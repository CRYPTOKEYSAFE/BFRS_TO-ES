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826" firstSheet="0" activeTab="13"/>
  </bookViews>
  <sheets>
    <sheet name="UNIT_ROLLUP" sheetId="1" state="visible" r:id="rId3"/>
    <sheet name="MISSION STATEMENT" sheetId="2" state="visible" r:id="rId4"/>
    <sheet name="CCN_Library" sheetId="3" state="visible" r:id="rId5"/>
    <sheet name="TO" sheetId="4" state="visible" r:id="rId6"/>
    <sheet name="TE" sheetId="5" state="visible" r:id="rId7"/>
    <sheet name="14312" sheetId="6" state="visible" r:id="rId8"/>
    <sheet name="14345" sheetId="7" state="visible" r:id="rId9"/>
    <sheet name="17110" sheetId="8" state="visible" r:id="rId10"/>
    <sheet name="17120" sheetId="9" state="visible" r:id="rId11"/>
    <sheet name="21451" sheetId="10" state="visible" r:id="rId12"/>
    <sheet name="21710" sheetId="11" state="visible" r:id="rId13"/>
    <sheet name="44112" sheetId="12" state="visible" r:id="rId14"/>
    <sheet name="45110" sheetId="13" state="visible" r:id="rId15"/>
    <sheet name="61072" sheetId="14" state="visible" r:id="rId16"/>
    <sheet name="61073" sheetId="15" state="visible" r:id="rId17"/>
  </sheets>
  <externalReferences>
    <externalReference r:id="rId18"/>
  </externalReferences>
  <definedNames>
    <definedName function="false" hidden="false" localSheetId="5" name="_xlnm.Print_Area" vbProcedure="false">'14312'!$A$1:$AF$772</definedName>
    <definedName function="false" hidden="false" localSheetId="6" name="_xlnm.Print_Area" vbProcedure="false">'14345'!$A$1:$AF$806</definedName>
    <definedName function="false" hidden="false" localSheetId="8" name="_xlnm.Print_Area" vbProcedure="false">'17120'!$A$1:$AF$88</definedName>
    <definedName function="false" hidden="false" localSheetId="10" name="_xlnm.Print_Area" vbProcedure="false">'21710'!$A$1:$AF$96</definedName>
    <definedName function="false" hidden="false" localSheetId="11" name="_xlnm.Print_Area" vbProcedure="false">'44112'!$A$1:$AF$86</definedName>
    <definedName function="false" hidden="false" localSheetId="1" name="_xlnm.Print_Area" vbProcedure="false">'MISSION STATEMENT'!$A$1:$D$279</definedName>
    <definedName function="false" hidden="false" localSheetId="4" name="_xlnm.Print_Area" vbProcedure="false">TE!$A$1:$V$504</definedName>
    <definedName function="false" hidden="true" localSheetId="4" name="_xlnm._FilterDatabase" vbProcedure="false">TE!$B$1:$W$1852</definedName>
    <definedName function="false" hidden="false" localSheetId="3" name="_xlnm.Print_Area" vbProcedure="false">TO!$A$1:$AT$713</definedName>
    <definedName function="false" hidden="true" localSheetId="3" name="_xlnm._FilterDatabase" vbProcedure="false">TO!$B$2:$AT$713</definedName>
    <definedName function="false" hidden="false" localSheetId="0" name="_xlnm.Print_Area" vbProcedure="false">UNIT_ROLLUP!$A$1:$AF$40</definedName>
    <definedName function="false" hidden="false" localSheetId="0" name="d" vbProcedure="false">#REF!</definedName>
    <definedName function="false" hidden="false" localSheetId="0" name="DDD" vbProcedure="false">#REF!</definedName>
    <definedName function="false" hidden="false" localSheetId="0" name="delete1" vbProcedure="false">#REF!</definedName>
    <definedName function="false" hidden="false" localSheetId="0" name="GDSGSDG" vbProcedure="false">#REF!</definedName>
    <definedName function="false" hidden="false" localSheetId="0" name="ghhghg" vbProcedure="false">#REF!</definedName>
    <definedName function="false" hidden="false" localSheetId="0" name="gsg" vbProcedure="false">#REF!</definedName>
    <definedName function="false" hidden="false" localSheetId="0" name="Hello" vbProcedure="false">#REF!</definedName>
    <definedName function="false" hidden="false" localSheetId="0" name="heloo" vbProcedure="false">#REF!</definedName>
    <definedName function="false" hidden="false" localSheetId="0" name="new" vbProcedure="false">#REF!</definedName>
    <definedName function="false" hidden="false" localSheetId="0" name="oc" vbProcedure="false">#REF!</definedName>
    <definedName function="false" hidden="false" localSheetId="0" name="Ordnance" vbProcedure="false">#REF!</definedName>
    <definedName function="false" hidden="false" localSheetId="0" name="te_table" vbProcedure="false">#REF!</definedName>
    <definedName function="false" hidden="false" localSheetId="0" name="UIC_HQ" vbProcedure="false">'14312'!$C$43</definedName>
    <definedName function="false" hidden="false" localSheetId="0" name="UIC_HS" vbProcedure="false">'14312'!$C$89</definedName>
    <definedName function="false" hidden="false" localSheetId="0" name="x" vbProcedure="false">#REF!</definedName>
    <definedName function="false" hidden="false" localSheetId="4" name="a" vbProcedure="false">#REF!</definedName>
    <definedName function="false" hidden="false" localSheetId="4" name="Amroy" vbProcedure="false">#REF!</definedName>
    <definedName function="false" hidden="false" localSheetId="4" name="CostCode" vbProcedure="false">#REF!</definedName>
    <definedName function="false" hidden="false" localSheetId="4" name="d" vbProcedure="false">#REF!</definedName>
    <definedName function="false" hidden="false" localSheetId="4" name="dd" vbProcedure="false">#REF!</definedName>
    <definedName function="false" hidden="false" localSheetId="4" name="DDD" vbProcedure="false">#REF!</definedName>
    <definedName function="false" hidden="false" localSheetId="4" name="delete1" vbProcedure="false">#REF!</definedName>
    <definedName function="false" hidden="false" localSheetId="4" name="GDSGSDG" vbProcedure="false">#REF!</definedName>
    <definedName function="false" hidden="false" localSheetId="4" name="gfhgfhgf" vbProcedure="false">#REF!</definedName>
    <definedName function="false" hidden="false" localSheetId="4" name="ghgghhg" vbProcedure="false">#REF!</definedName>
    <definedName function="false" hidden="false" localSheetId="4" name="ghhghg" vbProcedure="false">#REF!</definedName>
    <definedName function="false" hidden="false" localSheetId="4" name="gsg" vbProcedure="false">#REF!</definedName>
    <definedName function="false" hidden="false" localSheetId="4" name="Hello" vbProcedure="false">#REF!</definedName>
    <definedName function="false" hidden="false" localSheetId="4" name="HELLO1" vbProcedure="false">#REF!</definedName>
    <definedName function="false" hidden="false" localSheetId="4" name="heloo" vbProcedure="false">#REF!</definedName>
    <definedName function="false" hidden="false" localSheetId="4" name="IN_ins" vbProcedure="false">#REF!</definedName>
    <definedName function="false" hidden="false" localSheetId="4" name="mt" vbProcedure="false">#REF!</definedName>
    <definedName function="false" hidden="false" localSheetId="4" name="new" vbProcedure="false">#REF!</definedName>
    <definedName function="false" hidden="false" localSheetId="4" name="oc" vbProcedure="false">#REF!</definedName>
    <definedName function="false" hidden="false" localSheetId="4" name="Ordnance" vbProcedure="false">#REF!</definedName>
    <definedName function="false" hidden="false" localSheetId="4" name="TE_2" vbProcedure="false">#REF!</definedName>
    <definedName function="false" hidden="false" localSheetId="4" name="TE_3" vbProcedure="false">#REF!</definedName>
    <definedName function="false" hidden="false" localSheetId="4" name="TE_orignial" vbProcedure="false">#REF!</definedName>
    <definedName function="false" hidden="false" localSheetId="4" name="te_table" vbProcedure="false">#REF!</definedName>
    <definedName function="false" hidden="false" localSheetId="4" name="UIC_HQ" vbProcedure="false">'[2]14312'!$C$50</definedName>
    <definedName function="false" hidden="false" localSheetId="4" name="UIC_HS" vbProcedure="false">'[2]14312'!$C$96</definedName>
    <definedName function="false" hidden="false" localSheetId="4" name="x" vbProcedure="false">#REF!</definedName>
    <definedName function="false" hidden="false" localSheetId="4" name="_17120Ne" vbProcedure="false">#REF!</definedName>
    <definedName function="false" hidden="false" localSheetId="4" name="_17120new" vbProcedure="false">#REF!</definedName>
    <definedName function="false" hidden="false" localSheetId="4" name="_17945" vbProcedure="false">#REF!</definedName>
    <definedName function="false" hidden="false" localSheetId="4" name="_21451New" vbProcedure="false">#REF!</definedName>
    <definedName function="false" hidden="false" localSheetId="4" name="_21451NewTab" vbProcedure="false">#REF!</definedName>
    <definedName function="false" hidden="false" localSheetId="4" name="_21451_UIC" vbProcedure="false">#REF!</definedName>
    <definedName function="false" hidden="false" localSheetId="4" name="_2145NEW" vbProcedure="false">#REF!</definedName>
    <definedName function="false" hidden="false" localSheetId="4" name="_lAQUETTAaRMORY" vbProcedure="false">#REF!</definedName>
    <definedName function="false" hidden="false" localSheetId="4" name="_MY" vbProcedure="false">#REF!</definedName>
    <definedName function="false" hidden="false" localSheetId="6" name="d" vbProcedure="false">#REF!</definedName>
    <definedName function="false" hidden="false" localSheetId="6" name="DDD" vbProcedure="false">#REF!</definedName>
    <definedName function="false" hidden="false" localSheetId="6" name="delete1" vbProcedure="false">#REF!</definedName>
    <definedName function="false" hidden="false" localSheetId="6" name="GDSGSDG" vbProcedure="false">#REF!</definedName>
    <definedName function="false" hidden="false" localSheetId="6" name="ghhghg" vbProcedure="false">#REF!</definedName>
    <definedName function="false" hidden="false" localSheetId="6" name="gsg" vbProcedure="false">#REF!</definedName>
    <definedName function="false" hidden="false" localSheetId="6" name="Hello" vbProcedure="false">#REF!</definedName>
    <definedName function="false" hidden="false" localSheetId="6" name="heloo" vbProcedure="false">#REF!</definedName>
    <definedName function="false" hidden="false" localSheetId="6" name="M12301_" vbProcedure="false">#N/A</definedName>
    <definedName function="false" hidden="false" localSheetId="6" name="new" vbProcedure="false">#REF!</definedName>
    <definedName function="false" hidden="false" localSheetId="6" name="oc" vbProcedure="false">#REF!</definedName>
    <definedName function="false" hidden="false" localSheetId="6" name="Ordnance" vbProcedure="false">#REF!</definedName>
    <definedName function="false" hidden="false" localSheetId="6" name="te_table" vbProcedure="false">#REF!</definedName>
    <definedName function="false" hidden="false" localSheetId="6" name="UIC_HQ" vbProcedure="false">'14312'!$C$43</definedName>
    <definedName function="false" hidden="false" localSheetId="6" name="UIC_HS" vbProcedure="false">'14312'!$C$89</definedName>
    <definedName function="false" hidden="false" localSheetId="6" name="x" vbProcedure="false">#REF!</definedName>
    <definedName function="false" hidden="false" localSheetId="8" name="a" vbProcedure="false">#REF!</definedName>
    <definedName function="false" hidden="false" localSheetId="8" name="Amroy" vbProcedure="false">#REF!</definedName>
    <definedName function="false" hidden="false" localSheetId="8" name="CostCode" vbProcedure="false">#REF!</definedName>
    <definedName function="false" hidden="false" localSheetId="8" name="d" vbProcedure="false">#REF!</definedName>
    <definedName function="false" hidden="false" localSheetId="8" name="dd" vbProcedure="false">#REF!</definedName>
    <definedName function="false" hidden="false" localSheetId="8" name="DDD" vbProcedure="false">#REF!</definedName>
    <definedName function="false" hidden="false" localSheetId="8" name="delete1" vbProcedure="false">#REF!</definedName>
    <definedName function="false" hidden="false" localSheetId="8" name="GDSGSDG" vbProcedure="false">#REF!</definedName>
    <definedName function="false" hidden="false" localSheetId="8" name="gfhgfhgf" vbProcedure="false">#REF!</definedName>
    <definedName function="false" hidden="false" localSheetId="8" name="ghgghhg" vbProcedure="false">#REF!</definedName>
    <definedName function="false" hidden="false" localSheetId="8" name="ghhghg" vbProcedure="false">#REF!</definedName>
    <definedName function="false" hidden="false" localSheetId="8" name="gsg" vbProcedure="false">#REF!</definedName>
    <definedName function="false" hidden="false" localSheetId="8" name="Hello" vbProcedure="false">#REF!</definedName>
    <definedName function="false" hidden="false" localSheetId="8" name="HELLO1" vbProcedure="false">#REF!</definedName>
    <definedName function="false" hidden="false" localSheetId="8" name="heloo" vbProcedure="false">#REF!</definedName>
    <definedName function="false" hidden="false" localSheetId="8" name="IN_ins" vbProcedure="false">#REF!</definedName>
    <definedName function="false" hidden="false" localSheetId="8" name="M12301_" vbProcedure="false">'17120'!UIC_HQ</definedName>
    <definedName function="false" hidden="false" localSheetId="8" name="UIC_HQ" vbProcedure="false">'14312'!$C$44</definedName>
    <definedName function="false" hidden="false" localSheetId="8" name="new" vbProcedure="false">#REF!</definedName>
    <definedName function="false" hidden="false" localSheetId="8" name="oc" vbProcedure="false">#REF!</definedName>
    <definedName function="false" hidden="false" localSheetId="8" name="Ordnance" vbProcedure="false">#REF!</definedName>
    <definedName function="false" hidden="false" localSheetId="8" name="TE_2" vbProcedure="false">#REF!</definedName>
    <definedName function="false" hidden="false" localSheetId="8" name="TE_3" vbProcedure="false">#REF!</definedName>
    <definedName function="false" hidden="false" localSheetId="8" name="TE_orignial" vbProcedure="false">#REF!</definedName>
    <definedName function="false" hidden="false" localSheetId="8" name="te_table" vbProcedure="false">#REF!</definedName>
    <definedName function="false" hidden="false" localSheetId="8" name="x" vbProcedure="false">#REF!</definedName>
    <definedName function="false" hidden="false" localSheetId="8" name="_17120Ne" vbProcedure="false">#REF!</definedName>
    <definedName function="false" hidden="false" localSheetId="8" name="_17120new" vbProcedure="false">#REF!</definedName>
    <definedName function="false" hidden="false" localSheetId="8" name="_17945" vbProcedure="false">#REF!</definedName>
    <definedName function="false" hidden="false" localSheetId="8" name="_21451New" vbProcedure="false">#REF!</definedName>
    <definedName function="false" hidden="false" localSheetId="8" name="_21451NewTab" vbProcedure="false">#REF!</definedName>
    <definedName function="false" hidden="false" localSheetId="8" name="_lAQUETTAaRMORY" vbProcedure="false">#REF!</definedName>
    <definedName function="false" hidden="false" localSheetId="13" name="CostCode" vbProcedure="false">#REF!</definedName>
    <definedName function="false" hidden="false" localSheetId="13" name="d" vbProcedure="false">#REF!</definedName>
    <definedName function="false" hidden="false" localSheetId="13" name="DDD" vbProcedure="false">#REF!</definedName>
    <definedName function="false" hidden="false" localSheetId="13" name="delete1" vbProcedure="false">#REF!</definedName>
    <definedName function="false" hidden="false" localSheetId="13" name="GDSGSDG" vbProcedure="false">#REF!</definedName>
    <definedName function="false" hidden="false" localSheetId="13" name="ghhghg" vbProcedure="false">#REF!</definedName>
    <definedName function="false" hidden="false" localSheetId="13" name="gsg" vbProcedure="false">#REF!</definedName>
    <definedName function="false" hidden="false" localSheetId="13" name="Hello" vbProcedure="false">#REF!</definedName>
    <definedName function="false" hidden="false" localSheetId="13" name="heloo" vbProcedure="false">#REF!</definedName>
    <definedName function="false" hidden="false" localSheetId="13" name="M12301_" vbProcedure="false">'61072'!UIC_HQ</definedName>
    <definedName function="false" hidden="false" localSheetId="13" name="UIC_HQ" vbProcedure="false">'61072'!$C$46</definedName>
    <definedName function="false" hidden="false" localSheetId="13" name="new" vbProcedure="false">#REF!</definedName>
    <definedName function="false" hidden="false" localSheetId="13" name="oc" vbProcedure="false">#REF!</definedName>
    <definedName function="false" hidden="false" localSheetId="13" name="Ordnance" vbProcedure="false">#REF!</definedName>
    <definedName function="false" hidden="false" localSheetId="13" name="te_table" vbProcedure="false">#REF!</definedName>
    <definedName function="false" hidden="false" localSheetId="13" name="x" vbProcedure="false">#REF!</definedName>
    <definedName function="false" hidden="false" localSheetId="14" name="CostCode" vbProcedure="false">#REF!</definedName>
    <definedName function="false" hidden="false" localSheetId="14" name="d" vbProcedure="false">#REF!</definedName>
    <definedName function="false" hidden="false" localSheetId="14" name="DDD" vbProcedure="false">#REF!</definedName>
    <definedName function="false" hidden="false" localSheetId="14" name="delete1" vbProcedure="false">#REF!</definedName>
    <definedName function="false" hidden="false" localSheetId="14" name="GDSGSDG" vbProcedure="false">#REF!</definedName>
    <definedName function="false" hidden="false" localSheetId="14" name="ghhghg" vbProcedure="false">#REF!</definedName>
    <definedName function="false" hidden="false" localSheetId="14" name="gsg" vbProcedure="false">#REF!</definedName>
    <definedName function="false" hidden="false" localSheetId="14" name="Hello" vbProcedure="false">#REF!</definedName>
    <definedName function="false" hidden="false" localSheetId="14" name="heloo" vbProcedure="false">#REF!</definedName>
    <definedName function="false" hidden="false" localSheetId="14" name="M12301_" vbProcedure="false">'61073'!UIC_HQ</definedName>
    <definedName function="false" hidden="false" localSheetId="14" name="UIC_HQ" vbProcedure="false">'14312'!$C$43</definedName>
    <definedName function="false" hidden="false" localSheetId="14" name="new" vbProcedure="false">#REF!</definedName>
    <definedName function="false" hidden="false" localSheetId="14" name="oc" vbProcedure="false">#REF!</definedName>
    <definedName function="false" hidden="false" localSheetId="14" name="Ordnance" vbProcedure="false">#REF!</definedName>
    <definedName function="false" hidden="false" localSheetId="14" name="te_table" vbProcedure="false">#REF!</definedName>
    <definedName function="false" hidden="false" localSheetId="14" name="x"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<sst xmlns="http://schemas.openxmlformats.org/spreadsheetml/2006/main" count="18041" uniqueCount="2370">
  <si>
    <t xml:space="preserve">BASIC FACILITY REQUIREMENTS UNIT ROLLUP</t>
  </si>
  <si>
    <t xml:space="preserve">Installation:</t>
  </si>
  <si>
    <t xml:space="preserve">H&amp;S BN MCIPAC MCB CP BUTLER JA</t>
  </si>
  <si>
    <t xml:space="preserve">Tenant:</t>
  </si>
  <si>
    <t xml:space="preserve">3D MEDICAL BATTALION</t>
  </si>
  <si>
    <t xml:space="preserve">Installation UIC:</t>
  </si>
  <si>
    <t xml:space="preserve">M67400</t>
  </si>
  <si>
    <t xml:space="preserve">Tenant UIC:</t>
  </si>
  <si>
    <t xml:space="preserve">M13020</t>
  </si>
  <si>
    <t xml:space="preserve">Planning Area:</t>
  </si>
  <si>
    <t xml:space="preserve">FO</t>
  </si>
  <si>
    <t xml:space="preserve">Facilities measured in SF</t>
  </si>
  <si>
    <t xml:space="preserve">CCN</t>
  </si>
  <si>
    <t xml:space="preserve">Description</t>
  </si>
  <si>
    <t xml:space="preserve">Required Area</t>
  </si>
  <si>
    <t xml:space="preserve">Armory</t>
  </si>
  <si>
    <t xml:space="preserve">Academic Instruction Building</t>
  </si>
  <si>
    <t xml:space="preserve">Applied Instruction Building</t>
  </si>
  <si>
    <t xml:space="preserve">Storage of Air or Ground Organic Units - USMC</t>
  </si>
  <si>
    <t xml:space="preserve">Battalion /Squadron Headquarters, Marine Corps</t>
  </si>
  <si>
    <t xml:space="preserve">Company/Battery Headquarters, Marine Corps</t>
  </si>
  <si>
    <t xml:space="preserve">Operational Vehicle Laydown Area</t>
  </si>
  <si>
    <t xml:space="preserve">Automotive Organizational Shop</t>
  </si>
  <si>
    <t xml:space="preserve">Electronics/Communications Maintenance Shop</t>
  </si>
  <si>
    <t xml:space="preserve">Open Storage Area</t>
  </si>
  <si>
    <t xml:space="preserve">Total =</t>
  </si>
  <si>
    <t xml:space="preserve">TOTAL REQUIREMENT:</t>
  </si>
  <si>
    <t xml:space="preserve">GSF</t>
  </si>
  <si>
    <t xml:space="preserve">Page</t>
  </si>
  <si>
    <t xml:space="preserve">of</t>
  </si>
  <si>
    <t xml:space="preserve">*** UNCLASSIFIED // FOR OFFICIAL USE ONLY ***</t>
  </si>
  <si>
    <t xml:space="preserve">United States Marine Corps</t>
  </si>
  <si>
    <t xml:space="preserve">Total Force Structure Management System</t>
  </si>
  <si>
    <t xml:space="preserve">Unit TO&amp;E Report</t>
  </si>
  <si>
    <t xml:space="preserve">H&amp;S CO 3D MED BN 3D MLG</t>
  </si>
  <si>
    <t xml:space="preserve">UNIT 38445</t>
  </si>
  <si>
    <t xml:space="preserve">FPO, AP   963734500</t>
  </si>
  <si>
    <t xml:space="preserve">Country: JP</t>
  </si>
  <si>
    <t xml:space="preserve">UIC: M28261</t>
  </si>
  <si>
    <t xml:space="preserve">Source:</t>
  </si>
  <si>
    <t xml:space="preserve">Published</t>
  </si>
  <si>
    <t xml:space="preserve">Structure Data current as of:</t>
  </si>
  <si>
    <t xml:space="preserve">02/27/2023</t>
  </si>
  <si>
    <t xml:space="preserve">Equipment Data Current as of: </t>
  </si>
  <si>
    <t xml:space="preserve">Report Fiscal Year:</t>
  </si>
  <si>
    <t xml:space="preserve">2029</t>
  </si>
  <si>
    <t xml:space="preserve">Manning Precedence Level:</t>
  </si>
  <si>
    <t xml:space="preserve">OPFOR</t>
  </si>
  <si>
    <t xml:space="preserve">Military Unit Level Code:</t>
  </si>
  <si>
    <t xml:space="preserve">HQS</t>
  </si>
  <si>
    <t xml:space="preserve">Unit Descriptor Code:</t>
  </si>
  <si>
    <t xml:space="preserve">T</t>
  </si>
  <si>
    <t xml:space="preserve">Unit Type Code:</t>
  </si>
  <si>
    <t xml:space="preserve">FWQAB</t>
  </si>
  <si>
    <t xml:space="preserve">SASSY AAC:</t>
  </si>
  <si>
    <t xml:space="preserve">SASSY M28260</t>
  </si>
  <si>
    <t xml:space="preserve">LONG TERM STORAGE -- DATA CONVERSION INITIAL ACCOUNT</t>
  </si>
  <si>
    <t xml:space="preserve">MEF Code:</t>
  </si>
  <si>
    <t xml:space="preserve">C</t>
  </si>
  <si>
    <t xml:space="preserve">Type Support Code:</t>
  </si>
  <si>
    <t xml:space="preserve">MISSION STATEMENT</t>
  </si>
  <si>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</si>
  <si>
    <t xml:space="preserve">SURG CO A 3D MED BN 3D MLG</t>
  </si>
  <si>
    <t xml:space="preserve">UNIT 38448</t>
  </si>
  <si>
    <t xml:space="preserve">FPO, AP   966048448</t>
  </si>
  <si>
    <t xml:space="preserve">UIC: M28263</t>
  </si>
  <si>
    <t xml:space="preserve">CO</t>
  </si>
  <si>
    <t xml:space="preserve">FWQBB</t>
  </si>
  <si>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</si>
  <si>
    <t xml:space="preserve">SURG CO B 3D MED BN 3D MLG</t>
  </si>
  <si>
    <t xml:space="preserve">UIC: M28262</t>
  </si>
  <si>
    <t xml:space="preserve">SASSY M29018</t>
  </si>
  <si>
    <t xml:space="preserve">Mission Statement: </t>
  </si>
  <si>
    <t xml:space="preserve">CCN_Library: canonical facility names per FC 2-000-05N for the 10 CCNs this BFR uses</t>
  </si>
  <si>
    <t xml:space="preserve">Facility Name</t>
  </si>
  <si>
    <t xml:space="preserve">Source</t>
  </si>
  <si>
    <t xml:space="preserve">OPERATIONAL VEHICLE LAYDOWN AREA</t>
  </si>
  <si>
    <t xml:space="preserve">fc_2_000_05n_100series_02_11_2026.pdf</t>
  </si>
  <si>
    <t xml:space="preserve">ARMORY</t>
  </si>
  <si>
    <t xml:space="preserve">ACADEMIC INSTRUCTION BUILDING</t>
  </si>
  <si>
    <t xml:space="preserve">APPLIED INSTRUCTION BUILDING</t>
  </si>
  <si>
    <t xml:space="preserve">AUTOMOTIVE ORGANIZATIONAL SHOP</t>
  </si>
  <si>
    <t xml:space="preserve">fc_2_000_05n_200series_05_16_2025.pdf</t>
  </si>
  <si>
    <t xml:space="preserve">ELECTRONICS/COMMUNICATIONS MAINTENANCE SHOP</t>
  </si>
  <si>
    <t xml:space="preserve">STORAGE OF AIR OR GROUND ORGANIC UNITS FOR MARINE CORPS</t>
  </si>
  <si>
    <t xml:space="preserve">fc_2_000_05n_400series_11_19_2025.pdf</t>
  </si>
  <si>
    <t xml:space="preserve">OPEN STORAGE AREA</t>
  </si>
  <si>
    <t xml:space="preserve">BATTALION/SQUADRON HEADQUARTERS, MARINE CORPS</t>
  </si>
  <si>
    <t xml:space="preserve">fc_2_000_05n_600series_03_02_2023.pdf</t>
  </si>
  <si>
    <t xml:space="preserve">COMPANY/BATTERY HEADQUARTERS, MARINE CORPS</t>
  </si>
  <si>
    <t xml:space="preserve">CHARGEABLE</t>
  </si>
  <si>
    <t xml:space="preserve">NON-CHARGEABLE</t>
  </si>
  <si>
    <t xml:space="preserve">Has a Desk?</t>
  </si>
  <si>
    <t xml:space="preserve">MC Act</t>
  </si>
  <si>
    <t xml:space="preserve">MC Res</t>
  </si>
  <si>
    <t xml:space="preserve">Civ</t>
  </si>
  <si>
    <t xml:space="preserve">Other  Active</t>
  </si>
  <si>
    <t xml:space="preserve">Other  Reserve</t>
  </si>
  <si>
    <t xml:space="preserve">MT/MF</t>
  </si>
  <si>
    <t xml:space="preserve">UIC</t>
  </si>
  <si>
    <t xml:space="preserve">LINE</t>
  </si>
  <si>
    <t xml:space="preserve">NOTE</t>
  </si>
  <si>
    <t xml:space="preserve">CCN Decription</t>
  </si>
  <si>
    <t xml:space="preserve">Rec CD</t>
  </si>
  <si>
    <t xml:space="preserve">BIC</t>
  </si>
  <si>
    <t xml:space="preserve">Billet Description</t>
  </si>
  <si>
    <t xml:space="preserve">Alpha Grade</t>
  </si>
  <si>
    <t xml:space="preserve">BMOS</t>
  </si>
  <si>
    <t xml:space="preserve">PMOS</t>
  </si>
  <si>
    <t xml:space="preserve">B R N</t>
  </si>
  <si>
    <t xml:space="preserve">T Y P</t>
  </si>
  <si>
    <t xml:space="preserve">S T A</t>
  </si>
  <si>
    <t xml:space="preserve">M P R</t>
  </si>
  <si>
    <t xml:space="preserve">Res Typ</t>
  </si>
  <si>
    <t xml:space="preserve">S C</t>
  </si>
  <si>
    <t xml:space="preserve">W P N</t>
  </si>
  <si>
    <t xml:space="preserve">Billet SPN</t>
  </si>
  <si>
    <t xml:space="preserve">Off</t>
  </si>
  <si>
    <t xml:space="preserve">Enl</t>
  </si>
  <si>
    <t xml:space="preserve">NC</t>
  </si>
  <si>
    <t xml:space="preserve">T/T</t>
  </si>
  <si>
    <t xml:space="preserve">A S R</t>
  </si>
  <si>
    <t xml:space="preserve">IH/CA</t>
  </si>
  <si>
    <t xml:space="preserve">MCC</t>
  </si>
  <si>
    <t xml:space="preserve">F T N</t>
  </si>
  <si>
    <t xml:space="preserve">61072o</t>
  </si>
  <si>
    <t xml:space="preserve">M2826101021</t>
  </si>
  <si>
    <t xml:space="preserve">HEADQUARTERS COMMAND STAFF</t>
  </si>
  <si>
    <t xml:space="preserve">E</t>
  </si>
  <si>
    <t xml:space="preserve">M2826101022</t>
  </si>
  <si>
    <t xml:space="preserve">COMMANDING OFFICER</t>
  </si>
  <si>
    <t xml:space="preserve">CAPT</t>
  </si>
  <si>
    <t xml:space="preserve">2300</t>
  </si>
  <si>
    <t xml:space="preserve">N</t>
  </si>
  <si>
    <t xml:space="preserve">O</t>
  </si>
  <si>
    <t xml:space="preserve">A</t>
  </si>
  <si>
    <t xml:space="preserve">U</t>
  </si>
  <si>
    <t xml:space="preserve">P</t>
  </si>
  <si>
    <t xml:space="preserve">1</t>
  </si>
  <si>
    <t xml:space="preserve">A-M510</t>
  </si>
  <si>
    <t xml:space="preserve">1CP</t>
  </si>
  <si>
    <t xml:space="preserve">M2826101023</t>
  </si>
  <si>
    <t xml:space="preserve">EXECUTIVE OFFICER</t>
  </si>
  <si>
    <t xml:space="preserve">CDR</t>
  </si>
  <si>
    <t xml:space="preserve">M2826101531</t>
  </si>
  <si>
    <t xml:space="preserve">SUPPLY OFFICER</t>
  </si>
  <si>
    <t xml:space="preserve">1STLT</t>
  </si>
  <si>
    <t xml:space="preserve">3002</t>
  </si>
  <si>
    <t xml:space="preserve">M</t>
  </si>
  <si>
    <t xml:space="preserve">M2826101024</t>
  </si>
  <si>
    <t xml:space="preserve">DIRECTOR HEALTH SERVICES/PROGRAM</t>
  </si>
  <si>
    <t xml:space="preserve">2100</t>
  </si>
  <si>
    <t xml:space="preserve">*</t>
  </si>
  <si>
    <t xml:space="preserve">M2826101025</t>
  </si>
  <si>
    <t xml:space="preserve">COMMAND MASTER CHIEF</t>
  </si>
  <si>
    <t xml:space="preserve">CMDCM</t>
  </si>
  <si>
    <t xml:space="preserve">8CMC</t>
  </si>
  <si>
    <t xml:space="preserve">61072c</t>
  </si>
  <si>
    <t xml:space="preserve">M2826101026</t>
  </si>
  <si>
    <t xml:space="preserve">FLD MED TECH</t>
  </si>
  <si>
    <t xml:space="preserve">HN</t>
  </si>
  <si>
    <t xml:space="preserve">L03A</t>
  </si>
  <si>
    <t xml:space="preserve">61073o</t>
  </si>
  <si>
    <t xml:space="preserve">M2826101027</t>
  </si>
  <si>
    <t xml:space="preserve">COMPANY HEADQUARTERS SECTION</t>
  </si>
  <si>
    <t xml:space="preserve">M2826101423</t>
  </si>
  <si>
    <t xml:space="preserve">COMPANY COMMANDER</t>
  </si>
  <si>
    <t xml:space="preserve">0402</t>
  </si>
  <si>
    <t xml:space="preserve">61073c</t>
  </si>
  <si>
    <t xml:space="preserve">M2826101425</t>
  </si>
  <si>
    <t xml:space="preserve">ADMIN CLERK</t>
  </si>
  <si>
    <t xml:space="preserve">LCPL</t>
  </si>
  <si>
    <t xml:space="preserve">0111</t>
  </si>
  <si>
    <t xml:space="preserve">M2826101491</t>
  </si>
  <si>
    <t xml:space="preserve">HMCS</t>
  </si>
  <si>
    <t xml:space="preserve">M2826101029</t>
  </si>
  <si>
    <t xml:space="preserve">HM3</t>
  </si>
  <si>
    <t xml:space="preserve">D</t>
  </si>
  <si>
    <t xml:space="preserve">M2826101030</t>
  </si>
  <si>
    <t xml:space="preserve">S-1</t>
  </si>
  <si>
    <t xml:space="preserve">M2826101031</t>
  </si>
  <si>
    <t xml:space="preserve">S-1 OFFICER</t>
  </si>
  <si>
    <t xml:space="preserve">LT</t>
  </si>
  <si>
    <t xml:space="preserve">M2826101032</t>
  </si>
  <si>
    <t xml:space="preserve">ADJUTANT/LEGAL OFFICER</t>
  </si>
  <si>
    <t xml:space="preserve">LTJG</t>
  </si>
  <si>
    <t xml:space="preserve">M2826101033</t>
  </si>
  <si>
    <t xml:space="preserve">HMC</t>
  </si>
  <si>
    <t xml:space="preserve">M2826101034</t>
  </si>
  <si>
    <t xml:space="preserve">HM1</t>
  </si>
  <si>
    <t xml:space="preserve">M2826101035</t>
  </si>
  <si>
    <t xml:space="preserve">HM2</t>
  </si>
  <si>
    <t xml:space="preserve">M2826101036</t>
  </si>
  <si>
    <t xml:space="preserve">M2826101037</t>
  </si>
  <si>
    <t xml:space="preserve">M2826101038</t>
  </si>
  <si>
    <t xml:space="preserve">PERS SPEC</t>
  </si>
  <si>
    <t xml:space="preserve">PS1</t>
  </si>
  <si>
    <t xml:space="preserve">0000</t>
  </si>
  <si>
    <t xml:space="preserve">M2826101039</t>
  </si>
  <si>
    <t xml:space="preserve">PS2</t>
  </si>
  <si>
    <t xml:space="preserve">M2826101613</t>
  </si>
  <si>
    <t xml:space="preserve">YEOMAN</t>
  </si>
  <si>
    <t xml:space="preserve">YN2</t>
  </si>
  <si>
    <t xml:space="preserve">M2826101614</t>
  </si>
  <si>
    <t xml:space="preserve">PS3</t>
  </si>
  <si>
    <t xml:space="preserve">M2826101426</t>
  </si>
  <si>
    <t xml:space="preserve">CASUALTY REPORTING COORDINATOR</t>
  </si>
  <si>
    <t xml:space="preserve">M2826101040</t>
  </si>
  <si>
    <t xml:space="preserve">S-2/S-3</t>
  </si>
  <si>
    <t xml:space="preserve">M2826101597</t>
  </si>
  <si>
    <t xml:space="preserve">S-2/3 OFFICER</t>
  </si>
  <si>
    <t xml:space="preserve">LCDR</t>
  </si>
  <si>
    <t xml:space="preserve">M2826101042</t>
  </si>
  <si>
    <t xml:space="preserve">M2826101043</t>
  </si>
  <si>
    <t xml:space="preserve">M2826101044</t>
  </si>
  <si>
    <t xml:space="preserve">ASSISTANT S-3/OPERATIONS OFFICER</t>
  </si>
  <si>
    <t xml:space="preserve">M2826101045</t>
  </si>
  <si>
    <t xml:space="preserve">M2826101046</t>
  </si>
  <si>
    <t xml:space="preserve">M2826101047</t>
  </si>
  <si>
    <t xml:space="preserve">M2826101598</t>
  </si>
  <si>
    <t xml:space="preserve">MED DPT STF</t>
  </si>
  <si>
    <t xml:space="preserve">M2826101049</t>
  </si>
  <si>
    <t xml:space="preserve">CHIEF NURSING OFFICER</t>
  </si>
  <si>
    <t xml:space="preserve">2900</t>
  </si>
  <si>
    <t xml:space="preserve">M2826101050</t>
  </si>
  <si>
    <t xml:space="preserve">EVACUATION CONTROL OFFICER</t>
  </si>
  <si>
    <t xml:space="preserve">M2826101051</t>
  </si>
  <si>
    <t xml:space="preserve">M2826101052</t>
  </si>
  <si>
    <t xml:space="preserve">M2826101053</t>
  </si>
  <si>
    <t xml:space="preserve">M2826101054</t>
  </si>
  <si>
    <t xml:space="preserve">M2826101055</t>
  </si>
  <si>
    <t xml:space="preserve">44112o</t>
  </si>
  <si>
    <t xml:space="preserve">M2826101056</t>
  </si>
  <si>
    <t xml:space="preserve">S-4</t>
  </si>
  <si>
    <t xml:space="preserve">M2826101599</t>
  </si>
  <si>
    <t xml:space="preserve">GEN SUP/S-4 OFFICER</t>
  </si>
  <si>
    <t xml:space="preserve">44112w</t>
  </si>
  <si>
    <t xml:space="preserve">M2826101058</t>
  </si>
  <si>
    <t xml:space="preserve">M2826101059</t>
  </si>
  <si>
    <t xml:space="preserve">M2826101060</t>
  </si>
  <si>
    <t xml:space="preserve">M2826101061</t>
  </si>
  <si>
    <t xml:space="preserve">M2826101062</t>
  </si>
  <si>
    <t xml:space="preserve">M2826101063</t>
  </si>
  <si>
    <t xml:space="preserve">M2826101429</t>
  </si>
  <si>
    <t xml:space="preserve">ASSISTANT S-4/LOGISTICS OFFICER</t>
  </si>
  <si>
    <t xml:space="preserve">M2826101430</t>
  </si>
  <si>
    <t xml:space="preserve">LOGISTICS CHIEF</t>
  </si>
  <si>
    <t xml:space="preserve">SSGT</t>
  </si>
  <si>
    <t xml:space="preserve">0441</t>
  </si>
  <si>
    <t xml:space="preserve">M2826101431</t>
  </si>
  <si>
    <t xml:space="preserve">LOGISTICS/EMBARKATION SPECIALIST</t>
  </si>
  <si>
    <t xml:space="preserve">M2826101432</t>
  </si>
  <si>
    <t xml:space="preserve">EMBARKATION CHIEF</t>
  </si>
  <si>
    <t xml:space="preserve">SGT</t>
  </si>
  <si>
    <t xml:space="preserve">M2826101433</t>
  </si>
  <si>
    <t xml:space="preserve">LOGISTICS/EMBARKATION NCO</t>
  </si>
  <si>
    <t xml:space="preserve">CPL</t>
  </si>
  <si>
    <t xml:space="preserve">M2826101434</t>
  </si>
  <si>
    <t xml:space="preserve">MAINTENANCE MANAGEMENT CHIEF</t>
  </si>
  <si>
    <t xml:space="preserve">0411</t>
  </si>
  <si>
    <t xml:space="preserve">21710c</t>
  </si>
  <si>
    <t xml:space="preserve">M2826101608</t>
  </si>
  <si>
    <t xml:space="preserve">GROUND COMMUNICATIONS SYSTEMS REPAIRER</t>
  </si>
  <si>
    <t xml:space="preserve">2841</t>
  </si>
  <si>
    <t xml:space="preserve">S</t>
  </si>
  <si>
    <t xml:space="preserve">A-V411IM</t>
  </si>
  <si>
    <t xml:space="preserve">M2826101609</t>
  </si>
  <si>
    <t xml:space="preserve">A-V411B</t>
  </si>
  <si>
    <t xml:space="preserve">M2826101611</t>
  </si>
  <si>
    <t xml:space="preserve">TELECOMMUNICATIONS SYSTEMS REPAIR TECHNICIAN</t>
  </si>
  <si>
    <t xml:space="preserve">2847</t>
  </si>
  <si>
    <t xml:space="preserve">M2826101612</t>
  </si>
  <si>
    <t xml:space="preserve">14345c</t>
  </si>
  <si>
    <t xml:space="preserve">M2826101435</t>
  </si>
  <si>
    <t xml:space="preserve">ARMORY SUPERVISOR</t>
  </si>
  <si>
    <t xml:space="preserve">2111</t>
  </si>
  <si>
    <t xml:space="preserve">M2826101436</t>
  </si>
  <si>
    <t xml:space="preserve">SMALL ARMS REPAIRER</t>
  </si>
  <si>
    <t xml:space="preserve">M2826101532</t>
  </si>
  <si>
    <t xml:space="preserve">MARINE INTEGRATED MAINTENANCE MGMT SYS ADMIN CLERK</t>
  </si>
  <si>
    <t xml:space="preserve">M2826100620</t>
  </si>
  <si>
    <t xml:space="preserve">SUPPLY SECTION</t>
  </si>
  <si>
    <t xml:space="preserve">M2826101437</t>
  </si>
  <si>
    <t xml:space="preserve">SUPPLY CHIEF</t>
  </si>
  <si>
    <t xml:space="preserve">GYSGT</t>
  </si>
  <si>
    <t xml:space="preserve">3043</t>
  </si>
  <si>
    <t xml:space="preserve">M2826101438</t>
  </si>
  <si>
    <t xml:space="preserve">SUPPLY ADMIN CLERK</t>
  </si>
  <si>
    <t xml:space="preserve">M2826101439</t>
  </si>
  <si>
    <t xml:space="preserve">M2826101440</t>
  </si>
  <si>
    <t xml:space="preserve">WAREHOUSE CLERK</t>
  </si>
  <si>
    <t xml:space="preserve">3051</t>
  </si>
  <si>
    <t xml:space="preserve">M2826101441</t>
  </si>
  <si>
    <t xml:space="preserve">21451o</t>
  </si>
  <si>
    <t xml:space="preserve">M2826100600</t>
  </si>
  <si>
    <t xml:space="preserve">MOTOR TRANSPORT SECTION</t>
  </si>
  <si>
    <t xml:space="preserve">M2826101442</t>
  </si>
  <si>
    <t xml:space="preserve">MOTOR TRANSPORT CHIEF</t>
  </si>
  <si>
    <t xml:space="preserve">3537</t>
  </si>
  <si>
    <t xml:space="preserve">21451c</t>
  </si>
  <si>
    <t xml:space="preserve">M2826101446</t>
  </si>
  <si>
    <t xml:space="preserve">MOTOR TRANSPORT OPERATOR</t>
  </si>
  <si>
    <t xml:space="preserve">3531</t>
  </si>
  <si>
    <t xml:space="preserve">M2826101447</t>
  </si>
  <si>
    <t xml:space="preserve">M2826101448</t>
  </si>
  <si>
    <t xml:space="preserve">M2826101449</t>
  </si>
  <si>
    <t xml:space="preserve">M2826101450</t>
  </si>
  <si>
    <t xml:space="preserve">M2826101451</t>
  </si>
  <si>
    <t xml:space="preserve">M2826101452</t>
  </si>
  <si>
    <t xml:space="preserve">M2826101453</t>
  </si>
  <si>
    <t xml:space="preserve">M2826101454</t>
  </si>
  <si>
    <t xml:space="preserve">M2826101455</t>
  </si>
  <si>
    <t xml:space="preserve">M2826101456</t>
  </si>
  <si>
    <t xml:space="preserve">M2826101457</t>
  </si>
  <si>
    <t xml:space="preserve">M2826101458</t>
  </si>
  <si>
    <t xml:space="preserve">M2826101459</t>
  </si>
  <si>
    <t xml:space="preserve">M2826101460</t>
  </si>
  <si>
    <t xml:space="preserve">M2826101461</t>
  </si>
  <si>
    <t xml:space="preserve">M2826101462</t>
  </si>
  <si>
    <t xml:space="preserve">M2826101464</t>
  </si>
  <si>
    <t xml:space="preserve">PFC</t>
  </si>
  <si>
    <t xml:space="preserve">M2826101465</t>
  </si>
  <si>
    <t xml:space="preserve">M2826101466</t>
  </si>
  <si>
    <t xml:space="preserve">M2826101467</t>
  </si>
  <si>
    <t xml:space="preserve">MOTOR TRANSPORT MAINTENANCE CHIEF</t>
  </si>
  <si>
    <t xml:space="preserve">3529</t>
  </si>
  <si>
    <t xml:space="preserve">M2826101471</t>
  </si>
  <si>
    <t xml:space="preserve">AUTOMOTIVE MAINTENANCE TECHNICIAN</t>
  </si>
  <si>
    <t xml:space="preserve">3521</t>
  </si>
  <si>
    <t xml:space="preserve">M2826100601</t>
  </si>
  <si>
    <t xml:space="preserve">AMBULANCE SECTION</t>
  </si>
  <si>
    <t xml:space="preserve">M2826101472</t>
  </si>
  <si>
    <t xml:space="preserve">MOTOR VEHICLE OPERATOR</t>
  </si>
  <si>
    <t xml:space="preserve">M2826101473</t>
  </si>
  <si>
    <t xml:space="preserve">M2826101474</t>
  </si>
  <si>
    <t xml:space="preserve">M2826101475</t>
  </si>
  <si>
    <t xml:space="preserve">M2826101476</t>
  </si>
  <si>
    <t xml:space="preserve">M2826101477</t>
  </si>
  <si>
    <t xml:space="preserve">M2826101478</t>
  </si>
  <si>
    <t xml:space="preserve">M2826101479</t>
  </si>
  <si>
    <t xml:space="preserve">M2826101480</t>
  </si>
  <si>
    <t xml:space="preserve">M2826100602</t>
  </si>
  <si>
    <t xml:space="preserve">UTILITIES SECTION</t>
  </si>
  <si>
    <t xml:space="preserve">M2826101481</t>
  </si>
  <si>
    <t xml:space="preserve">UTILITIES/ENGINEERING CHIEF</t>
  </si>
  <si>
    <t xml:space="preserve">1169</t>
  </si>
  <si>
    <t xml:space="preserve">M2826101482</t>
  </si>
  <si>
    <t xml:space="preserve">REFRIGERATION MECHANIC</t>
  </si>
  <si>
    <t xml:space="preserve">1161</t>
  </si>
  <si>
    <t xml:space="preserve">M2826101484</t>
  </si>
  <si>
    <t xml:space="preserve">ELECTRICAL EQUIPMENT REPAIR TECHNICIAN</t>
  </si>
  <si>
    <t xml:space="preserve">1142</t>
  </si>
  <si>
    <t xml:space="preserve">M2826101488</t>
  </si>
  <si>
    <t xml:space="preserve">ELECTRICIAN</t>
  </si>
  <si>
    <t xml:space="preserve">1141</t>
  </si>
  <si>
    <t xml:space="preserve">M2826101489</t>
  </si>
  <si>
    <t xml:space="preserve">M2826101064</t>
  </si>
  <si>
    <t xml:space="preserve">CHAPLAIN SECTION</t>
  </si>
  <si>
    <t xml:space="preserve">M2826101065</t>
  </si>
  <si>
    <t xml:space="preserve">SUPV CHAPLAIN</t>
  </si>
  <si>
    <t xml:space="preserve">4100</t>
  </si>
  <si>
    <t xml:space="preserve">M2826101066</t>
  </si>
  <si>
    <t xml:space="preserve">REL PROG SPEC</t>
  </si>
  <si>
    <t xml:space="preserve">RP2</t>
  </si>
  <si>
    <t xml:space="preserve">A17A</t>
  </si>
  <si>
    <t xml:space="preserve">M2826101067</t>
  </si>
  <si>
    <t xml:space="preserve">PREVENTIVE MED SECTION</t>
  </si>
  <si>
    <t xml:space="preserve">M2826101578</t>
  </si>
  <si>
    <t xml:space="preserve">INTERNIST</t>
  </si>
  <si>
    <t xml:space="preserve">M2826101579</t>
  </si>
  <si>
    <t xml:space="preserve">ENVR HLT OFF</t>
  </si>
  <si>
    <t xml:space="preserve">M2826101070</t>
  </si>
  <si>
    <t xml:space="preserve">M2826101071</t>
  </si>
  <si>
    <t xml:space="preserve">M2826101072</t>
  </si>
  <si>
    <t xml:space="preserve">M2826101073</t>
  </si>
  <si>
    <t xml:space="preserve">ENTOMOLOGIST</t>
  </si>
  <si>
    <t xml:space="preserve">M2826101580</t>
  </si>
  <si>
    <t xml:space="preserve">M2826101075</t>
  </si>
  <si>
    <t xml:space="preserve">M2826101076</t>
  </si>
  <si>
    <t xml:space="preserve">PREV MED TECH</t>
  </si>
  <si>
    <t xml:space="preserve">L12A</t>
  </si>
  <si>
    <t xml:space="preserve">M2826101077</t>
  </si>
  <si>
    <t xml:space="preserve">M2826101078</t>
  </si>
  <si>
    <t xml:space="preserve">M2826101079</t>
  </si>
  <si>
    <t xml:space="preserve">MT</t>
  </si>
  <si>
    <t xml:space="preserve">M29494</t>
  </si>
  <si>
    <t xml:space="preserve">1CV</t>
  </si>
  <si>
    <t xml:space="preserve">M2826101080</t>
  </si>
  <si>
    <t xml:space="preserve">M2826101081</t>
  </si>
  <si>
    <t xml:space="preserve">M2826101082</t>
  </si>
  <si>
    <t xml:space="preserve">M2826101083</t>
  </si>
  <si>
    <t xml:space="preserve">M2826101084</t>
  </si>
  <si>
    <t xml:space="preserve">M2826101085</t>
  </si>
  <si>
    <t xml:space="preserve">M2826101087</t>
  </si>
  <si>
    <t xml:space="preserve">M2826101088</t>
  </si>
  <si>
    <t xml:space="preserve">M2826101089</t>
  </si>
  <si>
    <t xml:space="preserve">M2826101090</t>
  </si>
  <si>
    <t xml:space="preserve">M2826101091</t>
  </si>
  <si>
    <t xml:space="preserve">M2826101092</t>
  </si>
  <si>
    <t xml:space="preserve">M2826101093</t>
  </si>
  <si>
    <t xml:space="preserve">M2826101094</t>
  </si>
  <si>
    <t xml:space="preserve">M2826101095</t>
  </si>
  <si>
    <t xml:space="preserve">M2826101096</t>
  </si>
  <si>
    <t xml:space="preserve">M2826101097</t>
  </si>
  <si>
    <t xml:space="preserve">M2826101098</t>
  </si>
  <si>
    <t xml:space="preserve">M2826101099</t>
  </si>
  <si>
    <t xml:space="preserve">M2826101100</t>
  </si>
  <si>
    <t xml:space="preserve">COMBAT STRESS PLATOON</t>
  </si>
  <si>
    <t xml:space="preserve">M2826101101</t>
  </si>
  <si>
    <t xml:space="preserve">TEAM 1</t>
  </si>
  <si>
    <t xml:space="preserve">M2826101581</t>
  </si>
  <si>
    <t xml:space="preserve">PSYCHIATRIST</t>
  </si>
  <si>
    <t xml:space="preserve">M2826101582</t>
  </si>
  <si>
    <t xml:space="preserve">CLIN PSYCH</t>
  </si>
  <si>
    <t xml:space="preserve">M2826101594</t>
  </si>
  <si>
    <t xml:space="preserve">M2826101600</t>
  </si>
  <si>
    <t xml:space="preserve">BEHAVIORAL HLTH TECH</t>
  </si>
  <si>
    <t xml:space="preserve">L24A</t>
  </si>
  <si>
    <t xml:space="preserve">M2826101601</t>
  </si>
  <si>
    <t xml:space="preserve">M2826101602</t>
  </si>
  <si>
    <t xml:space="preserve">M2826101108</t>
  </si>
  <si>
    <t xml:space="preserve">TEAM 2</t>
  </si>
  <si>
    <t xml:space="preserve">M2826101584</t>
  </si>
  <si>
    <t xml:space="preserve">M2826101603</t>
  </si>
  <si>
    <t xml:space="preserve">M2826101593</t>
  </si>
  <si>
    <t xml:space="preserve">M2826101604</t>
  </si>
  <si>
    <t xml:space="preserve">M2826101605</t>
  </si>
  <si>
    <t xml:space="preserve">M2826101606</t>
  </si>
  <si>
    <t xml:space="preserve">M2826101115</t>
  </si>
  <si>
    <t xml:space="preserve">TEAM 3</t>
  </si>
  <si>
    <t xml:space="preserve">M2826101116</t>
  </si>
  <si>
    <t xml:space="preserve">M2826101117</t>
  </si>
  <si>
    <t xml:space="preserve">M2826101118</t>
  </si>
  <si>
    <t xml:space="preserve">M2826101119</t>
  </si>
  <si>
    <t xml:space="preserve">M2826101120</t>
  </si>
  <si>
    <t xml:space="preserve">M2826101121</t>
  </si>
  <si>
    <t xml:space="preserve">M2826101405</t>
  </si>
  <si>
    <t xml:space="preserve">PHARMACY PLATOON</t>
  </si>
  <si>
    <t xml:space="preserve">M2826101406</t>
  </si>
  <si>
    <t xml:space="preserve">PHARMACY DET 1</t>
  </si>
  <si>
    <t xml:space="preserve">M2826101407</t>
  </si>
  <si>
    <t xml:space="preserve">PHARM TECH</t>
  </si>
  <si>
    <t xml:space="preserve">L22A</t>
  </si>
  <si>
    <t xml:space="preserve">M2826101408</t>
  </si>
  <si>
    <t xml:space="preserve">M2826101409</t>
  </si>
  <si>
    <t xml:space="preserve">M2826101410</t>
  </si>
  <si>
    <t xml:space="preserve">PHARMACY DET 2</t>
  </si>
  <si>
    <t xml:space="preserve">M2826101411</t>
  </si>
  <si>
    <t xml:space="preserve">M2826101412</t>
  </si>
  <si>
    <t xml:space="preserve">M2826101413</t>
  </si>
  <si>
    <t xml:space="preserve">M2826101492</t>
  </si>
  <si>
    <t xml:space="preserve">BLOOD BANK SECTION</t>
  </si>
  <si>
    <t xml:space="preserve">M2826101596</t>
  </si>
  <si>
    <t xml:space="preserve">LABORATORY OFFICER</t>
  </si>
  <si>
    <t xml:space="preserve">M2826101494</t>
  </si>
  <si>
    <t xml:space="preserve">M2826101495</t>
  </si>
  <si>
    <t xml:space="preserve">M2826101607</t>
  </si>
  <si>
    <t xml:space="preserve">MED LAB TECH</t>
  </si>
  <si>
    <t xml:space="preserve">L31A</t>
  </si>
  <si>
    <t xml:space="preserve">M2826101497</t>
  </si>
  <si>
    <t xml:space="preserve">M2826101498</t>
  </si>
  <si>
    <t xml:space="preserve">M2826101122</t>
  </si>
  <si>
    <t xml:space="preserve">SURGICAL PLATOON 1 (GS CLR)</t>
  </si>
  <si>
    <t xml:space="preserve">M2826101151</t>
  </si>
  <si>
    <t xml:space="preserve">FRSS TEAM 1</t>
  </si>
  <si>
    <t xml:space="preserve">M2826101533</t>
  </si>
  <si>
    <t xml:space="preserve">GEN SGN</t>
  </si>
  <si>
    <t xml:space="preserve">M2826101534</t>
  </si>
  <si>
    <t xml:space="preserve">ORTHOPEDIC SGN</t>
  </si>
  <si>
    <t xml:space="preserve">M2826101535</t>
  </si>
  <si>
    <t xml:space="preserve">ANESTHESIOLOGIST</t>
  </si>
  <si>
    <t xml:space="preserve">M2826101536</t>
  </si>
  <si>
    <t xml:space="preserve">CC NRS</t>
  </si>
  <si>
    <t xml:space="preserve">M2826101537</t>
  </si>
  <si>
    <t xml:space="preserve">SURFACE IDC</t>
  </si>
  <si>
    <t xml:space="preserve">L10A</t>
  </si>
  <si>
    <t xml:space="preserve">M2826101157</t>
  </si>
  <si>
    <t xml:space="preserve">SURG TECH</t>
  </si>
  <si>
    <t xml:space="preserve">L23A</t>
  </si>
  <si>
    <t xml:space="preserve">M2826101158</t>
  </si>
  <si>
    <t xml:space="preserve">M2826101159</t>
  </si>
  <si>
    <t xml:space="preserve">M2826101178</t>
  </si>
  <si>
    <t xml:space="preserve">SHOCK TRAUMA PLATOON 1</t>
  </si>
  <si>
    <t xml:space="preserve">M2826101179</t>
  </si>
  <si>
    <t xml:space="preserve">STABILIZATION SECTION (A)</t>
  </si>
  <si>
    <t xml:space="preserve">M2826101538</t>
  </si>
  <si>
    <t xml:space="preserve">EMERG MED SPEC</t>
  </si>
  <si>
    <t xml:space="preserve">M2826101539</t>
  </si>
  <si>
    <t xml:space="preserve">M2826101540</t>
  </si>
  <si>
    <t xml:space="preserve">PHYSICIAN ASST</t>
  </si>
  <si>
    <t xml:space="preserve">M2826101183</t>
  </si>
  <si>
    <t xml:space="preserve">M2826101184</t>
  </si>
  <si>
    <t xml:space="preserve">M2826101541</t>
  </si>
  <si>
    <t xml:space="preserve">M2826101188</t>
  </si>
  <si>
    <t xml:space="preserve">M2826101186</t>
  </si>
  <si>
    <t xml:space="preserve">M2826101187</t>
  </si>
  <si>
    <t xml:space="preserve">M2826101189</t>
  </si>
  <si>
    <t xml:space="preserve">M2826101268</t>
  </si>
  <si>
    <t xml:space="preserve">COLLECTING/EVAC SECTION (A)</t>
  </si>
  <si>
    <t xml:space="preserve">M2826101542</t>
  </si>
  <si>
    <t xml:space="preserve">EMERG-TRAUMA NRS</t>
  </si>
  <si>
    <t xml:space="preserve">M2826101270</t>
  </si>
  <si>
    <t xml:space="preserve">M2826101543</t>
  </si>
  <si>
    <t xml:space="preserve">M2826101544</t>
  </si>
  <si>
    <t xml:space="preserve">M2826101273</t>
  </si>
  <si>
    <t xml:space="preserve">M2826101274</t>
  </si>
  <si>
    <t xml:space="preserve">M2826101275</t>
  </si>
  <si>
    <t xml:space="preserve">M2826101276</t>
  </si>
  <si>
    <t xml:space="preserve">M2826101278</t>
  </si>
  <si>
    <t xml:space="preserve">ERCS TEAM 1</t>
  </si>
  <si>
    <t xml:space="preserve">M2826101545</t>
  </si>
  <si>
    <t xml:space="preserve">M2826101280</t>
  </si>
  <si>
    <t xml:space="preserve">M2826101415</t>
  </si>
  <si>
    <t xml:space="preserve">RADIOLOGY SECTION 1</t>
  </si>
  <si>
    <t xml:space="preserve">M2826101416</t>
  </si>
  <si>
    <t xml:space="preserve">ADV X-RAY</t>
  </si>
  <si>
    <t xml:space="preserve">L17A</t>
  </si>
  <si>
    <t xml:space="preserve">M2826101417</t>
  </si>
  <si>
    <t xml:space="preserve">M2826101546</t>
  </si>
  <si>
    <t xml:space="preserve">M2826101499</t>
  </si>
  <si>
    <t xml:space="preserve">LABORATORY SECTION 1</t>
  </si>
  <si>
    <t xml:space="preserve">M2826101547</t>
  </si>
  <si>
    <t xml:space="preserve">M2826101548</t>
  </si>
  <si>
    <t xml:space="preserve">M2826101549</t>
  </si>
  <si>
    <t xml:space="preserve">M2826101503</t>
  </si>
  <si>
    <t xml:space="preserve">HOLDING WARD SECTION 1</t>
  </si>
  <si>
    <t xml:space="preserve">M2826101550</t>
  </si>
  <si>
    <t xml:space="preserve">FAM PHYS</t>
  </si>
  <si>
    <t xml:space="preserve">M2826101551</t>
  </si>
  <si>
    <t xml:space="preserve">M2826101552</t>
  </si>
  <si>
    <t xml:space="preserve">PROF REG NRS</t>
  </si>
  <si>
    <t xml:space="preserve">M2826101553</t>
  </si>
  <si>
    <t xml:space="preserve">M2826101555</t>
  </si>
  <si>
    <t xml:space="preserve">M2826101554</t>
  </si>
  <si>
    <t xml:space="preserve">M2826101560</t>
  </si>
  <si>
    <t xml:space="preserve">M2826101557</t>
  </si>
  <si>
    <t xml:space="preserve">M2826101558</t>
  </si>
  <si>
    <t xml:space="preserve">M2826101559</t>
  </si>
  <si>
    <t xml:space="preserve">M2826101561</t>
  </si>
  <si>
    <t xml:space="preserve">M2826101490</t>
  </si>
  <si>
    <t xml:space="preserve">SURGICAL PLATOON 2 (DS CLR)</t>
  </si>
  <si>
    <t xml:space="preserve">M2826101160</t>
  </si>
  <si>
    <t xml:space="preserve">FRSS TEAM 2</t>
  </si>
  <si>
    <t xml:space="preserve">M2826101161</t>
  </si>
  <si>
    <t xml:space="preserve">M2826101162</t>
  </si>
  <si>
    <t xml:space="preserve">M2826101163</t>
  </si>
  <si>
    <t xml:space="preserve">M2826101164</t>
  </si>
  <si>
    <t xml:space="preserve">M2826101562</t>
  </si>
  <si>
    <t xml:space="preserve">M2826101563</t>
  </si>
  <si>
    <t xml:space="preserve">M2826101564</t>
  </si>
  <si>
    <t xml:space="preserve">M2826101565</t>
  </si>
  <si>
    <t xml:space="preserve">M2826101219</t>
  </si>
  <si>
    <t xml:space="preserve">SHOCK TRAUMA PLATOON 2</t>
  </si>
  <si>
    <t xml:space="preserve">M2826101220</t>
  </si>
  <si>
    <t xml:space="preserve">STABILIZATION SECTION (B)</t>
  </si>
  <si>
    <t xml:space="preserve">M2826101221</t>
  </si>
  <si>
    <t xml:space="preserve">M2826101222</t>
  </si>
  <si>
    <t xml:space="preserve">M2826101223</t>
  </si>
  <si>
    <t xml:space="preserve">M2826101224</t>
  </si>
  <si>
    <t xml:space="preserve">M2826101566</t>
  </si>
  <si>
    <t xml:space="preserve">M2826101567</t>
  </si>
  <si>
    <t xml:space="preserve">M2826101568</t>
  </si>
  <si>
    <t xml:space="preserve">M2826101569</t>
  </si>
  <si>
    <t xml:space="preserve">M2826101570</t>
  </si>
  <si>
    <t xml:space="preserve">M2826101571</t>
  </si>
  <si>
    <t xml:space="preserve">M2826101190</t>
  </si>
  <si>
    <t xml:space="preserve">COLLECTING/EVAC SECTION (B)</t>
  </si>
  <si>
    <t xml:space="preserve">M2826101191</t>
  </si>
  <si>
    <t xml:space="preserve">M2826101572</t>
  </si>
  <si>
    <t xml:space="preserve">M2826101193</t>
  </si>
  <si>
    <t xml:space="preserve">M2826101185</t>
  </si>
  <si>
    <t xml:space="preserve">M2826101194</t>
  </si>
  <si>
    <t xml:space="preserve">M2826101573</t>
  </si>
  <si>
    <t xml:space="preserve">M2826101574</t>
  </si>
  <si>
    <t xml:space="preserve">M2826101575</t>
  </si>
  <si>
    <t xml:space="preserve">M2826101281</t>
  </si>
  <si>
    <t xml:space="preserve">ERCS TEAM 2</t>
  </si>
  <si>
    <t xml:space="preserve">M2826101282</t>
  </si>
  <si>
    <t xml:space="preserve">M2826101576</t>
  </si>
  <si>
    <t xml:space="preserve">M2826101419</t>
  </si>
  <si>
    <t xml:space="preserve">RADIOLOGY SECTION 2</t>
  </si>
  <si>
    <t xml:space="preserve">M2826101420</t>
  </si>
  <si>
    <t xml:space="preserve">M2826101577</t>
  </si>
  <si>
    <t xml:space="preserve">M2826101422</t>
  </si>
  <si>
    <t xml:space="preserve">M2826101515</t>
  </si>
  <si>
    <t xml:space="preserve">M2826101516</t>
  </si>
  <si>
    <t xml:space="preserve">M2826101517</t>
  </si>
  <si>
    <t xml:space="preserve">M2826101518</t>
  </si>
  <si>
    <t xml:space="preserve">M2826101519</t>
  </si>
  <si>
    <t xml:space="preserve">M2826101520</t>
  </si>
  <si>
    <t xml:space="preserve">M2826101521</t>
  </si>
  <si>
    <t xml:space="preserve">M2826101522</t>
  </si>
  <si>
    <t xml:space="preserve">M2826101523</t>
  </si>
  <si>
    <t xml:space="preserve">M2826101524</t>
  </si>
  <si>
    <t xml:space="preserve">M2826101525</t>
  </si>
  <si>
    <t xml:space="preserve">M2826101526</t>
  </si>
  <si>
    <t xml:space="preserve">M2826101527</t>
  </si>
  <si>
    <t xml:space="preserve">M2826101528</t>
  </si>
  <si>
    <t xml:space="preserve">M2826101529</t>
  </si>
  <si>
    <t xml:space="preserve">M2826101530</t>
  </si>
  <si>
    <t xml:space="preserve">M2826300392</t>
  </si>
  <si>
    <t xml:space="preserve">HEADQUARTERS PLATOON</t>
  </si>
  <si>
    <t xml:space="preserve">M2826300648</t>
  </si>
  <si>
    <t xml:space="preserve">M2826300394</t>
  </si>
  <si>
    <t xml:space="preserve">M2826300649</t>
  </si>
  <si>
    <t xml:space="preserve">DIRECTOR HEALTH SERVICES/PROGRAM/GEN SURGEON</t>
  </si>
  <si>
    <t xml:space="preserve">M2826300396</t>
  </si>
  <si>
    <t xml:space="preserve">M2826300397</t>
  </si>
  <si>
    <t xml:space="preserve">M2826300650</t>
  </si>
  <si>
    <t xml:space="preserve">M2826300651</t>
  </si>
  <si>
    <t xml:space="preserve">M29491</t>
  </si>
  <si>
    <t xml:space="preserve">M2826300400</t>
  </si>
  <si>
    <t xml:space="preserve">M2826300401</t>
  </si>
  <si>
    <t xml:space="preserve">OPERATIONS OFFICER</t>
  </si>
  <si>
    <t xml:space="preserve">M2826300402</t>
  </si>
  <si>
    <t xml:space="preserve">M2826300403</t>
  </si>
  <si>
    <t xml:space="preserve">M2826300404</t>
  </si>
  <si>
    <t xml:space="preserve">M2826300405</t>
  </si>
  <si>
    <t xml:space="preserve">M2826300406</t>
  </si>
  <si>
    <t xml:space="preserve">M2826300407</t>
  </si>
  <si>
    <t xml:space="preserve">M2826300408</t>
  </si>
  <si>
    <t xml:space="preserve">M2826300409</t>
  </si>
  <si>
    <t xml:space="preserve">M2826300410</t>
  </si>
  <si>
    <t xml:space="preserve">M2826300652</t>
  </si>
  <si>
    <t xml:space="preserve">LOGISTICS OFFICER</t>
  </si>
  <si>
    <t xml:space="preserve">M2826300412</t>
  </si>
  <si>
    <t xml:space="preserve">M2826300413</t>
  </si>
  <si>
    <t xml:space="preserve">M2826300414</t>
  </si>
  <si>
    <t xml:space="preserve">M2826300415</t>
  </si>
  <si>
    <t xml:space="preserve">M2826300416</t>
  </si>
  <si>
    <t xml:space="preserve">M2826300417</t>
  </si>
  <si>
    <t xml:space="preserve">M2826300544</t>
  </si>
  <si>
    <t xml:space="preserve">SUPPLY CLERK</t>
  </si>
  <si>
    <t xml:space="preserve">M2826300545</t>
  </si>
  <si>
    <t xml:space="preserve">ENGINEER CHIEF</t>
  </si>
  <si>
    <t xml:space="preserve">1171</t>
  </si>
  <si>
    <t xml:space="preserve">M2826300546</t>
  </si>
  <si>
    <t xml:space="preserve">HYGIENE EQUIPMENT OPERATOR</t>
  </si>
  <si>
    <t xml:space="preserve">M2826300547</t>
  </si>
  <si>
    <t xml:space="preserve">M2826300548</t>
  </si>
  <si>
    <t xml:space="preserve">M2826300549</t>
  </si>
  <si>
    <t xml:space="preserve">M2826300550</t>
  </si>
  <si>
    <t xml:space="preserve">M2826300455</t>
  </si>
  <si>
    <t xml:space="preserve">AMBULANCE PLATOON</t>
  </si>
  <si>
    <t xml:space="preserve">M2826300456</t>
  </si>
  <si>
    <t xml:space="preserve">AMBULANCE DET 1</t>
  </si>
  <si>
    <t xml:space="preserve">M2826300653</t>
  </si>
  <si>
    <t xml:space="preserve">M2826300458</t>
  </si>
  <si>
    <t xml:space="preserve">M2826300536</t>
  </si>
  <si>
    <t xml:space="preserve">M2826300537</t>
  </si>
  <si>
    <t xml:space="preserve">M2826300538</t>
  </si>
  <si>
    <t xml:space="preserve">M2826300539</t>
  </si>
  <si>
    <t xml:space="preserve">M2826300459</t>
  </si>
  <si>
    <t xml:space="preserve">AMBULANCE DET 2</t>
  </si>
  <si>
    <t xml:space="preserve">M2826300654</t>
  </si>
  <si>
    <t xml:space="preserve">M2826300461</t>
  </si>
  <si>
    <t xml:space="preserve">M2826300540</t>
  </si>
  <si>
    <t xml:space="preserve">M2826300541</t>
  </si>
  <si>
    <t xml:space="preserve">M2826300542</t>
  </si>
  <si>
    <t xml:space="preserve">M2826300543</t>
  </si>
  <si>
    <t xml:space="preserve">M2826300552</t>
  </si>
  <si>
    <t xml:space="preserve">SURGICAL PLATOON 1</t>
  </si>
  <si>
    <t xml:space="preserve">M2826300419</t>
  </si>
  <si>
    <t xml:space="preserve">FRSS 1</t>
  </si>
  <si>
    <t xml:space="preserve">M2826300420</t>
  </si>
  <si>
    <t xml:space="preserve">M2826300655</t>
  </si>
  <si>
    <t xml:space="preserve">M2826300422</t>
  </si>
  <si>
    <t xml:space="preserve">M2826300656</t>
  </si>
  <si>
    <t xml:space="preserve">M2826300424</t>
  </si>
  <si>
    <t xml:space="preserve">M2826300425</t>
  </si>
  <si>
    <t xml:space="preserve">M2826300426</t>
  </si>
  <si>
    <t xml:space="preserve">M2826300427</t>
  </si>
  <si>
    <t xml:space="preserve">M2826300472</t>
  </si>
  <si>
    <t xml:space="preserve">M2826300473</t>
  </si>
  <si>
    <t xml:space="preserve">M2826300657</t>
  </si>
  <si>
    <t xml:space="preserve">M2826300658</t>
  </si>
  <si>
    <t xml:space="preserve">M2826300659</t>
  </si>
  <si>
    <t xml:space="preserve">M2826300660</t>
  </si>
  <si>
    <t xml:space="preserve">M2826300478</t>
  </si>
  <si>
    <t xml:space="preserve">M2826300661</t>
  </si>
  <si>
    <t xml:space="preserve">M2826300662</t>
  </si>
  <si>
    <t xml:space="preserve">M2826300481</t>
  </si>
  <si>
    <t xml:space="preserve">M2826300482</t>
  </si>
  <si>
    <t xml:space="preserve">M2826300483</t>
  </si>
  <si>
    <t xml:space="preserve">M2826300484</t>
  </si>
  <si>
    <t xml:space="preserve">M2826300663</t>
  </si>
  <si>
    <t xml:space="preserve">M2826300486</t>
  </si>
  <si>
    <t xml:space="preserve">M2826300487</t>
  </si>
  <si>
    <t xml:space="preserve">M2826300664</t>
  </si>
  <si>
    <t xml:space="preserve">M2826300665</t>
  </si>
  <si>
    <t xml:space="preserve">M2826300666</t>
  </si>
  <si>
    <t xml:space="preserve">M2826300491</t>
  </si>
  <si>
    <t xml:space="preserve">M2826300492</t>
  </si>
  <si>
    <t xml:space="preserve">M2826300463</t>
  </si>
  <si>
    <t xml:space="preserve">M2826300667</t>
  </si>
  <si>
    <t xml:space="preserve">M2826300668</t>
  </si>
  <si>
    <t xml:space="preserve">SAR TECH</t>
  </si>
  <si>
    <t xml:space="preserve">L00A</t>
  </si>
  <si>
    <t xml:space="preserve">M2826300447</t>
  </si>
  <si>
    <t xml:space="preserve">M2826300448</t>
  </si>
  <si>
    <t xml:space="preserve">M2826300449</t>
  </si>
  <si>
    <t xml:space="preserve">M2826300669</t>
  </si>
  <si>
    <t xml:space="preserve">M2826300555</t>
  </si>
  <si>
    <t xml:space="preserve">M2826300561</t>
  </si>
  <si>
    <t xml:space="preserve">M2826300562</t>
  </si>
  <si>
    <t xml:space="preserve">M2826300563</t>
  </si>
  <si>
    <t xml:space="preserve">M2826300556</t>
  </si>
  <si>
    <t xml:space="preserve">M2826300670</t>
  </si>
  <si>
    <t xml:space="preserve">M2826300671</t>
  </si>
  <si>
    <t xml:space="preserve">M2826300672</t>
  </si>
  <si>
    <t xml:space="preserve">M2826300673</t>
  </si>
  <si>
    <t xml:space="preserve">M2826300600</t>
  </si>
  <si>
    <t xml:space="preserve">M2826300674</t>
  </si>
  <si>
    <t xml:space="preserve">M2826300604</t>
  </si>
  <si>
    <t xml:space="preserve">M2826300605</t>
  </si>
  <si>
    <t xml:space="preserve">M2826300606</t>
  </si>
  <si>
    <t xml:space="preserve">M2826300607</t>
  </si>
  <si>
    <t xml:space="preserve">M2826300608</t>
  </si>
  <si>
    <t xml:space="preserve">M2826300609</t>
  </si>
  <si>
    <t xml:space="preserve">SURGICAL PLATOON 2</t>
  </si>
  <si>
    <t xml:space="preserve">M2826300428</t>
  </si>
  <si>
    <t xml:space="preserve">FRSS 2</t>
  </si>
  <si>
    <t xml:space="preserve">M2826300429</t>
  </si>
  <si>
    <t xml:space="preserve">M2826300696</t>
  </si>
  <si>
    <t xml:space="preserve">M2826300431</t>
  </si>
  <si>
    <t xml:space="preserve">M2826300697</t>
  </si>
  <si>
    <t xml:space="preserve">M2826300433</t>
  </si>
  <si>
    <t xml:space="preserve">M2826300434</t>
  </si>
  <si>
    <t xml:space="preserve">M2826300435</t>
  </si>
  <si>
    <t xml:space="preserve">M2826300436</t>
  </si>
  <si>
    <t xml:space="preserve">M2826300493</t>
  </si>
  <si>
    <t xml:space="preserve">M2826300494</t>
  </si>
  <si>
    <t xml:space="preserve">M2826300698</t>
  </si>
  <si>
    <t xml:space="preserve">M2826300699</t>
  </si>
  <si>
    <t xml:space="preserve">M2826300700</t>
  </si>
  <si>
    <t xml:space="preserve">M2826300701</t>
  </si>
  <si>
    <t xml:space="preserve">M2826300499</t>
  </si>
  <si>
    <t xml:space="preserve">M2826300702</t>
  </si>
  <si>
    <t xml:space="preserve">M2826300703</t>
  </si>
  <si>
    <t xml:space="preserve">M2826300502</t>
  </si>
  <si>
    <t xml:space="preserve">M2826300503</t>
  </si>
  <si>
    <t xml:space="preserve">M2826300504</t>
  </si>
  <si>
    <t xml:space="preserve">M2826300505</t>
  </si>
  <si>
    <t xml:space="preserve">M2826300704</t>
  </si>
  <si>
    <t xml:space="preserve">M2826300705</t>
  </si>
  <si>
    <t xml:space="preserve">M2826300508</t>
  </si>
  <si>
    <t xml:space="preserve">M2826300706</t>
  </si>
  <si>
    <t xml:space="preserve">M2826300707</t>
  </si>
  <si>
    <t xml:space="preserve">M2826300511</t>
  </si>
  <si>
    <t xml:space="preserve">M2826300512</t>
  </si>
  <si>
    <t xml:space="preserve">M2826300513</t>
  </si>
  <si>
    <t xml:space="preserve">M2826300466</t>
  </si>
  <si>
    <t xml:space="preserve">M2826300708</t>
  </si>
  <si>
    <t xml:space="preserve">M2826300647</t>
  </si>
  <si>
    <t xml:space="preserve">M2826300451</t>
  </si>
  <si>
    <t xml:space="preserve">M2826300452</t>
  </si>
  <si>
    <t xml:space="preserve">M2826300453</t>
  </si>
  <si>
    <t xml:space="preserve">M2826300716</t>
  </si>
  <si>
    <t xml:space="preserve">M2826300615</t>
  </si>
  <si>
    <t xml:space="preserve">LABORATORY SECTION 2</t>
  </si>
  <si>
    <t xml:space="preserve">M2826300616</t>
  </si>
  <si>
    <t xml:space="preserve">M2826300617</t>
  </si>
  <si>
    <t xml:space="preserve">M2826300618</t>
  </si>
  <si>
    <t xml:space="preserve">M2826300619</t>
  </si>
  <si>
    <t xml:space="preserve">HOLDING WARD SECTION 2</t>
  </si>
  <si>
    <t xml:space="preserve">M2826300711</t>
  </si>
  <si>
    <t xml:space="preserve">M2826300712</t>
  </si>
  <si>
    <t xml:space="preserve">M2826300713</t>
  </si>
  <si>
    <t xml:space="preserve">M2826300714</t>
  </si>
  <si>
    <t xml:space="preserve">M2826300624</t>
  </si>
  <si>
    <t xml:space="preserve">M2826300715</t>
  </si>
  <si>
    <t xml:space="preserve">M2826300626</t>
  </si>
  <si>
    <t xml:space="preserve">M2826300627</t>
  </si>
  <si>
    <t xml:space="preserve">M2826300628</t>
  </si>
  <si>
    <t xml:space="preserve">M2826300629</t>
  </si>
  <si>
    <t xml:space="preserve">M2826300630</t>
  </si>
  <si>
    <t xml:space="preserve">M2826300610</t>
  </si>
  <si>
    <t xml:space="preserve">SURGICAL PLATOON 3</t>
  </si>
  <si>
    <t xml:space="preserve">M2826300437</t>
  </si>
  <si>
    <t xml:space="preserve">FRSS 3</t>
  </si>
  <si>
    <t xml:space="preserve">M2826300675</t>
  </si>
  <si>
    <t xml:space="preserve">M2826300676</t>
  </si>
  <si>
    <t xml:space="preserve">M2826300677</t>
  </si>
  <si>
    <t xml:space="preserve">M2826300678</t>
  </si>
  <si>
    <t xml:space="preserve">M2826300442</t>
  </si>
  <si>
    <t xml:space="preserve">M2826300443</t>
  </si>
  <si>
    <t xml:space="preserve">M2826300444</t>
  </si>
  <si>
    <t xml:space="preserve">M2826300445</t>
  </si>
  <si>
    <t xml:space="preserve">M2826300514</t>
  </si>
  <si>
    <t xml:space="preserve">SHOCK TRAUMA PLATOON 3</t>
  </si>
  <si>
    <t xml:space="preserve">M2826300515</t>
  </si>
  <si>
    <t xml:space="preserve">STABILIZATION SECTION (C)</t>
  </si>
  <si>
    <t xml:space="preserve">M2826300679</t>
  </si>
  <si>
    <t xml:space="preserve">M2826300680</t>
  </si>
  <si>
    <t xml:space="preserve">M2826300681</t>
  </si>
  <si>
    <t xml:space="preserve">M2826300682</t>
  </si>
  <si>
    <t xml:space="preserve">M2826300520</t>
  </si>
  <si>
    <t xml:space="preserve">M2826300683</t>
  </si>
  <si>
    <t xml:space="preserve">M2826300684</t>
  </si>
  <si>
    <t xml:space="preserve">M2826300523</t>
  </si>
  <si>
    <t xml:space="preserve">M2826300524</t>
  </si>
  <si>
    <t xml:space="preserve">M2826300525</t>
  </si>
  <si>
    <t xml:space="preserve">M2826300526</t>
  </si>
  <si>
    <t xml:space="preserve">COLLECTING/EVAC SECTION (C)</t>
  </si>
  <si>
    <t xml:space="preserve">M2826300685</t>
  </si>
  <si>
    <t xml:space="preserve">M2826300528</t>
  </si>
  <si>
    <t xml:space="preserve">M2826300686</t>
  </si>
  <si>
    <t xml:space="preserve">M2826300530</t>
  </si>
  <si>
    <t xml:space="preserve">M2826300687</t>
  </si>
  <si>
    <t xml:space="preserve">M2826300532</t>
  </si>
  <si>
    <t xml:space="preserve">M2826300533</t>
  </si>
  <si>
    <t xml:space="preserve">M2826300534</t>
  </si>
  <si>
    <t xml:space="preserve">M2826300469</t>
  </si>
  <si>
    <t xml:space="preserve">ERCS TEAM 3</t>
  </si>
  <si>
    <t xml:space="preserve">M2826300688</t>
  </si>
  <si>
    <t xml:space="preserve">M2826300689</t>
  </si>
  <si>
    <t xml:space="preserve">M2826300611</t>
  </si>
  <si>
    <t xml:space="preserve">M2826300612</t>
  </si>
  <si>
    <t xml:space="preserve">M2826300613</t>
  </si>
  <si>
    <t xml:space="preserve">M2826300690</t>
  </si>
  <si>
    <t xml:space="preserve">M2826300643</t>
  </si>
  <si>
    <t xml:space="preserve">LABORATORY SECTION 3</t>
  </si>
  <si>
    <t xml:space="preserve">M2826300644</t>
  </si>
  <si>
    <t xml:space="preserve">M2826300645</t>
  </si>
  <si>
    <t xml:space="preserve">M2826300646</t>
  </si>
  <si>
    <t xml:space="preserve">M2826300631</t>
  </si>
  <si>
    <t xml:space="preserve">HOLDING WARD SECTION 3</t>
  </si>
  <si>
    <t xml:space="preserve">M2826300691</t>
  </si>
  <si>
    <t xml:space="preserve">M2826300692</t>
  </si>
  <si>
    <t xml:space="preserve">M2826300693</t>
  </si>
  <si>
    <t xml:space="preserve">M2826300694</t>
  </si>
  <si>
    <t xml:space="preserve">M2826300636</t>
  </si>
  <si>
    <t xml:space="preserve">M2826300695</t>
  </si>
  <si>
    <t xml:space="preserve">M2826300638</t>
  </si>
  <si>
    <t xml:space="preserve">M2826300639</t>
  </si>
  <si>
    <t xml:space="preserve">M2826300640</t>
  </si>
  <si>
    <t xml:space="preserve">M2826300641</t>
  </si>
  <si>
    <t xml:space="preserve">M2826300642</t>
  </si>
  <si>
    <t xml:space="preserve">M2826200392</t>
  </si>
  <si>
    <t xml:space="preserve">M2826200648</t>
  </si>
  <si>
    <t xml:space="preserve">1CU</t>
  </si>
  <si>
    <t xml:space="preserve">M2826200394</t>
  </si>
  <si>
    <t xml:space="preserve">M2826200395</t>
  </si>
  <si>
    <t xml:space="preserve">M2826200396</t>
  </si>
  <si>
    <t xml:space="preserve">M2826200397</t>
  </si>
  <si>
    <t xml:space="preserve">M2826200649</t>
  </si>
  <si>
    <t xml:space="preserve">M2826200650</t>
  </si>
  <si>
    <t xml:space="preserve">M2826200400</t>
  </si>
  <si>
    <t xml:space="preserve">M2826200401</t>
  </si>
  <si>
    <t xml:space="preserve">M2826200402</t>
  </si>
  <si>
    <t xml:space="preserve">M2826200403</t>
  </si>
  <si>
    <t xml:space="preserve">M2826200404</t>
  </si>
  <si>
    <t xml:space="preserve">M2826200405</t>
  </si>
  <si>
    <t xml:space="preserve">M2826200406</t>
  </si>
  <si>
    <t xml:space="preserve">M2826200407</t>
  </si>
  <si>
    <t xml:space="preserve">M2826200408</t>
  </si>
  <si>
    <t xml:space="preserve">M2826200409</t>
  </si>
  <si>
    <t xml:space="preserve">M2826200410</t>
  </si>
  <si>
    <t xml:space="preserve">M2826200651</t>
  </si>
  <si>
    <t xml:space="preserve">M2826200412</t>
  </si>
  <si>
    <t xml:space="preserve">M2826200413</t>
  </si>
  <si>
    <t xml:space="preserve">M2826200414</t>
  </si>
  <si>
    <t xml:space="preserve">M2826200415</t>
  </si>
  <si>
    <t xml:space="preserve">M2826200416</t>
  </si>
  <si>
    <t xml:space="preserve">M2826200417</t>
  </si>
  <si>
    <t xml:space="preserve">M2826200544</t>
  </si>
  <si>
    <t xml:space="preserve">M2826200545</t>
  </si>
  <si>
    <t xml:space="preserve">M2826200546</t>
  </si>
  <si>
    <t xml:space="preserve">M2826200547</t>
  </si>
  <si>
    <t xml:space="preserve">M2826200548</t>
  </si>
  <si>
    <t xml:space="preserve">M2826200549</t>
  </si>
  <si>
    <t xml:space="preserve">M2826200550</t>
  </si>
  <si>
    <t xml:space="preserve">M2826200551</t>
  </si>
  <si>
    <t xml:space="preserve">MOTOR TRANSPORT NCO</t>
  </si>
  <si>
    <t xml:space="preserve">M2826200455</t>
  </si>
  <si>
    <t xml:space="preserve">M2826200456</t>
  </si>
  <si>
    <t xml:space="preserve">M2826200652</t>
  </si>
  <si>
    <t xml:space="preserve">M2826200458</t>
  </si>
  <si>
    <t xml:space="preserve">M2826200536</t>
  </si>
  <si>
    <t xml:space="preserve">M2826200537</t>
  </si>
  <si>
    <t xml:space="preserve">M2826200538</t>
  </si>
  <si>
    <t xml:space="preserve">M2826200539</t>
  </si>
  <si>
    <t xml:space="preserve">M2826200459</t>
  </si>
  <si>
    <t xml:space="preserve">M2826200653</t>
  </si>
  <si>
    <t xml:space="preserve">M2826200461</t>
  </si>
  <si>
    <t xml:space="preserve">M2826200540</t>
  </si>
  <si>
    <t xml:space="preserve">M2826200541</t>
  </si>
  <si>
    <t xml:space="preserve">M2826200542</t>
  </si>
  <si>
    <t xml:space="preserve">M2826200543</t>
  </si>
  <si>
    <t xml:space="preserve">M2826200552</t>
  </si>
  <si>
    <t xml:space="preserve">M2826200419</t>
  </si>
  <si>
    <t xml:space="preserve">M2826200654</t>
  </si>
  <si>
    <t xml:space="preserve">M2826200421</t>
  </si>
  <si>
    <t xml:space="preserve">M2826200656</t>
  </si>
  <si>
    <t xml:space="preserve">M2826200655</t>
  </si>
  <si>
    <t xml:space="preserve">M2826200424</t>
  </si>
  <si>
    <t xml:space="preserve">M2826200425</t>
  </si>
  <si>
    <t xml:space="preserve">M2826200426</t>
  </si>
  <si>
    <t xml:space="preserve">M2826200427</t>
  </si>
  <si>
    <t xml:space="preserve">M2826200472</t>
  </si>
  <si>
    <t xml:space="preserve">M2826200473</t>
  </si>
  <si>
    <t xml:space="preserve">M2826200474</t>
  </si>
  <si>
    <t xml:space="preserve">M2826200475</t>
  </si>
  <si>
    <t xml:space="preserve">M2826200657</t>
  </si>
  <si>
    <t xml:space="preserve">M2826200658</t>
  </si>
  <si>
    <t xml:space="preserve">M2826200478</t>
  </si>
  <si>
    <t xml:space="preserve">M2826200659</t>
  </si>
  <si>
    <t xml:space="preserve">M2826200660</t>
  </si>
  <si>
    <t xml:space="preserve">M2826200481</t>
  </si>
  <si>
    <t xml:space="preserve">M2826200482</t>
  </si>
  <si>
    <t xml:space="preserve">M2826200483</t>
  </si>
  <si>
    <t xml:space="preserve">M2826200484</t>
  </si>
  <si>
    <t xml:space="preserve">M2826200661</t>
  </si>
  <si>
    <t xml:space="preserve">M2826200486</t>
  </si>
  <si>
    <t xml:space="preserve">M2826200487</t>
  </si>
  <si>
    <t xml:space="preserve">M2826200662</t>
  </si>
  <si>
    <t xml:space="preserve">M2826200663</t>
  </si>
  <si>
    <t xml:space="preserve">M2826200664</t>
  </si>
  <si>
    <t xml:space="preserve">M2826200491</t>
  </si>
  <si>
    <t xml:space="preserve">M2826200492</t>
  </si>
  <si>
    <t xml:space="preserve">M2826200463</t>
  </si>
  <si>
    <t xml:space="preserve">M2826200665</t>
  </si>
  <si>
    <t xml:space="preserve">M2826200666</t>
  </si>
  <si>
    <t xml:space="preserve">M2826200447</t>
  </si>
  <si>
    <t xml:space="preserve">M2826200448</t>
  </si>
  <si>
    <t xml:space="preserve">M2826200449</t>
  </si>
  <si>
    <t xml:space="preserve">M2826200667</t>
  </si>
  <si>
    <t xml:space="preserve">M2826200555</t>
  </si>
  <si>
    <t xml:space="preserve">M2826200561</t>
  </si>
  <si>
    <t xml:space="preserve">M2826200562</t>
  </si>
  <si>
    <t xml:space="preserve">M2826200563</t>
  </si>
  <si>
    <t xml:space="preserve">M2826200556</t>
  </si>
  <si>
    <t xml:space="preserve">M2826200596</t>
  </si>
  <si>
    <t xml:space="preserve">M2826200668</t>
  </si>
  <si>
    <t xml:space="preserve">M2826200669</t>
  </si>
  <si>
    <t xml:space="preserve">M2826200670</t>
  </si>
  <si>
    <t xml:space="preserve">M2826200600</t>
  </si>
  <si>
    <t xml:space="preserve">M2826200671</t>
  </si>
  <si>
    <t xml:space="preserve">M2826200604</t>
  </si>
  <si>
    <t xml:space="preserve">M2826200605</t>
  </si>
  <si>
    <t xml:space="preserve">M2826200606</t>
  </si>
  <si>
    <t xml:space="preserve">M2826200607</t>
  </si>
  <si>
    <t xml:space="preserve">M2826200608</t>
  </si>
  <si>
    <t xml:space="preserve">M2826200609</t>
  </si>
  <si>
    <t xml:space="preserve">M2826200428</t>
  </si>
  <si>
    <t xml:space="preserve">M2826200672</t>
  </si>
  <si>
    <t xml:space="preserve">M2826200430</t>
  </si>
  <si>
    <t xml:space="preserve">M2826200673</t>
  </si>
  <si>
    <t xml:space="preserve">M2826200674</t>
  </si>
  <si>
    <t xml:space="preserve">M2826200433</t>
  </si>
  <si>
    <t xml:space="preserve">M2826200434</t>
  </si>
  <si>
    <t xml:space="preserve">M2826200435</t>
  </si>
  <si>
    <t xml:space="preserve">M2826200436</t>
  </si>
  <si>
    <t xml:space="preserve">M2826200493</t>
  </si>
  <si>
    <t xml:space="preserve">M2826200494</t>
  </si>
  <si>
    <t xml:space="preserve">M2826200495</t>
  </si>
  <si>
    <t xml:space="preserve">M2826200496</t>
  </si>
  <si>
    <t xml:space="preserve">M2826200675</t>
  </si>
  <si>
    <t xml:space="preserve">M2826200676</t>
  </si>
  <si>
    <t xml:space="preserve">M2826200499</t>
  </si>
  <si>
    <t xml:space="preserve">M2826200677</t>
  </si>
  <si>
    <t xml:space="preserve">M2826200678</t>
  </si>
  <si>
    <t xml:space="preserve">M2826200502</t>
  </si>
  <si>
    <t xml:space="preserve">M2826200503</t>
  </si>
  <si>
    <t xml:space="preserve">M2826200504</t>
  </si>
  <si>
    <t xml:space="preserve">M2826200505</t>
  </si>
  <si>
    <t xml:space="preserve">M2826200679</t>
  </si>
  <si>
    <t xml:space="preserve">M2826200680</t>
  </si>
  <si>
    <t xml:space="preserve">M2826200508</t>
  </si>
  <si>
    <t xml:space="preserve">M2826200681</t>
  </si>
  <si>
    <t xml:space="preserve">M2826200682</t>
  </si>
  <si>
    <t xml:space="preserve">M2826200511</t>
  </si>
  <si>
    <t xml:space="preserve">M2826200512</t>
  </si>
  <si>
    <t xml:space="preserve">M2826200513</t>
  </si>
  <si>
    <t xml:space="preserve">M2826200466</t>
  </si>
  <si>
    <t xml:space="preserve">M2826200683</t>
  </si>
  <si>
    <t xml:space="preserve">M2826200647</t>
  </si>
  <si>
    <t xml:space="preserve">M2826200451</t>
  </si>
  <si>
    <t xml:space="preserve">M2826200452</t>
  </si>
  <si>
    <t xml:space="preserve">M2826200453</t>
  </si>
  <si>
    <t xml:space="preserve">M2826200685</t>
  </si>
  <si>
    <t xml:space="preserve">M2826200615</t>
  </si>
  <si>
    <t xml:space="preserve">M2826200616</t>
  </si>
  <si>
    <t xml:space="preserve">M2826200617</t>
  </si>
  <si>
    <t xml:space="preserve">M2826200618</t>
  </si>
  <si>
    <t xml:space="preserve">M2826200619</t>
  </si>
  <si>
    <t xml:space="preserve">M2826200620</t>
  </si>
  <si>
    <t xml:space="preserve">M2826200686</t>
  </si>
  <si>
    <t xml:space="preserve">M2826200687</t>
  </si>
  <si>
    <t xml:space="preserve">M2826200688</t>
  </si>
  <si>
    <t xml:space="preserve">M2826200624</t>
  </si>
  <si>
    <t xml:space="preserve">M2826200689</t>
  </si>
  <si>
    <t xml:space="preserve">M2826200626</t>
  </si>
  <si>
    <t xml:space="preserve">M2826200627</t>
  </si>
  <si>
    <t xml:space="preserve">M2826200628</t>
  </si>
  <si>
    <t xml:space="preserve">M2826200629</t>
  </si>
  <si>
    <t xml:space="preserve">M2826200630</t>
  </si>
  <si>
    <t xml:space="preserve">M2826200610</t>
  </si>
  <si>
    <t xml:space="preserve">M2826200437</t>
  </si>
  <si>
    <t xml:space="preserve">M2826200438</t>
  </si>
  <si>
    <t xml:space="preserve">M2826200439</t>
  </si>
  <si>
    <t xml:space="preserve">M2826200440</t>
  </si>
  <si>
    <t xml:space="preserve">M2826200690</t>
  </si>
  <si>
    <t xml:space="preserve">M2826200442</t>
  </si>
  <si>
    <t xml:space="preserve">M2826200443</t>
  </si>
  <si>
    <t xml:space="preserve">M2826200444</t>
  </si>
  <si>
    <t xml:space="preserve">M2826200445</t>
  </si>
  <si>
    <t xml:space="preserve">M2826200514</t>
  </si>
  <si>
    <t xml:space="preserve">M2826200515</t>
  </si>
  <si>
    <t xml:space="preserve">M2826200516</t>
  </si>
  <si>
    <t xml:space="preserve">M2826200517</t>
  </si>
  <si>
    <t xml:space="preserve">M2826200691</t>
  </si>
  <si>
    <t xml:space="preserve">M2826200692</t>
  </si>
  <si>
    <t xml:space="preserve">M2826200520</t>
  </si>
  <si>
    <t xml:space="preserve">M2826200693</t>
  </si>
  <si>
    <t xml:space="preserve">M2826200694</t>
  </si>
  <si>
    <t xml:space="preserve">M2826200523</t>
  </si>
  <si>
    <t xml:space="preserve">M2826200524</t>
  </si>
  <si>
    <t xml:space="preserve">M2826200525</t>
  </si>
  <si>
    <t xml:space="preserve">M2826200526</t>
  </si>
  <si>
    <t xml:space="preserve">M2826200695</t>
  </si>
  <si>
    <t xml:space="preserve">M2826200528</t>
  </si>
  <si>
    <t xml:space="preserve">M2826200696</t>
  </si>
  <si>
    <t xml:space="preserve">M2826200530</t>
  </si>
  <si>
    <t xml:space="preserve">M2826200697</t>
  </si>
  <si>
    <t xml:space="preserve">M2826200532</t>
  </si>
  <si>
    <t xml:space="preserve">M2826200533</t>
  </si>
  <si>
    <t xml:space="preserve">M2826200534</t>
  </si>
  <si>
    <t xml:space="preserve">M2826200469</t>
  </si>
  <si>
    <t xml:space="preserve">M2826200698</t>
  </si>
  <si>
    <t xml:space="preserve">M2826200699</t>
  </si>
  <si>
    <t xml:space="preserve">M2826200611</t>
  </si>
  <si>
    <t xml:space="preserve">M2826200612</t>
  </si>
  <si>
    <t xml:space="preserve">M2826200613</t>
  </si>
  <si>
    <t xml:space="preserve">M2826200700</t>
  </si>
  <si>
    <t xml:space="preserve">M2826200643</t>
  </si>
  <si>
    <t xml:space="preserve">M2826200644</t>
  </si>
  <si>
    <t xml:space="preserve">M2826200645</t>
  </si>
  <si>
    <t xml:space="preserve">M2826200646</t>
  </si>
  <si>
    <t xml:space="preserve">M2826200631</t>
  </si>
  <si>
    <t xml:space="preserve">M2826200632</t>
  </si>
  <si>
    <t xml:space="preserve">M2826200701</t>
  </si>
  <si>
    <t xml:space="preserve">M2826200702</t>
  </si>
  <si>
    <t xml:space="preserve">M2826200703</t>
  </si>
  <si>
    <t xml:space="preserve">M2826200636</t>
  </si>
  <si>
    <t xml:space="preserve">M2826200704</t>
  </si>
  <si>
    <t xml:space="preserve">M2826200638</t>
  </si>
  <si>
    <t xml:space="preserve">M2826200639</t>
  </si>
  <si>
    <t xml:space="preserve">M2826200640</t>
  </si>
  <si>
    <t xml:space="preserve">M2826200641</t>
  </si>
  <si>
    <t xml:space="preserve">M2826200642</t>
  </si>
  <si>
    <t xml:space="preserve">ROW</t>
  </si>
  <si>
    <t xml:space="preserve">CCN Description</t>
  </si>
  <si>
    <t xml:space="preserve">CCN 21451 Equipment Type (if applicable)</t>
  </si>
  <si>
    <t xml:space="preserve">TAMCN
Short</t>
  </si>
  <si>
    <t xml:space="preserve">TAMCN</t>
  </si>
  <si>
    <t xml:space="preserve">Nomenclature (Name - Model)</t>
  </si>
  <si>
    <t xml:space="preserve">TAM Stat</t>
  </si>
  <si>
    <t xml:space="preserve">U/I</t>
  </si>
  <si>
    <t xml:space="preserve">Rdy</t>
  </si>
  <si>
    <t xml:space="preserve">Ind Qty</t>
  </si>
  <si>
    <t xml:space="preserve">Org Qty</t>
  </si>
  <si>
    <t xml:space="preserve">Unit T/E</t>
  </si>
  <si>
    <t xml:space="preserve">L, Ft</t>
  </si>
  <si>
    <t xml:space="preserve">W, Ft</t>
  </si>
  <si>
    <t xml:space="preserve">H, Ft</t>
  </si>
  <si>
    <t xml:space="preserve">Volume Ea, ft3</t>
  </si>
  <si>
    <t xml:space="preserve">Volume Total, ft3</t>
  </si>
  <si>
    <t xml:space="preserve">14345</t>
  </si>
  <si>
    <t xml:space="preserve">M28261</t>
  </si>
  <si>
    <t xml:space="preserve">E00302M</t>
  </si>
  <si>
    <t xml:space="preserve">PISTOL,9 MILLIMETER-M18</t>
  </si>
  <si>
    <t xml:space="preserve">IS</t>
  </si>
  <si>
    <t xml:space="preserve">EA</t>
  </si>
  <si>
    <t xml:space="preserve">44112</t>
  </si>
  <si>
    <t xml:space="preserve">K00012B</t>
  </si>
  <si>
    <t xml:space="preserve">CHARGER,BATTERY-PCWV+</t>
  </si>
  <si>
    <t xml:space="preserve">21710</t>
  </si>
  <si>
    <t xml:space="preserve">A20427G</t>
  </si>
  <si>
    <t xml:space="preserve">RADIO SET-AN/PRC-150 (C)</t>
  </si>
  <si>
    <t xml:space="preserve">DP</t>
  </si>
  <si>
    <t xml:space="preserve">C30202E</t>
  </si>
  <si>
    <t xml:space="preserve">INSERTS,ENHANCED SM- CO/PD 04-10</t>
  </si>
  <si>
    <t xml:space="preserve">C34232E</t>
  </si>
  <si>
    <t xml:space="preserve">STAND,CANTEEN CUP-MIL-S-44221</t>
  </si>
  <si>
    <t xml:space="preserve">E01902M</t>
  </si>
  <si>
    <t xml:space="preserve">CARBINE,5.56 MILLIM-M4A1</t>
  </si>
  <si>
    <t xml:space="preserve">E28292E</t>
  </si>
  <si>
    <t xml:space="preserve">TOOL KIT,ORGANIZATI-</t>
  </si>
  <si>
    <t xml:space="preserve">K41282E</t>
  </si>
  <si>
    <t xml:space="preserve">CAN,MILITARY-</t>
  </si>
  <si>
    <t xml:space="preserve">K42362E</t>
  </si>
  <si>
    <t xml:space="preserve">COT,FOLDING-2-5-72</t>
  </si>
  <si>
    <t xml:space="preserve">K49592E</t>
  </si>
  <si>
    <t xml:space="preserve">TABLE,FOLDING LEGS- MILT3338</t>
  </si>
  <si>
    <t xml:space="preserve">C79112B</t>
  </si>
  <si>
    <t xml:space="preserve">SHOP EQUIPMENT,UTIL-USMC24-1000</t>
  </si>
  <si>
    <t xml:space="preserve">C11202F</t>
  </si>
  <si>
    <t xml:space="preserve">GLOVE INSERTS,COLD-70113</t>
  </si>
  <si>
    <t xml:space="preserve">PR</t>
  </si>
  <si>
    <t xml:space="preserve">C01152F</t>
  </si>
  <si>
    <t xml:space="preserve">DRAWERS,COLD WEATHE-FRDRCW</t>
  </si>
  <si>
    <t xml:space="preserve">K00252B</t>
  </si>
  <si>
    <t xml:space="preserve">CHARGER,BATTERY-HD PALLET CHARGE</t>
  </si>
  <si>
    <t xml:space="preserve">B00612E</t>
  </si>
  <si>
    <t xml:space="preserve">COOLING AND REFRIGE-CREK-M</t>
  </si>
  <si>
    <t xml:space="preserve">KT</t>
  </si>
  <si>
    <t xml:space="preserve">J00042B</t>
  </si>
  <si>
    <t xml:space="preserve">INSTALLATION KIT,EL-</t>
  </si>
  <si>
    <t xml:space="preserve">C01352F</t>
  </si>
  <si>
    <t xml:space="preserve">BOOTS,COLD WEATHER-C/W RAT</t>
  </si>
  <si>
    <t xml:space="preserve">A02987G</t>
  </si>
  <si>
    <t xml:space="preserve">OPTICAL READER,DATA-CN80G</t>
  </si>
  <si>
    <t xml:space="preserve">21451</t>
  </si>
  <si>
    <t xml:space="preserve">D00487K</t>
  </si>
  <si>
    <t xml:space="preserve">TRUCK,UTILITY-M1279A1</t>
  </si>
  <si>
    <t xml:space="preserve">R</t>
  </si>
  <si>
    <t xml:space="preserve">K49922E</t>
  </si>
  <si>
    <t xml:space="preserve">TIE DOWN,CARGO,AIRC-</t>
  </si>
  <si>
    <t xml:space="preserve">E11542B</t>
  </si>
  <si>
    <t xml:space="preserve">VIEWER,NIGHT VISION-AN/PVS14</t>
  </si>
  <si>
    <t xml:space="preserve">A01357G</t>
  </si>
  <si>
    <t xml:space="preserve">RADIO SET-AN/VRC-112</t>
  </si>
  <si>
    <t xml:space="preserve">A80017GA</t>
  </si>
  <si>
    <t xml:space="preserve">ENCRYPTION-DECRYPTI-KGV-72</t>
  </si>
  <si>
    <t xml:space="preserve">A00227G</t>
  </si>
  <si>
    <t xml:space="preserve">COMPUTER SYSTEM,DIG-16007A0000</t>
  </si>
  <si>
    <t xml:space="preserve">D00062B</t>
  </si>
  <si>
    <t xml:space="preserve">SPECIAL TOOL KIT,FI-4406836</t>
  </si>
  <si>
    <t xml:space="preserve">E02022B</t>
  </si>
  <si>
    <t xml:space="preserve">TELESCOPE,STRAIGHT-M317</t>
  </si>
  <si>
    <t xml:space="preserve">14312</t>
  </si>
  <si>
    <t xml:space="preserve">B07307B</t>
  </si>
  <si>
    <t xml:space="preserve">GENERATOR SET,DIESE-MEP831A</t>
  </si>
  <si>
    <t xml:space="preserve">E00172B</t>
  </si>
  <si>
    <t xml:space="preserve">SIGHT,BORE,OPTICAL-M7</t>
  </si>
  <si>
    <t xml:space="preserve">C30602E</t>
  </si>
  <si>
    <t xml:space="preserve">CANTEEN,WATER-MIL-C-43103</t>
  </si>
  <si>
    <t xml:space="preserve">C32502E</t>
  </si>
  <si>
    <t xml:space="preserve">KNIFE,COMBAT-MIL-K-20277</t>
  </si>
  <si>
    <t xml:space="preserve">D00012BA</t>
  </si>
  <si>
    <t xml:space="preserve">ACCESSORY KIT,VEHIC-57K8831</t>
  </si>
  <si>
    <t xml:space="preserve">PL</t>
  </si>
  <si>
    <t xml:space="preserve">C86148A</t>
  </si>
  <si>
    <t xml:space="preserve">X-RAY EQUIP AMAL627-W</t>
  </si>
  <si>
    <t xml:space="preserve">C86248A</t>
  </si>
  <si>
    <t xml:space="preserve">AMAL 631 SURGICAL T-AMAL 631</t>
  </si>
  <si>
    <t xml:space="preserve">K49572E</t>
  </si>
  <si>
    <t xml:space="preserve">-34"</t>
  </si>
  <si>
    <t xml:space="preserve">B00277B</t>
  </si>
  <si>
    <t xml:space="preserve">PANEL,POWER DISTRIB-5KW INDOOR</t>
  </si>
  <si>
    <t xml:space="preserve">C21502F</t>
  </si>
  <si>
    <t xml:space="preserve">GLOVE INSERTS,NUCLE-DSSPM330-01</t>
  </si>
  <si>
    <t xml:space="preserve">D00037K</t>
  </si>
  <si>
    <t xml:space="preserve">TRUCK,ARMORED,CARGO-AMK23A1</t>
  </si>
  <si>
    <t xml:space="preserve">C21702E</t>
  </si>
  <si>
    <t xml:space="preserve">SPECTACLES,INDUSTRI-</t>
  </si>
  <si>
    <t xml:space="preserve">B00087B</t>
  </si>
  <si>
    <t xml:space="preserve">AIR CONDITIONER-GL0583ZAADWYX11</t>
  </si>
  <si>
    <t xml:space="preserve">K42222E</t>
  </si>
  <si>
    <t xml:space="preserve">COMPASS,MAGNETIC,UN-S AND Y 183</t>
  </si>
  <si>
    <t xml:space="preserve">C01692F</t>
  </si>
  <si>
    <t xml:space="preserve">MAT,SLEEPING-ISM</t>
  </si>
  <si>
    <t xml:space="preserve">E79007B</t>
  </si>
  <si>
    <t xml:space="preserve">TOOL KIT,SMALL ARMS-TK-2111A</t>
  </si>
  <si>
    <t xml:space="preserve">C54402F</t>
  </si>
  <si>
    <t xml:space="preserve">FIELD PACK-F190186393</t>
  </si>
  <si>
    <t xml:space="preserve">D00457K</t>
  </si>
  <si>
    <t xml:space="preserve">TRUCK,UTILITY-M1280A1</t>
  </si>
  <si>
    <t xml:space="preserve">C44312E</t>
  </si>
  <si>
    <t xml:space="preserve">BOX,SHIPPING-102440</t>
  </si>
  <si>
    <t xml:space="preserve">A90157G</t>
  </si>
  <si>
    <t xml:space="preserve">THEATER MEDICAL INF-EVO73AV</t>
  </si>
  <si>
    <t xml:space="preserve">A01187G</t>
  </si>
  <si>
    <t xml:space="preserve">RADIO SET-AN/PRC-153(V)1</t>
  </si>
  <si>
    <t xml:space="preserve">E01877B</t>
  </si>
  <si>
    <t xml:space="preserve">SIGHT,NIGHT VISION-1019765-101</t>
  </si>
  <si>
    <t xml:space="preserve">K00282B</t>
  </si>
  <si>
    <t xml:space="preserve">CHARGER,BATTERY-HD JUMP START</t>
  </si>
  <si>
    <t xml:space="preserve">C32152E</t>
  </si>
  <si>
    <t xml:space="preserve">HELMET,GROUND TROOP-A12769</t>
  </si>
  <si>
    <t xml:space="preserve">A12607GL</t>
  </si>
  <si>
    <t xml:space="preserve">RECEIVER,RADIO NAVI-AN/PSN-13(B)</t>
  </si>
  <si>
    <t xml:space="preserve">C76017B</t>
  </si>
  <si>
    <t xml:space="preserve">TACTICAL FABRICATIO-TACFAB</t>
  </si>
  <si>
    <t xml:space="preserve">H70072GA</t>
  </si>
  <si>
    <t xml:space="preserve">MULTIMETER-FLUKE 323</t>
  </si>
  <si>
    <t xml:space="preserve">D00192BA</t>
  </si>
  <si>
    <t xml:space="preserve">ACCESSORY KIT,VEHIC-57K8832</t>
  </si>
  <si>
    <t xml:space="preserve">A01987G</t>
  </si>
  <si>
    <t xml:space="preserve">RADIO SET-12200-1823-01</t>
  </si>
  <si>
    <t xml:space="preserve">C10002E</t>
  </si>
  <si>
    <t xml:space="preserve">No Item Name Availa-11-04</t>
  </si>
  <si>
    <t xml:space="preserve">D00807K</t>
  </si>
  <si>
    <t xml:space="preserve">CHASSIS,TRAILER-M353</t>
  </si>
  <si>
    <t xml:space="preserve">D08807K</t>
  </si>
  <si>
    <t xml:space="preserve">TRAILER,TANK-M149A2</t>
  </si>
  <si>
    <t xml:space="preserve">K41822E</t>
  </si>
  <si>
    <t xml:space="preserve">CHEST, PISTOL, WOOD-</t>
  </si>
  <si>
    <t xml:space="preserve">B00317B</t>
  </si>
  <si>
    <t xml:space="preserve">PANEL,POWER DISTRIB-DB350MA-P2WAS3</t>
  </si>
  <si>
    <t xml:space="preserve">E19767G</t>
  </si>
  <si>
    <t xml:space="preserve">SIGHT,THERMAL-AN/PAS13D(V3)</t>
  </si>
  <si>
    <t xml:space="preserve">E09947M</t>
  </si>
  <si>
    <t xml:space="preserve">MACHINE GUN,GRENADE-MK19 MOD 3</t>
  </si>
  <si>
    <t xml:space="preserve">C00622F</t>
  </si>
  <si>
    <t xml:space="preserve">COAT,CHEMICAL PROTE-UNIVERSAL COAT</t>
  </si>
  <si>
    <t xml:space="preserve">E00822B</t>
  </si>
  <si>
    <t xml:space="preserve">SIGHT UNIT-TA11SDO</t>
  </si>
  <si>
    <t xml:space="preserve">A00977G</t>
  </si>
  <si>
    <t xml:space="preserve">RADIO SET-AN/VRC-110</t>
  </si>
  <si>
    <t xml:space="preserve">E00817B</t>
  </si>
  <si>
    <t xml:space="preserve">MOUNT,MACHINE GUN-M35</t>
  </si>
  <si>
    <t xml:space="preserve">B00497B</t>
  </si>
  <si>
    <t xml:space="preserve">REFRIGERATION SYSTE-SB541.0</t>
  </si>
  <si>
    <t xml:space="preserve">C01322B</t>
  </si>
  <si>
    <t xml:space="preserve">PAPER,CHEMICAL AGEN-M8</t>
  </si>
  <si>
    <t xml:space="preserve">BK</t>
  </si>
  <si>
    <t xml:space="preserve">E02122B</t>
  </si>
  <si>
    <t xml:space="preserve">MID-RANGE PRECISION DAY OPTIC (MR PDO)-MR PDO</t>
  </si>
  <si>
    <t xml:space="preserve">A90237GD</t>
  </si>
  <si>
    <t xml:space="preserve">COMPUTER SYSTEM,DIG-210-BDTH</t>
  </si>
  <si>
    <t xml:space="preserve">B21307BB</t>
  </si>
  <si>
    <t xml:space="preserve">TANK,WATER,3000 GAL-RCF-3K-W-OT</t>
  </si>
  <si>
    <t xml:space="preserve">B21307BD</t>
  </si>
  <si>
    <t xml:space="preserve">TANK,FABRIC,COLLAPS-RCF-3K-W-OT</t>
  </si>
  <si>
    <t xml:space="preserve">M00112B</t>
  </si>
  <si>
    <t xml:space="preserve">MODIFICATION KIT,VE-</t>
  </si>
  <si>
    <t xml:space="preserve">A91007G</t>
  </si>
  <si>
    <t xml:space="preserve">COMPUTER SYSTEM,DIG-HP ELITEBOOK 645</t>
  </si>
  <si>
    <t xml:space="preserve">A02087G</t>
  </si>
  <si>
    <t xml:space="preserve">AMPLIFIER-POWER SUP-VRC</t>
  </si>
  <si>
    <t xml:space="preserve">E00412B</t>
  </si>
  <si>
    <t xml:space="preserve">SIGHT,REFLEX-M571</t>
  </si>
  <si>
    <t xml:space="preserve">A70597G</t>
  </si>
  <si>
    <t xml:space="preserve">OHMMETER-R1L-C</t>
  </si>
  <si>
    <t xml:space="preserve">B00557B</t>
  </si>
  <si>
    <t xml:space="preserve">BATH UNIT,PORTABLE-MK64 MOD5</t>
  </si>
  <si>
    <t xml:space="preserve">C10232F</t>
  </si>
  <si>
    <t xml:space="preserve">HOOD,COMBAT VEHICLE-MIL-H-44265</t>
  </si>
  <si>
    <t xml:space="preserve">C86048A</t>
  </si>
  <si>
    <t xml:space="preserve">AMAL LABORATORY CON-619</t>
  </si>
  <si>
    <t xml:space="preserve">C86568A</t>
  </si>
  <si>
    <t xml:space="preserve">AMAL 646 FOR RES SU-AMAL 646</t>
  </si>
  <si>
    <t xml:space="preserve">E11262B</t>
  </si>
  <si>
    <t xml:space="preserve">MOUNT,TRIPOD,MACHIN-M3</t>
  </si>
  <si>
    <t xml:space="preserve">E17102B</t>
  </si>
  <si>
    <t xml:space="preserve">SIGHT,BORE,OPTICAL-TA31RCO-A4</t>
  </si>
  <si>
    <t xml:space="preserve">E19482G</t>
  </si>
  <si>
    <t xml:space="preserve">TEST SET,ELECTRONIC-TS4348/UV</t>
  </si>
  <si>
    <t xml:space="preserve">C22002E</t>
  </si>
  <si>
    <t xml:space="preserve">REACTIVE SKIN DECON-JSPDS/RSDL</t>
  </si>
  <si>
    <t xml:space="preserve">PG</t>
  </si>
  <si>
    <t xml:space="preserve">B00287B</t>
  </si>
  <si>
    <t xml:space="preserve">PANEL,POWER DISTRIB-5KW OUTDOOR</t>
  </si>
  <si>
    <t xml:space="preserve">B00297B</t>
  </si>
  <si>
    <t xml:space="preserve">PANEL,POWER DISTRIB-15KW</t>
  </si>
  <si>
    <t xml:space="preserve">C21102E</t>
  </si>
  <si>
    <t xml:space="preserve">PAPER,CHEMICAL AGEN-5-67-280</t>
  </si>
  <si>
    <t xml:space="preserve">RO</t>
  </si>
  <si>
    <t xml:space="preserve">C31242F</t>
  </si>
  <si>
    <t xml:space="preserve">No Item Name Availa-N/A</t>
  </si>
  <si>
    <t xml:space="preserve">C01902F</t>
  </si>
  <si>
    <t xml:space="preserve">POUCH,TACTICAL HAND-N/A</t>
  </si>
  <si>
    <t xml:space="preserve">K00272B</t>
  </si>
  <si>
    <t xml:space="preserve">CHARGER,BATTERY-PRO 12</t>
  </si>
  <si>
    <t xml:space="preserve">A03317G</t>
  </si>
  <si>
    <t xml:space="preserve">RADIO SET-AN/VRC-113(C)</t>
  </si>
  <si>
    <t xml:space="preserve">E09562B</t>
  </si>
  <si>
    <t xml:space="preserve">BORELIGHT SYSTEM,LA-LBS-300-A2</t>
  </si>
  <si>
    <t xml:space="preserve">C34002F</t>
  </si>
  <si>
    <t xml:space="preserve">TARPAULIN-8405-00-NSH-00</t>
  </si>
  <si>
    <t xml:space="preserve">C00292F</t>
  </si>
  <si>
    <t xml:space="preserve">DRAWERS,COLD WEATHE-FRGFDR</t>
  </si>
  <si>
    <t xml:space="preserve">A12607GK</t>
  </si>
  <si>
    <t xml:space="preserve">NAVIGATION SET,SATE-AN/PSN-13(A)</t>
  </si>
  <si>
    <t xml:space="preserve">E11202B</t>
  </si>
  <si>
    <t xml:space="preserve">MOUNT,TRIPOD,MACHIN-M122A1</t>
  </si>
  <si>
    <t xml:space="preserve">A77067G</t>
  </si>
  <si>
    <t xml:space="preserve">POWER SUPPLY-XHR40-25M106</t>
  </si>
  <si>
    <t xml:space="preserve">D04752E</t>
  </si>
  <si>
    <t xml:space="preserve">TOOL KIT,VEHICLE,TA-W</t>
  </si>
  <si>
    <t xml:space="preserve">A01267G</t>
  </si>
  <si>
    <t xml:space="preserve">MULTI-BAND FREQUENC-AN/VRC-103(V)2</t>
  </si>
  <si>
    <t xml:space="preserve">E30942B</t>
  </si>
  <si>
    <t xml:space="preserve">TOOL SET,ORGANIZATI-MK19 MOD3</t>
  </si>
  <si>
    <t xml:space="preserve">K00382B</t>
  </si>
  <si>
    <t xml:space="preserve">CHARGER,BATTERY-746X840</t>
  </si>
  <si>
    <t xml:space="preserve">C79152B</t>
  </si>
  <si>
    <t xml:space="preserve">TOOL KIT,GENERAL ME-DFP-627</t>
  </si>
  <si>
    <t xml:space="preserve">SE</t>
  </si>
  <si>
    <t xml:space="preserve">D07512E</t>
  </si>
  <si>
    <t xml:space="preserve">TOOL KIT,VEHICLE,TA-18004T0006</t>
  </si>
  <si>
    <t xml:space="preserve">D00267K</t>
  </si>
  <si>
    <t xml:space="preserve">JLTV SHELTER AMBULANCE-</t>
  </si>
  <si>
    <t xml:space="preserve">C02602F</t>
  </si>
  <si>
    <t xml:space="preserve">GAITER,NECK-A-A-55247</t>
  </si>
  <si>
    <t xml:space="preserve">C31402E</t>
  </si>
  <si>
    <t xml:space="preserve">CUP,WATER CANTEEN-MIL-C-73761</t>
  </si>
  <si>
    <t xml:space="preserve">C32302E</t>
  </si>
  <si>
    <t xml:space="preserve">INTRENCHING TOOL,HA-05940</t>
  </si>
  <si>
    <t xml:space="preserve">C86348A</t>
  </si>
  <si>
    <t xml:space="preserve">AMAL 634 AC CR WDCN-AMAL 634</t>
  </si>
  <si>
    <t xml:space="preserve">E19757G</t>
  </si>
  <si>
    <t xml:space="preserve">SIGHT,THERMAL-AN/PAS13D(V2)</t>
  </si>
  <si>
    <t xml:space="preserve">B00437B</t>
  </si>
  <si>
    <t xml:space="preserve">GENERATOR SET,DIESE-MEP-1050</t>
  </si>
  <si>
    <t xml:space="preserve">C44332E</t>
  </si>
  <si>
    <t xml:space="preserve">SHIPPING AND STORAG-SB812M</t>
  </si>
  <si>
    <t xml:space="preserve">D01987K</t>
  </si>
  <si>
    <t xml:space="preserve">TRUCK,RTAA,CARGO,7T-MK23A1</t>
  </si>
  <si>
    <t xml:space="preserve">A03317GA</t>
  </si>
  <si>
    <t xml:space="preserve">C00402E</t>
  </si>
  <si>
    <t xml:space="preserve">PAD,KNEE-MEDIUM</t>
  </si>
  <si>
    <t xml:space="preserve">C00832E</t>
  </si>
  <si>
    <t xml:space="preserve">STRAP CUTTER,RESCUE-1431</t>
  </si>
  <si>
    <t xml:space="preserve">B00777B</t>
  </si>
  <si>
    <t xml:space="preserve">GENERATOR SET,DIESE-MEP-1030</t>
  </si>
  <si>
    <t xml:space="preserve">H70302B</t>
  </si>
  <si>
    <t xml:space="preserve">MULTIMETER-77/BN</t>
  </si>
  <si>
    <t xml:space="preserve">E01237M</t>
  </si>
  <si>
    <t xml:space="preserve">MACHINE GUN,CALIBER-M2A1</t>
  </si>
  <si>
    <t xml:space="preserve">C60302E</t>
  </si>
  <si>
    <t xml:space="preserve">No Item Name Availa-MIL-S-15754</t>
  </si>
  <si>
    <t xml:space="preserve">E17982G</t>
  </si>
  <si>
    <t xml:space="preserve">ILLUMINATOR,INFRARE-AN/PEQ-15</t>
  </si>
  <si>
    <t xml:space="preserve">C01912F</t>
  </si>
  <si>
    <t xml:space="preserve">CANTEEN,GENERAL PUR-4015CB</t>
  </si>
  <si>
    <t xml:space="preserve">C00772EB</t>
  </si>
  <si>
    <t xml:space="preserve">COLLAPSIBLE,JMIC 3.-7517221-3</t>
  </si>
  <si>
    <t xml:space="preserve">E00887B</t>
  </si>
  <si>
    <t xml:space="preserve">SIGHT UNIT-TA648MDO</t>
  </si>
  <si>
    <t xml:space="preserve">E14422M</t>
  </si>
  <si>
    <t xml:space="preserve">RIFLE,5.56 MILLIMET-M16A4</t>
  </si>
  <si>
    <t xml:space="preserve">A75047G</t>
  </si>
  <si>
    <t xml:space="preserve">MAINTENANCE KIT,ELE-GETAC B360-GEN2</t>
  </si>
  <si>
    <t xml:space="preserve">C01702F</t>
  </si>
  <si>
    <t xml:space="preserve">LINER,WET WEATHER P-N/A</t>
  </si>
  <si>
    <t xml:space="preserve">C34142E</t>
  </si>
  <si>
    <t xml:space="preserve">TENT,COMBAT,TWO MAN-2628916</t>
  </si>
  <si>
    <t xml:space="preserve">E00712BA</t>
  </si>
  <si>
    <t xml:space="preserve">ARMOR SET,SUPPLEMEN-MCTAGS</t>
  </si>
  <si>
    <t xml:space="preserve">C86868A</t>
  </si>
  <si>
    <t xml:space="preserve">AMAL 686 HOT WEA ME-AMAL 686</t>
  </si>
  <si>
    <t xml:space="preserve">C86008A</t>
  </si>
  <si>
    <t xml:space="preserve">LABORATORY EQUIP-AMAL 618</t>
  </si>
  <si>
    <t xml:space="preserve">C10552F</t>
  </si>
  <si>
    <t xml:space="preserve">CAP,COLD WEATHER-CR/PD01-09</t>
  </si>
  <si>
    <t xml:space="preserve">C21712E</t>
  </si>
  <si>
    <t xml:space="preserve">GOGGLES,INDUSTRIAL-UVEX XMF</t>
  </si>
  <si>
    <t xml:space="preserve">C86488A</t>
  </si>
  <si>
    <t xml:space="preserve">AMAL 638 PREV MED-AMAL 638</t>
  </si>
  <si>
    <t xml:space="preserve">C86858A</t>
  </si>
  <si>
    <t xml:space="preserve">AMAL 685 COLD WEATH-AMAL 685</t>
  </si>
  <si>
    <t xml:space="preserve">C86878A</t>
  </si>
  <si>
    <t xml:space="preserve">AMAL 687 NBC MEDS-AMAL 687</t>
  </si>
  <si>
    <t xml:space="preserve">C87008A</t>
  </si>
  <si>
    <t xml:space="preserve">AMAL 647 ERCS-AMAL 647</t>
  </si>
  <si>
    <t xml:space="preserve">K41482E</t>
  </si>
  <si>
    <t xml:space="preserve">CARRIER,SWORD SCABB-N/A</t>
  </si>
  <si>
    <t xml:space="preserve">K00022B</t>
  </si>
  <si>
    <t xml:space="preserve">ANALYZER-CHARGER,BA-490PT+</t>
  </si>
  <si>
    <t xml:space="preserve">C30702E</t>
  </si>
  <si>
    <t xml:space="preserve">CARRIER,INTRENCHING-390-04A</t>
  </si>
  <si>
    <t xml:space="preserve">B21307B</t>
  </si>
  <si>
    <t xml:space="preserve">D70002B</t>
  </si>
  <si>
    <t xml:space="preserve">ANALYZER SET,VEHICU-10010A0000</t>
  </si>
  <si>
    <t xml:space="preserve">C11072F</t>
  </si>
  <si>
    <t xml:space="preserve">GLOVES,MEN'S AND WO-SIZE 3</t>
  </si>
  <si>
    <t xml:space="preserve">C01892F</t>
  </si>
  <si>
    <t xml:space="preserve">POUCH,MONOCULAR NIG-N/A</t>
  </si>
  <si>
    <t xml:space="preserve">E01142B</t>
  </si>
  <si>
    <t xml:space="preserve">SIGHT,BORE,OPTICAL-M83</t>
  </si>
  <si>
    <t xml:space="preserve">E01952M</t>
  </si>
  <si>
    <t xml:space="preserve">CARBINE,5.56 MILLIM-M4</t>
  </si>
  <si>
    <t xml:space="preserve">E00712BD</t>
  </si>
  <si>
    <t xml:space="preserve">PLATFORM,GUNNER,VEH-RH-GPK</t>
  </si>
  <si>
    <t xml:space="preserve">C34212F</t>
  </si>
  <si>
    <t xml:space="preserve">MODULAR SLEEP SYSTE-W91AZKLG</t>
  </si>
  <si>
    <t xml:space="preserve">E00502E</t>
  </si>
  <si>
    <t xml:space="preserve">BAYONET-KNIFE-OKC3S</t>
  </si>
  <si>
    <t xml:space="preserve">C01372F</t>
  </si>
  <si>
    <t xml:space="preserve">JACKET,COMBAT-N/A</t>
  </si>
  <si>
    <t xml:space="preserve">E09897M</t>
  </si>
  <si>
    <t xml:space="preserve">MACHINE GUN,7.62 MI-M240B</t>
  </si>
  <si>
    <t xml:space="preserve">C01802F</t>
  </si>
  <si>
    <t xml:space="preserve">BELT,INDIVIDUAL EQU-N/A</t>
  </si>
  <si>
    <t xml:space="preserve">H00052G</t>
  </si>
  <si>
    <t xml:space="preserve">REPRODUCER,DISK MED-DFX-M1</t>
  </si>
  <si>
    <t xml:space="preserve">C00102F</t>
  </si>
  <si>
    <t xml:space="preserve">CARRIER,SMALL ARMS-</t>
  </si>
  <si>
    <t xml:space="preserve">C52652E</t>
  </si>
  <si>
    <t xml:space="preserve">MASK SYSTEM,CHEMICA-M50</t>
  </si>
  <si>
    <t xml:space="preserve">A80237G</t>
  </si>
  <si>
    <t xml:space="preserve">TRANSFER UNIT,CRYPT-AN/PYQ-10</t>
  </si>
  <si>
    <t xml:space="preserve">A02077G</t>
  </si>
  <si>
    <t xml:space="preserve">RADIO SET-</t>
  </si>
  <si>
    <t xml:space="preserve">C86308A</t>
  </si>
  <si>
    <t xml:space="preserve">AMAL 633 AC CR WDEQ-AMAL 633</t>
  </si>
  <si>
    <t xml:space="preserve">A00732B</t>
  </si>
  <si>
    <t xml:space="preserve">CHARGER,BATTERY-BTC-70100</t>
  </si>
  <si>
    <t xml:space="preserve">C86888A</t>
  </si>
  <si>
    <t xml:space="preserve">AMAL 688 NBC 1000UN-AMAL 688</t>
  </si>
  <si>
    <t xml:space="preserve">D10017K</t>
  </si>
  <si>
    <t xml:space="preserve">TRUCK,AMBULANCE-M997A2</t>
  </si>
  <si>
    <t xml:space="preserve">E11232B</t>
  </si>
  <si>
    <t xml:space="preserve">MOUNT,GUN-MK93 MOD2</t>
  </si>
  <si>
    <t xml:space="preserve">C01882F</t>
  </si>
  <si>
    <t xml:space="preserve">A03007G</t>
  </si>
  <si>
    <t xml:space="preserve">PRINTER,AUTOMATIC D-PD42 PRINTER</t>
  </si>
  <si>
    <t xml:space="preserve">E00132B</t>
  </si>
  <si>
    <t xml:space="preserve">TELESCOPE,ARTICULAT-M8541</t>
  </si>
  <si>
    <t xml:space="preserve">E00992B</t>
  </si>
  <si>
    <t xml:space="preserve">SIGHT,REFLEX-552.65A</t>
  </si>
  <si>
    <t xml:space="preserve">C21302F</t>
  </si>
  <si>
    <t xml:space="preserve">OVERSHOES,NUCLEAR,B-MALO</t>
  </si>
  <si>
    <t xml:space="preserve">B00667B</t>
  </si>
  <si>
    <t xml:space="preserve">CONTAINERIZED BATCH-34240300M-1</t>
  </si>
  <si>
    <t xml:space="preserve">D08627K</t>
  </si>
  <si>
    <t xml:space="preserve">TRAILER,CARGO-MK593</t>
  </si>
  <si>
    <t xml:space="preserve">E01732G</t>
  </si>
  <si>
    <t xml:space="preserve">ILLUMINATOR,INTEGRA-</t>
  </si>
  <si>
    <t xml:space="preserve">E01272M</t>
  </si>
  <si>
    <t xml:space="preserve">SUPPRESSOR,SMALL AR-96062-2</t>
  </si>
  <si>
    <t xml:space="preserve">E02012M</t>
  </si>
  <si>
    <t xml:space="preserve">SUPPRESSOR,SMALL AR-</t>
  </si>
  <si>
    <t xml:space="preserve">A75057H</t>
  </si>
  <si>
    <t xml:space="preserve">TEST SET,RADIO-</t>
  </si>
  <si>
    <t xml:space="preserve">E01132M</t>
  </si>
  <si>
    <t xml:space="preserve">SILENCER,GUN-SOCOM762-RC-DE</t>
  </si>
  <si>
    <t xml:space="preserve">C66322F</t>
  </si>
  <si>
    <t xml:space="preserve">TROUSERS,CAMOUFLAGE-N/A</t>
  </si>
  <si>
    <t xml:space="preserve">C86288A</t>
  </si>
  <si>
    <t xml:space="preserve">AMAL 632 SHK SUR TR-AMAL 632</t>
  </si>
  <si>
    <t xml:space="preserve">C87458A</t>
  </si>
  <si>
    <t xml:space="preserve">FORWARD RES SUR AMA-02001A0016</t>
  </si>
  <si>
    <t xml:space="preserve">B16207B</t>
  </si>
  <si>
    <t xml:space="preserve">PUMP UNIT SET-SL-3-00970D</t>
  </si>
  <si>
    <t xml:space="preserve">C00152E</t>
  </si>
  <si>
    <t xml:space="preserve">INSERT,SMALL ARMS P-95662</t>
  </si>
  <si>
    <t xml:space="preserve">H00047G</t>
  </si>
  <si>
    <t xml:space="preserve">INVERTER,POWER,STAT-QP-1800</t>
  </si>
  <si>
    <t xml:space="preserve">C00632F</t>
  </si>
  <si>
    <t xml:space="preserve">TROUSERS,CHEMICAL P-UNIVERSAL TROU</t>
  </si>
  <si>
    <t xml:space="preserve">C00412E</t>
  </si>
  <si>
    <t xml:space="preserve">ELBOW PADS,EXTERNAL-SMALL</t>
  </si>
  <si>
    <t xml:space="preserve">D00587K</t>
  </si>
  <si>
    <t xml:space="preserve">TRAILER,CARGO-</t>
  </si>
  <si>
    <t xml:space="preserve">C00742E</t>
  </si>
  <si>
    <t xml:space="preserve">FLASHLIGHT-14032</t>
  </si>
  <si>
    <t xml:space="preserve">B10217B</t>
  </si>
  <si>
    <t xml:space="preserve">GENERATOR SET,DIESE-MEP-1070</t>
  </si>
  <si>
    <t xml:space="preserve">C01172F</t>
  </si>
  <si>
    <t xml:space="preserve">SHIRT,COLD WEATHER-FRGFP07</t>
  </si>
  <si>
    <t xml:space="preserve">C01162F</t>
  </si>
  <si>
    <t xml:space="preserve">UNDERSHIRT,COLD WEA-FRUSHCW</t>
  </si>
  <si>
    <t xml:space="preserve">B70012G</t>
  </si>
  <si>
    <t xml:space="preserve">ANALYZER,ELECTRICAL-434/AN</t>
  </si>
  <si>
    <t xml:space="preserve">B00307B</t>
  </si>
  <si>
    <t xml:space="preserve">PANEL,POWER DISTRIB-30KW</t>
  </si>
  <si>
    <t xml:space="preserve">C01362F</t>
  </si>
  <si>
    <t xml:space="preserve">BOOTS,HOT WEATHER-H/W RAT</t>
  </si>
  <si>
    <t xml:space="preserve">C00612F</t>
  </si>
  <si>
    <t xml:space="preserve">CARRIER,SMALL ARMS-PC GEN II</t>
  </si>
  <si>
    <t xml:space="preserve">E01002M</t>
  </si>
  <si>
    <t xml:space="preserve">RIFLE,5.56 MILLIMET-M27 IAR</t>
  </si>
  <si>
    <t xml:space="preserve">45110</t>
  </si>
  <si>
    <t xml:space="preserve">C00772EA</t>
  </si>
  <si>
    <t xml:space="preserve">COLLAPSIBLE JMIC 3.-TAN</t>
  </si>
  <si>
    <t xml:space="preserve">C86448A</t>
  </si>
  <si>
    <t xml:space="preserve">AMAL 637 PRE MED MN-AMAL 637</t>
  </si>
  <si>
    <t xml:space="preserve">C01202E</t>
  </si>
  <si>
    <t xml:space="preserve">HELMET,GROUND TROOP-ECH</t>
  </si>
  <si>
    <t xml:space="preserve">C56522F</t>
  </si>
  <si>
    <t xml:space="preserve">No Item Name Availa-APECS 3RD GEN</t>
  </si>
  <si>
    <t xml:space="preserve">C02182B</t>
  </si>
  <si>
    <t xml:space="preserve">DECONTAMINATION KIT-10038819</t>
  </si>
  <si>
    <t xml:space="preserve">BX</t>
  </si>
  <si>
    <t xml:space="preserve">M28263</t>
  </si>
  <si>
    <t xml:space="preserve">H70172EA</t>
  </si>
  <si>
    <t xml:space="preserve">MULTIMETER-FLUKE 189M/AN</t>
  </si>
  <si>
    <t xml:space="preserve">N60202E</t>
  </si>
  <si>
    <t xml:space="preserve">FIXTURE,MEASURING,T-</t>
  </si>
  <si>
    <t xml:space="preserve">A04107G</t>
  </si>
  <si>
    <t xml:space="preserve">COMPUTER GROUP,TACT-</t>
  </si>
  <si>
    <t xml:space="preserve">B00077B</t>
  </si>
  <si>
    <t xml:space="preserve">WATER PURIFICATION-0500134</t>
  </si>
  <si>
    <t xml:space="preserve">D10027K</t>
  </si>
  <si>
    <t xml:space="preserve">TRUCK,AMBULANCE-M1035A2</t>
  </si>
  <si>
    <t xml:space="preserve">H70172E</t>
  </si>
  <si>
    <t xml:space="preserve">K79002B</t>
  </si>
  <si>
    <t xml:space="preserve">TOOL KIT,VEHICLE,TA-GOV07176</t>
  </si>
  <si>
    <t xml:space="preserve">M50302E</t>
  </si>
  <si>
    <t xml:space="preserve">TOWBAR,MOTOR VEHICL-3428515</t>
  </si>
  <si>
    <t xml:space="preserve">K50602T</t>
  </si>
  <si>
    <t xml:space="preserve">WRENCH,IMPACT,PNEUM-</t>
  </si>
  <si>
    <t xml:space="preserve">H78002B</t>
  </si>
  <si>
    <t xml:space="preserve">CABLE KIT,RADIO FRE-70014</t>
  </si>
  <si>
    <t xml:space="preserve">H79212BA</t>
  </si>
  <si>
    <t xml:space="preserve">ADAPTER KIT,TEST-MKXXXX/U</t>
  </si>
  <si>
    <t xml:space="preserve">B00757B</t>
  </si>
  <si>
    <t xml:space="preserve">SMALL FIELD REFRIGE-SB531.0</t>
  </si>
  <si>
    <t xml:space="preserve">C31502F</t>
  </si>
  <si>
    <t xml:space="preserve">FIRST AID KIT,INDIV-1IFAK</t>
  </si>
  <si>
    <t xml:space="preserve">E11607G</t>
  </si>
  <si>
    <t xml:space="preserve">NIGHT VISION SIGHT-AN/PVS-17C</t>
  </si>
  <si>
    <t xml:space="preserve">C53322E</t>
  </si>
  <si>
    <t xml:space="preserve">PACK ASSEMBLAGE,MED-CAP-1</t>
  </si>
  <si>
    <t xml:space="preserve">A93007G</t>
  </si>
  <si>
    <t xml:space="preserve">COMPUTER SYSTEM,DIG-210-AYSC</t>
  </si>
  <si>
    <t xml:space="preserve">K44962F</t>
  </si>
  <si>
    <t xml:space="preserve">KIT BAG,FLYER'S-</t>
  </si>
  <si>
    <t xml:space="preserve">B00622E</t>
  </si>
  <si>
    <t xml:space="preserve">TOOL KIT,LINEMAN'S-TK-1141</t>
  </si>
  <si>
    <t xml:space="preserve">K79022B</t>
  </si>
  <si>
    <t xml:space="preserve">TOOL KIT,REFRIGERAT-PAC3521</t>
  </si>
  <si>
    <t xml:space="preserve">M28262</t>
  </si>
  <si>
    <t xml:space="preserve">C00392B</t>
  </si>
  <si>
    <t xml:space="preserve">FILTER,WATER PURIFI-41207</t>
  </si>
  <si>
    <t xml:space="preserve">BASIC FACILITY REQUIREMENTS WORKSHEET</t>
  </si>
  <si>
    <t xml:space="preserve">MCB Camp Butler</t>
  </si>
  <si>
    <t xml:space="preserve">3D MED BN</t>
  </si>
  <si>
    <t xml:space="preserve">CCN:</t>
  </si>
  <si>
    <t xml:space="preserve">Nomenclature:</t>
  </si>
  <si>
    <t xml:space="preserve">LOADING ANALYSIS / JUSTIFICATION OF REQUIREMENT</t>
  </si>
  <si>
    <t xml:space="preserve">Description:</t>
  </si>
  <si>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</si>
  <si>
    <t xml:space="preserve">Planning Criteria:</t>
  </si>
  <si>
    <t xml:space="preserve">UFC 2-000-05N 
</t>
  </si>
  <si>
    <t xml:space="preserve">Loading:</t>
  </si>
  <si>
    <t xml:space="preserve">FY2025 Table of Organization</t>
  </si>
  <si>
    <t xml:space="preserve">FY2025 Table of Equipment</t>
  </si>
  <si>
    <t xml:space="preserve">Analysis:</t>
  </si>
  <si>
    <t xml:space="preserve">Subordinate Unit</t>
  </si>
  <si>
    <t xml:space="preserve">Area1</t>
  </si>
  <si>
    <t xml:space="preserve">H&amp;S CO</t>
  </si>
  <si>
    <t xml:space="preserve">SURGICAL CO A</t>
  </si>
  <si>
    <t xml:space="preserve">SURGICAL CO B</t>
  </si>
  <si>
    <t xml:space="preserve">Totals =</t>
  </si>
  <si>
    <t xml:space="preserve">SEE THE ATTACHED PAGES FOR CALCULATIONS</t>
  </si>
  <si>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</si>
  <si>
    <t xml:space="preserve">SY</t>
  </si>
  <si>
    <t xml:space="preserve">Operational Vehicle Laydown Area per UFC 2-000-05N  Table 14312-1</t>
  </si>
  <si>
    <t xml:space="preserve">L (FT)</t>
  </si>
  <si>
    <t xml:space="preserve">Qty</t>
  </si>
  <si>
    <t xml:space="preserve">Area (NSY)</t>
  </si>
  <si>
    <t xml:space="preserve">NTG</t>
  </si>
  <si>
    <t xml:space="preserve">GSY</t>
  </si>
  <si>
    <t xml:space="preserve">A00477B</t>
  </si>
  <si>
    <t xml:space="preserve">A00557G</t>
  </si>
  <si>
    <t xml:space="preserve">A00617G</t>
  </si>
  <si>
    <t xml:space="preserve">A02427G</t>
  </si>
  <si>
    <t xml:space="preserve">A03877G</t>
  </si>
  <si>
    <t xml:space="preserve">A03887G</t>
  </si>
  <si>
    <t xml:space="preserve">A04037G</t>
  </si>
  <si>
    <t xml:space="preserve">A04577G</t>
  </si>
  <si>
    <t xml:space="preserve">A04587G</t>
  </si>
  <si>
    <t xml:space="preserve">A19577G</t>
  </si>
  <si>
    <t xml:space="preserve">A21797G</t>
  </si>
  <si>
    <t xml:space="preserve">A23352B</t>
  </si>
  <si>
    <t xml:space="preserve">A23362B</t>
  </si>
  <si>
    <t xml:space="preserve">A23372B</t>
  </si>
  <si>
    <t xml:space="preserve">A23382B</t>
  </si>
  <si>
    <t xml:space="preserve">A32327G</t>
  </si>
  <si>
    <t xml:space="preserve">B00037B</t>
  </si>
  <si>
    <t xml:space="preserve">B00087BB</t>
  </si>
  <si>
    <t xml:space="preserve">B00147B</t>
  </si>
  <si>
    <t xml:space="preserve">B00327B</t>
  </si>
  <si>
    <t xml:space="preserve">B00367B</t>
  </si>
  <si>
    <t xml:space="preserve">B00377B</t>
  </si>
  <si>
    <t xml:space="preserve">B00387B</t>
  </si>
  <si>
    <t xml:space="preserve">B00637B</t>
  </si>
  <si>
    <t xml:space="preserve">B00747BC</t>
  </si>
  <si>
    <t xml:space="preserve">B01427BA</t>
  </si>
  <si>
    <t xml:space="preserve">B01437B</t>
  </si>
  <si>
    <t xml:space="preserve">B02157BA</t>
  </si>
  <si>
    <t xml:space="preserve">Continued Below</t>
  </si>
  <si>
    <t xml:space="preserve">B03957B</t>
  </si>
  <si>
    <t xml:space="preserve">B04467B</t>
  </si>
  <si>
    <t xml:space="preserve">B05797B</t>
  </si>
  <si>
    <t xml:space="preserve">B06407B</t>
  </si>
  <si>
    <t xml:space="preserve">B06477BA</t>
  </si>
  <si>
    <t xml:space="preserve">B08917B</t>
  </si>
  <si>
    <t xml:space="preserve">B09537B</t>
  </si>
  <si>
    <t xml:space="preserve">B09537BB</t>
  </si>
  <si>
    <t xml:space="preserve">B09807B</t>
  </si>
  <si>
    <t xml:space="preserve">B10457B</t>
  </si>
  <si>
    <t xml:space="preserve">B15807B</t>
  </si>
  <si>
    <t xml:space="preserve">B20857B</t>
  </si>
  <si>
    <t xml:space="preserve">B20867B</t>
  </si>
  <si>
    <t xml:space="preserve">B25617B</t>
  </si>
  <si>
    <t xml:space="preserve">B25657K</t>
  </si>
  <si>
    <t xml:space="preserve">B25667B</t>
  </si>
  <si>
    <t xml:space="preserve">B26857B</t>
  </si>
  <si>
    <t xml:space="preserve">C70337B</t>
  </si>
  <si>
    <t xml:space="preserve">D00027K</t>
  </si>
  <si>
    <t xml:space="preserve">D00057K</t>
  </si>
  <si>
    <t xml:space="preserve">D00097K</t>
  </si>
  <si>
    <t xml:space="preserve">D00117K</t>
  </si>
  <si>
    <t xml:space="preserve">D00137K</t>
  </si>
  <si>
    <t xml:space="preserve">D00157K</t>
  </si>
  <si>
    <t xml:space="preserve">D00167K</t>
  </si>
  <si>
    <t xml:space="preserve">D00167KB</t>
  </si>
  <si>
    <t xml:space="preserve">D00177K</t>
  </si>
  <si>
    <t xml:space="preserve">D00227K</t>
  </si>
  <si>
    <t xml:space="preserve">D00227KA</t>
  </si>
  <si>
    <t xml:space="preserve">D00227KH</t>
  </si>
  <si>
    <t xml:space="preserve">D00257K</t>
  </si>
  <si>
    <t xml:space="preserve">D00277K</t>
  </si>
  <si>
    <t xml:space="preserve">D00307K</t>
  </si>
  <si>
    <t xml:space="preserve">D00317K</t>
  </si>
  <si>
    <t xml:space="preserve">D00327K</t>
  </si>
  <si>
    <t xml:space="preserve">D00337K</t>
  </si>
  <si>
    <t xml:space="preserve">D00347K</t>
  </si>
  <si>
    <t xml:space="preserve">D00357K</t>
  </si>
  <si>
    <t xml:space="preserve">D00367K</t>
  </si>
  <si>
    <t xml:space="preserve">D00422B</t>
  </si>
  <si>
    <t xml:space="preserve">D00432B</t>
  </si>
  <si>
    <t xml:space="preserve">D00467K</t>
  </si>
  <si>
    <t xml:space="preserve">D00527K</t>
  </si>
  <si>
    <t xml:space="preserve">D00537K</t>
  </si>
  <si>
    <t xml:space="preserve">D00547K</t>
  </si>
  <si>
    <t xml:space="preserve">D00557K</t>
  </si>
  <si>
    <t xml:space="preserve">D00857KM</t>
  </si>
  <si>
    <t xml:space="preserve">D01877K0</t>
  </si>
  <si>
    <t xml:space="preserve">D01957KA</t>
  </si>
  <si>
    <t xml:space="preserve">D02117K</t>
  </si>
  <si>
    <t xml:space="preserve">D02157K</t>
  </si>
  <si>
    <t xml:space="preserve">D02357K</t>
  </si>
  <si>
    <t xml:space="preserve">D08867K</t>
  </si>
  <si>
    <t xml:space="preserve">D08877K</t>
  </si>
  <si>
    <t xml:space="preserve">D10627K</t>
  </si>
  <si>
    <t xml:space="preserve">D11257K</t>
  </si>
  <si>
    <t xml:space="preserve">D11587K</t>
  </si>
  <si>
    <t xml:space="preserve">D11587KK</t>
  </si>
  <si>
    <t xml:space="preserve">D12147K</t>
  </si>
  <si>
    <t xml:space="preserve">E00697B</t>
  </si>
  <si>
    <t xml:space="preserve">E00707B</t>
  </si>
  <si>
    <t xml:space="preserve">E13787K</t>
  </si>
  <si>
    <t xml:space="preserve">E18887M</t>
  </si>
  <si>
    <t xml:space="preserve">B07307BA</t>
  </si>
  <si>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</si>
  <si>
    <t xml:space="preserve">FC 2-000-05N
</t>
  </si>
  <si>
    <t xml:space="preserve">NAVFAC Infrastructure Reset BFR Consistency Guide</t>
  </si>
  <si>
    <t xml:space="preserve">FY2029 Table of Organization &amp; Equipment (attached)</t>
  </si>
  <si>
    <t xml:space="preserve">M28262 Surgical Co B per CG MCIPAC endorsement 30 Apr 2026 relocating to MCB Camp Butler; included in this BFR Calculation.</t>
  </si>
  <si>
    <t xml:space="preserve">Interview walkthrough with 3D Medical Battalion, S-4 Logistics OIC on October 30, 2024. </t>
  </si>
  <si>
    <t xml:space="preserve">Total Space Requirement  Armory storage is managed at the battalion level.</t>
  </si>
  <si>
    <t xml:space="preserve">Storage1,2</t>
  </si>
  <si>
    <t xml:space="preserve">Largest Co.</t>
  </si>
  <si>
    <t xml:space="preserve">Cleaning Area3</t>
  </si>
  <si>
    <t xml:space="preserve">Total </t>
  </si>
  <si>
    <t xml:space="preserve">Storage See the attached UFC standard 143-45_MC_Armory.xls spreadsheet. Modified to include add'l TAMCNs</t>
  </si>
  <si>
    <t xml:space="preserve">Weapon Storage (NSF)</t>
  </si>
  <si>
    <t xml:space="preserve">Gross SF</t>
  </si>
  <si>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</si>
  <si>
    <t xml:space="preserve">SF</t>
  </si>
  <si>
    <t xml:space="preserve">Page </t>
  </si>
  <si>
    <t xml:space="preserve">Spreadsheet derived from the UFC standard 143-45_MC_Armory.xls spreadsheet</t>
  </si>
  <si>
    <t xml:space="preserve">TAM #</t>
  </si>
  <si>
    <t xml:space="preserve">DESCRIPTION</t>
  </si>
  <si>
    <t xml:space="preserve">No.</t>
  </si>
  <si>
    <t xml:space="preserve">No. per Unit</t>
  </si>
  <si>
    <t xml:space="preserve">STORAGE UNITS</t>
  </si>
  <si>
    <t xml:space="preserve">SF PER UNIT</t>
  </si>
  <si>
    <t xml:space="preserve">Total (NSF)</t>
  </si>
  <si>
    <t xml:space="preserve">STORAGE TYPE</t>
  </si>
  <si>
    <t xml:space="preserve">METHOD OF STORAGE  (RACK, CABINET, SHELF, ETC.)</t>
  </si>
  <si>
    <t xml:space="preserve">A0152</t>
  </si>
  <si>
    <t xml:space="preserve">Viewer, Night Vision-Recon M18 SWIR</t>
  </si>
  <si>
    <t xml:space="preserve">A1A</t>
  </si>
  <si>
    <t xml:space="preserve">Stored on Configurable Shelf</t>
  </si>
  <si>
    <t xml:space="preserve">C0004</t>
  </si>
  <si>
    <t xml:space="preserve">Night Hunter Flashlight</t>
  </si>
  <si>
    <t xml:space="preserve">C3115</t>
  </si>
  <si>
    <t xml:space="preserve">CASE, AMMO, SML ARMS, 30 RD, F/RIFLE, M16</t>
  </si>
  <si>
    <t xml:space="preserve">C3250</t>
  </si>
  <si>
    <t xml:space="preserve">Knife, Combat, K-Bar</t>
  </si>
  <si>
    <t xml:space="preserve">n/a</t>
  </si>
  <si>
    <t xml:space="preserve">Z1A</t>
  </si>
  <si>
    <t xml:space="preserve">Most knives are hung on the gun rack, therefore the space is included in gun rack floor area.</t>
  </si>
  <si>
    <t xml:space="preserve">C4310</t>
  </si>
  <si>
    <t xml:space="preserve">Carrier, Rocket, Lincloe, Pack Adapter</t>
  </si>
  <si>
    <t xml:space="preserve">E0001</t>
  </si>
  <si>
    <t xml:space="preserve">SIGHT,THERMAL - AN/PAS-25</t>
  </si>
  <si>
    <t xml:space="preserve">E0005</t>
  </si>
  <si>
    <t xml:space="preserve">BINOCULAR NIGHT VISION SYSTEM</t>
  </si>
  <si>
    <t xml:space="preserve">E0006</t>
  </si>
  <si>
    <t xml:space="preserve">Integrated Pointer, Illum, Designator (IZLID)</t>
  </si>
  <si>
    <t xml:space="preserve">E0008</t>
  </si>
  <si>
    <t xml:space="preserve">Individual Weapon, Night Sight I2 (IWNS I2) </t>
  </si>
  <si>
    <t xml:space="preserve">Design still not determined.  Will be stored in Configurable Shelf</t>
  </si>
  <si>
    <t xml:space="preserve">E0012</t>
  </si>
  <si>
    <t xml:space="preserve">Thermal Imager,  Medium Range (MRTB)</t>
  </si>
  <si>
    <t xml:space="preserve">E0013</t>
  </si>
  <si>
    <t xml:space="preserve">TELESCOPE,ARTICULAT - M8541</t>
  </si>
  <si>
    <t xml:space="preserve">Stored on weapon, E1460, E1475, E0103</t>
  </si>
  <si>
    <t xml:space="preserve">E0016</t>
  </si>
  <si>
    <t xml:space="preserve">Telescope, Scout Sniper Observation (Leopold)</t>
  </si>
  <si>
    <t xml:space="preserve">E0017</t>
  </si>
  <si>
    <t xml:space="preserve">Rifle Combat Optic, AN/PVQ-3, RCO-M4</t>
  </si>
  <si>
    <t xml:space="preserve">Stored on Weapon</t>
  </si>
  <si>
    <t xml:space="preserve">E0018</t>
  </si>
  <si>
    <t xml:space="preserve">SIGHT UNIT,MECHANIC - M519</t>
  </si>
  <si>
    <t xml:space="preserve">E0019</t>
  </si>
  <si>
    <t xml:space="preserve">Scout Sniper Night Observation Device</t>
  </si>
  <si>
    <t xml:space="preserve">E0020</t>
  </si>
  <si>
    <t xml:space="preserve">Scout Sniper Mid-Range Night Sight (SSMRNS)</t>
  </si>
  <si>
    <t xml:space="preserve">E0025</t>
  </si>
  <si>
    <t xml:space="preserve">Grenade Launcher, Multi-shot (M32)</t>
  </si>
  <si>
    <t xml:space="preserve">B1D</t>
  </si>
  <si>
    <t xml:space="preserve">5 per rack stacked 2 high</t>
  </si>
  <si>
    <t xml:space="preserve">E0027</t>
  </si>
  <si>
    <t xml:space="preserve">BINOCULAR NIGHT VISION GOGGLE</t>
  </si>
  <si>
    <t xml:space="preserve">E0028</t>
  </si>
  <si>
    <t xml:space="preserve">Rifle, Sniper, Semi-Auto (MK11)</t>
  </si>
  <si>
    <t xml:space="preserve">EIJ</t>
  </si>
  <si>
    <t xml:space="preserve">Stored in hard case, 52" L x 17.5 " W x 6" H, stacked 5 high</t>
  </si>
  <si>
    <t xml:space="preserve">E0031</t>
  </si>
  <si>
    <t xml:space="preserve">CLIP-ON THERMAL IMAGER</t>
  </si>
  <si>
    <t xml:space="preserve">E0032</t>
  </si>
  <si>
    <t xml:space="preserve">MISSION PAYLOAD MODULE-NON-LETHAL WEAPONS SYSTEM</t>
  </si>
  <si>
    <t xml:space="preserve">D1B</t>
  </si>
  <si>
    <t xml:space="preserve">2 per 48"Lx24"Wx84"H, cabinet</t>
  </si>
  <si>
    <t xml:space="preserve">E0038</t>
  </si>
  <si>
    <t xml:space="preserve">Visible Light Illuminator</t>
  </si>
  <si>
    <t xml:space="preserve">E0040</t>
  </si>
  <si>
    <t xml:space="preserve">Suppressor, M-9</t>
  </si>
  <si>
    <t xml:space="preserve">Stored on weapon</t>
  </si>
  <si>
    <t xml:space="preserve">E0042</t>
  </si>
  <si>
    <t xml:space="preserve">Suppressor, M-17</t>
  </si>
  <si>
    <t xml:space="preserve">Portable Lightweight Designator Rangefinder (PLDR)</t>
  </si>
  <si>
    <t xml:space="preserve">E1M</t>
  </si>
  <si>
    <t xml:space="preserve">Future Equipment, Stacked in hard case 3 high</t>
  </si>
  <si>
    <t xml:space="preserve">E0050</t>
  </si>
  <si>
    <t xml:space="preserve">Bayonet-Knife, M7</t>
  </si>
  <si>
    <t xml:space="preserve">E0053</t>
  </si>
  <si>
    <t xml:space="preserve">Non Lethal Visual Haling Device (GBD IIIC)</t>
  </si>
  <si>
    <t xml:space="preserve">E0054</t>
  </si>
  <si>
    <t xml:space="preserve">RANGE FINDER,LASER - AN/PEQ-13</t>
  </si>
  <si>
    <t xml:space="preserve">E0055</t>
  </si>
  <si>
    <t xml:space="preserve">Equipment Set, SABER/ Includes Battery Box (LBB)</t>
  </si>
  <si>
    <t xml:space="preserve">E1A</t>
  </si>
  <si>
    <t xml:space="preserve">Stacked in cases, one complete unit per stack.</t>
  </si>
  <si>
    <t xml:space="preserve">E0059</t>
  </si>
  <si>
    <t xml:space="preserve">ILLUMINATOR,INFRARE - AN/PEQ-16B</t>
  </si>
  <si>
    <t xml:space="preserve">E0060</t>
  </si>
  <si>
    <t xml:space="preserve">SABER Far Target Locator (FTL)</t>
  </si>
  <si>
    <t xml:space="preserve">Hard case stacked 4 high</t>
  </si>
  <si>
    <t xml:space="preserve">E0081</t>
  </si>
  <si>
    <t xml:space="preserve">MEDIUM MACHINE GUN VEHICLE MOUNT (MMGVM)</t>
  </si>
  <si>
    <t xml:space="preserve">E1D</t>
  </si>
  <si>
    <t xml:space="preserve">Store in embark boxes stacked 4 high</t>
  </si>
  <si>
    <t xml:space="preserve">E0082</t>
  </si>
  <si>
    <t xml:space="preserve">SIGHTUNIT - TA11SDO</t>
  </si>
  <si>
    <t xml:space="preserve">E0088</t>
  </si>
  <si>
    <t xml:space="preserve">SIGHTUNIT - TA648MDO</t>
  </si>
  <si>
    <t xml:space="preserve">E0095</t>
  </si>
  <si>
    <t xml:space="preserve">PERISCOPE,PORTABLE - SU-256/U</t>
  </si>
  <si>
    <t xml:space="preserve">E0096</t>
  </si>
  <si>
    <t xml:space="preserve">SCOUT SNIPER BALLISTIC COMPUTER</t>
  </si>
  <si>
    <t xml:space="preserve">E0097</t>
  </si>
  <si>
    <t xml:space="preserve">TOW ITAS BST - 13586323</t>
  </si>
  <si>
    <t xml:space="preserve">E0099</t>
  </si>
  <si>
    <t xml:space="preserve">SIGHT, HOLOGRAPHIC</t>
  </si>
  <si>
    <t xml:space="preserve">E0100</t>
  </si>
  <si>
    <t xml:space="preserve">Rifle, 5.56mm</t>
  </si>
  <si>
    <t xml:space="preserve">B1B</t>
  </si>
  <si>
    <t xml:space="preserve">10 per rack, stacked 2 high</t>
  </si>
  <si>
    <t xml:space="preserve">E0103</t>
  </si>
  <si>
    <t xml:space="preserve">RIFLE,7.62 MILLIMET - M110</t>
  </si>
  <si>
    <t xml:space="preserve">C1A</t>
  </si>
  <si>
    <t xml:space="preserve">8 per rack stacked 2 high + space for cases</t>
  </si>
  <si>
    <t xml:space="preserve">E0105</t>
  </si>
  <si>
    <t xml:space="preserve">VIEWER KIT,COMMANDE - CVK</t>
  </si>
  <si>
    <t xml:space="preserve">E0106</t>
  </si>
  <si>
    <t xml:space="preserve">SABER Maintenance Kit</t>
  </si>
  <si>
    <t xml:space="preserve">E1I</t>
  </si>
  <si>
    <t xml:space="preserve">E0108</t>
  </si>
  <si>
    <t xml:space="preserve">GLARE MOUT 532P-M</t>
  </si>
  <si>
    <t xml:space="preserve">E0109</t>
  </si>
  <si>
    <t xml:space="preserve">OCULAR INTERRUPTION DEVICE</t>
  </si>
  <si>
    <t xml:space="preserve">E0116</t>
  </si>
  <si>
    <t xml:space="preserve">STOW AND GO KIT COM - M32A1</t>
  </si>
  <si>
    <t xml:space="preserve">E0117</t>
  </si>
  <si>
    <t xml:space="preserve">Sight Bore, Optical-M7</t>
  </si>
  <si>
    <t xml:space="preserve">E0118</t>
  </si>
  <si>
    <t xml:space="preserve">SIGHT UNIT,MECHANIC - M521</t>
  </si>
  <si>
    <t xml:space="preserve">Stored on weapon, E0018</t>
  </si>
  <si>
    <t xml:space="preserve">E0119</t>
  </si>
  <si>
    <t xml:space="preserve">SIGHT,REFLEX - M553</t>
  </si>
  <si>
    <t xml:space="preserve">E0120</t>
  </si>
  <si>
    <t xml:space="preserve">MOUNT,SIGHT,SMALL A</t>
  </si>
  <si>
    <t xml:space="preserve">E0123</t>
  </si>
  <si>
    <t xml:space="preserve">Machine Gun, CAL .50, M2A1</t>
  </si>
  <si>
    <t xml:space="preserve">B1F</t>
  </si>
  <si>
    <t xml:space="preserve">4 per rack stacked 1 high</t>
  </si>
  <si>
    <t xml:space="preserve">E0127</t>
  </si>
  <si>
    <t xml:space="preserve">Suppressor, Small Arms</t>
  </si>
  <si>
    <t xml:space="preserve">Stored on weapon, E0190</t>
  </si>
  <si>
    <t xml:space="preserve">E0128</t>
  </si>
  <si>
    <t xml:space="preserve">Squad Thermal Sight</t>
  </si>
  <si>
    <t xml:space="preserve">E0131</t>
  </si>
  <si>
    <t xml:space="preserve">Stored on weapon, E0103</t>
  </si>
  <si>
    <t xml:space="preserve">E0132</t>
  </si>
  <si>
    <t xml:space="preserve">Stored on weapon, E1460</t>
  </si>
  <si>
    <t xml:space="preserve">E0134</t>
  </si>
  <si>
    <t xml:space="preserve">SIGHTUNIT - SU-277/PSQ</t>
  </si>
  <si>
    <t xml:space="preserve">E0135</t>
  </si>
  <si>
    <t xml:space="preserve">Gage Kit, Small Arms</t>
  </si>
  <si>
    <t xml:space="preserve">A1B</t>
  </si>
  <si>
    <t xml:space="preserve">included in 2171 workspace</t>
  </si>
  <si>
    <t xml:space="preserve">E0139</t>
  </si>
  <si>
    <t xml:space="preserve">BORESCOPE - M1026</t>
  </si>
  <si>
    <t xml:space="preserve">E0140</t>
  </si>
  <si>
    <t xml:space="preserve">KIT,BORESIGHT,MACHI - M2</t>
  </si>
  <si>
    <t xml:space="preserve">E0144</t>
  </si>
  <si>
    <t xml:space="preserve">Boresight, M115</t>
  </si>
  <si>
    <t xml:space="preserve">include in 60mm mortar</t>
  </si>
  <si>
    <t xml:space="preserve">E0154</t>
  </si>
  <si>
    <t xml:space="preserve">Alignment Device, OP-4500-0047</t>
  </si>
  <si>
    <t xml:space="preserve">E0156</t>
  </si>
  <si>
    <t xml:space="preserve">SIGHT,THERMAL - AN/PAS-13G(V)1</t>
  </si>
  <si>
    <t xml:space="preserve">E0161</t>
  </si>
  <si>
    <t xml:space="preserve">Range Finder, Laser</t>
  </si>
  <si>
    <t xml:space="preserve">E0168</t>
  </si>
  <si>
    <t xml:space="preserve">Flashlight -X300U-A</t>
  </si>
  <si>
    <t xml:space="preserve">E0171</t>
  </si>
  <si>
    <t xml:space="preserve">MFOM COMMON TEST DE - XM1102</t>
  </si>
  <si>
    <t xml:space="preserve">E0173</t>
  </si>
  <si>
    <t xml:space="preserve">Illuminator, Integral - HF4A</t>
  </si>
  <si>
    <t xml:space="preserve">E0174</t>
  </si>
  <si>
    <t xml:space="preserve">Sniper Range Finder</t>
  </si>
  <si>
    <t xml:space="preserve">E0177</t>
  </si>
  <si>
    <t xml:space="preserve">Binocular, Mini, M24</t>
  </si>
  <si>
    <t xml:space="preserve">E0179</t>
  </si>
  <si>
    <t xml:space="preserve">BORESCOPE - M3</t>
  </si>
  <si>
    <t xml:space="preserve">E0180</t>
  </si>
  <si>
    <t xml:space="preserve">Aiming Circle, M2A2</t>
  </si>
  <si>
    <t xml:space="preserve">E0181</t>
  </si>
  <si>
    <t xml:space="preserve">CALIBER.50,INBORE T - A51124</t>
  </si>
  <si>
    <t xml:space="preserve">E1Q</t>
  </si>
  <si>
    <t xml:space="preserve">W/case stack 4 high</t>
  </si>
  <si>
    <t xml:space="preserve">E0190</t>
  </si>
  <si>
    <t xml:space="preserve">M4A1</t>
  </si>
  <si>
    <t xml:space="preserve">E0195</t>
  </si>
  <si>
    <t xml:space="preserve">Carbine, MWS, 5.56mm</t>
  </si>
  <si>
    <t xml:space="preserve">B1C</t>
  </si>
  <si>
    <t xml:space="preserve">E0207</t>
  </si>
  <si>
    <t xml:space="preserve">Command Launch Unit, Javelin</t>
  </si>
  <si>
    <t xml:space="preserve">E1B</t>
  </si>
  <si>
    <t xml:space="preserve">Stacked 3 high</t>
  </si>
  <si>
    <t xml:space="preserve">E0210</t>
  </si>
  <si>
    <t xml:space="preserve">Compass, Magnetic, Unmounted M/E</t>
  </si>
  <si>
    <t xml:space="preserve">E0309</t>
  </si>
  <si>
    <t xml:space="preserve">Data Scope UGWS (not on TE)</t>
  </si>
  <si>
    <t xml:space="preserve">E0311</t>
  </si>
  <si>
    <t xml:space="preserve">Rifle, Designated Marksman (M14)</t>
  </si>
  <si>
    <t xml:space="preserve">E1G</t>
  </si>
  <si>
    <t xml:space="preserve">Stacked in boxes 4 high</t>
  </si>
  <si>
    <t xml:space="preserve">E0325</t>
  </si>
  <si>
    <t xml:space="preserve">Equipment Set, Night vision (MULE)</t>
  </si>
  <si>
    <t xml:space="preserve">E0330</t>
  </si>
  <si>
    <t xml:space="preserve">Equipment Set, Night Vision, for E0935 (include w/ tow)</t>
  </si>
  <si>
    <t xml:space="preserve">included in TOW</t>
  </si>
  <si>
    <t xml:space="preserve">E0359</t>
  </si>
  <si>
    <t xml:space="preserve">Remote Firing Device, MK-152</t>
  </si>
  <si>
    <t xml:space="preserve">E0500</t>
  </si>
  <si>
    <t xml:space="preserve">ACCESSORY OUTFIT,FO</t>
  </si>
  <si>
    <t xml:space="preserve">E0870</t>
  </si>
  <si>
    <t xml:space="preserve">Observation Set, Laser, Infrared    AN/GVS-5</t>
  </si>
  <si>
    <t xml:space="preserve">E0871</t>
  </si>
  <si>
    <t xml:space="preserve">Ranger Finder, Laser, Common</t>
  </si>
  <si>
    <t xml:space="preserve">E0892</t>
  </si>
  <si>
    <t xml:space="preserve">Launcher, Grenade 40mm</t>
  </si>
  <si>
    <t xml:space="preserve">Most grenade launchers are attached to guns, therefore the space is included in gun rack floor area.</t>
  </si>
  <si>
    <t xml:space="preserve">E0915</t>
  </si>
  <si>
    <t xml:space="preserve">Launcher, Rocket, Assault, 83mm, MK 153</t>
  </si>
  <si>
    <t xml:space="preserve">B1A</t>
  </si>
  <si>
    <t xml:space="preserve">Stored in configurable Universal Weapons Rack (UWS)</t>
  </si>
  <si>
    <t xml:space="preserve">E0935</t>
  </si>
  <si>
    <t xml:space="preserve">Batteries GM/TOW</t>
  </si>
  <si>
    <t xml:space="preserve">Launcher, Tubular, F/GM TOW Weapon System (includes case)</t>
  </si>
  <si>
    <t xml:space="preserve">E1P</t>
  </si>
  <si>
    <t xml:space="preserve">Stored stacked on floor</t>
  </si>
  <si>
    <t xml:space="preserve">E0955</t>
  </si>
  <si>
    <t xml:space="preserve">Light, Aiming, Infrared AN/PAQ-4C</t>
  </si>
  <si>
    <t xml:space="preserve">E0957</t>
  </si>
  <si>
    <t xml:space="preserve">Integrated Laser Light Illuminator (AN/PEQ-6A)</t>
  </si>
  <si>
    <t xml:space="preserve">E0960</t>
  </si>
  <si>
    <t xml:space="preserve">Machine Gun, Light Squad, Automatic Weapon (SAW)</t>
  </si>
  <si>
    <t xml:space="preserve">B1E</t>
  </si>
  <si>
    <t xml:space="preserve">6 per rack stacked 2 high</t>
  </si>
  <si>
    <t xml:space="preserve">Spare Barrels/ A-Bag, SAW</t>
  </si>
  <si>
    <t xml:space="preserve">Z1B</t>
  </si>
  <si>
    <t xml:space="preserve">Spare barrels can be stored in between weapon system in UWS</t>
  </si>
  <si>
    <t xml:space="preserve">E0980</t>
  </si>
  <si>
    <t xml:space="preserve">Machine Gun, CAL .50, Browning, HB Flexi, M2</t>
  </si>
  <si>
    <t xml:space="preserve">E0984</t>
  </si>
  <si>
    <t xml:space="preserve">MACHINE GUN,CALIBER - M48</t>
  </si>
  <si>
    <t xml:space="preserve">E0989</t>
  </si>
  <si>
    <t xml:space="preserve">Machine Gun, Med, 7.62 mm, Ground Version, M240G</t>
  </si>
  <si>
    <t xml:space="preserve">B1I</t>
  </si>
  <si>
    <t xml:space="preserve">6 per rack stacked 1 high</t>
  </si>
  <si>
    <t xml:space="preserve">Spare Barrels/ A-Bag, M240G</t>
  </si>
  <si>
    <t xml:space="preserve">E0994</t>
  </si>
  <si>
    <t xml:space="preserve">Machine Gun, 40 mm , MK-19</t>
  </si>
  <si>
    <t xml:space="preserve">B1G</t>
  </si>
  <si>
    <t xml:space="preserve">E0997</t>
  </si>
  <si>
    <t xml:space="preserve">Machine Gun, 40mm, MK-19, UGWS</t>
  </si>
  <si>
    <t xml:space="preserve">B1H</t>
  </si>
  <si>
    <t xml:space="preserve">E0998</t>
  </si>
  <si>
    <t xml:space="preserve">MACHINE GUN,7.62 MI - M240</t>
  </si>
  <si>
    <t xml:space="preserve">E0999</t>
  </si>
  <si>
    <t xml:space="preserve">Machine Gun, .50 cal, M48, UGWS</t>
  </si>
  <si>
    <t xml:space="preserve">B1J</t>
  </si>
  <si>
    <t xml:space="preserve">Spare Barrels/ A-Bag, M48</t>
  </si>
  <si>
    <t xml:space="preserve">Spare barrels can be stored in between weapon system in UWR</t>
  </si>
  <si>
    <t xml:space="preserve">E1029</t>
  </si>
  <si>
    <t xml:space="preserve">SOFLAM</t>
  </si>
  <si>
    <t xml:space="preserve">E1N</t>
  </si>
  <si>
    <t xml:space="preserve">Stacked in hard case 3 high</t>
  </si>
  <si>
    <t xml:space="preserve">E1030</t>
  </si>
  <si>
    <t xml:space="preserve">Target Designator II, Laser, Ground (GLTDII), AN/PEQ-1B</t>
  </si>
  <si>
    <t xml:space="preserve">E1C</t>
  </si>
  <si>
    <t xml:space="preserve">E1045</t>
  </si>
  <si>
    <t xml:space="preserve">Laser Equipment, Universal, Modular, AN/PAQ-3 (MULE)</t>
  </si>
  <si>
    <t xml:space="preserve">E1L</t>
  </si>
  <si>
    <t xml:space="preserve">One set is stored as 3 boxes stacked</t>
  </si>
  <si>
    <t xml:space="preserve">E1046</t>
  </si>
  <si>
    <t xml:space="preserve">Range Finder, Laser Designator, LTWT (LLDR), AN/PED- 1</t>
  </si>
  <si>
    <t xml:space="preserve">E1047</t>
  </si>
  <si>
    <t xml:space="preserve">Range Finder, Laser, Eye Safe, Binocular (VIPER)</t>
  </si>
  <si>
    <t xml:space="preserve">E1048</t>
  </si>
  <si>
    <t xml:space="preserve">Common Laser Range Finder (CLRF/ VECTOR 21/ 21B) AN/PEQ-13</t>
  </si>
  <si>
    <t xml:space="preserve">E1049</t>
  </si>
  <si>
    <t xml:space="preserve">Module, North Finding </t>
  </si>
  <si>
    <t xml:space="preserve">E1065</t>
  </si>
  <si>
    <t xml:space="preserve">Mortar, 60MM, LWCMS (bipod and sights stored above tubes</t>
  </si>
  <si>
    <t xml:space="preserve">Stored in Universal Weapons Rack (UWS).  Bipod and Sights shelved above tube.</t>
  </si>
  <si>
    <t xml:space="preserve">E1095</t>
  </si>
  <si>
    <t xml:space="preserve">Mortar, Medium, 81mm, (tripod and sights stored above tubes)</t>
  </si>
  <si>
    <t xml:space="preserve">Stored in Universal Weapons Rack (UWS).  Tripod and Sights shelved above tube.</t>
  </si>
  <si>
    <t xml:space="preserve">E1115</t>
  </si>
  <si>
    <t xml:space="preserve">Mount, Tripod Heavy MG (MK-123)</t>
  </si>
  <si>
    <t xml:space="preserve">Stored in Universal Weapons Rack (UWS), stacked 2 high</t>
  </si>
  <si>
    <t xml:space="preserve">E1120</t>
  </si>
  <si>
    <t xml:space="preserve">Mount, Tripod, MG, 7.62 mm (M122)</t>
  </si>
  <si>
    <t xml:space="preserve">E1121</t>
  </si>
  <si>
    <t xml:space="preserve">Mount, Tripod, MG, (LTWT MK-125)</t>
  </si>
  <si>
    <t xml:space="preserve">E1123</t>
  </si>
  <si>
    <t xml:space="preserve">Mount, Standard Config (MK64, MOD5 + Tray)</t>
  </si>
  <si>
    <t xml:space="preserve">E1126</t>
  </si>
  <si>
    <t xml:space="preserve">Mount, Tripod, MG (M3)</t>
  </si>
  <si>
    <t xml:space="preserve">E1O</t>
  </si>
  <si>
    <t xml:space="preserve">12 per custom 72" L x 24"W x 60"H, 5 shelf system </t>
  </si>
  <si>
    <t xml:space="preserve">E1152</t>
  </si>
  <si>
    <t xml:space="preserve">Goggles, Night Vision, Individual, AN/PVS-7B</t>
  </si>
  <si>
    <t xml:space="preserve">E1154</t>
  </si>
  <si>
    <t xml:space="preserve">Intensifier, Image, Night Vision (AN/PVS-14)</t>
  </si>
  <si>
    <t xml:space="preserve">E1158</t>
  </si>
  <si>
    <t xml:space="preserve">Sight, Night Vision, Weapon, Individual (AN/PVS-4)</t>
  </si>
  <si>
    <t xml:space="preserve">E1159</t>
  </si>
  <si>
    <t xml:space="preserve">Sight, Night Vision, Weapon, Crew Served (AN/TVS-5)</t>
  </si>
  <si>
    <t xml:space="preserve">E1160</t>
  </si>
  <si>
    <t xml:space="preserve">Sight, Night Vision, Mini 4.5X, AN/PVS-17C</t>
  </si>
  <si>
    <t xml:space="preserve">E1162</t>
  </si>
  <si>
    <t xml:space="preserve">Sight, Night Vision, Mini 2.25X, AN/PVS-17B</t>
  </si>
  <si>
    <t xml:space="preserve">E1165</t>
  </si>
  <si>
    <t xml:space="preserve">Periscope, BC, w /tripod (not on TE)</t>
  </si>
  <si>
    <t xml:space="preserve">E1R</t>
  </si>
  <si>
    <t xml:space="preserve">In case, stack 2 high</t>
  </si>
  <si>
    <t xml:space="preserve">E1205</t>
  </si>
  <si>
    <t xml:space="preserve">Ballistic Computer, Mortar, Handheld LTWT </t>
  </si>
  <si>
    <t xml:space="preserve">Included in E10657M Space</t>
  </si>
  <si>
    <t xml:space="preserve">E1250</t>
  </si>
  <si>
    <t xml:space="preserve">Pistol, 9mm, Semiautomatic</t>
  </si>
  <si>
    <t xml:space="preserve">B1M</t>
  </si>
  <si>
    <t xml:space="preserve">Stored on Pistol Shelf</t>
  </si>
  <si>
    <t xml:space="preserve">E1251</t>
  </si>
  <si>
    <t xml:space="preserve">Pistol, MEU (SOC), .45 cal</t>
  </si>
  <si>
    <t xml:space="preserve">E1255</t>
  </si>
  <si>
    <t xml:space="preserve">Kit, Purging</t>
  </si>
  <si>
    <t xml:space="preserve">E1256</t>
  </si>
  <si>
    <t xml:space="preserve">TOW Precision Gunnery Training System (not on TE)</t>
  </si>
  <si>
    <t xml:space="preserve">E1S</t>
  </si>
  <si>
    <t xml:space="preserve">Stacked in cases (includes Instructor Training Station)</t>
  </si>
  <si>
    <t xml:space="preserve">E1260</t>
  </si>
  <si>
    <t xml:space="preserve">Quadrant, Fire Control, w/ Case Carrying</t>
  </si>
  <si>
    <t xml:space="preserve">E1441</t>
  </si>
  <si>
    <t xml:space="preserve">Rifle, 5.56mm, M16A2                          Substitute:  E14422M </t>
  </si>
  <si>
    <t xml:space="preserve">10 per rack stacked 2 high</t>
  </si>
  <si>
    <t xml:space="preserve">E1442</t>
  </si>
  <si>
    <t xml:space="preserve">Rifle, 5.56mm, M16A4</t>
  </si>
  <si>
    <t xml:space="preserve">E1450</t>
  </si>
  <si>
    <t xml:space="preserve">Rifle, 7.62mm M14</t>
  </si>
  <si>
    <t xml:space="preserve">B1K</t>
  </si>
  <si>
    <t xml:space="preserve">E1460</t>
  </si>
  <si>
    <t xml:space="preserve">Rifle, Sniper, 7.62mm, w/ Equipment</t>
  </si>
  <si>
    <t xml:space="preserve">E1475</t>
  </si>
  <si>
    <t xml:space="preserve">Rifle, Scoped, Special Application .50 Caliber</t>
  </si>
  <si>
    <t xml:space="preserve">E1K</t>
  </si>
  <si>
    <t xml:space="preserve">2 cases stacked</t>
  </si>
  <si>
    <t xml:space="preserve">E1710</t>
  </si>
  <si>
    <t xml:space="preserve">Sight, Bore, Optical, RCO-A4</t>
  </si>
  <si>
    <t xml:space="preserve">E1760</t>
  </si>
  <si>
    <t xml:space="preserve">Shotgun, 12 Gauge, 590</t>
  </si>
  <si>
    <t xml:space="preserve">B1L</t>
  </si>
  <si>
    <t xml:space="preserve">E1761</t>
  </si>
  <si>
    <t xml:space="preserve">Shotgun, 12 Gauge, Combat M1014, JSCS</t>
  </si>
  <si>
    <t xml:space="preserve">E1762</t>
  </si>
  <si>
    <t xml:space="preserve">Shotgun, 12 Gauge, Combat, M500A2</t>
  </si>
  <si>
    <t xml:space="preserve">E1779</t>
  </si>
  <si>
    <t xml:space="preserve">Sight, Day/ Night, Grenade Launcher (AN/PSQ-18A)</t>
  </si>
  <si>
    <t xml:space="preserve">E1780</t>
  </si>
  <si>
    <t xml:space="preserve">Sight, Bore, Mortar, w/ Case</t>
  </si>
  <si>
    <t xml:space="preserve">Storage already captured with weapon's SL3 gear space</t>
  </si>
  <si>
    <t xml:space="preserve">E1790</t>
  </si>
  <si>
    <t xml:space="preserve">Night Sight, Sniper, AN/PVS-10</t>
  </si>
  <si>
    <t xml:space="preserve">E1791</t>
  </si>
  <si>
    <t xml:space="preserve">Gunsight, Optical Cmbt, Advanced (ACOG)</t>
  </si>
  <si>
    <t xml:space="preserve">E1793</t>
  </si>
  <si>
    <t xml:space="preserve">Day/ Night Sight </t>
  </si>
  <si>
    <t xml:space="preserve">E1798</t>
  </si>
  <si>
    <t xml:space="preserve">Illuminator (AN/PEQ-2) </t>
  </si>
  <si>
    <t xml:space="preserve">Illuminator, Infrared (AN/PEQ-16)</t>
  </si>
  <si>
    <t xml:space="preserve">E1799</t>
  </si>
  <si>
    <t xml:space="preserve">Illuminator, Laser, Medium Power  (AN/PEQ-4)</t>
  </si>
  <si>
    <t xml:space="preserve">E1900</t>
  </si>
  <si>
    <t xml:space="preserve">Telescope, Observation, w/ equipment (M49)</t>
  </si>
  <si>
    <t xml:space="preserve">E1904</t>
  </si>
  <si>
    <t xml:space="preserve">Test Set, Amplifier</t>
  </si>
  <si>
    <t xml:space="preserve">E1909</t>
  </si>
  <si>
    <t xml:space="preserve">Test Set, Boresight, Collimator</t>
  </si>
  <si>
    <t xml:space="preserve">E1911</t>
  </si>
  <si>
    <t xml:space="preserve">Test Set, Missile Guidance          (AN/TSM 152)</t>
  </si>
  <si>
    <t xml:space="preserve">include in 2111 or 2171 space</t>
  </si>
  <si>
    <t xml:space="preserve">E1912</t>
  </si>
  <si>
    <t xml:space="preserve">Test Set, GM</t>
  </si>
  <si>
    <t xml:space="preserve">E1947</t>
  </si>
  <si>
    <t xml:space="preserve">Night Vision Test Set</t>
  </si>
  <si>
    <t xml:space="preserve">E1948</t>
  </si>
  <si>
    <t xml:space="preserve">Test Set, Electronic System (TS-4348/UV, include in 211 space)</t>
  </si>
  <si>
    <t xml:space="preserve">E1975</t>
  </si>
  <si>
    <t xml:space="preserve">Sight, Weapon, Thermal Medium  (MTWS)</t>
  </si>
  <si>
    <t xml:space="preserve">E1976</t>
  </si>
  <si>
    <t xml:space="preserve">Sight, Weapon, Thermal, Heavy (HTWS)</t>
  </si>
  <si>
    <t xml:space="preserve">E1978</t>
  </si>
  <si>
    <t xml:space="preserve">Thermal Imager, Long Range (AN/PAS-22, with SL-3 case)</t>
  </si>
  <si>
    <t xml:space="preserve">Thermal, Imager, Long Range (SOPHIE) (to be replaced by AN/PAS-22; will keep same TAM)</t>
  </si>
  <si>
    <t xml:space="preserve">E2070</t>
  </si>
  <si>
    <t xml:space="preserve">Tool Kit, Boresight, Fixture, Rocket Launcher</t>
  </si>
  <si>
    <t xml:space="preserve">E2208</t>
  </si>
  <si>
    <t xml:space="preserve">Tool Kit, Elect-Optic (include in technician space)</t>
  </si>
  <si>
    <t xml:space="preserve">E2827</t>
  </si>
  <si>
    <t xml:space="preserve">Tool Kit, OM, F/SASR (M82A3)</t>
  </si>
  <si>
    <t xml:space="preserve">E2829</t>
  </si>
  <si>
    <t xml:space="preserve">Tool Kit, OM, F/M240 MG</t>
  </si>
  <si>
    <t xml:space="preserve">E2900</t>
  </si>
  <si>
    <t xml:space="preserve">Tool Kit, Small Arms, Repairman's (include in 2111)</t>
  </si>
  <si>
    <t xml:space="preserve">included in 2111 or 2171 space</t>
  </si>
  <si>
    <t xml:space="preserve">E3094</t>
  </si>
  <si>
    <t xml:space="preserve">Tool Set, OM, F/40mm MG (MK19 Mod 3)</t>
  </si>
  <si>
    <t xml:space="preserve">E3173</t>
  </si>
  <si>
    <t xml:space="preserve">AT-4 Trainer</t>
  </si>
  <si>
    <t xml:space="preserve">E5000</t>
  </si>
  <si>
    <t xml:space="preserve">RIFLE, AK-47 ASSAULT</t>
  </si>
  <si>
    <t xml:space="preserve">E5002</t>
  </si>
  <si>
    <t xml:space="preserve">Launcher, Practice (LAW)</t>
  </si>
  <si>
    <t xml:space="preserve">E5003</t>
  </si>
  <si>
    <t xml:space="preserve">GUN, RPD LIGHT MACHINE</t>
  </si>
  <si>
    <t xml:space="preserve">E5004</t>
  </si>
  <si>
    <t xml:space="preserve">RIFLE, AK-74 ASSAULT</t>
  </si>
  <si>
    <t xml:space="preserve">E5005</t>
  </si>
  <si>
    <t xml:space="preserve">RPG-7V</t>
  </si>
  <si>
    <t xml:space="preserve">E5006</t>
  </si>
  <si>
    <t xml:space="preserve">ROCKET LAUNCHER (RPG 22)</t>
  </si>
  <si>
    <t xml:space="preserve">4 per rack stacked 2 high</t>
  </si>
  <si>
    <t xml:space="preserve">E5007</t>
  </si>
  <si>
    <t xml:space="preserve">MORTAR, 82MM RUSSIAN</t>
  </si>
  <si>
    <t xml:space="preserve">E5008</t>
  </si>
  <si>
    <t xml:space="preserve">GUN, DSHK HEAVY MACHINE</t>
  </si>
  <si>
    <t xml:space="preserve">E5009</t>
  </si>
  <si>
    <t xml:space="preserve">RIFLE, SVD SNIPER</t>
  </si>
  <si>
    <t xml:space="preserve">7 per rack stacked 2 high + space for cases</t>
  </si>
  <si>
    <t xml:space="preserve">E5010</t>
  </si>
  <si>
    <t xml:space="preserve">GUN, PKM GENERAL PURPOSE MACHINE</t>
  </si>
  <si>
    <t xml:space="preserve">E5011</t>
  </si>
  <si>
    <t xml:space="preserve">RIFLE, G-3 ASSAULT</t>
  </si>
  <si>
    <t xml:space="preserve">E5012</t>
  </si>
  <si>
    <t xml:space="preserve">7.62X51MM LIGHT AUTOMATIC RIFLE (FN/FAL)</t>
  </si>
  <si>
    <t xml:space="preserve">E5013</t>
  </si>
  <si>
    <t xml:space="preserve">ROCKET, OG-7 REPLICA TRAINER</t>
  </si>
  <si>
    <t xml:space="preserve">E7900</t>
  </si>
  <si>
    <t xml:space="preserve">Tool Kit, Small Arms</t>
  </si>
  <si>
    <t xml:space="preserve"> include in 2111 or 2171 space</t>
  </si>
  <si>
    <t xml:space="preserve">E7901</t>
  </si>
  <si>
    <t xml:space="preserve">TOOL KIT,ELECTRO-OP - TK-2171</t>
  </si>
  <si>
    <t xml:space="preserve">E0956</t>
  </si>
  <si>
    <t xml:space="preserve">Boresight System, Laser</t>
  </si>
  <si>
    <t xml:space="preserve">K4038</t>
  </si>
  <si>
    <t xml:space="preserve">Binocular System , 7x50, M22</t>
  </si>
  <si>
    <t xml:space="preserve">K4182</t>
  </si>
  <si>
    <t xml:space="preserve">Chest, Pistol, Wood</t>
  </si>
  <si>
    <t xml:space="preserve"> </t>
  </si>
  <si>
    <t xml:space="preserve">E1F</t>
  </si>
  <si>
    <t xml:space="preserve">In boxes, stack 4 high</t>
  </si>
  <si>
    <t xml:space="preserve">K4222</t>
  </si>
  <si>
    <t xml:space="preserve">Compass, Magnetic, Unmounted </t>
  </si>
  <si>
    <t xml:space="preserve">K4520</t>
  </si>
  <si>
    <t xml:space="preserve">Machete, Rigid Handle (not on TE)</t>
  </si>
  <si>
    <t xml:space="preserve">most stacked between M-17</t>
  </si>
  <si>
    <t xml:space="preserve">N6018</t>
  </si>
  <si>
    <t xml:space="preserve">Inbore Device, .50 Cal (not on TE)</t>
  </si>
  <si>
    <t xml:space="preserve">N6030</t>
  </si>
  <si>
    <t xml:space="preserve">N6180</t>
  </si>
  <si>
    <t xml:space="preserve">Tow Ballistic Blanket</t>
  </si>
  <si>
    <t xml:space="preserve">GAU-16/A  .50 CAL</t>
  </si>
  <si>
    <t xml:space="preserve">D1A</t>
  </si>
  <si>
    <t xml:space="preserve">2 per cabinet includes space for SL3</t>
  </si>
  <si>
    <t xml:space="preserve">GAU-17/A   7.62MM</t>
  </si>
  <si>
    <t xml:space="preserve">GAU-21  .50 CAL</t>
  </si>
  <si>
    <t xml:space="preserve">GCP-1B  LAD</t>
  </si>
  <si>
    <t xml:space="preserve">GCP-2A  LAD</t>
  </si>
  <si>
    <t xml:space="preserve">GCP-2C  LAD</t>
  </si>
  <si>
    <t xml:space="preserve">IZLID 1000P  LAD</t>
  </si>
  <si>
    <t xml:space="preserve">IZLID 1000P-W  LAD</t>
  </si>
  <si>
    <t xml:space="preserve">IZLID 200P  LAD</t>
  </si>
  <si>
    <t xml:space="preserve">M240D  7.62MM</t>
  </si>
  <si>
    <t xml:space="preserve">Mortar Base Plates (81mm and 60mm)</t>
  </si>
  <si>
    <t xml:space="preserve">E1H</t>
  </si>
  <si>
    <t xml:space="preserve">Stacked 15 high</t>
  </si>
  <si>
    <t xml:space="preserve">Mount, Tripod (AN/PAS-22)</t>
  </si>
  <si>
    <t xml:space="preserve">SABER Fire Control Sub-System (FCS)</t>
  </si>
  <si>
    <t xml:space="preserve">SABER Lithium Battery Box (LBB)</t>
  </si>
  <si>
    <t xml:space="preserve">SABER Traversing Unit (TU)</t>
  </si>
  <si>
    <t xml:space="preserve">Wooden box stacked 4 high</t>
  </si>
  <si>
    <t xml:space="preserve">SABER Tripod</t>
  </si>
  <si>
    <t xml:space="preserve">Stored on weapon, E0055 SABER</t>
  </si>
  <si>
    <t xml:space="preserve">GAU-15/A (XM218)  .50 CAL</t>
  </si>
  <si>
    <t xml:space="preserve">C3117</t>
  </si>
  <si>
    <t xml:space="preserve">Case, Ammo Pouch, Small Arms, F/SAW</t>
  </si>
  <si>
    <t xml:space="preserve">Storage Type</t>
  </si>
  <si>
    <t xml:space="preserve">Collateral Equipment</t>
  </si>
  <si>
    <t xml:space="preserve">No. of Storage Units</t>
  </si>
  <si>
    <t xml:space="preserve">No. of Units Stacked</t>
  </si>
  <si>
    <t xml:space="preserve">NSF per unit stack</t>
  </si>
  <si>
    <t xml:space="preserve">NSF</t>
  </si>
  <si>
    <t xml:space="preserve">Configurable Shelf  (42"x16")</t>
  </si>
  <si>
    <t xml:space="preserve">Include in 2111 or 2171 space</t>
  </si>
  <si>
    <t xml:space="preserve">Universal Weapons Rack (42"x16")</t>
  </si>
  <si>
    <t xml:space="preserve">Rifle 5.56 (42"x16")</t>
  </si>
  <si>
    <t xml:space="preserve">Carbine 5.56 (42"x16")</t>
  </si>
  <si>
    <t xml:space="preserve">MK32 Grenade Lncher Rack (42"x16")</t>
  </si>
  <si>
    <t xml:space="preserve">M249 SAW Weapon Rack (42"x16")</t>
  </si>
  <si>
    <t xml:space="preserve">M2 .50 Cal Weapon Rack (42"x16")</t>
  </si>
  <si>
    <t xml:space="preserve">MK19 Weapon Rack (42"x16") MOD-4</t>
  </si>
  <si>
    <t xml:space="preserve">MK19 Weapon Rack (42"x16") UGWS</t>
  </si>
  <si>
    <t xml:space="preserve">M240G Weapon Rack (42"x16")</t>
  </si>
  <si>
    <t xml:space="preserve">M48 Weapon Rack (42"x16") UGWS</t>
  </si>
  <si>
    <t xml:space="preserve">M14 Rifle Rack (42"x16")</t>
  </si>
  <si>
    <t xml:space="preserve">Shotgun Rack (42"x16")</t>
  </si>
  <si>
    <t xml:space="preserve">Pistol Shelf (42"x16")</t>
  </si>
  <si>
    <t xml:space="preserve">Sniper Rifle Rack (72"x12")</t>
  </si>
  <si>
    <t xml:space="preserve">GAU Rack (48"x48"x72")</t>
  </si>
  <si>
    <t xml:space="preserve">MPM-NLWP Cabinet (48"x24"x84")</t>
  </si>
  <si>
    <t xml:space="preserve">--stored on weapon--</t>
  </si>
  <si>
    <t xml:space="preserve">Miscellaneous Gear1</t>
  </si>
  <si>
    <t xml:space="preserve">No. of UICS</t>
  </si>
  <si>
    <t xml:space="preserve">Alot per UIC</t>
  </si>
  <si>
    <t xml:space="preserve">NSF per Alot</t>
  </si>
  <si>
    <t xml:space="preserve">BOXES</t>
  </si>
  <si>
    <t xml:space="preserve">SABER</t>
  </si>
  <si>
    <t xml:space="preserve">Javelin (48"x24")</t>
  </si>
  <si>
    <t xml:space="preserve">LLDR (AN/PED-1)</t>
  </si>
  <si>
    <t xml:space="preserve">MK64 Mount (72"x36")</t>
  </si>
  <si>
    <t xml:space="preserve">E1E</t>
  </si>
  <si>
    <t xml:space="preserve">Non Lethal Weapons Set</t>
  </si>
  <si>
    <t xml:space="preserve">Pistol Chest (52"x14")</t>
  </si>
  <si>
    <t xml:space="preserve">Designated Marksman Rifle Boxes</t>
  </si>
  <si>
    <t xml:space="preserve">Mortar Base Plates (stacked 15 high)</t>
  </si>
  <si>
    <t xml:space="preserve">E1J</t>
  </si>
  <si>
    <t xml:space="preserve">MK11 Sniper Rifle Case</t>
  </si>
  <si>
    <t xml:space="preserve">.50 CAL Sniper Rifle (64"x26")</t>
  </si>
  <si>
    <t xml:space="preserve">MULE, PAQ-3 (48"x36")</t>
  </si>
  <si>
    <t xml:space="preserve">PLDR</t>
  </si>
  <si>
    <t xml:space="preserve">SOFLAM (AN/PEQ-1B)</t>
  </si>
  <si>
    <t xml:space="preserve">M3 MG Mount</t>
  </si>
  <si>
    <t xml:space="preserve">TOW (48"x36")</t>
  </si>
  <si>
    <t xml:space="preserve">Inbore Device</t>
  </si>
  <si>
    <t xml:space="preserve">BC Scopes</t>
  </si>
  <si>
    <t xml:space="preserve">Precision Gunnery Training Kit</t>
  </si>
  <si>
    <t xml:space="preserve">CUSTODIANS &amp; CIRCULATION</t>
  </si>
  <si>
    <t xml:space="preserve">Doorway &amp; issue port area circulation/Hazmat storage</t>
  </si>
  <si>
    <t xml:space="preserve">fixed</t>
  </si>
  <si>
    <t xml:space="preserve">Personal Weapons Storage (42"x16")</t>
  </si>
  <si>
    <t xml:space="preserve">HazMat (size may vary by unit)</t>
  </si>
  <si>
    <t xml:space="preserve">Safe (size may vary by unit)</t>
  </si>
  <si>
    <t xml:space="preserve">Pubs Locker (48"x24" Wall Locker)</t>
  </si>
  <si>
    <t xml:space="preserve">Offices (Armory Chiefs)</t>
  </si>
  <si>
    <t xml:space="preserve">Armory Technician</t>
  </si>
  <si>
    <t xml:space="preserve">Custodian desks/pc terminal/bench</t>
  </si>
  <si>
    <t xml:space="preserve">E1T</t>
  </si>
  <si>
    <t xml:space="preserve">Please see CCN 17120 BFR calculation. 
The space requirement for a CCN 17110 Academic Instruction Building has been rolled up to the CCN 17120 Applied Instruction Building.</t>
  </si>
  <si>
    <t xml:space="preserve">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</si>
  <si>
    <t xml:space="preserve">FC 2-000-05N (P-80) 171 &amp; 441 series
</t>
  </si>
  <si>
    <t xml:space="preserve">FY2029 Table of Organization &amp; Equipment (attached)																											</t>
  </si>
  <si>
    <t xml:space="preserve">Interview walkthrough with 3D Medical Battalion, S-4 Logistics OIC and Medical Simulation Training Center (MSTC) POC on October 30, 2024. </t>
  </si>
  <si>
    <t xml:space="preserve">Unit UIC/ Name</t>
  </si>
  <si>
    <t xml:space="preserve">Classroom Space</t>
  </si>
  <si>
    <t xml:space="preserve">Support Space</t>
  </si>
  <si>
    <t xml:space="preserve">Total Gross SF</t>
  </si>
  <si>
    <t xml:space="preserve">3D Medical Battalion</t>
  </si>
  <si>
    <t xml:space="preserve">Type of Space</t>
  </si>
  <si>
    <t xml:space="preserve">No. of Seats</t>
  </si>
  <si>
    <t xml:space="preserve">No. of Student Station</t>
  </si>
  <si>
    <t xml:space="preserve">Allowance</t>
  </si>
  <si>
    <t xml:space="preserve">3Net-To-Gross</t>
  </si>
  <si>
    <t xml:space="preserve">1General Academic</t>
  </si>
  <si>
    <t xml:space="preserve">-</t>
  </si>
  <si>
    <t xml:space="preserve">2Hands-On Mockup </t>
  </si>
  <si>
    <t xml:space="preserve">Subtotal =</t>
  </si>
  <si>
    <t xml:space="preserve">1 Per MSTC POC, it is ideal to have 30 seats at a time in a General Academic Classroom. Per Table 17110-1 Space Criteria for General Academic Classrooms, an allowance of 21 NSF per seat is given. </t>
  </si>
  <si>
    <t xml:space="preserve">2 Per MSTC POC, there are 4 different stations at a time to conduct training personnel through use of technical equipment/tools such as an anatomical dummy/mannequin. Per CCN 17120, an allowance of 150 GSF per student station can be applied to compute gross area. </t>
  </si>
  <si>
    <t xml:space="preserve">3 Per Table 171-1 Space Allowances for Intruction Facilities, multiply NSF by. 133 for Net to Gross conversion. </t>
  </si>
  <si>
    <t xml:space="preserve">Support Space Space</t>
  </si>
  <si>
    <t xml:space="preserve">Qty.</t>
  </si>
  <si>
    <t xml:space="preserve">Net-To-Gross</t>
  </si>
  <si>
    <t xml:space="preserve">Total</t>
  </si>
  <si>
    <t xml:space="preserve">Instructor's Work Space</t>
  </si>
  <si>
    <t xml:space="preserve">Instructor's Lounge</t>
  </si>
  <si>
    <t xml:space="preserve">Student Break Area</t>
  </si>
  <si>
    <t xml:space="preserve">Training Aid Storage</t>
  </si>
  <si>
    <t xml:space="preserve">1Additional Training Work Space</t>
  </si>
  <si>
    <t xml:space="preserve">2Additional Storage Space</t>
  </si>
  <si>
    <t xml:space="preserve">1 Per facility walkthrough and engineering evaluation, an additional training work space is required to prepare anatomical dummies to mimic real life situations such as painting them to be used for training. </t>
  </si>
  <si>
    <t xml:space="preserve">2 Per facility walkthrough and engineering evaluation, an additional storage is required to store all training aid materials in addition to the Training Aid Storage provided with 1.5 NSF per student. </t>
  </si>
  <si>
    <t xml:space="preserve">3d MED BN</t>
  </si>
  <si>
    <t xml:space="preserve">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</si>
  <si>
    <t xml:space="preserve">UFC 2-000-05N - modified CCN 21420 to allow odd numbered bay counts
</t>
  </si>
  <si>
    <t xml:space="preserve">FY2025 Table of Organization &amp; Equipment (attached)</t>
  </si>
  <si>
    <t xml:space="preserve">Total Space Requirement1</t>
  </si>
  <si>
    <t xml:space="preserve">Maint Bays</t>
  </si>
  <si>
    <t xml:space="preserve">Admin Sppt2</t>
  </si>
  <si>
    <t xml:space="preserve">Direct Sppt2</t>
  </si>
  <si>
    <t xml:space="preserve">Maintenance Bays </t>
  </si>
  <si>
    <t xml:space="preserve">Bays</t>
  </si>
  <si>
    <t xml:space="preserve">Area4</t>
  </si>
  <si>
    <t xml:space="preserve">SL3 Storage3</t>
  </si>
  <si>
    <t xml:space="preserve">Rounded at the BN level.5</t>
  </si>
  <si>
    <t xml:space="preserve">Bay Length4</t>
  </si>
  <si>
    <t xml:space="preserve">SURGICAL COMPANY A</t>
  </si>
  <si>
    <t xml:space="preserve">Bay Width4</t>
  </si>
  <si>
    <t xml:space="preserve">SURGICAL COMPANY B</t>
  </si>
  <si>
    <t xml:space="preserve">Bay NTG</t>
  </si>
  <si>
    <t xml:space="preserve">Rounded Total5 =</t>
  </si>
  <si>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</si>
  <si>
    <t xml:space="preserve">REFER TO THE FOLLOWING PAGES FOR INDIVIDUAL SUBORDINATE UNIT BAY CALCULATIONS</t>
  </si>
  <si>
    <t xml:space="preserve">Maintenance Bay Calculations - per UFC 2-000-05N, Tables 21420-1, 2, &amp; 3</t>
  </si>
  <si>
    <t xml:space="preserve">Cost Code</t>
  </si>
  <si>
    <t xml:space="preserve">Quantity</t>
  </si>
  <si>
    <t xml:space="preserve">Space Factor</t>
  </si>
  <si>
    <t xml:space="preserve">Repair Bays</t>
  </si>
  <si>
    <t xml:space="preserve">A00677G</t>
  </si>
  <si>
    <t xml:space="preserve">A01537G</t>
  </si>
  <si>
    <t xml:space="preserve">A02547G</t>
  </si>
  <si>
    <t xml:space="preserve">A19547G</t>
  </si>
  <si>
    <t xml:space="preserve">B00127B</t>
  </si>
  <si>
    <t xml:space="preserve">E01337G</t>
  </si>
  <si>
    <t xml:space="preserve">Electronic/Communications Maintenance Shop</t>
  </si>
  <si>
    <t xml:space="preserve">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</si>
  <si>
    <t xml:space="preserve">UFC 2-000-05N
</t>
  </si>
  <si>
    <t xml:space="preserve">FY2025 Tables of Organization and Equipment   </t>
  </si>
  <si>
    <t xml:space="preserve">Total Space Requirement (from tables below)</t>
  </si>
  <si>
    <t xml:space="preserve">Admin</t>
  </si>
  <si>
    <t xml:space="preserve">Storage</t>
  </si>
  <si>
    <t xml:space="preserve">Shop Space</t>
  </si>
  <si>
    <t xml:space="preserve">Admin Space see attached TO for billet breakdown</t>
  </si>
  <si>
    <t xml:space="preserve">Off &amp; ≥ E61</t>
  </si>
  <si>
    <t xml:space="preserve">≤ E52</t>
  </si>
  <si>
    <t xml:space="preserve">1 Shown as 21710o (o = office) in TO.  120GSF = 90 NSF * 1.33 NTG
2 Shown as 21710c (c = cubicle) in TO.  90 GSF = 45 NSF * 1.33 NTG. This label does NOT include marines in the shop spaces; it's intended for Data section type marines who sit at a computer full time. </t>
  </si>
  <si>
    <t xml:space="preserve">Storage Space (4-Step Method of UFC 2-000-05N, Section 440-2.2), see attached TE for item breakdown</t>
  </si>
  <si>
    <t xml:space="preserve">Net Volume (NV)</t>
  </si>
  <si>
    <t xml:space="preserve">Gross Vol (NV*1.96)</t>
  </si>
  <si>
    <t xml:space="preserve">NSF w/ 7ft1 SH</t>
  </si>
  <si>
    <t xml:space="preserve">Non-TE Storage</t>
  </si>
  <si>
    <t xml:space="preserve">Warehouse Space for Non-TE Items2</t>
  </si>
  <si>
    <t xml:space="preserve">L, in</t>
  </si>
  <si>
    <t xml:space="preserve">W, in</t>
  </si>
  <si>
    <t xml:space="preserve">H, in</t>
  </si>
  <si>
    <t xml:space="preserve">Univ Fact3</t>
  </si>
  <si>
    <t xml:space="preserve">Packed Vol CF</t>
  </si>
  <si>
    <t xml:space="preserve">NSF w/ 12ft SH</t>
  </si>
  <si>
    <t xml:space="preserve">Shop Spaces</t>
  </si>
  <si>
    <t xml:space="preserve">Section4</t>
  </si>
  <si>
    <t xml:space="preserve">Total 
NSF</t>
  </si>
  <si>
    <t xml:space="preserve">Radio</t>
  </si>
  <si>
    <t xml:space="preserve">Comm</t>
  </si>
  <si>
    <t xml:space="preserve">Data</t>
  </si>
  <si>
    <t xml:space="preserve">Wire</t>
  </si>
  <si>
    <t xml:space="preserve">SHF</t>
  </si>
  <si>
    <t xml:space="preserve">Maint</t>
  </si>
  <si>
    <t xml:space="preserve">Total 
GSF</t>
  </si>
  <si>
    <t xml:space="preserve">Maintenance Bays</t>
  </si>
  <si>
    <t xml:space="preserve">Maint Bay5</t>
  </si>
  <si>
    <t xml:space="preserve">Bay Length</t>
  </si>
  <si>
    <t xml:space="preserve">FT</t>
  </si>
  <si>
    <t xml:space="preserve">Bay Width</t>
  </si>
  <si>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</si>
  <si>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</si>
  <si>
    <t xml:space="preserve">FC 2-000-05N 440 4-step method
</t>
  </si>
  <si>
    <t xml:space="preserve">NAVFAC Infrastructure Reset BFR Consistency Guide                              
</t>
  </si>
  <si>
    <t xml:space="preserve">FY2029 Tables of Organization and Equipment</t>
  </si>
  <si>
    <t xml:space="preserve">FY2029 Tables of Organization and Equipment, with Surgical Co B (M28262) per CG MCIPAC endorsement 30 Apr 2026 relocating from MCBH Kaneohe Bay to MCB Camp Butler. Surg B inclusion in 44112 calculation pending structural row-add (see Phase C-bis follow-up note).</t>
  </si>
  <si>
    <t xml:space="preserve">Interview walkthrough with 3D Medical Battalion, S-4 Logistics OIC and Supply Officer on October 30, 2024. </t>
  </si>
  <si>
    <t xml:space="preserve">Total Space Requirement</t>
  </si>
  <si>
    <t xml:space="preserve">Warehouse Space</t>
  </si>
  <si>
    <t xml:space="preserve">Support</t>
  </si>
  <si>
    <t xml:space="preserve">Pn Effects</t>
  </si>
  <si>
    <t xml:space="preserve">On TE</t>
  </si>
  <si>
    <t xml:space="preserve">Non-TE</t>
  </si>
  <si>
    <t xml:space="preserve">Warehouse  Admin Space see attached TO for billet breakdown</t>
  </si>
  <si>
    <t xml:space="preserve">Clerks3</t>
  </si>
  <si>
    <t xml:space="preserve">Total=</t>
  </si>
  <si>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</si>
  <si>
    <t xml:space="preserve">Warehouse Space TE (4-Step Method of UFC 2-000-05N  Section 440-2.2), see attached TE for item breakdown</t>
  </si>
  <si>
    <t xml:space="preserve">Net Volume (NV)1</t>
  </si>
  <si>
    <t xml:space="preserve">NSF w/ 12ft SH (CF)</t>
  </si>
  <si>
    <t xml:space="preserve">NSF *</t>
  </si>
  <si>
    <t xml:space="preserve">Total SF2</t>
  </si>
  <si>
    <t xml:space="preserve">Warehouse Space for Non-TE Items3</t>
  </si>
  <si>
    <t xml:space="preserve">Univ Fact4</t>
  </si>
  <si>
    <t xml:space="preserve">Support Space Headquarters Company only, Engineering Analysis</t>
  </si>
  <si>
    <t xml:space="preserve">Function</t>
  </si>
  <si>
    <t xml:space="preserve">Length</t>
  </si>
  <si>
    <t xml:space="preserve">Width</t>
  </si>
  <si>
    <t xml:space="preserve">Area Ea (NSF)5</t>
  </si>
  <si>
    <t xml:space="preserve">Area (NSF)</t>
  </si>
  <si>
    <t xml:space="preserve">Shipping, Receiving &amp; Staging Area</t>
  </si>
  <si>
    <t xml:space="preserve">Personal Effects Cages Engineering Analysis - 1.33 GSF per chargeable and deployable billet </t>
  </si>
  <si>
    <t xml:space="preserve">PN</t>
  </si>
  <si>
    <t xml:space="preserve">Area</t>
  </si>
  <si>
    <t xml:space="preserve">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</si>
  <si>
    <t xml:space="preserve">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</si>
  <si>
    <t xml:space="preserve">Shipping Containers</t>
  </si>
  <si>
    <t xml:space="preserve">Additional Storage</t>
  </si>
  <si>
    <t xml:space="preserve">Summary of Shipping Container Space Requirement</t>
  </si>
  <si>
    <t xml:space="preserve">ITEM</t>
  </si>
  <si>
    <t xml:space="preserve">Total Stacks1</t>
  </si>
  <si>
    <t xml:space="preserve">NSF per Stack</t>
  </si>
  <si>
    <t xml:space="preserve">Total NSF</t>
  </si>
  <si>
    <t xml:space="preserve">PALCON</t>
  </si>
  <si>
    <t xml:space="preserve">QUADCON</t>
  </si>
  <si>
    <t xml:space="preserve">JMIC</t>
  </si>
  <si>
    <t xml:space="preserve">Calculation of Outdoor Shipping Container Stacks</t>
  </si>
  <si>
    <t xml:space="preserve">(none)</t>
  </si>
  <si>
    <t xml:space="preserve">Total Containers2 =</t>
  </si>
  <si>
    <t xml:space="preserve">Total Stacks1 =</t>
  </si>
  <si>
    <t xml:space="preserve">Additional Storage Requirements</t>
  </si>
  <si>
    <t xml:space="preserve">Area Ea (NSF)</t>
  </si>
  <si>
    <t xml:space="preserve">1 All shipping containers can be stacked two high when stored outside.  
2 Numbers below reflect the actual units located in 45110 minus the numbers being stored in 44112.</t>
  </si>
  <si>
    <t xml:space="preserve">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</si>
  <si>
    <t xml:space="preserve">FC 2-000-05N
</t>
  </si>
  <si>
    <t xml:space="preserve">FY2029 Table of Organization</t>
  </si>
  <si>
    <t xml:space="preserve">M28262 Surgical Company B per CG MCIPAC endorsement 30 Apr 2026 relocating from MCBH Kaneohe Bay to MCB Camp Butler; included in this BFR Calculation.</t>
  </si>
  <si>
    <t xml:space="preserve">Battalion HQ Admin Space see attached TO for billet breakdown</t>
  </si>
  <si>
    <t xml:space="preserve">GSF per PN </t>
  </si>
  <si>
    <t xml:space="preserve">SURG CO A</t>
  </si>
  <si>
    <t xml:space="preserve">SURG CO B</t>
  </si>
  <si>
    <t xml:space="preserve">Please see CCN 61072 BFR calculation. 
The space requirement for a CCN 61073 Company/Battery Headquarters has been rolled up to the CCN 61072 Battalion/Squadron Headquarters. </t>
  </si>
</sst>
</file>

<file path=xl/styles.xml><?xml version="1.0" encoding="utf-8"?>
<styleSheet xmlns="http://schemas.openxmlformats.org/spreadsheetml/2006/main">
  <numFmts count="36">
    <numFmt numFmtId="164" formatCode="General"/>
    <numFmt numFmtId="165" formatCode="@"/>
    <numFmt numFmtId="166" formatCode="_(* #,##0.00_);_(* \(#,##0.00\);_(* \-??_);_(@_)"/>
    <numFmt numFmtId="167" formatCode="_(\$* #,##0.00_);_(\$* \(#,##0.00\);_(\$* \-??_);_(@_)"/>
    <numFmt numFmtId="168" formatCode="0%"/>
    <numFmt numFmtId="169" formatCode="0"/>
    <numFmt numFmtId="170" formatCode="#,##0&quot; SF&quot;"/>
    <numFmt numFmtId="171" formatCode="#,##0"/>
    <numFmt numFmtId="172" formatCode="mmm\ d&quot;, &quot;yyyy\ h\:mm\:ss\ AM/PM;@"/>
    <numFmt numFmtId="173" formatCode="m/d/yyyy"/>
    <numFmt numFmtId="174" formatCode="#,##0;\-#,##0;\ "/>
    <numFmt numFmtId="175" formatCode="General"/>
    <numFmt numFmtId="176" formatCode="#,##0;\-#,##0;\ "/>
    <numFmt numFmtId="177" formatCode="#,##0.00"/>
    <numFmt numFmtId="178" formatCode="#0.########"/>
    <numFmt numFmtId="179" formatCode="0.00"/>
    <numFmt numFmtId="180" formatCode="#0"/>
    <numFmt numFmtId="181" formatCode="#,##0&quot; GSY&quot;"/>
    <numFmt numFmtId="182" formatCode="#,##0&quot; GSF&quot;"/>
    <numFmt numFmtId="183" formatCode="#,###.00&quot; NTG&quot;"/>
    <numFmt numFmtId="184" formatCode="#,###&quot; GSF&quot;"/>
    <numFmt numFmtId="185" formatCode="#,###&quot; PN&quot;"/>
    <numFmt numFmtId="186" formatCode="0.0"/>
    <numFmt numFmtId="187" formatCode="#,##0&quot; NSF&quot;"/>
    <numFmt numFmtId="188" formatCode="#,##0&quot; Instructor&quot;"/>
    <numFmt numFmtId="189" formatCode="#,##0&quot; NSF/Instructor&quot;"/>
    <numFmt numFmtId="190" formatCode="#,###&quot; NSF (fixed)&quot;"/>
    <numFmt numFmtId="191" formatCode="#,##0&quot; students&quot;"/>
    <numFmt numFmtId="192" formatCode="#,##0&quot; NSF/Student&quot;"/>
    <numFmt numFmtId="193" formatCode="#,##0.0&quot; NSF/Student&quot;"/>
    <numFmt numFmtId="194" formatCode="#,###&quot; NSF&quot;"/>
    <numFmt numFmtId="195" formatCode="0.000"/>
    <numFmt numFmtId="196" formatCode="#,###&quot; FT&quot;"/>
    <numFmt numFmtId="197" formatCode="#,##0.000"/>
    <numFmt numFmtId="198" formatCode="#,###&quot; SF&quot;"/>
    <numFmt numFmtId="199" formatCode="#,###\'"/>
  </numFmts>
  <fonts count="65">
    <font>
      <sz val="10"/>
      <name val="Calibri"/>
      <family val="2"/>
      <charset val="1"/>
    </font>
    <font>
      <sz val="10"/>
      <name val="Arial"/>
      <family val="0"/>
    </font>
    <font>
      <sz val="10"/>
      <name val="Arial"/>
      <family val="0"/>
    </font>
    <font>
      <sz val="10"/>
      <name val="Arial"/>
      <family val="0"/>
    </font>
    <font>
      <sz val="8"/>
      <color theme="0" tint="-0.5"/>
      <name val="Calibri"/>
      <family val="2"/>
      <charset val="1"/>
    </font>
    <font>
      <b val="true"/>
      <u val="single"/>
      <sz val="11"/>
      <name val="Calibri"/>
      <family val="2"/>
      <charset val="1"/>
    </font>
    <font>
      <b val="true"/>
      <sz val="11"/>
      <name val="Calibri"/>
      <family val="2"/>
      <charset val="1"/>
    </font>
    <font>
      <u val="single"/>
      <sz val="10"/>
      <name val="Calibri"/>
      <family val="2"/>
      <charset val="1"/>
    </font>
    <font>
      <b val="true"/>
      <sz val="16"/>
      <name val="Calibri"/>
      <family val="2"/>
      <charset val="1"/>
    </font>
    <font>
      <sz val="6"/>
      <color rgb="FF000000"/>
      <name val="Calibri"/>
      <family val="2"/>
      <charset val="1"/>
    </font>
    <font>
      <b val="true"/>
      <sz val="6"/>
      <name val="Calibri"/>
      <family val="2"/>
      <charset val="1"/>
    </font>
    <font>
      <sz val="10"/>
      <color rgb="FF000000"/>
      <name val="Calibri"/>
      <family val="2"/>
      <charset val="1"/>
    </font>
    <font>
      <sz val="11"/>
      <color theme="1"/>
      <name val="Calibri"/>
      <family val="2"/>
      <charset val="1"/>
    </font>
    <font>
      <sz val="10"/>
      <name val="Arial"/>
      <family val="2"/>
      <charset val="1"/>
    </font>
    <font>
      <sz val="11"/>
      <color rgb="FF000000"/>
      <name val="Calibri"/>
      <family val="2"/>
      <charset val="1"/>
    </font>
    <font>
      <sz val="10"/>
      <color rgb="FF000000"/>
      <name val="Times New Roman"/>
      <family val="1"/>
      <charset val="1"/>
    </font>
    <font>
      <sz val="10"/>
      <color theme="1"/>
      <name val="Tahoma"/>
      <family val="2"/>
      <charset val="1"/>
    </font>
    <font>
      <sz val="12"/>
      <name val="Arial MT"/>
      <family val="0"/>
      <charset val="1"/>
    </font>
    <font>
      <sz val="10"/>
      <name val="MS Sans Serif"/>
      <family val="2"/>
      <charset val="1"/>
    </font>
    <font>
      <sz val="11"/>
      <name val="Calibri"/>
      <family val="2"/>
      <charset val="1"/>
    </font>
    <font>
      <b val="true"/>
      <sz val="11"/>
      <color theme="0"/>
      <name val="Calibri"/>
      <family val="2"/>
      <charset val="1"/>
    </font>
    <font>
      <sz val="10"/>
      <color theme="3" tint="0.3999"/>
      <name val="Calibri"/>
      <family val="2"/>
      <charset val="1"/>
    </font>
    <font>
      <b val="true"/>
      <sz val="12"/>
      <name val="Calibri"/>
      <family val="0"/>
      <charset val="1"/>
    </font>
    <font>
      <sz val="10"/>
      <color theme="0" tint="-0.5"/>
      <name val="Calibri"/>
      <family val="2"/>
      <charset val="1"/>
    </font>
    <font>
      <b val="true"/>
      <sz val="10"/>
      <name val="Calibri"/>
      <family val="2"/>
      <charset val="1"/>
    </font>
    <font>
      <b val="true"/>
      <sz val="8"/>
      <color rgb="FF000000"/>
      <name val="Times New Roman"/>
      <family val="1"/>
      <charset val="1"/>
    </font>
    <font>
      <sz val="8"/>
      <color rgb="FF000000"/>
      <name val="Times New Roman"/>
      <family val="1"/>
      <charset val="1"/>
    </font>
    <font>
      <b val="true"/>
      <sz val="10"/>
      <color rgb="FF000000"/>
      <name val="Times New Roman"/>
      <family val="1"/>
      <charset val="1"/>
    </font>
    <font>
      <sz val="8"/>
      <color theme="1"/>
      <name val="Andale WT"/>
      <family val="2"/>
      <charset val="1"/>
    </font>
    <font>
      <b val="true"/>
      <sz val="10"/>
      <name val="Arial"/>
      <family val="2"/>
      <charset val="1"/>
    </font>
    <font>
      <b val="true"/>
      <i val="true"/>
      <sz val="11"/>
      <name val="Calibri"/>
      <family val="0"/>
      <charset val="1"/>
    </font>
    <font>
      <b val="true"/>
      <sz val="11"/>
      <color rgb="FFFFFFFF"/>
      <name val="Calibri"/>
      <family val="0"/>
      <charset val="1"/>
    </font>
    <font>
      <b val="true"/>
      <sz val="10"/>
      <name val="Calibri"/>
      <family val="0"/>
      <charset val="1"/>
    </font>
    <font>
      <sz val="10"/>
      <name val="Calibri"/>
      <family val="0"/>
      <charset val="1"/>
    </font>
    <font>
      <b val="true"/>
      <sz val="10"/>
      <color rgb="FF000000"/>
      <name val="Calibri"/>
      <family val="2"/>
      <charset val="1"/>
    </font>
    <font>
      <b val="true"/>
      <sz val="10"/>
      <color theme="1"/>
      <name val="Andale WT"/>
      <family val="2"/>
      <charset val="1"/>
    </font>
    <font>
      <sz val="10"/>
      <color theme="1"/>
      <name val="Andale WT"/>
      <family val="2"/>
      <charset val="1"/>
    </font>
    <font>
      <sz val="10"/>
      <color rgb="FFFF0000"/>
      <name val="Calibri"/>
      <family val="2"/>
      <charset val="1"/>
    </font>
    <font>
      <sz val="10"/>
      <color rgb="FF000000"/>
      <name val="Arial"/>
      <family val="2"/>
      <charset val="1"/>
    </font>
    <font>
      <sz val="10"/>
      <color theme="1"/>
      <name val="Arial "/>
      <family val="0"/>
      <charset val="1"/>
    </font>
    <font>
      <sz val="10"/>
      <color rgb="FF222222"/>
      <name val="Andale WT"/>
      <family val="2"/>
      <charset val="1"/>
    </font>
    <font>
      <sz val="10"/>
      <color theme="1"/>
      <name val="Calibri"/>
      <family val="2"/>
      <charset val="1"/>
    </font>
    <font>
      <sz val="11"/>
      <color theme="0"/>
      <name val="Calibri"/>
      <family val="2"/>
      <charset val="1"/>
    </font>
    <font>
      <b val="true"/>
      <sz val="10"/>
      <color theme="1"/>
      <name val="Calibri"/>
      <family val="2"/>
      <charset val="1"/>
    </font>
    <font>
      <i val="true"/>
      <sz val="10"/>
      <name val="Calibri"/>
      <family val="2"/>
      <charset val="1"/>
    </font>
    <font>
      <sz val="8"/>
      <color theme="1"/>
      <name val="Calibri"/>
      <family val="2"/>
      <charset val="1"/>
    </font>
    <font>
      <b val="true"/>
      <sz val="12"/>
      <name val="Calibri"/>
      <family val="2"/>
      <charset val="1"/>
    </font>
    <font>
      <sz val="8"/>
      <name val="Calibri"/>
      <family val="2"/>
      <charset val="1"/>
    </font>
    <font>
      <sz val="10"/>
      <color theme="0" tint="-0.25"/>
      <name val="Calibri"/>
      <family val="2"/>
      <charset val="1"/>
    </font>
    <font>
      <b val="true"/>
      <sz val="9"/>
      <name val="Calibri"/>
      <family val="2"/>
      <charset val="1"/>
    </font>
    <font>
      <sz val="9"/>
      <name val="Calibri"/>
      <family val="2"/>
      <charset val="1"/>
    </font>
    <font>
      <sz val="9"/>
      <color theme="0" tint="-0.25"/>
      <name val="Calibri"/>
      <family val="2"/>
      <charset val="1"/>
    </font>
    <font>
      <sz val="9"/>
      <color rgb="FFFF0000"/>
      <name val="Calibri"/>
      <family val="2"/>
      <charset val="1"/>
    </font>
    <font>
      <sz val="9"/>
      <color theme="0" tint="-0.5"/>
      <name val="Calibri"/>
      <family val="2"/>
      <charset val="1"/>
    </font>
    <font>
      <sz val="8"/>
      <color rgb="FFFF0000"/>
      <name val="Calibri"/>
      <family val="2"/>
      <charset val="1"/>
    </font>
    <font>
      <sz val="8"/>
      <color theme="0" tint="-0.35"/>
      <name val="Calibri"/>
      <family val="2"/>
      <charset val="1"/>
    </font>
    <font>
      <b val="true"/>
      <sz val="22"/>
      <name val="Calibri"/>
      <family val="2"/>
      <charset val="1"/>
    </font>
    <font>
      <sz val="9"/>
      <color theme="1"/>
      <name val="Calibri"/>
      <family val="2"/>
      <charset val="1"/>
    </font>
    <font>
      <b val="true"/>
      <u val="single"/>
      <sz val="10"/>
      <name val="Calibri"/>
      <family val="2"/>
      <charset val="1"/>
    </font>
    <font>
      <i val="true"/>
      <sz val="9"/>
      <name val="Calibri"/>
      <family val="2"/>
      <charset val="1"/>
    </font>
    <font>
      <i val="true"/>
      <sz val="8"/>
      <name val="Calibri"/>
      <family val="2"/>
      <charset val="1"/>
    </font>
    <font>
      <vertAlign val="superscript"/>
      <sz val="10"/>
      <name val="Calibri"/>
      <family val="2"/>
      <charset val="1"/>
    </font>
    <font>
      <vertAlign val="superscript"/>
      <sz val="10"/>
      <color theme="0" tint="-0.5"/>
      <name val="Calibri"/>
      <family val="2"/>
      <charset val="1"/>
    </font>
    <font>
      <b val="true"/>
      <sz val="12"/>
      <color theme="1"/>
      <name val="Calibri"/>
      <family val="2"/>
      <charset val="1"/>
    </font>
    <font>
      <i val="true"/>
      <sz val="9"/>
      <color theme="1"/>
      <name val="Calibri"/>
      <family val="2"/>
      <charset val="1"/>
    </font>
  </fonts>
  <fills count="11">
    <fill>
      <patternFill patternType="none"/>
    </fill>
    <fill>
      <patternFill patternType="gray125"/>
    </fill>
    <fill>
      <patternFill patternType="solid">
        <fgColor theme="9" tint="0.7999"/>
        <bgColor rgb="FFF2F2F2"/>
      </patternFill>
    </fill>
    <fill>
      <patternFill patternType="solid">
        <fgColor theme="0" tint="-0.05"/>
        <bgColor rgb="FFFDEADA"/>
      </patternFill>
    </fill>
    <fill>
      <patternFill patternType="solid">
        <fgColor theme="1"/>
        <bgColor rgb="FF222222"/>
      </patternFill>
    </fill>
    <fill>
      <patternFill patternType="solid">
        <fgColor theme="0" tint="-0.15"/>
        <bgColor rgb="FFE2E2E2"/>
      </patternFill>
    </fill>
    <fill>
      <patternFill patternType="solid">
        <fgColor rgb="FF1F4E78"/>
        <bgColor rgb="FF305496"/>
      </patternFill>
    </fill>
    <fill>
      <patternFill patternType="solid">
        <fgColor theme="6" tint="0.5999"/>
        <bgColor rgb="FFD9D9D9"/>
      </patternFill>
    </fill>
    <fill>
      <patternFill patternType="solid">
        <fgColor theme="0" tint="-0.35"/>
        <bgColor rgb="FFBFBFBF"/>
      </patternFill>
    </fill>
    <fill>
      <patternFill patternType="solid">
        <fgColor theme="5" tint="0.5999"/>
        <bgColor rgb="FFBFBFBF"/>
      </patternFill>
    </fill>
    <fill>
      <patternFill patternType="solid">
        <fgColor rgb="FFFFFF00"/>
        <bgColor rgb="FFFFFF00"/>
      </patternFill>
    </fill>
  </fills>
  <borders count="114">
    <border diagonalUp="false" diagonalDown="false">
      <left/>
      <right/>
      <top/>
      <bottom/>
      <diagonal/>
    </border>
    <border diagonalUp="false" diagonalDown="false">
      <left style="thin">
        <color theme="0" tint="-0.15"/>
      </left>
      <right style="thin">
        <color theme="0" tint="-0.15"/>
      </right>
      <top style="thin">
        <color theme="0" tint="-0.15"/>
      </top>
      <bottom style="thin">
        <color theme="0" tint="-0.15"/>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style="thin"/>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color theme="0" tint="-0.25"/>
      </left>
      <right/>
      <top/>
      <bottom/>
      <diagonal/>
    </border>
    <border diagonalUp="false" diagonalDown="false">
      <left style="thin"/>
      <right/>
      <top/>
      <bottom style="thin"/>
      <diagonal/>
    </border>
    <border diagonalUp="false" diagonalDown="false">
      <left/>
      <right/>
      <top/>
      <bottom style="thin"/>
      <diagonal/>
    </border>
    <border diagonalUp="false" diagonalDown="false">
      <left style="thin"/>
      <right style="hair"/>
      <top style="thin"/>
      <bottom/>
      <diagonal/>
    </border>
    <border diagonalUp="false" diagonalDown="false">
      <left/>
      <right style="hair"/>
      <top style="thin"/>
      <bottom/>
      <diagonal/>
    </border>
    <border diagonalUp="false" diagonalDown="false">
      <left style="hair"/>
      <right style="hair"/>
      <top style="thin"/>
      <bottom/>
      <diagonal/>
    </border>
    <border diagonalUp="false" diagonalDown="false">
      <left style="hair"/>
      <right/>
      <top style="thin"/>
      <bottom/>
      <diagonal/>
    </border>
    <border diagonalUp="false" diagonalDown="false">
      <left style="thin"/>
      <right style="hair"/>
      <top style="thin"/>
      <bottom style="hair"/>
      <diagonal/>
    </border>
    <border diagonalUp="false" diagonalDown="false">
      <left style="hair"/>
      <right style="hair"/>
      <top style="thin"/>
      <bottom style="hair"/>
      <diagonal/>
    </border>
    <border diagonalUp="false" diagonalDown="false">
      <left style="hair"/>
      <right style="thin"/>
      <top style="thin"/>
      <bottom style="hair"/>
      <diagonal/>
    </border>
    <border diagonalUp="false" diagonalDown="false">
      <left/>
      <right style="thin"/>
      <top style="thin"/>
      <bottom/>
      <diagonal/>
    </border>
    <border diagonalUp="false" diagonalDown="false">
      <left style="thin"/>
      <right style="hair"/>
      <top/>
      <bottom/>
      <diagonal/>
    </border>
    <border diagonalUp="false" diagonalDown="false">
      <left/>
      <right style="hair"/>
      <top/>
      <bottom/>
      <diagonal/>
    </border>
    <border diagonalUp="false" diagonalDown="false">
      <left style="hair"/>
      <right style="hair"/>
      <top/>
      <bottom/>
      <diagonal/>
    </border>
    <border diagonalUp="false" diagonalDown="false">
      <left style="hair"/>
      <right/>
      <top/>
      <bottom/>
      <diagonal/>
    </border>
    <border diagonalUp="false" diagonalDown="false">
      <left style="thin"/>
      <right style="hair"/>
      <top style="hair"/>
      <bottom style="hair"/>
      <diagonal/>
    </border>
    <border diagonalUp="false" diagonalDown="false">
      <left style="hair"/>
      <right style="hair"/>
      <top style="hair"/>
      <bottom style="hair"/>
      <diagonal/>
    </border>
    <border diagonalUp="false" diagonalDown="false">
      <left style="hair"/>
      <right style="thin"/>
      <top style="hair"/>
      <bottom style="hair"/>
      <diagonal/>
    </border>
    <border diagonalUp="false" diagonalDown="false">
      <left style="thin"/>
      <right style="hair"/>
      <top/>
      <bottom style="double"/>
      <diagonal/>
    </border>
    <border diagonalUp="false" diagonalDown="false">
      <left/>
      <right style="hair"/>
      <top/>
      <bottom style="double"/>
      <diagonal/>
    </border>
    <border diagonalUp="false" diagonalDown="false">
      <left style="hair"/>
      <right style="hair"/>
      <top/>
      <bottom style="double"/>
      <diagonal/>
    </border>
    <border diagonalUp="false" diagonalDown="false">
      <left style="hair"/>
      <right/>
      <top/>
      <bottom style="double"/>
      <diagonal/>
    </border>
    <border diagonalUp="false" diagonalDown="false">
      <left style="thin"/>
      <right style="hair"/>
      <top style="hair"/>
      <bottom style="double"/>
      <diagonal/>
    </border>
    <border diagonalUp="false" diagonalDown="false">
      <left style="hair"/>
      <right style="hair"/>
      <top style="hair"/>
      <bottom style="double"/>
      <diagonal/>
    </border>
    <border diagonalUp="false" diagonalDown="false">
      <left style="hair"/>
      <right style="thin"/>
      <top style="hair"/>
      <bottom style="double"/>
      <diagonal/>
    </border>
    <border diagonalUp="false" diagonalDown="false">
      <left/>
      <right style="thin"/>
      <top/>
      <bottom style="double"/>
      <diagonal/>
    </border>
    <border diagonalUp="false" diagonalDown="false">
      <left style="thin"/>
      <right style="hair"/>
      <top style="double"/>
      <bottom style="hair"/>
      <diagonal/>
    </border>
    <border diagonalUp="false" diagonalDown="false">
      <left style="hair"/>
      <right style="hair"/>
      <top style="double"/>
      <bottom style="hair"/>
      <diagonal/>
    </border>
    <border diagonalUp="false" diagonalDown="false">
      <left style="hair"/>
      <right style="thin"/>
      <top style="double"/>
      <bottom style="hair"/>
      <diagonal/>
    </border>
    <border diagonalUp="false" diagonalDown="false">
      <left style="thin"/>
      <right style="hair"/>
      <top/>
      <bottom style="hair"/>
      <diagonal/>
    </border>
    <border diagonalUp="false" diagonalDown="false">
      <left style="hair"/>
      <right style="hair"/>
      <top/>
      <bottom style="hair"/>
      <diagonal/>
    </border>
    <border diagonalUp="false" diagonalDown="false">
      <left style="hair"/>
      <right/>
      <top/>
      <bottom style="hair"/>
      <diagonal/>
    </border>
    <border diagonalUp="false" diagonalDown="false">
      <left style="hair"/>
      <right style="thin"/>
      <top/>
      <bottom style="hair"/>
      <diagonal/>
    </border>
    <border diagonalUp="false" diagonalDown="false">
      <left/>
      <right style="hair"/>
      <top/>
      <bottom style="hair"/>
      <diagonal/>
    </border>
    <border diagonalUp="false" diagonalDown="false">
      <left/>
      <right style="thin"/>
      <top/>
      <bottom style="hair"/>
      <diagonal/>
    </border>
    <border diagonalUp="false" diagonalDown="false">
      <left style="hair"/>
      <right/>
      <top style="hair"/>
      <bottom style="hair"/>
      <diagonal/>
    </border>
    <border diagonalUp="false" diagonalDown="false">
      <left/>
      <right style="hair"/>
      <top style="hair"/>
      <bottom style="hair"/>
      <diagonal/>
    </border>
    <border diagonalUp="false" diagonalDown="false">
      <left/>
      <right style="thin"/>
      <top style="hair"/>
      <bottom style="hair"/>
      <diagonal/>
    </border>
    <border diagonalUp="false" diagonalDown="false">
      <left style="thin"/>
      <right style="hair"/>
      <top style="hair"/>
      <bottom style="thin"/>
      <diagonal/>
    </border>
    <border diagonalUp="false" diagonalDown="false">
      <left/>
      <right style="hair"/>
      <top style="hair"/>
      <bottom style="thin"/>
      <diagonal/>
    </border>
    <border diagonalUp="false" diagonalDown="false">
      <left style="hair"/>
      <right style="hair"/>
      <top style="hair"/>
      <bottom style="thin"/>
      <diagonal/>
    </border>
    <border diagonalUp="false" diagonalDown="false">
      <left style="hair"/>
      <right/>
      <top style="hair"/>
      <bottom style="thin"/>
      <diagonal/>
    </border>
    <border diagonalUp="false" diagonalDown="false">
      <left style="hair"/>
      <right style="thin"/>
      <top style="hair"/>
      <bottom style="thin"/>
      <diagonal/>
    </border>
    <border diagonalUp="false" diagonalDown="false">
      <left/>
      <right style="thin"/>
      <top style="hair"/>
      <bottom style="thin"/>
      <diagonal/>
    </border>
    <border diagonalUp="false" diagonalDown="false">
      <left style="thin"/>
      <right style="hair"/>
      <top style="thin"/>
      <bottom style="double"/>
      <diagonal/>
    </border>
    <border diagonalUp="false" diagonalDown="false">
      <left/>
      <right style="hair"/>
      <top style="thin"/>
      <bottom style="double"/>
      <diagonal/>
    </border>
    <border diagonalUp="false" diagonalDown="false">
      <left style="hair"/>
      <right style="hair"/>
      <top style="thin"/>
      <bottom style="double"/>
      <diagonal/>
    </border>
    <border diagonalUp="false" diagonalDown="false">
      <left style="hair"/>
      <right/>
      <top style="thin"/>
      <bottom style="double"/>
      <diagonal/>
    </border>
    <border diagonalUp="false" diagonalDown="false">
      <left/>
      <right style="thin"/>
      <top style="thin"/>
      <bottom style="double"/>
      <diagonal/>
    </border>
    <border diagonalUp="false" diagonalDown="false">
      <left style="medium">
        <color rgb="FFE2E2E2"/>
      </left>
      <right style="medium">
        <color rgb="FFE2E2E2"/>
      </right>
      <top style="medium">
        <color rgb="FFE2E2E2"/>
      </top>
      <bottom style="medium">
        <color rgb="FFE2E2E2"/>
      </bottom>
      <diagonal/>
    </border>
    <border diagonalUp="false" diagonalDown="false">
      <left style="medium">
        <color rgb="FFE2E2E2"/>
      </left>
      <right style="medium">
        <color rgb="FFE2E2E2"/>
      </right>
      <top/>
      <bottom style="medium">
        <color rgb="FFE2E2E2"/>
      </bottom>
      <diagonal/>
    </border>
    <border diagonalUp="false" diagonalDown="false">
      <left/>
      <right/>
      <top/>
      <bottom style="hair"/>
      <diagonal/>
    </border>
    <border diagonalUp="false" diagonalDown="false">
      <left/>
      <right style="thin"/>
      <top style="hair"/>
      <bottom/>
      <diagonal/>
    </border>
    <border diagonalUp="false" diagonalDown="false">
      <left style="thin"/>
      <right/>
      <top style="thin"/>
      <bottom/>
      <diagonal/>
    </border>
    <border diagonalUp="false" diagonalDown="false">
      <left/>
      <right/>
      <top style="thin"/>
      <bottom/>
      <diagonal/>
    </border>
    <border diagonalUp="false" diagonalDown="false">
      <left style="thin">
        <color theme="0" tint="-0.25"/>
      </left>
      <right style="thin"/>
      <top style="thin"/>
      <bottom style="thin"/>
      <diagonal/>
    </border>
    <border diagonalUp="false" diagonalDown="false">
      <left/>
      <right style="thin">
        <color theme="0" tint="-0.25"/>
      </right>
      <top style="thin"/>
      <bottom/>
      <diagonal/>
    </border>
    <border diagonalUp="false" diagonalDown="false">
      <left style="thin">
        <color theme="0" tint="-0.25"/>
      </left>
      <right style="thin"/>
      <top/>
      <bottom/>
      <diagonal/>
    </border>
    <border diagonalUp="false" diagonalDown="false">
      <left/>
      <right style="thin">
        <color theme="0" tint="-0.25"/>
      </right>
      <top/>
      <bottom/>
      <diagonal/>
    </border>
    <border diagonalUp="false" diagonalDown="false">
      <left/>
      <right style="thin">
        <color theme="0" tint="-0.25"/>
      </right>
      <top/>
      <bottom style="thin"/>
      <diagonal/>
    </border>
    <border diagonalUp="false" diagonalDown="false">
      <left style="thin">
        <color theme="0" tint="-0.25"/>
      </left>
      <right style="thin"/>
      <top/>
      <bottom style="thin"/>
      <diagonal/>
    </border>
    <border diagonalUp="false" diagonalDown="false">
      <left style="thin">
        <color theme="0" tint="-0.25"/>
      </left>
      <right/>
      <top/>
      <bottom style="thin"/>
      <diagonal/>
    </border>
    <border diagonalUp="false" diagonalDown="false">
      <left style="thin"/>
      <right style="thin">
        <color theme="0" tint="-0.25"/>
      </right>
      <top style="thin"/>
      <bottom style="thin"/>
      <diagonal/>
    </border>
    <border diagonalUp="false" diagonalDown="false">
      <left style="thin">
        <color theme="0" tint="-0.25"/>
      </left>
      <right style="thin"/>
      <top style="thin"/>
      <bottom style="thin">
        <color theme="0" tint="-0.25"/>
      </bottom>
      <diagonal/>
    </border>
    <border diagonalUp="false" diagonalDown="false">
      <left style="thin">
        <color theme="0" tint="-0.25"/>
      </left>
      <right style="thin"/>
      <top style="thin">
        <color theme="0" tint="-0.25"/>
      </top>
      <bottom style="thin"/>
      <diagonal/>
    </border>
    <border diagonalUp="false" diagonalDown="false">
      <left style="thin"/>
      <right style="thin">
        <color theme="0" tint="-0.25"/>
      </right>
      <top style="thin"/>
      <bottom/>
      <diagonal/>
    </border>
    <border diagonalUp="false" diagonalDown="false">
      <left style="thin">
        <color theme="0" tint="-0.25"/>
      </left>
      <right/>
      <top style="thin"/>
      <bottom/>
      <diagonal/>
    </border>
    <border diagonalUp="false" diagonalDown="false">
      <left style="thin">
        <color theme="0" tint="-0.25"/>
      </left>
      <right style="thin">
        <color theme="0" tint="-0.25"/>
      </right>
      <top style="thin"/>
      <bottom/>
      <diagonal/>
    </border>
    <border diagonalUp="false" diagonalDown="false">
      <left style="thin">
        <color theme="0" tint="-0.25"/>
      </left>
      <right style="thin"/>
      <top style="thin"/>
      <bottom/>
      <diagonal/>
    </border>
    <border diagonalUp="false" diagonalDown="false">
      <left style="thin"/>
      <right style="thin">
        <color theme="0" tint="-0.15"/>
      </right>
      <top style="thin"/>
      <bottom style="thin">
        <color theme="0" tint="-0.15"/>
      </bottom>
      <diagonal/>
    </border>
    <border diagonalUp="false" diagonalDown="false">
      <left style="thin">
        <color theme="0" tint="-0.15"/>
      </left>
      <right style="thin">
        <color theme="0" tint="-0.15"/>
      </right>
      <top style="thin"/>
      <bottom style="thin">
        <color theme="0" tint="-0.15"/>
      </bottom>
      <diagonal/>
    </border>
    <border diagonalUp="false" diagonalDown="false">
      <left style="thin"/>
      <right style="thin">
        <color theme="0" tint="-0.15"/>
      </right>
      <top style="thin">
        <color theme="0" tint="-0.15"/>
      </top>
      <bottom style="thin">
        <color theme="0" tint="-0.15"/>
      </bottom>
      <diagonal/>
    </border>
    <border diagonalUp="false" diagonalDown="false">
      <left style="thin"/>
      <right style="thin">
        <color theme="0" tint="-0.15"/>
      </right>
      <top style="thin">
        <color theme="0" tint="-0.15"/>
      </top>
      <bottom style="thin"/>
      <diagonal/>
    </border>
    <border diagonalUp="false" diagonalDown="false">
      <left style="thin">
        <color theme="0" tint="-0.15"/>
      </left>
      <right style="thin">
        <color theme="0" tint="-0.15"/>
      </right>
      <top style="thin">
        <color theme="0" tint="-0.15"/>
      </top>
      <bottom style="thin"/>
      <diagonal/>
    </border>
    <border diagonalUp="false" diagonalDown="false">
      <left/>
      <right style="thin"/>
      <top/>
      <bottom style="thin"/>
      <diagonal/>
    </border>
    <border diagonalUp="false" diagonalDown="false">
      <left style="thin">
        <color theme="0" tint="-0.25"/>
      </left>
      <right/>
      <top style="thin"/>
      <bottom style="thin"/>
      <diagonal/>
    </border>
    <border diagonalUp="false" diagonalDown="false">
      <left style="thin">
        <color theme="0" tint="-0.25"/>
      </left>
      <right style="thin">
        <color theme="0" tint="-0.25"/>
      </right>
      <top style="thin"/>
      <bottom style="thin"/>
      <diagonal/>
    </border>
    <border diagonalUp="false" diagonalDown="false">
      <left style="thin"/>
      <right style="thin">
        <color theme="0" tint="-0.15"/>
      </right>
      <top/>
      <bottom style="thin">
        <color theme="0" tint="-0.15"/>
      </bottom>
      <diagonal/>
    </border>
    <border diagonalUp="false" diagonalDown="false">
      <left style="thin">
        <color theme="0" tint="-0.15"/>
      </left>
      <right style="thin">
        <color theme="0" tint="-0.15"/>
      </right>
      <top/>
      <bottom style="thin">
        <color theme="0" tint="-0.15"/>
      </bottom>
      <diagonal/>
    </border>
    <border diagonalUp="false" diagonalDown="false">
      <left/>
      <right style="thin">
        <color theme="0" tint="-0.25"/>
      </right>
      <top style="thin"/>
      <bottom style="thin"/>
      <diagonal/>
    </border>
    <border diagonalUp="false" diagonalDown="false">
      <left style="thin">
        <color theme="0" tint="-0.25"/>
      </left>
      <right style="thin">
        <color theme="0" tint="-0.25"/>
      </right>
      <top/>
      <bottom style="thin"/>
      <diagonal/>
    </border>
    <border diagonalUp="false" diagonalDown="false">
      <left style="thin">
        <color theme="0" tint="-0.25"/>
      </left>
      <right/>
      <top style="thin">
        <color theme="0" tint="-0.25"/>
      </top>
      <bottom style="thin">
        <color theme="0" tint="-0.25"/>
      </bottom>
      <diagonal/>
    </border>
    <border diagonalUp="false" diagonalDown="false">
      <left/>
      <right style="thin">
        <color theme="0" tint="-0.25"/>
      </right>
      <top style="thin">
        <color theme="0" tint="-0.25"/>
      </top>
      <bottom style="thin">
        <color theme="0" tint="-0.25"/>
      </bottom>
      <diagonal/>
    </border>
    <border diagonalUp="false" diagonalDown="false">
      <left style="thin">
        <color theme="0" tint="-0.25"/>
      </left>
      <right style="thin">
        <color theme="0" tint="-0.25"/>
      </right>
      <top style="thin">
        <color theme="0" tint="-0.25"/>
      </top>
      <bottom style="thin"/>
      <diagonal/>
    </border>
    <border diagonalUp="false" diagonalDown="false">
      <left style="thin"/>
      <right style="thin"/>
      <top/>
      <bottom style="thin"/>
      <diagonal/>
    </border>
    <border diagonalUp="false" diagonalDown="false">
      <left style="thin"/>
      <right style="thin">
        <color theme="0" tint="-0.35"/>
      </right>
      <top style="thin"/>
      <bottom style="thin"/>
      <diagonal/>
    </border>
    <border diagonalUp="false" diagonalDown="false">
      <left style="thin">
        <color theme="0" tint="-0.35"/>
      </left>
      <right style="thin">
        <color theme="0" tint="-0.25"/>
      </right>
      <top style="thin"/>
      <bottom style="thin">
        <color theme="0" tint="-0.35"/>
      </bottom>
      <diagonal/>
    </border>
    <border diagonalUp="false" diagonalDown="false">
      <left style="thin">
        <color theme="0" tint="-0.35"/>
      </left>
      <right/>
      <top style="thin">
        <color theme="0" tint="-0.35"/>
      </top>
      <bottom/>
      <diagonal/>
    </border>
    <border diagonalUp="false" diagonalDown="false">
      <left/>
      <right/>
      <top style="thin">
        <color theme="0" tint="-0.35"/>
      </top>
      <bottom/>
      <diagonal/>
    </border>
    <border diagonalUp="false" diagonalDown="false">
      <left/>
      <right style="thin">
        <color theme="0" tint="-0.25"/>
      </right>
      <top style="thin">
        <color theme="0" tint="-0.35"/>
      </top>
      <bottom/>
      <diagonal/>
    </border>
    <border diagonalUp="false" diagonalDown="false">
      <left style="thin">
        <color theme="0" tint="-0.35"/>
      </left>
      <right/>
      <top/>
      <bottom style="thin"/>
      <diagonal/>
    </border>
    <border diagonalUp="false" diagonalDown="false">
      <left style="thin">
        <color theme="0" tint="-0.35"/>
      </left>
      <right/>
      <top style="thin"/>
      <bottom/>
      <diagonal/>
    </border>
    <border diagonalUp="false" diagonalDown="false">
      <left style="thin">
        <color theme="0" tint="-0.35"/>
      </left>
      <right/>
      <top/>
      <bottom/>
      <diagonal/>
    </border>
    <border diagonalUp="false" diagonalDown="false">
      <left style="thin">
        <color theme="0" tint="-0.25"/>
      </left>
      <right style="thin">
        <color theme="0" tint="-0.25"/>
      </right>
      <top style="thin"/>
      <bottom style="thin">
        <color theme="0" tint="-0.25"/>
      </bottom>
      <diagonal/>
    </border>
    <border diagonalUp="false" diagonalDown="false">
      <left style="thin">
        <color theme="0" tint="-0.25"/>
      </left>
      <right style="thin">
        <color theme="0" tint="-0.25"/>
      </right>
      <top style="thin">
        <color theme="0" tint="-0.25"/>
      </top>
      <bottom/>
      <diagonal/>
    </border>
    <border diagonalUp="false" diagonalDown="false">
      <left/>
      <right style="thin">
        <color theme="0" tint="-0.25"/>
      </right>
      <top style="thin">
        <color theme="0" tint="-0.25"/>
      </top>
      <bottom/>
      <diagonal/>
    </border>
    <border diagonalUp="false" diagonalDown="false">
      <left/>
      <right style="thin"/>
      <top style="thin"/>
      <bottom style="thin">
        <color theme="0" tint="-0.25"/>
      </bottom>
      <diagonal/>
    </border>
    <border diagonalUp="false" diagonalDown="false">
      <left/>
      <right style="thin"/>
      <top style="thin">
        <color theme="0" tint="-0.25"/>
      </top>
      <bottom style="thin"/>
      <diagonal/>
    </border>
    <border diagonalUp="false" diagonalDown="false">
      <left style="thin"/>
      <right style="thin">
        <color theme="0" tint="-0.25"/>
      </right>
      <top style="thin"/>
      <bottom style="thin">
        <color theme="0" tint="-0.25"/>
      </bottom>
      <diagonal/>
    </border>
    <border diagonalUp="false" diagonalDown="false">
      <left style="thin"/>
      <right style="thin">
        <color theme="0" tint="-0.25"/>
      </right>
      <top style="thin">
        <color theme="0" tint="-0.25"/>
      </top>
      <bottom style="thin">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style="thin"/>
      <right style="thin">
        <color theme="0" tint="-0.25"/>
      </right>
      <top/>
      <bottom style="thin"/>
      <diagonal/>
    </border>
    <border diagonalUp="false" diagonalDown="false">
      <left style="thin">
        <color theme="0" tint="-0.15"/>
      </left>
      <right style="thin"/>
      <top style="thin"/>
      <bottom style="thin">
        <color theme="0" tint="-0.15"/>
      </bottom>
      <diagonal/>
    </border>
    <border diagonalUp="false" diagonalDown="false">
      <left style="thin">
        <color theme="0" tint="-0.25"/>
      </left>
      <right style="thin"/>
      <top style="thin">
        <color theme="0" tint="-0.15"/>
      </top>
      <bottom style="thin"/>
      <diagonal/>
    </border>
  </borders>
  <cellStyleXfs count="101">
    <xf numFmtId="164" fontId="0" fillId="0" borderId="0" applyFont="true" applyBorder="true" applyAlignment="true" applyProtection="true">
      <alignment horizontal="general" vertical="top"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left" vertical="top" textRotation="0" wrapText="true" indent="0" shrinkToFit="false"/>
      <protection locked="true" hidden="false"/>
    </xf>
    <xf numFmtId="164" fontId="4" fillId="0" borderId="0" applyFont="true" applyBorder="true" applyAlignment="true" applyProtection="true">
      <alignment horizontal="left" vertical="top" textRotation="0" wrapText="tru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left" vertical="top" textRotation="0" wrapText="false" indent="0" shrinkToFit="false"/>
      <protection locked="false" hidden="false"/>
    </xf>
    <xf numFmtId="164" fontId="8" fillId="0" borderId="0" applyFont="true" applyBorder="true" applyAlignment="true" applyProtection="true">
      <alignment horizontal="center" vertical="center" textRotation="0" wrapText="true" indent="0" shrinkToFit="false"/>
      <protection locked="true" hidden="false"/>
    </xf>
    <xf numFmtId="164" fontId="9" fillId="0" borderId="1" applyFont="true" applyBorder="true" applyAlignment="true" applyProtection="true">
      <alignment horizontal="left" vertical="top" textRotation="0" wrapText="false" indent="0" shrinkToFit="false"/>
      <protection locked="true" hidden="false"/>
    </xf>
    <xf numFmtId="164" fontId="10" fillId="2" borderId="1" applyFont="true" applyBorder="true" applyAlignment="true" applyProtection="true">
      <alignment horizontal="general" vertical="top" textRotation="0" wrapText="false" indent="0" shrinkToFit="false"/>
      <protection locked="true" hidden="false"/>
    </xf>
    <xf numFmtId="165" fontId="11" fillId="3" borderId="2" applyFont="true" applyBorder="true" applyAlignment="true" applyProtection="true">
      <alignment horizontal="center" vertical="bottom" textRotation="0" wrapText="true" indent="0" shrinkToFit="false"/>
      <protection locked="true" hidden="false"/>
    </xf>
    <xf numFmtId="166" fontId="12" fillId="0" borderId="0" applyFont="true" applyBorder="true" applyAlignment="true" applyProtection="true">
      <alignment horizontal="general" vertical="bottom" textRotation="0" wrapText="false" indent="0" shrinkToFit="false"/>
      <protection locked="true" hidden="false"/>
    </xf>
    <xf numFmtId="166" fontId="12" fillId="0" borderId="0" applyFont="true" applyBorder="true" applyAlignment="true" applyProtection="true">
      <alignment horizontal="general" vertical="bottom" textRotation="0" wrapText="false" indent="0" shrinkToFit="false"/>
      <protection locked="true" hidden="false"/>
    </xf>
    <xf numFmtId="166" fontId="12" fillId="0" borderId="0" applyFont="true" applyBorder="true" applyAlignment="true" applyProtection="true">
      <alignment horizontal="general" vertical="bottom" textRotation="0" wrapText="false" indent="0" shrinkToFit="false"/>
      <protection locked="true" hidden="false"/>
    </xf>
    <xf numFmtId="166" fontId="12" fillId="0" borderId="0" applyFont="true" applyBorder="true" applyAlignment="true" applyProtection="true">
      <alignment horizontal="general" vertical="bottom" textRotation="0" wrapText="false" indent="0" shrinkToFit="false"/>
      <protection locked="true" hidden="false"/>
    </xf>
    <xf numFmtId="166" fontId="13" fillId="0" borderId="0" applyFont="true" applyBorder="true" applyAlignment="true" applyProtection="true">
      <alignment horizontal="general" vertical="bottom" textRotation="0" wrapText="false" indent="0" shrinkToFit="false"/>
      <protection locked="true" hidden="false"/>
    </xf>
    <xf numFmtId="166" fontId="12" fillId="0" borderId="0" applyFont="true" applyBorder="true" applyAlignment="true" applyProtection="true">
      <alignment horizontal="general" vertical="bottom" textRotation="0" wrapText="false" indent="0" shrinkToFit="false"/>
      <protection locked="true" hidden="false"/>
    </xf>
    <xf numFmtId="166" fontId="12" fillId="0" borderId="0" applyFont="true" applyBorder="true" applyAlignment="true" applyProtection="true">
      <alignment horizontal="general" vertical="bottom" textRotation="0" wrapText="false" indent="0" shrinkToFit="false"/>
      <protection locked="true" hidden="false"/>
    </xf>
    <xf numFmtId="167"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top" textRotation="0" wrapText="false" indent="0" shrinkToFit="false"/>
      <protection locked="true" hidden="false"/>
    </xf>
    <xf numFmtId="164"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top"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general" vertical="bottom" textRotation="0" wrapText="false" indent="0" shrinkToFit="false"/>
      <protection locked="true" hidden="false"/>
    </xf>
    <xf numFmtId="164" fontId="1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top"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top" textRotation="0" wrapText="false" indent="0" shrinkToFit="false"/>
      <protection locked="true" hidden="false"/>
    </xf>
    <xf numFmtId="164" fontId="0" fillId="0" borderId="0" applyFont="true" applyBorder="true" applyAlignment="true" applyProtection="true">
      <alignment horizontal="general" vertical="top"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top"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top" textRotation="0" wrapText="false" indent="0" shrinkToFit="false"/>
      <protection locked="true" hidden="false"/>
    </xf>
    <xf numFmtId="164" fontId="0" fillId="0" borderId="0" applyFont="true" applyBorder="true" applyAlignment="true" applyProtection="true">
      <alignment horizontal="general" vertical="top" textRotation="0" wrapText="false" indent="0" shrinkToFit="false"/>
      <protection locked="true" hidden="false"/>
    </xf>
    <xf numFmtId="164" fontId="0" fillId="0" borderId="0" applyFont="true" applyBorder="true" applyAlignment="true" applyProtection="true">
      <alignment horizontal="general" vertical="top" textRotation="0" wrapText="false" indent="0" shrinkToFit="false"/>
      <protection locked="true" hidden="false"/>
    </xf>
    <xf numFmtId="164" fontId="13" fillId="0" borderId="0" applyFont="true" applyBorder="true" applyAlignment="true" applyProtection="true">
      <alignment horizontal="general" vertical="top"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6"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top"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top" textRotation="0" wrapText="false" indent="0" shrinkToFit="false"/>
      <protection locked="true" hidden="false"/>
    </xf>
    <xf numFmtId="164" fontId="13" fillId="0" borderId="0" applyFont="true" applyBorder="true" applyAlignment="true" applyProtection="true">
      <alignment horizontal="general" vertical="top"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7"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8" fontId="12" fillId="0" borderId="0" applyFont="true" applyBorder="true" applyAlignment="true" applyProtection="true">
      <alignment horizontal="general" vertical="bottom" textRotation="0" wrapText="false" indent="0" shrinkToFit="false"/>
      <protection locked="true" hidden="false"/>
    </xf>
    <xf numFmtId="168" fontId="12" fillId="0" borderId="0" applyFont="true" applyBorder="true" applyAlignment="true" applyProtection="true">
      <alignment horizontal="general" vertical="bottom" textRotation="0" wrapText="false" indent="0" shrinkToFit="false"/>
      <protection locked="true" hidden="false"/>
    </xf>
    <xf numFmtId="168" fontId="13" fillId="0" borderId="0" applyFont="true" applyBorder="true" applyAlignment="true" applyProtection="true">
      <alignment horizontal="general" vertical="bottom" textRotation="0" wrapText="false" indent="0" shrinkToFit="false"/>
      <protection locked="true" hidden="false"/>
    </xf>
  </cellStyleXfs>
  <cellXfs count="1208">
    <xf numFmtId="164" fontId="0" fillId="0" borderId="0" xfId="0" applyFont="false" applyBorder="false" applyAlignment="false" applyProtection="false">
      <alignment horizontal="general" vertical="top" textRotation="0" wrapText="false" indent="0" shrinkToFit="false"/>
      <protection locked="true" hidden="false"/>
    </xf>
    <xf numFmtId="164" fontId="0" fillId="0" borderId="0" xfId="73" applyFont="true" applyBorder="false" applyAlignment="true" applyProtection="true">
      <alignment horizontal="general" vertical="center" textRotation="0" wrapText="false" indent="0" shrinkToFit="false"/>
      <protection locked="true" hidden="true"/>
    </xf>
    <xf numFmtId="169" fontId="0" fillId="0" borderId="0" xfId="73" applyFont="true" applyBorder="false" applyAlignment="true" applyProtection="true">
      <alignment horizontal="general" vertical="center" textRotation="0" wrapText="false" indent="0" shrinkToFit="false"/>
      <protection locked="true" hidden="true"/>
    </xf>
    <xf numFmtId="164" fontId="8" fillId="0" borderId="3" xfId="97" applyFont="true" applyBorder="true" applyAlignment="true" applyProtection="false">
      <alignment horizontal="center" vertical="center" textRotation="0" wrapText="false" indent="0" shrinkToFit="false"/>
      <protection locked="true" hidden="false"/>
    </xf>
    <xf numFmtId="164" fontId="6" fillId="0" borderId="4" xfId="97" applyFont="true" applyBorder="true" applyAlignment="true" applyProtection="false">
      <alignment horizontal="left" vertical="center" textRotation="0" wrapText="false" indent="0" shrinkToFit="false"/>
      <protection locked="true" hidden="false"/>
    </xf>
    <xf numFmtId="164" fontId="13" fillId="0" borderId="0" xfId="97" applyFont="true" applyBorder="true" applyAlignment="true" applyProtection="true">
      <alignment horizontal="left" vertical="center" textRotation="0" wrapText="false" indent="0" shrinkToFit="false"/>
      <protection locked="false" hidden="false"/>
    </xf>
    <xf numFmtId="164" fontId="6" fillId="0" borderId="0" xfId="97" applyFont="true" applyBorder="true" applyAlignment="true" applyProtection="false">
      <alignment horizontal="left" vertical="center" textRotation="0" wrapText="false" indent="0" shrinkToFit="false"/>
      <protection locked="true" hidden="false"/>
    </xf>
    <xf numFmtId="164" fontId="19" fillId="0" borderId="0" xfId="97" applyFont="true" applyBorder="true" applyAlignment="true" applyProtection="true">
      <alignment horizontal="left" vertical="center" textRotation="0" wrapText="false" indent="0" shrinkToFit="false"/>
      <protection locked="false" hidden="false"/>
    </xf>
    <xf numFmtId="164" fontId="12" fillId="0" borderId="5" xfId="97" applyFont="true" applyBorder="true" applyAlignment="true" applyProtection="true">
      <alignment horizontal="left" vertical="center" textRotation="0" wrapText="false" indent="0" shrinkToFit="false"/>
      <protection locked="false" hidden="false"/>
    </xf>
    <xf numFmtId="164" fontId="6" fillId="0" borderId="0" xfId="97" applyFont="true" applyBorder="true" applyAlignment="true" applyProtection="false">
      <alignment horizontal="right" vertical="center" textRotation="0" wrapText="false" indent="0" shrinkToFit="false"/>
      <protection locked="true" hidden="false"/>
    </xf>
    <xf numFmtId="164" fontId="19" fillId="0" borderId="0" xfId="71" applyFont="true" applyBorder="true" applyAlignment="true" applyProtection="true">
      <alignment horizontal="left" vertical="center" textRotation="0" wrapText="false" indent="0" shrinkToFit="false"/>
      <protection locked="false" hidden="false"/>
    </xf>
    <xf numFmtId="164" fontId="20" fillId="4" borderId="6" xfId="97" applyFont="true" applyBorder="true" applyAlignment="true" applyProtection="false">
      <alignment horizontal="center" vertical="center" textRotation="0" wrapText="false" indent="0" shrinkToFit="false"/>
      <protection locked="true" hidden="false"/>
    </xf>
    <xf numFmtId="164" fontId="20" fillId="0" borderId="4" xfId="97" applyFont="true" applyBorder="true" applyAlignment="true" applyProtection="false">
      <alignment horizontal="center" vertical="center" textRotation="0" wrapText="false" indent="0" shrinkToFit="false"/>
      <protection locked="true" hidden="false"/>
    </xf>
    <xf numFmtId="164" fontId="20" fillId="0" borderId="0" xfId="97" applyFont="true" applyBorder="false" applyAlignment="true" applyProtection="false">
      <alignment horizontal="center" vertical="center" textRotation="0" wrapText="false" indent="0" shrinkToFit="false"/>
      <protection locked="true" hidden="false"/>
    </xf>
    <xf numFmtId="169" fontId="20" fillId="0" borderId="0" xfId="97" applyFont="true" applyBorder="false" applyAlignment="true" applyProtection="false">
      <alignment horizontal="center" vertical="center" textRotation="0" wrapText="false" indent="0" shrinkToFit="false"/>
      <protection locked="true" hidden="false"/>
    </xf>
    <xf numFmtId="164" fontId="20" fillId="0" borderId="5" xfId="97" applyFont="true" applyBorder="true" applyAlignment="true" applyProtection="false">
      <alignment horizontal="center" vertical="center" textRotation="0" wrapText="false" indent="0" shrinkToFit="false"/>
      <protection locked="true" hidden="false"/>
    </xf>
    <xf numFmtId="164" fontId="0" fillId="0" borderId="4" xfId="73" applyFont="true" applyBorder="true" applyAlignment="true" applyProtection="true">
      <alignment horizontal="general" vertical="center" textRotation="0" wrapText="false" indent="0" shrinkToFit="false"/>
      <protection locked="true" hidden="true"/>
    </xf>
    <xf numFmtId="164" fontId="0" fillId="0" borderId="0" xfId="97" applyFont="true" applyBorder="false" applyAlignment="true" applyProtection="false">
      <alignment horizontal="general" vertical="center" textRotation="0" wrapText="false" indent="0" shrinkToFit="false"/>
      <protection locked="true" hidden="false"/>
    </xf>
    <xf numFmtId="164" fontId="0" fillId="0" borderId="0" xfId="97" applyFont="true" applyBorder="false" applyAlignment="true" applyProtection="false">
      <alignment horizontal="general" vertical="center" textRotation="0" wrapText="true" indent="0" shrinkToFit="false"/>
      <protection locked="true" hidden="false"/>
    </xf>
    <xf numFmtId="164" fontId="21" fillId="0" borderId="0" xfId="97" applyFont="true" applyBorder="false" applyAlignment="true" applyProtection="false">
      <alignment horizontal="general" vertical="center" textRotation="0" wrapText="true" indent="0" shrinkToFit="false"/>
      <protection locked="true" hidden="false"/>
    </xf>
    <xf numFmtId="169" fontId="21" fillId="0" borderId="0" xfId="73" applyFont="true" applyBorder="false" applyAlignment="true" applyProtection="true">
      <alignment horizontal="general" vertical="center" textRotation="0" wrapText="false" indent="0" shrinkToFit="false"/>
      <protection locked="true" hidden="true"/>
    </xf>
    <xf numFmtId="164" fontId="21" fillId="0" borderId="0" xfId="73" applyFont="true" applyBorder="false" applyAlignment="true" applyProtection="true">
      <alignment horizontal="general" vertical="center" textRotation="0" wrapText="false" indent="0" shrinkToFit="false"/>
      <protection locked="true" hidden="true"/>
    </xf>
    <xf numFmtId="164" fontId="0" fillId="0" borderId="5" xfId="73" applyFont="true" applyBorder="true" applyAlignment="true" applyProtection="true">
      <alignment horizontal="general" vertical="center" textRotation="0" wrapText="false" indent="0" shrinkToFit="false"/>
      <protection locked="true" hidden="true"/>
    </xf>
    <xf numFmtId="164" fontId="0" fillId="5" borderId="7" xfId="97" applyFont="true" applyBorder="true" applyAlignment="true" applyProtection="false">
      <alignment horizontal="center" vertical="center" textRotation="0" wrapText="true" indent="0" shrinkToFit="false"/>
      <protection locked="true" hidden="false"/>
    </xf>
    <xf numFmtId="164" fontId="0" fillId="5" borderId="8" xfId="97" applyFont="true" applyBorder="true" applyAlignment="true" applyProtection="false">
      <alignment horizontal="left" vertical="center" textRotation="0" wrapText="true" indent="0" shrinkToFit="false"/>
      <protection locked="true" hidden="false"/>
    </xf>
    <xf numFmtId="164" fontId="0" fillId="5" borderId="9" xfId="97" applyFont="true" applyBorder="true" applyAlignment="true" applyProtection="false">
      <alignment horizontal="center" vertical="center" textRotation="0" wrapText="true" indent="0" shrinkToFit="false"/>
      <protection locked="true" hidden="false"/>
    </xf>
    <xf numFmtId="170" fontId="21" fillId="0" borderId="0" xfId="93" applyFont="true" applyBorder="false" applyAlignment="true" applyProtection="false">
      <alignment horizontal="center" vertical="top" textRotation="0" wrapText="false" indent="0" shrinkToFit="false"/>
      <protection locked="true" hidden="false"/>
    </xf>
    <xf numFmtId="169" fontId="21" fillId="0" borderId="0" xfId="93" applyFont="true" applyBorder="false" applyAlignment="true" applyProtection="false">
      <alignment horizontal="center" vertical="top" textRotation="0" wrapText="false" indent="0" shrinkToFit="false"/>
      <protection locked="true" hidden="false"/>
    </xf>
    <xf numFmtId="164" fontId="0" fillId="0" borderId="10" xfId="73" applyFont="true" applyBorder="true" applyAlignment="true" applyProtection="true">
      <alignment horizontal="general" vertical="center" textRotation="0" wrapText="false" indent="0" shrinkToFit="false"/>
      <protection locked="true" hidden="true"/>
    </xf>
    <xf numFmtId="164" fontId="0" fillId="0" borderId="4" xfId="97" applyFont="true" applyBorder="true" applyAlignment="true" applyProtection="false">
      <alignment horizontal="center" vertical="center" textRotation="0" wrapText="true" indent="0" shrinkToFit="false"/>
      <protection locked="true" hidden="false"/>
    </xf>
    <xf numFmtId="164" fontId="0" fillId="0" borderId="0" xfId="97" applyFont="true" applyBorder="true" applyAlignment="true" applyProtection="false">
      <alignment horizontal="left" vertical="center" textRotation="0" wrapText="true" indent="0" shrinkToFit="false"/>
      <protection locked="true" hidden="false"/>
    </xf>
    <xf numFmtId="170" fontId="0" fillId="0" borderId="5" xfId="97" applyFont="true" applyBorder="true" applyAlignment="true" applyProtection="false">
      <alignment horizontal="center" vertical="center" textRotation="0" wrapText="true" indent="0" shrinkToFit="false"/>
      <protection locked="true" hidden="false"/>
    </xf>
    <xf numFmtId="164" fontId="0" fillId="0" borderId="11" xfId="97" applyFont="true" applyBorder="true" applyAlignment="true" applyProtection="false">
      <alignment horizontal="center" vertical="center" textRotation="0" wrapText="true" indent="0" shrinkToFit="false"/>
      <protection locked="true" hidden="false"/>
    </xf>
    <xf numFmtId="164" fontId="0" fillId="0" borderId="11" xfId="97" applyFont="true" applyBorder="true" applyAlignment="true" applyProtection="true">
      <alignment horizontal="center" vertical="center" textRotation="0" wrapText="true" indent="0" shrinkToFit="false"/>
      <protection locked="false" hidden="false"/>
    </xf>
    <xf numFmtId="164" fontId="0" fillId="0" borderId="0" xfId="97" applyFont="true" applyBorder="true" applyAlignment="true" applyProtection="true">
      <alignment horizontal="left" vertical="center" textRotation="0" wrapText="true" indent="0" shrinkToFit="false"/>
      <protection locked="false" hidden="false"/>
    </xf>
    <xf numFmtId="170" fontId="21" fillId="0" borderId="0" xfId="0" applyFont="true" applyBorder="false" applyAlignment="true" applyProtection="false">
      <alignment horizontal="center" vertical="top" textRotation="0" wrapText="false" indent="0" shrinkToFit="false"/>
      <protection locked="true" hidden="false"/>
    </xf>
    <xf numFmtId="169" fontId="21" fillId="0" borderId="0" xfId="0" applyFont="true" applyBorder="false" applyAlignment="true" applyProtection="false">
      <alignment horizontal="center" vertical="top" textRotation="0" wrapText="false" indent="0" shrinkToFit="false"/>
      <protection locked="true" hidden="false"/>
    </xf>
    <xf numFmtId="164" fontId="0" fillId="0" borderId="12" xfId="97" applyFont="true" applyBorder="true" applyAlignment="false" applyProtection="true">
      <alignment horizontal="general" vertical="bottom" textRotation="0" wrapText="false" indent="0" shrinkToFit="false"/>
      <protection locked="false" hidden="false"/>
    </xf>
    <xf numFmtId="164" fontId="0" fillId="0" borderId="0" xfId="97" applyFont="true" applyBorder="false" applyAlignment="true" applyProtection="true">
      <alignment horizontal="left" vertical="center" textRotation="0" wrapText="true" indent="0" shrinkToFit="false"/>
      <protection locked="false" hidden="false"/>
    </xf>
    <xf numFmtId="164" fontId="0" fillId="0" borderId="0" xfId="97" applyFont="true" applyBorder="false" applyAlignment="true" applyProtection="true">
      <alignment horizontal="left" vertical="center" textRotation="0" wrapText="false" indent="0" shrinkToFit="false"/>
      <protection locked="false" hidden="false"/>
    </xf>
    <xf numFmtId="171" fontId="0" fillId="0" borderId="0" xfId="97" applyFont="true" applyBorder="false" applyAlignment="true" applyProtection="true">
      <alignment horizontal="left" vertical="center" textRotation="0" wrapText="false" indent="0" shrinkToFit="false"/>
      <protection locked="false" hidden="false"/>
    </xf>
    <xf numFmtId="171" fontId="22" fillId="0" borderId="0" xfId="97" applyFont="true" applyBorder="true" applyAlignment="true" applyProtection="true">
      <alignment horizontal="right" vertical="center" textRotation="0" wrapText="false" indent="0" shrinkToFit="false"/>
      <protection locked="false" hidden="false"/>
    </xf>
    <xf numFmtId="170" fontId="22" fillId="0" borderId="5" xfId="97" applyFont="true" applyBorder="true" applyAlignment="true" applyProtection="false">
      <alignment horizontal="center" vertical="center" textRotation="0" wrapText="false" indent="0" shrinkToFit="false"/>
      <protection locked="true" hidden="false"/>
    </xf>
    <xf numFmtId="164" fontId="23" fillId="0" borderId="0" xfId="97" applyFont="true" applyBorder="false" applyAlignment="true" applyProtection="true">
      <alignment horizontal="left" vertical="center" textRotation="0" wrapText="false" indent="0" shrinkToFit="false"/>
      <protection locked="false" hidden="false"/>
    </xf>
    <xf numFmtId="171" fontId="0" fillId="0" borderId="0" xfId="97" applyFont="true" applyBorder="false" applyAlignment="true" applyProtection="true">
      <alignment horizontal="right" vertical="center" textRotation="0" wrapText="false" indent="0" shrinkToFit="false"/>
      <protection locked="false" hidden="false"/>
    </xf>
    <xf numFmtId="170" fontId="0" fillId="0" borderId="0" xfId="97" applyFont="true" applyBorder="false" applyAlignment="true" applyProtection="false">
      <alignment horizontal="center" vertical="center" textRotation="0" wrapText="true" indent="0" shrinkToFit="false"/>
      <protection locked="true" hidden="false"/>
    </xf>
    <xf numFmtId="164" fontId="24" fillId="0" borderId="4" xfId="73" applyFont="true" applyBorder="true" applyAlignment="true" applyProtection="true">
      <alignment horizontal="center" vertical="center" textRotation="0" wrapText="false" indent="0" shrinkToFit="false"/>
      <protection locked="true" hidden="true"/>
    </xf>
    <xf numFmtId="169" fontId="24" fillId="0" borderId="0" xfId="97" applyFont="true" applyBorder="true" applyAlignment="true" applyProtection="true">
      <alignment horizontal="center" vertical="center" textRotation="0" wrapText="false" indent="0" shrinkToFit="false"/>
      <protection locked="false" hidden="false"/>
    </xf>
    <xf numFmtId="164" fontId="24" fillId="0" borderId="0" xfId="97" applyFont="true" applyBorder="false" applyAlignment="true" applyProtection="true">
      <alignment horizontal="left" vertical="center" textRotation="0" wrapText="false" indent="0" shrinkToFit="false"/>
      <protection locked="false" hidden="false"/>
    </xf>
    <xf numFmtId="170" fontId="12" fillId="0" borderId="0" xfId="93" applyFont="true" applyBorder="false" applyAlignment="true" applyProtection="false">
      <alignment horizontal="center" vertical="top" textRotation="0" wrapText="false" indent="0" shrinkToFit="false"/>
      <protection locked="true" hidden="false"/>
    </xf>
    <xf numFmtId="169" fontId="12" fillId="0" borderId="0" xfId="93" applyFont="true" applyBorder="false" applyAlignment="true" applyProtection="false">
      <alignment horizontal="center" vertical="top" textRotation="0" wrapText="false" indent="0" shrinkToFit="false"/>
      <protection locked="true" hidden="false"/>
    </xf>
    <xf numFmtId="164" fontId="12" fillId="0" borderId="5" xfId="73" applyFont="true" applyBorder="true" applyAlignment="true" applyProtection="true">
      <alignment horizontal="general" vertical="center" textRotation="0" wrapText="false" indent="0" shrinkToFit="false"/>
      <protection locked="true" hidden="true"/>
    </xf>
    <xf numFmtId="164" fontId="0"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center" vertical="center" textRotation="0" wrapText="false" indent="0" shrinkToFit="false"/>
      <protection locked="true" hidden="false"/>
    </xf>
    <xf numFmtId="165" fontId="26" fillId="0" borderId="0" xfId="0" applyFont="true" applyBorder="true" applyAlignment="true" applyProtection="false">
      <alignment horizontal="center" vertical="center" textRotation="0" wrapText="true" indent="0" shrinkToFit="false"/>
      <protection locked="true" hidden="false"/>
    </xf>
    <xf numFmtId="165" fontId="13" fillId="0" borderId="0" xfId="0" applyFont="true" applyBorder="fals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5" fontId="15" fillId="0" borderId="0" xfId="0" applyFont="true" applyBorder="true" applyAlignment="true" applyProtection="false">
      <alignment horizontal="center" vertical="center" textRotation="0" wrapText="true" indent="0" shrinkToFit="false"/>
      <protection locked="true" hidden="false"/>
    </xf>
    <xf numFmtId="165" fontId="26" fillId="0" borderId="0" xfId="0" applyFont="true" applyBorder="false" applyAlignment="true" applyProtection="false">
      <alignment horizontal="center" vertical="center" textRotation="0" wrapText="true" indent="0" shrinkToFit="false"/>
      <protection locked="true" hidden="false"/>
    </xf>
    <xf numFmtId="165" fontId="26" fillId="0" borderId="0" xfId="0" applyFont="true" applyBorder="false" applyAlignment="true" applyProtection="false">
      <alignment horizontal="general" vertical="center" textRotation="0" wrapText="true" indent="0" shrinkToFit="false"/>
      <protection locked="true" hidden="false"/>
    </xf>
    <xf numFmtId="165" fontId="26" fillId="0" borderId="0" xfId="0" applyFont="true" applyBorder="false" applyAlignment="true" applyProtection="false">
      <alignment horizontal="left" vertical="center" textRotation="0" wrapText="true" indent="0" shrinkToFit="false"/>
      <protection locked="true" hidden="false"/>
    </xf>
    <xf numFmtId="172" fontId="26" fillId="0" borderId="0" xfId="0" applyFont="true" applyBorder="false" applyAlignment="true" applyProtection="false">
      <alignment horizontal="left" vertical="center" textRotation="0" wrapText="true" indent="0" shrinkToFit="false"/>
      <protection locked="true" hidden="false"/>
    </xf>
    <xf numFmtId="165" fontId="26" fillId="0" borderId="0" xfId="0" applyFont="true" applyBorder="true" applyAlignment="true" applyProtection="false">
      <alignment horizontal="general" vertical="center" textRotation="0" wrapText="true" indent="0" shrinkToFit="false"/>
      <protection locked="true" hidden="false"/>
    </xf>
    <xf numFmtId="165" fontId="26" fillId="0" borderId="0" xfId="0" applyFont="true" applyBorder="false" applyAlignment="true" applyProtection="false">
      <alignment horizontal="general" vertical="top" textRotation="0" wrapText="true" indent="0" shrinkToFit="false"/>
      <protection locked="true" hidden="false"/>
    </xf>
    <xf numFmtId="164" fontId="27" fillId="0" borderId="0" xfId="0" applyFont="true" applyBorder="true" applyAlignment="true" applyProtection="false">
      <alignment horizontal="center" vertical="center" textRotation="0" wrapText="true" indent="0" shrinkToFit="false"/>
      <protection locked="true" hidden="false"/>
    </xf>
    <xf numFmtId="164" fontId="28" fillId="0" borderId="0" xfId="0" applyFont="true" applyBorder="true" applyAlignment="true" applyProtection="false">
      <alignment horizontal="left" vertical="top" textRotation="0" wrapText="true" indent="0" shrinkToFit="false"/>
      <protection locked="true" hidden="false"/>
    </xf>
    <xf numFmtId="173" fontId="28" fillId="0" borderId="0" xfId="0" applyFont="true" applyBorder="true" applyAlignment="true" applyProtection="false">
      <alignment horizontal="left" vertical="top" textRotation="0" wrapText="tru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64" fontId="25" fillId="0" borderId="0" xfId="0" applyFont="true" applyBorder="true" applyAlignment="true" applyProtection="false">
      <alignment horizontal="center" vertical="top" textRotation="0" wrapText="false" indent="0" shrinkToFit="false"/>
      <protection locked="true" hidden="false"/>
    </xf>
    <xf numFmtId="164" fontId="25" fillId="0" borderId="0" xfId="0" applyFont="true" applyBorder="false" applyAlignment="true" applyProtection="false">
      <alignment horizontal="center" vertical="top" textRotation="0" wrapText="false" indent="0" shrinkToFit="false"/>
      <protection locked="true" hidden="false"/>
    </xf>
    <xf numFmtId="164" fontId="28" fillId="0" borderId="0" xfId="0" applyFont="true" applyBorder="false" applyAlignment="true" applyProtection="false">
      <alignment horizontal="left" vertical="top" textRotation="0" wrapText="false" indent="0" shrinkToFit="false"/>
      <protection locked="true" hidden="false"/>
    </xf>
    <xf numFmtId="164" fontId="29" fillId="0" borderId="0" xfId="0" applyFont="true" applyBorder="true" applyAlignment="true" applyProtection="false">
      <alignment horizontal="center" vertical="top"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4" fontId="31" fillId="6" borderId="2" xfId="0" applyFont="true" applyBorder="true" applyAlignment="true" applyProtection="false">
      <alignment horizontal="center" vertical="center" textRotation="0" wrapText="true" indent="0" shrinkToFit="false"/>
      <protection locked="true" hidden="false"/>
    </xf>
    <xf numFmtId="164" fontId="32" fillId="0" borderId="2" xfId="0" applyFont="true" applyBorder="true" applyAlignment="true" applyProtection="false">
      <alignment horizontal="center" vertical="center" textRotation="0" wrapText="false" indent="0" shrinkToFit="false"/>
      <protection locked="true" hidden="false"/>
    </xf>
    <xf numFmtId="164" fontId="33" fillId="0" borderId="2" xfId="0" applyFont="true" applyBorder="true" applyAlignment="true" applyProtection="false">
      <alignment horizontal="left" vertical="center" textRotation="0" wrapText="false" indent="0" shrinkToFit="false"/>
      <protection locked="true" hidden="false"/>
    </xf>
    <xf numFmtId="164" fontId="33" fillId="0" borderId="2"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false" hidden="false"/>
    </xf>
    <xf numFmtId="164" fontId="13" fillId="7" borderId="13" xfId="0" applyFont="true" applyBorder="true" applyAlignment="true" applyProtection="true">
      <alignment horizontal="general" vertical="bottom" textRotation="0" wrapText="false" indent="0" shrinkToFit="false"/>
      <protection locked="false" hidden="false"/>
    </xf>
    <xf numFmtId="164" fontId="13" fillId="7" borderId="14" xfId="0" applyFont="true" applyBorder="true" applyAlignment="true" applyProtection="true">
      <alignment horizontal="general" vertical="bottom" textRotation="0" wrapText="false" indent="0" shrinkToFit="false"/>
      <protection locked="false" hidden="false"/>
    </xf>
    <xf numFmtId="165" fontId="0" fillId="7" borderId="15" xfId="0" applyFont="true" applyBorder="true" applyAlignment="true" applyProtection="true">
      <alignment horizontal="left" vertical="bottom" textRotation="0" wrapText="true" indent="0" shrinkToFit="false"/>
      <protection locked="false" hidden="false"/>
    </xf>
    <xf numFmtId="165" fontId="11" fillId="8" borderId="15" xfId="0" applyFont="true" applyBorder="true" applyAlignment="true" applyProtection="true">
      <alignment horizontal="center" vertical="bottom" textRotation="0" wrapText="false" indent="0" shrinkToFit="false"/>
      <protection locked="false" hidden="false"/>
    </xf>
    <xf numFmtId="165" fontId="11" fillId="8" borderId="15" xfId="0" applyFont="true" applyBorder="true" applyAlignment="true" applyProtection="true">
      <alignment horizontal="center" vertical="bottom" textRotation="0" wrapText="true" indent="0" shrinkToFit="false"/>
      <protection locked="false" hidden="false"/>
    </xf>
    <xf numFmtId="165" fontId="11" fillId="8" borderId="16" xfId="0" applyFont="true" applyBorder="true" applyAlignment="true" applyProtection="true">
      <alignment horizontal="center" vertical="bottom" textRotation="0" wrapText="true" indent="0" shrinkToFit="false"/>
      <protection locked="false" hidden="false"/>
    </xf>
    <xf numFmtId="165" fontId="34" fillId="8" borderId="17" xfId="0" applyFont="true" applyBorder="true" applyAlignment="true" applyProtection="true">
      <alignment horizontal="center" vertical="bottom" textRotation="0" wrapText="true" indent="0" shrinkToFit="false"/>
      <protection locked="false" hidden="false"/>
    </xf>
    <xf numFmtId="165" fontId="34" fillId="8" borderId="18" xfId="0" applyFont="true" applyBorder="true" applyAlignment="true" applyProtection="true">
      <alignment horizontal="center" vertical="bottom" textRotation="0" wrapText="true" indent="0" shrinkToFit="false"/>
      <protection locked="false" hidden="false"/>
    </xf>
    <xf numFmtId="165" fontId="34" fillId="8" borderId="18" xfId="0" applyFont="true" applyBorder="true" applyAlignment="true" applyProtection="true">
      <alignment horizontal="general" vertical="bottom" textRotation="0" wrapText="true" indent="0" shrinkToFit="false"/>
      <protection locked="false" hidden="false"/>
    </xf>
    <xf numFmtId="165" fontId="34" fillId="8" borderId="19" xfId="0" applyFont="true" applyBorder="true" applyAlignment="true" applyProtection="true">
      <alignment horizontal="general" vertical="bottom" textRotation="0" wrapText="true" indent="0" shrinkToFit="false"/>
      <protection locked="false" hidden="false"/>
    </xf>
    <xf numFmtId="165" fontId="11" fillId="8" borderId="14" xfId="0" applyFont="true" applyBorder="true" applyAlignment="true" applyProtection="true">
      <alignment horizontal="center" vertical="bottom" textRotation="0" wrapText="true" indent="0" shrinkToFit="false"/>
      <protection locked="false" hidden="false"/>
    </xf>
    <xf numFmtId="164" fontId="13" fillId="8" borderId="20" xfId="0" applyFont="true" applyBorder="true" applyAlignment="true" applyProtection="true">
      <alignment horizontal="general" vertical="bottom" textRotation="0" wrapText="false" indent="0" shrinkToFit="false"/>
      <protection locked="false" hidden="false"/>
    </xf>
    <xf numFmtId="164" fontId="13" fillId="7" borderId="21" xfId="0" applyFont="true" applyBorder="true" applyAlignment="true" applyProtection="true">
      <alignment horizontal="general" vertical="bottom" textRotation="0" wrapText="false" indent="0" shrinkToFit="false"/>
      <protection locked="false" hidden="false"/>
    </xf>
    <xf numFmtId="164" fontId="13" fillId="7" borderId="22" xfId="0" applyFont="true" applyBorder="true" applyAlignment="true" applyProtection="true">
      <alignment horizontal="general" vertical="bottom" textRotation="0" wrapText="false" indent="0" shrinkToFit="false"/>
      <protection locked="false" hidden="false"/>
    </xf>
    <xf numFmtId="165" fontId="0" fillId="7" borderId="23" xfId="0" applyFont="true" applyBorder="true" applyAlignment="true" applyProtection="true">
      <alignment horizontal="left" vertical="bottom" textRotation="0" wrapText="true" indent="0" shrinkToFit="false"/>
      <protection locked="false" hidden="false"/>
    </xf>
    <xf numFmtId="165" fontId="11" fillId="8" borderId="23" xfId="0" applyFont="true" applyBorder="true" applyAlignment="true" applyProtection="true">
      <alignment horizontal="center" vertical="bottom" textRotation="0" wrapText="false" indent="0" shrinkToFit="false"/>
      <protection locked="false" hidden="false"/>
    </xf>
    <xf numFmtId="165" fontId="11" fillId="8" borderId="23" xfId="0" applyFont="true" applyBorder="true" applyAlignment="true" applyProtection="true">
      <alignment horizontal="center" vertical="bottom" textRotation="0" wrapText="true" indent="0" shrinkToFit="false"/>
      <protection locked="false" hidden="false"/>
    </xf>
    <xf numFmtId="165" fontId="11" fillId="8" borderId="24" xfId="0" applyFont="true" applyBorder="true" applyAlignment="true" applyProtection="true">
      <alignment horizontal="center" vertical="bottom" textRotation="0" wrapText="true" indent="0" shrinkToFit="false"/>
      <protection locked="false" hidden="false"/>
    </xf>
    <xf numFmtId="165" fontId="11" fillId="8" borderId="25" xfId="0" applyFont="true" applyBorder="true" applyAlignment="true" applyProtection="true">
      <alignment horizontal="center" vertical="bottom" textRotation="0" wrapText="true" indent="0" shrinkToFit="false"/>
      <protection locked="false" hidden="false"/>
    </xf>
    <xf numFmtId="165" fontId="11" fillId="8" borderId="26" xfId="0" applyFont="true" applyBorder="true" applyAlignment="true" applyProtection="true">
      <alignment horizontal="center" vertical="bottom" textRotation="0" wrapText="true" indent="0" shrinkToFit="false"/>
      <protection locked="false" hidden="false"/>
    </xf>
    <xf numFmtId="165" fontId="11" fillId="8" borderId="27" xfId="0" applyFont="true" applyBorder="true" applyAlignment="true" applyProtection="true">
      <alignment horizontal="center" vertical="bottom" textRotation="0" wrapText="true" indent="0" shrinkToFit="false"/>
      <protection locked="false" hidden="false"/>
    </xf>
    <xf numFmtId="165" fontId="11" fillId="8" borderId="22" xfId="0" applyFont="true" applyBorder="true" applyAlignment="true" applyProtection="true">
      <alignment horizontal="center" vertical="bottom" textRotation="0" wrapText="true" indent="0" shrinkToFit="false"/>
      <protection locked="false" hidden="false"/>
    </xf>
    <xf numFmtId="164" fontId="13" fillId="8" borderId="5" xfId="0" applyFont="true" applyBorder="true" applyAlignment="true" applyProtection="true">
      <alignment horizontal="general" vertical="bottom" textRotation="0" wrapText="false" indent="0" shrinkToFit="false"/>
      <protection locked="false" hidden="false"/>
    </xf>
    <xf numFmtId="164" fontId="13" fillId="7" borderId="28" xfId="0" applyFont="true" applyBorder="true" applyAlignment="true" applyProtection="true">
      <alignment horizontal="general" vertical="bottom" textRotation="0" wrapText="false" indent="0" shrinkToFit="false"/>
      <protection locked="false" hidden="false"/>
    </xf>
    <xf numFmtId="164" fontId="13" fillId="7" borderId="29" xfId="0" applyFont="true" applyBorder="true" applyAlignment="true" applyProtection="true">
      <alignment horizontal="general" vertical="bottom" textRotation="0" wrapText="false" indent="0" shrinkToFit="false"/>
      <protection locked="false" hidden="false"/>
    </xf>
    <xf numFmtId="165" fontId="0" fillId="7" borderId="30" xfId="0" applyFont="true" applyBorder="true" applyAlignment="true" applyProtection="true">
      <alignment horizontal="left" vertical="bottom" textRotation="0" wrapText="true" indent="0" shrinkToFit="false"/>
      <protection locked="false" hidden="false"/>
    </xf>
    <xf numFmtId="165" fontId="11" fillId="8" borderId="30" xfId="0" applyFont="true" applyBorder="true" applyAlignment="true" applyProtection="true">
      <alignment horizontal="center" vertical="bottom" textRotation="0" wrapText="true" indent="0" shrinkToFit="false"/>
      <protection locked="false" hidden="false"/>
    </xf>
    <xf numFmtId="165" fontId="11" fillId="8" borderId="31" xfId="0" applyFont="true" applyBorder="true" applyAlignment="true" applyProtection="true">
      <alignment horizontal="center" vertical="bottom" textRotation="0" wrapText="true" indent="0" shrinkToFit="false"/>
      <protection locked="false" hidden="false"/>
    </xf>
    <xf numFmtId="165" fontId="11" fillId="8" borderId="32" xfId="0" applyFont="true" applyBorder="true" applyAlignment="true" applyProtection="true">
      <alignment horizontal="center" vertical="bottom" textRotation="0" wrapText="true" indent="0" shrinkToFit="false"/>
      <protection locked="false" hidden="false"/>
    </xf>
    <xf numFmtId="165" fontId="11" fillId="8" borderId="33" xfId="0" applyFont="true" applyBorder="true" applyAlignment="true" applyProtection="true">
      <alignment horizontal="center" vertical="bottom" textRotation="0" wrapText="true" indent="0" shrinkToFit="false"/>
      <protection locked="false" hidden="false"/>
    </xf>
    <xf numFmtId="164" fontId="11" fillId="8" borderId="33" xfId="0" applyFont="true" applyBorder="true" applyAlignment="true" applyProtection="true">
      <alignment horizontal="center" vertical="bottom" textRotation="0" wrapText="true" indent="0" shrinkToFit="false"/>
      <protection locked="false" hidden="false"/>
    </xf>
    <xf numFmtId="164" fontId="0" fillId="8" borderId="33" xfId="0" applyFont="true" applyBorder="true" applyAlignment="true" applyProtection="true">
      <alignment horizontal="general" vertical="bottom" textRotation="0" wrapText="true" indent="0" shrinkToFit="false"/>
      <protection locked="false" hidden="false"/>
    </xf>
    <xf numFmtId="164" fontId="0" fillId="8" borderId="34" xfId="0" applyFont="true" applyBorder="true" applyAlignment="true" applyProtection="true">
      <alignment horizontal="general" vertical="bottom" textRotation="0" wrapText="true" indent="0" shrinkToFit="false"/>
      <protection locked="false" hidden="false"/>
    </xf>
    <xf numFmtId="165" fontId="11" fillId="8" borderId="29" xfId="0" applyFont="true" applyBorder="true" applyAlignment="true" applyProtection="true">
      <alignment horizontal="center" vertical="bottom" textRotation="0" wrapText="true" indent="0" shrinkToFit="false"/>
      <protection locked="false" hidden="false"/>
    </xf>
    <xf numFmtId="165" fontId="11" fillId="8" borderId="30" xfId="0" applyFont="true" applyBorder="true" applyAlignment="true" applyProtection="true">
      <alignment horizontal="center" vertical="bottom" textRotation="0" wrapText="false" indent="0" shrinkToFit="false"/>
      <protection locked="false" hidden="false"/>
    </xf>
    <xf numFmtId="164" fontId="13" fillId="8" borderId="35" xfId="0" applyFont="true" applyBorder="true" applyAlignment="true" applyProtection="true">
      <alignment horizontal="general" vertical="bottom" textRotation="0" wrapText="false" indent="0" shrinkToFit="false"/>
      <protection locked="false" hidden="false"/>
    </xf>
    <xf numFmtId="164" fontId="29" fillId="5" borderId="36" xfId="0" applyFont="true" applyBorder="true" applyAlignment="true" applyProtection="true">
      <alignment horizontal="general" vertical="top" textRotation="0" wrapText="true" indent="0" shrinkToFit="false"/>
      <protection locked="false" hidden="false"/>
    </xf>
    <xf numFmtId="164" fontId="0" fillId="5" borderId="37" xfId="0" applyFont="true" applyBorder="true" applyAlignment="true" applyProtection="true">
      <alignment horizontal="left" vertical="top" textRotation="0" wrapText="false" indent="0" shrinkToFit="false"/>
      <protection locked="false" hidden="false"/>
    </xf>
    <xf numFmtId="164" fontId="24" fillId="5" borderId="37" xfId="69" applyFont="true" applyBorder="true" applyAlignment="true" applyProtection="true">
      <alignment horizontal="left" vertical="top" textRotation="0" wrapText="false" indent="0" shrinkToFit="false"/>
      <protection locked="false" hidden="false"/>
    </xf>
    <xf numFmtId="164" fontId="29" fillId="5" borderId="37" xfId="0" applyFont="true" applyBorder="true" applyAlignment="true" applyProtection="true">
      <alignment horizontal="general" vertical="top" textRotation="0" wrapText="false" indent="0" shrinkToFit="false"/>
      <protection locked="false" hidden="false"/>
    </xf>
    <xf numFmtId="164" fontId="35" fillId="5" borderId="37" xfId="0" applyFont="true" applyBorder="true" applyAlignment="true" applyProtection="false">
      <alignment horizontal="general" vertical="top" textRotation="0" wrapText="false" indent="0" shrinkToFit="false"/>
      <protection locked="true" hidden="false"/>
    </xf>
    <xf numFmtId="164" fontId="29" fillId="5" borderId="37" xfId="0" applyFont="true" applyBorder="true" applyAlignment="true" applyProtection="false">
      <alignment horizontal="general" vertical="bottom" textRotation="0" wrapText="false" indent="0" shrinkToFit="false"/>
      <protection locked="true" hidden="false"/>
    </xf>
    <xf numFmtId="174" fontId="35" fillId="5" borderId="37" xfId="0" applyFont="true" applyBorder="true" applyAlignment="true" applyProtection="false">
      <alignment horizontal="general" vertical="top" textRotation="0" wrapText="false" indent="0" shrinkToFit="false"/>
      <protection locked="true" hidden="false"/>
    </xf>
    <xf numFmtId="164" fontId="29" fillId="5" borderId="38" xfId="0" applyFont="true" applyBorder="true" applyAlignment="true" applyProtection="true">
      <alignment horizontal="general" vertical="top" textRotation="0" wrapText="false" indent="0" shrinkToFit="false"/>
      <protection locked="false" hidden="false"/>
    </xf>
    <xf numFmtId="175" fontId="13" fillId="0" borderId="25" xfId="0" applyFont="true" applyBorder="true" applyAlignment="true" applyProtection="true">
      <alignment horizontal="general" vertical="top" textRotation="0" wrapText="true" indent="0" shrinkToFit="false"/>
      <protection locked="false" hidden="false"/>
    </xf>
    <xf numFmtId="164" fontId="0" fillId="0" borderId="26" xfId="0" applyFont="true" applyBorder="true" applyAlignment="true" applyProtection="true">
      <alignment horizontal="left" vertical="top" textRotation="0" wrapText="false" indent="0" shrinkToFit="false"/>
      <protection locked="false" hidden="false"/>
    </xf>
    <xf numFmtId="164" fontId="0" fillId="0" borderId="26" xfId="69" applyFont="true" applyBorder="true" applyAlignment="true" applyProtection="true">
      <alignment horizontal="left" vertical="top" textRotation="0" wrapText="false" indent="0" shrinkToFit="false"/>
      <protection locked="false" hidden="false"/>
    </xf>
    <xf numFmtId="164" fontId="13" fillId="0" borderId="26" xfId="0" applyFont="true" applyBorder="true" applyAlignment="true" applyProtection="true">
      <alignment horizontal="general" vertical="top" textRotation="0" wrapText="false" indent="0" shrinkToFit="false"/>
      <protection locked="false" hidden="false"/>
    </xf>
    <xf numFmtId="164" fontId="36" fillId="0" borderId="26" xfId="0" applyFont="true" applyBorder="true" applyAlignment="true" applyProtection="false">
      <alignment horizontal="general" vertical="top" textRotation="0" wrapText="false" indent="0" shrinkToFit="false"/>
      <protection locked="true" hidden="false"/>
    </xf>
    <xf numFmtId="164" fontId="36" fillId="0" borderId="26" xfId="0" applyFont="true" applyBorder="true" applyAlignment="true" applyProtection="false">
      <alignment horizontal="left" vertical="center" textRotation="0" wrapText="false" indent="0" shrinkToFit="false"/>
      <protection locked="true" hidden="false"/>
    </xf>
    <xf numFmtId="164" fontId="0" fillId="0" borderId="26" xfId="0" applyFont="true" applyBorder="true" applyAlignment="true" applyProtection="false">
      <alignment horizontal="general" vertical="bottom" textRotation="0" wrapText="false" indent="0" shrinkToFit="false"/>
      <protection locked="true" hidden="false"/>
    </xf>
    <xf numFmtId="174" fontId="36" fillId="0" borderId="26" xfId="0" applyFont="true" applyBorder="true" applyAlignment="true" applyProtection="false">
      <alignment horizontal="general" vertical="top" textRotation="0" wrapText="false" indent="0" shrinkToFit="false"/>
      <protection locked="true" hidden="false"/>
    </xf>
    <xf numFmtId="164" fontId="13" fillId="0" borderId="27" xfId="0" applyFont="true" applyBorder="true" applyAlignment="true" applyProtection="true">
      <alignment horizontal="general" vertical="top" textRotation="0" wrapText="false" indent="0" shrinkToFit="false"/>
      <protection locked="false" hidden="false"/>
    </xf>
    <xf numFmtId="175" fontId="13" fillId="5" borderId="25" xfId="0" applyFont="true" applyBorder="true" applyAlignment="true" applyProtection="true">
      <alignment horizontal="general" vertical="top" textRotation="0" wrapText="true" indent="0" shrinkToFit="false"/>
      <protection locked="false" hidden="false"/>
    </xf>
    <xf numFmtId="164" fontId="0" fillId="5" borderId="26" xfId="0" applyFont="true" applyBorder="true" applyAlignment="true" applyProtection="true">
      <alignment horizontal="left" vertical="top" textRotation="0" wrapText="false" indent="0" shrinkToFit="false"/>
      <protection locked="false" hidden="false"/>
    </xf>
    <xf numFmtId="164" fontId="24" fillId="5" borderId="26" xfId="69" applyFont="true" applyBorder="true" applyAlignment="true" applyProtection="true">
      <alignment horizontal="left" vertical="top" textRotation="0" wrapText="false" indent="0" shrinkToFit="false"/>
      <protection locked="false" hidden="false"/>
    </xf>
    <xf numFmtId="164" fontId="29" fillId="5" borderId="26" xfId="0" applyFont="true" applyBorder="true" applyAlignment="true" applyProtection="true">
      <alignment horizontal="general" vertical="top" textRotation="0" wrapText="false" indent="0" shrinkToFit="false"/>
      <protection locked="false" hidden="false"/>
    </xf>
    <xf numFmtId="164" fontId="35" fillId="5" borderId="26" xfId="0" applyFont="true" applyBorder="true" applyAlignment="true" applyProtection="false">
      <alignment horizontal="general" vertical="top" textRotation="0" wrapText="false" indent="0" shrinkToFit="false"/>
      <protection locked="true" hidden="false"/>
    </xf>
    <xf numFmtId="164" fontId="29" fillId="5" borderId="26" xfId="0" applyFont="true" applyBorder="true" applyAlignment="true" applyProtection="false">
      <alignment horizontal="general" vertical="bottom" textRotation="0" wrapText="false" indent="0" shrinkToFit="false"/>
      <protection locked="true" hidden="false"/>
    </xf>
    <xf numFmtId="174" fontId="35" fillId="5" borderId="26" xfId="0" applyFont="true" applyBorder="true" applyAlignment="true" applyProtection="false">
      <alignment horizontal="general" vertical="top" textRotation="0" wrapText="false" indent="0" shrinkToFit="false"/>
      <protection locked="true" hidden="false"/>
    </xf>
    <xf numFmtId="164" fontId="29" fillId="5" borderId="27" xfId="0" applyFont="true" applyBorder="true" applyAlignment="true" applyProtection="true">
      <alignment horizontal="general" vertical="top" textRotation="0" wrapText="false" indent="0" shrinkToFit="false"/>
      <protection locked="false" hidden="false"/>
    </xf>
    <xf numFmtId="164" fontId="29" fillId="0" borderId="27" xfId="0" applyFont="true" applyBorder="true" applyAlignment="true" applyProtection="true">
      <alignment horizontal="general" vertical="top" textRotation="0" wrapText="false" indent="0" shrinkToFit="false"/>
      <protection locked="false" hidden="false"/>
    </xf>
    <xf numFmtId="164" fontId="37" fillId="0" borderId="26" xfId="69" applyFont="true" applyBorder="true" applyAlignment="true" applyProtection="true">
      <alignment horizontal="left" vertical="top" textRotation="0" wrapText="false" indent="0" shrinkToFit="false"/>
      <protection locked="false" hidden="false"/>
    </xf>
    <xf numFmtId="164" fontId="29" fillId="5" borderId="25" xfId="0" applyFont="true" applyBorder="true" applyAlignment="true" applyProtection="true">
      <alignment horizontal="general" vertical="top" textRotation="0" wrapText="true" indent="0" shrinkToFit="false"/>
      <protection locked="false" hidden="false"/>
    </xf>
    <xf numFmtId="164" fontId="13" fillId="2" borderId="25" xfId="0" applyFont="true" applyBorder="true" applyAlignment="true" applyProtection="true">
      <alignment horizontal="general" vertical="top" textRotation="0" wrapText="true" indent="0" shrinkToFit="false"/>
      <protection locked="false" hidden="false"/>
    </xf>
    <xf numFmtId="164" fontId="0" fillId="2" borderId="26" xfId="0" applyFont="true" applyBorder="true" applyAlignment="true" applyProtection="true">
      <alignment horizontal="left" vertical="top" textRotation="0" wrapText="false" indent="0" shrinkToFit="false"/>
      <protection locked="false" hidden="false"/>
    </xf>
    <xf numFmtId="164" fontId="0" fillId="2" borderId="26" xfId="69" applyFont="true" applyBorder="true" applyAlignment="true" applyProtection="true">
      <alignment horizontal="left" vertical="top" textRotation="0" wrapText="false" indent="0" shrinkToFit="false"/>
      <protection locked="false" hidden="false"/>
    </xf>
    <xf numFmtId="164" fontId="13" fillId="2" borderId="26" xfId="0" applyFont="true" applyBorder="true" applyAlignment="true" applyProtection="true">
      <alignment horizontal="general" vertical="top" textRotation="0" wrapText="false" indent="0" shrinkToFit="false"/>
      <protection locked="false" hidden="false"/>
    </xf>
    <xf numFmtId="164" fontId="36" fillId="2" borderId="26" xfId="0" applyFont="true" applyBorder="true" applyAlignment="true" applyProtection="false">
      <alignment horizontal="general" vertical="top" textRotation="0" wrapText="false" indent="0" shrinkToFit="false"/>
      <protection locked="true" hidden="false"/>
    </xf>
    <xf numFmtId="164" fontId="36" fillId="2" borderId="26" xfId="0" applyFont="true" applyBorder="true" applyAlignment="true" applyProtection="false">
      <alignment horizontal="left" vertical="center" textRotation="0" wrapText="false" indent="0" shrinkToFit="false"/>
      <protection locked="true" hidden="false"/>
    </xf>
    <xf numFmtId="164" fontId="0" fillId="2" borderId="26" xfId="0" applyFont="true" applyBorder="true" applyAlignment="true" applyProtection="false">
      <alignment horizontal="general" vertical="bottom" textRotation="0" wrapText="false" indent="0" shrinkToFit="false"/>
      <protection locked="true" hidden="false"/>
    </xf>
    <xf numFmtId="174" fontId="36" fillId="2" borderId="26" xfId="0" applyFont="true" applyBorder="true" applyAlignment="true" applyProtection="false">
      <alignment horizontal="general" vertical="top" textRotation="0" wrapText="false" indent="0" shrinkToFit="false"/>
      <protection locked="true" hidden="false"/>
    </xf>
    <xf numFmtId="164" fontId="13" fillId="2" borderId="27" xfId="0" applyFont="true" applyBorder="true" applyAlignment="true" applyProtection="true">
      <alignment horizontal="general" vertical="top" textRotation="0" wrapText="false" indent="0" shrinkToFit="false"/>
      <protection locked="false" hidden="false"/>
    </xf>
    <xf numFmtId="164" fontId="29" fillId="2" borderId="25" xfId="0" applyFont="true" applyBorder="true" applyAlignment="true" applyProtection="true">
      <alignment horizontal="general" vertical="top" textRotation="0" wrapText="true" indent="0" shrinkToFit="false"/>
      <protection locked="false" hidden="false"/>
    </xf>
    <xf numFmtId="164" fontId="24" fillId="2" borderId="26" xfId="69" applyFont="true" applyBorder="true" applyAlignment="true" applyProtection="true">
      <alignment horizontal="left" vertical="top" textRotation="0" wrapText="false" indent="0" shrinkToFit="false"/>
      <protection locked="false" hidden="false"/>
    </xf>
    <xf numFmtId="164" fontId="29" fillId="2" borderId="27" xfId="0" applyFont="true" applyBorder="true" applyAlignment="true" applyProtection="true">
      <alignment horizontal="general" vertical="top" textRotation="0" wrapText="false" indent="0" shrinkToFit="false"/>
      <protection locked="false" hidden="false"/>
    </xf>
    <xf numFmtId="164" fontId="29" fillId="2" borderId="26" xfId="0" applyFont="true" applyBorder="true" applyAlignment="true" applyProtection="true">
      <alignment horizontal="general" vertical="top" textRotation="0" wrapText="false" indent="0" shrinkToFit="false"/>
      <protection locked="false" hidden="false"/>
    </xf>
    <xf numFmtId="164" fontId="35" fillId="2" borderId="26" xfId="0" applyFont="true" applyBorder="true" applyAlignment="true" applyProtection="false">
      <alignment horizontal="general" vertical="top" textRotation="0" wrapText="false" indent="0" shrinkToFit="false"/>
      <protection locked="true" hidden="false"/>
    </xf>
    <xf numFmtId="164" fontId="29" fillId="2" borderId="26" xfId="0" applyFont="true" applyBorder="true" applyAlignment="true" applyProtection="false">
      <alignment horizontal="general" vertical="bottom" textRotation="0" wrapText="false" indent="0" shrinkToFit="false"/>
      <protection locked="true" hidden="false"/>
    </xf>
    <xf numFmtId="174" fontId="35" fillId="2" borderId="26" xfId="0" applyFont="true" applyBorder="true" applyAlignment="true" applyProtection="false">
      <alignment horizontal="general" vertical="top" textRotation="0" wrapText="false" indent="0" shrinkToFit="false"/>
      <protection locked="true" hidden="false"/>
    </xf>
    <xf numFmtId="164" fontId="29" fillId="5" borderId="39" xfId="0" applyFont="true" applyBorder="true" applyAlignment="true" applyProtection="true">
      <alignment horizontal="general" vertical="top" textRotation="0" wrapText="true" indent="0" shrinkToFit="false"/>
      <protection locked="false" hidden="false"/>
    </xf>
    <xf numFmtId="164" fontId="0" fillId="5" borderId="40" xfId="0" applyFont="true" applyBorder="true" applyAlignment="true" applyProtection="true">
      <alignment horizontal="left" vertical="top" textRotation="0" wrapText="false" indent="0" shrinkToFit="false"/>
      <protection locked="false" hidden="false"/>
    </xf>
    <xf numFmtId="164" fontId="24" fillId="5" borderId="40" xfId="69" applyFont="true" applyBorder="true" applyAlignment="true" applyProtection="true">
      <alignment horizontal="left" vertical="top" textRotation="0" wrapText="false" indent="0" shrinkToFit="false"/>
      <protection locked="false" hidden="false"/>
    </xf>
    <xf numFmtId="164" fontId="29" fillId="5" borderId="40" xfId="0" applyFont="true" applyBorder="true" applyAlignment="true" applyProtection="true">
      <alignment horizontal="general" vertical="top" textRotation="0" wrapText="false" indent="0" shrinkToFit="false"/>
      <protection locked="false" hidden="false"/>
    </xf>
    <xf numFmtId="165" fontId="34" fillId="5" borderId="40" xfId="0" applyFont="true" applyBorder="true" applyAlignment="true" applyProtection="true">
      <alignment horizontal="general" vertical="top" textRotation="0" wrapText="true" indent="0" shrinkToFit="false"/>
      <protection locked="false" hidden="false"/>
    </xf>
    <xf numFmtId="165" fontId="34" fillId="5" borderId="40" xfId="0" applyFont="true" applyBorder="true" applyAlignment="true" applyProtection="true">
      <alignment horizontal="left" vertical="top" textRotation="0" wrapText="true" indent="0" shrinkToFit="false"/>
      <protection locked="false" hidden="false"/>
    </xf>
    <xf numFmtId="165" fontId="34" fillId="5" borderId="41" xfId="0" applyFont="true" applyBorder="true" applyAlignment="true" applyProtection="true">
      <alignment horizontal="general" vertical="top" textRotation="0" wrapText="true" indent="0" shrinkToFit="false"/>
      <protection locked="false" hidden="false"/>
    </xf>
    <xf numFmtId="176" fontId="34" fillId="5" borderId="39" xfId="0" applyFont="true" applyBorder="true" applyAlignment="true" applyProtection="true">
      <alignment horizontal="center" vertical="top" textRotation="0" wrapText="true" indent="0" shrinkToFit="false"/>
      <protection locked="false" hidden="false"/>
    </xf>
    <xf numFmtId="176" fontId="34" fillId="5" borderId="40" xfId="0" applyFont="true" applyBorder="true" applyAlignment="true" applyProtection="true">
      <alignment horizontal="center" vertical="top" textRotation="0" wrapText="true" indent="0" shrinkToFit="false"/>
      <protection locked="false" hidden="false"/>
    </xf>
    <xf numFmtId="176" fontId="34" fillId="5" borderId="42" xfId="0" applyFont="true" applyBorder="true" applyAlignment="true" applyProtection="true">
      <alignment horizontal="center" vertical="top" textRotation="0" wrapText="true" indent="0" shrinkToFit="false"/>
      <protection locked="false" hidden="false"/>
    </xf>
    <xf numFmtId="176" fontId="34" fillId="5" borderId="43" xfId="0" applyFont="true" applyBorder="true" applyAlignment="true" applyProtection="true">
      <alignment horizontal="center" vertical="top" textRotation="0" wrapText="true" indent="0" shrinkToFit="false"/>
      <protection locked="false" hidden="false"/>
    </xf>
    <xf numFmtId="176" fontId="34" fillId="5" borderId="41" xfId="0" applyFont="true" applyBorder="true" applyAlignment="true" applyProtection="true">
      <alignment horizontal="center" vertical="top" textRotation="0" wrapText="true" indent="0" shrinkToFit="false"/>
      <protection locked="false" hidden="false"/>
    </xf>
    <xf numFmtId="164" fontId="29" fillId="5" borderId="44" xfId="0" applyFont="true" applyBorder="true" applyAlignment="true" applyProtection="true">
      <alignment horizontal="general" vertical="top" textRotation="0" wrapText="false" indent="0" shrinkToFit="false"/>
      <protection locked="false" hidden="false"/>
    </xf>
    <xf numFmtId="165" fontId="11" fillId="0" borderId="26" xfId="0" applyFont="true" applyBorder="true" applyAlignment="true" applyProtection="true">
      <alignment horizontal="general" vertical="top" textRotation="0" wrapText="true" indent="0" shrinkToFit="false"/>
      <protection locked="false" hidden="false"/>
    </xf>
    <xf numFmtId="165" fontId="11" fillId="0" borderId="26" xfId="0" applyFont="true" applyBorder="true" applyAlignment="true" applyProtection="true">
      <alignment horizontal="left" vertical="top" textRotation="0" wrapText="true" indent="0" shrinkToFit="false"/>
      <protection locked="false" hidden="false"/>
    </xf>
    <xf numFmtId="165" fontId="11" fillId="0" borderId="45" xfId="0" applyFont="true" applyBorder="true" applyAlignment="true" applyProtection="true">
      <alignment horizontal="general" vertical="top" textRotation="0" wrapText="true" indent="0" shrinkToFit="false"/>
      <protection locked="false" hidden="false"/>
    </xf>
    <xf numFmtId="176" fontId="11" fillId="0" borderId="25" xfId="0" applyFont="true" applyBorder="true" applyAlignment="true" applyProtection="true">
      <alignment horizontal="center" vertical="top" textRotation="0" wrapText="true" indent="0" shrinkToFit="false"/>
      <protection locked="false" hidden="false"/>
    </xf>
    <xf numFmtId="176" fontId="11" fillId="0" borderId="26" xfId="0" applyFont="true" applyBorder="true" applyAlignment="true" applyProtection="true">
      <alignment horizontal="center" vertical="top" textRotation="0" wrapText="true" indent="0" shrinkToFit="false"/>
      <protection locked="false" hidden="false"/>
    </xf>
    <xf numFmtId="176" fontId="11" fillId="0" borderId="27" xfId="0" applyFont="true" applyBorder="true" applyAlignment="true" applyProtection="true">
      <alignment horizontal="center" vertical="top" textRotation="0" wrapText="true" indent="0" shrinkToFit="false"/>
      <protection locked="false" hidden="false"/>
    </xf>
    <xf numFmtId="176" fontId="11" fillId="0" borderId="46" xfId="0" applyFont="true" applyBorder="true" applyAlignment="true" applyProtection="true">
      <alignment horizontal="center" vertical="top" textRotation="0" wrapText="true" indent="0" shrinkToFit="false"/>
      <protection locked="false" hidden="false"/>
    </xf>
    <xf numFmtId="176" fontId="11" fillId="0" borderId="45" xfId="0" applyFont="true" applyBorder="true" applyAlignment="true" applyProtection="true">
      <alignment horizontal="center" vertical="top" textRotation="0" wrapText="true" indent="0" shrinkToFit="false"/>
      <protection locked="false" hidden="false"/>
    </xf>
    <xf numFmtId="164" fontId="13" fillId="0" borderId="47" xfId="0" applyFont="true" applyBorder="true" applyAlignment="true" applyProtection="true">
      <alignment horizontal="general" vertical="top" textRotation="0" wrapText="false" indent="0" shrinkToFit="false"/>
      <protection locked="false" hidden="false"/>
    </xf>
    <xf numFmtId="165" fontId="34" fillId="5" borderId="26" xfId="0" applyFont="true" applyBorder="true" applyAlignment="true" applyProtection="true">
      <alignment horizontal="general" vertical="top" textRotation="0" wrapText="true" indent="0" shrinkToFit="false"/>
      <protection locked="false" hidden="false"/>
    </xf>
    <xf numFmtId="165" fontId="34" fillId="5" borderId="26" xfId="0" applyFont="true" applyBorder="true" applyAlignment="true" applyProtection="true">
      <alignment horizontal="left" vertical="top" textRotation="0" wrapText="true" indent="0" shrinkToFit="false"/>
      <protection locked="false" hidden="false"/>
    </xf>
    <xf numFmtId="165" fontId="34" fillId="5" borderId="45" xfId="0" applyFont="true" applyBorder="true" applyAlignment="true" applyProtection="true">
      <alignment horizontal="general" vertical="top" textRotation="0" wrapText="true" indent="0" shrinkToFit="false"/>
      <protection locked="false" hidden="false"/>
    </xf>
    <xf numFmtId="176" fontId="34" fillId="5" borderId="25" xfId="0" applyFont="true" applyBorder="true" applyAlignment="true" applyProtection="true">
      <alignment horizontal="center" vertical="top" textRotation="0" wrapText="true" indent="0" shrinkToFit="false"/>
      <protection locked="false" hidden="false"/>
    </xf>
    <xf numFmtId="176" fontId="34" fillId="5" borderId="26" xfId="0" applyFont="true" applyBorder="true" applyAlignment="true" applyProtection="true">
      <alignment horizontal="center" vertical="top" textRotation="0" wrapText="true" indent="0" shrinkToFit="false"/>
      <protection locked="false" hidden="false"/>
    </xf>
    <xf numFmtId="176" fontId="34" fillId="5" borderId="27" xfId="0" applyFont="true" applyBorder="true" applyAlignment="true" applyProtection="true">
      <alignment horizontal="center" vertical="top" textRotation="0" wrapText="true" indent="0" shrinkToFit="false"/>
      <protection locked="false" hidden="false"/>
    </xf>
    <xf numFmtId="176" fontId="34" fillId="5" borderId="46" xfId="0" applyFont="true" applyBorder="true" applyAlignment="true" applyProtection="true">
      <alignment horizontal="center" vertical="top" textRotation="0" wrapText="true" indent="0" shrinkToFit="false"/>
      <protection locked="false" hidden="false"/>
    </xf>
    <xf numFmtId="176" fontId="34" fillId="5" borderId="45" xfId="0" applyFont="true" applyBorder="true" applyAlignment="true" applyProtection="true">
      <alignment horizontal="center" vertical="top" textRotation="0" wrapText="true" indent="0" shrinkToFit="false"/>
      <protection locked="false" hidden="false"/>
    </xf>
    <xf numFmtId="164" fontId="29" fillId="5" borderId="47" xfId="0" applyFont="true" applyBorder="true" applyAlignment="true" applyProtection="true">
      <alignment horizontal="general" vertical="top" textRotation="0" wrapText="false" indent="0" shrinkToFit="false"/>
      <protection locked="false" hidden="false"/>
    </xf>
    <xf numFmtId="164" fontId="13" fillId="0" borderId="45" xfId="0" applyFont="true" applyBorder="true" applyAlignment="true" applyProtection="true">
      <alignment horizontal="general" vertical="top" textRotation="0" wrapText="false" indent="0" shrinkToFit="false"/>
      <protection locked="false" hidden="false"/>
    </xf>
    <xf numFmtId="164" fontId="13" fillId="0" borderId="48" xfId="0" applyFont="true" applyBorder="true" applyAlignment="true" applyProtection="true">
      <alignment horizontal="general" vertical="top" textRotation="0" wrapText="false" indent="0" shrinkToFit="false"/>
      <protection locked="false" hidden="false"/>
    </xf>
    <xf numFmtId="164" fontId="13" fillId="0" borderId="49" xfId="0" applyFont="true" applyBorder="true" applyAlignment="true" applyProtection="true">
      <alignment horizontal="general" vertical="top" textRotation="0" wrapText="true" indent="0" shrinkToFit="false"/>
      <protection locked="false" hidden="false"/>
    </xf>
    <xf numFmtId="164" fontId="0" fillId="0" borderId="50" xfId="0" applyFont="true" applyBorder="true" applyAlignment="true" applyProtection="true">
      <alignment horizontal="left" vertical="top" textRotation="0" wrapText="false" indent="0" shrinkToFit="false"/>
      <protection locked="false" hidden="false"/>
    </xf>
    <xf numFmtId="164" fontId="0" fillId="0" borderId="50" xfId="69" applyFont="true" applyBorder="true" applyAlignment="true" applyProtection="true">
      <alignment horizontal="left" vertical="top" textRotation="0" wrapText="false" indent="0" shrinkToFit="false"/>
      <protection locked="false" hidden="false"/>
    </xf>
    <xf numFmtId="169" fontId="0" fillId="0" borderId="50" xfId="69" applyFont="true" applyBorder="true" applyAlignment="true" applyProtection="true">
      <alignment horizontal="center" vertical="top" textRotation="0" wrapText="false" indent="0" shrinkToFit="false"/>
      <protection locked="false" hidden="false"/>
    </xf>
    <xf numFmtId="165" fontId="11" fillId="0" borderId="50" xfId="0" applyFont="true" applyBorder="true" applyAlignment="true" applyProtection="true">
      <alignment horizontal="general" vertical="top" textRotation="0" wrapText="true" indent="0" shrinkToFit="false"/>
      <protection locked="false" hidden="false"/>
    </xf>
    <xf numFmtId="165" fontId="11" fillId="0" borderId="50" xfId="0" applyFont="true" applyBorder="true" applyAlignment="true" applyProtection="true">
      <alignment horizontal="left" vertical="top" textRotation="0" wrapText="true" indent="0" shrinkToFit="false"/>
      <protection locked="false" hidden="false"/>
    </xf>
    <xf numFmtId="165" fontId="11" fillId="0" borderId="51" xfId="0" applyFont="true" applyBorder="true" applyAlignment="true" applyProtection="true">
      <alignment horizontal="general" vertical="top" textRotation="0" wrapText="true" indent="0" shrinkToFit="false"/>
      <protection locked="false" hidden="false"/>
    </xf>
    <xf numFmtId="176" fontId="11" fillId="0" borderId="48" xfId="0" applyFont="true" applyBorder="true" applyAlignment="true" applyProtection="true">
      <alignment horizontal="center" vertical="top" textRotation="0" wrapText="true" indent="0" shrinkToFit="false"/>
      <protection locked="false" hidden="false"/>
    </xf>
    <xf numFmtId="176" fontId="11" fillId="0" borderId="50" xfId="0" applyFont="true" applyBorder="true" applyAlignment="true" applyProtection="true">
      <alignment horizontal="center" vertical="top" textRotation="0" wrapText="true" indent="0" shrinkToFit="false"/>
      <protection locked="false" hidden="false"/>
    </xf>
    <xf numFmtId="176" fontId="11" fillId="0" borderId="52" xfId="0" applyFont="true" applyBorder="true" applyAlignment="true" applyProtection="true">
      <alignment horizontal="center" vertical="top" textRotation="0" wrapText="true" indent="0" shrinkToFit="false"/>
      <protection locked="false" hidden="false"/>
    </xf>
    <xf numFmtId="176" fontId="11" fillId="0" borderId="49" xfId="0" applyFont="true" applyBorder="true" applyAlignment="true" applyProtection="true">
      <alignment horizontal="center" vertical="top" textRotation="0" wrapText="true" indent="0" shrinkToFit="false"/>
      <protection locked="false" hidden="false"/>
    </xf>
    <xf numFmtId="176" fontId="11" fillId="0" borderId="51" xfId="0" applyFont="true" applyBorder="true" applyAlignment="true" applyProtection="true">
      <alignment horizontal="center" vertical="top" textRotation="0" wrapText="true" indent="0" shrinkToFit="false"/>
      <protection locked="false" hidden="false"/>
    </xf>
    <xf numFmtId="164" fontId="13" fillId="0" borderId="53" xfId="0" applyFont="true" applyBorder="true" applyAlignment="true" applyProtection="true">
      <alignment horizontal="general" vertical="top" textRotation="0" wrapText="false" indent="0" shrinkToFit="false"/>
      <protection locked="fals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3" fillId="0" borderId="0" xfId="90" applyFont="true" applyBorder="false" applyAlignment="true" applyProtection="false">
      <alignment horizontal="general" vertical="top" textRotation="0" wrapText="false" indent="0" shrinkToFit="false"/>
      <protection locked="true" hidden="false"/>
    </xf>
    <xf numFmtId="177" fontId="13" fillId="0" borderId="0" xfId="90" applyFont="true" applyBorder="false" applyAlignment="true" applyProtection="false">
      <alignment horizontal="general" vertical="top" textRotation="0" wrapText="false" indent="0" shrinkToFit="false"/>
      <protection locked="true" hidden="false"/>
    </xf>
    <xf numFmtId="164" fontId="13" fillId="7" borderId="54" xfId="0" applyFont="true" applyBorder="true" applyAlignment="true" applyProtection="false">
      <alignment horizontal="general" vertical="bottom" textRotation="0" wrapText="false" indent="0" shrinkToFit="false"/>
      <protection locked="true" hidden="false"/>
    </xf>
    <xf numFmtId="164" fontId="13" fillId="7" borderId="55" xfId="0" applyFont="true" applyBorder="true" applyAlignment="true" applyProtection="false">
      <alignment horizontal="general" vertical="bottom" textRotation="0" wrapText="false" indent="0" shrinkToFit="false"/>
      <protection locked="true" hidden="false"/>
    </xf>
    <xf numFmtId="164" fontId="13" fillId="7" borderId="56" xfId="90" applyFont="true" applyBorder="true" applyAlignment="true" applyProtection="false">
      <alignment horizontal="general" vertical="bottom" textRotation="0" wrapText="false" indent="0" shrinkToFit="false"/>
      <protection locked="true" hidden="false"/>
    </xf>
    <xf numFmtId="165" fontId="38" fillId="9" borderId="56" xfId="90" applyFont="true" applyBorder="true" applyAlignment="true" applyProtection="false">
      <alignment horizontal="general" vertical="bottom" textRotation="0" wrapText="true" indent="0" shrinkToFit="false"/>
      <protection locked="true" hidden="false"/>
    </xf>
    <xf numFmtId="165" fontId="13" fillId="10" borderId="56" xfId="0" applyFont="true" applyBorder="true" applyAlignment="true" applyProtection="false">
      <alignment horizontal="general" vertical="bottom" textRotation="0" wrapText="true" indent="0" shrinkToFit="false"/>
      <protection locked="true" hidden="false"/>
    </xf>
    <xf numFmtId="164" fontId="13" fillId="9" borderId="56" xfId="90" applyFont="true" applyBorder="true" applyAlignment="true" applyProtection="false">
      <alignment horizontal="general" vertical="bottom" textRotation="0" wrapText="false" indent="0" shrinkToFit="false"/>
      <protection locked="true" hidden="false"/>
    </xf>
    <xf numFmtId="164" fontId="13" fillId="9" borderId="56" xfId="90" applyFont="true" applyBorder="true" applyAlignment="true" applyProtection="false">
      <alignment horizontal="general" vertical="bottom" textRotation="0" wrapText="true" indent="0" shrinkToFit="false"/>
      <protection locked="true" hidden="false"/>
    </xf>
    <xf numFmtId="177" fontId="38" fillId="9" borderId="56" xfId="90" applyFont="true" applyBorder="true" applyAlignment="true" applyProtection="false">
      <alignment horizontal="general" vertical="bottom" textRotation="0" wrapText="true" indent="0" shrinkToFit="false"/>
      <protection locked="true" hidden="false"/>
    </xf>
    <xf numFmtId="165" fontId="38" fillId="9" borderId="57" xfId="90" applyFont="true" applyBorder="true" applyAlignment="true" applyProtection="false">
      <alignment horizontal="general" vertical="bottom" textRotation="0" wrapText="true" indent="0" shrinkToFit="false"/>
      <protection locked="true" hidden="false"/>
    </xf>
    <xf numFmtId="164" fontId="13" fillId="9" borderId="58" xfId="0" applyFont="true" applyBorder="true" applyAlignment="true" applyProtection="false">
      <alignment horizontal="general" vertical="bottom" textRotation="0" wrapText="false" indent="0" shrinkToFit="false"/>
      <protection locked="true" hidden="false"/>
    </xf>
    <xf numFmtId="164" fontId="13" fillId="0" borderId="39" xfId="0" applyFont="true" applyBorder="true" applyAlignment="true" applyProtection="false">
      <alignment horizontal="general" vertical="top" textRotation="0" wrapText="true" indent="0" shrinkToFit="false"/>
      <protection locked="true" hidden="false"/>
    </xf>
    <xf numFmtId="164" fontId="13" fillId="0" borderId="43" xfId="0" applyFont="true" applyBorder="true" applyAlignment="true" applyProtection="false">
      <alignment horizontal="general" vertical="top" textRotation="0" wrapText="true" indent="0" shrinkToFit="false"/>
      <protection locked="true" hidden="false"/>
    </xf>
    <xf numFmtId="164" fontId="39" fillId="0" borderId="26" xfId="67" applyFont="true" applyBorder="true" applyAlignment="true" applyProtection="false">
      <alignment horizontal="general" vertical="top" textRotation="0" wrapText="false" indent="0" shrinkToFit="false"/>
      <protection locked="true" hidden="false"/>
    </xf>
    <xf numFmtId="164" fontId="13" fillId="0" borderId="40" xfId="0" applyFont="true" applyBorder="true" applyAlignment="true" applyProtection="false">
      <alignment horizontal="general" vertical="top" textRotation="0" wrapText="true" indent="0" shrinkToFit="false"/>
      <protection locked="true" hidden="false"/>
    </xf>
    <xf numFmtId="164" fontId="40" fillId="0" borderId="59" xfId="0" applyFont="true" applyBorder="true" applyAlignment="true" applyProtection="false">
      <alignment horizontal="left" vertical="top" textRotation="0" wrapText="false" indent="0" shrinkToFit="false"/>
      <protection locked="true" hidden="false"/>
    </xf>
    <xf numFmtId="171" fontId="40" fillId="0" borderId="59" xfId="0" applyFont="true" applyBorder="true" applyAlignment="true" applyProtection="false">
      <alignment horizontal="right" vertical="top" textRotation="0" wrapText="false" indent="0" shrinkToFit="false"/>
      <protection locked="true" hidden="false"/>
    </xf>
    <xf numFmtId="178" fontId="40" fillId="0" borderId="59" xfId="0" applyFont="true" applyBorder="true" applyAlignment="true" applyProtection="false">
      <alignment horizontal="left" vertical="top" textRotation="0" wrapText="false" indent="0" shrinkToFit="false"/>
      <protection locked="true" hidden="false"/>
    </xf>
    <xf numFmtId="164" fontId="0" fillId="0" borderId="59" xfId="0" applyFont="true" applyBorder="true" applyAlignment="true" applyProtection="false">
      <alignment horizontal="general" vertical="bottom" textRotation="0" wrapText="false" indent="0" shrinkToFit="false"/>
      <protection locked="true" hidden="false"/>
    </xf>
    <xf numFmtId="179" fontId="38" fillId="0" borderId="40" xfId="90" applyFont="true" applyBorder="true" applyAlignment="true" applyProtection="false">
      <alignment horizontal="general" vertical="top" textRotation="0" wrapText="true" indent="0" shrinkToFit="false"/>
      <protection locked="true" hidden="false"/>
    </xf>
    <xf numFmtId="179" fontId="38" fillId="0" borderId="41" xfId="90" applyFont="true" applyBorder="true" applyAlignment="true" applyProtection="false">
      <alignment horizontal="general" vertical="top" textRotation="0" wrapText="true" indent="0" shrinkToFit="false"/>
      <protection locked="true" hidden="false"/>
    </xf>
    <xf numFmtId="164" fontId="13" fillId="0" borderId="44" xfId="0" applyFont="true" applyBorder="true" applyAlignment="true" applyProtection="false">
      <alignment horizontal="general" vertical="top" textRotation="0" wrapText="true" indent="0" shrinkToFit="false"/>
      <protection locked="true" hidden="false"/>
    </xf>
    <xf numFmtId="164" fontId="13" fillId="0" borderId="25" xfId="0" applyFont="true" applyBorder="true" applyAlignment="true" applyProtection="false">
      <alignment horizontal="general" vertical="top" textRotation="0" wrapText="true" indent="0" shrinkToFit="false"/>
      <protection locked="true" hidden="false"/>
    </xf>
    <xf numFmtId="164" fontId="13" fillId="0" borderId="26" xfId="0" applyFont="true" applyBorder="true" applyAlignment="true" applyProtection="false">
      <alignment horizontal="general" vertical="top" textRotation="0" wrapText="true" indent="0" shrinkToFit="false"/>
      <protection locked="true" hidden="false"/>
    </xf>
    <xf numFmtId="164" fontId="40" fillId="0" borderId="60" xfId="0" applyFont="true" applyBorder="true" applyAlignment="true" applyProtection="false">
      <alignment horizontal="left" vertical="top" textRotation="0" wrapText="false" indent="0" shrinkToFit="false"/>
      <protection locked="true" hidden="false"/>
    </xf>
    <xf numFmtId="171" fontId="40" fillId="0" borderId="60" xfId="0" applyFont="true" applyBorder="true" applyAlignment="true" applyProtection="false">
      <alignment horizontal="right" vertical="top" textRotation="0" wrapText="false" indent="0" shrinkToFit="false"/>
      <protection locked="true" hidden="false"/>
    </xf>
    <xf numFmtId="178" fontId="40" fillId="0" borderId="60" xfId="0" applyFont="true" applyBorder="true" applyAlignment="true" applyProtection="false">
      <alignment horizontal="left" vertical="top" textRotation="0" wrapText="false" indent="0" shrinkToFit="false"/>
      <protection locked="true" hidden="false"/>
    </xf>
    <xf numFmtId="164" fontId="13" fillId="0" borderId="47" xfId="0" applyFont="true" applyBorder="true" applyAlignment="true" applyProtection="false">
      <alignment horizontal="general" vertical="top" textRotation="0" wrapText="true" indent="0" shrinkToFit="false"/>
      <protection locked="true" hidden="false"/>
    </xf>
    <xf numFmtId="164" fontId="13" fillId="0" borderId="61" xfId="0" applyFont="true" applyBorder="true" applyAlignment="true" applyProtection="false">
      <alignment horizontal="general" vertical="top" textRotation="0" wrapText="true" indent="0" shrinkToFit="false"/>
      <protection locked="true" hidden="false"/>
    </xf>
    <xf numFmtId="180" fontId="40" fillId="0" borderId="60" xfId="0" applyFont="true" applyBorder="true" applyAlignment="true" applyProtection="false">
      <alignment horizontal="left" vertical="top" textRotation="0" wrapText="false" indent="0" shrinkToFit="false"/>
      <protection locked="true" hidden="false"/>
    </xf>
    <xf numFmtId="164" fontId="13" fillId="0" borderId="46" xfId="0" applyFont="true" applyBorder="true" applyAlignment="true" applyProtection="false">
      <alignment horizontal="general" vertical="top" textRotation="0" wrapText="true" indent="0" shrinkToFit="false"/>
      <protection locked="true" hidden="false"/>
    </xf>
    <xf numFmtId="164" fontId="0" fillId="0" borderId="60" xfId="0" applyFont="true" applyBorder="true" applyAlignment="true" applyProtection="false">
      <alignment horizontal="general" vertical="bottom" textRotation="0" wrapText="false" indent="0" shrinkToFit="false"/>
      <protection locked="true" hidden="false"/>
    </xf>
    <xf numFmtId="164" fontId="13" fillId="2" borderId="25" xfId="0" applyFont="true" applyBorder="true" applyAlignment="true" applyProtection="false">
      <alignment horizontal="general" vertical="top" textRotation="0" wrapText="true" indent="0" shrinkToFit="false"/>
      <protection locked="true" hidden="false"/>
    </xf>
    <xf numFmtId="164" fontId="13" fillId="2" borderId="46" xfId="0" applyFont="true" applyBorder="true" applyAlignment="true" applyProtection="false">
      <alignment horizontal="general" vertical="top" textRotation="0" wrapText="true" indent="0" shrinkToFit="false"/>
      <protection locked="true" hidden="false"/>
    </xf>
    <xf numFmtId="164" fontId="39" fillId="2" borderId="26" xfId="67" applyFont="true" applyBorder="true" applyAlignment="true" applyProtection="false">
      <alignment horizontal="general" vertical="top" textRotation="0" wrapText="false" indent="0" shrinkToFit="false"/>
      <protection locked="true" hidden="false"/>
    </xf>
    <xf numFmtId="164" fontId="13" fillId="2" borderId="40" xfId="0" applyFont="true" applyBorder="true" applyAlignment="true" applyProtection="false">
      <alignment horizontal="general" vertical="top" textRotation="0" wrapText="true" indent="0" shrinkToFit="false"/>
      <protection locked="true" hidden="false"/>
    </xf>
    <xf numFmtId="164" fontId="13" fillId="2" borderId="26" xfId="0" applyFont="true" applyBorder="true" applyAlignment="true" applyProtection="false">
      <alignment horizontal="general" vertical="top" textRotation="0" wrapText="true" indent="0" shrinkToFit="false"/>
      <protection locked="true" hidden="false"/>
    </xf>
    <xf numFmtId="164" fontId="40" fillId="2" borderId="60" xfId="0" applyFont="true" applyBorder="true" applyAlignment="true" applyProtection="false">
      <alignment horizontal="left" vertical="top" textRotation="0" wrapText="false" indent="0" shrinkToFit="false"/>
      <protection locked="true" hidden="false"/>
    </xf>
    <xf numFmtId="164" fontId="40" fillId="2" borderId="59" xfId="0" applyFont="true" applyBorder="true" applyAlignment="true" applyProtection="false">
      <alignment horizontal="left" vertical="top" textRotation="0" wrapText="false" indent="0" shrinkToFit="false"/>
      <protection locked="true" hidden="false"/>
    </xf>
    <xf numFmtId="171" fontId="40" fillId="2" borderId="60" xfId="0" applyFont="true" applyBorder="true" applyAlignment="true" applyProtection="false">
      <alignment horizontal="right" vertical="top" textRotation="0" wrapText="false" indent="0" shrinkToFit="false"/>
      <protection locked="true" hidden="false"/>
    </xf>
    <xf numFmtId="164" fontId="0" fillId="2" borderId="60" xfId="0" applyFont="true" applyBorder="true" applyAlignment="true" applyProtection="false">
      <alignment horizontal="general" vertical="bottom" textRotation="0" wrapText="false" indent="0" shrinkToFit="false"/>
      <protection locked="true" hidden="false"/>
    </xf>
    <xf numFmtId="164" fontId="0" fillId="2" borderId="59" xfId="0" applyFont="true" applyBorder="true" applyAlignment="true" applyProtection="false">
      <alignment horizontal="general" vertical="bottom" textRotation="0" wrapText="false" indent="0" shrinkToFit="false"/>
      <protection locked="true" hidden="false"/>
    </xf>
    <xf numFmtId="179" fontId="38" fillId="2" borderId="40" xfId="90" applyFont="true" applyBorder="true" applyAlignment="true" applyProtection="false">
      <alignment horizontal="general" vertical="top" textRotation="0" wrapText="true" indent="0" shrinkToFit="false"/>
      <protection locked="true" hidden="false"/>
    </xf>
    <xf numFmtId="179" fontId="38" fillId="2" borderId="41" xfId="90" applyFont="true" applyBorder="true" applyAlignment="true" applyProtection="false">
      <alignment horizontal="general" vertical="top" textRotation="0" wrapText="true" indent="0" shrinkToFit="false"/>
      <protection locked="true" hidden="false"/>
    </xf>
    <xf numFmtId="164" fontId="13" fillId="2" borderId="47" xfId="0" applyFont="true" applyBorder="true" applyAlignment="true" applyProtection="false">
      <alignment horizontal="general" vertical="top" textRotation="0" wrapText="true" indent="0" shrinkToFit="false"/>
      <protection locked="true" hidden="false"/>
    </xf>
    <xf numFmtId="178" fontId="40" fillId="2" borderId="60" xfId="0" applyFont="true" applyBorder="true" applyAlignment="true" applyProtection="false">
      <alignment horizontal="left" vertical="top" textRotation="0" wrapText="false" indent="0" shrinkToFit="false"/>
      <protection locked="true" hidden="false"/>
    </xf>
    <xf numFmtId="180" fontId="40" fillId="2" borderId="60" xfId="0" applyFont="true" applyBorder="true" applyAlignment="true" applyProtection="false">
      <alignment horizontal="left" vertical="top" textRotation="0" wrapText="false" indent="0" shrinkToFit="false"/>
      <protection locked="true" hidden="false"/>
    </xf>
    <xf numFmtId="164" fontId="13" fillId="0" borderId="62" xfId="0" applyFont="true" applyBorder="true" applyAlignment="true" applyProtection="false">
      <alignment horizontal="general" vertical="top" textRotation="0" wrapText="true" indent="0" shrinkToFit="false"/>
      <protection locked="true" hidden="false"/>
    </xf>
    <xf numFmtId="164" fontId="12" fillId="0" borderId="0" xfId="61" applyFont="true" applyBorder="false" applyAlignment="false" applyProtection="false">
      <alignment horizontal="general" vertical="bottom" textRotation="0" wrapText="false" indent="0" shrinkToFit="false"/>
      <protection locked="true" hidden="false"/>
    </xf>
    <xf numFmtId="164" fontId="41" fillId="0" borderId="0" xfId="61" applyFont="true" applyBorder="false" applyAlignment="false" applyProtection="false">
      <alignment horizontal="general" vertical="bottom" textRotation="0" wrapText="false" indent="0" shrinkToFit="false"/>
      <protection locked="true" hidden="false"/>
    </xf>
    <xf numFmtId="164" fontId="8" fillId="0" borderId="0" xfId="97" applyFont="true" applyBorder="true" applyAlignment="true" applyProtection="false">
      <alignment horizontal="center" vertical="center" textRotation="0" wrapText="false" indent="0" shrinkToFit="false"/>
      <protection locked="true" hidden="false"/>
    </xf>
    <xf numFmtId="164" fontId="0" fillId="0" borderId="0" xfId="97" applyFont="true" applyBorder="true" applyAlignment="true" applyProtection="true">
      <alignment horizontal="left" vertical="center" textRotation="0" wrapText="false" indent="0" shrinkToFit="false"/>
      <protection locked="false" hidden="false"/>
    </xf>
    <xf numFmtId="164" fontId="19" fillId="0" borderId="0" xfId="39" applyFont="true" applyBorder="false" applyAlignment="false" applyProtection="false">
      <alignment horizontal="general" vertical="bottom" textRotation="0" wrapText="false" indent="0" shrinkToFit="false"/>
      <protection locked="true" hidden="false"/>
    </xf>
    <xf numFmtId="164" fontId="20" fillId="4" borderId="0" xfId="97" applyFont="true" applyBorder="true" applyAlignment="true" applyProtection="false">
      <alignment horizontal="left" vertical="center" textRotation="0" wrapText="false" indent="0" shrinkToFit="false"/>
      <protection locked="true" hidden="false"/>
    </xf>
    <xf numFmtId="164" fontId="42" fillId="4" borderId="0" xfId="97" applyFont="true" applyBorder="true" applyAlignment="true" applyProtection="true">
      <alignment horizontal="left" vertical="center" textRotation="0" wrapText="false" indent="0" shrinkToFit="false"/>
      <protection locked="false" hidden="false"/>
    </xf>
    <xf numFmtId="164" fontId="5" fillId="0" borderId="0" xfId="97" applyFont="true" applyBorder="true" applyAlignment="true" applyProtection="false">
      <alignment horizontal="left" vertical="center" textRotation="0" wrapText="false" indent="0" shrinkToFit="false"/>
      <protection locked="true" hidden="false"/>
    </xf>
    <xf numFmtId="164" fontId="41" fillId="0" borderId="0" xfId="97" applyFont="true" applyBorder="true" applyAlignment="true" applyProtection="true">
      <alignment horizontal="left" vertical="top" textRotation="0" wrapText="true" indent="0" shrinkToFit="false"/>
      <protection locked="false" hidden="false"/>
    </xf>
    <xf numFmtId="164" fontId="41" fillId="0" borderId="0" xfId="97" applyFont="true" applyBorder="true" applyAlignment="true" applyProtection="true">
      <alignment horizontal="general" vertical="top" textRotation="0" wrapText="true" indent="0" shrinkToFit="false"/>
      <protection locked="false" hidden="false"/>
    </xf>
    <xf numFmtId="164" fontId="0" fillId="0" borderId="0" xfId="97" applyFont="true" applyBorder="false" applyAlignment="true" applyProtection="true">
      <alignment horizontal="left" vertical="top" textRotation="0" wrapText="true" indent="0" shrinkToFit="false"/>
      <protection locked="false" hidden="false"/>
    </xf>
    <xf numFmtId="164" fontId="0" fillId="0" borderId="0" xfId="20" applyFont="true" applyBorder="true" applyAlignment="true" applyProtection="false">
      <alignment horizontal="left" vertical="top" textRotation="0" wrapText="true" indent="0" shrinkToFit="false"/>
      <protection locked="true" hidden="false"/>
    </xf>
    <xf numFmtId="164" fontId="19" fillId="0" borderId="0" xfId="61" applyFont="true" applyBorder="false" applyAlignment="false" applyProtection="false">
      <alignment horizontal="general" vertical="bottom" textRotation="0" wrapText="false" indent="0" shrinkToFit="false"/>
      <protection locked="true" hidden="false"/>
    </xf>
    <xf numFmtId="164" fontId="6" fillId="0" borderId="0" xfId="97" applyFont="true" applyBorder="false" applyAlignment="true" applyProtection="false">
      <alignment horizontal="general" vertical="center" textRotation="0" wrapText="false" indent="0" shrinkToFit="false"/>
      <protection locked="true" hidden="false"/>
    </xf>
    <xf numFmtId="164" fontId="24" fillId="0" borderId="0" xfId="97" applyFont="true" applyBorder="false" applyAlignment="false" applyProtection="false">
      <alignment horizontal="general" vertical="bottom" textRotation="0" wrapText="false" indent="0" shrinkToFit="false"/>
      <protection locked="true" hidden="false"/>
    </xf>
    <xf numFmtId="164" fontId="6" fillId="0" borderId="0" xfId="97" applyFont="true" applyBorder="false" applyAlignment="false" applyProtection="false">
      <alignment horizontal="general" vertical="bottom" textRotation="0" wrapText="false" indent="0" shrinkToFit="false"/>
      <protection locked="true" hidden="false"/>
    </xf>
    <xf numFmtId="164" fontId="6" fillId="0" borderId="0" xfId="97" applyFont="true" applyBorder="false" applyAlignment="true" applyProtection="false">
      <alignment horizontal="center" vertical="center" textRotation="0" wrapText="false" indent="0" shrinkToFit="false"/>
      <protection locked="true" hidden="false"/>
    </xf>
    <xf numFmtId="164" fontId="6" fillId="0" borderId="0" xfId="97" applyFont="true" applyBorder="false" applyAlignment="true" applyProtection="false">
      <alignment horizontal="left" vertical="center" textRotation="0" wrapText="false" indent="0" shrinkToFit="false"/>
      <protection locked="true" hidden="false"/>
    </xf>
    <xf numFmtId="164" fontId="0" fillId="3" borderId="63" xfId="42" applyFont="true" applyBorder="true" applyAlignment="false" applyProtection="false">
      <alignment horizontal="general" vertical="bottom" textRotation="0" wrapText="false" indent="0" shrinkToFit="false"/>
      <protection locked="true" hidden="false"/>
    </xf>
    <xf numFmtId="164" fontId="0" fillId="3" borderId="64" xfId="42" applyFont="true" applyBorder="true" applyAlignment="false" applyProtection="false">
      <alignment horizontal="general" vertical="bottom" textRotation="0" wrapText="false" indent="0" shrinkToFit="false"/>
      <protection locked="true" hidden="false"/>
    </xf>
    <xf numFmtId="164" fontId="0" fillId="3" borderId="8" xfId="42" applyFont="true" applyBorder="true" applyAlignment="false" applyProtection="false">
      <alignment horizontal="general" vertical="bottom" textRotation="0" wrapText="false" indent="0" shrinkToFit="false"/>
      <protection locked="true" hidden="false"/>
    </xf>
    <xf numFmtId="164" fontId="0" fillId="3" borderId="65" xfId="42" applyFont="true" applyBorder="true" applyAlignment="true" applyProtection="false">
      <alignment horizontal="center" vertical="bottom" textRotation="0" wrapText="false" indent="0" shrinkToFit="false"/>
      <protection locked="true" hidden="false"/>
    </xf>
    <xf numFmtId="164" fontId="0" fillId="0" borderId="0" xfId="75" applyFont="true" applyBorder="false" applyAlignment="true" applyProtection="true">
      <alignment horizontal="general" vertical="center" textRotation="0" wrapText="false" indent="0" shrinkToFit="false"/>
      <protection locked="true" hidden="true"/>
    </xf>
    <xf numFmtId="164" fontId="0" fillId="0" borderId="0" xfId="75" applyFont="true" applyBorder="false" applyAlignment="true" applyProtection="true">
      <alignment horizontal="center" vertical="center" textRotation="0" wrapText="false" indent="0" shrinkToFit="false"/>
      <protection locked="true" hidden="true"/>
    </xf>
    <xf numFmtId="164" fontId="0" fillId="0" borderId="63" xfId="76" applyFont="true" applyBorder="true" applyAlignment="true" applyProtection="false">
      <alignment horizontal="center" vertical="center" textRotation="0" wrapText="false" indent="0" shrinkToFit="false"/>
      <protection locked="true" hidden="false"/>
    </xf>
    <xf numFmtId="164" fontId="0" fillId="0" borderId="66" xfId="72" applyFont="true" applyBorder="true" applyAlignment="true" applyProtection="false">
      <alignment horizontal="left" vertical="center" textRotation="0" wrapText="false" indent="0" shrinkToFit="false"/>
      <protection locked="true" hidden="false"/>
    </xf>
    <xf numFmtId="181" fontId="0" fillId="0" borderId="67" xfId="42" applyFont="true" applyBorder="true" applyAlignment="true" applyProtection="false">
      <alignment horizontal="center" vertical="bottom" textRotation="0" wrapText="false" indent="0" shrinkToFit="false"/>
      <protection locked="true" hidden="false"/>
    </xf>
    <xf numFmtId="164" fontId="0" fillId="0" borderId="4" xfId="76" applyFont="true" applyBorder="true" applyAlignment="true" applyProtection="false">
      <alignment horizontal="center" vertical="center" textRotation="0" wrapText="false" indent="0" shrinkToFit="false"/>
      <protection locked="true" hidden="false"/>
    </xf>
    <xf numFmtId="164" fontId="0" fillId="0" borderId="68" xfId="72" applyFont="true" applyBorder="true" applyAlignment="true" applyProtection="false">
      <alignment horizontal="left" vertical="center" textRotation="0" wrapText="false" indent="0" shrinkToFit="false"/>
      <protection locked="true" hidden="false"/>
    </xf>
    <xf numFmtId="164" fontId="0" fillId="0" borderId="11" xfId="76" applyFont="true" applyBorder="true" applyAlignment="true" applyProtection="false">
      <alignment horizontal="center" vertical="center" textRotation="0" wrapText="false" indent="0" shrinkToFit="false"/>
      <protection locked="true" hidden="false"/>
    </xf>
    <xf numFmtId="164" fontId="0" fillId="0" borderId="69" xfId="72" applyFont="true" applyBorder="true" applyAlignment="true" applyProtection="false">
      <alignment horizontal="left" vertical="center" textRotation="0" wrapText="false" indent="0" shrinkToFit="false"/>
      <protection locked="true" hidden="false"/>
    </xf>
    <xf numFmtId="181" fontId="0" fillId="0" borderId="70" xfId="42" applyFont="true" applyBorder="true" applyAlignment="true" applyProtection="false">
      <alignment horizontal="center" vertical="bottom" textRotation="0" wrapText="false" indent="0" shrinkToFit="false"/>
      <protection locked="true" hidden="false"/>
    </xf>
    <xf numFmtId="164" fontId="0" fillId="0" borderId="0" xfId="42" applyFont="true" applyBorder="true" applyAlignment="true" applyProtection="false">
      <alignment horizontal="right" vertical="center" textRotation="0" wrapText="false" indent="0" shrinkToFit="false"/>
      <protection locked="true" hidden="false"/>
    </xf>
    <xf numFmtId="181" fontId="0" fillId="0" borderId="0" xfId="42" applyFont="true" applyBorder="true" applyAlignment="true" applyProtection="false">
      <alignment horizontal="center" vertical="center" textRotation="0" wrapText="false" indent="0" shrinkToFit="false"/>
      <protection locked="true" hidden="false"/>
    </xf>
    <xf numFmtId="164" fontId="0" fillId="0" borderId="0" xfId="42" applyFont="true" applyBorder="false" applyAlignment="true" applyProtection="false">
      <alignment horizontal="right" vertical="center" textRotation="0" wrapText="false" indent="0" shrinkToFit="false"/>
      <protection locked="true" hidden="false"/>
    </xf>
    <xf numFmtId="164" fontId="0" fillId="0" borderId="0" xfId="42" applyFont="true" applyBorder="false" applyAlignment="true" applyProtection="false">
      <alignment horizontal="right" vertical="bottom" textRotation="0" wrapText="false" indent="0" shrinkToFit="false"/>
      <protection locked="true" hidden="false"/>
    </xf>
    <xf numFmtId="181" fontId="0" fillId="0" borderId="0" xfId="42" applyFont="true" applyBorder="false" applyAlignment="true" applyProtection="false">
      <alignment horizontal="center" vertical="center" textRotation="0" wrapText="false" indent="0" shrinkToFit="false"/>
      <protection locked="true" hidden="false"/>
    </xf>
    <xf numFmtId="164" fontId="41" fillId="0" borderId="0" xfId="83" applyFont="true" applyBorder="true" applyAlignment="true" applyProtection="false">
      <alignment horizontal="center" vertical="bottom" textRotation="0" wrapText="false" indent="0" shrinkToFit="false"/>
      <protection locked="true" hidden="false"/>
    </xf>
    <xf numFmtId="164" fontId="41" fillId="0" borderId="0" xfId="83" applyFont="true" applyBorder="false" applyAlignment="true" applyProtection="false">
      <alignment horizontal="general" vertical="bottom" textRotation="0" wrapText="false" indent="0" shrinkToFit="false"/>
      <protection locked="true" hidden="false"/>
    </xf>
    <xf numFmtId="181" fontId="41" fillId="0" borderId="0" xfId="42" applyFont="true" applyBorder="true" applyAlignment="true" applyProtection="false">
      <alignment horizontal="center" vertical="bottom" textRotation="0" wrapText="false" indent="0" shrinkToFit="false"/>
      <protection locked="true" hidden="false"/>
    </xf>
    <xf numFmtId="164" fontId="41" fillId="0" borderId="0" xfId="42" applyFont="true" applyBorder="true" applyAlignment="true" applyProtection="false">
      <alignment horizontal="left" vertical="bottom" textRotation="0" wrapText="true" indent="0" shrinkToFit="false"/>
      <protection locked="true" hidden="false"/>
    </xf>
    <xf numFmtId="164" fontId="43" fillId="0" borderId="0" xfId="42" applyFont="true" applyBorder="false" applyAlignment="true" applyProtection="true">
      <alignment horizontal="left" vertical="bottom" textRotation="0" wrapText="false" indent="0" shrinkToFit="false"/>
      <protection locked="false" hidden="false"/>
    </xf>
    <xf numFmtId="164" fontId="0" fillId="0" borderId="0" xfId="75" applyFont="true" applyBorder="false" applyAlignment="false" applyProtection="true">
      <alignment horizontal="general" vertical="bottom" textRotation="0" wrapText="false" indent="0" shrinkToFit="false"/>
      <protection locked="true" hidden="true"/>
    </xf>
    <xf numFmtId="164" fontId="4" fillId="0" borderId="0" xfId="83" applyFont="true" applyBorder="true" applyAlignment="true" applyProtection="false">
      <alignment horizontal="left" vertical="top" textRotation="0" wrapText="true" indent="0" shrinkToFit="false"/>
      <protection locked="true" hidden="false"/>
    </xf>
    <xf numFmtId="164" fontId="4" fillId="0" borderId="0" xfId="83" applyFont="true" applyBorder="false" applyAlignment="true" applyProtection="false">
      <alignment horizontal="left" vertical="top" textRotation="0" wrapText="true" indent="0" shrinkToFit="false"/>
      <protection locked="true" hidden="false"/>
    </xf>
    <xf numFmtId="164" fontId="23" fillId="0" borderId="0" xfId="83" applyFont="true" applyBorder="false" applyAlignment="true" applyProtection="false">
      <alignment horizontal="left" vertical="bottom" textRotation="0" wrapText="true" indent="0" shrinkToFit="false"/>
      <protection locked="true" hidden="false"/>
    </xf>
    <xf numFmtId="164" fontId="4" fillId="0" borderId="0" xfId="83" applyFont="true" applyBorder="false" applyAlignment="true" applyProtection="false">
      <alignment horizontal="left" vertical="bottom" textRotation="0" wrapText="true" indent="0" shrinkToFit="false"/>
      <protection locked="true" hidden="false"/>
    </xf>
    <xf numFmtId="164" fontId="4" fillId="0" borderId="0" xfId="83" applyFont="true" applyBorder="false" applyAlignment="true" applyProtection="false">
      <alignment horizontal="center" vertical="top" textRotation="0" wrapText="true" indent="0" shrinkToFit="false"/>
      <protection locked="true" hidden="false"/>
    </xf>
    <xf numFmtId="182" fontId="0" fillId="0" borderId="0" xfId="97" applyFont="true" applyBorder="false" applyAlignment="true" applyProtection="true">
      <alignment horizontal="general" vertical="top" textRotation="0" wrapText="false" indent="0" shrinkToFit="false"/>
      <protection locked="false" hidden="false"/>
    </xf>
    <xf numFmtId="164" fontId="44" fillId="0" borderId="0" xfId="97" applyFont="true" applyBorder="true" applyAlignment="true" applyProtection="true">
      <alignment horizontal="center" vertical="bottom" textRotation="0" wrapText="false" indent="0" shrinkToFit="false"/>
      <protection locked="false" hidden="false"/>
    </xf>
    <xf numFmtId="164" fontId="0" fillId="0" borderId="0" xfId="97" applyFont="true" applyBorder="false" applyAlignment="true" applyProtection="true">
      <alignment horizontal="left" vertical="bottom" textRotation="0" wrapText="false" indent="0" shrinkToFit="false"/>
      <protection locked="false" hidden="false"/>
    </xf>
    <xf numFmtId="164" fontId="0" fillId="0" borderId="0" xfId="97" applyFont="true" applyBorder="false" applyAlignment="true" applyProtection="true">
      <alignment horizontal="right" vertical="center" textRotation="0" wrapText="false" indent="0" shrinkToFit="false"/>
      <protection locked="false" hidden="false"/>
    </xf>
    <xf numFmtId="164" fontId="45" fillId="0" borderId="0" xfId="42" applyFont="true" applyBorder="false" applyAlignment="true" applyProtection="true">
      <alignment horizontal="general" vertical="top" textRotation="0" wrapText="true" indent="0" shrinkToFit="false"/>
      <protection locked="false" hidden="false"/>
    </xf>
    <xf numFmtId="164" fontId="45" fillId="0" borderId="0" xfId="42" applyFont="true" applyBorder="false" applyAlignment="true" applyProtection="true">
      <alignment horizontal="center" vertical="top" textRotation="0" wrapText="true" indent="0" shrinkToFit="false"/>
      <protection locked="false" hidden="false"/>
    </xf>
    <xf numFmtId="182" fontId="0" fillId="0" borderId="0" xfId="97" applyFont="true" applyBorder="true" applyAlignment="true" applyProtection="true">
      <alignment horizontal="center" vertical="top" textRotation="0" wrapText="false" indent="0" shrinkToFit="false"/>
      <protection locked="false" hidden="false"/>
    </xf>
    <xf numFmtId="164" fontId="0" fillId="0" borderId="0" xfId="97" applyFont="true" applyBorder="false" applyAlignment="true" applyProtection="true">
      <alignment horizontal="center" vertical="bottom" textRotation="0" wrapText="false" indent="0" shrinkToFit="false"/>
      <protection locked="false" hidden="false"/>
    </xf>
    <xf numFmtId="182" fontId="0" fillId="0" borderId="0" xfId="97" applyFont="true" applyBorder="true" applyAlignment="true" applyProtection="true">
      <alignment horizontal="center" vertical="center" textRotation="0" wrapText="false" indent="0" shrinkToFit="false"/>
      <protection locked="false" hidden="false"/>
    </xf>
    <xf numFmtId="164" fontId="0" fillId="0" borderId="0" xfId="97" applyFont="true" applyBorder="false" applyAlignment="true" applyProtection="true">
      <alignment horizontal="center" vertical="center" textRotation="0" wrapText="false" indent="0" shrinkToFit="false"/>
      <protection locked="false" hidden="false"/>
    </xf>
    <xf numFmtId="164" fontId="45" fillId="0" borderId="12" xfId="42" applyFont="true" applyBorder="true" applyAlignment="true" applyProtection="true">
      <alignment horizontal="general" vertical="top" textRotation="0" wrapText="true" indent="0" shrinkToFit="false"/>
      <protection locked="false" hidden="false"/>
    </xf>
    <xf numFmtId="164" fontId="45" fillId="0" borderId="12" xfId="42" applyFont="true" applyBorder="true" applyAlignment="true" applyProtection="true">
      <alignment horizontal="center" vertical="top" textRotation="0" wrapText="true" indent="0" shrinkToFit="false"/>
      <protection locked="false" hidden="false"/>
    </xf>
    <xf numFmtId="164" fontId="6" fillId="0" borderId="64" xfId="97" applyFont="true" applyBorder="true" applyAlignment="true" applyProtection="false">
      <alignment horizontal="left" vertical="bottom" textRotation="0" wrapText="false" indent="0" shrinkToFit="false"/>
      <protection locked="true" hidden="false"/>
    </xf>
    <xf numFmtId="171" fontId="46" fillId="0" borderId="64" xfId="97" applyFont="true" applyBorder="true" applyAlignment="true" applyProtection="false">
      <alignment horizontal="right" vertical="bottom" textRotation="0" wrapText="false" indent="0" shrinkToFit="false"/>
      <protection locked="true" hidden="false"/>
    </xf>
    <xf numFmtId="164" fontId="6" fillId="0" borderId="64" xfId="97" applyFont="true" applyBorder="true" applyAlignment="false" applyProtection="true">
      <alignment horizontal="general" vertical="bottom" textRotation="0" wrapText="false" indent="0" shrinkToFit="false"/>
      <protection locked="false" hidden="false"/>
    </xf>
    <xf numFmtId="164" fontId="6" fillId="0" borderId="64" xfId="97" applyFont="true" applyBorder="true" applyAlignment="true" applyProtection="true">
      <alignment horizontal="center" vertical="bottom" textRotation="0" wrapText="false" indent="0" shrinkToFit="false"/>
      <protection locked="false" hidden="false"/>
    </xf>
    <xf numFmtId="171" fontId="46" fillId="0" borderId="64" xfId="97" applyFont="true" applyBorder="true" applyAlignment="true" applyProtection="true">
      <alignment horizontal="right" vertical="bottom" textRotation="0" wrapText="false" indent="0" shrinkToFit="false"/>
      <protection locked="false" hidden="false"/>
    </xf>
    <xf numFmtId="164" fontId="6" fillId="0" borderId="64" xfId="97" applyFont="true" applyBorder="true" applyAlignment="true" applyProtection="true">
      <alignment horizontal="general" vertical="center" textRotation="0" wrapText="false" indent="0" shrinkToFit="false"/>
      <protection locked="false" hidden="false"/>
    </xf>
    <xf numFmtId="164" fontId="19" fillId="0" borderId="64" xfId="97" applyFont="true" applyBorder="true" applyAlignment="true" applyProtection="false">
      <alignment horizontal="general" vertical="center" textRotation="0" wrapText="false" indent="0" shrinkToFit="false"/>
      <protection locked="true" hidden="false"/>
    </xf>
    <xf numFmtId="164" fontId="19" fillId="0" borderId="64" xfId="97" applyFont="true" applyBorder="true" applyAlignment="true" applyProtection="false">
      <alignment horizontal="right" vertical="center" textRotation="0" wrapText="false" indent="0" shrinkToFit="false"/>
      <protection locked="true" hidden="false"/>
    </xf>
    <xf numFmtId="164" fontId="19" fillId="0" borderId="64" xfId="97" applyFont="true" applyBorder="true" applyAlignment="true" applyProtection="false">
      <alignment horizontal="center" vertical="center" textRotation="0" wrapText="false" indent="0" shrinkToFit="false"/>
      <protection locked="true" hidden="false"/>
    </xf>
    <xf numFmtId="175" fontId="42" fillId="4" borderId="0" xfId="97" applyFont="true" applyBorder="true" applyAlignment="true" applyProtection="false">
      <alignment horizontal="left" vertical="center" textRotation="0" wrapText="false" indent="0" shrinkToFit="false"/>
      <protection locked="true" hidden="false"/>
    </xf>
    <xf numFmtId="164" fontId="42" fillId="4" borderId="0" xfId="97" applyFont="true" applyBorder="true" applyAlignment="true" applyProtection="false">
      <alignment horizontal="left" vertical="center" textRotation="0" wrapText="false" indent="0" shrinkToFit="false"/>
      <protection locked="true" hidden="false"/>
    </xf>
    <xf numFmtId="164" fontId="7" fillId="0" borderId="0" xfId="97" applyFont="true" applyBorder="false" applyAlignment="true" applyProtection="true">
      <alignment horizontal="left" vertical="bottom" textRotation="0" wrapText="false" indent="0" shrinkToFit="false"/>
      <protection locked="false" hidden="false"/>
    </xf>
    <xf numFmtId="164" fontId="41" fillId="0" borderId="12" xfId="83" applyFont="true" applyBorder="true" applyAlignment="true" applyProtection="false">
      <alignment horizontal="center" vertical="bottom" textRotation="0" wrapText="false" indent="0" shrinkToFit="false"/>
      <protection locked="true" hidden="false"/>
    </xf>
    <xf numFmtId="164" fontId="41" fillId="0" borderId="12" xfId="83" applyFont="true" applyBorder="true" applyAlignment="true" applyProtection="false">
      <alignment horizontal="general" vertical="bottom" textRotation="0" wrapText="false" indent="0" shrinkToFit="false"/>
      <protection locked="true" hidden="false"/>
    </xf>
    <xf numFmtId="164" fontId="41" fillId="0" borderId="12" xfId="42" applyFont="true" applyBorder="true" applyAlignment="true" applyProtection="false">
      <alignment horizontal="center" vertical="bottom" textRotation="0" wrapText="false" indent="0" shrinkToFit="false"/>
      <protection locked="true" hidden="false"/>
    </xf>
    <xf numFmtId="164" fontId="41" fillId="0" borderId="12" xfId="42" applyFont="true" applyBorder="true" applyAlignment="true" applyProtection="false">
      <alignment horizontal="left" vertical="bottom" textRotation="0" wrapText="false" indent="0" shrinkToFit="false"/>
      <protection locked="true" hidden="false"/>
    </xf>
    <xf numFmtId="164" fontId="41" fillId="0" borderId="0" xfId="42" applyFont="true" applyBorder="false" applyAlignment="true" applyProtection="false">
      <alignment horizontal="left" vertical="bottom" textRotation="0" wrapText="false" indent="0" shrinkToFit="false"/>
      <protection locked="true" hidden="false"/>
    </xf>
    <xf numFmtId="164" fontId="43" fillId="0" borderId="0" xfId="42" applyFont="true" applyBorder="false" applyAlignment="true" applyProtection="true">
      <alignment horizontal="center" vertical="bottom" textRotation="0" wrapText="false" indent="0" shrinkToFit="false"/>
      <protection locked="false" hidden="false"/>
    </xf>
    <xf numFmtId="164" fontId="0" fillId="0" borderId="12" xfId="97" applyFont="true" applyBorder="true" applyAlignment="true" applyProtection="false">
      <alignment horizontal="center" vertical="top" textRotation="0" wrapText="true" indent="0" shrinkToFit="false"/>
      <protection locked="true" hidden="false"/>
    </xf>
    <xf numFmtId="164" fontId="41" fillId="3" borderId="11" xfId="42" applyFont="true" applyBorder="true" applyAlignment="true" applyProtection="true">
      <alignment horizontal="left" vertical="bottom" textRotation="0" wrapText="false" indent="0" shrinkToFit="false"/>
      <protection locked="false" hidden="false"/>
    </xf>
    <xf numFmtId="164" fontId="41" fillId="3" borderId="12" xfId="42" applyFont="true" applyBorder="true" applyAlignment="true" applyProtection="true">
      <alignment horizontal="left" vertical="bottom" textRotation="0" wrapText="false" indent="0" shrinkToFit="false"/>
      <protection locked="false" hidden="false"/>
    </xf>
    <xf numFmtId="164" fontId="41" fillId="3" borderId="8" xfId="42" applyFont="true" applyBorder="true" applyAlignment="true" applyProtection="true">
      <alignment horizontal="center" vertical="bottom" textRotation="0" wrapText="true" indent="0" shrinkToFit="false"/>
      <protection locked="false" hidden="false"/>
    </xf>
    <xf numFmtId="183" fontId="0" fillId="3" borderId="9" xfId="97" applyFont="true" applyBorder="true" applyAlignment="true" applyProtection="false">
      <alignment horizontal="center" vertical="bottom" textRotation="0" wrapText="false" indent="0" shrinkToFit="false"/>
      <protection locked="true" hidden="false"/>
    </xf>
    <xf numFmtId="164" fontId="41" fillId="0" borderId="63" xfId="64" applyFont="true" applyBorder="true" applyAlignment="true" applyProtection="false">
      <alignment horizontal="left" vertical="bottom" textRotation="0" wrapText="false" indent="0" shrinkToFit="false"/>
      <protection locked="true" hidden="false"/>
    </xf>
    <xf numFmtId="164" fontId="41" fillId="0" borderId="0" xfId="42" applyFont="true" applyBorder="false" applyAlignment="true" applyProtection="true">
      <alignment horizontal="left" vertical="bottom" textRotation="0" wrapText="false" indent="0" shrinkToFit="false"/>
      <protection locked="false" hidden="false"/>
    </xf>
    <xf numFmtId="169" fontId="41" fillId="0" borderId="0" xfId="42" applyFont="true" applyBorder="false" applyAlignment="false" applyProtection="false">
      <alignment horizontal="general" vertical="bottom" textRotation="0" wrapText="false" indent="0" shrinkToFit="false"/>
      <protection locked="true" hidden="false"/>
    </xf>
    <xf numFmtId="179" fontId="41" fillId="0" borderId="10" xfId="42" applyFont="true" applyBorder="true" applyAlignment="true" applyProtection="false">
      <alignment horizontal="center" vertical="bottom" textRotation="0" wrapText="false" indent="0" shrinkToFit="false"/>
      <protection locked="true" hidden="false"/>
    </xf>
    <xf numFmtId="169" fontId="41" fillId="0" borderId="0" xfId="42" applyFont="true" applyBorder="true" applyAlignment="true" applyProtection="false">
      <alignment horizontal="center" vertical="bottom" textRotation="0" wrapText="false" indent="0" shrinkToFit="false"/>
      <protection locked="true" hidden="false"/>
    </xf>
    <xf numFmtId="177" fontId="41" fillId="0" borderId="68" xfId="42" applyFont="true" applyBorder="true" applyAlignment="true" applyProtection="false">
      <alignment horizontal="center" vertical="bottom" textRotation="0" wrapText="false" indent="0" shrinkToFit="false"/>
      <protection locked="true" hidden="false"/>
    </xf>
    <xf numFmtId="171" fontId="0" fillId="0" borderId="67" xfId="97" applyFont="true" applyBorder="true" applyAlignment="true" applyProtection="false">
      <alignment horizontal="center" vertical="bottom" textRotation="0" wrapText="false" indent="0" shrinkToFit="false"/>
      <protection locked="true" hidden="false"/>
    </xf>
    <xf numFmtId="164" fontId="41" fillId="0" borderId="4" xfId="64" applyFont="true" applyBorder="true" applyAlignment="true" applyProtection="false">
      <alignment horizontal="left" vertical="bottom" textRotation="0" wrapText="false" indent="0" shrinkToFit="false"/>
      <protection locked="true" hidden="false"/>
    </xf>
    <xf numFmtId="164" fontId="41" fillId="0" borderId="4" xfId="42" applyFont="true" applyBorder="true" applyAlignment="true" applyProtection="true">
      <alignment horizontal="left" vertical="bottom" textRotation="0" wrapText="false" indent="0" shrinkToFit="false"/>
      <protection locked="false" hidden="false"/>
    </xf>
    <xf numFmtId="164" fontId="41" fillId="0" borderId="0" xfId="42" applyFont="true" applyBorder="false" applyAlignment="false" applyProtection="true">
      <alignment horizontal="general" vertical="bottom" textRotation="0" wrapText="false" indent="0" shrinkToFit="false"/>
      <protection locked="false" hidden="false"/>
    </xf>
    <xf numFmtId="169" fontId="41" fillId="0" borderId="0" xfId="42" applyFont="true" applyBorder="false" applyAlignment="false" applyProtection="true">
      <alignment horizontal="general" vertical="bottom" textRotation="0" wrapText="false" indent="0" shrinkToFit="false"/>
      <protection locked="false" hidden="false"/>
    </xf>
    <xf numFmtId="164" fontId="41" fillId="0" borderId="11" xfId="42" applyFont="true" applyBorder="true" applyAlignment="true" applyProtection="true">
      <alignment horizontal="left" vertical="bottom" textRotation="0" wrapText="false" indent="0" shrinkToFit="false"/>
      <protection locked="false" hidden="false"/>
    </xf>
    <xf numFmtId="164" fontId="41" fillId="0" borderId="12" xfId="42" applyFont="true" applyBorder="true" applyAlignment="false" applyProtection="true">
      <alignment horizontal="general" vertical="bottom" textRotation="0" wrapText="false" indent="0" shrinkToFit="false"/>
      <protection locked="false" hidden="false"/>
    </xf>
    <xf numFmtId="169" fontId="41" fillId="0" borderId="12" xfId="42" applyFont="true" applyBorder="true" applyAlignment="false" applyProtection="false">
      <alignment horizontal="general" vertical="bottom" textRotation="0" wrapText="false" indent="0" shrinkToFit="false"/>
      <protection locked="true" hidden="false"/>
    </xf>
    <xf numFmtId="169" fontId="41" fillId="0" borderId="12" xfId="42" applyFont="true" applyBorder="true" applyAlignment="false" applyProtection="true">
      <alignment horizontal="general" vertical="bottom" textRotation="0" wrapText="false" indent="0" shrinkToFit="false"/>
      <protection locked="false" hidden="false"/>
    </xf>
    <xf numFmtId="179" fontId="41" fillId="0" borderId="71" xfId="42" applyFont="true" applyBorder="true" applyAlignment="true" applyProtection="false">
      <alignment horizontal="center" vertical="bottom" textRotation="0" wrapText="false" indent="0" shrinkToFit="false"/>
      <protection locked="true" hidden="false"/>
    </xf>
    <xf numFmtId="169" fontId="41" fillId="0" borderId="12" xfId="42" applyFont="true" applyBorder="true" applyAlignment="true" applyProtection="false">
      <alignment horizontal="center" vertical="bottom" textRotation="0" wrapText="false" indent="0" shrinkToFit="false"/>
      <protection locked="true" hidden="false"/>
    </xf>
    <xf numFmtId="177" fontId="41" fillId="0" borderId="69" xfId="42" applyFont="true" applyBorder="true" applyAlignment="true" applyProtection="false">
      <alignment horizontal="center" vertical="bottom" textRotation="0" wrapText="false" indent="0" shrinkToFit="false"/>
      <protection locked="true" hidden="false"/>
    </xf>
    <xf numFmtId="171" fontId="0" fillId="0" borderId="70" xfId="97" applyFont="true" applyBorder="true" applyAlignment="true" applyProtection="false">
      <alignment horizontal="center" vertical="bottom" textRotation="0" wrapText="false" indent="0" shrinkToFit="false"/>
      <protection locked="true" hidden="false"/>
    </xf>
    <xf numFmtId="179" fontId="41" fillId="0" borderId="0" xfId="42" applyFont="true" applyBorder="false" applyAlignment="true" applyProtection="true">
      <alignment horizontal="center" vertical="bottom" textRotation="0" wrapText="false" indent="0" shrinkToFit="false"/>
      <protection locked="false" hidden="false"/>
    </xf>
    <xf numFmtId="169" fontId="41" fillId="0" borderId="0" xfId="42" applyFont="true" applyBorder="false" applyAlignment="true" applyProtection="true">
      <alignment horizontal="center" vertical="bottom" textRotation="0" wrapText="false" indent="0" shrinkToFit="false"/>
      <protection locked="false" hidden="false"/>
    </xf>
    <xf numFmtId="181" fontId="0" fillId="0" borderId="0" xfId="75" applyFont="true" applyBorder="true" applyAlignment="true" applyProtection="true">
      <alignment horizontal="center" vertical="bottom" textRotation="0" wrapText="true" indent="0" shrinkToFit="false"/>
      <protection locked="true" hidden="true"/>
    </xf>
    <xf numFmtId="164" fontId="41" fillId="0" borderId="12" xfId="42" applyFont="true" applyBorder="true" applyAlignment="true" applyProtection="true">
      <alignment horizontal="left" vertical="bottom" textRotation="0" wrapText="false" indent="0" shrinkToFit="false"/>
      <protection locked="false" hidden="false"/>
    </xf>
    <xf numFmtId="179" fontId="41" fillId="0" borderId="12" xfId="42" applyFont="true" applyBorder="true" applyAlignment="true" applyProtection="true">
      <alignment horizontal="center" vertical="bottom" textRotation="0" wrapText="false" indent="0" shrinkToFit="false"/>
      <protection locked="false" hidden="false"/>
    </xf>
    <xf numFmtId="169" fontId="41" fillId="0" borderId="12" xfId="42" applyFont="true" applyBorder="true" applyAlignment="true" applyProtection="true">
      <alignment horizontal="center" vertical="bottom" textRotation="0" wrapText="false" indent="0" shrinkToFit="false"/>
      <protection locked="false" hidden="false"/>
    </xf>
    <xf numFmtId="177" fontId="41" fillId="0" borderId="12" xfId="42" applyFont="true" applyBorder="true" applyAlignment="true" applyProtection="true">
      <alignment horizontal="center" vertical="bottom" textRotation="0" wrapText="false" indent="0" shrinkToFit="false"/>
      <protection locked="false" hidden="false"/>
    </xf>
    <xf numFmtId="171" fontId="0" fillId="0" borderId="12" xfId="97" applyFont="true" applyBorder="true" applyAlignment="true" applyProtection="false">
      <alignment horizontal="center" vertical="bottom" textRotation="0" wrapText="false" indent="0" shrinkToFit="false"/>
      <protection locked="true" hidden="false"/>
    </xf>
    <xf numFmtId="164" fontId="19" fillId="0" borderId="64" xfId="75" applyFont="true" applyBorder="true" applyAlignment="false" applyProtection="true">
      <alignment horizontal="general" vertical="bottom" textRotation="0" wrapText="false" indent="0" shrinkToFit="false"/>
      <protection locked="true" hidden="true"/>
    </xf>
    <xf numFmtId="164" fontId="41" fillId="0" borderId="64" xfId="42" applyFont="true" applyBorder="true" applyAlignment="true" applyProtection="true">
      <alignment horizontal="left" vertical="bottom" textRotation="0" wrapText="false" indent="0" shrinkToFit="false"/>
      <protection locked="false" hidden="false"/>
    </xf>
    <xf numFmtId="164" fontId="12" fillId="0" borderId="64" xfId="42" applyFont="true" applyBorder="true" applyAlignment="false" applyProtection="true">
      <alignment horizontal="general" vertical="bottom" textRotation="0" wrapText="false" indent="0" shrinkToFit="false"/>
      <protection locked="false" hidden="false"/>
    </xf>
    <xf numFmtId="169" fontId="12" fillId="0" borderId="64" xfId="42" applyFont="true" applyBorder="true" applyAlignment="false" applyProtection="true">
      <alignment horizontal="general" vertical="bottom" textRotation="0" wrapText="false" indent="0" shrinkToFit="false"/>
      <protection locked="false" hidden="false"/>
    </xf>
    <xf numFmtId="179" fontId="12" fillId="0" borderId="64" xfId="42" applyFont="true" applyBorder="true" applyAlignment="true" applyProtection="true">
      <alignment horizontal="center" vertical="bottom" textRotation="0" wrapText="false" indent="0" shrinkToFit="false"/>
      <protection locked="false" hidden="false"/>
    </xf>
    <xf numFmtId="169" fontId="12" fillId="0" borderId="64" xfId="42" applyFont="true" applyBorder="true" applyAlignment="true" applyProtection="true">
      <alignment horizontal="center" vertical="bottom" textRotation="0" wrapText="false" indent="0" shrinkToFit="false"/>
      <protection locked="false" hidden="false"/>
    </xf>
    <xf numFmtId="177" fontId="12" fillId="0" borderId="64" xfId="42" applyFont="true" applyBorder="true" applyAlignment="true" applyProtection="true">
      <alignment horizontal="center" vertical="bottom" textRotation="0" wrapText="false" indent="0" shrinkToFit="false"/>
      <protection locked="false" hidden="false"/>
    </xf>
    <xf numFmtId="171" fontId="19" fillId="0" borderId="64" xfId="97" applyFont="true" applyBorder="true" applyAlignment="true" applyProtection="false">
      <alignment horizontal="center" vertical="bottom" textRotation="0" wrapText="false" indent="0" shrinkToFit="false"/>
      <protection locked="true" hidden="false"/>
    </xf>
    <xf numFmtId="164" fontId="19" fillId="0" borderId="64" xfId="75" applyFont="true" applyBorder="true" applyAlignment="true" applyProtection="true">
      <alignment horizontal="center" vertical="bottom" textRotation="0" wrapText="false" indent="0" shrinkToFit="false"/>
      <protection locked="true" hidden="true"/>
    </xf>
    <xf numFmtId="177" fontId="41" fillId="0" borderId="0" xfId="42" applyFont="true" applyBorder="true" applyAlignment="true" applyProtection="true">
      <alignment horizontal="center" vertical="bottom" textRotation="0" wrapText="false" indent="0" shrinkToFit="false"/>
      <protection locked="false" hidden="false"/>
    </xf>
    <xf numFmtId="177" fontId="41" fillId="0" borderId="0" xfId="42" applyFont="true" applyBorder="false" applyAlignment="true" applyProtection="true">
      <alignment horizontal="center" vertical="bottom" textRotation="0" wrapText="false" indent="0" shrinkToFit="false"/>
      <protection locked="false" hidden="false"/>
    </xf>
    <xf numFmtId="171" fontId="0" fillId="0" borderId="0" xfId="97" applyFont="true" applyBorder="false" applyAlignment="true" applyProtection="false">
      <alignment horizontal="center" vertical="bottom" textRotation="0" wrapText="false" indent="0" shrinkToFit="false"/>
      <protection locked="true" hidden="false"/>
    </xf>
    <xf numFmtId="164" fontId="41" fillId="3" borderId="7" xfId="42" applyFont="true" applyBorder="true" applyAlignment="true" applyProtection="true">
      <alignment horizontal="left" vertical="bottom" textRotation="0" wrapText="false" indent="0" shrinkToFit="false"/>
      <protection locked="false" hidden="false"/>
    </xf>
    <xf numFmtId="164" fontId="41" fillId="0" borderId="4" xfId="61" applyFont="true" applyBorder="true" applyAlignment="false" applyProtection="false">
      <alignment horizontal="general" vertical="bottom" textRotation="0" wrapText="false" indent="0" shrinkToFit="false"/>
      <protection locked="true" hidden="false"/>
    </xf>
    <xf numFmtId="164" fontId="19" fillId="0" borderId="0" xfId="75" applyFont="true" applyBorder="false" applyAlignment="false" applyProtection="true">
      <alignment horizontal="general" vertical="bottom" textRotation="0" wrapText="false" indent="0" shrinkToFit="false"/>
      <protection locked="true" hidden="true"/>
    </xf>
    <xf numFmtId="164" fontId="12" fillId="0" borderId="12" xfId="42" applyFont="true" applyBorder="true" applyAlignment="false" applyProtection="true">
      <alignment horizontal="general" vertical="bottom" textRotation="0" wrapText="false" indent="0" shrinkToFit="false"/>
      <protection locked="false" hidden="false"/>
    </xf>
    <xf numFmtId="169" fontId="12" fillId="0" borderId="12" xfId="42" applyFont="true" applyBorder="true" applyAlignment="false" applyProtection="true">
      <alignment horizontal="general" vertical="bottom" textRotation="0" wrapText="false" indent="0" shrinkToFit="false"/>
      <protection locked="false" hidden="false"/>
    </xf>
    <xf numFmtId="164" fontId="12" fillId="0" borderId="0" xfId="42" applyFont="true" applyBorder="false" applyAlignment="false" applyProtection="false">
      <alignment horizontal="general" vertical="bottom" textRotation="0" wrapText="false" indent="0" shrinkToFit="false"/>
      <protection locked="true" hidden="false"/>
    </xf>
    <xf numFmtId="164" fontId="12" fillId="0" borderId="0" xfId="42" applyFont="true" applyBorder="false" applyAlignment="false" applyProtection="true">
      <alignment horizontal="general" vertical="bottom" textRotation="0" wrapText="false" indent="0" shrinkToFit="false"/>
      <protection locked="false" hidden="false"/>
    </xf>
    <xf numFmtId="169" fontId="12" fillId="0" borderId="0" xfId="42" applyFont="true" applyBorder="false" applyAlignment="false" applyProtection="true">
      <alignment horizontal="general" vertical="bottom" textRotation="0" wrapText="false" indent="0" shrinkToFit="false"/>
      <protection locked="false" hidden="false"/>
    </xf>
    <xf numFmtId="179" fontId="12" fillId="0" borderId="0" xfId="42" applyFont="true" applyBorder="false" applyAlignment="true" applyProtection="true">
      <alignment horizontal="center" vertical="bottom" textRotation="0" wrapText="false" indent="0" shrinkToFit="false"/>
      <protection locked="false" hidden="false"/>
    </xf>
    <xf numFmtId="169" fontId="12" fillId="0" borderId="0" xfId="42" applyFont="true" applyBorder="false" applyAlignment="true" applyProtection="true">
      <alignment horizontal="center" vertical="bottom" textRotation="0" wrapText="false" indent="0" shrinkToFit="false"/>
      <protection locked="false" hidden="false"/>
    </xf>
    <xf numFmtId="164" fontId="19" fillId="0" borderId="0" xfId="75" applyFont="true" applyBorder="false" applyAlignment="true" applyProtection="true">
      <alignment horizontal="center" vertical="bottom" textRotation="0" wrapText="false" indent="0" shrinkToFit="false"/>
      <protection locked="true" hidden="true"/>
    </xf>
    <xf numFmtId="177" fontId="12" fillId="0" borderId="0" xfId="42" applyFont="true" applyBorder="false" applyAlignment="true" applyProtection="true">
      <alignment horizontal="center" vertical="bottom" textRotation="0" wrapText="false" indent="0" shrinkToFit="false"/>
      <protection locked="false" hidden="false"/>
    </xf>
    <xf numFmtId="171" fontId="19" fillId="0" borderId="0" xfId="97" applyFont="true" applyBorder="false" applyAlignment="true" applyProtection="false">
      <alignment horizontal="center" vertical="bottom" textRotation="0" wrapText="false" indent="0" shrinkToFit="false"/>
      <protection locked="true" hidden="false"/>
    </xf>
    <xf numFmtId="177" fontId="41" fillId="0" borderId="0" xfId="42" applyFont="true" applyBorder="true" applyAlignment="true" applyProtection="false">
      <alignment horizontal="center" vertical="bottom" textRotation="0" wrapText="false" indent="0" shrinkToFit="false"/>
      <protection locked="true" hidden="false"/>
    </xf>
    <xf numFmtId="177" fontId="41" fillId="0" borderId="12" xfId="42" applyFont="true" applyBorder="true" applyAlignment="true" applyProtection="false">
      <alignment horizontal="center" vertical="bottom" textRotation="0" wrapText="false" indent="0" shrinkToFit="false"/>
      <protection locked="true" hidden="false"/>
    </xf>
    <xf numFmtId="179" fontId="41" fillId="0" borderId="12" xfId="83" applyFont="true" applyBorder="true" applyAlignment="true" applyProtection="false">
      <alignment horizontal="center" vertical="bottom" textRotation="0" wrapText="false" indent="0" shrinkToFit="false"/>
      <protection locked="true" hidden="false"/>
    </xf>
    <xf numFmtId="164" fontId="0" fillId="0" borderId="0" xfId="75" applyFont="true" applyBorder="true" applyAlignment="true" applyProtection="true">
      <alignment horizontal="general" vertical="center" textRotation="0" wrapText="false" indent="0" shrinkToFit="false"/>
      <protection locked="true" hidden="true"/>
    </xf>
    <xf numFmtId="164" fontId="0" fillId="0" borderId="0" xfId="75" applyFont="true" applyBorder="true" applyAlignment="true" applyProtection="true">
      <alignment horizontal="center" vertical="center" textRotation="0" wrapText="false" indent="0" shrinkToFit="false"/>
      <protection locked="true" hidden="true"/>
    </xf>
    <xf numFmtId="164" fontId="12" fillId="0" borderId="0" xfId="69" applyFont="true" applyBorder="false" applyAlignment="true" applyProtection="false">
      <alignment horizontal="general" vertical="top" textRotation="0" wrapText="false" indent="0" shrinkToFit="false"/>
      <protection locked="true" hidden="false"/>
    </xf>
    <xf numFmtId="164" fontId="8" fillId="0" borderId="0" xfId="69" applyFont="true" applyBorder="true" applyAlignment="true" applyProtection="false">
      <alignment horizontal="center" vertical="center" textRotation="0" wrapText="false" indent="0" shrinkToFit="false"/>
      <protection locked="true" hidden="false"/>
    </xf>
    <xf numFmtId="164" fontId="0" fillId="0" borderId="0" xfId="69" applyFont="true" applyBorder="false" applyAlignment="true" applyProtection="true">
      <alignment horizontal="general" vertical="center" textRotation="0" wrapText="false" indent="0" shrinkToFit="false"/>
      <protection locked="true" hidden="true"/>
    </xf>
    <xf numFmtId="164" fontId="19" fillId="0" borderId="0" xfId="97" applyFont="true" applyBorder="false" applyAlignment="true" applyProtection="true">
      <alignment horizontal="general" vertical="center" textRotation="0" wrapText="false" indent="0" shrinkToFit="false"/>
      <protection locked="false" hidden="false"/>
    </xf>
    <xf numFmtId="164" fontId="20" fillId="4" borderId="0" xfId="69" applyFont="true" applyBorder="true" applyAlignment="true" applyProtection="false">
      <alignment horizontal="left" vertical="center" textRotation="0" wrapText="false" indent="0" shrinkToFit="false"/>
      <protection locked="true" hidden="false"/>
    </xf>
    <xf numFmtId="164" fontId="42" fillId="4" borderId="0" xfId="69" applyFont="true" applyBorder="true" applyAlignment="true" applyProtection="true">
      <alignment horizontal="left" vertical="center" textRotation="0" wrapText="false" indent="0" shrinkToFit="false"/>
      <protection locked="false" hidden="false"/>
    </xf>
    <xf numFmtId="164" fontId="5" fillId="0" borderId="0" xfId="69" applyFont="true" applyBorder="true" applyAlignment="true" applyProtection="false">
      <alignment horizontal="left" vertical="center" textRotation="0" wrapText="false" indent="0" shrinkToFit="false"/>
      <protection locked="true" hidden="false"/>
    </xf>
    <xf numFmtId="164" fontId="6" fillId="0" borderId="0" xfId="69" applyFont="true" applyBorder="true" applyAlignment="true" applyProtection="false">
      <alignment horizontal="left" vertical="center" textRotation="0" wrapText="false" indent="0" shrinkToFit="false"/>
      <protection locked="true" hidden="false"/>
    </xf>
    <xf numFmtId="164" fontId="41" fillId="0" borderId="0" xfId="69" applyFont="true" applyBorder="true" applyAlignment="true" applyProtection="true">
      <alignment horizontal="left" vertical="top" textRotation="0" wrapText="true" indent="0" shrinkToFit="false"/>
      <protection locked="false" hidden="false"/>
    </xf>
    <xf numFmtId="164" fontId="41" fillId="0" borderId="0" xfId="69" applyFont="true" applyBorder="false" applyAlignment="true" applyProtection="true">
      <alignment horizontal="left" vertical="top" textRotation="0" wrapText="true" indent="0" shrinkToFit="false"/>
      <protection locked="false" hidden="false"/>
    </xf>
    <xf numFmtId="164" fontId="41" fillId="0" borderId="0" xfId="64" applyFont="true" applyBorder="true" applyAlignment="true" applyProtection="true">
      <alignment horizontal="left" vertical="top" textRotation="0" wrapText="true" indent="0" shrinkToFit="false"/>
      <protection locked="false" hidden="false"/>
    </xf>
    <xf numFmtId="164" fontId="41" fillId="0" borderId="0" xfId="64" applyFont="true" applyBorder="false" applyAlignment="true" applyProtection="true">
      <alignment horizontal="left" vertical="top" textRotation="0" wrapText="true" indent="0" shrinkToFit="false"/>
      <protection locked="false" hidden="false"/>
    </xf>
    <xf numFmtId="164" fontId="6" fillId="0" borderId="0" xfId="69" applyFont="true" applyBorder="false" applyAlignment="true" applyProtection="false">
      <alignment horizontal="general" vertical="center" textRotation="0" wrapText="false" indent="0" shrinkToFit="false"/>
      <protection locked="true" hidden="false"/>
    </xf>
    <xf numFmtId="164" fontId="0" fillId="0" borderId="0" xfId="69" applyFont="true" applyBorder="false" applyAlignment="true" applyProtection="true">
      <alignment horizontal="left" vertical="center" textRotation="0" wrapText="false" indent="0" shrinkToFit="false"/>
      <protection locked="false" hidden="false"/>
    </xf>
    <xf numFmtId="164" fontId="0" fillId="0" borderId="0" xfId="69" applyFont="true" applyBorder="true" applyAlignment="true" applyProtection="true">
      <alignment horizontal="left" vertical="top" textRotation="0" wrapText="true" indent="0" shrinkToFit="false"/>
      <protection locked="false" hidden="false"/>
    </xf>
    <xf numFmtId="164" fontId="0" fillId="0" borderId="0" xfId="97" applyFont="true" applyBorder="true" applyAlignment="true" applyProtection="true">
      <alignment horizontal="left" vertical="top" textRotation="0" wrapText="true" indent="0" shrinkToFit="false"/>
      <protection locked="false" hidden="false"/>
    </xf>
    <xf numFmtId="164" fontId="0" fillId="0" borderId="0" xfId="97" applyFont="true" applyBorder="false" applyAlignment="true" applyProtection="true">
      <alignment horizontal="general" vertical="top" textRotation="0" wrapText="true" indent="0" shrinkToFit="false"/>
      <protection locked="false" hidden="false"/>
    </xf>
    <xf numFmtId="164" fontId="7" fillId="0" borderId="0" xfId="69" applyFont="true" applyBorder="false" applyAlignment="true" applyProtection="false">
      <alignment horizontal="general" vertical="center" textRotation="0" wrapText="false" indent="0" shrinkToFit="false"/>
      <protection locked="true" hidden="false"/>
    </xf>
    <xf numFmtId="164" fontId="0" fillId="0" borderId="0" xfId="69" applyFont="true" applyBorder="false" applyAlignment="true" applyProtection="false">
      <alignment horizontal="general" vertical="center" textRotation="0" wrapText="false" indent="0" shrinkToFit="false"/>
      <protection locked="true" hidden="false"/>
    </xf>
    <xf numFmtId="164" fontId="0" fillId="3" borderId="7" xfId="69" applyFont="true" applyBorder="true" applyAlignment="true" applyProtection="false">
      <alignment horizontal="center" vertical="center" textRotation="0" wrapText="false" indent="0" shrinkToFit="false"/>
      <protection locked="true" hidden="false"/>
    </xf>
    <xf numFmtId="164" fontId="0" fillId="3" borderId="7" xfId="69" applyFont="true" applyBorder="true" applyAlignment="true" applyProtection="true">
      <alignment horizontal="center" vertical="center" textRotation="0" wrapText="false" indent="0" shrinkToFit="false"/>
      <protection locked="true" hidden="true"/>
    </xf>
    <xf numFmtId="164" fontId="0" fillId="3" borderId="65" xfId="69" applyFont="true" applyBorder="true" applyAlignment="true" applyProtection="true">
      <alignment horizontal="center" vertical="center" textRotation="0" wrapText="false" indent="0" shrinkToFit="false"/>
      <protection locked="true" hidden="true"/>
    </xf>
    <xf numFmtId="164" fontId="0" fillId="3" borderId="65" xfId="69" applyFont="true" applyBorder="true" applyAlignment="true" applyProtection="false">
      <alignment horizontal="center" vertical="center" textRotation="0" wrapText="false" indent="0" shrinkToFit="false"/>
      <protection locked="true" hidden="false"/>
    </xf>
    <xf numFmtId="184" fontId="0" fillId="0" borderId="7" xfId="69" applyFont="true" applyBorder="true" applyAlignment="true" applyProtection="false">
      <alignment horizontal="center" vertical="center" textRotation="0" wrapText="false" indent="0" shrinkToFit="false"/>
      <protection locked="true" hidden="false"/>
    </xf>
    <xf numFmtId="185" fontId="0" fillId="0" borderId="7" xfId="69" applyFont="true" applyBorder="true" applyAlignment="true" applyProtection="true">
      <alignment horizontal="center" vertical="center" textRotation="0" wrapText="false" indent="0" shrinkToFit="false"/>
      <protection locked="true" hidden="true"/>
    </xf>
    <xf numFmtId="182" fontId="24" fillId="0" borderId="65" xfId="69" applyFont="true" applyBorder="true" applyAlignment="true" applyProtection="true">
      <alignment horizontal="center" vertical="center" textRotation="0" wrapText="false" indent="0" shrinkToFit="false"/>
      <protection locked="true" hidden="true"/>
    </xf>
    <xf numFmtId="184" fontId="24" fillId="0" borderId="65" xfId="69" applyFont="true" applyBorder="true" applyAlignment="true" applyProtection="false">
      <alignment horizontal="center" vertical="center" textRotation="0" wrapText="false" indent="0" shrinkToFit="false"/>
      <protection locked="true" hidden="false"/>
    </xf>
    <xf numFmtId="164" fontId="6" fillId="0" borderId="0" xfId="69" applyFont="true" applyBorder="false" applyAlignment="true" applyProtection="false">
      <alignment horizontal="left" vertical="center" textRotation="0" wrapText="false" indent="0" shrinkToFit="false"/>
      <protection locked="true" hidden="false"/>
    </xf>
    <xf numFmtId="164" fontId="41" fillId="3" borderId="72" xfId="69" applyFont="true" applyBorder="true" applyAlignment="true" applyProtection="false">
      <alignment horizontal="center" vertical="bottom" textRotation="0" wrapText="false" indent="0" shrinkToFit="false"/>
      <protection locked="true" hidden="false"/>
    </xf>
    <xf numFmtId="164" fontId="0" fillId="3" borderId="8" xfId="69" applyFont="true" applyBorder="true" applyAlignment="true" applyProtection="false">
      <alignment horizontal="center" vertical="bottom" textRotation="0" wrapText="true" indent="0" shrinkToFit="false"/>
      <protection locked="true" hidden="false"/>
    </xf>
    <xf numFmtId="164" fontId="0" fillId="3" borderId="73" xfId="69" applyFont="true" applyBorder="true" applyAlignment="true" applyProtection="false">
      <alignment horizontal="center" vertical="bottom" textRotation="0" wrapText="true" indent="0" shrinkToFit="false"/>
      <protection locked="true" hidden="false"/>
    </xf>
    <xf numFmtId="164" fontId="0" fillId="0" borderId="0" xfId="69" applyFont="true" applyBorder="false" applyAlignment="true" applyProtection="true">
      <alignment horizontal="general" vertical="bottom" textRotation="0" wrapText="true" indent="0" shrinkToFit="false"/>
      <protection locked="true" hidden="true"/>
    </xf>
    <xf numFmtId="183" fontId="0" fillId="0" borderId="74" xfId="69" applyFont="true" applyBorder="true" applyAlignment="true" applyProtection="false">
      <alignment horizontal="center" vertical="bottom" textRotation="0" wrapText="false" indent="0" shrinkToFit="false"/>
      <protection locked="true" hidden="false"/>
    </xf>
    <xf numFmtId="164" fontId="0" fillId="0" borderId="4" xfId="69" applyFont="true" applyBorder="true" applyAlignment="true" applyProtection="false">
      <alignment horizontal="center" vertical="center" textRotation="0" wrapText="false" indent="0" shrinkToFit="false"/>
      <protection locked="true" hidden="false"/>
    </xf>
    <xf numFmtId="164" fontId="0" fillId="0" borderId="68" xfId="69" applyFont="true" applyBorder="true" applyAlignment="true" applyProtection="false">
      <alignment horizontal="left" vertical="center" textRotation="0" wrapText="false" indent="0" shrinkToFit="false"/>
      <protection locked="true" hidden="false"/>
    </xf>
    <xf numFmtId="171" fontId="0" fillId="0" borderId="10" xfId="69" applyFont="true" applyBorder="true" applyAlignment="true" applyProtection="false">
      <alignment horizontal="center" vertical="center" textRotation="0" wrapText="true" indent="0" shrinkToFit="false"/>
      <protection locked="true" hidden="false"/>
    </xf>
    <xf numFmtId="184" fontId="0" fillId="0" borderId="67" xfId="69" applyFont="true" applyBorder="true" applyAlignment="true" applyProtection="false">
      <alignment horizontal="center" vertical="center" textRotation="0" wrapText="false" indent="0" shrinkToFit="false"/>
      <protection locked="true" hidden="false"/>
    </xf>
    <xf numFmtId="169" fontId="0" fillId="0" borderId="0" xfId="69" applyFont="true" applyBorder="false" applyAlignment="true" applyProtection="true">
      <alignment horizontal="general" vertical="center" textRotation="0" wrapText="false" indent="0" shrinkToFit="false"/>
      <protection locked="true" hidden="true"/>
    </xf>
    <xf numFmtId="171" fontId="0" fillId="0" borderId="0" xfId="69" applyFont="true" applyBorder="false" applyAlignment="true" applyProtection="false">
      <alignment horizontal="general" vertical="center" textRotation="0" wrapText="true" indent="0" shrinkToFit="false"/>
      <protection locked="true" hidden="false"/>
    </xf>
    <xf numFmtId="164" fontId="0" fillId="0" borderId="11" xfId="69" applyFont="true" applyBorder="true" applyAlignment="true" applyProtection="false">
      <alignment horizontal="center" vertical="center" textRotation="0" wrapText="false" indent="0" shrinkToFit="false"/>
      <protection locked="true" hidden="false"/>
    </xf>
    <xf numFmtId="164" fontId="0" fillId="0" borderId="69" xfId="69" applyFont="true" applyBorder="true" applyAlignment="true" applyProtection="false">
      <alignment horizontal="left" vertical="center" textRotation="0" wrapText="false" indent="0" shrinkToFit="false"/>
      <protection locked="true" hidden="false"/>
    </xf>
    <xf numFmtId="171" fontId="0" fillId="0" borderId="71" xfId="69" applyFont="true" applyBorder="true" applyAlignment="true" applyProtection="false">
      <alignment horizontal="center" vertical="center" textRotation="0" wrapText="true" indent="0" shrinkToFit="false"/>
      <protection locked="true" hidden="false"/>
    </xf>
    <xf numFmtId="184" fontId="0" fillId="0" borderId="70" xfId="69" applyFont="true" applyBorder="true" applyAlignment="true" applyProtection="false">
      <alignment horizontal="center" vertical="center" textRotation="0" wrapText="false" indent="0" shrinkToFit="false"/>
      <protection locked="true" hidden="false"/>
    </xf>
    <xf numFmtId="164" fontId="0" fillId="0" borderId="0" xfId="69" applyFont="true" applyBorder="false" applyAlignment="true" applyProtection="false">
      <alignment horizontal="center" vertical="center" textRotation="0" wrapText="false" indent="0" shrinkToFit="false"/>
      <protection locked="true" hidden="false"/>
    </xf>
    <xf numFmtId="164" fontId="0" fillId="0" borderId="0" xfId="69" applyFont="true" applyBorder="false" applyAlignment="true" applyProtection="false">
      <alignment horizontal="left" vertical="center" textRotation="0" wrapText="false" indent="0" shrinkToFit="false"/>
      <protection locked="true" hidden="false"/>
    </xf>
    <xf numFmtId="171" fontId="0" fillId="0" borderId="0" xfId="69" applyFont="true" applyBorder="false" applyAlignment="true" applyProtection="false">
      <alignment horizontal="center" vertical="center" textRotation="0" wrapText="true" indent="0" shrinkToFit="false"/>
      <protection locked="true" hidden="false"/>
    </xf>
    <xf numFmtId="164" fontId="0" fillId="0" borderId="0" xfId="69" applyFont="true" applyBorder="false" applyAlignment="true" applyProtection="true">
      <alignment horizontal="right" vertical="center" textRotation="0" wrapText="false" indent="0" shrinkToFit="false"/>
      <protection locked="true" hidden="true"/>
    </xf>
    <xf numFmtId="184" fontId="0" fillId="0" borderId="0" xfId="69" applyFont="true" applyBorder="true" applyAlignment="true" applyProtection="false">
      <alignment horizontal="center" vertical="center" textRotation="0" wrapText="false" indent="0" shrinkToFit="false"/>
      <protection locked="true" hidden="false"/>
    </xf>
    <xf numFmtId="164" fontId="37" fillId="0" borderId="0" xfId="69" applyFont="true" applyBorder="false" applyAlignment="true" applyProtection="false">
      <alignment horizontal="center" vertical="center" textRotation="0" wrapText="false" indent="0" shrinkToFit="false"/>
      <protection locked="true" hidden="false"/>
    </xf>
    <xf numFmtId="164" fontId="37" fillId="0" borderId="0" xfId="69" applyFont="true" applyBorder="false" applyAlignment="true" applyProtection="false">
      <alignment horizontal="left" vertical="center" textRotation="0" wrapText="false" indent="0" shrinkToFit="false"/>
      <protection locked="true" hidden="false"/>
    </xf>
    <xf numFmtId="164" fontId="4" fillId="0" borderId="0" xfId="69" applyFont="true" applyBorder="true" applyAlignment="true" applyProtection="false">
      <alignment horizontal="left" vertical="top" textRotation="0" wrapText="true" indent="0" shrinkToFit="false"/>
      <protection locked="true" hidden="false"/>
    </xf>
    <xf numFmtId="164" fontId="13" fillId="0" borderId="0" xfId="69" applyFont="true" applyBorder="false" applyAlignment="true" applyProtection="false">
      <alignment horizontal="general" vertical="top" textRotation="0" wrapText="false" indent="0" shrinkToFit="false"/>
      <protection locked="true" hidden="false"/>
    </xf>
    <xf numFmtId="164" fontId="6" fillId="0" borderId="64" xfId="69" applyFont="true" applyBorder="true" applyAlignment="true" applyProtection="false">
      <alignment horizontal="left" vertical="bottom" textRotation="0" wrapText="false" indent="0" shrinkToFit="false"/>
      <protection locked="true" hidden="false"/>
    </xf>
    <xf numFmtId="171" fontId="46" fillId="0" borderId="64" xfId="69" applyFont="true" applyBorder="true" applyAlignment="true" applyProtection="false">
      <alignment horizontal="center" vertical="bottom" textRotation="0" wrapText="false" indent="0" shrinkToFit="false"/>
      <protection locked="true" hidden="false"/>
    </xf>
    <xf numFmtId="164" fontId="6" fillId="0" borderId="64" xfId="69" applyFont="true" applyBorder="true" applyAlignment="true" applyProtection="false">
      <alignment horizontal="general" vertical="bottom" textRotation="0" wrapText="false" indent="0" shrinkToFit="false"/>
      <protection locked="true" hidden="false"/>
    </xf>
    <xf numFmtId="164" fontId="24" fillId="0" borderId="64" xfId="69" applyFont="true" applyBorder="true" applyAlignment="true" applyProtection="false">
      <alignment horizontal="center" vertical="bottom" textRotation="0" wrapText="false" indent="0" shrinkToFit="false"/>
      <protection locked="true" hidden="false"/>
    </xf>
    <xf numFmtId="164" fontId="24" fillId="0" borderId="64" xfId="69" applyFont="true" applyBorder="true" applyAlignment="true" applyProtection="false">
      <alignment horizontal="general" vertical="bottom" textRotation="0" wrapText="false" indent="0" shrinkToFit="false"/>
      <protection locked="true" hidden="false"/>
    </xf>
    <xf numFmtId="164" fontId="6" fillId="0" borderId="64" xfId="69" applyFont="true" applyBorder="true" applyAlignment="true" applyProtection="false">
      <alignment horizontal="general" vertical="center" textRotation="0" wrapText="false" indent="0" shrinkToFit="false"/>
      <protection locked="true" hidden="false"/>
    </xf>
    <xf numFmtId="164" fontId="19" fillId="0" borderId="64" xfId="69" applyFont="true" applyBorder="true" applyAlignment="true" applyProtection="false">
      <alignment horizontal="general" vertical="center" textRotation="0" wrapText="false" indent="0" shrinkToFit="false"/>
      <protection locked="true" hidden="false"/>
    </xf>
    <xf numFmtId="164" fontId="19" fillId="0" borderId="64" xfId="71" applyFont="true" applyBorder="true" applyAlignment="true" applyProtection="false">
      <alignment horizontal="general" vertical="center" textRotation="0" wrapText="false" indent="0" shrinkToFit="false"/>
      <protection locked="true" hidden="false"/>
    </xf>
    <xf numFmtId="164" fontId="19" fillId="0" borderId="64" xfId="71" applyFont="true" applyBorder="true" applyAlignment="true" applyProtection="false">
      <alignment horizontal="right" vertical="center" textRotation="0" wrapText="false" indent="0" shrinkToFit="false"/>
      <protection locked="true" hidden="false"/>
    </xf>
    <xf numFmtId="164" fontId="19" fillId="0" borderId="64" xfId="71" applyFont="true" applyBorder="true" applyAlignment="true" applyProtection="false">
      <alignment horizontal="center" vertical="center" textRotation="0" wrapText="false" indent="0" shrinkToFit="false"/>
      <protection locked="true" hidden="false"/>
    </xf>
    <xf numFmtId="164" fontId="42" fillId="4" borderId="0" xfId="69" applyFont="true" applyBorder="true" applyAlignment="true" applyProtection="false">
      <alignment horizontal="left" vertical="center" textRotation="0" wrapText="false" indent="0" shrinkToFit="false"/>
      <protection locked="true" hidden="false"/>
    </xf>
    <xf numFmtId="164" fontId="7" fillId="0" borderId="0" xfId="69" applyFont="true" applyBorder="false" applyAlignment="true" applyProtection="false">
      <alignment horizontal="left" vertical="center" textRotation="0" wrapText="false" indent="0" shrinkToFit="false"/>
      <protection locked="true" hidden="false"/>
    </xf>
    <xf numFmtId="164" fontId="20" fillId="0" borderId="0" xfId="69" applyFont="true" applyBorder="false" applyAlignment="true" applyProtection="false">
      <alignment horizontal="left" vertical="center" textRotation="0" wrapText="false" indent="0" shrinkToFit="false"/>
      <protection locked="true" hidden="false"/>
    </xf>
    <xf numFmtId="164" fontId="42" fillId="0" borderId="0" xfId="69" applyFont="true" applyBorder="false" applyAlignment="true" applyProtection="false">
      <alignment horizontal="left" vertical="center" textRotation="0" wrapText="false" indent="0" shrinkToFit="false"/>
      <protection locked="true" hidden="false"/>
    </xf>
    <xf numFmtId="164" fontId="0" fillId="0" borderId="12" xfId="69" applyFont="true" applyBorder="true" applyAlignment="true" applyProtection="true">
      <alignment horizontal="center" vertical="bottom" textRotation="0" wrapText="false" indent="0" shrinkToFit="false"/>
      <protection locked="true" hidden="true"/>
    </xf>
    <xf numFmtId="164" fontId="41" fillId="0" borderId="12" xfId="69" applyFont="true" applyBorder="true" applyAlignment="true" applyProtection="false">
      <alignment horizontal="left" vertical="bottom" textRotation="0" wrapText="false" indent="0" shrinkToFit="false"/>
      <protection locked="true" hidden="false"/>
    </xf>
    <xf numFmtId="164" fontId="0" fillId="3" borderId="75" xfId="69" applyFont="true" applyBorder="true" applyAlignment="true" applyProtection="false">
      <alignment horizontal="center" vertical="bottom" textRotation="0" wrapText="false" indent="0" shrinkToFit="false"/>
      <protection locked="true" hidden="false"/>
    </xf>
    <xf numFmtId="164" fontId="0" fillId="3" borderId="76" xfId="69" applyFont="true" applyBorder="true" applyAlignment="true" applyProtection="false">
      <alignment horizontal="center" vertical="bottom" textRotation="0" wrapText="false" indent="0" shrinkToFit="false"/>
      <protection locked="true" hidden="false"/>
    </xf>
    <xf numFmtId="164" fontId="0" fillId="3" borderId="77" xfId="69" applyFont="true" applyBorder="true" applyAlignment="true" applyProtection="false">
      <alignment horizontal="center" vertical="bottom" textRotation="0" wrapText="true" indent="0" shrinkToFit="false"/>
      <protection locked="true" hidden="false"/>
    </xf>
    <xf numFmtId="179" fontId="0" fillId="3" borderId="77" xfId="69" applyFont="true" applyBorder="true" applyAlignment="true" applyProtection="false">
      <alignment horizontal="center" vertical="bottom" textRotation="0" wrapText="true" indent="0" shrinkToFit="false"/>
      <protection locked="true" hidden="false"/>
    </xf>
    <xf numFmtId="186" fontId="0" fillId="3" borderId="77" xfId="69" applyFont="true" applyBorder="true" applyAlignment="true" applyProtection="false">
      <alignment horizontal="center" vertical="bottom" textRotation="0" wrapText="true" indent="0" shrinkToFit="false"/>
      <protection locked="true" hidden="false"/>
    </xf>
    <xf numFmtId="164" fontId="0" fillId="3" borderId="78" xfId="69" applyFont="true" applyBorder="true" applyAlignment="true" applyProtection="false">
      <alignment horizontal="center" vertical="bottom" textRotation="0" wrapText="true" indent="0" shrinkToFit="false"/>
      <protection locked="true" hidden="false"/>
    </xf>
    <xf numFmtId="164" fontId="0" fillId="0" borderId="0" xfId="69" applyFont="true" applyBorder="false" applyAlignment="true" applyProtection="true">
      <alignment horizontal="left" vertical="center" textRotation="0" wrapText="false" indent="0" shrinkToFit="false"/>
      <protection locked="true" hidden="true"/>
    </xf>
    <xf numFmtId="164" fontId="0" fillId="0" borderId="79" xfId="69" applyFont="true" applyBorder="true" applyAlignment="true" applyProtection="false">
      <alignment horizontal="center" vertical="bottom" textRotation="0" wrapText="false" indent="0" shrinkToFit="false"/>
      <protection locked="true" hidden="false"/>
    </xf>
    <xf numFmtId="164" fontId="0" fillId="0" borderId="80" xfId="69" applyFont="true" applyBorder="true" applyAlignment="true" applyProtection="false">
      <alignment horizontal="left" vertical="bottom" textRotation="0" wrapText="true" indent="0" shrinkToFit="false"/>
      <protection locked="true" hidden="false"/>
    </xf>
    <xf numFmtId="175" fontId="0" fillId="0" borderId="80" xfId="71" applyFont="true" applyBorder="true" applyAlignment="true" applyProtection="false">
      <alignment horizontal="center" vertical="bottom" textRotation="0" wrapText="true" indent="0" shrinkToFit="false"/>
      <protection locked="true" hidden="false"/>
    </xf>
    <xf numFmtId="169" fontId="0" fillId="0" borderId="80" xfId="69" applyFont="true" applyBorder="true" applyAlignment="true" applyProtection="false">
      <alignment horizontal="center" vertical="bottom" textRotation="0" wrapText="true" indent="0" shrinkToFit="false"/>
      <protection locked="true" hidden="false"/>
    </xf>
    <xf numFmtId="179" fontId="0" fillId="0" borderId="80" xfId="69" applyFont="true" applyBorder="true" applyAlignment="true" applyProtection="false">
      <alignment horizontal="center" vertical="bottom" textRotation="0" wrapText="false" indent="0" shrinkToFit="false"/>
      <protection locked="true" hidden="false"/>
    </xf>
    <xf numFmtId="186" fontId="0" fillId="0" borderId="80" xfId="69" applyFont="true" applyBorder="true" applyAlignment="true" applyProtection="false">
      <alignment horizontal="center" vertical="bottom" textRotation="0" wrapText="false" indent="0" shrinkToFit="false"/>
      <protection locked="true" hidden="false"/>
    </xf>
    <xf numFmtId="164" fontId="0" fillId="0" borderId="80" xfId="69" applyFont="true" applyBorder="true" applyAlignment="true" applyProtection="false">
      <alignment horizontal="center" vertical="bottom" textRotation="0" wrapText="true" indent="0" shrinkToFit="false"/>
      <protection locked="true" hidden="false"/>
    </xf>
    <xf numFmtId="164" fontId="47" fillId="0" borderId="80" xfId="69" applyFont="true" applyBorder="true" applyAlignment="true" applyProtection="false">
      <alignment horizontal="left" vertical="bottom" textRotation="0" wrapText="true" indent="0" shrinkToFit="false"/>
      <protection locked="true" hidden="false"/>
    </xf>
    <xf numFmtId="164" fontId="0" fillId="0" borderId="81" xfId="69" applyFont="true" applyBorder="true" applyAlignment="true" applyProtection="false">
      <alignment horizontal="center" vertical="bottom" textRotation="0" wrapText="false" indent="0" shrinkToFit="false"/>
      <protection locked="true" hidden="false"/>
    </xf>
    <xf numFmtId="164" fontId="0" fillId="0" borderId="1" xfId="69" applyFont="true" applyBorder="true" applyAlignment="true" applyProtection="false">
      <alignment horizontal="left" vertical="bottom" textRotation="0" wrapText="true" indent="0" shrinkToFit="false"/>
      <protection locked="true" hidden="false"/>
    </xf>
    <xf numFmtId="175" fontId="0" fillId="0" borderId="1" xfId="71" applyFont="true" applyBorder="true" applyAlignment="true" applyProtection="false">
      <alignment horizontal="center" vertical="bottom" textRotation="0" wrapText="true" indent="0" shrinkToFit="false"/>
      <protection locked="true" hidden="false"/>
    </xf>
    <xf numFmtId="169" fontId="0" fillId="0" borderId="1" xfId="69" applyFont="true" applyBorder="true" applyAlignment="true" applyProtection="false">
      <alignment horizontal="center" vertical="bottom" textRotation="0" wrapText="true" indent="0" shrinkToFit="false"/>
      <protection locked="true" hidden="false"/>
    </xf>
    <xf numFmtId="179" fontId="0" fillId="0" borderId="1" xfId="69" applyFont="true" applyBorder="true" applyAlignment="true" applyProtection="false">
      <alignment horizontal="center" vertical="bottom" textRotation="0" wrapText="false" indent="0" shrinkToFit="false"/>
      <protection locked="true" hidden="false"/>
    </xf>
    <xf numFmtId="186" fontId="0" fillId="0" borderId="1" xfId="69" applyFont="true" applyBorder="true" applyAlignment="true" applyProtection="false">
      <alignment horizontal="center" vertical="bottom" textRotation="0" wrapText="false" indent="0" shrinkToFit="false"/>
      <protection locked="true" hidden="false"/>
    </xf>
    <xf numFmtId="164" fontId="0" fillId="0" borderId="1" xfId="69" applyFont="true" applyBorder="true" applyAlignment="true" applyProtection="false">
      <alignment horizontal="center" vertical="bottom" textRotation="0" wrapText="true" indent="0" shrinkToFit="false"/>
      <protection locked="true" hidden="false"/>
    </xf>
    <xf numFmtId="164" fontId="47" fillId="0" borderId="1" xfId="69" applyFont="true" applyBorder="true" applyAlignment="true" applyProtection="false">
      <alignment horizontal="left" vertical="bottom" textRotation="0" wrapText="true" indent="0" shrinkToFit="false"/>
      <protection locked="true" hidden="false"/>
    </xf>
    <xf numFmtId="179" fontId="48" fillId="0" borderId="1" xfId="96" applyFont="true" applyBorder="true" applyAlignment="true" applyProtection="false">
      <alignment horizontal="center" vertical="bottom" textRotation="0" wrapText="true" indent="0" shrinkToFit="false"/>
      <protection locked="true" hidden="false"/>
    </xf>
    <xf numFmtId="164" fontId="0" fillId="0" borderId="82" xfId="69" applyFont="true" applyBorder="true" applyAlignment="true" applyProtection="false">
      <alignment horizontal="center" vertical="bottom" textRotation="0" wrapText="false" indent="0" shrinkToFit="false"/>
      <protection locked="true" hidden="false"/>
    </xf>
    <xf numFmtId="164" fontId="0" fillId="0" borderId="83" xfId="69" applyFont="true" applyBorder="true" applyAlignment="true" applyProtection="false">
      <alignment horizontal="left" vertical="bottom" textRotation="0" wrapText="true" indent="0" shrinkToFit="false"/>
      <protection locked="true" hidden="false"/>
    </xf>
    <xf numFmtId="175" fontId="0" fillId="0" borderId="83" xfId="71" applyFont="true" applyBorder="true" applyAlignment="true" applyProtection="false">
      <alignment horizontal="center" vertical="bottom" textRotation="0" wrapText="true" indent="0" shrinkToFit="false"/>
      <protection locked="true" hidden="false"/>
    </xf>
    <xf numFmtId="169" fontId="0" fillId="0" borderId="83" xfId="69" applyFont="true" applyBorder="true" applyAlignment="true" applyProtection="false">
      <alignment horizontal="center" vertical="bottom" textRotation="0" wrapText="true" indent="0" shrinkToFit="false"/>
      <protection locked="true" hidden="false"/>
    </xf>
    <xf numFmtId="179" fontId="0" fillId="0" borderId="83" xfId="69" applyFont="true" applyBorder="true" applyAlignment="true" applyProtection="false">
      <alignment horizontal="center" vertical="bottom" textRotation="0" wrapText="false" indent="0" shrinkToFit="false"/>
      <protection locked="true" hidden="false"/>
    </xf>
    <xf numFmtId="186" fontId="0" fillId="0" borderId="83" xfId="69" applyFont="true" applyBorder="true" applyAlignment="true" applyProtection="false">
      <alignment horizontal="center" vertical="bottom" textRotation="0" wrapText="false" indent="0" shrinkToFit="false"/>
      <protection locked="true" hidden="false"/>
    </xf>
    <xf numFmtId="164" fontId="0" fillId="0" borderId="83" xfId="69" applyFont="true" applyBorder="true" applyAlignment="true" applyProtection="false">
      <alignment horizontal="center" vertical="bottom" textRotation="0" wrapText="true" indent="0" shrinkToFit="false"/>
      <protection locked="true" hidden="false"/>
    </xf>
    <xf numFmtId="164" fontId="47" fillId="0" borderId="83" xfId="69" applyFont="true" applyBorder="true" applyAlignment="true" applyProtection="false">
      <alignment horizontal="left" vertical="bottom" textRotation="0" wrapText="true" indent="0" shrinkToFit="false"/>
      <protection locked="true" hidden="false"/>
    </xf>
    <xf numFmtId="164" fontId="0" fillId="0" borderId="0" xfId="69" applyFont="true" applyBorder="false" applyAlignment="true" applyProtection="false">
      <alignment horizontal="general" vertical="bottom" textRotation="0" wrapText="false" indent="0" shrinkToFit="false"/>
      <protection locked="true" hidden="false"/>
    </xf>
    <xf numFmtId="164" fontId="0" fillId="0" borderId="64" xfId="69" applyFont="true" applyBorder="true" applyAlignment="true" applyProtection="true">
      <alignment horizontal="general" vertical="center" textRotation="0" wrapText="false" indent="0" shrinkToFit="false"/>
      <protection locked="true" hidden="true"/>
    </xf>
    <xf numFmtId="179" fontId="48" fillId="0" borderId="83" xfId="96" applyFont="true" applyBorder="true" applyAlignment="true" applyProtection="false">
      <alignment horizontal="center" vertical="bottom" textRotation="0" wrapText="true" indent="0" shrinkToFit="false"/>
      <protection locked="true" hidden="false"/>
    </xf>
    <xf numFmtId="164" fontId="41" fillId="0" borderId="81" xfId="96" applyFont="true" applyBorder="true" applyAlignment="true" applyProtection="false">
      <alignment horizontal="center" vertical="bottom" textRotation="0" wrapText="false" indent="0" shrinkToFit="false"/>
      <protection locked="true" hidden="false"/>
    </xf>
    <xf numFmtId="164" fontId="0" fillId="0" borderId="1" xfId="96" applyFont="true" applyBorder="true" applyAlignment="true" applyProtection="false">
      <alignment horizontal="left" vertical="bottom" textRotation="0" wrapText="true" indent="0" shrinkToFit="false"/>
      <protection locked="true" hidden="false"/>
    </xf>
    <xf numFmtId="164" fontId="0" fillId="0" borderId="81" xfId="96" applyFont="true" applyBorder="true" applyAlignment="true" applyProtection="false">
      <alignment horizontal="center" vertical="bottom" textRotation="0" wrapText="false" indent="0" shrinkToFit="false"/>
      <protection locked="true" hidden="false"/>
    </xf>
    <xf numFmtId="164" fontId="8" fillId="0" borderId="0" xfId="69" applyFont="true" applyBorder="false" applyAlignment="true" applyProtection="false">
      <alignment horizontal="general" vertical="center" textRotation="0" wrapText="false" indent="0" shrinkToFit="false"/>
      <protection locked="true" hidden="false"/>
    </xf>
    <xf numFmtId="164" fontId="24" fillId="0" borderId="0" xfId="69" applyFont="true" applyBorder="false" applyAlignment="true" applyProtection="false">
      <alignment horizontal="left" vertical="center" textRotation="0" wrapText="false" indent="0" shrinkToFit="false"/>
      <protection locked="true" hidden="false"/>
    </xf>
    <xf numFmtId="164" fontId="0" fillId="0" borderId="82" xfId="96" applyFont="true" applyBorder="true" applyAlignment="true" applyProtection="false">
      <alignment horizontal="center" vertical="bottom" textRotation="0" wrapText="false" indent="0" shrinkToFit="false"/>
      <protection locked="true" hidden="false"/>
    </xf>
    <xf numFmtId="164" fontId="0" fillId="0" borderId="83" xfId="96" applyFont="true" applyBorder="true" applyAlignment="true" applyProtection="false">
      <alignment horizontal="left" vertical="bottom" textRotation="0" wrapText="true" indent="0" shrinkToFit="false"/>
      <protection locked="true" hidden="false"/>
    </xf>
    <xf numFmtId="164" fontId="41" fillId="0" borderId="79" xfId="96" applyFont="true" applyBorder="true" applyAlignment="true" applyProtection="false">
      <alignment horizontal="center" vertical="bottom" textRotation="0" wrapText="false" indent="0" shrinkToFit="false"/>
      <protection locked="true" hidden="false"/>
    </xf>
    <xf numFmtId="164" fontId="0" fillId="0" borderId="80" xfId="96" applyFont="true" applyBorder="true" applyAlignment="true" applyProtection="false">
      <alignment horizontal="left" vertical="bottom" textRotation="0" wrapText="true" indent="0" shrinkToFit="false"/>
      <protection locked="true" hidden="false"/>
    </xf>
    <xf numFmtId="164" fontId="49" fillId="3" borderId="7" xfId="69" applyFont="true" applyBorder="true" applyAlignment="true" applyProtection="false">
      <alignment horizontal="center" vertical="bottom" textRotation="0" wrapText="true" indent="0" shrinkToFit="false"/>
      <protection locked="true" hidden="false"/>
    </xf>
    <xf numFmtId="164" fontId="49" fillId="3" borderId="8" xfId="69" applyFont="true" applyBorder="true" applyAlignment="true" applyProtection="false">
      <alignment horizontal="center" vertical="bottom" textRotation="0" wrapText="false" indent="0" shrinkToFit="false"/>
      <protection locked="true" hidden="false"/>
    </xf>
    <xf numFmtId="164" fontId="49" fillId="3" borderId="64" xfId="69" applyFont="true" applyBorder="true" applyAlignment="true" applyProtection="false">
      <alignment horizontal="general" vertical="bottom" textRotation="0" wrapText="false" indent="0" shrinkToFit="false"/>
      <protection locked="true" hidden="false"/>
    </xf>
    <xf numFmtId="164" fontId="49" fillId="3" borderId="8" xfId="69" applyFont="true" applyBorder="true" applyAlignment="true" applyProtection="false">
      <alignment horizontal="center" vertical="bottom" textRotation="0" wrapText="true" indent="0" shrinkToFit="false"/>
      <protection locked="true" hidden="false"/>
    </xf>
    <xf numFmtId="164" fontId="49" fillId="3" borderId="9" xfId="69" applyFont="true" applyBorder="true" applyAlignment="true" applyProtection="false">
      <alignment horizontal="center" vertical="bottom" textRotation="0" wrapText="true" indent="0" shrinkToFit="false"/>
      <protection locked="true" hidden="false"/>
    </xf>
    <xf numFmtId="164" fontId="49" fillId="3" borderId="12" xfId="69" applyFont="true" applyBorder="true" applyAlignment="true" applyProtection="false">
      <alignment horizontal="general" vertical="bottom" textRotation="0" wrapText="false" indent="0" shrinkToFit="false"/>
      <protection locked="true" hidden="false"/>
    </xf>
    <xf numFmtId="164" fontId="50" fillId="0" borderId="63" xfId="69" applyFont="true" applyBorder="true" applyAlignment="true" applyProtection="false">
      <alignment horizontal="center" vertical="bottom" textRotation="0" wrapText="false" indent="0" shrinkToFit="false"/>
      <protection locked="true" hidden="false"/>
    </xf>
    <xf numFmtId="164" fontId="50" fillId="0" borderId="64" xfId="69" applyFont="true" applyBorder="true" applyAlignment="true" applyProtection="false">
      <alignment horizontal="left" vertical="bottom" textRotation="0" wrapText="false" indent="0" shrinkToFit="false"/>
      <protection locked="true" hidden="false"/>
    </xf>
    <xf numFmtId="169" fontId="50" fillId="0" borderId="0" xfId="69" applyFont="true" applyBorder="true" applyAlignment="true" applyProtection="false">
      <alignment horizontal="center" vertical="bottom" textRotation="0" wrapText="false" indent="0" shrinkToFit="false"/>
      <protection locked="true" hidden="false"/>
    </xf>
    <xf numFmtId="169" fontId="50" fillId="0" borderId="64" xfId="69" applyFont="true" applyBorder="true" applyAlignment="true" applyProtection="false">
      <alignment horizontal="center" vertical="bottom" textRotation="0" wrapText="false" indent="0" shrinkToFit="false"/>
      <protection locked="true" hidden="false"/>
    </xf>
    <xf numFmtId="164" fontId="50" fillId="0" borderId="64" xfId="69" applyFont="true" applyBorder="true" applyAlignment="true" applyProtection="false">
      <alignment horizontal="center" vertical="bottom" textRotation="0" wrapText="false" indent="0" shrinkToFit="false"/>
      <protection locked="true" hidden="false"/>
    </xf>
    <xf numFmtId="175" fontId="50" fillId="0" borderId="20" xfId="69" applyFont="true" applyBorder="true" applyAlignment="true" applyProtection="false">
      <alignment horizontal="center" vertical="bottom" textRotation="0" wrapText="false" indent="0" shrinkToFit="false"/>
      <protection locked="true" hidden="false"/>
    </xf>
    <xf numFmtId="164" fontId="50" fillId="0" borderId="4" xfId="86" applyFont="true" applyBorder="true" applyAlignment="true" applyProtection="false">
      <alignment horizontal="center" vertical="bottom" textRotation="0" wrapText="false" indent="0" shrinkToFit="false"/>
      <protection locked="true" hidden="false"/>
    </xf>
    <xf numFmtId="164" fontId="50" fillId="0" borderId="0" xfId="86" applyFont="true" applyBorder="true" applyAlignment="true" applyProtection="false">
      <alignment horizontal="left" vertical="bottom" textRotation="0" wrapText="false" indent="0" shrinkToFit="false"/>
      <protection locked="true" hidden="false"/>
    </xf>
    <xf numFmtId="169" fontId="51" fillId="0" borderId="0" xfId="69" applyFont="true" applyBorder="true" applyAlignment="true" applyProtection="false">
      <alignment horizontal="center" vertical="bottom" textRotation="0" wrapText="false" indent="0" shrinkToFit="false"/>
      <protection locked="true" hidden="false"/>
    </xf>
    <xf numFmtId="169" fontId="51" fillId="0" borderId="5" xfId="69" applyFont="true" applyBorder="true" applyAlignment="true" applyProtection="false">
      <alignment horizontal="center" vertical="bottom" textRotation="0" wrapText="false" indent="0" shrinkToFit="false"/>
      <protection locked="true" hidden="false"/>
    </xf>
    <xf numFmtId="164" fontId="50" fillId="0" borderId="4" xfId="69" applyFont="true" applyBorder="true" applyAlignment="true" applyProtection="false">
      <alignment horizontal="center" vertical="bottom" textRotation="0" wrapText="false" indent="0" shrinkToFit="false"/>
      <protection locked="true" hidden="false"/>
    </xf>
    <xf numFmtId="164" fontId="50" fillId="0" borderId="0" xfId="69" applyFont="true" applyBorder="true" applyAlignment="true" applyProtection="false">
      <alignment horizontal="left" vertical="bottom" textRotation="0" wrapText="false" indent="0" shrinkToFit="false"/>
      <protection locked="true" hidden="false"/>
    </xf>
    <xf numFmtId="164" fontId="50" fillId="0" borderId="0" xfId="69" applyFont="true" applyBorder="true" applyAlignment="true" applyProtection="false">
      <alignment horizontal="center" vertical="bottom" textRotation="0" wrapText="false" indent="0" shrinkToFit="false"/>
      <protection locked="true" hidden="false"/>
    </xf>
    <xf numFmtId="175" fontId="50" fillId="0" borderId="5" xfId="69" applyFont="true" applyBorder="true" applyAlignment="true" applyProtection="false">
      <alignment horizontal="center" vertical="bottom" textRotation="0" wrapText="false" indent="0" shrinkToFit="false"/>
      <protection locked="true" hidden="false"/>
    </xf>
    <xf numFmtId="169" fontId="50" fillId="0" borderId="0" xfId="86" applyFont="true" applyBorder="true" applyAlignment="true" applyProtection="false">
      <alignment horizontal="center" vertical="bottom" textRotation="0" wrapText="false" indent="0" shrinkToFit="false"/>
      <protection locked="true" hidden="false"/>
    </xf>
    <xf numFmtId="164" fontId="50" fillId="0" borderId="0" xfId="86" applyFont="true" applyBorder="true" applyAlignment="true" applyProtection="false">
      <alignment horizontal="center" vertical="bottom" textRotation="0" wrapText="false" indent="0" shrinkToFit="false"/>
      <protection locked="true" hidden="false"/>
    </xf>
    <xf numFmtId="175" fontId="50" fillId="0" borderId="5" xfId="86" applyFont="true" applyBorder="true" applyAlignment="true" applyProtection="false">
      <alignment horizontal="center" vertical="bottom" textRotation="0" wrapText="false" indent="0" shrinkToFit="false"/>
      <protection locked="true" hidden="false"/>
    </xf>
    <xf numFmtId="164" fontId="50" fillId="3" borderId="7" xfId="69" applyFont="true" applyBorder="true" applyAlignment="true" applyProtection="false">
      <alignment horizontal="general" vertical="bottom" textRotation="0" wrapText="false" indent="0" shrinkToFit="false"/>
      <protection locked="true" hidden="false"/>
    </xf>
    <xf numFmtId="164" fontId="50" fillId="3" borderId="8" xfId="69" applyFont="true" applyBorder="true" applyAlignment="true" applyProtection="false">
      <alignment horizontal="left" vertical="bottom" textRotation="0" wrapText="false" indent="0" shrinkToFit="false"/>
      <protection locked="true" hidden="false"/>
    </xf>
    <xf numFmtId="164" fontId="50" fillId="3" borderId="8" xfId="69" applyFont="true" applyBorder="true" applyAlignment="true" applyProtection="false">
      <alignment horizontal="general" vertical="bottom" textRotation="0" wrapText="false" indent="0" shrinkToFit="false"/>
      <protection locked="true" hidden="false"/>
    </xf>
    <xf numFmtId="164" fontId="50" fillId="3" borderId="8" xfId="69" applyFont="true" applyBorder="true" applyAlignment="true" applyProtection="false">
      <alignment horizontal="center" vertical="bottom" textRotation="0" wrapText="false" indent="0" shrinkToFit="false"/>
      <protection locked="true" hidden="false"/>
    </xf>
    <xf numFmtId="164" fontId="50" fillId="3" borderId="8" xfId="69" applyFont="true" applyBorder="true" applyAlignment="true" applyProtection="false">
      <alignment horizontal="center" vertical="top" textRotation="0" wrapText="false" indent="0" shrinkToFit="false"/>
      <protection locked="true" hidden="false"/>
    </xf>
    <xf numFmtId="164" fontId="50" fillId="3" borderId="9" xfId="69" applyFont="true" applyBorder="true" applyAlignment="true" applyProtection="false">
      <alignment horizontal="center" vertical="top" textRotation="0" wrapText="false" indent="0" shrinkToFit="false"/>
      <protection locked="true" hidden="false"/>
    </xf>
    <xf numFmtId="164" fontId="52" fillId="0" borderId="4" xfId="69" applyFont="true" applyBorder="true" applyAlignment="true" applyProtection="false">
      <alignment horizontal="center" vertical="bottom" textRotation="0" wrapText="false" indent="0" shrinkToFit="false"/>
      <protection locked="true" hidden="false"/>
    </xf>
    <xf numFmtId="164" fontId="52" fillId="0" borderId="0" xfId="69" applyFont="true" applyBorder="true" applyAlignment="true" applyProtection="false">
      <alignment horizontal="left" vertical="bottom" textRotation="0" wrapText="false" indent="0" shrinkToFit="false"/>
      <protection locked="true" hidden="false"/>
    </xf>
    <xf numFmtId="169" fontId="52" fillId="0" borderId="0" xfId="69" applyFont="true" applyBorder="true" applyAlignment="true" applyProtection="false">
      <alignment horizontal="center" vertical="bottom" textRotation="0" wrapText="false" indent="0" shrinkToFit="false"/>
      <protection locked="true" hidden="false"/>
    </xf>
    <xf numFmtId="169" fontId="52" fillId="0" borderId="84" xfId="69" applyFont="true" applyBorder="true" applyAlignment="true" applyProtection="false">
      <alignment horizontal="center" vertical="bottom" textRotation="0" wrapText="false" indent="0" shrinkToFit="false"/>
      <protection locked="true" hidden="false"/>
    </xf>
    <xf numFmtId="164" fontId="0" fillId="3" borderId="8" xfId="69" applyFont="true" applyBorder="true" applyAlignment="true" applyProtection="false">
      <alignment horizontal="general" vertical="bottom" textRotation="0" wrapText="false" indent="0" shrinkToFit="false"/>
      <protection locked="true" hidden="false"/>
    </xf>
    <xf numFmtId="164" fontId="0" fillId="3" borderId="8" xfId="69" applyFont="true" applyBorder="true" applyAlignment="true" applyProtection="false">
      <alignment horizontal="left" vertical="bottom" textRotation="0" wrapText="false" indent="0" shrinkToFit="false"/>
      <protection locked="true" hidden="false"/>
    </xf>
    <xf numFmtId="164" fontId="0" fillId="3" borderId="8" xfId="69" applyFont="true" applyBorder="true" applyAlignment="true" applyProtection="false">
      <alignment horizontal="center" vertical="bottom" textRotation="0" wrapText="false" indent="0" shrinkToFit="false"/>
      <protection locked="true" hidden="false"/>
    </xf>
    <xf numFmtId="164" fontId="0" fillId="3" borderId="8" xfId="69" applyFont="true" applyBorder="true" applyAlignment="true" applyProtection="false">
      <alignment horizontal="general" vertical="top" textRotation="0" wrapText="false" indent="0" shrinkToFit="false"/>
      <protection locked="true" hidden="false"/>
    </xf>
    <xf numFmtId="164" fontId="0" fillId="3" borderId="9" xfId="69" applyFont="true" applyBorder="true" applyAlignment="true" applyProtection="false">
      <alignment horizontal="left" vertical="center" textRotation="0" wrapText="false" indent="0" shrinkToFit="false"/>
      <protection locked="true" hidden="false"/>
    </xf>
    <xf numFmtId="169" fontId="53" fillId="0" borderId="0" xfId="69" applyFont="true" applyBorder="true" applyAlignment="true" applyProtection="false">
      <alignment horizontal="center" vertical="bottom" textRotation="0" wrapText="false" indent="0" shrinkToFit="false"/>
      <protection locked="true" hidden="false"/>
    </xf>
    <xf numFmtId="164" fontId="50" fillId="0" borderId="11" xfId="69" applyFont="true" applyBorder="true" applyAlignment="true" applyProtection="false">
      <alignment horizontal="center" vertical="bottom" textRotation="0" wrapText="false" indent="0" shrinkToFit="false"/>
      <protection locked="true" hidden="false"/>
    </xf>
    <xf numFmtId="164" fontId="50" fillId="0" borderId="12" xfId="69" applyFont="true" applyBorder="true" applyAlignment="true" applyProtection="false">
      <alignment horizontal="left" vertical="bottom" textRotation="0" wrapText="false" indent="0" shrinkToFit="false"/>
      <protection locked="true" hidden="false"/>
    </xf>
    <xf numFmtId="164" fontId="50" fillId="3" borderId="7" xfId="69" applyFont="true" applyBorder="true" applyAlignment="true" applyProtection="false">
      <alignment horizontal="general" vertical="top" textRotation="0" wrapText="false" indent="0" shrinkToFit="false"/>
      <protection locked="true" hidden="false"/>
    </xf>
    <xf numFmtId="164" fontId="50" fillId="0" borderId="63" xfId="69" applyFont="true" applyBorder="true" applyAlignment="true" applyProtection="false">
      <alignment horizontal="left" vertical="bottom" textRotation="0" wrapText="false" indent="0" shrinkToFit="false"/>
      <protection locked="true" hidden="false"/>
    </xf>
    <xf numFmtId="164" fontId="50" fillId="0" borderId="20" xfId="69" applyFont="true" applyBorder="true" applyAlignment="true" applyProtection="false">
      <alignment horizontal="center" vertical="bottom" textRotation="0" wrapText="false" indent="0" shrinkToFit="false"/>
      <protection locked="true" hidden="false"/>
    </xf>
    <xf numFmtId="164" fontId="50" fillId="0" borderId="4" xfId="69" applyFont="true" applyBorder="true" applyAlignment="true" applyProtection="false">
      <alignment horizontal="left" vertical="bottom" textRotation="0" wrapText="false" indent="0" shrinkToFit="false"/>
      <protection locked="true" hidden="false"/>
    </xf>
    <xf numFmtId="164" fontId="50" fillId="0" borderId="5" xfId="69" applyFont="true" applyBorder="true" applyAlignment="true" applyProtection="false">
      <alignment horizontal="center" vertical="bottom" textRotation="0" wrapText="false" indent="0" shrinkToFit="false"/>
      <protection locked="true" hidden="false"/>
    </xf>
    <xf numFmtId="164" fontId="50" fillId="0" borderId="11" xfId="69" applyFont="true" applyBorder="true" applyAlignment="true" applyProtection="false">
      <alignment horizontal="left" vertical="bottom" textRotation="0" wrapText="false" indent="0" shrinkToFit="false"/>
      <protection locked="true" hidden="false"/>
    </xf>
    <xf numFmtId="169" fontId="50" fillId="5" borderId="12" xfId="69" applyFont="true" applyBorder="true" applyAlignment="true" applyProtection="false">
      <alignment horizontal="center" vertical="bottom" textRotation="0" wrapText="false" indent="0" shrinkToFit="false"/>
      <protection locked="true" hidden="false"/>
    </xf>
    <xf numFmtId="169" fontId="50" fillId="0" borderId="12" xfId="69" applyFont="true" applyBorder="true" applyAlignment="true" applyProtection="false">
      <alignment horizontal="center" vertical="bottom" textRotation="0" wrapText="false" indent="0" shrinkToFit="false"/>
      <protection locked="true" hidden="false"/>
    </xf>
    <xf numFmtId="164" fontId="50" fillId="0" borderId="12" xfId="69" applyFont="true" applyBorder="true" applyAlignment="true" applyProtection="false">
      <alignment horizontal="center" vertical="bottom" textRotation="0" wrapText="false" indent="0" shrinkToFit="false"/>
      <protection locked="true" hidden="false"/>
    </xf>
    <xf numFmtId="175" fontId="50" fillId="0" borderId="84" xfId="69" applyFont="true" applyBorder="true" applyAlignment="true" applyProtection="false">
      <alignment horizontal="center" vertical="bottom" textRotation="0" wrapText="false" indent="0" shrinkToFit="false"/>
      <protection locked="true" hidden="false"/>
    </xf>
    <xf numFmtId="164" fontId="24" fillId="0" borderId="0" xfId="69" applyFont="true" applyBorder="false" applyAlignment="true" applyProtection="false">
      <alignment horizontal="general" vertical="top" textRotation="0" wrapText="false" indent="0" shrinkToFit="false"/>
      <protection locked="true" hidden="false"/>
    </xf>
    <xf numFmtId="164" fontId="50" fillId="0" borderId="0" xfId="69" applyFont="true" applyBorder="false" applyAlignment="true" applyProtection="false">
      <alignment horizontal="general" vertical="bottom" textRotation="0" wrapText="false" indent="0" shrinkToFit="false"/>
      <protection locked="true" hidden="false"/>
    </xf>
    <xf numFmtId="164" fontId="50" fillId="0" borderId="0" xfId="69" applyFont="true" applyBorder="false" applyAlignment="true" applyProtection="false">
      <alignment horizontal="right" vertical="bottom" textRotation="0" wrapText="false" indent="0" shrinkToFit="false"/>
      <protection locked="true" hidden="false"/>
    </xf>
    <xf numFmtId="171" fontId="50" fillId="0" borderId="0" xfId="69" applyFont="true" applyBorder="true" applyAlignment="true" applyProtection="false">
      <alignment horizontal="center" vertical="bottom" textRotation="0" wrapText="false" indent="0" shrinkToFit="false"/>
      <protection locked="true" hidden="false"/>
    </xf>
    <xf numFmtId="164" fontId="54" fillId="0" borderId="12" xfId="69" applyFont="true" applyBorder="true" applyAlignment="true" applyProtection="false">
      <alignment horizontal="left" vertical="center" textRotation="0" wrapText="true" indent="0" shrinkToFit="false"/>
      <protection locked="true" hidden="false"/>
    </xf>
    <xf numFmtId="164" fontId="0" fillId="3" borderId="72" xfId="69" applyFont="true" applyBorder="true" applyAlignment="true" applyProtection="false">
      <alignment horizontal="center" vertical="bottom" textRotation="0" wrapText="false" indent="0" shrinkToFit="false"/>
      <protection locked="true" hidden="false"/>
    </xf>
    <xf numFmtId="164" fontId="0" fillId="3" borderId="85" xfId="69" applyFont="true" applyBorder="true" applyAlignment="true" applyProtection="false">
      <alignment horizontal="center" vertical="bottom" textRotation="0" wrapText="false" indent="0" shrinkToFit="false"/>
      <protection locked="true" hidden="false"/>
    </xf>
    <xf numFmtId="164" fontId="0" fillId="3" borderId="86" xfId="69" applyFont="true" applyBorder="true" applyAlignment="true" applyProtection="false">
      <alignment horizontal="center" vertical="bottom" textRotation="0" wrapText="true" indent="0" shrinkToFit="false"/>
      <protection locked="true" hidden="false"/>
    </xf>
    <xf numFmtId="179" fontId="0" fillId="3" borderId="86" xfId="69" applyFont="true" applyBorder="true" applyAlignment="true" applyProtection="false">
      <alignment horizontal="center" vertical="bottom" textRotation="0" wrapText="true" indent="0" shrinkToFit="false"/>
      <protection locked="true" hidden="false"/>
    </xf>
    <xf numFmtId="186" fontId="0" fillId="3" borderId="86" xfId="69" applyFont="true" applyBorder="true" applyAlignment="true" applyProtection="false">
      <alignment horizontal="center" vertical="bottom" textRotation="0" wrapText="true" indent="0" shrinkToFit="false"/>
      <protection locked="true" hidden="false"/>
    </xf>
    <xf numFmtId="164" fontId="0" fillId="3" borderId="65" xfId="69" applyFont="true" applyBorder="true" applyAlignment="true" applyProtection="false">
      <alignment horizontal="center" vertical="bottom" textRotation="0" wrapText="true" indent="0" shrinkToFit="false"/>
      <protection locked="true" hidden="false"/>
    </xf>
    <xf numFmtId="164" fontId="0" fillId="0" borderId="87" xfId="69" applyFont="true" applyBorder="true" applyAlignment="true" applyProtection="false">
      <alignment horizontal="center" vertical="bottom" textRotation="0" wrapText="false" indent="0" shrinkToFit="false"/>
      <protection locked="true" hidden="false"/>
    </xf>
    <xf numFmtId="164" fontId="0" fillId="0" borderId="88" xfId="69" applyFont="true" applyBorder="true" applyAlignment="true" applyProtection="false">
      <alignment horizontal="left" vertical="bottom" textRotation="0" wrapText="true" indent="0" shrinkToFit="false"/>
      <protection locked="true" hidden="false"/>
    </xf>
    <xf numFmtId="175" fontId="0" fillId="0" borderId="88" xfId="71" applyFont="true" applyBorder="true" applyAlignment="true" applyProtection="false">
      <alignment horizontal="center" vertical="bottom" textRotation="0" wrapText="true" indent="0" shrinkToFit="false"/>
      <protection locked="true" hidden="false"/>
    </xf>
    <xf numFmtId="169" fontId="0" fillId="0" borderId="88" xfId="69" applyFont="true" applyBorder="true" applyAlignment="true" applyProtection="false">
      <alignment horizontal="center" vertical="bottom" textRotation="0" wrapText="true" indent="0" shrinkToFit="false"/>
      <protection locked="true" hidden="false"/>
    </xf>
    <xf numFmtId="179" fontId="0" fillId="0" borderId="88" xfId="69" applyFont="true" applyBorder="true" applyAlignment="true" applyProtection="false">
      <alignment horizontal="center" vertical="bottom" textRotation="0" wrapText="false" indent="0" shrinkToFit="false"/>
      <protection locked="true" hidden="false"/>
    </xf>
    <xf numFmtId="186" fontId="0" fillId="0" borderId="88" xfId="69" applyFont="true" applyBorder="true" applyAlignment="true" applyProtection="false">
      <alignment horizontal="center" vertical="bottom" textRotation="0" wrapText="false" indent="0" shrinkToFit="false"/>
      <protection locked="true" hidden="false"/>
    </xf>
    <xf numFmtId="164" fontId="0" fillId="0" borderId="88" xfId="69" applyFont="true" applyBorder="true" applyAlignment="true" applyProtection="false">
      <alignment horizontal="center" vertical="bottom" textRotation="0" wrapText="true" indent="0" shrinkToFit="false"/>
      <protection locked="true" hidden="false"/>
    </xf>
    <xf numFmtId="164" fontId="47" fillId="0" borderId="88" xfId="69" applyFont="true" applyBorder="true" applyAlignment="true" applyProtection="false">
      <alignment horizontal="left" vertical="bottom" textRotation="0" wrapText="true" indent="0" shrinkToFit="false"/>
      <protection locked="true" hidden="false"/>
    </xf>
    <xf numFmtId="169" fontId="52" fillId="5" borderId="12" xfId="69" applyFont="true" applyBorder="true" applyAlignment="true" applyProtection="false">
      <alignment horizontal="center" vertical="bottom" textRotation="0" wrapText="false" indent="0" shrinkToFit="false"/>
      <protection locked="true" hidden="false"/>
    </xf>
    <xf numFmtId="164" fontId="20" fillId="0" borderId="0" xfId="69" applyFont="true" applyBorder="true" applyAlignment="true" applyProtection="false">
      <alignment horizontal="left" vertical="center" textRotation="0" wrapText="false" indent="0" shrinkToFit="false"/>
      <protection locked="true" hidden="false"/>
    </xf>
    <xf numFmtId="164" fontId="42" fillId="0" borderId="0" xfId="69" applyFont="true" applyBorder="true" applyAlignment="true" applyProtection="false">
      <alignment horizontal="left" vertical="center" textRotation="0" wrapText="false" indent="0" shrinkToFit="false"/>
      <protection locked="true" hidden="false"/>
    </xf>
    <xf numFmtId="164" fontId="0" fillId="0" borderId="0" xfId="69" applyFont="true" applyBorder="true" applyAlignment="true" applyProtection="true">
      <alignment horizontal="center" vertical="bottom" textRotation="0" wrapText="false" indent="0" shrinkToFit="false"/>
      <protection locked="true" hidden="true"/>
    </xf>
    <xf numFmtId="164" fontId="41" fillId="0" borderId="0" xfId="69" applyFont="true" applyBorder="true" applyAlignment="true" applyProtection="false">
      <alignment horizontal="left" vertical="bottom" textRotation="0" wrapText="false" indent="0" shrinkToFit="false"/>
      <protection locked="true" hidden="false"/>
    </xf>
    <xf numFmtId="164" fontId="0" fillId="0" borderId="0" xfId="69" applyFont="true" applyBorder="true" applyAlignment="true" applyProtection="false">
      <alignment horizontal="center" vertical="bottom" textRotation="0" wrapText="false" indent="0" shrinkToFit="false"/>
      <protection locked="true" hidden="false"/>
    </xf>
    <xf numFmtId="164" fontId="0" fillId="0" borderId="0" xfId="69" applyFont="true" applyBorder="true" applyAlignment="true" applyProtection="false">
      <alignment horizontal="center" vertical="bottom" textRotation="0" wrapText="true" indent="0" shrinkToFit="false"/>
      <protection locked="true" hidden="false"/>
    </xf>
    <xf numFmtId="179" fontId="0" fillId="0" borderId="0" xfId="69" applyFont="true" applyBorder="true" applyAlignment="true" applyProtection="false">
      <alignment horizontal="center" vertical="bottom" textRotation="0" wrapText="true" indent="0" shrinkToFit="false"/>
      <protection locked="true" hidden="false"/>
    </xf>
    <xf numFmtId="186" fontId="0" fillId="0" borderId="0" xfId="69" applyFont="true" applyBorder="true" applyAlignment="true" applyProtection="false">
      <alignment horizontal="center" vertical="bottom" textRotation="0" wrapText="true" indent="0" shrinkToFit="false"/>
      <protection locked="true" hidden="false"/>
    </xf>
    <xf numFmtId="164" fontId="0" fillId="0" borderId="0" xfId="69" applyFont="true" applyBorder="true" applyAlignment="true" applyProtection="false">
      <alignment horizontal="left" vertical="bottom" textRotation="0" wrapText="true" indent="0" shrinkToFit="false"/>
      <protection locked="true" hidden="false"/>
    </xf>
    <xf numFmtId="169" fontId="0" fillId="0" borderId="0" xfId="69" applyFont="true" applyBorder="true" applyAlignment="true" applyProtection="false">
      <alignment horizontal="center" vertical="bottom" textRotation="0" wrapText="true" indent="0" shrinkToFit="false"/>
      <protection locked="true" hidden="false"/>
    </xf>
    <xf numFmtId="179" fontId="0" fillId="0" borderId="0" xfId="69" applyFont="true" applyBorder="true" applyAlignment="true" applyProtection="false">
      <alignment horizontal="center" vertical="bottom" textRotation="0" wrapText="false" indent="0" shrinkToFit="false"/>
      <protection locked="true" hidden="false"/>
    </xf>
    <xf numFmtId="186" fontId="0" fillId="0" borderId="0" xfId="69" applyFont="true" applyBorder="true" applyAlignment="true" applyProtection="false">
      <alignment horizontal="center" vertical="bottom" textRotation="0" wrapText="false" indent="0" shrinkToFit="false"/>
      <protection locked="true" hidden="false"/>
    </xf>
    <xf numFmtId="164" fontId="47" fillId="0" borderId="0" xfId="69" applyFont="true" applyBorder="true" applyAlignment="true" applyProtection="false">
      <alignment horizontal="left" vertical="bottom" textRotation="0" wrapText="true" indent="0" shrinkToFit="false"/>
      <protection locked="true" hidden="false"/>
    </xf>
    <xf numFmtId="179" fontId="48" fillId="0" borderId="0" xfId="96" applyFont="true" applyBorder="true" applyAlignment="true" applyProtection="false">
      <alignment horizontal="center" vertical="bottom" textRotation="0" wrapText="true" indent="0" shrinkToFit="false"/>
      <protection locked="true" hidden="false"/>
    </xf>
    <xf numFmtId="164" fontId="19" fillId="0" borderId="0" xfId="69" applyFont="true" applyBorder="false" applyAlignment="true" applyProtection="false">
      <alignment horizontal="general" vertical="center" textRotation="0" wrapText="false" indent="0" shrinkToFit="false"/>
      <protection locked="true" hidden="false"/>
    </xf>
    <xf numFmtId="164" fontId="19" fillId="0" borderId="0" xfId="69" applyFont="true" applyBorder="false" applyAlignment="true" applyProtection="false">
      <alignment horizontal="right" vertical="center" textRotation="0" wrapText="false" indent="0" shrinkToFit="false"/>
      <protection locked="true" hidden="false"/>
    </xf>
    <xf numFmtId="164" fontId="19" fillId="0" borderId="0" xfId="69" applyFont="true" applyBorder="false" applyAlignment="true" applyProtection="false">
      <alignment horizontal="center" vertical="center" textRotation="0" wrapText="false" indent="0" shrinkToFit="false"/>
      <protection locked="true" hidden="false"/>
    </xf>
    <xf numFmtId="164" fontId="41" fillId="0" borderId="0" xfId="96" applyFont="true" applyBorder="true" applyAlignment="true" applyProtection="false">
      <alignment horizontal="center" vertical="bottom" textRotation="0" wrapText="false" indent="0" shrinkToFit="false"/>
      <protection locked="true" hidden="false"/>
    </xf>
    <xf numFmtId="164" fontId="0" fillId="0" borderId="0" xfId="96" applyFont="true" applyBorder="true" applyAlignment="true" applyProtection="false">
      <alignment horizontal="left" vertical="bottom" textRotation="0" wrapText="true" indent="0" shrinkToFit="false"/>
      <protection locked="true" hidden="false"/>
    </xf>
    <xf numFmtId="164" fontId="0" fillId="0" borderId="0" xfId="96" applyFont="true" applyBorder="true" applyAlignment="true" applyProtection="false">
      <alignment horizontal="center" vertical="bottom" textRotation="0" wrapText="false" indent="0" shrinkToFit="false"/>
      <protection locked="true" hidden="false"/>
    </xf>
    <xf numFmtId="164" fontId="49" fillId="0" borderId="0" xfId="69" applyFont="true" applyBorder="true" applyAlignment="true" applyProtection="false">
      <alignment horizontal="center" vertical="bottom" textRotation="0" wrapText="true" indent="0" shrinkToFit="false"/>
      <protection locked="true" hidden="false"/>
    </xf>
    <xf numFmtId="164" fontId="49" fillId="0" borderId="0" xfId="69" applyFont="true" applyBorder="true" applyAlignment="true" applyProtection="false">
      <alignment horizontal="center" vertical="bottom" textRotation="0" wrapText="false" indent="0" shrinkToFit="false"/>
      <protection locked="true" hidden="false"/>
    </xf>
    <xf numFmtId="164" fontId="49" fillId="0" borderId="0" xfId="69" applyFont="true" applyBorder="false" applyAlignment="true" applyProtection="false">
      <alignment horizontal="general" vertical="bottom" textRotation="0" wrapText="false" indent="0" shrinkToFit="false"/>
      <protection locked="true" hidden="false"/>
    </xf>
    <xf numFmtId="164" fontId="50" fillId="0" borderId="0" xfId="69" applyFont="true" applyBorder="false" applyAlignment="true" applyProtection="false">
      <alignment horizontal="left" vertical="bottom" textRotation="0" wrapText="false" indent="0" shrinkToFit="false"/>
      <protection locked="true" hidden="false"/>
    </xf>
    <xf numFmtId="164" fontId="50" fillId="0" borderId="0" xfId="69" applyFont="true" applyBorder="true" applyAlignment="true" applyProtection="false">
      <alignment horizontal="center" vertical="top" textRotation="0" wrapText="false" indent="0" shrinkToFit="false"/>
      <protection locked="true" hidden="false"/>
    </xf>
    <xf numFmtId="164" fontId="0" fillId="0" borderId="0" xfId="69" applyFont="true" applyBorder="false" applyAlignment="true" applyProtection="false">
      <alignment horizontal="left" vertical="bottom" textRotation="0" wrapText="false" indent="0" shrinkToFit="false"/>
      <protection locked="true" hidden="false"/>
    </xf>
    <xf numFmtId="164" fontId="0" fillId="0" borderId="0" xfId="69" applyFont="true" applyBorder="false" applyAlignment="true" applyProtection="false">
      <alignment horizontal="center" vertical="bottom" textRotation="0" wrapText="false" indent="0" shrinkToFit="false"/>
      <protection locked="true" hidden="false"/>
    </xf>
    <xf numFmtId="164" fontId="0" fillId="0" borderId="0" xfId="69" applyFont="true" applyBorder="false" applyAlignment="true" applyProtection="false">
      <alignment horizontal="general" vertical="top" textRotation="0" wrapText="false" indent="0" shrinkToFit="false"/>
      <protection locked="true" hidden="false"/>
    </xf>
    <xf numFmtId="164" fontId="50" fillId="0" borderId="0" xfId="69" applyFont="true" applyBorder="false" applyAlignment="true" applyProtection="false">
      <alignment horizontal="general" vertical="top" textRotation="0" wrapText="false" indent="0" shrinkToFit="false"/>
      <protection locked="true" hidden="false"/>
    </xf>
    <xf numFmtId="169" fontId="50" fillId="0" borderId="0" xfId="69" applyFont="true" applyBorder="false" applyAlignment="true" applyProtection="false">
      <alignment horizontal="center" vertical="bottom" textRotation="0" wrapText="false" indent="0" shrinkToFit="false"/>
      <protection locked="true" hidden="false"/>
    </xf>
    <xf numFmtId="164" fontId="55" fillId="0" borderId="0" xfId="69" applyFont="true" applyBorder="true" applyAlignment="true" applyProtection="false">
      <alignment horizontal="left" vertical="center" textRotation="0" wrapText="true" indent="0" shrinkToFit="false"/>
      <protection locked="true" hidden="false"/>
    </xf>
    <xf numFmtId="164" fontId="0" fillId="0" borderId="0" xfId="97" applyFont="true" applyBorder="false" applyAlignment="true" applyProtection="true">
      <alignment horizontal="general" vertical="center" textRotation="0" wrapText="false" indent="0" shrinkToFit="false"/>
      <protection locked="false" hidden="false"/>
    </xf>
    <xf numFmtId="164" fontId="19" fillId="0" borderId="0" xfId="73" applyFont="true" applyBorder="false" applyAlignment="true" applyProtection="true">
      <alignment horizontal="general" vertical="center" textRotation="0" wrapText="false" indent="0" shrinkToFit="false"/>
      <protection locked="true" hidden="true"/>
    </xf>
    <xf numFmtId="164" fontId="12" fillId="0" borderId="0" xfId="97" applyFont="true" applyBorder="true" applyAlignment="true" applyProtection="true">
      <alignment horizontal="left" vertical="center" textRotation="0" wrapText="false" indent="0" shrinkToFit="false"/>
      <protection locked="false" hidden="false"/>
    </xf>
    <xf numFmtId="164" fontId="0" fillId="0" borderId="0" xfId="97" applyFont="true" applyBorder="false" applyAlignment="true" applyProtection="false">
      <alignment horizontal="left" vertical="center" textRotation="0" wrapText="true" indent="0" shrinkToFit="false"/>
      <protection locked="true" hidden="false"/>
    </xf>
    <xf numFmtId="164" fontId="56" fillId="0" borderId="0" xfId="69" applyFont="true" applyBorder="true" applyAlignment="true" applyProtection="true">
      <alignment horizontal="center" vertical="center" textRotation="0" wrapText="true" indent="0" shrinkToFit="false"/>
      <protection locked="true" hidden="true"/>
    </xf>
    <xf numFmtId="164" fontId="13" fillId="0" borderId="0" xfId="76" applyFont="true" applyBorder="false" applyAlignment="true" applyProtection="false">
      <alignment horizontal="general" vertical="top" textRotation="0" wrapText="false" indent="0" shrinkToFit="false"/>
      <protection locked="true" hidden="false"/>
    </xf>
    <xf numFmtId="164" fontId="6" fillId="0" borderId="0" xfId="23" applyFont="true" applyBorder="true" applyAlignment="true" applyProtection="false">
      <alignment horizontal="general" vertical="center" textRotation="0" wrapText="false" indent="0" shrinkToFit="false"/>
      <protection locked="true" hidden="false"/>
    </xf>
    <xf numFmtId="164" fontId="0" fillId="0" borderId="0" xfId="20" applyFont="true" applyBorder="false" applyAlignment="true" applyProtection="false">
      <alignment horizontal="general" vertical="top" textRotation="0" wrapText="true" indent="0" shrinkToFit="false"/>
      <protection locked="true" hidden="false"/>
    </xf>
    <xf numFmtId="164" fontId="0" fillId="0" borderId="0" xfId="20" applyFont="true" applyBorder="false" applyAlignment="true" applyProtection="false">
      <alignment horizontal="left" vertical="top" textRotation="0" wrapText="true" indent="0" shrinkToFit="false"/>
      <protection locked="true" hidden="false"/>
    </xf>
    <xf numFmtId="164" fontId="19" fillId="0" borderId="0" xfId="0" applyFont="true" applyBorder="true" applyAlignment="true" applyProtection="true">
      <alignment horizontal="left" vertical="center" textRotation="0" wrapText="fals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true" hidden="true"/>
    </xf>
    <xf numFmtId="164" fontId="6" fillId="0" borderId="0" xfId="23" applyFont="true" applyBorder="false" applyAlignment="true" applyProtection="false">
      <alignment horizontal="general" vertical="center" textRotation="0" wrapText="false" indent="0" shrinkToFit="false"/>
      <protection locked="true" hidden="false"/>
    </xf>
    <xf numFmtId="164" fontId="41" fillId="0" borderId="0" xfId="97" applyFont="true" applyBorder="false" applyAlignment="true" applyProtection="true">
      <alignment horizontal="left" vertical="top" textRotation="0" wrapText="true" indent="0" shrinkToFit="false"/>
      <protection locked="false" hidden="false"/>
    </xf>
    <xf numFmtId="164" fontId="0" fillId="3" borderId="72" xfId="47" applyFont="true" applyBorder="true" applyAlignment="true" applyProtection="false">
      <alignment horizontal="left" vertical="bottom" textRotation="0" wrapText="false" indent="0" shrinkToFit="false"/>
      <protection locked="true" hidden="false"/>
    </xf>
    <xf numFmtId="164" fontId="0" fillId="3" borderId="8" xfId="97" applyFont="true" applyBorder="true" applyAlignment="true" applyProtection="false">
      <alignment horizontal="center" vertical="bottom" textRotation="0" wrapText="true" indent="0" shrinkToFit="false"/>
      <protection locked="true" hidden="false"/>
    </xf>
    <xf numFmtId="164" fontId="0" fillId="3" borderId="65" xfId="97" applyFont="true" applyBorder="true" applyAlignment="true" applyProtection="false">
      <alignment horizontal="center" vertical="bottom" textRotation="0" wrapText="true" indent="0" shrinkToFit="false"/>
      <protection locked="true" hidden="false"/>
    </xf>
    <xf numFmtId="164" fontId="57" fillId="0" borderId="0" xfId="47" applyFont="true" applyBorder="false" applyAlignment="true" applyProtection="false">
      <alignment horizontal="general" vertical="bottom" textRotation="0" wrapText="true" indent="0" shrinkToFit="false"/>
      <protection locked="true" hidden="false"/>
    </xf>
    <xf numFmtId="164" fontId="0" fillId="0" borderId="63" xfId="47" applyFont="true" applyBorder="true" applyAlignment="true" applyProtection="false">
      <alignment horizontal="center" vertical="bottom" textRotation="0" wrapText="false" indent="0" shrinkToFit="false"/>
      <protection locked="true" hidden="false"/>
    </xf>
    <xf numFmtId="164" fontId="0" fillId="0" borderId="66" xfId="47" applyFont="true" applyBorder="true" applyAlignment="true" applyProtection="false">
      <alignment horizontal="left" vertical="bottom" textRotation="0" wrapText="false" indent="0" shrinkToFit="false"/>
      <protection locked="true" hidden="false"/>
    </xf>
    <xf numFmtId="171" fontId="0" fillId="0" borderId="0" xfId="97" applyFont="true" applyBorder="true" applyAlignment="true" applyProtection="false">
      <alignment horizontal="center" vertical="center" textRotation="0" wrapText="true" indent="0" shrinkToFit="false"/>
      <protection locked="true" hidden="false"/>
    </xf>
    <xf numFmtId="184" fontId="0" fillId="0" borderId="67" xfId="47" applyFont="true" applyBorder="true" applyAlignment="true" applyProtection="false">
      <alignment horizontal="center" vertical="bottom" textRotation="0" wrapText="false" indent="0" shrinkToFit="false"/>
      <protection locked="true" hidden="false"/>
    </xf>
    <xf numFmtId="164" fontId="0" fillId="0" borderId="11" xfId="47" applyFont="true" applyBorder="true" applyAlignment="true" applyProtection="false">
      <alignment horizontal="center" vertical="bottom" textRotation="0" wrapText="false" indent="0" shrinkToFit="false"/>
      <protection locked="true" hidden="false"/>
    </xf>
    <xf numFmtId="164" fontId="0" fillId="0" borderId="12" xfId="47" applyFont="true" applyBorder="true" applyAlignment="true" applyProtection="false">
      <alignment horizontal="left" vertical="bottom" textRotation="0" wrapText="false" indent="0" shrinkToFit="false"/>
      <protection locked="true" hidden="false"/>
    </xf>
    <xf numFmtId="171" fontId="0" fillId="0" borderId="71" xfId="97" applyFont="true" applyBorder="true" applyAlignment="true" applyProtection="false">
      <alignment horizontal="center" vertical="center" textRotation="0" wrapText="true" indent="0" shrinkToFit="false"/>
      <protection locked="true" hidden="false"/>
    </xf>
    <xf numFmtId="171" fontId="0" fillId="0" borderId="12" xfId="97" applyFont="true" applyBorder="true" applyAlignment="true" applyProtection="false">
      <alignment horizontal="center" vertical="center" textRotation="0" wrapText="true" indent="0" shrinkToFit="false"/>
      <protection locked="true" hidden="false"/>
    </xf>
    <xf numFmtId="184" fontId="0" fillId="0" borderId="70" xfId="47" applyFont="true" applyBorder="true" applyAlignment="true" applyProtection="false">
      <alignment horizontal="center" vertical="bottom" textRotation="0" wrapText="false" indent="0" shrinkToFit="false"/>
      <protection locked="true" hidden="false"/>
    </xf>
    <xf numFmtId="164" fontId="0" fillId="0" borderId="0" xfId="47" applyFont="true" applyBorder="false" applyAlignment="true" applyProtection="false">
      <alignment horizontal="center" vertical="bottom" textRotation="0" wrapText="false" indent="0" shrinkToFit="false"/>
      <protection locked="true" hidden="false"/>
    </xf>
    <xf numFmtId="164" fontId="0" fillId="0" borderId="0" xfId="47" applyFont="true" applyBorder="false" applyAlignment="true" applyProtection="false">
      <alignment horizontal="left" vertical="bottom" textRotation="0" wrapText="false" indent="0" shrinkToFit="false"/>
      <protection locked="true" hidden="false"/>
    </xf>
    <xf numFmtId="171" fontId="0" fillId="0" borderId="0" xfId="97" applyFont="true" applyBorder="false" applyAlignment="true" applyProtection="false">
      <alignment horizontal="center" vertical="center" textRotation="0" wrapText="true" indent="0" shrinkToFit="false"/>
      <protection locked="true" hidden="false"/>
    </xf>
    <xf numFmtId="171" fontId="0" fillId="0" borderId="64" xfId="97" applyFont="true" applyBorder="true" applyAlignment="true" applyProtection="false">
      <alignment horizontal="center" vertical="center" textRotation="0" wrapText="true" indent="0" shrinkToFit="false"/>
      <protection locked="true" hidden="false"/>
    </xf>
    <xf numFmtId="184" fontId="0" fillId="0" borderId="64" xfId="47" applyFont="true" applyBorder="true" applyAlignment="true" applyProtection="false">
      <alignment horizontal="center" vertical="bottom" textRotation="0" wrapText="false" indent="0" shrinkToFit="false"/>
      <protection locked="true" hidden="false"/>
    </xf>
    <xf numFmtId="184" fontId="0" fillId="0" borderId="0" xfId="47" applyFont="true" applyBorder="false" applyAlignment="true" applyProtection="false">
      <alignment horizontal="center" vertical="bottom" textRotation="0" wrapText="false" indent="0" shrinkToFit="false"/>
      <protection locked="true" hidden="false"/>
    </xf>
    <xf numFmtId="164" fontId="0" fillId="0" borderId="0" xfId="47" applyFont="true" applyBorder="false" applyAlignment="true" applyProtection="true">
      <alignment horizontal="general" vertical="top" textRotation="0" wrapText="true" indent="0" shrinkToFit="false"/>
      <protection locked="false" hidden="false"/>
    </xf>
    <xf numFmtId="184" fontId="0" fillId="0" borderId="0" xfId="47" applyFont="true" applyBorder="true" applyAlignment="true" applyProtection="false">
      <alignment horizontal="center" vertical="center" textRotation="0" wrapText="false" indent="0" shrinkToFit="false"/>
      <protection locked="true" hidden="false"/>
    </xf>
    <xf numFmtId="164" fontId="19" fillId="0" borderId="0" xfId="97" applyFont="true" applyBorder="false" applyAlignment="true" applyProtection="false">
      <alignment horizontal="center" vertical="center" textRotation="0" wrapText="false" indent="0" shrinkToFit="false"/>
      <protection locked="true" hidden="false"/>
    </xf>
    <xf numFmtId="164" fontId="12" fillId="0" borderId="0" xfId="47" applyFont="true" applyBorder="false" applyAlignment="false" applyProtection="false">
      <alignment horizontal="general" vertical="bottom" textRotation="0" wrapText="false" indent="0" shrinkToFit="false"/>
      <protection locked="true" hidden="false"/>
    </xf>
    <xf numFmtId="164" fontId="42" fillId="4" borderId="0" xfId="97" applyFont="true" applyBorder="false" applyAlignment="true" applyProtection="false">
      <alignment horizontal="left" vertical="center" textRotation="0" wrapText="false" indent="0" shrinkToFit="false"/>
      <protection locked="true" hidden="false"/>
    </xf>
    <xf numFmtId="164" fontId="42" fillId="4" borderId="0" xfId="97" applyFont="true" applyBorder="false" applyAlignment="true" applyProtection="true">
      <alignment horizontal="left" vertical="center" textRotation="0" wrapText="false" indent="0" shrinkToFit="false"/>
      <protection locked="false" hidden="false"/>
    </xf>
    <xf numFmtId="183" fontId="0" fillId="4" borderId="0" xfId="97" applyFont="true" applyBorder="false" applyAlignment="true" applyProtection="false">
      <alignment horizontal="center" vertical="bottom" textRotation="0" wrapText="false" indent="0" shrinkToFit="false"/>
      <protection locked="true" hidden="false"/>
    </xf>
    <xf numFmtId="164" fontId="12" fillId="4" borderId="0" xfId="47" applyFont="true" applyBorder="false" applyAlignment="false" applyProtection="false">
      <alignment horizontal="general" vertical="bottom" textRotation="0" wrapText="false" indent="0" shrinkToFit="false"/>
      <protection locked="true" hidden="false"/>
    </xf>
    <xf numFmtId="164" fontId="20" fillId="0" borderId="0" xfId="97" applyFont="true" applyBorder="false" applyAlignment="true" applyProtection="false">
      <alignment horizontal="left" vertical="center" textRotation="0" wrapText="false" indent="0" shrinkToFit="false"/>
      <protection locked="true" hidden="false"/>
    </xf>
    <xf numFmtId="164" fontId="42" fillId="0" borderId="0" xfId="97" applyFont="true" applyBorder="false" applyAlignment="true" applyProtection="false">
      <alignment horizontal="left" vertical="center" textRotation="0" wrapText="false" indent="0" shrinkToFit="false"/>
      <protection locked="true" hidden="false"/>
    </xf>
    <xf numFmtId="164" fontId="42" fillId="0" borderId="0" xfId="97" applyFont="true" applyBorder="false" applyAlignment="true" applyProtection="true">
      <alignment horizontal="left" vertical="center" textRotation="0" wrapText="false" indent="0" shrinkToFit="false"/>
      <protection locked="false" hidden="false"/>
    </xf>
    <xf numFmtId="183" fontId="0" fillId="0" borderId="0" xfId="97" applyFont="true" applyBorder="false" applyAlignment="true" applyProtection="false">
      <alignment horizontal="center" vertical="bottom" textRotation="0" wrapText="false" indent="0" shrinkToFit="false"/>
      <protection locked="true" hidden="false"/>
    </xf>
    <xf numFmtId="164" fontId="4" fillId="0" borderId="0" xfId="73" applyFont="true" applyBorder="false" applyAlignment="true" applyProtection="true">
      <alignment horizontal="left" vertical="top" textRotation="0" wrapText="true" indent="0" shrinkToFit="false"/>
      <protection locked="true" hidden="true"/>
    </xf>
    <xf numFmtId="164" fontId="58" fillId="0" borderId="0" xfId="47" applyFont="true" applyBorder="false" applyAlignment="false" applyProtection="false">
      <alignment horizontal="general" vertical="bottom" textRotation="0" wrapText="false" indent="0" shrinkToFit="false"/>
      <protection locked="true" hidden="false"/>
    </xf>
    <xf numFmtId="164" fontId="0" fillId="0" borderId="0" xfId="47" applyFont="true" applyBorder="false" applyAlignment="false" applyProtection="false">
      <alignment horizontal="general" vertical="bottom" textRotation="0" wrapText="false" indent="0" shrinkToFit="false"/>
      <protection locked="true" hidden="false"/>
    </xf>
    <xf numFmtId="164" fontId="49" fillId="0" borderId="2" xfId="73" applyFont="true" applyBorder="true" applyAlignment="true" applyProtection="true">
      <alignment horizontal="center" vertical="center" textRotation="0" wrapText="true" indent="0" shrinkToFit="false"/>
      <protection locked="true" hidden="true"/>
    </xf>
    <xf numFmtId="164" fontId="49" fillId="0" borderId="2" xfId="73" applyFont="true" applyBorder="true" applyAlignment="true" applyProtection="true">
      <alignment horizontal="center" vertical="center" textRotation="0" wrapText="false" indent="0" shrinkToFit="false"/>
      <protection locked="true" hidden="true"/>
    </xf>
    <xf numFmtId="164" fontId="50" fillId="0" borderId="2" xfId="73" applyFont="true" applyBorder="true" applyAlignment="true" applyProtection="true">
      <alignment horizontal="center" vertical="center" textRotation="0" wrapText="true" indent="0" shrinkToFit="false"/>
      <protection locked="true" hidden="true"/>
    </xf>
    <xf numFmtId="164" fontId="50" fillId="0" borderId="2" xfId="73" applyFont="true" applyBorder="true" applyAlignment="true" applyProtection="true">
      <alignment horizontal="center" vertical="center" textRotation="0" wrapText="false" indent="0" shrinkToFit="false"/>
      <protection locked="true" hidden="true"/>
    </xf>
    <xf numFmtId="187" fontId="50" fillId="0" borderId="2" xfId="73" applyFont="true" applyBorder="true" applyAlignment="true" applyProtection="true">
      <alignment horizontal="center" vertical="center" textRotation="0" wrapText="true" indent="0" shrinkToFit="false"/>
      <protection locked="true" hidden="true"/>
    </xf>
    <xf numFmtId="164" fontId="59" fillId="0" borderId="2" xfId="73" applyFont="true" applyBorder="true" applyAlignment="true" applyProtection="true">
      <alignment horizontal="center" vertical="center" textRotation="0" wrapText="true" indent="0" shrinkToFit="false"/>
      <protection locked="true" hidden="true"/>
    </xf>
    <xf numFmtId="182" fontId="50" fillId="0" borderId="2" xfId="73" applyFont="true" applyBorder="true" applyAlignment="true" applyProtection="true">
      <alignment horizontal="center" vertical="center" textRotation="0" wrapText="false" indent="0" shrinkToFit="false"/>
      <protection locked="true" hidden="true"/>
    </xf>
    <xf numFmtId="184" fontId="50" fillId="0" borderId="2" xfId="73" applyFont="true" applyBorder="true" applyAlignment="true" applyProtection="true">
      <alignment horizontal="center" vertical="center" textRotation="0" wrapText="true" indent="0" shrinkToFit="false"/>
      <protection locked="true" hidden="true"/>
    </xf>
    <xf numFmtId="164" fontId="50" fillId="0" borderId="64" xfId="73" applyFont="true" applyBorder="true" applyAlignment="true" applyProtection="true">
      <alignment horizontal="right" vertical="center" textRotation="0" wrapText="true" indent="0" shrinkToFit="false"/>
      <protection locked="true" hidden="true"/>
    </xf>
    <xf numFmtId="182" fontId="50" fillId="0" borderId="64" xfId="73" applyFont="true" applyBorder="true" applyAlignment="true" applyProtection="true">
      <alignment horizontal="center" vertical="center" textRotation="0" wrapText="true" indent="0" shrinkToFit="false"/>
      <protection locked="true" hidden="true"/>
    </xf>
    <xf numFmtId="164" fontId="4" fillId="0" borderId="0" xfId="73" applyFont="true" applyBorder="true" applyAlignment="true" applyProtection="true">
      <alignment horizontal="left" vertical="top" textRotation="0" wrapText="true" indent="0" shrinkToFit="false"/>
      <protection locked="true" hidden="true"/>
    </xf>
    <xf numFmtId="164" fontId="50" fillId="0" borderId="2" xfId="73" applyFont="true" applyBorder="true" applyAlignment="true" applyProtection="true">
      <alignment horizontal="center" vertical="bottom" textRotation="0" wrapText="true" indent="0" shrinkToFit="false"/>
      <protection locked="true" hidden="true"/>
    </xf>
    <xf numFmtId="188" fontId="50" fillId="0" borderId="2" xfId="73" applyFont="true" applyBorder="true" applyAlignment="true" applyProtection="true">
      <alignment horizontal="center" vertical="bottom" textRotation="0" wrapText="true" indent="0" shrinkToFit="false"/>
      <protection locked="true" hidden="true"/>
    </xf>
    <xf numFmtId="189" fontId="50" fillId="0" borderId="2" xfId="73" applyFont="true" applyBorder="true" applyAlignment="true" applyProtection="true">
      <alignment horizontal="center" vertical="bottom" textRotation="0" wrapText="true" indent="0" shrinkToFit="false"/>
      <protection locked="true" hidden="true"/>
    </xf>
    <xf numFmtId="164" fontId="60" fillId="0" borderId="2" xfId="73" applyFont="true" applyBorder="true" applyAlignment="true" applyProtection="true">
      <alignment horizontal="center" vertical="center" textRotation="0" wrapText="true" indent="0" shrinkToFit="false"/>
      <protection locked="true" hidden="true"/>
    </xf>
    <xf numFmtId="182" fontId="50" fillId="0" borderId="2" xfId="73" applyFont="true" applyBorder="true" applyAlignment="true" applyProtection="true">
      <alignment horizontal="center" vertical="bottom" textRotation="0" wrapText="true" indent="0" shrinkToFit="false"/>
      <protection locked="true" hidden="true"/>
    </xf>
    <xf numFmtId="190" fontId="50" fillId="0" borderId="2" xfId="73" applyFont="true" applyBorder="true" applyAlignment="true" applyProtection="true">
      <alignment horizontal="center" vertical="bottom" textRotation="0" wrapText="true" indent="0" shrinkToFit="false"/>
      <protection locked="true" hidden="true"/>
    </xf>
    <xf numFmtId="191" fontId="50" fillId="0" borderId="2" xfId="73" applyFont="true" applyBorder="true" applyAlignment="true" applyProtection="true">
      <alignment horizontal="center" vertical="bottom" textRotation="0" wrapText="true" indent="0" shrinkToFit="false"/>
      <protection locked="true" hidden="true"/>
    </xf>
    <xf numFmtId="192" fontId="50" fillId="0" borderId="2" xfId="73" applyFont="true" applyBorder="true" applyAlignment="true" applyProtection="true">
      <alignment horizontal="center" vertical="bottom" textRotation="0" wrapText="true" indent="0" shrinkToFit="false"/>
      <protection locked="true" hidden="true"/>
    </xf>
    <xf numFmtId="193" fontId="50" fillId="0" borderId="2" xfId="73" applyFont="true" applyBorder="true" applyAlignment="true" applyProtection="true">
      <alignment horizontal="center" vertical="bottom" textRotation="0" wrapText="true" indent="0" shrinkToFit="false"/>
      <protection locked="true" hidden="true"/>
    </xf>
    <xf numFmtId="182" fontId="50" fillId="0" borderId="2" xfId="73" applyFont="true" applyBorder="true" applyAlignment="true" applyProtection="true">
      <alignment horizontal="center" vertical="center" textRotation="0" wrapText="true" indent="0" shrinkToFit="false"/>
      <protection locked="true" hidden="true"/>
    </xf>
    <xf numFmtId="164" fontId="50" fillId="0" borderId="2" xfId="73" applyFont="true" applyBorder="true" applyAlignment="true" applyProtection="true">
      <alignment horizontal="left" vertical="center" textRotation="0" wrapText="false" indent="0" shrinkToFit="false"/>
      <protection locked="true" hidden="true"/>
    </xf>
    <xf numFmtId="164" fontId="4" fillId="0" borderId="2" xfId="73" applyFont="true" applyBorder="true" applyAlignment="true" applyProtection="true">
      <alignment horizontal="center" vertical="center" textRotation="0" wrapText="true" indent="0" shrinkToFit="false"/>
      <protection locked="true" hidden="true"/>
    </xf>
    <xf numFmtId="164" fontId="45" fillId="0" borderId="0" xfId="47" applyFont="true" applyBorder="false" applyAlignment="false" applyProtection="false">
      <alignment horizontal="general" vertical="bottom" textRotation="0" wrapText="false" indent="0" shrinkToFit="false"/>
      <protection locked="true" hidden="false"/>
    </xf>
    <xf numFmtId="164" fontId="8" fillId="0" borderId="0" xfId="25" applyFont="true" applyBorder="true" applyAlignment="true" applyProtection="false">
      <alignment horizontal="center" vertical="center" textRotation="0" wrapText="true" indent="0" shrinkToFit="false"/>
      <protection locked="true" hidden="false"/>
    </xf>
    <xf numFmtId="164" fontId="6" fillId="0" borderId="0" xfId="64" applyFont="true" applyBorder="true" applyAlignment="true" applyProtection="false">
      <alignment horizontal="left" vertical="center" textRotation="0" wrapText="false" indent="0" shrinkToFit="false"/>
      <protection locked="true" hidden="false"/>
    </xf>
    <xf numFmtId="164" fontId="19" fillId="0" borderId="0" xfId="20" applyFont="true" applyBorder="false" applyAlignment="true" applyProtection="false">
      <alignment horizontal="general" vertical="top" textRotation="0" wrapText="false" indent="0" shrinkToFit="false"/>
      <protection locked="true" hidden="false"/>
    </xf>
    <xf numFmtId="164" fontId="0" fillId="0" borderId="0" xfId="64" applyFont="true" applyBorder="false" applyAlignment="true" applyProtection="true">
      <alignment horizontal="general" vertical="center" textRotation="0" wrapText="false" indent="0" shrinkToFit="false"/>
      <protection locked="true" hidden="true"/>
    </xf>
    <xf numFmtId="164" fontId="6" fillId="0" borderId="0" xfId="64" applyFont="true" applyBorder="false" applyAlignment="true" applyProtection="false">
      <alignment horizontal="general" vertical="center" textRotation="0" wrapText="false" indent="0" shrinkToFit="false"/>
      <protection locked="true" hidden="false"/>
    </xf>
    <xf numFmtId="164" fontId="12" fillId="0" borderId="0" xfId="64" applyFont="true" applyBorder="true" applyAlignment="true" applyProtection="true">
      <alignment horizontal="left" vertical="center" textRotation="0" wrapText="false" indent="0" shrinkToFit="false"/>
      <protection locked="false" hidden="false"/>
    </xf>
    <xf numFmtId="164" fontId="19" fillId="0" borderId="0" xfId="20" applyFont="true" applyBorder="true" applyAlignment="true" applyProtection="false">
      <alignment horizontal="left" vertical="top" textRotation="0" wrapText="true" indent="0" shrinkToFit="false"/>
      <protection locked="true" hidden="false"/>
    </xf>
    <xf numFmtId="164" fontId="6" fillId="0" borderId="0" xfId="64" applyFont="true" applyBorder="true" applyAlignment="true" applyProtection="false">
      <alignment horizontal="right" vertical="center" textRotation="0" wrapText="false" indent="0" shrinkToFit="false"/>
      <protection locked="true" hidden="false"/>
    </xf>
    <xf numFmtId="164" fontId="19" fillId="0" borderId="0" xfId="64" applyFont="true" applyBorder="true" applyAlignment="true" applyProtection="true">
      <alignment horizontal="left" vertical="center" textRotation="0" wrapText="false" indent="0" shrinkToFit="false"/>
      <protection locked="false" hidden="false"/>
    </xf>
    <xf numFmtId="164" fontId="20" fillId="4" borderId="0" xfId="64" applyFont="true" applyBorder="true" applyAlignment="true" applyProtection="false">
      <alignment horizontal="left" vertical="center" textRotation="0" wrapText="false" indent="0" shrinkToFit="false"/>
      <protection locked="true" hidden="false"/>
    </xf>
    <xf numFmtId="164" fontId="42" fillId="4" borderId="0" xfId="64" applyFont="true" applyBorder="true" applyAlignment="true" applyProtection="true">
      <alignment horizontal="left" vertical="center" textRotation="0" wrapText="false" indent="0" shrinkToFit="false"/>
      <protection locked="false" hidden="false"/>
    </xf>
    <xf numFmtId="164" fontId="5" fillId="0" borderId="0" xfId="64" applyFont="true" applyBorder="true" applyAlignment="true" applyProtection="false">
      <alignment horizontal="left" vertical="center" textRotation="0" wrapText="false" indent="0" shrinkToFit="false"/>
      <protection locked="true" hidden="false"/>
    </xf>
    <xf numFmtId="164" fontId="6" fillId="0" borderId="0" xfId="64" applyFont="true" applyBorder="false" applyAlignment="true" applyProtection="false">
      <alignment horizontal="left" vertical="center" textRotation="0" wrapText="false" indent="0" shrinkToFit="false"/>
      <protection locked="true" hidden="false"/>
    </xf>
    <xf numFmtId="164" fontId="41" fillId="0" borderId="0" xfId="20" applyFont="true" applyBorder="true" applyAlignment="true" applyProtection="false">
      <alignment horizontal="left" vertical="top" textRotation="0" wrapText="true" indent="0" shrinkToFit="false"/>
      <protection locked="true" hidden="false"/>
    </xf>
    <xf numFmtId="164" fontId="41" fillId="0" borderId="0" xfId="20" applyFont="true" applyBorder="false" applyAlignment="true" applyProtection="false">
      <alignment horizontal="left" vertical="top" textRotation="0" wrapText="true" indent="0" shrinkToFit="false"/>
      <protection locked="true" hidden="false"/>
    </xf>
    <xf numFmtId="164" fontId="0" fillId="0" borderId="0" xfId="64" applyFont="true" applyBorder="false" applyAlignment="true" applyProtection="true">
      <alignment horizontal="left" vertical="center" textRotation="0" wrapText="false" indent="0" shrinkToFit="false"/>
      <protection locked="false" hidden="false"/>
    </xf>
    <xf numFmtId="164" fontId="0" fillId="0" borderId="0" xfId="64" applyFont="true" applyBorder="true" applyAlignment="true" applyProtection="true">
      <alignment horizontal="left" vertical="top" textRotation="0" wrapText="true" indent="0" shrinkToFit="false"/>
      <protection locked="false" hidden="false"/>
    </xf>
    <xf numFmtId="164" fontId="7" fillId="0" borderId="0" xfId="64" applyFont="true" applyBorder="false" applyAlignment="true" applyProtection="true">
      <alignment horizontal="left" vertical="center" textRotation="0" wrapText="false" indent="0" shrinkToFit="false"/>
      <protection locked="false" hidden="false"/>
    </xf>
    <xf numFmtId="164" fontId="0" fillId="0" borderId="0" xfId="64" applyFont="true" applyBorder="false" applyAlignment="true" applyProtection="true">
      <alignment horizontal="right" vertical="center" textRotation="0" wrapText="false" indent="0" shrinkToFit="false"/>
      <protection locked="false" hidden="false"/>
    </xf>
    <xf numFmtId="164" fontId="0" fillId="3" borderId="7" xfId="64" applyFont="true" applyBorder="true" applyAlignment="true" applyProtection="true">
      <alignment horizontal="center" vertical="bottom" textRotation="0" wrapText="false" indent="0" shrinkToFit="false"/>
      <protection locked="false" hidden="false"/>
    </xf>
    <xf numFmtId="164" fontId="41" fillId="3" borderId="8" xfId="64" applyFont="true" applyBorder="true" applyAlignment="true" applyProtection="false">
      <alignment horizontal="center" vertical="bottom" textRotation="0" wrapText="false" indent="0" shrinkToFit="false"/>
      <protection locked="true" hidden="false"/>
    </xf>
    <xf numFmtId="164" fontId="0" fillId="3" borderId="65" xfId="64" applyFont="true" applyBorder="true" applyAlignment="true" applyProtection="true">
      <alignment horizontal="center" vertical="bottom" textRotation="0" wrapText="false" indent="0" shrinkToFit="false"/>
      <protection locked="false" hidden="false"/>
    </xf>
    <xf numFmtId="164" fontId="37" fillId="0" borderId="0" xfId="64" applyFont="true" applyBorder="false" applyAlignment="true" applyProtection="true">
      <alignment horizontal="left" vertical="top" textRotation="0" wrapText="true" indent="0" shrinkToFit="false"/>
      <protection locked="false" hidden="false"/>
    </xf>
    <xf numFmtId="182" fontId="0" fillId="0" borderId="7" xfId="64" applyFont="true" applyBorder="true" applyAlignment="true" applyProtection="false">
      <alignment horizontal="center" vertical="center" textRotation="0" wrapText="false" indent="0" shrinkToFit="false"/>
      <protection locked="true" hidden="false"/>
    </xf>
    <xf numFmtId="182" fontId="0" fillId="0" borderId="8" xfId="64" applyFont="true" applyBorder="true" applyAlignment="true" applyProtection="false">
      <alignment horizontal="center" vertical="center" textRotation="0" wrapText="false" indent="0" shrinkToFit="false"/>
      <protection locked="true" hidden="false"/>
    </xf>
    <xf numFmtId="182" fontId="0" fillId="0" borderId="89" xfId="64" applyFont="true" applyBorder="true" applyAlignment="true" applyProtection="false">
      <alignment horizontal="center" vertical="center" textRotation="0" wrapText="false" indent="0" shrinkToFit="false"/>
      <protection locked="true" hidden="false"/>
    </xf>
    <xf numFmtId="182" fontId="0" fillId="0" borderId="9" xfId="64" applyFont="true" applyBorder="true" applyAlignment="true" applyProtection="false">
      <alignment horizontal="center" vertical="center" textRotation="0" wrapText="false" indent="0" shrinkToFit="false"/>
      <protection locked="true" hidden="false"/>
    </xf>
    <xf numFmtId="164" fontId="7" fillId="0" borderId="12" xfId="64" applyFont="true" applyBorder="true" applyAlignment="true" applyProtection="true">
      <alignment horizontal="left" vertical="top" textRotation="0" wrapText="false" indent="0" shrinkToFit="false"/>
      <protection locked="false" hidden="false"/>
    </xf>
    <xf numFmtId="164" fontId="0" fillId="0" borderId="12" xfId="64" applyFont="true" applyBorder="true" applyAlignment="true" applyProtection="true">
      <alignment horizontal="general" vertical="center" textRotation="0" wrapText="false" indent="0" shrinkToFit="false"/>
      <protection locked="true" hidden="true"/>
    </xf>
    <xf numFmtId="164" fontId="24" fillId="0" borderId="0" xfId="64" applyFont="true" applyBorder="false" applyAlignment="true" applyProtection="false">
      <alignment horizontal="left" vertical="center" textRotation="0" wrapText="false" indent="0" shrinkToFit="false"/>
      <protection locked="true" hidden="false"/>
    </xf>
    <xf numFmtId="164" fontId="41" fillId="3" borderId="11" xfId="64" applyFont="true" applyBorder="true" applyAlignment="true" applyProtection="false">
      <alignment horizontal="center" vertical="bottom" textRotation="0" wrapText="false" indent="0" shrinkToFit="false"/>
      <protection locked="true" hidden="false"/>
    </xf>
    <xf numFmtId="164" fontId="41" fillId="3" borderId="90" xfId="64" applyFont="true" applyBorder="true" applyAlignment="true" applyProtection="false">
      <alignment horizontal="center" vertical="bottom" textRotation="0" wrapText="false" indent="0" shrinkToFit="false"/>
      <protection locked="true" hidden="false"/>
    </xf>
    <xf numFmtId="164" fontId="41" fillId="3" borderId="84" xfId="64" applyFont="true" applyBorder="true" applyAlignment="true" applyProtection="false">
      <alignment horizontal="center" vertical="bottom" textRotation="0" wrapText="false" indent="0" shrinkToFit="false"/>
      <protection locked="true" hidden="false"/>
    </xf>
    <xf numFmtId="164" fontId="13" fillId="0" borderId="0" xfId="64" applyFont="true" applyBorder="false" applyAlignment="true" applyProtection="false">
      <alignment horizontal="general" vertical="top" textRotation="0" wrapText="false" indent="0" shrinkToFit="false"/>
      <protection locked="true" hidden="false"/>
    </xf>
    <xf numFmtId="164" fontId="0" fillId="3" borderId="91" xfId="64" applyFont="true" applyBorder="true" applyAlignment="true" applyProtection="false">
      <alignment horizontal="center" vertical="top" textRotation="0" wrapText="true" indent="0" shrinkToFit="false"/>
      <protection locked="true" hidden="false"/>
    </xf>
    <xf numFmtId="194" fontId="0" fillId="0" borderId="92" xfId="64" applyFont="true" applyBorder="true" applyAlignment="true" applyProtection="false">
      <alignment horizontal="center" vertical="center" textRotation="0" wrapText="true" indent="0" shrinkToFit="false"/>
      <protection locked="true" hidden="false"/>
    </xf>
    <xf numFmtId="164" fontId="41" fillId="0" borderId="0" xfId="64" applyFont="true" applyBorder="false" applyAlignment="true" applyProtection="false">
      <alignment horizontal="general" vertical="top" textRotation="0" wrapText="false" indent="0" shrinkToFit="false"/>
      <protection locked="true" hidden="false"/>
    </xf>
    <xf numFmtId="179" fontId="0" fillId="0" borderId="63" xfId="79" applyFont="true" applyBorder="true" applyAlignment="true" applyProtection="false">
      <alignment horizontal="center" vertical="center" textRotation="0" wrapText="false" indent="0" shrinkToFit="false"/>
      <protection locked="true" hidden="false"/>
    </xf>
    <xf numFmtId="164" fontId="0" fillId="0" borderId="20" xfId="79" applyFont="true" applyBorder="true" applyAlignment="true" applyProtection="false">
      <alignment horizontal="left" vertical="center" textRotation="0" wrapText="false" indent="0" shrinkToFit="false"/>
      <protection locked="true" hidden="false"/>
    </xf>
    <xf numFmtId="195" fontId="41" fillId="0" borderId="77" xfId="64" applyFont="true" applyBorder="true" applyAlignment="true" applyProtection="false">
      <alignment horizontal="center" vertical="bottom" textRotation="0" wrapText="false" indent="0" shrinkToFit="false"/>
      <protection locked="true" hidden="false"/>
    </xf>
    <xf numFmtId="184" fontId="41" fillId="0" borderId="65" xfId="64" applyFont="true" applyBorder="true" applyAlignment="true" applyProtection="false">
      <alignment horizontal="center" vertical="center" textRotation="0" wrapText="true" indent="0" shrinkToFit="false"/>
      <protection locked="true" hidden="false"/>
    </xf>
    <xf numFmtId="196" fontId="0" fillId="0" borderId="92" xfId="64" applyFont="true" applyBorder="true" applyAlignment="true" applyProtection="false">
      <alignment horizontal="center" vertical="center" textRotation="0" wrapText="true" indent="0" shrinkToFit="false"/>
      <protection locked="true" hidden="false"/>
    </xf>
    <xf numFmtId="179" fontId="0" fillId="0" borderId="4" xfId="79" applyFont="true" applyBorder="true" applyAlignment="true" applyProtection="false">
      <alignment horizontal="center" vertical="center" textRotation="0" wrapText="false" indent="0" shrinkToFit="false"/>
      <protection locked="true" hidden="false"/>
    </xf>
    <xf numFmtId="164" fontId="0" fillId="0" borderId="5" xfId="79" applyFont="true" applyBorder="true" applyAlignment="true" applyProtection="false">
      <alignment horizontal="left" vertical="center" textRotation="0" wrapText="false" indent="0" shrinkToFit="false"/>
      <protection locked="true" hidden="false"/>
    </xf>
    <xf numFmtId="195" fontId="41" fillId="0" borderId="68" xfId="64" applyFont="true" applyBorder="true" applyAlignment="true" applyProtection="false">
      <alignment horizontal="center" vertical="bottom" textRotation="0" wrapText="false" indent="0" shrinkToFit="false"/>
      <protection locked="true" hidden="false"/>
    </xf>
    <xf numFmtId="164" fontId="0" fillId="0" borderId="92" xfId="64" applyFont="true" applyBorder="true" applyAlignment="true" applyProtection="false">
      <alignment horizontal="center" vertical="center" textRotation="0" wrapText="true" indent="0" shrinkToFit="false"/>
      <protection locked="true" hidden="false"/>
    </xf>
    <xf numFmtId="179" fontId="0" fillId="0" borderId="11" xfId="79" applyFont="true" applyBorder="true" applyAlignment="true" applyProtection="false">
      <alignment horizontal="center" vertical="center" textRotation="0" wrapText="false" indent="0" shrinkToFit="false"/>
      <protection locked="true" hidden="false"/>
    </xf>
    <xf numFmtId="164" fontId="0" fillId="0" borderId="84" xfId="79" applyFont="true" applyBorder="true" applyAlignment="true" applyProtection="false">
      <alignment horizontal="left" vertical="center" textRotation="0" wrapText="false" indent="0" shrinkToFit="false"/>
      <protection locked="true" hidden="false"/>
    </xf>
    <xf numFmtId="195" fontId="41" fillId="0" borderId="69" xfId="64" applyFont="true" applyBorder="true" applyAlignment="true" applyProtection="false">
      <alignment horizontal="center" vertical="bottom" textRotation="0" wrapText="false" indent="0" shrinkToFit="false"/>
      <protection locked="true" hidden="false"/>
    </xf>
    <xf numFmtId="164" fontId="41" fillId="0" borderId="0" xfId="64" applyFont="true" applyBorder="false" applyAlignment="true" applyProtection="false">
      <alignment horizontal="center" vertical="bottom" textRotation="0" wrapText="false" indent="0" shrinkToFit="false"/>
      <protection locked="true" hidden="false"/>
    </xf>
    <xf numFmtId="164" fontId="41" fillId="0" borderId="0" xfId="64" applyFont="true" applyBorder="false" applyAlignment="true" applyProtection="false">
      <alignment horizontal="left" vertical="bottom" textRotation="0" wrapText="false" indent="0" shrinkToFit="false"/>
      <protection locked="true" hidden="false"/>
    </xf>
    <xf numFmtId="164" fontId="0" fillId="0" borderId="0" xfId="64" applyFont="true" applyBorder="false" applyAlignment="true" applyProtection="true">
      <alignment horizontal="right" vertical="center" textRotation="0" wrapText="false" indent="0" shrinkToFit="false"/>
      <protection locked="true" hidden="true"/>
    </xf>
    <xf numFmtId="195" fontId="0" fillId="0" borderId="0" xfId="64" applyFont="true" applyBorder="true" applyAlignment="true" applyProtection="true">
      <alignment horizontal="center" vertical="center" textRotation="0" wrapText="false" indent="0" shrinkToFit="false"/>
      <protection locked="true" hidden="true"/>
    </xf>
    <xf numFmtId="184" fontId="0" fillId="0" borderId="0" xfId="64" applyFont="true" applyBorder="true" applyAlignment="true" applyProtection="true">
      <alignment horizontal="center" vertical="bottom" textRotation="0" wrapText="false" indent="0" shrinkToFit="false"/>
      <protection locked="true" hidden="true"/>
    </xf>
    <xf numFmtId="169" fontId="0" fillId="0" borderId="0" xfId="64" applyFont="true" applyBorder="true" applyAlignment="true" applyProtection="false">
      <alignment horizontal="center" vertical="bottom" textRotation="0" wrapText="true" indent="0" shrinkToFit="false"/>
      <protection locked="true" hidden="false"/>
    </xf>
    <xf numFmtId="164" fontId="0" fillId="0" borderId="0" xfId="64" applyFont="true" applyBorder="false" applyAlignment="true" applyProtection="false">
      <alignment horizontal="center" vertical="top" textRotation="0" wrapText="true" indent="0" shrinkToFit="false"/>
      <protection locked="true" hidden="false"/>
    </xf>
    <xf numFmtId="164" fontId="0" fillId="0" borderId="0" xfId="64" applyFont="true" applyBorder="false" applyAlignment="true" applyProtection="false">
      <alignment horizontal="center" vertical="center" textRotation="0" wrapText="true" indent="0" shrinkToFit="false"/>
      <protection locked="true" hidden="false"/>
    </xf>
    <xf numFmtId="164" fontId="12" fillId="0" borderId="0" xfId="64" applyFont="true" applyBorder="false" applyAlignment="true" applyProtection="false">
      <alignment horizontal="general" vertical="top" textRotation="0" wrapText="false" indent="0" shrinkToFit="false"/>
      <protection locked="true" hidden="false"/>
    </xf>
    <xf numFmtId="195" fontId="41" fillId="0" borderId="0" xfId="64" applyFont="true" applyBorder="false" applyAlignment="true" applyProtection="false">
      <alignment horizontal="center" vertical="bottom" textRotation="0" wrapText="false" indent="0" shrinkToFit="false"/>
      <protection locked="true" hidden="false"/>
    </xf>
    <xf numFmtId="184" fontId="41" fillId="0" borderId="0" xfId="64" applyFont="true" applyBorder="false" applyAlignment="true" applyProtection="false">
      <alignment horizontal="center" vertical="center" textRotation="0" wrapText="true" indent="0" shrinkToFit="false"/>
      <protection locked="true" hidden="false"/>
    </xf>
    <xf numFmtId="164" fontId="4" fillId="0" borderId="0" xfId="21" applyFont="true" applyBorder="true" applyAlignment="true" applyProtection="false">
      <alignment horizontal="left" vertical="top" textRotation="0" wrapText="true" indent="0" shrinkToFit="false"/>
      <protection locked="true" hidden="false"/>
    </xf>
    <xf numFmtId="164" fontId="4" fillId="0" borderId="0" xfId="21" applyFont="true" applyBorder="false" applyAlignment="true" applyProtection="false">
      <alignment horizontal="left" vertical="top" textRotation="0" wrapText="true" indent="0" shrinkToFit="false"/>
      <protection locked="true" hidden="false"/>
    </xf>
    <xf numFmtId="164" fontId="53" fillId="0" borderId="0" xfId="64" applyFont="true" applyBorder="false" applyAlignment="true" applyProtection="true">
      <alignment horizontal="left" vertical="top" textRotation="0" wrapText="true" indent="0" shrinkToFit="false"/>
      <protection locked="false" hidden="false"/>
    </xf>
    <xf numFmtId="164" fontId="6" fillId="0" borderId="64" xfId="64" applyFont="true" applyBorder="true" applyAlignment="true" applyProtection="false">
      <alignment horizontal="left" vertical="bottom" textRotation="0" wrapText="false" indent="0" shrinkToFit="false"/>
      <protection locked="true" hidden="false"/>
    </xf>
    <xf numFmtId="171" fontId="46" fillId="0" borderId="64" xfId="64" applyFont="true" applyBorder="true" applyAlignment="true" applyProtection="false">
      <alignment horizontal="right" vertical="bottom" textRotation="0" wrapText="false" indent="0" shrinkToFit="false"/>
      <protection locked="true" hidden="false"/>
    </xf>
    <xf numFmtId="164" fontId="6" fillId="0" borderId="64" xfId="64" applyFont="true" applyBorder="true" applyAlignment="true" applyProtection="true">
      <alignment horizontal="general" vertical="bottom" textRotation="0" wrapText="false" indent="0" shrinkToFit="false"/>
      <protection locked="false" hidden="false"/>
    </xf>
    <xf numFmtId="164" fontId="6" fillId="0" borderId="64" xfId="64" applyFont="true" applyBorder="true" applyAlignment="true" applyProtection="true">
      <alignment horizontal="center" vertical="bottom" textRotation="0" wrapText="false" indent="0" shrinkToFit="false"/>
      <protection locked="false" hidden="false"/>
    </xf>
    <xf numFmtId="171" fontId="46" fillId="0" borderId="64" xfId="64" applyFont="true" applyBorder="true" applyAlignment="true" applyProtection="true">
      <alignment horizontal="right" vertical="bottom" textRotation="0" wrapText="false" indent="0" shrinkToFit="false"/>
      <protection locked="false" hidden="false"/>
    </xf>
    <xf numFmtId="164" fontId="6" fillId="0" borderId="64" xfId="64" applyFont="true" applyBorder="true" applyAlignment="true" applyProtection="true">
      <alignment horizontal="general" vertical="center" textRotation="0" wrapText="false" indent="0" shrinkToFit="false"/>
      <protection locked="false" hidden="false"/>
    </xf>
    <xf numFmtId="164" fontId="19" fillId="0" borderId="64" xfId="64" applyFont="true" applyBorder="true" applyAlignment="true" applyProtection="false">
      <alignment horizontal="general" vertical="center" textRotation="0" wrapText="false" indent="0" shrinkToFit="false"/>
      <protection locked="true" hidden="false"/>
    </xf>
    <xf numFmtId="164" fontId="19" fillId="0" borderId="64" xfId="64" applyFont="true" applyBorder="true" applyAlignment="true" applyProtection="false">
      <alignment horizontal="right" vertical="center" textRotation="0" wrapText="false" indent="0" shrinkToFit="false"/>
      <protection locked="true" hidden="false"/>
    </xf>
    <xf numFmtId="164" fontId="19" fillId="0" borderId="64" xfId="64" applyFont="true" applyBorder="true" applyAlignment="true" applyProtection="false">
      <alignment horizontal="center" vertical="center" textRotation="0" wrapText="false" indent="0" shrinkToFit="false"/>
      <protection locked="true" hidden="false"/>
    </xf>
    <xf numFmtId="175" fontId="42" fillId="4" borderId="0" xfId="64" applyFont="true" applyBorder="true" applyAlignment="true" applyProtection="false">
      <alignment horizontal="left" vertical="center" textRotation="0" wrapText="false" indent="0" shrinkToFit="false"/>
      <protection locked="true" hidden="false"/>
    </xf>
    <xf numFmtId="164" fontId="42" fillId="4" borderId="0" xfId="64" applyFont="true" applyBorder="true" applyAlignment="true" applyProtection="false">
      <alignment horizontal="left" vertical="center" textRotation="0" wrapText="false" indent="0" shrinkToFit="false"/>
      <protection locked="true" hidden="false"/>
    </xf>
    <xf numFmtId="164" fontId="23" fillId="0" borderId="0" xfId="64" applyFont="true" applyBorder="false" applyAlignment="true" applyProtection="true">
      <alignment horizontal="general" vertical="top" textRotation="0" wrapText="true" indent="0" shrinkToFit="false"/>
      <protection locked="false" hidden="false"/>
    </xf>
    <xf numFmtId="179" fontId="41" fillId="0" borderId="0" xfId="64" applyFont="true" applyBorder="true" applyAlignment="true" applyProtection="false">
      <alignment horizontal="center" vertical="bottom" textRotation="0" wrapText="false" indent="0" shrinkToFit="false"/>
      <protection locked="true" hidden="false"/>
    </xf>
    <xf numFmtId="164" fontId="41" fillId="0" borderId="0" xfId="64" applyFont="true" applyBorder="true" applyAlignment="true" applyProtection="false">
      <alignment horizontal="left" vertical="bottom" textRotation="0" wrapText="true" indent="0" shrinkToFit="false"/>
      <protection locked="true" hidden="false"/>
    </xf>
    <xf numFmtId="164" fontId="41" fillId="3" borderId="7" xfId="64" applyFont="true" applyBorder="true" applyAlignment="true" applyProtection="true">
      <alignment horizontal="left" vertical="bottom" textRotation="0" wrapText="false" indent="0" shrinkToFit="false"/>
      <protection locked="false" hidden="false"/>
    </xf>
    <xf numFmtId="164" fontId="41" fillId="3" borderId="8" xfId="64" applyFont="true" applyBorder="true" applyAlignment="true" applyProtection="true">
      <alignment horizontal="center" vertical="bottom" textRotation="0" wrapText="false" indent="0" shrinkToFit="false"/>
      <protection locked="false" hidden="false"/>
    </xf>
    <xf numFmtId="164" fontId="41" fillId="3" borderId="8" xfId="64" applyFont="true" applyBorder="true" applyAlignment="true" applyProtection="true">
      <alignment horizontal="center" vertical="bottom" textRotation="0" wrapText="true" indent="0" shrinkToFit="false"/>
      <protection locked="false" hidden="false"/>
    </xf>
    <xf numFmtId="183" fontId="0" fillId="3" borderId="9" xfId="64" applyFont="true" applyBorder="true" applyAlignment="true" applyProtection="false">
      <alignment horizontal="center" vertical="bottom" textRotation="0" wrapText="true" indent="0" shrinkToFit="false"/>
      <protection locked="true" hidden="false"/>
    </xf>
    <xf numFmtId="164" fontId="41" fillId="0" borderId="4" xfId="64" applyFont="true" applyBorder="true" applyAlignment="true" applyProtection="true">
      <alignment horizontal="general" vertical="bottom" textRotation="0" wrapText="false" indent="0" shrinkToFit="false"/>
      <protection locked="false" hidden="false"/>
    </xf>
    <xf numFmtId="164" fontId="41" fillId="0" borderId="0" xfId="64" applyFont="true" applyBorder="false" applyAlignment="true" applyProtection="true">
      <alignment horizontal="general" vertical="bottom" textRotation="0" wrapText="false" indent="0" shrinkToFit="false"/>
      <protection locked="false" hidden="false"/>
    </xf>
    <xf numFmtId="169" fontId="41" fillId="0" borderId="0" xfId="64" applyFont="true" applyBorder="false" applyAlignment="true" applyProtection="false">
      <alignment horizontal="general" vertical="bottom" textRotation="0" wrapText="false" indent="0" shrinkToFit="false"/>
      <protection locked="true" hidden="false"/>
    </xf>
    <xf numFmtId="169" fontId="41" fillId="0" borderId="0" xfId="64" applyFont="true" applyBorder="false" applyAlignment="true" applyProtection="true">
      <alignment horizontal="general" vertical="bottom" textRotation="0" wrapText="false" indent="0" shrinkToFit="false"/>
      <protection locked="false" hidden="false"/>
    </xf>
    <xf numFmtId="169" fontId="41" fillId="0" borderId="0" xfId="64" applyFont="true" applyBorder="true" applyAlignment="true" applyProtection="false">
      <alignment horizontal="center" vertical="bottom" textRotation="0" wrapText="false" indent="0" shrinkToFit="false"/>
      <protection locked="true" hidden="false"/>
    </xf>
    <xf numFmtId="197" fontId="0" fillId="0" borderId="67" xfId="64" applyFont="true" applyBorder="true" applyAlignment="true" applyProtection="false">
      <alignment horizontal="right" vertical="bottom" textRotation="0" wrapText="false" indent="1" shrinkToFit="false"/>
      <protection locked="true" hidden="false"/>
    </xf>
    <xf numFmtId="164" fontId="23" fillId="0" borderId="0" xfId="64" applyFont="true" applyBorder="false" applyAlignment="true" applyProtection="true">
      <alignment horizontal="general" vertical="center" textRotation="0" wrapText="true" indent="0" shrinkToFit="false"/>
      <protection locked="true" hidden="true"/>
    </xf>
    <xf numFmtId="164" fontId="41" fillId="0" borderId="11" xfId="64" applyFont="true" applyBorder="true" applyAlignment="true" applyProtection="true">
      <alignment horizontal="general" vertical="bottom" textRotation="0" wrapText="false" indent="0" shrinkToFit="false"/>
      <protection locked="false" hidden="false"/>
    </xf>
    <xf numFmtId="164" fontId="41" fillId="0" borderId="12" xfId="64" applyFont="true" applyBorder="true" applyAlignment="true" applyProtection="true">
      <alignment horizontal="general" vertical="bottom" textRotation="0" wrapText="false" indent="0" shrinkToFit="false"/>
      <protection locked="false" hidden="false"/>
    </xf>
    <xf numFmtId="169" fontId="41" fillId="0" borderId="12" xfId="64" applyFont="true" applyBorder="true" applyAlignment="true" applyProtection="false">
      <alignment horizontal="general" vertical="bottom" textRotation="0" wrapText="false" indent="0" shrinkToFit="false"/>
      <protection locked="true" hidden="false"/>
    </xf>
    <xf numFmtId="169" fontId="41" fillId="0" borderId="12" xfId="64" applyFont="true" applyBorder="true" applyAlignment="true" applyProtection="true">
      <alignment horizontal="general" vertical="bottom" textRotation="0" wrapText="false" indent="0" shrinkToFit="false"/>
      <protection locked="false" hidden="false"/>
    </xf>
    <xf numFmtId="169" fontId="41" fillId="0" borderId="12" xfId="64" applyFont="true" applyBorder="true" applyAlignment="true" applyProtection="false">
      <alignment horizontal="center" vertical="bottom" textRotation="0" wrapText="false" indent="0" shrinkToFit="false"/>
      <protection locked="true" hidden="false"/>
    </xf>
    <xf numFmtId="197" fontId="0" fillId="0" borderId="70" xfId="64" applyFont="true" applyBorder="true" applyAlignment="true" applyProtection="false">
      <alignment horizontal="right" vertical="bottom" textRotation="0" wrapText="false" indent="1" shrinkToFit="false"/>
      <protection locked="true" hidden="false"/>
    </xf>
    <xf numFmtId="169" fontId="41" fillId="0" borderId="0" xfId="64" applyFont="true" applyBorder="false" applyAlignment="true" applyProtection="true">
      <alignment horizontal="center" vertical="bottom" textRotation="0" wrapText="false" indent="0" shrinkToFit="false"/>
      <protection locked="false" hidden="false"/>
    </xf>
    <xf numFmtId="195" fontId="41" fillId="0" borderId="0" xfId="64" applyFont="true" applyBorder="false" applyAlignment="true" applyProtection="true">
      <alignment horizontal="center" vertical="bottom" textRotation="0" wrapText="false" indent="0" shrinkToFit="false"/>
      <protection locked="false" hidden="false"/>
    </xf>
    <xf numFmtId="195" fontId="41" fillId="0" borderId="8" xfId="64" applyFont="true" applyBorder="true" applyAlignment="true" applyProtection="true">
      <alignment horizontal="center" vertical="bottom" textRotation="0" wrapText="false" indent="0" shrinkToFit="false"/>
      <protection locked="false" hidden="false"/>
    </xf>
    <xf numFmtId="164" fontId="12" fillId="0" borderId="64" xfId="64" applyFont="true" applyBorder="true" applyAlignment="true" applyProtection="false">
      <alignment horizontal="general" vertical="top" textRotation="0" wrapText="false" indent="0" shrinkToFit="false"/>
      <protection locked="true" hidden="false"/>
    </xf>
    <xf numFmtId="164" fontId="12" fillId="0" borderId="64" xfId="64" applyFont="true" applyBorder="true" applyAlignment="true" applyProtection="false">
      <alignment horizontal="center" vertical="top" textRotation="0" wrapText="false" indent="0" shrinkToFit="false"/>
      <protection locked="true" hidden="false"/>
    </xf>
    <xf numFmtId="197" fontId="0" fillId="0" borderId="0" xfId="64" applyFont="true" applyBorder="false" applyAlignment="true" applyProtection="false">
      <alignment horizontal="right" vertical="bottom" textRotation="0" wrapText="false" indent="1" shrinkToFit="false"/>
      <protection locked="true" hidden="false"/>
    </xf>
    <xf numFmtId="164" fontId="41" fillId="0" borderId="12" xfId="64" applyFont="true" applyBorder="true" applyAlignment="true" applyProtection="false">
      <alignment horizontal="general" vertical="bottom" textRotation="0" wrapText="false" indent="0" shrinkToFit="false"/>
      <protection locked="true" hidden="false"/>
    </xf>
    <xf numFmtId="169" fontId="41" fillId="0" borderId="12" xfId="64" applyFont="true" applyBorder="true" applyAlignment="true" applyProtection="true">
      <alignment horizontal="center" vertical="bottom" textRotation="0" wrapText="false" indent="0" shrinkToFit="false"/>
      <protection locked="false" hidden="false"/>
    </xf>
    <xf numFmtId="195" fontId="41" fillId="0" borderId="12" xfId="64" applyFont="true" applyBorder="true" applyAlignment="true" applyProtection="true">
      <alignment horizontal="center" vertical="bottom" textRotation="0" wrapText="false" indent="0" shrinkToFit="false"/>
      <protection locked="false" hidden="false"/>
    </xf>
    <xf numFmtId="197" fontId="0" fillId="0" borderId="12" xfId="64" applyFont="true" applyBorder="true" applyAlignment="true" applyProtection="false">
      <alignment horizontal="right" vertical="bottom" textRotation="0" wrapText="false" indent="1" shrinkToFit="false"/>
      <protection locked="true" hidden="false"/>
    </xf>
    <xf numFmtId="164" fontId="41" fillId="0" borderId="4" xfId="64" applyFont="true" applyBorder="true" applyAlignment="true" applyProtection="false">
      <alignment horizontal="general" vertical="center" textRotation="0" wrapText="false" indent="0" shrinkToFit="false"/>
      <protection locked="true" hidden="false"/>
    </xf>
    <xf numFmtId="164" fontId="41" fillId="0" borderId="4" xfId="38" applyFont="true" applyBorder="true" applyAlignment="true" applyProtection="true">
      <alignment horizontal="left" vertical="bottom" textRotation="0" wrapText="false" indent="0" shrinkToFit="false"/>
      <protection locked="false" hidden="false"/>
    </xf>
    <xf numFmtId="164" fontId="41" fillId="0" borderId="4" xfId="64" applyFont="true" applyBorder="true" applyAlignment="true" applyProtection="false">
      <alignment horizontal="left" vertical="top" textRotation="0" wrapText="false" indent="0" shrinkToFit="false"/>
      <protection locked="true" hidden="false"/>
    </xf>
    <xf numFmtId="164" fontId="41" fillId="0" borderId="11" xfId="38" applyFont="true" applyBorder="true" applyAlignment="true" applyProtection="true">
      <alignment horizontal="left" vertical="bottom" textRotation="0" wrapText="false" indent="0" shrinkToFit="false"/>
      <protection locked="false" hidden="false"/>
    </xf>
    <xf numFmtId="164" fontId="41" fillId="0" borderId="12" xfId="64" applyFont="true" applyBorder="true" applyAlignment="true" applyProtection="false">
      <alignment horizontal="center" vertical="bottom" textRotation="0" wrapText="false" indent="0" shrinkToFit="false"/>
      <protection locked="true" hidden="false"/>
    </xf>
    <xf numFmtId="164" fontId="41" fillId="0" borderId="12" xfId="64" applyFont="true" applyBorder="true" applyAlignment="true" applyProtection="false">
      <alignment horizontal="left" vertical="bottom" textRotation="0" wrapText="false" indent="0" shrinkToFit="false"/>
      <protection locked="true" hidden="false"/>
    </xf>
    <xf numFmtId="171" fontId="0" fillId="0" borderId="0" xfId="64" applyFont="true" applyBorder="false" applyAlignment="true" applyProtection="true">
      <alignment horizontal="center" vertical="center" textRotation="0" wrapText="false" indent="0" shrinkToFit="false"/>
      <protection locked="false" hidden="false"/>
    </xf>
    <xf numFmtId="197" fontId="0" fillId="0" borderId="0" xfId="64" applyFont="true" applyBorder="false" applyAlignment="true" applyProtection="true">
      <alignment horizontal="center" vertical="center" textRotation="0" wrapText="false" indent="0" shrinkToFit="false"/>
      <protection locked="false" hidden="false"/>
    </xf>
    <xf numFmtId="195" fontId="41" fillId="0" borderId="64" xfId="64" applyFont="true" applyBorder="true" applyAlignment="true" applyProtection="true">
      <alignment horizontal="center" vertical="bottom" textRotation="0" wrapText="false" indent="0" shrinkToFit="false"/>
      <protection locked="false" hidden="false"/>
    </xf>
    <xf numFmtId="164" fontId="41" fillId="0" borderId="0" xfId="64" applyFont="true" applyBorder="true" applyAlignment="true" applyProtection="false">
      <alignment horizontal="left" vertical="bottom" textRotation="0" wrapText="false" indent="0" shrinkToFit="false"/>
      <protection locked="true" hidden="false"/>
    </xf>
    <xf numFmtId="171" fontId="0" fillId="0" borderId="0" xfId="64" applyFont="true" applyBorder="true" applyAlignment="true" applyProtection="true">
      <alignment horizontal="center" vertical="center" textRotation="0" wrapText="false" indent="0" shrinkToFit="false"/>
      <protection locked="false" hidden="false"/>
    </xf>
    <xf numFmtId="197" fontId="0" fillId="0" borderId="0" xfId="64" applyFont="true" applyBorder="true" applyAlignment="true" applyProtection="true">
      <alignment horizontal="center" vertical="center" textRotation="0" wrapText="false" indent="0" shrinkToFit="false"/>
      <protection locked="false" hidden="false"/>
    </xf>
    <xf numFmtId="164" fontId="0" fillId="0" borderId="64" xfId="64" applyFont="true" applyBorder="true" applyAlignment="true" applyProtection="true">
      <alignment horizontal="general" vertical="center" textRotation="0" wrapText="false" indent="0" shrinkToFit="false"/>
      <protection locked="true" hidden="true"/>
    </xf>
    <xf numFmtId="164" fontId="0" fillId="0" borderId="63" xfId="0" applyFont="true" applyBorder="true" applyAlignment="true" applyProtection="false">
      <alignment horizontal="general" vertical="bottom" textRotation="0" wrapText="false" indent="0" shrinkToFit="false"/>
      <protection locked="true" hidden="false"/>
    </xf>
    <xf numFmtId="164" fontId="0" fillId="0" borderId="4" xfId="0" applyFont="true" applyBorder="true" applyAlignment="true" applyProtection="false">
      <alignment horizontal="general" vertical="bottom" textRotation="0" wrapText="false" indent="0" shrinkToFit="false"/>
      <protection locked="true" hidden="false"/>
    </xf>
    <xf numFmtId="197" fontId="0" fillId="0" borderId="0" xfId="64" applyFont="true" applyBorder="true" applyAlignment="true" applyProtection="true">
      <alignment horizontal="center" vertical="center" textRotation="0" wrapText="false" indent="0" shrinkToFit="false"/>
      <protection locked="true" hidden="true"/>
    </xf>
    <xf numFmtId="169" fontId="41" fillId="0" borderId="64" xfId="64" applyFont="true" applyBorder="true" applyAlignment="true" applyProtection="false">
      <alignment horizontal="center" vertical="bottom" textRotation="0" wrapText="false" indent="0" shrinkToFit="false"/>
      <protection locked="true" hidden="false"/>
    </xf>
    <xf numFmtId="195" fontId="41" fillId="0" borderId="66" xfId="64" applyFont="true" applyBorder="true" applyAlignment="true" applyProtection="false">
      <alignment horizontal="center" vertical="bottom" textRotation="0" wrapText="false" indent="0" shrinkToFit="false"/>
      <protection locked="true" hidden="false"/>
    </xf>
    <xf numFmtId="197" fontId="0" fillId="0" borderId="78" xfId="64" applyFont="true" applyBorder="true" applyAlignment="true" applyProtection="false">
      <alignment horizontal="right" vertical="bottom" textRotation="0" wrapText="false" indent="1" shrinkToFit="false"/>
      <protection locked="true" hidden="false"/>
    </xf>
    <xf numFmtId="169" fontId="41" fillId="0" borderId="0" xfId="64" applyFont="true" applyBorder="true" applyAlignment="true" applyProtection="true">
      <alignment horizontal="center" vertical="bottom" textRotation="0" wrapText="false" indent="0" shrinkToFit="false"/>
      <protection locked="false" hidden="false"/>
    </xf>
    <xf numFmtId="197" fontId="0" fillId="0" borderId="64" xfId="64" applyFont="true" applyBorder="true" applyAlignment="true" applyProtection="true">
      <alignment horizontal="center" vertical="center" textRotation="0" wrapText="false" indent="0" shrinkToFit="false"/>
      <protection locked="true" hidden="true"/>
    </xf>
    <xf numFmtId="171" fontId="0" fillId="0" borderId="12" xfId="64" applyFont="true" applyBorder="true" applyAlignment="true" applyProtection="true">
      <alignment horizontal="center" vertical="center" textRotation="0" wrapText="false" indent="0" shrinkToFit="false"/>
      <protection locked="false" hidden="false"/>
    </xf>
    <xf numFmtId="197" fontId="0" fillId="0" borderId="12" xfId="64" applyFont="true" applyBorder="true" applyAlignment="true" applyProtection="true">
      <alignment horizontal="center" vertical="center" textRotation="0" wrapText="false" indent="0" shrinkToFit="false"/>
      <protection locked="false" hidden="false"/>
    </xf>
    <xf numFmtId="169" fontId="41" fillId="0" borderId="0" xfId="64" applyFont="true" applyBorder="false" applyAlignment="true" applyProtection="false">
      <alignment horizontal="center" vertical="bottom" textRotation="0" wrapText="false" indent="0" shrinkToFit="false"/>
      <protection locked="true" hidden="false"/>
    </xf>
    <xf numFmtId="197" fontId="0" fillId="0" borderId="10" xfId="64" applyFont="true" applyBorder="true" applyAlignment="true" applyProtection="false">
      <alignment horizontal="right" vertical="bottom" textRotation="0" wrapText="false" indent="1" shrinkToFit="false"/>
      <protection locked="true" hidden="false"/>
    </xf>
    <xf numFmtId="197" fontId="0" fillId="0" borderId="5" xfId="64" applyFont="true" applyBorder="true" applyAlignment="true" applyProtection="false">
      <alignment horizontal="right" vertical="bottom" textRotation="0" wrapText="false" indent="1" shrinkToFit="false"/>
      <protection locked="true" hidden="false"/>
    </xf>
    <xf numFmtId="179" fontId="41" fillId="0" borderId="12" xfId="64" applyFont="true" applyBorder="true" applyAlignment="true" applyProtection="false">
      <alignment horizontal="general" vertical="bottom" textRotation="0" wrapText="false" indent="0" shrinkToFit="false"/>
      <protection locked="true" hidden="false"/>
    </xf>
    <xf numFmtId="164" fontId="12" fillId="0" borderId="0" xfId="60" applyFont="true" applyBorder="false" applyAlignment="false" applyProtection="false">
      <alignment horizontal="general" vertical="bottom" textRotation="0" wrapText="false" indent="0" shrinkToFit="false"/>
      <protection locked="true" hidden="false"/>
    </xf>
    <xf numFmtId="164" fontId="41" fillId="0" borderId="0" xfId="97" applyFont="true" applyBorder="false" applyAlignment="true" applyProtection="true">
      <alignment horizontal="left" vertical="top" textRotation="0" wrapText="false" indent="0" shrinkToFit="false"/>
      <protection locked="false" hidden="false"/>
    </xf>
    <xf numFmtId="164" fontId="7" fillId="0" borderId="0" xfId="97" applyFont="true" applyBorder="false" applyAlignment="true" applyProtection="true">
      <alignment horizontal="left" vertical="center" textRotation="0" wrapText="false" indent="0" shrinkToFit="false"/>
      <protection locked="false" hidden="false"/>
    </xf>
    <xf numFmtId="164" fontId="41" fillId="3" borderId="7" xfId="41" applyFont="true" applyBorder="true" applyAlignment="false" applyProtection="false">
      <alignment horizontal="general" vertical="bottom" textRotation="0" wrapText="false" indent="0" shrinkToFit="false"/>
      <protection locked="true" hidden="false"/>
    </xf>
    <xf numFmtId="164" fontId="41" fillId="3" borderId="8" xfId="41" applyFont="true" applyBorder="true" applyAlignment="false" applyProtection="false">
      <alignment horizontal="general" vertical="bottom" textRotation="0" wrapText="false" indent="0" shrinkToFit="false"/>
      <protection locked="true" hidden="false"/>
    </xf>
    <xf numFmtId="164" fontId="41" fillId="3" borderId="89" xfId="41" applyFont="true" applyBorder="true" applyAlignment="false" applyProtection="false">
      <alignment horizontal="general" vertical="bottom" textRotation="0" wrapText="false" indent="0" shrinkToFit="false"/>
      <protection locked="true" hidden="false"/>
    </xf>
    <xf numFmtId="164" fontId="0" fillId="3" borderId="85" xfId="97" applyFont="true" applyBorder="true" applyAlignment="true" applyProtection="true">
      <alignment horizontal="center" vertical="bottom" textRotation="0" wrapText="false" indent="0" shrinkToFit="false"/>
      <protection locked="false" hidden="false"/>
    </xf>
    <xf numFmtId="164" fontId="0" fillId="3" borderId="8" xfId="97" applyFont="true" applyBorder="true" applyAlignment="true" applyProtection="true">
      <alignment horizontal="center" vertical="bottom" textRotation="0" wrapText="false" indent="0" shrinkToFit="false"/>
      <protection locked="false" hidden="false"/>
    </xf>
    <xf numFmtId="164" fontId="0" fillId="3" borderId="89" xfId="97" applyFont="true" applyBorder="true" applyAlignment="true" applyProtection="true">
      <alignment horizontal="center" vertical="bottom" textRotation="0" wrapText="false" indent="0" shrinkToFit="false"/>
      <protection locked="false" hidden="false"/>
    </xf>
    <xf numFmtId="164" fontId="0" fillId="3" borderId="65" xfId="97" applyFont="true" applyBorder="true" applyAlignment="true" applyProtection="true">
      <alignment horizontal="center" vertical="bottom" textRotation="0" wrapText="false" indent="0" shrinkToFit="false"/>
      <protection locked="false" hidden="false"/>
    </xf>
    <xf numFmtId="164" fontId="0" fillId="0" borderId="63" xfId="76" applyFont="true" applyBorder="true" applyAlignment="true" applyProtection="false">
      <alignment horizontal="center" vertical="bottom" textRotation="0" wrapText="false" indent="0" shrinkToFit="false"/>
      <protection locked="true" hidden="false"/>
    </xf>
    <xf numFmtId="164" fontId="0" fillId="0" borderId="64" xfId="76" applyFont="true" applyBorder="true" applyAlignment="true" applyProtection="false">
      <alignment horizontal="left" vertical="bottom" textRotation="0" wrapText="false" indent="0" shrinkToFit="false"/>
      <protection locked="true" hidden="false"/>
    </xf>
    <xf numFmtId="182" fontId="0" fillId="0" borderId="64" xfId="97" applyFont="true" applyBorder="true" applyAlignment="true" applyProtection="false">
      <alignment horizontal="right" vertical="top" textRotation="0" wrapText="false" indent="0" shrinkToFit="false"/>
      <protection locked="true" hidden="false"/>
    </xf>
    <xf numFmtId="182" fontId="0" fillId="0" borderId="64" xfId="97" applyFont="true" applyBorder="true" applyAlignment="true" applyProtection="false">
      <alignment horizontal="right" vertical="center" textRotation="0" wrapText="false" indent="0" shrinkToFit="false"/>
      <protection locked="true" hidden="false"/>
    </xf>
    <xf numFmtId="182" fontId="0" fillId="0" borderId="64" xfId="97" applyFont="true" applyBorder="true" applyAlignment="true" applyProtection="false">
      <alignment horizontal="center" vertical="center" textRotation="0" wrapText="false" indent="0" shrinkToFit="false"/>
      <protection locked="true" hidden="false"/>
    </xf>
    <xf numFmtId="182" fontId="0" fillId="0" borderId="66" xfId="97" applyFont="true" applyBorder="true" applyAlignment="true" applyProtection="false">
      <alignment horizontal="center" vertical="center" textRotation="0" wrapText="false" indent="0" shrinkToFit="false"/>
      <protection locked="true" hidden="false"/>
    </xf>
    <xf numFmtId="182" fontId="0" fillId="0" borderId="78" xfId="97" applyFont="true" applyBorder="true" applyAlignment="true" applyProtection="false">
      <alignment horizontal="center" vertical="center" textRotation="0" wrapText="false" indent="0" shrinkToFit="false"/>
      <protection locked="true" hidden="false"/>
    </xf>
    <xf numFmtId="164" fontId="0" fillId="0" borderId="4" xfId="76" applyFont="true" applyBorder="true" applyAlignment="true" applyProtection="false">
      <alignment horizontal="center" vertical="bottom" textRotation="0" wrapText="false" indent="0" shrinkToFit="false"/>
      <protection locked="true" hidden="false"/>
    </xf>
    <xf numFmtId="164" fontId="0" fillId="0" borderId="0" xfId="76" applyFont="true" applyBorder="true" applyAlignment="true" applyProtection="false">
      <alignment horizontal="left" vertical="bottom" textRotation="0" wrapText="false" indent="0" shrinkToFit="false"/>
      <protection locked="true" hidden="false"/>
    </xf>
    <xf numFmtId="182" fontId="0" fillId="0" borderId="0" xfId="97" applyFont="true" applyBorder="true" applyAlignment="true" applyProtection="false">
      <alignment horizontal="right" vertical="top" textRotation="0" wrapText="false" indent="0" shrinkToFit="false"/>
      <protection locked="true" hidden="false"/>
    </xf>
    <xf numFmtId="182" fontId="0" fillId="0" borderId="0" xfId="97" applyFont="true" applyBorder="true" applyAlignment="true" applyProtection="false">
      <alignment horizontal="right" vertical="center" textRotation="0" wrapText="false" indent="0" shrinkToFit="false"/>
      <protection locked="true" hidden="false"/>
    </xf>
    <xf numFmtId="182" fontId="0" fillId="0" borderId="0" xfId="97" applyFont="true" applyBorder="true" applyAlignment="true" applyProtection="false">
      <alignment horizontal="center" vertical="center" textRotation="0" wrapText="false" indent="0" shrinkToFit="false"/>
      <protection locked="true" hidden="false"/>
    </xf>
    <xf numFmtId="182" fontId="0" fillId="0" borderId="68" xfId="97" applyFont="true" applyBorder="true" applyAlignment="true" applyProtection="false">
      <alignment horizontal="center" vertical="center" textRotation="0" wrapText="false" indent="0" shrinkToFit="false"/>
      <protection locked="true" hidden="false"/>
    </xf>
    <xf numFmtId="182" fontId="0" fillId="0" borderId="67" xfId="97" applyFont="true" applyBorder="true" applyAlignment="true" applyProtection="false">
      <alignment horizontal="center" vertical="center" textRotation="0" wrapText="false" indent="0" shrinkToFit="false"/>
      <protection locked="true" hidden="false"/>
    </xf>
    <xf numFmtId="164" fontId="0" fillId="0" borderId="11" xfId="76" applyFont="true" applyBorder="true" applyAlignment="true" applyProtection="false">
      <alignment horizontal="center" vertical="bottom" textRotation="0" wrapText="false" indent="0" shrinkToFit="false"/>
      <protection locked="true" hidden="false"/>
    </xf>
    <xf numFmtId="164" fontId="0" fillId="0" borderId="12" xfId="76" applyFont="true" applyBorder="true" applyAlignment="true" applyProtection="false">
      <alignment horizontal="left" vertical="bottom" textRotation="0" wrapText="false" indent="0" shrinkToFit="false"/>
      <protection locked="true" hidden="false"/>
    </xf>
    <xf numFmtId="182" fontId="0" fillId="0" borderId="12" xfId="97" applyFont="true" applyBorder="true" applyAlignment="true" applyProtection="false">
      <alignment horizontal="right" vertical="top" textRotation="0" wrapText="false" indent="0" shrinkToFit="false"/>
      <protection locked="true" hidden="false"/>
    </xf>
    <xf numFmtId="182" fontId="0" fillId="0" borderId="12" xfId="97" applyFont="true" applyBorder="true" applyAlignment="true" applyProtection="false">
      <alignment horizontal="right" vertical="center" textRotation="0" wrapText="false" indent="0" shrinkToFit="false"/>
      <protection locked="true" hidden="false"/>
    </xf>
    <xf numFmtId="182" fontId="0" fillId="0" borderId="12" xfId="97" applyFont="true" applyBorder="true" applyAlignment="true" applyProtection="false">
      <alignment horizontal="center" vertical="center" textRotation="0" wrapText="false" indent="0" shrinkToFit="false"/>
      <protection locked="true" hidden="false"/>
    </xf>
    <xf numFmtId="182" fontId="0" fillId="0" borderId="69" xfId="97" applyFont="true" applyBorder="true" applyAlignment="true" applyProtection="false">
      <alignment horizontal="center" vertical="center" textRotation="0" wrapText="false" indent="0" shrinkToFit="false"/>
      <protection locked="true" hidden="false"/>
    </xf>
    <xf numFmtId="182" fontId="0" fillId="0" borderId="70" xfId="97" applyFont="true" applyBorder="true" applyAlignment="true" applyProtection="false">
      <alignment horizontal="center" vertical="center" textRotation="0" wrapText="false" indent="0" shrinkToFit="false"/>
      <protection locked="true" hidden="false"/>
    </xf>
    <xf numFmtId="164" fontId="0" fillId="0" borderId="0" xfId="76" applyFont="true" applyBorder="false" applyAlignment="true" applyProtection="false">
      <alignment horizontal="general" vertical="bottom" textRotation="0" wrapText="false" indent="0" shrinkToFit="false"/>
      <protection locked="true" hidden="false"/>
    </xf>
    <xf numFmtId="182" fontId="0" fillId="0" borderId="0" xfId="97" applyFont="true" applyBorder="false" applyAlignment="true" applyProtection="false">
      <alignment horizontal="general" vertical="top" textRotation="0" wrapText="false" indent="0" shrinkToFit="false"/>
      <protection locked="true" hidden="false"/>
    </xf>
    <xf numFmtId="182" fontId="0" fillId="0" borderId="0" xfId="97" applyFont="true" applyBorder="false" applyAlignment="true" applyProtection="false">
      <alignment horizontal="general" vertical="center" textRotation="0" wrapText="false" indent="0" shrinkToFit="false"/>
      <protection locked="true" hidden="false"/>
    </xf>
    <xf numFmtId="164" fontId="0" fillId="0" borderId="0" xfId="73" applyFont="true" applyBorder="false" applyAlignment="true" applyProtection="true">
      <alignment horizontal="right" vertical="center" textRotation="0" wrapText="false" indent="0" shrinkToFit="false"/>
      <protection locked="true" hidden="true"/>
    </xf>
    <xf numFmtId="184" fontId="0" fillId="0" borderId="0" xfId="41" applyFont="true" applyBorder="true" applyAlignment="true" applyProtection="false">
      <alignment horizontal="center" vertical="center" textRotation="0" wrapText="false" indent="0" shrinkToFit="false"/>
      <protection locked="true" hidden="false"/>
    </xf>
    <xf numFmtId="171" fontId="0" fillId="0" borderId="0" xfId="97" applyFont="true" applyBorder="false" applyAlignment="true" applyProtection="false">
      <alignment horizontal="general" vertical="center" textRotation="0" wrapText="false" indent="0" shrinkToFit="false"/>
      <protection locked="true" hidden="false"/>
    </xf>
    <xf numFmtId="184" fontId="0" fillId="0" borderId="0" xfId="41" applyFont="true" applyBorder="false" applyAlignment="true" applyProtection="false">
      <alignment horizontal="center" vertical="center" textRotation="0" wrapText="false" indent="0" shrinkToFit="false"/>
      <protection locked="true" hidden="false"/>
    </xf>
    <xf numFmtId="164" fontId="7" fillId="0" borderId="0" xfId="97" applyFont="true" applyBorder="false" applyAlignment="true" applyProtection="true">
      <alignment horizontal="left" vertical="top" textRotation="0" wrapText="false" indent="0" shrinkToFit="false"/>
      <protection locked="false" hidden="false"/>
    </xf>
    <xf numFmtId="164" fontId="41" fillId="3" borderId="72" xfId="41" applyFont="true" applyBorder="true" applyAlignment="true" applyProtection="false">
      <alignment horizontal="center" vertical="bottom" textRotation="0" wrapText="false" indent="0" shrinkToFit="false"/>
      <protection locked="true" hidden="false"/>
    </xf>
    <xf numFmtId="164" fontId="41" fillId="3" borderId="77" xfId="41" applyFont="true" applyBorder="true" applyAlignment="true" applyProtection="false">
      <alignment horizontal="center" vertical="bottom" textRotation="0" wrapText="false" indent="0" shrinkToFit="false"/>
      <protection locked="true" hidden="false"/>
    </xf>
    <xf numFmtId="184" fontId="41" fillId="3" borderId="93" xfId="41" applyFont="true" applyBorder="true" applyAlignment="true" applyProtection="false">
      <alignment horizontal="center" vertical="bottom" textRotation="0" wrapText="false" indent="0" shrinkToFit="false"/>
      <protection locked="true" hidden="false"/>
    </xf>
    <xf numFmtId="185" fontId="41" fillId="0" borderId="64" xfId="41" applyFont="true" applyBorder="true" applyAlignment="true" applyProtection="false">
      <alignment horizontal="center" vertical="bottom" textRotation="0" wrapText="false" indent="0" shrinkToFit="false"/>
      <protection locked="true" hidden="false"/>
    </xf>
    <xf numFmtId="182" fontId="0" fillId="0" borderId="20" xfId="97" applyFont="true" applyBorder="true" applyAlignment="true" applyProtection="false">
      <alignment horizontal="center" vertical="center" textRotation="0" wrapText="false" indent="0" shrinkToFit="false"/>
      <protection locked="true" hidden="false"/>
    </xf>
    <xf numFmtId="185" fontId="41" fillId="0" borderId="0" xfId="41" applyFont="true" applyBorder="true" applyAlignment="true" applyProtection="false">
      <alignment horizontal="center" vertical="bottom" textRotation="0" wrapText="false" indent="0" shrinkToFit="false"/>
      <protection locked="true" hidden="false"/>
    </xf>
    <xf numFmtId="182" fontId="0" fillId="0" borderId="5" xfId="97" applyFont="true" applyBorder="true" applyAlignment="true" applyProtection="false">
      <alignment horizontal="center" vertical="center" textRotation="0" wrapText="false" indent="0" shrinkToFit="false"/>
      <protection locked="true" hidden="false"/>
    </xf>
    <xf numFmtId="185" fontId="41" fillId="0" borderId="12" xfId="41" applyFont="true" applyBorder="true" applyAlignment="true" applyProtection="false">
      <alignment horizontal="center" vertical="bottom" textRotation="0" wrapText="false" indent="0" shrinkToFit="false"/>
      <protection locked="true" hidden="false"/>
    </xf>
    <xf numFmtId="182" fontId="0" fillId="0" borderId="84" xfId="97" applyFont="true" applyBorder="true" applyAlignment="true" applyProtection="false">
      <alignment horizontal="center" vertical="center" textRotation="0" wrapText="false" indent="0" shrinkToFit="false"/>
      <protection locked="true" hidden="false"/>
    </xf>
    <xf numFmtId="164" fontId="41" fillId="0" borderId="0" xfId="76" applyFont="true" applyBorder="false" applyAlignment="true" applyProtection="false">
      <alignment horizontal="general" vertical="bottom" textRotation="0" wrapText="false" indent="0" shrinkToFit="false"/>
      <protection locked="true" hidden="false"/>
    </xf>
    <xf numFmtId="164" fontId="41" fillId="0" borderId="0" xfId="41" applyFont="true" applyBorder="false" applyAlignment="true" applyProtection="false">
      <alignment horizontal="right" vertical="center" textRotation="0" wrapText="false" indent="0" shrinkToFit="false"/>
      <protection locked="true" hidden="false"/>
    </xf>
    <xf numFmtId="184" fontId="41" fillId="0" borderId="0" xfId="41" applyFont="true" applyBorder="true" applyAlignment="true" applyProtection="false">
      <alignment horizontal="center" vertical="center" textRotation="0" wrapText="false" indent="0" shrinkToFit="false"/>
      <protection locked="true" hidden="false"/>
    </xf>
    <xf numFmtId="185" fontId="41" fillId="0" borderId="0" xfId="41" applyFont="true" applyBorder="false" applyAlignment="false" applyProtection="false">
      <alignment horizontal="general" vertical="bottom" textRotation="0" wrapText="false" indent="0" shrinkToFit="false"/>
      <protection locked="true" hidden="false"/>
    </xf>
    <xf numFmtId="164" fontId="23" fillId="0" borderId="0" xfId="41" applyFont="true" applyBorder="false" applyAlignment="true" applyProtection="false">
      <alignment horizontal="general" vertical="top" textRotation="0" wrapText="false" indent="0" shrinkToFit="false"/>
      <protection locked="true" hidden="false"/>
    </xf>
    <xf numFmtId="164" fontId="41" fillId="0" borderId="0" xfId="41" applyFont="true" applyBorder="false" applyAlignment="true" applyProtection="false">
      <alignment horizontal="general" vertical="center" textRotation="0" wrapText="false" indent="0" shrinkToFit="false"/>
      <protection locked="true" hidden="false"/>
    </xf>
    <xf numFmtId="164" fontId="61" fillId="0" borderId="0" xfId="73" applyFont="true" applyBorder="true" applyAlignment="true" applyProtection="true">
      <alignment horizontal="left" vertical="center" textRotation="0" wrapText="true" indent="0" shrinkToFit="false"/>
      <protection locked="true" hidden="true"/>
    </xf>
    <xf numFmtId="164" fontId="23" fillId="0" borderId="0" xfId="73" applyFont="true" applyBorder="false" applyAlignment="true" applyProtection="true">
      <alignment horizontal="left" vertical="center" textRotation="0" wrapText="true" indent="0" shrinkToFit="false"/>
      <protection locked="true" hidden="true"/>
    </xf>
    <xf numFmtId="171" fontId="46" fillId="0" borderId="64" xfId="97" applyFont="true" applyBorder="true" applyAlignment="true" applyProtection="false">
      <alignment horizontal="center" vertical="bottom" textRotation="0" wrapText="false" indent="0" shrinkToFit="false"/>
      <protection locked="true" hidden="false"/>
    </xf>
    <xf numFmtId="164" fontId="0" fillId="0" borderId="0" xfId="97" applyFont="true" applyBorder="false" applyAlignment="true" applyProtection="false">
      <alignment horizontal="left" vertical="center" textRotation="0" wrapText="false" indent="0" shrinkToFit="false"/>
      <protection locked="true" hidden="false"/>
    </xf>
    <xf numFmtId="164" fontId="41" fillId="3" borderId="72" xfId="41" applyFont="true" applyBorder="true" applyAlignment="true" applyProtection="false">
      <alignment horizontal="left" vertical="bottom" textRotation="0" wrapText="false" indent="0" shrinkToFit="false"/>
      <protection locked="true" hidden="false"/>
    </xf>
    <xf numFmtId="164" fontId="0" fillId="3" borderId="85" xfId="97" applyFont="true" applyBorder="true" applyAlignment="true" applyProtection="false">
      <alignment horizontal="center" vertical="bottom" textRotation="0" wrapText="true" indent="0" shrinkToFit="false"/>
      <protection locked="true" hidden="false"/>
    </xf>
    <xf numFmtId="164" fontId="0" fillId="3" borderId="89" xfId="97" applyFont="true" applyBorder="true" applyAlignment="true" applyProtection="false">
      <alignment horizontal="center" vertical="bottom" textRotation="0" wrapText="true" indent="0" shrinkToFit="false"/>
      <protection locked="true" hidden="false"/>
    </xf>
    <xf numFmtId="164" fontId="0" fillId="3" borderId="86" xfId="73" applyFont="true" applyBorder="true" applyAlignment="true" applyProtection="true">
      <alignment horizontal="center" vertical="center" textRotation="0" wrapText="true" indent="0" shrinkToFit="false"/>
      <protection locked="true" hidden="true"/>
    </xf>
    <xf numFmtId="164" fontId="0" fillId="3" borderId="73" xfId="97" applyFont="true" applyBorder="true" applyAlignment="true" applyProtection="false">
      <alignment horizontal="center" vertical="bottom" textRotation="0" wrapText="true" indent="0" shrinkToFit="false"/>
      <protection locked="true" hidden="false"/>
    </xf>
    <xf numFmtId="183" fontId="0" fillId="0" borderId="74" xfId="97" applyFont="true" applyBorder="true" applyAlignment="true" applyProtection="false">
      <alignment horizontal="center" vertical="bottom" textRotation="0" wrapText="false" indent="0" shrinkToFit="false"/>
      <protection locked="true" hidden="false"/>
    </xf>
    <xf numFmtId="164" fontId="0" fillId="0" borderId="20" xfId="76" applyFont="true" applyBorder="true" applyAlignment="true" applyProtection="false">
      <alignment horizontal="left" vertical="bottom" textRotation="0" wrapText="false" indent="0" shrinkToFit="false"/>
      <protection locked="true" hidden="false"/>
    </xf>
    <xf numFmtId="171" fontId="0" fillId="0" borderId="64" xfId="97" applyFont="true" applyBorder="true" applyAlignment="true" applyProtection="false">
      <alignment horizontal="center" vertical="center" textRotation="0" wrapText="false" indent="0" shrinkToFit="false"/>
      <protection locked="true" hidden="false"/>
    </xf>
    <xf numFmtId="171" fontId="0" fillId="0" borderId="66" xfId="97" applyFont="true" applyBorder="true" applyAlignment="true" applyProtection="false">
      <alignment horizontal="center" vertical="center" textRotation="0" wrapText="true" indent="0" shrinkToFit="false"/>
      <protection locked="true" hidden="false"/>
    </xf>
    <xf numFmtId="184" fontId="41" fillId="0" borderId="78" xfId="41" applyFont="true" applyBorder="true" applyAlignment="true" applyProtection="false">
      <alignment horizontal="center" vertical="bottom" textRotation="0" wrapText="false" indent="0" shrinkToFit="false"/>
      <protection locked="true" hidden="false"/>
    </xf>
    <xf numFmtId="171" fontId="0" fillId="0" borderId="3" xfId="97" applyFont="true" applyBorder="true" applyAlignment="true" applyProtection="false">
      <alignment horizontal="center" vertical="center" textRotation="0" wrapText="false" indent="0" shrinkToFit="false"/>
      <protection locked="true" hidden="false"/>
    </xf>
    <xf numFmtId="164" fontId="0" fillId="0" borderId="5" xfId="76" applyFont="true" applyBorder="true" applyAlignment="true" applyProtection="false">
      <alignment horizontal="left" vertical="bottom" textRotation="0" wrapText="false" indent="0" shrinkToFit="false"/>
      <protection locked="true" hidden="false"/>
    </xf>
    <xf numFmtId="171" fontId="0" fillId="0" borderId="0" xfId="97" applyFont="true" applyBorder="true" applyAlignment="true" applyProtection="false">
      <alignment horizontal="center" vertical="center" textRotation="0" wrapText="false" indent="0" shrinkToFit="false"/>
      <protection locked="true" hidden="false"/>
    </xf>
    <xf numFmtId="171" fontId="0" fillId="0" borderId="68" xfId="97" applyFont="true" applyBorder="true" applyAlignment="true" applyProtection="false">
      <alignment horizontal="center" vertical="center" textRotation="0" wrapText="true" indent="0" shrinkToFit="false"/>
      <protection locked="true" hidden="false"/>
    </xf>
    <xf numFmtId="184" fontId="41" fillId="0" borderId="67" xfId="41" applyFont="true" applyBorder="true" applyAlignment="true" applyProtection="false">
      <alignment horizontal="center" vertical="bottom" textRotation="0" wrapText="false" indent="0" shrinkToFit="false"/>
      <protection locked="true" hidden="false"/>
    </xf>
    <xf numFmtId="171" fontId="0" fillId="0" borderId="6" xfId="97" applyFont="true" applyBorder="true" applyAlignment="true" applyProtection="false">
      <alignment horizontal="center" vertical="center" textRotation="0" wrapText="false" indent="0" shrinkToFit="false"/>
      <protection locked="true" hidden="false"/>
    </xf>
    <xf numFmtId="175" fontId="0" fillId="0" borderId="84" xfId="76" applyFont="true" applyBorder="true" applyAlignment="true" applyProtection="false">
      <alignment horizontal="left" vertical="bottom" textRotation="0" wrapText="false" indent="0" shrinkToFit="false"/>
      <protection locked="true" hidden="false"/>
    </xf>
    <xf numFmtId="171" fontId="0" fillId="0" borderId="12" xfId="97" applyFont="true" applyBorder="true" applyAlignment="true" applyProtection="false">
      <alignment horizontal="center" vertical="center" textRotation="0" wrapText="false" indent="0" shrinkToFit="false"/>
      <protection locked="true" hidden="false"/>
    </xf>
    <xf numFmtId="171" fontId="0" fillId="0" borderId="69" xfId="97" applyFont="true" applyBorder="true" applyAlignment="true" applyProtection="false">
      <alignment horizontal="center" vertical="center" textRotation="0" wrapText="true" indent="0" shrinkToFit="false"/>
      <protection locked="true" hidden="false"/>
    </xf>
    <xf numFmtId="184" fontId="41" fillId="0" borderId="70" xfId="41" applyFont="true" applyBorder="true" applyAlignment="true" applyProtection="false">
      <alignment horizontal="center" vertical="bottom" textRotation="0" wrapText="false" indent="0" shrinkToFit="false"/>
      <protection locked="true" hidden="false"/>
    </xf>
    <xf numFmtId="171" fontId="0" fillId="0" borderId="94" xfId="97" applyFont="true" applyBorder="true" applyAlignment="true" applyProtection="false">
      <alignment horizontal="center" vertical="center" textRotation="0" wrapText="false" indent="0" shrinkToFit="false"/>
      <protection locked="true" hidden="false"/>
    </xf>
    <xf numFmtId="171" fontId="0" fillId="0" borderId="0" xfId="97" applyFont="true" applyBorder="false" applyAlignment="true" applyProtection="false">
      <alignment horizontal="general" vertical="center" textRotation="0" wrapText="true" indent="0" shrinkToFit="false"/>
      <protection locked="true" hidden="false"/>
    </xf>
    <xf numFmtId="184" fontId="41" fillId="0" borderId="0" xfId="41" applyFont="true" applyBorder="false" applyAlignment="false" applyProtection="false">
      <alignment horizontal="general" vertical="bottom" textRotation="0" wrapText="false" indent="0" shrinkToFit="false"/>
      <protection locked="true" hidden="false"/>
    </xf>
    <xf numFmtId="171" fontId="0" fillId="0" borderId="0" xfId="73" applyFont="true" applyBorder="true" applyAlignment="true" applyProtection="true">
      <alignment horizontal="center" vertical="center" textRotation="0" wrapText="false" indent="0" shrinkToFit="false"/>
      <protection locked="true" hidden="true"/>
    </xf>
    <xf numFmtId="184" fontId="41" fillId="0" borderId="0" xfId="41" applyFont="true" applyBorder="false" applyAlignment="true" applyProtection="false">
      <alignment horizontal="general" vertical="center" textRotation="0" wrapText="false" indent="0" shrinkToFit="false"/>
      <protection locked="true" hidden="false"/>
    </xf>
    <xf numFmtId="164" fontId="0" fillId="3" borderId="7" xfId="41" applyFont="true" applyBorder="true" applyAlignment="true" applyProtection="false">
      <alignment horizontal="left" vertical="bottom" textRotation="0" wrapText="false" indent="0" shrinkToFit="false"/>
      <protection locked="true" hidden="false"/>
    </xf>
    <xf numFmtId="164" fontId="0" fillId="3" borderId="8" xfId="73" applyFont="true" applyBorder="true" applyAlignment="true" applyProtection="true">
      <alignment horizontal="center" vertical="bottom" textRotation="0" wrapText="false" indent="0" shrinkToFit="false"/>
      <protection locked="true" hidden="true"/>
    </xf>
    <xf numFmtId="164" fontId="0" fillId="3" borderId="8" xfId="73" applyFont="true" applyBorder="true" applyAlignment="true" applyProtection="true">
      <alignment horizontal="center" vertical="bottom" textRotation="0" wrapText="true" indent="0" shrinkToFit="false"/>
      <protection locked="true" hidden="true"/>
    </xf>
    <xf numFmtId="164" fontId="0" fillId="0" borderId="63" xfId="88" applyFont="true" applyBorder="true" applyAlignment="true" applyProtection="false">
      <alignment horizontal="general" vertical="top" textRotation="0" wrapText="false" indent="0" shrinkToFit="false"/>
      <protection locked="true" hidden="false"/>
    </xf>
    <xf numFmtId="164" fontId="0" fillId="0" borderId="64" xfId="88" applyFont="true" applyBorder="true" applyAlignment="true" applyProtection="false">
      <alignment horizontal="general" vertical="top" textRotation="0" wrapText="false" indent="0" shrinkToFit="false"/>
      <protection locked="true" hidden="false"/>
    </xf>
    <xf numFmtId="164" fontId="0" fillId="0" borderId="64" xfId="88" applyFont="true" applyBorder="true" applyAlignment="true" applyProtection="false">
      <alignment horizontal="center" vertical="top" textRotation="0" wrapText="false" indent="0" shrinkToFit="false"/>
      <protection locked="true" hidden="false"/>
    </xf>
    <xf numFmtId="184" fontId="41" fillId="0" borderId="20" xfId="41" applyFont="true" applyBorder="true" applyAlignment="true" applyProtection="false">
      <alignment horizontal="center" vertical="bottom" textRotation="0" wrapText="false" indent="0" shrinkToFit="false"/>
      <protection locked="true" hidden="false"/>
    </xf>
    <xf numFmtId="164" fontId="0" fillId="0" borderId="11" xfId="88" applyFont="true" applyBorder="true" applyAlignment="true" applyProtection="false">
      <alignment horizontal="general" vertical="top" textRotation="0" wrapText="false" indent="0" shrinkToFit="false"/>
      <protection locked="true" hidden="false"/>
    </xf>
    <xf numFmtId="164" fontId="0" fillId="0" borderId="12" xfId="88" applyFont="true" applyBorder="true" applyAlignment="true" applyProtection="false">
      <alignment horizontal="left" vertical="top" textRotation="0" wrapText="false" indent="0" shrinkToFit="false"/>
      <protection locked="true" hidden="false"/>
    </xf>
    <xf numFmtId="164" fontId="0" fillId="0" borderId="12" xfId="88" applyFont="true" applyBorder="true" applyAlignment="true" applyProtection="false">
      <alignment horizontal="center" vertical="top" textRotation="0" wrapText="false" indent="0" shrinkToFit="false"/>
      <protection locked="true" hidden="false"/>
    </xf>
    <xf numFmtId="184" fontId="41" fillId="0" borderId="84" xfId="41" applyFont="true" applyBorder="true" applyAlignment="true" applyProtection="false">
      <alignment horizontal="center" vertical="bottom" textRotation="0" wrapText="false" indent="0" shrinkToFit="false"/>
      <protection locked="true" hidden="false"/>
    </xf>
    <xf numFmtId="164" fontId="12" fillId="0" borderId="0" xfId="41" applyFont="true" applyBorder="false" applyAlignment="false" applyProtection="false">
      <alignment horizontal="general" vertical="bottom" textRotation="0" wrapText="false" indent="0" shrinkToFit="false"/>
      <protection locked="true" hidden="false"/>
    </xf>
    <xf numFmtId="164" fontId="41" fillId="3" borderId="95" xfId="41" applyFont="true" applyBorder="true" applyAlignment="true" applyProtection="false">
      <alignment horizontal="left" vertical="bottom" textRotation="0" wrapText="false" indent="0" shrinkToFit="false"/>
      <protection locked="true" hidden="false"/>
    </xf>
    <xf numFmtId="164" fontId="0" fillId="3" borderId="96" xfId="97" applyFont="true" applyBorder="true" applyAlignment="true" applyProtection="false">
      <alignment horizontal="center" vertical="bottom" textRotation="0" wrapText="true" indent="0" shrinkToFit="false"/>
      <protection locked="true" hidden="false"/>
    </xf>
    <xf numFmtId="164" fontId="0" fillId="3" borderId="9" xfId="97" applyFont="true" applyBorder="true" applyAlignment="true" applyProtection="false">
      <alignment horizontal="center" vertical="bottom" textRotation="0" wrapText="true" indent="0" shrinkToFit="false"/>
      <protection locked="true" hidden="false"/>
    </xf>
    <xf numFmtId="183" fontId="0" fillId="0" borderId="3" xfId="97" applyFont="true" applyBorder="true" applyAlignment="true" applyProtection="false">
      <alignment horizontal="center" vertical="bottom" textRotation="0" wrapText="true" indent="0" shrinkToFit="false"/>
      <protection locked="true" hidden="false"/>
    </xf>
    <xf numFmtId="164" fontId="50" fillId="3" borderId="97" xfId="97" applyFont="true" applyBorder="true" applyAlignment="true" applyProtection="false">
      <alignment horizontal="center" vertical="bottom" textRotation="0" wrapText="true" indent="0" shrinkToFit="false"/>
      <protection locked="true" hidden="false"/>
    </xf>
    <xf numFmtId="164" fontId="50" fillId="3" borderId="98" xfId="97" applyFont="true" applyBorder="true" applyAlignment="true" applyProtection="false">
      <alignment horizontal="center" vertical="bottom" textRotation="0" wrapText="true" indent="0" shrinkToFit="false"/>
      <protection locked="true" hidden="false"/>
    </xf>
    <xf numFmtId="164" fontId="50" fillId="3" borderId="98" xfId="97" applyFont="true" applyBorder="true" applyAlignment="true" applyProtection="false">
      <alignment horizontal="center" vertical="bottom" textRotation="0" wrapText="false" indent="0" shrinkToFit="false"/>
      <protection locked="true" hidden="false"/>
    </xf>
    <xf numFmtId="164" fontId="50" fillId="3" borderId="99" xfId="97" applyFont="true" applyBorder="true" applyAlignment="true" applyProtection="false">
      <alignment horizontal="center" vertical="bottom" textRotation="0" wrapText="true" indent="0" shrinkToFit="false"/>
      <protection locked="true" hidden="false"/>
    </xf>
    <xf numFmtId="164" fontId="0" fillId="3" borderId="6" xfId="97" applyFont="true" applyBorder="true" applyAlignment="true" applyProtection="false">
      <alignment horizontal="center" vertical="bottom" textRotation="0" wrapText="true" indent="0" shrinkToFit="false"/>
      <protection locked="true" hidden="false"/>
    </xf>
    <xf numFmtId="198" fontId="47" fillId="3" borderId="100" xfId="97" applyFont="true" applyBorder="true" applyAlignment="true" applyProtection="false">
      <alignment horizontal="center" vertical="bottom" textRotation="0" wrapText="true" indent="0" shrinkToFit="false"/>
      <protection locked="true" hidden="false"/>
    </xf>
    <xf numFmtId="198" fontId="47" fillId="3" borderId="12" xfId="97" applyFont="true" applyBorder="true" applyAlignment="true" applyProtection="false">
      <alignment horizontal="center" vertical="bottom" textRotation="0" wrapText="true" indent="0" shrinkToFit="false"/>
      <protection locked="true" hidden="false"/>
    </xf>
    <xf numFmtId="198" fontId="47" fillId="3" borderId="69" xfId="97" applyFont="true" applyBorder="true" applyAlignment="true" applyProtection="false">
      <alignment horizontal="center" vertical="bottom" textRotation="0" wrapText="true" indent="0" shrinkToFit="false"/>
      <protection locked="true" hidden="false"/>
    </xf>
    <xf numFmtId="164" fontId="0" fillId="3" borderId="94" xfId="97" applyFont="true" applyBorder="true" applyAlignment="true" applyProtection="false">
      <alignment horizontal="center" vertical="bottom" textRotation="0" wrapText="true" indent="0" shrinkToFit="false"/>
      <protection locked="true" hidden="false"/>
    </xf>
    <xf numFmtId="164" fontId="0" fillId="0" borderId="66" xfId="76" applyFont="true" applyBorder="true" applyAlignment="true" applyProtection="false">
      <alignment horizontal="left" vertical="bottom" textRotation="0" wrapText="false" indent="0" shrinkToFit="false"/>
      <protection locked="true" hidden="false"/>
    </xf>
    <xf numFmtId="169" fontId="0" fillId="0" borderId="101" xfId="32" applyFont="true" applyBorder="true" applyAlignment="true" applyProtection="false">
      <alignment horizontal="center" vertical="center" textRotation="0" wrapText="true" indent="0" shrinkToFit="false"/>
      <protection locked="true" hidden="false"/>
    </xf>
    <xf numFmtId="169" fontId="0" fillId="0" borderId="64" xfId="32" applyFont="true" applyBorder="true" applyAlignment="true" applyProtection="false">
      <alignment horizontal="center" vertical="center" textRotation="0" wrapText="true" indent="0" shrinkToFit="false"/>
      <protection locked="true" hidden="false"/>
    </xf>
    <xf numFmtId="169" fontId="0" fillId="0" borderId="20" xfId="32" applyFont="true" applyBorder="true" applyAlignment="true" applyProtection="false">
      <alignment horizontal="center" vertical="center" textRotation="0" wrapText="true" indent="0" shrinkToFit="false"/>
      <protection locked="true" hidden="false"/>
    </xf>
    <xf numFmtId="171" fontId="0" fillId="0" borderId="20" xfId="32" applyFont="true" applyBorder="true" applyAlignment="true" applyProtection="true">
      <alignment horizontal="center" vertical="center" textRotation="0" wrapText="false" indent="0" shrinkToFit="false"/>
      <protection locked="true" hidden="true"/>
    </xf>
    <xf numFmtId="171" fontId="0" fillId="0" borderId="3" xfId="32" applyFont="true" applyBorder="true" applyAlignment="true" applyProtection="true">
      <alignment horizontal="center" vertical="center" textRotation="0" wrapText="false" indent="0" shrinkToFit="false"/>
      <protection locked="true" hidden="true"/>
    </xf>
    <xf numFmtId="164" fontId="0" fillId="0" borderId="68" xfId="76" applyFont="true" applyBorder="true" applyAlignment="true" applyProtection="false">
      <alignment horizontal="left" vertical="bottom" textRotation="0" wrapText="false" indent="0" shrinkToFit="false"/>
      <protection locked="true" hidden="false"/>
    </xf>
    <xf numFmtId="169" fontId="0" fillId="0" borderId="102" xfId="32" applyFont="true" applyBorder="true" applyAlignment="true" applyProtection="false">
      <alignment horizontal="center" vertical="center" textRotation="0" wrapText="true" indent="0" shrinkToFit="false"/>
      <protection locked="true" hidden="false"/>
    </xf>
    <xf numFmtId="169" fontId="0" fillId="0" borderId="0" xfId="32" applyFont="true" applyBorder="true" applyAlignment="true" applyProtection="false">
      <alignment horizontal="center" vertical="center" textRotation="0" wrapText="true" indent="0" shrinkToFit="false"/>
      <protection locked="true" hidden="false"/>
    </xf>
    <xf numFmtId="169" fontId="0" fillId="0" borderId="5" xfId="32" applyFont="true" applyBorder="true" applyAlignment="true" applyProtection="false">
      <alignment horizontal="center" vertical="center" textRotation="0" wrapText="true" indent="0" shrinkToFit="false"/>
      <protection locked="true" hidden="false"/>
    </xf>
    <xf numFmtId="171" fontId="0" fillId="0" borderId="5" xfId="32" applyFont="true" applyBorder="true" applyAlignment="true" applyProtection="true">
      <alignment horizontal="center" vertical="center" textRotation="0" wrapText="false" indent="0" shrinkToFit="false"/>
      <protection locked="true" hidden="true"/>
    </xf>
    <xf numFmtId="171" fontId="0" fillId="0" borderId="6" xfId="32" applyFont="true" applyBorder="true" applyAlignment="true" applyProtection="true">
      <alignment horizontal="center" vertical="center" textRotation="0" wrapText="false" indent="0" shrinkToFit="false"/>
      <protection locked="true" hidden="true"/>
    </xf>
    <xf numFmtId="175" fontId="0" fillId="0" borderId="69" xfId="76" applyFont="true" applyBorder="true" applyAlignment="true" applyProtection="false">
      <alignment horizontal="left" vertical="bottom" textRotation="0" wrapText="false" indent="0" shrinkToFit="false"/>
      <protection locked="true" hidden="false"/>
    </xf>
    <xf numFmtId="169" fontId="0" fillId="0" borderId="100" xfId="32" applyFont="true" applyBorder="true" applyAlignment="true" applyProtection="false">
      <alignment horizontal="center" vertical="center" textRotation="0" wrapText="true" indent="0" shrinkToFit="false"/>
      <protection locked="true" hidden="false"/>
    </xf>
    <xf numFmtId="169" fontId="0" fillId="0" borderId="12" xfId="32" applyFont="true" applyBorder="true" applyAlignment="true" applyProtection="false">
      <alignment horizontal="center" vertical="center" textRotation="0" wrapText="true" indent="0" shrinkToFit="false"/>
      <protection locked="true" hidden="false"/>
    </xf>
    <xf numFmtId="169" fontId="0" fillId="0" borderId="84" xfId="32" applyFont="true" applyBorder="true" applyAlignment="true" applyProtection="false">
      <alignment horizontal="center" vertical="center" textRotation="0" wrapText="true" indent="0" shrinkToFit="false"/>
      <protection locked="true" hidden="false"/>
    </xf>
    <xf numFmtId="171" fontId="0" fillId="0" borderId="84" xfId="32" applyFont="true" applyBorder="true" applyAlignment="true" applyProtection="true">
      <alignment horizontal="center" vertical="center" textRotation="0" wrapText="false" indent="0" shrinkToFit="false"/>
      <protection locked="true" hidden="true"/>
    </xf>
    <xf numFmtId="171" fontId="0" fillId="0" borderId="94" xfId="32" applyFont="true" applyBorder="true" applyAlignment="true" applyProtection="true">
      <alignment horizontal="center" vertical="center" textRotation="0" wrapText="false" indent="0" shrinkToFit="false"/>
      <protection locked="true" hidden="true"/>
    </xf>
    <xf numFmtId="169" fontId="0" fillId="0" borderId="0" xfId="32" applyFont="true" applyBorder="false" applyAlignment="true" applyProtection="false">
      <alignment horizontal="general" vertical="top" textRotation="0" wrapText="true" indent="0" shrinkToFit="false"/>
      <protection locked="true" hidden="false"/>
    </xf>
    <xf numFmtId="169" fontId="0" fillId="0" borderId="0" xfId="32" applyFont="true" applyBorder="false" applyAlignment="true" applyProtection="false">
      <alignment horizontal="general" vertical="center" textRotation="0" wrapText="true" indent="0" shrinkToFit="false"/>
      <protection locked="true" hidden="false"/>
    </xf>
    <xf numFmtId="194" fontId="41" fillId="0" borderId="0" xfId="41" applyFont="true" applyBorder="true" applyAlignment="true" applyProtection="false">
      <alignment horizontal="right" vertical="bottom" textRotation="0" wrapText="false" indent="0" shrinkToFit="false"/>
      <protection locked="true" hidden="false"/>
    </xf>
    <xf numFmtId="171" fontId="0" fillId="0" borderId="0" xfId="32" applyFont="true" applyBorder="false" applyAlignment="true" applyProtection="true">
      <alignment horizontal="general" vertical="center" textRotation="0" wrapText="false" indent="0" shrinkToFit="false"/>
      <protection locked="true" hidden="true"/>
    </xf>
    <xf numFmtId="184" fontId="41" fillId="0" borderId="0" xfId="41" applyFont="true" applyBorder="true" applyAlignment="true" applyProtection="false">
      <alignment horizontal="right" vertical="bottom" textRotation="0" wrapText="false" indent="0" shrinkToFit="false"/>
      <protection locked="true" hidden="false"/>
    </xf>
    <xf numFmtId="164" fontId="23" fillId="0" borderId="0" xfId="41" applyFont="true" applyBorder="false" applyAlignment="true" applyProtection="false">
      <alignment horizontal="general" vertical="top" textRotation="0" wrapText="true" indent="0" shrinkToFit="false"/>
      <protection locked="true" hidden="false"/>
    </xf>
    <xf numFmtId="164" fontId="0" fillId="3" borderId="77" xfId="97" applyFont="true" applyBorder="true" applyAlignment="true" applyProtection="false">
      <alignment horizontal="center" vertical="bottom" textRotation="0" wrapText="true" indent="0" shrinkToFit="false"/>
      <protection locked="true" hidden="false"/>
    </xf>
    <xf numFmtId="183" fontId="0" fillId="0" borderId="0" xfId="97" applyFont="true" applyBorder="false" applyAlignment="true" applyProtection="false">
      <alignment horizontal="center" vertical="bottom" textRotation="0" wrapText="true" indent="0" shrinkToFit="false"/>
      <protection locked="true" hidden="false"/>
    </xf>
    <xf numFmtId="164" fontId="0" fillId="0" borderId="91" xfId="97" applyFont="true" applyBorder="true" applyAlignment="true" applyProtection="false">
      <alignment horizontal="center" vertical="top" textRotation="0" wrapText="true" indent="0" shrinkToFit="false"/>
      <protection locked="true" hidden="false"/>
    </xf>
    <xf numFmtId="164" fontId="0" fillId="0" borderId="92" xfId="97" applyFont="true" applyBorder="true" applyAlignment="true" applyProtection="false">
      <alignment horizontal="center" vertical="top" textRotation="0" wrapText="true" indent="0" shrinkToFit="false"/>
      <protection locked="true" hidden="false"/>
    </xf>
    <xf numFmtId="164" fontId="0" fillId="0" borderId="0" xfId="97" applyFont="true" applyBorder="false" applyAlignment="true" applyProtection="false">
      <alignment horizontal="center" vertical="bottom" textRotation="0" wrapText="true" indent="0" shrinkToFit="false"/>
      <protection locked="true" hidden="false"/>
    </xf>
    <xf numFmtId="198" fontId="47" fillId="3" borderId="90" xfId="97" applyFont="true" applyBorder="true" applyAlignment="true" applyProtection="false">
      <alignment horizontal="center" vertical="bottom" textRotation="0" wrapText="false" indent="0" shrinkToFit="false"/>
      <protection locked="true" hidden="false"/>
    </xf>
    <xf numFmtId="164" fontId="4" fillId="0" borderId="0" xfId="41" applyFont="true" applyBorder="false" applyAlignment="true" applyProtection="false">
      <alignment horizontal="left" vertical="top" textRotation="0" wrapText="true" indent="0" shrinkToFit="false"/>
      <protection locked="true" hidden="false"/>
    </xf>
    <xf numFmtId="169" fontId="0" fillId="0" borderId="77" xfId="32" applyFont="true" applyBorder="true" applyAlignment="true" applyProtection="true">
      <alignment horizontal="center" vertical="center" textRotation="0" wrapText="false" indent="0" shrinkToFit="false"/>
      <protection locked="true" hidden="true"/>
    </xf>
    <xf numFmtId="171" fontId="0" fillId="0" borderId="78" xfId="32" applyFont="true" applyBorder="true" applyAlignment="true" applyProtection="true">
      <alignment horizontal="center" vertical="center" textRotation="0" wrapText="false" indent="0" shrinkToFit="false"/>
      <protection locked="true" hidden="true"/>
    </xf>
    <xf numFmtId="171" fontId="0" fillId="0" borderId="0" xfId="32" applyFont="true" applyBorder="false" applyAlignment="true" applyProtection="true">
      <alignment horizontal="center" vertical="center" textRotation="0" wrapText="false" indent="0" shrinkToFit="false"/>
      <protection locked="true" hidden="true"/>
    </xf>
    <xf numFmtId="169" fontId="0" fillId="0" borderId="68" xfId="32" applyFont="true" applyBorder="true" applyAlignment="true" applyProtection="true">
      <alignment horizontal="center" vertical="center" textRotation="0" wrapText="false" indent="0" shrinkToFit="false"/>
      <protection locked="true" hidden="true"/>
    </xf>
    <xf numFmtId="171" fontId="0" fillId="0" borderId="67" xfId="32" applyFont="true" applyBorder="true" applyAlignment="true" applyProtection="true">
      <alignment horizontal="center" vertical="center" textRotation="0" wrapText="false" indent="0" shrinkToFit="false"/>
      <protection locked="true" hidden="true"/>
    </xf>
    <xf numFmtId="169" fontId="0" fillId="0" borderId="69" xfId="32" applyFont="true" applyBorder="true" applyAlignment="true" applyProtection="true">
      <alignment horizontal="center" vertical="center" textRotation="0" wrapText="false" indent="0" shrinkToFit="false"/>
      <protection locked="true" hidden="true"/>
    </xf>
    <xf numFmtId="171" fontId="0" fillId="0" borderId="70" xfId="32" applyFont="true" applyBorder="true" applyAlignment="true" applyProtection="true">
      <alignment horizontal="center" vertical="center" textRotation="0" wrapText="false" indent="0" shrinkToFit="false"/>
      <protection locked="true" hidden="true"/>
    </xf>
    <xf numFmtId="164" fontId="4" fillId="0" borderId="0" xfId="41" applyFont="true" applyBorder="true" applyAlignment="true" applyProtection="false">
      <alignment horizontal="left" vertical="top" textRotation="0" wrapText="true" indent="0" shrinkToFit="false"/>
      <protection locked="true" hidden="false"/>
    </xf>
    <xf numFmtId="164" fontId="0" fillId="0" borderId="12" xfId="73" applyFont="true" applyBorder="true" applyAlignment="true" applyProtection="true">
      <alignment horizontal="general" vertical="center" textRotation="0" wrapText="false" indent="0" shrinkToFit="false"/>
      <protection locked="true" hidden="true"/>
    </xf>
    <xf numFmtId="164" fontId="4" fillId="0" borderId="12" xfId="41" applyFont="true" applyBorder="true" applyAlignment="true" applyProtection="false">
      <alignment horizontal="left" vertical="top" textRotation="0" wrapText="true" indent="0" shrinkToFit="false"/>
      <protection locked="true" hidden="false"/>
    </xf>
    <xf numFmtId="164" fontId="19" fillId="0" borderId="0" xfId="97" applyFont="true" applyBorder="false" applyAlignment="true" applyProtection="false">
      <alignment horizontal="general" vertical="center" textRotation="0" wrapText="false" indent="0" shrinkToFit="false"/>
      <protection locked="true" hidden="false"/>
    </xf>
    <xf numFmtId="164" fontId="19" fillId="0" borderId="0" xfId="97" applyFont="true" applyBorder="false" applyAlignment="true" applyProtection="false">
      <alignment horizontal="right" vertical="center" textRotation="0" wrapText="false" indent="0" shrinkToFit="false"/>
      <protection locked="true" hidden="false"/>
    </xf>
    <xf numFmtId="164" fontId="19" fillId="0" borderId="0" xfId="59" applyFont="true" applyBorder="false" applyAlignment="false" applyProtection="false">
      <alignment horizontal="general" vertical="bottom" textRotation="0" wrapText="false" indent="0" shrinkToFit="false"/>
      <protection locked="true" hidden="false"/>
    </xf>
    <xf numFmtId="164" fontId="0" fillId="3" borderId="7" xfId="40" applyFont="true" applyBorder="true" applyAlignment="true" applyProtection="false">
      <alignment horizontal="center" vertical="bottom" textRotation="0" wrapText="false" indent="0" shrinkToFit="false"/>
      <protection locked="true" hidden="false"/>
    </xf>
    <xf numFmtId="164" fontId="0" fillId="3" borderId="77" xfId="97" applyFont="true" applyBorder="true" applyAlignment="true" applyProtection="true">
      <alignment horizontal="center" vertical="bottom" textRotation="0" wrapText="false" indent="0" shrinkToFit="false"/>
      <protection locked="false" hidden="false"/>
    </xf>
    <xf numFmtId="164" fontId="0" fillId="3" borderId="103" xfId="97" applyFont="true" applyBorder="true" applyAlignment="true" applyProtection="true">
      <alignment horizontal="center" vertical="bottom" textRotation="0" wrapText="false" indent="0" shrinkToFit="false"/>
      <protection locked="false" hidden="false"/>
    </xf>
    <xf numFmtId="164" fontId="0" fillId="3" borderId="9" xfId="97" applyFont="true" applyBorder="true" applyAlignment="true" applyProtection="true">
      <alignment horizontal="center" vertical="bottom" textRotation="0" wrapText="false" indent="0" shrinkToFit="false"/>
      <protection locked="false" hidden="false"/>
    </xf>
    <xf numFmtId="164" fontId="0" fillId="3" borderId="10" xfId="97" applyFont="true" applyBorder="true" applyAlignment="true" applyProtection="true">
      <alignment horizontal="center" vertical="bottom" textRotation="0" wrapText="false" indent="0" shrinkToFit="false"/>
      <protection locked="false" hidden="false"/>
    </xf>
    <xf numFmtId="164" fontId="0" fillId="3" borderId="104" xfId="97" applyFont="true" applyBorder="true" applyAlignment="true" applyProtection="true">
      <alignment horizontal="center" vertical="bottom" textRotation="0" wrapText="false" indent="0" shrinkToFit="false"/>
      <protection locked="false" hidden="false"/>
    </xf>
    <xf numFmtId="164" fontId="0" fillId="0" borderId="0" xfId="97" applyFont="true" applyBorder="false" applyAlignment="true" applyProtection="false">
      <alignment horizontal="general" vertical="top" textRotation="0" wrapText="true" indent="0" shrinkToFit="false"/>
      <protection locked="true" hidden="false"/>
    </xf>
    <xf numFmtId="179" fontId="0" fillId="0" borderId="63" xfId="78" applyFont="true" applyBorder="true" applyAlignment="true" applyProtection="false">
      <alignment horizontal="center" vertical="center" textRotation="0" wrapText="false" indent="0" shrinkToFit="false"/>
      <protection locked="true" hidden="false"/>
    </xf>
    <xf numFmtId="164" fontId="0" fillId="0" borderId="64" xfId="78" applyFont="true" applyBorder="true" applyAlignment="true" applyProtection="false">
      <alignment horizontal="left" vertical="center" textRotation="0" wrapText="false" indent="0" shrinkToFit="false"/>
      <protection locked="true" hidden="false"/>
    </xf>
    <xf numFmtId="182" fontId="0" fillId="0" borderId="77" xfId="97" applyFont="true" applyBorder="true" applyAlignment="true" applyProtection="false">
      <alignment horizontal="center" vertical="top" textRotation="0" wrapText="false" indent="0" shrinkToFit="false"/>
      <protection locked="true" hidden="false"/>
    </xf>
    <xf numFmtId="182" fontId="0" fillId="0" borderId="77" xfId="97" applyFont="true" applyBorder="true" applyAlignment="true" applyProtection="false">
      <alignment horizontal="center" vertical="center" textRotation="0" wrapText="false" indent="0" shrinkToFit="false"/>
      <protection locked="true" hidden="false"/>
    </xf>
    <xf numFmtId="179" fontId="0" fillId="0" borderId="11" xfId="78" applyFont="true" applyBorder="true" applyAlignment="true" applyProtection="false">
      <alignment horizontal="center" vertical="center" textRotation="0" wrapText="false" indent="0" shrinkToFit="false"/>
      <protection locked="true" hidden="false"/>
    </xf>
    <xf numFmtId="164" fontId="0" fillId="0" borderId="12" xfId="78" applyFont="true" applyBorder="true" applyAlignment="true" applyProtection="false">
      <alignment horizontal="left" vertical="center" textRotation="0" wrapText="false" indent="0" shrinkToFit="false"/>
      <protection locked="true" hidden="false"/>
    </xf>
    <xf numFmtId="182" fontId="0" fillId="0" borderId="90" xfId="97" applyFont="true" applyBorder="true" applyAlignment="true" applyProtection="false">
      <alignment horizontal="center" vertical="top" textRotation="0" wrapText="false" indent="0" shrinkToFit="false"/>
      <protection locked="true" hidden="false"/>
    </xf>
    <xf numFmtId="182" fontId="0" fillId="0" borderId="90" xfId="97" applyFont="true" applyBorder="true" applyAlignment="true" applyProtection="false">
      <alignment horizontal="center" vertical="center" textRotation="0" wrapText="false" indent="0" shrinkToFit="false"/>
      <protection locked="true" hidden="false"/>
    </xf>
    <xf numFmtId="182" fontId="0" fillId="0" borderId="0" xfId="97" applyFont="true" applyBorder="false" applyAlignment="true" applyProtection="true">
      <alignment horizontal="general" vertical="center" textRotation="0" wrapText="false" indent="0" shrinkToFit="false"/>
      <protection locked="false" hidden="false"/>
    </xf>
    <xf numFmtId="184" fontId="0" fillId="0" borderId="0" xfId="40" applyFont="true" applyBorder="true" applyAlignment="true" applyProtection="false">
      <alignment horizontal="center" vertical="center" textRotation="0" wrapText="false" indent="0" shrinkToFit="false"/>
      <protection locked="true" hidden="false"/>
    </xf>
    <xf numFmtId="179" fontId="0" fillId="0" borderId="11" xfId="73" applyFont="true" applyBorder="true" applyAlignment="true" applyProtection="true">
      <alignment horizontal="center" vertical="center" textRotation="0" wrapText="false" indent="0" shrinkToFit="false"/>
      <protection locked="true" hidden="true"/>
    </xf>
    <xf numFmtId="164" fontId="0" fillId="0" borderId="12" xfId="73" applyFont="true" applyBorder="true" applyAlignment="true" applyProtection="true">
      <alignment horizontal="left" vertical="center" textRotation="0" wrapText="false" indent="0" shrinkToFit="false"/>
      <protection locked="true" hidden="true"/>
    </xf>
    <xf numFmtId="182" fontId="0" fillId="0" borderId="90" xfId="73" applyFont="true" applyBorder="true" applyAlignment="true" applyProtection="true">
      <alignment horizontal="center" vertical="top" textRotation="0" wrapText="false" indent="0" shrinkToFit="false"/>
      <protection locked="true" hidden="true"/>
    </xf>
    <xf numFmtId="164" fontId="0" fillId="0" borderId="0" xfId="73" applyFont="true" applyBorder="true" applyAlignment="true" applyProtection="true">
      <alignment horizontal="general" vertical="center" textRotation="0" wrapText="false" indent="0" shrinkToFit="false"/>
      <protection locked="true" hidden="true"/>
    </xf>
    <xf numFmtId="182" fontId="0" fillId="0" borderId="90" xfId="73" applyFont="true" applyBorder="true" applyAlignment="true" applyProtection="true">
      <alignment horizontal="center" vertical="center" textRotation="0" wrapText="false" indent="0" shrinkToFit="false"/>
      <protection locked="true" hidden="true"/>
    </xf>
    <xf numFmtId="182" fontId="0" fillId="0" borderId="84" xfId="0" applyFont="true" applyBorder="true" applyAlignment="true" applyProtection="false">
      <alignment horizontal="center" vertical="center" textRotation="0" wrapText="false" indent="0" shrinkToFit="false"/>
      <protection locked="true" hidden="false"/>
    </xf>
    <xf numFmtId="164" fontId="0" fillId="3" borderId="72" xfId="40" applyFont="true" applyBorder="true" applyAlignment="true" applyProtection="false">
      <alignment horizontal="center" vertical="bottom" textRotation="0" wrapText="false" indent="0" shrinkToFit="false"/>
      <protection locked="true" hidden="false"/>
    </xf>
    <xf numFmtId="164" fontId="0" fillId="3" borderId="77" xfId="40" applyFont="true" applyBorder="true" applyAlignment="true" applyProtection="false">
      <alignment horizontal="center" vertical="bottom" textRotation="0" wrapText="false" indent="0" shrinkToFit="false"/>
      <protection locked="true" hidden="false"/>
    </xf>
    <xf numFmtId="164" fontId="0" fillId="3" borderId="66" xfId="40" applyFont="true" applyBorder="true" applyAlignment="true" applyProtection="false">
      <alignment horizontal="center" vertical="bottom" textRotation="0" wrapText="false" indent="0" shrinkToFit="false"/>
      <protection locked="true" hidden="false"/>
    </xf>
    <xf numFmtId="184" fontId="0" fillId="3" borderId="104" xfId="40" applyFont="true" applyBorder="true" applyAlignment="true" applyProtection="false">
      <alignment horizontal="center" vertical="bottom" textRotation="0" wrapText="false" indent="0" shrinkToFit="false"/>
      <protection locked="true" hidden="false"/>
    </xf>
    <xf numFmtId="184" fontId="0" fillId="3" borderId="105" xfId="40" applyFont="true" applyBorder="true" applyAlignment="true" applyProtection="false">
      <alignment horizontal="center" vertical="bottom" textRotation="0" wrapText="false" indent="0" shrinkToFit="false"/>
      <protection locked="true" hidden="false"/>
    </xf>
    <xf numFmtId="185" fontId="0" fillId="0" borderId="77" xfId="40" applyFont="true" applyBorder="true" applyAlignment="true" applyProtection="false">
      <alignment horizontal="center" vertical="bottom" textRotation="0" wrapText="false" indent="0" shrinkToFit="false"/>
      <protection locked="true" hidden="false"/>
    </xf>
    <xf numFmtId="185" fontId="0" fillId="0" borderId="90" xfId="40" applyFont="true" applyBorder="true" applyAlignment="true" applyProtection="false">
      <alignment horizontal="center" vertical="bottom" textRotation="0" wrapText="false" indent="0" shrinkToFit="false"/>
      <protection locked="true" hidden="false"/>
    </xf>
    <xf numFmtId="185" fontId="0" fillId="0" borderId="0" xfId="40" applyFont="true" applyBorder="false" applyAlignment="false" applyProtection="false">
      <alignment horizontal="general" vertical="bottom" textRotation="0" wrapText="false" indent="0" shrinkToFit="false"/>
      <protection locked="true" hidden="false"/>
    </xf>
    <xf numFmtId="179" fontId="0" fillId="0" borderId="11" xfId="40" applyFont="true" applyBorder="true" applyAlignment="true" applyProtection="false">
      <alignment horizontal="center" vertical="center" textRotation="0" wrapText="false" indent="0" shrinkToFit="false"/>
      <protection locked="true" hidden="false"/>
    </xf>
    <xf numFmtId="164" fontId="0" fillId="0" borderId="12" xfId="40" applyFont="true" applyBorder="true" applyAlignment="true" applyProtection="false">
      <alignment horizontal="left" vertical="center" textRotation="0" wrapText="false" indent="0" shrinkToFit="false"/>
      <protection locked="true" hidden="false"/>
    </xf>
    <xf numFmtId="185" fontId="0" fillId="0" borderId="90" xfId="0" applyFont="true" applyBorder="true" applyAlignment="true" applyProtection="false">
      <alignment horizontal="center" vertical="bottom" textRotation="0" wrapText="false" indent="0" shrinkToFit="false"/>
      <protection locked="true" hidden="false"/>
    </xf>
    <xf numFmtId="184" fontId="0" fillId="0" borderId="0" xfId="73" applyFont="true" applyBorder="false" applyAlignment="true" applyProtection="true">
      <alignment horizontal="center" vertical="center" textRotation="0" wrapText="false" indent="0" shrinkToFit="false"/>
      <protection locked="true" hidden="true"/>
    </xf>
    <xf numFmtId="164" fontId="4" fillId="0" borderId="12" xfId="73" applyFont="true" applyBorder="true" applyAlignment="true" applyProtection="true">
      <alignment horizontal="left" vertical="center" textRotation="0" wrapText="true" indent="0" shrinkToFit="false"/>
      <protection locked="true" hidden="true"/>
    </xf>
    <xf numFmtId="164" fontId="47" fillId="0" borderId="0" xfId="73" applyFont="true" applyBorder="false" applyAlignment="true" applyProtection="true">
      <alignment horizontal="left" vertical="center" textRotation="0" wrapText="true" indent="0" shrinkToFit="false"/>
      <protection locked="true" hidden="true"/>
    </xf>
    <xf numFmtId="164" fontId="6" fillId="0" borderId="12" xfId="97" applyFont="true" applyBorder="true" applyAlignment="true" applyProtection="false">
      <alignment horizontal="left" vertical="center" textRotation="0" wrapText="false" indent="0" shrinkToFit="false"/>
      <protection locked="true" hidden="false"/>
    </xf>
    <xf numFmtId="164" fontId="47" fillId="0" borderId="12" xfId="73" applyFont="true" applyBorder="true" applyAlignment="true" applyProtection="true">
      <alignment horizontal="left" vertical="center" textRotation="0" wrapText="true" indent="0" shrinkToFit="false"/>
      <protection locked="true" hidden="true"/>
    </xf>
    <xf numFmtId="164" fontId="6" fillId="0" borderId="0" xfId="97" applyFont="true" applyBorder="true" applyAlignment="true" applyProtection="false">
      <alignment horizontal="left" vertical="bottom" textRotation="0" wrapText="false" indent="0" shrinkToFit="false"/>
      <protection locked="true" hidden="false"/>
    </xf>
    <xf numFmtId="171" fontId="46" fillId="0" borderId="0" xfId="97" applyFont="true" applyBorder="true" applyAlignment="true" applyProtection="false">
      <alignment horizontal="right" vertical="bottom" textRotation="0" wrapText="false" indent="0" shrinkToFit="false"/>
      <protection locked="true" hidden="false"/>
    </xf>
    <xf numFmtId="164" fontId="6" fillId="0" borderId="0" xfId="97" applyFont="true" applyBorder="false" applyAlignment="false" applyProtection="true">
      <alignment horizontal="general" vertical="bottom" textRotation="0" wrapText="false" indent="0" shrinkToFit="false"/>
      <protection locked="false" hidden="false"/>
    </xf>
    <xf numFmtId="164" fontId="6" fillId="0" borderId="0" xfId="97" applyFont="true" applyBorder="true" applyAlignment="true" applyProtection="true">
      <alignment horizontal="center" vertical="bottom" textRotation="0" wrapText="false" indent="0" shrinkToFit="false"/>
      <protection locked="false" hidden="false"/>
    </xf>
    <xf numFmtId="171" fontId="46" fillId="0" borderId="0" xfId="97" applyFont="true" applyBorder="true" applyAlignment="true" applyProtection="true">
      <alignment horizontal="right" vertical="bottom" textRotation="0" wrapText="false" indent="0" shrinkToFit="false"/>
      <protection locked="false" hidden="false"/>
    </xf>
    <xf numFmtId="164" fontId="6" fillId="0" borderId="0" xfId="97" applyFont="true" applyBorder="false" applyAlignment="true" applyProtection="true">
      <alignment horizontal="general" vertical="center" textRotation="0" wrapText="false" indent="0" shrinkToFit="false"/>
      <protection locked="false" hidden="false"/>
    </xf>
    <xf numFmtId="164" fontId="6" fillId="4" borderId="0" xfId="97" applyFont="true" applyBorder="true" applyAlignment="true" applyProtection="false">
      <alignment horizontal="left" vertical="center" textRotation="0" wrapText="false" indent="0" shrinkToFit="false"/>
      <protection locked="true" hidden="false"/>
    </xf>
    <xf numFmtId="175" fontId="19" fillId="4" borderId="0" xfId="97" applyFont="true" applyBorder="true" applyAlignment="true" applyProtection="false">
      <alignment horizontal="left" vertical="center" textRotation="0" wrapText="false" indent="0" shrinkToFit="false"/>
      <protection locked="true" hidden="false"/>
    </xf>
    <xf numFmtId="164" fontId="19" fillId="4" borderId="0" xfId="97" applyFont="true" applyBorder="true" applyAlignment="true" applyProtection="false">
      <alignment horizontal="left" vertical="center" textRotation="0" wrapText="false" indent="0" shrinkToFit="false"/>
      <protection locked="true" hidden="false"/>
    </xf>
    <xf numFmtId="164" fontId="0" fillId="3" borderId="72" xfId="40" applyFont="true" applyBorder="true" applyAlignment="true" applyProtection="false">
      <alignment horizontal="left" vertical="bottom" textRotation="0" wrapText="false" indent="0" shrinkToFit="false"/>
      <protection locked="true" hidden="false"/>
    </xf>
    <xf numFmtId="164" fontId="0" fillId="3" borderId="76" xfId="97" applyFont="true" applyBorder="true" applyAlignment="true" applyProtection="false">
      <alignment horizontal="center" vertical="bottom" textRotation="0" wrapText="true" indent="0" shrinkToFit="false"/>
      <protection locked="true" hidden="false"/>
    </xf>
    <xf numFmtId="164" fontId="0" fillId="3" borderId="64" xfId="97" applyFont="true" applyBorder="true" applyAlignment="true" applyProtection="false">
      <alignment horizontal="center" vertical="bottom" textRotation="0" wrapText="true" indent="0" shrinkToFit="false"/>
      <protection locked="true" hidden="false"/>
    </xf>
    <xf numFmtId="164" fontId="0" fillId="3" borderId="66" xfId="97" applyFont="true" applyBorder="true" applyAlignment="true" applyProtection="false">
      <alignment horizontal="center" vertical="bottom" textRotation="0" wrapText="true" indent="0" shrinkToFit="false"/>
      <protection locked="true" hidden="false"/>
    </xf>
    <xf numFmtId="164" fontId="0" fillId="3" borderId="103" xfId="97" applyFont="true" applyBorder="true" applyAlignment="true" applyProtection="false">
      <alignment horizontal="center" vertical="bottom" textRotation="0" wrapText="true" indent="0" shrinkToFit="false"/>
      <protection locked="true" hidden="false"/>
    </xf>
    <xf numFmtId="164" fontId="0" fillId="3" borderId="106" xfId="97" applyFont="true" applyBorder="true" applyAlignment="true" applyProtection="false">
      <alignment horizontal="center" vertical="bottom" textRotation="0" wrapText="true" indent="0" shrinkToFit="false"/>
      <protection locked="true" hidden="false"/>
    </xf>
    <xf numFmtId="183" fontId="0" fillId="0" borderId="93" xfId="97" applyFont="true" applyBorder="true" applyAlignment="true" applyProtection="false">
      <alignment horizontal="center" vertical="bottom" textRotation="0" wrapText="false" indent="0" shrinkToFit="false"/>
      <protection locked="true" hidden="false"/>
    </xf>
    <xf numFmtId="168" fontId="0" fillId="0" borderId="107" xfId="97" applyFont="true" applyBorder="true" applyAlignment="true" applyProtection="false">
      <alignment horizontal="center" vertical="bottom" textRotation="0" wrapText="false" indent="0" shrinkToFit="false"/>
      <protection locked="true" hidden="false"/>
    </xf>
    <xf numFmtId="171" fontId="0" fillId="0" borderId="76" xfId="97" applyFont="true" applyBorder="true" applyAlignment="true" applyProtection="false">
      <alignment horizontal="center" vertical="center" textRotation="0" wrapText="false" indent="0" shrinkToFit="false"/>
      <protection locked="true" hidden="false"/>
    </xf>
    <xf numFmtId="184" fontId="0" fillId="0" borderId="77" xfId="40" applyFont="true" applyBorder="true" applyAlignment="true" applyProtection="false">
      <alignment horizontal="center" vertical="bottom" textRotation="0" wrapText="false" indent="0" shrinkToFit="false"/>
      <protection locked="true" hidden="false"/>
    </xf>
    <xf numFmtId="184" fontId="0" fillId="0" borderId="20" xfId="40" applyFont="true" applyBorder="true" applyAlignment="true" applyProtection="false">
      <alignment horizontal="center" vertical="bottom" textRotation="0" wrapText="false" indent="0" shrinkToFit="false"/>
      <protection locked="true" hidden="false"/>
    </xf>
    <xf numFmtId="171" fontId="0" fillId="0" borderId="71" xfId="97" applyFont="true" applyBorder="true" applyAlignment="true" applyProtection="false">
      <alignment horizontal="center" vertical="center" textRotation="0" wrapText="false" indent="0" shrinkToFit="false"/>
      <protection locked="true" hidden="false"/>
    </xf>
    <xf numFmtId="184" fontId="0" fillId="0" borderId="90" xfId="40" applyFont="true" applyBorder="true" applyAlignment="true" applyProtection="false">
      <alignment horizontal="center" vertical="bottom" textRotation="0" wrapText="false" indent="0" shrinkToFit="false"/>
      <protection locked="true" hidden="false"/>
    </xf>
    <xf numFmtId="184" fontId="0" fillId="0" borderId="84" xfId="40" applyFont="true" applyBorder="true" applyAlignment="true" applyProtection="false">
      <alignment horizontal="center" vertical="bottom" textRotation="0" wrapText="false" indent="0" shrinkToFit="false"/>
      <protection locked="true" hidden="false"/>
    </xf>
    <xf numFmtId="184" fontId="0" fillId="0" borderId="0" xfId="40" applyFont="true" applyBorder="false" applyAlignment="false" applyProtection="false">
      <alignment horizontal="general" vertical="bottom" textRotation="0" wrapText="false" indent="0" shrinkToFit="false"/>
      <protection locked="true" hidden="false"/>
    </xf>
    <xf numFmtId="164" fontId="0" fillId="0" borderId="0" xfId="73" applyFont="true" applyBorder="false" applyAlignment="true" applyProtection="true">
      <alignment horizontal="center" vertical="center" textRotation="0" wrapText="false" indent="0" shrinkToFit="false"/>
      <protection locked="true" hidden="true"/>
    </xf>
    <xf numFmtId="184" fontId="0" fillId="0" borderId="0" xfId="73" applyFont="true" applyBorder="true" applyAlignment="true" applyProtection="true">
      <alignment horizontal="center" vertical="center" textRotation="0" wrapText="false" indent="0" shrinkToFit="false"/>
      <protection locked="true" hidden="true"/>
    </xf>
    <xf numFmtId="164" fontId="0" fillId="0" borderId="11" xfId="73" applyFont="true" applyBorder="true" applyAlignment="true" applyProtection="true">
      <alignment horizontal="center" vertical="bottom" textRotation="0" wrapText="false" indent="0" shrinkToFit="false"/>
      <protection locked="true" hidden="true"/>
    </xf>
    <xf numFmtId="164" fontId="0" fillId="0" borderId="12" xfId="73" applyFont="true" applyBorder="true" applyAlignment="true" applyProtection="true">
      <alignment horizontal="left" vertical="bottom" textRotation="0" wrapText="false" indent="0" shrinkToFit="false"/>
      <protection locked="true" hidden="true"/>
    </xf>
    <xf numFmtId="171" fontId="0" fillId="0" borderId="71" xfId="73" applyFont="true" applyBorder="true" applyAlignment="true" applyProtection="true">
      <alignment horizontal="center" vertical="center" textRotation="0" wrapText="false" indent="0" shrinkToFit="false"/>
      <protection locked="true" hidden="true"/>
    </xf>
    <xf numFmtId="171" fontId="0" fillId="0" borderId="12" xfId="0" applyFont="true" applyBorder="true" applyAlignment="true" applyProtection="false">
      <alignment horizontal="center" vertical="center" textRotation="0" wrapText="true" indent="0" shrinkToFit="false"/>
      <protection locked="true" hidden="false"/>
    </xf>
    <xf numFmtId="171" fontId="0" fillId="0" borderId="69" xfId="0" applyFont="true" applyBorder="true" applyAlignment="true" applyProtection="false">
      <alignment horizontal="center" vertical="center" textRotation="0" wrapText="true" indent="0" shrinkToFit="false"/>
      <protection locked="true" hidden="false"/>
    </xf>
    <xf numFmtId="184" fontId="0" fillId="0" borderId="90" xfId="73" applyFont="true" applyBorder="true" applyAlignment="true" applyProtection="true">
      <alignment horizontal="center" vertical="bottom" textRotation="0" wrapText="false" indent="0" shrinkToFit="false"/>
      <protection locked="true" hidden="true"/>
    </xf>
    <xf numFmtId="184" fontId="0" fillId="0" borderId="84" xfId="0" applyFont="true" applyBorder="true" applyAlignment="true" applyProtection="false">
      <alignment horizontal="center" vertical="bottom" textRotation="0" wrapText="false" indent="0" shrinkToFit="false"/>
      <protection locked="true" hidden="false"/>
    </xf>
    <xf numFmtId="184" fontId="0" fillId="0" borderId="0" xfId="40" applyFont="true" applyBorder="false" applyAlignment="true" applyProtection="false">
      <alignment horizontal="center" vertical="center" textRotation="0" wrapText="false" indent="0" shrinkToFit="false"/>
      <protection locked="true" hidden="false"/>
    </xf>
    <xf numFmtId="182" fontId="0" fillId="0" borderId="0" xfId="97" applyFont="true" applyBorder="false" applyAlignment="true" applyProtection="true">
      <alignment horizontal="left" vertical="top" textRotation="0" wrapText="false" indent="0" shrinkToFit="false"/>
      <protection locked="false" hidden="false"/>
    </xf>
    <xf numFmtId="164" fontId="0" fillId="3" borderId="7" xfId="40" applyFont="true" applyBorder="true" applyAlignment="true" applyProtection="false">
      <alignment horizontal="left" vertical="bottom" textRotation="0" wrapText="false" indent="0" shrinkToFit="false"/>
      <protection locked="true" hidden="false"/>
    </xf>
    <xf numFmtId="164" fontId="37" fillId="0" borderId="63" xfId="88" applyFont="true" applyBorder="true" applyAlignment="true" applyProtection="false">
      <alignment horizontal="general" vertical="top" textRotation="0" wrapText="false" indent="0" shrinkToFit="false"/>
      <protection locked="true" hidden="false"/>
    </xf>
    <xf numFmtId="164" fontId="37" fillId="0" borderId="64" xfId="88" applyFont="true" applyBorder="true" applyAlignment="true" applyProtection="false">
      <alignment horizontal="general" vertical="top" textRotation="0" wrapText="false" indent="0" shrinkToFit="false"/>
      <protection locked="true" hidden="false"/>
    </xf>
    <xf numFmtId="164" fontId="37" fillId="0" borderId="64" xfId="88" applyFont="true" applyBorder="true" applyAlignment="true" applyProtection="false">
      <alignment horizontal="center" vertical="top" textRotation="0" wrapText="false" indent="0" shrinkToFit="false"/>
      <protection locked="true" hidden="false"/>
    </xf>
    <xf numFmtId="164" fontId="37" fillId="0" borderId="4" xfId="88" applyFont="true" applyBorder="true" applyAlignment="true" applyProtection="false">
      <alignment horizontal="left" vertical="top" textRotation="0" wrapText="false" indent="0" shrinkToFit="false"/>
      <protection locked="true" hidden="false"/>
    </xf>
    <xf numFmtId="164" fontId="37" fillId="0" borderId="0" xfId="88" applyFont="true" applyBorder="false" applyAlignment="true" applyProtection="false">
      <alignment horizontal="left" vertical="top" textRotation="0" wrapText="false" indent="0" shrinkToFit="false"/>
      <protection locked="true" hidden="false"/>
    </xf>
    <xf numFmtId="164" fontId="37" fillId="0" borderId="0" xfId="88" applyFont="true" applyBorder="true" applyAlignment="true" applyProtection="false">
      <alignment horizontal="center" vertical="top" textRotation="0" wrapText="false" indent="0" shrinkToFit="false"/>
      <protection locked="true" hidden="false"/>
    </xf>
    <xf numFmtId="164" fontId="0" fillId="0" borderId="0" xfId="88" applyFont="true" applyBorder="true" applyAlignment="true" applyProtection="false">
      <alignment horizontal="center" vertical="top" textRotation="0" wrapText="false" indent="0" shrinkToFit="false"/>
      <protection locked="true" hidden="false"/>
    </xf>
    <xf numFmtId="184" fontId="0" fillId="0" borderId="5" xfId="40" applyFont="true" applyBorder="true" applyAlignment="true" applyProtection="false">
      <alignment horizontal="center" vertical="bottom" textRotation="0" wrapText="false" indent="0" shrinkToFit="false"/>
      <protection locked="true" hidden="false"/>
    </xf>
    <xf numFmtId="164" fontId="37" fillId="0" borderId="11" xfId="88" applyFont="true" applyBorder="true" applyAlignment="true" applyProtection="false">
      <alignment horizontal="left" vertical="top" textRotation="0" wrapText="false" indent="0" shrinkToFit="false"/>
      <protection locked="true" hidden="false"/>
    </xf>
    <xf numFmtId="164" fontId="37" fillId="0" borderId="12" xfId="88" applyFont="true" applyBorder="true" applyAlignment="true" applyProtection="false">
      <alignment horizontal="left" vertical="top" textRotation="0" wrapText="false" indent="0" shrinkToFit="false"/>
      <protection locked="true" hidden="false"/>
    </xf>
    <xf numFmtId="164" fontId="37" fillId="0" borderId="12" xfId="88" applyFont="true" applyBorder="true" applyAlignment="true" applyProtection="false">
      <alignment horizontal="center" vertical="top" textRotation="0" wrapText="false" indent="0" shrinkToFit="false"/>
      <protection locked="true" hidden="false"/>
    </xf>
    <xf numFmtId="169" fontId="37" fillId="0" borderId="12" xfId="88" applyFont="true" applyBorder="true" applyAlignment="true" applyProtection="false">
      <alignment horizontal="center" vertical="top" textRotation="0" wrapText="false" indent="0" shrinkToFit="false"/>
      <protection locked="true" hidden="false"/>
    </xf>
    <xf numFmtId="186" fontId="0" fillId="0" borderId="12" xfId="88" applyFont="true" applyBorder="true" applyAlignment="true" applyProtection="false">
      <alignment horizontal="center" vertical="top" textRotation="0" wrapText="false" indent="0" shrinkToFit="false"/>
      <protection locked="true" hidden="false"/>
    </xf>
    <xf numFmtId="164" fontId="19" fillId="0" borderId="0" xfId="52" applyFont="true" applyBorder="false" applyAlignment="false" applyProtection="false">
      <alignment horizontal="general" vertical="bottom" textRotation="0" wrapText="false" indent="0" shrinkToFit="false"/>
      <protection locked="true" hidden="false"/>
    </xf>
    <xf numFmtId="164" fontId="0" fillId="0" borderId="0" xfId="88" applyFont="true" applyBorder="false" applyAlignment="true" applyProtection="false">
      <alignment horizontal="general" vertical="top" textRotation="0" wrapText="false" indent="0" shrinkToFit="false"/>
      <protection locked="true" hidden="false"/>
    </xf>
    <xf numFmtId="164" fontId="0" fillId="0" borderId="0" xfId="88" applyFont="true" applyBorder="false" applyAlignment="true" applyProtection="false">
      <alignment horizontal="left" vertical="top" textRotation="0" wrapText="false" indent="0" shrinkToFit="false"/>
      <protection locked="true" hidden="false"/>
    </xf>
    <xf numFmtId="164" fontId="19" fillId="0" borderId="0" xfId="40" applyFont="true" applyBorder="false" applyAlignment="false" applyProtection="false">
      <alignment horizontal="general" vertical="bottom" textRotation="0" wrapText="false" indent="0" shrinkToFit="false"/>
      <protection locked="true" hidden="false"/>
    </xf>
    <xf numFmtId="164" fontId="24" fillId="0" borderId="0" xfId="40" applyFont="true" applyBorder="false" applyAlignment="true" applyProtection="true">
      <alignment horizontal="left" vertical="bottom" textRotation="0" wrapText="false" indent="0" shrinkToFit="false"/>
      <protection locked="false" hidden="false"/>
    </xf>
    <xf numFmtId="164" fontId="0" fillId="3" borderId="7" xfId="40" applyFont="true" applyBorder="true" applyAlignment="true" applyProtection="true">
      <alignment horizontal="left" vertical="bottom" textRotation="0" wrapText="false" indent="0" shrinkToFit="false"/>
      <protection locked="false" hidden="false"/>
    </xf>
    <xf numFmtId="164" fontId="0" fillId="3" borderId="8" xfId="40" applyFont="true" applyBorder="true" applyAlignment="true" applyProtection="true">
      <alignment horizontal="center" vertical="bottom" textRotation="0" wrapText="false" indent="0" shrinkToFit="false"/>
      <protection locked="false" hidden="false"/>
    </xf>
    <xf numFmtId="183" fontId="0" fillId="0" borderId="9" xfId="97" applyFont="true" applyBorder="true" applyAlignment="true" applyProtection="false">
      <alignment horizontal="center" vertical="center" textRotation="0" wrapText="false" indent="0" shrinkToFit="false"/>
      <protection locked="true" hidden="false"/>
    </xf>
    <xf numFmtId="164" fontId="41" fillId="0" borderId="63" xfId="43" applyFont="true" applyBorder="true" applyAlignment="true" applyProtection="true">
      <alignment horizontal="left" vertical="bottom" textRotation="0" wrapText="false" indent="0" shrinkToFit="false"/>
      <protection locked="false" hidden="false"/>
    </xf>
    <xf numFmtId="199" fontId="0" fillId="0" borderId="64" xfId="43" applyFont="true" applyBorder="true" applyAlignment="true" applyProtection="true">
      <alignment horizontal="center" vertical="bottom" textRotation="0" wrapText="false" indent="0" shrinkToFit="false"/>
      <protection locked="false" hidden="false"/>
    </xf>
    <xf numFmtId="169" fontId="0" fillId="0" borderId="64" xfId="43" applyFont="true" applyBorder="true" applyAlignment="true" applyProtection="true">
      <alignment horizontal="center" vertical="bottom" textRotation="0" wrapText="false" indent="0" shrinkToFit="false"/>
      <protection locked="false" hidden="false"/>
    </xf>
    <xf numFmtId="171" fontId="0" fillId="0" borderId="20" xfId="43" applyFont="true" applyBorder="true" applyAlignment="true" applyProtection="false">
      <alignment horizontal="center" vertical="bottom" textRotation="0" wrapText="false" indent="0" shrinkToFit="false"/>
      <protection locked="true" hidden="false"/>
    </xf>
    <xf numFmtId="171" fontId="0" fillId="0" borderId="3" xfId="97" applyFont="true" applyBorder="true" applyAlignment="true" applyProtection="false">
      <alignment horizontal="center" vertical="bottom" textRotation="0" wrapText="false" indent="0" shrinkToFit="false"/>
      <protection locked="true" hidden="false"/>
    </xf>
    <xf numFmtId="164" fontId="13" fillId="0" borderId="0" xfId="62" applyFont="true" applyBorder="false" applyAlignment="true" applyProtection="false">
      <alignment horizontal="general" vertical="top" textRotation="0" wrapText="false" indent="0" shrinkToFit="false"/>
      <protection locked="true" hidden="false"/>
    </xf>
    <xf numFmtId="164" fontId="41" fillId="0" borderId="11" xfId="43" applyFont="true" applyBorder="true" applyAlignment="true" applyProtection="true">
      <alignment horizontal="left" vertical="bottom" textRotation="0" wrapText="false" indent="0" shrinkToFit="false"/>
      <protection locked="false" hidden="false"/>
    </xf>
    <xf numFmtId="199" fontId="37" fillId="0" borderId="12" xfId="43" applyFont="true" applyBorder="true" applyAlignment="true" applyProtection="true">
      <alignment horizontal="center" vertical="bottom" textRotation="0" wrapText="false" indent="0" shrinkToFit="false"/>
      <protection locked="false" hidden="false"/>
    </xf>
    <xf numFmtId="169" fontId="0" fillId="0" borderId="12" xfId="43" applyFont="true" applyBorder="true" applyAlignment="true" applyProtection="true">
      <alignment horizontal="center" vertical="bottom" textRotation="0" wrapText="false" indent="0" shrinkToFit="false"/>
      <protection locked="false" hidden="false"/>
    </xf>
    <xf numFmtId="169" fontId="37" fillId="0" borderId="12" xfId="43" applyFont="true" applyBorder="true" applyAlignment="true" applyProtection="true">
      <alignment horizontal="center" vertical="bottom" textRotation="0" wrapText="false" indent="0" shrinkToFit="false"/>
      <protection locked="false" hidden="false"/>
    </xf>
    <xf numFmtId="171" fontId="0" fillId="0" borderId="84" xfId="43" applyFont="true" applyBorder="true" applyAlignment="true" applyProtection="false">
      <alignment horizontal="center" vertical="bottom" textRotation="0" wrapText="false" indent="0" shrinkToFit="false"/>
      <protection locked="true" hidden="false"/>
    </xf>
    <xf numFmtId="171" fontId="0" fillId="0" borderId="94" xfId="97" applyFont="true" applyBorder="true" applyAlignment="true" applyProtection="false">
      <alignment horizontal="center" vertical="bottom" textRotation="0" wrapText="false" indent="0" shrinkToFit="false"/>
      <protection locked="true" hidden="false"/>
    </xf>
    <xf numFmtId="164" fontId="41" fillId="0" borderId="0" xfId="43" applyFont="true" applyBorder="false" applyAlignment="false" applyProtection="true">
      <alignment horizontal="general" vertical="bottom" textRotation="0" wrapText="false" indent="0" shrinkToFit="false"/>
      <protection locked="false" hidden="false"/>
    </xf>
    <xf numFmtId="199" fontId="0" fillId="0" borderId="0" xfId="43" applyFont="true" applyBorder="false" applyAlignment="false" applyProtection="true">
      <alignment horizontal="general" vertical="bottom" textRotation="0" wrapText="false" indent="0" shrinkToFit="false"/>
      <protection locked="false" hidden="false"/>
    </xf>
    <xf numFmtId="169" fontId="0" fillId="0" borderId="0" xfId="43" applyFont="true" applyBorder="false" applyAlignment="false" applyProtection="true">
      <alignment horizontal="general" vertical="bottom" textRotation="0" wrapText="false" indent="0" shrinkToFit="false"/>
      <protection locked="false" hidden="false"/>
    </xf>
    <xf numFmtId="171" fontId="0" fillId="0" borderId="0" xfId="43" applyFont="true" applyBorder="false" applyAlignment="false" applyProtection="true">
      <alignment horizontal="general" vertical="bottom" textRotation="0" wrapText="false" indent="0" shrinkToFit="false"/>
      <protection locked="false" hidden="false"/>
    </xf>
    <xf numFmtId="164" fontId="0" fillId="0" borderId="0" xfId="40" applyFont="true" applyBorder="false" applyAlignment="true" applyProtection="true">
      <alignment horizontal="right" vertical="bottom" textRotation="0" wrapText="false" indent="0" shrinkToFit="false"/>
      <protection locked="false" hidden="false"/>
    </xf>
    <xf numFmtId="164" fontId="0" fillId="0" borderId="0" xfId="40" applyFont="true" applyBorder="false" applyAlignment="true" applyProtection="false">
      <alignment horizontal="general" vertical="top" textRotation="0" wrapText="false" indent="0" shrinkToFit="false"/>
      <protection locked="true" hidden="false"/>
    </xf>
    <xf numFmtId="164" fontId="0" fillId="0" borderId="0" xfId="40" applyFont="true" applyBorder="false" applyAlignment="true" applyProtection="false">
      <alignment horizontal="general" vertical="top" textRotation="0" wrapText="true" indent="0" shrinkToFit="false"/>
      <protection locked="true" hidden="false"/>
    </xf>
    <xf numFmtId="164" fontId="50" fillId="0" borderId="0" xfId="40" applyFont="true" applyBorder="false" applyAlignment="true" applyProtection="false">
      <alignment horizontal="general" vertical="top" textRotation="0" wrapText="true" indent="0" shrinkToFit="false"/>
      <protection locked="true" hidden="false"/>
    </xf>
    <xf numFmtId="164" fontId="0" fillId="3" borderId="7" xfId="40" applyFont="true" applyBorder="true" applyAlignment="false" applyProtection="false">
      <alignment horizontal="general" vertical="bottom" textRotation="0" wrapText="false" indent="0" shrinkToFit="false"/>
      <protection locked="true" hidden="false"/>
    </xf>
    <xf numFmtId="164" fontId="0" fillId="3" borderId="8" xfId="40" applyFont="true" applyBorder="true" applyAlignment="false" applyProtection="false">
      <alignment horizontal="general" vertical="bottom" textRotation="0" wrapText="false" indent="0" shrinkToFit="false"/>
      <protection locked="true" hidden="false"/>
    </xf>
    <xf numFmtId="164" fontId="0" fillId="3" borderId="65" xfId="40" applyFont="true" applyBorder="true" applyAlignment="true" applyProtection="false">
      <alignment horizontal="center" vertical="bottom" textRotation="0" wrapText="false" indent="0" shrinkToFit="false"/>
      <protection locked="true" hidden="false"/>
    </xf>
    <xf numFmtId="164" fontId="0" fillId="0" borderId="0" xfId="40" applyFont="true" applyBorder="false" applyAlignment="false" applyProtection="true">
      <alignment horizontal="general" vertical="bottom" textRotation="0" wrapText="false" indent="0" shrinkToFit="false"/>
      <protection locked="false" hidden="false"/>
    </xf>
    <xf numFmtId="185" fontId="0" fillId="0" borderId="3" xfId="40" applyFont="true" applyBorder="true" applyAlignment="true" applyProtection="false">
      <alignment horizontal="center" vertical="bottom" textRotation="0" wrapText="false" indent="0" shrinkToFit="false"/>
      <protection locked="true" hidden="false"/>
    </xf>
    <xf numFmtId="169" fontId="0" fillId="0" borderId="0" xfId="40" applyFont="true" applyBorder="false" applyAlignment="false" applyProtection="true">
      <alignment horizontal="general" vertical="bottom" textRotation="0" wrapText="false" indent="0" shrinkToFit="false"/>
      <protection locked="false" hidden="false"/>
    </xf>
    <xf numFmtId="183" fontId="0" fillId="0" borderId="0" xfId="97" applyFont="true" applyBorder="false" applyAlignment="true" applyProtection="false">
      <alignment horizontal="general" vertical="center" textRotation="0" wrapText="false" indent="0" shrinkToFit="false"/>
      <protection locked="true" hidden="false"/>
    </xf>
    <xf numFmtId="164" fontId="0" fillId="0" borderId="69" xfId="76" applyFont="true" applyBorder="true" applyAlignment="true" applyProtection="false">
      <alignment horizontal="left" vertical="bottom" textRotation="0" wrapText="false" indent="0" shrinkToFit="false"/>
      <protection locked="true" hidden="false"/>
    </xf>
    <xf numFmtId="185" fontId="0" fillId="0" borderId="94" xfId="40" applyFont="true" applyBorder="true" applyAlignment="true" applyProtection="false">
      <alignment horizontal="center" vertical="bottom" textRotation="0" wrapText="false" indent="0" shrinkToFit="false"/>
      <protection locked="true" hidden="false"/>
    </xf>
    <xf numFmtId="171" fontId="0" fillId="0" borderId="0" xfId="40" applyFont="true" applyBorder="false" applyAlignment="false" applyProtection="true">
      <alignment horizontal="general" vertical="bottom" textRotation="0" wrapText="false" indent="0" shrinkToFit="false"/>
      <protection locked="false" hidden="false"/>
    </xf>
    <xf numFmtId="171" fontId="0" fillId="0" borderId="0" xfId="97" applyFont="true" applyBorder="false" applyAlignment="false" applyProtection="false">
      <alignment horizontal="general" vertical="bottom" textRotation="0" wrapText="false" indent="0" shrinkToFit="false"/>
      <protection locked="true" hidden="false"/>
    </xf>
    <xf numFmtId="164" fontId="0" fillId="0" borderId="0" xfId="40" applyFont="true" applyBorder="true" applyAlignment="true" applyProtection="false">
      <alignment horizontal="right" vertical="center" textRotation="0" wrapText="false" indent="0" shrinkToFit="false"/>
      <protection locked="true" hidden="false"/>
    </xf>
    <xf numFmtId="185" fontId="0" fillId="0" borderId="0" xfId="40" applyFont="true" applyBorder="true" applyAlignment="true" applyProtection="false">
      <alignment horizontal="center" vertical="center" textRotation="0" wrapText="false" indent="0" shrinkToFit="false"/>
      <protection locked="true" hidden="false"/>
    </xf>
    <xf numFmtId="164" fontId="0" fillId="0" borderId="11" xfId="0" applyFont="true" applyBorder="true" applyAlignment="true" applyProtection="false">
      <alignment horizontal="center" vertical="bottom" textRotation="0" wrapText="false" indent="0" shrinkToFit="false"/>
      <protection locked="true" hidden="false"/>
    </xf>
    <xf numFmtId="164" fontId="0" fillId="0" borderId="69" xfId="0" applyFont="true" applyBorder="true" applyAlignment="true" applyProtection="false">
      <alignment horizontal="left" vertical="bottom" textRotation="0" wrapText="false" indent="0" shrinkToFit="false"/>
      <protection locked="true" hidden="false"/>
    </xf>
    <xf numFmtId="185" fontId="0" fillId="0" borderId="94" xfId="0" applyFont="true" applyBorder="true" applyAlignment="true" applyProtection="false">
      <alignment horizontal="center" vertical="bottom" textRotation="0" wrapText="false" indent="0" shrinkToFit="false"/>
      <protection locked="true" hidden="false"/>
    </xf>
    <xf numFmtId="164" fontId="50" fillId="0" borderId="0" xfId="40" applyFont="true" applyBorder="false" applyAlignment="true" applyProtection="true">
      <alignment horizontal="general" vertical="top" textRotation="0" wrapText="true" indent="0" shrinkToFit="false"/>
      <protection locked="false" hidden="false"/>
    </xf>
    <xf numFmtId="182" fontId="4" fillId="0" borderId="0" xfId="97" applyFont="true" applyBorder="true" applyAlignment="true" applyProtection="true">
      <alignment horizontal="left" vertical="top" textRotation="0" wrapText="true" indent="0" shrinkToFit="false"/>
      <protection locked="false" hidden="false"/>
    </xf>
    <xf numFmtId="182" fontId="4" fillId="0" borderId="0" xfId="97" applyFont="true" applyBorder="false" applyAlignment="true" applyProtection="true">
      <alignment horizontal="left" vertical="top" textRotation="0" wrapText="true" indent="0" shrinkToFit="false"/>
      <protection locked="false" hidden="false"/>
    </xf>
    <xf numFmtId="164" fontId="0" fillId="0" borderId="64" xfId="73" applyFont="true" applyBorder="true" applyAlignment="true" applyProtection="true">
      <alignment horizontal="general" vertical="center" textRotation="0" wrapText="false" indent="0" shrinkToFit="false"/>
      <protection locked="true" hidden="true"/>
    </xf>
    <xf numFmtId="164" fontId="4" fillId="0" borderId="64" xfId="73" applyFont="true" applyBorder="true" applyAlignment="true" applyProtection="true">
      <alignment horizontal="general" vertical="center" textRotation="0" wrapText="false" indent="0" shrinkToFit="false"/>
      <protection locked="true" hidden="true"/>
    </xf>
    <xf numFmtId="164" fontId="47" fillId="0" borderId="64" xfId="73" applyFont="true" applyBorder="true" applyAlignment="true" applyProtection="true">
      <alignment horizontal="general" vertical="center" textRotation="0" wrapText="false" indent="0" shrinkToFit="false"/>
      <protection locked="true" hidden="true"/>
    </xf>
    <xf numFmtId="164" fontId="47" fillId="0" borderId="0" xfId="73" applyFont="true" applyBorder="false" applyAlignment="true" applyProtection="true">
      <alignment horizontal="general" vertical="center" textRotation="0" wrapText="false" indent="0" shrinkToFit="false"/>
      <protection locked="true" hidden="true"/>
    </xf>
    <xf numFmtId="164" fontId="5" fillId="0" borderId="0" xfId="97" applyFont="true" applyBorder="false" applyAlignment="true" applyProtection="false">
      <alignment horizontal="left" vertical="center" textRotation="0" wrapText="false" indent="0" shrinkToFit="false"/>
      <protection locked="true" hidden="false"/>
    </xf>
    <xf numFmtId="164" fontId="41" fillId="0" borderId="0" xfId="64" applyFont="true" applyBorder="false" applyAlignment="true" applyProtection="true">
      <alignment horizontal="left" vertical="center" textRotation="0" wrapText="true" indent="0" shrinkToFit="false"/>
      <protection locked="false" hidden="false"/>
    </xf>
    <xf numFmtId="164" fontId="0" fillId="3" borderId="7" xfId="97" applyFont="true" applyBorder="true" applyAlignment="true" applyProtection="true">
      <alignment horizontal="left" vertical="bottom" textRotation="0" wrapText="false" indent="0" shrinkToFit="false"/>
      <protection locked="false" hidden="false"/>
    </xf>
    <xf numFmtId="164" fontId="41" fillId="3" borderId="8" xfId="80" applyFont="true" applyBorder="true" applyAlignment="true" applyProtection="false">
      <alignment horizontal="left" vertical="bottom" textRotation="0" wrapText="false" indent="0" shrinkToFit="false"/>
      <protection locked="true" hidden="false"/>
    </xf>
    <xf numFmtId="164" fontId="41" fillId="3" borderId="8" xfId="80" applyFont="true" applyBorder="true" applyAlignment="false" applyProtection="false">
      <alignment horizontal="general" vertical="bottom" textRotation="0" wrapText="false" indent="0" shrinkToFit="false"/>
      <protection locked="true" hidden="false"/>
    </xf>
    <xf numFmtId="181" fontId="0" fillId="0" borderId="7" xfId="97" applyFont="true" applyBorder="true" applyAlignment="true" applyProtection="false">
      <alignment horizontal="center" vertical="center" textRotation="0" wrapText="false" indent="0" shrinkToFit="false"/>
      <protection locked="true" hidden="false"/>
    </xf>
    <xf numFmtId="181" fontId="37" fillId="0" borderId="8" xfId="97" applyFont="true" applyBorder="true" applyAlignment="true" applyProtection="false">
      <alignment horizontal="center" vertical="center" textRotation="0" wrapText="false" indent="0" shrinkToFit="false"/>
      <protection locked="true" hidden="false"/>
    </xf>
    <xf numFmtId="182" fontId="37" fillId="0" borderId="8" xfId="97" applyFont="true" applyBorder="true" applyAlignment="true" applyProtection="true">
      <alignment horizontal="general" vertical="center" textRotation="0" wrapText="false" indent="0" shrinkToFit="false"/>
      <protection locked="false" hidden="false"/>
    </xf>
    <xf numFmtId="181" fontId="41" fillId="0" borderId="9" xfId="97" applyFont="true" applyBorder="true" applyAlignment="true" applyProtection="false">
      <alignment horizontal="center" vertical="center" textRotation="0" wrapText="false" indent="0" shrinkToFit="false"/>
      <protection locked="true" hidden="false"/>
    </xf>
    <xf numFmtId="164" fontId="0" fillId="3" borderId="7" xfId="97" applyFont="true" applyBorder="true" applyAlignment="true" applyProtection="true">
      <alignment horizontal="center" vertical="bottom" textRotation="0" wrapText="false" indent="0" shrinkToFit="false"/>
      <protection locked="false" hidden="false"/>
    </xf>
    <xf numFmtId="164" fontId="41" fillId="3" borderId="2" xfId="80" applyFont="true" applyBorder="true" applyAlignment="true" applyProtection="false">
      <alignment horizontal="center" vertical="bottom" textRotation="0" wrapText="false" indent="0" shrinkToFit="false"/>
      <protection locked="true" hidden="false"/>
    </xf>
    <xf numFmtId="164" fontId="41" fillId="3" borderId="8" xfId="80" applyFont="true" applyBorder="true" applyAlignment="true" applyProtection="false">
      <alignment horizontal="center" vertical="bottom" textRotation="0" wrapText="false" indent="0" shrinkToFit="false"/>
      <protection locked="true" hidden="false"/>
    </xf>
    <xf numFmtId="183" fontId="0" fillId="3" borderId="2" xfId="97" applyFont="true" applyBorder="true" applyAlignment="true" applyProtection="true">
      <alignment horizontal="center" vertical="bottom" textRotation="0" wrapText="false" indent="0" shrinkToFit="false"/>
      <protection locked="false" hidden="false"/>
    </xf>
    <xf numFmtId="164" fontId="24" fillId="0" borderId="0" xfId="97" applyFont="true" applyBorder="false" applyAlignment="true" applyProtection="false">
      <alignment horizontal="general" vertical="center" textRotation="0" wrapText="false" indent="0" shrinkToFit="false"/>
      <protection locked="true" hidden="false"/>
    </xf>
    <xf numFmtId="182" fontId="0" fillId="0" borderId="108" xfId="97" applyFont="true" applyBorder="true" applyAlignment="true" applyProtection="true">
      <alignment horizontal="center" vertical="center" textRotation="0" wrapText="false" indent="0" shrinkToFit="false"/>
      <protection locked="false" hidden="false"/>
    </xf>
    <xf numFmtId="171" fontId="0" fillId="0" borderId="103" xfId="97" applyFont="true" applyBorder="true" applyAlignment="true" applyProtection="false">
      <alignment horizontal="center" vertical="center" textRotation="0" wrapText="false" indent="0" shrinkToFit="false"/>
      <protection locked="true" hidden="false"/>
    </xf>
    <xf numFmtId="182" fontId="0" fillId="0" borderId="103" xfId="97" applyFont="true" applyBorder="true" applyAlignment="true" applyProtection="false">
      <alignment horizontal="center" vertical="center" textRotation="0" wrapText="false" indent="0" shrinkToFit="false"/>
      <protection locked="true" hidden="false"/>
    </xf>
    <xf numFmtId="182" fontId="0" fillId="0" borderId="109" xfId="97" applyFont="true" applyBorder="true" applyAlignment="true" applyProtection="true">
      <alignment horizontal="center" vertical="center" textRotation="0" wrapText="false" indent="0" shrinkToFit="false"/>
      <protection locked="false" hidden="false"/>
    </xf>
    <xf numFmtId="171" fontId="0" fillId="0" borderId="110" xfId="97" applyFont="true" applyBorder="true" applyAlignment="true" applyProtection="false">
      <alignment horizontal="center" vertical="center" textRotation="0" wrapText="false" indent="0" shrinkToFit="false"/>
      <protection locked="true" hidden="false"/>
    </xf>
    <xf numFmtId="182" fontId="0" fillId="0" borderId="110" xfId="97" applyFont="true" applyBorder="true" applyAlignment="true" applyProtection="false">
      <alignment horizontal="center" vertical="center" textRotation="0" wrapText="false" indent="0" shrinkToFit="false"/>
      <protection locked="true" hidden="false"/>
    </xf>
    <xf numFmtId="182" fontId="0" fillId="0" borderId="111" xfId="97" applyFont="true" applyBorder="true" applyAlignment="true" applyProtection="true">
      <alignment horizontal="center" vertical="center" textRotation="0" wrapText="false" indent="0" shrinkToFit="false"/>
      <protection locked="false" hidden="false"/>
    </xf>
    <xf numFmtId="171" fontId="0" fillId="0" borderId="90" xfId="97" applyFont="true" applyBorder="true" applyAlignment="true" applyProtection="false">
      <alignment horizontal="center" vertical="center" textRotation="0" wrapText="false" indent="0" shrinkToFit="false"/>
      <protection locked="true" hidden="false"/>
    </xf>
    <xf numFmtId="182" fontId="0" fillId="0" borderId="0" xfId="97" applyFont="true" applyBorder="false" applyAlignment="true" applyProtection="true">
      <alignment horizontal="center" vertical="center" textRotation="0" wrapText="false" indent="0" shrinkToFit="false"/>
      <protection locked="false" hidden="false"/>
    </xf>
    <xf numFmtId="171" fontId="0" fillId="0" borderId="0" xfId="97" applyFont="true" applyBorder="false" applyAlignment="true" applyProtection="true">
      <alignment horizontal="center" vertical="center" textRotation="0" wrapText="false" indent="0" shrinkToFit="false"/>
      <protection locked="false" hidden="false"/>
    </xf>
    <xf numFmtId="182" fontId="41" fillId="0" borderId="64" xfId="97" applyFont="true" applyBorder="true" applyAlignment="true" applyProtection="false">
      <alignment horizontal="center" vertical="center" textRotation="0" wrapText="false" indent="0" shrinkToFit="false"/>
      <protection locked="true" hidden="false"/>
    </xf>
    <xf numFmtId="164" fontId="7" fillId="0" borderId="12" xfId="97" applyFont="true" applyBorder="true" applyAlignment="true" applyProtection="true">
      <alignment horizontal="left" vertical="top" textRotation="0" wrapText="false" indent="0" shrinkToFit="false"/>
      <protection locked="false" hidden="false"/>
    </xf>
    <xf numFmtId="164" fontId="0" fillId="0" borderId="12" xfId="73" applyFont="true" applyBorder="true" applyAlignment="true" applyProtection="true">
      <alignment horizontal="center" vertical="center" textRotation="0" wrapText="false" indent="0" shrinkToFit="false"/>
      <protection locked="true" hidden="true"/>
    </xf>
    <xf numFmtId="164" fontId="41" fillId="0" borderId="12" xfId="73" applyFont="true" applyBorder="true" applyAlignment="true" applyProtection="true">
      <alignment horizontal="center" vertical="center" textRotation="0" wrapText="false" indent="0" shrinkToFit="false"/>
      <protection locked="true" hidden="true"/>
    </xf>
    <xf numFmtId="164" fontId="41" fillId="3" borderId="7" xfId="80" applyFont="true" applyBorder="true" applyAlignment="true" applyProtection="false">
      <alignment horizontal="center" vertical="bottom" textRotation="0" wrapText="false" indent="0" shrinkToFit="false"/>
      <protection locked="true" hidden="false"/>
    </xf>
    <xf numFmtId="164" fontId="0" fillId="3" borderId="112" xfId="73" applyFont="true" applyBorder="true" applyAlignment="true" applyProtection="true">
      <alignment horizontal="center" vertical="center" textRotation="0" wrapText="true" indent="0" shrinkToFit="false"/>
      <protection locked="true" hidden="true"/>
    </xf>
    <xf numFmtId="164" fontId="41" fillId="3" borderId="90" xfId="80" applyFont="true" applyBorder="true" applyAlignment="true" applyProtection="false">
      <alignment horizontal="center" vertical="bottom" textRotation="0" wrapText="false" indent="0" shrinkToFit="false"/>
      <protection locked="true" hidden="false"/>
    </xf>
    <xf numFmtId="164" fontId="41" fillId="3" borderId="113" xfId="80" applyFont="true" applyBorder="true" applyAlignment="true" applyProtection="false">
      <alignment horizontal="center" vertical="bottom" textRotation="0" wrapText="false" indent="0" shrinkToFit="false"/>
      <protection locked="true" hidden="false"/>
    </xf>
    <xf numFmtId="194" fontId="0" fillId="0" borderId="0" xfId="97" applyFont="true" applyBorder="false" applyAlignment="true" applyProtection="false">
      <alignment horizontal="center" vertical="center" textRotation="0" wrapText="true" indent="0" shrinkToFit="false"/>
      <protection locked="true" hidden="false"/>
    </xf>
    <xf numFmtId="164" fontId="12" fillId="0" borderId="0" xfId="80" applyFont="true" applyBorder="false" applyAlignment="false" applyProtection="false">
      <alignment horizontal="general" vertical="bottom" textRotation="0" wrapText="false" indent="0" shrinkToFit="false"/>
      <protection locked="true" hidden="false"/>
    </xf>
    <xf numFmtId="171" fontId="41" fillId="0" borderId="77" xfId="80" applyFont="true" applyBorder="true" applyAlignment="true" applyProtection="false">
      <alignment horizontal="center" vertical="bottom" textRotation="0" wrapText="false" indent="0" shrinkToFit="false"/>
      <protection locked="true" hidden="false"/>
    </xf>
    <xf numFmtId="169" fontId="41" fillId="0" borderId="78" xfId="80" applyFont="true" applyBorder="true" applyAlignment="true" applyProtection="false">
      <alignment horizontal="center" vertical="center" textRotation="0" wrapText="true" indent="0" shrinkToFit="false"/>
      <protection locked="true" hidden="false"/>
    </xf>
    <xf numFmtId="164" fontId="0" fillId="0" borderId="0" xfId="97" applyFont="true" applyBorder="false" applyAlignment="true" applyProtection="false">
      <alignment horizontal="center" vertical="top" textRotation="0" wrapText="true" indent="0" shrinkToFit="false"/>
      <protection locked="true" hidden="false"/>
    </xf>
    <xf numFmtId="164" fontId="0" fillId="0" borderId="0" xfId="97" applyFont="true" applyBorder="false" applyAlignment="true" applyProtection="false">
      <alignment horizontal="center" vertical="center" textRotation="0" wrapText="true" indent="0" shrinkToFit="false"/>
      <protection locked="true" hidden="false"/>
    </xf>
    <xf numFmtId="171" fontId="41" fillId="0" borderId="10" xfId="80" applyFont="true" applyBorder="true" applyAlignment="true" applyProtection="false">
      <alignment horizontal="center" vertical="bottom" textRotation="0" wrapText="false" indent="0" shrinkToFit="false"/>
      <protection locked="true" hidden="false"/>
    </xf>
    <xf numFmtId="169" fontId="41" fillId="0" borderId="67" xfId="80" applyFont="true" applyBorder="true" applyAlignment="true" applyProtection="false">
      <alignment horizontal="center" vertical="center" textRotation="0" wrapText="true" indent="0" shrinkToFit="false"/>
      <protection locked="true" hidden="false"/>
    </xf>
    <xf numFmtId="164" fontId="41" fillId="0" borderId="11" xfId="76" applyFont="true" applyBorder="true" applyAlignment="true" applyProtection="false">
      <alignment horizontal="center" vertical="bottom" textRotation="0" wrapText="false" indent="0" shrinkToFit="false"/>
      <protection locked="true" hidden="false"/>
    </xf>
    <xf numFmtId="164" fontId="41" fillId="0" borderId="69" xfId="76" applyFont="true" applyBorder="true" applyAlignment="true" applyProtection="false">
      <alignment horizontal="left" vertical="bottom" textRotation="0" wrapText="false" indent="0" shrinkToFit="false"/>
      <protection locked="true" hidden="false"/>
    </xf>
    <xf numFmtId="169" fontId="41" fillId="0" borderId="94" xfId="80" applyFont="true" applyBorder="true" applyAlignment="true" applyProtection="false">
      <alignment horizontal="center" vertical="center" textRotation="0" wrapText="true" indent="0" shrinkToFit="false"/>
      <protection locked="true" hidden="false"/>
    </xf>
    <xf numFmtId="171" fontId="0" fillId="0" borderId="64" xfId="73" applyFont="true" applyBorder="true" applyAlignment="true" applyProtection="true">
      <alignment horizontal="center" vertical="bottom" textRotation="0" wrapText="false" indent="0" shrinkToFit="false"/>
      <protection locked="true" hidden="true"/>
    </xf>
    <xf numFmtId="169" fontId="0" fillId="0" borderId="0" xfId="80" applyFont="true" applyBorder="true" applyAlignment="true" applyProtection="false">
      <alignment horizontal="center" vertical="bottom" textRotation="0" wrapText="true" indent="0" shrinkToFit="false"/>
      <protection locked="true" hidden="false"/>
    </xf>
    <xf numFmtId="169" fontId="0" fillId="0" borderId="0" xfId="80" applyFont="true" applyBorder="false" applyAlignment="true" applyProtection="false">
      <alignment horizontal="center" vertical="bottom" textRotation="0" wrapText="true" indent="0" shrinkToFit="false"/>
      <protection locked="true" hidden="false"/>
    </xf>
    <xf numFmtId="164" fontId="43" fillId="0" borderId="0" xfId="53" applyFont="true" applyBorder="false" applyAlignment="true" applyProtection="true">
      <alignment horizontal="left" vertical="bottom" textRotation="0" wrapText="false" indent="0" shrinkToFit="false"/>
      <protection locked="false" hidden="false"/>
    </xf>
    <xf numFmtId="164" fontId="23" fillId="0" borderId="0" xfId="80" applyFont="true" applyBorder="false" applyAlignment="true" applyProtection="true">
      <alignment horizontal="general" vertical="top" textRotation="0" wrapText="true" indent="0" shrinkToFit="false"/>
      <protection locked="false" hidden="false"/>
    </xf>
    <xf numFmtId="164" fontId="41" fillId="3" borderId="7" xfId="53" applyFont="true" applyBorder="true" applyAlignment="true" applyProtection="true">
      <alignment horizontal="left" vertical="bottom" textRotation="0" wrapText="false" indent="0" shrinkToFit="false"/>
      <protection locked="false" hidden="false"/>
    </xf>
    <xf numFmtId="164" fontId="41" fillId="3" borderId="8" xfId="53" applyFont="true" applyBorder="true" applyAlignment="true" applyProtection="true">
      <alignment horizontal="center" vertical="bottom" textRotation="0" wrapText="false" indent="0" shrinkToFit="false"/>
      <protection locked="false" hidden="false"/>
    </xf>
    <xf numFmtId="164" fontId="41" fillId="3" borderId="9" xfId="53" applyFont="true" applyBorder="true" applyAlignment="true" applyProtection="true">
      <alignment horizontal="center" vertical="bottom" textRotation="0" wrapText="false" indent="0" shrinkToFit="false"/>
      <protection locked="false" hidden="false"/>
    </xf>
    <xf numFmtId="183" fontId="0" fillId="0" borderId="2" xfId="97" applyFont="true" applyBorder="true" applyAlignment="true" applyProtection="false">
      <alignment horizontal="center" vertical="center" textRotation="0" wrapText="false" indent="0" shrinkToFit="false"/>
      <protection locked="true" hidden="false"/>
    </xf>
    <xf numFmtId="164" fontId="12" fillId="0" borderId="0" xfId="53" applyFont="true" applyBorder="false" applyAlignment="false" applyProtection="false">
      <alignment horizontal="general" vertical="bottom" textRotation="0" wrapText="false" indent="0" shrinkToFit="false"/>
      <protection locked="true" hidden="false"/>
    </xf>
    <xf numFmtId="164" fontId="41" fillId="0" borderId="63" xfId="53" applyFont="true" applyBorder="true" applyAlignment="true" applyProtection="true">
      <alignment horizontal="left" vertical="bottom" textRotation="0" wrapText="false" indent="0" shrinkToFit="false"/>
      <protection locked="false" hidden="false"/>
    </xf>
    <xf numFmtId="199" fontId="0" fillId="0" borderId="64" xfId="53" applyFont="true" applyBorder="true" applyAlignment="true" applyProtection="true">
      <alignment horizontal="center" vertical="bottom" textRotation="0" wrapText="false" indent="0" shrinkToFit="false"/>
      <protection locked="false" hidden="false"/>
    </xf>
    <xf numFmtId="169" fontId="0" fillId="0" borderId="64" xfId="53" applyFont="true" applyBorder="true" applyAlignment="true" applyProtection="true">
      <alignment horizontal="center" vertical="bottom" textRotation="0" wrapText="false" indent="0" shrinkToFit="false"/>
      <protection locked="false" hidden="false"/>
    </xf>
    <xf numFmtId="171" fontId="0" fillId="0" borderId="20" xfId="53" applyFont="true" applyBorder="true" applyAlignment="true" applyProtection="true">
      <alignment horizontal="center" vertical="bottom" textRotation="0" wrapText="false" indent="0" shrinkToFit="false"/>
      <protection locked="false" hidden="false"/>
    </xf>
    <xf numFmtId="164" fontId="41" fillId="0" borderId="11" xfId="53" applyFont="true" applyBorder="true" applyAlignment="true" applyProtection="true">
      <alignment horizontal="left" vertical="bottom" textRotation="0" wrapText="false" indent="0" shrinkToFit="false"/>
      <protection locked="false" hidden="false"/>
    </xf>
    <xf numFmtId="199" fontId="0" fillId="0" borderId="12" xfId="53" applyFont="true" applyBorder="true" applyAlignment="true" applyProtection="true">
      <alignment horizontal="center" vertical="bottom" textRotation="0" wrapText="false" indent="0" shrinkToFit="false"/>
      <protection locked="false" hidden="false"/>
    </xf>
    <xf numFmtId="169" fontId="0" fillId="0" borderId="12" xfId="53" applyFont="true" applyBorder="true" applyAlignment="true" applyProtection="true">
      <alignment horizontal="center" vertical="bottom" textRotation="0" wrapText="false" indent="0" shrinkToFit="false"/>
      <protection locked="false" hidden="false"/>
    </xf>
    <xf numFmtId="171" fontId="0" fillId="0" borderId="84" xfId="53" applyFont="true" applyBorder="true" applyAlignment="true" applyProtection="true">
      <alignment horizontal="center" vertical="bottom" textRotation="0" wrapText="false" indent="0" shrinkToFit="false"/>
      <protection locked="false" hidden="false"/>
    </xf>
    <xf numFmtId="164" fontId="53" fillId="0" borderId="0" xfId="80" applyFont="true" applyBorder="false" applyAlignment="true" applyProtection="true">
      <alignment horizontal="left" vertical="top" textRotation="0" wrapText="true" indent="0" shrinkToFit="false"/>
      <protection locked="false" hidden="false"/>
    </xf>
    <xf numFmtId="164" fontId="62" fillId="0" borderId="12" xfId="53" applyFont="true" applyBorder="true" applyAlignment="true" applyProtection="true">
      <alignment horizontal="general" vertical="bottom" textRotation="0" wrapText="true" indent="0" shrinkToFit="false"/>
      <protection locked="false" hidden="false"/>
    </xf>
    <xf numFmtId="164" fontId="23" fillId="0" borderId="0" xfId="53" applyFont="true" applyBorder="false" applyAlignment="false" applyProtection="true">
      <alignment horizontal="general" vertical="bottom" textRotation="0" wrapText="false" indent="0" shrinkToFit="false"/>
      <protection locked="false" hidden="false"/>
    </xf>
    <xf numFmtId="164" fontId="23" fillId="0" borderId="12" xfId="53" applyFont="true" applyBorder="true" applyAlignment="false" applyProtection="true">
      <alignment horizontal="general" vertical="bottom" textRotation="0" wrapText="false" indent="0" shrinkToFit="false"/>
      <protection locked="false" hidden="false"/>
    </xf>
    <xf numFmtId="164" fontId="6" fillId="0" borderId="8" xfId="97" applyFont="true" applyBorder="true" applyAlignment="true" applyProtection="false">
      <alignment horizontal="left" vertical="bottom" textRotation="0" wrapText="false" indent="0" shrinkToFit="false"/>
      <protection locked="true" hidden="false"/>
    </xf>
    <xf numFmtId="171" fontId="63" fillId="0" borderId="12" xfId="97" applyFont="true" applyBorder="true" applyAlignment="true" applyProtection="false">
      <alignment horizontal="center" vertical="bottom" textRotation="0" wrapText="false" indent="0" shrinkToFit="false"/>
      <protection locked="true" hidden="false"/>
    </xf>
    <xf numFmtId="164" fontId="6" fillId="0" borderId="12" xfId="97" applyFont="true" applyBorder="true" applyAlignment="false" applyProtection="true">
      <alignment horizontal="general" vertical="bottom" textRotation="0" wrapText="false" indent="0" shrinkToFit="false"/>
      <protection locked="false" hidden="false"/>
    </xf>
    <xf numFmtId="171" fontId="46" fillId="0" borderId="12" xfId="97" applyFont="true" applyBorder="true" applyAlignment="true" applyProtection="true">
      <alignment horizontal="right" vertical="bottom" textRotation="0" wrapText="false" indent="0" shrinkToFit="false"/>
      <protection locked="false" hidden="false"/>
    </xf>
    <xf numFmtId="164" fontId="6" fillId="0" borderId="12" xfId="97" applyFont="true" applyBorder="true" applyAlignment="true" applyProtection="true">
      <alignment horizontal="general" vertical="center" textRotation="0" wrapText="false" indent="0" shrinkToFit="false"/>
      <protection locked="false" hidden="false"/>
    </xf>
    <xf numFmtId="164" fontId="19" fillId="0" borderId="12" xfId="97" applyFont="true" applyBorder="true" applyAlignment="true" applyProtection="false">
      <alignment horizontal="general" vertical="center" textRotation="0" wrapText="false" indent="0" shrinkToFit="false"/>
      <protection locked="true" hidden="false"/>
    </xf>
    <xf numFmtId="164" fontId="19" fillId="0" borderId="12" xfId="97" applyFont="true" applyBorder="true" applyAlignment="true" applyProtection="false">
      <alignment horizontal="right" vertical="center" textRotation="0" wrapText="false" indent="0" shrinkToFit="false"/>
      <protection locked="true" hidden="false"/>
    </xf>
    <xf numFmtId="164" fontId="19" fillId="0" borderId="12" xfId="97" applyFont="true" applyBorder="true" applyAlignment="true" applyProtection="false">
      <alignment horizontal="center" vertical="center" textRotation="0" wrapText="false" indent="0" shrinkToFit="false"/>
      <protection locked="true" hidden="false"/>
    </xf>
    <xf numFmtId="164" fontId="7" fillId="0" borderId="0" xfId="69" applyFont="true" applyBorder="false" applyAlignment="true" applyProtection="true">
      <alignment horizontal="left" vertical="top" textRotation="0" wrapText="false" indent="0" shrinkToFit="false"/>
      <protection locked="false" hidden="false"/>
    </xf>
    <xf numFmtId="164" fontId="0" fillId="0" borderId="0" xfId="69" applyFont="true" applyBorder="false" applyAlignment="true" applyProtection="true">
      <alignment horizontal="general" vertical="top" textRotation="0" wrapText="true" indent="0" shrinkToFit="false"/>
      <protection locked="false" hidden="false"/>
    </xf>
    <xf numFmtId="164" fontId="41" fillId="3" borderId="63" xfId="69" applyFont="true" applyBorder="true" applyAlignment="true" applyProtection="false">
      <alignment horizontal="general" vertical="bottom" textRotation="0" wrapText="false" indent="0" shrinkToFit="false"/>
      <protection locked="true" hidden="false"/>
    </xf>
    <xf numFmtId="164" fontId="41" fillId="3" borderId="64" xfId="69" applyFont="true" applyBorder="true" applyAlignment="true" applyProtection="false">
      <alignment horizontal="general" vertical="bottom" textRotation="0" wrapText="false" indent="0" shrinkToFit="false"/>
      <protection locked="true" hidden="false"/>
    </xf>
    <xf numFmtId="164" fontId="41" fillId="3" borderId="77" xfId="69" applyFont="true" applyBorder="true" applyAlignment="true" applyProtection="false">
      <alignment horizontal="center" vertical="bottom" textRotation="0" wrapText="false" indent="0" shrinkToFit="false"/>
      <protection locked="true" hidden="false"/>
    </xf>
    <xf numFmtId="164" fontId="41" fillId="3" borderId="78" xfId="69" applyFont="true" applyBorder="true" applyAlignment="true" applyProtection="false">
      <alignment horizontal="center" vertical="bottom" textRotation="0" wrapText="false" indent="0" shrinkToFit="false"/>
      <protection locked="true" hidden="false"/>
    </xf>
    <xf numFmtId="164" fontId="0" fillId="0" borderId="0" xfId="69" applyFont="true" applyBorder="false" applyAlignment="true" applyProtection="false">
      <alignment horizontal="general" vertical="top" textRotation="0" wrapText="true" indent="0" shrinkToFit="false"/>
      <protection locked="true" hidden="false"/>
    </xf>
    <xf numFmtId="164" fontId="0" fillId="3" borderId="91" xfId="69" applyFont="true" applyBorder="true" applyAlignment="true" applyProtection="false">
      <alignment horizontal="center" vertical="top" textRotation="0" wrapText="true" indent="0" shrinkToFit="false"/>
      <protection locked="true" hidden="false"/>
    </xf>
    <xf numFmtId="164" fontId="0" fillId="0" borderId="92" xfId="69" applyFont="true" applyBorder="true" applyAlignment="true" applyProtection="false">
      <alignment horizontal="center" vertical="top" textRotation="0" wrapText="true" indent="0" shrinkToFit="false"/>
      <protection locked="true" hidden="false"/>
    </xf>
    <xf numFmtId="164" fontId="0" fillId="0" borderId="63" xfId="69" applyFont="true" applyBorder="true" applyAlignment="true" applyProtection="false">
      <alignment horizontal="center" vertical="center" textRotation="0" wrapText="false" indent="0" shrinkToFit="false"/>
      <protection locked="true" hidden="false"/>
    </xf>
    <xf numFmtId="164" fontId="0" fillId="0" borderId="64" xfId="69" applyFont="true" applyBorder="true" applyAlignment="true" applyProtection="false">
      <alignment horizontal="left" vertical="center" textRotation="0" wrapText="false" indent="0" shrinkToFit="false"/>
      <protection locked="true" hidden="false"/>
    </xf>
    <xf numFmtId="185" fontId="41" fillId="0" borderId="64" xfId="69" applyFont="true" applyBorder="true" applyAlignment="true" applyProtection="false">
      <alignment horizontal="center" vertical="center" textRotation="0" wrapText="false" indent="0" shrinkToFit="false"/>
      <protection locked="true" hidden="false"/>
    </xf>
    <xf numFmtId="184" fontId="41" fillId="0" borderId="20" xfId="69" applyFont="true" applyBorder="true" applyAlignment="true" applyProtection="false">
      <alignment horizontal="center" vertical="center" textRotation="0" wrapText="false" indent="0" shrinkToFit="false"/>
      <protection locked="true" hidden="false"/>
    </xf>
    <xf numFmtId="164" fontId="0" fillId="0" borderId="0" xfId="69" applyFont="true" applyBorder="true" applyAlignment="true" applyProtection="false">
      <alignment horizontal="left" vertical="center" textRotation="0" wrapText="false" indent="0" shrinkToFit="false"/>
      <protection locked="true" hidden="false"/>
    </xf>
    <xf numFmtId="185" fontId="41" fillId="0" borderId="0" xfId="69" applyFont="true" applyBorder="true" applyAlignment="true" applyProtection="false">
      <alignment horizontal="center" vertical="center" textRotation="0" wrapText="false" indent="0" shrinkToFit="false"/>
      <protection locked="true" hidden="false"/>
    </xf>
    <xf numFmtId="184" fontId="41" fillId="0" borderId="5" xfId="69" applyFont="true" applyBorder="true" applyAlignment="true" applyProtection="false">
      <alignment horizontal="center" vertical="center" textRotation="0" wrapText="false" indent="0" shrinkToFit="false"/>
      <protection locked="true" hidden="false"/>
    </xf>
    <xf numFmtId="185" fontId="41" fillId="0" borderId="0" xfId="69" applyFont="true" applyBorder="false" applyAlignment="true" applyProtection="false">
      <alignment horizontal="center" vertical="center" textRotation="0" wrapText="false" indent="0" shrinkToFit="false"/>
      <protection locked="true" hidden="false"/>
    </xf>
    <xf numFmtId="184" fontId="41" fillId="0" borderId="0" xfId="69" applyFont="true" applyBorder="false" applyAlignment="true" applyProtection="false">
      <alignment horizontal="center" vertical="center" textRotation="0" wrapText="false" indent="0" shrinkToFit="false"/>
      <protection locked="true" hidden="false"/>
    </xf>
    <xf numFmtId="184" fontId="37" fillId="0" borderId="11" xfId="51" applyFont="true" applyBorder="true" applyAlignment="true" applyProtection="false">
      <alignment horizontal="center" vertical="center" textRotation="0" wrapText="false" indent="0" shrinkToFit="false"/>
      <protection locked="true" hidden="false"/>
    </xf>
    <xf numFmtId="184" fontId="41" fillId="0" borderId="12" xfId="51" applyFont="true" applyBorder="true" applyAlignment="true" applyProtection="false">
      <alignment horizontal="left" vertical="center" textRotation="0" wrapText="false" indent="0" shrinkToFit="false"/>
      <protection locked="true" hidden="false"/>
    </xf>
    <xf numFmtId="185" fontId="41" fillId="0" borderId="12" xfId="51" applyFont="true" applyBorder="true" applyAlignment="true" applyProtection="false">
      <alignment horizontal="center" vertical="center" textRotation="0" wrapText="false" indent="0" shrinkToFit="false"/>
      <protection locked="true" hidden="false"/>
    </xf>
    <xf numFmtId="184" fontId="41" fillId="0" borderId="84" xfId="51" applyFont="true" applyBorder="true" applyAlignment="true" applyProtection="false">
      <alignment horizontal="center" vertical="center" textRotation="0" wrapText="false" indent="0" shrinkToFit="false"/>
      <protection locked="true" hidden="false"/>
    </xf>
    <xf numFmtId="164" fontId="57" fillId="0" borderId="0" xfId="69" applyFont="true" applyBorder="false" applyAlignment="true" applyProtection="false">
      <alignment horizontal="general" vertical="bottom" textRotation="0" wrapText="false" indent="0" shrinkToFit="false"/>
      <protection locked="true" hidden="false"/>
    </xf>
    <xf numFmtId="164" fontId="4" fillId="0" borderId="0" xfId="69" applyFont="true" applyBorder="false" applyAlignment="true" applyProtection="true">
      <alignment horizontal="general" vertical="top" textRotation="0" wrapText="true" indent="0" shrinkToFit="false"/>
      <protection locked="false" hidden="false"/>
    </xf>
    <xf numFmtId="164" fontId="41" fillId="0" borderId="0" xfId="69" applyFont="true" applyBorder="true" applyAlignment="true" applyProtection="false">
      <alignment horizontal="right" vertical="center" textRotation="0" wrapText="false" indent="0" shrinkToFit="false"/>
      <protection locked="true" hidden="false"/>
    </xf>
    <xf numFmtId="184" fontId="41" fillId="0" borderId="0" xfId="69" applyFont="true" applyBorder="true" applyAlignment="true" applyProtection="false">
      <alignment horizontal="center" vertical="center" textRotation="0" wrapText="false" indent="0" shrinkToFit="false"/>
      <protection locked="true" hidden="false"/>
    </xf>
    <xf numFmtId="194" fontId="41" fillId="0" borderId="0" xfId="69" applyFont="true" applyBorder="false" applyAlignment="true" applyProtection="false">
      <alignment horizontal="general" vertical="bottom" textRotation="0" wrapText="false" indent="0" shrinkToFit="false"/>
      <protection locked="true" hidden="false"/>
    </xf>
    <xf numFmtId="164" fontId="23" fillId="0" borderId="0" xfId="69" applyFont="true" applyBorder="false" applyAlignment="true" applyProtection="true">
      <alignment horizontal="general" vertical="center" textRotation="0" wrapText="false" indent="0" shrinkToFit="false"/>
      <protection locked="true" hidden="true"/>
    </xf>
    <xf numFmtId="164" fontId="64" fillId="0" borderId="0" xfId="69" applyFont="true" applyBorder="false" applyAlignment="true" applyProtection="false">
      <alignment horizontal="general" vertical="bottom" textRotation="0" wrapText="false" indent="0" shrinkToFit="false"/>
      <protection locked="true" hidden="false"/>
    </xf>
    <xf numFmtId="171" fontId="46" fillId="0" borderId="64" xfId="69" applyFont="true" applyBorder="true" applyAlignment="true" applyProtection="false">
      <alignment horizontal="right" vertical="bottom" textRotation="0" wrapText="false" indent="0" shrinkToFit="false"/>
      <protection locked="true" hidden="false"/>
    </xf>
    <xf numFmtId="164" fontId="6" fillId="0" borderId="64" xfId="69" applyFont="true" applyBorder="true" applyAlignment="true" applyProtection="true">
      <alignment horizontal="general" vertical="bottom" textRotation="0" wrapText="false" indent="0" shrinkToFit="false"/>
      <protection locked="false" hidden="false"/>
    </xf>
    <xf numFmtId="164" fontId="6" fillId="0" borderId="64" xfId="69" applyFont="true" applyBorder="true" applyAlignment="true" applyProtection="true">
      <alignment horizontal="center" vertical="bottom" textRotation="0" wrapText="false" indent="0" shrinkToFit="false"/>
      <protection locked="false" hidden="false"/>
    </xf>
    <xf numFmtId="171" fontId="46" fillId="0" borderId="64" xfId="69" applyFont="true" applyBorder="true" applyAlignment="true" applyProtection="true">
      <alignment horizontal="right" vertical="bottom" textRotation="0" wrapText="false" indent="0" shrinkToFit="false"/>
      <protection locked="false" hidden="false"/>
    </xf>
    <xf numFmtId="164" fontId="6" fillId="0" borderId="64" xfId="69" applyFont="true" applyBorder="true" applyAlignment="true" applyProtection="true">
      <alignment horizontal="general" vertical="center" textRotation="0" wrapText="false" indent="0" shrinkToFit="false"/>
      <protection locked="false" hidden="false"/>
    </xf>
  </cellXfs>
  <cellStyles count="87">
    <cellStyle name="Normal" xfId="0" builtinId="0"/>
    <cellStyle name="Comma" xfId="15" builtinId="3"/>
    <cellStyle name="Comma [0]" xfId="16" builtinId="6"/>
    <cellStyle name="Currency" xfId="17" builtinId="4"/>
    <cellStyle name="Currency [0]" xfId="18" builtinId="7"/>
    <cellStyle name="Percent" xfId="19" builtinId="5"/>
    <cellStyle name="BFR BODY" xfId="20"/>
    <cellStyle name="BFR FOOTNOTES" xfId="21"/>
    <cellStyle name="BFR SUBTITLE 1" xfId="22"/>
    <cellStyle name="BFR SUBTITLE 2" xfId="23"/>
    <cellStyle name="BFR TABLE TITLES" xfId="24"/>
    <cellStyle name="BFR TITLE" xfId="25"/>
    <cellStyle name="BFR TO BODY" xfId="26"/>
    <cellStyle name="BFR TO SECTION TITLE" xfId="27"/>
    <cellStyle name="BFR TO/E HEADINGS" xfId="28"/>
    <cellStyle name="Comma 2" xfId="29"/>
    <cellStyle name="Comma 2 2" xfId="30"/>
    <cellStyle name="Comma 2 2 2" xfId="31"/>
    <cellStyle name="Comma 2 3" xfId="32"/>
    <cellStyle name="Comma 7" xfId="33"/>
    <cellStyle name="Comma 7 2" xfId="34"/>
    <cellStyle name="Comma 7 2 2" xfId="35"/>
    <cellStyle name="Currency 2" xfId="36"/>
    <cellStyle name="Normal 10" xfId="37"/>
    <cellStyle name="Normal 10 12" xfId="38"/>
    <cellStyle name="Normal 10 12 10" xfId="39"/>
    <cellStyle name="Normal 10 12 11" xfId="40"/>
    <cellStyle name="Normal 10 12 12" xfId="41"/>
    <cellStyle name="Normal 10 12 13" xfId="42"/>
    <cellStyle name="Normal 10 12 14" xfId="43"/>
    <cellStyle name="Normal 10 12 15" xfId="44"/>
    <cellStyle name="Normal 10 12 2" xfId="45"/>
    <cellStyle name="Normal 10 12 2 2" xfId="46"/>
    <cellStyle name="Normal 10 12 2 2 2" xfId="47"/>
    <cellStyle name="Normal 10 12 3" xfId="48"/>
    <cellStyle name="Normal 10 12 3 2" xfId="49"/>
    <cellStyle name="Normal 10 12 3 2 2" xfId="50"/>
    <cellStyle name="Normal 10 12 3 3" xfId="51"/>
    <cellStyle name="Normal 10 12 4" xfId="52"/>
    <cellStyle name="Normal 10 12 5" xfId="53"/>
    <cellStyle name="Normal 10 12 5 2" xfId="54"/>
    <cellStyle name="Normal 10 12 6" xfId="55"/>
    <cellStyle name="Normal 10 12 7" xfId="56"/>
    <cellStyle name="Normal 10 12 8" xfId="57"/>
    <cellStyle name="Normal 10 12 9" xfId="58"/>
    <cellStyle name="Normal 11" xfId="59"/>
    <cellStyle name="Normal 12" xfId="60"/>
    <cellStyle name="Normal 13" xfId="61"/>
    <cellStyle name="Normal 14" xfId="62"/>
    <cellStyle name="Normal 147" xfId="63"/>
    <cellStyle name="Normal 148" xfId="64"/>
    <cellStyle name="Normal 148 2" xfId="65"/>
    <cellStyle name="Normal 15" xfId="66"/>
    <cellStyle name="Normal 2" xfId="67"/>
    <cellStyle name="Normal 2 14" xfId="68"/>
    <cellStyle name="Normal 2 2" xfId="69"/>
    <cellStyle name="Normal 2 2 2" xfId="70"/>
    <cellStyle name="Normal 2 2 3" xfId="71"/>
    <cellStyle name="Normal 2 2 4" xfId="72"/>
    <cellStyle name="Normal 2 3" xfId="73"/>
    <cellStyle name="Normal 2 3 2" xfId="74"/>
    <cellStyle name="Normal 2 3 5" xfId="75"/>
    <cellStyle name="Normal 2 4" xfId="76"/>
    <cellStyle name="Normal 2 4 2" xfId="77"/>
    <cellStyle name="Normal 2 4 2 2" xfId="78"/>
    <cellStyle name="Normal 2 4 2 3" xfId="79"/>
    <cellStyle name="Normal 2 4 5" xfId="80"/>
    <cellStyle name="Normal 2 4 5 2" xfId="81"/>
    <cellStyle name="Normal 3" xfId="82"/>
    <cellStyle name="Normal 3 11" xfId="83"/>
    <cellStyle name="Normal 3 11 2" xfId="84"/>
    <cellStyle name="Normal 3 2" xfId="85"/>
    <cellStyle name="Normal 3 3" xfId="86"/>
    <cellStyle name="Normal 4" xfId="87"/>
    <cellStyle name="Normal 4 2" xfId="88"/>
    <cellStyle name="Normal 5" xfId="89"/>
    <cellStyle name="Normal 5 12" xfId="90"/>
    <cellStyle name="Normal 6" xfId="91"/>
    <cellStyle name="Normal 6 3 2" xfId="92"/>
    <cellStyle name="Normal 7" xfId="93"/>
    <cellStyle name="Normal 8" xfId="94"/>
    <cellStyle name="Normal 9" xfId="95"/>
    <cellStyle name="Normal_armproj2" xfId="96"/>
    <cellStyle name="Normal_Graph Paper (combined)" xfId="97"/>
    <cellStyle name="Percent 2" xfId="98"/>
    <cellStyle name="Percent 2 2" xfId="99"/>
    <cellStyle name="Percent 4" xfId="100"/>
  </cellStyles>
  <dxfs count="25">
    <dxf>
      <fill>
        <patternFill patternType="solid">
          <fgColor rgb="FFD7E4BD"/>
          <bgColor rgb="FF000000"/>
        </patternFill>
      </fill>
    </dxf>
    <dxf>
      <fill>
        <patternFill patternType="solid">
          <fgColor rgb="FFD9D9D9"/>
          <bgColor rgb="FF000000"/>
        </patternFill>
      </fill>
    </dxf>
    <dxf>
      <fill>
        <patternFill patternType="solid">
          <fgColor rgb="FFFDEADA"/>
          <bgColor rgb="FF000000"/>
        </patternFill>
      </fill>
    </dxf>
    <dxf>
      <fill>
        <patternFill patternType="solid">
          <bgColor rgb="FF000000"/>
        </patternFill>
      </fill>
    </dxf>
    <dxf>
      <fill>
        <patternFill patternType="solid">
          <fgColor rgb="FFFF0000"/>
          <bgColor rgb="FF000000"/>
        </patternFill>
      </fill>
    </dxf>
    <dxf>
      <fill>
        <patternFill patternType="solid">
          <fgColor rgb="FFA6A6A6"/>
          <bgColor rgb="FF000000"/>
        </patternFill>
      </fill>
    </dxf>
    <dxf>
      <fill>
        <patternFill patternType="solid">
          <fgColor rgb="FF000000"/>
          <bgColor rgb="FF000000"/>
        </patternFill>
      </fill>
    </dxf>
    <dxf>
      <fill>
        <patternFill patternType="solid">
          <fgColor rgb="FFCC9900"/>
          <bgColor rgb="FF000000"/>
        </patternFill>
      </fill>
    </dxf>
    <dxf>
      <fill>
        <patternFill patternType="solid">
          <fgColor rgb="FFFF9999"/>
          <bgColor rgb="FF000000"/>
        </patternFill>
      </fill>
    </dxf>
    <dxf>
      <fill>
        <patternFill patternType="solid">
          <fgColor rgb="FFFF99FF"/>
          <bgColor rgb="FF000000"/>
        </patternFill>
      </fill>
    </dxf>
    <dxf>
      <fill>
        <patternFill patternType="solid">
          <fgColor rgb="FFFFFF99"/>
          <bgColor rgb="FF000000"/>
        </patternFill>
      </fill>
    </dxf>
    <dxf>
      <fill>
        <patternFill patternType="solid">
          <fgColor rgb="FFE6B9B8"/>
          <bgColor rgb="FF000000"/>
        </patternFill>
      </fill>
    </dxf>
    <dxf>
      <fill>
        <patternFill patternType="solid">
          <fgColor rgb="FFFFFF00"/>
          <bgColor rgb="FF000000"/>
        </patternFill>
      </fill>
    </dxf>
    <dxf>
      <fill>
        <patternFill patternType="solid">
          <fgColor rgb="FF222222"/>
          <bgColor rgb="FF000000"/>
        </patternFill>
      </fill>
    </dxf>
    <dxf>
      <fill>
        <patternFill>
          <bgColor rgb="FF66FFFF"/>
        </patternFill>
      </fill>
    </dxf>
    <dxf>
      <fill>
        <patternFill>
          <bgColor rgb="FF99CCFF"/>
        </patternFill>
      </fill>
    </dxf>
    <dxf>
      <fill>
        <patternFill>
          <bgColor rgb="FFFFCC99"/>
        </patternFill>
      </fill>
    </dxf>
    <dxf>
      <fill>
        <patternFill>
          <bgColor rgb="FFFF9999"/>
        </patternFill>
      </fill>
    </dxf>
    <dxf>
      <fill>
        <patternFill>
          <bgColor rgb="FF99FF99"/>
        </patternFill>
      </fill>
    </dxf>
    <dxf>
      <fill>
        <patternFill>
          <bgColor rgb="FFFF99FF"/>
        </patternFill>
      </fill>
    </dxf>
    <dxf>
      <fill>
        <patternFill>
          <bgColor rgb="FFCC9900"/>
        </patternFill>
      </fill>
    </dxf>
    <dxf>
      <fill>
        <patternFill>
          <bgColor rgb="FFFFFF99"/>
        </patternFill>
      </fill>
    </dxf>
    <dxf>
      <fill>
        <patternFill>
          <bgColor rgb="FFFF0000"/>
        </patternFill>
      </fill>
    </dxf>
    <dxf>
      <fill>
        <patternFill>
          <bgColor theme="0" tint="-0.15"/>
        </patternFill>
      </fill>
    </dxf>
    <dxf>
      <font>
        <color rgb="FFFFFFFF"/>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DEADA"/>
      <rgbColor rgb="FFF2F2F2"/>
      <rgbColor rgb="FF660066"/>
      <rgbColor rgb="FFE6B9B8"/>
      <rgbColor rgb="FF0066CC"/>
      <rgbColor rgb="FFD9D9D9"/>
      <rgbColor rgb="FF000080"/>
      <rgbColor rgb="FFFF00FF"/>
      <rgbColor rgb="FFFFFF00"/>
      <rgbColor rgb="FF00FFFF"/>
      <rgbColor rgb="FF800080"/>
      <rgbColor rgb="FF800000"/>
      <rgbColor rgb="FF008080"/>
      <rgbColor rgb="FF0000FF"/>
      <rgbColor rgb="FF00CCFF"/>
      <rgbColor rgb="FFE2E2E2"/>
      <rgbColor rgb="FFD7E4BD"/>
      <rgbColor rgb="FFFFFF99"/>
      <rgbColor rgb="FF99CCFF"/>
      <rgbColor rgb="FFFF9999"/>
      <rgbColor rgb="FFFF99FF"/>
      <rgbColor rgb="FFFFCC99"/>
      <rgbColor rgb="FF3366FF"/>
      <rgbColor rgb="FF66FFFF"/>
      <rgbColor rgb="FF99FF99"/>
      <rgbColor rgb="FFFFCC00"/>
      <rgbColor rgb="FFCC9900"/>
      <rgbColor rgb="FFFF6600"/>
      <rgbColor rgb="FF558ED5"/>
      <rgbColor rgb="FFA6A6A6"/>
      <rgbColor rgb="FF1F4E78"/>
      <rgbColor rgb="FF00B050"/>
      <rgbColor rgb="FF003300"/>
      <rgbColor rgb="FF333300"/>
      <rgbColor rgb="FF993300"/>
      <rgbColor rgb="FF993366"/>
      <rgbColor rgb="FF305496"/>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externalLink" Target="externalLinks/externalLink1.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externalLinks/_rels/externalLink1.xml.rels><?xml version="1.0" encoding="UTF-8"?>
<Relationships xmlns="http://schemas.openxmlformats.org/package/2006/relationships"><Relationship Id="rId1" Type="http://schemas.openxmlformats.org/officeDocument/2006/relationships/externalLinkPath" Target="../../C:/Users/renel.douyon/Desktop/Copy%20of%2019Marine%20Air%20Support%20Squadron_advocate%20review%20(002).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AM177"/>
  <sheetViews>
    <sheetView showFormulas="false" showGridLines="true" showRowColHeaders="true" showZeros="true" rightToLeft="false" tabSelected="false" showOutlineSymbols="true" defaultGridColor="true" view="pageBreakPreview" topLeftCell="A1" colorId="64" zoomScale="115" zoomScaleNormal="100" zoomScalePageLayoutView="115" workbookViewId="0">
      <selection pane="topLeft" activeCell="H12" activeCellId="0" sqref="H12"/>
    </sheetView>
  </sheetViews>
  <sheetFormatPr defaultColWidth="2.859375" defaultRowHeight="15.75" zeroHeight="true" outlineLevelRow="0" outlineLevelCol="0"/>
  <cols>
    <col collapsed="false" customWidth="false" hidden="false" outlineLevel="0" max="29" min="1" style="1" width="2.86"/>
    <col collapsed="false" customWidth="true" hidden="false" outlineLevel="0" max="30" min="30" style="2" width="3.14"/>
    <col collapsed="false" customWidth="false" hidden="false" outlineLevel="0" max="33" min="31" style="1" width="2.86"/>
    <col collapsed="false" customWidth="true" hidden="false" outlineLevel="0" max="39" min="34" style="1" width="9.14"/>
    <col collapsed="false" customWidth="false" hidden="false" outlineLevel="0" max="16384" min="40" style="1" width="2.86"/>
  </cols>
  <sheetData>
    <row r="1" customFormat="false" ht="15.75" hidden="false" customHeight="true" outlineLevel="0" collapsed="false">
      <c r="A1" s="3" t="s">
        <v>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customFormat="false" ht="15.75" hidden="false" customHeight="tru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row>
    <row r="3" customFormat="false" ht="15.75" hidden="false" customHeight="true" outlineLevel="0" collapsed="false">
      <c r="A3" s="4" t="s">
        <v>1</v>
      </c>
      <c r="B3" s="4"/>
      <c r="C3" s="4"/>
      <c r="D3" s="4"/>
      <c r="E3" s="4"/>
      <c r="F3" s="5" t="s">
        <v>2</v>
      </c>
      <c r="G3" s="5"/>
      <c r="H3" s="5"/>
      <c r="I3" s="5"/>
      <c r="J3" s="5"/>
      <c r="K3" s="5"/>
      <c r="L3" s="5"/>
      <c r="M3" s="6" t="s">
        <v>3</v>
      </c>
      <c r="N3" s="6"/>
      <c r="O3" s="6"/>
      <c r="P3" s="6"/>
      <c r="Q3" s="6"/>
      <c r="R3" s="7" t="s">
        <v>4</v>
      </c>
      <c r="S3" s="7"/>
      <c r="T3" s="7"/>
      <c r="U3" s="7"/>
      <c r="V3" s="7"/>
      <c r="W3" s="7"/>
      <c r="X3" s="7"/>
      <c r="Y3" s="7"/>
      <c r="AE3" s="8"/>
      <c r="AF3" s="8"/>
    </row>
    <row r="4" customFormat="false" ht="15.75" hidden="false" customHeight="true" outlineLevel="0" collapsed="false">
      <c r="A4" s="4" t="s">
        <v>5</v>
      </c>
      <c r="B4" s="4"/>
      <c r="C4" s="4"/>
      <c r="D4" s="4"/>
      <c r="E4" s="4"/>
      <c r="F4" s="5" t="s">
        <v>6</v>
      </c>
      <c r="G4" s="5"/>
      <c r="H4" s="5"/>
      <c r="I4" s="5"/>
      <c r="J4" s="5"/>
      <c r="K4" s="5"/>
      <c r="L4" s="5"/>
      <c r="M4" s="6" t="s">
        <v>7</v>
      </c>
      <c r="N4" s="6"/>
      <c r="O4" s="6"/>
      <c r="P4" s="6"/>
      <c r="Q4" s="6"/>
      <c r="R4" s="5" t="s">
        <v>8</v>
      </c>
      <c r="S4" s="5"/>
      <c r="T4" s="5"/>
      <c r="U4" s="5"/>
      <c r="V4" s="5"/>
      <c r="W4" s="5"/>
      <c r="X4" s="5"/>
      <c r="Y4" s="9" t="s">
        <v>9</v>
      </c>
      <c r="Z4" s="9"/>
      <c r="AA4" s="9"/>
      <c r="AB4" s="9"/>
      <c r="AC4" s="9"/>
      <c r="AD4" s="9"/>
      <c r="AE4" s="10" t="s">
        <v>10</v>
      </c>
      <c r="AF4" s="10"/>
    </row>
    <row r="5" customFormat="false" ht="15.75" hidden="false" customHeight="true" outlineLevel="0" collapsed="false">
      <c r="A5" s="11"/>
      <c r="B5" s="11"/>
      <c r="C5" s="11"/>
      <c r="D5" s="11"/>
      <c r="E5" s="11"/>
      <c r="F5" s="11"/>
      <c r="G5" s="11"/>
      <c r="H5" s="11"/>
      <c r="I5" s="11"/>
      <c r="J5" s="11"/>
      <c r="K5" s="11"/>
      <c r="L5" s="11"/>
      <c r="M5" s="11"/>
      <c r="N5" s="11"/>
      <c r="O5" s="11"/>
      <c r="P5" s="11"/>
      <c r="Q5" s="11"/>
      <c r="R5" s="11"/>
      <c r="S5" s="11"/>
      <c r="T5" s="11"/>
      <c r="U5" s="11"/>
      <c r="V5" s="11"/>
      <c r="W5" s="11"/>
      <c r="X5" s="11"/>
      <c r="Y5" s="11"/>
      <c r="Z5" s="11"/>
      <c r="AA5" s="11"/>
      <c r="AB5" s="11"/>
      <c r="AC5" s="11"/>
      <c r="AD5" s="11"/>
      <c r="AE5" s="11"/>
      <c r="AF5" s="11"/>
    </row>
    <row r="6" customFormat="false" ht="15.75" hidden="false" customHeight="true" outlineLevel="0" collapsed="false">
      <c r="A6" s="12"/>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4"/>
      <c r="AE6" s="13"/>
      <c r="AF6" s="15"/>
    </row>
    <row r="7" customFormat="false" ht="15.75" hidden="false" customHeight="true" outlineLevel="0" collapsed="false">
      <c r="A7" s="16"/>
      <c r="E7" s="17" t="s">
        <v>11</v>
      </c>
      <c r="F7" s="18"/>
      <c r="G7" s="18"/>
      <c r="H7" s="18"/>
      <c r="I7" s="18"/>
      <c r="J7" s="18"/>
      <c r="K7" s="18"/>
      <c r="L7" s="18"/>
      <c r="M7" s="18"/>
      <c r="N7" s="18"/>
      <c r="O7" s="18"/>
      <c r="P7" s="18"/>
      <c r="Q7" s="18"/>
      <c r="R7" s="18"/>
      <c r="S7" s="18"/>
      <c r="T7" s="18"/>
      <c r="U7" s="18"/>
      <c r="V7" s="18"/>
      <c r="W7" s="18"/>
      <c r="X7" s="18"/>
      <c r="Y7" s="18"/>
      <c r="Z7" s="18"/>
      <c r="AA7" s="18"/>
      <c r="AB7" s="19"/>
      <c r="AC7" s="19"/>
      <c r="AD7" s="20"/>
      <c r="AE7" s="21"/>
      <c r="AF7" s="22"/>
    </row>
    <row r="8" customFormat="false" ht="15.75" hidden="false" customHeight="true" outlineLevel="0" collapsed="false">
      <c r="A8" s="16"/>
      <c r="E8" s="23" t="s">
        <v>12</v>
      </c>
      <c r="F8" s="23"/>
      <c r="G8" s="23"/>
      <c r="H8" s="24" t="s">
        <v>13</v>
      </c>
      <c r="I8" s="24"/>
      <c r="J8" s="24"/>
      <c r="K8" s="24"/>
      <c r="L8" s="24"/>
      <c r="M8" s="24"/>
      <c r="N8" s="24"/>
      <c r="O8" s="24"/>
      <c r="P8" s="24"/>
      <c r="Q8" s="24"/>
      <c r="R8" s="24"/>
      <c r="S8" s="24"/>
      <c r="T8" s="24"/>
      <c r="U8" s="24"/>
      <c r="V8" s="24"/>
      <c r="W8" s="25" t="s">
        <v>14</v>
      </c>
      <c r="X8" s="25"/>
      <c r="Y8" s="25"/>
      <c r="Z8" s="25"/>
      <c r="AA8" s="25"/>
      <c r="AB8" s="26"/>
      <c r="AC8" s="26"/>
      <c r="AD8" s="27"/>
      <c r="AE8" s="26"/>
      <c r="AF8" s="26"/>
      <c r="AM8" s="28"/>
    </row>
    <row r="9" customFormat="false" ht="15.75" hidden="false" customHeight="true" outlineLevel="0" collapsed="false">
      <c r="A9" s="16"/>
      <c r="E9" s="29" t="n">
        <v>14345</v>
      </c>
      <c r="F9" s="29"/>
      <c r="G9" s="29"/>
      <c r="H9" s="30" t="s">
        <v>15</v>
      </c>
      <c r="I9" s="30"/>
      <c r="J9" s="30"/>
      <c r="K9" s="30"/>
      <c r="L9" s="30"/>
      <c r="M9" s="30"/>
      <c r="N9" s="30"/>
      <c r="O9" s="30"/>
      <c r="P9" s="30"/>
      <c r="Q9" s="30"/>
      <c r="R9" s="30"/>
      <c r="S9" s="30"/>
      <c r="T9" s="30"/>
      <c r="U9" s="30"/>
      <c r="V9" s="30"/>
      <c r="W9" s="31" t="n">
        <f aca="false">'14345'!H40</f>
        <v>6110.08</v>
      </c>
      <c r="X9" s="31"/>
      <c r="Y9" s="31"/>
      <c r="Z9" s="31"/>
      <c r="AA9" s="31"/>
      <c r="AB9" s="26"/>
      <c r="AC9" s="26"/>
      <c r="AD9" s="27"/>
      <c r="AE9" s="26"/>
      <c r="AF9" s="26"/>
    </row>
    <row r="10" customFormat="false" ht="15.75" hidden="false" customHeight="true" outlineLevel="0" collapsed="false">
      <c r="A10" s="16"/>
      <c r="E10" s="29" t="n">
        <v>17110</v>
      </c>
      <c r="F10" s="29"/>
      <c r="G10" s="29"/>
      <c r="H10" s="30" t="s">
        <v>16</v>
      </c>
      <c r="I10" s="30"/>
      <c r="J10" s="30"/>
      <c r="K10" s="30"/>
      <c r="L10" s="30"/>
      <c r="M10" s="30"/>
      <c r="N10" s="30"/>
      <c r="O10" s="30"/>
      <c r="P10" s="30"/>
      <c r="Q10" s="30"/>
      <c r="R10" s="30"/>
      <c r="S10" s="30"/>
      <c r="T10" s="30"/>
      <c r="U10" s="30"/>
      <c r="V10" s="30"/>
      <c r="W10" s="31" t="n">
        <f aca="false">'17110'!H40</f>
        <v>0</v>
      </c>
      <c r="X10" s="31"/>
      <c r="Y10" s="31"/>
      <c r="Z10" s="31"/>
      <c r="AA10" s="31"/>
      <c r="AB10" s="26"/>
      <c r="AC10" s="26"/>
      <c r="AD10" s="27"/>
      <c r="AE10" s="26"/>
      <c r="AF10" s="26"/>
    </row>
    <row r="11" customFormat="false" ht="15.75" hidden="false" customHeight="true" outlineLevel="0" collapsed="false">
      <c r="A11" s="16"/>
      <c r="E11" s="29" t="n">
        <v>17120</v>
      </c>
      <c r="F11" s="29"/>
      <c r="G11" s="29"/>
      <c r="H11" s="30" t="s">
        <v>17</v>
      </c>
      <c r="I11" s="30"/>
      <c r="J11" s="30"/>
      <c r="K11" s="30"/>
      <c r="L11" s="30"/>
      <c r="M11" s="30"/>
      <c r="N11" s="30"/>
      <c r="O11" s="30"/>
      <c r="P11" s="30"/>
      <c r="Q11" s="30"/>
      <c r="R11" s="30"/>
      <c r="S11" s="30"/>
      <c r="T11" s="30"/>
      <c r="U11" s="30"/>
      <c r="V11" s="30"/>
      <c r="W11" s="31" t="n">
        <f aca="false">'17120'!H40</f>
        <v>2815.45</v>
      </c>
      <c r="X11" s="31"/>
      <c r="Y11" s="31"/>
      <c r="Z11" s="31"/>
      <c r="AA11" s="31"/>
      <c r="AB11" s="26"/>
      <c r="AC11" s="26"/>
      <c r="AD11" s="27"/>
      <c r="AE11" s="26"/>
      <c r="AF11" s="26"/>
    </row>
    <row r="12" customFormat="false" ht="15.75" hidden="false" customHeight="true" outlineLevel="0" collapsed="false">
      <c r="A12" s="16"/>
      <c r="E12" s="29" t="n">
        <v>44112</v>
      </c>
      <c r="F12" s="29"/>
      <c r="G12" s="29"/>
      <c r="H12" s="30" t="s">
        <v>18</v>
      </c>
      <c r="I12" s="30"/>
      <c r="J12" s="30"/>
      <c r="K12" s="30"/>
      <c r="L12" s="30"/>
      <c r="M12" s="30"/>
      <c r="N12" s="30"/>
      <c r="O12" s="30"/>
      <c r="P12" s="30"/>
      <c r="Q12" s="30"/>
      <c r="R12" s="30"/>
      <c r="S12" s="30"/>
      <c r="T12" s="30"/>
      <c r="U12" s="30"/>
      <c r="V12" s="30"/>
      <c r="W12" s="31" t="n">
        <f aca="false">'44112'!H40</f>
        <v>46182.7430572358</v>
      </c>
      <c r="X12" s="31"/>
      <c r="Y12" s="31"/>
      <c r="Z12" s="31"/>
      <c r="AA12" s="31"/>
      <c r="AB12" s="26"/>
      <c r="AC12" s="26"/>
      <c r="AD12" s="27"/>
      <c r="AE12" s="26"/>
      <c r="AF12" s="26"/>
    </row>
    <row r="13" customFormat="false" ht="15.75" hidden="false" customHeight="true" outlineLevel="0" collapsed="false">
      <c r="A13" s="16"/>
      <c r="E13" s="29" t="n">
        <v>61072</v>
      </c>
      <c r="F13" s="29"/>
      <c r="G13" s="29"/>
      <c r="H13" s="30" t="s">
        <v>19</v>
      </c>
      <c r="I13" s="30"/>
      <c r="J13" s="30"/>
      <c r="K13" s="30"/>
      <c r="L13" s="30"/>
      <c r="M13" s="30"/>
      <c r="N13" s="30"/>
      <c r="O13" s="30"/>
      <c r="P13" s="30"/>
      <c r="Q13" s="30"/>
      <c r="R13" s="30"/>
      <c r="S13" s="30"/>
      <c r="T13" s="30"/>
      <c r="U13" s="30"/>
      <c r="V13" s="30"/>
      <c r="W13" s="31" t="n">
        <f aca="false">'61072'!H40</f>
        <v>69875</v>
      </c>
      <c r="X13" s="31"/>
      <c r="Y13" s="31"/>
      <c r="Z13" s="31"/>
      <c r="AA13" s="31"/>
      <c r="AB13" s="26"/>
      <c r="AC13" s="26"/>
      <c r="AD13" s="27"/>
      <c r="AE13" s="26"/>
      <c r="AF13" s="26"/>
    </row>
    <row r="14" customFormat="false" ht="15.75" hidden="false" customHeight="true" outlineLevel="0" collapsed="false">
      <c r="A14" s="16"/>
      <c r="E14" s="32" t="n">
        <v>61073</v>
      </c>
      <c r="F14" s="32"/>
      <c r="G14" s="32"/>
      <c r="H14" s="30" t="s">
        <v>20</v>
      </c>
      <c r="I14" s="30"/>
      <c r="J14" s="30"/>
      <c r="K14" s="30"/>
      <c r="L14" s="30"/>
      <c r="M14" s="30"/>
      <c r="N14" s="30"/>
      <c r="O14" s="30"/>
      <c r="P14" s="30"/>
      <c r="Q14" s="30"/>
      <c r="R14" s="30"/>
      <c r="S14" s="30"/>
      <c r="T14" s="30"/>
      <c r="U14" s="30"/>
      <c r="V14" s="30"/>
      <c r="W14" s="31" t="n">
        <f aca="false">'61073'!H40</f>
        <v>0</v>
      </c>
      <c r="X14" s="31"/>
      <c r="Y14" s="31"/>
      <c r="Z14" s="31"/>
      <c r="AA14" s="31"/>
      <c r="AB14" s="26"/>
      <c r="AC14" s="26"/>
      <c r="AD14" s="27"/>
      <c r="AE14" s="26"/>
      <c r="AF14" s="26"/>
    </row>
    <row r="15" customFormat="false" ht="15.75" hidden="false" customHeight="true" outlineLevel="0" collapsed="false">
      <c r="A15" s="16"/>
      <c r="E15" s="33" t="n">
        <v>14312</v>
      </c>
      <c r="F15" s="33"/>
      <c r="G15" s="33"/>
      <c r="H15" s="34" t="s">
        <v>21</v>
      </c>
      <c r="I15" s="34"/>
      <c r="J15" s="34"/>
      <c r="K15" s="34"/>
      <c r="L15" s="34"/>
      <c r="M15" s="34"/>
      <c r="N15" s="34"/>
      <c r="O15" s="34"/>
      <c r="P15" s="34"/>
      <c r="Q15" s="34"/>
      <c r="R15" s="34"/>
      <c r="S15" s="34"/>
      <c r="T15" s="34"/>
      <c r="U15" s="34"/>
      <c r="V15" s="34"/>
      <c r="W15" s="31" t="n">
        <f aca="false">'14312'!H36</f>
        <v>0</v>
      </c>
      <c r="X15" s="31"/>
      <c r="Y15" s="31"/>
      <c r="Z15" s="31"/>
      <c r="AA15" s="31"/>
      <c r="AB15" s="26"/>
      <c r="AC15" s="35"/>
      <c r="AD15" s="36"/>
      <c r="AE15" s="35"/>
      <c r="AF15" s="22"/>
    </row>
    <row r="16" customFormat="false" ht="15.75" hidden="false" customHeight="true" outlineLevel="0" collapsed="false">
      <c r="A16" s="16"/>
      <c r="E16" s="33" t="n">
        <v>21451</v>
      </c>
      <c r="F16" s="33"/>
      <c r="G16" s="33"/>
      <c r="H16" s="34" t="s">
        <v>22</v>
      </c>
      <c r="I16" s="34"/>
      <c r="J16" s="34"/>
      <c r="K16" s="34"/>
      <c r="L16" s="34"/>
      <c r="M16" s="34"/>
      <c r="N16" s="34"/>
      <c r="O16" s="34"/>
      <c r="P16" s="34"/>
      <c r="Q16" s="34"/>
      <c r="R16" s="34"/>
      <c r="S16" s="34"/>
      <c r="T16" s="34"/>
      <c r="U16" s="34"/>
      <c r="V16" s="34"/>
      <c r="W16" s="31" t="n">
        <f aca="false">'21451'!H44</f>
        <v>1129</v>
      </c>
      <c r="X16" s="31"/>
      <c r="Y16" s="31"/>
      <c r="Z16" s="31"/>
      <c r="AA16" s="31"/>
      <c r="AB16" s="26"/>
      <c r="AC16" s="26"/>
      <c r="AD16" s="27"/>
      <c r="AE16" s="26"/>
      <c r="AF16" s="22"/>
    </row>
    <row r="17" customFormat="false" ht="15.75" hidden="false" customHeight="true" outlineLevel="0" collapsed="false">
      <c r="A17" s="16"/>
      <c r="E17" s="33" t="n">
        <v>21710</v>
      </c>
      <c r="F17" s="33"/>
      <c r="G17" s="33"/>
      <c r="H17" s="34" t="s">
        <v>23</v>
      </c>
      <c r="I17" s="34"/>
      <c r="J17" s="34"/>
      <c r="K17" s="34"/>
      <c r="L17" s="34"/>
      <c r="M17" s="34"/>
      <c r="N17" s="34"/>
      <c r="O17" s="34"/>
      <c r="P17" s="34"/>
      <c r="Q17" s="34"/>
      <c r="R17" s="34"/>
      <c r="S17" s="34"/>
      <c r="T17" s="34"/>
      <c r="U17" s="34"/>
      <c r="V17" s="34"/>
      <c r="W17" s="31" t="n">
        <f aca="false">'21710'!H47</f>
        <v>583.3153104</v>
      </c>
      <c r="X17" s="31"/>
      <c r="Y17" s="31"/>
      <c r="Z17" s="31"/>
      <c r="AA17" s="31"/>
      <c r="AB17" s="26"/>
      <c r="AC17" s="26"/>
      <c r="AD17" s="27"/>
      <c r="AE17" s="26"/>
      <c r="AF17" s="22"/>
    </row>
    <row r="18" customFormat="false" ht="15.75" hidden="false" customHeight="true" outlineLevel="0" collapsed="false">
      <c r="A18" s="16"/>
      <c r="E18" s="33" t="n">
        <v>45110</v>
      </c>
      <c r="F18" s="33"/>
      <c r="G18" s="33"/>
      <c r="H18" s="34" t="s">
        <v>24</v>
      </c>
      <c r="I18" s="34"/>
      <c r="J18" s="34"/>
      <c r="K18" s="34"/>
      <c r="L18" s="34"/>
      <c r="M18" s="34"/>
      <c r="N18" s="34"/>
      <c r="O18" s="34"/>
      <c r="P18" s="34"/>
      <c r="Q18" s="34"/>
      <c r="R18" s="34"/>
      <c r="S18" s="34"/>
      <c r="T18" s="34"/>
      <c r="U18" s="34"/>
      <c r="V18" s="34"/>
      <c r="W18" s="31" t="n">
        <f aca="false">'45110'!H50</f>
        <v>8.8888</v>
      </c>
      <c r="X18" s="31"/>
      <c r="Y18" s="31"/>
      <c r="Z18" s="31"/>
      <c r="AA18" s="31"/>
      <c r="AB18" s="26"/>
      <c r="AC18" s="26"/>
      <c r="AD18" s="27"/>
      <c r="AE18" s="26"/>
      <c r="AF18" s="22"/>
    </row>
    <row r="19" customFormat="false" ht="15.75" hidden="false" customHeight="true" outlineLevel="0" collapsed="false">
      <c r="A19" s="16"/>
      <c r="E19" s="33"/>
      <c r="F19" s="37"/>
      <c r="G19" s="37"/>
      <c r="H19" s="38"/>
      <c r="I19" s="39"/>
      <c r="J19" s="39"/>
      <c r="K19" s="39"/>
      <c r="L19" s="39"/>
      <c r="M19" s="39"/>
      <c r="N19" s="39"/>
      <c r="O19" s="40"/>
      <c r="P19" s="40"/>
      <c r="Q19" s="40"/>
      <c r="R19" s="41" t="s">
        <v>25</v>
      </c>
      <c r="S19" s="41"/>
      <c r="T19" s="41"/>
      <c r="U19" s="41"/>
      <c r="V19" s="41"/>
      <c r="W19" s="42" t="n">
        <f aca="false">SUM(W9:AA18)</f>
        <v>126704.477167636</v>
      </c>
      <c r="X19" s="42"/>
      <c r="Y19" s="42"/>
      <c r="Z19" s="42"/>
      <c r="AA19" s="42"/>
      <c r="AB19" s="26"/>
      <c r="AC19" s="26"/>
      <c r="AD19" s="27"/>
      <c r="AE19" s="26"/>
      <c r="AF19" s="22"/>
    </row>
    <row r="20" customFormat="false" ht="15.75" hidden="false" customHeight="true" outlineLevel="0" collapsed="false">
      <c r="A20" s="16"/>
      <c r="E20" s="39"/>
      <c r="F20" s="43"/>
      <c r="G20" s="43"/>
      <c r="H20" s="39"/>
      <c r="I20" s="39"/>
      <c r="J20" s="39"/>
      <c r="K20" s="39"/>
      <c r="L20" s="39"/>
      <c r="M20" s="39"/>
      <c r="N20" s="39"/>
      <c r="O20" s="40"/>
      <c r="P20" s="40"/>
      <c r="Q20" s="40"/>
      <c r="R20" s="44"/>
      <c r="S20" s="44"/>
      <c r="T20" s="44"/>
      <c r="U20" s="44"/>
      <c r="V20" s="44"/>
      <c r="W20" s="45"/>
      <c r="X20" s="45"/>
      <c r="Y20" s="45"/>
      <c r="Z20" s="45"/>
      <c r="AA20" s="45"/>
      <c r="AB20" s="26"/>
      <c r="AC20" s="26"/>
      <c r="AD20" s="27"/>
      <c r="AE20" s="26"/>
      <c r="AF20" s="22"/>
    </row>
    <row r="21" customFormat="false" ht="15.75" hidden="false" customHeight="true" outlineLevel="0" collapsed="false">
      <c r="A21" s="16"/>
      <c r="E21" s="39"/>
      <c r="F21" s="43"/>
      <c r="G21" s="43"/>
      <c r="H21" s="39"/>
      <c r="I21" s="39"/>
      <c r="J21" s="39"/>
      <c r="K21" s="39"/>
      <c r="L21" s="39"/>
      <c r="M21" s="39"/>
      <c r="N21" s="39"/>
      <c r="O21" s="40"/>
      <c r="P21" s="40"/>
      <c r="Q21" s="40"/>
      <c r="R21" s="44"/>
      <c r="S21" s="44"/>
      <c r="T21" s="44"/>
      <c r="U21" s="44"/>
      <c r="V21" s="44"/>
      <c r="W21" s="45"/>
      <c r="X21" s="45"/>
      <c r="Y21" s="45"/>
      <c r="Z21" s="45"/>
      <c r="AA21" s="45"/>
      <c r="AB21" s="26"/>
      <c r="AC21" s="26"/>
      <c r="AD21" s="27"/>
      <c r="AE21" s="26"/>
      <c r="AF21" s="22"/>
    </row>
    <row r="22" customFormat="false" ht="15.75" hidden="false" customHeight="true" outlineLevel="0" collapsed="false">
      <c r="A22" s="16"/>
      <c r="E22" s="39"/>
      <c r="F22" s="43"/>
      <c r="G22" s="43"/>
      <c r="H22" s="39"/>
      <c r="I22" s="39"/>
      <c r="J22" s="39"/>
      <c r="K22" s="39"/>
      <c r="L22" s="39"/>
      <c r="M22" s="39"/>
      <c r="N22" s="39"/>
      <c r="O22" s="40"/>
      <c r="P22" s="40"/>
      <c r="Q22" s="40"/>
      <c r="R22" s="44"/>
      <c r="S22" s="44"/>
      <c r="T22" s="44"/>
      <c r="U22" s="44"/>
      <c r="V22" s="44"/>
      <c r="W22" s="45"/>
      <c r="X22" s="45"/>
      <c r="Y22" s="45"/>
      <c r="Z22" s="45"/>
      <c r="AA22" s="45"/>
      <c r="AB22" s="26"/>
      <c r="AC22" s="26"/>
      <c r="AD22" s="27"/>
      <c r="AE22" s="26"/>
      <c r="AF22" s="22"/>
    </row>
    <row r="23" customFormat="false" ht="15.75" hidden="false" customHeight="true" outlineLevel="0" collapsed="false">
      <c r="A23" s="16"/>
      <c r="E23" s="39"/>
      <c r="F23" s="43"/>
      <c r="G23" s="43"/>
      <c r="H23" s="39"/>
      <c r="I23" s="39"/>
      <c r="J23" s="39"/>
      <c r="K23" s="39"/>
      <c r="L23" s="39"/>
      <c r="M23" s="39"/>
      <c r="N23" s="39"/>
      <c r="O23" s="40"/>
      <c r="P23" s="40"/>
      <c r="Q23" s="40"/>
      <c r="R23" s="44"/>
      <c r="S23" s="44"/>
      <c r="T23" s="44"/>
      <c r="U23" s="44"/>
      <c r="V23" s="44"/>
      <c r="W23" s="45"/>
      <c r="X23" s="45"/>
      <c r="Y23" s="45"/>
      <c r="Z23" s="45"/>
      <c r="AA23" s="45"/>
      <c r="AB23" s="26"/>
      <c r="AC23" s="26"/>
      <c r="AD23" s="27"/>
      <c r="AE23" s="26"/>
      <c r="AF23" s="22"/>
    </row>
    <row r="24" customFormat="false" ht="15.75" hidden="false" customHeight="true" outlineLevel="0" collapsed="false">
      <c r="A24" s="16"/>
      <c r="E24" s="39"/>
      <c r="F24" s="43"/>
      <c r="G24" s="43"/>
      <c r="H24" s="39"/>
      <c r="I24" s="39"/>
      <c r="J24" s="39"/>
      <c r="K24" s="39"/>
      <c r="L24" s="39"/>
      <c r="M24" s="39"/>
      <c r="N24" s="39"/>
      <c r="O24" s="40"/>
      <c r="P24" s="40"/>
      <c r="Q24" s="40"/>
      <c r="R24" s="44"/>
      <c r="S24" s="44"/>
      <c r="T24" s="44"/>
      <c r="U24" s="44"/>
      <c r="V24" s="44"/>
      <c r="W24" s="45"/>
      <c r="X24" s="45"/>
      <c r="Y24" s="45"/>
      <c r="Z24" s="45"/>
      <c r="AA24" s="45"/>
      <c r="AB24" s="26"/>
      <c r="AC24" s="26"/>
      <c r="AD24" s="27"/>
      <c r="AE24" s="26"/>
      <c r="AF24" s="22"/>
    </row>
    <row r="25" customFormat="false" ht="15.75" hidden="false" customHeight="true" outlineLevel="0" collapsed="false">
      <c r="A25" s="16"/>
      <c r="E25" s="39"/>
      <c r="F25" s="43"/>
      <c r="G25" s="43"/>
      <c r="H25" s="39"/>
      <c r="I25" s="39"/>
      <c r="J25" s="39"/>
      <c r="K25" s="39"/>
      <c r="L25" s="39"/>
      <c r="M25" s="39"/>
      <c r="N25" s="39"/>
      <c r="O25" s="40"/>
      <c r="P25" s="40"/>
      <c r="Q25" s="40"/>
      <c r="R25" s="44"/>
      <c r="S25" s="44"/>
      <c r="T25" s="44"/>
      <c r="U25" s="44"/>
      <c r="V25" s="44"/>
      <c r="W25" s="45"/>
      <c r="X25" s="45"/>
      <c r="Y25" s="45"/>
      <c r="Z25" s="45"/>
      <c r="AA25" s="45"/>
      <c r="AB25" s="26"/>
      <c r="AC25" s="26"/>
      <c r="AD25" s="27"/>
      <c r="AE25" s="26"/>
      <c r="AF25" s="22"/>
    </row>
    <row r="26" customFormat="false" ht="15.75" hidden="false" customHeight="true" outlineLevel="0" collapsed="false">
      <c r="A26" s="16"/>
      <c r="E26" s="39"/>
      <c r="F26" s="43"/>
      <c r="G26" s="43"/>
      <c r="H26" s="39"/>
      <c r="I26" s="39"/>
      <c r="J26" s="39"/>
      <c r="K26" s="39"/>
      <c r="L26" s="39"/>
      <c r="M26" s="39"/>
      <c r="N26" s="39"/>
      <c r="O26" s="40"/>
      <c r="P26" s="40"/>
      <c r="Q26" s="40"/>
      <c r="R26" s="44"/>
      <c r="S26" s="44"/>
      <c r="T26" s="44"/>
      <c r="U26" s="44"/>
      <c r="V26" s="44"/>
      <c r="W26" s="45"/>
      <c r="X26" s="45"/>
      <c r="Y26" s="45"/>
      <c r="Z26" s="45"/>
      <c r="AA26" s="45"/>
      <c r="AB26" s="26"/>
      <c r="AC26" s="26"/>
      <c r="AD26" s="27"/>
      <c r="AE26" s="26"/>
      <c r="AF26" s="22"/>
    </row>
    <row r="27" customFormat="false" ht="15.75" hidden="false" customHeight="true" outlineLevel="0" collapsed="false">
      <c r="A27" s="16"/>
      <c r="E27" s="39"/>
      <c r="F27" s="43"/>
      <c r="G27" s="43"/>
      <c r="H27" s="39"/>
      <c r="I27" s="39"/>
      <c r="J27" s="39"/>
      <c r="K27" s="39"/>
      <c r="L27" s="39"/>
      <c r="M27" s="39"/>
      <c r="N27" s="39"/>
      <c r="O27" s="40"/>
      <c r="P27" s="40"/>
      <c r="Q27" s="40"/>
      <c r="R27" s="44"/>
      <c r="S27" s="44"/>
      <c r="T27" s="44"/>
      <c r="U27" s="44"/>
      <c r="V27" s="44"/>
      <c r="W27" s="45"/>
      <c r="X27" s="45"/>
      <c r="Y27" s="45"/>
      <c r="Z27" s="45"/>
      <c r="AA27" s="45"/>
      <c r="AB27" s="26"/>
      <c r="AC27" s="26"/>
      <c r="AD27" s="27"/>
      <c r="AE27" s="26"/>
      <c r="AF27" s="22"/>
    </row>
    <row r="28" customFormat="false" ht="15.75" hidden="false" customHeight="true" outlineLevel="0" collapsed="false">
      <c r="A28" s="16"/>
      <c r="E28" s="39"/>
      <c r="F28" s="43"/>
      <c r="G28" s="43"/>
      <c r="H28" s="39"/>
      <c r="I28" s="39"/>
      <c r="J28" s="39"/>
      <c r="K28" s="39"/>
      <c r="L28" s="39"/>
      <c r="M28" s="39"/>
      <c r="N28" s="39"/>
      <c r="O28" s="40"/>
      <c r="P28" s="40"/>
      <c r="Q28" s="40"/>
      <c r="R28" s="44"/>
      <c r="S28" s="44"/>
      <c r="T28" s="44"/>
      <c r="U28" s="44"/>
      <c r="V28" s="44"/>
      <c r="W28" s="45"/>
      <c r="X28" s="45"/>
      <c r="Y28" s="45"/>
      <c r="Z28" s="45"/>
      <c r="AA28" s="45"/>
      <c r="AB28" s="26"/>
      <c r="AC28" s="26"/>
      <c r="AD28" s="27"/>
      <c r="AE28" s="26"/>
      <c r="AF28" s="22"/>
    </row>
    <row r="29" customFormat="false" ht="15.75" hidden="false" customHeight="true" outlineLevel="0" collapsed="false">
      <c r="A29" s="16"/>
      <c r="E29" s="39"/>
      <c r="F29" s="43"/>
      <c r="G29" s="43"/>
      <c r="H29" s="39"/>
      <c r="I29" s="39"/>
      <c r="J29" s="39"/>
      <c r="K29" s="39"/>
      <c r="L29" s="39"/>
      <c r="M29" s="39"/>
      <c r="N29" s="39"/>
      <c r="O29" s="40"/>
      <c r="P29" s="40"/>
      <c r="Q29" s="40"/>
      <c r="R29" s="44"/>
      <c r="S29" s="44"/>
      <c r="T29" s="44"/>
      <c r="U29" s="44"/>
      <c r="V29" s="44"/>
      <c r="W29" s="45"/>
      <c r="X29" s="45"/>
      <c r="Y29" s="45"/>
      <c r="Z29" s="45"/>
      <c r="AA29" s="45"/>
      <c r="AB29" s="26"/>
      <c r="AC29" s="26"/>
      <c r="AD29" s="27"/>
      <c r="AE29" s="26"/>
      <c r="AF29" s="22"/>
    </row>
    <row r="30" customFormat="false" ht="15.75" hidden="false" customHeight="true" outlineLevel="0" collapsed="false">
      <c r="A30" s="16"/>
      <c r="E30" s="39"/>
      <c r="F30" s="43"/>
      <c r="G30" s="43"/>
      <c r="H30" s="39"/>
      <c r="I30" s="39"/>
      <c r="J30" s="39"/>
      <c r="K30" s="39"/>
      <c r="L30" s="39"/>
      <c r="M30" s="39"/>
      <c r="N30" s="39"/>
      <c r="O30" s="40"/>
      <c r="P30" s="40"/>
      <c r="Q30" s="40"/>
      <c r="R30" s="44"/>
      <c r="S30" s="44"/>
      <c r="T30" s="44"/>
      <c r="U30" s="44"/>
      <c r="V30" s="44"/>
      <c r="W30" s="45"/>
      <c r="X30" s="45"/>
      <c r="Y30" s="45"/>
      <c r="Z30" s="45"/>
      <c r="AA30" s="45"/>
      <c r="AB30" s="26"/>
      <c r="AC30" s="26"/>
      <c r="AD30" s="27"/>
      <c r="AE30" s="26"/>
      <c r="AF30" s="22"/>
    </row>
    <row r="31" customFormat="false" ht="15.75" hidden="false" customHeight="true" outlineLevel="0" collapsed="false">
      <c r="A31" s="16"/>
      <c r="E31" s="39"/>
      <c r="F31" s="43"/>
      <c r="G31" s="43"/>
      <c r="H31" s="39"/>
      <c r="I31" s="39"/>
      <c r="J31" s="39"/>
      <c r="K31" s="39"/>
      <c r="L31" s="39"/>
      <c r="M31" s="39"/>
      <c r="N31" s="39"/>
      <c r="O31" s="40"/>
      <c r="P31" s="40"/>
      <c r="Q31" s="40"/>
      <c r="R31" s="44"/>
      <c r="S31" s="44"/>
      <c r="T31" s="44"/>
      <c r="U31" s="44"/>
      <c r="V31" s="44"/>
      <c r="W31" s="45"/>
      <c r="X31" s="45"/>
      <c r="Y31" s="45"/>
      <c r="Z31" s="45"/>
      <c r="AA31" s="45"/>
      <c r="AB31" s="26"/>
      <c r="AC31" s="26"/>
      <c r="AD31" s="27"/>
      <c r="AE31" s="26"/>
      <c r="AF31" s="22"/>
    </row>
    <row r="32" customFormat="false" ht="15.75" hidden="false" customHeight="true" outlineLevel="0" collapsed="false">
      <c r="A32" s="16"/>
      <c r="E32" s="39"/>
      <c r="F32" s="43"/>
      <c r="G32" s="43"/>
      <c r="H32" s="39"/>
      <c r="I32" s="39"/>
      <c r="J32" s="39"/>
      <c r="K32" s="39"/>
      <c r="L32" s="39"/>
      <c r="M32" s="39"/>
      <c r="N32" s="39"/>
      <c r="O32" s="40"/>
      <c r="P32" s="40"/>
      <c r="Q32" s="40"/>
      <c r="R32" s="44"/>
      <c r="S32" s="44"/>
      <c r="T32" s="44"/>
      <c r="U32" s="44"/>
      <c r="V32" s="44"/>
      <c r="W32" s="45"/>
      <c r="X32" s="45"/>
      <c r="Y32" s="45"/>
      <c r="Z32" s="45"/>
      <c r="AA32" s="45"/>
      <c r="AB32" s="26"/>
      <c r="AC32" s="26"/>
      <c r="AD32" s="27"/>
      <c r="AE32" s="26"/>
      <c r="AF32" s="22"/>
    </row>
    <row r="33" customFormat="false" ht="15.75" hidden="false" customHeight="true" outlineLevel="0" collapsed="false">
      <c r="A33" s="16"/>
      <c r="E33" s="39"/>
      <c r="F33" s="43"/>
      <c r="G33" s="43"/>
      <c r="H33" s="39"/>
      <c r="I33" s="39"/>
      <c r="J33" s="39"/>
      <c r="K33" s="39"/>
      <c r="L33" s="39"/>
      <c r="M33" s="39"/>
      <c r="N33" s="39"/>
      <c r="O33" s="40"/>
      <c r="P33" s="40"/>
      <c r="Q33" s="40"/>
      <c r="R33" s="44"/>
      <c r="S33" s="44"/>
      <c r="T33" s="44"/>
      <c r="U33" s="44"/>
      <c r="V33" s="44"/>
      <c r="W33" s="45"/>
      <c r="X33" s="45"/>
      <c r="Y33" s="45"/>
      <c r="Z33" s="45"/>
      <c r="AA33" s="45"/>
      <c r="AB33" s="26"/>
      <c r="AC33" s="26"/>
      <c r="AD33" s="27"/>
      <c r="AE33" s="26"/>
      <c r="AF33" s="22"/>
    </row>
    <row r="34" customFormat="false" ht="15.75" hidden="false" customHeight="true" outlineLevel="0" collapsed="false">
      <c r="A34" s="16"/>
      <c r="E34" s="39"/>
      <c r="F34" s="43"/>
      <c r="G34" s="43"/>
      <c r="H34" s="39"/>
      <c r="I34" s="39"/>
      <c r="J34" s="39"/>
      <c r="K34" s="39"/>
      <c r="L34" s="39"/>
      <c r="M34" s="39"/>
      <c r="N34" s="39"/>
      <c r="O34" s="40"/>
      <c r="P34" s="40"/>
      <c r="Q34" s="40"/>
      <c r="R34" s="44"/>
      <c r="S34" s="44"/>
      <c r="T34" s="44"/>
      <c r="U34" s="44"/>
      <c r="V34" s="44"/>
      <c r="W34" s="45"/>
      <c r="X34" s="45"/>
      <c r="Y34" s="45"/>
      <c r="Z34" s="45"/>
      <c r="AA34" s="45"/>
      <c r="AB34" s="26"/>
      <c r="AC34" s="26"/>
      <c r="AD34" s="27"/>
      <c r="AE34" s="26"/>
      <c r="AF34" s="22"/>
    </row>
    <row r="35" customFormat="false" ht="15.75" hidden="false" customHeight="true" outlineLevel="0" collapsed="false">
      <c r="A35" s="16"/>
      <c r="E35" s="39"/>
      <c r="F35" s="43"/>
      <c r="G35" s="43"/>
      <c r="H35" s="39"/>
      <c r="I35" s="39"/>
      <c r="J35" s="39"/>
      <c r="K35" s="39"/>
      <c r="L35" s="39"/>
      <c r="M35" s="39"/>
      <c r="N35" s="39"/>
      <c r="O35" s="40"/>
      <c r="P35" s="40"/>
      <c r="Q35" s="40"/>
      <c r="R35" s="44"/>
      <c r="S35" s="44"/>
      <c r="T35" s="44"/>
      <c r="U35" s="44"/>
      <c r="V35" s="44"/>
      <c r="W35" s="45"/>
      <c r="X35" s="45"/>
      <c r="Y35" s="45"/>
      <c r="Z35" s="45"/>
      <c r="AA35" s="45"/>
      <c r="AB35" s="26"/>
      <c r="AC35" s="26"/>
      <c r="AD35" s="27"/>
      <c r="AE35" s="26"/>
      <c r="AF35" s="22"/>
    </row>
    <row r="36" customFormat="false" ht="15.75" hidden="false" customHeight="true" outlineLevel="0" collapsed="false">
      <c r="A36" s="16"/>
      <c r="E36" s="39"/>
      <c r="F36" s="43"/>
      <c r="G36" s="43"/>
      <c r="H36" s="39"/>
      <c r="I36" s="39"/>
      <c r="J36" s="39"/>
      <c r="K36" s="39"/>
      <c r="L36" s="39"/>
      <c r="M36" s="39"/>
      <c r="N36" s="39"/>
      <c r="O36" s="40"/>
      <c r="P36" s="40"/>
      <c r="Q36" s="40"/>
      <c r="R36" s="44"/>
      <c r="S36" s="44"/>
      <c r="T36" s="44"/>
      <c r="U36" s="44"/>
      <c r="V36" s="44"/>
      <c r="W36" s="45"/>
      <c r="X36" s="45"/>
      <c r="Y36" s="45"/>
      <c r="Z36" s="45"/>
      <c r="AA36" s="45"/>
      <c r="AB36" s="26"/>
      <c r="AC36" s="26"/>
      <c r="AD36" s="27"/>
      <c r="AE36" s="26"/>
      <c r="AF36" s="22"/>
    </row>
    <row r="37" customFormat="false" ht="15.75" hidden="false" customHeight="true" outlineLevel="0" collapsed="false">
      <c r="A37" s="16"/>
      <c r="E37" s="39"/>
      <c r="F37" s="43"/>
      <c r="G37" s="43"/>
      <c r="H37" s="39"/>
      <c r="I37" s="39"/>
      <c r="J37" s="39"/>
      <c r="K37" s="39"/>
      <c r="L37" s="39"/>
      <c r="M37" s="39"/>
      <c r="N37" s="39"/>
      <c r="O37" s="40"/>
      <c r="P37" s="40"/>
      <c r="Q37" s="40"/>
      <c r="R37" s="44"/>
      <c r="S37" s="44"/>
      <c r="T37" s="44"/>
      <c r="U37" s="44"/>
      <c r="V37" s="44"/>
      <c r="W37" s="45"/>
      <c r="X37" s="45"/>
      <c r="Y37" s="45"/>
      <c r="Z37" s="45"/>
      <c r="AA37" s="45"/>
      <c r="AB37" s="26"/>
      <c r="AC37" s="26"/>
      <c r="AD37" s="27"/>
      <c r="AE37" s="26"/>
      <c r="AF37" s="22"/>
    </row>
    <row r="38" customFormat="false" ht="15.75" hidden="false" customHeight="true" outlineLevel="0" collapsed="false">
      <c r="A38" s="16"/>
      <c r="E38" s="39"/>
      <c r="F38" s="43"/>
      <c r="G38" s="43"/>
      <c r="H38" s="39"/>
      <c r="I38" s="39"/>
      <c r="J38" s="39"/>
      <c r="K38" s="39"/>
      <c r="L38" s="39"/>
      <c r="M38" s="39"/>
      <c r="N38" s="39"/>
      <c r="O38" s="40"/>
      <c r="P38" s="40"/>
      <c r="Q38" s="40"/>
      <c r="R38" s="44"/>
      <c r="S38" s="44"/>
      <c r="T38" s="44"/>
      <c r="U38" s="44"/>
      <c r="V38" s="44"/>
      <c r="W38" s="45"/>
      <c r="X38" s="45"/>
      <c r="Y38" s="45"/>
      <c r="Z38" s="45"/>
      <c r="AA38" s="45"/>
      <c r="AB38" s="26"/>
      <c r="AC38" s="26"/>
      <c r="AD38" s="27"/>
      <c r="AE38" s="26"/>
      <c r="AF38" s="22"/>
    </row>
    <row r="39" customFormat="false" ht="15.75" hidden="false" customHeight="true" outlineLevel="0" collapsed="false">
      <c r="A39" s="16"/>
      <c r="E39" s="39"/>
      <c r="F39" s="43"/>
      <c r="G39" s="43"/>
      <c r="H39" s="39"/>
      <c r="I39" s="39"/>
      <c r="J39" s="39"/>
      <c r="K39" s="39"/>
      <c r="L39" s="39"/>
      <c r="M39" s="39"/>
      <c r="N39" s="39"/>
      <c r="O39" s="40"/>
      <c r="P39" s="40"/>
      <c r="Q39" s="40"/>
      <c r="R39" s="44"/>
      <c r="S39" s="44"/>
      <c r="T39" s="44"/>
      <c r="U39" s="44"/>
      <c r="V39" s="44"/>
      <c r="W39" s="45"/>
      <c r="X39" s="45"/>
      <c r="Y39" s="45"/>
      <c r="Z39" s="45"/>
      <c r="AA39" s="45"/>
      <c r="AB39" s="26"/>
      <c r="AC39" s="26"/>
      <c r="AD39" s="27"/>
      <c r="AE39" s="26"/>
      <c r="AF39" s="22"/>
    </row>
    <row r="40" customFormat="false" ht="15" hidden="false" customHeight="true" outlineLevel="0" collapsed="false">
      <c r="A40" s="46" t="s">
        <v>26</v>
      </c>
      <c r="B40" s="46"/>
      <c r="C40" s="46"/>
      <c r="D40" s="46"/>
      <c r="E40" s="46"/>
      <c r="F40" s="46"/>
      <c r="G40" s="46"/>
      <c r="H40" s="47" t="n">
        <f aca="false">W15</f>
        <v>0</v>
      </c>
      <c r="I40" s="47"/>
      <c r="J40" s="47"/>
      <c r="K40" s="47"/>
      <c r="L40" s="48" t="s">
        <v>27</v>
      </c>
      <c r="M40" s="39"/>
      <c r="N40" s="39"/>
      <c r="O40" s="40"/>
      <c r="P40" s="40"/>
      <c r="Q40" s="40"/>
      <c r="R40" s="44"/>
      <c r="S40" s="44"/>
      <c r="T40" s="44"/>
      <c r="U40" s="44"/>
      <c r="V40" s="44"/>
      <c r="W40" s="45"/>
      <c r="X40" s="45"/>
      <c r="Y40" s="45"/>
      <c r="Z40" s="45"/>
      <c r="AA40" s="45"/>
      <c r="AB40" s="49" t="s">
        <v>28</v>
      </c>
      <c r="AC40" s="49"/>
      <c r="AD40" s="50" t="n">
        <v>1</v>
      </c>
      <c r="AE40" s="49" t="s">
        <v>29</v>
      </c>
      <c r="AF40" s="51" t="n">
        <v>1</v>
      </c>
    </row>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sheetData>
  <mergeCells count="50">
    <mergeCell ref="A1:AF2"/>
    <mergeCell ref="A3:E3"/>
    <mergeCell ref="F3:L3"/>
    <mergeCell ref="M3:Q3"/>
    <mergeCell ref="R3:Y3"/>
    <mergeCell ref="AE3:AF3"/>
    <mergeCell ref="A4:E4"/>
    <mergeCell ref="F4:L4"/>
    <mergeCell ref="M4:Q4"/>
    <mergeCell ref="R4:X4"/>
    <mergeCell ref="Y4:AD4"/>
    <mergeCell ref="AE4:AF4"/>
    <mergeCell ref="A5:AF5"/>
    <mergeCell ref="E8:G8"/>
    <mergeCell ref="H8:V8"/>
    <mergeCell ref="W8:AA8"/>
    <mergeCell ref="E9:G9"/>
    <mergeCell ref="H9:V9"/>
    <mergeCell ref="W9:AA9"/>
    <mergeCell ref="E10:G10"/>
    <mergeCell ref="H10:V10"/>
    <mergeCell ref="W10:AA10"/>
    <mergeCell ref="E11:G11"/>
    <mergeCell ref="H11:V11"/>
    <mergeCell ref="W11:AA11"/>
    <mergeCell ref="E12:G12"/>
    <mergeCell ref="H12:V12"/>
    <mergeCell ref="W12:AA12"/>
    <mergeCell ref="E13:G13"/>
    <mergeCell ref="H13:V13"/>
    <mergeCell ref="W13:AA13"/>
    <mergeCell ref="E14:G14"/>
    <mergeCell ref="H14:V14"/>
    <mergeCell ref="W14:AA14"/>
    <mergeCell ref="E15:G15"/>
    <mergeCell ref="H15:V15"/>
    <mergeCell ref="W15:AA15"/>
    <mergeCell ref="E16:G16"/>
    <mergeCell ref="H16:V16"/>
    <mergeCell ref="W16:AA16"/>
    <mergeCell ref="E17:G17"/>
    <mergeCell ref="H17:V17"/>
    <mergeCell ref="W17:AA17"/>
    <mergeCell ref="E18:G18"/>
    <mergeCell ref="H18:V18"/>
    <mergeCell ref="W18:AA18"/>
    <mergeCell ref="R19:V19"/>
    <mergeCell ref="W19:AA19"/>
    <mergeCell ref="A40:G40"/>
    <mergeCell ref="H40:K40"/>
  </mergeCells>
  <printOptions headings="false" gridLines="false" gridLinesSet="true" horizontalCentered="false" verticalCentered="false"/>
  <pageMargins left="0.75" right="0.5" top="0.75" bottom="0.5" header="0" footer="0.3"/>
  <pageSetup paperSize="1" scale="94" fitToWidth="1" fitToHeight="1" pageOrder="downThenOver" orientation="portrait"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81"/>
  <sheetViews>
    <sheetView showFormulas="false" showGridLines="true" showRowColHeaders="true" showZeros="true" rightToLeft="false" tabSelected="false" showOutlineSymbols="true" defaultGridColor="true" view="pageBreakPreview" topLeftCell="A160" colorId="64" zoomScale="130" zoomScaleNormal="100" zoomScalePageLayoutView="130" workbookViewId="0">
      <selection pane="topLeft" activeCell="A31" activeCellId="0" sqref="A31"/>
    </sheetView>
  </sheetViews>
  <sheetFormatPr defaultColWidth="8.59375" defaultRowHeight="12.75" zeroHeight="false" outlineLevelRow="0" outlineLevelCol="0"/>
  <cols>
    <col collapsed="false" customWidth="true" hidden="false" outlineLevel="0" max="1" min="1" style="52" width="36.57"/>
    <col collapsed="false" customWidth="true" hidden="false" outlineLevel="0" max="2" min="2" style="52" width="30"/>
    <col collapsed="false" customWidth="true" hidden="false" outlineLevel="0" max="3" min="3" style="52" width="19.57"/>
    <col collapsed="false" customWidth="true" hidden="false" outlineLevel="0" max="4" min="4" style="52" width="36.57"/>
  </cols>
  <sheetData>
    <row r="1" customFormat="false" ht="12.75" hidden="false" customHeight="true" outlineLevel="0" collapsed="false">
      <c r="A1" s="53" t="s">
        <v>30</v>
      </c>
      <c r="B1" s="53"/>
      <c r="C1" s="53"/>
      <c r="D1" s="53"/>
    </row>
    <row r="2" customFormat="false" ht="12.75" hidden="false" customHeight="true" outlineLevel="0" collapsed="false">
      <c r="B2" s="54" t="s">
        <v>31</v>
      </c>
      <c r="C2" s="54"/>
      <c r="R2" s="55" t="e">
        <f aca="false">'MISSION STATEMENT'!B6+'MISSION STATEMENT'!L200</f>
        <v>#VALUE!</v>
      </c>
    </row>
    <row r="3" customFormat="false" ht="12.75" hidden="false" customHeight="true" outlineLevel="0" collapsed="false">
      <c r="B3" s="54" t="s">
        <v>32</v>
      </c>
      <c r="C3" s="54"/>
    </row>
    <row r="4" customFormat="false" ht="12.75" hidden="false" customHeight="true" outlineLevel="0" collapsed="false">
      <c r="B4" s="54" t="s">
        <v>33</v>
      </c>
      <c r="C4" s="54"/>
    </row>
    <row r="5" customFormat="false" ht="12.75" hidden="false" customHeight="true" outlineLevel="0" collapsed="false">
      <c r="B5" s="54"/>
      <c r="C5" s="54"/>
    </row>
    <row r="6" customFormat="false" ht="12.75" hidden="false" customHeight="true" outlineLevel="0" collapsed="false">
      <c r="A6" s="56"/>
      <c r="B6" s="54" t="s">
        <v>34</v>
      </c>
      <c r="C6" s="54"/>
    </row>
    <row r="7" customFormat="false" ht="12.75" hidden="false" customHeight="true" outlineLevel="0" collapsed="false">
      <c r="A7" s="56"/>
      <c r="B7" s="54" t="s">
        <v>35</v>
      </c>
      <c r="C7" s="54"/>
    </row>
    <row r="8" customFormat="false" ht="12.75" hidden="false" customHeight="true" outlineLevel="0" collapsed="false">
      <c r="A8" s="56"/>
      <c r="B8" s="57"/>
      <c r="C8" s="57"/>
    </row>
    <row r="9" customFormat="false" ht="12.75" hidden="false" customHeight="true" outlineLevel="0" collapsed="false">
      <c r="A9" s="56"/>
      <c r="B9" s="54" t="s">
        <v>36</v>
      </c>
      <c r="C9" s="54"/>
    </row>
    <row r="10" customFormat="false" ht="12.75" hidden="false" customHeight="true" outlineLevel="0" collapsed="false">
      <c r="A10" s="56"/>
      <c r="B10" s="54" t="s">
        <v>37</v>
      </c>
      <c r="C10" s="54"/>
    </row>
    <row r="11" customFormat="false" ht="12.75" hidden="false" customHeight="true" outlineLevel="0" collapsed="false">
      <c r="A11" s="56"/>
      <c r="B11" s="54" t="s">
        <v>38</v>
      </c>
      <c r="C11" s="54"/>
      <c r="D11" s="56"/>
    </row>
    <row r="12" customFormat="false" ht="12.75" hidden="false" customHeight="true" outlineLevel="0" collapsed="false">
      <c r="A12" s="56"/>
      <c r="B12" s="58"/>
      <c r="C12" s="58"/>
      <c r="D12" s="56"/>
    </row>
    <row r="13" customFormat="false" ht="12.75" hidden="false" customHeight="true" outlineLevel="0" collapsed="false">
      <c r="A13" s="59" t="s">
        <v>39</v>
      </c>
      <c r="B13" s="60" t="s">
        <v>40</v>
      </c>
      <c r="C13" s="58"/>
      <c r="D13" s="56"/>
    </row>
    <row r="14" customFormat="false" ht="12.75" hidden="false" customHeight="true" outlineLevel="0" collapsed="false">
      <c r="A14" s="59" t="s">
        <v>41</v>
      </c>
      <c r="B14" s="60" t="s">
        <v>42</v>
      </c>
      <c r="C14" s="58"/>
      <c r="D14" s="56"/>
    </row>
    <row r="15" customFormat="false" ht="12.75" hidden="false" customHeight="true" outlineLevel="0" collapsed="false">
      <c r="A15" s="59" t="s">
        <v>43</v>
      </c>
      <c r="B15" s="61" t="n">
        <v>45034.9484953704</v>
      </c>
      <c r="C15" s="58"/>
      <c r="D15" s="56"/>
    </row>
    <row r="16" customFormat="false" ht="12.75" hidden="false" customHeight="true" outlineLevel="0" collapsed="false">
      <c r="B16" s="58"/>
    </row>
    <row r="17" customFormat="false" ht="12.75" hidden="false" customHeight="true" outlineLevel="0" collapsed="false">
      <c r="B17" s="58"/>
    </row>
    <row r="18" customFormat="false" ht="12.75" hidden="false" customHeight="true" outlineLevel="0" collapsed="false">
      <c r="A18" s="59" t="s">
        <v>44</v>
      </c>
      <c r="B18" s="59" t="s">
        <v>45</v>
      </c>
    </row>
    <row r="19" customFormat="false" ht="12.75" hidden="false" customHeight="true" outlineLevel="0" collapsed="false">
      <c r="A19" s="59" t="s">
        <v>46</v>
      </c>
      <c r="B19" s="59" t="s">
        <v>47</v>
      </c>
    </row>
    <row r="20" customFormat="false" ht="12.75" hidden="false" customHeight="true" outlineLevel="0" collapsed="false">
      <c r="A20" s="62" t="s">
        <v>48</v>
      </c>
      <c r="B20" s="62" t="s">
        <v>49</v>
      </c>
    </row>
    <row r="21" customFormat="false" ht="12.75" hidden="false" customHeight="true" outlineLevel="0" collapsed="false">
      <c r="A21" s="62"/>
      <c r="B21" s="62"/>
    </row>
    <row r="22" customFormat="false" ht="12.75" hidden="false" customHeight="true" outlineLevel="0" collapsed="false">
      <c r="A22" s="59" t="s">
        <v>50</v>
      </c>
      <c r="B22" s="59" t="s">
        <v>51</v>
      </c>
    </row>
    <row r="23" customFormat="false" ht="12.75" hidden="false" customHeight="true" outlineLevel="0" collapsed="false">
      <c r="A23" s="59" t="s">
        <v>52</v>
      </c>
      <c r="B23" s="59" t="s">
        <v>53</v>
      </c>
    </row>
    <row r="24" customFormat="false" ht="12.75" hidden="false" customHeight="true" outlineLevel="0" collapsed="false">
      <c r="A24" s="62" t="s">
        <v>54</v>
      </c>
      <c r="B24" s="59" t="s">
        <v>55</v>
      </c>
    </row>
    <row r="25" customFormat="false" ht="22.5" hidden="false" customHeight="true" outlineLevel="0" collapsed="false">
      <c r="A25" s="62"/>
      <c r="B25" s="59" t="s">
        <v>56</v>
      </c>
    </row>
    <row r="26" customFormat="false" ht="12.75" hidden="false" customHeight="true" outlineLevel="0" collapsed="false">
      <c r="A26" s="59" t="s">
        <v>57</v>
      </c>
      <c r="B26" s="59" t="s">
        <v>58</v>
      </c>
      <c r="C26" s="59"/>
      <c r="D26" s="63"/>
    </row>
    <row r="27" customFormat="false" ht="12.75" hidden="false" customHeight="true" outlineLevel="0" collapsed="false">
      <c r="A27" s="59" t="s">
        <v>59</v>
      </c>
      <c r="B27" s="59" t="s">
        <v>58</v>
      </c>
      <c r="C27" s="59"/>
      <c r="D27" s="63"/>
    </row>
    <row r="28" customFormat="false" ht="12.75" hidden="false" customHeight="true" outlineLevel="0" collapsed="false">
      <c r="A28" s="56"/>
      <c r="B28" s="58"/>
      <c r="C28" s="59"/>
      <c r="D28" s="63"/>
    </row>
    <row r="29" customFormat="false" ht="12.75" hidden="false" customHeight="true" outlineLevel="0" collapsed="false">
      <c r="A29" s="56"/>
      <c r="B29" s="58"/>
      <c r="C29" s="59"/>
      <c r="D29" s="63"/>
    </row>
    <row r="30" customFormat="false" ht="12.75" hidden="false" customHeight="true" outlineLevel="0" collapsed="false">
      <c r="A30" s="64" t="s">
        <v>60</v>
      </c>
      <c r="B30" s="64"/>
      <c r="C30" s="64"/>
      <c r="D30" s="64"/>
    </row>
    <row r="31" customFormat="false" ht="15.75" hidden="false" customHeight="true" outlineLevel="0" collapsed="false">
      <c r="A31" s="65" t="s">
        <v>61</v>
      </c>
      <c r="B31" s="65"/>
      <c r="C31" s="65"/>
      <c r="D31" s="65"/>
    </row>
    <row r="32" customFormat="false" ht="15.75" hidden="false" customHeight="true" outlineLevel="0" collapsed="false">
      <c r="A32" s="65"/>
      <c r="B32" s="65"/>
      <c r="C32" s="65"/>
      <c r="D32" s="65"/>
    </row>
    <row r="33" customFormat="false" ht="15.75" hidden="false" customHeight="true" outlineLevel="0" collapsed="false">
      <c r="A33" s="65"/>
      <c r="B33" s="65"/>
      <c r="C33" s="65"/>
      <c r="D33" s="65"/>
    </row>
    <row r="34" customFormat="false" ht="15.75" hidden="false" customHeight="true" outlineLevel="0" collapsed="false">
      <c r="A34" s="65"/>
      <c r="B34" s="65"/>
      <c r="C34" s="65"/>
      <c r="D34" s="65"/>
    </row>
    <row r="35" customFormat="false" ht="15.75" hidden="false" customHeight="true" outlineLevel="0" collapsed="false">
      <c r="A35" s="65"/>
      <c r="B35" s="65"/>
      <c r="C35" s="65"/>
      <c r="D35" s="65"/>
    </row>
    <row r="36" customFormat="false" ht="15.75" hidden="false" customHeight="true" outlineLevel="0" collapsed="false">
      <c r="A36" s="65"/>
      <c r="B36" s="65"/>
      <c r="C36" s="65"/>
      <c r="D36" s="65"/>
    </row>
    <row r="37" customFormat="false" ht="15.75" hidden="false" customHeight="true" outlineLevel="0" collapsed="false">
      <c r="A37" s="65"/>
      <c r="B37" s="65"/>
      <c r="C37" s="65"/>
      <c r="D37" s="65"/>
    </row>
    <row r="38" customFormat="false" ht="15.75" hidden="false" customHeight="true" outlineLevel="0" collapsed="false">
      <c r="A38" s="65"/>
      <c r="B38" s="65"/>
      <c r="C38" s="65"/>
      <c r="D38" s="65"/>
    </row>
    <row r="39" customFormat="false" ht="15.75" hidden="false" customHeight="true" outlineLevel="0" collapsed="false">
      <c r="A39" s="65"/>
      <c r="B39" s="65"/>
      <c r="C39" s="65"/>
      <c r="D39" s="65"/>
    </row>
    <row r="40" customFormat="false" ht="15.75" hidden="false" customHeight="true" outlineLevel="0" collapsed="false">
      <c r="A40" s="65"/>
      <c r="B40" s="65"/>
      <c r="C40" s="65"/>
      <c r="D40" s="65"/>
    </row>
    <row r="41" customFormat="false" ht="15.75" hidden="false" customHeight="true" outlineLevel="0" collapsed="false">
      <c r="A41" s="65"/>
      <c r="B41" s="65"/>
      <c r="C41" s="65"/>
      <c r="D41" s="65"/>
    </row>
    <row r="42" customFormat="false" ht="15.75" hidden="false" customHeight="true" outlineLevel="0" collapsed="false">
      <c r="A42" s="65"/>
      <c r="B42" s="65"/>
      <c r="C42" s="65"/>
      <c r="D42" s="65"/>
    </row>
    <row r="43" customFormat="false" ht="15.75" hidden="false" customHeight="true" outlineLevel="0" collapsed="false">
      <c r="A43" s="65"/>
      <c r="B43" s="65"/>
      <c r="C43" s="65"/>
      <c r="D43" s="65"/>
    </row>
    <row r="44" customFormat="false" ht="15.75" hidden="false" customHeight="true" outlineLevel="0" collapsed="false">
      <c r="A44" s="65"/>
      <c r="B44" s="65"/>
      <c r="C44" s="65"/>
      <c r="D44" s="65"/>
    </row>
    <row r="45" customFormat="false" ht="15.75" hidden="false" customHeight="true" outlineLevel="0" collapsed="false">
      <c r="A45" s="65"/>
      <c r="B45" s="65"/>
      <c r="C45" s="65"/>
      <c r="D45" s="65"/>
    </row>
    <row r="46" customFormat="false" ht="15.75" hidden="false" customHeight="true" outlineLevel="0" collapsed="false">
      <c r="A46" s="65"/>
      <c r="B46" s="65"/>
      <c r="C46" s="65"/>
      <c r="D46" s="65"/>
    </row>
    <row r="47" customFormat="false" ht="15.75" hidden="false" customHeight="true" outlineLevel="0" collapsed="false">
      <c r="A47" s="65"/>
      <c r="B47" s="65"/>
      <c r="C47" s="65"/>
      <c r="D47" s="65"/>
    </row>
    <row r="48" customFormat="false" ht="15.75" hidden="false" customHeight="true" outlineLevel="0" collapsed="false">
      <c r="A48" s="65"/>
      <c r="B48" s="65"/>
      <c r="C48" s="65"/>
      <c r="D48" s="65"/>
    </row>
    <row r="49" customFormat="false" ht="15.75" hidden="false" customHeight="true" outlineLevel="0" collapsed="false">
      <c r="A49" s="65"/>
      <c r="B49" s="65"/>
      <c r="C49" s="65"/>
      <c r="D49" s="65"/>
    </row>
    <row r="50" customFormat="false" ht="15.75" hidden="false" customHeight="true" outlineLevel="0" collapsed="false">
      <c r="A50" s="65"/>
      <c r="B50" s="65"/>
      <c r="C50" s="65"/>
      <c r="D50" s="65"/>
    </row>
    <row r="51" customFormat="false" ht="15.75" hidden="false" customHeight="true" outlineLevel="0" collapsed="false">
      <c r="A51" s="65"/>
      <c r="B51" s="65"/>
      <c r="C51" s="65"/>
      <c r="D51" s="65"/>
    </row>
    <row r="52" customFormat="false" ht="15.75" hidden="false" customHeight="true" outlineLevel="0" collapsed="false">
      <c r="A52" s="65"/>
      <c r="B52" s="65"/>
      <c r="C52" s="65"/>
      <c r="D52" s="65"/>
    </row>
    <row r="53" customFormat="false" ht="15.75" hidden="false" customHeight="true" outlineLevel="0" collapsed="false">
      <c r="A53" s="65"/>
      <c r="B53" s="65"/>
      <c r="C53" s="65"/>
      <c r="D53" s="65"/>
    </row>
    <row r="54" customFormat="false" ht="15.75" hidden="false" customHeight="true" outlineLevel="0" collapsed="false">
      <c r="A54" s="65"/>
      <c r="B54" s="65"/>
      <c r="C54" s="65"/>
      <c r="D54" s="65"/>
    </row>
    <row r="55" customFormat="false" ht="15.75" hidden="false" customHeight="true" outlineLevel="0" collapsed="false">
      <c r="A55" s="65"/>
      <c r="B55" s="65"/>
      <c r="C55" s="65"/>
      <c r="D55" s="65"/>
    </row>
    <row r="56" customFormat="false" ht="15.75" hidden="false" customHeight="true" outlineLevel="0" collapsed="false">
      <c r="A56" s="65"/>
      <c r="B56" s="65"/>
      <c r="C56" s="65"/>
      <c r="D56" s="65"/>
    </row>
    <row r="57" customFormat="false" ht="15.75" hidden="false" customHeight="true" outlineLevel="0" collapsed="false">
      <c r="A57" s="65"/>
      <c r="B57" s="65"/>
      <c r="C57" s="65"/>
      <c r="D57" s="65"/>
    </row>
    <row r="58" customFormat="false" ht="15.75" hidden="false" customHeight="true" outlineLevel="0" collapsed="false">
      <c r="A58" s="65"/>
      <c r="B58" s="65"/>
      <c r="C58" s="65"/>
      <c r="D58" s="65"/>
    </row>
    <row r="59" customFormat="false" ht="15.75" hidden="false" customHeight="true" outlineLevel="0" collapsed="false">
      <c r="A59" s="65"/>
      <c r="B59" s="65"/>
      <c r="C59" s="65"/>
      <c r="D59" s="65"/>
    </row>
    <row r="60" customFormat="false" ht="15.75" hidden="false" customHeight="true" outlineLevel="0" collapsed="false">
      <c r="A60" s="65"/>
      <c r="B60" s="65"/>
      <c r="C60" s="65"/>
      <c r="D60" s="65"/>
    </row>
    <row r="61" customFormat="false" ht="15.75" hidden="false" customHeight="true" outlineLevel="0" collapsed="false">
      <c r="A61" s="65"/>
      <c r="B61" s="65"/>
      <c r="C61" s="65"/>
      <c r="D61" s="65"/>
    </row>
    <row r="62" customFormat="false" ht="15.75" hidden="false" customHeight="true" outlineLevel="0" collapsed="false">
      <c r="A62" s="65"/>
      <c r="B62" s="65"/>
      <c r="C62" s="65"/>
      <c r="D62" s="65"/>
    </row>
    <row r="63" customFormat="false" ht="15.75" hidden="false" customHeight="true" outlineLevel="0" collapsed="false">
      <c r="A63" s="65"/>
      <c r="B63" s="65"/>
      <c r="C63" s="65"/>
      <c r="D63" s="65"/>
    </row>
    <row r="64" customFormat="false" ht="15.75" hidden="false" customHeight="true" outlineLevel="0" collapsed="false">
      <c r="A64" s="65"/>
      <c r="B64" s="65"/>
      <c r="C64" s="65"/>
      <c r="D64" s="65"/>
    </row>
    <row r="65" customFormat="false" ht="15.75" hidden="false" customHeight="true" outlineLevel="0" collapsed="false">
      <c r="A65" s="65"/>
      <c r="B65" s="65"/>
      <c r="C65" s="65"/>
      <c r="D65" s="65"/>
    </row>
    <row r="66" customFormat="false" ht="15.75" hidden="false" customHeight="true" outlineLevel="0" collapsed="false">
      <c r="A66" s="65"/>
      <c r="B66" s="65"/>
      <c r="C66" s="65"/>
      <c r="D66" s="65"/>
    </row>
    <row r="67" customFormat="false" ht="15.75" hidden="false" customHeight="true" outlineLevel="0" collapsed="false">
      <c r="A67" s="65"/>
      <c r="B67" s="65"/>
      <c r="C67" s="65"/>
      <c r="D67" s="65"/>
    </row>
    <row r="68" customFormat="false" ht="15.75" hidden="false" customHeight="true" outlineLevel="0" collapsed="false">
      <c r="A68" s="65"/>
      <c r="B68" s="65"/>
      <c r="C68" s="65"/>
      <c r="D68" s="65"/>
    </row>
    <row r="69" customFormat="false" ht="15.75" hidden="false" customHeight="true" outlineLevel="0" collapsed="false">
      <c r="A69" s="65"/>
      <c r="B69" s="65"/>
      <c r="C69" s="65"/>
      <c r="D69" s="65"/>
    </row>
    <row r="70" customFormat="false" ht="15.75" hidden="false" customHeight="true" outlineLevel="0" collapsed="false">
      <c r="A70" s="65"/>
      <c r="B70" s="65"/>
      <c r="C70" s="65"/>
      <c r="D70" s="65"/>
    </row>
    <row r="71" customFormat="false" ht="15.75" hidden="false" customHeight="true" outlineLevel="0" collapsed="false">
      <c r="A71" s="65"/>
      <c r="B71" s="65"/>
      <c r="C71" s="65"/>
      <c r="D71" s="65"/>
    </row>
    <row r="72" customFormat="false" ht="15.75" hidden="false" customHeight="true" outlineLevel="0" collapsed="false">
      <c r="A72" s="65"/>
      <c r="B72" s="65"/>
      <c r="C72" s="65"/>
      <c r="D72" s="65"/>
    </row>
    <row r="73" customFormat="false" ht="15.75" hidden="false" customHeight="true" outlineLevel="0" collapsed="false">
      <c r="A73" s="65"/>
      <c r="B73" s="65"/>
      <c r="C73" s="65"/>
      <c r="D73" s="65"/>
    </row>
    <row r="74" customFormat="false" ht="15.75" hidden="false" customHeight="true" outlineLevel="0" collapsed="false">
      <c r="A74" s="65"/>
      <c r="B74" s="65"/>
      <c r="C74" s="65"/>
      <c r="D74" s="65"/>
    </row>
    <row r="75" customFormat="false" ht="15.75" hidden="false" customHeight="true" outlineLevel="0" collapsed="false">
      <c r="A75" s="65"/>
      <c r="B75" s="65"/>
      <c r="C75" s="65"/>
      <c r="D75" s="65"/>
    </row>
    <row r="76" customFormat="false" ht="15.75" hidden="false" customHeight="true" outlineLevel="0" collapsed="false">
      <c r="A76" s="65"/>
      <c r="B76" s="65"/>
      <c r="C76" s="65"/>
      <c r="D76" s="65"/>
    </row>
    <row r="77" customFormat="false" ht="15.75" hidden="false" customHeight="true" outlineLevel="0" collapsed="false">
      <c r="A77" s="65"/>
      <c r="B77" s="65"/>
      <c r="C77" s="65"/>
      <c r="D77" s="65"/>
    </row>
    <row r="78" customFormat="false" ht="15.75" hidden="false" customHeight="true" outlineLevel="0" collapsed="false">
      <c r="A78" s="65"/>
      <c r="B78" s="65"/>
      <c r="C78" s="65"/>
      <c r="D78" s="65"/>
    </row>
    <row r="79" customFormat="false" ht="15.75" hidden="false" customHeight="true" outlineLevel="0" collapsed="false">
      <c r="A79" s="65"/>
      <c r="B79" s="65"/>
      <c r="C79" s="65"/>
      <c r="D79" s="65"/>
    </row>
    <row r="80" customFormat="false" ht="15.75" hidden="false" customHeight="true" outlineLevel="0" collapsed="false">
      <c r="A80" s="65"/>
      <c r="B80" s="65"/>
      <c r="C80" s="65"/>
      <c r="D80" s="65"/>
    </row>
    <row r="81" customFormat="false" ht="15.75" hidden="false" customHeight="true" outlineLevel="0" collapsed="false">
      <c r="A81" s="65"/>
      <c r="B81" s="65"/>
      <c r="C81" s="65"/>
      <c r="D81" s="65"/>
    </row>
    <row r="82" customFormat="false" ht="15.75" hidden="false" customHeight="true" outlineLevel="0" collapsed="false">
      <c r="A82" s="65"/>
      <c r="B82" s="65"/>
      <c r="C82" s="65"/>
      <c r="D82" s="65"/>
    </row>
    <row r="83" customFormat="false" ht="15.75" hidden="false" customHeight="true" outlineLevel="0" collapsed="false">
      <c r="A83" s="65"/>
      <c r="B83" s="65"/>
      <c r="C83" s="65"/>
      <c r="D83" s="65"/>
    </row>
    <row r="84" customFormat="false" ht="15.75" hidden="false" customHeight="true" outlineLevel="0" collapsed="false">
      <c r="A84" s="65"/>
      <c r="B84" s="65"/>
      <c r="C84" s="65"/>
      <c r="D84" s="65"/>
    </row>
    <row r="85" customFormat="false" ht="15.75" hidden="false" customHeight="true" outlineLevel="0" collapsed="false">
      <c r="A85" s="65"/>
      <c r="B85" s="65"/>
      <c r="C85" s="65"/>
      <c r="D85" s="65"/>
    </row>
    <row r="86" customFormat="false" ht="15.75" hidden="false" customHeight="true" outlineLevel="0" collapsed="false">
      <c r="A86" s="65"/>
      <c r="B86" s="65"/>
      <c r="C86" s="65"/>
      <c r="D86" s="65"/>
    </row>
    <row r="87" customFormat="false" ht="15.75" hidden="false" customHeight="true" outlineLevel="0" collapsed="false">
      <c r="A87" s="65"/>
      <c r="B87" s="65"/>
      <c r="C87" s="65"/>
      <c r="D87" s="65"/>
    </row>
    <row r="88" customFormat="false" ht="15.75" hidden="false" customHeight="true" outlineLevel="0" collapsed="false">
      <c r="A88" s="65"/>
      <c r="B88" s="65"/>
      <c r="C88" s="65"/>
      <c r="D88" s="65"/>
    </row>
    <row r="89" customFormat="false" ht="15.75" hidden="false" customHeight="true" outlineLevel="0" collapsed="false">
      <c r="A89" s="65"/>
      <c r="B89" s="65"/>
      <c r="C89" s="65"/>
      <c r="D89" s="65"/>
    </row>
    <row r="90" customFormat="false" ht="15.75" hidden="false" customHeight="true" outlineLevel="0" collapsed="false">
      <c r="A90" s="65"/>
      <c r="B90" s="65"/>
      <c r="C90" s="65"/>
      <c r="D90" s="65"/>
    </row>
    <row r="91" customFormat="false" ht="15.75" hidden="false" customHeight="true" outlineLevel="0" collapsed="false">
      <c r="A91" s="65"/>
      <c r="B91" s="65"/>
      <c r="C91" s="65"/>
      <c r="D91" s="65"/>
    </row>
    <row r="92" customFormat="false" ht="15.75" hidden="false" customHeight="true" outlineLevel="0" collapsed="false">
      <c r="A92" s="65"/>
      <c r="B92" s="65"/>
      <c r="C92" s="65"/>
      <c r="D92" s="65"/>
    </row>
    <row r="93" customFormat="false" ht="15.75" hidden="false" customHeight="true" outlineLevel="0" collapsed="false">
      <c r="A93" s="65"/>
      <c r="B93" s="65"/>
      <c r="C93" s="65"/>
      <c r="D93" s="65"/>
    </row>
    <row r="94" customFormat="false" ht="15.75" hidden="false" customHeight="true" outlineLevel="0" collapsed="false">
      <c r="A94" s="65"/>
      <c r="B94" s="65"/>
      <c r="C94" s="65"/>
      <c r="D94" s="65"/>
    </row>
    <row r="95" customFormat="false" ht="15.75" hidden="false" customHeight="true" outlineLevel="0" collapsed="false">
      <c r="A95" s="65"/>
      <c r="B95" s="65"/>
      <c r="C95" s="65"/>
      <c r="D95" s="65"/>
    </row>
    <row r="96" customFormat="false" ht="15.75" hidden="false" customHeight="true" outlineLevel="0" collapsed="false">
      <c r="A96" s="65"/>
      <c r="B96" s="65"/>
      <c r="C96" s="65"/>
      <c r="D96" s="65"/>
    </row>
    <row r="97" customFormat="false" ht="15.75" hidden="false" customHeight="true" outlineLevel="0" collapsed="false">
      <c r="A97" s="65"/>
      <c r="B97" s="65"/>
      <c r="C97" s="65"/>
      <c r="D97" s="65"/>
    </row>
    <row r="98" customFormat="false" ht="12.75" hidden="false" customHeight="true" outlineLevel="0" collapsed="false">
      <c r="A98" s="66" t="n">
        <v>45035</v>
      </c>
      <c r="B98" s="66"/>
      <c r="C98" s="66"/>
      <c r="D98" s="66"/>
    </row>
    <row r="99" customFormat="false" ht="12.75" hidden="false" customHeight="true" outlineLevel="0" collapsed="false">
      <c r="A99" s="67"/>
      <c r="B99" s="67"/>
      <c r="C99" s="67"/>
      <c r="D99" s="67"/>
    </row>
    <row r="100" customFormat="false" ht="12.75" hidden="false" customHeight="true" outlineLevel="0" collapsed="false">
      <c r="A100" s="67"/>
      <c r="B100" s="67"/>
      <c r="C100" s="67"/>
      <c r="D100" s="67"/>
    </row>
    <row r="101" customFormat="false" ht="12.75" hidden="false" customHeight="true" outlineLevel="0" collapsed="false">
      <c r="A101" s="53" t="s">
        <v>30</v>
      </c>
      <c r="B101" s="53"/>
      <c r="C101" s="53"/>
      <c r="D101" s="53"/>
    </row>
    <row r="102" customFormat="false" ht="12.75" hidden="false" customHeight="true" outlineLevel="0" collapsed="false">
      <c r="B102" s="54" t="s">
        <v>31</v>
      </c>
      <c r="C102" s="54"/>
    </row>
    <row r="103" customFormat="false" ht="12.75" hidden="false" customHeight="true" outlineLevel="0" collapsed="false">
      <c r="B103" s="54" t="s">
        <v>32</v>
      </c>
      <c r="C103" s="54"/>
    </row>
    <row r="104" customFormat="false" ht="12.75" hidden="false" customHeight="true" outlineLevel="0" collapsed="false">
      <c r="B104" s="54" t="s">
        <v>33</v>
      </c>
      <c r="C104" s="54"/>
    </row>
    <row r="105" customFormat="false" ht="12.75" hidden="false" customHeight="true" outlineLevel="0" collapsed="false">
      <c r="B105" s="54"/>
      <c r="C105" s="54"/>
    </row>
    <row r="106" customFormat="false" ht="12.75" hidden="false" customHeight="true" outlineLevel="0" collapsed="false">
      <c r="A106" s="56"/>
      <c r="B106" s="54" t="s">
        <v>62</v>
      </c>
      <c r="C106" s="54"/>
    </row>
    <row r="107" customFormat="false" ht="12.75" hidden="false" customHeight="true" outlineLevel="0" collapsed="false">
      <c r="A107" s="56"/>
      <c r="B107" s="54" t="s">
        <v>63</v>
      </c>
      <c r="C107" s="54"/>
    </row>
    <row r="108" customFormat="false" ht="12.75" hidden="false" customHeight="true" outlineLevel="0" collapsed="false">
      <c r="A108" s="56"/>
      <c r="B108" s="57"/>
      <c r="C108" s="57"/>
    </row>
    <row r="109" customFormat="false" ht="12.75" hidden="false" customHeight="true" outlineLevel="0" collapsed="false">
      <c r="A109" s="56"/>
      <c r="B109" s="54" t="s">
        <v>64</v>
      </c>
      <c r="C109" s="54"/>
    </row>
    <row r="110" customFormat="false" ht="12.75" hidden="false" customHeight="true" outlineLevel="0" collapsed="false">
      <c r="A110" s="56"/>
      <c r="B110" s="54" t="s">
        <v>37</v>
      </c>
      <c r="C110" s="54"/>
    </row>
    <row r="111" customFormat="false" ht="12.75" hidden="false" customHeight="true" outlineLevel="0" collapsed="false">
      <c r="A111" s="56"/>
      <c r="B111" s="54" t="s">
        <v>65</v>
      </c>
      <c r="C111" s="54"/>
      <c r="D111" s="56"/>
    </row>
    <row r="112" customFormat="false" ht="12.75" hidden="false" customHeight="true" outlineLevel="0" collapsed="false">
      <c r="A112" s="56"/>
      <c r="B112" s="58"/>
      <c r="C112" s="58"/>
      <c r="D112" s="56"/>
    </row>
    <row r="113" customFormat="false" ht="12.75" hidden="false" customHeight="true" outlineLevel="0" collapsed="false">
      <c r="A113" s="59" t="s">
        <v>39</v>
      </c>
      <c r="B113" s="60" t="s">
        <v>40</v>
      </c>
      <c r="C113" s="58"/>
      <c r="D113" s="56"/>
    </row>
    <row r="114" customFormat="false" ht="12.75" hidden="false" customHeight="true" outlineLevel="0" collapsed="false">
      <c r="A114" s="59" t="s">
        <v>41</v>
      </c>
      <c r="B114" s="60" t="s">
        <v>42</v>
      </c>
      <c r="C114" s="58"/>
      <c r="D114" s="56"/>
    </row>
    <row r="115" customFormat="false" ht="12.75" hidden="false" customHeight="true" outlineLevel="0" collapsed="false">
      <c r="A115" s="59" t="s">
        <v>43</v>
      </c>
      <c r="B115" s="61" t="n">
        <v>45034.9484953704</v>
      </c>
      <c r="C115" s="58"/>
      <c r="D115" s="56"/>
    </row>
    <row r="116" customFormat="false" ht="12.75" hidden="false" customHeight="true" outlineLevel="0" collapsed="false">
      <c r="B116" s="58"/>
    </row>
    <row r="117" customFormat="false" ht="12.75" hidden="false" customHeight="true" outlineLevel="0" collapsed="false">
      <c r="B117" s="58"/>
    </row>
    <row r="118" customFormat="false" ht="12.75" hidden="false" customHeight="true" outlineLevel="0" collapsed="false">
      <c r="A118" s="59" t="s">
        <v>44</v>
      </c>
      <c r="B118" s="59" t="s">
        <v>45</v>
      </c>
    </row>
    <row r="119" customFormat="false" ht="12.75" hidden="false" customHeight="true" outlineLevel="0" collapsed="false">
      <c r="A119" s="59" t="s">
        <v>46</v>
      </c>
      <c r="B119" s="59" t="s">
        <v>47</v>
      </c>
    </row>
    <row r="120" customFormat="false" ht="12.75" hidden="false" customHeight="true" outlineLevel="0" collapsed="false">
      <c r="A120" s="62" t="s">
        <v>48</v>
      </c>
      <c r="B120" s="62" t="s">
        <v>66</v>
      </c>
    </row>
    <row r="121" customFormat="false" ht="12.75" hidden="false" customHeight="true" outlineLevel="0" collapsed="false">
      <c r="A121" s="62"/>
      <c r="B121" s="62"/>
    </row>
    <row r="122" customFormat="false" ht="12.75" hidden="false" customHeight="true" outlineLevel="0" collapsed="false">
      <c r="A122" s="59" t="s">
        <v>50</v>
      </c>
      <c r="B122" s="59" t="s">
        <v>51</v>
      </c>
    </row>
    <row r="123" customFormat="false" ht="12.75" hidden="false" customHeight="true" outlineLevel="0" collapsed="false">
      <c r="A123" s="59" t="s">
        <v>52</v>
      </c>
      <c r="B123" s="59" t="s">
        <v>67</v>
      </c>
    </row>
    <row r="124" customFormat="false" ht="12.75" hidden="false" customHeight="true" outlineLevel="0" collapsed="false">
      <c r="A124" s="62" t="s">
        <v>54</v>
      </c>
      <c r="B124" s="59" t="s">
        <v>55</v>
      </c>
    </row>
    <row r="125" customFormat="false" ht="12.75" hidden="false" customHeight="true" outlineLevel="0" collapsed="false">
      <c r="A125" s="62"/>
      <c r="B125" s="59" t="s">
        <v>56</v>
      </c>
    </row>
    <row r="126" customFormat="false" ht="12.75" hidden="false" customHeight="true" outlineLevel="0" collapsed="false">
      <c r="A126" s="59" t="s">
        <v>57</v>
      </c>
      <c r="B126" s="59" t="s">
        <v>58</v>
      </c>
      <c r="C126" s="59"/>
      <c r="D126" s="63"/>
    </row>
    <row r="127" customFormat="false" ht="12.75" hidden="false" customHeight="true" outlineLevel="0" collapsed="false">
      <c r="A127" s="59" t="s">
        <v>59</v>
      </c>
      <c r="B127" s="59" t="s">
        <v>58</v>
      </c>
      <c r="C127" s="59"/>
      <c r="D127" s="63"/>
    </row>
    <row r="128" customFormat="false" ht="12.75" hidden="false" customHeight="true" outlineLevel="0" collapsed="false">
      <c r="A128" s="59"/>
      <c r="B128" s="59"/>
      <c r="C128" s="59"/>
      <c r="D128" s="63"/>
    </row>
    <row r="129" customFormat="false" ht="12.75" hidden="false" customHeight="true" outlineLevel="0" collapsed="false">
      <c r="A129" s="64" t="s">
        <v>60</v>
      </c>
      <c r="B129" s="64"/>
      <c r="C129" s="64"/>
      <c r="D129" s="64"/>
    </row>
    <row r="130" customFormat="false" ht="12.75" hidden="false" customHeight="true" outlineLevel="0" collapsed="false">
      <c r="A130" s="65" t="s">
        <v>68</v>
      </c>
      <c r="B130" s="65"/>
      <c r="C130" s="65"/>
      <c r="D130" s="65"/>
    </row>
    <row r="131" customFormat="false" ht="12.75" hidden="false" customHeight="true" outlineLevel="0" collapsed="false">
      <c r="A131" s="65"/>
      <c r="B131" s="65"/>
      <c r="C131" s="65"/>
      <c r="D131" s="65"/>
    </row>
    <row r="132" customFormat="false" ht="12.75" hidden="false" customHeight="true" outlineLevel="0" collapsed="false">
      <c r="A132" s="65"/>
      <c r="B132" s="65"/>
      <c r="C132" s="65"/>
      <c r="D132" s="65"/>
    </row>
    <row r="133" customFormat="false" ht="12.75" hidden="false" customHeight="true" outlineLevel="0" collapsed="false">
      <c r="A133" s="65"/>
      <c r="B133" s="65"/>
      <c r="C133" s="65"/>
      <c r="D133" s="65"/>
    </row>
    <row r="134" customFormat="false" ht="12.75" hidden="false" customHeight="true" outlineLevel="0" collapsed="false">
      <c r="A134" s="65"/>
      <c r="B134" s="65"/>
      <c r="C134" s="65"/>
      <c r="D134" s="65"/>
    </row>
    <row r="135" customFormat="false" ht="12.75" hidden="false" customHeight="true" outlineLevel="0" collapsed="false">
      <c r="A135" s="65"/>
      <c r="B135" s="65"/>
      <c r="C135" s="65"/>
      <c r="D135" s="65"/>
    </row>
    <row r="136" customFormat="false" ht="12.75" hidden="false" customHeight="true" outlineLevel="0" collapsed="false">
      <c r="A136" s="65"/>
      <c r="B136" s="65"/>
      <c r="C136" s="65"/>
      <c r="D136" s="65"/>
    </row>
    <row r="137" customFormat="false" ht="12.75" hidden="false" customHeight="true" outlineLevel="0" collapsed="false">
      <c r="A137" s="65"/>
      <c r="B137" s="65"/>
      <c r="C137" s="65"/>
      <c r="D137" s="65"/>
    </row>
    <row r="138" customFormat="false" ht="12.75" hidden="false" customHeight="true" outlineLevel="0" collapsed="false">
      <c r="A138" s="65"/>
      <c r="B138" s="65"/>
      <c r="C138" s="65"/>
      <c r="D138" s="65"/>
    </row>
    <row r="139" customFormat="false" ht="12.75" hidden="false" customHeight="true" outlineLevel="0" collapsed="false">
      <c r="A139" s="65"/>
      <c r="B139" s="65"/>
      <c r="C139" s="65"/>
      <c r="D139" s="65"/>
    </row>
    <row r="140" customFormat="false" ht="12.75" hidden="false" customHeight="true" outlineLevel="0" collapsed="false">
      <c r="A140" s="65"/>
      <c r="B140" s="65"/>
      <c r="C140" s="65"/>
      <c r="D140" s="65"/>
    </row>
    <row r="141" customFormat="false" ht="12.75" hidden="false" customHeight="true" outlineLevel="0" collapsed="false">
      <c r="A141" s="65"/>
      <c r="B141" s="65"/>
      <c r="C141" s="65"/>
      <c r="D141" s="65"/>
    </row>
    <row r="142" customFormat="false" ht="12.75" hidden="false" customHeight="true" outlineLevel="0" collapsed="false">
      <c r="A142" s="65"/>
      <c r="B142" s="65"/>
      <c r="C142" s="65"/>
      <c r="D142" s="65"/>
    </row>
    <row r="143" customFormat="false" ht="12.75" hidden="false" customHeight="true" outlineLevel="0" collapsed="false">
      <c r="A143" s="65"/>
      <c r="B143" s="65"/>
      <c r="C143" s="65"/>
      <c r="D143" s="65"/>
    </row>
    <row r="144" customFormat="false" ht="12.75" hidden="false" customHeight="true" outlineLevel="0" collapsed="false">
      <c r="A144" s="65"/>
      <c r="B144" s="65"/>
      <c r="C144" s="65"/>
      <c r="D144" s="65"/>
    </row>
    <row r="145" customFormat="false" ht="12.75" hidden="false" customHeight="true" outlineLevel="0" collapsed="false">
      <c r="A145" s="65"/>
      <c r="B145" s="65"/>
      <c r="C145" s="65"/>
      <c r="D145" s="65"/>
    </row>
    <row r="146" customFormat="false" ht="12.75" hidden="false" customHeight="true" outlineLevel="0" collapsed="false">
      <c r="A146" s="65"/>
      <c r="B146" s="65"/>
      <c r="C146" s="65"/>
      <c r="D146" s="65"/>
    </row>
    <row r="147" customFormat="false" ht="12.75" hidden="false" customHeight="true" outlineLevel="0" collapsed="false">
      <c r="A147" s="65"/>
      <c r="B147" s="65"/>
      <c r="C147" s="65"/>
      <c r="D147" s="65"/>
    </row>
    <row r="148" customFormat="false" ht="12.75" hidden="false" customHeight="true" outlineLevel="0" collapsed="false">
      <c r="A148" s="65"/>
      <c r="B148" s="65"/>
      <c r="C148" s="65"/>
      <c r="D148" s="65"/>
    </row>
    <row r="149" customFormat="false" ht="12.75" hidden="false" customHeight="true" outlineLevel="0" collapsed="false">
      <c r="A149" s="65"/>
      <c r="B149" s="65"/>
      <c r="C149" s="65"/>
      <c r="D149" s="65"/>
    </row>
    <row r="150" customFormat="false" ht="12.75" hidden="false" customHeight="true" outlineLevel="0" collapsed="false">
      <c r="A150" s="65"/>
      <c r="B150" s="65"/>
      <c r="C150" s="65"/>
      <c r="D150" s="65"/>
    </row>
    <row r="151" customFormat="false" ht="12.75" hidden="false" customHeight="true" outlineLevel="0" collapsed="false">
      <c r="A151" s="65"/>
      <c r="B151" s="65"/>
      <c r="C151" s="65"/>
      <c r="D151" s="65"/>
    </row>
    <row r="152" customFormat="false" ht="12.75" hidden="false" customHeight="true" outlineLevel="0" collapsed="false">
      <c r="A152" s="65"/>
      <c r="B152" s="65"/>
      <c r="C152" s="65"/>
      <c r="D152" s="65"/>
    </row>
    <row r="153" customFormat="false" ht="12.75" hidden="false" customHeight="true" outlineLevel="0" collapsed="false">
      <c r="A153" s="65"/>
      <c r="B153" s="65"/>
      <c r="C153" s="65"/>
      <c r="D153" s="65"/>
    </row>
    <row r="154" customFormat="false" ht="12.75" hidden="false" customHeight="true" outlineLevel="0" collapsed="false">
      <c r="A154" s="65"/>
      <c r="B154" s="65"/>
      <c r="C154" s="65"/>
      <c r="D154" s="65"/>
    </row>
    <row r="155" customFormat="false" ht="12.75" hidden="false" customHeight="true" outlineLevel="0" collapsed="false">
      <c r="A155" s="65"/>
      <c r="B155" s="65"/>
      <c r="C155" s="65"/>
      <c r="D155" s="65"/>
    </row>
    <row r="156" customFormat="false" ht="12.75" hidden="false" customHeight="true" outlineLevel="0" collapsed="false">
      <c r="A156" s="65"/>
      <c r="B156" s="65"/>
      <c r="C156" s="65"/>
      <c r="D156" s="65"/>
    </row>
    <row r="157" customFormat="false" ht="12.75" hidden="false" customHeight="true" outlineLevel="0" collapsed="false">
      <c r="A157" s="65"/>
      <c r="B157" s="65"/>
      <c r="C157" s="65"/>
      <c r="D157" s="65"/>
    </row>
    <row r="158" customFormat="false" ht="12.75" hidden="false" customHeight="true" outlineLevel="0" collapsed="false">
      <c r="A158" s="65"/>
      <c r="B158" s="65"/>
      <c r="C158" s="65"/>
      <c r="D158" s="65"/>
    </row>
    <row r="159" customFormat="false" ht="12.75" hidden="false" customHeight="true" outlineLevel="0" collapsed="false">
      <c r="A159" s="65"/>
      <c r="B159" s="65"/>
      <c r="C159" s="65"/>
      <c r="D159" s="65"/>
    </row>
    <row r="160" customFormat="false" ht="12.75" hidden="false" customHeight="true" outlineLevel="0" collapsed="false">
      <c r="A160" s="65"/>
      <c r="B160" s="65"/>
      <c r="C160" s="65"/>
      <c r="D160" s="65"/>
    </row>
    <row r="161" customFormat="false" ht="12.75" hidden="false" customHeight="true" outlineLevel="0" collapsed="false">
      <c r="A161" s="65"/>
      <c r="B161" s="65"/>
      <c r="C161" s="65"/>
      <c r="D161" s="65"/>
    </row>
    <row r="162" customFormat="false" ht="12.75" hidden="false" customHeight="true" outlineLevel="0" collapsed="false">
      <c r="A162" s="65"/>
      <c r="B162" s="65"/>
      <c r="C162" s="65"/>
      <c r="D162" s="65"/>
    </row>
    <row r="163" customFormat="false" ht="12.75" hidden="false" customHeight="true" outlineLevel="0" collapsed="false">
      <c r="A163" s="65"/>
      <c r="B163" s="65"/>
      <c r="C163" s="65"/>
      <c r="D163" s="65"/>
    </row>
    <row r="164" customFormat="false" ht="12.75" hidden="false" customHeight="true" outlineLevel="0" collapsed="false">
      <c r="A164" s="65"/>
      <c r="B164" s="65"/>
      <c r="C164" s="65"/>
      <c r="D164" s="65"/>
    </row>
    <row r="165" customFormat="false" ht="12.75" hidden="false" customHeight="true" outlineLevel="0" collapsed="false">
      <c r="A165" s="65"/>
      <c r="B165" s="65"/>
      <c r="C165" s="65"/>
      <c r="D165" s="65"/>
    </row>
    <row r="166" customFormat="false" ht="12.75" hidden="false" customHeight="true" outlineLevel="0" collapsed="false">
      <c r="A166" s="65"/>
      <c r="B166" s="65"/>
      <c r="C166" s="65"/>
      <c r="D166" s="65"/>
    </row>
    <row r="167" customFormat="false" ht="12.75" hidden="false" customHeight="true" outlineLevel="0" collapsed="false">
      <c r="A167" s="65"/>
      <c r="B167" s="65"/>
      <c r="C167" s="65"/>
      <c r="D167" s="65"/>
    </row>
    <row r="168" customFormat="false" ht="12.75" hidden="false" customHeight="true" outlineLevel="0" collapsed="false">
      <c r="A168" s="65"/>
      <c r="B168" s="65"/>
      <c r="C168" s="65"/>
      <c r="D168" s="65"/>
    </row>
    <row r="169" customFormat="false" ht="12.75" hidden="false" customHeight="true" outlineLevel="0" collapsed="false">
      <c r="A169" s="65"/>
      <c r="B169" s="65"/>
      <c r="C169" s="65"/>
      <c r="D169" s="65"/>
    </row>
    <row r="170" customFormat="false" ht="12.75" hidden="false" customHeight="true" outlineLevel="0" collapsed="false">
      <c r="A170" s="65"/>
      <c r="B170" s="65"/>
      <c r="C170" s="65"/>
      <c r="D170" s="65"/>
    </row>
    <row r="171" customFormat="false" ht="12.75" hidden="false" customHeight="true" outlineLevel="0" collapsed="false">
      <c r="A171" s="65"/>
      <c r="B171" s="65"/>
      <c r="C171" s="65"/>
      <c r="D171" s="65"/>
    </row>
    <row r="172" customFormat="false" ht="12.75" hidden="false" customHeight="true" outlineLevel="0" collapsed="false">
      <c r="A172" s="65"/>
      <c r="B172" s="65"/>
      <c r="C172" s="65"/>
      <c r="D172" s="65"/>
    </row>
    <row r="173" customFormat="false" ht="12.75" hidden="false" customHeight="true" outlineLevel="0" collapsed="false">
      <c r="A173" s="65"/>
      <c r="B173" s="65"/>
      <c r="C173" s="65"/>
      <c r="D173" s="65"/>
    </row>
    <row r="174" customFormat="false" ht="12.75" hidden="false" customHeight="true" outlineLevel="0" collapsed="false">
      <c r="A174" s="65"/>
      <c r="B174" s="65"/>
      <c r="C174" s="65"/>
      <c r="D174" s="65"/>
    </row>
    <row r="175" customFormat="false" ht="12.75" hidden="false" customHeight="true" outlineLevel="0" collapsed="false">
      <c r="A175" s="65"/>
      <c r="B175" s="65"/>
      <c r="C175" s="65"/>
      <c r="D175" s="65"/>
    </row>
    <row r="176" customFormat="false" ht="12.75" hidden="false" customHeight="true" outlineLevel="0" collapsed="false">
      <c r="A176" s="65"/>
      <c r="B176" s="65"/>
      <c r="C176" s="65"/>
      <c r="D176" s="65"/>
    </row>
    <row r="177" customFormat="false" ht="12.75" hidden="false" customHeight="true" outlineLevel="0" collapsed="false">
      <c r="A177" s="65"/>
      <c r="B177" s="65"/>
      <c r="C177" s="65"/>
      <c r="D177" s="65"/>
    </row>
    <row r="178" customFormat="false" ht="12.75" hidden="false" customHeight="true" outlineLevel="0" collapsed="false">
      <c r="A178" s="65"/>
      <c r="B178" s="65"/>
      <c r="C178" s="65"/>
      <c r="D178" s="65"/>
    </row>
    <row r="179" customFormat="false" ht="12.75" hidden="false" customHeight="true" outlineLevel="0" collapsed="false">
      <c r="A179" s="65"/>
      <c r="B179" s="65"/>
      <c r="C179" s="65"/>
      <c r="D179" s="65"/>
    </row>
    <row r="180" customFormat="false" ht="12.75" hidden="false" customHeight="true" outlineLevel="0" collapsed="false">
      <c r="A180" s="65"/>
      <c r="B180" s="65"/>
      <c r="C180" s="65"/>
      <c r="D180" s="65"/>
    </row>
    <row r="181" customFormat="false" ht="12.75" hidden="false" customHeight="true" outlineLevel="0" collapsed="false">
      <c r="A181" s="65"/>
      <c r="B181" s="65"/>
      <c r="C181" s="65"/>
      <c r="D181" s="65"/>
    </row>
    <row r="182" customFormat="false" ht="12.75" hidden="false" customHeight="true" outlineLevel="0" collapsed="false">
      <c r="A182" s="65"/>
      <c r="B182" s="65"/>
      <c r="C182" s="65"/>
      <c r="D182" s="65"/>
    </row>
    <row r="183" customFormat="false" ht="12.75" hidden="false" customHeight="true" outlineLevel="0" collapsed="false">
      <c r="A183" s="65"/>
      <c r="B183" s="65"/>
      <c r="C183" s="65"/>
      <c r="D183" s="65"/>
    </row>
    <row r="184" customFormat="false" ht="12.75" hidden="false" customHeight="true" outlineLevel="0" collapsed="false">
      <c r="A184" s="65"/>
      <c r="B184" s="65"/>
      <c r="C184" s="65"/>
      <c r="D184" s="65"/>
    </row>
    <row r="185" customFormat="false" ht="12.75" hidden="false" customHeight="true" outlineLevel="0" collapsed="false">
      <c r="A185" s="65"/>
      <c r="B185" s="65"/>
      <c r="C185" s="65"/>
      <c r="D185" s="65"/>
    </row>
    <row r="186" customFormat="false" ht="12.75" hidden="false" customHeight="true" outlineLevel="0" collapsed="false">
      <c r="A186" s="65"/>
      <c r="B186" s="65"/>
      <c r="C186" s="65"/>
      <c r="D186" s="65"/>
    </row>
    <row r="187" customFormat="false" ht="12.75" hidden="false" customHeight="true" outlineLevel="0" collapsed="false">
      <c r="A187" s="65"/>
      <c r="B187" s="65"/>
      <c r="C187" s="65"/>
      <c r="D187" s="65"/>
    </row>
    <row r="188" customFormat="false" ht="12.75" hidden="false" customHeight="true" outlineLevel="0" collapsed="false">
      <c r="A188" s="65"/>
      <c r="B188" s="65"/>
      <c r="C188" s="65"/>
      <c r="D188" s="65"/>
    </row>
    <row r="189" customFormat="false" ht="12.75" hidden="false" customHeight="true" outlineLevel="0" collapsed="false">
      <c r="A189" s="65"/>
      <c r="B189" s="65"/>
      <c r="C189" s="65"/>
      <c r="D189" s="65"/>
    </row>
    <row r="190" customFormat="false" ht="12.75" hidden="false" customHeight="true" outlineLevel="0" collapsed="false">
      <c r="A190" s="65"/>
      <c r="B190" s="65"/>
      <c r="C190" s="65"/>
      <c r="D190" s="65"/>
    </row>
    <row r="191" customFormat="false" ht="12.75" hidden="false" customHeight="true" outlineLevel="0" collapsed="false">
      <c r="A191" s="65"/>
      <c r="B191" s="65"/>
      <c r="C191" s="65"/>
      <c r="D191" s="65"/>
    </row>
    <row r="192" customFormat="false" ht="12.75" hidden="false" customHeight="true" outlineLevel="0" collapsed="false">
      <c r="A192" s="65"/>
      <c r="B192" s="65"/>
      <c r="C192" s="65"/>
      <c r="D192" s="65"/>
    </row>
    <row r="193" customFormat="false" ht="12.75" hidden="false" customHeight="true" outlineLevel="0" collapsed="false">
      <c r="A193" s="65"/>
      <c r="B193" s="65"/>
      <c r="C193" s="65"/>
      <c r="D193" s="65"/>
    </row>
    <row r="194" customFormat="false" ht="12.75" hidden="false" customHeight="true" outlineLevel="0" collapsed="false">
      <c r="A194" s="65"/>
      <c r="B194" s="65"/>
      <c r="C194" s="65"/>
      <c r="D194" s="65"/>
    </row>
    <row r="195" customFormat="false" ht="12.75" hidden="false" customHeight="true" outlineLevel="0" collapsed="false">
      <c r="A195" s="65"/>
      <c r="B195" s="65"/>
      <c r="C195" s="65"/>
      <c r="D195" s="65"/>
    </row>
    <row r="196" customFormat="false" ht="12.75" hidden="false" customHeight="true" outlineLevel="0" collapsed="false">
      <c r="A196" s="65"/>
      <c r="B196" s="65"/>
      <c r="C196" s="65"/>
      <c r="D196" s="65"/>
    </row>
    <row r="197" customFormat="false" ht="12.75" hidden="false" customHeight="true" outlineLevel="0" collapsed="false">
      <c r="A197" s="65"/>
      <c r="B197" s="65"/>
      <c r="C197" s="65"/>
      <c r="D197" s="65"/>
    </row>
    <row r="198" customFormat="false" ht="12.75" hidden="false" customHeight="true" outlineLevel="0" collapsed="false">
      <c r="A198" s="65"/>
      <c r="B198" s="65"/>
      <c r="C198" s="65"/>
      <c r="D198" s="65"/>
    </row>
    <row r="199" customFormat="false" ht="12.75" hidden="false" customHeight="true" outlineLevel="0" collapsed="false">
      <c r="A199" s="66" t="n">
        <v>45035</v>
      </c>
      <c r="B199" s="66"/>
      <c r="C199" s="66"/>
      <c r="D199" s="66"/>
    </row>
    <row r="200" customFormat="false" ht="12.75" hidden="false" customHeight="true" outlineLevel="0" collapsed="false">
      <c r="A200" s="68"/>
      <c r="B200" s="68"/>
      <c r="C200" s="68"/>
      <c r="D200" s="68"/>
      <c r="E200" s="69"/>
    </row>
    <row r="201" customFormat="false" ht="12.75" hidden="false" customHeight="true" outlineLevel="0" collapsed="false"/>
    <row r="202" customFormat="false" ht="12.75" hidden="false" customHeight="true" outlineLevel="0" collapsed="false">
      <c r="A202" s="53" t="s">
        <v>30</v>
      </c>
      <c r="B202" s="53"/>
      <c r="C202" s="53"/>
      <c r="D202" s="53"/>
    </row>
    <row r="203" customFormat="false" ht="12.75" hidden="false" customHeight="true" outlineLevel="0" collapsed="false">
      <c r="B203" s="54" t="s">
        <v>31</v>
      </c>
      <c r="C203" s="54"/>
    </row>
    <row r="204" customFormat="false" ht="12.75" hidden="false" customHeight="true" outlineLevel="0" collapsed="false">
      <c r="B204" s="54" t="s">
        <v>32</v>
      </c>
      <c r="C204" s="54"/>
    </row>
    <row r="205" customFormat="false" ht="12.75" hidden="false" customHeight="true" outlineLevel="0" collapsed="false">
      <c r="B205" s="54" t="s">
        <v>33</v>
      </c>
      <c r="C205" s="54"/>
    </row>
    <row r="206" customFormat="false" ht="12.75" hidden="false" customHeight="true" outlineLevel="0" collapsed="false">
      <c r="B206" s="54"/>
      <c r="C206" s="54"/>
    </row>
    <row r="207" customFormat="false" ht="12.75" hidden="false" customHeight="true" outlineLevel="0" collapsed="false">
      <c r="A207" s="56"/>
      <c r="B207" s="54" t="s">
        <v>69</v>
      </c>
      <c r="C207" s="54"/>
    </row>
    <row r="208" customFormat="false" ht="12.75" hidden="false" customHeight="true" outlineLevel="0" collapsed="false">
      <c r="A208" s="56"/>
      <c r="B208" s="54" t="s">
        <v>35</v>
      </c>
      <c r="C208" s="54"/>
    </row>
    <row r="209" customFormat="false" ht="12.75" hidden="false" customHeight="true" outlineLevel="0" collapsed="false">
      <c r="A209" s="56"/>
      <c r="B209" s="57"/>
      <c r="C209" s="57"/>
    </row>
    <row r="210" customFormat="false" ht="12.75" hidden="false" customHeight="true" outlineLevel="0" collapsed="false">
      <c r="A210" s="56"/>
      <c r="B210" s="54" t="s">
        <v>36</v>
      </c>
      <c r="C210" s="54"/>
    </row>
    <row r="211" customFormat="false" ht="12.75" hidden="false" customHeight="true" outlineLevel="0" collapsed="false">
      <c r="A211" s="56"/>
      <c r="B211" s="54" t="s">
        <v>37</v>
      </c>
      <c r="C211" s="54"/>
    </row>
    <row r="212" customFormat="false" ht="12.75" hidden="false" customHeight="true" outlineLevel="0" collapsed="false">
      <c r="A212" s="56"/>
      <c r="B212" s="54" t="s">
        <v>70</v>
      </c>
      <c r="C212" s="54"/>
      <c r="D212" s="56"/>
    </row>
    <row r="213" customFormat="false" ht="12.75" hidden="false" customHeight="true" outlineLevel="0" collapsed="false">
      <c r="A213" s="56"/>
      <c r="B213" s="58"/>
      <c r="C213" s="58"/>
      <c r="D213" s="56"/>
    </row>
    <row r="214" customFormat="false" ht="12.75" hidden="false" customHeight="true" outlineLevel="0" collapsed="false">
      <c r="A214" s="59" t="s">
        <v>39</v>
      </c>
      <c r="B214" s="60" t="s">
        <v>40</v>
      </c>
      <c r="C214" s="58"/>
      <c r="D214" s="56"/>
    </row>
    <row r="215" customFormat="false" ht="12.75" hidden="false" customHeight="true" outlineLevel="0" collapsed="false">
      <c r="A215" s="59" t="s">
        <v>41</v>
      </c>
      <c r="B215" s="60" t="s">
        <v>42</v>
      </c>
      <c r="C215" s="58"/>
      <c r="D215" s="56"/>
    </row>
    <row r="216" customFormat="false" ht="12.75" hidden="false" customHeight="true" outlineLevel="0" collapsed="false">
      <c r="A216" s="59" t="s">
        <v>43</v>
      </c>
      <c r="B216" s="61" t="n">
        <v>45034.9484953704</v>
      </c>
      <c r="C216" s="58"/>
      <c r="D216" s="56"/>
    </row>
    <row r="217" customFormat="false" ht="12.75" hidden="false" customHeight="true" outlineLevel="0" collapsed="false">
      <c r="B217" s="58"/>
    </row>
    <row r="218" customFormat="false" ht="12.75" hidden="false" customHeight="true" outlineLevel="0" collapsed="false">
      <c r="B218" s="58"/>
    </row>
    <row r="219" customFormat="false" ht="12.75" hidden="false" customHeight="true" outlineLevel="0" collapsed="false">
      <c r="A219" s="59" t="s">
        <v>44</v>
      </c>
      <c r="B219" s="59" t="s">
        <v>45</v>
      </c>
    </row>
    <row r="220" customFormat="false" ht="12.75" hidden="false" customHeight="true" outlineLevel="0" collapsed="false">
      <c r="A220" s="59" t="s">
        <v>46</v>
      </c>
      <c r="B220" s="59" t="s">
        <v>47</v>
      </c>
    </row>
    <row r="221" customFormat="false" ht="12.75" hidden="false" customHeight="true" outlineLevel="0" collapsed="false">
      <c r="A221" s="62" t="s">
        <v>48</v>
      </c>
      <c r="B221" s="62" t="s">
        <v>66</v>
      </c>
    </row>
    <row r="222" customFormat="false" ht="12.75" hidden="false" customHeight="true" outlineLevel="0" collapsed="false">
      <c r="A222" s="62"/>
      <c r="B222" s="62"/>
    </row>
    <row r="223" customFormat="false" ht="12.75" hidden="false" customHeight="true" outlineLevel="0" collapsed="false">
      <c r="A223" s="59" t="s">
        <v>50</v>
      </c>
      <c r="B223" s="59" t="s">
        <v>51</v>
      </c>
    </row>
    <row r="224" customFormat="false" ht="12.75" hidden="false" customHeight="true" outlineLevel="0" collapsed="false">
      <c r="A224" s="59" t="s">
        <v>52</v>
      </c>
      <c r="B224" s="59" t="s">
        <v>67</v>
      </c>
    </row>
    <row r="225" customFormat="false" ht="12.75" hidden="false" customHeight="true" outlineLevel="0" collapsed="false">
      <c r="A225" s="62" t="s">
        <v>54</v>
      </c>
      <c r="B225" s="70" t="s">
        <v>71</v>
      </c>
    </row>
    <row r="226" customFormat="false" ht="12.75" hidden="false" customHeight="true" outlineLevel="0" collapsed="false">
      <c r="A226" s="62"/>
      <c r="B226" s="59" t="s">
        <v>56</v>
      </c>
    </row>
    <row r="227" customFormat="false" ht="12.75" hidden="false" customHeight="true" outlineLevel="0" collapsed="false">
      <c r="A227" s="59" t="s">
        <v>57</v>
      </c>
      <c r="B227" s="59" t="s">
        <v>58</v>
      </c>
      <c r="C227" s="59"/>
      <c r="D227" s="63"/>
    </row>
    <row r="228" customFormat="false" ht="12.75" hidden="false" customHeight="true" outlineLevel="0" collapsed="false">
      <c r="A228" s="59" t="s">
        <v>59</v>
      </c>
      <c r="B228" s="59" t="s">
        <v>58</v>
      </c>
      <c r="C228" s="59"/>
      <c r="D228" s="63"/>
    </row>
    <row r="229" customFormat="false" ht="12.75" hidden="false" customHeight="true" outlineLevel="0" collapsed="false">
      <c r="A229" s="59"/>
      <c r="B229" s="59"/>
      <c r="C229" s="59"/>
      <c r="D229" s="63"/>
    </row>
    <row r="230" customFormat="false" ht="12.75" hidden="false" customHeight="false" outlineLevel="0" collapsed="false">
      <c r="A230" s="71" t="s">
        <v>72</v>
      </c>
      <c r="B230" s="71"/>
      <c r="C230" s="71"/>
      <c r="D230" s="71"/>
    </row>
    <row r="231" customFormat="false" ht="409.5" hidden="false" customHeight="true" outlineLevel="0" collapsed="false">
      <c r="A231" s="65" t="s">
        <v>68</v>
      </c>
      <c r="B231" s="65"/>
      <c r="C231" s="65"/>
      <c r="D231" s="65"/>
    </row>
    <row r="232" customFormat="false" ht="12.75" hidden="false" customHeight="false" outlineLevel="0" collapsed="false">
      <c r="A232" s="65"/>
      <c r="B232" s="65"/>
      <c r="C232" s="65"/>
      <c r="D232" s="65"/>
    </row>
    <row r="233" customFormat="false" ht="12.75" hidden="false" customHeight="false" outlineLevel="0" collapsed="false">
      <c r="A233" s="65"/>
      <c r="B233" s="65"/>
      <c r="C233" s="65"/>
      <c r="D233" s="65"/>
    </row>
    <row r="234" customFormat="false" ht="12.75" hidden="false" customHeight="false" outlineLevel="0" collapsed="false">
      <c r="A234" s="65"/>
      <c r="B234" s="65"/>
      <c r="C234" s="65"/>
      <c r="D234" s="65"/>
    </row>
    <row r="235" customFormat="false" ht="12.75" hidden="false" customHeight="false" outlineLevel="0" collapsed="false">
      <c r="A235" s="65"/>
      <c r="B235" s="65"/>
      <c r="C235" s="65"/>
      <c r="D235" s="65"/>
    </row>
    <row r="236" customFormat="false" ht="12.75" hidden="false" customHeight="false" outlineLevel="0" collapsed="false">
      <c r="A236" s="65"/>
      <c r="B236" s="65"/>
      <c r="C236" s="65"/>
      <c r="D236" s="65"/>
    </row>
    <row r="237" customFormat="false" ht="12.75" hidden="false" customHeight="false" outlineLevel="0" collapsed="false">
      <c r="A237" s="65"/>
      <c r="B237" s="65"/>
      <c r="C237" s="65"/>
      <c r="D237" s="65"/>
    </row>
    <row r="238" customFormat="false" ht="12.75" hidden="false" customHeight="false" outlineLevel="0" collapsed="false">
      <c r="A238" s="65"/>
      <c r="B238" s="65"/>
      <c r="C238" s="65"/>
      <c r="D238" s="65"/>
    </row>
    <row r="239" customFormat="false" ht="12.75" hidden="false" customHeight="false" outlineLevel="0" collapsed="false">
      <c r="A239" s="65"/>
      <c r="B239" s="65"/>
      <c r="C239" s="65"/>
      <c r="D239" s="65"/>
    </row>
    <row r="240" customFormat="false" ht="12.75" hidden="false" customHeight="false" outlineLevel="0" collapsed="false">
      <c r="A240" s="65"/>
      <c r="B240" s="65"/>
      <c r="C240" s="65"/>
      <c r="D240" s="65"/>
    </row>
    <row r="241" customFormat="false" ht="12.75" hidden="false" customHeight="false" outlineLevel="0" collapsed="false">
      <c r="A241" s="65"/>
      <c r="B241" s="65"/>
      <c r="C241" s="65"/>
      <c r="D241" s="65"/>
    </row>
    <row r="242" customFormat="false" ht="12.75" hidden="false" customHeight="false" outlineLevel="0" collapsed="false">
      <c r="A242" s="65"/>
      <c r="B242" s="65"/>
      <c r="C242" s="65"/>
      <c r="D242" s="65"/>
    </row>
    <row r="243" customFormat="false" ht="12.75" hidden="false" customHeight="false" outlineLevel="0" collapsed="false">
      <c r="A243" s="65"/>
      <c r="B243" s="65"/>
      <c r="C243" s="65"/>
      <c r="D243" s="65"/>
    </row>
    <row r="244" customFormat="false" ht="12.75" hidden="false" customHeight="false" outlineLevel="0" collapsed="false">
      <c r="A244" s="65"/>
      <c r="B244" s="65"/>
      <c r="C244" s="65"/>
      <c r="D244" s="65"/>
    </row>
    <row r="245" customFormat="false" ht="12.75" hidden="false" customHeight="false" outlineLevel="0" collapsed="false">
      <c r="A245" s="65"/>
      <c r="B245" s="65"/>
      <c r="C245" s="65"/>
      <c r="D245" s="65"/>
    </row>
    <row r="246" customFormat="false" ht="12.75" hidden="false" customHeight="false" outlineLevel="0" collapsed="false">
      <c r="A246" s="65"/>
      <c r="B246" s="65"/>
      <c r="C246" s="65"/>
      <c r="D246" s="65"/>
    </row>
    <row r="247" customFormat="false" ht="12.75" hidden="false" customHeight="false" outlineLevel="0" collapsed="false">
      <c r="A247" s="65"/>
      <c r="B247" s="65"/>
      <c r="C247" s="65"/>
      <c r="D247" s="65"/>
    </row>
    <row r="248" customFormat="false" ht="12.75" hidden="false" customHeight="false" outlineLevel="0" collapsed="false">
      <c r="A248" s="65"/>
      <c r="B248" s="65"/>
      <c r="C248" s="65"/>
      <c r="D248" s="65"/>
    </row>
    <row r="249" customFormat="false" ht="12.75" hidden="false" customHeight="false" outlineLevel="0" collapsed="false">
      <c r="A249" s="65"/>
      <c r="B249" s="65"/>
      <c r="C249" s="65"/>
      <c r="D249" s="65"/>
    </row>
    <row r="250" customFormat="false" ht="12.75" hidden="false" customHeight="false" outlineLevel="0" collapsed="false">
      <c r="A250" s="65"/>
      <c r="B250" s="65"/>
      <c r="C250" s="65"/>
      <c r="D250" s="65"/>
    </row>
    <row r="251" customFormat="false" ht="12.75" hidden="false" customHeight="false" outlineLevel="0" collapsed="false">
      <c r="A251" s="65"/>
      <c r="B251" s="65"/>
      <c r="C251" s="65"/>
      <c r="D251" s="65"/>
    </row>
    <row r="252" customFormat="false" ht="12.75" hidden="false" customHeight="false" outlineLevel="0" collapsed="false">
      <c r="A252" s="65"/>
      <c r="B252" s="65"/>
      <c r="C252" s="65"/>
      <c r="D252" s="65"/>
    </row>
    <row r="253" customFormat="false" ht="12.75" hidden="false" customHeight="false" outlineLevel="0" collapsed="false">
      <c r="A253" s="65"/>
      <c r="B253" s="65"/>
      <c r="C253" s="65"/>
      <c r="D253" s="65"/>
    </row>
    <row r="254" customFormat="false" ht="12.75" hidden="false" customHeight="false" outlineLevel="0" collapsed="false">
      <c r="A254" s="65"/>
      <c r="B254" s="65"/>
      <c r="C254" s="65"/>
      <c r="D254" s="65"/>
    </row>
    <row r="255" customFormat="false" ht="12.75" hidden="false" customHeight="false" outlineLevel="0" collapsed="false">
      <c r="A255" s="65"/>
      <c r="B255" s="65"/>
      <c r="C255" s="65"/>
      <c r="D255" s="65"/>
    </row>
    <row r="256" customFormat="false" ht="12.75" hidden="false" customHeight="false" outlineLevel="0" collapsed="false">
      <c r="A256" s="65"/>
      <c r="B256" s="65"/>
      <c r="C256" s="65"/>
      <c r="D256" s="65"/>
    </row>
    <row r="257" customFormat="false" ht="12.75" hidden="false" customHeight="false" outlineLevel="0" collapsed="false">
      <c r="A257" s="65"/>
      <c r="B257" s="65"/>
      <c r="C257" s="65"/>
      <c r="D257" s="65"/>
    </row>
    <row r="258" customFormat="false" ht="12.75" hidden="false" customHeight="false" outlineLevel="0" collapsed="false">
      <c r="A258" s="65"/>
      <c r="B258" s="65"/>
      <c r="C258" s="65"/>
      <c r="D258" s="65"/>
    </row>
    <row r="259" customFormat="false" ht="12.75" hidden="false" customHeight="false" outlineLevel="0" collapsed="false">
      <c r="A259" s="65"/>
      <c r="B259" s="65"/>
      <c r="C259" s="65"/>
      <c r="D259" s="65"/>
    </row>
    <row r="260" customFormat="false" ht="12.75" hidden="false" customHeight="false" outlineLevel="0" collapsed="false">
      <c r="A260" s="65"/>
      <c r="B260" s="65"/>
      <c r="C260" s="65"/>
      <c r="D260" s="65"/>
    </row>
    <row r="261" customFormat="false" ht="12.75" hidden="false" customHeight="false" outlineLevel="0" collapsed="false">
      <c r="A261" s="65"/>
      <c r="B261" s="65"/>
      <c r="C261" s="65"/>
      <c r="D261" s="65"/>
    </row>
    <row r="262" customFormat="false" ht="12.75" hidden="false" customHeight="false" outlineLevel="0" collapsed="false">
      <c r="A262" s="65"/>
      <c r="B262" s="65"/>
      <c r="C262" s="65"/>
      <c r="D262" s="65"/>
    </row>
    <row r="263" customFormat="false" ht="12.75" hidden="false" customHeight="false" outlineLevel="0" collapsed="false">
      <c r="A263" s="65"/>
      <c r="B263" s="65"/>
      <c r="C263" s="65"/>
      <c r="D263" s="65"/>
    </row>
    <row r="264" customFormat="false" ht="12.75" hidden="false" customHeight="false" outlineLevel="0" collapsed="false">
      <c r="A264" s="65"/>
      <c r="B264" s="65"/>
      <c r="C264" s="65"/>
      <c r="D264" s="65"/>
    </row>
    <row r="265" customFormat="false" ht="12.75" hidden="false" customHeight="false" outlineLevel="0" collapsed="false">
      <c r="A265" s="65"/>
      <c r="B265" s="65"/>
      <c r="C265" s="65"/>
      <c r="D265" s="65"/>
    </row>
    <row r="266" customFormat="false" ht="12.75" hidden="false" customHeight="false" outlineLevel="0" collapsed="false">
      <c r="A266" s="65"/>
      <c r="B266" s="65"/>
      <c r="C266" s="65"/>
      <c r="D266" s="65"/>
    </row>
    <row r="267" customFormat="false" ht="12.75" hidden="false" customHeight="false" outlineLevel="0" collapsed="false">
      <c r="A267" s="65"/>
      <c r="B267" s="65"/>
      <c r="C267" s="65"/>
      <c r="D267" s="65"/>
    </row>
    <row r="268" customFormat="false" ht="12.75" hidden="false" customHeight="false" outlineLevel="0" collapsed="false">
      <c r="A268" s="65"/>
      <c r="B268" s="65"/>
      <c r="C268" s="65"/>
      <c r="D268" s="65"/>
    </row>
    <row r="269" customFormat="false" ht="12.75" hidden="false" customHeight="false" outlineLevel="0" collapsed="false">
      <c r="A269" s="65"/>
      <c r="B269" s="65"/>
      <c r="C269" s="65"/>
      <c r="D269" s="65"/>
    </row>
    <row r="270" customFormat="false" ht="12.75" hidden="false" customHeight="false" outlineLevel="0" collapsed="false">
      <c r="A270" s="65"/>
      <c r="B270" s="65"/>
      <c r="C270" s="65"/>
      <c r="D270" s="65"/>
    </row>
    <row r="271" customFormat="false" ht="12.75" hidden="false" customHeight="false" outlineLevel="0" collapsed="false">
      <c r="A271" s="65"/>
      <c r="B271" s="65"/>
      <c r="C271" s="65"/>
      <c r="D271" s="65"/>
    </row>
    <row r="272" customFormat="false" ht="12.75" hidden="false" customHeight="false" outlineLevel="0" collapsed="false">
      <c r="A272" s="65"/>
      <c r="B272" s="65"/>
      <c r="C272" s="65"/>
      <c r="D272" s="65"/>
    </row>
    <row r="273" customFormat="false" ht="12.75" hidden="false" customHeight="false" outlineLevel="0" collapsed="false">
      <c r="A273" s="65"/>
      <c r="B273" s="65"/>
      <c r="C273" s="65"/>
      <c r="D273" s="65"/>
    </row>
    <row r="274" customFormat="false" ht="12.75" hidden="false" customHeight="false" outlineLevel="0" collapsed="false">
      <c r="A274" s="65"/>
      <c r="B274" s="65"/>
      <c r="C274" s="65"/>
      <c r="D274" s="65"/>
    </row>
    <row r="275" customFormat="false" ht="12.75" hidden="false" customHeight="false" outlineLevel="0" collapsed="false">
      <c r="A275" s="65"/>
      <c r="B275" s="65"/>
      <c r="C275" s="65"/>
      <c r="D275" s="65"/>
    </row>
    <row r="276" customFormat="false" ht="12.75" hidden="false" customHeight="false" outlineLevel="0" collapsed="false">
      <c r="A276" s="65"/>
      <c r="B276" s="65"/>
      <c r="C276" s="65"/>
      <c r="D276" s="65"/>
    </row>
    <row r="277" customFormat="false" ht="12.75" hidden="false" customHeight="false" outlineLevel="0" collapsed="false">
      <c r="A277" s="65"/>
      <c r="B277" s="65"/>
      <c r="C277" s="65"/>
      <c r="D277" s="65"/>
    </row>
    <row r="278" customFormat="false" ht="12.75" hidden="false" customHeight="false" outlineLevel="0" collapsed="false">
      <c r="A278" s="65"/>
      <c r="B278" s="65"/>
      <c r="C278" s="65"/>
      <c r="D278" s="65"/>
    </row>
    <row r="279" customFormat="false" ht="12.75" hidden="false" customHeight="false" outlineLevel="0" collapsed="false">
      <c r="A279" s="66" t="n">
        <v>45058</v>
      </c>
      <c r="B279" s="66"/>
      <c r="C279" s="66"/>
      <c r="D279" s="66"/>
    </row>
    <row r="280" customFormat="false" ht="12.75" hidden="false" customHeight="false" outlineLevel="0" collapsed="false">
      <c r="A280" s="67"/>
      <c r="B280" s="67"/>
      <c r="C280" s="67"/>
      <c r="D280" s="67"/>
    </row>
    <row r="281" customFormat="false" ht="12.75" hidden="false" customHeight="false" outlineLevel="0" collapsed="false">
      <c r="A281" s="67"/>
      <c r="B281" s="67"/>
      <c r="C281" s="67"/>
      <c r="D281" s="67"/>
    </row>
  </sheetData>
  <mergeCells count="52">
    <mergeCell ref="A1:D1"/>
    <mergeCell ref="B2:C2"/>
    <mergeCell ref="B3:C3"/>
    <mergeCell ref="B4:C4"/>
    <mergeCell ref="B5:C5"/>
    <mergeCell ref="B6:C6"/>
    <mergeCell ref="B7:C7"/>
    <mergeCell ref="B8:C8"/>
    <mergeCell ref="B9:C9"/>
    <mergeCell ref="B10:C10"/>
    <mergeCell ref="B11:C11"/>
    <mergeCell ref="A20:A21"/>
    <mergeCell ref="B20:B21"/>
    <mergeCell ref="A24:A25"/>
    <mergeCell ref="A30:D30"/>
    <mergeCell ref="A31:D97"/>
    <mergeCell ref="A98:D98"/>
    <mergeCell ref="A101:D101"/>
    <mergeCell ref="B102:C102"/>
    <mergeCell ref="B103:C103"/>
    <mergeCell ref="B104:C104"/>
    <mergeCell ref="B105:C105"/>
    <mergeCell ref="B106:C106"/>
    <mergeCell ref="B107:C107"/>
    <mergeCell ref="B108:C108"/>
    <mergeCell ref="B109:C109"/>
    <mergeCell ref="B110:C110"/>
    <mergeCell ref="B111:C111"/>
    <mergeCell ref="A120:A121"/>
    <mergeCell ref="B120:B121"/>
    <mergeCell ref="A124:A125"/>
    <mergeCell ref="A129:D129"/>
    <mergeCell ref="A130:D198"/>
    <mergeCell ref="A199:D199"/>
    <mergeCell ref="A200:D200"/>
    <mergeCell ref="A202:D202"/>
    <mergeCell ref="B203:C203"/>
    <mergeCell ref="B204:C204"/>
    <mergeCell ref="B205:C205"/>
    <mergeCell ref="B206:C206"/>
    <mergeCell ref="B207:C207"/>
    <mergeCell ref="B208:C208"/>
    <mergeCell ref="B209:C209"/>
    <mergeCell ref="B210:C210"/>
    <mergeCell ref="B211:C211"/>
    <mergeCell ref="B212:C212"/>
    <mergeCell ref="A221:A222"/>
    <mergeCell ref="B221:B222"/>
    <mergeCell ref="A225:A226"/>
    <mergeCell ref="A230:D230"/>
    <mergeCell ref="A231:D278"/>
    <mergeCell ref="A279:D279"/>
  </mergeCells>
  <printOptions headings="false" gridLines="false" gridLinesSet="true" horizontalCentered="false" verticalCentered="false"/>
  <pageMargins left="0.75" right="0.5" top="0.75" bottom="0.5" header="0" footer="0.3"/>
  <pageSetup paperSize="1" scale="84" fitToWidth="1" fitToHeight="1" pageOrder="downThenOver" orientation="portrait"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rowBreaks count="3" manualBreakCount="3">
    <brk id="29" man="true" max="16383" min="0"/>
    <brk id="99" man="true" max="16383" min="0"/>
    <brk id="128" man="true" max="16383" min="0"/>
  </rowBreak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05496"/>
    <pageSetUpPr fitToPage="false"/>
  </sheetPr>
  <dimension ref="A1:D13"/>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9375" defaultRowHeight="15" zeroHeight="false" outlineLevelRow="0" outlineLevelCol="0"/>
  <cols>
    <col collapsed="false" customWidth="true" hidden="false" outlineLevel="0" max="1" min="1" style="52" width="10"/>
    <col collapsed="false" customWidth="true" hidden="false" outlineLevel="0" max="2" min="2" style="52" width="70"/>
    <col collapsed="false" customWidth="true" hidden="false" outlineLevel="0" max="3" min="3" style="52" width="50"/>
    <col collapsed="false" customWidth="true" hidden="false" outlineLevel="0" max="4" min="4" style="52" width="8"/>
  </cols>
  <sheetData>
    <row r="1" customFormat="false" ht="15" hidden="false" customHeight="false" outlineLevel="0" collapsed="false">
      <c r="A1" s="72" t="s">
        <v>73</v>
      </c>
      <c r="B1" s="72"/>
      <c r="C1" s="72"/>
      <c r="D1" s="72"/>
    </row>
    <row r="3" customFormat="false" ht="15" hidden="false" customHeight="false" outlineLevel="0" collapsed="false">
      <c r="A3" s="73" t="s">
        <v>12</v>
      </c>
      <c r="B3" s="73" t="s">
        <v>74</v>
      </c>
      <c r="C3" s="73" t="s">
        <v>75</v>
      </c>
      <c r="D3" s="73" t="s">
        <v>28</v>
      </c>
    </row>
    <row r="4" customFormat="false" ht="15" hidden="false" customHeight="false" outlineLevel="0" collapsed="false">
      <c r="A4" s="74" t="n">
        <v>14312</v>
      </c>
      <c r="B4" s="75" t="s">
        <v>76</v>
      </c>
      <c r="C4" s="75" t="s">
        <v>77</v>
      </c>
      <c r="D4" s="76" t="n">
        <v>189</v>
      </c>
    </row>
    <row r="5" customFormat="false" ht="15" hidden="false" customHeight="false" outlineLevel="0" collapsed="false">
      <c r="A5" s="74" t="n">
        <v>14345</v>
      </c>
      <c r="B5" s="75" t="s">
        <v>78</v>
      </c>
      <c r="C5" s="75" t="s">
        <v>77</v>
      </c>
      <c r="D5" s="76" t="n">
        <v>205</v>
      </c>
    </row>
    <row r="6" customFormat="false" ht="15" hidden="false" customHeight="false" outlineLevel="0" collapsed="false">
      <c r="A6" s="74" t="n">
        <v>17110</v>
      </c>
      <c r="B6" s="75" t="s">
        <v>79</v>
      </c>
      <c r="C6" s="75" t="s">
        <v>77</v>
      </c>
      <c r="D6" s="76" t="n">
        <v>278</v>
      </c>
    </row>
    <row r="7" customFormat="false" ht="15" hidden="false" customHeight="false" outlineLevel="0" collapsed="false">
      <c r="A7" s="74" t="n">
        <v>17120</v>
      </c>
      <c r="B7" s="75" t="s">
        <v>80</v>
      </c>
      <c r="C7" s="75" t="s">
        <v>77</v>
      </c>
      <c r="D7" s="76" t="n">
        <v>298</v>
      </c>
    </row>
    <row r="8" customFormat="false" ht="15" hidden="false" customHeight="false" outlineLevel="0" collapsed="false">
      <c r="A8" s="74" t="n">
        <v>21451</v>
      </c>
      <c r="B8" s="75" t="s">
        <v>81</v>
      </c>
      <c r="C8" s="75" t="s">
        <v>82</v>
      </c>
      <c r="D8" s="76" t="n">
        <v>188</v>
      </c>
    </row>
    <row r="9" customFormat="false" ht="15" hidden="false" customHeight="false" outlineLevel="0" collapsed="false">
      <c r="A9" s="74" t="n">
        <v>21710</v>
      </c>
      <c r="B9" s="75" t="s">
        <v>83</v>
      </c>
      <c r="C9" s="75" t="s">
        <v>82</v>
      </c>
      <c r="D9" s="76" t="n">
        <v>195</v>
      </c>
    </row>
    <row r="10" customFormat="false" ht="15" hidden="false" customHeight="false" outlineLevel="0" collapsed="false">
      <c r="A10" s="74" t="n">
        <v>44112</v>
      </c>
      <c r="B10" s="75" t="s">
        <v>84</v>
      </c>
      <c r="C10" s="75" t="s">
        <v>85</v>
      </c>
      <c r="D10" s="76" t="n">
        <v>46</v>
      </c>
    </row>
    <row r="11" customFormat="false" ht="15" hidden="false" customHeight="false" outlineLevel="0" collapsed="false">
      <c r="A11" s="74" t="n">
        <v>45110</v>
      </c>
      <c r="B11" s="75" t="s">
        <v>86</v>
      </c>
      <c r="C11" s="75" t="s">
        <v>85</v>
      </c>
      <c r="D11" s="76" t="n">
        <v>50</v>
      </c>
    </row>
    <row r="12" customFormat="false" ht="15" hidden="false" customHeight="false" outlineLevel="0" collapsed="false">
      <c r="A12" s="74" t="n">
        <v>61072</v>
      </c>
      <c r="B12" s="75" t="s">
        <v>87</v>
      </c>
      <c r="C12" s="75" t="s">
        <v>88</v>
      </c>
      <c r="D12" s="76" t="n">
        <v>39</v>
      </c>
    </row>
    <row r="13" customFormat="false" ht="15" hidden="false" customHeight="false" outlineLevel="0" collapsed="false">
      <c r="A13" s="74" t="n">
        <v>61073</v>
      </c>
      <c r="B13" s="75" t="s">
        <v>89</v>
      </c>
      <c r="C13" s="75" t="s">
        <v>88</v>
      </c>
      <c r="D13" s="76" t="n">
        <v>39</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B1:AT2326"/>
  <sheetViews>
    <sheetView showFormulas="false" showGridLines="false" showRowColHeaders="true" showZeros="true" rightToLeft="false" tabSelected="false" showOutlineSymbols="true" defaultGridColor="true" view="pageBreakPreview" topLeftCell="A1" colorId="64" zoomScale="115" zoomScaleNormal="80" zoomScalePageLayoutView="115" workbookViewId="0">
      <selection pane="topLeft" activeCell="I42" activeCellId="0" sqref="I42"/>
    </sheetView>
  </sheetViews>
  <sheetFormatPr defaultColWidth="9.14453125" defaultRowHeight="12.8" zeroHeight="true" outlineLevelRow="0" outlineLevelCol="0"/>
  <cols>
    <col collapsed="false" customWidth="true" hidden="false" outlineLevel="0" max="1" min="1" style="77" width="1.71"/>
    <col collapsed="false" customWidth="true" hidden="false" outlineLevel="0" max="2" min="2" style="77" width="5.71"/>
    <col collapsed="false" customWidth="true" hidden="false" outlineLevel="0" max="3" min="3" style="77" width="35.71"/>
    <col collapsed="false" customWidth="true" hidden="false" outlineLevel="0" max="4" min="4" style="77" width="12.71"/>
    <col collapsed="false" customWidth="true" hidden="false" outlineLevel="0" max="5" min="5" style="77" width="64.71"/>
    <col collapsed="false" customWidth="true" hidden="false" outlineLevel="0" max="6" min="6" style="77" width="8.71"/>
    <col collapsed="false" customWidth="true" hidden="false" outlineLevel="0" max="7" min="7" style="77" width="5.71"/>
    <col collapsed="false" customWidth="true" hidden="false" outlineLevel="0" max="8" min="8" style="77" width="15.71"/>
    <col collapsed="false" customWidth="true" hidden="false" outlineLevel="0" max="9" min="9" style="77" width="44.71"/>
    <col collapsed="false" customWidth="true" hidden="false" outlineLevel="0" max="13" min="10" style="77" width="8.71"/>
    <col collapsed="false" customWidth="true" hidden="false" outlineLevel="0" max="39" min="14" style="77" width="5.71"/>
    <col collapsed="false" customWidth="true" hidden="false" outlineLevel="0" max="40" min="40" style="77" width="8.29"/>
    <col collapsed="false" customWidth="true" hidden="false" outlineLevel="0" max="41" min="41" style="77" width="7.57"/>
    <col collapsed="false" customWidth="true" hidden="false" outlineLevel="0" max="42" min="42" style="77" width="5.71"/>
    <col collapsed="false" customWidth="true" hidden="false" outlineLevel="0" max="43" min="43" style="77" width="8.71"/>
    <col collapsed="false" customWidth="true" hidden="false" outlineLevel="0" max="45" min="44" style="77" width="5.71"/>
    <col collapsed="false" customWidth="true" hidden="false" outlineLevel="0" max="47" min="46" style="77" width="1.71"/>
    <col collapsed="false" customWidth="false" hidden="false" outlineLevel="0" max="16384" min="48" style="77" width="9.14"/>
  </cols>
  <sheetData>
    <row r="1" customFormat="false" ht="12.75" hidden="false" customHeight="true" outlineLevel="0" collapsed="false">
      <c r="B1" s="78"/>
      <c r="C1" s="79"/>
      <c r="D1" s="80"/>
      <c r="E1" s="80"/>
      <c r="F1" s="80"/>
      <c r="G1" s="81"/>
      <c r="H1" s="82"/>
      <c r="I1" s="82"/>
      <c r="J1" s="82"/>
      <c r="K1" s="82"/>
      <c r="L1" s="82"/>
      <c r="M1" s="82"/>
      <c r="N1" s="82"/>
      <c r="O1" s="82"/>
      <c r="P1" s="82"/>
      <c r="Q1" s="82"/>
      <c r="R1" s="82"/>
      <c r="S1" s="82"/>
      <c r="T1" s="83"/>
      <c r="U1" s="84" t="s">
        <v>90</v>
      </c>
      <c r="V1" s="84"/>
      <c r="W1" s="84"/>
      <c r="X1" s="84"/>
      <c r="Y1" s="84"/>
      <c r="Z1" s="84"/>
      <c r="AA1" s="84"/>
      <c r="AB1" s="84"/>
      <c r="AC1" s="84"/>
      <c r="AD1" s="85" t="s">
        <v>91</v>
      </c>
      <c r="AE1" s="85"/>
      <c r="AF1" s="85"/>
      <c r="AG1" s="85"/>
      <c r="AH1" s="85"/>
      <c r="AI1" s="85"/>
      <c r="AJ1" s="85"/>
      <c r="AK1" s="85"/>
      <c r="AL1" s="85"/>
      <c r="AM1" s="85"/>
      <c r="AN1" s="86"/>
      <c r="AO1" s="87"/>
      <c r="AP1" s="88"/>
      <c r="AQ1" s="81"/>
      <c r="AR1" s="82"/>
      <c r="AS1" s="83"/>
      <c r="AT1" s="89"/>
    </row>
    <row r="2" customFormat="false" ht="12.75" hidden="false" customHeight="true" outlineLevel="0" collapsed="false">
      <c r="B2" s="90"/>
      <c r="C2" s="91"/>
      <c r="D2" s="92" t="s">
        <v>92</v>
      </c>
      <c r="E2" s="92"/>
      <c r="F2" s="92"/>
      <c r="G2" s="93"/>
      <c r="H2" s="94"/>
      <c r="I2" s="94"/>
      <c r="J2" s="94"/>
      <c r="K2" s="94"/>
      <c r="L2" s="94"/>
      <c r="M2" s="94"/>
      <c r="N2" s="94"/>
      <c r="O2" s="94"/>
      <c r="P2" s="94"/>
      <c r="Q2" s="94"/>
      <c r="R2" s="94"/>
      <c r="S2" s="94"/>
      <c r="T2" s="95"/>
      <c r="U2" s="96" t="s">
        <v>93</v>
      </c>
      <c r="V2" s="96"/>
      <c r="W2" s="97" t="s">
        <v>94</v>
      </c>
      <c r="X2" s="97"/>
      <c r="Y2" s="97" t="s">
        <v>95</v>
      </c>
      <c r="Z2" s="97" t="s">
        <v>96</v>
      </c>
      <c r="AA2" s="97"/>
      <c r="AB2" s="97" t="s">
        <v>97</v>
      </c>
      <c r="AC2" s="97"/>
      <c r="AD2" s="97" t="s">
        <v>93</v>
      </c>
      <c r="AE2" s="97"/>
      <c r="AF2" s="97" t="s">
        <v>94</v>
      </c>
      <c r="AG2" s="97"/>
      <c r="AH2" s="97" t="s">
        <v>95</v>
      </c>
      <c r="AI2" s="97"/>
      <c r="AJ2" s="97" t="s">
        <v>96</v>
      </c>
      <c r="AK2" s="97"/>
      <c r="AL2" s="97" t="s">
        <v>97</v>
      </c>
      <c r="AM2" s="97"/>
      <c r="AN2" s="97" t="s">
        <v>98</v>
      </c>
      <c r="AO2" s="98" t="s">
        <v>99</v>
      </c>
      <c r="AP2" s="99"/>
      <c r="AQ2" s="93"/>
      <c r="AR2" s="94"/>
      <c r="AS2" s="95"/>
      <c r="AT2" s="100"/>
    </row>
    <row r="3" customFormat="false" ht="30" hidden="false" customHeight="true" outlineLevel="0" collapsed="false">
      <c r="B3" s="101" t="s">
        <v>100</v>
      </c>
      <c r="C3" s="102" t="s">
        <v>101</v>
      </c>
      <c r="D3" s="103" t="s">
        <v>12</v>
      </c>
      <c r="E3" s="103" t="s">
        <v>102</v>
      </c>
      <c r="F3" s="103" t="s">
        <v>99</v>
      </c>
      <c r="G3" s="104" t="s">
        <v>103</v>
      </c>
      <c r="H3" s="104" t="s">
        <v>104</v>
      </c>
      <c r="I3" s="104" t="s">
        <v>105</v>
      </c>
      <c r="J3" s="104" t="s">
        <v>106</v>
      </c>
      <c r="K3" s="104" t="s">
        <v>107</v>
      </c>
      <c r="L3" s="104" t="s">
        <v>108</v>
      </c>
      <c r="M3" s="104" t="s">
        <v>109</v>
      </c>
      <c r="N3" s="104" t="s">
        <v>110</v>
      </c>
      <c r="O3" s="104" t="s">
        <v>111</v>
      </c>
      <c r="P3" s="104" t="s">
        <v>112</v>
      </c>
      <c r="Q3" s="104" t="s">
        <v>113</v>
      </c>
      <c r="R3" s="104" t="s">
        <v>114</v>
      </c>
      <c r="S3" s="104" t="s">
        <v>115</v>
      </c>
      <c r="T3" s="105" t="s">
        <v>116</v>
      </c>
      <c r="U3" s="106" t="s">
        <v>117</v>
      </c>
      <c r="V3" s="107" t="s">
        <v>118</v>
      </c>
      <c r="W3" s="107" t="s">
        <v>117</v>
      </c>
      <c r="X3" s="107" t="s">
        <v>118</v>
      </c>
      <c r="Y3" s="108"/>
      <c r="Z3" s="107" t="s">
        <v>117</v>
      </c>
      <c r="AA3" s="107" t="s">
        <v>118</v>
      </c>
      <c r="AB3" s="107" t="s">
        <v>117</v>
      </c>
      <c r="AC3" s="107" t="s">
        <v>118</v>
      </c>
      <c r="AD3" s="107" t="s">
        <v>117</v>
      </c>
      <c r="AE3" s="107" t="s">
        <v>118</v>
      </c>
      <c r="AF3" s="107" t="s">
        <v>117</v>
      </c>
      <c r="AG3" s="107" t="s">
        <v>118</v>
      </c>
      <c r="AH3" s="107" t="s">
        <v>119</v>
      </c>
      <c r="AI3" s="107" t="s">
        <v>120</v>
      </c>
      <c r="AJ3" s="107" t="s">
        <v>117</v>
      </c>
      <c r="AK3" s="107" t="s">
        <v>118</v>
      </c>
      <c r="AL3" s="107" t="s">
        <v>117</v>
      </c>
      <c r="AM3" s="107" t="s">
        <v>118</v>
      </c>
      <c r="AN3" s="109"/>
      <c r="AO3" s="110"/>
      <c r="AP3" s="111" t="s">
        <v>121</v>
      </c>
      <c r="AQ3" s="112" t="s">
        <v>122</v>
      </c>
      <c r="AR3" s="104" t="s">
        <v>123</v>
      </c>
      <c r="AS3" s="105" t="s">
        <v>124</v>
      </c>
      <c r="AT3" s="113"/>
    </row>
    <row r="4" customFormat="false" ht="13.5" hidden="false" customHeight="true" outlineLevel="0" collapsed="false">
      <c r="B4" s="114" t="n">
        <v>1</v>
      </c>
      <c r="C4" s="115" t="s">
        <v>125</v>
      </c>
      <c r="D4" s="116" t="n">
        <v>61072</v>
      </c>
      <c r="E4" s="116"/>
      <c r="F4" s="117" t="str">
        <f aca="false">LEFT(H4,6)</f>
        <v>M28261</v>
      </c>
      <c r="G4" s="118" t="s">
        <v>58</v>
      </c>
      <c r="H4" s="118" t="s">
        <v>126</v>
      </c>
      <c r="I4" s="118" t="s">
        <v>127</v>
      </c>
      <c r="J4" s="119"/>
      <c r="K4" s="119"/>
      <c r="L4" s="119"/>
      <c r="M4" s="119"/>
      <c r="N4" s="119"/>
      <c r="O4" s="119"/>
      <c r="P4" s="119"/>
      <c r="Q4" s="119"/>
      <c r="R4" s="119"/>
      <c r="S4" s="119"/>
      <c r="T4" s="119"/>
      <c r="U4" s="120" t="n">
        <v>0</v>
      </c>
      <c r="V4" s="120" t="n">
        <v>0</v>
      </c>
      <c r="W4" s="120" t="n">
        <v>0</v>
      </c>
      <c r="X4" s="120" t="n">
        <v>0</v>
      </c>
      <c r="Y4" s="120" t="n">
        <v>0</v>
      </c>
      <c r="Z4" s="120" t="n">
        <v>0</v>
      </c>
      <c r="AA4" s="120" t="n">
        <v>0</v>
      </c>
      <c r="AB4" s="120" t="n">
        <v>0</v>
      </c>
      <c r="AC4" s="120" t="n">
        <v>0</v>
      </c>
      <c r="AD4" s="120" t="n">
        <v>0</v>
      </c>
      <c r="AE4" s="120" t="n">
        <v>0</v>
      </c>
      <c r="AF4" s="120" t="n">
        <v>0</v>
      </c>
      <c r="AG4" s="120" t="n">
        <v>0</v>
      </c>
      <c r="AH4" s="120" t="n">
        <v>0</v>
      </c>
      <c r="AI4" s="120" t="n">
        <v>0</v>
      </c>
      <c r="AJ4" s="120" t="n">
        <v>0</v>
      </c>
      <c r="AK4" s="120" t="n">
        <v>0</v>
      </c>
      <c r="AL4" s="120" t="n">
        <v>0</v>
      </c>
      <c r="AM4" s="120" t="n">
        <v>0</v>
      </c>
      <c r="AN4" s="119"/>
      <c r="AO4" s="119"/>
      <c r="AP4" s="119"/>
      <c r="AQ4" s="119"/>
      <c r="AR4" s="119"/>
      <c r="AS4" s="119"/>
      <c r="AT4" s="121"/>
    </row>
    <row r="5" customFormat="false" ht="12.75" hidden="false" customHeight="true" outlineLevel="0" collapsed="false">
      <c r="B5" s="122" t="n">
        <f aca="false">B4+1</f>
        <v>2</v>
      </c>
      <c r="C5" s="123" t="s">
        <v>125</v>
      </c>
      <c r="D5" s="124" t="n">
        <v>61072</v>
      </c>
      <c r="E5" s="124" t="str">
        <f aca="false">IF(D5="","",IFERROR(VLOOKUP(D5,CCN_Library!$A$4:$B$13,2,FALSE()),"NOT IN LIBRARY"))</f>
        <v>BATTALION/SQUADRON HEADQUARTERS, MARINE CORPS</v>
      </c>
      <c r="F5" s="125" t="str">
        <f aca="false">LEFT(H5,6)</f>
        <v>M28261</v>
      </c>
      <c r="G5" s="126" t="s">
        <v>128</v>
      </c>
      <c r="H5" s="126" t="s">
        <v>129</v>
      </c>
      <c r="I5" s="126" t="s">
        <v>130</v>
      </c>
      <c r="J5" s="126" t="s">
        <v>131</v>
      </c>
      <c r="K5" s="127" t="s">
        <v>132</v>
      </c>
      <c r="L5" s="126" t="s">
        <v>132</v>
      </c>
      <c r="M5" s="126" t="s">
        <v>133</v>
      </c>
      <c r="N5" s="126" t="s">
        <v>134</v>
      </c>
      <c r="O5" s="126" t="s">
        <v>135</v>
      </c>
      <c r="P5" s="126" t="s">
        <v>135</v>
      </c>
      <c r="Q5" s="128"/>
      <c r="R5" s="126" t="s">
        <v>136</v>
      </c>
      <c r="S5" s="126" t="s">
        <v>137</v>
      </c>
      <c r="T5" s="128"/>
      <c r="U5" s="129" t="n">
        <v>0</v>
      </c>
      <c r="V5" s="129" t="n">
        <v>0</v>
      </c>
      <c r="W5" s="129" t="n">
        <v>0</v>
      </c>
      <c r="X5" s="129" t="n">
        <v>0</v>
      </c>
      <c r="Y5" s="129" t="n">
        <v>0</v>
      </c>
      <c r="Z5" s="129" t="n">
        <v>1</v>
      </c>
      <c r="AA5" s="129" t="n">
        <v>0</v>
      </c>
      <c r="AB5" s="129" t="n">
        <v>0</v>
      </c>
      <c r="AC5" s="129" t="n">
        <v>0</v>
      </c>
      <c r="AD5" s="129" t="n">
        <v>0</v>
      </c>
      <c r="AE5" s="129" t="n">
        <v>0</v>
      </c>
      <c r="AF5" s="129" t="n">
        <v>0</v>
      </c>
      <c r="AG5" s="129" t="n">
        <v>0</v>
      </c>
      <c r="AH5" s="129" t="n">
        <v>0</v>
      </c>
      <c r="AI5" s="129" t="n">
        <v>0</v>
      </c>
      <c r="AJ5" s="129" t="n">
        <v>0</v>
      </c>
      <c r="AK5" s="129" t="n">
        <v>0</v>
      </c>
      <c r="AL5" s="129" t="n">
        <v>0</v>
      </c>
      <c r="AM5" s="129" t="n">
        <v>0</v>
      </c>
      <c r="AN5" s="128"/>
      <c r="AO5" s="128"/>
      <c r="AP5" s="126" t="s">
        <v>138</v>
      </c>
      <c r="AQ5" s="126" t="s">
        <v>139</v>
      </c>
      <c r="AR5" s="126" t="s">
        <v>140</v>
      </c>
      <c r="AS5" s="128"/>
      <c r="AT5" s="130"/>
    </row>
    <row r="6" customFormat="false" ht="12.75" hidden="false" customHeight="true" outlineLevel="0" collapsed="false">
      <c r="B6" s="122" t="n">
        <f aca="false">B5+1</f>
        <v>3</v>
      </c>
      <c r="C6" s="123" t="s">
        <v>125</v>
      </c>
      <c r="D6" s="124" t="n">
        <v>61072</v>
      </c>
      <c r="E6" s="124" t="str">
        <f aca="false">IF(D6="","",IFERROR(VLOOKUP(D6,CCN_Library!$A$4:$B$13,2,FALSE()),"NOT IN LIBRARY"))</f>
        <v>BATTALION/SQUADRON HEADQUARTERS, MARINE CORPS</v>
      </c>
      <c r="F6" s="125" t="str">
        <f aca="false">LEFT(H6,6)</f>
        <v>M28261</v>
      </c>
      <c r="G6" s="126" t="s">
        <v>128</v>
      </c>
      <c r="H6" s="126" t="s">
        <v>141</v>
      </c>
      <c r="I6" s="126" t="s">
        <v>142</v>
      </c>
      <c r="J6" s="126" t="s">
        <v>143</v>
      </c>
      <c r="K6" s="127" t="s">
        <v>132</v>
      </c>
      <c r="L6" s="126" t="s">
        <v>132</v>
      </c>
      <c r="M6" s="126" t="s">
        <v>133</v>
      </c>
      <c r="N6" s="126" t="s">
        <v>134</v>
      </c>
      <c r="O6" s="126" t="s">
        <v>135</v>
      </c>
      <c r="P6" s="126" t="s">
        <v>135</v>
      </c>
      <c r="Q6" s="128"/>
      <c r="R6" s="126" t="s">
        <v>136</v>
      </c>
      <c r="S6" s="126" t="s">
        <v>137</v>
      </c>
      <c r="T6" s="128"/>
      <c r="U6" s="129" t="n">
        <v>0</v>
      </c>
      <c r="V6" s="129" t="n">
        <v>0</v>
      </c>
      <c r="W6" s="129" t="n">
        <v>0</v>
      </c>
      <c r="X6" s="129" t="n">
        <v>0</v>
      </c>
      <c r="Y6" s="129" t="n">
        <v>0</v>
      </c>
      <c r="Z6" s="129" t="n">
        <v>1</v>
      </c>
      <c r="AA6" s="129" t="n">
        <v>0</v>
      </c>
      <c r="AB6" s="129" t="n">
        <v>0</v>
      </c>
      <c r="AC6" s="129" t="n">
        <v>0</v>
      </c>
      <c r="AD6" s="129" t="n">
        <v>0</v>
      </c>
      <c r="AE6" s="129" t="n">
        <v>0</v>
      </c>
      <c r="AF6" s="129" t="n">
        <v>0</v>
      </c>
      <c r="AG6" s="129" t="n">
        <v>0</v>
      </c>
      <c r="AH6" s="129" t="n">
        <v>0</v>
      </c>
      <c r="AI6" s="129" t="n">
        <v>0</v>
      </c>
      <c r="AJ6" s="129" t="n">
        <v>0</v>
      </c>
      <c r="AK6" s="129" t="n">
        <v>0</v>
      </c>
      <c r="AL6" s="129" t="n">
        <v>0</v>
      </c>
      <c r="AM6" s="129" t="n">
        <v>0</v>
      </c>
      <c r="AN6" s="128"/>
      <c r="AO6" s="128"/>
      <c r="AP6" s="126" t="s">
        <v>138</v>
      </c>
      <c r="AQ6" s="126" t="s">
        <v>139</v>
      </c>
      <c r="AR6" s="126" t="s">
        <v>140</v>
      </c>
      <c r="AS6" s="128"/>
      <c r="AT6" s="130"/>
    </row>
    <row r="7" customFormat="false" ht="12.75" hidden="false" customHeight="true" outlineLevel="0" collapsed="false">
      <c r="B7" s="122" t="n">
        <f aca="false">B6+1</f>
        <v>4</v>
      </c>
      <c r="C7" s="123" t="s">
        <v>125</v>
      </c>
      <c r="D7" s="124" t="n">
        <v>61072</v>
      </c>
      <c r="E7" s="124" t="str">
        <f aca="false">IF(D7="","",IFERROR(VLOOKUP(D7,CCN_Library!$A$4:$B$13,2,FALSE()),"NOT IN LIBRARY"))</f>
        <v>BATTALION/SQUADRON HEADQUARTERS, MARINE CORPS</v>
      </c>
      <c r="F7" s="125" t="str">
        <f aca="false">LEFT(H7,6)</f>
        <v>M28261</v>
      </c>
      <c r="G7" s="126" t="s">
        <v>128</v>
      </c>
      <c r="H7" s="126" t="s">
        <v>144</v>
      </c>
      <c r="I7" s="126" t="s">
        <v>145</v>
      </c>
      <c r="J7" s="126" t="s">
        <v>146</v>
      </c>
      <c r="K7" s="127" t="s">
        <v>147</v>
      </c>
      <c r="L7" s="126" t="s">
        <v>147</v>
      </c>
      <c r="M7" s="126" t="s">
        <v>148</v>
      </c>
      <c r="N7" s="126" t="s">
        <v>134</v>
      </c>
      <c r="O7" s="126" t="s">
        <v>135</v>
      </c>
      <c r="P7" s="126" t="s">
        <v>135</v>
      </c>
      <c r="Q7" s="128"/>
      <c r="R7" s="126" t="s">
        <v>136</v>
      </c>
      <c r="S7" s="126" t="s">
        <v>58</v>
      </c>
      <c r="T7" s="128"/>
      <c r="U7" s="129" t="n">
        <v>1</v>
      </c>
      <c r="V7" s="129" t="n">
        <v>0</v>
      </c>
      <c r="W7" s="129" t="n">
        <v>0</v>
      </c>
      <c r="X7" s="129" t="n">
        <v>0</v>
      </c>
      <c r="Y7" s="129" t="n">
        <v>0</v>
      </c>
      <c r="Z7" s="129" t="n">
        <v>0</v>
      </c>
      <c r="AA7" s="129" t="n">
        <v>0</v>
      </c>
      <c r="AB7" s="129" t="n">
        <v>0</v>
      </c>
      <c r="AC7" s="129" t="n">
        <v>0</v>
      </c>
      <c r="AD7" s="129" t="n">
        <v>0</v>
      </c>
      <c r="AE7" s="129" t="n">
        <v>0</v>
      </c>
      <c r="AF7" s="129" t="n">
        <v>0</v>
      </c>
      <c r="AG7" s="129" t="n">
        <v>0</v>
      </c>
      <c r="AH7" s="129" t="n">
        <v>0</v>
      </c>
      <c r="AI7" s="129" t="n">
        <v>0</v>
      </c>
      <c r="AJ7" s="129" t="n">
        <v>0</v>
      </c>
      <c r="AK7" s="129" t="n">
        <v>0</v>
      </c>
      <c r="AL7" s="129" t="n">
        <v>0</v>
      </c>
      <c r="AM7" s="129" t="n">
        <v>0</v>
      </c>
      <c r="AN7" s="128"/>
      <c r="AO7" s="128"/>
      <c r="AP7" s="126" t="s">
        <v>138</v>
      </c>
      <c r="AQ7" s="126" t="s">
        <v>139</v>
      </c>
      <c r="AR7" s="126" t="s">
        <v>140</v>
      </c>
      <c r="AS7" s="128"/>
      <c r="AT7" s="130"/>
    </row>
    <row r="8" customFormat="false" ht="12.75" hidden="false" customHeight="true" outlineLevel="0" collapsed="false">
      <c r="B8" s="122" t="n">
        <f aca="false">B7+1</f>
        <v>5</v>
      </c>
      <c r="C8" s="123" t="s">
        <v>125</v>
      </c>
      <c r="D8" s="124" t="n">
        <v>61072</v>
      </c>
      <c r="E8" s="124" t="str">
        <f aca="false">IF(D8="","",IFERROR(VLOOKUP(D8,CCN_Library!$A$4:$B$13,2,FALSE()),"NOT IN LIBRARY"))</f>
        <v>BATTALION/SQUADRON HEADQUARTERS, MARINE CORPS</v>
      </c>
      <c r="F8" s="125" t="str">
        <f aca="false">LEFT(H8,6)</f>
        <v>M28261</v>
      </c>
      <c r="G8" s="126" t="s">
        <v>128</v>
      </c>
      <c r="H8" s="126" t="s">
        <v>149</v>
      </c>
      <c r="I8" s="126" t="s">
        <v>150</v>
      </c>
      <c r="J8" s="126" t="s">
        <v>131</v>
      </c>
      <c r="K8" s="127" t="s">
        <v>151</v>
      </c>
      <c r="L8" s="126" t="s">
        <v>151</v>
      </c>
      <c r="M8" s="126" t="s">
        <v>133</v>
      </c>
      <c r="N8" s="126" t="s">
        <v>134</v>
      </c>
      <c r="O8" s="126" t="s">
        <v>135</v>
      </c>
      <c r="P8" s="126" t="s">
        <v>135</v>
      </c>
      <c r="Q8" s="128"/>
      <c r="R8" s="126" t="s">
        <v>136</v>
      </c>
      <c r="S8" s="126" t="s">
        <v>137</v>
      </c>
      <c r="T8" s="128"/>
      <c r="U8" s="129" t="n">
        <v>0</v>
      </c>
      <c r="V8" s="129" t="n">
        <v>0</v>
      </c>
      <c r="W8" s="129" t="n">
        <v>0</v>
      </c>
      <c r="X8" s="129" t="n">
        <v>0</v>
      </c>
      <c r="Y8" s="129" t="n">
        <v>0</v>
      </c>
      <c r="Z8" s="129" t="n">
        <v>1</v>
      </c>
      <c r="AA8" s="129" t="n">
        <v>0</v>
      </c>
      <c r="AB8" s="129" t="n">
        <v>0</v>
      </c>
      <c r="AC8" s="129" t="n">
        <v>0</v>
      </c>
      <c r="AD8" s="129" t="n">
        <v>0</v>
      </c>
      <c r="AE8" s="129" t="n">
        <v>0</v>
      </c>
      <c r="AF8" s="129" t="n">
        <v>0</v>
      </c>
      <c r="AG8" s="129" t="n">
        <v>0</v>
      </c>
      <c r="AH8" s="129" t="n">
        <v>0</v>
      </c>
      <c r="AI8" s="129" t="n">
        <v>0</v>
      </c>
      <c r="AJ8" s="129" t="n">
        <v>0</v>
      </c>
      <c r="AK8" s="129" t="n">
        <v>0</v>
      </c>
      <c r="AL8" s="129" t="n">
        <v>0</v>
      </c>
      <c r="AM8" s="129" t="n">
        <v>0</v>
      </c>
      <c r="AN8" s="128"/>
      <c r="AO8" s="128"/>
      <c r="AP8" s="126" t="s">
        <v>138</v>
      </c>
      <c r="AQ8" s="126" t="s">
        <v>139</v>
      </c>
      <c r="AR8" s="126" t="s">
        <v>140</v>
      </c>
      <c r="AS8" s="126" t="s">
        <v>152</v>
      </c>
      <c r="AT8" s="130"/>
    </row>
    <row r="9" customFormat="false" ht="12.75" hidden="false" customHeight="true" outlineLevel="0" collapsed="false">
      <c r="B9" s="122" t="n">
        <f aca="false">B8+1</f>
        <v>6</v>
      </c>
      <c r="C9" s="123" t="s">
        <v>125</v>
      </c>
      <c r="D9" s="124" t="n">
        <v>61072</v>
      </c>
      <c r="E9" s="124" t="str">
        <f aca="false">IF(D9="","",IFERROR(VLOOKUP(D9,CCN_Library!$A$4:$B$13,2,FALSE()),"NOT IN LIBRARY"))</f>
        <v>BATTALION/SQUADRON HEADQUARTERS, MARINE CORPS</v>
      </c>
      <c r="F9" s="125" t="str">
        <f aca="false">LEFT(H9,6)</f>
        <v>M28261</v>
      </c>
      <c r="G9" s="126" t="s">
        <v>128</v>
      </c>
      <c r="H9" s="126" t="s">
        <v>153</v>
      </c>
      <c r="I9" s="126" t="s">
        <v>154</v>
      </c>
      <c r="J9" s="126" t="s">
        <v>155</v>
      </c>
      <c r="K9" s="127" t="s">
        <v>156</v>
      </c>
      <c r="L9" s="126" t="s">
        <v>156</v>
      </c>
      <c r="M9" s="126" t="s">
        <v>133</v>
      </c>
      <c r="N9" s="126" t="s">
        <v>128</v>
      </c>
      <c r="O9" s="126" t="s">
        <v>135</v>
      </c>
      <c r="P9" s="126" t="s">
        <v>135</v>
      </c>
      <c r="Q9" s="128"/>
      <c r="R9" s="126" t="s">
        <v>136</v>
      </c>
      <c r="S9" s="126" t="s">
        <v>137</v>
      </c>
      <c r="T9" s="128"/>
      <c r="U9" s="129" t="n">
        <v>0</v>
      </c>
      <c r="V9" s="129" t="n">
        <v>0</v>
      </c>
      <c r="W9" s="129" t="n">
        <v>0</v>
      </c>
      <c r="X9" s="129" t="n">
        <v>0</v>
      </c>
      <c r="Y9" s="129" t="n">
        <v>0</v>
      </c>
      <c r="Z9" s="129" t="n">
        <v>0</v>
      </c>
      <c r="AA9" s="129" t="n">
        <v>1</v>
      </c>
      <c r="AB9" s="129" t="n">
        <v>0</v>
      </c>
      <c r="AC9" s="129" t="n">
        <v>0</v>
      </c>
      <c r="AD9" s="129" t="n">
        <v>0</v>
      </c>
      <c r="AE9" s="129" t="n">
        <v>0</v>
      </c>
      <c r="AF9" s="129" t="n">
        <v>0</v>
      </c>
      <c r="AG9" s="129" t="n">
        <v>0</v>
      </c>
      <c r="AH9" s="129" t="n">
        <v>0</v>
      </c>
      <c r="AI9" s="129" t="n">
        <v>0</v>
      </c>
      <c r="AJ9" s="129" t="n">
        <v>0</v>
      </c>
      <c r="AK9" s="129" t="n">
        <v>0</v>
      </c>
      <c r="AL9" s="129" t="n">
        <v>0</v>
      </c>
      <c r="AM9" s="129" t="n">
        <v>0</v>
      </c>
      <c r="AN9" s="128"/>
      <c r="AO9" s="128"/>
      <c r="AP9" s="126" t="s">
        <v>138</v>
      </c>
      <c r="AQ9" s="126" t="s">
        <v>139</v>
      </c>
      <c r="AR9" s="126" t="s">
        <v>140</v>
      </c>
      <c r="AS9" s="128"/>
      <c r="AT9" s="130"/>
    </row>
    <row r="10" customFormat="false" ht="12.75" hidden="false" customHeight="true" outlineLevel="0" collapsed="false">
      <c r="B10" s="122" t="n">
        <f aca="false">B9+1</f>
        <v>7</v>
      </c>
      <c r="C10" s="123" t="s">
        <v>157</v>
      </c>
      <c r="D10" s="124" t="n">
        <v>61072</v>
      </c>
      <c r="E10" s="124" t="str">
        <f aca="false">IF(D10="","",IFERROR(VLOOKUP(D10,CCN_Library!$A$4:$B$13,2,FALSE()),"NOT IN LIBRARY"))</f>
        <v>BATTALION/SQUADRON HEADQUARTERS, MARINE CORPS</v>
      </c>
      <c r="F10" s="125" t="str">
        <f aca="false">LEFT(H10,6)</f>
        <v>M28261</v>
      </c>
      <c r="G10" s="126" t="s">
        <v>128</v>
      </c>
      <c r="H10" s="126" t="s">
        <v>158</v>
      </c>
      <c r="I10" s="126" t="s">
        <v>159</v>
      </c>
      <c r="J10" s="126" t="s">
        <v>160</v>
      </c>
      <c r="K10" s="127" t="s">
        <v>161</v>
      </c>
      <c r="L10" s="126" t="s">
        <v>161</v>
      </c>
      <c r="M10" s="126" t="s">
        <v>133</v>
      </c>
      <c r="N10" s="126" t="s">
        <v>128</v>
      </c>
      <c r="O10" s="126" t="s">
        <v>135</v>
      </c>
      <c r="P10" s="126" t="s">
        <v>135</v>
      </c>
      <c r="Q10" s="128"/>
      <c r="R10" s="126" t="s">
        <v>136</v>
      </c>
      <c r="S10" s="126" t="s">
        <v>58</v>
      </c>
      <c r="T10" s="128"/>
      <c r="U10" s="129" t="n">
        <v>0</v>
      </c>
      <c r="V10" s="129" t="n">
        <v>0</v>
      </c>
      <c r="W10" s="129" t="n">
        <v>0</v>
      </c>
      <c r="X10" s="129" t="n">
        <v>0</v>
      </c>
      <c r="Y10" s="129" t="n">
        <v>0</v>
      </c>
      <c r="Z10" s="129" t="n">
        <v>0</v>
      </c>
      <c r="AA10" s="129" t="n">
        <v>1</v>
      </c>
      <c r="AB10" s="129" t="n">
        <v>0</v>
      </c>
      <c r="AC10" s="129" t="n">
        <v>0</v>
      </c>
      <c r="AD10" s="129" t="n">
        <v>0</v>
      </c>
      <c r="AE10" s="129" t="n">
        <v>0</v>
      </c>
      <c r="AF10" s="129" t="n">
        <v>0</v>
      </c>
      <c r="AG10" s="129" t="n">
        <v>0</v>
      </c>
      <c r="AH10" s="129" t="n">
        <v>0</v>
      </c>
      <c r="AI10" s="129" t="n">
        <v>0</v>
      </c>
      <c r="AJ10" s="129" t="n">
        <v>0</v>
      </c>
      <c r="AK10" s="129" t="n">
        <v>0</v>
      </c>
      <c r="AL10" s="129" t="n">
        <v>0</v>
      </c>
      <c r="AM10" s="129" t="n">
        <v>0</v>
      </c>
      <c r="AN10" s="128"/>
      <c r="AO10" s="128"/>
      <c r="AP10" s="126" t="s">
        <v>138</v>
      </c>
      <c r="AQ10" s="126" t="s">
        <v>139</v>
      </c>
      <c r="AR10" s="126" t="s">
        <v>140</v>
      </c>
      <c r="AS10" s="128"/>
      <c r="AT10" s="130"/>
    </row>
    <row r="11" customFormat="false" ht="12.75" hidden="false" customHeight="true" outlineLevel="0" collapsed="false">
      <c r="B11" s="131" t="n">
        <f aca="false">B10+1</f>
        <v>8</v>
      </c>
      <c r="C11" s="132" t="s">
        <v>162</v>
      </c>
      <c r="D11" s="133" t="n">
        <v>61073</v>
      </c>
      <c r="E11" s="133"/>
      <c r="F11" s="134" t="str">
        <f aca="false">LEFT(H11,6)</f>
        <v>M28261</v>
      </c>
      <c r="G11" s="135" t="s">
        <v>58</v>
      </c>
      <c r="H11" s="135" t="s">
        <v>163</v>
      </c>
      <c r="I11" s="135" t="s">
        <v>164</v>
      </c>
      <c r="J11" s="136"/>
      <c r="K11" s="136"/>
      <c r="L11" s="136"/>
      <c r="M11" s="136"/>
      <c r="N11" s="136"/>
      <c r="O11" s="136"/>
      <c r="P11" s="136"/>
      <c r="Q11" s="136"/>
      <c r="R11" s="136"/>
      <c r="S11" s="136"/>
      <c r="T11" s="136"/>
      <c r="U11" s="137" t="n">
        <v>0</v>
      </c>
      <c r="V11" s="137" t="n">
        <v>0</v>
      </c>
      <c r="W11" s="137" t="n">
        <v>0</v>
      </c>
      <c r="X11" s="137" t="n">
        <v>0</v>
      </c>
      <c r="Y11" s="137" t="n">
        <v>0</v>
      </c>
      <c r="Z11" s="137" t="n">
        <v>0</v>
      </c>
      <c r="AA11" s="137" t="n">
        <v>0</v>
      </c>
      <c r="AB11" s="137" t="n">
        <v>0</v>
      </c>
      <c r="AC11" s="137" t="n">
        <v>0</v>
      </c>
      <c r="AD11" s="137" t="n">
        <v>0</v>
      </c>
      <c r="AE11" s="137" t="n">
        <v>0</v>
      </c>
      <c r="AF11" s="137" t="n">
        <v>0</v>
      </c>
      <c r="AG11" s="137" t="n">
        <v>0</v>
      </c>
      <c r="AH11" s="137" t="n">
        <v>0</v>
      </c>
      <c r="AI11" s="137" t="n">
        <v>0</v>
      </c>
      <c r="AJ11" s="137" t="n">
        <v>0</v>
      </c>
      <c r="AK11" s="137" t="n">
        <v>0</v>
      </c>
      <c r="AL11" s="137" t="n">
        <v>0</v>
      </c>
      <c r="AM11" s="137" t="n">
        <v>0</v>
      </c>
      <c r="AN11" s="136"/>
      <c r="AO11" s="136"/>
      <c r="AP11" s="136"/>
      <c r="AQ11" s="136"/>
      <c r="AR11" s="136"/>
      <c r="AS11" s="136"/>
      <c r="AT11" s="138"/>
    </row>
    <row r="12" customFormat="false" ht="12.75" hidden="false" customHeight="true" outlineLevel="0" collapsed="false">
      <c r="B12" s="122" t="n">
        <f aca="false">B11+1</f>
        <v>9</v>
      </c>
      <c r="C12" s="123" t="s">
        <v>162</v>
      </c>
      <c r="D12" s="124" t="n">
        <v>61073</v>
      </c>
      <c r="E12" s="124" t="str">
        <f aca="false">IF(D12="","",IFERROR(VLOOKUP(D12,CCN_Library!$A$4:$B$13,2,FALSE()),"NOT IN LIBRARY"))</f>
        <v>COMPANY/BATTERY HEADQUARTERS, MARINE CORPS</v>
      </c>
      <c r="F12" s="125" t="str">
        <f aca="false">LEFT(H12,6)</f>
        <v>M28261</v>
      </c>
      <c r="G12" s="126" t="s">
        <v>128</v>
      </c>
      <c r="H12" s="126" t="s">
        <v>165</v>
      </c>
      <c r="I12" s="126" t="s">
        <v>166</v>
      </c>
      <c r="J12" s="126" t="s">
        <v>131</v>
      </c>
      <c r="K12" s="127" t="s">
        <v>167</v>
      </c>
      <c r="L12" s="126" t="s">
        <v>167</v>
      </c>
      <c r="M12" s="126" t="s">
        <v>148</v>
      </c>
      <c r="N12" s="126" t="s">
        <v>134</v>
      </c>
      <c r="O12" s="126" t="s">
        <v>135</v>
      </c>
      <c r="P12" s="126" t="s">
        <v>135</v>
      </c>
      <c r="Q12" s="128"/>
      <c r="R12" s="126" t="s">
        <v>136</v>
      </c>
      <c r="S12" s="126" t="s">
        <v>58</v>
      </c>
      <c r="T12" s="128"/>
      <c r="U12" s="129" t="n">
        <v>1</v>
      </c>
      <c r="V12" s="129" t="n">
        <v>0</v>
      </c>
      <c r="W12" s="129" t="n">
        <v>0</v>
      </c>
      <c r="X12" s="129" t="n">
        <v>0</v>
      </c>
      <c r="Y12" s="129" t="n">
        <v>0</v>
      </c>
      <c r="Z12" s="129" t="n">
        <v>0</v>
      </c>
      <c r="AA12" s="129" t="n">
        <v>0</v>
      </c>
      <c r="AB12" s="129" t="n">
        <v>0</v>
      </c>
      <c r="AC12" s="129" t="n">
        <v>0</v>
      </c>
      <c r="AD12" s="129" t="n">
        <v>0</v>
      </c>
      <c r="AE12" s="129" t="n">
        <v>0</v>
      </c>
      <c r="AF12" s="129" t="n">
        <v>0</v>
      </c>
      <c r="AG12" s="129" t="n">
        <v>0</v>
      </c>
      <c r="AH12" s="129" t="n">
        <v>0</v>
      </c>
      <c r="AI12" s="129" t="n">
        <v>0</v>
      </c>
      <c r="AJ12" s="129" t="n">
        <v>0</v>
      </c>
      <c r="AK12" s="129" t="n">
        <v>0</v>
      </c>
      <c r="AL12" s="129" t="n">
        <v>0</v>
      </c>
      <c r="AM12" s="129" t="n">
        <v>0</v>
      </c>
      <c r="AN12" s="128"/>
      <c r="AO12" s="128"/>
      <c r="AP12" s="126" t="s">
        <v>138</v>
      </c>
      <c r="AQ12" s="126" t="s">
        <v>139</v>
      </c>
      <c r="AR12" s="126" t="s">
        <v>140</v>
      </c>
      <c r="AS12" s="128"/>
      <c r="AT12" s="130"/>
    </row>
    <row r="13" customFormat="false" ht="12.75" hidden="false" customHeight="true" outlineLevel="0" collapsed="false">
      <c r="B13" s="122" t="n">
        <f aca="false">B12+1</f>
        <v>10</v>
      </c>
      <c r="C13" s="123" t="s">
        <v>168</v>
      </c>
      <c r="D13" s="124" t="n">
        <v>61073</v>
      </c>
      <c r="E13" s="124" t="str">
        <f aca="false">IF(D13="","",IFERROR(VLOOKUP(D13,CCN_Library!$A$4:$B$13,2,FALSE()),"NOT IN LIBRARY"))</f>
        <v>COMPANY/BATTERY HEADQUARTERS, MARINE CORPS</v>
      </c>
      <c r="F13" s="125" t="str">
        <f aca="false">LEFT(H13,6)</f>
        <v>M28261</v>
      </c>
      <c r="G13" s="126" t="s">
        <v>128</v>
      </c>
      <c r="H13" s="126" t="s">
        <v>169</v>
      </c>
      <c r="I13" s="126" t="s">
        <v>170</v>
      </c>
      <c r="J13" s="126" t="s">
        <v>171</v>
      </c>
      <c r="K13" s="127" t="s">
        <v>172</v>
      </c>
      <c r="L13" s="126" t="s">
        <v>172</v>
      </c>
      <c r="M13" s="126" t="s">
        <v>148</v>
      </c>
      <c r="N13" s="126" t="s">
        <v>128</v>
      </c>
      <c r="O13" s="126" t="s">
        <v>135</v>
      </c>
      <c r="P13" s="126" t="s">
        <v>135</v>
      </c>
      <c r="Q13" s="128"/>
      <c r="R13" s="126" t="s">
        <v>136</v>
      </c>
      <c r="S13" s="126" t="s">
        <v>148</v>
      </c>
      <c r="T13" s="128"/>
      <c r="U13" s="129" t="n">
        <v>0</v>
      </c>
      <c r="V13" s="129" t="n">
        <v>1</v>
      </c>
      <c r="W13" s="129" t="n">
        <v>0</v>
      </c>
      <c r="X13" s="129" t="n">
        <v>0</v>
      </c>
      <c r="Y13" s="129" t="n">
        <v>0</v>
      </c>
      <c r="Z13" s="129" t="n">
        <v>0</v>
      </c>
      <c r="AA13" s="129" t="n">
        <v>0</v>
      </c>
      <c r="AB13" s="129" t="n">
        <v>0</v>
      </c>
      <c r="AC13" s="129" t="n">
        <v>0</v>
      </c>
      <c r="AD13" s="129" t="n">
        <v>0</v>
      </c>
      <c r="AE13" s="129" t="n">
        <v>0</v>
      </c>
      <c r="AF13" s="129" t="n">
        <v>0</v>
      </c>
      <c r="AG13" s="129" t="n">
        <v>0</v>
      </c>
      <c r="AH13" s="129" t="n">
        <v>0</v>
      </c>
      <c r="AI13" s="129" t="n">
        <v>0</v>
      </c>
      <c r="AJ13" s="129" t="n">
        <v>0</v>
      </c>
      <c r="AK13" s="129" t="n">
        <v>0</v>
      </c>
      <c r="AL13" s="129" t="n">
        <v>0</v>
      </c>
      <c r="AM13" s="129" t="n">
        <v>0</v>
      </c>
      <c r="AN13" s="128"/>
      <c r="AO13" s="128"/>
      <c r="AP13" s="126" t="s">
        <v>138</v>
      </c>
      <c r="AQ13" s="126" t="s">
        <v>139</v>
      </c>
      <c r="AR13" s="126" t="s">
        <v>140</v>
      </c>
      <c r="AS13" s="128"/>
      <c r="AT13" s="130"/>
    </row>
    <row r="14" customFormat="false" ht="12.75" hidden="false" customHeight="true" outlineLevel="0" collapsed="false">
      <c r="B14" s="122" t="n">
        <f aca="false">B13+1</f>
        <v>11</v>
      </c>
      <c r="C14" s="123" t="s">
        <v>162</v>
      </c>
      <c r="D14" s="124" t="n">
        <v>61073</v>
      </c>
      <c r="E14" s="124" t="str">
        <f aca="false">IF(D14="","",IFERROR(VLOOKUP(D14,CCN_Library!$A$4:$B$13,2,FALSE()),"NOT IN LIBRARY"))</f>
        <v>COMPANY/BATTERY HEADQUARTERS, MARINE CORPS</v>
      </c>
      <c r="F14" s="125" t="str">
        <f aca="false">LEFT(H14,6)</f>
        <v>M28261</v>
      </c>
      <c r="G14" s="126" t="s">
        <v>128</v>
      </c>
      <c r="H14" s="126" t="s">
        <v>173</v>
      </c>
      <c r="I14" s="126" t="s">
        <v>159</v>
      </c>
      <c r="J14" s="126" t="s">
        <v>174</v>
      </c>
      <c r="K14" s="127" t="s">
        <v>161</v>
      </c>
      <c r="L14" s="126" t="s">
        <v>161</v>
      </c>
      <c r="M14" s="126" t="s">
        <v>133</v>
      </c>
      <c r="N14" s="126" t="s">
        <v>128</v>
      </c>
      <c r="O14" s="126" t="s">
        <v>135</v>
      </c>
      <c r="P14" s="126" t="s">
        <v>135</v>
      </c>
      <c r="Q14" s="128"/>
      <c r="R14" s="126" t="s">
        <v>136</v>
      </c>
      <c r="S14" s="126" t="s">
        <v>137</v>
      </c>
      <c r="T14" s="128"/>
      <c r="U14" s="129" t="n">
        <v>0</v>
      </c>
      <c r="V14" s="129" t="n">
        <v>0</v>
      </c>
      <c r="W14" s="129" t="n">
        <v>0</v>
      </c>
      <c r="X14" s="129" t="n">
        <v>0</v>
      </c>
      <c r="Y14" s="129" t="n">
        <v>0</v>
      </c>
      <c r="Z14" s="129" t="n">
        <v>0</v>
      </c>
      <c r="AA14" s="129" t="n">
        <v>1</v>
      </c>
      <c r="AB14" s="129" t="n">
        <v>0</v>
      </c>
      <c r="AC14" s="129" t="n">
        <v>0</v>
      </c>
      <c r="AD14" s="129" t="n">
        <v>0</v>
      </c>
      <c r="AE14" s="129" t="n">
        <v>0</v>
      </c>
      <c r="AF14" s="129" t="n">
        <v>0</v>
      </c>
      <c r="AG14" s="129" t="n">
        <v>0</v>
      </c>
      <c r="AH14" s="129" t="n">
        <v>0</v>
      </c>
      <c r="AI14" s="129" t="n">
        <v>0</v>
      </c>
      <c r="AJ14" s="129" t="n">
        <v>0</v>
      </c>
      <c r="AK14" s="129" t="n">
        <v>0</v>
      </c>
      <c r="AL14" s="129" t="n">
        <v>0</v>
      </c>
      <c r="AM14" s="129" t="n">
        <v>0</v>
      </c>
      <c r="AN14" s="128"/>
      <c r="AO14" s="128"/>
      <c r="AP14" s="126" t="s">
        <v>138</v>
      </c>
      <c r="AQ14" s="126" t="s">
        <v>139</v>
      </c>
      <c r="AR14" s="126" t="s">
        <v>140</v>
      </c>
      <c r="AS14" s="128"/>
      <c r="AT14" s="130"/>
    </row>
    <row r="15" customFormat="false" ht="12.75" hidden="false" customHeight="true" outlineLevel="0" collapsed="false">
      <c r="B15" s="122" t="n">
        <f aca="false">B14+1</f>
        <v>12</v>
      </c>
      <c r="C15" s="123" t="s">
        <v>168</v>
      </c>
      <c r="D15" s="124" t="n">
        <v>61073</v>
      </c>
      <c r="E15" s="124" t="str">
        <f aca="false">IF(D15="","",IFERROR(VLOOKUP(D15,CCN_Library!$A$4:$B$13,2,FALSE()),"NOT IN LIBRARY"))</f>
        <v>COMPANY/BATTERY HEADQUARTERS, MARINE CORPS</v>
      </c>
      <c r="F15" s="125" t="str">
        <f aca="false">LEFT(H15,6)</f>
        <v>M28261</v>
      </c>
      <c r="G15" s="126" t="s">
        <v>128</v>
      </c>
      <c r="H15" s="126" t="s">
        <v>175</v>
      </c>
      <c r="I15" s="126" t="s">
        <v>159</v>
      </c>
      <c r="J15" s="126" t="s">
        <v>176</v>
      </c>
      <c r="K15" s="127" t="s">
        <v>161</v>
      </c>
      <c r="L15" s="126" t="s">
        <v>161</v>
      </c>
      <c r="M15" s="126" t="s">
        <v>133</v>
      </c>
      <c r="N15" s="126" t="s">
        <v>128</v>
      </c>
      <c r="O15" s="126" t="s">
        <v>135</v>
      </c>
      <c r="P15" s="126" t="s">
        <v>135</v>
      </c>
      <c r="Q15" s="128"/>
      <c r="R15" s="126" t="s">
        <v>136</v>
      </c>
      <c r="S15" s="126" t="s">
        <v>58</v>
      </c>
      <c r="T15" s="128"/>
      <c r="U15" s="129" t="n">
        <v>0</v>
      </c>
      <c r="V15" s="129" t="n">
        <v>0</v>
      </c>
      <c r="W15" s="129" t="n">
        <v>0</v>
      </c>
      <c r="X15" s="129" t="n">
        <v>0</v>
      </c>
      <c r="Y15" s="129" t="n">
        <v>0</v>
      </c>
      <c r="Z15" s="129" t="n">
        <v>0</v>
      </c>
      <c r="AA15" s="129" t="n">
        <v>1</v>
      </c>
      <c r="AB15" s="129" t="n">
        <v>0</v>
      </c>
      <c r="AC15" s="129" t="n">
        <v>0</v>
      </c>
      <c r="AD15" s="129" t="n">
        <v>0</v>
      </c>
      <c r="AE15" s="129" t="n">
        <v>0</v>
      </c>
      <c r="AF15" s="129" t="n">
        <v>0</v>
      </c>
      <c r="AG15" s="129" t="n">
        <v>0</v>
      </c>
      <c r="AH15" s="129" t="n">
        <v>0</v>
      </c>
      <c r="AI15" s="129" t="n">
        <v>0</v>
      </c>
      <c r="AJ15" s="129" t="n">
        <v>0</v>
      </c>
      <c r="AK15" s="129" t="n">
        <v>0</v>
      </c>
      <c r="AL15" s="129" t="n">
        <v>0</v>
      </c>
      <c r="AM15" s="129" t="n">
        <v>0</v>
      </c>
      <c r="AN15" s="128"/>
      <c r="AO15" s="128"/>
      <c r="AP15" s="126" t="s">
        <v>138</v>
      </c>
      <c r="AQ15" s="126" t="s">
        <v>139</v>
      </c>
      <c r="AR15" s="126" t="s">
        <v>140</v>
      </c>
      <c r="AS15" s="128"/>
      <c r="AT15" s="130"/>
    </row>
    <row r="16" customFormat="false" ht="12.75" hidden="false" customHeight="true" outlineLevel="0" collapsed="false">
      <c r="B16" s="131" t="n">
        <f aca="false">B15+1</f>
        <v>13</v>
      </c>
      <c r="C16" s="132" t="s">
        <v>125</v>
      </c>
      <c r="D16" s="133" t="n">
        <v>61072</v>
      </c>
      <c r="E16" s="133"/>
      <c r="F16" s="134" t="str">
        <f aca="false">LEFT(H16,6)</f>
        <v>M28261</v>
      </c>
      <c r="G16" s="135" t="s">
        <v>177</v>
      </c>
      <c r="H16" s="135" t="s">
        <v>178</v>
      </c>
      <c r="I16" s="135" t="s">
        <v>179</v>
      </c>
      <c r="J16" s="136"/>
      <c r="K16" s="136"/>
      <c r="L16" s="136"/>
      <c r="M16" s="136"/>
      <c r="N16" s="136"/>
      <c r="O16" s="136"/>
      <c r="P16" s="136"/>
      <c r="Q16" s="136"/>
      <c r="R16" s="136"/>
      <c r="S16" s="136"/>
      <c r="T16" s="136"/>
      <c r="U16" s="137" t="n">
        <v>0</v>
      </c>
      <c r="V16" s="137" t="n">
        <v>0</v>
      </c>
      <c r="W16" s="137" t="n">
        <v>0</v>
      </c>
      <c r="X16" s="137" t="n">
        <v>0</v>
      </c>
      <c r="Y16" s="137" t="n">
        <v>0</v>
      </c>
      <c r="Z16" s="137" t="n">
        <v>0</v>
      </c>
      <c r="AA16" s="137" t="n">
        <v>0</v>
      </c>
      <c r="AB16" s="137" t="n">
        <v>0</v>
      </c>
      <c r="AC16" s="137" t="n">
        <v>0</v>
      </c>
      <c r="AD16" s="137" t="n">
        <v>0</v>
      </c>
      <c r="AE16" s="137" t="n">
        <v>0</v>
      </c>
      <c r="AF16" s="137" t="n">
        <v>0</v>
      </c>
      <c r="AG16" s="137" t="n">
        <v>0</v>
      </c>
      <c r="AH16" s="137" t="n">
        <v>0</v>
      </c>
      <c r="AI16" s="137" t="n">
        <v>0</v>
      </c>
      <c r="AJ16" s="137" t="n">
        <v>0</v>
      </c>
      <c r="AK16" s="137" t="n">
        <v>0</v>
      </c>
      <c r="AL16" s="137" t="n">
        <v>0</v>
      </c>
      <c r="AM16" s="137" t="n">
        <v>0</v>
      </c>
      <c r="AN16" s="136"/>
      <c r="AO16" s="136"/>
      <c r="AP16" s="136"/>
      <c r="AQ16" s="136"/>
      <c r="AR16" s="136"/>
      <c r="AS16" s="136"/>
      <c r="AT16" s="138"/>
    </row>
    <row r="17" customFormat="false" ht="12.75" hidden="false" customHeight="true" outlineLevel="0" collapsed="false">
      <c r="B17" s="122" t="n">
        <f aca="false">B16+1</f>
        <v>14</v>
      </c>
      <c r="C17" s="123" t="s">
        <v>125</v>
      </c>
      <c r="D17" s="124" t="n">
        <v>61072</v>
      </c>
      <c r="E17" s="124" t="str">
        <f aca="false">IF(D17="","",IFERROR(VLOOKUP(D17,CCN_Library!$A$4:$B$13,2,FALSE()),"NOT IN LIBRARY"))</f>
        <v>BATTALION/SQUADRON HEADQUARTERS, MARINE CORPS</v>
      </c>
      <c r="F17" s="125" t="str">
        <f aca="false">LEFT(H17,6)</f>
        <v>M28261</v>
      </c>
      <c r="G17" s="126" t="s">
        <v>128</v>
      </c>
      <c r="H17" s="126" t="s">
        <v>180</v>
      </c>
      <c r="I17" s="126" t="s">
        <v>181</v>
      </c>
      <c r="J17" s="126" t="s">
        <v>182</v>
      </c>
      <c r="K17" s="127" t="s">
        <v>132</v>
      </c>
      <c r="L17" s="126" t="s">
        <v>132</v>
      </c>
      <c r="M17" s="126" t="s">
        <v>133</v>
      </c>
      <c r="N17" s="126" t="s">
        <v>134</v>
      </c>
      <c r="O17" s="126" t="s">
        <v>135</v>
      </c>
      <c r="P17" s="126" t="s">
        <v>135</v>
      </c>
      <c r="Q17" s="128"/>
      <c r="R17" s="126" t="s">
        <v>136</v>
      </c>
      <c r="S17" s="126" t="s">
        <v>137</v>
      </c>
      <c r="T17" s="128"/>
      <c r="U17" s="129" t="n">
        <v>0</v>
      </c>
      <c r="V17" s="129" t="n">
        <v>0</v>
      </c>
      <c r="W17" s="129" t="n">
        <v>0</v>
      </c>
      <c r="X17" s="129" t="n">
        <v>0</v>
      </c>
      <c r="Y17" s="129" t="n">
        <v>0</v>
      </c>
      <c r="Z17" s="129" t="n">
        <v>1</v>
      </c>
      <c r="AA17" s="129" t="n">
        <v>0</v>
      </c>
      <c r="AB17" s="129" t="n">
        <v>0</v>
      </c>
      <c r="AC17" s="129" t="n">
        <v>0</v>
      </c>
      <c r="AD17" s="129" t="n">
        <v>0</v>
      </c>
      <c r="AE17" s="129" t="n">
        <v>0</v>
      </c>
      <c r="AF17" s="129" t="n">
        <v>0</v>
      </c>
      <c r="AG17" s="129" t="n">
        <v>0</v>
      </c>
      <c r="AH17" s="129" t="n">
        <v>0</v>
      </c>
      <c r="AI17" s="129" t="n">
        <v>0</v>
      </c>
      <c r="AJ17" s="129" t="n">
        <v>0</v>
      </c>
      <c r="AK17" s="129" t="n">
        <v>0</v>
      </c>
      <c r="AL17" s="129" t="n">
        <v>0</v>
      </c>
      <c r="AM17" s="129" t="n">
        <v>0</v>
      </c>
      <c r="AN17" s="128"/>
      <c r="AO17" s="128"/>
      <c r="AP17" s="126" t="s">
        <v>138</v>
      </c>
      <c r="AQ17" s="126" t="s">
        <v>139</v>
      </c>
      <c r="AR17" s="126" t="s">
        <v>140</v>
      </c>
      <c r="AS17" s="128"/>
      <c r="AT17" s="130"/>
    </row>
    <row r="18" customFormat="false" ht="12.75" hidden="false" customHeight="true" outlineLevel="0" collapsed="false">
      <c r="B18" s="122" t="n">
        <f aca="false">B17+1</f>
        <v>15</v>
      </c>
      <c r="C18" s="123" t="s">
        <v>125</v>
      </c>
      <c r="D18" s="124" t="n">
        <v>61072</v>
      </c>
      <c r="E18" s="124" t="str">
        <f aca="false">IF(D18="","",IFERROR(VLOOKUP(D18,CCN_Library!$A$4:$B$13,2,FALSE()),"NOT IN LIBRARY"))</f>
        <v>BATTALION/SQUADRON HEADQUARTERS, MARINE CORPS</v>
      </c>
      <c r="F18" s="125" t="str">
        <f aca="false">LEFT(H18,6)</f>
        <v>M28261</v>
      </c>
      <c r="G18" s="126" t="s">
        <v>128</v>
      </c>
      <c r="H18" s="126" t="s">
        <v>183</v>
      </c>
      <c r="I18" s="126" t="s">
        <v>184</v>
      </c>
      <c r="J18" s="126" t="s">
        <v>185</v>
      </c>
      <c r="K18" s="127" t="s">
        <v>132</v>
      </c>
      <c r="L18" s="126" t="s">
        <v>132</v>
      </c>
      <c r="M18" s="126" t="s">
        <v>133</v>
      </c>
      <c r="N18" s="126" t="s">
        <v>134</v>
      </c>
      <c r="O18" s="126" t="s">
        <v>135</v>
      </c>
      <c r="P18" s="126" t="s">
        <v>135</v>
      </c>
      <c r="Q18" s="128"/>
      <c r="R18" s="126" t="s">
        <v>136</v>
      </c>
      <c r="S18" s="126" t="s">
        <v>137</v>
      </c>
      <c r="T18" s="128"/>
      <c r="U18" s="129" t="n">
        <v>0</v>
      </c>
      <c r="V18" s="129" t="n">
        <v>0</v>
      </c>
      <c r="W18" s="129" t="n">
        <v>0</v>
      </c>
      <c r="X18" s="129" t="n">
        <v>0</v>
      </c>
      <c r="Y18" s="129" t="n">
        <v>0</v>
      </c>
      <c r="Z18" s="129" t="n">
        <v>1</v>
      </c>
      <c r="AA18" s="129" t="n">
        <v>0</v>
      </c>
      <c r="AB18" s="129" t="n">
        <v>0</v>
      </c>
      <c r="AC18" s="129" t="n">
        <v>0</v>
      </c>
      <c r="AD18" s="129" t="n">
        <v>0</v>
      </c>
      <c r="AE18" s="129" t="n">
        <v>0</v>
      </c>
      <c r="AF18" s="129" t="n">
        <v>0</v>
      </c>
      <c r="AG18" s="129" t="n">
        <v>0</v>
      </c>
      <c r="AH18" s="129" t="n">
        <v>0</v>
      </c>
      <c r="AI18" s="129" t="n">
        <v>0</v>
      </c>
      <c r="AJ18" s="129" t="n">
        <v>0</v>
      </c>
      <c r="AK18" s="129" t="n">
        <v>0</v>
      </c>
      <c r="AL18" s="129" t="n">
        <v>0</v>
      </c>
      <c r="AM18" s="129" t="n">
        <v>0</v>
      </c>
      <c r="AN18" s="128"/>
      <c r="AO18" s="128"/>
      <c r="AP18" s="126" t="s">
        <v>138</v>
      </c>
      <c r="AQ18" s="126" t="s">
        <v>139</v>
      </c>
      <c r="AR18" s="126" t="s">
        <v>140</v>
      </c>
      <c r="AS18" s="128"/>
      <c r="AT18" s="130"/>
    </row>
    <row r="19" customFormat="false" ht="12.75" hidden="false" customHeight="true" outlineLevel="0" collapsed="false">
      <c r="B19" s="122" t="n">
        <f aca="false">B18+1</f>
        <v>16</v>
      </c>
      <c r="C19" s="123" t="s">
        <v>125</v>
      </c>
      <c r="D19" s="124" t="n">
        <v>61072</v>
      </c>
      <c r="E19" s="124" t="str">
        <f aca="false">IF(D19="","",IFERROR(VLOOKUP(D19,CCN_Library!$A$4:$B$13,2,FALSE()),"NOT IN LIBRARY"))</f>
        <v>BATTALION/SQUADRON HEADQUARTERS, MARINE CORPS</v>
      </c>
      <c r="F19" s="125" t="str">
        <f aca="false">LEFT(H19,6)</f>
        <v>M28261</v>
      </c>
      <c r="G19" s="126" t="s">
        <v>128</v>
      </c>
      <c r="H19" s="126" t="s">
        <v>186</v>
      </c>
      <c r="I19" s="126" t="s">
        <v>159</v>
      </c>
      <c r="J19" s="126" t="s">
        <v>187</v>
      </c>
      <c r="K19" s="127" t="s">
        <v>161</v>
      </c>
      <c r="L19" s="126" t="s">
        <v>161</v>
      </c>
      <c r="M19" s="126" t="s">
        <v>133</v>
      </c>
      <c r="N19" s="126" t="s">
        <v>128</v>
      </c>
      <c r="O19" s="126" t="s">
        <v>135</v>
      </c>
      <c r="P19" s="126" t="s">
        <v>135</v>
      </c>
      <c r="Q19" s="128"/>
      <c r="R19" s="126" t="s">
        <v>136</v>
      </c>
      <c r="S19" s="126" t="s">
        <v>137</v>
      </c>
      <c r="T19" s="128"/>
      <c r="U19" s="129" t="n">
        <v>0</v>
      </c>
      <c r="V19" s="129" t="n">
        <v>0</v>
      </c>
      <c r="W19" s="129" t="n">
        <v>0</v>
      </c>
      <c r="X19" s="129" t="n">
        <v>0</v>
      </c>
      <c r="Y19" s="129" t="n">
        <v>0</v>
      </c>
      <c r="Z19" s="129" t="n">
        <v>0</v>
      </c>
      <c r="AA19" s="129" t="n">
        <v>1</v>
      </c>
      <c r="AB19" s="129" t="n">
        <v>0</v>
      </c>
      <c r="AC19" s="129" t="n">
        <v>0</v>
      </c>
      <c r="AD19" s="129" t="n">
        <v>0</v>
      </c>
      <c r="AE19" s="129" t="n">
        <v>0</v>
      </c>
      <c r="AF19" s="129" t="n">
        <v>0</v>
      </c>
      <c r="AG19" s="129" t="n">
        <v>0</v>
      </c>
      <c r="AH19" s="129" t="n">
        <v>0</v>
      </c>
      <c r="AI19" s="129" t="n">
        <v>0</v>
      </c>
      <c r="AJ19" s="129" t="n">
        <v>0</v>
      </c>
      <c r="AK19" s="129" t="n">
        <v>0</v>
      </c>
      <c r="AL19" s="129" t="n">
        <v>0</v>
      </c>
      <c r="AM19" s="129" t="n">
        <v>0</v>
      </c>
      <c r="AN19" s="128"/>
      <c r="AO19" s="128"/>
      <c r="AP19" s="126" t="s">
        <v>138</v>
      </c>
      <c r="AQ19" s="126" t="s">
        <v>139</v>
      </c>
      <c r="AR19" s="126" t="s">
        <v>140</v>
      </c>
      <c r="AS19" s="128"/>
      <c r="AT19" s="130"/>
    </row>
    <row r="20" customFormat="false" ht="12.75" hidden="false" customHeight="true" outlineLevel="0" collapsed="false">
      <c r="B20" s="122" t="n">
        <f aca="false">B19+1</f>
        <v>17</v>
      </c>
      <c r="C20" s="123" t="s">
        <v>125</v>
      </c>
      <c r="D20" s="124" t="n">
        <v>61072</v>
      </c>
      <c r="E20" s="124" t="str">
        <f aca="false">IF(D20="","",IFERROR(VLOOKUP(D20,CCN_Library!$A$4:$B$13,2,FALSE()),"NOT IN LIBRARY"))</f>
        <v>BATTALION/SQUADRON HEADQUARTERS, MARINE CORPS</v>
      </c>
      <c r="F20" s="125" t="str">
        <f aca="false">LEFT(H20,6)</f>
        <v>M28261</v>
      </c>
      <c r="G20" s="126" t="s">
        <v>128</v>
      </c>
      <c r="H20" s="126" t="s">
        <v>188</v>
      </c>
      <c r="I20" s="126" t="s">
        <v>159</v>
      </c>
      <c r="J20" s="126" t="s">
        <v>189</v>
      </c>
      <c r="K20" s="127" t="s">
        <v>161</v>
      </c>
      <c r="L20" s="126" t="s">
        <v>161</v>
      </c>
      <c r="M20" s="126" t="s">
        <v>133</v>
      </c>
      <c r="N20" s="126" t="s">
        <v>128</v>
      </c>
      <c r="O20" s="126" t="s">
        <v>135</v>
      </c>
      <c r="P20" s="126" t="s">
        <v>135</v>
      </c>
      <c r="Q20" s="128"/>
      <c r="R20" s="126" t="s">
        <v>136</v>
      </c>
      <c r="S20" s="126" t="s">
        <v>137</v>
      </c>
      <c r="T20" s="128"/>
      <c r="U20" s="129" t="n">
        <v>0</v>
      </c>
      <c r="V20" s="129" t="n">
        <v>0</v>
      </c>
      <c r="W20" s="129" t="n">
        <v>0</v>
      </c>
      <c r="X20" s="129" t="n">
        <v>0</v>
      </c>
      <c r="Y20" s="129" t="n">
        <v>0</v>
      </c>
      <c r="Z20" s="129" t="n">
        <v>0</v>
      </c>
      <c r="AA20" s="129" t="n">
        <v>1</v>
      </c>
      <c r="AB20" s="129" t="n">
        <v>0</v>
      </c>
      <c r="AC20" s="129" t="n">
        <v>0</v>
      </c>
      <c r="AD20" s="129" t="n">
        <v>0</v>
      </c>
      <c r="AE20" s="129" t="n">
        <v>0</v>
      </c>
      <c r="AF20" s="129" t="n">
        <v>0</v>
      </c>
      <c r="AG20" s="129" t="n">
        <v>0</v>
      </c>
      <c r="AH20" s="129" t="n">
        <v>0</v>
      </c>
      <c r="AI20" s="129" t="n">
        <v>0</v>
      </c>
      <c r="AJ20" s="129" t="n">
        <v>0</v>
      </c>
      <c r="AK20" s="129" t="n">
        <v>0</v>
      </c>
      <c r="AL20" s="129" t="n">
        <v>0</v>
      </c>
      <c r="AM20" s="129" t="n">
        <v>0</v>
      </c>
      <c r="AN20" s="128"/>
      <c r="AO20" s="128"/>
      <c r="AP20" s="126" t="s">
        <v>138</v>
      </c>
      <c r="AQ20" s="126" t="s">
        <v>139</v>
      </c>
      <c r="AR20" s="126" t="s">
        <v>140</v>
      </c>
      <c r="AS20" s="128"/>
      <c r="AT20" s="139"/>
    </row>
    <row r="21" customFormat="false" ht="12.75" hidden="false" customHeight="true" outlineLevel="0" collapsed="false">
      <c r="B21" s="122" t="n">
        <f aca="false">B20+1</f>
        <v>18</v>
      </c>
      <c r="C21" s="123" t="s">
        <v>157</v>
      </c>
      <c r="D21" s="124" t="n">
        <v>61072</v>
      </c>
      <c r="E21" s="124" t="str">
        <f aca="false">IF(D21="","",IFERROR(VLOOKUP(D21,CCN_Library!$A$4:$B$13,2,FALSE()),"NOT IN LIBRARY"))</f>
        <v>BATTALION/SQUADRON HEADQUARTERS, MARINE CORPS</v>
      </c>
      <c r="F21" s="125" t="str">
        <f aca="false">LEFT(H21,6)</f>
        <v>M28261</v>
      </c>
      <c r="G21" s="126" t="s">
        <v>128</v>
      </c>
      <c r="H21" s="126" t="s">
        <v>190</v>
      </c>
      <c r="I21" s="126" t="s">
        <v>159</v>
      </c>
      <c r="J21" s="126" t="s">
        <v>191</v>
      </c>
      <c r="K21" s="127" t="s">
        <v>161</v>
      </c>
      <c r="L21" s="126" t="s">
        <v>161</v>
      </c>
      <c r="M21" s="126" t="s">
        <v>133</v>
      </c>
      <c r="N21" s="126" t="s">
        <v>128</v>
      </c>
      <c r="O21" s="126" t="s">
        <v>135</v>
      </c>
      <c r="P21" s="126" t="s">
        <v>135</v>
      </c>
      <c r="Q21" s="128"/>
      <c r="R21" s="126" t="s">
        <v>136</v>
      </c>
      <c r="S21" s="126" t="s">
        <v>58</v>
      </c>
      <c r="T21" s="128"/>
      <c r="U21" s="129" t="n">
        <v>0</v>
      </c>
      <c r="V21" s="129" t="n">
        <v>0</v>
      </c>
      <c r="W21" s="129" t="n">
        <v>0</v>
      </c>
      <c r="X21" s="129" t="n">
        <v>0</v>
      </c>
      <c r="Y21" s="129" t="n">
        <v>0</v>
      </c>
      <c r="Z21" s="129" t="n">
        <v>0</v>
      </c>
      <c r="AA21" s="129" t="n">
        <v>1</v>
      </c>
      <c r="AB21" s="129" t="n">
        <v>0</v>
      </c>
      <c r="AC21" s="129" t="n">
        <v>0</v>
      </c>
      <c r="AD21" s="129" t="n">
        <v>0</v>
      </c>
      <c r="AE21" s="129" t="n">
        <v>0</v>
      </c>
      <c r="AF21" s="129" t="n">
        <v>0</v>
      </c>
      <c r="AG21" s="129" t="n">
        <v>0</v>
      </c>
      <c r="AH21" s="129" t="n">
        <v>0</v>
      </c>
      <c r="AI21" s="129" t="n">
        <v>0</v>
      </c>
      <c r="AJ21" s="129" t="n">
        <v>0</v>
      </c>
      <c r="AK21" s="129" t="n">
        <v>0</v>
      </c>
      <c r="AL21" s="129" t="n">
        <v>0</v>
      </c>
      <c r="AM21" s="129" t="n">
        <v>0</v>
      </c>
      <c r="AN21" s="128"/>
      <c r="AO21" s="128"/>
      <c r="AP21" s="126" t="s">
        <v>138</v>
      </c>
      <c r="AQ21" s="126" t="s">
        <v>139</v>
      </c>
      <c r="AR21" s="126" t="s">
        <v>140</v>
      </c>
      <c r="AS21" s="128"/>
      <c r="AT21" s="130"/>
    </row>
    <row r="22" customFormat="false" ht="12.75" hidden="false" customHeight="true" outlineLevel="0" collapsed="false">
      <c r="B22" s="122" t="n">
        <f aca="false">B21+1</f>
        <v>19</v>
      </c>
      <c r="C22" s="123" t="s">
        <v>157</v>
      </c>
      <c r="D22" s="124" t="n">
        <v>61072</v>
      </c>
      <c r="E22" s="124" t="str">
        <f aca="false">IF(D22="","",IFERROR(VLOOKUP(D22,CCN_Library!$A$4:$B$13,2,FALSE()),"NOT IN LIBRARY"))</f>
        <v>BATTALION/SQUADRON HEADQUARTERS, MARINE CORPS</v>
      </c>
      <c r="F22" s="125" t="str">
        <f aca="false">LEFT(H22,6)</f>
        <v>M28261</v>
      </c>
      <c r="G22" s="126" t="s">
        <v>128</v>
      </c>
      <c r="H22" s="126" t="s">
        <v>192</v>
      </c>
      <c r="I22" s="126" t="s">
        <v>159</v>
      </c>
      <c r="J22" s="126" t="s">
        <v>176</v>
      </c>
      <c r="K22" s="127" t="s">
        <v>161</v>
      </c>
      <c r="L22" s="126" t="s">
        <v>161</v>
      </c>
      <c r="M22" s="126" t="s">
        <v>133</v>
      </c>
      <c r="N22" s="126" t="s">
        <v>128</v>
      </c>
      <c r="O22" s="126" t="s">
        <v>135</v>
      </c>
      <c r="P22" s="126" t="s">
        <v>135</v>
      </c>
      <c r="Q22" s="128"/>
      <c r="R22" s="126" t="s">
        <v>136</v>
      </c>
      <c r="S22" s="126" t="s">
        <v>58</v>
      </c>
      <c r="T22" s="128"/>
      <c r="U22" s="129" t="n">
        <v>0</v>
      </c>
      <c r="V22" s="129" t="n">
        <v>0</v>
      </c>
      <c r="W22" s="129" t="n">
        <v>0</v>
      </c>
      <c r="X22" s="129" t="n">
        <v>0</v>
      </c>
      <c r="Y22" s="129" t="n">
        <v>0</v>
      </c>
      <c r="Z22" s="129" t="n">
        <v>0</v>
      </c>
      <c r="AA22" s="129" t="n">
        <v>1</v>
      </c>
      <c r="AB22" s="129" t="n">
        <v>0</v>
      </c>
      <c r="AC22" s="129" t="n">
        <v>0</v>
      </c>
      <c r="AD22" s="129" t="n">
        <v>0</v>
      </c>
      <c r="AE22" s="129" t="n">
        <v>0</v>
      </c>
      <c r="AF22" s="129" t="n">
        <v>0</v>
      </c>
      <c r="AG22" s="129" t="n">
        <v>0</v>
      </c>
      <c r="AH22" s="129" t="n">
        <v>0</v>
      </c>
      <c r="AI22" s="129" t="n">
        <v>0</v>
      </c>
      <c r="AJ22" s="129" t="n">
        <v>0</v>
      </c>
      <c r="AK22" s="129" t="n">
        <v>0</v>
      </c>
      <c r="AL22" s="129" t="n">
        <v>0</v>
      </c>
      <c r="AM22" s="129" t="n">
        <v>0</v>
      </c>
      <c r="AN22" s="128"/>
      <c r="AO22" s="128"/>
      <c r="AP22" s="126" t="s">
        <v>138</v>
      </c>
      <c r="AQ22" s="126" t="s">
        <v>139</v>
      </c>
      <c r="AR22" s="126" t="s">
        <v>140</v>
      </c>
      <c r="AS22" s="128"/>
      <c r="AT22" s="130"/>
    </row>
    <row r="23" customFormat="false" ht="12.75" hidden="false" customHeight="true" outlineLevel="0" collapsed="false">
      <c r="B23" s="122" t="n">
        <f aca="false">B22+1</f>
        <v>20</v>
      </c>
      <c r="C23" s="123" t="s">
        <v>157</v>
      </c>
      <c r="D23" s="124" t="n">
        <v>61072</v>
      </c>
      <c r="E23" s="124" t="str">
        <f aca="false">IF(D23="","",IFERROR(VLOOKUP(D23,CCN_Library!$A$4:$B$13,2,FALSE()),"NOT IN LIBRARY"))</f>
        <v>BATTALION/SQUADRON HEADQUARTERS, MARINE CORPS</v>
      </c>
      <c r="F23" s="125" t="str">
        <f aca="false">LEFT(H23,6)</f>
        <v>M28261</v>
      </c>
      <c r="G23" s="126" t="s">
        <v>128</v>
      </c>
      <c r="H23" s="126" t="s">
        <v>193</v>
      </c>
      <c r="I23" s="126" t="s">
        <v>159</v>
      </c>
      <c r="J23" s="126" t="s">
        <v>176</v>
      </c>
      <c r="K23" s="127" t="s">
        <v>161</v>
      </c>
      <c r="L23" s="126" t="s">
        <v>161</v>
      </c>
      <c r="M23" s="126" t="s">
        <v>133</v>
      </c>
      <c r="N23" s="126" t="s">
        <v>128</v>
      </c>
      <c r="O23" s="126" t="s">
        <v>135</v>
      </c>
      <c r="P23" s="126" t="s">
        <v>135</v>
      </c>
      <c r="Q23" s="128"/>
      <c r="R23" s="126" t="s">
        <v>136</v>
      </c>
      <c r="S23" s="126" t="s">
        <v>58</v>
      </c>
      <c r="T23" s="128"/>
      <c r="U23" s="129" t="n">
        <v>0</v>
      </c>
      <c r="V23" s="129" t="n">
        <v>0</v>
      </c>
      <c r="W23" s="129" t="n">
        <v>0</v>
      </c>
      <c r="X23" s="129" t="n">
        <v>0</v>
      </c>
      <c r="Y23" s="129" t="n">
        <v>0</v>
      </c>
      <c r="Z23" s="129" t="n">
        <v>0</v>
      </c>
      <c r="AA23" s="129" t="n">
        <v>1</v>
      </c>
      <c r="AB23" s="129" t="n">
        <v>0</v>
      </c>
      <c r="AC23" s="129" t="n">
        <v>0</v>
      </c>
      <c r="AD23" s="129" t="n">
        <v>0</v>
      </c>
      <c r="AE23" s="129" t="n">
        <v>0</v>
      </c>
      <c r="AF23" s="129" t="n">
        <v>0</v>
      </c>
      <c r="AG23" s="129" t="n">
        <v>0</v>
      </c>
      <c r="AH23" s="129" t="n">
        <v>0</v>
      </c>
      <c r="AI23" s="129" t="n">
        <v>0</v>
      </c>
      <c r="AJ23" s="129" t="n">
        <v>0</v>
      </c>
      <c r="AK23" s="129" t="n">
        <v>0</v>
      </c>
      <c r="AL23" s="129" t="n">
        <v>0</v>
      </c>
      <c r="AM23" s="129" t="n">
        <v>0</v>
      </c>
      <c r="AN23" s="128"/>
      <c r="AO23" s="128"/>
      <c r="AP23" s="126" t="s">
        <v>138</v>
      </c>
      <c r="AQ23" s="126" t="s">
        <v>139</v>
      </c>
      <c r="AR23" s="126" t="s">
        <v>140</v>
      </c>
      <c r="AS23" s="128"/>
      <c r="AT23" s="130"/>
    </row>
    <row r="24" customFormat="false" ht="12.75" hidden="false" customHeight="true" outlineLevel="0" collapsed="false">
      <c r="B24" s="122" t="n">
        <f aca="false">B23+1</f>
        <v>21</v>
      </c>
      <c r="C24" s="123" t="s">
        <v>125</v>
      </c>
      <c r="D24" s="124" t="n">
        <v>61072</v>
      </c>
      <c r="E24" s="124" t="str">
        <f aca="false">IF(D24="","",IFERROR(VLOOKUP(D24,CCN_Library!$A$4:$B$13,2,FALSE()),"NOT IN LIBRARY"))</f>
        <v>BATTALION/SQUADRON HEADQUARTERS, MARINE CORPS</v>
      </c>
      <c r="F24" s="125" t="str">
        <f aca="false">LEFT(H24,6)</f>
        <v>M28261</v>
      </c>
      <c r="G24" s="126" t="s">
        <v>128</v>
      </c>
      <c r="H24" s="126" t="s">
        <v>194</v>
      </c>
      <c r="I24" s="126" t="s">
        <v>195</v>
      </c>
      <c r="J24" s="126" t="s">
        <v>196</v>
      </c>
      <c r="K24" s="127" t="s">
        <v>197</v>
      </c>
      <c r="L24" s="126" t="s">
        <v>197</v>
      </c>
      <c r="M24" s="126" t="s">
        <v>133</v>
      </c>
      <c r="N24" s="126" t="s">
        <v>128</v>
      </c>
      <c r="O24" s="126" t="s">
        <v>135</v>
      </c>
      <c r="P24" s="126" t="s">
        <v>135</v>
      </c>
      <c r="Q24" s="128"/>
      <c r="R24" s="126" t="s">
        <v>136</v>
      </c>
      <c r="S24" s="126" t="s">
        <v>137</v>
      </c>
      <c r="T24" s="128"/>
      <c r="U24" s="129" t="n">
        <v>0</v>
      </c>
      <c r="V24" s="129" t="n">
        <v>0</v>
      </c>
      <c r="W24" s="129" t="n">
        <v>0</v>
      </c>
      <c r="X24" s="129" t="n">
        <v>0</v>
      </c>
      <c r="Y24" s="129" t="n">
        <v>0</v>
      </c>
      <c r="Z24" s="129" t="n">
        <v>0</v>
      </c>
      <c r="AA24" s="129" t="n">
        <v>1</v>
      </c>
      <c r="AB24" s="129" t="n">
        <v>0</v>
      </c>
      <c r="AC24" s="129" t="n">
        <v>0</v>
      </c>
      <c r="AD24" s="129" t="n">
        <v>0</v>
      </c>
      <c r="AE24" s="129" t="n">
        <v>0</v>
      </c>
      <c r="AF24" s="129" t="n">
        <v>0</v>
      </c>
      <c r="AG24" s="129" t="n">
        <v>0</v>
      </c>
      <c r="AH24" s="129" t="n">
        <v>0</v>
      </c>
      <c r="AI24" s="129" t="n">
        <v>0</v>
      </c>
      <c r="AJ24" s="129" t="n">
        <v>0</v>
      </c>
      <c r="AK24" s="129" t="n">
        <v>0</v>
      </c>
      <c r="AL24" s="129" t="n">
        <v>0</v>
      </c>
      <c r="AM24" s="129" t="n">
        <v>0</v>
      </c>
      <c r="AN24" s="128"/>
      <c r="AO24" s="128"/>
      <c r="AP24" s="126" t="s">
        <v>138</v>
      </c>
      <c r="AQ24" s="126" t="s">
        <v>139</v>
      </c>
      <c r="AR24" s="126" t="s">
        <v>140</v>
      </c>
      <c r="AS24" s="128"/>
      <c r="AT24" s="130"/>
    </row>
    <row r="25" customFormat="false" ht="12.75" hidden="false" customHeight="true" outlineLevel="0" collapsed="false">
      <c r="B25" s="122" t="n">
        <f aca="false">B24+1</f>
        <v>22</v>
      </c>
      <c r="C25" s="123" t="s">
        <v>157</v>
      </c>
      <c r="D25" s="124" t="n">
        <v>61072</v>
      </c>
      <c r="E25" s="124" t="str">
        <f aca="false">IF(D25="","",IFERROR(VLOOKUP(D25,CCN_Library!$A$4:$B$13,2,FALSE()),"NOT IN LIBRARY"))</f>
        <v>BATTALION/SQUADRON HEADQUARTERS, MARINE CORPS</v>
      </c>
      <c r="F25" s="125" t="str">
        <f aca="false">LEFT(H25,6)</f>
        <v>M28261</v>
      </c>
      <c r="G25" s="126" t="s">
        <v>128</v>
      </c>
      <c r="H25" s="126" t="s">
        <v>198</v>
      </c>
      <c r="I25" s="126" t="s">
        <v>195</v>
      </c>
      <c r="J25" s="126" t="s">
        <v>199</v>
      </c>
      <c r="K25" s="127" t="s">
        <v>197</v>
      </c>
      <c r="L25" s="126" t="s">
        <v>197</v>
      </c>
      <c r="M25" s="126" t="s">
        <v>133</v>
      </c>
      <c r="N25" s="126" t="s">
        <v>128</v>
      </c>
      <c r="O25" s="126" t="s">
        <v>135</v>
      </c>
      <c r="P25" s="126" t="s">
        <v>135</v>
      </c>
      <c r="Q25" s="128"/>
      <c r="R25" s="126" t="s">
        <v>136</v>
      </c>
      <c r="S25" s="126" t="s">
        <v>58</v>
      </c>
      <c r="T25" s="128"/>
      <c r="U25" s="129" t="n">
        <v>0</v>
      </c>
      <c r="V25" s="129" t="n">
        <v>0</v>
      </c>
      <c r="W25" s="129" t="n">
        <v>0</v>
      </c>
      <c r="X25" s="129" t="n">
        <v>0</v>
      </c>
      <c r="Y25" s="129" t="n">
        <v>0</v>
      </c>
      <c r="Z25" s="129" t="n">
        <v>0</v>
      </c>
      <c r="AA25" s="129" t="n">
        <v>1</v>
      </c>
      <c r="AB25" s="129" t="n">
        <v>0</v>
      </c>
      <c r="AC25" s="129" t="n">
        <v>0</v>
      </c>
      <c r="AD25" s="129" t="n">
        <v>0</v>
      </c>
      <c r="AE25" s="129" t="n">
        <v>0</v>
      </c>
      <c r="AF25" s="129" t="n">
        <v>0</v>
      </c>
      <c r="AG25" s="129" t="n">
        <v>0</v>
      </c>
      <c r="AH25" s="129" t="n">
        <v>0</v>
      </c>
      <c r="AI25" s="129" t="n">
        <v>0</v>
      </c>
      <c r="AJ25" s="129" t="n">
        <v>0</v>
      </c>
      <c r="AK25" s="129" t="n">
        <v>0</v>
      </c>
      <c r="AL25" s="129" t="n">
        <v>0</v>
      </c>
      <c r="AM25" s="129" t="n">
        <v>0</v>
      </c>
      <c r="AN25" s="128"/>
      <c r="AO25" s="128"/>
      <c r="AP25" s="126" t="s">
        <v>138</v>
      </c>
      <c r="AQ25" s="126" t="s">
        <v>139</v>
      </c>
      <c r="AR25" s="126" t="s">
        <v>140</v>
      </c>
      <c r="AS25" s="128"/>
      <c r="AT25" s="130"/>
    </row>
    <row r="26" customFormat="false" ht="12.75" hidden="false" customHeight="true" outlineLevel="0" collapsed="false">
      <c r="B26" s="122" t="n">
        <f aca="false">B25+1</f>
        <v>23</v>
      </c>
      <c r="C26" s="123" t="s">
        <v>157</v>
      </c>
      <c r="D26" s="124" t="n">
        <v>61072</v>
      </c>
      <c r="E26" s="124" t="str">
        <f aca="false">IF(D26="","",IFERROR(VLOOKUP(D26,CCN_Library!$A$4:$B$13,2,FALSE()),"NOT IN LIBRARY"))</f>
        <v>BATTALION/SQUADRON HEADQUARTERS, MARINE CORPS</v>
      </c>
      <c r="F26" s="125" t="str">
        <f aca="false">LEFT(H26,6)</f>
        <v>M28261</v>
      </c>
      <c r="G26" s="126" t="s">
        <v>128</v>
      </c>
      <c r="H26" s="126" t="s">
        <v>200</v>
      </c>
      <c r="I26" s="126" t="s">
        <v>201</v>
      </c>
      <c r="J26" s="126" t="s">
        <v>202</v>
      </c>
      <c r="K26" s="127" t="s">
        <v>197</v>
      </c>
      <c r="L26" s="126" t="s">
        <v>197</v>
      </c>
      <c r="M26" s="126" t="s">
        <v>133</v>
      </c>
      <c r="N26" s="126" t="s">
        <v>128</v>
      </c>
      <c r="O26" s="126" t="s">
        <v>135</v>
      </c>
      <c r="P26" s="126" t="s">
        <v>135</v>
      </c>
      <c r="Q26" s="128"/>
      <c r="R26" s="126" t="s">
        <v>136</v>
      </c>
      <c r="S26" s="126" t="s">
        <v>58</v>
      </c>
      <c r="T26" s="128"/>
      <c r="U26" s="129" t="n">
        <v>0</v>
      </c>
      <c r="V26" s="129" t="n">
        <v>0</v>
      </c>
      <c r="W26" s="129" t="n">
        <v>0</v>
      </c>
      <c r="X26" s="129" t="n">
        <v>0</v>
      </c>
      <c r="Y26" s="129" t="n">
        <v>0</v>
      </c>
      <c r="Z26" s="129" t="n">
        <v>0</v>
      </c>
      <c r="AA26" s="129" t="n">
        <v>1</v>
      </c>
      <c r="AB26" s="129" t="n">
        <v>0</v>
      </c>
      <c r="AC26" s="129" t="n">
        <v>0</v>
      </c>
      <c r="AD26" s="129" t="n">
        <v>0</v>
      </c>
      <c r="AE26" s="129" t="n">
        <v>0</v>
      </c>
      <c r="AF26" s="129" t="n">
        <v>0</v>
      </c>
      <c r="AG26" s="129" t="n">
        <v>0</v>
      </c>
      <c r="AH26" s="129" t="n">
        <v>0</v>
      </c>
      <c r="AI26" s="129" t="n">
        <v>0</v>
      </c>
      <c r="AJ26" s="129" t="n">
        <v>0</v>
      </c>
      <c r="AK26" s="129" t="n">
        <v>0</v>
      </c>
      <c r="AL26" s="129" t="n">
        <v>0</v>
      </c>
      <c r="AM26" s="129" t="n">
        <v>0</v>
      </c>
      <c r="AN26" s="128"/>
      <c r="AO26" s="128"/>
      <c r="AP26" s="126" t="s">
        <v>138</v>
      </c>
      <c r="AQ26" s="126" t="s">
        <v>139</v>
      </c>
      <c r="AR26" s="126" t="s">
        <v>140</v>
      </c>
      <c r="AS26" s="128"/>
      <c r="AT26" s="130"/>
    </row>
    <row r="27" customFormat="false" ht="12.75" hidden="false" customHeight="true" outlineLevel="0" collapsed="false">
      <c r="B27" s="122" t="n">
        <f aca="false">B26+1</f>
        <v>24</v>
      </c>
      <c r="C27" s="123" t="s">
        <v>157</v>
      </c>
      <c r="D27" s="124" t="n">
        <v>61072</v>
      </c>
      <c r="E27" s="124" t="str">
        <f aca="false">IF(D27="","",IFERROR(VLOOKUP(D27,CCN_Library!$A$4:$B$13,2,FALSE()),"NOT IN LIBRARY"))</f>
        <v>BATTALION/SQUADRON HEADQUARTERS, MARINE CORPS</v>
      </c>
      <c r="F27" s="125" t="str">
        <f aca="false">LEFT(H27,6)</f>
        <v>M28261</v>
      </c>
      <c r="G27" s="126" t="s">
        <v>128</v>
      </c>
      <c r="H27" s="126" t="s">
        <v>203</v>
      </c>
      <c r="I27" s="126" t="s">
        <v>195</v>
      </c>
      <c r="J27" s="126" t="s">
        <v>204</v>
      </c>
      <c r="K27" s="127" t="s">
        <v>197</v>
      </c>
      <c r="L27" s="126" t="s">
        <v>197</v>
      </c>
      <c r="M27" s="126" t="s">
        <v>133</v>
      </c>
      <c r="N27" s="126" t="s">
        <v>128</v>
      </c>
      <c r="O27" s="126" t="s">
        <v>135</v>
      </c>
      <c r="P27" s="126" t="s">
        <v>135</v>
      </c>
      <c r="Q27" s="128"/>
      <c r="R27" s="126" t="s">
        <v>136</v>
      </c>
      <c r="S27" s="126" t="s">
        <v>58</v>
      </c>
      <c r="T27" s="128"/>
      <c r="U27" s="129" t="n">
        <v>0</v>
      </c>
      <c r="V27" s="129" t="n">
        <v>0</v>
      </c>
      <c r="W27" s="129" t="n">
        <v>0</v>
      </c>
      <c r="X27" s="129" t="n">
        <v>0</v>
      </c>
      <c r="Y27" s="129" t="n">
        <v>0</v>
      </c>
      <c r="Z27" s="129" t="n">
        <v>0</v>
      </c>
      <c r="AA27" s="129" t="n">
        <v>1</v>
      </c>
      <c r="AB27" s="129" t="n">
        <v>0</v>
      </c>
      <c r="AC27" s="129" t="n">
        <v>0</v>
      </c>
      <c r="AD27" s="129" t="n">
        <v>0</v>
      </c>
      <c r="AE27" s="129" t="n">
        <v>0</v>
      </c>
      <c r="AF27" s="129" t="n">
        <v>0</v>
      </c>
      <c r="AG27" s="129" t="n">
        <v>0</v>
      </c>
      <c r="AH27" s="129" t="n">
        <v>0</v>
      </c>
      <c r="AI27" s="129" t="n">
        <v>0</v>
      </c>
      <c r="AJ27" s="129" t="n">
        <v>0</v>
      </c>
      <c r="AK27" s="129" t="n">
        <v>0</v>
      </c>
      <c r="AL27" s="129" t="n">
        <v>0</v>
      </c>
      <c r="AM27" s="129" t="n">
        <v>0</v>
      </c>
      <c r="AN27" s="128"/>
      <c r="AO27" s="128"/>
      <c r="AP27" s="126" t="s">
        <v>138</v>
      </c>
      <c r="AQ27" s="126" t="s">
        <v>139</v>
      </c>
      <c r="AR27" s="126" t="s">
        <v>140</v>
      </c>
      <c r="AS27" s="128"/>
      <c r="AT27" s="130"/>
    </row>
    <row r="28" customFormat="false" ht="12.75" hidden="false" customHeight="true" outlineLevel="0" collapsed="false">
      <c r="B28" s="122" t="n">
        <f aca="false">B27+1</f>
        <v>25</v>
      </c>
      <c r="C28" s="123" t="s">
        <v>157</v>
      </c>
      <c r="D28" s="124" t="n">
        <v>61072</v>
      </c>
      <c r="E28" s="124" t="str">
        <f aca="false">IF(D28="","",IFERROR(VLOOKUP(D28,CCN_Library!$A$4:$B$13,2,FALSE()),"NOT IN LIBRARY"))</f>
        <v>BATTALION/SQUADRON HEADQUARTERS, MARINE CORPS</v>
      </c>
      <c r="F28" s="125" t="str">
        <f aca="false">LEFT(H28,6)</f>
        <v>M28261</v>
      </c>
      <c r="G28" s="126" t="s">
        <v>128</v>
      </c>
      <c r="H28" s="126" t="s">
        <v>205</v>
      </c>
      <c r="I28" s="126" t="s">
        <v>206</v>
      </c>
      <c r="J28" s="126" t="s">
        <v>171</v>
      </c>
      <c r="K28" s="127" t="s">
        <v>172</v>
      </c>
      <c r="L28" s="126" t="s">
        <v>172</v>
      </c>
      <c r="M28" s="126" t="s">
        <v>148</v>
      </c>
      <c r="N28" s="126" t="s">
        <v>128</v>
      </c>
      <c r="O28" s="126" t="s">
        <v>135</v>
      </c>
      <c r="P28" s="126" t="s">
        <v>135</v>
      </c>
      <c r="Q28" s="128"/>
      <c r="R28" s="126" t="s">
        <v>136</v>
      </c>
      <c r="S28" s="126" t="s">
        <v>148</v>
      </c>
      <c r="T28" s="128"/>
      <c r="U28" s="129" t="n">
        <v>0</v>
      </c>
      <c r="V28" s="129" t="n">
        <v>1</v>
      </c>
      <c r="W28" s="129" t="n">
        <v>0</v>
      </c>
      <c r="X28" s="129" t="n">
        <v>0</v>
      </c>
      <c r="Y28" s="129" t="n">
        <v>0</v>
      </c>
      <c r="Z28" s="129" t="n">
        <v>0</v>
      </c>
      <c r="AA28" s="129" t="n">
        <v>0</v>
      </c>
      <c r="AB28" s="129" t="n">
        <v>0</v>
      </c>
      <c r="AC28" s="129" t="n">
        <v>0</v>
      </c>
      <c r="AD28" s="129" t="n">
        <v>0</v>
      </c>
      <c r="AE28" s="129" t="n">
        <v>0</v>
      </c>
      <c r="AF28" s="129" t="n">
        <v>0</v>
      </c>
      <c r="AG28" s="129" t="n">
        <v>0</v>
      </c>
      <c r="AH28" s="129" t="n">
        <v>0</v>
      </c>
      <c r="AI28" s="129" t="n">
        <v>0</v>
      </c>
      <c r="AJ28" s="129" t="n">
        <v>0</v>
      </c>
      <c r="AK28" s="129" t="n">
        <v>0</v>
      </c>
      <c r="AL28" s="129" t="n">
        <v>0</v>
      </c>
      <c r="AM28" s="129" t="n">
        <v>0</v>
      </c>
      <c r="AN28" s="128"/>
      <c r="AO28" s="128"/>
      <c r="AP28" s="126" t="s">
        <v>138</v>
      </c>
      <c r="AQ28" s="126" t="s">
        <v>139</v>
      </c>
      <c r="AR28" s="126" t="s">
        <v>140</v>
      </c>
      <c r="AS28" s="128"/>
      <c r="AT28" s="130"/>
    </row>
    <row r="29" customFormat="false" ht="12.75" hidden="false" customHeight="true" outlineLevel="0" collapsed="false">
      <c r="B29" s="131" t="n">
        <f aca="false">B28+1</f>
        <v>26</v>
      </c>
      <c r="C29" s="132" t="s">
        <v>125</v>
      </c>
      <c r="D29" s="133" t="n">
        <v>61072</v>
      </c>
      <c r="E29" s="133"/>
      <c r="F29" s="134" t="str">
        <f aca="false">LEFT(H29,6)</f>
        <v>M28261</v>
      </c>
      <c r="G29" s="135" t="s">
        <v>177</v>
      </c>
      <c r="H29" s="135" t="s">
        <v>207</v>
      </c>
      <c r="I29" s="135" t="s">
        <v>208</v>
      </c>
      <c r="J29" s="136"/>
      <c r="K29" s="136"/>
      <c r="L29" s="136"/>
      <c r="M29" s="136"/>
      <c r="N29" s="136"/>
      <c r="O29" s="136"/>
      <c r="P29" s="136"/>
      <c r="Q29" s="136"/>
      <c r="R29" s="136"/>
      <c r="S29" s="136"/>
      <c r="T29" s="136"/>
      <c r="U29" s="137" t="n">
        <v>0</v>
      </c>
      <c r="V29" s="137" t="n">
        <v>0</v>
      </c>
      <c r="W29" s="137" t="n">
        <v>0</v>
      </c>
      <c r="X29" s="137" t="n">
        <v>0</v>
      </c>
      <c r="Y29" s="137" t="n">
        <v>0</v>
      </c>
      <c r="Z29" s="137" t="n">
        <v>0</v>
      </c>
      <c r="AA29" s="137" t="n">
        <v>0</v>
      </c>
      <c r="AB29" s="137" t="n">
        <v>0</v>
      </c>
      <c r="AC29" s="137" t="n">
        <v>0</v>
      </c>
      <c r="AD29" s="137" t="n">
        <v>0</v>
      </c>
      <c r="AE29" s="137" t="n">
        <v>0</v>
      </c>
      <c r="AF29" s="137" t="n">
        <v>0</v>
      </c>
      <c r="AG29" s="137" t="n">
        <v>0</v>
      </c>
      <c r="AH29" s="137" t="n">
        <v>0</v>
      </c>
      <c r="AI29" s="137" t="n">
        <v>0</v>
      </c>
      <c r="AJ29" s="137" t="n">
        <v>0</v>
      </c>
      <c r="AK29" s="137" t="n">
        <v>0</v>
      </c>
      <c r="AL29" s="137" t="n">
        <v>0</v>
      </c>
      <c r="AM29" s="137" t="n">
        <v>0</v>
      </c>
      <c r="AN29" s="136"/>
      <c r="AO29" s="136"/>
      <c r="AP29" s="136"/>
      <c r="AQ29" s="136"/>
      <c r="AR29" s="136"/>
      <c r="AS29" s="136"/>
      <c r="AT29" s="138"/>
    </row>
    <row r="30" customFormat="false" ht="12.75" hidden="false" customHeight="true" outlineLevel="0" collapsed="false">
      <c r="B30" s="122" t="n">
        <f aca="false">B29+1</f>
        <v>27</v>
      </c>
      <c r="C30" s="123" t="s">
        <v>125</v>
      </c>
      <c r="D30" s="124" t="n">
        <v>61072</v>
      </c>
      <c r="E30" s="124" t="str">
        <f aca="false">IF(D30="","",IFERROR(VLOOKUP(D30,CCN_Library!$A$4:$B$13,2,FALSE()),"NOT IN LIBRARY"))</f>
        <v>BATTALION/SQUADRON HEADQUARTERS, MARINE CORPS</v>
      </c>
      <c r="F30" s="125" t="str">
        <f aca="false">LEFT(H30,6)</f>
        <v>M28261</v>
      </c>
      <c r="G30" s="126" t="s">
        <v>128</v>
      </c>
      <c r="H30" s="126" t="s">
        <v>209</v>
      </c>
      <c r="I30" s="126" t="s">
        <v>210</v>
      </c>
      <c r="J30" s="126" t="s">
        <v>211</v>
      </c>
      <c r="K30" s="127" t="s">
        <v>132</v>
      </c>
      <c r="L30" s="126" t="s">
        <v>132</v>
      </c>
      <c r="M30" s="126" t="s">
        <v>133</v>
      </c>
      <c r="N30" s="126" t="s">
        <v>134</v>
      </c>
      <c r="O30" s="126" t="s">
        <v>135</v>
      </c>
      <c r="P30" s="126" t="s">
        <v>135</v>
      </c>
      <c r="Q30" s="128"/>
      <c r="R30" s="126" t="s">
        <v>136</v>
      </c>
      <c r="S30" s="126" t="s">
        <v>137</v>
      </c>
      <c r="T30" s="128"/>
      <c r="U30" s="129" t="n">
        <v>0</v>
      </c>
      <c r="V30" s="129" t="n">
        <v>0</v>
      </c>
      <c r="W30" s="129" t="n">
        <v>0</v>
      </c>
      <c r="X30" s="129" t="n">
        <v>0</v>
      </c>
      <c r="Y30" s="129" t="n">
        <v>0</v>
      </c>
      <c r="Z30" s="129" t="n">
        <v>1</v>
      </c>
      <c r="AA30" s="129" t="n">
        <v>0</v>
      </c>
      <c r="AB30" s="129" t="n">
        <v>0</v>
      </c>
      <c r="AC30" s="129" t="n">
        <v>0</v>
      </c>
      <c r="AD30" s="129" t="n">
        <v>0</v>
      </c>
      <c r="AE30" s="129" t="n">
        <v>0</v>
      </c>
      <c r="AF30" s="129" t="n">
        <v>0</v>
      </c>
      <c r="AG30" s="129" t="n">
        <v>0</v>
      </c>
      <c r="AH30" s="129" t="n">
        <v>0</v>
      </c>
      <c r="AI30" s="129" t="n">
        <v>0</v>
      </c>
      <c r="AJ30" s="129" t="n">
        <v>0</v>
      </c>
      <c r="AK30" s="129" t="n">
        <v>0</v>
      </c>
      <c r="AL30" s="129" t="n">
        <v>0</v>
      </c>
      <c r="AM30" s="129" t="n">
        <v>0</v>
      </c>
      <c r="AN30" s="128"/>
      <c r="AO30" s="128"/>
      <c r="AP30" s="126" t="s">
        <v>138</v>
      </c>
      <c r="AQ30" s="126" t="s">
        <v>139</v>
      </c>
      <c r="AR30" s="126" t="s">
        <v>140</v>
      </c>
      <c r="AS30" s="128"/>
      <c r="AT30" s="130"/>
    </row>
    <row r="31" customFormat="false" ht="12.75" hidden="false" customHeight="true" outlineLevel="0" collapsed="false">
      <c r="B31" s="122" t="n">
        <f aca="false">B30+1</f>
        <v>28</v>
      </c>
      <c r="C31" s="123" t="s">
        <v>125</v>
      </c>
      <c r="D31" s="124" t="n">
        <v>61072</v>
      </c>
      <c r="E31" s="124" t="str">
        <f aca="false">IF(D31="","",IFERROR(VLOOKUP(D31,CCN_Library!$A$4:$B$13,2,FALSE()),"NOT IN LIBRARY"))</f>
        <v>BATTALION/SQUADRON HEADQUARTERS, MARINE CORPS</v>
      </c>
      <c r="F31" s="125" t="str">
        <f aca="false">LEFT(H31,6)</f>
        <v>M28261</v>
      </c>
      <c r="G31" s="126" t="s">
        <v>128</v>
      </c>
      <c r="H31" s="126" t="s">
        <v>212</v>
      </c>
      <c r="I31" s="126" t="s">
        <v>159</v>
      </c>
      <c r="J31" s="126" t="s">
        <v>187</v>
      </c>
      <c r="K31" s="127" t="s">
        <v>161</v>
      </c>
      <c r="L31" s="126" t="s">
        <v>161</v>
      </c>
      <c r="M31" s="126" t="s">
        <v>133</v>
      </c>
      <c r="N31" s="126" t="s">
        <v>128</v>
      </c>
      <c r="O31" s="126" t="s">
        <v>135</v>
      </c>
      <c r="P31" s="126" t="s">
        <v>135</v>
      </c>
      <c r="Q31" s="128"/>
      <c r="R31" s="126" t="s">
        <v>136</v>
      </c>
      <c r="S31" s="126" t="s">
        <v>137</v>
      </c>
      <c r="T31" s="128"/>
      <c r="U31" s="129" t="n">
        <v>0</v>
      </c>
      <c r="V31" s="129" t="n">
        <v>0</v>
      </c>
      <c r="W31" s="129" t="n">
        <v>0</v>
      </c>
      <c r="X31" s="129" t="n">
        <v>0</v>
      </c>
      <c r="Y31" s="129" t="n">
        <v>0</v>
      </c>
      <c r="Z31" s="129" t="n">
        <v>0</v>
      </c>
      <c r="AA31" s="129" t="n">
        <v>1</v>
      </c>
      <c r="AB31" s="129" t="n">
        <v>0</v>
      </c>
      <c r="AC31" s="129" t="n">
        <v>0</v>
      </c>
      <c r="AD31" s="129" t="n">
        <v>0</v>
      </c>
      <c r="AE31" s="129" t="n">
        <v>0</v>
      </c>
      <c r="AF31" s="129" t="n">
        <v>0</v>
      </c>
      <c r="AG31" s="129" t="n">
        <v>0</v>
      </c>
      <c r="AH31" s="129" t="n">
        <v>0</v>
      </c>
      <c r="AI31" s="129" t="n">
        <v>0</v>
      </c>
      <c r="AJ31" s="129" t="n">
        <v>0</v>
      </c>
      <c r="AK31" s="129" t="n">
        <v>0</v>
      </c>
      <c r="AL31" s="129" t="n">
        <v>0</v>
      </c>
      <c r="AM31" s="129" t="n">
        <v>0</v>
      </c>
      <c r="AN31" s="128"/>
      <c r="AO31" s="128"/>
      <c r="AP31" s="126" t="s">
        <v>138</v>
      </c>
      <c r="AQ31" s="126" t="s">
        <v>139</v>
      </c>
      <c r="AR31" s="126" t="s">
        <v>140</v>
      </c>
      <c r="AS31" s="128"/>
      <c r="AT31" s="130"/>
    </row>
    <row r="32" customFormat="false" ht="12.75" hidden="false" customHeight="true" outlineLevel="0" collapsed="false">
      <c r="B32" s="122" t="n">
        <f aca="false">B31+1</f>
        <v>29</v>
      </c>
      <c r="C32" s="123" t="s">
        <v>125</v>
      </c>
      <c r="D32" s="124" t="n">
        <v>61072</v>
      </c>
      <c r="E32" s="124" t="str">
        <f aca="false">IF(D32="","",IFERROR(VLOOKUP(D32,CCN_Library!$A$4:$B$13,2,FALSE()),"NOT IN LIBRARY"))</f>
        <v>BATTALION/SQUADRON HEADQUARTERS, MARINE CORPS</v>
      </c>
      <c r="F32" s="125" t="str">
        <f aca="false">LEFT(H32,6)</f>
        <v>M28261</v>
      </c>
      <c r="G32" s="126" t="s">
        <v>128</v>
      </c>
      <c r="H32" s="126" t="s">
        <v>213</v>
      </c>
      <c r="I32" s="126" t="s">
        <v>159</v>
      </c>
      <c r="J32" s="126" t="s">
        <v>189</v>
      </c>
      <c r="K32" s="127" t="s">
        <v>161</v>
      </c>
      <c r="L32" s="126" t="s">
        <v>161</v>
      </c>
      <c r="M32" s="126" t="s">
        <v>133</v>
      </c>
      <c r="N32" s="126" t="s">
        <v>128</v>
      </c>
      <c r="O32" s="126" t="s">
        <v>135</v>
      </c>
      <c r="P32" s="126" t="s">
        <v>135</v>
      </c>
      <c r="Q32" s="128"/>
      <c r="R32" s="126" t="s">
        <v>136</v>
      </c>
      <c r="S32" s="126" t="s">
        <v>137</v>
      </c>
      <c r="T32" s="128"/>
      <c r="U32" s="129" t="n">
        <v>0</v>
      </c>
      <c r="V32" s="129" t="n">
        <v>0</v>
      </c>
      <c r="W32" s="129" t="n">
        <v>0</v>
      </c>
      <c r="X32" s="129" t="n">
        <v>0</v>
      </c>
      <c r="Y32" s="129" t="n">
        <v>0</v>
      </c>
      <c r="Z32" s="129" t="n">
        <v>0</v>
      </c>
      <c r="AA32" s="129" t="n">
        <v>1</v>
      </c>
      <c r="AB32" s="129" t="n">
        <v>0</v>
      </c>
      <c r="AC32" s="129" t="n">
        <v>0</v>
      </c>
      <c r="AD32" s="129" t="n">
        <v>0</v>
      </c>
      <c r="AE32" s="129" t="n">
        <v>0</v>
      </c>
      <c r="AF32" s="129" t="n">
        <v>0</v>
      </c>
      <c r="AG32" s="129" t="n">
        <v>0</v>
      </c>
      <c r="AH32" s="129" t="n">
        <v>0</v>
      </c>
      <c r="AI32" s="129" t="n">
        <v>0</v>
      </c>
      <c r="AJ32" s="129" t="n">
        <v>0</v>
      </c>
      <c r="AK32" s="129" t="n">
        <v>0</v>
      </c>
      <c r="AL32" s="129" t="n">
        <v>0</v>
      </c>
      <c r="AM32" s="129" t="n">
        <v>0</v>
      </c>
      <c r="AN32" s="128"/>
      <c r="AO32" s="128"/>
      <c r="AP32" s="126" t="s">
        <v>138</v>
      </c>
      <c r="AQ32" s="126" t="s">
        <v>139</v>
      </c>
      <c r="AR32" s="126" t="s">
        <v>140</v>
      </c>
      <c r="AS32" s="128"/>
      <c r="AT32" s="130"/>
    </row>
    <row r="33" customFormat="false" ht="12.75" hidden="false" customHeight="true" outlineLevel="0" collapsed="false">
      <c r="B33" s="122" t="n">
        <f aca="false">B32+1</f>
        <v>30</v>
      </c>
      <c r="C33" s="123" t="s">
        <v>125</v>
      </c>
      <c r="D33" s="124" t="n">
        <v>61072</v>
      </c>
      <c r="E33" s="124" t="str">
        <f aca="false">IF(D33="","",IFERROR(VLOOKUP(D33,CCN_Library!$A$4:$B$13,2,FALSE()),"NOT IN LIBRARY"))</f>
        <v>BATTALION/SQUADRON HEADQUARTERS, MARINE CORPS</v>
      </c>
      <c r="F33" s="125" t="str">
        <f aca="false">LEFT(H33,6)</f>
        <v>M28261</v>
      </c>
      <c r="G33" s="126" t="s">
        <v>128</v>
      </c>
      <c r="H33" s="126" t="s">
        <v>214</v>
      </c>
      <c r="I33" s="126" t="s">
        <v>215</v>
      </c>
      <c r="J33" s="126" t="s">
        <v>182</v>
      </c>
      <c r="K33" s="127" t="s">
        <v>132</v>
      </c>
      <c r="L33" s="126" t="s">
        <v>132</v>
      </c>
      <c r="M33" s="126" t="s">
        <v>133</v>
      </c>
      <c r="N33" s="126" t="s">
        <v>134</v>
      </c>
      <c r="O33" s="126" t="s">
        <v>135</v>
      </c>
      <c r="P33" s="126" t="s">
        <v>135</v>
      </c>
      <c r="Q33" s="128"/>
      <c r="R33" s="126" t="s">
        <v>136</v>
      </c>
      <c r="S33" s="126" t="s">
        <v>137</v>
      </c>
      <c r="T33" s="128"/>
      <c r="U33" s="129" t="n">
        <v>0</v>
      </c>
      <c r="V33" s="129" t="n">
        <v>0</v>
      </c>
      <c r="W33" s="129" t="n">
        <v>0</v>
      </c>
      <c r="X33" s="129" t="n">
        <v>0</v>
      </c>
      <c r="Y33" s="129" t="n">
        <v>0</v>
      </c>
      <c r="Z33" s="129" t="n">
        <v>1</v>
      </c>
      <c r="AA33" s="129" t="n">
        <v>0</v>
      </c>
      <c r="AB33" s="129" t="n">
        <v>0</v>
      </c>
      <c r="AC33" s="129" t="n">
        <v>0</v>
      </c>
      <c r="AD33" s="129" t="n">
        <v>0</v>
      </c>
      <c r="AE33" s="129" t="n">
        <v>0</v>
      </c>
      <c r="AF33" s="129" t="n">
        <v>0</v>
      </c>
      <c r="AG33" s="129" t="n">
        <v>0</v>
      </c>
      <c r="AH33" s="129" t="n">
        <v>0</v>
      </c>
      <c r="AI33" s="129" t="n">
        <v>0</v>
      </c>
      <c r="AJ33" s="129" t="n">
        <v>0</v>
      </c>
      <c r="AK33" s="129" t="n">
        <v>0</v>
      </c>
      <c r="AL33" s="129" t="n">
        <v>0</v>
      </c>
      <c r="AM33" s="129" t="n">
        <v>0</v>
      </c>
      <c r="AN33" s="128"/>
      <c r="AO33" s="128"/>
      <c r="AP33" s="126" t="s">
        <v>138</v>
      </c>
      <c r="AQ33" s="126" t="s">
        <v>139</v>
      </c>
      <c r="AR33" s="126" t="s">
        <v>140</v>
      </c>
      <c r="AS33" s="128"/>
      <c r="AT33" s="139"/>
    </row>
    <row r="34" customFormat="false" ht="12.75" hidden="false" customHeight="true" outlineLevel="0" collapsed="false">
      <c r="B34" s="122" t="n">
        <f aca="false">B33+1</f>
        <v>31</v>
      </c>
      <c r="C34" s="123" t="s">
        <v>125</v>
      </c>
      <c r="D34" s="124" t="n">
        <v>61072</v>
      </c>
      <c r="E34" s="124" t="str">
        <f aca="false">IF(D34="","",IFERROR(VLOOKUP(D34,CCN_Library!$A$4:$B$13,2,FALSE()),"NOT IN LIBRARY"))</f>
        <v>BATTALION/SQUADRON HEADQUARTERS, MARINE CORPS</v>
      </c>
      <c r="F34" s="125" t="str">
        <f aca="false">LEFT(H34,6)</f>
        <v>M28261</v>
      </c>
      <c r="G34" s="126" t="s">
        <v>128</v>
      </c>
      <c r="H34" s="126" t="s">
        <v>216</v>
      </c>
      <c r="I34" s="126" t="s">
        <v>159</v>
      </c>
      <c r="J34" s="126" t="s">
        <v>187</v>
      </c>
      <c r="K34" s="127" t="s">
        <v>161</v>
      </c>
      <c r="L34" s="126" t="s">
        <v>161</v>
      </c>
      <c r="M34" s="126" t="s">
        <v>133</v>
      </c>
      <c r="N34" s="126" t="s">
        <v>128</v>
      </c>
      <c r="O34" s="126" t="s">
        <v>135</v>
      </c>
      <c r="P34" s="126" t="s">
        <v>135</v>
      </c>
      <c r="Q34" s="128"/>
      <c r="R34" s="126" t="s">
        <v>136</v>
      </c>
      <c r="S34" s="126" t="s">
        <v>137</v>
      </c>
      <c r="T34" s="128"/>
      <c r="U34" s="129" t="n">
        <v>0</v>
      </c>
      <c r="V34" s="129" t="n">
        <v>0</v>
      </c>
      <c r="W34" s="129" t="n">
        <v>0</v>
      </c>
      <c r="X34" s="129" t="n">
        <v>0</v>
      </c>
      <c r="Y34" s="129" t="n">
        <v>0</v>
      </c>
      <c r="Z34" s="129" t="n">
        <v>0</v>
      </c>
      <c r="AA34" s="129" t="n">
        <v>1</v>
      </c>
      <c r="AB34" s="129" t="n">
        <v>0</v>
      </c>
      <c r="AC34" s="129" t="n">
        <v>0</v>
      </c>
      <c r="AD34" s="129" t="n">
        <v>0</v>
      </c>
      <c r="AE34" s="129" t="n">
        <v>0</v>
      </c>
      <c r="AF34" s="129" t="n">
        <v>0</v>
      </c>
      <c r="AG34" s="129" t="n">
        <v>0</v>
      </c>
      <c r="AH34" s="129" t="n">
        <v>0</v>
      </c>
      <c r="AI34" s="129" t="n">
        <v>0</v>
      </c>
      <c r="AJ34" s="129" t="n">
        <v>0</v>
      </c>
      <c r="AK34" s="129" t="n">
        <v>0</v>
      </c>
      <c r="AL34" s="129" t="n">
        <v>0</v>
      </c>
      <c r="AM34" s="129" t="n">
        <v>0</v>
      </c>
      <c r="AN34" s="128"/>
      <c r="AO34" s="128"/>
      <c r="AP34" s="126" t="s">
        <v>138</v>
      </c>
      <c r="AQ34" s="126" t="s">
        <v>139</v>
      </c>
      <c r="AR34" s="126" t="s">
        <v>140</v>
      </c>
      <c r="AS34" s="128"/>
      <c r="AT34" s="130"/>
    </row>
    <row r="35" customFormat="false" ht="12.75" hidden="false" customHeight="true" outlineLevel="0" collapsed="false">
      <c r="B35" s="122" t="n">
        <f aca="false">B34+1</f>
        <v>32</v>
      </c>
      <c r="C35" s="123" t="s">
        <v>157</v>
      </c>
      <c r="D35" s="124" t="n">
        <v>61072</v>
      </c>
      <c r="E35" s="124" t="str">
        <f aca="false">IF(D35="","",IFERROR(VLOOKUP(D35,CCN_Library!$A$4:$B$13,2,FALSE()),"NOT IN LIBRARY"))</f>
        <v>BATTALION/SQUADRON HEADQUARTERS, MARINE CORPS</v>
      </c>
      <c r="F35" s="125" t="str">
        <f aca="false">LEFT(H35,6)</f>
        <v>M28261</v>
      </c>
      <c r="G35" s="126" t="s">
        <v>128</v>
      </c>
      <c r="H35" s="126" t="s">
        <v>217</v>
      </c>
      <c r="I35" s="126" t="s">
        <v>159</v>
      </c>
      <c r="J35" s="126" t="s">
        <v>191</v>
      </c>
      <c r="K35" s="127" t="s">
        <v>161</v>
      </c>
      <c r="L35" s="126" t="s">
        <v>161</v>
      </c>
      <c r="M35" s="126" t="s">
        <v>133</v>
      </c>
      <c r="N35" s="126" t="s">
        <v>128</v>
      </c>
      <c r="O35" s="126" t="s">
        <v>135</v>
      </c>
      <c r="P35" s="126" t="s">
        <v>135</v>
      </c>
      <c r="Q35" s="128"/>
      <c r="R35" s="126" t="s">
        <v>136</v>
      </c>
      <c r="S35" s="126" t="s">
        <v>58</v>
      </c>
      <c r="T35" s="128"/>
      <c r="U35" s="129" t="n">
        <v>0</v>
      </c>
      <c r="V35" s="129" t="n">
        <v>0</v>
      </c>
      <c r="W35" s="129" t="n">
        <v>0</v>
      </c>
      <c r="X35" s="129" t="n">
        <v>0</v>
      </c>
      <c r="Y35" s="129" t="n">
        <v>0</v>
      </c>
      <c r="Z35" s="129" t="n">
        <v>0</v>
      </c>
      <c r="AA35" s="129" t="n">
        <v>1</v>
      </c>
      <c r="AB35" s="129" t="n">
        <v>0</v>
      </c>
      <c r="AC35" s="129" t="n">
        <v>0</v>
      </c>
      <c r="AD35" s="129" t="n">
        <v>0</v>
      </c>
      <c r="AE35" s="129" t="n">
        <v>0</v>
      </c>
      <c r="AF35" s="129" t="n">
        <v>0</v>
      </c>
      <c r="AG35" s="129" t="n">
        <v>0</v>
      </c>
      <c r="AH35" s="129" t="n">
        <v>0</v>
      </c>
      <c r="AI35" s="129" t="n">
        <v>0</v>
      </c>
      <c r="AJ35" s="129" t="n">
        <v>0</v>
      </c>
      <c r="AK35" s="129" t="n">
        <v>0</v>
      </c>
      <c r="AL35" s="129" t="n">
        <v>0</v>
      </c>
      <c r="AM35" s="129" t="n">
        <v>0</v>
      </c>
      <c r="AN35" s="128"/>
      <c r="AO35" s="128"/>
      <c r="AP35" s="126" t="s">
        <v>138</v>
      </c>
      <c r="AQ35" s="126" t="s">
        <v>139</v>
      </c>
      <c r="AR35" s="126" t="s">
        <v>140</v>
      </c>
      <c r="AS35" s="128"/>
      <c r="AT35" s="130"/>
    </row>
    <row r="36" customFormat="false" ht="12.75" hidden="false" customHeight="true" outlineLevel="0" collapsed="false">
      <c r="B36" s="122" t="n">
        <f aca="false">B35+1</f>
        <v>33</v>
      </c>
      <c r="C36" s="123" t="s">
        <v>157</v>
      </c>
      <c r="D36" s="124" t="n">
        <v>61072</v>
      </c>
      <c r="E36" s="124" t="str">
        <f aca="false">IF(D36="","",IFERROR(VLOOKUP(D36,CCN_Library!$A$4:$B$13,2,FALSE()),"NOT IN LIBRARY"))</f>
        <v>BATTALION/SQUADRON HEADQUARTERS, MARINE CORPS</v>
      </c>
      <c r="F36" s="125" t="str">
        <f aca="false">LEFT(H36,6)</f>
        <v>M28261</v>
      </c>
      <c r="G36" s="126" t="s">
        <v>128</v>
      </c>
      <c r="H36" s="126" t="s">
        <v>218</v>
      </c>
      <c r="I36" s="126" t="s">
        <v>159</v>
      </c>
      <c r="J36" s="126" t="s">
        <v>191</v>
      </c>
      <c r="K36" s="127" t="s">
        <v>161</v>
      </c>
      <c r="L36" s="126" t="s">
        <v>161</v>
      </c>
      <c r="M36" s="126" t="s">
        <v>133</v>
      </c>
      <c r="N36" s="126" t="s">
        <v>128</v>
      </c>
      <c r="O36" s="126" t="s">
        <v>135</v>
      </c>
      <c r="P36" s="126" t="s">
        <v>135</v>
      </c>
      <c r="Q36" s="128"/>
      <c r="R36" s="126" t="s">
        <v>136</v>
      </c>
      <c r="S36" s="126" t="s">
        <v>58</v>
      </c>
      <c r="T36" s="128"/>
      <c r="U36" s="129" t="n">
        <v>0</v>
      </c>
      <c r="V36" s="129" t="n">
        <v>0</v>
      </c>
      <c r="W36" s="129" t="n">
        <v>0</v>
      </c>
      <c r="X36" s="129" t="n">
        <v>0</v>
      </c>
      <c r="Y36" s="129" t="n">
        <v>0</v>
      </c>
      <c r="Z36" s="129" t="n">
        <v>0</v>
      </c>
      <c r="AA36" s="129" t="n">
        <v>1</v>
      </c>
      <c r="AB36" s="129" t="n">
        <v>0</v>
      </c>
      <c r="AC36" s="129" t="n">
        <v>0</v>
      </c>
      <c r="AD36" s="129" t="n">
        <v>0</v>
      </c>
      <c r="AE36" s="129" t="n">
        <v>0</v>
      </c>
      <c r="AF36" s="129" t="n">
        <v>0</v>
      </c>
      <c r="AG36" s="129" t="n">
        <v>0</v>
      </c>
      <c r="AH36" s="129" t="n">
        <v>0</v>
      </c>
      <c r="AI36" s="129" t="n">
        <v>0</v>
      </c>
      <c r="AJ36" s="129" t="n">
        <v>0</v>
      </c>
      <c r="AK36" s="129" t="n">
        <v>0</v>
      </c>
      <c r="AL36" s="129" t="n">
        <v>0</v>
      </c>
      <c r="AM36" s="129" t="n">
        <v>0</v>
      </c>
      <c r="AN36" s="128"/>
      <c r="AO36" s="128"/>
      <c r="AP36" s="126" t="s">
        <v>138</v>
      </c>
      <c r="AQ36" s="126" t="s">
        <v>139</v>
      </c>
      <c r="AR36" s="126" t="s">
        <v>140</v>
      </c>
      <c r="AS36" s="128"/>
      <c r="AT36" s="130"/>
    </row>
    <row r="37" customFormat="false" ht="12.75" hidden="false" customHeight="true" outlineLevel="0" collapsed="false">
      <c r="B37" s="122" t="n">
        <f aca="false">B36+1</f>
        <v>34</v>
      </c>
      <c r="C37" s="123" t="s">
        <v>125</v>
      </c>
      <c r="D37" s="124" t="n">
        <v>61072</v>
      </c>
      <c r="E37" s="124" t="str">
        <f aca="false">IF(D37="","",IFERROR(VLOOKUP(D37,CCN_Library!$A$4:$B$13,2,FALSE()),"NOT IN LIBRARY"))</f>
        <v>BATTALION/SQUADRON HEADQUARTERS, MARINE CORPS</v>
      </c>
      <c r="F37" s="125" t="str">
        <f aca="false">LEFT(H37,6)</f>
        <v>M28261</v>
      </c>
      <c r="G37" s="126" t="s">
        <v>128</v>
      </c>
      <c r="H37" s="126" t="s">
        <v>219</v>
      </c>
      <c r="I37" s="126" t="s">
        <v>220</v>
      </c>
      <c r="J37" s="126" t="s">
        <v>182</v>
      </c>
      <c r="K37" s="127" t="s">
        <v>132</v>
      </c>
      <c r="L37" s="126" t="s">
        <v>132</v>
      </c>
      <c r="M37" s="126" t="s">
        <v>133</v>
      </c>
      <c r="N37" s="126" t="s">
        <v>134</v>
      </c>
      <c r="O37" s="126" t="s">
        <v>135</v>
      </c>
      <c r="P37" s="126" t="s">
        <v>135</v>
      </c>
      <c r="Q37" s="128"/>
      <c r="R37" s="126" t="s">
        <v>136</v>
      </c>
      <c r="S37" s="126" t="s">
        <v>137</v>
      </c>
      <c r="T37" s="128"/>
      <c r="U37" s="129" t="n">
        <v>0</v>
      </c>
      <c r="V37" s="129" t="n">
        <v>0</v>
      </c>
      <c r="W37" s="129" t="n">
        <v>0</v>
      </c>
      <c r="X37" s="129" t="n">
        <v>0</v>
      </c>
      <c r="Y37" s="129" t="n">
        <v>0</v>
      </c>
      <c r="Z37" s="129" t="n">
        <v>1</v>
      </c>
      <c r="AA37" s="129" t="n">
        <v>0</v>
      </c>
      <c r="AB37" s="129" t="n">
        <v>0</v>
      </c>
      <c r="AC37" s="129" t="n">
        <v>0</v>
      </c>
      <c r="AD37" s="129" t="n">
        <v>0</v>
      </c>
      <c r="AE37" s="129" t="n">
        <v>0</v>
      </c>
      <c r="AF37" s="129" t="n">
        <v>0</v>
      </c>
      <c r="AG37" s="129" t="n">
        <v>0</v>
      </c>
      <c r="AH37" s="129" t="n">
        <v>0</v>
      </c>
      <c r="AI37" s="129" t="n">
        <v>0</v>
      </c>
      <c r="AJ37" s="129" t="n">
        <v>0</v>
      </c>
      <c r="AK37" s="129" t="n">
        <v>0</v>
      </c>
      <c r="AL37" s="129" t="n">
        <v>0</v>
      </c>
      <c r="AM37" s="129" t="n">
        <v>0</v>
      </c>
      <c r="AN37" s="128"/>
      <c r="AO37" s="128"/>
      <c r="AP37" s="126" t="s">
        <v>138</v>
      </c>
      <c r="AQ37" s="126" t="s">
        <v>139</v>
      </c>
      <c r="AR37" s="126" t="s">
        <v>140</v>
      </c>
      <c r="AS37" s="128"/>
      <c r="AT37" s="130"/>
    </row>
    <row r="38" customFormat="false" ht="12.75" hidden="false" customHeight="true" outlineLevel="0" collapsed="false">
      <c r="B38" s="122" t="n">
        <f aca="false">B37+1</f>
        <v>35</v>
      </c>
      <c r="C38" s="123" t="s">
        <v>125</v>
      </c>
      <c r="D38" s="124" t="n">
        <v>61072</v>
      </c>
      <c r="E38" s="124" t="str">
        <f aca="false">IF(D38="","",IFERROR(VLOOKUP(D38,CCN_Library!$A$4:$B$13,2,FALSE()),"NOT IN LIBRARY"))</f>
        <v>BATTALION/SQUADRON HEADQUARTERS, MARINE CORPS</v>
      </c>
      <c r="F38" s="125" t="str">
        <f aca="false">LEFT(H38,6)</f>
        <v>M28261</v>
      </c>
      <c r="G38" s="126" t="s">
        <v>128</v>
      </c>
      <c r="H38" s="126" t="s">
        <v>221</v>
      </c>
      <c r="I38" s="126" t="s">
        <v>222</v>
      </c>
      <c r="J38" s="126" t="s">
        <v>143</v>
      </c>
      <c r="K38" s="127" t="s">
        <v>223</v>
      </c>
      <c r="L38" s="126" t="s">
        <v>223</v>
      </c>
      <c r="M38" s="126" t="s">
        <v>133</v>
      </c>
      <c r="N38" s="126" t="s">
        <v>134</v>
      </c>
      <c r="O38" s="126" t="s">
        <v>135</v>
      </c>
      <c r="P38" s="126" t="s">
        <v>135</v>
      </c>
      <c r="Q38" s="128"/>
      <c r="R38" s="126" t="s">
        <v>136</v>
      </c>
      <c r="S38" s="126" t="s">
        <v>137</v>
      </c>
      <c r="T38" s="128"/>
      <c r="U38" s="129" t="n">
        <v>0</v>
      </c>
      <c r="V38" s="129" t="n">
        <v>0</v>
      </c>
      <c r="W38" s="129" t="n">
        <v>0</v>
      </c>
      <c r="X38" s="129" t="n">
        <v>0</v>
      </c>
      <c r="Y38" s="129" t="n">
        <v>0</v>
      </c>
      <c r="Z38" s="129" t="n">
        <v>1</v>
      </c>
      <c r="AA38" s="129" t="n">
        <v>0</v>
      </c>
      <c r="AB38" s="129" t="n">
        <v>0</v>
      </c>
      <c r="AC38" s="129" t="n">
        <v>0</v>
      </c>
      <c r="AD38" s="129" t="n">
        <v>0</v>
      </c>
      <c r="AE38" s="129" t="n">
        <v>0</v>
      </c>
      <c r="AF38" s="129" t="n">
        <v>0</v>
      </c>
      <c r="AG38" s="129" t="n">
        <v>0</v>
      </c>
      <c r="AH38" s="129" t="n">
        <v>0</v>
      </c>
      <c r="AI38" s="129" t="n">
        <v>0</v>
      </c>
      <c r="AJ38" s="129" t="n">
        <v>0</v>
      </c>
      <c r="AK38" s="129" t="n">
        <v>0</v>
      </c>
      <c r="AL38" s="129" t="n">
        <v>0</v>
      </c>
      <c r="AM38" s="129" t="n">
        <v>0</v>
      </c>
      <c r="AN38" s="128"/>
      <c r="AO38" s="128"/>
      <c r="AP38" s="126" t="s">
        <v>138</v>
      </c>
      <c r="AQ38" s="126" t="s">
        <v>139</v>
      </c>
      <c r="AR38" s="126" t="s">
        <v>140</v>
      </c>
      <c r="AS38" s="128"/>
      <c r="AT38" s="130"/>
    </row>
    <row r="39" customFormat="false" ht="12.75" hidden="false" customHeight="true" outlineLevel="0" collapsed="false">
      <c r="B39" s="122" t="n">
        <f aca="false">B38+1</f>
        <v>36</v>
      </c>
      <c r="C39" s="123" t="s">
        <v>125</v>
      </c>
      <c r="D39" s="124" t="n">
        <v>61072</v>
      </c>
      <c r="E39" s="124" t="str">
        <f aca="false">IF(D39="","",IFERROR(VLOOKUP(D39,CCN_Library!$A$4:$B$13,2,FALSE()),"NOT IN LIBRARY"))</f>
        <v>BATTALION/SQUADRON HEADQUARTERS, MARINE CORPS</v>
      </c>
      <c r="F39" s="125" t="str">
        <f aca="false">LEFT(H39,6)</f>
        <v>M28261</v>
      </c>
      <c r="G39" s="126" t="s">
        <v>128</v>
      </c>
      <c r="H39" s="126" t="s">
        <v>224</v>
      </c>
      <c r="I39" s="126" t="s">
        <v>225</v>
      </c>
      <c r="J39" s="126" t="s">
        <v>182</v>
      </c>
      <c r="K39" s="127" t="s">
        <v>223</v>
      </c>
      <c r="L39" s="126" t="s">
        <v>223</v>
      </c>
      <c r="M39" s="126" t="s">
        <v>133</v>
      </c>
      <c r="N39" s="126" t="s">
        <v>134</v>
      </c>
      <c r="O39" s="126" t="s">
        <v>135</v>
      </c>
      <c r="P39" s="126" t="s">
        <v>135</v>
      </c>
      <c r="Q39" s="128"/>
      <c r="R39" s="126" t="s">
        <v>136</v>
      </c>
      <c r="S39" s="126" t="s">
        <v>137</v>
      </c>
      <c r="T39" s="128"/>
      <c r="U39" s="129" t="n">
        <v>0</v>
      </c>
      <c r="V39" s="129" t="n">
        <v>0</v>
      </c>
      <c r="W39" s="129" t="n">
        <v>0</v>
      </c>
      <c r="X39" s="129" t="n">
        <v>0</v>
      </c>
      <c r="Y39" s="129" t="n">
        <v>0</v>
      </c>
      <c r="Z39" s="129" t="n">
        <v>1</v>
      </c>
      <c r="AA39" s="129" t="n">
        <v>0</v>
      </c>
      <c r="AB39" s="129" t="n">
        <v>0</v>
      </c>
      <c r="AC39" s="129" t="n">
        <v>0</v>
      </c>
      <c r="AD39" s="129" t="n">
        <v>0</v>
      </c>
      <c r="AE39" s="129" t="n">
        <v>0</v>
      </c>
      <c r="AF39" s="129" t="n">
        <v>0</v>
      </c>
      <c r="AG39" s="129" t="n">
        <v>0</v>
      </c>
      <c r="AH39" s="129" t="n">
        <v>0</v>
      </c>
      <c r="AI39" s="129" t="n">
        <v>0</v>
      </c>
      <c r="AJ39" s="129" t="n">
        <v>0</v>
      </c>
      <c r="AK39" s="129" t="n">
        <v>0</v>
      </c>
      <c r="AL39" s="129" t="n">
        <v>0</v>
      </c>
      <c r="AM39" s="129" t="n">
        <v>0</v>
      </c>
      <c r="AN39" s="128"/>
      <c r="AO39" s="128"/>
      <c r="AP39" s="126" t="s">
        <v>138</v>
      </c>
      <c r="AQ39" s="126" t="s">
        <v>139</v>
      </c>
      <c r="AR39" s="126" t="s">
        <v>140</v>
      </c>
      <c r="AS39" s="128"/>
      <c r="AT39" s="130"/>
    </row>
    <row r="40" customFormat="false" ht="12.75" hidden="false" customHeight="true" outlineLevel="0" collapsed="false">
      <c r="B40" s="122" t="n">
        <f aca="false">B39+1</f>
        <v>37</v>
      </c>
      <c r="C40" s="123" t="s">
        <v>125</v>
      </c>
      <c r="D40" s="124" t="n">
        <v>61072</v>
      </c>
      <c r="E40" s="124" t="str">
        <f aca="false">IF(D40="","",IFERROR(VLOOKUP(D40,CCN_Library!$A$4:$B$13,2,FALSE()),"NOT IN LIBRARY"))</f>
        <v>BATTALION/SQUADRON HEADQUARTERS, MARINE CORPS</v>
      </c>
      <c r="F40" s="125" t="str">
        <f aca="false">LEFT(H40,6)</f>
        <v>M28261</v>
      </c>
      <c r="G40" s="126" t="s">
        <v>128</v>
      </c>
      <c r="H40" s="126" t="s">
        <v>226</v>
      </c>
      <c r="I40" s="126" t="s">
        <v>159</v>
      </c>
      <c r="J40" s="126" t="s">
        <v>187</v>
      </c>
      <c r="K40" s="127" t="s">
        <v>161</v>
      </c>
      <c r="L40" s="126" t="s">
        <v>161</v>
      </c>
      <c r="M40" s="126" t="s">
        <v>133</v>
      </c>
      <c r="N40" s="126" t="s">
        <v>128</v>
      </c>
      <c r="O40" s="126" t="s">
        <v>135</v>
      </c>
      <c r="P40" s="126" t="s">
        <v>135</v>
      </c>
      <c r="Q40" s="128"/>
      <c r="R40" s="126" t="s">
        <v>136</v>
      </c>
      <c r="S40" s="126" t="s">
        <v>137</v>
      </c>
      <c r="T40" s="128"/>
      <c r="U40" s="129" t="n">
        <v>0</v>
      </c>
      <c r="V40" s="129" t="n">
        <v>0</v>
      </c>
      <c r="W40" s="129" t="n">
        <v>0</v>
      </c>
      <c r="X40" s="129" t="n">
        <v>0</v>
      </c>
      <c r="Y40" s="129" t="n">
        <v>0</v>
      </c>
      <c r="Z40" s="129" t="n">
        <v>0</v>
      </c>
      <c r="AA40" s="129" t="n">
        <v>1</v>
      </c>
      <c r="AB40" s="129" t="n">
        <v>0</v>
      </c>
      <c r="AC40" s="129" t="n">
        <v>0</v>
      </c>
      <c r="AD40" s="129" t="n">
        <v>0</v>
      </c>
      <c r="AE40" s="129" t="n">
        <v>0</v>
      </c>
      <c r="AF40" s="129" t="n">
        <v>0</v>
      </c>
      <c r="AG40" s="129" t="n">
        <v>0</v>
      </c>
      <c r="AH40" s="129" t="n">
        <v>0</v>
      </c>
      <c r="AI40" s="129" t="n">
        <v>0</v>
      </c>
      <c r="AJ40" s="129" t="n">
        <v>0</v>
      </c>
      <c r="AK40" s="129" t="n">
        <v>0</v>
      </c>
      <c r="AL40" s="129" t="n">
        <v>0</v>
      </c>
      <c r="AM40" s="129" t="n">
        <v>0</v>
      </c>
      <c r="AN40" s="128"/>
      <c r="AO40" s="128"/>
      <c r="AP40" s="126" t="s">
        <v>138</v>
      </c>
      <c r="AQ40" s="126" t="s">
        <v>139</v>
      </c>
      <c r="AR40" s="126" t="s">
        <v>140</v>
      </c>
      <c r="AS40" s="128"/>
      <c r="AT40" s="130"/>
    </row>
    <row r="41" customFormat="false" ht="12.75" hidden="false" customHeight="true" outlineLevel="0" collapsed="false">
      <c r="B41" s="122" t="n">
        <f aca="false">B40+1</f>
        <v>38</v>
      </c>
      <c r="C41" s="123" t="s">
        <v>157</v>
      </c>
      <c r="D41" s="124" t="n">
        <v>61072</v>
      </c>
      <c r="E41" s="124" t="str">
        <f aca="false">IF(D41="","",IFERROR(VLOOKUP(D41,CCN_Library!$A$4:$B$13,2,FALSE()),"NOT IN LIBRARY"))</f>
        <v>BATTALION/SQUADRON HEADQUARTERS, MARINE CORPS</v>
      </c>
      <c r="F41" s="125" t="str">
        <f aca="false">LEFT(H41,6)</f>
        <v>M28261</v>
      </c>
      <c r="G41" s="126" t="s">
        <v>128</v>
      </c>
      <c r="H41" s="126" t="s">
        <v>227</v>
      </c>
      <c r="I41" s="126" t="s">
        <v>159</v>
      </c>
      <c r="J41" s="126" t="s">
        <v>176</v>
      </c>
      <c r="K41" s="127" t="s">
        <v>161</v>
      </c>
      <c r="L41" s="126" t="s">
        <v>161</v>
      </c>
      <c r="M41" s="126" t="s">
        <v>133</v>
      </c>
      <c r="N41" s="126" t="s">
        <v>128</v>
      </c>
      <c r="O41" s="126" t="s">
        <v>135</v>
      </c>
      <c r="P41" s="126" t="s">
        <v>135</v>
      </c>
      <c r="Q41" s="128"/>
      <c r="R41" s="126" t="s">
        <v>136</v>
      </c>
      <c r="S41" s="126" t="s">
        <v>58</v>
      </c>
      <c r="T41" s="128"/>
      <c r="U41" s="129" t="n">
        <v>0</v>
      </c>
      <c r="V41" s="129" t="n">
        <v>0</v>
      </c>
      <c r="W41" s="129" t="n">
        <v>0</v>
      </c>
      <c r="X41" s="129" t="n">
        <v>0</v>
      </c>
      <c r="Y41" s="129" t="n">
        <v>0</v>
      </c>
      <c r="Z41" s="129" t="n">
        <v>0</v>
      </c>
      <c r="AA41" s="129" t="n">
        <v>1</v>
      </c>
      <c r="AB41" s="129" t="n">
        <v>0</v>
      </c>
      <c r="AC41" s="129" t="n">
        <v>0</v>
      </c>
      <c r="AD41" s="129" t="n">
        <v>0</v>
      </c>
      <c r="AE41" s="129" t="n">
        <v>0</v>
      </c>
      <c r="AF41" s="129" t="n">
        <v>0</v>
      </c>
      <c r="AG41" s="129" t="n">
        <v>0</v>
      </c>
      <c r="AH41" s="129" t="n">
        <v>0</v>
      </c>
      <c r="AI41" s="129" t="n">
        <v>0</v>
      </c>
      <c r="AJ41" s="129" t="n">
        <v>0</v>
      </c>
      <c r="AK41" s="129" t="n">
        <v>0</v>
      </c>
      <c r="AL41" s="129" t="n">
        <v>0</v>
      </c>
      <c r="AM41" s="129" t="n">
        <v>0</v>
      </c>
      <c r="AN41" s="128"/>
      <c r="AO41" s="128"/>
      <c r="AP41" s="126" t="s">
        <v>138</v>
      </c>
      <c r="AQ41" s="126" t="s">
        <v>139</v>
      </c>
      <c r="AR41" s="126" t="s">
        <v>140</v>
      </c>
      <c r="AS41" s="128"/>
      <c r="AT41" s="130"/>
    </row>
    <row r="42" customFormat="false" ht="12.75" hidden="false" customHeight="true" outlineLevel="0" collapsed="false">
      <c r="B42" s="122" t="n">
        <f aca="false">B41+1</f>
        <v>39</v>
      </c>
      <c r="C42" s="123" t="s">
        <v>157</v>
      </c>
      <c r="D42" s="124" t="n">
        <v>61072</v>
      </c>
      <c r="E42" s="124" t="str">
        <f aca="false">IF(D42="","",IFERROR(VLOOKUP(D42,CCN_Library!$A$4:$B$13,2,FALSE()),"NOT IN LIBRARY"))</f>
        <v>BATTALION/SQUADRON HEADQUARTERS, MARINE CORPS</v>
      </c>
      <c r="F42" s="125" t="str">
        <f aca="false">LEFT(H42,6)</f>
        <v>M28261</v>
      </c>
      <c r="G42" s="126" t="s">
        <v>128</v>
      </c>
      <c r="H42" s="126" t="s">
        <v>228</v>
      </c>
      <c r="I42" s="126" t="s">
        <v>159</v>
      </c>
      <c r="J42" s="126" t="s">
        <v>176</v>
      </c>
      <c r="K42" s="127" t="s">
        <v>161</v>
      </c>
      <c r="L42" s="126" t="s">
        <v>161</v>
      </c>
      <c r="M42" s="126" t="s">
        <v>133</v>
      </c>
      <c r="N42" s="126" t="s">
        <v>128</v>
      </c>
      <c r="O42" s="126" t="s">
        <v>135</v>
      </c>
      <c r="P42" s="126" t="s">
        <v>135</v>
      </c>
      <c r="Q42" s="128"/>
      <c r="R42" s="126" t="s">
        <v>136</v>
      </c>
      <c r="S42" s="126" t="s">
        <v>58</v>
      </c>
      <c r="T42" s="128"/>
      <c r="U42" s="129" t="n">
        <v>0</v>
      </c>
      <c r="V42" s="129" t="n">
        <v>0</v>
      </c>
      <c r="W42" s="129" t="n">
        <v>0</v>
      </c>
      <c r="X42" s="129" t="n">
        <v>0</v>
      </c>
      <c r="Y42" s="129" t="n">
        <v>0</v>
      </c>
      <c r="Z42" s="129" t="n">
        <v>0</v>
      </c>
      <c r="AA42" s="129" t="n">
        <v>1</v>
      </c>
      <c r="AB42" s="129" t="n">
        <v>0</v>
      </c>
      <c r="AC42" s="129" t="n">
        <v>0</v>
      </c>
      <c r="AD42" s="129" t="n">
        <v>0</v>
      </c>
      <c r="AE42" s="129" t="n">
        <v>0</v>
      </c>
      <c r="AF42" s="129" t="n">
        <v>0</v>
      </c>
      <c r="AG42" s="129" t="n">
        <v>0</v>
      </c>
      <c r="AH42" s="129" t="n">
        <v>0</v>
      </c>
      <c r="AI42" s="129" t="n">
        <v>0</v>
      </c>
      <c r="AJ42" s="129" t="n">
        <v>0</v>
      </c>
      <c r="AK42" s="129" t="n">
        <v>0</v>
      </c>
      <c r="AL42" s="129" t="n">
        <v>0</v>
      </c>
      <c r="AM42" s="129" t="n">
        <v>0</v>
      </c>
      <c r="AN42" s="128"/>
      <c r="AO42" s="128"/>
      <c r="AP42" s="126" t="s">
        <v>138</v>
      </c>
      <c r="AQ42" s="126" t="s">
        <v>139</v>
      </c>
      <c r="AR42" s="126" t="s">
        <v>140</v>
      </c>
      <c r="AS42" s="128"/>
      <c r="AT42" s="130"/>
    </row>
    <row r="43" customFormat="false" ht="12.75" hidden="false" customHeight="true" outlineLevel="0" collapsed="false">
      <c r="B43" s="122" t="n">
        <f aca="false">B42+1</f>
        <v>40</v>
      </c>
      <c r="C43" s="123" t="s">
        <v>157</v>
      </c>
      <c r="D43" s="124" t="n">
        <v>61072</v>
      </c>
      <c r="E43" s="124" t="str">
        <f aca="false">IF(D43="","",IFERROR(VLOOKUP(D43,CCN_Library!$A$4:$B$13,2,FALSE()),"NOT IN LIBRARY"))</f>
        <v>BATTALION/SQUADRON HEADQUARTERS, MARINE CORPS</v>
      </c>
      <c r="F43" s="125" t="str">
        <f aca="false">LEFT(H43,6)</f>
        <v>M28261</v>
      </c>
      <c r="G43" s="126" t="s">
        <v>128</v>
      </c>
      <c r="H43" s="126" t="s">
        <v>229</v>
      </c>
      <c r="I43" s="126" t="s">
        <v>159</v>
      </c>
      <c r="J43" s="126" t="s">
        <v>176</v>
      </c>
      <c r="K43" s="127" t="s">
        <v>161</v>
      </c>
      <c r="L43" s="126" t="s">
        <v>161</v>
      </c>
      <c r="M43" s="126" t="s">
        <v>133</v>
      </c>
      <c r="N43" s="126" t="s">
        <v>128</v>
      </c>
      <c r="O43" s="126" t="s">
        <v>135</v>
      </c>
      <c r="P43" s="126" t="s">
        <v>135</v>
      </c>
      <c r="Q43" s="128"/>
      <c r="R43" s="126" t="s">
        <v>136</v>
      </c>
      <c r="S43" s="126" t="s">
        <v>58</v>
      </c>
      <c r="T43" s="128"/>
      <c r="U43" s="129" t="n">
        <v>0</v>
      </c>
      <c r="V43" s="129" t="n">
        <v>0</v>
      </c>
      <c r="W43" s="129" t="n">
        <v>0</v>
      </c>
      <c r="X43" s="129" t="n">
        <v>0</v>
      </c>
      <c r="Y43" s="129" t="n">
        <v>0</v>
      </c>
      <c r="Z43" s="129" t="n">
        <v>0</v>
      </c>
      <c r="AA43" s="129" t="n">
        <v>1</v>
      </c>
      <c r="AB43" s="129" t="n">
        <v>0</v>
      </c>
      <c r="AC43" s="129" t="n">
        <v>0</v>
      </c>
      <c r="AD43" s="129" t="n">
        <v>0</v>
      </c>
      <c r="AE43" s="129" t="n">
        <v>0</v>
      </c>
      <c r="AF43" s="129" t="n">
        <v>0</v>
      </c>
      <c r="AG43" s="129" t="n">
        <v>0</v>
      </c>
      <c r="AH43" s="129" t="n">
        <v>0</v>
      </c>
      <c r="AI43" s="129" t="n">
        <v>0</v>
      </c>
      <c r="AJ43" s="129" t="n">
        <v>0</v>
      </c>
      <c r="AK43" s="129" t="n">
        <v>0</v>
      </c>
      <c r="AL43" s="129" t="n">
        <v>0</v>
      </c>
      <c r="AM43" s="129" t="n">
        <v>0</v>
      </c>
      <c r="AN43" s="128"/>
      <c r="AO43" s="128"/>
      <c r="AP43" s="126" t="s">
        <v>138</v>
      </c>
      <c r="AQ43" s="126" t="s">
        <v>139</v>
      </c>
      <c r="AR43" s="126" t="s">
        <v>140</v>
      </c>
      <c r="AS43" s="128"/>
      <c r="AT43" s="130"/>
    </row>
    <row r="44" customFormat="false" ht="12.75" hidden="false" customHeight="true" outlineLevel="0" collapsed="false">
      <c r="B44" s="122" t="n">
        <f aca="false">B43+1</f>
        <v>41</v>
      </c>
      <c r="C44" s="123" t="s">
        <v>157</v>
      </c>
      <c r="D44" s="124" t="n">
        <v>61072</v>
      </c>
      <c r="E44" s="124" t="str">
        <f aca="false">IF(D44="","",IFERROR(VLOOKUP(D44,CCN_Library!$A$4:$B$13,2,FALSE()),"NOT IN LIBRARY"))</f>
        <v>BATTALION/SQUADRON HEADQUARTERS, MARINE CORPS</v>
      </c>
      <c r="F44" s="125" t="str">
        <f aca="false">LEFT(H44,6)</f>
        <v>M28261</v>
      </c>
      <c r="G44" s="126" t="s">
        <v>128</v>
      </c>
      <c r="H44" s="126" t="s">
        <v>230</v>
      </c>
      <c r="I44" s="126" t="s">
        <v>159</v>
      </c>
      <c r="J44" s="126" t="s">
        <v>176</v>
      </c>
      <c r="K44" s="127" t="s">
        <v>161</v>
      </c>
      <c r="L44" s="126" t="s">
        <v>161</v>
      </c>
      <c r="M44" s="126" t="s">
        <v>133</v>
      </c>
      <c r="N44" s="126" t="s">
        <v>128</v>
      </c>
      <c r="O44" s="126" t="s">
        <v>135</v>
      </c>
      <c r="P44" s="126" t="s">
        <v>135</v>
      </c>
      <c r="Q44" s="128"/>
      <c r="R44" s="126" t="s">
        <v>136</v>
      </c>
      <c r="S44" s="126" t="s">
        <v>58</v>
      </c>
      <c r="T44" s="128"/>
      <c r="U44" s="129" t="n">
        <v>0</v>
      </c>
      <c r="V44" s="129" t="n">
        <v>0</v>
      </c>
      <c r="W44" s="129" t="n">
        <v>0</v>
      </c>
      <c r="X44" s="129" t="n">
        <v>0</v>
      </c>
      <c r="Y44" s="129" t="n">
        <v>0</v>
      </c>
      <c r="Z44" s="129" t="n">
        <v>0</v>
      </c>
      <c r="AA44" s="129" t="n">
        <v>1</v>
      </c>
      <c r="AB44" s="129" t="n">
        <v>0</v>
      </c>
      <c r="AC44" s="129" t="n">
        <v>0</v>
      </c>
      <c r="AD44" s="129" t="n">
        <v>0</v>
      </c>
      <c r="AE44" s="129" t="n">
        <v>0</v>
      </c>
      <c r="AF44" s="129" t="n">
        <v>0</v>
      </c>
      <c r="AG44" s="129" t="n">
        <v>0</v>
      </c>
      <c r="AH44" s="129" t="n">
        <v>0</v>
      </c>
      <c r="AI44" s="129" t="n">
        <v>0</v>
      </c>
      <c r="AJ44" s="129" t="n">
        <v>0</v>
      </c>
      <c r="AK44" s="129" t="n">
        <v>0</v>
      </c>
      <c r="AL44" s="129" t="n">
        <v>0</v>
      </c>
      <c r="AM44" s="129" t="n">
        <v>0</v>
      </c>
      <c r="AN44" s="128"/>
      <c r="AO44" s="128"/>
      <c r="AP44" s="126" t="s">
        <v>138</v>
      </c>
      <c r="AQ44" s="126" t="s">
        <v>139</v>
      </c>
      <c r="AR44" s="126" t="s">
        <v>140</v>
      </c>
      <c r="AS44" s="128"/>
      <c r="AT44" s="130"/>
    </row>
    <row r="45" customFormat="false" ht="12.75" hidden="false" customHeight="true" outlineLevel="0" collapsed="false">
      <c r="B45" s="131" t="n">
        <f aca="false">B44+1</f>
        <v>42</v>
      </c>
      <c r="C45" s="132" t="s">
        <v>231</v>
      </c>
      <c r="D45" s="133" t="n">
        <v>44112</v>
      </c>
      <c r="E45" s="133"/>
      <c r="F45" s="134" t="str">
        <f aca="false">LEFT(H45,6)</f>
        <v>M28261</v>
      </c>
      <c r="G45" s="135" t="s">
        <v>177</v>
      </c>
      <c r="H45" s="135" t="s">
        <v>232</v>
      </c>
      <c r="I45" s="135" t="s">
        <v>233</v>
      </c>
      <c r="J45" s="136"/>
      <c r="K45" s="136"/>
      <c r="L45" s="136"/>
      <c r="M45" s="136"/>
      <c r="N45" s="136"/>
      <c r="O45" s="136"/>
      <c r="P45" s="136"/>
      <c r="Q45" s="136"/>
      <c r="R45" s="136"/>
      <c r="S45" s="136"/>
      <c r="T45" s="136"/>
      <c r="U45" s="137" t="n">
        <v>0</v>
      </c>
      <c r="V45" s="137" t="n">
        <v>0</v>
      </c>
      <c r="W45" s="137" t="n">
        <v>0</v>
      </c>
      <c r="X45" s="137" t="n">
        <v>0</v>
      </c>
      <c r="Y45" s="137" t="n">
        <v>0</v>
      </c>
      <c r="Z45" s="137" t="n">
        <v>0</v>
      </c>
      <c r="AA45" s="137" t="n">
        <v>0</v>
      </c>
      <c r="AB45" s="137" t="n">
        <v>0</v>
      </c>
      <c r="AC45" s="137" t="n">
        <v>0</v>
      </c>
      <c r="AD45" s="137" t="n">
        <v>0</v>
      </c>
      <c r="AE45" s="137" t="n">
        <v>0</v>
      </c>
      <c r="AF45" s="137" t="n">
        <v>0</v>
      </c>
      <c r="AG45" s="137" t="n">
        <v>0</v>
      </c>
      <c r="AH45" s="137" t="n">
        <v>0</v>
      </c>
      <c r="AI45" s="137" t="n">
        <v>0</v>
      </c>
      <c r="AJ45" s="137" t="n">
        <v>0</v>
      </c>
      <c r="AK45" s="137" t="n">
        <v>0</v>
      </c>
      <c r="AL45" s="137" t="n">
        <v>0</v>
      </c>
      <c r="AM45" s="137" t="n">
        <v>0</v>
      </c>
      <c r="AN45" s="136"/>
      <c r="AO45" s="136"/>
      <c r="AP45" s="136"/>
      <c r="AQ45" s="136"/>
      <c r="AR45" s="136"/>
      <c r="AS45" s="136"/>
      <c r="AT45" s="138"/>
    </row>
    <row r="46" customFormat="false" ht="12.75" hidden="false" customHeight="true" outlineLevel="0" collapsed="false">
      <c r="B46" s="122" t="n">
        <f aca="false">B45+1</f>
        <v>43</v>
      </c>
      <c r="C46" s="123" t="s">
        <v>231</v>
      </c>
      <c r="D46" s="124" t="n">
        <v>44112</v>
      </c>
      <c r="E46" s="124" t="str">
        <f aca="false">IF(D46="","",IFERROR(VLOOKUP(D46,CCN_Library!$A$4:$B$13,2,FALSE()),"NOT IN LIBRARY"))</f>
        <v>STORAGE OF AIR OR GROUND ORGANIC UNITS FOR MARINE CORPS</v>
      </c>
      <c r="F46" s="125" t="str">
        <f aca="false">LEFT(H46,6)</f>
        <v>M28261</v>
      </c>
      <c r="G46" s="126" t="s">
        <v>128</v>
      </c>
      <c r="H46" s="126" t="s">
        <v>234</v>
      </c>
      <c r="I46" s="126" t="s">
        <v>235</v>
      </c>
      <c r="J46" s="126" t="s">
        <v>211</v>
      </c>
      <c r="K46" s="127" t="s">
        <v>132</v>
      </c>
      <c r="L46" s="126" t="s">
        <v>132</v>
      </c>
      <c r="M46" s="126" t="s">
        <v>133</v>
      </c>
      <c r="N46" s="126" t="s">
        <v>134</v>
      </c>
      <c r="O46" s="126" t="s">
        <v>135</v>
      </c>
      <c r="P46" s="126" t="s">
        <v>135</v>
      </c>
      <c r="Q46" s="128"/>
      <c r="R46" s="126" t="s">
        <v>136</v>
      </c>
      <c r="S46" s="126" t="s">
        <v>137</v>
      </c>
      <c r="T46" s="128"/>
      <c r="U46" s="129" t="n">
        <v>0</v>
      </c>
      <c r="V46" s="129" t="n">
        <v>0</v>
      </c>
      <c r="W46" s="129" t="n">
        <v>0</v>
      </c>
      <c r="X46" s="129" t="n">
        <v>0</v>
      </c>
      <c r="Y46" s="129" t="n">
        <v>0</v>
      </c>
      <c r="Z46" s="129" t="n">
        <v>1</v>
      </c>
      <c r="AA46" s="129" t="n">
        <v>0</v>
      </c>
      <c r="AB46" s="129" t="n">
        <v>0</v>
      </c>
      <c r="AC46" s="129" t="n">
        <v>0</v>
      </c>
      <c r="AD46" s="129" t="n">
        <v>0</v>
      </c>
      <c r="AE46" s="129" t="n">
        <v>0</v>
      </c>
      <c r="AF46" s="129" t="n">
        <v>0</v>
      </c>
      <c r="AG46" s="129" t="n">
        <v>0</v>
      </c>
      <c r="AH46" s="129" t="n">
        <v>0</v>
      </c>
      <c r="AI46" s="129" t="n">
        <v>0</v>
      </c>
      <c r="AJ46" s="129" t="n">
        <v>0</v>
      </c>
      <c r="AK46" s="129" t="n">
        <v>0</v>
      </c>
      <c r="AL46" s="129" t="n">
        <v>0</v>
      </c>
      <c r="AM46" s="129" t="n">
        <v>0</v>
      </c>
      <c r="AN46" s="128"/>
      <c r="AO46" s="128"/>
      <c r="AP46" s="126" t="s">
        <v>138</v>
      </c>
      <c r="AQ46" s="126" t="s">
        <v>139</v>
      </c>
      <c r="AR46" s="126" t="s">
        <v>140</v>
      </c>
      <c r="AS46" s="128"/>
      <c r="AT46" s="130"/>
    </row>
    <row r="47" customFormat="false" ht="12.75" hidden="false" customHeight="true" outlineLevel="0" collapsed="false">
      <c r="B47" s="122" t="n">
        <f aca="false">B46+1</f>
        <v>44</v>
      </c>
      <c r="C47" s="123" t="s">
        <v>236</v>
      </c>
      <c r="D47" s="124" t="n">
        <v>44112</v>
      </c>
      <c r="E47" s="124" t="str">
        <f aca="false">IF(D47="","",IFERROR(VLOOKUP(D47,CCN_Library!$A$4:$B$13,2,FALSE()),"NOT IN LIBRARY"))</f>
        <v>STORAGE OF AIR OR GROUND ORGANIC UNITS FOR MARINE CORPS</v>
      </c>
      <c r="F47" s="125" t="str">
        <f aca="false">LEFT(H47,6)</f>
        <v>M28261</v>
      </c>
      <c r="G47" s="126" t="s">
        <v>128</v>
      </c>
      <c r="H47" s="126" t="s">
        <v>237</v>
      </c>
      <c r="I47" s="126" t="s">
        <v>159</v>
      </c>
      <c r="J47" s="126" t="s">
        <v>191</v>
      </c>
      <c r="K47" s="127" t="s">
        <v>161</v>
      </c>
      <c r="L47" s="126" t="s">
        <v>161</v>
      </c>
      <c r="M47" s="126" t="s">
        <v>133</v>
      </c>
      <c r="N47" s="126" t="s">
        <v>128</v>
      </c>
      <c r="O47" s="126" t="s">
        <v>135</v>
      </c>
      <c r="P47" s="126" t="s">
        <v>135</v>
      </c>
      <c r="Q47" s="128"/>
      <c r="R47" s="126" t="s">
        <v>136</v>
      </c>
      <c r="S47" s="126" t="s">
        <v>58</v>
      </c>
      <c r="T47" s="128"/>
      <c r="U47" s="129" t="n">
        <v>0</v>
      </c>
      <c r="V47" s="129" t="n">
        <v>0</v>
      </c>
      <c r="W47" s="129" t="n">
        <v>0</v>
      </c>
      <c r="X47" s="129" t="n">
        <v>0</v>
      </c>
      <c r="Y47" s="129" t="n">
        <v>0</v>
      </c>
      <c r="Z47" s="129" t="n">
        <v>0</v>
      </c>
      <c r="AA47" s="129" t="n">
        <v>1</v>
      </c>
      <c r="AB47" s="129" t="n">
        <v>0</v>
      </c>
      <c r="AC47" s="129" t="n">
        <v>0</v>
      </c>
      <c r="AD47" s="129" t="n">
        <v>0</v>
      </c>
      <c r="AE47" s="129" t="n">
        <v>0</v>
      </c>
      <c r="AF47" s="129" t="n">
        <v>0</v>
      </c>
      <c r="AG47" s="129" t="n">
        <v>0</v>
      </c>
      <c r="AH47" s="129" t="n">
        <v>0</v>
      </c>
      <c r="AI47" s="129" t="n">
        <v>0</v>
      </c>
      <c r="AJ47" s="129" t="n">
        <v>0</v>
      </c>
      <c r="AK47" s="129" t="n">
        <v>0</v>
      </c>
      <c r="AL47" s="129" t="n">
        <v>0</v>
      </c>
      <c r="AM47" s="129" t="n">
        <v>0</v>
      </c>
      <c r="AN47" s="128"/>
      <c r="AO47" s="128"/>
      <c r="AP47" s="126" t="s">
        <v>138</v>
      </c>
      <c r="AQ47" s="126" t="s">
        <v>139</v>
      </c>
      <c r="AR47" s="126" t="s">
        <v>140</v>
      </c>
      <c r="AS47" s="128"/>
      <c r="AT47" s="130"/>
    </row>
    <row r="48" customFormat="false" ht="12.75" hidden="false" customHeight="true" outlineLevel="0" collapsed="false">
      <c r="B48" s="122" t="n">
        <f aca="false">B47+1</f>
        <v>45</v>
      </c>
      <c r="C48" s="123" t="s">
        <v>236</v>
      </c>
      <c r="D48" s="124" t="n">
        <v>44112</v>
      </c>
      <c r="E48" s="124" t="str">
        <f aca="false">IF(D48="","",IFERROR(VLOOKUP(D48,CCN_Library!$A$4:$B$13,2,FALSE()),"NOT IN LIBRARY"))</f>
        <v>STORAGE OF AIR OR GROUND ORGANIC UNITS FOR MARINE CORPS</v>
      </c>
      <c r="F48" s="125" t="str">
        <f aca="false">LEFT(H48,6)</f>
        <v>M28261</v>
      </c>
      <c r="G48" s="126" t="s">
        <v>128</v>
      </c>
      <c r="H48" s="126" t="s">
        <v>238</v>
      </c>
      <c r="I48" s="126" t="s">
        <v>159</v>
      </c>
      <c r="J48" s="126" t="s">
        <v>191</v>
      </c>
      <c r="K48" s="127" t="s">
        <v>161</v>
      </c>
      <c r="L48" s="126" t="s">
        <v>161</v>
      </c>
      <c r="M48" s="126" t="s">
        <v>133</v>
      </c>
      <c r="N48" s="126" t="s">
        <v>128</v>
      </c>
      <c r="O48" s="126" t="s">
        <v>135</v>
      </c>
      <c r="P48" s="126" t="s">
        <v>135</v>
      </c>
      <c r="Q48" s="128"/>
      <c r="R48" s="126" t="s">
        <v>136</v>
      </c>
      <c r="S48" s="126" t="s">
        <v>58</v>
      </c>
      <c r="T48" s="128"/>
      <c r="U48" s="129" t="n">
        <v>0</v>
      </c>
      <c r="V48" s="129" t="n">
        <v>0</v>
      </c>
      <c r="W48" s="129" t="n">
        <v>0</v>
      </c>
      <c r="X48" s="129" t="n">
        <v>0</v>
      </c>
      <c r="Y48" s="129" t="n">
        <v>0</v>
      </c>
      <c r="Z48" s="129" t="n">
        <v>0</v>
      </c>
      <c r="AA48" s="129" t="n">
        <v>1</v>
      </c>
      <c r="AB48" s="129" t="n">
        <v>0</v>
      </c>
      <c r="AC48" s="129" t="n">
        <v>0</v>
      </c>
      <c r="AD48" s="129" t="n">
        <v>0</v>
      </c>
      <c r="AE48" s="129" t="n">
        <v>0</v>
      </c>
      <c r="AF48" s="129" t="n">
        <v>0</v>
      </c>
      <c r="AG48" s="129" t="n">
        <v>0</v>
      </c>
      <c r="AH48" s="129" t="n">
        <v>0</v>
      </c>
      <c r="AI48" s="129" t="n">
        <v>0</v>
      </c>
      <c r="AJ48" s="129" t="n">
        <v>0</v>
      </c>
      <c r="AK48" s="129" t="n">
        <v>0</v>
      </c>
      <c r="AL48" s="129" t="n">
        <v>0</v>
      </c>
      <c r="AM48" s="129" t="n">
        <v>0</v>
      </c>
      <c r="AN48" s="128"/>
      <c r="AO48" s="128"/>
      <c r="AP48" s="126" t="s">
        <v>138</v>
      </c>
      <c r="AQ48" s="126" t="s">
        <v>139</v>
      </c>
      <c r="AR48" s="126" t="s">
        <v>140</v>
      </c>
      <c r="AS48" s="128"/>
      <c r="AT48" s="130"/>
    </row>
    <row r="49" customFormat="false" ht="12.75" hidden="false" customHeight="true" outlineLevel="0" collapsed="false">
      <c r="B49" s="122" t="n">
        <f aca="false">B48+1</f>
        <v>46</v>
      </c>
      <c r="C49" s="123" t="s">
        <v>231</v>
      </c>
      <c r="D49" s="124" t="n">
        <v>44112</v>
      </c>
      <c r="E49" s="124" t="str">
        <f aca="false">IF(D49="","",IFERROR(VLOOKUP(D49,CCN_Library!$A$4:$B$13,2,FALSE()),"NOT IN LIBRARY"))</f>
        <v>STORAGE OF AIR OR GROUND ORGANIC UNITS FOR MARINE CORPS</v>
      </c>
      <c r="F49" s="125" t="str">
        <f aca="false">LEFT(H49,6)</f>
        <v>M28261</v>
      </c>
      <c r="G49" s="126" t="s">
        <v>128</v>
      </c>
      <c r="H49" s="126" t="s">
        <v>239</v>
      </c>
      <c r="I49" s="126" t="s">
        <v>159</v>
      </c>
      <c r="J49" s="126" t="s">
        <v>187</v>
      </c>
      <c r="K49" s="127" t="s">
        <v>161</v>
      </c>
      <c r="L49" s="126" t="s">
        <v>161</v>
      </c>
      <c r="M49" s="126" t="s">
        <v>133</v>
      </c>
      <c r="N49" s="126" t="s">
        <v>128</v>
      </c>
      <c r="O49" s="126" t="s">
        <v>135</v>
      </c>
      <c r="P49" s="126" t="s">
        <v>135</v>
      </c>
      <c r="Q49" s="128"/>
      <c r="R49" s="126" t="s">
        <v>136</v>
      </c>
      <c r="S49" s="126" t="s">
        <v>137</v>
      </c>
      <c r="T49" s="128"/>
      <c r="U49" s="129" t="n">
        <v>0</v>
      </c>
      <c r="V49" s="129" t="n">
        <v>0</v>
      </c>
      <c r="W49" s="129" t="n">
        <v>0</v>
      </c>
      <c r="X49" s="129" t="n">
        <v>0</v>
      </c>
      <c r="Y49" s="129" t="n">
        <v>0</v>
      </c>
      <c r="Z49" s="129" t="n">
        <v>0</v>
      </c>
      <c r="AA49" s="129" t="n">
        <v>1</v>
      </c>
      <c r="AB49" s="129" t="n">
        <v>0</v>
      </c>
      <c r="AC49" s="129" t="n">
        <v>0</v>
      </c>
      <c r="AD49" s="129" t="n">
        <v>0</v>
      </c>
      <c r="AE49" s="129" t="n">
        <v>0</v>
      </c>
      <c r="AF49" s="129" t="n">
        <v>0</v>
      </c>
      <c r="AG49" s="129" t="n">
        <v>0</v>
      </c>
      <c r="AH49" s="129" t="n">
        <v>0</v>
      </c>
      <c r="AI49" s="129" t="n">
        <v>0</v>
      </c>
      <c r="AJ49" s="129" t="n">
        <v>0</v>
      </c>
      <c r="AK49" s="129" t="n">
        <v>0</v>
      </c>
      <c r="AL49" s="129" t="n">
        <v>0</v>
      </c>
      <c r="AM49" s="129" t="n">
        <v>0</v>
      </c>
      <c r="AN49" s="128"/>
      <c r="AO49" s="128"/>
      <c r="AP49" s="126" t="s">
        <v>138</v>
      </c>
      <c r="AQ49" s="126" t="s">
        <v>139</v>
      </c>
      <c r="AR49" s="126" t="s">
        <v>140</v>
      </c>
      <c r="AS49" s="128"/>
      <c r="AT49" s="130"/>
    </row>
    <row r="50" customFormat="false" ht="12.75" hidden="false" customHeight="true" outlineLevel="0" collapsed="false">
      <c r="B50" s="122" t="n">
        <f aca="false">B49+1</f>
        <v>47</v>
      </c>
      <c r="C50" s="123" t="s">
        <v>236</v>
      </c>
      <c r="D50" s="124" t="n">
        <v>44112</v>
      </c>
      <c r="E50" s="124" t="str">
        <f aca="false">IF(D50="","",IFERROR(VLOOKUP(D50,CCN_Library!$A$4:$B$13,2,FALSE()),"NOT IN LIBRARY"))</f>
        <v>STORAGE OF AIR OR GROUND ORGANIC UNITS FOR MARINE CORPS</v>
      </c>
      <c r="F50" s="125" t="str">
        <f aca="false">LEFT(H50,6)</f>
        <v>M28261</v>
      </c>
      <c r="G50" s="126" t="s">
        <v>128</v>
      </c>
      <c r="H50" s="126" t="s">
        <v>240</v>
      </c>
      <c r="I50" s="126" t="s">
        <v>159</v>
      </c>
      <c r="J50" s="126" t="s">
        <v>176</v>
      </c>
      <c r="K50" s="127" t="s">
        <v>161</v>
      </c>
      <c r="L50" s="126" t="s">
        <v>161</v>
      </c>
      <c r="M50" s="126" t="s">
        <v>133</v>
      </c>
      <c r="N50" s="126" t="s">
        <v>128</v>
      </c>
      <c r="O50" s="126" t="s">
        <v>135</v>
      </c>
      <c r="P50" s="126" t="s">
        <v>135</v>
      </c>
      <c r="Q50" s="128"/>
      <c r="R50" s="126" t="s">
        <v>136</v>
      </c>
      <c r="S50" s="126" t="s">
        <v>58</v>
      </c>
      <c r="T50" s="128"/>
      <c r="U50" s="129" t="n">
        <v>0</v>
      </c>
      <c r="V50" s="129" t="n">
        <v>0</v>
      </c>
      <c r="W50" s="129" t="n">
        <v>0</v>
      </c>
      <c r="X50" s="129" t="n">
        <v>0</v>
      </c>
      <c r="Y50" s="129" t="n">
        <v>0</v>
      </c>
      <c r="Z50" s="129" t="n">
        <v>0</v>
      </c>
      <c r="AA50" s="129" t="n">
        <v>1</v>
      </c>
      <c r="AB50" s="129" t="n">
        <v>0</v>
      </c>
      <c r="AC50" s="129" t="n">
        <v>0</v>
      </c>
      <c r="AD50" s="129" t="n">
        <v>0</v>
      </c>
      <c r="AE50" s="129" t="n">
        <v>0</v>
      </c>
      <c r="AF50" s="129" t="n">
        <v>0</v>
      </c>
      <c r="AG50" s="129" t="n">
        <v>0</v>
      </c>
      <c r="AH50" s="129" t="n">
        <v>0</v>
      </c>
      <c r="AI50" s="129" t="n">
        <v>0</v>
      </c>
      <c r="AJ50" s="129" t="n">
        <v>0</v>
      </c>
      <c r="AK50" s="129" t="n">
        <v>0</v>
      </c>
      <c r="AL50" s="129" t="n">
        <v>0</v>
      </c>
      <c r="AM50" s="129" t="n">
        <v>0</v>
      </c>
      <c r="AN50" s="128"/>
      <c r="AO50" s="128"/>
      <c r="AP50" s="126" t="s">
        <v>138</v>
      </c>
      <c r="AQ50" s="126" t="s">
        <v>139</v>
      </c>
      <c r="AR50" s="126" t="s">
        <v>140</v>
      </c>
      <c r="AS50" s="128"/>
      <c r="AT50" s="130"/>
    </row>
    <row r="51" customFormat="false" ht="12.75" hidden="false" customHeight="true" outlineLevel="0" collapsed="false">
      <c r="B51" s="122" t="n">
        <f aca="false">B50+1</f>
        <v>48</v>
      </c>
      <c r="C51" s="123" t="s">
        <v>236</v>
      </c>
      <c r="D51" s="124" t="n">
        <v>44112</v>
      </c>
      <c r="E51" s="124" t="str">
        <f aca="false">IF(D51="","",IFERROR(VLOOKUP(D51,CCN_Library!$A$4:$B$13,2,FALSE()),"NOT IN LIBRARY"))</f>
        <v>STORAGE OF AIR OR GROUND ORGANIC UNITS FOR MARINE CORPS</v>
      </c>
      <c r="F51" s="125" t="str">
        <f aca="false">LEFT(H51,6)</f>
        <v>M28261</v>
      </c>
      <c r="G51" s="126" t="s">
        <v>128</v>
      </c>
      <c r="H51" s="126" t="s">
        <v>241</v>
      </c>
      <c r="I51" s="126" t="s">
        <v>159</v>
      </c>
      <c r="J51" s="126" t="s">
        <v>160</v>
      </c>
      <c r="K51" s="127" t="s">
        <v>161</v>
      </c>
      <c r="L51" s="126" t="s">
        <v>161</v>
      </c>
      <c r="M51" s="126" t="s">
        <v>133</v>
      </c>
      <c r="N51" s="126" t="s">
        <v>128</v>
      </c>
      <c r="O51" s="126" t="s">
        <v>135</v>
      </c>
      <c r="P51" s="126" t="s">
        <v>135</v>
      </c>
      <c r="Q51" s="128"/>
      <c r="R51" s="126" t="s">
        <v>136</v>
      </c>
      <c r="S51" s="126" t="s">
        <v>58</v>
      </c>
      <c r="T51" s="128"/>
      <c r="U51" s="129" t="n">
        <v>0</v>
      </c>
      <c r="V51" s="129" t="n">
        <v>0</v>
      </c>
      <c r="W51" s="129" t="n">
        <v>0</v>
      </c>
      <c r="X51" s="129" t="n">
        <v>0</v>
      </c>
      <c r="Y51" s="129" t="n">
        <v>0</v>
      </c>
      <c r="Z51" s="129" t="n">
        <v>0</v>
      </c>
      <c r="AA51" s="129" t="n">
        <v>1</v>
      </c>
      <c r="AB51" s="129" t="n">
        <v>0</v>
      </c>
      <c r="AC51" s="129" t="n">
        <v>0</v>
      </c>
      <c r="AD51" s="129" t="n">
        <v>0</v>
      </c>
      <c r="AE51" s="129" t="n">
        <v>0</v>
      </c>
      <c r="AF51" s="129" t="n">
        <v>0</v>
      </c>
      <c r="AG51" s="129" t="n">
        <v>0</v>
      </c>
      <c r="AH51" s="129" t="n">
        <v>0</v>
      </c>
      <c r="AI51" s="129" t="n">
        <v>0</v>
      </c>
      <c r="AJ51" s="129" t="n">
        <v>0</v>
      </c>
      <c r="AK51" s="129" t="n">
        <v>0</v>
      </c>
      <c r="AL51" s="129" t="n">
        <v>0</v>
      </c>
      <c r="AM51" s="129" t="n">
        <v>0</v>
      </c>
      <c r="AN51" s="128"/>
      <c r="AO51" s="128"/>
      <c r="AP51" s="126" t="s">
        <v>138</v>
      </c>
      <c r="AQ51" s="126" t="s">
        <v>139</v>
      </c>
      <c r="AR51" s="126" t="s">
        <v>140</v>
      </c>
      <c r="AS51" s="128"/>
      <c r="AT51" s="130"/>
    </row>
    <row r="52" customFormat="false" ht="12.75" hidden="false" customHeight="true" outlineLevel="0" collapsed="false">
      <c r="B52" s="122" t="n">
        <f aca="false">B51+1</f>
        <v>49</v>
      </c>
      <c r="C52" s="123" t="s">
        <v>236</v>
      </c>
      <c r="D52" s="124" t="n">
        <v>44112</v>
      </c>
      <c r="E52" s="124" t="str">
        <f aca="false">IF(D52="","",IFERROR(VLOOKUP(D52,CCN_Library!$A$4:$B$13,2,FALSE()),"NOT IN LIBRARY"))</f>
        <v>STORAGE OF AIR OR GROUND ORGANIC UNITS FOR MARINE CORPS</v>
      </c>
      <c r="F52" s="125" t="str">
        <f aca="false">LEFT(H52,6)</f>
        <v>M28261</v>
      </c>
      <c r="G52" s="126" t="s">
        <v>128</v>
      </c>
      <c r="H52" s="126" t="s">
        <v>242</v>
      </c>
      <c r="I52" s="126" t="s">
        <v>159</v>
      </c>
      <c r="J52" s="126" t="s">
        <v>160</v>
      </c>
      <c r="K52" s="127" t="s">
        <v>161</v>
      </c>
      <c r="L52" s="126" t="s">
        <v>161</v>
      </c>
      <c r="M52" s="126" t="s">
        <v>133</v>
      </c>
      <c r="N52" s="126" t="s">
        <v>128</v>
      </c>
      <c r="O52" s="126" t="s">
        <v>135</v>
      </c>
      <c r="P52" s="126" t="s">
        <v>135</v>
      </c>
      <c r="Q52" s="128"/>
      <c r="R52" s="126" t="s">
        <v>136</v>
      </c>
      <c r="S52" s="126" t="s">
        <v>58</v>
      </c>
      <c r="T52" s="128"/>
      <c r="U52" s="129" t="n">
        <v>0</v>
      </c>
      <c r="V52" s="129" t="n">
        <v>0</v>
      </c>
      <c r="W52" s="129" t="n">
        <v>0</v>
      </c>
      <c r="X52" s="129" t="n">
        <v>0</v>
      </c>
      <c r="Y52" s="129" t="n">
        <v>0</v>
      </c>
      <c r="Z52" s="129" t="n">
        <v>0</v>
      </c>
      <c r="AA52" s="129" t="n">
        <v>1</v>
      </c>
      <c r="AB52" s="129" t="n">
        <v>0</v>
      </c>
      <c r="AC52" s="129" t="n">
        <v>0</v>
      </c>
      <c r="AD52" s="129" t="n">
        <v>0</v>
      </c>
      <c r="AE52" s="129" t="n">
        <v>0</v>
      </c>
      <c r="AF52" s="129" t="n">
        <v>0</v>
      </c>
      <c r="AG52" s="129" t="n">
        <v>0</v>
      </c>
      <c r="AH52" s="129" t="n">
        <v>0</v>
      </c>
      <c r="AI52" s="129" t="n">
        <v>0</v>
      </c>
      <c r="AJ52" s="129" t="n">
        <v>0</v>
      </c>
      <c r="AK52" s="129" t="n">
        <v>0</v>
      </c>
      <c r="AL52" s="129" t="n">
        <v>0</v>
      </c>
      <c r="AM52" s="129" t="n">
        <v>0</v>
      </c>
      <c r="AN52" s="128"/>
      <c r="AO52" s="128"/>
      <c r="AP52" s="126" t="s">
        <v>138</v>
      </c>
      <c r="AQ52" s="126" t="s">
        <v>139</v>
      </c>
      <c r="AR52" s="126" t="s">
        <v>140</v>
      </c>
      <c r="AS52" s="128"/>
      <c r="AT52" s="130"/>
    </row>
    <row r="53" customFormat="false" ht="12.75" hidden="false" customHeight="true" outlineLevel="0" collapsed="false">
      <c r="B53" s="122" t="n">
        <f aca="false">B52+1</f>
        <v>50</v>
      </c>
      <c r="C53" s="123" t="s">
        <v>231</v>
      </c>
      <c r="D53" s="124" t="n">
        <v>44112</v>
      </c>
      <c r="E53" s="124" t="str">
        <f aca="false">IF(D53="","",IFERROR(VLOOKUP(D53,CCN_Library!$A$4:$B$13,2,FALSE()),"NOT IN LIBRARY"))</f>
        <v>STORAGE OF AIR OR GROUND ORGANIC UNITS FOR MARINE CORPS</v>
      </c>
      <c r="F53" s="125" t="str">
        <f aca="false">LEFT(H53,6)</f>
        <v>M28261</v>
      </c>
      <c r="G53" s="126" t="s">
        <v>128</v>
      </c>
      <c r="H53" s="126" t="s">
        <v>243</v>
      </c>
      <c r="I53" s="126" t="s">
        <v>244</v>
      </c>
      <c r="J53" s="126" t="s">
        <v>146</v>
      </c>
      <c r="K53" s="127" t="s">
        <v>167</v>
      </c>
      <c r="L53" s="126" t="s">
        <v>167</v>
      </c>
      <c r="M53" s="126" t="s">
        <v>148</v>
      </c>
      <c r="N53" s="126" t="s">
        <v>134</v>
      </c>
      <c r="O53" s="126" t="s">
        <v>135</v>
      </c>
      <c r="P53" s="126" t="s">
        <v>135</v>
      </c>
      <c r="Q53" s="128"/>
      <c r="R53" s="126" t="s">
        <v>136</v>
      </c>
      <c r="S53" s="126" t="s">
        <v>58</v>
      </c>
      <c r="T53" s="128"/>
      <c r="U53" s="129" t="n">
        <v>1</v>
      </c>
      <c r="V53" s="129" t="n">
        <v>0</v>
      </c>
      <c r="W53" s="129" t="n">
        <v>0</v>
      </c>
      <c r="X53" s="129" t="n">
        <v>0</v>
      </c>
      <c r="Y53" s="129" t="n">
        <v>0</v>
      </c>
      <c r="Z53" s="129" t="n">
        <v>0</v>
      </c>
      <c r="AA53" s="129" t="n">
        <v>0</v>
      </c>
      <c r="AB53" s="129" t="n">
        <v>0</v>
      </c>
      <c r="AC53" s="129" t="n">
        <v>0</v>
      </c>
      <c r="AD53" s="129" t="n">
        <v>0</v>
      </c>
      <c r="AE53" s="129" t="n">
        <v>0</v>
      </c>
      <c r="AF53" s="129" t="n">
        <v>0</v>
      </c>
      <c r="AG53" s="129" t="n">
        <v>0</v>
      </c>
      <c r="AH53" s="129" t="n">
        <v>0</v>
      </c>
      <c r="AI53" s="129" t="n">
        <v>0</v>
      </c>
      <c r="AJ53" s="129" t="n">
        <v>0</v>
      </c>
      <c r="AK53" s="129" t="n">
        <v>0</v>
      </c>
      <c r="AL53" s="129" t="n">
        <v>0</v>
      </c>
      <c r="AM53" s="129" t="n">
        <v>0</v>
      </c>
      <c r="AN53" s="128"/>
      <c r="AO53" s="128"/>
      <c r="AP53" s="126" t="s">
        <v>138</v>
      </c>
      <c r="AQ53" s="126" t="s">
        <v>139</v>
      </c>
      <c r="AR53" s="126" t="s">
        <v>140</v>
      </c>
      <c r="AS53" s="128"/>
      <c r="AT53" s="130"/>
    </row>
    <row r="54" customFormat="false" ht="12.75" hidden="false" customHeight="true" outlineLevel="0" collapsed="false">
      <c r="B54" s="122" t="n">
        <f aca="false">B53+1</f>
        <v>51</v>
      </c>
      <c r="C54" s="123" t="s">
        <v>231</v>
      </c>
      <c r="D54" s="124" t="n">
        <v>44112</v>
      </c>
      <c r="E54" s="124" t="str">
        <f aca="false">IF(D54="","",IFERROR(VLOOKUP(D54,CCN_Library!$A$4:$B$13,2,FALSE()),"NOT IN LIBRARY"))</f>
        <v>STORAGE OF AIR OR GROUND ORGANIC UNITS FOR MARINE CORPS</v>
      </c>
      <c r="F54" s="125" t="str">
        <f aca="false">LEFT(H54,6)</f>
        <v>M28261</v>
      </c>
      <c r="G54" s="126" t="s">
        <v>128</v>
      </c>
      <c r="H54" s="126" t="s">
        <v>245</v>
      </c>
      <c r="I54" s="126" t="s">
        <v>246</v>
      </c>
      <c r="J54" s="126" t="s">
        <v>247</v>
      </c>
      <c r="K54" s="127" t="s">
        <v>248</v>
      </c>
      <c r="L54" s="126" t="s">
        <v>248</v>
      </c>
      <c r="M54" s="126" t="s">
        <v>148</v>
      </c>
      <c r="N54" s="126" t="s">
        <v>128</v>
      </c>
      <c r="O54" s="126" t="s">
        <v>135</v>
      </c>
      <c r="P54" s="126" t="s">
        <v>135</v>
      </c>
      <c r="Q54" s="128"/>
      <c r="R54" s="126" t="s">
        <v>136</v>
      </c>
      <c r="S54" s="126" t="s">
        <v>58</v>
      </c>
      <c r="T54" s="128"/>
      <c r="U54" s="129" t="n">
        <v>0</v>
      </c>
      <c r="V54" s="129" t="n">
        <v>1</v>
      </c>
      <c r="W54" s="129" t="n">
        <v>0</v>
      </c>
      <c r="X54" s="129" t="n">
        <v>0</v>
      </c>
      <c r="Y54" s="129" t="n">
        <v>0</v>
      </c>
      <c r="Z54" s="129" t="n">
        <v>0</v>
      </c>
      <c r="AA54" s="129" t="n">
        <v>0</v>
      </c>
      <c r="AB54" s="129" t="n">
        <v>0</v>
      </c>
      <c r="AC54" s="129" t="n">
        <v>0</v>
      </c>
      <c r="AD54" s="129" t="n">
        <v>0</v>
      </c>
      <c r="AE54" s="129" t="n">
        <v>0</v>
      </c>
      <c r="AF54" s="129" t="n">
        <v>0</v>
      </c>
      <c r="AG54" s="129" t="n">
        <v>0</v>
      </c>
      <c r="AH54" s="129" t="n">
        <v>0</v>
      </c>
      <c r="AI54" s="129" t="n">
        <v>0</v>
      </c>
      <c r="AJ54" s="129" t="n">
        <v>0</v>
      </c>
      <c r="AK54" s="129" t="n">
        <v>0</v>
      </c>
      <c r="AL54" s="129" t="n">
        <v>0</v>
      </c>
      <c r="AM54" s="129" t="n">
        <v>0</v>
      </c>
      <c r="AN54" s="128"/>
      <c r="AO54" s="128"/>
      <c r="AP54" s="126" t="s">
        <v>138</v>
      </c>
      <c r="AQ54" s="126" t="s">
        <v>139</v>
      </c>
      <c r="AR54" s="126" t="s">
        <v>140</v>
      </c>
      <c r="AS54" s="128"/>
      <c r="AT54" s="139"/>
    </row>
    <row r="55" customFormat="false" ht="12.75" hidden="false" customHeight="true" outlineLevel="0" collapsed="false">
      <c r="B55" s="122" t="n">
        <f aca="false">B54+1</f>
        <v>52</v>
      </c>
      <c r="C55" s="123" t="s">
        <v>236</v>
      </c>
      <c r="D55" s="124" t="n">
        <v>44112</v>
      </c>
      <c r="E55" s="124" t="str">
        <f aca="false">IF(D55="","",IFERROR(VLOOKUP(D55,CCN_Library!$A$4:$B$13,2,FALSE()),"NOT IN LIBRARY"))</f>
        <v>STORAGE OF AIR OR GROUND ORGANIC UNITS FOR MARINE CORPS</v>
      </c>
      <c r="F55" s="125" t="str">
        <f aca="false">LEFT(H55,6)</f>
        <v>M28261</v>
      </c>
      <c r="G55" s="126" t="s">
        <v>128</v>
      </c>
      <c r="H55" s="126" t="s">
        <v>249</v>
      </c>
      <c r="I55" s="126" t="s">
        <v>250</v>
      </c>
      <c r="J55" s="126" t="s">
        <v>171</v>
      </c>
      <c r="K55" s="127" t="s">
        <v>248</v>
      </c>
      <c r="L55" s="126" t="s">
        <v>248</v>
      </c>
      <c r="M55" s="126" t="s">
        <v>148</v>
      </c>
      <c r="N55" s="126" t="s">
        <v>128</v>
      </c>
      <c r="O55" s="126" t="s">
        <v>135</v>
      </c>
      <c r="P55" s="126" t="s">
        <v>135</v>
      </c>
      <c r="Q55" s="128"/>
      <c r="R55" s="126" t="s">
        <v>136</v>
      </c>
      <c r="S55" s="126" t="s">
        <v>148</v>
      </c>
      <c r="T55" s="128"/>
      <c r="U55" s="129" t="n">
        <v>0</v>
      </c>
      <c r="V55" s="129" t="n">
        <v>1</v>
      </c>
      <c r="W55" s="129" t="n">
        <v>0</v>
      </c>
      <c r="X55" s="129" t="n">
        <v>0</v>
      </c>
      <c r="Y55" s="129" t="n">
        <v>0</v>
      </c>
      <c r="Z55" s="129" t="n">
        <v>0</v>
      </c>
      <c r="AA55" s="129" t="n">
        <v>0</v>
      </c>
      <c r="AB55" s="129" t="n">
        <v>0</v>
      </c>
      <c r="AC55" s="129" t="n">
        <v>0</v>
      </c>
      <c r="AD55" s="129" t="n">
        <v>0</v>
      </c>
      <c r="AE55" s="129" t="n">
        <v>0</v>
      </c>
      <c r="AF55" s="129" t="n">
        <v>0</v>
      </c>
      <c r="AG55" s="129" t="n">
        <v>0</v>
      </c>
      <c r="AH55" s="129" t="n">
        <v>0</v>
      </c>
      <c r="AI55" s="129" t="n">
        <v>0</v>
      </c>
      <c r="AJ55" s="129" t="n">
        <v>0</v>
      </c>
      <c r="AK55" s="129" t="n">
        <v>0</v>
      </c>
      <c r="AL55" s="129" t="n">
        <v>0</v>
      </c>
      <c r="AM55" s="129" t="n">
        <v>0</v>
      </c>
      <c r="AN55" s="128"/>
      <c r="AO55" s="128"/>
      <c r="AP55" s="126" t="s">
        <v>138</v>
      </c>
      <c r="AQ55" s="126" t="s">
        <v>139</v>
      </c>
      <c r="AR55" s="126" t="s">
        <v>140</v>
      </c>
      <c r="AS55" s="128"/>
      <c r="AT55" s="130"/>
    </row>
    <row r="56" customFormat="false" ht="12.75" hidden="false" customHeight="true" outlineLevel="0" collapsed="false">
      <c r="B56" s="122" t="n">
        <f aca="false">B55+1</f>
        <v>53</v>
      </c>
      <c r="C56" s="123" t="s">
        <v>236</v>
      </c>
      <c r="D56" s="124" t="n">
        <v>44112</v>
      </c>
      <c r="E56" s="124" t="str">
        <f aca="false">IF(D56="","",IFERROR(VLOOKUP(D56,CCN_Library!$A$4:$B$13,2,FALSE()),"NOT IN LIBRARY"))</f>
        <v>STORAGE OF AIR OR GROUND ORGANIC UNITS FOR MARINE CORPS</v>
      </c>
      <c r="F56" s="125" t="str">
        <f aca="false">LEFT(H56,6)</f>
        <v>M28261</v>
      </c>
      <c r="G56" s="126" t="s">
        <v>128</v>
      </c>
      <c r="H56" s="126" t="s">
        <v>251</v>
      </c>
      <c r="I56" s="126" t="s">
        <v>252</v>
      </c>
      <c r="J56" s="126" t="s">
        <v>253</v>
      </c>
      <c r="K56" s="127" t="s">
        <v>248</v>
      </c>
      <c r="L56" s="126" t="s">
        <v>248</v>
      </c>
      <c r="M56" s="126" t="s">
        <v>148</v>
      </c>
      <c r="N56" s="126" t="s">
        <v>128</v>
      </c>
      <c r="O56" s="126" t="s">
        <v>135</v>
      </c>
      <c r="P56" s="126" t="s">
        <v>135</v>
      </c>
      <c r="Q56" s="128"/>
      <c r="R56" s="126" t="s">
        <v>136</v>
      </c>
      <c r="S56" s="126" t="s">
        <v>148</v>
      </c>
      <c r="T56" s="128"/>
      <c r="U56" s="129" t="n">
        <v>0</v>
      </c>
      <c r="V56" s="129" t="n">
        <v>1</v>
      </c>
      <c r="W56" s="129" t="n">
        <v>0</v>
      </c>
      <c r="X56" s="129" t="n">
        <v>0</v>
      </c>
      <c r="Y56" s="129" t="n">
        <v>0</v>
      </c>
      <c r="Z56" s="129" t="n">
        <v>0</v>
      </c>
      <c r="AA56" s="129" t="n">
        <v>0</v>
      </c>
      <c r="AB56" s="129" t="n">
        <v>0</v>
      </c>
      <c r="AC56" s="129" t="n">
        <v>0</v>
      </c>
      <c r="AD56" s="129" t="n">
        <v>0</v>
      </c>
      <c r="AE56" s="129" t="n">
        <v>0</v>
      </c>
      <c r="AF56" s="129" t="n">
        <v>0</v>
      </c>
      <c r="AG56" s="129" t="n">
        <v>0</v>
      </c>
      <c r="AH56" s="129" t="n">
        <v>0</v>
      </c>
      <c r="AI56" s="129" t="n">
        <v>0</v>
      </c>
      <c r="AJ56" s="129" t="n">
        <v>0</v>
      </c>
      <c r="AK56" s="129" t="n">
        <v>0</v>
      </c>
      <c r="AL56" s="129" t="n">
        <v>0</v>
      </c>
      <c r="AM56" s="129" t="n">
        <v>0</v>
      </c>
      <c r="AN56" s="128"/>
      <c r="AO56" s="128"/>
      <c r="AP56" s="126" t="s">
        <v>138</v>
      </c>
      <c r="AQ56" s="126" t="s">
        <v>139</v>
      </c>
      <c r="AR56" s="126" t="s">
        <v>140</v>
      </c>
      <c r="AS56" s="128"/>
      <c r="AT56" s="130"/>
    </row>
    <row r="57" customFormat="false" ht="12.75" hidden="false" customHeight="true" outlineLevel="0" collapsed="false">
      <c r="B57" s="122" t="n">
        <f aca="false">B56+1</f>
        <v>54</v>
      </c>
      <c r="C57" s="123" t="s">
        <v>236</v>
      </c>
      <c r="D57" s="124" t="n">
        <v>44112</v>
      </c>
      <c r="E57" s="124" t="str">
        <f aca="false">IF(D57="","",IFERROR(VLOOKUP(D57,CCN_Library!$A$4:$B$13,2,FALSE()),"NOT IN LIBRARY"))</f>
        <v>STORAGE OF AIR OR GROUND ORGANIC UNITS FOR MARINE CORPS</v>
      </c>
      <c r="F57" s="125" t="str">
        <f aca="false">LEFT(H57,6)</f>
        <v>M28261</v>
      </c>
      <c r="G57" s="126" t="s">
        <v>128</v>
      </c>
      <c r="H57" s="126" t="s">
        <v>254</v>
      </c>
      <c r="I57" s="126" t="s">
        <v>255</v>
      </c>
      <c r="J57" s="126" t="s">
        <v>256</v>
      </c>
      <c r="K57" s="127" t="s">
        <v>248</v>
      </c>
      <c r="L57" s="126" t="s">
        <v>248</v>
      </c>
      <c r="M57" s="126" t="s">
        <v>148</v>
      </c>
      <c r="N57" s="126" t="s">
        <v>128</v>
      </c>
      <c r="O57" s="126" t="s">
        <v>135</v>
      </c>
      <c r="P57" s="126" t="s">
        <v>135</v>
      </c>
      <c r="Q57" s="128"/>
      <c r="R57" s="126" t="s">
        <v>136</v>
      </c>
      <c r="S57" s="126" t="s">
        <v>148</v>
      </c>
      <c r="T57" s="128"/>
      <c r="U57" s="129" t="n">
        <v>0</v>
      </c>
      <c r="V57" s="129" t="n">
        <v>1</v>
      </c>
      <c r="W57" s="129" t="n">
        <v>0</v>
      </c>
      <c r="X57" s="129" t="n">
        <v>0</v>
      </c>
      <c r="Y57" s="129" t="n">
        <v>0</v>
      </c>
      <c r="Z57" s="129" t="n">
        <v>0</v>
      </c>
      <c r="AA57" s="129" t="n">
        <v>0</v>
      </c>
      <c r="AB57" s="129" t="n">
        <v>0</v>
      </c>
      <c r="AC57" s="129" t="n">
        <v>0</v>
      </c>
      <c r="AD57" s="129" t="n">
        <v>0</v>
      </c>
      <c r="AE57" s="129" t="n">
        <v>0</v>
      </c>
      <c r="AF57" s="129" t="n">
        <v>0</v>
      </c>
      <c r="AG57" s="129" t="n">
        <v>0</v>
      </c>
      <c r="AH57" s="129" t="n">
        <v>0</v>
      </c>
      <c r="AI57" s="129" t="n">
        <v>0</v>
      </c>
      <c r="AJ57" s="129" t="n">
        <v>0</v>
      </c>
      <c r="AK57" s="129" t="n">
        <v>0</v>
      </c>
      <c r="AL57" s="129" t="n">
        <v>0</v>
      </c>
      <c r="AM57" s="129" t="n">
        <v>0</v>
      </c>
      <c r="AN57" s="128"/>
      <c r="AO57" s="128"/>
      <c r="AP57" s="126" t="s">
        <v>138</v>
      </c>
      <c r="AQ57" s="126" t="s">
        <v>139</v>
      </c>
      <c r="AR57" s="126" t="s">
        <v>140</v>
      </c>
      <c r="AS57" s="128"/>
      <c r="AT57" s="130"/>
    </row>
    <row r="58" customFormat="false" ht="12.75" hidden="false" customHeight="true" outlineLevel="0" collapsed="false">
      <c r="B58" s="122" t="n">
        <f aca="false">B57+1</f>
        <v>55</v>
      </c>
      <c r="C58" s="123" t="s">
        <v>236</v>
      </c>
      <c r="D58" s="124" t="n">
        <v>44112</v>
      </c>
      <c r="E58" s="124" t="str">
        <f aca="false">IF(D58="","",IFERROR(VLOOKUP(D58,CCN_Library!$A$4:$B$13,2,FALSE()),"NOT IN LIBRARY"))</f>
        <v>STORAGE OF AIR OR GROUND ORGANIC UNITS FOR MARINE CORPS</v>
      </c>
      <c r="F58" s="125" t="str">
        <f aca="false">LEFT(H58,6)</f>
        <v>M28261</v>
      </c>
      <c r="G58" s="126" t="s">
        <v>128</v>
      </c>
      <c r="H58" s="126" t="s">
        <v>257</v>
      </c>
      <c r="I58" s="126" t="s">
        <v>258</v>
      </c>
      <c r="J58" s="126" t="s">
        <v>256</v>
      </c>
      <c r="K58" s="127" t="s">
        <v>259</v>
      </c>
      <c r="L58" s="126" t="s">
        <v>259</v>
      </c>
      <c r="M58" s="126" t="s">
        <v>148</v>
      </c>
      <c r="N58" s="126" t="s">
        <v>128</v>
      </c>
      <c r="O58" s="126" t="s">
        <v>135</v>
      </c>
      <c r="P58" s="126" t="s">
        <v>135</v>
      </c>
      <c r="Q58" s="128"/>
      <c r="R58" s="126" t="s">
        <v>136</v>
      </c>
      <c r="S58" s="126" t="s">
        <v>148</v>
      </c>
      <c r="T58" s="128"/>
      <c r="U58" s="129" t="n">
        <v>0</v>
      </c>
      <c r="V58" s="129" t="n">
        <v>1</v>
      </c>
      <c r="W58" s="129" t="n">
        <v>0</v>
      </c>
      <c r="X58" s="129" t="n">
        <v>0</v>
      </c>
      <c r="Y58" s="129" t="n">
        <v>0</v>
      </c>
      <c r="Z58" s="129" t="n">
        <v>0</v>
      </c>
      <c r="AA58" s="129" t="n">
        <v>0</v>
      </c>
      <c r="AB58" s="129" t="n">
        <v>0</v>
      </c>
      <c r="AC58" s="129" t="n">
        <v>0</v>
      </c>
      <c r="AD58" s="129" t="n">
        <v>0</v>
      </c>
      <c r="AE58" s="129" t="n">
        <v>0</v>
      </c>
      <c r="AF58" s="129" t="n">
        <v>0</v>
      </c>
      <c r="AG58" s="129" t="n">
        <v>0</v>
      </c>
      <c r="AH58" s="129" t="n">
        <v>0</v>
      </c>
      <c r="AI58" s="129" t="n">
        <v>0</v>
      </c>
      <c r="AJ58" s="129" t="n">
        <v>0</v>
      </c>
      <c r="AK58" s="129" t="n">
        <v>0</v>
      </c>
      <c r="AL58" s="129" t="n">
        <v>0</v>
      </c>
      <c r="AM58" s="129" t="n">
        <v>0</v>
      </c>
      <c r="AN58" s="128"/>
      <c r="AO58" s="128"/>
      <c r="AP58" s="126" t="s">
        <v>138</v>
      </c>
      <c r="AQ58" s="126" t="s">
        <v>139</v>
      </c>
      <c r="AR58" s="126" t="s">
        <v>140</v>
      </c>
      <c r="AS58" s="128"/>
      <c r="AT58" s="130"/>
    </row>
    <row r="59" customFormat="false" ht="12.75" hidden="false" customHeight="true" outlineLevel="0" collapsed="false">
      <c r="B59" s="122" t="n">
        <f aca="false">B58+1</f>
        <v>56</v>
      </c>
      <c r="C59" s="123" t="s">
        <v>260</v>
      </c>
      <c r="D59" s="124" t="n">
        <v>21710</v>
      </c>
      <c r="E59" s="124" t="str">
        <f aca="false">IF(D59="","",IFERROR(VLOOKUP(D59,CCN_Library!$A$4:$B$13,2,FALSE()),"NOT IN LIBRARY"))</f>
        <v>ELECTRONICS/COMMUNICATIONS MAINTENANCE SHOP</v>
      </c>
      <c r="F59" s="125" t="str">
        <f aca="false">LEFT(H59,6)</f>
        <v>M28261</v>
      </c>
      <c r="G59" s="126" t="s">
        <v>128</v>
      </c>
      <c r="H59" s="126" t="s">
        <v>261</v>
      </c>
      <c r="I59" s="126" t="s">
        <v>262</v>
      </c>
      <c r="J59" s="126" t="s">
        <v>253</v>
      </c>
      <c r="K59" s="127" t="s">
        <v>263</v>
      </c>
      <c r="L59" s="126" t="s">
        <v>263</v>
      </c>
      <c r="M59" s="126" t="s">
        <v>148</v>
      </c>
      <c r="N59" s="126" t="s">
        <v>128</v>
      </c>
      <c r="O59" s="126" t="s">
        <v>135</v>
      </c>
      <c r="P59" s="126" t="s">
        <v>135</v>
      </c>
      <c r="Q59" s="128"/>
      <c r="R59" s="126" t="s">
        <v>264</v>
      </c>
      <c r="S59" s="126" t="s">
        <v>148</v>
      </c>
      <c r="T59" s="128"/>
      <c r="U59" s="129" t="n">
        <v>0</v>
      </c>
      <c r="V59" s="129" t="n">
        <v>1</v>
      </c>
      <c r="W59" s="129" t="n">
        <v>0</v>
      </c>
      <c r="X59" s="129" t="n">
        <v>0</v>
      </c>
      <c r="Y59" s="129" t="n">
        <v>0</v>
      </c>
      <c r="Z59" s="129" t="n">
        <v>0</v>
      </c>
      <c r="AA59" s="129" t="n">
        <v>0</v>
      </c>
      <c r="AB59" s="129" t="n">
        <v>0</v>
      </c>
      <c r="AC59" s="129" t="n">
        <v>0</v>
      </c>
      <c r="AD59" s="129" t="n">
        <v>0</v>
      </c>
      <c r="AE59" s="129" t="n">
        <v>0</v>
      </c>
      <c r="AF59" s="129" t="n">
        <v>0</v>
      </c>
      <c r="AG59" s="129" t="n">
        <v>0</v>
      </c>
      <c r="AH59" s="129" t="n">
        <v>0</v>
      </c>
      <c r="AI59" s="129" t="n">
        <v>0</v>
      </c>
      <c r="AJ59" s="129" t="n">
        <v>0</v>
      </c>
      <c r="AK59" s="129" t="n">
        <v>0</v>
      </c>
      <c r="AL59" s="129" t="n">
        <v>0</v>
      </c>
      <c r="AM59" s="129" t="n">
        <v>0</v>
      </c>
      <c r="AN59" s="128"/>
      <c r="AO59" s="128"/>
      <c r="AP59" s="126" t="s">
        <v>138</v>
      </c>
      <c r="AQ59" s="126" t="s">
        <v>265</v>
      </c>
      <c r="AR59" s="126" t="s">
        <v>140</v>
      </c>
      <c r="AS59" s="128"/>
      <c r="AT59" s="130"/>
    </row>
    <row r="60" customFormat="false" ht="12.75" hidden="false" customHeight="true" outlineLevel="0" collapsed="false">
      <c r="B60" s="122" t="n">
        <f aca="false">B59+1</f>
        <v>57</v>
      </c>
      <c r="C60" s="123" t="s">
        <v>260</v>
      </c>
      <c r="D60" s="124" t="n">
        <v>21710</v>
      </c>
      <c r="E60" s="124" t="str">
        <f aca="false">IF(D60="","",IFERROR(VLOOKUP(D60,CCN_Library!$A$4:$B$13,2,FALSE()),"NOT IN LIBRARY"))</f>
        <v>ELECTRONICS/COMMUNICATIONS MAINTENANCE SHOP</v>
      </c>
      <c r="F60" s="125" t="str">
        <f aca="false">LEFT(H60,6)</f>
        <v>M28261</v>
      </c>
      <c r="G60" s="126" t="s">
        <v>128</v>
      </c>
      <c r="H60" s="126" t="s">
        <v>266</v>
      </c>
      <c r="I60" s="126" t="s">
        <v>262</v>
      </c>
      <c r="J60" s="126" t="s">
        <v>171</v>
      </c>
      <c r="K60" s="127" t="s">
        <v>263</v>
      </c>
      <c r="L60" s="126" t="s">
        <v>263</v>
      </c>
      <c r="M60" s="126" t="s">
        <v>148</v>
      </c>
      <c r="N60" s="126" t="s">
        <v>128</v>
      </c>
      <c r="O60" s="126" t="s">
        <v>135</v>
      </c>
      <c r="P60" s="126" t="s">
        <v>135</v>
      </c>
      <c r="Q60" s="128"/>
      <c r="R60" s="126" t="s">
        <v>264</v>
      </c>
      <c r="S60" s="126" t="s">
        <v>148</v>
      </c>
      <c r="T60" s="128"/>
      <c r="U60" s="129" t="n">
        <v>0</v>
      </c>
      <c r="V60" s="129" t="n">
        <v>1</v>
      </c>
      <c r="W60" s="129" t="n">
        <v>0</v>
      </c>
      <c r="X60" s="129" t="n">
        <v>0</v>
      </c>
      <c r="Y60" s="129" t="n">
        <v>0</v>
      </c>
      <c r="Z60" s="129" t="n">
        <v>0</v>
      </c>
      <c r="AA60" s="129" t="n">
        <v>0</v>
      </c>
      <c r="AB60" s="129" t="n">
        <v>0</v>
      </c>
      <c r="AC60" s="129" t="n">
        <v>0</v>
      </c>
      <c r="AD60" s="129" t="n">
        <v>0</v>
      </c>
      <c r="AE60" s="129" t="n">
        <v>0</v>
      </c>
      <c r="AF60" s="129" t="n">
        <v>0</v>
      </c>
      <c r="AG60" s="129" t="n">
        <v>0</v>
      </c>
      <c r="AH60" s="129" t="n">
        <v>0</v>
      </c>
      <c r="AI60" s="129" t="n">
        <v>0</v>
      </c>
      <c r="AJ60" s="129" t="n">
        <v>0</v>
      </c>
      <c r="AK60" s="129" t="n">
        <v>0</v>
      </c>
      <c r="AL60" s="129" t="n">
        <v>0</v>
      </c>
      <c r="AM60" s="129" t="n">
        <v>0</v>
      </c>
      <c r="AN60" s="128"/>
      <c r="AO60" s="128"/>
      <c r="AP60" s="126" t="s">
        <v>138</v>
      </c>
      <c r="AQ60" s="126" t="s">
        <v>267</v>
      </c>
      <c r="AR60" s="126" t="s">
        <v>140</v>
      </c>
      <c r="AS60" s="128"/>
      <c r="AT60" s="130"/>
    </row>
    <row r="61" customFormat="false" ht="12.75" hidden="false" customHeight="true" outlineLevel="0" collapsed="false">
      <c r="B61" s="122" t="n">
        <f aca="false">B60+1</f>
        <v>58</v>
      </c>
      <c r="C61" s="123" t="s">
        <v>260</v>
      </c>
      <c r="D61" s="124" t="n">
        <v>21710</v>
      </c>
      <c r="E61" s="124" t="str">
        <f aca="false">IF(D61="","",IFERROR(VLOOKUP(D61,CCN_Library!$A$4:$B$13,2,FALSE()),"NOT IN LIBRARY"))</f>
        <v>ELECTRONICS/COMMUNICATIONS MAINTENANCE SHOP</v>
      </c>
      <c r="F61" s="125" t="str">
        <f aca="false">LEFT(H61,6)</f>
        <v>M28261</v>
      </c>
      <c r="G61" s="126" t="s">
        <v>128</v>
      </c>
      <c r="H61" s="126" t="s">
        <v>268</v>
      </c>
      <c r="I61" s="126" t="s">
        <v>269</v>
      </c>
      <c r="J61" s="126" t="s">
        <v>171</v>
      </c>
      <c r="K61" s="127" t="s">
        <v>270</v>
      </c>
      <c r="L61" s="126" t="s">
        <v>270</v>
      </c>
      <c r="M61" s="126" t="s">
        <v>148</v>
      </c>
      <c r="N61" s="126" t="s">
        <v>128</v>
      </c>
      <c r="O61" s="126" t="s">
        <v>135</v>
      </c>
      <c r="P61" s="126" t="s">
        <v>135</v>
      </c>
      <c r="Q61" s="128"/>
      <c r="R61" s="126" t="s">
        <v>264</v>
      </c>
      <c r="S61" s="126" t="s">
        <v>148</v>
      </c>
      <c r="T61" s="128"/>
      <c r="U61" s="129" t="n">
        <v>0</v>
      </c>
      <c r="V61" s="129" t="n">
        <v>1</v>
      </c>
      <c r="W61" s="129" t="n">
        <v>0</v>
      </c>
      <c r="X61" s="129" t="n">
        <v>0</v>
      </c>
      <c r="Y61" s="129" t="n">
        <v>0</v>
      </c>
      <c r="Z61" s="129" t="n">
        <v>0</v>
      </c>
      <c r="AA61" s="129" t="n">
        <v>0</v>
      </c>
      <c r="AB61" s="129" t="n">
        <v>0</v>
      </c>
      <c r="AC61" s="129" t="n">
        <v>0</v>
      </c>
      <c r="AD61" s="129" t="n">
        <v>0</v>
      </c>
      <c r="AE61" s="129" t="n">
        <v>0</v>
      </c>
      <c r="AF61" s="129" t="n">
        <v>0</v>
      </c>
      <c r="AG61" s="129" t="n">
        <v>0</v>
      </c>
      <c r="AH61" s="129" t="n">
        <v>0</v>
      </c>
      <c r="AI61" s="129" t="n">
        <v>0</v>
      </c>
      <c r="AJ61" s="129" t="n">
        <v>0</v>
      </c>
      <c r="AK61" s="129" t="n">
        <v>0</v>
      </c>
      <c r="AL61" s="129" t="n">
        <v>0</v>
      </c>
      <c r="AM61" s="129" t="n">
        <v>0</v>
      </c>
      <c r="AN61" s="128"/>
      <c r="AO61" s="128"/>
      <c r="AP61" s="126" t="s">
        <v>138</v>
      </c>
      <c r="AQ61" s="126" t="s">
        <v>267</v>
      </c>
      <c r="AR61" s="126" t="s">
        <v>140</v>
      </c>
      <c r="AS61" s="128"/>
      <c r="AT61" s="130"/>
    </row>
    <row r="62" customFormat="false" ht="12.75" hidden="false" customHeight="true" outlineLevel="0" collapsed="false">
      <c r="B62" s="122" t="n">
        <f aca="false">B61+1</f>
        <v>59</v>
      </c>
      <c r="C62" s="123" t="s">
        <v>260</v>
      </c>
      <c r="D62" s="124" t="n">
        <v>21710</v>
      </c>
      <c r="E62" s="124" t="str">
        <f aca="false">IF(D62="","",IFERROR(VLOOKUP(D62,CCN_Library!$A$4:$B$13,2,FALSE()),"NOT IN LIBRARY"))</f>
        <v>ELECTRONICS/COMMUNICATIONS MAINTENANCE SHOP</v>
      </c>
      <c r="F62" s="125" t="str">
        <f aca="false">LEFT(H62,6)</f>
        <v>M28261</v>
      </c>
      <c r="G62" s="126" t="s">
        <v>128</v>
      </c>
      <c r="H62" s="126" t="s">
        <v>271</v>
      </c>
      <c r="I62" s="126" t="s">
        <v>269</v>
      </c>
      <c r="J62" s="126" t="s">
        <v>171</v>
      </c>
      <c r="K62" s="127" t="s">
        <v>270</v>
      </c>
      <c r="L62" s="126" t="s">
        <v>270</v>
      </c>
      <c r="M62" s="126" t="s">
        <v>148</v>
      </c>
      <c r="N62" s="126" t="s">
        <v>128</v>
      </c>
      <c r="O62" s="126" t="s">
        <v>135</v>
      </c>
      <c r="P62" s="126" t="s">
        <v>135</v>
      </c>
      <c r="Q62" s="128"/>
      <c r="R62" s="126" t="s">
        <v>264</v>
      </c>
      <c r="S62" s="126" t="s">
        <v>148</v>
      </c>
      <c r="T62" s="128"/>
      <c r="U62" s="129" t="n">
        <v>0</v>
      </c>
      <c r="V62" s="129" t="n">
        <v>1</v>
      </c>
      <c r="W62" s="129" t="n">
        <v>0</v>
      </c>
      <c r="X62" s="129" t="n">
        <v>0</v>
      </c>
      <c r="Y62" s="129" t="n">
        <v>0</v>
      </c>
      <c r="Z62" s="129" t="n">
        <v>0</v>
      </c>
      <c r="AA62" s="129" t="n">
        <v>0</v>
      </c>
      <c r="AB62" s="129" t="n">
        <v>0</v>
      </c>
      <c r="AC62" s="129" t="n">
        <v>0</v>
      </c>
      <c r="AD62" s="129" t="n">
        <v>0</v>
      </c>
      <c r="AE62" s="129" t="n">
        <v>0</v>
      </c>
      <c r="AF62" s="129" t="n">
        <v>0</v>
      </c>
      <c r="AG62" s="129" t="n">
        <v>0</v>
      </c>
      <c r="AH62" s="129" t="n">
        <v>0</v>
      </c>
      <c r="AI62" s="129" t="n">
        <v>0</v>
      </c>
      <c r="AJ62" s="129" t="n">
        <v>0</v>
      </c>
      <c r="AK62" s="129" t="n">
        <v>0</v>
      </c>
      <c r="AL62" s="129" t="n">
        <v>0</v>
      </c>
      <c r="AM62" s="129" t="n">
        <v>0</v>
      </c>
      <c r="AN62" s="128"/>
      <c r="AO62" s="128"/>
      <c r="AP62" s="126" t="s">
        <v>138</v>
      </c>
      <c r="AQ62" s="126" t="s">
        <v>267</v>
      </c>
      <c r="AR62" s="126" t="s">
        <v>140</v>
      </c>
      <c r="AS62" s="128"/>
      <c r="AT62" s="139"/>
    </row>
    <row r="63" customFormat="false" ht="12.75" hidden="false" customHeight="true" outlineLevel="0" collapsed="false">
      <c r="B63" s="122" t="n">
        <f aca="false">B62+1</f>
        <v>60</v>
      </c>
      <c r="C63" s="123" t="s">
        <v>272</v>
      </c>
      <c r="D63" s="124" t="n">
        <v>14345</v>
      </c>
      <c r="E63" s="124" t="str">
        <f aca="false">IF(D63="","",IFERROR(VLOOKUP(D63,CCN_Library!$A$4:$B$13,2,FALSE()),"NOT IN LIBRARY"))</f>
        <v>ARMORY</v>
      </c>
      <c r="F63" s="125" t="str">
        <f aca="false">LEFT(H63,6)</f>
        <v>M28261</v>
      </c>
      <c r="G63" s="126" t="s">
        <v>128</v>
      </c>
      <c r="H63" s="126" t="s">
        <v>273</v>
      </c>
      <c r="I63" s="126" t="s">
        <v>274</v>
      </c>
      <c r="J63" s="126" t="s">
        <v>256</v>
      </c>
      <c r="K63" s="127" t="s">
        <v>275</v>
      </c>
      <c r="L63" s="126" t="s">
        <v>275</v>
      </c>
      <c r="M63" s="126" t="s">
        <v>148</v>
      </c>
      <c r="N63" s="126" t="s">
        <v>128</v>
      </c>
      <c r="O63" s="126" t="s">
        <v>135</v>
      </c>
      <c r="P63" s="126" t="s">
        <v>135</v>
      </c>
      <c r="Q63" s="128"/>
      <c r="R63" s="126" t="s">
        <v>136</v>
      </c>
      <c r="S63" s="126" t="s">
        <v>148</v>
      </c>
      <c r="T63" s="128"/>
      <c r="U63" s="129" t="n">
        <v>0</v>
      </c>
      <c r="V63" s="129" t="n">
        <v>1</v>
      </c>
      <c r="W63" s="129" t="n">
        <v>0</v>
      </c>
      <c r="X63" s="129" t="n">
        <v>0</v>
      </c>
      <c r="Y63" s="129" t="n">
        <v>0</v>
      </c>
      <c r="Z63" s="129" t="n">
        <v>0</v>
      </c>
      <c r="AA63" s="129" t="n">
        <v>0</v>
      </c>
      <c r="AB63" s="129" t="n">
        <v>0</v>
      </c>
      <c r="AC63" s="129" t="n">
        <v>0</v>
      </c>
      <c r="AD63" s="129" t="n">
        <v>0</v>
      </c>
      <c r="AE63" s="129" t="n">
        <v>0</v>
      </c>
      <c r="AF63" s="129" t="n">
        <v>0</v>
      </c>
      <c r="AG63" s="129" t="n">
        <v>0</v>
      </c>
      <c r="AH63" s="129" t="n">
        <v>0</v>
      </c>
      <c r="AI63" s="129" t="n">
        <v>0</v>
      </c>
      <c r="AJ63" s="129" t="n">
        <v>0</v>
      </c>
      <c r="AK63" s="129" t="n">
        <v>0</v>
      </c>
      <c r="AL63" s="129" t="n">
        <v>0</v>
      </c>
      <c r="AM63" s="129" t="n">
        <v>0</v>
      </c>
      <c r="AN63" s="128"/>
      <c r="AO63" s="128"/>
      <c r="AP63" s="126" t="s">
        <v>138</v>
      </c>
      <c r="AQ63" s="126" t="s">
        <v>139</v>
      </c>
      <c r="AR63" s="126" t="s">
        <v>140</v>
      </c>
      <c r="AS63" s="128"/>
      <c r="AT63" s="130"/>
    </row>
    <row r="64" customFormat="false" ht="12.75" hidden="false" customHeight="true" outlineLevel="0" collapsed="false">
      <c r="B64" s="122" t="n">
        <f aca="false">B63+1</f>
        <v>61</v>
      </c>
      <c r="C64" s="123" t="s">
        <v>236</v>
      </c>
      <c r="D64" s="124" t="n">
        <v>44112</v>
      </c>
      <c r="E64" s="124" t="str">
        <f aca="false">IF(D64="","",IFERROR(VLOOKUP(D64,CCN_Library!$A$4:$B$13,2,FALSE()),"NOT IN LIBRARY"))</f>
        <v>STORAGE OF AIR OR GROUND ORGANIC UNITS FOR MARINE CORPS</v>
      </c>
      <c r="F64" s="125" t="str">
        <f aca="false">LEFT(H64,6)</f>
        <v>M28261</v>
      </c>
      <c r="G64" s="126" t="s">
        <v>128</v>
      </c>
      <c r="H64" s="126" t="s">
        <v>276</v>
      </c>
      <c r="I64" s="126" t="s">
        <v>277</v>
      </c>
      <c r="J64" s="126" t="s">
        <v>171</v>
      </c>
      <c r="K64" s="127" t="s">
        <v>275</v>
      </c>
      <c r="L64" s="126" t="s">
        <v>275</v>
      </c>
      <c r="M64" s="126" t="s">
        <v>148</v>
      </c>
      <c r="N64" s="126" t="s">
        <v>128</v>
      </c>
      <c r="O64" s="126" t="s">
        <v>135</v>
      </c>
      <c r="P64" s="126" t="s">
        <v>135</v>
      </c>
      <c r="Q64" s="128"/>
      <c r="R64" s="126" t="s">
        <v>136</v>
      </c>
      <c r="S64" s="126" t="s">
        <v>148</v>
      </c>
      <c r="T64" s="128"/>
      <c r="U64" s="129" t="n">
        <v>0</v>
      </c>
      <c r="V64" s="129" t="n">
        <v>1</v>
      </c>
      <c r="W64" s="129" t="n">
        <v>0</v>
      </c>
      <c r="X64" s="129" t="n">
        <v>0</v>
      </c>
      <c r="Y64" s="129" t="n">
        <v>0</v>
      </c>
      <c r="Z64" s="129" t="n">
        <v>0</v>
      </c>
      <c r="AA64" s="129" t="n">
        <v>0</v>
      </c>
      <c r="AB64" s="129" t="n">
        <v>0</v>
      </c>
      <c r="AC64" s="129" t="n">
        <v>0</v>
      </c>
      <c r="AD64" s="129" t="n">
        <v>0</v>
      </c>
      <c r="AE64" s="129" t="n">
        <v>0</v>
      </c>
      <c r="AF64" s="129" t="n">
        <v>0</v>
      </c>
      <c r="AG64" s="129" t="n">
        <v>0</v>
      </c>
      <c r="AH64" s="129" t="n">
        <v>0</v>
      </c>
      <c r="AI64" s="129" t="n">
        <v>0</v>
      </c>
      <c r="AJ64" s="129" t="n">
        <v>0</v>
      </c>
      <c r="AK64" s="129" t="n">
        <v>0</v>
      </c>
      <c r="AL64" s="129" t="n">
        <v>0</v>
      </c>
      <c r="AM64" s="129" t="n">
        <v>0</v>
      </c>
      <c r="AN64" s="128"/>
      <c r="AO64" s="128"/>
      <c r="AP64" s="126" t="s">
        <v>138</v>
      </c>
      <c r="AQ64" s="126" t="s">
        <v>139</v>
      </c>
      <c r="AR64" s="126" t="s">
        <v>140</v>
      </c>
      <c r="AS64" s="128"/>
      <c r="AT64" s="130"/>
    </row>
    <row r="65" customFormat="false" ht="12.75" hidden="false" customHeight="true" outlineLevel="0" collapsed="false">
      <c r="B65" s="122" t="n">
        <f aca="false">B64+1</f>
        <v>62</v>
      </c>
      <c r="C65" s="123" t="s">
        <v>236</v>
      </c>
      <c r="D65" s="124" t="n">
        <v>44112</v>
      </c>
      <c r="E65" s="124" t="str">
        <f aca="false">IF(D65="","",IFERROR(VLOOKUP(D65,CCN_Library!$A$4:$B$13,2,FALSE()),"NOT IN LIBRARY"))</f>
        <v>STORAGE OF AIR OR GROUND ORGANIC UNITS FOR MARINE CORPS</v>
      </c>
      <c r="F65" s="125" t="str">
        <f aca="false">LEFT(H65,6)</f>
        <v>M28261</v>
      </c>
      <c r="G65" s="126" t="s">
        <v>128</v>
      </c>
      <c r="H65" s="126" t="s">
        <v>278</v>
      </c>
      <c r="I65" s="126" t="s">
        <v>279</v>
      </c>
      <c r="J65" s="126" t="s">
        <v>253</v>
      </c>
      <c r="K65" s="127" t="s">
        <v>259</v>
      </c>
      <c r="L65" s="126" t="s">
        <v>259</v>
      </c>
      <c r="M65" s="126" t="s">
        <v>148</v>
      </c>
      <c r="N65" s="126" t="s">
        <v>128</v>
      </c>
      <c r="O65" s="126" t="s">
        <v>135</v>
      </c>
      <c r="P65" s="126" t="s">
        <v>135</v>
      </c>
      <c r="Q65" s="128"/>
      <c r="R65" s="126" t="s">
        <v>136</v>
      </c>
      <c r="S65" s="126" t="s">
        <v>148</v>
      </c>
      <c r="T65" s="128"/>
      <c r="U65" s="129" t="n">
        <v>0</v>
      </c>
      <c r="V65" s="129" t="n">
        <v>1</v>
      </c>
      <c r="W65" s="129" t="n">
        <v>0</v>
      </c>
      <c r="X65" s="129" t="n">
        <v>0</v>
      </c>
      <c r="Y65" s="129" t="n">
        <v>0</v>
      </c>
      <c r="Z65" s="129" t="n">
        <v>0</v>
      </c>
      <c r="AA65" s="129" t="n">
        <v>0</v>
      </c>
      <c r="AB65" s="129" t="n">
        <v>0</v>
      </c>
      <c r="AC65" s="129" t="n">
        <v>0</v>
      </c>
      <c r="AD65" s="129" t="n">
        <v>0</v>
      </c>
      <c r="AE65" s="129" t="n">
        <v>0</v>
      </c>
      <c r="AF65" s="129" t="n">
        <v>0</v>
      </c>
      <c r="AG65" s="129" t="n">
        <v>0</v>
      </c>
      <c r="AH65" s="129" t="n">
        <v>0</v>
      </c>
      <c r="AI65" s="129" t="n">
        <v>0</v>
      </c>
      <c r="AJ65" s="129" t="n">
        <v>0</v>
      </c>
      <c r="AK65" s="129" t="n">
        <v>0</v>
      </c>
      <c r="AL65" s="129" t="n">
        <v>0</v>
      </c>
      <c r="AM65" s="129" t="n">
        <v>0</v>
      </c>
      <c r="AN65" s="128"/>
      <c r="AO65" s="128"/>
      <c r="AP65" s="126" t="s">
        <v>138</v>
      </c>
      <c r="AQ65" s="126" t="s">
        <v>139</v>
      </c>
      <c r="AR65" s="126" t="s">
        <v>140</v>
      </c>
      <c r="AS65" s="128"/>
      <c r="AT65" s="130"/>
    </row>
    <row r="66" customFormat="false" ht="12.75" hidden="false" customHeight="true" outlineLevel="0" collapsed="false">
      <c r="B66" s="131" t="n">
        <f aca="false">B65+1</f>
        <v>63</v>
      </c>
      <c r="C66" s="132" t="s">
        <v>231</v>
      </c>
      <c r="D66" s="133" t="n">
        <v>44112</v>
      </c>
      <c r="E66" s="133"/>
      <c r="F66" s="134" t="str">
        <f aca="false">LEFT(H66,6)</f>
        <v>M28261</v>
      </c>
      <c r="G66" s="135" t="s">
        <v>177</v>
      </c>
      <c r="H66" s="135" t="s">
        <v>280</v>
      </c>
      <c r="I66" s="135" t="s">
        <v>281</v>
      </c>
      <c r="J66" s="136"/>
      <c r="K66" s="136"/>
      <c r="L66" s="136"/>
      <c r="M66" s="136"/>
      <c r="N66" s="136"/>
      <c r="O66" s="136"/>
      <c r="P66" s="136"/>
      <c r="Q66" s="136"/>
      <c r="R66" s="136"/>
      <c r="S66" s="136"/>
      <c r="T66" s="136"/>
      <c r="U66" s="137" t="n">
        <v>0</v>
      </c>
      <c r="V66" s="137" t="n">
        <v>0</v>
      </c>
      <c r="W66" s="137" t="n">
        <v>0</v>
      </c>
      <c r="X66" s="137" t="n">
        <v>0</v>
      </c>
      <c r="Y66" s="137" t="n">
        <v>0</v>
      </c>
      <c r="Z66" s="137" t="n">
        <v>0</v>
      </c>
      <c r="AA66" s="137" t="n">
        <v>0</v>
      </c>
      <c r="AB66" s="137" t="n">
        <v>0</v>
      </c>
      <c r="AC66" s="137" t="n">
        <v>0</v>
      </c>
      <c r="AD66" s="137" t="n">
        <v>0</v>
      </c>
      <c r="AE66" s="137" t="n">
        <v>0</v>
      </c>
      <c r="AF66" s="137" t="n">
        <v>0</v>
      </c>
      <c r="AG66" s="137" t="n">
        <v>0</v>
      </c>
      <c r="AH66" s="137" t="n">
        <v>0</v>
      </c>
      <c r="AI66" s="137" t="n">
        <v>0</v>
      </c>
      <c r="AJ66" s="137" t="n">
        <v>0</v>
      </c>
      <c r="AK66" s="137" t="n">
        <v>0</v>
      </c>
      <c r="AL66" s="137" t="n">
        <v>0</v>
      </c>
      <c r="AM66" s="137" t="n">
        <v>0</v>
      </c>
      <c r="AN66" s="136"/>
      <c r="AO66" s="136"/>
      <c r="AP66" s="136"/>
      <c r="AQ66" s="136"/>
      <c r="AR66" s="136"/>
      <c r="AS66" s="136"/>
      <c r="AT66" s="138"/>
    </row>
    <row r="67" customFormat="false" ht="12.75" hidden="false" customHeight="true" outlineLevel="0" collapsed="false">
      <c r="B67" s="122" t="n">
        <f aca="false">B66+1</f>
        <v>64</v>
      </c>
      <c r="C67" s="123" t="s">
        <v>231</v>
      </c>
      <c r="D67" s="124" t="n">
        <v>44112</v>
      </c>
      <c r="E67" s="124" t="str">
        <f aca="false">IF(D67="","",IFERROR(VLOOKUP(D67,CCN_Library!$A$4:$B$13,2,FALSE()),"NOT IN LIBRARY"))</f>
        <v>STORAGE OF AIR OR GROUND ORGANIC UNITS FOR MARINE CORPS</v>
      </c>
      <c r="F67" s="125" t="str">
        <f aca="false">LEFT(H67,6)</f>
        <v>M28261</v>
      </c>
      <c r="G67" s="126" t="s">
        <v>128</v>
      </c>
      <c r="H67" s="126" t="s">
        <v>282</v>
      </c>
      <c r="I67" s="126" t="s">
        <v>283</v>
      </c>
      <c r="J67" s="126" t="s">
        <v>284</v>
      </c>
      <c r="K67" s="127" t="s">
        <v>285</v>
      </c>
      <c r="L67" s="126" t="s">
        <v>285</v>
      </c>
      <c r="M67" s="126" t="s">
        <v>148</v>
      </c>
      <c r="N67" s="126" t="s">
        <v>128</v>
      </c>
      <c r="O67" s="126" t="s">
        <v>135</v>
      </c>
      <c r="P67" s="126" t="s">
        <v>135</v>
      </c>
      <c r="Q67" s="128"/>
      <c r="R67" s="126" t="s">
        <v>136</v>
      </c>
      <c r="S67" s="126" t="s">
        <v>58</v>
      </c>
      <c r="T67" s="128"/>
      <c r="U67" s="129" t="n">
        <v>0</v>
      </c>
      <c r="V67" s="129" t="n">
        <v>1</v>
      </c>
      <c r="W67" s="129" t="n">
        <v>0</v>
      </c>
      <c r="X67" s="129" t="n">
        <v>0</v>
      </c>
      <c r="Y67" s="129" t="n">
        <v>0</v>
      </c>
      <c r="Z67" s="129" t="n">
        <v>0</v>
      </c>
      <c r="AA67" s="129" t="n">
        <v>0</v>
      </c>
      <c r="AB67" s="129" t="n">
        <v>0</v>
      </c>
      <c r="AC67" s="129" t="n">
        <v>0</v>
      </c>
      <c r="AD67" s="129" t="n">
        <v>0</v>
      </c>
      <c r="AE67" s="129" t="n">
        <v>0</v>
      </c>
      <c r="AF67" s="129" t="n">
        <v>0</v>
      </c>
      <c r="AG67" s="129" t="n">
        <v>0</v>
      </c>
      <c r="AH67" s="129" t="n">
        <v>0</v>
      </c>
      <c r="AI67" s="129" t="n">
        <v>0</v>
      </c>
      <c r="AJ67" s="129" t="n">
        <v>0</v>
      </c>
      <c r="AK67" s="129" t="n">
        <v>0</v>
      </c>
      <c r="AL67" s="129" t="n">
        <v>0</v>
      </c>
      <c r="AM67" s="129" t="n">
        <v>0</v>
      </c>
      <c r="AN67" s="128"/>
      <c r="AO67" s="128"/>
      <c r="AP67" s="126" t="s">
        <v>138</v>
      </c>
      <c r="AQ67" s="126" t="s">
        <v>139</v>
      </c>
      <c r="AR67" s="126" t="s">
        <v>140</v>
      </c>
      <c r="AS67" s="128"/>
      <c r="AT67" s="130"/>
    </row>
    <row r="68" customFormat="false" ht="12.75" hidden="false" customHeight="true" outlineLevel="0" collapsed="false">
      <c r="B68" s="122" t="n">
        <f aca="false">B67+1</f>
        <v>65</v>
      </c>
      <c r="C68" s="123" t="s">
        <v>236</v>
      </c>
      <c r="D68" s="124" t="n">
        <v>44112</v>
      </c>
      <c r="E68" s="124" t="str">
        <f aca="false">IF(D68="","",IFERROR(VLOOKUP(D68,CCN_Library!$A$4:$B$13,2,FALSE()),"NOT IN LIBRARY"))</f>
        <v>STORAGE OF AIR OR GROUND ORGANIC UNITS FOR MARINE CORPS</v>
      </c>
      <c r="F68" s="125" t="str">
        <f aca="false">LEFT(H68,6)</f>
        <v>M28261</v>
      </c>
      <c r="G68" s="126" t="s">
        <v>128</v>
      </c>
      <c r="H68" s="126" t="s">
        <v>286</v>
      </c>
      <c r="I68" s="126" t="s">
        <v>287</v>
      </c>
      <c r="J68" s="126" t="s">
        <v>256</v>
      </c>
      <c r="K68" s="127" t="s">
        <v>285</v>
      </c>
      <c r="L68" s="126" t="s">
        <v>285</v>
      </c>
      <c r="M68" s="126" t="s">
        <v>148</v>
      </c>
      <c r="N68" s="126" t="s">
        <v>128</v>
      </c>
      <c r="O68" s="126" t="s">
        <v>135</v>
      </c>
      <c r="P68" s="126" t="s">
        <v>135</v>
      </c>
      <c r="Q68" s="128"/>
      <c r="R68" s="126" t="s">
        <v>136</v>
      </c>
      <c r="S68" s="126" t="s">
        <v>148</v>
      </c>
      <c r="T68" s="128"/>
      <c r="U68" s="129" t="n">
        <v>0</v>
      </c>
      <c r="V68" s="129" t="n">
        <v>1</v>
      </c>
      <c r="W68" s="129" t="n">
        <v>0</v>
      </c>
      <c r="X68" s="129" t="n">
        <v>0</v>
      </c>
      <c r="Y68" s="129" t="n">
        <v>0</v>
      </c>
      <c r="Z68" s="129" t="n">
        <v>0</v>
      </c>
      <c r="AA68" s="129" t="n">
        <v>0</v>
      </c>
      <c r="AB68" s="129" t="n">
        <v>0</v>
      </c>
      <c r="AC68" s="129" t="n">
        <v>0</v>
      </c>
      <c r="AD68" s="129" t="n">
        <v>0</v>
      </c>
      <c r="AE68" s="129" t="n">
        <v>0</v>
      </c>
      <c r="AF68" s="129" t="n">
        <v>0</v>
      </c>
      <c r="AG68" s="129" t="n">
        <v>0</v>
      </c>
      <c r="AH68" s="129" t="n">
        <v>0</v>
      </c>
      <c r="AI68" s="129" t="n">
        <v>0</v>
      </c>
      <c r="AJ68" s="129" t="n">
        <v>0</v>
      </c>
      <c r="AK68" s="129" t="n">
        <v>0</v>
      </c>
      <c r="AL68" s="129" t="n">
        <v>0</v>
      </c>
      <c r="AM68" s="129" t="n">
        <v>0</v>
      </c>
      <c r="AN68" s="128"/>
      <c r="AO68" s="128"/>
      <c r="AP68" s="126" t="s">
        <v>138</v>
      </c>
      <c r="AQ68" s="126" t="s">
        <v>139</v>
      </c>
      <c r="AR68" s="126" t="s">
        <v>140</v>
      </c>
      <c r="AS68" s="128"/>
      <c r="AT68" s="139"/>
    </row>
    <row r="69" customFormat="false" ht="12.75" hidden="false" customHeight="true" outlineLevel="0" collapsed="false">
      <c r="B69" s="122" t="n">
        <f aca="false">B68+1</f>
        <v>66</v>
      </c>
      <c r="C69" s="123" t="s">
        <v>236</v>
      </c>
      <c r="D69" s="124" t="n">
        <v>44112</v>
      </c>
      <c r="E69" s="124" t="str">
        <f aca="false">IF(D69="","",IFERROR(VLOOKUP(D69,CCN_Library!$A$4:$B$13,2,FALSE()),"NOT IN LIBRARY"))</f>
        <v>STORAGE OF AIR OR GROUND ORGANIC UNITS FOR MARINE CORPS</v>
      </c>
      <c r="F69" s="125" t="str">
        <f aca="false">LEFT(H69,6)</f>
        <v>M28261</v>
      </c>
      <c r="G69" s="126" t="s">
        <v>128</v>
      </c>
      <c r="H69" s="126" t="s">
        <v>288</v>
      </c>
      <c r="I69" s="126" t="s">
        <v>287</v>
      </c>
      <c r="J69" s="126" t="s">
        <v>256</v>
      </c>
      <c r="K69" s="127" t="s">
        <v>285</v>
      </c>
      <c r="L69" s="126" t="s">
        <v>285</v>
      </c>
      <c r="M69" s="126" t="s">
        <v>148</v>
      </c>
      <c r="N69" s="126" t="s">
        <v>128</v>
      </c>
      <c r="O69" s="126" t="s">
        <v>135</v>
      </c>
      <c r="P69" s="126" t="s">
        <v>135</v>
      </c>
      <c r="Q69" s="128"/>
      <c r="R69" s="126" t="s">
        <v>136</v>
      </c>
      <c r="S69" s="126" t="s">
        <v>148</v>
      </c>
      <c r="T69" s="128"/>
      <c r="U69" s="129" t="n">
        <v>0</v>
      </c>
      <c r="V69" s="129" t="n">
        <v>1</v>
      </c>
      <c r="W69" s="129" t="n">
        <v>0</v>
      </c>
      <c r="X69" s="129" t="n">
        <v>0</v>
      </c>
      <c r="Y69" s="129" t="n">
        <v>0</v>
      </c>
      <c r="Z69" s="129" t="n">
        <v>0</v>
      </c>
      <c r="AA69" s="129" t="n">
        <v>0</v>
      </c>
      <c r="AB69" s="129" t="n">
        <v>0</v>
      </c>
      <c r="AC69" s="129" t="n">
        <v>0</v>
      </c>
      <c r="AD69" s="129" t="n">
        <v>0</v>
      </c>
      <c r="AE69" s="129" t="n">
        <v>0</v>
      </c>
      <c r="AF69" s="129" t="n">
        <v>0</v>
      </c>
      <c r="AG69" s="129" t="n">
        <v>0</v>
      </c>
      <c r="AH69" s="129" t="n">
        <v>0</v>
      </c>
      <c r="AI69" s="129" t="n">
        <v>0</v>
      </c>
      <c r="AJ69" s="129" t="n">
        <v>0</v>
      </c>
      <c r="AK69" s="129" t="n">
        <v>0</v>
      </c>
      <c r="AL69" s="129" t="n">
        <v>0</v>
      </c>
      <c r="AM69" s="129" t="n">
        <v>0</v>
      </c>
      <c r="AN69" s="128"/>
      <c r="AO69" s="128"/>
      <c r="AP69" s="126" t="s">
        <v>138</v>
      </c>
      <c r="AQ69" s="126" t="s">
        <v>139</v>
      </c>
      <c r="AR69" s="126" t="s">
        <v>140</v>
      </c>
      <c r="AS69" s="128"/>
      <c r="AT69" s="139"/>
    </row>
    <row r="70" customFormat="false" ht="12.75" hidden="false" customHeight="true" outlineLevel="0" collapsed="false">
      <c r="B70" s="122" t="n">
        <f aca="false">B69+1</f>
        <v>67</v>
      </c>
      <c r="C70" s="123" t="s">
        <v>236</v>
      </c>
      <c r="D70" s="124" t="n">
        <v>44112</v>
      </c>
      <c r="E70" s="124" t="str">
        <f aca="false">IF(D70="","",IFERROR(VLOOKUP(D70,CCN_Library!$A$4:$B$13,2,FALSE()),"NOT IN LIBRARY"))</f>
        <v>STORAGE OF AIR OR GROUND ORGANIC UNITS FOR MARINE CORPS</v>
      </c>
      <c r="F70" s="125" t="str">
        <f aca="false">LEFT(H70,6)</f>
        <v>M28261</v>
      </c>
      <c r="G70" s="126" t="s">
        <v>128</v>
      </c>
      <c r="H70" s="126" t="s">
        <v>289</v>
      </c>
      <c r="I70" s="126" t="s">
        <v>290</v>
      </c>
      <c r="J70" s="126" t="s">
        <v>256</v>
      </c>
      <c r="K70" s="127" t="s">
        <v>291</v>
      </c>
      <c r="L70" s="126" t="s">
        <v>291</v>
      </c>
      <c r="M70" s="126" t="s">
        <v>148</v>
      </c>
      <c r="N70" s="126" t="s">
        <v>128</v>
      </c>
      <c r="O70" s="126" t="s">
        <v>135</v>
      </c>
      <c r="P70" s="126" t="s">
        <v>135</v>
      </c>
      <c r="Q70" s="128"/>
      <c r="R70" s="126" t="s">
        <v>136</v>
      </c>
      <c r="S70" s="126" t="s">
        <v>148</v>
      </c>
      <c r="T70" s="128"/>
      <c r="U70" s="129" t="n">
        <v>0</v>
      </c>
      <c r="V70" s="129" t="n">
        <v>1</v>
      </c>
      <c r="W70" s="129" t="n">
        <v>0</v>
      </c>
      <c r="X70" s="129" t="n">
        <v>0</v>
      </c>
      <c r="Y70" s="129" t="n">
        <v>0</v>
      </c>
      <c r="Z70" s="129" t="n">
        <v>0</v>
      </c>
      <c r="AA70" s="129" t="n">
        <v>0</v>
      </c>
      <c r="AB70" s="129" t="n">
        <v>0</v>
      </c>
      <c r="AC70" s="129" t="n">
        <v>0</v>
      </c>
      <c r="AD70" s="129" t="n">
        <v>0</v>
      </c>
      <c r="AE70" s="129" t="n">
        <v>0</v>
      </c>
      <c r="AF70" s="129" t="n">
        <v>0</v>
      </c>
      <c r="AG70" s="129" t="n">
        <v>0</v>
      </c>
      <c r="AH70" s="129" t="n">
        <v>0</v>
      </c>
      <c r="AI70" s="129" t="n">
        <v>0</v>
      </c>
      <c r="AJ70" s="129" t="n">
        <v>0</v>
      </c>
      <c r="AK70" s="129" t="n">
        <v>0</v>
      </c>
      <c r="AL70" s="129" t="n">
        <v>0</v>
      </c>
      <c r="AM70" s="129" t="n">
        <v>0</v>
      </c>
      <c r="AN70" s="128"/>
      <c r="AO70" s="128"/>
      <c r="AP70" s="126" t="s">
        <v>138</v>
      </c>
      <c r="AQ70" s="126" t="s">
        <v>139</v>
      </c>
      <c r="AR70" s="126" t="s">
        <v>140</v>
      </c>
      <c r="AS70" s="128"/>
      <c r="AT70" s="130"/>
    </row>
    <row r="71" customFormat="false" ht="12.75" hidden="false" customHeight="true" outlineLevel="0" collapsed="false">
      <c r="B71" s="122" t="n">
        <f aca="false">B70+1</f>
        <v>68</v>
      </c>
      <c r="C71" s="123" t="s">
        <v>236</v>
      </c>
      <c r="D71" s="124" t="n">
        <v>44112</v>
      </c>
      <c r="E71" s="124" t="str">
        <f aca="false">IF(D71="","",IFERROR(VLOOKUP(D71,CCN_Library!$A$4:$B$13,2,FALSE()),"NOT IN LIBRARY"))</f>
        <v>STORAGE OF AIR OR GROUND ORGANIC UNITS FOR MARINE CORPS</v>
      </c>
      <c r="F71" s="125" t="str">
        <f aca="false">LEFT(H71,6)</f>
        <v>M28261</v>
      </c>
      <c r="G71" s="126" t="s">
        <v>128</v>
      </c>
      <c r="H71" s="126" t="s">
        <v>292</v>
      </c>
      <c r="I71" s="126" t="s">
        <v>290</v>
      </c>
      <c r="J71" s="126" t="s">
        <v>256</v>
      </c>
      <c r="K71" s="127" t="s">
        <v>291</v>
      </c>
      <c r="L71" s="126" t="s">
        <v>291</v>
      </c>
      <c r="M71" s="126" t="s">
        <v>148</v>
      </c>
      <c r="N71" s="126" t="s">
        <v>128</v>
      </c>
      <c r="O71" s="126" t="s">
        <v>135</v>
      </c>
      <c r="P71" s="126" t="s">
        <v>135</v>
      </c>
      <c r="Q71" s="128"/>
      <c r="R71" s="126" t="s">
        <v>136</v>
      </c>
      <c r="S71" s="126" t="s">
        <v>148</v>
      </c>
      <c r="T71" s="128"/>
      <c r="U71" s="129" t="n">
        <v>0</v>
      </c>
      <c r="V71" s="129" t="n">
        <v>1</v>
      </c>
      <c r="W71" s="129" t="n">
        <v>0</v>
      </c>
      <c r="X71" s="129" t="n">
        <v>0</v>
      </c>
      <c r="Y71" s="129" t="n">
        <v>0</v>
      </c>
      <c r="Z71" s="129" t="n">
        <v>0</v>
      </c>
      <c r="AA71" s="129" t="n">
        <v>0</v>
      </c>
      <c r="AB71" s="129" t="n">
        <v>0</v>
      </c>
      <c r="AC71" s="129" t="n">
        <v>0</v>
      </c>
      <c r="AD71" s="129" t="n">
        <v>0</v>
      </c>
      <c r="AE71" s="129" t="n">
        <v>0</v>
      </c>
      <c r="AF71" s="129" t="n">
        <v>0</v>
      </c>
      <c r="AG71" s="129" t="n">
        <v>0</v>
      </c>
      <c r="AH71" s="129" t="n">
        <v>0</v>
      </c>
      <c r="AI71" s="129" t="n">
        <v>0</v>
      </c>
      <c r="AJ71" s="129" t="n">
        <v>0</v>
      </c>
      <c r="AK71" s="129" t="n">
        <v>0</v>
      </c>
      <c r="AL71" s="129" t="n">
        <v>0</v>
      </c>
      <c r="AM71" s="129" t="n">
        <v>0</v>
      </c>
      <c r="AN71" s="128"/>
      <c r="AO71" s="128"/>
      <c r="AP71" s="126" t="s">
        <v>138</v>
      </c>
      <c r="AQ71" s="126" t="s">
        <v>139</v>
      </c>
      <c r="AR71" s="126" t="s">
        <v>140</v>
      </c>
      <c r="AS71" s="128"/>
      <c r="AT71" s="130"/>
    </row>
    <row r="72" customFormat="false" ht="12.75" hidden="false" customHeight="true" outlineLevel="0" collapsed="false">
      <c r="B72" s="131" t="n">
        <f aca="false">B71+1</f>
        <v>69</v>
      </c>
      <c r="C72" s="132" t="s">
        <v>293</v>
      </c>
      <c r="D72" s="133" t="n">
        <v>21451</v>
      </c>
      <c r="E72" s="133"/>
      <c r="F72" s="134" t="str">
        <f aca="false">LEFT(H72,6)</f>
        <v>M28261</v>
      </c>
      <c r="G72" s="135" t="s">
        <v>177</v>
      </c>
      <c r="H72" s="135" t="s">
        <v>294</v>
      </c>
      <c r="I72" s="135" t="s">
        <v>295</v>
      </c>
      <c r="J72" s="136"/>
      <c r="K72" s="136"/>
      <c r="L72" s="136"/>
      <c r="M72" s="136"/>
      <c r="N72" s="136"/>
      <c r="O72" s="136"/>
      <c r="P72" s="136"/>
      <c r="Q72" s="136"/>
      <c r="R72" s="136"/>
      <c r="S72" s="136"/>
      <c r="T72" s="136"/>
      <c r="U72" s="137" t="n">
        <v>0</v>
      </c>
      <c r="V72" s="137" t="n">
        <v>0</v>
      </c>
      <c r="W72" s="137" t="n">
        <v>0</v>
      </c>
      <c r="X72" s="137" t="n">
        <v>0</v>
      </c>
      <c r="Y72" s="137" t="n">
        <v>0</v>
      </c>
      <c r="Z72" s="137" t="n">
        <v>0</v>
      </c>
      <c r="AA72" s="137" t="n">
        <v>0</v>
      </c>
      <c r="AB72" s="137" t="n">
        <v>0</v>
      </c>
      <c r="AC72" s="137" t="n">
        <v>0</v>
      </c>
      <c r="AD72" s="137" t="n">
        <v>0</v>
      </c>
      <c r="AE72" s="137" t="n">
        <v>0</v>
      </c>
      <c r="AF72" s="137" t="n">
        <v>0</v>
      </c>
      <c r="AG72" s="137" t="n">
        <v>0</v>
      </c>
      <c r="AH72" s="137" t="n">
        <v>0</v>
      </c>
      <c r="AI72" s="137" t="n">
        <v>0</v>
      </c>
      <c r="AJ72" s="137" t="n">
        <v>0</v>
      </c>
      <c r="AK72" s="137" t="n">
        <v>0</v>
      </c>
      <c r="AL72" s="137" t="n">
        <v>0</v>
      </c>
      <c r="AM72" s="137" t="n">
        <v>0</v>
      </c>
      <c r="AN72" s="136"/>
      <c r="AO72" s="136"/>
      <c r="AP72" s="136"/>
      <c r="AQ72" s="136"/>
      <c r="AR72" s="136"/>
      <c r="AS72" s="136"/>
      <c r="AT72" s="138"/>
    </row>
    <row r="73" customFormat="false" ht="12.75" hidden="false" customHeight="true" outlineLevel="0" collapsed="false">
      <c r="B73" s="122" t="n">
        <f aca="false">B72+1</f>
        <v>70</v>
      </c>
      <c r="C73" s="123" t="s">
        <v>293</v>
      </c>
      <c r="D73" s="124" t="n">
        <v>21451</v>
      </c>
      <c r="E73" s="124" t="str">
        <f aca="false">IF(D73="","",IFERROR(VLOOKUP(D73,CCN_Library!$A$4:$B$13,2,FALSE()),"NOT IN LIBRARY"))</f>
        <v>AUTOMOTIVE ORGANIZATIONAL SHOP</v>
      </c>
      <c r="F73" s="125" t="str">
        <f aca="false">LEFT(H73,6)</f>
        <v>M28261</v>
      </c>
      <c r="G73" s="126" t="s">
        <v>128</v>
      </c>
      <c r="H73" s="126" t="s">
        <v>296</v>
      </c>
      <c r="I73" s="126" t="s">
        <v>297</v>
      </c>
      <c r="J73" s="126" t="s">
        <v>284</v>
      </c>
      <c r="K73" s="127" t="s">
        <v>298</v>
      </c>
      <c r="L73" s="126" t="s">
        <v>298</v>
      </c>
      <c r="M73" s="126" t="s">
        <v>148</v>
      </c>
      <c r="N73" s="126" t="s">
        <v>128</v>
      </c>
      <c r="O73" s="126" t="s">
        <v>135</v>
      </c>
      <c r="P73" s="126" t="s">
        <v>135</v>
      </c>
      <c r="Q73" s="128"/>
      <c r="R73" s="126" t="s">
        <v>136</v>
      </c>
      <c r="S73" s="126" t="s">
        <v>58</v>
      </c>
      <c r="T73" s="128"/>
      <c r="U73" s="129" t="n">
        <v>0</v>
      </c>
      <c r="V73" s="129" t="n">
        <v>1</v>
      </c>
      <c r="W73" s="129" t="n">
        <v>0</v>
      </c>
      <c r="X73" s="129" t="n">
        <v>0</v>
      </c>
      <c r="Y73" s="129" t="n">
        <v>0</v>
      </c>
      <c r="Z73" s="129" t="n">
        <v>0</v>
      </c>
      <c r="AA73" s="129" t="n">
        <v>0</v>
      </c>
      <c r="AB73" s="129" t="n">
        <v>0</v>
      </c>
      <c r="AC73" s="129" t="n">
        <v>0</v>
      </c>
      <c r="AD73" s="129" t="n">
        <v>0</v>
      </c>
      <c r="AE73" s="129" t="n">
        <v>0</v>
      </c>
      <c r="AF73" s="129" t="n">
        <v>0</v>
      </c>
      <c r="AG73" s="129" t="n">
        <v>0</v>
      </c>
      <c r="AH73" s="129" t="n">
        <v>0</v>
      </c>
      <c r="AI73" s="129" t="n">
        <v>0</v>
      </c>
      <c r="AJ73" s="129" t="n">
        <v>0</v>
      </c>
      <c r="AK73" s="129" t="n">
        <v>0</v>
      </c>
      <c r="AL73" s="129" t="n">
        <v>0</v>
      </c>
      <c r="AM73" s="129" t="n">
        <v>0</v>
      </c>
      <c r="AN73" s="128"/>
      <c r="AO73" s="128"/>
      <c r="AP73" s="126" t="s">
        <v>138</v>
      </c>
      <c r="AQ73" s="126" t="s">
        <v>139</v>
      </c>
      <c r="AR73" s="126" t="s">
        <v>140</v>
      </c>
      <c r="AS73" s="128"/>
      <c r="AT73" s="130"/>
    </row>
    <row r="74" customFormat="false" ht="12.75" hidden="false" customHeight="true" outlineLevel="0" collapsed="false">
      <c r="B74" s="122" t="n">
        <f aca="false">B73+1</f>
        <v>71</v>
      </c>
      <c r="C74" s="123" t="s">
        <v>299</v>
      </c>
      <c r="D74" s="124" t="n">
        <v>21451</v>
      </c>
      <c r="E74" s="124" t="str">
        <f aca="false">IF(D74="","",IFERROR(VLOOKUP(D74,CCN_Library!$A$4:$B$13,2,FALSE()),"NOT IN LIBRARY"))</f>
        <v>AUTOMOTIVE ORGANIZATIONAL SHOP</v>
      </c>
      <c r="F74" s="125" t="str">
        <f aca="false">LEFT(H74,6)</f>
        <v>M28261</v>
      </c>
      <c r="G74" s="126" t="s">
        <v>128</v>
      </c>
      <c r="H74" s="126" t="s">
        <v>300</v>
      </c>
      <c r="I74" s="126" t="s">
        <v>301</v>
      </c>
      <c r="J74" s="126" t="s">
        <v>171</v>
      </c>
      <c r="K74" s="127" t="s">
        <v>302</v>
      </c>
      <c r="L74" s="126" t="s">
        <v>302</v>
      </c>
      <c r="M74" s="126" t="s">
        <v>148</v>
      </c>
      <c r="N74" s="126" t="s">
        <v>128</v>
      </c>
      <c r="O74" s="126" t="s">
        <v>135</v>
      </c>
      <c r="P74" s="126" t="s">
        <v>135</v>
      </c>
      <c r="Q74" s="128"/>
      <c r="R74" s="126" t="s">
        <v>136</v>
      </c>
      <c r="S74" s="126" t="s">
        <v>148</v>
      </c>
      <c r="T74" s="128"/>
      <c r="U74" s="129" t="n">
        <v>0</v>
      </c>
      <c r="V74" s="129" t="n">
        <v>1</v>
      </c>
      <c r="W74" s="129" t="n">
        <v>0</v>
      </c>
      <c r="X74" s="129" t="n">
        <v>0</v>
      </c>
      <c r="Y74" s="129" t="n">
        <v>0</v>
      </c>
      <c r="Z74" s="129" t="n">
        <v>0</v>
      </c>
      <c r="AA74" s="129" t="n">
        <v>0</v>
      </c>
      <c r="AB74" s="129" t="n">
        <v>0</v>
      </c>
      <c r="AC74" s="129" t="n">
        <v>0</v>
      </c>
      <c r="AD74" s="129" t="n">
        <v>0</v>
      </c>
      <c r="AE74" s="129" t="n">
        <v>0</v>
      </c>
      <c r="AF74" s="129" t="n">
        <v>0</v>
      </c>
      <c r="AG74" s="129" t="n">
        <v>0</v>
      </c>
      <c r="AH74" s="129" t="n">
        <v>0</v>
      </c>
      <c r="AI74" s="129" t="n">
        <v>0</v>
      </c>
      <c r="AJ74" s="129" t="n">
        <v>0</v>
      </c>
      <c r="AK74" s="129" t="n">
        <v>0</v>
      </c>
      <c r="AL74" s="129" t="n">
        <v>0</v>
      </c>
      <c r="AM74" s="129" t="n">
        <v>0</v>
      </c>
      <c r="AN74" s="128"/>
      <c r="AO74" s="128"/>
      <c r="AP74" s="126" t="s">
        <v>138</v>
      </c>
      <c r="AQ74" s="126" t="s">
        <v>139</v>
      </c>
      <c r="AR74" s="126" t="s">
        <v>140</v>
      </c>
      <c r="AS74" s="128"/>
      <c r="AT74" s="130"/>
    </row>
    <row r="75" customFormat="false" ht="12.75" hidden="false" customHeight="true" outlineLevel="0" collapsed="false">
      <c r="B75" s="122" t="n">
        <f aca="false">B74+1</f>
        <v>72</v>
      </c>
      <c r="C75" s="123" t="s">
        <v>299</v>
      </c>
      <c r="D75" s="124" t="n">
        <v>21451</v>
      </c>
      <c r="E75" s="124" t="str">
        <f aca="false">IF(D75="","",IFERROR(VLOOKUP(D75,CCN_Library!$A$4:$B$13,2,FALSE()),"NOT IN LIBRARY"))</f>
        <v>AUTOMOTIVE ORGANIZATIONAL SHOP</v>
      </c>
      <c r="F75" s="125" t="str">
        <f aca="false">LEFT(H75,6)</f>
        <v>M28261</v>
      </c>
      <c r="G75" s="126" t="s">
        <v>128</v>
      </c>
      <c r="H75" s="126" t="s">
        <v>303</v>
      </c>
      <c r="I75" s="126" t="s">
        <v>301</v>
      </c>
      <c r="J75" s="126" t="s">
        <v>171</v>
      </c>
      <c r="K75" s="127" t="s">
        <v>302</v>
      </c>
      <c r="L75" s="126" t="s">
        <v>302</v>
      </c>
      <c r="M75" s="126" t="s">
        <v>148</v>
      </c>
      <c r="N75" s="126" t="s">
        <v>128</v>
      </c>
      <c r="O75" s="126" t="s">
        <v>135</v>
      </c>
      <c r="P75" s="126" t="s">
        <v>135</v>
      </c>
      <c r="Q75" s="128"/>
      <c r="R75" s="126" t="s">
        <v>136</v>
      </c>
      <c r="S75" s="126" t="s">
        <v>148</v>
      </c>
      <c r="T75" s="128"/>
      <c r="U75" s="129" t="n">
        <v>0</v>
      </c>
      <c r="V75" s="129" t="n">
        <v>1</v>
      </c>
      <c r="W75" s="129" t="n">
        <v>0</v>
      </c>
      <c r="X75" s="129" t="n">
        <v>0</v>
      </c>
      <c r="Y75" s="129" t="n">
        <v>0</v>
      </c>
      <c r="Z75" s="129" t="n">
        <v>0</v>
      </c>
      <c r="AA75" s="129" t="n">
        <v>0</v>
      </c>
      <c r="AB75" s="129" t="n">
        <v>0</v>
      </c>
      <c r="AC75" s="129" t="n">
        <v>0</v>
      </c>
      <c r="AD75" s="129" t="n">
        <v>0</v>
      </c>
      <c r="AE75" s="129" t="n">
        <v>0</v>
      </c>
      <c r="AF75" s="129" t="n">
        <v>0</v>
      </c>
      <c r="AG75" s="129" t="n">
        <v>0</v>
      </c>
      <c r="AH75" s="129" t="n">
        <v>0</v>
      </c>
      <c r="AI75" s="129" t="n">
        <v>0</v>
      </c>
      <c r="AJ75" s="129" t="n">
        <v>0</v>
      </c>
      <c r="AK75" s="129" t="n">
        <v>0</v>
      </c>
      <c r="AL75" s="129" t="n">
        <v>0</v>
      </c>
      <c r="AM75" s="129" t="n">
        <v>0</v>
      </c>
      <c r="AN75" s="128"/>
      <c r="AO75" s="128"/>
      <c r="AP75" s="126" t="s">
        <v>138</v>
      </c>
      <c r="AQ75" s="126" t="s">
        <v>139</v>
      </c>
      <c r="AR75" s="126" t="s">
        <v>140</v>
      </c>
      <c r="AS75" s="128"/>
      <c r="AT75" s="130"/>
    </row>
    <row r="76" customFormat="false" ht="12.75" hidden="false" customHeight="true" outlineLevel="0" collapsed="false">
      <c r="B76" s="122" t="n">
        <f aca="false">B75+1</f>
        <v>73</v>
      </c>
      <c r="C76" s="123" t="s">
        <v>299</v>
      </c>
      <c r="D76" s="124" t="n">
        <v>21451</v>
      </c>
      <c r="E76" s="124" t="str">
        <f aca="false">IF(D76="","",IFERROR(VLOOKUP(D76,CCN_Library!$A$4:$B$13,2,FALSE()),"NOT IN LIBRARY"))</f>
        <v>AUTOMOTIVE ORGANIZATIONAL SHOP</v>
      </c>
      <c r="F76" s="125" t="str">
        <f aca="false">LEFT(H76,6)</f>
        <v>M28261</v>
      </c>
      <c r="G76" s="126" t="s">
        <v>128</v>
      </c>
      <c r="H76" s="126" t="s">
        <v>304</v>
      </c>
      <c r="I76" s="126" t="s">
        <v>301</v>
      </c>
      <c r="J76" s="126" t="s">
        <v>171</v>
      </c>
      <c r="K76" s="127" t="s">
        <v>302</v>
      </c>
      <c r="L76" s="126" t="s">
        <v>302</v>
      </c>
      <c r="M76" s="126" t="s">
        <v>148</v>
      </c>
      <c r="N76" s="126" t="s">
        <v>128</v>
      </c>
      <c r="O76" s="126" t="s">
        <v>135</v>
      </c>
      <c r="P76" s="126" t="s">
        <v>135</v>
      </c>
      <c r="Q76" s="128"/>
      <c r="R76" s="126" t="s">
        <v>136</v>
      </c>
      <c r="S76" s="126" t="s">
        <v>148</v>
      </c>
      <c r="T76" s="128"/>
      <c r="U76" s="129" t="n">
        <v>0</v>
      </c>
      <c r="V76" s="129" t="n">
        <v>1</v>
      </c>
      <c r="W76" s="129" t="n">
        <v>0</v>
      </c>
      <c r="X76" s="129" t="n">
        <v>0</v>
      </c>
      <c r="Y76" s="129" t="n">
        <v>0</v>
      </c>
      <c r="Z76" s="129" t="n">
        <v>0</v>
      </c>
      <c r="AA76" s="129" t="n">
        <v>0</v>
      </c>
      <c r="AB76" s="129" t="n">
        <v>0</v>
      </c>
      <c r="AC76" s="129" t="n">
        <v>0</v>
      </c>
      <c r="AD76" s="129" t="n">
        <v>0</v>
      </c>
      <c r="AE76" s="129" t="n">
        <v>0</v>
      </c>
      <c r="AF76" s="129" t="n">
        <v>0</v>
      </c>
      <c r="AG76" s="129" t="n">
        <v>0</v>
      </c>
      <c r="AH76" s="129" t="n">
        <v>0</v>
      </c>
      <c r="AI76" s="129" t="n">
        <v>0</v>
      </c>
      <c r="AJ76" s="129" t="n">
        <v>0</v>
      </c>
      <c r="AK76" s="129" t="n">
        <v>0</v>
      </c>
      <c r="AL76" s="129" t="n">
        <v>0</v>
      </c>
      <c r="AM76" s="129" t="n">
        <v>0</v>
      </c>
      <c r="AN76" s="128"/>
      <c r="AO76" s="128"/>
      <c r="AP76" s="126" t="s">
        <v>138</v>
      </c>
      <c r="AQ76" s="126" t="s">
        <v>139</v>
      </c>
      <c r="AR76" s="126" t="s">
        <v>140</v>
      </c>
      <c r="AS76" s="128"/>
      <c r="AT76" s="130"/>
    </row>
    <row r="77" customFormat="false" ht="12.75" hidden="false" customHeight="true" outlineLevel="0" collapsed="false">
      <c r="B77" s="122" t="n">
        <f aca="false">B76+1</f>
        <v>74</v>
      </c>
      <c r="C77" s="123" t="s">
        <v>299</v>
      </c>
      <c r="D77" s="124" t="n">
        <v>21451</v>
      </c>
      <c r="E77" s="124" t="str">
        <f aca="false">IF(D77="","",IFERROR(VLOOKUP(D77,CCN_Library!$A$4:$B$13,2,FALSE()),"NOT IN LIBRARY"))</f>
        <v>AUTOMOTIVE ORGANIZATIONAL SHOP</v>
      </c>
      <c r="F77" s="125" t="str">
        <f aca="false">LEFT(H77,6)</f>
        <v>M28261</v>
      </c>
      <c r="G77" s="126" t="s">
        <v>128</v>
      </c>
      <c r="H77" s="126" t="s">
        <v>305</v>
      </c>
      <c r="I77" s="126" t="s">
        <v>301</v>
      </c>
      <c r="J77" s="126" t="s">
        <v>171</v>
      </c>
      <c r="K77" s="127" t="s">
        <v>302</v>
      </c>
      <c r="L77" s="126" t="s">
        <v>302</v>
      </c>
      <c r="M77" s="126" t="s">
        <v>148</v>
      </c>
      <c r="N77" s="126" t="s">
        <v>128</v>
      </c>
      <c r="O77" s="126" t="s">
        <v>135</v>
      </c>
      <c r="P77" s="126" t="s">
        <v>135</v>
      </c>
      <c r="Q77" s="128"/>
      <c r="R77" s="126" t="s">
        <v>136</v>
      </c>
      <c r="S77" s="126" t="s">
        <v>148</v>
      </c>
      <c r="T77" s="128"/>
      <c r="U77" s="129" t="n">
        <v>0</v>
      </c>
      <c r="V77" s="129" t="n">
        <v>1</v>
      </c>
      <c r="W77" s="129" t="n">
        <v>0</v>
      </c>
      <c r="X77" s="129" t="n">
        <v>0</v>
      </c>
      <c r="Y77" s="129" t="n">
        <v>0</v>
      </c>
      <c r="Z77" s="129" t="n">
        <v>0</v>
      </c>
      <c r="AA77" s="129" t="n">
        <v>0</v>
      </c>
      <c r="AB77" s="129" t="n">
        <v>0</v>
      </c>
      <c r="AC77" s="129" t="n">
        <v>0</v>
      </c>
      <c r="AD77" s="129" t="n">
        <v>0</v>
      </c>
      <c r="AE77" s="129" t="n">
        <v>0</v>
      </c>
      <c r="AF77" s="129" t="n">
        <v>0</v>
      </c>
      <c r="AG77" s="129" t="n">
        <v>0</v>
      </c>
      <c r="AH77" s="129" t="n">
        <v>0</v>
      </c>
      <c r="AI77" s="129" t="n">
        <v>0</v>
      </c>
      <c r="AJ77" s="129" t="n">
        <v>0</v>
      </c>
      <c r="AK77" s="129" t="n">
        <v>0</v>
      </c>
      <c r="AL77" s="129" t="n">
        <v>0</v>
      </c>
      <c r="AM77" s="129" t="n">
        <v>0</v>
      </c>
      <c r="AN77" s="128"/>
      <c r="AO77" s="128"/>
      <c r="AP77" s="126" t="s">
        <v>138</v>
      </c>
      <c r="AQ77" s="126" t="s">
        <v>139</v>
      </c>
      <c r="AR77" s="126" t="s">
        <v>140</v>
      </c>
      <c r="AS77" s="128"/>
      <c r="AT77" s="130"/>
    </row>
    <row r="78" customFormat="false" ht="12.75" hidden="false" customHeight="true" outlineLevel="0" collapsed="false">
      <c r="B78" s="122" t="n">
        <f aca="false">B77+1</f>
        <v>75</v>
      </c>
      <c r="C78" s="123" t="s">
        <v>299</v>
      </c>
      <c r="D78" s="124" t="n">
        <v>21451</v>
      </c>
      <c r="E78" s="124" t="str">
        <f aca="false">IF(D78="","",IFERROR(VLOOKUP(D78,CCN_Library!$A$4:$B$13,2,FALSE()),"NOT IN LIBRARY"))</f>
        <v>AUTOMOTIVE ORGANIZATIONAL SHOP</v>
      </c>
      <c r="F78" s="125" t="str">
        <f aca="false">LEFT(H78,6)</f>
        <v>M28261</v>
      </c>
      <c r="G78" s="126" t="s">
        <v>128</v>
      </c>
      <c r="H78" s="126" t="s">
        <v>306</v>
      </c>
      <c r="I78" s="126" t="s">
        <v>301</v>
      </c>
      <c r="J78" s="126" t="s">
        <v>171</v>
      </c>
      <c r="K78" s="127" t="s">
        <v>302</v>
      </c>
      <c r="L78" s="126" t="s">
        <v>302</v>
      </c>
      <c r="M78" s="126" t="s">
        <v>148</v>
      </c>
      <c r="N78" s="126" t="s">
        <v>128</v>
      </c>
      <c r="O78" s="126" t="s">
        <v>135</v>
      </c>
      <c r="P78" s="126" t="s">
        <v>135</v>
      </c>
      <c r="Q78" s="128"/>
      <c r="R78" s="126" t="s">
        <v>136</v>
      </c>
      <c r="S78" s="126" t="s">
        <v>148</v>
      </c>
      <c r="T78" s="128"/>
      <c r="U78" s="129" t="n">
        <v>0</v>
      </c>
      <c r="V78" s="129" t="n">
        <v>1</v>
      </c>
      <c r="W78" s="129" t="n">
        <v>0</v>
      </c>
      <c r="X78" s="129" t="n">
        <v>0</v>
      </c>
      <c r="Y78" s="129" t="n">
        <v>0</v>
      </c>
      <c r="Z78" s="129" t="n">
        <v>0</v>
      </c>
      <c r="AA78" s="129" t="n">
        <v>0</v>
      </c>
      <c r="AB78" s="129" t="n">
        <v>0</v>
      </c>
      <c r="AC78" s="129" t="n">
        <v>0</v>
      </c>
      <c r="AD78" s="129" t="n">
        <v>0</v>
      </c>
      <c r="AE78" s="129" t="n">
        <v>0</v>
      </c>
      <c r="AF78" s="129" t="n">
        <v>0</v>
      </c>
      <c r="AG78" s="129" t="n">
        <v>0</v>
      </c>
      <c r="AH78" s="129" t="n">
        <v>0</v>
      </c>
      <c r="AI78" s="129" t="n">
        <v>0</v>
      </c>
      <c r="AJ78" s="129" t="n">
        <v>0</v>
      </c>
      <c r="AK78" s="129" t="n">
        <v>0</v>
      </c>
      <c r="AL78" s="129" t="n">
        <v>0</v>
      </c>
      <c r="AM78" s="129" t="n">
        <v>0</v>
      </c>
      <c r="AN78" s="128"/>
      <c r="AO78" s="128"/>
      <c r="AP78" s="126" t="s">
        <v>138</v>
      </c>
      <c r="AQ78" s="126" t="s">
        <v>139</v>
      </c>
      <c r="AR78" s="126" t="s">
        <v>140</v>
      </c>
      <c r="AS78" s="128"/>
      <c r="AT78" s="130"/>
    </row>
    <row r="79" customFormat="false" ht="12.75" hidden="false" customHeight="true" outlineLevel="0" collapsed="false">
      <c r="B79" s="122" t="n">
        <f aca="false">B78+1</f>
        <v>76</v>
      </c>
      <c r="C79" s="123" t="s">
        <v>299</v>
      </c>
      <c r="D79" s="124" t="n">
        <v>21451</v>
      </c>
      <c r="E79" s="124" t="str">
        <f aca="false">IF(D79="","",IFERROR(VLOOKUP(D79,CCN_Library!$A$4:$B$13,2,FALSE()),"NOT IN LIBRARY"))</f>
        <v>AUTOMOTIVE ORGANIZATIONAL SHOP</v>
      </c>
      <c r="F79" s="125" t="str">
        <f aca="false">LEFT(H79,6)</f>
        <v>M28261</v>
      </c>
      <c r="G79" s="126" t="s">
        <v>128</v>
      </c>
      <c r="H79" s="126" t="s">
        <v>307</v>
      </c>
      <c r="I79" s="126" t="s">
        <v>301</v>
      </c>
      <c r="J79" s="126" t="s">
        <v>171</v>
      </c>
      <c r="K79" s="127" t="s">
        <v>302</v>
      </c>
      <c r="L79" s="126" t="s">
        <v>302</v>
      </c>
      <c r="M79" s="126" t="s">
        <v>148</v>
      </c>
      <c r="N79" s="126" t="s">
        <v>128</v>
      </c>
      <c r="O79" s="126" t="s">
        <v>135</v>
      </c>
      <c r="P79" s="126" t="s">
        <v>135</v>
      </c>
      <c r="Q79" s="128"/>
      <c r="R79" s="126" t="s">
        <v>136</v>
      </c>
      <c r="S79" s="126" t="s">
        <v>148</v>
      </c>
      <c r="T79" s="128"/>
      <c r="U79" s="129" t="n">
        <v>0</v>
      </c>
      <c r="V79" s="129" t="n">
        <v>1</v>
      </c>
      <c r="W79" s="129" t="n">
        <v>0</v>
      </c>
      <c r="X79" s="129" t="n">
        <v>0</v>
      </c>
      <c r="Y79" s="129" t="n">
        <v>0</v>
      </c>
      <c r="Z79" s="129" t="n">
        <v>0</v>
      </c>
      <c r="AA79" s="129" t="n">
        <v>0</v>
      </c>
      <c r="AB79" s="129" t="n">
        <v>0</v>
      </c>
      <c r="AC79" s="129" t="n">
        <v>0</v>
      </c>
      <c r="AD79" s="129" t="n">
        <v>0</v>
      </c>
      <c r="AE79" s="129" t="n">
        <v>0</v>
      </c>
      <c r="AF79" s="129" t="n">
        <v>0</v>
      </c>
      <c r="AG79" s="129" t="n">
        <v>0</v>
      </c>
      <c r="AH79" s="129" t="n">
        <v>0</v>
      </c>
      <c r="AI79" s="129" t="n">
        <v>0</v>
      </c>
      <c r="AJ79" s="129" t="n">
        <v>0</v>
      </c>
      <c r="AK79" s="129" t="n">
        <v>0</v>
      </c>
      <c r="AL79" s="129" t="n">
        <v>0</v>
      </c>
      <c r="AM79" s="129" t="n">
        <v>0</v>
      </c>
      <c r="AN79" s="128"/>
      <c r="AO79" s="128"/>
      <c r="AP79" s="126" t="s">
        <v>138</v>
      </c>
      <c r="AQ79" s="126" t="s">
        <v>139</v>
      </c>
      <c r="AR79" s="126" t="s">
        <v>140</v>
      </c>
      <c r="AS79" s="128"/>
      <c r="AT79" s="130"/>
    </row>
    <row r="80" customFormat="false" ht="12.75" hidden="false" customHeight="true" outlineLevel="0" collapsed="false">
      <c r="B80" s="122" t="n">
        <f aca="false">B79+1</f>
        <v>77</v>
      </c>
      <c r="C80" s="123" t="s">
        <v>299</v>
      </c>
      <c r="D80" s="124" t="n">
        <v>21451</v>
      </c>
      <c r="E80" s="124" t="str">
        <f aca="false">IF(D80="","",IFERROR(VLOOKUP(D80,CCN_Library!$A$4:$B$13,2,FALSE()),"NOT IN LIBRARY"))</f>
        <v>AUTOMOTIVE ORGANIZATIONAL SHOP</v>
      </c>
      <c r="F80" s="125" t="str">
        <f aca="false">LEFT(H80,6)</f>
        <v>M28261</v>
      </c>
      <c r="G80" s="126" t="s">
        <v>128</v>
      </c>
      <c r="H80" s="126" t="s">
        <v>308</v>
      </c>
      <c r="I80" s="126" t="s">
        <v>301</v>
      </c>
      <c r="J80" s="126" t="s">
        <v>171</v>
      </c>
      <c r="K80" s="127" t="s">
        <v>302</v>
      </c>
      <c r="L80" s="126" t="s">
        <v>302</v>
      </c>
      <c r="M80" s="126" t="s">
        <v>148</v>
      </c>
      <c r="N80" s="126" t="s">
        <v>128</v>
      </c>
      <c r="O80" s="126" t="s">
        <v>135</v>
      </c>
      <c r="P80" s="126" t="s">
        <v>135</v>
      </c>
      <c r="Q80" s="128"/>
      <c r="R80" s="126" t="s">
        <v>136</v>
      </c>
      <c r="S80" s="126" t="s">
        <v>148</v>
      </c>
      <c r="T80" s="128"/>
      <c r="U80" s="129" t="n">
        <v>0</v>
      </c>
      <c r="V80" s="129" t="n">
        <v>1</v>
      </c>
      <c r="W80" s="129" t="n">
        <v>0</v>
      </c>
      <c r="X80" s="129" t="n">
        <v>0</v>
      </c>
      <c r="Y80" s="129" t="n">
        <v>0</v>
      </c>
      <c r="Z80" s="129" t="n">
        <v>0</v>
      </c>
      <c r="AA80" s="129" t="n">
        <v>0</v>
      </c>
      <c r="AB80" s="129" t="n">
        <v>0</v>
      </c>
      <c r="AC80" s="129" t="n">
        <v>0</v>
      </c>
      <c r="AD80" s="129" t="n">
        <v>0</v>
      </c>
      <c r="AE80" s="129" t="n">
        <v>0</v>
      </c>
      <c r="AF80" s="129" t="n">
        <v>0</v>
      </c>
      <c r="AG80" s="129" t="n">
        <v>0</v>
      </c>
      <c r="AH80" s="129" t="n">
        <v>0</v>
      </c>
      <c r="AI80" s="129" t="n">
        <v>0</v>
      </c>
      <c r="AJ80" s="129" t="n">
        <v>0</v>
      </c>
      <c r="AK80" s="129" t="n">
        <v>0</v>
      </c>
      <c r="AL80" s="129" t="n">
        <v>0</v>
      </c>
      <c r="AM80" s="129" t="n">
        <v>0</v>
      </c>
      <c r="AN80" s="128"/>
      <c r="AO80" s="128"/>
      <c r="AP80" s="126" t="s">
        <v>138</v>
      </c>
      <c r="AQ80" s="126" t="s">
        <v>139</v>
      </c>
      <c r="AR80" s="126" t="s">
        <v>140</v>
      </c>
      <c r="AS80" s="128"/>
      <c r="AT80" s="130"/>
    </row>
    <row r="81" customFormat="false" ht="12.75" hidden="false" customHeight="true" outlineLevel="0" collapsed="false">
      <c r="B81" s="122" t="n">
        <f aca="false">B80+1</f>
        <v>78</v>
      </c>
      <c r="C81" s="123" t="s">
        <v>299</v>
      </c>
      <c r="D81" s="124" t="n">
        <v>21451</v>
      </c>
      <c r="E81" s="124" t="str">
        <f aca="false">IF(D81="","",IFERROR(VLOOKUP(D81,CCN_Library!$A$4:$B$13,2,FALSE()),"NOT IN LIBRARY"))</f>
        <v>AUTOMOTIVE ORGANIZATIONAL SHOP</v>
      </c>
      <c r="F81" s="125" t="str">
        <f aca="false">LEFT(H81,6)</f>
        <v>M28261</v>
      </c>
      <c r="G81" s="126" t="s">
        <v>128</v>
      </c>
      <c r="H81" s="126" t="s">
        <v>309</v>
      </c>
      <c r="I81" s="126" t="s">
        <v>301</v>
      </c>
      <c r="J81" s="126" t="s">
        <v>171</v>
      </c>
      <c r="K81" s="127" t="s">
        <v>302</v>
      </c>
      <c r="L81" s="126" t="s">
        <v>302</v>
      </c>
      <c r="M81" s="126" t="s">
        <v>148</v>
      </c>
      <c r="N81" s="126" t="s">
        <v>128</v>
      </c>
      <c r="O81" s="126" t="s">
        <v>135</v>
      </c>
      <c r="P81" s="126" t="s">
        <v>135</v>
      </c>
      <c r="Q81" s="128"/>
      <c r="R81" s="126" t="s">
        <v>136</v>
      </c>
      <c r="S81" s="126" t="s">
        <v>148</v>
      </c>
      <c r="T81" s="128"/>
      <c r="U81" s="129" t="n">
        <v>0</v>
      </c>
      <c r="V81" s="129" t="n">
        <v>1</v>
      </c>
      <c r="W81" s="129" t="n">
        <v>0</v>
      </c>
      <c r="X81" s="129" t="n">
        <v>0</v>
      </c>
      <c r="Y81" s="129" t="n">
        <v>0</v>
      </c>
      <c r="Z81" s="129" t="n">
        <v>0</v>
      </c>
      <c r="AA81" s="129" t="n">
        <v>0</v>
      </c>
      <c r="AB81" s="129" t="n">
        <v>0</v>
      </c>
      <c r="AC81" s="129" t="n">
        <v>0</v>
      </c>
      <c r="AD81" s="129" t="n">
        <v>0</v>
      </c>
      <c r="AE81" s="129" t="n">
        <v>0</v>
      </c>
      <c r="AF81" s="129" t="n">
        <v>0</v>
      </c>
      <c r="AG81" s="129" t="n">
        <v>0</v>
      </c>
      <c r="AH81" s="129" t="n">
        <v>0</v>
      </c>
      <c r="AI81" s="129" t="n">
        <v>0</v>
      </c>
      <c r="AJ81" s="129" t="n">
        <v>0</v>
      </c>
      <c r="AK81" s="129" t="n">
        <v>0</v>
      </c>
      <c r="AL81" s="129" t="n">
        <v>0</v>
      </c>
      <c r="AM81" s="129" t="n">
        <v>0</v>
      </c>
      <c r="AN81" s="128"/>
      <c r="AO81" s="128"/>
      <c r="AP81" s="126" t="s">
        <v>138</v>
      </c>
      <c r="AQ81" s="126" t="s">
        <v>139</v>
      </c>
      <c r="AR81" s="126" t="s">
        <v>140</v>
      </c>
      <c r="AS81" s="128"/>
      <c r="AT81" s="139"/>
    </row>
    <row r="82" customFormat="false" ht="12.75" hidden="false" customHeight="true" outlineLevel="0" collapsed="false">
      <c r="B82" s="122" t="n">
        <f aca="false">B81+1</f>
        <v>79</v>
      </c>
      <c r="C82" s="123" t="s">
        <v>299</v>
      </c>
      <c r="D82" s="124" t="n">
        <v>21451</v>
      </c>
      <c r="E82" s="124" t="str">
        <f aca="false">IF(D82="","",IFERROR(VLOOKUP(D82,CCN_Library!$A$4:$B$13,2,FALSE()),"NOT IN LIBRARY"))</f>
        <v>AUTOMOTIVE ORGANIZATIONAL SHOP</v>
      </c>
      <c r="F82" s="125" t="str">
        <f aca="false">LEFT(H82,6)</f>
        <v>M28261</v>
      </c>
      <c r="G82" s="126" t="s">
        <v>128</v>
      </c>
      <c r="H82" s="126" t="s">
        <v>310</v>
      </c>
      <c r="I82" s="126" t="s">
        <v>301</v>
      </c>
      <c r="J82" s="126" t="s">
        <v>171</v>
      </c>
      <c r="K82" s="127" t="s">
        <v>302</v>
      </c>
      <c r="L82" s="126" t="s">
        <v>302</v>
      </c>
      <c r="M82" s="126" t="s">
        <v>148</v>
      </c>
      <c r="N82" s="126" t="s">
        <v>128</v>
      </c>
      <c r="O82" s="126" t="s">
        <v>135</v>
      </c>
      <c r="P82" s="126" t="s">
        <v>135</v>
      </c>
      <c r="Q82" s="128"/>
      <c r="R82" s="126" t="s">
        <v>136</v>
      </c>
      <c r="S82" s="126" t="s">
        <v>148</v>
      </c>
      <c r="T82" s="128"/>
      <c r="U82" s="129" t="n">
        <v>0</v>
      </c>
      <c r="V82" s="129" t="n">
        <v>1</v>
      </c>
      <c r="W82" s="129" t="n">
        <v>0</v>
      </c>
      <c r="X82" s="129" t="n">
        <v>0</v>
      </c>
      <c r="Y82" s="129" t="n">
        <v>0</v>
      </c>
      <c r="Z82" s="129" t="n">
        <v>0</v>
      </c>
      <c r="AA82" s="129" t="n">
        <v>0</v>
      </c>
      <c r="AB82" s="129" t="n">
        <v>0</v>
      </c>
      <c r="AC82" s="129" t="n">
        <v>0</v>
      </c>
      <c r="AD82" s="129" t="n">
        <v>0</v>
      </c>
      <c r="AE82" s="129" t="n">
        <v>0</v>
      </c>
      <c r="AF82" s="129" t="n">
        <v>0</v>
      </c>
      <c r="AG82" s="129" t="n">
        <v>0</v>
      </c>
      <c r="AH82" s="129" t="n">
        <v>0</v>
      </c>
      <c r="AI82" s="129" t="n">
        <v>0</v>
      </c>
      <c r="AJ82" s="129" t="n">
        <v>0</v>
      </c>
      <c r="AK82" s="129" t="n">
        <v>0</v>
      </c>
      <c r="AL82" s="129" t="n">
        <v>0</v>
      </c>
      <c r="AM82" s="129" t="n">
        <v>0</v>
      </c>
      <c r="AN82" s="128"/>
      <c r="AO82" s="128"/>
      <c r="AP82" s="126" t="s">
        <v>138</v>
      </c>
      <c r="AQ82" s="126" t="s">
        <v>139</v>
      </c>
      <c r="AR82" s="126" t="s">
        <v>140</v>
      </c>
      <c r="AS82" s="128"/>
      <c r="AT82" s="130"/>
    </row>
    <row r="83" customFormat="false" ht="12.75" hidden="false" customHeight="true" outlineLevel="0" collapsed="false">
      <c r="B83" s="122" t="n">
        <f aca="false">B82+1</f>
        <v>80</v>
      </c>
      <c r="C83" s="123" t="s">
        <v>299</v>
      </c>
      <c r="D83" s="124" t="n">
        <v>21451</v>
      </c>
      <c r="E83" s="124" t="str">
        <f aca="false">IF(D83="","",IFERROR(VLOOKUP(D83,CCN_Library!$A$4:$B$13,2,FALSE()),"NOT IN LIBRARY"))</f>
        <v>AUTOMOTIVE ORGANIZATIONAL SHOP</v>
      </c>
      <c r="F83" s="125" t="str">
        <f aca="false">LEFT(H83,6)</f>
        <v>M28261</v>
      </c>
      <c r="G83" s="126" t="s">
        <v>128</v>
      </c>
      <c r="H83" s="126" t="s">
        <v>311</v>
      </c>
      <c r="I83" s="126" t="s">
        <v>301</v>
      </c>
      <c r="J83" s="126" t="s">
        <v>171</v>
      </c>
      <c r="K83" s="127" t="s">
        <v>302</v>
      </c>
      <c r="L83" s="126" t="s">
        <v>302</v>
      </c>
      <c r="M83" s="126" t="s">
        <v>148</v>
      </c>
      <c r="N83" s="126" t="s">
        <v>128</v>
      </c>
      <c r="O83" s="126" t="s">
        <v>135</v>
      </c>
      <c r="P83" s="126" t="s">
        <v>135</v>
      </c>
      <c r="Q83" s="128"/>
      <c r="R83" s="126" t="s">
        <v>136</v>
      </c>
      <c r="S83" s="126" t="s">
        <v>148</v>
      </c>
      <c r="T83" s="128"/>
      <c r="U83" s="129" t="n">
        <v>0</v>
      </c>
      <c r="V83" s="129" t="n">
        <v>1</v>
      </c>
      <c r="W83" s="129" t="n">
        <v>0</v>
      </c>
      <c r="X83" s="129" t="n">
        <v>0</v>
      </c>
      <c r="Y83" s="129" t="n">
        <v>0</v>
      </c>
      <c r="Z83" s="129" t="n">
        <v>0</v>
      </c>
      <c r="AA83" s="129" t="n">
        <v>0</v>
      </c>
      <c r="AB83" s="129" t="n">
        <v>0</v>
      </c>
      <c r="AC83" s="129" t="n">
        <v>0</v>
      </c>
      <c r="AD83" s="129" t="n">
        <v>0</v>
      </c>
      <c r="AE83" s="129" t="n">
        <v>0</v>
      </c>
      <c r="AF83" s="129" t="n">
        <v>0</v>
      </c>
      <c r="AG83" s="129" t="n">
        <v>0</v>
      </c>
      <c r="AH83" s="129" t="n">
        <v>0</v>
      </c>
      <c r="AI83" s="129" t="n">
        <v>0</v>
      </c>
      <c r="AJ83" s="129" t="n">
        <v>0</v>
      </c>
      <c r="AK83" s="129" t="n">
        <v>0</v>
      </c>
      <c r="AL83" s="129" t="n">
        <v>0</v>
      </c>
      <c r="AM83" s="129" t="n">
        <v>0</v>
      </c>
      <c r="AN83" s="128"/>
      <c r="AO83" s="128"/>
      <c r="AP83" s="126" t="s">
        <v>138</v>
      </c>
      <c r="AQ83" s="126" t="s">
        <v>139</v>
      </c>
      <c r="AR83" s="126" t="s">
        <v>140</v>
      </c>
      <c r="AS83" s="128"/>
      <c r="AT83" s="130"/>
    </row>
    <row r="84" customFormat="false" ht="12.75" hidden="false" customHeight="true" outlineLevel="0" collapsed="false">
      <c r="B84" s="122" t="n">
        <f aca="false">B83+1</f>
        <v>81</v>
      </c>
      <c r="C84" s="123" t="s">
        <v>299</v>
      </c>
      <c r="D84" s="124" t="n">
        <v>21451</v>
      </c>
      <c r="E84" s="124" t="str">
        <f aca="false">IF(D84="","",IFERROR(VLOOKUP(D84,CCN_Library!$A$4:$B$13,2,FALSE()),"NOT IN LIBRARY"))</f>
        <v>AUTOMOTIVE ORGANIZATIONAL SHOP</v>
      </c>
      <c r="F84" s="125" t="str">
        <f aca="false">LEFT(H84,6)</f>
        <v>M28261</v>
      </c>
      <c r="G84" s="126" t="s">
        <v>128</v>
      </c>
      <c r="H84" s="126" t="s">
        <v>312</v>
      </c>
      <c r="I84" s="126" t="s">
        <v>301</v>
      </c>
      <c r="J84" s="126" t="s">
        <v>171</v>
      </c>
      <c r="K84" s="127" t="s">
        <v>302</v>
      </c>
      <c r="L84" s="126" t="s">
        <v>302</v>
      </c>
      <c r="M84" s="126" t="s">
        <v>148</v>
      </c>
      <c r="N84" s="126" t="s">
        <v>128</v>
      </c>
      <c r="O84" s="126" t="s">
        <v>135</v>
      </c>
      <c r="P84" s="126" t="s">
        <v>135</v>
      </c>
      <c r="Q84" s="128"/>
      <c r="R84" s="126" t="s">
        <v>136</v>
      </c>
      <c r="S84" s="126" t="s">
        <v>148</v>
      </c>
      <c r="T84" s="128"/>
      <c r="U84" s="129" t="n">
        <v>0</v>
      </c>
      <c r="V84" s="129" t="n">
        <v>1</v>
      </c>
      <c r="W84" s="129" t="n">
        <v>0</v>
      </c>
      <c r="X84" s="129" t="n">
        <v>0</v>
      </c>
      <c r="Y84" s="129" t="n">
        <v>0</v>
      </c>
      <c r="Z84" s="129" t="n">
        <v>0</v>
      </c>
      <c r="AA84" s="129" t="n">
        <v>0</v>
      </c>
      <c r="AB84" s="129" t="n">
        <v>0</v>
      </c>
      <c r="AC84" s="129" t="n">
        <v>0</v>
      </c>
      <c r="AD84" s="129" t="n">
        <v>0</v>
      </c>
      <c r="AE84" s="129" t="n">
        <v>0</v>
      </c>
      <c r="AF84" s="129" t="n">
        <v>0</v>
      </c>
      <c r="AG84" s="129" t="n">
        <v>0</v>
      </c>
      <c r="AH84" s="129" t="n">
        <v>0</v>
      </c>
      <c r="AI84" s="129" t="n">
        <v>0</v>
      </c>
      <c r="AJ84" s="129" t="n">
        <v>0</v>
      </c>
      <c r="AK84" s="129" t="n">
        <v>0</v>
      </c>
      <c r="AL84" s="129" t="n">
        <v>0</v>
      </c>
      <c r="AM84" s="129" t="n">
        <v>0</v>
      </c>
      <c r="AN84" s="128"/>
      <c r="AO84" s="128"/>
      <c r="AP84" s="126" t="s">
        <v>138</v>
      </c>
      <c r="AQ84" s="126" t="s">
        <v>139</v>
      </c>
      <c r="AR84" s="126" t="s">
        <v>140</v>
      </c>
      <c r="AS84" s="128"/>
      <c r="AT84" s="130"/>
    </row>
    <row r="85" customFormat="false" ht="12.75" hidden="false" customHeight="true" outlineLevel="0" collapsed="false">
      <c r="B85" s="122" t="n">
        <f aca="false">B84+1</f>
        <v>82</v>
      </c>
      <c r="C85" s="123" t="s">
        <v>299</v>
      </c>
      <c r="D85" s="124" t="n">
        <v>21451</v>
      </c>
      <c r="E85" s="124" t="str">
        <f aca="false">IF(D85="","",IFERROR(VLOOKUP(D85,CCN_Library!$A$4:$B$13,2,FALSE()),"NOT IN LIBRARY"))</f>
        <v>AUTOMOTIVE ORGANIZATIONAL SHOP</v>
      </c>
      <c r="F85" s="125" t="str">
        <f aca="false">LEFT(H85,6)</f>
        <v>M28261</v>
      </c>
      <c r="G85" s="126" t="s">
        <v>128</v>
      </c>
      <c r="H85" s="126" t="s">
        <v>313</v>
      </c>
      <c r="I85" s="126" t="s">
        <v>301</v>
      </c>
      <c r="J85" s="126" t="s">
        <v>171</v>
      </c>
      <c r="K85" s="127" t="s">
        <v>302</v>
      </c>
      <c r="L85" s="126" t="s">
        <v>302</v>
      </c>
      <c r="M85" s="126" t="s">
        <v>148</v>
      </c>
      <c r="N85" s="126" t="s">
        <v>128</v>
      </c>
      <c r="O85" s="126" t="s">
        <v>135</v>
      </c>
      <c r="P85" s="126" t="s">
        <v>135</v>
      </c>
      <c r="Q85" s="128"/>
      <c r="R85" s="126" t="s">
        <v>136</v>
      </c>
      <c r="S85" s="126" t="s">
        <v>148</v>
      </c>
      <c r="T85" s="128"/>
      <c r="U85" s="129" t="n">
        <v>0</v>
      </c>
      <c r="V85" s="129" t="n">
        <v>1</v>
      </c>
      <c r="W85" s="129" t="n">
        <v>0</v>
      </c>
      <c r="X85" s="129" t="n">
        <v>0</v>
      </c>
      <c r="Y85" s="129" t="n">
        <v>0</v>
      </c>
      <c r="Z85" s="129" t="n">
        <v>0</v>
      </c>
      <c r="AA85" s="129" t="n">
        <v>0</v>
      </c>
      <c r="AB85" s="129" t="n">
        <v>0</v>
      </c>
      <c r="AC85" s="129" t="n">
        <v>0</v>
      </c>
      <c r="AD85" s="129" t="n">
        <v>0</v>
      </c>
      <c r="AE85" s="129" t="n">
        <v>0</v>
      </c>
      <c r="AF85" s="129" t="n">
        <v>0</v>
      </c>
      <c r="AG85" s="129" t="n">
        <v>0</v>
      </c>
      <c r="AH85" s="129" t="n">
        <v>0</v>
      </c>
      <c r="AI85" s="129" t="n">
        <v>0</v>
      </c>
      <c r="AJ85" s="129" t="n">
        <v>0</v>
      </c>
      <c r="AK85" s="129" t="n">
        <v>0</v>
      </c>
      <c r="AL85" s="129" t="n">
        <v>0</v>
      </c>
      <c r="AM85" s="129" t="n">
        <v>0</v>
      </c>
      <c r="AN85" s="128"/>
      <c r="AO85" s="128"/>
      <c r="AP85" s="126" t="s">
        <v>138</v>
      </c>
      <c r="AQ85" s="126" t="s">
        <v>139</v>
      </c>
      <c r="AR85" s="126" t="s">
        <v>140</v>
      </c>
      <c r="AS85" s="128"/>
      <c r="AT85" s="130"/>
    </row>
    <row r="86" customFormat="false" ht="12.75" hidden="false" customHeight="true" outlineLevel="0" collapsed="false">
      <c r="B86" s="122" t="n">
        <f aca="false">B85+1</f>
        <v>83</v>
      </c>
      <c r="C86" s="123" t="s">
        <v>299</v>
      </c>
      <c r="D86" s="124" t="n">
        <v>21451</v>
      </c>
      <c r="E86" s="124" t="str">
        <f aca="false">IF(D86="","",IFERROR(VLOOKUP(D86,CCN_Library!$A$4:$B$13,2,FALSE()),"NOT IN LIBRARY"))</f>
        <v>AUTOMOTIVE ORGANIZATIONAL SHOP</v>
      </c>
      <c r="F86" s="125" t="str">
        <f aca="false">LEFT(H86,6)</f>
        <v>M28261</v>
      </c>
      <c r="G86" s="126" t="s">
        <v>128</v>
      </c>
      <c r="H86" s="126" t="s">
        <v>314</v>
      </c>
      <c r="I86" s="126" t="s">
        <v>301</v>
      </c>
      <c r="J86" s="126" t="s">
        <v>171</v>
      </c>
      <c r="K86" s="127" t="s">
        <v>302</v>
      </c>
      <c r="L86" s="126" t="s">
        <v>302</v>
      </c>
      <c r="M86" s="126" t="s">
        <v>148</v>
      </c>
      <c r="N86" s="126" t="s">
        <v>128</v>
      </c>
      <c r="O86" s="126" t="s">
        <v>135</v>
      </c>
      <c r="P86" s="126" t="s">
        <v>135</v>
      </c>
      <c r="Q86" s="128"/>
      <c r="R86" s="126" t="s">
        <v>136</v>
      </c>
      <c r="S86" s="126" t="s">
        <v>148</v>
      </c>
      <c r="T86" s="128"/>
      <c r="U86" s="129" t="n">
        <v>0</v>
      </c>
      <c r="V86" s="129" t="n">
        <v>1</v>
      </c>
      <c r="W86" s="129" t="n">
        <v>0</v>
      </c>
      <c r="X86" s="129" t="n">
        <v>0</v>
      </c>
      <c r="Y86" s="129" t="n">
        <v>0</v>
      </c>
      <c r="Z86" s="129" t="n">
        <v>0</v>
      </c>
      <c r="AA86" s="129" t="n">
        <v>0</v>
      </c>
      <c r="AB86" s="129" t="n">
        <v>0</v>
      </c>
      <c r="AC86" s="129" t="n">
        <v>0</v>
      </c>
      <c r="AD86" s="129" t="n">
        <v>0</v>
      </c>
      <c r="AE86" s="129" t="n">
        <v>0</v>
      </c>
      <c r="AF86" s="129" t="n">
        <v>0</v>
      </c>
      <c r="AG86" s="129" t="n">
        <v>0</v>
      </c>
      <c r="AH86" s="129" t="n">
        <v>0</v>
      </c>
      <c r="AI86" s="129" t="n">
        <v>0</v>
      </c>
      <c r="AJ86" s="129" t="n">
        <v>0</v>
      </c>
      <c r="AK86" s="129" t="n">
        <v>0</v>
      </c>
      <c r="AL86" s="129" t="n">
        <v>0</v>
      </c>
      <c r="AM86" s="129" t="n">
        <v>0</v>
      </c>
      <c r="AN86" s="128"/>
      <c r="AO86" s="128"/>
      <c r="AP86" s="126" t="s">
        <v>138</v>
      </c>
      <c r="AQ86" s="126" t="s">
        <v>139</v>
      </c>
      <c r="AR86" s="126" t="s">
        <v>140</v>
      </c>
      <c r="AS86" s="128"/>
      <c r="AT86" s="130"/>
    </row>
    <row r="87" customFormat="false" ht="12.75" hidden="false" customHeight="true" outlineLevel="0" collapsed="false">
      <c r="B87" s="122" t="n">
        <f aca="false">B86+1</f>
        <v>84</v>
      </c>
      <c r="C87" s="123" t="s">
        <v>299</v>
      </c>
      <c r="D87" s="124" t="n">
        <v>21451</v>
      </c>
      <c r="E87" s="124" t="str">
        <f aca="false">IF(D87="","",IFERROR(VLOOKUP(D87,CCN_Library!$A$4:$B$13,2,FALSE()),"NOT IN LIBRARY"))</f>
        <v>AUTOMOTIVE ORGANIZATIONAL SHOP</v>
      </c>
      <c r="F87" s="125" t="str">
        <f aca="false">LEFT(H87,6)</f>
        <v>M28261</v>
      </c>
      <c r="G87" s="126" t="s">
        <v>128</v>
      </c>
      <c r="H87" s="126" t="s">
        <v>315</v>
      </c>
      <c r="I87" s="126" t="s">
        <v>301</v>
      </c>
      <c r="J87" s="126" t="s">
        <v>171</v>
      </c>
      <c r="K87" s="127" t="s">
        <v>302</v>
      </c>
      <c r="L87" s="126" t="s">
        <v>302</v>
      </c>
      <c r="M87" s="126" t="s">
        <v>148</v>
      </c>
      <c r="N87" s="126" t="s">
        <v>128</v>
      </c>
      <c r="O87" s="126" t="s">
        <v>135</v>
      </c>
      <c r="P87" s="126" t="s">
        <v>135</v>
      </c>
      <c r="Q87" s="128"/>
      <c r="R87" s="126" t="s">
        <v>136</v>
      </c>
      <c r="S87" s="126" t="s">
        <v>148</v>
      </c>
      <c r="T87" s="128"/>
      <c r="U87" s="129" t="n">
        <v>0</v>
      </c>
      <c r="V87" s="129" t="n">
        <v>1</v>
      </c>
      <c r="W87" s="129" t="n">
        <v>0</v>
      </c>
      <c r="X87" s="129" t="n">
        <v>0</v>
      </c>
      <c r="Y87" s="129" t="n">
        <v>0</v>
      </c>
      <c r="Z87" s="129" t="n">
        <v>0</v>
      </c>
      <c r="AA87" s="129" t="n">
        <v>0</v>
      </c>
      <c r="AB87" s="129" t="n">
        <v>0</v>
      </c>
      <c r="AC87" s="129" t="n">
        <v>0</v>
      </c>
      <c r="AD87" s="129" t="n">
        <v>0</v>
      </c>
      <c r="AE87" s="129" t="n">
        <v>0</v>
      </c>
      <c r="AF87" s="129" t="n">
        <v>0</v>
      </c>
      <c r="AG87" s="129" t="n">
        <v>0</v>
      </c>
      <c r="AH87" s="129" t="n">
        <v>0</v>
      </c>
      <c r="AI87" s="129" t="n">
        <v>0</v>
      </c>
      <c r="AJ87" s="129" t="n">
        <v>0</v>
      </c>
      <c r="AK87" s="129" t="n">
        <v>0</v>
      </c>
      <c r="AL87" s="129" t="n">
        <v>0</v>
      </c>
      <c r="AM87" s="129" t="n">
        <v>0</v>
      </c>
      <c r="AN87" s="128"/>
      <c r="AO87" s="128"/>
      <c r="AP87" s="126" t="s">
        <v>138</v>
      </c>
      <c r="AQ87" s="126" t="s">
        <v>139</v>
      </c>
      <c r="AR87" s="126" t="s">
        <v>140</v>
      </c>
      <c r="AS87" s="128"/>
      <c r="AT87" s="130"/>
    </row>
    <row r="88" customFormat="false" ht="12.75" hidden="false" customHeight="true" outlineLevel="0" collapsed="false">
      <c r="B88" s="122" t="n">
        <f aca="false">B87+1</f>
        <v>85</v>
      </c>
      <c r="C88" s="123" t="s">
        <v>299</v>
      </c>
      <c r="D88" s="124" t="n">
        <v>21451</v>
      </c>
      <c r="E88" s="124" t="str">
        <f aca="false">IF(D88="","",IFERROR(VLOOKUP(D88,CCN_Library!$A$4:$B$13,2,FALSE()),"NOT IN LIBRARY"))</f>
        <v>AUTOMOTIVE ORGANIZATIONAL SHOP</v>
      </c>
      <c r="F88" s="125" t="str">
        <f aca="false">LEFT(H88,6)</f>
        <v>M28261</v>
      </c>
      <c r="G88" s="126" t="s">
        <v>128</v>
      </c>
      <c r="H88" s="126" t="s">
        <v>316</v>
      </c>
      <c r="I88" s="126" t="s">
        <v>301</v>
      </c>
      <c r="J88" s="126" t="s">
        <v>171</v>
      </c>
      <c r="K88" s="127" t="s">
        <v>302</v>
      </c>
      <c r="L88" s="126" t="s">
        <v>302</v>
      </c>
      <c r="M88" s="126" t="s">
        <v>148</v>
      </c>
      <c r="N88" s="126" t="s">
        <v>128</v>
      </c>
      <c r="O88" s="126" t="s">
        <v>135</v>
      </c>
      <c r="P88" s="126" t="s">
        <v>135</v>
      </c>
      <c r="Q88" s="128"/>
      <c r="R88" s="126" t="s">
        <v>136</v>
      </c>
      <c r="S88" s="126" t="s">
        <v>148</v>
      </c>
      <c r="T88" s="128"/>
      <c r="U88" s="129" t="n">
        <v>0</v>
      </c>
      <c r="V88" s="129" t="n">
        <v>1</v>
      </c>
      <c r="W88" s="129" t="n">
        <v>0</v>
      </c>
      <c r="X88" s="129" t="n">
        <v>0</v>
      </c>
      <c r="Y88" s="129" t="n">
        <v>0</v>
      </c>
      <c r="Z88" s="129" t="n">
        <v>0</v>
      </c>
      <c r="AA88" s="129" t="n">
        <v>0</v>
      </c>
      <c r="AB88" s="129" t="n">
        <v>0</v>
      </c>
      <c r="AC88" s="129" t="n">
        <v>0</v>
      </c>
      <c r="AD88" s="129" t="n">
        <v>0</v>
      </c>
      <c r="AE88" s="129" t="n">
        <v>0</v>
      </c>
      <c r="AF88" s="129" t="n">
        <v>0</v>
      </c>
      <c r="AG88" s="129" t="n">
        <v>0</v>
      </c>
      <c r="AH88" s="129" t="n">
        <v>0</v>
      </c>
      <c r="AI88" s="129" t="n">
        <v>0</v>
      </c>
      <c r="AJ88" s="129" t="n">
        <v>0</v>
      </c>
      <c r="AK88" s="129" t="n">
        <v>0</v>
      </c>
      <c r="AL88" s="129" t="n">
        <v>0</v>
      </c>
      <c r="AM88" s="129" t="n">
        <v>0</v>
      </c>
      <c r="AN88" s="128"/>
      <c r="AO88" s="128"/>
      <c r="AP88" s="126" t="s">
        <v>138</v>
      </c>
      <c r="AQ88" s="126" t="s">
        <v>139</v>
      </c>
      <c r="AR88" s="126" t="s">
        <v>140</v>
      </c>
      <c r="AS88" s="128"/>
      <c r="AT88" s="130"/>
    </row>
    <row r="89" customFormat="false" ht="12.75" hidden="false" customHeight="true" outlineLevel="0" collapsed="false">
      <c r="B89" s="122" t="n">
        <f aca="false">B88+1</f>
        <v>86</v>
      </c>
      <c r="C89" s="123" t="s">
        <v>299</v>
      </c>
      <c r="D89" s="124" t="n">
        <v>21451</v>
      </c>
      <c r="E89" s="124" t="str">
        <f aca="false">IF(D89="","",IFERROR(VLOOKUP(D89,CCN_Library!$A$4:$B$13,2,FALSE()),"NOT IN LIBRARY"))</f>
        <v>AUTOMOTIVE ORGANIZATIONAL SHOP</v>
      </c>
      <c r="F89" s="125" t="str">
        <f aca="false">LEFT(H89,6)</f>
        <v>M28261</v>
      </c>
      <c r="G89" s="126" t="s">
        <v>128</v>
      </c>
      <c r="H89" s="126" t="s">
        <v>317</v>
      </c>
      <c r="I89" s="126" t="s">
        <v>301</v>
      </c>
      <c r="J89" s="126" t="s">
        <v>171</v>
      </c>
      <c r="K89" s="127" t="s">
        <v>302</v>
      </c>
      <c r="L89" s="126" t="s">
        <v>302</v>
      </c>
      <c r="M89" s="126" t="s">
        <v>148</v>
      </c>
      <c r="N89" s="126" t="s">
        <v>128</v>
      </c>
      <c r="O89" s="126" t="s">
        <v>135</v>
      </c>
      <c r="P89" s="126" t="s">
        <v>135</v>
      </c>
      <c r="Q89" s="128"/>
      <c r="R89" s="126" t="s">
        <v>136</v>
      </c>
      <c r="S89" s="126" t="s">
        <v>148</v>
      </c>
      <c r="T89" s="128"/>
      <c r="U89" s="129" t="n">
        <v>0</v>
      </c>
      <c r="V89" s="129" t="n">
        <v>1</v>
      </c>
      <c r="W89" s="129" t="n">
        <v>0</v>
      </c>
      <c r="X89" s="129" t="n">
        <v>0</v>
      </c>
      <c r="Y89" s="129" t="n">
        <v>0</v>
      </c>
      <c r="Z89" s="129" t="n">
        <v>0</v>
      </c>
      <c r="AA89" s="129" t="n">
        <v>0</v>
      </c>
      <c r="AB89" s="129" t="n">
        <v>0</v>
      </c>
      <c r="AC89" s="129" t="n">
        <v>0</v>
      </c>
      <c r="AD89" s="129" t="n">
        <v>0</v>
      </c>
      <c r="AE89" s="129" t="n">
        <v>0</v>
      </c>
      <c r="AF89" s="129" t="n">
        <v>0</v>
      </c>
      <c r="AG89" s="129" t="n">
        <v>0</v>
      </c>
      <c r="AH89" s="129" t="n">
        <v>0</v>
      </c>
      <c r="AI89" s="129" t="n">
        <v>0</v>
      </c>
      <c r="AJ89" s="129" t="n">
        <v>0</v>
      </c>
      <c r="AK89" s="129" t="n">
        <v>0</v>
      </c>
      <c r="AL89" s="129" t="n">
        <v>0</v>
      </c>
      <c r="AM89" s="129" t="n">
        <v>0</v>
      </c>
      <c r="AN89" s="128"/>
      <c r="AO89" s="128"/>
      <c r="AP89" s="126" t="s">
        <v>138</v>
      </c>
      <c r="AQ89" s="126" t="s">
        <v>139</v>
      </c>
      <c r="AR89" s="126" t="s">
        <v>140</v>
      </c>
      <c r="AS89" s="128"/>
      <c r="AT89" s="130"/>
    </row>
    <row r="90" customFormat="false" ht="12.75" hidden="false" customHeight="true" outlineLevel="0" collapsed="false">
      <c r="B90" s="122" t="n">
        <f aca="false">B89+1</f>
        <v>87</v>
      </c>
      <c r="C90" s="123" t="s">
        <v>299</v>
      </c>
      <c r="D90" s="124" t="n">
        <v>21451</v>
      </c>
      <c r="E90" s="124" t="str">
        <f aca="false">IF(D90="","",IFERROR(VLOOKUP(D90,CCN_Library!$A$4:$B$13,2,FALSE()),"NOT IN LIBRARY"))</f>
        <v>AUTOMOTIVE ORGANIZATIONAL SHOP</v>
      </c>
      <c r="F90" s="125" t="str">
        <f aca="false">LEFT(H90,6)</f>
        <v>M28261</v>
      </c>
      <c r="G90" s="126" t="s">
        <v>128</v>
      </c>
      <c r="H90" s="126" t="s">
        <v>318</v>
      </c>
      <c r="I90" s="126" t="s">
        <v>301</v>
      </c>
      <c r="J90" s="126" t="s">
        <v>171</v>
      </c>
      <c r="K90" s="127" t="s">
        <v>302</v>
      </c>
      <c r="L90" s="126" t="s">
        <v>302</v>
      </c>
      <c r="M90" s="126" t="s">
        <v>148</v>
      </c>
      <c r="N90" s="126" t="s">
        <v>128</v>
      </c>
      <c r="O90" s="126" t="s">
        <v>135</v>
      </c>
      <c r="P90" s="126" t="s">
        <v>135</v>
      </c>
      <c r="Q90" s="128"/>
      <c r="R90" s="126" t="s">
        <v>136</v>
      </c>
      <c r="S90" s="126" t="s">
        <v>148</v>
      </c>
      <c r="T90" s="128"/>
      <c r="U90" s="129" t="n">
        <v>0</v>
      </c>
      <c r="V90" s="129" t="n">
        <v>1</v>
      </c>
      <c r="W90" s="129" t="n">
        <v>0</v>
      </c>
      <c r="X90" s="129" t="n">
        <v>0</v>
      </c>
      <c r="Y90" s="129" t="n">
        <v>0</v>
      </c>
      <c r="Z90" s="129" t="n">
        <v>0</v>
      </c>
      <c r="AA90" s="129" t="n">
        <v>0</v>
      </c>
      <c r="AB90" s="129" t="n">
        <v>0</v>
      </c>
      <c r="AC90" s="129" t="n">
        <v>0</v>
      </c>
      <c r="AD90" s="129" t="n">
        <v>0</v>
      </c>
      <c r="AE90" s="129" t="n">
        <v>0</v>
      </c>
      <c r="AF90" s="129" t="n">
        <v>0</v>
      </c>
      <c r="AG90" s="129" t="n">
        <v>0</v>
      </c>
      <c r="AH90" s="129" t="n">
        <v>0</v>
      </c>
      <c r="AI90" s="129" t="n">
        <v>0</v>
      </c>
      <c r="AJ90" s="129" t="n">
        <v>0</v>
      </c>
      <c r="AK90" s="129" t="n">
        <v>0</v>
      </c>
      <c r="AL90" s="129" t="n">
        <v>0</v>
      </c>
      <c r="AM90" s="129" t="n">
        <v>0</v>
      </c>
      <c r="AN90" s="128"/>
      <c r="AO90" s="128"/>
      <c r="AP90" s="126" t="s">
        <v>138</v>
      </c>
      <c r="AQ90" s="126" t="s">
        <v>139</v>
      </c>
      <c r="AR90" s="126" t="s">
        <v>140</v>
      </c>
      <c r="AS90" s="128"/>
      <c r="AT90" s="130"/>
    </row>
    <row r="91" customFormat="false" ht="12.75" hidden="false" customHeight="true" outlineLevel="0" collapsed="false">
      <c r="B91" s="122" t="n">
        <f aca="false">B90+1</f>
        <v>88</v>
      </c>
      <c r="C91" s="123" t="s">
        <v>299</v>
      </c>
      <c r="D91" s="124" t="n">
        <v>21451</v>
      </c>
      <c r="E91" s="124" t="str">
        <f aca="false">IF(D91="","",IFERROR(VLOOKUP(D91,CCN_Library!$A$4:$B$13,2,FALSE()),"NOT IN LIBRARY"))</f>
        <v>AUTOMOTIVE ORGANIZATIONAL SHOP</v>
      </c>
      <c r="F91" s="125" t="str">
        <f aca="false">LEFT(H91,6)</f>
        <v>M28261</v>
      </c>
      <c r="G91" s="126" t="s">
        <v>128</v>
      </c>
      <c r="H91" s="126" t="s">
        <v>319</v>
      </c>
      <c r="I91" s="126" t="s">
        <v>301</v>
      </c>
      <c r="J91" s="126" t="s">
        <v>320</v>
      </c>
      <c r="K91" s="127" t="s">
        <v>302</v>
      </c>
      <c r="L91" s="126" t="s">
        <v>302</v>
      </c>
      <c r="M91" s="126" t="s">
        <v>148</v>
      </c>
      <c r="N91" s="126" t="s">
        <v>128</v>
      </c>
      <c r="O91" s="126" t="s">
        <v>135</v>
      </c>
      <c r="P91" s="126" t="s">
        <v>135</v>
      </c>
      <c r="Q91" s="128"/>
      <c r="R91" s="126" t="s">
        <v>136</v>
      </c>
      <c r="S91" s="126" t="s">
        <v>148</v>
      </c>
      <c r="T91" s="128"/>
      <c r="U91" s="129" t="n">
        <v>0</v>
      </c>
      <c r="V91" s="129" t="n">
        <v>1</v>
      </c>
      <c r="W91" s="129" t="n">
        <v>0</v>
      </c>
      <c r="X91" s="129" t="n">
        <v>0</v>
      </c>
      <c r="Y91" s="129" t="n">
        <v>0</v>
      </c>
      <c r="Z91" s="129" t="n">
        <v>0</v>
      </c>
      <c r="AA91" s="129" t="n">
        <v>0</v>
      </c>
      <c r="AB91" s="129" t="n">
        <v>0</v>
      </c>
      <c r="AC91" s="129" t="n">
        <v>0</v>
      </c>
      <c r="AD91" s="129" t="n">
        <v>0</v>
      </c>
      <c r="AE91" s="129" t="n">
        <v>0</v>
      </c>
      <c r="AF91" s="129" t="n">
        <v>0</v>
      </c>
      <c r="AG91" s="129" t="n">
        <v>0</v>
      </c>
      <c r="AH91" s="129" t="n">
        <v>0</v>
      </c>
      <c r="AI91" s="129" t="n">
        <v>0</v>
      </c>
      <c r="AJ91" s="129" t="n">
        <v>0</v>
      </c>
      <c r="AK91" s="129" t="n">
        <v>0</v>
      </c>
      <c r="AL91" s="129" t="n">
        <v>0</v>
      </c>
      <c r="AM91" s="129" t="n">
        <v>0</v>
      </c>
      <c r="AN91" s="128"/>
      <c r="AO91" s="128"/>
      <c r="AP91" s="126" t="s">
        <v>138</v>
      </c>
      <c r="AQ91" s="126" t="s">
        <v>139</v>
      </c>
      <c r="AR91" s="126" t="s">
        <v>140</v>
      </c>
      <c r="AS91" s="128"/>
      <c r="AT91" s="130"/>
    </row>
    <row r="92" customFormat="false" ht="12.75" hidden="false" customHeight="true" outlineLevel="0" collapsed="false">
      <c r="B92" s="122" t="n">
        <f aca="false">B91+1</f>
        <v>89</v>
      </c>
      <c r="C92" s="123" t="s">
        <v>299</v>
      </c>
      <c r="D92" s="124" t="n">
        <v>21451</v>
      </c>
      <c r="E92" s="124" t="str">
        <f aca="false">IF(D92="","",IFERROR(VLOOKUP(D92,CCN_Library!$A$4:$B$13,2,FALSE()),"NOT IN LIBRARY"))</f>
        <v>AUTOMOTIVE ORGANIZATIONAL SHOP</v>
      </c>
      <c r="F92" s="125" t="str">
        <f aca="false">LEFT(H92,6)</f>
        <v>M28261</v>
      </c>
      <c r="G92" s="126" t="s">
        <v>128</v>
      </c>
      <c r="H92" s="126" t="s">
        <v>321</v>
      </c>
      <c r="I92" s="126" t="s">
        <v>301</v>
      </c>
      <c r="J92" s="126" t="s">
        <v>320</v>
      </c>
      <c r="K92" s="127" t="s">
        <v>302</v>
      </c>
      <c r="L92" s="126" t="s">
        <v>302</v>
      </c>
      <c r="M92" s="126" t="s">
        <v>148</v>
      </c>
      <c r="N92" s="126" t="s">
        <v>128</v>
      </c>
      <c r="O92" s="126" t="s">
        <v>135</v>
      </c>
      <c r="P92" s="126" t="s">
        <v>135</v>
      </c>
      <c r="Q92" s="128"/>
      <c r="R92" s="126" t="s">
        <v>136</v>
      </c>
      <c r="S92" s="126" t="s">
        <v>148</v>
      </c>
      <c r="T92" s="128"/>
      <c r="U92" s="129" t="n">
        <v>0</v>
      </c>
      <c r="V92" s="129" t="n">
        <v>1</v>
      </c>
      <c r="W92" s="129" t="n">
        <v>0</v>
      </c>
      <c r="X92" s="129" t="n">
        <v>0</v>
      </c>
      <c r="Y92" s="129" t="n">
        <v>0</v>
      </c>
      <c r="Z92" s="129" t="n">
        <v>0</v>
      </c>
      <c r="AA92" s="129" t="n">
        <v>0</v>
      </c>
      <c r="AB92" s="129" t="n">
        <v>0</v>
      </c>
      <c r="AC92" s="129" t="n">
        <v>0</v>
      </c>
      <c r="AD92" s="129" t="n">
        <v>0</v>
      </c>
      <c r="AE92" s="129" t="n">
        <v>0</v>
      </c>
      <c r="AF92" s="129" t="n">
        <v>0</v>
      </c>
      <c r="AG92" s="129" t="n">
        <v>0</v>
      </c>
      <c r="AH92" s="129" t="n">
        <v>0</v>
      </c>
      <c r="AI92" s="129" t="n">
        <v>0</v>
      </c>
      <c r="AJ92" s="129" t="n">
        <v>0</v>
      </c>
      <c r="AK92" s="129" t="n">
        <v>0</v>
      </c>
      <c r="AL92" s="129" t="n">
        <v>0</v>
      </c>
      <c r="AM92" s="129" t="n">
        <v>0</v>
      </c>
      <c r="AN92" s="128"/>
      <c r="AO92" s="128"/>
      <c r="AP92" s="126" t="s">
        <v>138</v>
      </c>
      <c r="AQ92" s="126" t="s">
        <v>139</v>
      </c>
      <c r="AR92" s="126" t="s">
        <v>140</v>
      </c>
      <c r="AS92" s="128"/>
      <c r="AT92" s="130"/>
    </row>
    <row r="93" customFormat="false" ht="12.75" hidden="false" customHeight="true" outlineLevel="0" collapsed="false">
      <c r="B93" s="122" t="n">
        <f aca="false">B92+1</f>
        <v>90</v>
      </c>
      <c r="C93" s="123" t="s">
        <v>299</v>
      </c>
      <c r="D93" s="124" t="n">
        <v>21451</v>
      </c>
      <c r="E93" s="124" t="str">
        <f aca="false">IF(D93="","",IFERROR(VLOOKUP(D93,CCN_Library!$A$4:$B$13,2,FALSE()),"NOT IN LIBRARY"))</f>
        <v>AUTOMOTIVE ORGANIZATIONAL SHOP</v>
      </c>
      <c r="F93" s="125" t="str">
        <f aca="false">LEFT(H93,6)</f>
        <v>M28261</v>
      </c>
      <c r="G93" s="126" t="s">
        <v>128</v>
      </c>
      <c r="H93" s="126" t="s">
        <v>322</v>
      </c>
      <c r="I93" s="126" t="s">
        <v>301</v>
      </c>
      <c r="J93" s="126" t="s">
        <v>320</v>
      </c>
      <c r="K93" s="127" t="s">
        <v>302</v>
      </c>
      <c r="L93" s="126" t="s">
        <v>302</v>
      </c>
      <c r="M93" s="126" t="s">
        <v>148</v>
      </c>
      <c r="N93" s="126" t="s">
        <v>128</v>
      </c>
      <c r="O93" s="126" t="s">
        <v>135</v>
      </c>
      <c r="P93" s="126" t="s">
        <v>135</v>
      </c>
      <c r="Q93" s="128"/>
      <c r="R93" s="126" t="s">
        <v>136</v>
      </c>
      <c r="S93" s="126" t="s">
        <v>148</v>
      </c>
      <c r="T93" s="128"/>
      <c r="U93" s="129" t="n">
        <v>0</v>
      </c>
      <c r="V93" s="129" t="n">
        <v>1</v>
      </c>
      <c r="W93" s="129" t="n">
        <v>0</v>
      </c>
      <c r="X93" s="129" t="n">
        <v>0</v>
      </c>
      <c r="Y93" s="129" t="n">
        <v>0</v>
      </c>
      <c r="Z93" s="129" t="n">
        <v>0</v>
      </c>
      <c r="AA93" s="129" t="n">
        <v>0</v>
      </c>
      <c r="AB93" s="129" t="n">
        <v>0</v>
      </c>
      <c r="AC93" s="129" t="n">
        <v>0</v>
      </c>
      <c r="AD93" s="129" t="n">
        <v>0</v>
      </c>
      <c r="AE93" s="129" t="n">
        <v>0</v>
      </c>
      <c r="AF93" s="129" t="n">
        <v>0</v>
      </c>
      <c r="AG93" s="129" t="n">
        <v>0</v>
      </c>
      <c r="AH93" s="129" t="n">
        <v>0</v>
      </c>
      <c r="AI93" s="129" t="n">
        <v>0</v>
      </c>
      <c r="AJ93" s="129" t="n">
        <v>0</v>
      </c>
      <c r="AK93" s="129" t="n">
        <v>0</v>
      </c>
      <c r="AL93" s="129" t="n">
        <v>0</v>
      </c>
      <c r="AM93" s="129" t="n">
        <v>0</v>
      </c>
      <c r="AN93" s="128"/>
      <c r="AO93" s="128"/>
      <c r="AP93" s="126" t="s">
        <v>138</v>
      </c>
      <c r="AQ93" s="126" t="s">
        <v>139</v>
      </c>
      <c r="AR93" s="126" t="s">
        <v>140</v>
      </c>
      <c r="AS93" s="128"/>
      <c r="AT93" s="130"/>
    </row>
    <row r="94" customFormat="false" ht="12.75" hidden="false" customHeight="true" outlineLevel="0" collapsed="false">
      <c r="B94" s="122" t="n">
        <f aca="false">B93+1</f>
        <v>91</v>
      </c>
      <c r="C94" s="123" t="s">
        <v>293</v>
      </c>
      <c r="D94" s="124" t="n">
        <v>21451</v>
      </c>
      <c r="E94" s="124" t="str">
        <f aca="false">IF(D94="","",IFERROR(VLOOKUP(D94,CCN_Library!$A$4:$B$13,2,FALSE()),"NOT IN LIBRARY"))</f>
        <v>AUTOMOTIVE ORGANIZATIONAL SHOP</v>
      </c>
      <c r="F94" s="125" t="str">
        <f aca="false">LEFT(H94,6)</f>
        <v>M28261</v>
      </c>
      <c r="G94" s="126" t="s">
        <v>128</v>
      </c>
      <c r="H94" s="126" t="s">
        <v>323</v>
      </c>
      <c r="I94" s="126" t="s">
        <v>324</v>
      </c>
      <c r="J94" s="126" t="s">
        <v>247</v>
      </c>
      <c r="K94" s="127" t="s">
        <v>325</v>
      </c>
      <c r="L94" s="126" t="s">
        <v>325</v>
      </c>
      <c r="M94" s="126" t="s">
        <v>148</v>
      </c>
      <c r="N94" s="126" t="s">
        <v>128</v>
      </c>
      <c r="O94" s="126" t="s">
        <v>135</v>
      </c>
      <c r="P94" s="126" t="s">
        <v>135</v>
      </c>
      <c r="Q94" s="128"/>
      <c r="R94" s="126" t="s">
        <v>136</v>
      </c>
      <c r="S94" s="126" t="s">
        <v>58</v>
      </c>
      <c r="T94" s="128"/>
      <c r="U94" s="129" t="n">
        <v>0</v>
      </c>
      <c r="V94" s="129" t="n">
        <v>1</v>
      </c>
      <c r="W94" s="129" t="n">
        <v>0</v>
      </c>
      <c r="X94" s="129" t="n">
        <v>0</v>
      </c>
      <c r="Y94" s="129" t="n">
        <v>0</v>
      </c>
      <c r="Z94" s="129" t="n">
        <v>0</v>
      </c>
      <c r="AA94" s="129" t="n">
        <v>0</v>
      </c>
      <c r="AB94" s="129" t="n">
        <v>0</v>
      </c>
      <c r="AC94" s="129" t="n">
        <v>0</v>
      </c>
      <c r="AD94" s="129" t="n">
        <v>0</v>
      </c>
      <c r="AE94" s="129" t="n">
        <v>0</v>
      </c>
      <c r="AF94" s="129" t="n">
        <v>0</v>
      </c>
      <c r="AG94" s="129" t="n">
        <v>0</v>
      </c>
      <c r="AH94" s="129" t="n">
        <v>0</v>
      </c>
      <c r="AI94" s="129" t="n">
        <v>0</v>
      </c>
      <c r="AJ94" s="129" t="n">
        <v>0</v>
      </c>
      <c r="AK94" s="129" t="n">
        <v>0</v>
      </c>
      <c r="AL94" s="129" t="n">
        <v>0</v>
      </c>
      <c r="AM94" s="129" t="n">
        <v>0</v>
      </c>
      <c r="AN94" s="128"/>
      <c r="AO94" s="128"/>
      <c r="AP94" s="126" t="s">
        <v>138</v>
      </c>
      <c r="AQ94" s="126" t="s">
        <v>139</v>
      </c>
      <c r="AR94" s="126" t="s">
        <v>140</v>
      </c>
      <c r="AS94" s="128"/>
      <c r="AT94" s="130"/>
    </row>
    <row r="95" customFormat="false" ht="12.75" hidden="false" customHeight="true" outlineLevel="0" collapsed="false">
      <c r="B95" s="122" t="n">
        <f aca="false">B94+1</f>
        <v>92</v>
      </c>
      <c r="C95" s="123" t="s">
        <v>299</v>
      </c>
      <c r="D95" s="124" t="n">
        <v>21451</v>
      </c>
      <c r="E95" s="124" t="str">
        <f aca="false">IF(D95="","",IFERROR(VLOOKUP(D95,CCN_Library!$A$4:$B$13,2,FALSE()),"NOT IN LIBRARY"))</f>
        <v>AUTOMOTIVE ORGANIZATIONAL SHOP</v>
      </c>
      <c r="F95" s="125" t="str">
        <f aca="false">LEFT(H95,6)</f>
        <v>M28261</v>
      </c>
      <c r="G95" s="126" t="s">
        <v>128</v>
      </c>
      <c r="H95" s="126" t="s">
        <v>326</v>
      </c>
      <c r="I95" s="126" t="s">
        <v>327</v>
      </c>
      <c r="J95" s="126" t="s">
        <v>171</v>
      </c>
      <c r="K95" s="127" t="s">
        <v>328</v>
      </c>
      <c r="L95" s="126" t="s">
        <v>328</v>
      </c>
      <c r="M95" s="126" t="s">
        <v>148</v>
      </c>
      <c r="N95" s="126" t="s">
        <v>128</v>
      </c>
      <c r="O95" s="126" t="s">
        <v>135</v>
      </c>
      <c r="P95" s="126" t="s">
        <v>135</v>
      </c>
      <c r="Q95" s="128"/>
      <c r="R95" s="126" t="s">
        <v>136</v>
      </c>
      <c r="S95" s="126" t="s">
        <v>148</v>
      </c>
      <c r="T95" s="128"/>
      <c r="U95" s="129" t="n">
        <v>0</v>
      </c>
      <c r="V95" s="129" t="n">
        <v>1</v>
      </c>
      <c r="W95" s="129" t="n">
        <v>0</v>
      </c>
      <c r="X95" s="129" t="n">
        <v>0</v>
      </c>
      <c r="Y95" s="129" t="n">
        <v>0</v>
      </c>
      <c r="Z95" s="129" t="n">
        <v>0</v>
      </c>
      <c r="AA95" s="129" t="n">
        <v>0</v>
      </c>
      <c r="AB95" s="129" t="n">
        <v>0</v>
      </c>
      <c r="AC95" s="129" t="n">
        <v>0</v>
      </c>
      <c r="AD95" s="129" t="n">
        <v>0</v>
      </c>
      <c r="AE95" s="129" t="n">
        <v>0</v>
      </c>
      <c r="AF95" s="129" t="n">
        <v>0</v>
      </c>
      <c r="AG95" s="129" t="n">
        <v>0</v>
      </c>
      <c r="AH95" s="129" t="n">
        <v>0</v>
      </c>
      <c r="AI95" s="129" t="n">
        <v>0</v>
      </c>
      <c r="AJ95" s="129" t="n">
        <v>0</v>
      </c>
      <c r="AK95" s="129" t="n">
        <v>0</v>
      </c>
      <c r="AL95" s="129" t="n">
        <v>0</v>
      </c>
      <c r="AM95" s="129" t="n">
        <v>0</v>
      </c>
      <c r="AN95" s="128"/>
      <c r="AO95" s="128"/>
      <c r="AP95" s="126" t="s">
        <v>138</v>
      </c>
      <c r="AQ95" s="126" t="s">
        <v>139</v>
      </c>
      <c r="AR95" s="126" t="s">
        <v>140</v>
      </c>
      <c r="AS95" s="128"/>
      <c r="AT95" s="130"/>
    </row>
    <row r="96" customFormat="false" ht="12.75" hidden="false" customHeight="true" outlineLevel="0" collapsed="false">
      <c r="B96" s="131" t="n">
        <f aca="false">B95+1</f>
        <v>93</v>
      </c>
      <c r="C96" s="132" t="s">
        <v>293</v>
      </c>
      <c r="D96" s="133" t="n">
        <v>21451</v>
      </c>
      <c r="E96" s="133"/>
      <c r="F96" s="134" t="str">
        <f aca="false">LEFT(H96,6)</f>
        <v>M28261</v>
      </c>
      <c r="G96" s="135" t="s">
        <v>177</v>
      </c>
      <c r="H96" s="135" t="s">
        <v>329</v>
      </c>
      <c r="I96" s="135" t="s">
        <v>330</v>
      </c>
      <c r="J96" s="136"/>
      <c r="K96" s="136"/>
      <c r="L96" s="136"/>
      <c r="M96" s="136"/>
      <c r="N96" s="136"/>
      <c r="O96" s="136"/>
      <c r="P96" s="136"/>
      <c r="Q96" s="136"/>
      <c r="R96" s="136"/>
      <c r="S96" s="136"/>
      <c r="T96" s="136"/>
      <c r="U96" s="137" t="n">
        <v>0</v>
      </c>
      <c r="V96" s="137" t="n">
        <v>0</v>
      </c>
      <c r="W96" s="137" t="n">
        <v>0</v>
      </c>
      <c r="X96" s="137" t="n">
        <v>0</v>
      </c>
      <c r="Y96" s="137" t="n">
        <v>0</v>
      </c>
      <c r="Z96" s="137" t="n">
        <v>0</v>
      </c>
      <c r="AA96" s="137" t="n">
        <v>0</v>
      </c>
      <c r="AB96" s="137" t="n">
        <v>0</v>
      </c>
      <c r="AC96" s="137" t="n">
        <v>0</v>
      </c>
      <c r="AD96" s="137" t="n">
        <v>0</v>
      </c>
      <c r="AE96" s="137" t="n">
        <v>0</v>
      </c>
      <c r="AF96" s="137" t="n">
        <v>0</v>
      </c>
      <c r="AG96" s="137" t="n">
        <v>0</v>
      </c>
      <c r="AH96" s="137" t="n">
        <v>0</v>
      </c>
      <c r="AI96" s="137" t="n">
        <v>0</v>
      </c>
      <c r="AJ96" s="137" t="n">
        <v>0</v>
      </c>
      <c r="AK96" s="137" t="n">
        <v>0</v>
      </c>
      <c r="AL96" s="137" t="n">
        <v>0</v>
      </c>
      <c r="AM96" s="137" t="n">
        <v>0</v>
      </c>
      <c r="AN96" s="136"/>
      <c r="AO96" s="136"/>
      <c r="AP96" s="136"/>
      <c r="AQ96" s="136"/>
      <c r="AR96" s="136"/>
      <c r="AS96" s="136"/>
      <c r="AT96" s="138"/>
    </row>
    <row r="97" customFormat="false" ht="12.75" hidden="false" customHeight="true" outlineLevel="0" collapsed="false">
      <c r="B97" s="122" t="n">
        <f aca="false">B96+1</f>
        <v>94</v>
      </c>
      <c r="C97" s="123" t="s">
        <v>299</v>
      </c>
      <c r="D97" s="124" t="n">
        <v>21451</v>
      </c>
      <c r="E97" s="124" t="str">
        <f aca="false">IF(D97="","",IFERROR(VLOOKUP(D97,CCN_Library!$A$4:$B$13,2,FALSE()),"NOT IN LIBRARY"))</f>
        <v>AUTOMOTIVE ORGANIZATIONAL SHOP</v>
      </c>
      <c r="F97" s="125" t="str">
        <f aca="false">LEFT(H97,6)</f>
        <v>M28261</v>
      </c>
      <c r="G97" s="126" t="s">
        <v>128</v>
      </c>
      <c r="H97" s="126" t="s">
        <v>331</v>
      </c>
      <c r="I97" s="126" t="s">
        <v>332</v>
      </c>
      <c r="J97" s="126" t="s">
        <v>171</v>
      </c>
      <c r="K97" s="127" t="s">
        <v>302</v>
      </c>
      <c r="L97" s="126" t="s">
        <v>302</v>
      </c>
      <c r="M97" s="126" t="s">
        <v>148</v>
      </c>
      <c r="N97" s="126" t="s">
        <v>128</v>
      </c>
      <c r="O97" s="126" t="s">
        <v>135</v>
      </c>
      <c r="P97" s="126" t="s">
        <v>135</v>
      </c>
      <c r="Q97" s="128"/>
      <c r="R97" s="126" t="s">
        <v>136</v>
      </c>
      <c r="S97" s="126" t="s">
        <v>148</v>
      </c>
      <c r="T97" s="128"/>
      <c r="U97" s="129" t="n">
        <v>0</v>
      </c>
      <c r="V97" s="129" t="n">
        <v>1</v>
      </c>
      <c r="W97" s="129" t="n">
        <v>0</v>
      </c>
      <c r="X97" s="129" t="n">
        <v>0</v>
      </c>
      <c r="Y97" s="129" t="n">
        <v>0</v>
      </c>
      <c r="Z97" s="129" t="n">
        <v>0</v>
      </c>
      <c r="AA97" s="129" t="n">
        <v>0</v>
      </c>
      <c r="AB97" s="129" t="n">
        <v>0</v>
      </c>
      <c r="AC97" s="129" t="n">
        <v>0</v>
      </c>
      <c r="AD97" s="129" t="n">
        <v>0</v>
      </c>
      <c r="AE97" s="129" t="n">
        <v>0</v>
      </c>
      <c r="AF97" s="129" t="n">
        <v>0</v>
      </c>
      <c r="AG97" s="129" t="n">
        <v>0</v>
      </c>
      <c r="AH97" s="129" t="n">
        <v>0</v>
      </c>
      <c r="AI97" s="129" t="n">
        <v>0</v>
      </c>
      <c r="AJ97" s="129" t="n">
        <v>0</v>
      </c>
      <c r="AK97" s="129" t="n">
        <v>0</v>
      </c>
      <c r="AL97" s="129" t="n">
        <v>0</v>
      </c>
      <c r="AM97" s="129" t="n">
        <v>0</v>
      </c>
      <c r="AN97" s="128"/>
      <c r="AO97" s="128"/>
      <c r="AP97" s="126" t="s">
        <v>138</v>
      </c>
      <c r="AQ97" s="126" t="s">
        <v>139</v>
      </c>
      <c r="AR97" s="126" t="s">
        <v>140</v>
      </c>
      <c r="AS97" s="128"/>
      <c r="AT97" s="130"/>
    </row>
    <row r="98" customFormat="false" ht="12.75" hidden="false" customHeight="true" outlineLevel="0" collapsed="false">
      <c r="B98" s="122" t="n">
        <f aca="false">B97+1</f>
        <v>95</v>
      </c>
      <c r="C98" s="123" t="s">
        <v>299</v>
      </c>
      <c r="D98" s="124" t="n">
        <v>21451</v>
      </c>
      <c r="E98" s="124" t="str">
        <f aca="false">IF(D98="","",IFERROR(VLOOKUP(D98,CCN_Library!$A$4:$B$13,2,FALSE()),"NOT IN LIBRARY"))</f>
        <v>AUTOMOTIVE ORGANIZATIONAL SHOP</v>
      </c>
      <c r="F98" s="125" t="str">
        <f aca="false">LEFT(H98,6)</f>
        <v>M28261</v>
      </c>
      <c r="G98" s="126" t="s">
        <v>128</v>
      </c>
      <c r="H98" s="126" t="s">
        <v>333</v>
      </c>
      <c r="I98" s="126" t="s">
        <v>332</v>
      </c>
      <c r="J98" s="126" t="s">
        <v>171</v>
      </c>
      <c r="K98" s="127" t="s">
        <v>302</v>
      </c>
      <c r="L98" s="126" t="s">
        <v>302</v>
      </c>
      <c r="M98" s="126" t="s">
        <v>148</v>
      </c>
      <c r="N98" s="126" t="s">
        <v>128</v>
      </c>
      <c r="O98" s="126" t="s">
        <v>135</v>
      </c>
      <c r="P98" s="126" t="s">
        <v>135</v>
      </c>
      <c r="Q98" s="128"/>
      <c r="R98" s="126" t="s">
        <v>136</v>
      </c>
      <c r="S98" s="126" t="s">
        <v>148</v>
      </c>
      <c r="T98" s="128"/>
      <c r="U98" s="129" t="n">
        <v>0</v>
      </c>
      <c r="V98" s="129" t="n">
        <v>1</v>
      </c>
      <c r="W98" s="129" t="n">
        <v>0</v>
      </c>
      <c r="X98" s="129" t="n">
        <v>0</v>
      </c>
      <c r="Y98" s="129" t="n">
        <v>0</v>
      </c>
      <c r="Z98" s="129" t="n">
        <v>0</v>
      </c>
      <c r="AA98" s="129" t="n">
        <v>0</v>
      </c>
      <c r="AB98" s="129" t="n">
        <v>0</v>
      </c>
      <c r="AC98" s="129" t="n">
        <v>0</v>
      </c>
      <c r="AD98" s="129" t="n">
        <v>0</v>
      </c>
      <c r="AE98" s="129" t="n">
        <v>0</v>
      </c>
      <c r="AF98" s="129" t="n">
        <v>0</v>
      </c>
      <c r="AG98" s="129" t="n">
        <v>0</v>
      </c>
      <c r="AH98" s="129" t="n">
        <v>0</v>
      </c>
      <c r="AI98" s="129" t="n">
        <v>0</v>
      </c>
      <c r="AJ98" s="129" t="n">
        <v>0</v>
      </c>
      <c r="AK98" s="129" t="n">
        <v>0</v>
      </c>
      <c r="AL98" s="129" t="n">
        <v>0</v>
      </c>
      <c r="AM98" s="129" t="n">
        <v>0</v>
      </c>
      <c r="AN98" s="128"/>
      <c r="AO98" s="128"/>
      <c r="AP98" s="126" t="s">
        <v>138</v>
      </c>
      <c r="AQ98" s="126" t="s">
        <v>139</v>
      </c>
      <c r="AR98" s="126" t="s">
        <v>140</v>
      </c>
      <c r="AS98" s="128"/>
      <c r="AT98" s="130"/>
    </row>
    <row r="99" customFormat="false" ht="12.75" hidden="false" customHeight="true" outlineLevel="0" collapsed="false">
      <c r="B99" s="122" t="n">
        <f aca="false">B98+1</f>
        <v>96</v>
      </c>
      <c r="C99" s="123" t="s">
        <v>299</v>
      </c>
      <c r="D99" s="124" t="n">
        <v>21451</v>
      </c>
      <c r="E99" s="124" t="str">
        <f aca="false">IF(D99="","",IFERROR(VLOOKUP(D99,CCN_Library!$A$4:$B$13,2,FALSE()),"NOT IN LIBRARY"))</f>
        <v>AUTOMOTIVE ORGANIZATIONAL SHOP</v>
      </c>
      <c r="F99" s="125" t="str">
        <f aca="false">LEFT(H99,6)</f>
        <v>M28261</v>
      </c>
      <c r="G99" s="126" t="s">
        <v>128</v>
      </c>
      <c r="H99" s="126" t="s">
        <v>334</v>
      </c>
      <c r="I99" s="126" t="s">
        <v>332</v>
      </c>
      <c r="J99" s="126" t="s">
        <v>171</v>
      </c>
      <c r="K99" s="127" t="s">
        <v>302</v>
      </c>
      <c r="L99" s="126" t="s">
        <v>302</v>
      </c>
      <c r="M99" s="126" t="s">
        <v>148</v>
      </c>
      <c r="N99" s="126" t="s">
        <v>128</v>
      </c>
      <c r="O99" s="126" t="s">
        <v>135</v>
      </c>
      <c r="P99" s="126" t="s">
        <v>135</v>
      </c>
      <c r="Q99" s="128"/>
      <c r="R99" s="126" t="s">
        <v>136</v>
      </c>
      <c r="S99" s="126" t="s">
        <v>148</v>
      </c>
      <c r="T99" s="128"/>
      <c r="U99" s="129" t="n">
        <v>0</v>
      </c>
      <c r="V99" s="129" t="n">
        <v>1</v>
      </c>
      <c r="W99" s="129" t="n">
        <v>0</v>
      </c>
      <c r="X99" s="129" t="n">
        <v>0</v>
      </c>
      <c r="Y99" s="129" t="n">
        <v>0</v>
      </c>
      <c r="Z99" s="129" t="n">
        <v>0</v>
      </c>
      <c r="AA99" s="129" t="n">
        <v>0</v>
      </c>
      <c r="AB99" s="129" t="n">
        <v>0</v>
      </c>
      <c r="AC99" s="129" t="n">
        <v>0</v>
      </c>
      <c r="AD99" s="129" t="n">
        <v>0</v>
      </c>
      <c r="AE99" s="129" t="n">
        <v>0</v>
      </c>
      <c r="AF99" s="129" t="n">
        <v>0</v>
      </c>
      <c r="AG99" s="129" t="n">
        <v>0</v>
      </c>
      <c r="AH99" s="129" t="n">
        <v>0</v>
      </c>
      <c r="AI99" s="129" t="n">
        <v>0</v>
      </c>
      <c r="AJ99" s="129" t="n">
        <v>0</v>
      </c>
      <c r="AK99" s="129" t="n">
        <v>0</v>
      </c>
      <c r="AL99" s="129" t="n">
        <v>0</v>
      </c>
      <c r="AM99" s="129" t="n">
        <v>0</v>
      </c>
      <c r="AN99" s="128"/>
      <c r="AO99" s="128"/>
      <c r="AP99" s="126" t="s">
        <v>138</v>
      </c>
      <c r="AQ99" s="126" t="s">
        <v>139</v>
      </c>
      <c r="AR99" s="126" t="s">
        <v>140</v>
      </c>
      <c r="AS99" s="128"/>
      <c r="AT99" s="139"/>
    </row>
    <row r="100" customFormat="false" ht="12.75" hidden="false" customHeight="true" outlineLevel="0" collapsed="false">
      <c r="B100" s="122" t="n">
        <f aca="false">B99+1</f>
        <v>97</v>
      </c>
      <c r="C100" s="123" t="s">
        <v>299</v>
      </c>
      <c r="D100" s="124" t="n">
        <v>21451</v>
      </c>
      <c r="E100" s="124" t="str">
        <f aca="false">IF(D100="","",IFERROR(VLOOKUP(D100,CCN_Library!$A$4:$B$13,2,FALSE()),"NOT IN LIBRARY"))</f>
        <v>AUTOMOTIVE ORGANIZATIONAL SHOP</v>
      </c>
      <c r="F100" s="125" t="str">
        <f aca="false">LEFT(H100,6)</f>
        <v>M28261</v>
      </c>
      <c r="G100" s="126" t="s">
        <v>128</v>
      </c>
      <c r="H100" s="126" t="s">
        <v>335</v>
      </c>
      <c r="I100" s="126" t="s">
        <v>332</v>
      </c>
      <c r="J100" s="126" t="s">
        <v>171</v>
      </c>
      <c r="K100" s="127" t="s">
        <v>302</v>
      </c>
      <c r="L100" s="126" t="s">
        <v>302</v>
      </c>
      <c r="M100" s="126" t="s">
        <v>148</v>
      </c>
      <c r="N100" s="126" t="s">
        <v>128</v>
      </c>
      <c r="O100" s="126" t="s">
        <v>135</v>
      </c>
      <c r="P100" s="126" t="s">
        <v>135</v>
      </c>
      <c r="Q100" s="128"/>
      <c r="R100" s="126" t="s">
        <v>136</v>
      </c>
      <c r="S100" s="126" t="s">
        <v>148</v>
      </c>
      <c r="T100" s="128"/>
      <c r="U100" s="129" t="n">
        <v>0</v>
      </c>
      <c r="V100" s="129" t="n">
        <v>1</v>
      </c>
      <c r="W100" s="129" t="n">
        <v>0</v>
      </c>
      <c r="X100" s="129" t="n">
        <v>0</v>
      </c>
      <c r="Y100" s="129" t="n">
        <v>0</v>
      </c>
      <c r="Z100" s="129" t="n">
        <v>0</v>
      </c>
      <c r="AA100" s="129" t="n">
        <v>0</v>
      </c>
      <c r="AB100" s="129" t="n">
        <v>0</v>
      </c>
      <c r="AC100" s="129" t="n">
        <v>0</v>
      </c>
      <c r="AD100" s="129" t="n">
        <v>0</v>
      </c>
      <c r="AE100" s="129" t="n">
        <v>0</v>
      </c>
      <c r="AF100" s="129" t="n">
        <v>0</v>
      </c>
      <c r="AG100" s="129" t="n">
        <v>0</v>
      </c>
      <c r="AH100" s="129" t="n">
        <v>0</v>
      </c>
      <c r="AI100" s="129" t="n">
        <v>0</v>
      </c>
      <c r="AJ100" s="129" t="n">
        <v>0</v>
      </c>
      <c r="AK100" s="129" t="n">
        <v>0</v>
      </c>
      <c r="AL100" s="129" t="n">
        <v>0</v>
      </c>
      <c r="AM100" s="129" t="n">
        <v>0</v>
      </c>
      <c r="AN100" s="128"/>
      <c r="AO100" s="128"/>
      <c r="AP100" s="126" t="s">
        <v>138</v>
      </c>
      <c r="AQ100" s="126" t="s">
        <v>139</v>
      </c>
      <c r="AR100" s="126" t="s">
        <v>140</v>
      </c>
      <c r="AS100" s="128"/>
      <c r="AT100" s="130"/>
    </row>
    <row r="101" customFormat="false" ht="12.75" hidden="false" customHeight="true" outlineLevel="0" collapsed="false">
      <c r="B101" s="122" t="n">
        <f aca="false">B100+1</f>
        <v>98</v>
      </c>
      <c r="C101" s="123" t="s">
        <v>299</v>
      </c>
      <c r="D101" s="124" t="n">
        <v>21451</v>
      </c>
      <c r="E101" s="124" t="str">
        <f aca="false">IF(D101="","",IFERROR(VLOOKUP(D101,CCN_Library!$A$4:$B$13,2,FALSE()),"NOT IN LIBRARY"))</f>
        <v>AUTOMOTIVE ORGANIZATIONAL SHOP</v>
      </c>
      <c r="F101" s="125" t="str">
        <f aca="false">LEFT(H101,6)</f>
        <v>M28261</v>
      </c>
      <c r="G101" s="126" t="s">
        <v>128</v>
      </c>
      <c r="H101" s="126" t="s">
        <v>336</v>
      </c>
      <c r="I101" s="126" t="s">
        <v>332</v>
      </c>
      <c r="J101" s="126" t="s">
        <v>171</v>
      </c>
      <c r="K101" s="127" t="s">
        <v>302</v>
      </c>
      <c r="L101" s="126" t="s">
        <v>302</v>
      </c>
      <c r="M101" s="126" t="s">
        <v>148</v>
      </c>
      <c r="N101" s="126" t="s">
        <v>128</v>
      </c>
      <c r="O101" s="126" t="s">
        <v>135</v>
      </c>
      <c r="P101" s="126" t="s">
        <v>135</v>
      </c>
      <c r="Q101" s="128"/>
      <c r="R101" s="126" t="s">
        <v>136</v>
      </c>
      <c r="S101" s="126" t="s">
        <v>148</v>
      </c>
      <c r="T101" s="128"/>
      <c r="U101" s="129" t="n">
        <v>0</v>
      </c>
      <c r="V101" s="129" t="n">
        <v>1</v>
      </c>
      <c r="W101" s="129" t="n">
        <v>0</v>
      </c>
      <c r="X101" s="129" t="n">
        <v>0</v>
      </c>
      <c r="Y101" s="129" t="n">
        <v>0</v>
      </c>
      <c r="Z101" s="129" t="n">
        <v>0</v>
      </c>
      <c r="AA101" s="129" t="n">
        <v>0</v>
      </c>
      <c r="AB101" s="129" t="n">
        <v>0</v>
      </c>
      <c r="AC101" s="129" t="n">
        <v>0</v>
      </c>
      <c r="AD101" s="129" t="n">
        <v>0</v>
      </c>
      <c r="AE101" s="129" t="n">
        <v>0</v>
      </c>
      <c r="AF101" s="129" t="n">
        <v>0</v>
      </c>
      <c r="AG101" s="129" t="n">
        <v>0</v>
      </c>
      <c r="AH101" s="129" t="n">
        <v>0</v>
      </c>
      <c r="AI101" s="129" t="n">
        <v>0</v>
      </c>
      <c r="AJ101" s="129" t="n">
        <v>0</v>
      </c>
      <c r="AK101" s="129" t="n">
        <v>0</v>
      </c>
      <c r="AL101" s="129" t="n">
        <v>0</v>
      </c>
      <c r="AM101" s="129" t="n">
        <v>0</v>
      </c>
      <c r="AN101" s="128"/>
      <c r="AO101" s="128"/>
      <c r="AP101" s="126" t="s">
        <v>138</v>
      </c>
      <c r="AQ101" s="126" t="s">
        <v>139</v>
      </c>
      <c r="AR101" s="126" t="s">
        <v>140</v>
      </c>
      <c r="AS101" s="128"/>
      <c r="AT101" s="130"/>
    </row>
    <row r="102" customFormat="false" ht="12.75" hidden="false" customHeight="true" outlineLevel="0" collapsed="false">
      <c r="B102" s="122" t="n">
        <f aca="false">B101+1</f>
        <v>99</v>
      </c>
      <c r="C102" s="123" t="s">
        <v>299</v>
      </c>
      <c r="D102" s="124" t="n">
        <v>21451</v>
      </c>
      <c r="E102" s="124" t="str">
        <f aca="false">IF(D102="","",IFERROR(VLOOKUP(D102,CCN_Library!$A$4:$B$13,2,FALSE()),"NOT IN LIBRARY"))</f>
        <v>AUTOMOTIVE ORGANIZATIONAL SHOP</v>
      </c>
      <c r="F102" s="125" t="str">
        <f aca="false">LEFT(H102,6)</f>
        <v>M28261</v>
      </c>
      <c r="G102" s="126" t="s">
        <v>128</v>
      </c>
      <c r="H102" s="126" t="s">
        <v>337</v>
      </c>
      <c r="I102" s="126" t="s">
        <v>332</v>
      </c>
      <c r="J102" s="126" t="s">
        <v>171</v>
      </c>
      <c r="K102" s="127" t="s">
        <v>302</v>
      </c>
      <c r="L102" s="126" t="s">
        <v>302</v>
      </c>
      <c r="M102" s="126" t="s">
        <v>148</v>
      </c>
      <c r="N102" s="126" t="s">
        <v>128</v>
      </c>
      <c r="O102" s="126" t="s">
        <v>135</v>
      </c>
      <c r="P102" s="126" t="s">
        <v>135</v>
      </c>
      <c r="Q102" s="128"/>
      <c r="R102" s="126" t="s">
        <v>136</v>
      </c>
      <c r="S102" s="126" t="s">
        <v>148</v>
      </c>
      <c r="T102" s="128"/>
      <c r="U102" s="129" t="n">
        <v>0</v>
      </c>
      <c r="V102" s="129" t="n">
        <v>1</v>
      </c>
      <c r="W102" s="129" t="n">
        <v>0</v>
      </c>
      <c r="X102" s="129" t="n">
        <v>0</v>
      </c>
      <c r="Y102" s="129" t="n">
        <v>0</v>
      </c>
      <c r="Z102" s="129" t="n">
        <v>0</v>
      </c>
      <c r="AA102" s="129" t="n">
        <v>0</v>
      </c>
      <c r="AB102" s="129" t="n">
        <v>0</v>
      </c>
      <c r="AC102" s="129" t="n">
        <v>0</v>
      </c>
      <c r="AD102" s="129" t="n">
        <v>0</v>
      </c>
      <c r="AE102" s="129" t="n">
        <v>0</v>
      </c>
      <c r="AF102" s="129" t="n">
        <v>0</v>
      </c>
      <c r="AG102" s="129" t="n">
        <v>0</v>
      </c>
      <c r="AH102" s="129" t="n">
        <v>0</v>
      </c>
      <c r="AI102" s="129" t="n">
        <v>0</v>
      </c>
      <c r="AJ102" s="129" t="n">
        <v>0</v>
      </c>
      <c r="AK102" s="129" t="n">
        <v>0</v>
      </c>
      <c r="AL102" s="129" t="n">
        <v>0</v>
      </c>
      <c r="AM102" s="129" t="n">
        <v>0</v>
      </c>
      <c r="AN102" s="128"/>
      <c r="AO102" s="128"/>
      <c r="AP102" s="126" t="s">
        <v>138</v>
      </c>
      <c r="AQ102" s="126" t="s">
        <v>139</v>
      </c>
      <c r="AR102" s="126" t="s">
        <v>140</v>
      </c>
      <c r="AS102" s="128"/>
      <c r="AT102" s="130"/>
    </row>
    <row r="103" customFormat="false" ht="12.75" hidden="false" customHeight="true" outlineLevel="0" collapsed="false">
      <c r="B103" s="122" t="n">
        <f aca="false">B102+1</f>
        <v>100</v>
      </c>
      <c r="C103" s="123" t="s">
        <v>299</v>
      </c>
      <c r="D103" s="124" t="n">
        <v>21451</v>
      </c>
      <c r="E103" s="124" t="str">
        <f aca="false">IF(D103="","",IFERROR(VLOOKUP(D103,CCN_Library!$A$4:$B$13,2,FALSE()),"NOT IN LIBRARY"))</f>
        <v>AUTOMOTIVE ORGANIZATIONAL SHOP</v>
      </c>
      <c r="F103" s="125" t="str">
        <f aca="false">LEFT(H103,6)</f>
        <v>M28261</v>
      </c>
      <c r="G103" s="126" t="s">
        <v>128</v>
      </c>
      <c r="H103" s="126" t="s">
        <v>338</v>
      </c>
      <c r="I103" s="126" t="s">
        <v>332</v>
      </c>
      <c r="J103" s="126" t="s">
        <v>171</v>
      </c>
      <c r="K103" s="127" t="s">
        <v>302</v>
      </c>
      <c r="L103" s="126" t="s">
        <v>302</v>
      </c>
      <c r="M103" s="126" t="s">
        <v>148</v>
      </c>
      <c r="N103" s="126" t="s">
        <v>128</v>
      </c>
      <c r="O103" s="126" t="s">
        <v>135</v>
      </c>
      <c r="P103" s="126" t="s">
        <v>135</v>
      </c>
      <c r="Q103" s="128"/>
      <c r="R103" s="126" t="s">
        <v>136</v>
      </c>
      <c r="S103" s="126" t="s">
        <v>148</v>
      </c>
      <c r="T103" s="128"/>
      <c r="U103" s="129" t="n">
        <v>0</v>
      </c>
      <c r="V103" s="129" t="n">
        <v>1</v>
      </c>
      <c r="W103" s="129" t="n">
        <v>0</v>
      </c>
      <c r="X103" s="129" t="n">
        <v>0</v>
      </c>
      <c r="Y103" s="129" t="n">
        <v>0</v>
      </c>
      <c r="Z103" s="129" t="n">
        <v>0</v>
      </c>
      <c r="AA103" s="129" t="n">
        <v>0</v>
      </c>
      <c r="AB103" s="129" t="n">
        <v>0</v>
      </c>
      <c r="AC103" s="129" t="n">
        <v>0</v>
      </c>
      <c r="AD103" s="129" t="n">
        <v>0</v>
      </c>
      <c r="AE103" s="129" t="n">
        <v>0</v>
      </c>
      <c r="AF103" s="129" t="n">
        <v>0</v>
      </c>
      <c r="AG103" s="129" t="n">
        <v>0</v>
      </c>
      <c r="AH103" s="129" t="n">
        <v>0</v>
      </c>
      <c r="AI103" s="129" t="n">
        <v>0</v>
      </c>
      <c r="AJ103" s="129" t="n">
        <v>0</v>
      </c>
      <c r="AK103" s="129" t="n">
        <v>0</v>
      </c>
      <c r="AL103" s="129" t="n">
        <v>0</v>
      </c>
      <c r="AM103" s="129" t="n">
        <v>0</v>
      </c>
      <c r="AN103" s="128"/>
      <c r="AO103" s="128"/>
      <c r="AP103" s="126" t="s">
        <v>138</v>
      </c>
      <c r="AQ103" s="126" t="s">
        <v>139</v>
      </c>
      <c r="AR103" s="126" t="s">
        <v>140</v>
      </c>
      <c r="AS103" s="128"/>
      <c r="AT103" s="130"/>
    </row>
    <row r="104" customFormat="false" ht="12.75" hidden="false" customHeight="true" outlineLevel="0" collapsed="false">
      <c r="B104" s="122" t="n">
        <f aca="false">B103+1</f>
        <v>101</v>
      </c>
      <c r="C104" s="123" t="s">
        <v>299</v>
      </c>
      <c r="D104" s="124" t="n">
        <v>21451</v>
      </c>
      <c r="E104" s="124" t="str">
        <f aca="false">IF(D104="","",IFERROR(VLOOKUP(D104,CCN_Library!$A$4:$B$13,2,FALSE()),"NOT IN LIBRARY"))</f>
        <v>AUTOMOTIVE ORGANIZATIONAL SHOP</v>
      </c>
      <c r="F104" s="125" t="str">
        <f aca="false">LEFT(H104,6)</f>
        <v>M28261</v>
      </c>
      <c r="G104" s="126" t="s">
        <v>128</v>
      </c>
      <c r="H104" s="126" t="s">
        <v>339</v>
      </c>
      <c r="I104" s="126" t="s">
        <v>332</v>
      </c>
      <c r="J104" s="126" t="s">
        <v>171</v>
      </c>
      <c r="K104" s="127" t="s">
        <v>302</v>
      </c>
      <c r="L104" s="126" t="s">
        <v>302</v>
      </c>
      <c r="M104" s="126" t="s">
        <v>148</v>
      </c>
      <c r="N104" s="126" t="s">
        <v>128</v>
      </c>
      <c r="O104" s="126" t="s">
        <v>135</v>
      </c>
      <c r="P104" s="126" t="s">
        <v>135</v>
      </c>
      <c r="Q104" s="128"/>
      <c r="R104" s="126" t="s">
        <v>136</v>
      </c>
      <c r="S104" s="126" t="s">
        <v>148</v>
      </c>
      <c r="T104" s="128"/>
      <c r="U104" s="129" t="n">
        <v>0</v>
      </c>
      <c r="V104" s="129" t="n">
        <v>1</v>
      </c>
      <c r="W104" s="129" t="n">
        <v>0</v>
      </c>
      <c r="X104" s="129" t="n">
        <v>0</v>
      </c>
      <c r="Y104" s="129" t="n">
        <v>0</v>
      </c>
      <c r="Z104" s="129" t="n">
        <v>0</v>
      </c>
      <c r="AA104" s="129" t="n">
        <v>0</v>
      </c>
      <c r="AB104" s="129" t="n">
        <v>0</v>
      </c>
      <c r="AC104" s="129" t="n">
        <v>0</v>
      </c>
      <c r="AD104" s="129" t="n">
        <v>0</v>
      </c>
      <c r="AE104" s="129" t="n">
        <v>0</v>
      </c>
      <c r="AF104" s="129" t="n">
        <v>0</v>
      </c>
      <c r="AG104" s="129" t="n">
        <v>0</v>
      </c>
      <c r="AH104" s="129" t="n">
        <v>0</v>
      </c>
      <c r="AI104" s="129" t="n">
        <v>0</v>
      </c>
      <c r="AJ104" s="129" t="n">
        <v>0</v>
      </c>
      <c r="AK104" s="129" t="n">
        <v>0</v>
      </c>
      <c r="AL104" s="129" t="n">
        <v>0</v>
      </c>
      <c r="AM104" s="129" t="n">
        <v>0</v>
      </c>
      <c r="AN104" s="128"/>
      <c r="AO104" s="128"/>
      <c r="AP104" s="126" t="s">
        <v>138</v>
      </c>
      <c r="AQ104" s="126" t="s">
        <v>139</v>
      </c>
      <c r="AR104" s="126" t="s">
        <v>140</v>
      </c>
      <c r="AS104" s="128"/>
      <c r="AT104" s="130"/>
    </row>
    <row r="105" customFormat="false" ht="12.75" hidden="false" customHeight="true" outlineLevel="0" collapsed="false">
      <c r="B105" s="122" t="n">
        <f aca="false">B104+1</f>
        <v>102</v>
      </c>
      <c r="C105" s="123" t="s">
        <v>299</v>
      </c>
      <c r="D105" s="124" t="n">
        <v>21451</v>
      </c>
      <c r="E105" s="124" t="str">
        <f aca="false">IF(D105="","",IFERROR(VLOOKUP(D105,CCN_Library!$A$4:$B$13,2,FALSE()),"NOT IN LIBRARY"))</f>
        <v>AUTOMOTIVE ORGANIZATIONAL SHOP</v>
      </c>
      <c r="F105" s="125" t="str">
        <f aca="false">LEFT(H105,6)</f>
        <v>M28261</v>
      </c>
      <c r="G105" s="126" t="s">
        <v>128</v>
      </c>
      <c r="H105" s="126" t="s">
        <v>340</v>
      </c>
      <c r="I105" s="126" t="s">
        <v>332</v>
      </c>
      <c r="J105" s="126" t="s">
        <v>171</v>
      </c>
      <c r="K105" s="127" t="s">
        <v>302</v>
      </c>
      <c r="L105" s="126" t="s">
        <v>302</v>
      </c>
      <c r="M105" s="126" t="s">
        <v>148</v>
      </c>
      <c r="N105" s="126" t="s">
        <v>128</v>
      </c>
      <c r="O105" s="126" t="s">
        <v>135</v>
      </c>
      <c r="P105" s="126" t="s">
        <v>135</v>
      </c>
      <c r="Q105" s="128"/>
      <c r="R105" s="126" t="s">
        <v>136</v>
      </c>
      <c r="S105" s="126" t="s">
        <v>148</v>
      </c>
      <c r="T105" s="128"/>
      <c r="U105" s="129" t="n">
        <v>0</v>
      </c>
      <c r="V105" s="129" t="n">
        <v>1</v>
      </c>
      <c r="W105" s="129" t="n">
        <v>0</v>
      </c>
      <c r="X105" s="129" t="n">
        <v>0</v>
      </c>
      <c r="Y105" s="129" t="n">
        <v>0</v>
      </c>
      <c r="Z105" s="129" t="n">
        <v>0</v>
      </c>
      <c r="AA105" s="129" t="n">
        <v>0</v>
      </c>
      <c r="AB105" s="129" t="n">
        <v>0</v>
      </c>
      <c r="AC105" s="129" t="n">
        <v>0</v>
      </c>
      <c r="AD105" s="129" t="n">
        <v>0</v>
      </c>
      <c r="AE105" s="129" t="n">
        <v>0</v>
      </c>
      <c r="AF105" s="129" t="n">
        <v>0</v>
      </c>
      <c r="AG105" s="129" t="n">
        <v>0</v>
      </c>
      <c r="AH105" s="129" t="n">
        <v>0</v>
      </c>
      <c r="AI105" s="129" t="n">
        <v>0</v>
      </c>
      <c r="AJ105" s="129" t="n">
        <v>0</v>
      </c>
      <c r="AK105" s="129" t="n">
        <v>0</v>
      </c>
      <c r="AL105" s="129" t="n">
        <v>0</v>
      </c>
      <c r="AM105" s="129" t="n">
        <v>0</v>
      </c>
      <c r="AN105" s="128"/>
      <c r="AO105" s="128"/>
      <c r="AP105" s="126" t="s">
        <v>138</v>
      </c>
      <c r="AQ105" s="126" t="s">
        <v>139</v>
      </c>
      <c r="AR105" s="126" t="s">
        <v>140</v>
      </c>
      <c r="AS105" s="128"/>
      <c r="AT105" s="130"/>
    </row>
    <row r="106" customFormat="false" ht="12.75" hidden="false" customHeight="true" outlineLevel="0" collapsed="false">
      <c r="B106" s="131" t="n">
        <f aca="false">B105+1</f>
        <v>103</v>
      </c>
      <c r="C106" s="132" t="s">
        <v>293</v>
      </c>
      <c r="D106" s="133" t="n">
        <v>21451</v>
      </c>
      <c r="E106" s="133"/>
      <c r="F106" s="134" t="str">
        <f aca="false">LEFT(H106,6)</f>
        <v>M28261</v>
      </c>
      <c r="G106" s="135" t="s">
        <v>177</v>
      </c>
      <c r="H106" s="135" t="s">
        <v>341</v>
      </c>
      <c r="I106" s="135" t="s">
        <v>342</v>
      </c>
      <c r="J106" s="136"/>
      <c r="K106" s="136"/>
      <c r="L106" s="136"/>
      <c r="M106" s="136"/>
      <c r="N106" s="136"/>
      <c r="O106" s="136"/>
      <c r="P106" s="136"/>
      <c r="Q106" s="136"/>
      <c r="R106" s="136"/>
      <c r="S106" s="136"/>
      <c r="T106" s="136"/>
      <c r="U106" s="137" t="n">
        <v>0</v>
      </c>
      <c r="V106" s="137" t="n">
        <v>0</v>
      </c>
      <c r="W106" s="137" t="n">
        <v>0</v>
      </c>
      <c r="X106" s="137" t="n">
        <v>0</v>
      </c>
      <c r="Y106" s="137" t="n">
        <v>0</v>
      </c>
      <c r="Z106" s="137" t="n">
        <v>0</v>
      </c>
      <c r="AA106" s="137" t="n">
        <v>0</v>
      </c>
      <c r="AB106" s="137" t="n">
        <v>0</v>
      </c>
      <c r="AC106" s="137" t="n">
        <v>0</v>
      </c>
      <c r="AD106" s="137" t="n">
        <v>0</v>
      </c>
      <c r="AE106" s="137" t="n">
        <v>0</v>
      </c>
      <c r="AF106" s="137" t="n">
        <v>0</v>
      </c>
      <c r="AG106" s="137" t="n">
        <v>0</v>
      </c>
      <c r="AH106" s="137" t="n">
        <v>0</v>
      </c>
      <c r="AI106" s="137" t="n">
        <v>0</v>
      </c>
      <c r="AJ106" s="137" t="n">
        <v>0</v>
      </c>
      <c r="AK106" s="137" t="n">
        <v>0</v>
      </c>
      <c r="AL106" s="137" t="n">
        <v>0</v>
      </c>
      <c r="AM106" s="137" t="n">
        <v>0</v>
      </c>
      <c r="AN106" s="136"/>
      <c r="AO106" s="136"/>
      <c r="AP106" s="136"/>
      <c r="AQ106" s="136"/>
      <c r="AR106" s="136"/>
      <c r="AS106" s="136"/>
      <c r="AT106" s="138"/>
    </row>
    <row r="107" customFormat="false" ht="12.75" hidden="false" customHeight="true" outlineLevel="0" collapsed="false">
      <c r="B107" s="122" t="n">
        <f aca="false">B106+1</f>
        <v>104</v>
      </c>
      <c r="C107" s="123" t="s">
        <v>293</v>
      </c>
      <c r="D107" s="124" t="n">
        <v>21451</v>
      </c>
      <c r="E107" s="124" t="str">
        <f aca="false">IF(D107="","",IFERROR(VLOOKUP(D107,CCN_Library!$A$4:$B$13,2,FALSE()),"NOT IN LIBRARY"))</f>
        <v>AUTOMOTIVE ORGANIZATIONAL SHOP</v>
      </c>
      <c r="F107" s="125" t="str">
        <f aca="false">LEFT(H107,6)</f>
        <v>M28261</v>
      </c>
      <c r="G107" s="126" t="s">
        <v>128</v>
      </c>
      <c r="H107" s="126" t="s">
        <v>343</v>
      </c>
      <c r="I107" s="126" t="s">
        <v>344</v>
      </c>
      <c r="J107" s="126" t="s">
        <v>284</v>
      </c>
      <c r="K107" s="127" t="s">
        <v>345</v>
      </c>
      <c r="L107" s="126" t="s">
        <v>345</v>
      </c>
      <c r="M107" s="126" t="s">
        <v>148</v>
      </c>
      <c r="N107" s="126" t="s">
        <v>128</v>
      </c>
      <c r="O107" s="126" t="s">
        <v>135</v>
      </c>
      <c r="P107" s="126" t="s">
        <v>135</v>
      </c>
      <c r="Q107" s="128"/>
      <c r="R107" s="126" t="s">
        <v>136</v>
      </c>
      <c r="S107" s="126" t="s">
        <v>58</v>
      </c>
      <c r="T107" s="128"/>
      <c r="U107" s="129" t="n">
        <v>0</v>
      </c>
      <c r="V107" s="129" t="n">
        <v>1</v>
      </c>
      <c r="W107" s="129" t="n">
        <v>0</v>
      </c>
      <c r="X107" s="129" t="n">
        <v>0</v>
      </c>
      <c r="Y107" s="129" t="n">
        <v>0</v>
      </c>
      <c r="Z107" s="129" t="n">
        <v>0</v>
      </c>
      <c r="AA107" s="129" t="n">
        <v>0</v>
      </c>
      <c r="AB107" s="129" t="n">
        <v>0</v>
      </c>
      <c r="AC107" s="129" t="n">
        <v>0</v>
      </c>
      <c r="AD107" s="129" t="n">
        <v>0</v>
      </c>
      <c r="AE107" s="129" t="n">
        <v>0</v>
      </c>
      <c r="AF107" s="129" t="n">
        <v>0</v>
      </c>
      <c r="AG107" s="129" t="n">
        <v>0</v>
      </c>
      <c r="AH107" s="129" t="n">
        <v>0</v>
      </c>
      <c r="AI107" s="129" t="n">
        <v>0</v>
      </c>
      <c r="AJ107" s="129" t="n">
        <v>0</v>
      </c>
      <c r="AK107" s="129" t="n">
        <v>0</v>
      </c>
      <c r="AL107" s="129" t="n">
        <v>0</v>
      </c>
      <c r="AM107" s="129" t="n">
        <v>0</v>
      </c>
      <c r="AN107" s="128"/>
      <c r="AO107" s="128"/>
      <c r="AP107" s="126" t="s">
        <v>138</v>
      </c>
      <c r="AQ107" s="126" t="s">
        <v>139</v>
      </c>
      <c r="AR107" s="126" t="s">
        <v>140</v>
      </c>
      <c r="AS107" s="128"/>
      <c r="AT107" s="130"/>
    </row>
    <row r="108" customFormat="false" ht="12.75" hidden="false" customHeight="true" outlineLevel="0" collapsed="false">
      <c r="B108" s="122" t="n">
        <f aca="false">B107+1</f>
        <v>105</v>
      </c>
      <c r="C108" s="123" t="s">
        <v>299</v>
      </c>
      <c r="D108" s="124" t="n">
        <v>21451</v>
      </c>
      <c r="E108" s="124" t="str">
        <f aca="false">IF(D108="","",IFERROR(VLOOKUP(D108,CCN_Library!$A$4:$B$13,2,FALSE()),"NOT IN LIBRARY"))</f>
        <v>AUTOMOTIVE ORGANIZATIONAL SHOP</v>
      </c>
      <c r="F108" s="125" t="str">
        <f aca="false">LEFT(H108,6)</f>
        <v>M28261</v>
      </c>
      <c r="G108" s="126" t="s">
        <v>128</v>
      </c>
      <c r="H108" s="126" t="s">
        <v>346</v>
      </c>
      <c r="I108" s="126" t="s">
        <v>347</v>
      </c>
      <c r="J108" s="126" t="s">
        <v>253</v>
      </c>
      <c r="K108" s="127" t="s">
        <v>348</v>
      </c>
      <c r="L108" s="126" t="s">
        <v>348</v>
      </c>
      <c r="M108" s="126" t="s">
        <v>148</v>
      </c>
      <c r="N108" s="126" t="s">
        <v>128</v>
      </c>
      <c r="O108" s="126" t="s">
        <v>135</v>
      </c>
      <c r="P108" s="126" t="s">
        <v>135</v>
      </c>
      <c r="Q108" s="128"/>
      <c r="R108" s="126" t="s">
        <v>136</v>
      </c>
      <c r="S108" s="126" t="s">
        <v>148</v>
      </c>
      <c r="T108" s="128"/>
      <c r="U108" s="129" t="n">
        <v>0</v>
      </c>
      <c r="V108" s="129" t="n">
        <v>1</v>
      </c>
      <c r="W108" s="129" t="n">
        <v>0</v>
      </c>
      <c r="X108" s="129" t="n">
        <v>0</v>
      </c>
      <c r="Y108" s="129" t="n">
        <v>0</v>
      </c>
      <c r="Z108" s="129" t="n">
        <v>0</v>
      </c>
      <c r="AA108" s="129" t="n">
        <v>0</v>
      </c>
      <c r="AB108" s="129" t="n">
        <v>0</v>
      </c>
      <c r="AC108" s="129" t="n">
        <v>0</v>
      </c>
      <c r="AD108" s="129" t="n">
        <v>0</v>
      </c>
      <c r="AE108" s="129" t="n">
        <v>0</v>
      </c>
      <c r="AF108" s="129" t="n">
        <v>0</v>
      </c>
      <c r="AG108" s="129" t="n">
        <v>0</v>
      </c>
      <c r="AH108" s="129" t="n">
        <v>0</v>
      </c>
      <c r="AI108" s="129" t="n">
        <v>0</v>
      </c>
      <c r="AJ108" s="129" t="n">
        <v>0</v>
      </c>
      <c r="AK108" s="129" t="n">
        <v>0</v>
      </c>
      <c r="AL108" s="129" t="n">
        <v>0</v>
      </c>
      <c r="AM108" s="129" t="n">
        <v>0</v>
      </c>
      <c r="AN108" s="128"/>
      <c r="AO108" s="128"/>
      <c r="AP108" s="126" t="s">
        <v>138</v>
      </c>
      <c r="AQ108" s="126" t="s">
        <v>139</v>
      </c>
      <c r="AR108" s="126" t="s">
        <v>140</v>
      </c>
      <c r="AS108" s="128"/>
      <c r="AT108" s="130"/>
    </row>
    <row r="109" customFormat="false" ht="12.75" hidden="false" customHeight="true" outlineLevel="0" collapsed="false">
      <c r="B109" s="122" t="n">
        <f aca="false">B108+1</f>
        <v>106</v>
      </c>
      <c r="C109" s="123" t="s">
        <v>299</v>
      </c>
      <c r="D109" s="124" t="n">
        <v>21451</v>
      </c>
      <c r="E109" s="124" t="str">
        <f aca="false">IF(D109="","",IFERROR(VLOOKUP(D109,CCN_Library!$A$4:$B$13,2,FALSE()),"NOT IN LIBRARY"))</f>
        <v>AUTOMOTIVE ORGANIZATIONAL SHOP</v>
      </c>
      <c r="F109" s="125" t="str">
        <f aca="false">LEFT(H109,6)</f>
        <v>M28261</v>
      </c>
      <c r="G109" s="126" t="s">
        <v>128</v>
      </c>
      <c r="H109" s="126" t="s">
        <v>349</v>
      </c>
      <c r="I109" s="126" t="s">
        <v>350</v>
      </c>
      <c r="J109" s="126" t="s">
        <v>256</v>
      </c>
      <c r="K109" s="127" t="s">
        <v>351</v>
      </c>
      <c r="L109" s="126" t="s">
        <v>351</v>
      </c>
      <c r="M109" s="126" t="s">
        <v>148</v>
      </c>
      <c r="N109" s="126" t="s">
        <v>128</v>
      </c>
      <c r="O109" s="126" t="s">
        <v>135</v>
      </c>
      <c r="P109" s="126" t="s">
        <v>135</v>
      </c>
      <c r="Q109" s="128"/>
      <c r="R109" s="126" t="s">
        <v>136</v>
      </c>
      <c r="S109" s="126" t="s">
        <v>148</v>
      </c>
      <c r="T109" s="128"/>
      <c r="U109" s="129" t="n">
        <v>0</v>
      </c>
      <c r="V109" s="129" t="n">
        <v>1</v>
      </c>
      <c r="W109" s="129" t="n">
        <v>0</v>
      </c>
      <c r="X109" s="129" t="n">
        <v>0</v>
      </c>
      <c r="Y109" s="129" t="n">
        <v>0</v>
      </c>
      <c r="Z109" s="129" t="n">
        <v>0</v>
      </c>
      <c r="AA109" s="129" t="n">
        <v>0</v>
      </c>
      <c r="AB109" s="129" t="n">
        <v>0</v>
      </c>
      <c r="AC109" s="129" t="n">
        <v>0</v>
      </c>
      <c r="AD109" s="129" t="n">
        <v>0</v>
      </c>
      <c r="AE109" s="129" t="n">
        <v>0</v>
      </c>
      <c r="AF109" s="129" t="n">
        <v>0</v>
      </c>
      <c r="AG109" s="129" t="n">
        <v>0</v>
      </c>
      <c r="AH109" s="129" t="n">
        <v>0</v>
      </c>
      <c r="AI109" s="129" t="n">
        <v>0</v>
      </c>
      <c r="AJ109" s="129" t="n">
        <v>0</v>
      </c>
      <c r="AK109" s="129" t="n">
        <v>0</v>
      </c>
      <c r="AL109" s="129" t="n">
        <v>0</v>
      </c>
      <c r="AM109" s="129" t="n">
        <v>0</v>
      </c>
      <c r="AN109" s="128"/>
      <c r="AO109" s="128"/>
      <c r="AP109" s="126" t="s">
        <v>138</v>
      </c>
      <c r="AQ109" s="126" t="s">
        <v>139</v>
      </c>
      <c r="AR109" s="126" t="s">
        <v>140</v>
      </c>
      <c r="AS109" s="128"/>
      <c r="AT109" s="139"/>
    </row>
    <row r="110" customFormat="false" ht="12.75" hidden="false" customHeight="true" outlineLevel="0" collapsed="false">
      <c r="B110" s="122" t="n">
        <f aca="false">B109+1</f>
        <v>107</v>
      </c>
      <c r="C110" s="123" t="s">
        <v>299</v>
      </c>
      <c r="D110" s="124" t="n">
        <v>21451</v>
      </c>
      <c r="E110" s="124" t="str">
        <f aca="false">IF(D110="","",IFERROR(VLOOKUP(D110,CCN_Library!$A$4:$B$13,2,FALSE()),"NOT IN LIBRARY"))</f>
        <v>AUTOMOTIVE ORGANIZATIONAL SHOP</v>
      </c>
      <c r="F110" s="125" t="str">
        <f aca="false">LEFT(H110,6)</f>
        <v>M28261</v>
      </c>
      <c r="G110" s="126" t="s">
        <v>128</v>
      </c>
      <c r="H110" s="126" t="s">
        <v>352</v>
      </c>
      <c r="I110" s="126" t="s">
        <v>353</v>
      </c>
      <c r="J110" s="126" t="s">
        <v>253</v>
      </c>
      <c r="K110" s="127" t="s">
        <v>354</v>
      </c>
      <c r="L110" s="126" t="s">
        <v>354</v>
      </c>
      <c r="M110" s="126" t="s">
        <v>148</v>
      </c>
      <c r="N110" s="126" t="s">
        <v>128</v>
      </c>
      <c r="O110" s="126" t="s">
        <v>135</v>
      </c>
      <c r="P110" s="126" t="s">
        <v>135</v>
      </c>
      <c r="Q110" s="128"/>
      <c r="R110" s="126" t="s">
        <v>136</v>
      </c>
      <c r="S110" s="126" t="s">
        <v>148</v>
      </c>
      <c r="T110" s="128"/>
      <c r="U110" s="129" t="n">
        <v>0</v>
      </c>
      <c r="V110" s="129" t="n">
        <v>1</v>
      </c>
      <c r="W110" s="129" t="n">
        <v>0</v>
      </c>
      <c r="X110" s="129" t="n">
        <v>0</v>
      </c>
      <c r="Y110" s="129" t="n">
        <v>0</v>
      </c>
      <c r="Z110" s="129" t="n">
        <v>0</v>
      </c>
      <c r="AA110" s="129" t="n">
        <v>0</v>
      </c>
      <c r="AB110" s="129" t="n">
        <v>0</v>
      </c>
      <c r="AC110" s="129" t="n">
        <v>0</v>
      </c>
      <c r="AD110" s="129" t="n">
        <v>0</v>
      </c>
      <c r="AE110" s="129" t="n">
        <v>0</v>
      </c>
      <c r="AF110" s="129" t="n">
        <v>0</v>
      </c>
      <c r="AG110" s="129" t="n">
        <v>0</v>
      </c>
      <c r="AH110" s="129" t="n">
        <v>0</v>
      </c>
      <c r="AI110" s="129" t="n">
        <v>0</v>
      </c>
      <c r="AJ110" s="129" t="n">
        <v>0</v>
      </c>
      <c r="AK110" s="129" t="n">
        <v>0</v>
      </c>
      <c r="AL110" s="129" t="n">
        <v>0</v>
      </c>
      <c r="AM110" s="129" t="n">
        <v>0</v>
      </c>
      <c r="AN110" s="128"/>
      <c r="AO110" s="128"/>
      <c r="AP110" s="126" t="s">
        <v>138</v>
      </c>
      <c r="AQ110" s="126" t="s">
        <v>139</v>
      </c>
      <c r="AR110" s="126" t="s">
        <v>140</v>
      </c>
      <c r="AS110" s="128"/>
      <c r="AT110" s="130"/>
    </row>
    <row r="111" customFormat="false" ht="12.75" hidden="false" customHeight="true" outlineLevel="0" collapsed="false">
      <c r="B111" s="122" t="n">
        <f aca="false">B110+1</f>
        <v>108</v>
      </c>
      <c r="C111" s="123" t="s">
        <v>299</v>
      </c>
      <c r="D111" s="124" t="n">
        <v>21451</v>
      </c>
      <c r="E111" s="124" t="str">
        <f aca="false">IF(D111="","",IFERROR(VLOOKUP(D111,CCN_Library!$A$4:$B$13,2,FALSE()),"NOT IN LIBRARY"))</f>
        <v>AUTOMOTIVE ORGANIZATIONAL SHOP</v>
      </c>
      <c r="F111" s="125" t="str">
        <f aca="false">LEFT(H111,6)</f>
        <v>M28261</v>
      </c>
      <c r="G111" s="126" t="s">
        <v>128</v>
      </c>
      <c r="H111" s="126" t="s">
        <v>355</v>
      </c>
      <c r="I111" s="126" t="s">
        <v>353</v>
      </c>
      <c r="J111" s="126" t="s">
        <v>256</v>
      </c>
      <c r="K111" s="127" t="s">
        <v>354</v>
      </c>
      <c r="L111" s="126" t="s">
        <v>354</v>
      </c>
      <c r="M111" s="126" t="s">
        <v>148</v>
      </c>
      <c r="N111" s="126" t="s">
        <v>128</v>
      </c>
      <c r="O111" s="126" t="s">
        <v>135</v>
      </c>
      <c r="P111" s="126" t="s">
        <v>135</v>
      </c>
      <c r="Q111" s="128"/>
      <c r="R111" s="126" t="s">
        <v>136</v>
      </c>
      <c r="S111" s="126" t="s">
        <v>148</v>
      </c>
      <c r="T111" s="128"/>
      <c r="U111" s="129" t="n">
        <v>0</v>
      </c>
      <c r="V111" s="129" t="n">
        <v>1</v>
      </c>
      <c r="W111" s="129" t="n">
        <v>0</v>
      </c>
      <c r="X111" s="129" t="n">
        <v>0</v>
      </c>
      <c r="Y111" s="129" t="n">
        <v>0</v>
      </c>
      <c r="Z111" s="129" t="n">
        <v>0</v>
      </c>
      <c r="AA111" s="129" t="n">
        <v>0</v>
      </c>
      <c r="AB111" s="129" t="n">
        <v>0</v>
      </c>
      <c r="AC111" s="129" t="n">
        <v>0</v>
      </c>
      <c r="AD111" s="129" t="n">
        <v>0</v>
      </c>
      <c r="AE111" s="129" t="n">
        <v>0</v>
      </c>
      <c r="AF111" s="129" t="n">
        <v>0</v>
      </c>
      <c r="AG111" s="129" t="n">
        <v>0</v>
      </c>
      <c r="AH111" s="129" t="n">
        <v>0</v>
      </c>
      <c r="AI111" s="129" t="n">
        <v>0</v>
      </c>
      <c r="AJ111" s="129" t="n">
        <v>0</v>
      </c>
      <c r="AK111" s="129" t="n">
        <v>0</v>
      </c>
      <c r="AL111" s="129" t="n">
        <v>0</v>
      </c>
      <c r="AM111" s="129" t="n">
        <v>0</v>
      </c>
      <c r="AN111" s="128"/>
      <c r="AO111" s="128"/>
      <c r="AP111" s="126" t="s">
        <v>138</v>
      </c>
      <c r="AQ111" s="126" t="s">
        <v>139</v>
      </c>
      <c r="AR111" s="126" t="s">
        <v>140</v>
      </c>
      <c r="AS111" s="128"/>
      <c r="AT111" s="130"/>
    </row>
    <row r="112" customFormat="false" ht="12.75" hidden="false" customHeight="true" outlineLevel="0" collapsed="false">
      <c r="B112" s="131" t="n">
        <f aca="false">B111+1</f>
        <v>109</v>
      </c>
      <c r="C112" s="132" t="s">
        <v>125</v>
      </c>
      <c r="D112" s="133" t="n">
        <v>61072</v>
      </c>
      <c r="E112" s="133"/>
      <c r="F112" s="134" t="str">
        <f aca="false">LEFT(H112,6)</f>
        <v>M28261</v>
      </c>
      <c r="G112" s="135" t="s">
        <v>177</v>
      </c>
      <c r="H112" s="135" t="s">
        <v>356</v>
      </c>
      <c r="I112" s="135" t="s">
        <v>357</v>
      </c>
      <c r="J112" s="136"/>
      <c r="K112" s="136"/>
      <c r="L112" s="136"/>
      <c r="M112" s="136"/>
      <c r="N112" s="136"/>
      <c r="O112" s="136"/>
      <c r="P112" s="136"/>
      <c r="Q112" s="136"/>
      <c r="R112" s="136"/>
      <c r="S112" s="136"/>
      <c r="T112" s="136"/>
      <c r="U112" s="137" t="n">
        <v>0</v>
      </c>
      <c r="V112" s="137" t="n">
        <v>0</v>
      </c>
      <c r="W112" s="137" t="n">
        <v>0</v>
      </c>
      <c r="X112" s="137" t="n">
        <v>0</v>
      </c>
      <c r="Y112" s="137" t="n">
        <v>0</v>
      </c>
      <c r="Z112" s="137" t="n">
        <v>0</v>
      </c>
      <c r="AA112" s="137" t="n">
        <v>0</v>
      </c>
      <c r="AB112" s="137" t="n">
        <v>0</v>
      </c>
      <c r="AC112" s="137" t="n">
        <v>0</v>
      </c>
      <c r="AD112" s="137" t="n">
        <v>0</v>
      </c>
      <c r="AE112" s="137" t="n">
        <v>0</v>
      </c>
      <c r="AF112" s="137" t="n">
        <v>0</v>
      </c>
      <c r="AG112" s="137" t="n">
        <v>0</v>
      </c>
      <c r="AH112" s="137" t="n">
        <v>0</v>
      </c>
      <c r="AI112" s="137" t="n">
        <v>0</v>
      </c>
      <c r="AJ112" s="137" t="n">
        <v>0</v>
      </c>
      <c r="AK112" s="137" t="n">
        <v>0</v>
      </c>
      <c r="AL112" s="137" t="n">
        <v>0</v>
      </c>
      <c r="AM112" s="137" t="n">
        <v>0</v>
      </c>
      <c r="AN112" s="136"/>
      <c r="AO112" s="136"/>
      <c r="AP112" s="136"/>
      <c r="AQ112" s="136"/>
      <c r="AR112" s="136"/>
      <c r="AS112" s="136"/>
      <c r="AT112" s="138"/>
    </row>
    <row r="113" customFormat="false" ht="12.75" hidden="false" customHeight="true" outlineLevel="0" collapsed="false">
      <c r="B113" s="122" t="n">
        <f aca="false">B112+1</f>
        <v>110</v>
      </c>
      <c r="C113" s="123" t="s">
        <v>125</v>
      </c>
      <c r="D113" s="124" t="n">
        <v>61072</v>
      </c>
      <c r="E113" s="124" t="str">
        <f aca="false">IF(D113="","",IFERROR(VLOOKUP(D113,CCN_Library!$A$4:$B$13,2,FALSE()),"NOT IN LIBRARY"))</f>
        <v>BATTALION/SQUADRON HEADQUARTERS, MARINE CORPS</v>
      </c>
      <c r="F113" s="125" t="str">
        <f aca="false">LEFT(H113,6)</f>
        <v>M28261</v>
      </c>
      <c r="G113" s="126" t="s">
        <v>128</v>
      </c>
      <c r="H113" s="126" t="s">
        <v>358</v>
      </c>
      <c r="I113" s="126" t="s">
        <v>359</v>
      </c>
      <c r="J113" s="126" t="s">
        <v>211</v>
      </c>
      <c r="K113" s="127" t="s">
        <v>360</v>
      </c>
      <c r="L113" s="126" t="s">
        <v>360</v>
      </c>
      <c r="M113" s="126" t="s">
        <v>133</v>
      </c>
      <c r="N113" s="126" t="s">
        <v>134</v>
      </c>
      <c r="O113" s="126" t="s">
        <v>135</v>
      </c>
      <c r="P113" s="126" t="s">
        <v>135</v>
      </c>
      <c r="Q113" s="128"/>
      <c r="R113" s="126" t="s">
        <v>136</v>
      </c>
      <c r="S113" s="126" t="s">
        <v>136</v>
      </c>
      <c r="T113" s="128"/>
      <c r="U113" s="129" t="n">
        <v>0</v>
      </c>
      <c r="V113" s="129" t="n">
        <v>0</v>
      </c>
      <c r="W113" s="129" t="n">
        <v>0</v>
      </c>
      <c r="X113" s="129" t="n">
        <v>0</v>
      </c>
      <c r="Y113" s="129" t="n">
        <v>0</v>
      </c>
      <c r="Z113" s="129" t="n">
        <v>1</v>
      </c>
      <c r="AA113" s="129" t="n">
        <v>0</v>
      </c>
      <c r="AB113" s="129" t="n">
        <v>0</v>
      </c>
      <c r="AC113" s="129" t="n">
        <v>0</v>
      </c>
      <c r="AD113" s="129" t="n">
        <v>0</v>
      </c>
      <c r="AE113" s="129" t="n">
        <v>0</v>
      </c>
      <c r="AF113" s="129" t="n">
        <v>0</v>
      </c>
      <c r="AG113" s="129" t="n">
        <v>0</v>
      </c>
      <c r="AH113" s="129" t="n">
        <v>0</v>
      </c>
      <c r="AI113" s="129" t="n">
        <v>0</v>
      </c>
      <c r="AJ113" s="129" t="n">
        <v>0</v>
      </c>
      <c r="AK113" s="129" t="n">
        <v>0</v>
      </c>
      <c r="AL113" s="129" t="n">
        <v>0</v>
      </c>
      <c r="AM113" s="129" t="n">
        <v>0</v>
      </c>
      <c r="AN113" s="128"/>
      <c r="AO113" s="128"/>
      <c r="AP113" s="126" t="s">
        <v>138</v>
      </c>
      <c r="AQ113" s="126" t="s">
        <v>139</v>
      </c>
      <c r="AR113" s="126" t="s">
        <v>140</v>
      </c>
      <c r="AS113" s="128"/>
      <c r="AT113" s="130"/>
    </row>
    <row r="114" customFormat="false" ht="12.75" hidden="false" customHeight="true" outlineLevel="0" collapsed="false">
      <c r="B114" s="122" t="n">
        <f aca="false">B113+1</f>
        <v>111</v>
      </c>
      <c r="C114" s="123" t="s">
        <v>157</v>
      </c>
      <c r="D114" s="124" t="n">
        <v>61072</v>
      </c>
      <c r="E114" s="124" t="str">
        <f aca="false">IF(D114="","",IFERROR(VLOOKUP(D114,CCN_Library!$A$4:$B$13,2,FALSE()),"NOT IN LIBRARY"))</f>
        <v>BATTALION/SQUADRON HEADQUARTERS, MARINE CORPS</v>
      </c>
      <c r="F114" s="125" t="str">
        <f aca="false">LEFT(H114,6)</f>
        <v>M28261</v>
      </c>
      <c r="G114" s="126" t="s">
        <v>128</v>
      </c>
      <c r="H114" s="126" t="s">
        <v>361</v>
      </c>
      <c r="I114" s="126" t="s">
        <v>362</v>
      </c>
      <c r="J114" s="126" t="s">
        <v>363</v>
      </c>
      <c r="K114" s="127" t="s">
        <v>364</v>
      </c>
      <c r="L114" s="126" t="s">
        <v>364</v>
      </c>
      <c r="M114" s="126" t="s">
        <v>133</v>
      </c>
      <c r="N114" s="126" t="s">
        <v>128</v>
      </c>
      <c r="O114" s="126" t="s">
        <v>135</v>
      </c>
      <c r="P114" s="126" t="s">
        <v>135</v>
      </c>
      <c r="Q114" s="128"/>
      <c r="R114" s="126" t="s">
        <v>136</v>
      </c>
      <c r="S114" s="126" t="s">
        <v>58</v>
      </c>
      <c r="T114" s="128"/>
      <c r="U114" s="129" t="n">
        <v>0</v>
      </c>
      <c r="V114" s="129" t="n">
        <v>0</v>
      </c>
      <c r="W114" s="129" t="n">
        <v>0</v>
      </c>
      <c r="X114" s="129" t="n">
        <v>0</v>
      </c>
      <c r="Y114" s="129" t="n">
        <v>0</v>
      </c>
      <c r="Z114" s="129" t="n">
        <v>0</v>
      </c>
      <c r="AA114" s="129" t="n">
        <v>1</v>
      </c>
      <c r="AB114" s="129" t="n">
        <v>0</v>
      </c>
      <c r="AC114" s="129" t="n">
        <v>0</v>
      </c>
      <c r="AD114" s="129" t="n">
        <v>0</v>
      </c>
      <c r="AE114" s="129" t="n">
        <v>0</v>
      </c>
      <c r="AF114" s="129" t="n">
        <v>0</v>
      </c>
      <c r="AG114" s="129" t="n">
        <v>0</v>
      </c>
      <c r="AH114" s="129" t="n">
        <v>0</v>
      </c>
      <c r="AI114" s="129" t="n">
        <v>0</v>
      </c>
      <c r="AJ114" s="129" t="n">
        <v>0</v>
      </c>
      <c r="AK114" s="129" t="n">
        <v>0</v>
      </c>
      <c r="AL114" s="129" t="n">
        <v>0</v>
      </c>
      <c r="AM114" s="129" t="n">
        <v>0</v>
      </c>
      <c r="AN114" s="128"/>
      <c r="AO114" s="128"/>
      <c r="AP114" s="126" t="s">
        <v>138</v>
      </c>
      <c r="AQ114" s="126" t="s">
        <v>139</v>
      </c>
      <c r="AR114" s="126" t="s">
        <v>140</v>
      </c>
      <c r="AS114" s="128"/>
      <c r="AT114" s="130"/>
    </row>
    <row r="115" customFormat="false" ht="12.75" hidden="false" customHeight="true" outlineLevel="0" collapsed="false">
      <c r="B115" s="131" t="n">
        <f aca="false">B114+1</f>
        <v>112</v>
      </c>
      <c r="C115" s="132" t="s">
        <v>162</v>
      </c>
      <c r="D115" s="133" t="n">
        <v>61073</v>
      </c>
      <c r="E115" s="133"/>
      <c r="F115" s="134" t="str">
        <f aca="false">LEFT(H115,6)</f>
        <v>M28261</v>
      </c>
      <c r="G115" s="135" t="s">
        <v>177</v>
      </c>
      <c r="H115" s="135" t="s">
        <v>365</v>
      </c>
      <c r="I115" s="135" t="s">
        <v>366</v>
      </c>
      <c r="J115" s="136"/>
      <c r="K115" s="136"/>
      <c r="L115" s="136"/>
      <c r="M115" s="136"/>
      <c r="N115" s="136"/>
      <c r="O115" s="136"/>
      <c r="P115" s="136"/>
      <c r="Q115" s="136"/>
      <c r="R115" s="136"/>
      <c r="S115" s="136"/>
      <c r="T115" s="136"/>
      <c r="U115" s="137" t="n">
        <v>0</v>
      </c>
      <c r="V115" s="137" t="n">
        <v>0</v>
      </c>
      <c r="W115" s="137" t="n">
        <v>0</v>
      </c>
      <c r="X115" s="137" t="n">
        <v>0</v>
      </c>
      <c r="Y115" s="137" t="n">
        <v>0</v>
      </c>
      <c r="Z115" s="137" t="n">
        <v>0</v>
      </c>
      <c r="AA115" s="137" t="n">
        <v>0</v>
      </c>
      <c r="AB115" s="137" t="n">
        <v>0</v>
      </c>
      <c r="AC115" s="137" t="n">
        <v>0</v>
      </c>
      <c r="AD115" s="137" t="n">
        <v>0</v>
      </c>
      <c r="AE115" s="137" t="n">
        <v>0</v>
      </c>
      <c r="AF115" s="137" t="n">
        <v>0</v>
      </c>
      <c r="AG115" s="137" t="n">
        <v>0</v>
      </c>
      <c r="AH115" s="137" t="n">
        <v>0</v>
      </c>
      <c r="AI115" s="137" t="n">
        <v>0</v>
      </c>
      <c r="AJ115" s="137" t="n">
        <v>0</v>
      </c>
      <c r="AK115" s="137" t="n">
        <v>0</v>
      </c>
      <c r="AL115" s="137" t="n">
        <v>0</v>
      </c>
      <c r="AM115" s="137" t="n">
        <v>0</v>
      </c>
      <c r="AN115" s="136"/>
      <c r="AO115" s="136"/>
      <c r="AP115" s="136"/>
      <c r="AQ115" s="136"/>
      <c r="AR115" s="136"/>
      <c r="AS115" s="136"/>
      <c r="AT115" s="138"/>
    </row>
    <row r="116" customFormat="false" ht="12.75" hidden="false" customHeight="true" outlineLevel="0" collapsed="false">
      <c r="B116" s="122" t="n">
        <f aca="false">B115+1</f>
        <v>113</v>
      </c>
      <c r="C116" s="123" t="s">
        <v>162</v>
      </c>
      <c r="D116" s="140" t="n">
        <v>61073</v>
      </c>
      <c r="E116" s="124" t="str">
        <f aca="false">IF(D116="","",IFERROR(VLOOKUP(D116,CCN_Library!$A$4:$B$13,2,FALSE()),"NOT IN LIBRARY"))</f>
        <v>COMPANY/BATTERY HEADQUARTERS, MARINE CORPS</v>
      </c>
      <c r="F116" s="125" t="str">
        <f aca="false">LEFT(H116,6)</f>
        <v>M28261</v>
      </c>
      <c r="G116" s="126" t="s">
        <v>128</v>
      </c>
      <c r="H116" s="126" t="s">
        <v>367</v>
      </c>
      <c r="I116" s="126" t="s">
        <v>368</v>
      </c>
      <c r="J116" s="126" t="s">
        <v>143</v>
      </c>
      <c r="K116" s="127" t="s">
        <v>151</v>
      </c>
      <c r="L116" s="126" t="s">
        <v>151</v>
      </c>
      <c r="M116" s="126" t="s">
        <v>133</v>
      </c>
      <c r="N116" s="126" t="s">
        <v>134</v>
      </c>
      <c r="O116" s="126" t="s">
        <v>135</v>
      </c>
      <c r="P116" s="126" t="s">
        <v>135</v>
      </c>
      <c r="Q116" s="128"/>
      <c r="R116" s="126" t="s">
        <v>136</v>
      </c>
      <c r="S116" s="126" t="s">
        <v>137</v>
      </c>
      <c r="T116" s="128"/>
      <c r="U116" s="129" t="n">
        <v>0</v>
      </c>
      <c r="V116" s="129" t="n">
        <v>0</v>
      </c>
      <c r="W116" s="129" t="n">
        <v>0</v>
      </c>
      <c r="X116" s="129" t="n">
        <v>0</v>
      </c>
      <c r="Y116" s="129" t="n">
        <v>0</v>
      </c>
      <c r="Z116" s="129" t="n">
        <v>1</v>
      </c>
      <c r="AA116" s="129" t="n">
        <v>0</v>
      </c>
      <c r="AB116" s="129" t="n">
        <v>0</v>
      </c>
      <c r="AC116" s="129" t="n">
        <v>0</v>
      </c>
      <c r="AD116" s="129" t="n">
        <v>0</v>
      </c>
      <c r="AE116" s="129" t="n">
        <v>0</v>
      </c>
      <c r="AF116" s="129" t="n">
        <v>0</v>
      </c>
      <c r="AG116" s="129" t="n">
        <v>0</v>
      </c>
      <c r="AH116" s="129" t="n">
        <v>0</v>
      </c>
      <c r="AI116" s="129" t="n">
        <v>0</v>
      </c>
      <c r="AJ116" s="129" t="n">
        <v>0</v>
      </c>
      <c r="AK116" s="129" t="n">
        <v>0</v>
      </c>
      <c r="AL116" s="129" t="n">
        <v>0</v>
      </c>
      <c r="AM116" s="129" t="n">
        <v>0</v>
      </c>
      <c r="AN116" s="128"/>
      <c r="AO116" s="128"/>
      <c r="AP116" s="126" t="s">
        <v>138</v>
      </c>
      <c r="AQ116" s="126" t="s">
        <v>139</v>
      </c>
      <c r="AR116" s="126" t="s">
        <v>140</v>
      </c>
      <c r="AS116" s="128"/>
      <c r="AT116" s="130"/>
    </row>
    <row r="117" customFormat="false" ht="12.75" hidden="false" customHeight="true" outlineLevel="0" collapsed="false">
      <c r="B117" s="122" t="n">
        <f aca="false">B116+1</f>
        <v>114</v>
      </c>
      <c r="C117" s="123" t="s">
        <v>162</v>
      </c>
      <c r="D117" s="140" t="n">
        <v>61073</v>
      </c>
      <c r="E117" s="124" t="str">
        <f aca="false">IF(D117="","",IFERROR(VLOOKUP(D117,CCN_Library!$A$4:$B$13,2,FALSE()),"NOT IN LIBRARY"))</f>
        <v>COMPANY/BATTERY HEADQUARTERS, MARINE CORPS</v>
      </c>
      <c r="F117" s="125" t="str">
        <f aca="false">LEFT(H117,6)</f>
        <v>M28261</v>
      </c>
      <c r="G117" s="126" t="s">
        <v>128</v>
      </c>
      <c r="H117" s="126" t="s">
        <v>369</v>
      </c>
      <c r="I117" s="126" t="s">
        <v>370</v>
      </c>
      <c r="J117" s="126" t="s">
        <v>211</v>
      </c>
      <c r="K117" s="127" t="s">
        <v>132</v>
      </c>
      <c r="L117" s="126" t="s">
        <v>132</v>
      </c>
      <c r="M117" s="126" t="s">
        <v>133</v>
      </c>
      <c r="N117" s="126" t="s">
        <v>134</v>
      </c>
      <c r="O117" s="126" t="s">
        <v>135</v>
      </c>
      <c r="P117" s="126" t="s">
        <v>135</v>
      </c>
      <c r="Q117" s="128"/>
      <c r="R117" s="126" t="s">
        <v>136</v>
      </c>
      <c r="S117" s="126" t="s">
        <v>137</v>
      </c>
      <c r="T117" s="128"/>
      <c r="U117" s="129" t="n">
        <v>0</v>
      </c>
      <c r="V117" s="129" t="n">
        <v>0</v>
      </c>
      <c r="W117" s="129" t="n">
        <v>0</v>
      </c>
      <c r="X117" s="129" t="n">
        <v>0</v>
      </c>
      <c r="Y117" s="129" t="n">
        <v>0</v>
      </c>
      <c r="Z117" s="129" t="n">
        <v>1</v>
      </c>
      <c r="AA117" s="129" t="n">
        <v>0</v>
      </c>
      <c r="AB117" s="129" t="n">
        <v>0</v>
      </c>
      <c r="AC117" s="129" t="n">
        <v>0</v>
      </c>
      <c r="AD117" s="129" t="n">
        <v>0</v>
      </c>
      <c r="AE117" s="129" t="n">
        <v>0</v>
      </c>
      <c r="AF117" s="129" t="n">
        <v>0</v>
      </c>
      <c r="AG117" s="129" t="n">
        <v>0</v>
      </c>
      <c r="AH117" s="129" t="n">
        <v>0</v>
      </c>
      <c r="AI117" s="129" t="n">
        <v>0</v>
      </c>
      <c r="AJ117" s="129" t="n">
        <v>0</v>
      </c>
      <c r="AK117" s="129" t="n">
        <v>0</v>
      </c>
      <c r="AL117" s="129" t="n">
        <v>0</v>
      </c>
      <c r="AM117" s="129" t="n">
        <v>0</v>
      </c>
      <c r="AN117" s="128"/>
      <c r="AO117" s="128"/>
      <c r="AP117" s="126" t="s">
        <v>138</v>
      </c>
      <c r="AQ117" s="126" t="s">
        <v>139</v>
      </c>
      <c r="AR117" s="126" t="s">
        <v>140</v>
      </c>
      <c r="AS117" s="128"/>
      <c r="AT117" s="130"/>
    </row>
    <row r="118" customFormat="false" ht="12.75" hidden="false" customHeight="true" outlineLevel="0" collapsed="false">
      <c r="B118" s="122" t="n">
        <f aca="false">B117+1</f>
        <v>115</v>
      </c>
      <c r="C118" s="123" t="s">
        <v>162</v>
      </c>
      <c r="D118" s="140" t="n">
        <v>61073</v>
      </c>
      <c r="E118" s="124" t="str">
        <f aca="false">IF(D118="","",IFERROR(VLOOKUP(D118,CCN_Library!$A$4:$B$13,2,FALSE()),"NOT IN LIBRARY"))</f>
        <v>COMPANY/BATTERY HEADQUARTERS, MARINE CORPS</v>
      </c>
      <c r="F118" s="125" t="str">
        <f aca="false">LEFT(H118,6)</f>
        <v>M28261</v>
      </c>
      <c r="G118" s="126" t="s">
        <v>128</v>
      </c>
      <c r="H118" s="126" t="s">
        <v>371</v>
      </c>
      <c r="I118" s="126" t="s">
        <v>370</v>
      </c>
      <c r="J118" s="126" t="s">
        <v>185</v>
      </c>
      <c r="K118" s="127" t="s">
        <v>132</v>
      </c>
      <c r="L118" s="126" t="s">
        <v>132</v>
      </c>
      <c r="M118" s="126" t="s">
        <v>133</v>
      </c>
      <c r="N118" s="126" t="s">
        <v>134</v>
      </c>
      <c r="O118" s="126" t="s">
        <v>135</v>
      </c>
      <c r="P118" s="126" t="s">
        <v>135</v>
      </c>
      <c r="Q118" s="128"/>
      <c r="R118" s="126" t="s">
        <v>136</v>
      </c>
      <c r="S118" s="126" t="s">
        <v>137</v>
      </c>
      <c r="T118" s="128"/>
      <c r="U118" s="129" t="n">
        <v>0</v>
      </c>
      <c r="V118" s="129" t="n">
        <v>0</v>
      </c>
      <c r="W118" s="129" t="n">
        <v>0</v>
      </c>
      <c r="X118" s="129" t="n">
        <v>0</v>
      </c>
      <c r="Y118" s="129" t="n">
        <v>0</v>
      </c>
      <c r="Z118" s="129" t="n">
        <v>1</v>
      </c>
      <c r="AA118" s="129" t="n">
        <v>0</v>
      </c>
      <c r="AB118" s="129" t="n">
        <v>0</v>
      </c>
      <c r="AC118" s="129" t="n">
        <v>0</v>
      </c>
      <c r="AD118" s="129" t="n">
        <v>0</v>
      </c>
      <c r="AE118" s="129" t="n">
        <v>0</v>
      </c>
      <c r="AF118" s="129" t="n">
        <v>0</v>
      </c>
      <c r="AG118" s="129" t="n">
        <v>0</v>
      </c>
      <c r="AH118" s="129" t="n">
        <v>0</v>
      </c>
      <c r="AI118" s="129" t="n">
        <v>0</v>
      </c>
      <c r="AJ118" s="129" t="n">
        <v>0</v>
      </c>
      <c r="AK118" s="129" t="n">
        <v>0</v>
      </c>
      <c r="AL118" s="129" t="n">
        <v>0</v>
      </c>
      <c r="AM118" s="129" t="n">
        <v>0</v>
      </c>
      <c r="AN118" s="128"/>
      <c r="AO118" s="128"/>
      <c r="AP118" s="126" t="s">
        <v>138</v>
      </c>
      <c r="AQ118" s="126" t="s">
        <v>139</v>
      </c>
      <c r="AR118" s="126" t="s">
        <v>140</v>
      </c>
      <c r="AS118" s="128"/>
      <c r="AT118" s="130"/>
    </row>
    <row r="119" customFormat="false" ht="12.75" hidden="false" customHeight="true" outlineLevel="0" collapsed="false">
      <c r="B119" s="122" t="n">
        <f aca="false">B118+1</f>
        <v>116</v>
      </c>
      <c r="C119" s="123" t="s">
        <v>162</v>
      </c>
      <c r="D119" s="140" t="n">
        <v>61073</v>
      </c>
      <c r="E119" s="124" t="str">
        <f aca="false">IF(D119="","",IFERROR(VLOOKUP(D119,CCN_Library!$A$4:$B$13,2,FALSE()),"NOT IN LIBRARY"))</f>
        <v>COMPANY/BATTERY HEADQUARTERS, MARINE CORPS</v>
      </c>
      <c r="F119" s="125" t="str">
        <f aca="false">LEFT(H119,6)</f>
        <v>M28261</v>
      </c>
      <c r="G119" s="126" t="s">
        <v>128</v>
      </c>
      <c r="H119" s="126" t="s">
        <v>372</v>
      </c>
      <c r="I119" s="126" t="s">
        <v>370</v>
      </c>
      <c r="J119" s="126" t="s">
        <v>185</v>
      </c>
      <c r="K119" s="127" t="s">
        <v>132</v>
      </c>
      <c r="L119" s="126" t="s">
        <v>132</v>
      </c>
      <c r="M119" s="126" t="s">
        <v>133</v>
      </c>
      <c r="N119" s="126" t="s">
        <v>134</v>
      </c>
      <c r="O119" s="126" t="s">
        <v>135</v>
      </c>
      <c r="P119" s="126" t="s">
        <v>135</v>
      </c>
      <c r="Q119" s="128"/>
      <c r="R119" s="126" t="s">
        <v>136</v>
      </c>
      <c r="S119" s="126" t="s">
        <v>137</v>
      </c>
      <c r="T119" s="128"/>
      <c r="U119" s="129" t="n">
        <v>0</v>
      </c>
      <c r="V119" s="129" t="n">
        <v>0</v>
      </c>
      <c r="W119" s="129" t="n">
        <v>0</v>
      </c>
      <c r="X119" s="129" t="n">
        <v>0</v>
      </c>
      <c r="Y119" s="129" t="n">
        <v>0</v>
      </c>
      <c r="Z119" s="129" t="n">
        <v>1</v>
      </c>
      <c r="AA119" s="129" t="n">
        <v>0</v>
      </c>
      <c r="AB119" s="129" t="n">
        <v>0</v>
      </c>
      <c r="AC119" s="129" t="n">
        <v>0</v>
      </c>
      <c r="AD119" s="129" t="n">
        <v>0</v>
      </c>
      <c r="AE119" s="129" t="n">
        <v>0</v>
      </c>
      <c r="AF119" s="129" t="n">
        <v>0</v>
      </c>
      <c r="AG119" s="129" t="n">
        <v>0</v>
      </c>
      <c r="AH119" s="129" t="n">
        <v>0</v>
      </c>
      <c r="AI119" s="129" t="n">
        <v>0</v>
      </c>
      <c r="AJ119" s="129" t="n">
        <v>0</v>
      </c>
      <c r="AK119" s="129" t="n">
        <v>0</v>
      </c>
      <c r="AL119" s="129" t="n">
        <v>0</v>
      </c>
      <c r="AM119" s="129" t="n">
        <v>0</v>
      </c>
      <c r="AN119" s="128"/>
      <c r="AO119" s="128"/>
      <c r="AP119" s="126" t="s">
        <v>138</v>
      </c>
      <c r="AQ119" s="126" t="s">
        <v>139</v>
      </c>
      <c r="AR119" s="126" t="s">
        <v>140</v>
      </c>
      <c r="AS119" s="128"/>
      <c r="AT119" s="130"/>
    </row>
    <row r="120" customFormat="false" ht="12.75" hidden="false" customHeight="true" outlineLevel="0" collapsed="false">
      <c r="B120" s="122" t="n">
        <f aca="false">B119+1</f>
        <v>117</v>
      </c>
      <c r="C120" s="123" t="s">
        <v>162</v>
      </c>
      <c r="D120" s="140" t="n">
        <v>61073</v>
      </c>
      <c r="E120" s="124" t="str">
        <f aca="false">IF(D120="","",IFERROR(VLOOKUP(D120,CCN_Library!$A$4:$B$13,2,FALSE()),"NOT IN LIBRARY"))</f>
        <v>COMPANY/BATTERY HEADQUARTERS, MARINE CORPS</v>
      </c>
      <c r="F120" s="125" t="str">
        <f aca="false">LEFT(H120,6)</f>
        <v>M28261</v>
      </c>
      <c r="G120" s="126" t="s">
        <v>128</v>
      </c>
      <c r="H120" s="126" t="s">
        <v>373</v>
      </c>
      <c r="I120" s="126" t="s">
        <v>370</v>
      </c>
      <c r="J120" s="126" t="s">
        <v>185</v>
      </c>
      <c r="K120" s="127" t="s">
        <v>132</v>
      </c>
      <c r="L120" s="126" t="s">
        <v>132</v>
      </c>
      <c r="M120" s="126" t="s">
        <v>133</v>
      </c>
      <c r="N120" s="126" t="s">
        <v>134</v>
      </c>
      <c r="O120" s="126" t="s">
        <v>135</v>
      </c>
      <c r="P120" s="126" t="s">
        <v>135</v>
      </c>
      <c r="Q120" s="128"/>
      <c r="R120" s="126" t="s">
        <v>136</v>
      </c>
      <c r="S120" s="126" t="s">
        <v>137</v>
      </c>
      <c r="T120" s="128"/>
      <c r="U120" s="129" t="n">
        <v>0</v>
      </c>
      <c r="V120" s="129" t="n">
        <v>0</v>
      </c>
      <c r="W120" s="129" t="n">
        <v>0</v>
      </c>
      <c r="X120" s="129" t="n">
        <v>0</v>
      </c>
      <c r="Y120" s="129" t="n">
        <v>0</v>
      </c>
      <c r="Z120" s="129" t="n">
        <v>1</v>
      </c>
      <c r="AA120" s="129" t="n">
        <v>0</v>
      </c>
      <c r="AB120" s="129" t="n">
        <v>0</v>
      </c>
      <c r="AC120" s="129" t="n">
        <v>0</v>
      </c>
      <c r="AD120" s="129" t="n">
        <v>0</v>
      </c>
      <c r="AE120" s="129" t="n">
        <v>0</v>
      </c>
      <c r="AF120" s="129" t="n">
        <v>0</v>
      </c>
      <c r="AG120" s="129" t="n">
        <v>0</v>
      </c>
      <c r="AH120" s="129" t="n">
        <v>0</v>
      </c>
      <c r="AI120" s="129" t="n">
        <v>0</v>
      </c>
      <c r="AJ120" s="129" t="n">
        <v>0</v>
      </c>
      <c r="AK120" s="129" t="n">
        <v>0</v>
      </c>
      <c r="AL120" s="129" t="n">
        <v>0</v>
      </c>
      <c r="AM120" s="129" t="n">
        <v>0</v>
      </c>
      <c r="AN120" s="128"/>
      <c r="AO120" s="128"/>
      <c r="AP120" s="126" t="s">
        <v>138</v>
      </c>
      <c r="AQ120" s="126" t="s">
        <v>139</v>
      </c>
      <c r="AR120" s="126" t="s">
        <v>140</v>
      </c>
      <c r="AS120" s="128"/>
      <c r="AT120" s="139"/>
    </row>
    <row r="121" customFormat="false" ht="12.75" hidden="false" customHeight="true" outlineLevel="0" collapsed="false">
      <c r="B121" s="122" t="n">
        <f aca="false">B120+1</f>
        <v>118</v>
      </c>
      <c r="C121" s="123" t="s">
        <v>162</v>
      </c>
      <c r="D121" s="140" t="n">
        <v>61073</v>
      </c>
      <c r="E121" s="124" t="str">
        <f aca="false">IF(D121="","",IFERROR(VLOOKUP(D121,CCN_Library!$A$4:$B$13,2,FALSE()),"NOT IN LIBRARY"))</f>
        <v>COMPANY/BATTERY HEADQUARTERS, MARINE CORPS</v>
      </c>
      <c r="F121" s="125" t="str">
        <f aca="false">LEFT(H121,6)</f>
        <v>M28261</v>
      </c>
      <c r="G121" s="126" t="s">
        <v>128</v>
      </c>
      <c r="H121" s="126" t="s">
        <v>374</v>
      </c>
      <c r="I121" s="126" t="s">
        <v>375</v>
      </c>
      <c r="J121" s="126" t="s">
        <v>182</v>
      </c>
      <c r="K121" s="127" t="s">
        <v>132</v>
      </c>
      <c r="L121" s="126" t="s">
        <v>132</v>
      </c>
      <c r="M121" s="126" t="s">
        <v>133</v>
      </c>
      <c r="N121" s="126" t="s">
        <v>134</v>
      </c>
      <c r="O121" s="126" t="s">
        <v>135</v>
      </c>
      <c r="P121" s="126" t="s">
        <v>135</v>
      </c>
      <c r="Q121" s="128"/>
      <c r="R121" s="126" t="s">
        <v>136</v>
      </c>
      <c r="S121" s="126" t="s">
        <v>137</v>
      </c>
      <c r="T121" s="128"/>
      <c r="U121" s="129" t="n">
        <v>0</v>
      </c>
      <c r="V121" s="129" t="n">
        <v>0</v>
      </c>
      <c r="W121" s="129" t="n">
        <v>0</v>
      </c>
      <c r="X121" s="129" t="n">
        <v>0</v>
      </c>
      <c r="Y121" s="129" t="n">
        <v>0</v>
      </c>
      <c r="Z121" s="129" t="n">
        <v>1</v>
      </c>
      <c r="AA121" s="129" t="n">
        <v>0</v>
      </c>
      <c r="AB121" s="129" t="n">
        <v>0</v>
      </c>
      <c r="AC121" s="129" t="n">
        <v>0</v>
      </c>
      <c r="AD121" s="129" t="n">
        <v>0</v>
      </c>
      <c r="AE121" s="129" t="n">
        <v>0</v>
      </c>
      <c r="AF121" s="129" t="n">
        <v>0</v>
      </c>
      <c r="AG121" s="129" t="n">
        <v>0</v>
      </c>
      <c r="AH121" s="129" t="n">
        <v>0</v>
      </c>
      <c r="AI121" s="129" t="n">
        <v>0</v>
      </c>
      <c r="AJ121" s="129" t="n">
        <v>0</v>
      </c>
      <c r="AK121" s="129" t="n">
        <v>0</v>
      </c>
      <c r="AL121" s="129" t="n">
        <v>0</v>
      </c>
      <c r="AM121" s="129" t="n">
        <v>0</v>
      </c>
      <c r="AN121" s="128"/>
      <c r="AO121" s="128"/>
      <c r="AP121" s="126" t="s">
        <v>138</v>
      </c>
      <c r="AQ121" s="126" t="s">
        <v>139</v>
      </c>
      <c r="AR121" s="126" t="s">
        <v>140</v>
      </c>
      <c r="AS121" s="128"/>
      <c r="AT121" s="130"/>
    </row>
    <row r="122" customFormat="false" ht="12.75" hidden="false" customHeight="true" outlineLevel="0" collapsed="false">
      <c r="B122" s="122" t="n">
        <f aca="false">B121+1</f>
        <v>119</v>
      </c>
      <c r="C122" s="123" t="s">
        <v>162</v>
      </c>
      <c r="D122" s="140" t="n">
        <v>61073</v>
      </c>
      <c r="E122" s="124" t="str">
        <f aca="false">IF(D122="","",IFERROR(VLOOKUP(D122,CCN_Library!$A$4:$B$13,2,FALSE()),"NOT IN LIBRARY"))</f>
        <v>COMPANY/BATTERY HEADQUARTERS, MARINE CORPS</v>
      </c>
      <c r="F122" s="125" t="str">
        <f aca="false">LEFT(H122,6)</f>
        <v>M28261</v>
      </c>
      <c r="G122" s="126" t="s">
        <v>128</v>
      </c>
      <c r="H122" s="126" t="s">
        <v>376</v>
      </c>
      <c r="I122" s="126" t="s">
        <v>375</v>
      </c>
      <c r="J122" s="126" t="s">
        <v>182</v>
      </c>
      <c r="K122" s="127" t="s">
        <v>132</v>
      </c>
      <c r="L122" s="126" t="s">
        <v>132</v>
      </c>
      <c r="M122" s="126" t="s">
        <v>133</v>
      </c>
      <c r="N122" s="126" t="s">
        <v>134</v>
      </c>
      <c r="O122" s="126" t="s">
        <v>135</v>
      </c>
      <c r="P122" s="126" t="s">
        <v>135</v>
      </c>
      <c r="Q122" s="128"/>
      <c r="R122" s="126" t="s">
        <v>136</v>
      </c>
      <c r="S122" s="126" t="s">
        <v>137</v>
      </c>
      <c r="T122" s="128"/>
      <c r="U122" s="129" t="n">
        <v>0</v>
      </c>
      <c r="V122" s="129" t="n">
        <v>0</v>
      </c>
      <c r="W122" s="129" t="n">
        <v>0</v>
      </c>
      <c r="X122" s="129" t="n">
        <v>0</v>
      </c>
      <c r="Y122" s="129" t="n">
        <v>0</v>
      </c>
      <c r="Z122" s="129" t="n">
        <v>1</v>
      </c>
      <c r="AA122" s="129" t="n">
        <v>0</v>
      </c>
      <c r="AB122" s="129" t="n">
        <v>0</v>
      </c>
      <c r="AC122" s="129" t="n">
        <v>0</v>
      </c>
      <c r="AD122" s="129" t="n">
        <v>0</v>
      </c>
      <c r="AE122" s="129" t="n">
        <v>0</v>
      </c>
      <c r="AF122" s="129" t="n">
        <v>0</v>
      </c>
      <c r="AG122" s="129" t="n">
        <v>0</v>
      </c>
      <c r="AH122" s="129" t="n">
        <v>0</v>
      </c>
      <c r="AI122" s="129" t="n">
        <v>0</v>
      </c>
      <c r="AJ122" s="129" t="n">
        <v>0</v>
      </c>
      <c r="AK122" s="129" t="n">
        <v>0</v>
      </c>
      <c r="AL122" s="129" t="n">
        <v>0</v>
      </c>
      <c r="AM122" s="129" t="n">
        <v>0</v>
      </c>
      <c r="AN122" s="128"/>
      <c r="AO122" s="128"/>
      <c r="AP122" s="126" t="s">
        <v>138</v>
      </c>
      <c r="AQ122" s="126" t="s">
        <v>139</v>
      </c>
      <c r="AR122" s="126" t="s">
        <v>140</v>
      </c>
      <c r="AS122" s="128"/>
      <c r="AT122" s="130"/>
    </row>
    <row r="123" customFormat="false" ht="12.75" hidden="false" customHeight="true" outlineLevel="0" collapsed="false">
      <c r="B123" s="122" t="n">
        <f aca="false">B122+1</f>
        <v>120</v>
      </c>
      <c r="C123" s="123" t="s">
        <v>162</v>
      </c>
      <c r="D123" s="140" t="n">
        <v>61073</v>
      </c>
      <c r="E123" s="124" t="str">
        <f aca="false">IF(D123="","",IFERROR(VLOOKUP(D123,CCN_Library!$A$4:$B$13,2,FALSE()),"NOT IN LIBRARY"))</f>
        <v>COMPANY/BATTERY HEADQUARTERS, MARINE CORPS</v>
      </c>
      <c r="F123" s="125" t="str">
        <f aca="false">LEFT(H123,6)</f>
        <v>M28261</v>
      </c>
      <c r="G123" s="126" t="s">
        <v>128</v>
      </c>
      <c r="H123" s="126" t="s">
        <v>377</v>
      </c>
      <c r="I123" s="126" t="s">
        <v>375</v>
      </c>
      <c r="J123" s="126" t="s">
        <v>182</v>
      </c>
      <c r="K123" s="127" t="s">
        <v>132</v>
      </c>
      <c r="L123" s="126" t="s">
        <v>132</v>
      </c>
      <c r="M123" s="126" t="s">
        <v>133</v>
      </c>
      <c r="N123" s="126" t="s">
        <v>134</v>
      </c>
      <c r="O123" s="126" t="s">
        <v>135</v>
      </c>
      <c r="P123" s="126" t="s">
        <v>135</v>
      </c>
      <c r="Q123" s="128"/>
      <c r="R123" s="126" t="s">
        <v>136</v>
      </c>
      <c r="S123" s="126" t="s">
        <v>137</v>
      </c>
      <c r="T123" s="128"/>
      <c r="U123" s="129" t="n">
        <v>0</v>
      </c>
      <c r="V123" s="129" t="n">
        <v>0</v>
      </c>
      <c r="W123" s="129" t="n">
        <v>0</v>
      </c>
      <c r="X123" s="129" t="n">
        <v>0</v>
      </c>
      <c r="Y123" s="129" t="n">
        <v>0</v>
      </c>
      <c r="Z123" s="129" t="n">
        <v>1</v>
      </c>
      <c r="AA123" s="129" t="n">
        <v>0</v>
      </c>
      <c r="AB123" s="129" t="n">
        <v>0</v>
      </c>
      <c r="AC123" s="129" t="n">
        <v>0</v>
      </c>
      <c r="AD123" s="129" t="n">
        <v>0</v>
      </c>
      <c r="AE123" s="129" t="n">
        <v>0</v>
      </c>
      <c r="AF123" s="129" t="n">
        <v>0</v>
      </c>
      <c r="AG123" s="129" t="n">
        <v>0</v>
      </c>
      <c r="AH123" s="129" t="n">
        <v>0</v>
      </c>
      <c r="AI123" s="129" t="n">
        <v>0</v>
      </c>
      <c r="AJ123" s="129" t="n">
        <v>0</v>
      </c>
      <c r="AK123" s="129" t="n">
        <v>0</v>
      </c>
      <c r="AL123" s="129" t="n">
        <v>0</v>
      </c>
      <c r="AM123" s="129" t="n">
        <v>0</v>
      </c>
      <c r="AN123" s="128"/>
      <c r="AO123" s="128"/>
      <c r="AP123" s="126" t="s">
        <v>138</v>
      </c>
      <c r="AQ123" s="126" t="s">
        <v>139</v>
      </c>
      <c r="AR123" s="126" t="s">
        <v>140</v>
      </c>
      <c r="AS123" s="128"/>
      <c r="AT123" s="130"/>
    </row>
    <row r="124" customFormat="false" ht="12.75" hidden="false" customHeight="true" outlineLevel="0" collapsed="false">
      <c r="B124" s="122" t="n">
        <f aca="false">B123+1</f>
        <v>121</v>
      </c>
      <c r="C124" s="123" t="s">
        <v>162</v>
      </c>
      <c r="D124" s="140" t="n">
        <v>61073</v>
      </c>
      <c r="E124" s="124" t="str">
        <f aca="false">IF(D124="","",IFERROR(VLOOKUP(D124,CCN_Library!$A$4:$B$13,2,FALSE()),"NOT IN LIBRARY"))</f>
        <v>COMPANY/BATTERY HEADQUARTERS, MARINE CORPS</v>
      </c>
      <c r="F124" s="125" t="str">
        <f aca="false">LEFT(H124,6)</f>
        <v>M28261</v>
      </c>
      <c r="G124" s="126" t="s">
        <v>128</v>
      </c>
      <c r="H124" s="126" t="s">
        <v>378</v>
      </c>
      <c r="I124" s="126" t="s">
        <v>379</v>
      </c>
      <c r="J124" s="126" t="s">
        <v>187</v>
      </c>
      <c r="K124" s="127" t="s">
        <v>380</v>
      </c>
      <c r="L124" s="126" t="s">
        <v>161</v>
      </c>
      <c r="M124" s="126" t="s">
        <v>133</v>
      </c>
      <c r="N124" s="126" t="s">
        <v>128</v>
      </c>
      <c r="O124" s="126" t="s">
        <v>135</v>
      </c>
      <c r="P124" s="126" t="s">
        <v>135</v>
      </c>
      <c r="Q124" s="128"/>
      <c r="R124" s="126" t="s">
        <v>136</v>
      </c>
      <c r="S124" s="126" t="s">
        <v>137</v>
      </c>
      <c r="T124" s="128"/>
      <c r="U124" s="129" t="n">
        <v>0</v>
      </c>
      <c r="V124" s="129" t="n">
        <v>0</v>
      </c>
      <c r="W124" s="129" t="n">
        <v>0</v>
      </c>
      <c r="X124" s="129" t="n">
        <v>0</v>
      </c>
      <c r="Y124" s="129" t="n">
        <v>0</v>
      </c>
      <c r="Z124" s="129" t="n">
        <v>0</v>
      </c>
      <c r="AA124" s="129" t="n">
        <v>1</v>
      </c>
      <c r="AB124" s="129" t="n">
        <v>0</v>
      </c>
      <c r="AC124" s="129" t="n">
        <v>0</v>
      </c>
      <c r="AD124" s="129" t="n">
        <v>0</v>
      </c>
      <c r="AE124" s="129" t="n">
        <v>0</v>
      </c>
      <c r="AF124" s="129" t="n">
        <v>0</v>
      </c>
      <c r="AG124" s="129" t="n">
        <v>0</v>
      </c>
      <c r="AH124" s="129" t="n">
        <v>0</v>
      </c>
      <c r="AI124" s="129" t="n">
        <v>0</v>
      </c>
      <c r="AJ124" s="129" t="n">
        <v>0</v>
      </c>
      <c r="AK124" s="129" t="n">
        <v>0</v>
      </c>
      <c r="AL124" s="129" t="n">
        <v>0</v>
      </c>
      <c r="AM124" s="129" t="n">
        <v>0</v>
      </c>
      <c r="AN124" s="128"/>
      <c r="AO124" s="128"/>
      <c r="AP124" s="126" t="s">
        <v>138</v>
      </c>
      <c r="AQ124" s="126" t="s">
        <v>139</v>
      </c>
      <c r="AR124" s="126" t="s">
        <v>140</v>
      </c>
      <c r="AS124" s="128"/>
      <c r="AT124" s="130"/>
    </row>
    <row r="125" customFormat="false" ht="12.75" hidden="false" customHeight="true" outlineLevel="0" collapsed="false">
      <c r="B125" s="122" t="n">
        <f aca="false">B124+1</f>
        <v>122</v>
      </c>
      <c r="C125" s="123" t="s">
        <v>162</v>
      </c>
      <c r="D125" s="140" t="n">
        <v>61073</v>
      </c>
      <c r="E125" s="124" t="str">
        <f aca="false">IF(D125="","",IFERROR(VLOOKUP(D125,CCN_Library!$A$4:$B$13,2,FALSE()),"NOT IN LIBRARY"))</f>
        <v>COMPANY/BATTERY HEADQUARTERS, MARINE CORPS</v>
      </c>
      <c r="F125" s="125" t="str">
        <f aca="false">LEFT(H125,6)</f>
        <v>M28261</v>
      </c>
      <c r="G125" s="126" t="s">
        <v>128</v>
      </c>
      <c r="H125" s="126" t="s">
        <v>381</v>
      </c>
      <c r="I125" s="126" t="s">
        <v>379</v>
      </c>
      <c r="J125" s="126" t="s">
        <v>189</v>
      </c>
      <c r="K125" s="127" t="s">
        <v>380</v>
      </c>
      <c r="L125" s="126" t="s">
        <v>161</v>
      </c>
      <c r="M125" s="126" t="s">
        <v>133</v>
      </c>
      <c r="N125" s="126" t="s">
        <v>128</v>
      </c>
      <c r="O125" s="126" t="s">
        <v>135</v>
      </c>
      <c r="P125" s="126" t="s">
        <v>135</v>
      </c>
      <c r="Q125" s="128"/>
      <c r="R125" s="126" t="s">
        <v>136</v>
      </c>
      <c r="S125" s="126" t="s">
        <v>137</v>
      </c>
      <c r="T125" s="128"/>
      <c r="U125" s="129" t="n">
        <v>0</v>
      </c>
      <c r="V125" s="129" t="n">
        <v>0</v>
      </c>
      <c r="W125" s="129" t="n">
        <v>0</v>
      </c>
      <c r="X125" s="129" t="n">
        <v>0</v>
      </c>
      <c r="Y125" s="129" t="n">
        <v>0</v>
      </c>
      <c r="Z125" s="129" t="n">
        <v>0</v>
      </c>
      <c r="AA125" s="129" t="n">
        <v>1</v>
      </c>
      <c r="AB125" s="129" t="n">
        <v>0</v>
      </c>
      <c r="AC125" s="129" t="n">
        <v>0</v>
      </c>
      <c r="AD125" s="129" t="n">
        <v>0</v>
      </c>
      <c r="AE125" s="129" t="n">
        <v>0</v>
      </c>
      <c r="AF125" s="129" t="n">
        <v>0</v>
      </c>
      <c r="AG125" s="129" t="n">
        <v>0</v>
      </c>
      <c r="AH125" s="129" t="n">
        <v>0</v>
      </c>
      <c r="AI125" s="129" t="n">
        <v>0</v>
      </c>
      <c r="AJ125" s="129" t="n">
        <v>0</v>
      </c>
      <c r="AK125" s="129" t="n">
        <v>0</v>
      </c>
      <c r="AL125" s="129" t="n">
        <v>0</v>
      </c>
      <c r="AM125" s="129" t="n">
        <v>0</v>
      </c>
      <c r="AN125" s="128"/>
      <c r="AO125" s="128"/>
      <c r="AP125" s="126" t="s">
        <v>138</v>
      </c>
      <c r="AQ125" s="126" t="s">
        <v>139</v>
      </c>
      <c r="AR125" s="126" t="s">
        <v>140</v>
      </c>
      <c r="AS125" s="128"/>
      <c r="AT125" s="130"/>
    </row>
    <row r="126" customFormat="false" ht="12.75" hidden="false" customHeight="true" outlineLevel="0" collapsed="false">
      <c r="B126" s="122" t="n">
        <f aca="false">B125+1</f>
        <v>123</v>
      </c>
      <c r="C126" s="123" t="s">
        <v>162</v>
      </c>
      <c r="D126" s="140" t="n">
        <v>61073</v>
      </c>
      <c r="E126" s="124" t="str">
        <f aca="false">IF(D126="","",IFERROR(VLOOKUP(D126,CCN_Library!$A$4:$B$13,2,FALSE()),"NOT IN LIBRARY"))</f>
        <v>COMPANY/BATTERY HEADQUARTERS, MARINE CORPS</v>
      </c>
      <c r="F126" s="125" t="str">
        <f aca="false">LEFT(H126,6)</f>
        <v>M28261</v>
      </c>
      <c r="G126" s="126" t="s">
        <v>128</v>
      </c>
      <c r="H126" s="126" t="s">
        <v>382</v>
      </c>
      <c r="I126" s="126" t="s">
        <v>379</v>
      </c>
      <c r="J126" s="126" t="s">
        <v>189</v>
      </c>
      <c r="K126" s="127" t="s">
        <v>380</v>
      </c>
      <c r="L126" s="126" t="s">
        <v>161</v>
      </c>
      <c r="M126" s="126" t="s">
        <v>133</v>
      </c>
      <c r="N126" s="126" t="s">
        <v>128</v>
      </c>
      <c r="O126" s="126" t="s">
        <v>135</v>
      </c>
      <c r="P126" s="126" t="s">
        <v>135</v>
      </c>
      <c r="Q126" s="128"/>
      <c r="R126" s="126" t="s">
        <v>136</v>
      </c>
      <c r="S126" s="126" t="s">
        <v>137</v>
      </c>
      <c r="T126" s="128"/>
      <c r="U126" s="129" t="n">
        <v>0</v>
      </c>
      <c r="V126" s="129" t="n">
        <v>0</v>
      </c>
      <c r="W126" s="129" t="n">
        <v>0</v>
      </c>
      <c r="X126" s="129" t="n">
        <v>0</v>
      </c>
      <c r="Y126" s="129" t="n">
        <v>0</v>
      </c>
      <c r="Z126" s="129" t="n">
        <v>0</v>
      </c>
      <c r="AA126" s="129" t="n">
        <v>1</v>
      </c>
      <c r="AB126" s="129" t="n">
        <v>0</v>
      </c>
      <c r="AC126" s="129" t="n">
        <v>0</v>
      </c>
      <c r="AD126" s="129" t="n">
        <v>0</v>
      </c>
      <c r="AE126" s="129" t="n">
        <v>0</v>
      </c>
      <c r="AF126" s="129" t="n">
        <v>0</v>
      </c>
      <c r="AG126" s="129" t="n">
        <v>0</v>
      </c>
      <c r="AH126" s="129" t="n">
        <v>0</v>
      </c>
      <c r="AI126" s="129" t="n">
        <v>0</v>
      </c>
      <c r="AJ126" s="129" t="n">
        <v>0</v>
      </c>
      <c r="AK126" s="129" t="n">
        <v>0</v>
      </c>
      <c r="AL126" s="129" t="n">
        <v>0</v>
      </c>
      <c r="AM126" s="129" t="n">
        <v>0</v>
      </c>
      <c r="AN126" s="128"/>
      <c r="AO126" s="128"/>
      <c r="AP126" s="126" t="s">
        <v>138</v>
      </c>
      <c r="AQ126" s="126" t="s">
        <v>139</v>
      </c>
      <c r="AR126" s="126" t="s">
        <v>140</v>
      </c>
      <c r="AS126" s="128"/>
      <c r="AT126" s="130"/>
    </row>
    <row r="127" customFormat="false" ht="12.75" hidden="false" customHeight="true" outlineLevel="0" collapsed="false">
      <c r="B127" s="122" t="n">
        <f aca="false">B126+1</f>
        <v>124</v>
      </c>
      <c r="C127" s="123" t="s">
        <v>168</v>
      </c>
      <c r="D127" s="140" t="n">
        <v>61073</v>
      </c>
      <c r="E127" s="124" t="str">
        <f aca="false">IF(D127="","",IFERROR(VLOOKUP(D127,CCN_Library!$A$4:$B$13,2,FALSE()),"NOT IN LIBRARY"))</f>
        <v>COMPANY/BATTERY HEADQUARTERS, MARINE CORPS</v>
      </c>
      <c r="F127" s="125" t="str">
        <f aca="false">LEFT(H127,6)</f>
        <v>M28261</v>
      </c>
      <c r="G127" s="126" t="s">
        <v>128</v>
      </c>
      <c r="H127" s="126" t="s">
        <v>383</v>
      </c>
      <c r="I127" s="126" t="s">
        <v>379</v>
      </c>
      <c r="J127" s="126" t="s">
        <v>191</v>
      </c>
      <c r="K127" s="127" t="s">
        <v>380</v>
      </c>
      <c r="L127" s="126" t="s">
        <v>161</v>
      </c>
      <c r="M127" s="126" t="s">
        <v>133</v>
      </c>
      <c r="N127" s="126" t="s">
        <v>128</v>
      </c>
      <c r="O127" s="126" t="s">
        <v>135</v>
      </c>
      <c r="P127" s="126" t="s">
        <v>135</v>
      </c>
      <c r="Q127" s="128"/>
      <c r="R127" s="126" t="s">
        <v>136</v>
      </c>
      <c r="S127" s="126" t="s">
        <v>58</v>
      </c>
      <c r="T127" s="128"/>
      <c r="U127" s="129" t="n">
        <v>0</v>
      </c>
      <c r="V127" s="129" t="n">
        <v>0</v>
      </c>
      <c r="W127" s="129" t="n">
        <v>0</v>
      </c>
      <c r="X127" s="129" t="n">
        <v>0</v>
      </c>
      <c r="Y127" s="129" t="n">
        <v>0</v>
      </c>
      <c r="Z127" s="129" t="n">
        <v>0</v>
      </c>
      <c r="AA127" s="129" t="n">
        <v>1</v>
      </c>
      <c r="AB127" s="129" t="n">
        <v>0</v>
      </c>
      <c r="AC127" s="129" t="n">
        <v>0</v>
      </c>
      <c r="AD127" s="129" t="n">
        <v>0</v>
      </c>
      <c r="AE127" s="129" t="n">
        <v>0</v>
      </c>
      <c r="AF127" s="129" t="n">
        <v>0</v>
      </c>
      <c r="AG127" s="129" t="n">
        <v>0</v>
      </c>
      <c r="AH127" s="129" t="n">
        <v>0</v>
      </c>
      <c r="AI127" s="129" t="n">
        <v>0</v>
      </c>
      <c r="AJ127" s="129" t="n">
        <v>0</v>
      </c>
      <c r="AK127" s="129" t="n">
        <v>0</v>
      </c>
      <c r="AL127" s="129" t="n">
        <v>0</v>
      </c>
      <c r="AM127" s="129" t="n">
        <v>0</v>
      </c>
      <c r="AN127" s="126" t="s">
        <v>384</v>
      </c>
      <c r="AO127" s="126" t="s">
        <v>385</v>
      </c>
      <c r="AP127" s="126" t="s">
        <v>138</v>
      </c>
      <c r="AQ127" s="126" t="s">
        <v>139</v>
      </c>
      <c r="AR127" s="126" t="s">
        <v>386</v>
      </c>
      <c r="AS127" s="128"/>
      <c r="AT127" s="130"/>
    </row>
    <row r="128" customFormat="false" ht="12.75" hidden="false" customHeight="true" outlineLevel="0" collapsed="false">
      <c r="B128" s="122" t="n">
        <f aca="false">B127+1</f>
        <v>125</v>
      </c>
      <c r="C128" s="123" t="s">
        <v>168</v>
      </c>
      <c r="D128" s="140" t="n">
        <v>61073</v>
      </c>
      <c r="E128" s="124" t="str">
        <f aca="false">IF(D128="","",IFERROR(VLOOKUP(D128,CCN_Library!$A$4:$B$13,2,FALSE()),"NOT IN LIBRARY"))</f>
        <v>COMPANY/BATTERY HEADQUARTERS, MARINE CORPS</v>
      </c>
      <c r="F128" s="125" t="str">
        <f aca="false">LEFT(H128,6)</f>
        <v>M28261</v>
      </c>
      <c r="G128" s="126" t="s">
        <v>128</v>
      </c>
      <c r="H128" s="126" t="s">
        <v>387</v>
      </c>
      <c r="I128" s="126" t="s">
        <v>379</v>
      </c>
      <c r="J128" s="126" t="s">
        <v>191</v>
      </c>
      <c r="K128" s="127" t="s">
        <v>380</v>
      </c>
      <c r="L128" s="126" t="s">
        <v>161</v>
      </c>
      <c r="M128" s="126" t="s">
        <v>133</v>
      </c>
      <c r="N128" s="126" t="s">
        <v>128</v>
      </c>
      <c r="O128" s="126" t="s">
        <v>135</v>
      </c>
      <c r="P128" s="126" t="s">
        <v>135</v>
      </c>
      <c r="Q128" s="128"/>
      <c r="R128" s="126" t="s">
        <v>136</v>
      </c>
      <c r="S128" s="126" t="s">
        <v>58</v>
      </c>
      <c r="T128" s="128"/>
      <c r="U128" s="129" t="n">
        <v>0</v>
      </c>
      <c r="V128" s="129" t="n">
        <v>0</v>
      </c>
      <c r="W128" s="129" t="n">
        <v>0</v>
      </c>
      <c r="X128" s="129" t="n">
        <v>0</v>
      </c>
      <c r="Y128" s="129" t="n">
        <v>0</v>
      </c>
      <c r="Z128" s="129" t="n">
        <v>0</v>
      </c>
      <c r="AA128" s="129" t="n">
        <v>1</v>
      </c>
      <c r="AB128" s="129" t="n">
        <v>0</v>
      </c>
      <c r="AC128" s="129" t="n">
        <v>0</v>
      </c>
      <c r="AD128" s="129" t="n">
        <v>0</v>
      </c>
      <c r="AE128" s="129" t="n">
        <v>0</v>
      </c>
      <c r="AF128" s="129" t="n">
        <v>0</v>
      </c>
      <c r="AG128" s="129" t="n">
        <v>0</v>
      </c>
      <c r="AH128" s="129" t="n">
        <v>0</v>
      </c>
      <c r="AI128" s="129" t="n">
        <v>0</v>
      </c>
      <c r="AJ128" s="129" t="n">
        <v>0</v>
      </c>
      <c r="AK128" s="129" t="n">
        <v>0</v>
      </c>
      <c r="AL128" s="129" t="n">
        <v>0</v>
      </c>
      <c r="AM128" s="129" t="n">
        <v>0</v>
      </c>
      <c r="AN128" s="128"/>
      <c r="AO128" s="128"/>
      <c r="AP128" s="126" t="s">
        <v>138</v>
      </c>
      <c r="AQ128" s="126" t="s">
        <v>139</v>
      </c>
      <c r="AR128" s="126" t="s">
        <v>140</v>
      </c>
      <c r="AS128" s="128"/>
      <c r="AT128" s="139"/>
    </row>
    <row r="129" customFormat="false" ht="12.75" hidden="false" customHeight="true" outlineLevel="0" collapsed="false">
      <c r="B129" s="122" t="n">
        <f aca="false">B128+1</f>
        <v>126</v>
      </c>
      <c r="C129" s="123" t="s">
        <v>168</v>
      </c>
      <c r="D129" s="140" t="n">
        <v>61073</v>
      </c>
      <c r="E129" s="124" t="str">
        <f aca="false">IF(D129="","",IFERROR(VLOOKUP(D129,CCN_Library!$A$4:$B$13,2,FALSE()),"NOT IN LIBRARY"))</f>
        <v>COMPANY/BATTERY HEADQUARTERS, MARINE CORPS</v>
      </c>
      <c r="F129" s="125" t="str">
        <f aca="false">LEFT(H129,6)</f>
        <v>M28261</v>
      </c>
      <c r="G129" s="126" t="s">
        <v>128</v>
      </c>
      <c r="H129" s="126" t="s">
        <v>388</v>
      </c>
      <c r="I129" s="126" t="s">
        <v>379</v>
      </c>
      <c r="J129" s="126" t="s">
        <v>191</v>
      </c>
      <c r="K129" s="127" t="s">
        <v>380</v>
      </c>
      <c r="L129" s="126" t="s">
        <v>161</v>
      </c>
      <c r="M129" s="126" t="s">
        <v>133</v>
      </c>
      <c r="N129" s="126" t="s">
        <v>128</v>
      </c>
      <c r="O129" s="126" t="s">
        <v>135</v>
      </c>
      <c r="P129" s="126" t="s">
        <v>135</v>
      </c>
      <c r="Q129" s="128"/>
      <c r="R129" s="126" t="s">
        <v>136</v>
      </c>
      <c r="S129" s="126" t="s">
        <v>58</v>
      </c>
      <c r="T129" s="128"/>
      <c r="U129" s="129" t="n">
        <v>0</v>
      </c>
      <c r="V129" s="129" t="n">
        <v>0</v>
      </c>
      <c r="W129" s="129" t="n">
        <v>0</v>
      </c>
      <c r="X129" s="129" t="n">
        <v>0</v>
      </c>
      <c r="Y129" s="129" t="n">
        <v>0</v>
      </c>
      <c r="Z129" s="129" t="n">
        <v>0</v>
      </c>
      <c r="AA129" s="129" t="n">
        <v>1</v>
      </c>
      <c r="AB129" s="129" t="n">
        <v>0</v>
      </c>
      <c r="AC129" s="129" t="n">
        <v>0</v>
      </c>
      <c r="AD129" s="129" t="n">
        <v>0</v>
      </c>
      <c r="AE129" s="129" t="n">
        <v>0</v>
      </c>
      <c r="AF129" s="129" t="n">
        <v>0</v>
      </c>
      <c r="AG129" s="129" t="n">
        <v>0</v>
      </c>
      <c r="AH129" s="129" t="n">
        <v>0</v>
      </c>
      <c r="AI129" s="129" t="n">
        <v>0</v>
      </c>
      <c r="AJ129" s="129" t="n">
        <v>0</v>
      </c>
      <c r="AK129" s="129" t="n">
        <v>0</v>
      </c>
      <c r="AL129" s="129" t="n">
        <v>0</v>
      </c>
      <c r="AM129" s="129" t="n">
        <v>0</v>
      </c>
      <c r="AN129" s="128"/>
      <c r="AO129" s="128"/>
      <c r="AP129" s="126" t="s">
        <v>138</v>
      </c>
      <c r="AQ129" s="126" t="s">
        <v>139</v>
      </c>
      <c r="AR129" s="126" t="s">
        <v>140</v>
      </c>
      <c r="AS129" s="128"/>
      <c r="AT129" s="130"/>
    </row>
    <row r="130" customFormat="false" ht="12.75" hidden="false" customHeight="true" outlineLevel="0" collapsed="false">
      <c r="B130" s="122" t="n">
        <f aca="false">B129+1</f>
        <v>127</v>
      </c>
      <c r="C130" s="123" t="s">
        <v>168</v>
      </c>
      <c r="D130" s="140" t="n">
        <v>61073</v>
      </c>
      <c r="E130" s="124" t="str">
        <f aca="false">IF(D130="","",IFERROR(VLOOKUP(D130,CCN_Library!$A$4:$B$13,2,FALSE()),"NOT IN LIBRARY"))</f>
        <v>COMPANY/BATTERY HEADQUARTERS, MARINE CORPS</v>
      </c>
      <c r="F130" s="125" t="str">
        <f aca="false">LEFT(H130,6)</f>
        <v>M28261</v>
      </c>
      <c r="G130" s="126" t="s">
        <v>128</v>
      </c>
      <c r="H130" s="126" t="s">
        <v>389</v>
      </c>
      <c r="I130" s="126" t="s">
        <v>379</v>
      </c>
      <c r="J130" s="126" t="s">
        <v>191</v>
      </c>
      <c r="K130" s="127" t="s">
        <v>380</v>
      </c>
      <c r="L130" s="126" t="s">
        <v>161</v>
      </c>
      <c r="M130" s="126" t="s">
        <v>133</v>
      </c>
      <c r="N130" s="126" t="s">
        <v>128</v>
      </c>
      <c r="O130" s="126" t="s">
        <v>135</v>
      </c>
      <c r="P130" s="126" t="s">
        <v>135</v>
      </c>
      <c r="Q130" s="128"/>
      <c r="R130" s="126" t="s">
        <v>136</v>
      </c>
      <c r="S130" s="126" t="s">
        <v>58</v>
      </c>
      <c r="T130" s="128"/>
      <c r="U130" s="129" t="n">
        <v>0</v>
      </c>
      <c r="V130" s="129" t="n">
        <v>0</v>
      </c>
      <c r="W130" s="129" t="n">
        <v>0</v>
      </c>
      <c r="X130" s="129" t="n">
        <v>0</v>
      </c>
      <c r="Y130" s="129" t="n">
        <v>0</v>
      </c>
      <c r="Z130" s="129" t="n">
        <v>0</v>
      </c>
      <c r="AA130" s="129" t="n">
        <v>1</v>
      </c>
      <c r="AB130" s="129" t="n">
        <v>0</v>
      </c>
      <c r="AC130" s="129" t="n">
        <v>0</v>
      </c>
      <c r="AD130" s="129" t="n">
        <v>0</v>
      </c>
      <c r="AE130" s="129" t="n">
        <v>0</v>
      </c>
      <c r="AF130" s="129" t="n">
        <v>0</v>
      </c>
      <c r="AG130" s="129" t="n">
        <v>0</v>
      </c>
      <c r="AH130" s="129" t="n">
        <v>0</v>
      </c>
      <c r="AI130" s="129" t="n">
        <v>0</v>
      </c>
      <c r="AJ130" s="129" t="n">
        <v>0</v>
      </c>
      <c r="AK130" s="129" t="n">
        <v>0</v>
      </c>
      <c r="AL130" s="129" t="n">
        <v>0</v>
      </c>
      <c r="AM130" s="129" t="n">
        <v>0</v>
      </c>
      <c r="AN130" s="128"/>
      <c r="AO130" s="128"/>
      <c r="AP130" s="126" t="s">
        <v>138</v>
      </c>
      <c r="AQ130" s="126" t="s">
        <v>139</v>
      </c>
      <c r="AR130" s="126" t="s">
        <v>140</v>
      </c>
      <c r="AS130" s="128"/>
      <c r="AT130" s="130"/>
    </row>
    <row r="131" customFormat="false" ht="12.75" hidden="false" customHeight="true" outlineLevel="0" collapsed="false">
      <c r="B131" s="122" t="n">
        <f aca="false">B130+1</f>
        <v>128</v>
      </c>
      <c r="C131" s="123" t="s">
        <v>168</v>
      </c>
      <c r="D131" s="140" t="n">
        <v>61073</v>
      </c>
      <c r="E131" s="124" t="str">
        <f aca="false">IF(D131="","",IFERROR(VLOOKUP(D131,CCN_Library!$A$4:$B$13,2,FALSE()),"NOT IN LIBRARY"))</f>
        <v>COMPANY/BATTERY HEADQUARTERS, MARINE CORPS</v>
      </c>
      <c r="F131" s="125" t="str">
        <f aca="false">LEFT(H131,6)</f>
        <v>M28261</v>
      </c>
      <c r="G131" s="126" t="s">
        <v>128</v>
      </c>
      <c r="H131" s="126" t="s">
        <v>390</v>
      </c>
      <c r="I131" s="126" t="s">
        <v>379</v>
      </c>
      <c r="J131" s="126" t="s">
        <v>191</v>
      </c>
      <c r="K131" s="127" t="s">
        <v>380</v>
      </c>
      <c r="L131" s="126" t="s">
        <v>161</v>
      </c>
      <c r="M131" s="126" t="s">
        <v>133</v>
      </c>
      <c r="N131" s="126" t="s">
        <v>128</v>
      </c>
      <c r="O131" s="126" t="s">
        <v>135</v>
      </c>
      <c r="P131" s="126" t="s">
        <v>135</v>
      </c>
      <c r="Q131" s="128"/>
      <c r="R131" s="126" t="s">
        <v>136</v>
      </c>
      <c r="S131" s="126" t="s">
        <v>58</v>
      </c>
      <c r="T131" s="128"/>
      <c r="U131" s="129" t="n">
        <v>0</v>
      </c>
      <c r="V131" s="129" t="n">
        <v>0</v>
      </c>
      <c r="W131" s="129" t="n">
        <v>0</v>
      </c>
      <c r="X131" s="129" t="n">
        <v>0</v>
      </c>
      <c r="Y131" s="129" t="n">
        <v>0</v>
      </c>
      <c r="Z131" s="129" t="n">
        <v>0</v>
      </c>
      <c r="AA131" s="129" t="n">
        <v>1</v>
      </c>
      <c r="AB131" s="129" t="n">
        <v>0</v>
      </c>
      <c r="AC131" s="129" t="n">
        <v>0</v>
      </c>
      <c r="AD131" s="129" t="n">
        <v>0</v>
      </c>
      <c r="AE131" s="129" t="n">
        <v>0</v>
      </c>
      <c r="AF131" s="129" t="n">
        <v>0</v>
      </c>
      <c r="AG131" s="129" t="n">
        <v>0</v>
      </c>
      <c r="AH131" s="129" t="n">
        <v>0</v>
      </c>
      <c r="AI131" s="129" t="n">
        <v>0</v>
      </c>
      <c r="AJ131" s="129" t="n">
        <v>0</v>
      </c>
      <c r="AK131" s="129" t="n">
        <v>0</v>
      </c>
      <c r="AL131" s="129" t="n">
        <v>0</v>
      </c>
      <c r="AM131" s="129" t="n">
        <v>0</v>
      </c>
      <c r="AN131" s="128"/>
      <c r="AO131" s="128"/>
      <c r="AP131" s="126" t="s">
        <v>138</v>
      </c>
      <c r="AQ131" s="126" t="s">
        <v>139</v>
      </c>
      <c r="AR131" s="126" t="s">
        <v>140</v>
      </c>
      <c r="AS131" s="128"/>
      <c r="AT131" s="130"/>
    </row>
    <row r="132" customFormat="false" ht="12.75" hidden="false" customHeight="true" outlineLevel="0" collapsed="false">
      <c r="B132" s="122" t="n">
        <f aca="false">B131+1</f>
        <v>129</v>
      </c>
      <c r="C132" s="123" t="s">
        <v>168</v>
      </c>
      <c r="D132" s="140" t="n">
        <v>61073</v>
      </c>
      <c r="E132" s="124" t="str">
        <f aca="false">IF(D132="","",IFERROR(VLOOKUP(D132,CCN_Library!$A$4:$B$13,2,FALSE()),"NOT IN LIBRARY"))</f>
        <v>COMPANY/BATTERY HEADQUARTERS, MARINE CORPS</v>
      </c>
      <c r="F132" s="125" t="str">
        <f aca="false">LEFT(H132,6)</f>
        <v>M28261</v>
      </c>
      <c r="G132" s="126" t="s">
        <v>128</v>
      </c>
      <c r="H132" s="126" t="s">
        <v>391</v>
      </c>
      <c r="I132" s="126" t="s">
        <v>379</v>
      </c>
      <c r="J132" s="126" t="s">
        <v>191</v>
      </c>
      <c r="K132" s="127" t="s">
        <v>380</v>
      </c>
      <c r="L132" s="126" t="s">
        <v>161</v>
      </c>
      <c r="M132" s="126" t="s">
        <v>133</v>
      </c>
      <c r="N132" s="126" t="s">
        <v>128</v>
      </c>
      <c r="O132" s="126" t="s">
        <v>135</v>
      </c>
      <c r="P132" s="126" t="s">
        <v>135</v>
      </c>
      <c r="Q132" s="128"/>
      <c r="R132" s="126" t="s">
        <v>136</v>
      </c>
      <c r="S132" s="126" t="s">
        <v>58</v>
      </c>
      <c r="T132" s="128"/>
      <c r="U132" s="129" t="n">
        <v>0</v>
      </c>
      <c r="V132" s="129" t="n">
        <v>0</v>
      </c>
      <c r="W132" s="129" t="n">
        <v>0</v>
      </c>
      <c r="X132" s="129" t="n">
        <v>0</v>
      </c>
      <c r="Y132" s="129" t="n">
        <v>0</v>
      </c>
      <c r="Z132" s="129" t="n">
        <v>0</v>
      </c>
      <c r="AA132" s="129" t="n">
        <v>1</v>
      </c>
      <c r="AB132" s="129" t="n">
        <v>0</v>
      </c>
      <c r="AC132" s="129" t="n">
        <v>0</v>
      </c>
      <c r="AD132" s="129" t="n">
        <v>0</v>
      </c>
      <c r="AE132" s="129" t="n">
        <v>0</v>
      </c>
      <c r="AF132" s="129" t="n">
        <v>0</v>
      </c>
      <c r="AG132" s="129" t="n">
        <v>0</v>
      </c>
      <c r="AH132" s="129" t="n">
        <v>0</v>
      </c>
      <c r="AI132" s="129" t="n">
        <v>0</v>
      </c>
      <c r="AJ132" s="129" t="n">
        <v>0</v>
      </c>
      <c r="AK132" s="129" t="n">
        <v>0</v>
      </c>
      <c r="AL132" s="129" t="n">
        <v>0</v>
      </c>
      <c r="AM132" s="129" t="n">
        <v>0</v>
      </c>
      <c r="AN132" s="128"/>
      <c r="AO132" s="128"/>
      <c r="AP132" s="126" t="s">
        <v>138</v>
      </c>
      <c r="AQ132" s="126" t="s">
        <v>139</v>
      </c>
      <c r="AR132" s="126" t="s">
        <v>140</v>
      </c>
      <c r="AS132" s="128"/>
      <c r="AT132" s="130"/>
    </row>
    <row r="133" customFormat="false" ht="12.75" hidden="false" customHeight="true" outlineLevel="0" collapsed="false">
      <c r="B133" s="122" t="n">
        <f aca="false">B132+1</f>
        <v>130</v>
      </c>
      <c r="C133" s="123" t="s">
        <v>168</v>
      </c>
      <c r="D133" s="140" t="n">
        <v>61073</v>
      </c>
      <c r="E133" s="124" t="str">
        <f aca="false">IF(D133="","",IFERROR(VLOOKUP(D133,CCN_Library!$A$4:$B$13,2,FALSE()),"NOT IN LIBRARY"))</f>
        <v>COMPANY/BATTERY HEADQUARTERS, MARINE CORPS</v>
      </c>
      <c r="F133" s="125" t="str">
        <f aca="false">LEFT(H133,6)</f>
        <v>M28261</v>
      </c>
      <c r="G133" s="126" t="s">
        <v>128</v>
      </c>
      <c r="H133" s="126" t="s">
        <v>392</v>
      </c>
      <c r="I133" s="126" t="s">
        <v>379</v>
      </c>
      <c r="J133" s="126" t="s">
        <v>191</v>
      </c>
      <c r="K133" s="127" t="s">
        <v>380</v>
      </c>
      <c r="L133" s="126" t="s">
        <v>161</v>
      </c>
      <c r="M133" s="126" t="s">
        <v>133</v>
      </c>
      <c r="N133" s="126" t="s">
        <v>128</v>
      </c>
      <c r="O133" s="126" t="s">
        <v>135</v>
      </c>
      <c r="P133" s="126" t="s">
        <v>135</v>
      </c>
      <c r="Q133" s="128"/>
      <c r="R133" s="126" t="s">
        <v>136</v>
      </c>
      <c r="S133" s="126" t="s">
        <v>58</v>
      </c>
      <c r="T133" s="128"/>
      <c r="U133" s="129" t="n">
        <v>0</v>
      </c>
      <c r="V133" s="129" t="n">
        <v>0</v>
      </c>
      <c r="W133" s="129" t="n">
        <v>0</v>
      </c>
      <c r="X133" s="129" t="n">
        <v>0</v>
      </c>
      <c r="Y133" s="129" t="n">
        <v>0</v>
      </c>
      <c r="Z133" s="129" t="n">
        <v>0</v>
      </c>
      <c r="AA133" s="129" t="n">
        <v>1</v>
      </c>
      <c r="AB133" s="129" t="n">
        <v>0</v>
      </c>
      <c r="AC133" s="129" t="n">
        <v>0</v>
      </c>
      <c r="AD133" s="129" t="n">
        <v>0</v>
      </c>
      <c r="AE133" s="129" t="n">
        <v>0</v>
      </c>
      <c r="AF133" s="129" t="n">
        <v>0</v>
      </c>
      <c r="AG133" s="129" t="n">
        <v>0</v>
      </c>
      <c r="AH133" s="129" t="n">
        <v>0</v>
      </c>
      <c r="AI133" s="129" t="n">
        <v>0</v>
      </c>
      <c r="AJ133" s="129" t="n">
        <v>0</v>
      </c>
      <c r="AK133" s="129" t="n">
        <v>0</v>
      </c>
      <c r="AL133" s="129" t="n">
        <v>0</v>
      </c>
      <c r="AM133" s="129" t="n">
        <v>0</v>
      </c>
      <c r="AN133" s="128"/>
      <c r="AO133" s="128"/>
      <c r="AP133" s="126" t="s">
        <v>138</v>
      </c>
      <c r="AQ133" s="126" t="s">
        <v>139</v>
      </c>
      <c r="AR133" s="126" t="s">
        <v>140</v>
      </c>
      <c r="AS133" s="128"/>
      <c r="AT133" s="130"/>
    </row>
    <row r="134" customFormat="false" ht="12.75" hidden="false" customHeight="true" outlineLevel="0" collapsed="false">
      <c r="B134" s="122" t="n">
        <f aca="false">B133+1</f>
        <v>131</v>
      </c>
      <c r="C134" s="123" t="s">
        <v>168</v>
      </c>
      <c r="D134" s="140" t="n">
        <v>61073</v>
      </c>
      <c r="E134" s="124" t="str">
        <f aca="false">IF(D134="","",IFERROR(VLOOKUP(D134,CCN_Library!$A$4:$B$13,2,FALSE()),"NOT IN LIBRARY"))</f>
        <v>COMPANY/BATTERY HEADQUARTERS, MARINE CORPS</v>
      </c>
      <c r="F134" s="125" t="str">
        <f aca="false">LEFT(H134,6)</f>
        <v>M28261</v>
      </c>
      <c r="G134" s="126" t="s">
        <v>128</v>
      </c>
      <c r="H134" s="126" t="s">
        <v>393</v>
      </c>
      <c r="I134" s="126" t="s">
        <v>379</v>
      </c>
      <c r="J134" s="126" t="s">
        <v>176</v>
      </c>
      <c r="K134" s="127" t="s">
        <v>380</v>
      </c>
      <c r="L134" s="126" t="s">
        <v>161</v>
      </c>
      <c r="M134" s="126" t="s">
        <v>133</v>
      </c>
      <c r="N134" s="126" t="s">
        <v>128</v>
      </c>
      <c r="O134" s="126" t="s">
        <v>135</v>
      </c>
      <c r="P134" s="126" t="s">
        <v>135</v>
      </c>
      <c r="Q134" s="128"/>
      <c r="R134" s="126" t="s">
        <v>136</v>
      </c>
      <c r="S134" s="126" t="s">
        <v>58</v>
      </c>
      <c r="T134" s="128"/>
      <c r="U134" s="129" t="n">
        <v>0</v>
      </c>
      <c r="V134" s="129" t="n">
        <v>0</v>
      </c>
      <c r="W134" s="129" t="n">
        <v>0</v>
      </c>
      <c r="X134" s="129" t="n">
        <v>0</v>
      </c>
      <c r="Y134" s="129" t="n">
        <v>0</v>
      </c>
      <c r="Z134" s="129" t="n">
        <v>0</v>
      </c>
      <c r="AA134" s="129" t="n">
        <v>1</v>
      </c>
      <c r="AB134" s="129" t="n">
        <v>0</v>
      </c>
      <c r="AC134" s="129" t="n">
        <v>0</v>
      </c>
      <c r="AD134" s="129" t="n">
        <v>0</v>
      </c>
      <c r="AE134" s="129" t="n">
        <v>0</v>
      </c>
      <c r="AF134" s="129" t="n">
        <v>0</v>
      </c>
      <c r="AG134" s="129" t="n">
        <v>0</v>
      </c>
      <c r="AH134" s="129" t="n">
        <v>0</v>
      </c>
      <c r="AI134" s="129" t="n">
        <v>0</v>
      </c>
      <c r="AJ134" s="129" t="n">
        <v>0</v>
      </c>
      <c r="AK134" s="129" t="n">
        <v>0</v>
      </c>
      <c r="AL134" s="129" t="n">
        <v>0</v>
      </c>
      <c r="AM134" s="129" t="n">
        <v>0</v>
      </c>
      <c r="AN134" s="128"/>
      <c r="AO134" s="128"/>
      <c r="AP134" s="126" t="s">
        <v>138</v>
      </c>
      <c r="AQ134" s="126" t="s">
        <v>139</v>
      </c>
      <c r="AR134" s="126" t="s">
        <v>140</v>
      </c>
      <c r="AS134" s="128"/>
      <c r="AT134" s="130"/>
    </row>
    <row r="135" customFormat="false" ht="12.75" hidden="false" customHeight="true" outlineLevel="0" collapsed="false">
      <c r="B135" s="122" t="n">
        <f aca="false">B134+1</f>
        <v>132</v>
      </c>
      <c r="C135" s="123" t="s">
        <v>168</v>
      </c>
      <c r="D135" s="140" t="n">
        <v>61073</v>
      </c>
      <c r="E135" s="124" t="str">
        <f aca="false">IF(D135="","",IFERROR(VLOOKUP(D135,CCN_Library!$A$4:$B$13,2,FALSE()),"NOT IN LIBRARY"))</f>
        <v>COMPANY/BATTERY HEADQUARTERS, MARINE CORPS</v>
      </c>
      <c r="F135" s="125" t="str">
        <f aca="false">LEFT(H135,6)</f>
        <v>M28261</v>
      </c>
      <c r="G135" s="126" t="s">
        <v>128</v>
      </c>
      <c r="H135" s="126" t="s">
        <v>394</v>
      </c>
      <c r="I135" s="126" t="s">
        <v>379</v>
      </c>
      <c r="J135" s="126" t="s">
        <v>176</v>
      </c>
      <c r="K135" s="127" t="s">
        <v>380</v>
      </c>
      <c r="L135" s="126" t="s">
        <v>161</v>
      </c>
      <c r="M135" s="126" t="s">
        <v>133</v>
      </c>
      <c r="N135" s="126" t="s">
        <v>128</v>
      </c>
      <c r="O135" s="126" t="s">
        <v>135</v>
      </c>
      <c r="P135" s="126" t="s">
        <v>135</v>
      </c>
      <c r="Q135" s="128"/>
      <c r="R135" s="126" t="s">
        <v>136</v>
      </c>
      <c r="S135" s="126" t="s">
        <v>58</v>
      </c>
      <c r="T135" s="128"/>
      <c r="U135" s="129" t="n">
        <v>0</v>
      </c>
      <c r="V135" s="129" t="n">
        <v>0</v>
      </c>
      <c r="W135" s="129" t="n">
        <v>0</v>
      </c>
      <c r="X135" s="129" t="n">
        <v>0</v>
      </c>
      <c r="Y135" s="129" t="n">
        <v>0</v>
      </c>
      <c r="Z135" s="129" t="n">
        <v>0</v>
      </c>
      <c r="AA135" s="129" t="n">
        <v>1</v>
      </c>
      <c r="AB135" s="129" t="n">
        <v>0</v>
      </c>
      <c r="AC135" s="129" t="n">
        <v>0</v>
      </c>
      <c r="AD135" s="129" t="n">
        <v>0</v>
      </c>
      <c r="AE135" s="129" t="n">
        <v>0</v>
      </c>
      <c r="AF135" s="129" t="n">
        <v>0</v>
      </c>
      <c r="AG135" s="129" t="n">
        <v>0</v>
      </c>
      <c r="AH135" s="129" t="n">
        <v>0</v>
      </c>
      <c r="AI135" s="129" t="n">
        <v>0</v>
      </c>
      <c r="AJ135" s="129" t="n">
        <v>0</v>
      </c>
      <c r="AK135" s="129" t="n">
        <v>0</v>
      </c>
      <c r="AL135" s="129" t="n">
        <v>0</v>
      </c>
      <c r="AM135" s="129" t="n">
        <v>0</v>
      </c>
      <c r="AN135" s="128"/>
      <c r="AO135" s="128"/>
      <c r="AP135" s="126" t="s">
        <v>138</v>
      </c>
      <c r="AQ135" s="126" t="s">
        <v>139</v>
      </c>
      <c r="AR135" s="126" t="s">
        <v>140</v>
      </c>
      <c r="AS135" s="128"/>
      <c r="AT135" s="130"/>
    </row>
    <row r="136" customFormat="false" ht="12.75" hidden="false" customHeight="true" outlineLevel="0" collapsed="false">
      <c r="B136" s="122" t="n">
        <f aca="false">B135+1</f>
        <v>133</v>
      </c>
      <c r="C136" s="123" t="s">
        <v>168</v>
      </c>
      <c r="D136" s="140" t="n">
        <v>61073</v>
      </c>
      <c r="E136" s="124" t="str">
        <f aca="false">IF(D136="","",IFERROR(VLOOKUP(D136,CCN_Library!$A$4:$B$13,2,FALSE()),"NOT IN LIBRARY"))</f>
        <v>COMPANY/BATTERY HEADQUARTERS, MARINE CORPS</v>
      </c>
      <c r="F136" s="125" t="str">
        <f aca="false">LEFT(H136,6)</f>
        <v>M28261</v>
      </c>
      <c r="G136" s="126" t="s">
        <v>128</v>
      </c>
      <c r="H136" s="126" t="s">
        <v>395</v>
      </c>
      <c r="I136" s="126" t="s">
        <v>379</v>
      </c>
      <c r="J136" s="126" t="s">
        <v>176</v>
      </c>
      <c r="K136" s="127" t="s">
        <v>380</v>
      </c>
      <c r="L136" s="126" t="s">
        <v>161</v>
      </c>
      <c r="M136" s="126" t="s">
        <v>133</v>
      </c>
      <c r="N136" s="126" t="s">
        <v>128</v>
      </c>
      <c r="O136" s="126" t="s">
        <v>135</v>
      </c>
      <c r="P136" s="126" t="s">
        <v>135</v>
      </c>
      <c r="Q136" s="128"/>
      <c r="R136" s="126" t="s">
        <v>136</v>
      </c>
      <c r="S136" s="126" t="s">
        <v>58</v>
      </c>
      <c r="T136" s="128"/>
      <c r="U136" s="129" t="n">
        <v>0</v>
      </c>
      <c r="V136" s="129" t="n">
        <v>0</v>
      </c>
      <c r="W136" s="129" t="n">
        <v>0</v>
      </c>
      <c r="X136" s="129" t="n">
        <v>0</v>
      </c>
      <c r="Y136" s="129" t="n">
        <v>0</v>
      </c>
      <c r="Z136" s="129" t="n">
        <v>0</v>
      </c>
      <c r="AA136" s="129" t="n">
        <v>1</v>
      </c>
      <c r="AB136" s="129" t="n">
        <v>0</v>
      </c>
      <c r="AC136" s="129" t="n">
        <v>0</v>
      </c>
      <c r="AD136" s="129" t="n">
        <v>0</v>
      </c>
      <c r="AE136" s="129" t="n">
        <v>0</v>
      </c>
      <c r="AF136" s="129" t="n">
        <v>0</v>
      </c>
      <c r="AG136" s="129" t="n">
        <v>0</v>
      </c>
      <c r="AH136" s="129" t="n">
        <v>0</v>
      </c>
      <c r="AI136" s="129" t="n">
        <v>0</v>
      </c>
      <c r="AJ136" s="129" t="n">
        <v>0</v>
      </c>
      <c r="AK136" s="129" t="n">
        <v>0</v>
      </c>
      <c r="AL136" s="129" t="n">
        <v>0</v>
      </c>
      <c r="AM136" s="129" t="n">
        <v>0</v>
      </c>
      <c r="AN136" s="128"/>
      <c r="AO136" s="128"/>
      <c r="AP136" s="126" t="s">
        <v>138</v>
      </c>
      <c r="AQ136" s="126" t="s">
        <v>139</v>
      </c>
      <c r="AR136" s="126" t="s">
        <v>140</v>
      </c>
      <c r="AS136" s="128"/>
      <c r="AT136" s="139"/>
    </row>
    <row r="137" customFormat="false" ht="12.75" hidden="false" customHeight="true" outlineLevel="0" collapsed="false">
      <c r="B137" s="122" t="n">
        <f aca="false">B136+1</f>
        <v>134</v>
      </c>
      <c r="C137" s="123" t="s">
        <v>168</v>
      </c>
      <c r="D137" s="140" t="n">
        <v>61073</v>
      </c>
      <c r="E137" s="124" t="str">
        <f aca="false">IF(D137="","",IFERROR(VLOOKUP(D137,CCN_Library!$A$4:$B$13,2,FALSE()),"NOT IN LIBRARY"))</f>
        <v>COMPANY/BATTERY HEADQUARTERS, MARINE CORPS</v>
      </c>
      <c r="F137" s="125" t="str">
        <f aca="false">LEFT(H137,6)</f>
        <v>M28261</v>
      </c>
      <c r="G137" s="126" t="s">
        <v>128</v>
      </c>
      <c r="H137" s="126" t="s">
        <v>396</v>
      </c>
      <c r="I137" s="126" t="s">
        <v>379</v>
      </c>
      <c r="J137" s="126" t="s">
        <v>176</v>
      </c>
      <c r="K137" s="127" t="s">
        <v>380</v>
      </c>
      <c r="L137" s="126" t="s">
        <v>161</v>
      </c>
      <c r="M137" s="126" t="s">
        <v>133</v>
      </c>
      <c r="N137" s="126" t="s">
        <v>128</v>
      </c>
      <c r="O137" s="126" t="s">
        <v>135</v>
      </c>
      <c r="P137" s="126" t="s">
        <v>135</v>
      </c>
      <c r="Q137" s="128"/>
      <c r="R137" s="126" t="s">
        <v>136</v>
      </c>
      <c r="S137" s="126" t="s">
        <v>58</v>
      </c>
      <c r="T137" s="128"/>
      <c r="U137" s="129" t="n">
        <v>0</v>
      </c>
      <c r="V137" s="129" t="n">
        <v>0</v>
      </c>
      <c r="W137" s="129" t="n">
        <v>0</v>
      </c>
      <c r="X137" s="129" t="n">
        <v>0</v>
      </c>
      <c r="Y137" s="129" t="n">
        <v>0</v>
      </c>
      <c r="Z137" s="129" t="n">
        <v>0</v>
      </c>
      <c r="AA137" s="129" t="n">
        <v>1</v>
      </c>
      <c r="AB137" s="129" t="n">
        <v>0</v>
      </c>
      <c r="AC137" s="129" t="n">
        <v>0</v>
      </c>
      <c r="AD137" s="129" t="n">
        <v>0</v>
      </c>
      <c r="AE137" s="129" t="n">
        <v>0</v>
      </c>
      <c r="AF137" s="129" t="n">
        <v>0</v>
      </c>
      <c r="AG137" s="129" t="n">
        <v>0</v>
      </c>
      <c r="AH137" s="129" t="n">
        <v>0</v>
      </c>
      <c r="AI137" s="129" t="n">
        <v>0</v>
      </c>
      <c r="AJ137" s="129" t="n">
        <v>0</v>
      </c>
      <c r="AK137" s="129" t="n">
        <v>0</v>
      </c>
      <c r="AL137" s="129" t="n">
        <v>0</v>
      </c>
      <c r="AM137" s="129" t="n">
        <v>0</v>
      </c>
      <c r="AN137" s="128"/>
      <c r="AO137" s="128"/>
      <c r="AP137" s="126" t="s">
        <v>138</v>
      </c>
      <c r="AQ137" s="126" t="s">
        <v>139</v>
      </c>
      <c r="AR137" s="126" t="s">
        <v>140</v>
      </c>
      <c r="AS137" s="128"/>
      <c r="AT137" s="130"/>
    </row>
    <row r="138" customFormat="false" ht="12.75" hidden="false" customHeight="true" outlineLevel="0" collapsed="false">
      <c r="B138" s="122" t="n">
        <f aca="false">B137+1</f>
        <v>135</v>
      </c>
      <c r="C138" s="123" t="s">
        <v>168</v>
      </c>
      <c r="D138" s="140" t="n">
        <v>61073</v>
      </c>
      <c r="E138" s="124" t="str">
        <f aca="false">IF(D138="","",IFERROR(VLOOKUP(D138,CCN_Library!$A$4:$B$13,2,FALSE()),"NOT IN LIBRARY"))</f>
        <v>COMPANY/BATTERY HEADQUARTERS, MARINE CORPS</v>
      </c>
      <c r="F138" s="125" t="str">
        <f aca="false">LEFT(H138,6)</f>
        <v>M28261</v>
      </c>
      <c r="G138" s="126" t="s">
        <v>128</v>
      </c>
      <c r="H138" s="126" t="s">
        <v>397</v>
      </c>
      <c r="I138" s="126" t="s">
        <v>379</v>
      </c>
      <c r="J138" s="126" t="s">
        <v>176</v>
      </c>
      <c r="K138" s="127" t="s">
        <v>380</v>
      </c>
      <c r="L138" s="126" t="s">
        <v>161</v>
      </c>
      <c r="M138" s="126" t="s">
        <v>133</v>
      </c>
      <c r="N138" s="126" t="s">
        <v>128</v>
      </c>
      <c r="O138" s="126" t="s">
        <v>135</v>
      </c>
      <c r="P138" s="126" t="s">
        <v>135</v>
      </c>
      <c r="Q138" s="128"/>
      <c r="R138" s="126" t="s">
        <v>136</v>
      </c>
      <c r="S138" s="126" t="s">
        <v>58</v>
      </c>
      <c r="T138" s="128"/>
      <c r="U138" s="129" t="n">
        <v>0</v>
      </c>
      <c r="V138" s="129" t="n">
        <v>0</v>
      </c>
      <c r="W138" s="129" t="n">
        <v>0</v>
      </c>
      <c r="X138" s="129" t="n">
        <v>0</v>
      </c>
      <c r="Y138" s="129" t="n">
        <v>0</v>
      </c>
      <c r="Z138" s="129" t="n">
        <v>0</v>
      </c>
      <c r="AA138" s="129" t="n">
        <v>1</v>
      </c>
      <c r="AB138" s="129" t="n">
        <v>0</v>
      </c>
      <c r="AC138" s="129" t="n">
        <v>0</v>
      </c>
      <c r="AD138" s="129" t="n">
        <v>0</v>
      </c>
      <c r="AE138" s="129" t="n">
        <v>0</v>
      </c>
      <c r="AF138" s="129" t="n">
        <v>0</v>
      </c>
      <c r="AG138" s="129" t="n">
        <v>0</v>
      </c>
      <c r="AH138" s="129" t="n">
        <v>0</v>
      </c>
      <c r="AI138" s="129" t="n">
        <v>0</v>
      </c>
      <c r="AJ138" s="129" t="n">
        <v>0</v>
      </c>
      <c r="AK138" s="129" t="n">
        <v>0</v>
      </c>
      <c r="AL138" s="129" t="n">
        <v>0</v>
      </c>
      <c r="AM138" s="129" t="n">
        <v>0</v>
      </c>
      <c r="AN138" s="128"/>
      <c r="AO138" s="128"/>
      <c r="AP138" s="126" t="s">
        <v>138</v>
      </c>
      <c r="AQ138" s="126" t="s">
        <v>139</v>
      </c>
      <c r="AR138" s="126" t="s">
        <v>140</v>
      </c>
      <c r="AS138" s="128"/>
      <c r="AT138" s="130"/>
    </row>
    <row r="139" customFormat="false" ht="12.75" hidden="false" customHeight="true" outlineLevel="0" collapsed="false">
      <c r="B139" s="122" t="n">
        <f aca="false">B138+1</f>
        <v>136</v>
      </c>
      <c r="C139" s="123" t="s">
        <v>168</v>
      </c>
      <c r="D139" s="140" t="n">
        <v>61073</v>
      </c>
      <c r="E139" s="124" t="str">
        <f aca="false">IF(D139="","",IFERROR(VLOOKUP(D139,CCN_Library!$A$4:$B$13,2,FALSE()),"NOT IN LIBRARY"))</f>
        <v>COMPANY/BATTERY HEADQUARTERS, MARINE CORPS</v>
      </c>
      <c r="F139" s="125" t="str">
        <f aca="false">LEFT(H139,6)</f>
        <v>M28261</v>
      </c>
      <c r="G139" s="126" t="s">
        <v>128</v>
      </c>
      <c r="H139" s="126" t="s">
        <v>398</v>
      </c>
      <c r="I139" s="126" t="s">
        <v>379</v>
      </c>
      <c r="J139" s="126" t="s">
        <v>176</v>
      </c>
      <c r="K139" s="127" t="s">
        <v>380</v>
      </c>
      <c r="L139" s="126" t="s">
        <v>161</v>
      </c>
      <c r="M139" s="126" t="s">
        <v>133</v>
      </c>
      <c r="N139" s="126" t="s">
        <v>128</v>
      </c>
      <c r="O139" s="126" t="s">
        <v>135</v>
      </c>
      <c r="P139" s="126" t="s">
        <v>135</v>
      </c>
      <c r="Q139" s="128"/>
      <c r="R139" s="126" t="s">
        <v>136</v>
      </c>
      <c r="S139" s="126" t="s">
        <v>58</v>
      </c>
      <c r="T139" s="128"/>
      <c r="U139" s="129" t="n">
        <v>0</v>
      </c>
      <c r="V139" s="129" t="n">
        <v>0</v>
      </c>
      <c r="W139" s="129" t="n">
        <v>0</v>
      </c>
      <c r="X139" s="129" t="n">
        <v>0</v>
      </c>
      <c r="Y139" s="129" t="n">
        <v>0</v>
      </c>
      <c r="Z139" s="129" t="n">
        <v>0</v>
      </c>
      <c r="AA139" s="129" t="n">
        <v>1</v>
      </c>
      <c r="AB139" s="129" t="n">
        <v>0</v>
      </c>
      <c r="AC139" s="129" t="n">
        <v>0</v>
      </c>
      <c r="AD139" s="129" t="n">
        <v>0</v>
      </c>
      <c r="AE139" s="129" t="n">
        <v>0</v>
      </c>
      <c r="AF139" s="129" t="n">
        <v>0</v>
      </c>
      <c r="AG139" s="129" t="n">
        <v>0</v>
      </c>
      <c r="AH139" s="129" t="n">
        <v>0</v>
      </c>
      <c r="AI139" s="129" t="n">
        <v>0</v>
      </c>
      <c r="AJ139" s="129" t="n">
        <v>0</v>
      </c>
      <c r="AK139" s="129" t="n">
        <v>0</v>
      </c>
      <c r="AL139" s="129" t="n">
        <v>0</v>
      </c>
      <c r="AM139" s="129" t="n">
        <v>0</v>
      </c>
      <c r="AN139" s="128"/>
      <c r="AO139" s="128"/>
      <c r="AP139" s="126" t="s">
        <v>138</v>
      </c>
      <c r="AQ139" s="126" t="s">
        <v>139</v>
      </c>
      <c r="AR139" s="126" t="s">
        <v>140</v>
      </c>
      <c r="AS139" s="128"/>
      <c r="AT139" s="130"/>
    </row>
    <row r="140" customFormat="false" ht="12.75" hidden="false" customHeight="true" outlineLevel="0" collapsed="false">
      <c r="B140" s="122" t="n">
        <f aca="false">B139+1</f>
        <v>137</v>
      </c>
      <c r="C140" s="123" t="s">
        <v>168</v>
      </c>
      <c r="D140" s="140" t="n">
        <v>61073</v>
      </c>
      <c r="E140" s="124" t="str">
        <f aca="false">IF(D140="","",IFERROR(VLOOKUP(D140,CCN_Library!$A$4:$B$13,2,FALSE()),"NOT IN LIBRARY"))</f>
        <v>COMPANY/BATTERY HEADQUARTERS, MARINE CORPS</v>
      </c>
      <c r="F140" s="125" t="str">
        <f aca="false">LEFT(H140,6)</f>
        <v>M28261</v>
      </c>
      <c r="G140" s="126" t="s">
        <v>128</v>
      </c>
      <c r="H140" s="126" t="s">
        <v>399</v>
      </c>
      <c r="I140" s="126" t="s">
        <v>379</v>
      </c>
      <c r="J140" s="126" t="s">
        <v>176</v>
      </c>
      <c r="K140" s="127" t="s">
        <v>380</v>
      </c>
      <c r="L140" s="126" t="s">
        <v>161</v>
      </c>
      <c r="M140" s="126" t="s">
        <v>133</v>
      </c>
      <c r="N140" s="126" t="s">
        <v>128</v>
      </c>
      <c r="O140" s="126" t="s">
        <v>135</v>
      </c>
      <c r="P140" s="126" t="s">
        <v>135</v>
      </c>
      <c r="Q140" s="128"/>
      <c r="R140" s="126" t="s">
        <v>136</v>
      </c>
      <c r="S140" s="126" t="s">
        <v>58</v>
      </c>
      <c r="T140" s="128"/>
      <c r="U140" s="129" t="n">
        <v>0</v>
      </c>
      <c r="V140" s="129" t="n">
        <v>0</v>
      </c>
      <c r="W140" s="129" t="n">
        <v>0</v>
      </c>
      <c r="X140" s="129" t="n">
        <v>0</v>
      </c>
      <c r="Y140" s="129" t="n">
        <v>0</v>
      </c>
      <c r="Z140" s="129" t="n">
        <v>0</v>
      </c>
      <c r="AA140" s="129" t="n">
        <v>1</v>
      </c>
      <c r="AB140" s="129" t="n">
        <v>0</v>
      </c>
      <c r="AC140" s="129" t="n">
        <v>0</v>
      </c>
      <c r="AD140" s="129" t="n">
        <v>0</v>
      </c>
      <c r="AE140" s="129" t="n">
        <v>0</v>
      </c>
      <c r="AF140" s="129" t="n">
        <v>0</v>
      </c>
      <c r="AG140" s="129" t="n">
        <v>0</v>
      </c>
      <c r="AH140" s="129" t="n">
        <v>0</v>
      </c>
      <c r="AI140" s="129" t="n">
        <v>0</v>
      </c>
      <c r="AJ140" s="129" t="n">
        <v>0</v>
      </c>
      <c r="AK140" s="129" t="n">
        <v>0</v>
      </c>
      <c r="AL140" s="129" t="n">
        <v>0</v>
      </c>
      <c r="AM140" s="129" t="n">
        <v>0</v>
      </c>
      <c r="AN140" s="128"/>
      <c r="AO140" s="128"/>
      <c r="AP140" s="126" t="s">
        <v>138</v>
      </c>
      <c r="AQ140" s="126" t="s">
        <v>139</v>
      </c>
      <c r="AR140" s="126" t="s">
        <v>140</v>
      </c>
      <c r="AS140" s="128"/>
      <c r="AT140" s="130"/>
    </row>
    <row r="141" customFormat="false" ht="12.75" hidden="false" customHeight="true" outlineLevel="0" collapsed="false">
      <c r="B141" s="122" t="n">
        <f aca="false">B140+1</f>
        <v>138</v>
      </c>
      <c r="C141" s="123" t="s">
        <v>168</v>
      </c>
      <c r="D141" s="140" t="n">
        <v>61073</v>
      </c>
      <c r="E141" s="124" t="str">
        <f aca="false">IF(D141="","",IFERROR(VLOOKUP(D141,CCN_Library!$A$4:$B$13,2,FALSE()),"NOT IN LIBRARY"))</f>
        <v>COMPANY/BATTERY HEADQUARTERS, MARINE CORPS</v>
      </c>
      <c r="F141" s="125" t="str">
        <f aca="false">LEFT(H141,6)</f>
        <v>M28261</v>
      </c>
      <c r="G141" s="126" t="s">
        <v>128</v>
      </c>
      <c r="H141" s="126" t="s">
        <v>400</v>
      </c>
      <c r="I141" s="126" t="s">
        <v>379</v>
      </c>
      <c r="J141" s="126" t="s">
        <v>176</v>
      </c>
      <c r="K141" s="127" t="s">
        <v>380</v>
      </c>
      <c r="L141" s="126" t="s">
        <v>161</v>
      </c>
      <c r="M141" s="126" t="s">
        <v>133</v>
      </c>
      <c r="N141" s="126" t="s">
        <v>128</v>
      </c>
      <c r="O141" s="126" t="s">
        <v>135</v>
      </c>
      <c r="P141" s="126" t="s">
        <v>135</v>
      </c>
      <c r="Q141" s="128"/>
      <c r="R141" s="126" t="s">
        <v>136</v>
      </c>
      <c r="S141" s="126" t="s">
        <v>58</v>
      </c>
      <c r="T141" s="128"/>
      <c r="U141" s="129" t="n">
        <v>0</v>
      </c>
      <c r="V141" s="129" t="n">
        <v>0</v>
      </c>
      <c r="W141" s="129" t="n">
        <v>0</v>
      </c>
      <c r="X141" s="129" t="n">
        <v>0</v>
      </c>
      <c r="Y141" s="129" t="n">
        <v>0</v>
      </c>
      <c r="Z141" s="129" t="n">
        <v>0</v>
      </c>
      <c r="AA141" s="129" t="n">
        <v>1</v>
      </c>
      <c r="AB141" s="129" t="n">
        <v>0</v>
      </c>
      <c r="AC141" s="129" t="n">
        <v>0</v>
      </c>
      <c r="AD141" s="129" t="n">
        <v>0</v>
      </c>
      <c r="AE141" s="129" t="n">
        <v>0</v>
      </c>
      <c r="AF141" s="129" t="n">
        <v>0</v>
      </c>
      <c r="AG141" s="129" t="n">
        <v>0</v>
      </c>
      <c r="AH141" s="129" t="n">
        <v>0</v>
      </c>
      <c r="AI141" s="129" t="n">
        <v>0</v>
      </c>
      <c r="AJ141" s="129" t="n">
        <v>0</v>
      </c>
      <c r="AK141" s="129" t="n">
        <v>0</v>
      </c>
      <c r="AL141" s="129" t="n">
        <v>0</v>
      </c>
      <c r="AM141" s="129" t="n">
        <v>0</v>
      </c>
      <c r="AN141" s="128"/>
      <c r="AO141" s="128"/>
      <c r="AP141" s="126" t="s">
        <v>138</v>
      </c>
      <c r="AQ141" s="126" t="s">
        <v>139</v>
      </c>
      <c r="AR141" s="126" t="s">
        <v>140</v>
      </c>
      <c r="AS141" s="128"/>
      <c r="AT141" s="130"/>
    </row>
    <row r="142" customFormat="false" ht="12.75" hidden="false" customHeight="true" outlineLevel="0" collapsed="false">
      <c r="B142" s="122" t="n">
        <f aca="false">B141+1</f>
        <v>139</v>
      </c>
      <c r="C142" s="123" t="s">
        <v>168</v>
      </c>
      <c r="D142" s="140" t="n">
        <v>61073</v>
      </c>
      <c r="E142" s="124" t="str">
        <f aca="false">IF(D142="","",IFERROR(VLOOKUP(D142,CCN_Library!$A$4:$B$13,2,FALSE()),"NOT IN LIBRARY"))</f>
        <v>COMPANY/BATTERY HEADQUARTERS, MARINE CORPS</v>
      </c>
      <c r="F142" s="125" t="str">
        <f aca="false">LEFT(H142,6)</f>
        <v>M28261</v>
      </c>
      <c r="G142" s="126" t="s">
        <v>128</v>
      </c>
      <c r="H142" s="126" t="s">
        <v>401</v>
      </c>
      <c r="I142" s="126" t="s">
        <v>379</v>
      </c>
      <c r="J142" s="126" t="s">
        <v>176</v>
      </c>
      <c r="K142" s="127" t="s">
        <v>380</v>
      </c>
      <c r="L142" s="126" t="s">
        <v>161</v>
      </c>
      <c r="M142" s="126" t="s">
        <v>133</v>
      </c>
      <c r="N142" s="126" t="s">
        <v>128</v>
      </c>
      <c r="O142" s="126" t="s">
        <v>135</v>
      </c>
      <c r="P142" s="126" t="s">
        <v>135</v>
      </c>
      <c r="Q142" s="128"/>
      <c r="R142" s="126" t="s">
        <v>136</v>
      </c>
      <c r="S142" s="126" t="s">
        <v>58</v>
      </c>
      <c r="T142" s="128"/>
      <c r="U142" s="129" t="n">
        <v>0</v>
      </c>
      <c r="V142" s="129" t="n">
        <v>0</v>
      </c>
      <c r="W142" s="129" t="n">
        <v>0</v>
      </c>
      <c r="X142" s="129" t="n">
        <v>0</v>
      </c>
      <c r="Y142" s="129" t="n">
        <v>0</v>
      </c>
      <c r="Z142" s="129" t="n">
        <v>0</v>
      </c>
      <c r="AA142" s="129" t="n">
        <v>1</v>
      </c>
      <c r="AB142" s="129" t="n">
        <v>0</v>
      </c>
      <c r="AC142" s="129" t="n">
        <v>0</v>
      </c>
      <c r="AD142" s="129" t="n">
        <v>0</v>
      </c>
      <c r="AE142" s="129" t="n">
        <v>0</v>
      </c>
      <c r="AF142" s="129" t="n">
        <v>0</v>
      </c>
      <c r="AG142" s="129" t="n">
        <v>0</v>
      </c>
      <c r="AH142" s="129" t="n">
        <v>0</v>
      </c>
      <c r="AI142" s="129" t="n">
        <v>0</v>
      </c>
      <c r="AJ142" s="129" t="n">
        <v>0</v>
      </c>
      <c r="AK142" s="129" t="n">
        <v>0</v>
      </c>
      <c r="AL142" s="129" t="n">
        <v>0</v>
      </c>
      <c r="AM142" s="129" t="n">
        <v>0</v>
      </c>
      <c r="AN142" s="128"/>
      <c r="AO142" s="128"/>
      <c r="AP142" s="126" t="s">
        <v>138</v>
      </c>
      <c r="AQ142" s="126" t="s">
        <v>139</v>
      </c>
      <c r="AR142" s="126" t="s">
        <v>140</v>
      </c>
      <c r="AS142" s="128"/>
      <c r="AT142" s="130"/>
    </row>
    <row r="143" customFormat="false" ht="12.75" hidden="false" customHeight="true" outlineLevel="0" collapsed="false">
      <c r="B143" s="122" t="n">
        <f aca="false">B142+1</f>
        <v>140</v>
      </c>
      <c r="C143" s="123" t="s">
        <v>168</v>
      </c>
      <c r="D143" s="140" t="n">
        <v>61073</v>
      </c>
      <c r="E143" s="124" t="str">
        <f aca="false">IF(D143="","",IFERROR(VLOOKUP(D143,CCN_Library!$A$4:$B$13,2,FALSE()),"NOT IN LIBRARY"))</f>
        <v>COMPANY/BATTERY HEADQUARTERS, MARINE CORPS</v>
      </c>
      <c r="F143" s="125" t="str">
        <f aca="false">LEFT(H143,6)</f>
        <v>M28261</v>
      </c>
      <c r="G143" s="126" t="s">
        <v>128</v>
      </c>
      <c r="H143" s="126" t="s">
        <v>402</v>
      </c>
      <c r="I143" s="126" t="s">
        <v>379</v>
      </c>
      <c r="J143" s="126" t="s">
        <v>176</v>
      </c>
      <c r="K143" s="127" t="s">
        <v>380</v>
      </c>
      <c r="L143" s="126" t="s">
        <v>161</v>
      </c>
      <c r="M143" s="126" t="s">
        <v>133</v>
      </c>
      <c r="N143" s="126" t="s">
        <v>128</v>
      </c>
      <c r="O143" s="126" t="s">
        <v>135</v>
      </c>
      <c r="P143" s="126" t="s">
        <v>135</v>
      </c>
      <c r="Q143" s="128"/>
      <c r="R143" s="126" t="s">
        <v>136</v>
      </c>
      <c r="S143" s="126" t="s">
        <v>58</v>
      </c>
      <c r="T143" s="128"/>
      <c r="U143" s="129" t="n">
        <v>0</v>
      </c>
      <c r="V143" s="129" t="n">
        <v>0</v>
      </c>
      <c r="W143" s="129" t="n">
        <v>0</v>
      </c>
      <c r="X143" s="129" t="n">
        <v>0</v>
      </c>
      <c r="Y143" s="129" t="n">
        <v>0</v>
      </c>
      <c r="Z143" s="129" t="n">
        <v>0</v>
      </c>
      <c r="AA143" s="129" t="n">
        <v>1</v>
      </c>
      <c r="AB143" s="129" t="n">
        <v>0</v>
      </c>
      <c r="AC143" s="129" t="n">
        <v>0</v>
      </c>
      <c r="AD143" s="129" t="n">
        <v>0</v>
      </c>
      <c r="AE143" s="129" t="n">
        <v>0</v>
      </c>
      <c r="AF143" s="129" t="n">
        <v>0</v>
      </c>
      <c r="AG143" s="129" t="n">
        <v>0</v>
      </c>
      <c r="AH143" s="129" t="n">
        <v>0</v>
      </c>
      <c r="AI143" s="129" t="n">
        <v>0</v>
      </c>
      <c r="AJ143" s="129" t="n">
        <v>0</v>
      </c>
      <c r="AK143" s="129" t="n">
        <v>0</v>
      </c>
      <c r="AL143" s="129" t="n">
        <v>0</v>
      </c>
      <c r="AM143" s="129" t="n">
        <v>0</v>
      </c>
      <c r="AN143" s="128"/>
      <c r="AO143" s="128"/>
      <c r="AP143" s="126" t="s">
        <v>138</v>
      </c>
      <c r="AQ143" s="126" t="s">
        <v>139</v>
      </c>
      <c r="AR143" s="126" t="s">
        <v>140</v>
      </c>
      <c r="AS143" s="128"/>
      <c r="AT143" s="130"/>
    </row>
    <row r="144" customFormat="false" ht="12.75" hidden="false" customHeight="true" outlineLevel="0" collapsed="false">
      <c r="B144" s="122" t="n">
        <f aca="false">B143+1</f>
        <v>141</v>
      </c>
      <c r="C144" s="123" t="s">
        <v>168</v>
      </c>
      <c r="D144" s="140" t="n">
        <v>61073</v>
      </c>
      <c r="E144" s="124" t="str">
        <f aca="false">IF(D144="","",IFERROR(VLOOKUP(D144,CCN_Library!$A$4:$B$13,2,FALSE()),"NOT IN LIBRARY"))</f>
        <v>COMPANY/BATTERY HEADQUARTERS, MARINE CORPS</v>
      </c>
      <c r="F144" s="125" t="str">
        <f aca="false">LEFT(H144,6)</f>
        <v>M28261</v>
      </c>
      <c r="G144" s="126" t="s">
        <v>128</v>
      </c>
      <c r="H144" s="126" t="s">
        <v>403</v>
      </c>
      <c r="I144" s="126" t="s">
        <v>379</v>
      </c>
      <c r="J144" s="126" t="s">
        <v>176</v>
      </c>
      <c r="K144" s="127" t="s">
        <v>380</v>
      </c>
      <c r="L144" s="126" t="s">
        <v>161</v>
      </c>
      <c r="M144" s="126" t="s">
        <v>133</v>
      </c>
      <c r="N144" s="126" t="s">
        <v>128</v>
      </c>
      <c r="O144" s="126" t="s">
        <v>135</v>
      </c>
      <c r="P144" s="126" t="s">
        <v>135</v>
      </c>
      <c r="Q144" s="128"/>
      <c r="R144" s="126" t="s">
        <v>136</v>
      </c>
      <c r="S144" s="126" t="s">
        <v>58</v>
      </c>
      <c r="T144" s="128"/>
      <c r="U144" s="129" t="n">
        <v>0</v>
      </c>
      <c r="V144" s="129" t="n">
        <v>0</v>
      </c>
      <c r="W144" s="129" t="n">
        <v>0</v>
      </c>
      <c r="X144" s="129" t="n">
        <v>0</v>
      </c>
      <c r="Y144" s="129" t="n">
        <v>0</v>
      </c>
      <c r="Z144" s="129" t="n">
        <v>0</v>
      </c>
      <c r="AA144" s="129" t="n">
        <v>1</v>
      </c>
      <c r="AB144" s="129" t="n">
        <v>0</v>
      </c>
      <c r="AC144" s="129" t="n">
        <v>0</v>
      </c>
      <c r="AD144" s="129" t="n">
        <v>0</v>
      </c>
      <c r="AE144" s="129" t="n">
        <v>0</v>
      </c>
      <c r="AF144" s="129" t="n">
        <v>0</v>
      </c>
      <c r="AG144" s="129" t="n">
        <v>0</v>
      </c>
      <c r="AH144" s="129" t="n">
        <v>0</v>
      </c>
      <c r="AI144" s="129" t="n">
        <v>0</v>
      </c>
      <c r="AJ144" s="129" t="n">
        <v>0</v>
      </c>
      <c r="AK144" s="129" t="n">
        <v>0</v>
      </c>
      <c r="AL144" s="129" t="n">
        <v>0</v>
      </c>
      <c r="AM144" s="129" t="n">
        <v>0</v>
      </c>
      <c r="AN144" s="128"/>
      <c r="AO144" s="128"/>
      <c r="AP144" s="126" t="s">
        <v>138</v>
      </c>
      <c r="AQ144" s="126" t="s">
        <v>139</v>
      </c>
      <c r="AR144" s="126" t="s">
        <v>140</v>
      </c>
      <c r="AS144" s="128"/>
      <c r="AT144" s="130"/>
    </row>
    <row r="145" customFormat="false" ht="12.75" hidden="false" customHeight="true" outlineLevel="0" collapsed="false">
      <c r="B145" s="122" t="n">
        <f aca="false">B144+1</f>
        <v>142</v>
      </c>
      <c r="C145" s="123" t="s">
        <v>168</v>
      </c>
      <c r="D145" s="140" t="n">
        <v>61073</v>
      </c>
      <c r="E145" s="124" t="str">
        <f aca="false">IF(D145="","",IFERROR(VLOOKUP(D145,CCN_Library!$A$4:$B$13,2,FALSE()),"NOT IN LIBRARY"))</f>
        <v>COMPANY/BATTERY HEADQUARTERS, MARINE CORPS</v>
      </c>
      <c r="F145" s="125" t="str">
        <f aca="false">LEFT(H145,6)</f>
        <v>M28261</v>
      </c>
      <c r="G145" s="126" t="s">
        <v>128</v>
      </c>
      <c r="H145" s="126" t="s">
        <v>404</v>
      </c>
      <c r="I145" s="126" t="s">
        <v>159</v>
      </c>
      <c r="J145" s="126" t="s">
        <v>176</v>
      </c>
      <c r="K145" s="127" t="s">
        <v>161</v>
      </c>
      <c r="L145" s="126" t="s">
        <v>161</v>
      </c>
      <c r="M145" s="126" t="s">
        <v>133</v>
      </c>
      <c r="N145" s="126" t="s">
        <v>128</v>
      </c>
      <c r="O145" s="126" t="s">
        <v>135</v>
      </c>
      <c r="P145" s="126" t="s">
        <v>135</v>
      </c>
      <c r="Q145" s="128"/>
      <c r="R145" s="126" t="s">
        <v>136</v>
      </c>
      <c r="S145" s="126" t="s">
        <v>58</v>
      </c>
      <c r="T145" s="128"/>
      <c r="U145" s="129" t="n">
        <v>0</v>
      </c>
      <c r="V145" s="129" t="n">
        <v>0</v>
      </c>
      <c r="W145" s="129" t="n">
        <v>0</v>
      </c>
      <c r="X145" s="129" t="n">
        <v>0</v>
      </c>
      <c r="Y145" s="129" t="n">
        <v>0</v>
      </c>
      <c r="Z145" s="129" t="n">
        <v>0</v>
      </c>
      <c r="AA145" s="129" t="n">
        <v>1</v>
      </c>
      <c r="AB145" s="129" t="n">
        <v>0</v>
      </c>
      <c r="AC145" s="129" t="n">
        <v>0</v>
      </c>
      <c r="AD145" s="129" t="n">
        <v>0</v>
      </c>
      <c r="AE145" s="129" t="n">
        <v>0</v>
      </c>
      <c r="AF145" s="129" t="n">
        <v>0</v>
      </c>
      <c r="AG145" s="129" t="n">
        <v>0</v>
      </c>
      <c r="AH145" s="129" t="n">
        <v>0</v>
      </c>
      <c r="AI145" s="129" t="n">
        <v>0</v>
      </c>
      <c r="AJ145" s="129" t="n">
        <v>0</v>
      </c>
      <c r="AK145" s="129" t="n">
        <v>0</v>
      </c>
      <c r="AL145" s="129" t="n">
        <v>0</v>
      </c>
      <c r="AM145" s="129" t="n">
        <v>0</v>
      </c>
      <c r="AN145" s="128"/>
      <c r="AO145" s="128"/>
      <c r="AP145" s="126" t="s">
        <v>138</v>
      </c>
      <c r="AQ145" s="126" t="s">
        <v>139</v>
      </c>
      <c r="AR145" s="126" t="s">
        <v>140</v>
      </c>
      <c r="AS145" s="128"/>
      <c r="AT145" s="130"/>
    </row>
    <row r="146" customFormat="false" ht="12.75" hidden="false" customHeight="true" outlineLevel="0" collapsed="false">
      <c r="B146" s="122" t="n">
        <f aca="false">B145+1</f>
        <v>143</v>
      </c>
      <c r="C146" s="123" t="s">
        <v>168</v>
      </c>
      <c r="D146" s="140" t="n">
        <v>61073</v>
      </c>
      <c r="E146" s="124" t="str">
        <f aca="false">IF(D146="","",IFERROR(VLOOKUP(D146,CCN_Library!$A$4:$B$13,2,FALSE()),"NOT IN LIBRARY"))</f>
        <v>COMPANY/BATTERY HEADQUARTERS, MARINE CORPS</v>
      </c>
      <c r="F146" s="125" t="str">
        <f aca="false">LEFT(H146,6)</f>
        <v>M28261</v>
      </c>
      <c r="G146" s="126" t="s">
        <v>128</v>
      </c>
      <c r="H146" s="126" t="s">
        <v>405</v>
      </c>
      <c r="I146" s="126" t="s">
        <v>159</v>
      </c>
      <c r="J146" s="126" t="s">
        <v>176</v>
      </c>
      <c r="K146" s="127" t="s">
        <v>161</v>
      </c>
      <c r="L146" s="126" t="s">
        <v>161</v>
      </c>
      <c r="M146" s="126" t="s">
        <v>133</v>
      </c>
      <c r="N146" s="126" t="s">
        <v>128</v>
      </c>
      <c r="O146" s="126" t="s">
        <v>135</v>
      </c>
      <c r="P146" s="126" t="s">
        <v>135</v>
      </c>
      <c r="Q146" s="128"/>
      <c r="R146" s="126" t="s">
        <v>136</v>
      </c>
      <c r="S146" s="126" t="s">
        <v>58</v>
      </c>
      <c r="T146" s="128"/>
      <c r="U146" s="129" t="n">
        <v>0</v>
      </c>
      <c r="V146" s="129" t="n">
        <v>0</v>
      </c>
      <c r="W146" s="129" t="n">
        <v>0</v>
      </c>
      <c r="X146" s="129" t="n">
        <v>0</v>
      </c>
      <c r="Y146" s="129" t="n">
        <v>0</v>
      </c>
      <c r="Z146" s="129" t="n">
        <v>0</v>
      </c>
      <c r="AA146" s="129" t="n">
        <v>1</v>
      </c>
      <c r="AB146" s="129" t="n">
        <v>0</v>
      </c>
      <c r="AC146" s="129" t="n">
        <v>0</v>
      </c>
      <c r="AD146" s="129" t="n">
        <v>0</v>
      </c>
      <c r="AE146" s="129" t="n">
        <v>0</v>
      </c>
      <c r="AF146" s="129" t="n">
        <v>0</v>
      </c>
      <c r="AG146" s="129" t="n">
        <v>0</v>
      </c>
      <c r="AH146" s="129" t="n">
        <v>0</v>
      </c>
      <c r="AI146" s="129" t="n">
        <v>0</v>
      </c>
      <c r="AJ146" s="129" t="n">
        <v>0</v>
      </c>
      <c r="AK146" s="129" t="n">
        <v>0</v>
      </c>
      <c r="AL146" s="129" t="n">
        <v>0</v>
      </c>
      <c r="AM146" s="129" t="n">
        <v>0</v>
      </c>
      <c r="AN146" s="128"/>
      <c r="AO146" s="128"/>
      <c r="AP146" s="126" t="s">
        <v>138</v>
      </c>
      <c r="AQ146" s="126" t="s">
        <v>139</v>
      </c>
      <c r="AR146" s="126" t="s">
        <v>140</v>
      </c>
      <c r="AS146" s="128"/>
      <c r="AT146" s="130"/>
    </row>
    <row r="147" customFormat="false" ht="12.75" hidden="false" customHeight="true" outlineLevel="0" collapsed="false">
      <c r="B147" s="131" t="n">
        <f aca="false">B146+1</f>
        <v>144</v>
      </c>
      <c r="C147" s="132" t="s">
        <v>162</v>
      </c>
      <c r="D147" s="133" t="n">
        <v>61073</v>
      </c>
      <c r="E147" s="133"/>
      <c r="F147" s="134" t="str">
        <f aca="false">LEFT(H147,6)</f>
        <v>M28261</v>
      </c>
      <c r="G147" s="135" t="s">
        <v>58</v>
      </c>
      <c r="H147" s="135" t="s">
        <v>406</v>
      </c>
      <c r="I147" s="135" t="s">
        <v>407</v>
      </c>
      <c r="J147" s="136"/>
      <c r="K147" s="136"/>
      <c r="L147" s="136"/>
      <c r="M147" s="136"/>
      <c r="N147" s="136"/>
      <c r="O147" s="136"/>
      <c r="P147" s="136"/>
      <c r="Q147" s="136"/>
      <c r="R147" s="136"/>
      <c r="S147" s="136"/>
      <c r="T147" s="136"/>
      <c r="U147" s="137" t="n">
        <v>0</v>
      </c>
      <c r="V147" s="137" t="n">
        <v>0</v>
      </c>
      <c r="W147" s="137" t="n">
        <v>0</v>
      </c>
      <c r="X147" s="137" t="n">
        <v>0</v>
      </c>
      <c r="Y147" s="137" t="n">
        <v>0</v>
      </c>
      <c r="Z147" s="137" t="n">
        <v>0</v>
      </c>
      <c r="AA147" s="137" t="n">
        <v>0</v>
      </c>
      <c r="AB147" s="137" t="n">
        <v>0</v>
      </c>
      <c r="AC147" s="137" t="n">
        <v>0</v>
      </c>
      <c r="AD147" s="137" t="n">
        <v>0</v>
      </c>
      <c r="AE147" s="137" t="n">
        <v>0</v>
      </c>
      <c r="AF147" s="137" t="n">
        <v>0</v>
      </c>
      <c r="AG147" s="137" t="n">
        <v>0</v>
      </c>
      <c r="AH147" s="137" t="n">
        <v>0</v>
      </c>
      <c r="AI147" s="137" t="n">
        <v>0</v>
      </c>
      <c r="AJ147" s="137" t="n">
        <v>0</v>
      </c>
      <c r="AK147" s="137" t="n">
        <v>0</v>
      </c>
      <c r="AL147" s="137" t="n">
        <v>0</v>
      </c>
      <c r="AM147" s="137" t="n">
        <v>0</v>
      </c>
      <c r="AN147" s="136"/>
      <c r="AO147" s="136"/>
      <c r="AP147" s="136"/>
      <c r="AQ147" s="136"/>
      <c r="AR147" s="136"/>
      <c r="AS147" s="136"/>
      <c r="AT147" s="138"/>
    </row>
    <row r="148" customFormat="false" ht="12.75" hidden="false" customHeight="true" outlineLevel="0" collapsed="false">
      <c r="B148" s="131" t="n">
        <f aca="false">B147+1</f>
        <v>145</v>
      </c>
      <c r="C148" s="132" t="s">
        <v>162</v>
      </c>
      <c r="D148" s="133" t="n">
        <v>61073</v>
      </c>
      <c r="E148" s="133"/>
      <c r="F148" s="134" t="str">
        <f aca="false">LEFT(H148,6)</f>
        <v>M28261</v>
      </c>
      <c r="G148" s="135" t="s">
        <v>177</v>
      </c>
      <c r="H148" s="135" t="s">
        <v>408</v>
      </c>
      <c r="I148" s="135" t="s">
        <v>409</v>
      </c>
      <c r="J148" s="136"/>
      <c r="K148" s="136"/>
      <c r="L148" s="136"/>
      <c r="M148" s="136"/>
      <c r="N148" s="136"/>
      <c r="O148" s="136"/>
      <c r="P148" s="136"/>
      <c r="Q148" s="136"/>
      <c r="R148" s="136"/>
      <c r="S148" s="136"/>
      <c r="T148" s="136"/>
      <c r="U148" s="137" t="n">
        <v>0</v>
      </c>
      <c r="V148" s="137" t="n">
        <v>0</v>
      </c>
      <c r="W148" s="137" t="n">
        <v>0</v>
      </c>
      <c r="X148" s="137" t="n">
        <v>0</v>
      </c>
      <c r="Y148" s="137" t="n">
        <v>0</v>
      </c>
      <c r="Z148" s="137" t="n">
        <v>0</v>
      </c>
      <c r="AA148" s="137" t="n">
        <v>0</v>
      </c>
      <c r="AB148" s="137" t="n">
        <v>0</v>
      </c>
      <c r="AC148" s="137" t="n">
        <v>0</v>
      </c>
      <c r="AD148" s="137" t="n">
        <v>0</v>
      </c>
      <c r="AE148" s="137" t="n">
        <v>0</v>
      </c>
      <c r="AF148" s="137" t="n">
        <v>0</v>
      </c>
      <c r="AG148" s="137" t="n">
        <v>0</v>
      </c>
      <c r="AH148" s="137" t="n">
        <v>0</v>
      </c>
      <c r="AI148" s="137" t="n">
        <v>0</v>
      </c>
      <c r="AJ148" s="137" t="n">
        <v>0</v>
      </c>
      <c r="AK148" s="137" t="n">
        <v>0</v>
      </c>
      <c r="AL148" s="137" t="n">
        <v>0</v>
      </c>
      <c r="AM148" s="137" t="n">
        <v>0</v>
      </c>
      <c r="AN148" s="136"/>
      <c r="AO148" s="136"/>
      <c r="AP148" s="136"/>
      <c r="AQ148" s="136"/>
      <c r="AR148" s="136"/>
      <c r="AS148" s="136"/>
      <c r="AT148" s="138"/>
    </row>
    <row r="149" customFormat="false" ht="12.75" hidden="false" customHeight="true" outlineLevel="0" collapsed="false">
      <c r="B149" s="122" t="n">
        <f aca="false">B148+1</f>
        <v>146</v>
      </c>
      <c r="C149" s="123" t="s">
        <v>162</v>
      </c>
      <c r="D149" s="140" t="n">
        <v>61073</v>
      </c>
      <c r="E149" s="124" t="str">
        <f aca="false">IF(D149="","",IFERROR(VLOOKUP(D149,CCN_Library!$A$4:$B$13,2,FALSE()),"NOT IN LIBRARY"))</f>
        <v>COMPANY/BATTERY HEADQUARTERS, MARINE CORPS</v>
      </c>
      <c r="F149" s="125" t="str">
        <f aca="false">LEFT(H149,6)</f>
        <v>M28261</v>
      </c>
      <c r="G149" s="126" t="s">
        <v>128</v>
      </c>
      <c r="H149" s="126" t="s">
        <v>410</v>
      </c>
      <c r="I149" s="126" t="s">
        <v>411</v>
      </c>
      <c r="J149" s="126" t="s">
        <v>211</v>
      </c>
      <c r="K149" s="127" t="s">
        <v>151</v>
      </c>
      <c r="L149" s="126" t="s">
        <v>151</v>
      </c>
      <c r="M149" s="126" t="s">
        <v>133</v>
      </c>
      <c r="N149" s="126" t="s">
        <v>134</v>
      </c>
      <c r="O149" s="126" t="s">
        <v>135</v>
      </c>
      <c r="P149" s="126" t="s">
        <v>135</v>
      </c>
      <c r="Q149" s="128"/>
      <c r="R149" s="126" t="s">
        <v>136</v>
      </c>
      <c r="S149" s="126" t="s">
        <v>137</v>
      </c>
      <c r="T149" s="128"/>
      <c r="U149" s="129" t="n">
        <v>0</v>
      </c>
      <c r="V149" s="129" t="n">
        <v>0</v>
      </c>
      <c r="W149" s="129" t="n">
        <v>0</v>
      </c>
      <c r="X149" s="129" t="n">
        <v>0</v>
      </c>
      <c r="Y149" s="129" t="n">
        <v>0</v>
      </c>
      <c r="Z149" s="129" t="n">
        <v>1</v>
      </c>
      <c r="AA149" s="129" t="n">
        <v>0</v>
      </c>
      <c r="AB149" s="129" t="n">
        <v>0</v>
      </c>
      <c r="AC149" s="129" t="n">
        <v>0</v>
      </c>
      <c r="AD149" s="129" t="n">
        <v>0</v>
      </c>
      <c r="AE149" s="129" t="n">
        <v>0</v>
      </c>
      <c r="AF149" s="129" t="n">
        <v>0</v>
      </c>
      <c r="AG149" s="129" t="n">
        <v>0</v>
      </c>
      <c r="AH149" s="129" t="n">
        <v>0</v>
      </c>
      <c r="AI149" s="129" t="n">
        <v>0</v>
      </c>
      <c r="AJ149" s="129" t="n">
        <v>0</v>
      </c>
      <c r="AK149" s="129" t="n">
        <v>0</v>
      </c>
      <c r="AL149" s="129" t="n">
        <v>0</v>
      </c>
      <c r="AM149" s="129" t="n">
        <v>0</v>
      </c>
      <c r="AN149" s="128"/>
      <c r="AO149" s="128"/>
      <c r="AP149" s="126" t="s">
        <v>138</v>
      </c>
      <c r="AQ149" s="126" t="s">
        <v>139</v>
      </c>
      <c r="AR149" s="126" t="s">
        <v>140</v>
      </c>
      <c r="AS149" s="128"/>
      <c r="AT149" s="139"/>
    </row>
    <row r="150" customFormat="false" ht="12.75" hidden="false" customHeight="true" outlineLevel="0" collapsed="false">
      <c r="B150" s="122" t="n">
        <f aca="false">B149+1</f>
        <v>147</v>
      </c>
      <c r="C150" s="123" t="s">
        <v>162</v>
      </c>
      <c r="D150" s="140" t="n">
        <v>61073</v>
      </c>
      <c r="E150" s="124" t="str">
        <f aca="false">IF(D150="","",IFERROR(VLOOKUP(D150,CCN_Library!$A$4:$B$13,2,FALSE()),"NOT IN LIBRARY"))</f>
        <v>COMPANY/BATTERY HEADQUARTERS, MARINE CORPS</v>
      </c>
      <c r="F150" s="125" t="str">
        <f aca="false">LEFT(H150,6)</f>
        <v>M28261</v>
      </c>
      <c r="G150" s="126" t="s">
        <v>128</v>
      </c>
      <c r="H150" s="126" t="s">
        <v>412</v>
      </c>
      <c r="I150" s="126" t="s">
        <v>413</v>
      </c>
      <c r="J150" s="126" t="s">
        <v>182</v>
      </c>
      <c r="K150" s="127" t="s">
        <v>132</v>
      </c>
      <c r="L150" s="126" t="s">
        <v>132</v>
      </c>
      <c r="M150" s="126" t="s">
        <v>133</v>
      </c>
      <c r="N150" s="126" t="s">
        <v>134</v>
      </c>
      <c r="O150" s="126" t="s">
        <v>135</v>
      </c>
      <c r="P150" s="126" t="s">
        <v>135</v>
      </c>
      <c r="Q150" s="128"/>
      <c r="R150" s="126" t="s">
        <v>136</v>
      </c>
      <c r="S150" s="126" t="s">
        <v>137</v>
      </c>
      <c r="T150" s="128"/>
      <c r="U150" s="129" t="n">
        <v>0</v>
      </c>
      <c r="V150" s="129" t="n">
        <v>0</v>
      </c>
      <c r="W150" s="129" t="n">
        <v>0</v>
      </c>
      <c r="X150" s="129" t="n">
        <v>0</v>
      </c>
      <c r="Y150" s="129" t="n">
        <v>0</v>
      </c>
      <c r="Z150" s="129" t="n">
        <v>1</v>
      </c>
      <c r="AA150" s="129" t="n">
        <v>0</v>
      </c>
      <c r="AB150" s="129" t="n">
        <v>0</v>
      </c>
      <c r="AC150" s="129" t="n">
        <v>0</v>
      </c>
      <c r="AD150" s="129" t="n">
        <v>0</v>
      </c>
      <c r="AE150" s="129" t="n">
        <v>0</v>
      </c>
      <c r="AF150" s="129" t="n">
        <v>0</v>
      </c>
      <c r="AG150" s="129" t="n">
        <v>0</v>
      </c>
      <c r="AH150" s="129" t="n">
        <v>0</v>
      </c>
      <c r="AI150" s="129" t="n">
        <v>0</v>
      </c>
      <c r="AJ150" s="129" t="n">
        <v>0</v>
      </c>
      <c r="AK150" s="129" t="n">
        <v>0</v>
      </c>
      <c r="AL150" s="129" t="n">
        <v>0</v>
      </c>
      <c r="AM150" s="129" t="n">
        <v>0</v>
      </c>
      <c r="AN150" s="128"/>
      <c r="AO150" s="128"/>
      <c r="AP150" s="126" t="s">
        <v>138</v>
      </c>
      <c r="AQ150" s="126" t="s">
        <v>139</v>
      </c>
      <c r="AR150" s="126" t="s">
        <v>140</v>
      </c>
      <c r="AS150" s="128"/>
      <c r="AT150" s="130"/>
    </row>
    <row r="151" customFormat="false" ht="12.75" hidden="false" customHeight="true" outlineLevel="0" collapsed="false">
      <c r="B151" s="122" t="n">
        <f aca="false">B150+1</f>
        <v>148</v>
      </c>
      <c r="C151" s="123" t="s">
        <v>162</v>
      </c>
      <c r="D151" s="140" t="n">
        <v>61073</v>
      </c>
      <c r="E151" s="124" t="str">
        <f aca="false">IF(D151="","",IFERROR(VLOOKUP(D151,CCN_Library!$A$4:$B$13,2,FALSE()),"NOT IN LIBRARY"))</f>
        <v>COMPANY/BATTERY HEADQUARTERS, MARINE CORPS</v>
      </c>
      <c r="F151" s="125" t="str">
        <f aca="false">LEFT(H151,6)</f>
        <v>M28261</v>
      </c>
      <c r="G151" s="126" t="s">
        <v>128</v>
      </c>
      <c r="H151" s="126" t="s">
        <v>414</v>
      </c>
      <c r="I151" s="126" t="s">
        <v>413</v>
      </c>
      <c r="J151" s="126" t="s">
        <v>182</v>
      </c>
      <c r="K151" s="127" t="s">
        <v>132</v>
      </c>
      <c r="L151" s="126" t="s">
        <v>132</v>
      </c>
      <c r="M151" s="126" t="s">
        <v>133</v>
      </c>
      <c r="N151" s="126" t="s">
        <v>134</v>
      </c>
      <c r="O151" s="126" t="s">
        <v>135</v>
      </c>
      <c r="P151" s="126" t="s">
        <v>135</v>
      </c>
      <c r="Q151" s="128"/>
      <c r="R151" s="126" t="s">
        <v>136</v>
      </c>
      <c r="S151" s="126" t="s">
        <v>137</v>
      </c>
      <c r="T151" s="128"/>
      <c r="U151" s="129" t="n">
        <v>0</v>
      </c>
      <c r="V151" s="129" t="n">
        <v>0</v>
      </c>
      <c r="W151" s="129" t="n">
        <v>0</v>
      </c>
      <c r="X151" s="129" t="n">
        <v>0</v>
      </c>
      <c r="Y151" s="129" t="n">
        <v>0</v>
      </c>
      <c r="Z151" s="129" t="n">
        <v>1</v>
      </c>
      <c r="AA151" s="129" t="n">
        <v>0</v>
      </c>
      <c r="AB151" s="129" t="n">
        <v>0</v>
      </c>
      <c r="AC151" s="129" t="n">
        <v>0</v>
      </c>
      <c r="AD151" s="129" t="n">
        <v>0</v>
      </c>
      <c r="AE151" s="129" t="n">
        <v>0</v>
      </c>
      <c r="AF151" s="129" t="n">
        <v>0</v>
      </c>
      <c r="AG151" s="129" t="n">
        <v>0</v>
      </c>
      <c r="AH151" s="129" t="n">
        <v>0</v>
      </c>
      <c r="AI151" s="129" t="n">
        <v>0</v>
      </c>
      <c r="AJ151" s="129" t="n">
        <v>0</v>
      </c>
      <c r="AK151" s="129" t="n">
        <v>0</v>
      </c>
      <c r="AL151" s="129" t="n">
        <v>0</v>
      </c>
      <c r="AM151" s="129" t="n">
        <v>0</v>
      </c>
      <c r="AN151" s="128"/>
      <c r="AO151" s="128"/>
      <c r="AP151" s="126" t="s">
        <v>138</v>
      </c>
      <c r="AQ151" s="126" t="s">
        <v>139</v>
      </c>
      <c r="AR151" s="126" t="s">
        <v>140</v>
      </c>
      <c r="AS151" s="128"/>
      <c r="AT151" s="139"/>
    </row>
    <row r="152" customFormat="false" ht="12.75" hidden="false" customHeight="true" outlineLevel="0" collapsed="false">
      <c r="B152" s="122" t="n">
        <f aca="false">B151+1</f>
        <v>149</v>
      </c>
      <c r="C152" s="123" t="s">
        <v>168</v>
      </c>
      <c r="D152" s="140" t="n">
        <v>61073</v>
      </c>
      <c r="E152" s="124" t="str">
        <f aca="false">IF(D152="","",IFERROR(VLOOKUP(D152,CCN_Library!$A$4:$B$13,2,FALSE()),"NOT IN LIBRARY"))</f>
        <v>COMPANY/BATTERY HEADQUARTERS, MARINE CORPS</v>
      </c>
      <c r="F152" s="125" t="str">
        <f aca="false">LEFT(H152,6)</f>
        <v>M28261</v>
      </c>
      <c r="G152" s="126" t="s">
        <v>128</v>
      </c>
      <c r="H152" s="126" t="s">
        <v>415</v>
      </c>
      <c r="I152" s="126" t="s">
        <v>416</v>
      </c>
      <c r="J152" s="126" t="s">
        <v>191</v>
      </c>
      <c r="K152" s="127" t="s">
        <v>417</v>
      </c>
      <c r="L152" s="126" t="s">
        <v>161</v>
      </c>
      <c r="M152" s="126" t="s">
        <v>133</v>
      </c>
      <c r="N152" s="126" t="s">
        <v>128</v>
      </c>
      <c r="O152" s="126" t="s">
        <v>135</v>
      </c>
      <c r="P152" s="126" t="s">
        <v>135</v>
      </c>
      <c r="Q152" s="128"/>
      <c r="R152" s="126" t="s">
        <v>136</v>
      </c>
      <c r="S152" s="126" t="s">
        <v>58</v>
      </c>
      <c r="T152" s="128"/>
      <c r="U152" s="129" t="n">
        <v>0</v>
      </c>
      <c r="V152" s="129" t="n">
        <v>0</v>
      </c>
      <c r="W152" s="129" t="n">
        <v>0</v>
      </c>
      <c r="X152" s="129" t="n">
        <v>0</v>
      </c>
      <c r="Y152" s="129" t="n">
        <v>0</v>
      </c>
      <c r="Z152" s="129" t="n">
        <v>0</v>
      </c>
      <c r="AA152" s="129" t="n">
        <v>1</v>
      </c>
      <c r="AB152" s="129" t="n">
        <v>0</v>
      </c>
      <c r="AC152" s="129" t="n">
        <v>0</v>
      </c>
      <c r="AD152" s="129" t="n">
        <v>0</v>
      </c>
      <c r="AE152" s="129" t="n">
        <v>0</v>
      </c>
      <c r="AF152" s="129" t="n">
        <v>0</v>
      </c>
      <c r="AG152" s="129" t="n">
        <v>0</v>
      </c>
      <c r="AH152" s="129" t="n">
        <v>0</v>
      </c>
      <c r="AI152" s="129" t="n">
        <v>0</v>
      </c>
      <c r="AJ152" s="129" t="n">
        <v>0</v>
      </c>
      <c r="AK152" s="129" t="n">
        <v>0</v>
      </c>
      <c r="AL152" s="129" t="n">
        <v>0</v>
      </c>
      <c r="AM152" s="129" t="n">
        <v>0</v>
      </c>
      <c r="AN152" s="128"/>
      <c r="AO152" s="128"/>
      <c r="AP152" s="126" t="s">
        <v>138</v>
      </c>
      <c r="AQ152" s="126" t="s">
        <v>139</v>
      </c>
      <c r="AR152" s="126" t="s">
        <v>140</v>
      </c>
      <c r="AS152" s="128"/>
      <c r="AT152" s="130"/>
    </row>
    <row r="153" customFormat="false" ht="12.75" hidden="false" customHeight="true" outlineLevel="0" collapsed="false">
      <c r="B153" s="122" t="n">
        <f aca="false">B152+1</f>
        <v>150</v>
      </c>
      <c r="C153" s="123" t="s">
        <v>168</v>
      </c>
      <c r="D153" s="140" t="n">
        <v>61073</v>
      </c>
      <c r="E153" s="124" t="str">
        <f aca="false">IF(D153="","",IFERROR(VLOOKUP(D153,CCN_Library!$A$4:$B$13,2,FALSE()),"NOT IN LIBRARY"))</f>
        <v>COMPANY/BATTERY HEADQUARTERS, MARINE CORPS</v>
      </c>
      <c r="F153" s="125" t="str">
        <f aca="false">LEFT(H153,6)</f>
        <v>M28261</v>
      </c>
      <c r="G153" s="126" t="s">
        <v>128</v>
      </c>
      <c r="H153" s="126" t="s">
        <v>418</v>
      </c>
      <c r="I153" s="126" t="s">
        <v>416</v>
      </c>
      <c r="J153" s="126" t="s">
        <v>191</v>
      </c>
      <c r="K153" s="127" t="s">
        <v>417</v>
      </c>
      <c r="L153" s="126" t="s">
        <v>161</v>
      </c>
      <c r="M153" s="126" t="s">
        <v>133</v>
      </c>
      <c r="N153" s="126" t="s">
        <v>128</v>
      </c>
      <c r="O153" s="126" t="s">
        <v>135</v>
      </c>
      <c r="P153" s="126" t="s">
        <v>135</v>
      </c>
      <c r="Q153" s="128"/>
      <c r="R153" s="126" t="s">
        <v>136</v>
      </c>
      <c r="S153" s="126" t="s">
        <v>58</v>
      </c>
      <c r="T153" s="128"/>
      <c r="U153" s="129" t="n">
        <v>0</v>
      </c>
      <c r="V153" s="129" t="n">
        <v>0</v>
      </c>
      <c r="W153" s="129" t="n">
        <v>0</v>
      </c>
      <c r="X153" s="129" t="n">
        <v>0</v>
      </c>
      <c r="Y153" s="129" t="n">
        <v>0</v>
      </c>
      <c r="Z153" s="129" t="n">
        <v>0</v>
      </c>
      <c r="AA153" s="129" t="n">
        <v>1</v>
      </c>
      <c r="AB153" s="129" t="n">
        <v>0</v>
      </c>
      <c r="AC153" s="129" t="n">
        <v>0</v>
      </c>
      <c r="AD153" s="129" t="n">
        <v>0</v>
      </c>
      <c r="AE153" s="129" t="n">
        <v>0</v>
      </c>
      <c r="AF153" s="129" t="n">
        <v>0</v>
      </c>
      <c r="AG153" s="129" t="n">
        <v>0</v>
      </c>
      <c r="AH153" s="129" t="n">
        <v>0</v>
      </c>
      <c r="AI153" s="129" t="n">
        <v>0</v>
      </c>
      <c r="AJ153" s="129" t="n">
        <v>0</v>
      </c>
      <c r="AK153" s="129" t="n">
        <v>0</v>
      </c>
      <c r="AL153" s="129" t="n">
        <v>0</v>
      </c>
      <c r="AM153" s="129" t="n">
        <v>0</v>
      </c>
      <c r="AN153" s="128"/>
      <c r="AO153" s="128"/>
      <c r="AP153" s="126" t="s">
        <v>138</v>
      </c>
      <c r="AQ153" s="126" t="s">
        <v>139</v>
      </c>
      <c r="AR153" s="126" t="s">
        <v>140</v>
      </c>
      <c r="AS153" s="128"/>
      <c r="AT153" s="130"/>
    </row>
    <row r="154" customFormat="false" ht="12.75" hidden="false" customHeight="true" outlineLevel="0" collapsed="false">
      <c r="B154" s="122" t="n">
        <f aca="false">B153+1</f>
        <v>151</v>
      </c>
      <c r="C154" s="123" t="s">
        <v>168</v>
      </c>
      <c r="D154" s="140" t="n">
        <v>61073</v>
      </c>
      <c r="E154" s="124" t="str">
        <f aca="false">IF(D154="","",IFERROR(VLOOKUP(D154,CCN_Library!$A$4:$B$13,2,FALSE()),"NOT IN LIBRARY"))</f>
        <v>COMPANY/BATTERY HEADQUARTERS, MARINE CORPS</v>
      </c>
      <c r="F154" s="125" t="str">
        <f aca="false">LEFT(H154,6)</f>
        <v>M28261</v>
      </c>
      <c r="G154" s="126" t="s">
        <v>128</v>
      </c>
      <c r="H154" s="126" t="s">
        <v>419</v>
      </c>
      <c r="I154" s="126" t="s">
        <v>416</v>
      </c>
      <c r="J154" s="126" t="s">
        <v>191</v>
      </c>
      <c r="K154" s="127" t="s">
        <v>417</v>
      </c>
      <c r="L154" s="126" t="s">
        <v>161</v>
      </c>
      <c r="M154" s="126" t="s">
        <v>133</v>
      </c>
      <c r="N154" s="126" t="s">
        <v>128</v>
      </c>
      <c r="O154" s="126" t="s">
        <v>135</v>
      </c>
      <c r="P154" s="126" t="s">
        <v>135</v>
      </c>
      <c r="Q154" s="128"/>
      <c r="R154" s="126" t="s">
        <v>136</v>
      </c>
      <c r="S154" s="126" t="s">
        <v>58</v>
      </c>
      <c r="T154" s="128"/>
      <c r="U154" s="129" t="n">
        <v>0</v>
      </c>
      <c r="V154" s="129" t="n">
        <v>0</v>
      </c>
      <c r="W154" s="129" t="n">
        <v>0</v>
      </c>
      <c r="X154" s="129" t="n">
        <v>0</v>
      </c>
      <c r="Y154" s="129" t="n">
        <v>0</v>
      </c>
      <c r="Z154" s="129" t="n">
        <v>0</v>
      </c>
      <c r="AA154" s="129" t="n">
        <v>1</v>
      </c>
      <c r="AB154" s="129" t="n">
        <v>0</v>
      </c>
      <c r="AC154" s="129" t="n">
        <v>0</v>
      </c>
      <c r="AD154" s="129" t="n">
        <v>0</v>
      </c>
      <c r="AE154" s="129" t="n">
        <v>0</v>
      </c>
      <c r="AF154" s="129" t="n">
        <v>0</v>
      </c>
      <c r="AG154" s="129" t="n">
        <v>0</v>
      </c>
      <c r="AH154" s="129" t="n">
        <v>0</v>
      </c>
      <c r="AI154" s="129" t="n">
        <v>0</v>
      </c>
      <c r="AJ154" s="129" t="n">
        <v>0</v>
      </c>
      <c r="AK154" s="129" t="n">
        <v>0</v>
      </c>
      <c r="AL154" s="129" t="n">
        <v>0</v>
      </c>
      <c r="AM154" s="129" t="n">
        <v>0</v>
      </c>
      <c r="AN154" s="128"/>
      <c r="AO154" s="128"/>
      <c r="AP154" s="126" t="s">
        <v>138</v>
      </c>
      <c r="AQ154" s="126" t="s">
        <v>139</v>
      </c>
      <c r="AR154" s="126" t="s">
        <v>140</v>
      </c>
      <c r="AS154" s="128"/>
      <c r="AT154" s="130"/>
    </row>
    <row r="155" customFormat="false" ht="12.75" hidden="false" customHeight="true" outlineLevel="0" collapsed="false">
      <c r="B155" s="131" t="n">
        <f aca="false">B154+1</f>
        <v>152</v>
      </c>
      <c r="C155" s="132" t="s">
        <v>162</v>
      </c>
      <c r="D155" s="133" t="n">
        <v>61073</v>
      </c>
      <c r="E155" s="133"/>
      <c r="F155" s="134" t="str">
        <f aca="false">LEFT(H155,6)</f>
        <v>M28261</v>
      </c>
      <c r="G155" s="135" t="s">
        <v>177</v>
      </c>
      <c r="H155" s="135" t="s">
        <v>420</v>
      </c>
      <c r="I155" s="135" t="s">
        <v>421</v>
      </c>
      <c r="J155" s="136"/>
      <c r="K155" s="136"/>
      <c r="L155" s="136"/>
      <c r="M155" s="136"/>
      <c r="N155" s="136"/>
      <c r="O155" s="136"/>
      <c r="P155" s="136"/>
      <c r="Q155" s="136"/>
      <c r="R155" s="136"/>
      <c r="S155" s="136"/>
      <c r="T155" s="136"/>
      <c r="U155" s="137" t="n">
        <v>0</v>
      </c>
      <c r="V155" s="137" t="n">
        <v>0</v>
      </c>
      <c r="W155" s="137" t="n">
        <v>0</v>
      </c>
      <c r="X155" s="137" t="n">
        <v>0</v>
      </c>
      <c r="Y155" s="137" t="n">
        <v>0</v>
      </c>
      <c r="Z155" s="137" t="n">
        <v>0</v>
      </c>
      <c r="AA155" s="137" t="n">
        <v>0</v>
      </c>
      <c r="AB155" s="137" t="n">
        <v>0</v>
      </c>
      <c r="AC155" s="137" t="n">
        <v>0</v>
      </c>
      <c r="AD155" s="137" t="n">
        <v>0</v>
      </c>
      <c r="AE155" s="137" t="n">
        <v>0</v>
      </c>
      <c r="AF155" s="137" t="n">
        <v>0</v>
      </c>
      <c r="AG155" s="137" t="n">
        <v>0</v>
      </c>
      <c r="AH155" s="137" t="n">
        <v>0</v>
      </c>
      <c r="AI155" s="137" t="n">
        <v>0</v>
      </c>
      <c r="AJ155" s="137" t="n">
        <v>0</v>
      </c>
      <c r="AK155" s="137" t="n">
        <v>0</v>
      </c>
      <c r="AL155" s="137" t="n">
        <v>0</v>
      </c>
      <c r="AM155" s="137" t="n">
        <v>0</v>
      </c>
      <c r="AN155" s="136"/>
      <c r="AO155" s="136"/>
      <c r="AP155" s="136"/>
      <c r="AQ155" s="136"/>
      <c r="AR155" s="136"/>
      <c r="AS155" s="136"/>
      <c r="AT155" s="138"/>
    </row>
    <row r="156" customFormat="false" ht="12.75" hidden="false" customHeight="true" outlineLevel="0" collapsed="false">
      <c r="B156" s="122" t="n">
        <f aca="false">B155+1</f>
        <v>153</v>
      </c>
      <c r="C156" s="123" t="s">
        <v>162</v>
      </c>
      <c r="D156" s="140" t="n">
        <v>61073</v>
      </c>
      <c r="E156" s="124" t="str">
        <f aca="false">IF(D156="","",IFERROR(VLOOKUP(D156,CCN_Library!$A$4:$B$13,2,FALSE()),"NOT IN LIBRARY"))</f>
        <v>COMPANY/BATTERY HEADQUARTERS, MARINE CORPS</v>
      </c>
      <c r="F156" s="125" t="str">
        <f aca="false">LEFT(H156,6)</f>
        <v>M28261</v>
      </c>
      <c r="G156" s="126" t="s">
        <v>128</v>
      </c>
      <c r="H156" s="126" t="s">
        <v>422</v>
      </c>
      <c r="I156" s="126" t="s">
        <v>411</v>
      </c>
      <c r="J156" s="126" t="s">
        <v>211</v>
      </c>
      <c r="K156" s="127" t="s">
        <v>151</v>
      </c>
      <c r="L156" s="126" t="s">
        <v>151</v>
      </c>
      <c r="M156" s="126" t="s">
        <v>133</v>
      </c>
      <c r="N156" s="126" t="s">
        <v>134</v>
      </c>
      <c r="O156" s="126" t="s">
        <v>135</v>
      </c>
      <c r="P156" s="126" t="s">
        <v>135</v>
      </c>
      <c r="Q156" s="128"/>
      <c r="R156" s="126" t="s">
        <v>136</v>
      </c>
      <c r="S156" s="126" t="s">
        <v>137</v>
      </c>
      <c r="T156" s="128"/>
      <c r="U156" s="129" t="n">
        <v>0</v>
      </c>
      <c r="V156" s="129" t="n">
        <v>0</v>
      </c>
      <c r="W156" s="129" t="n">
        <v>0</v>
      </c>
      <c r="X156" s="129" t="n">
        <v>0</v>
      </c>
      <c r="Y156" s="129" t="n">
        <v>0</v>
      </c>
      <c r="Z156" s="129" t="n">
        <v>1</v>
      </c>
      <c r="AA156" s="129" t="n">
        <v>0</v>
      </c>
      <c r="AB156" s="129" t="n">
        <v>0</v>
      </c>
      <c r="AC156" s="129" t="n">
        <v>0</v>
      </c>
      <c r="AD156" s="129" t="n">
        <v>0</v>
      </c>
      <c r="AE156" s="129" t="n">
        <v>0</v>
      </c>
      <c r="AF156" s="129" t="n">
        <v>0</v>
      </c>
      <c r="AG156" s="129" t="n">
        <v>0</v>
      </c>
      <c r="AH156" s="129" t="n">
        <v>0</v>
      </c>
      <c r="AI156" s="129" t="n">
        <v>0</v>
      </c>
      <c r="AJ156" s="129" t="n">
        <v>0</v>
      </c>
      <c r="AK156" s="129" t="n">
        <v>0</v>
      </c>
      <c r="AL156" s="129" t="n">
        <v>0</v>
      </c>
      <c r="AM156" s="129" t="n">
        <v>0</v>
      </c>
      <c r="AN156" s="128"/>
      <c r="AO156" s="128"/>
      <c r="AP156" s="126" t="s">
        <v>138</v>
      </c>
      <c r="AQ156" s="126" t="s">
        <v>139</v>
      </c>
      <c r="AR156" s="126" t="s">
        <v>140</v>
      </c>
      <c r="AS156" s="128"/>
      <c r="AT156" s="139"/>
    </row>
    <row r="157" customFormat="false" ht="12.75" hidden="false" customHeight="true" outlineLevel="0" collapsed="false">
      <c r="B157" s="122" t="n">
        <f aca="false">B156+1</f>
        <v>154</v>
      </c>
      <c r="C157" s="123" t="s">
        <v>162</v>
      </c>
      <c r="D157" s="140" t="n">
        <v>61073</v>
      </c>
      <c r="E157" s="124" t="str">
        <f aca="false">IF(D157="","",IFERROR(VLOOKUP(D157,CCN_Library!$A$4:$B$13,2,FALSE()),"NOT IN LIBRARY"))</f>
        <v>COMPANY/BATTERY HEADQUARTERS, MARINE CORPS</v>
      </c>
      <c r="F157" s="125" t="str">
        <f aca="false">LEFT(H157,6)</f>
        <v>M28261</v>
      </c>
      <c r="G157" s="126" t="s">
        <v>128</v>
      </c>
      <c r="H157" s="126" t="s">
        <v>423</v>
      </c>
      <c r="I157" s="126" t="s">
        <v>413</v>
      </c>
      <c r="J157" s="126" t="s">
        <v>182</v>
      </c>
      <c r="K157" s="127" t="s">
        <v>132</v>
      </c>
      <c r="L157" s="126" t="s">
        <v>132</v>
      </c>
      <c r="M157" s="126" t="s">
        <v>133</v>
      </c>
      <c r="N157" s="126" t="s">
        <v>134</v>
      </c>
      <c r="O157" s="126" t="s">
        <v>135</v>
      </c>
      <c r="P157" s="126" t="s">
        <v>135</v>
      </c>
      <c r="Q157" s="128"/>
      <c r="R157" s="126" t="s">
        <v>136</v>
      </c>
      <c r="S157" s="126" t="s">
        <v>137</v>
      </c>
      <c r="T157" s="128"/>
      <c r="U157" s="129" t="n">
        <v>0</v>
      </c>
      <c r="V157" s="129" t="n">
        <v>0</v>
      </c>
      <c r="W157" s="129" t="n">
        <v>0</v>
      </c>
      <c r="X157" s="129" t="n">
        <v>0</v>
      </c>
      <c r="Y157" s="129" t="n">
        <v>0</v>
      </c>
      <c r="Z157" s="129" t="n">
        <v>1</v>
      </c>
      <c r="AA157" s="129" t="n">
        <v>0</v>
      </c>
      <c r="AB157" s="129" t="n">
        <v>0</v>
      </c>
      <c r="AC157" s="129" t="n">
        <v>0</v>
      </c>
      <c r="AD157" s="129" t="n">
        <v>0</v>
      </c>
      <c r="AE157" s="129" t="n">
        <v>0</v>
      </c>
      <c r="AF157" s="129" t="n">
        <v>0</v>
      </c>
      <c r="AG157" s="129" t="n">
        <v>0</v>
      </c>
      <c r="AH157" s="129" t="n">
        <v>0</v>
      </c>
      <c r="AI157" s="129" t="n">
        <v>0</v>
      </c>
      <c r="AJ157" s="129" t="n">
        <v>0</v>
      </c>
      <c r="AK157" s="129" t="n">
        <v>0</v>
      </c>
      <c r="AL157" s="129" t="n">
        <v>0</v>
      </c>
      <c r="AM157" s="129" t="n">
        <v>0</v>
      </c>
      <c r="AN157" s="128"/>
      <c r="AO157" s="128"/>
      <c r="AP157" s="126" t="s">
        <v>138</v>
      </c>
      <c r="AQ157" s="126" t="s">
        <v>139</v>
      </c>
      <c r="AR157" s="126" t="s">
        <v>140</v>
      </c>
      <c r="AS157" s="128"/>
      <c r="AT157" s="130"/>
    </row>
    <row r="158" customFormat="false" ht="12.75" hidden="false" customHeight="true" outlineLevel="0" collapsed="false">
      <c r="B158" s="122" t="n">
        <f aca="false">B157+1</f>
        <v>155</v>
      </c>
      <c r="C158" s="123" t="s">
        <v>162</v>
      </c>
      <c r="D158" s="140" t="n">
        <v>61073</v>
      </c>
      <c r="E158" s="124" t="str">
        <f aca="false">IF(D158="","",IFERROR(VLOOKUP(D158,CCN_Library!$A$4:$B$13,2,FALSE()),"NOT IN LIBRARY"))</f>
        <v>COMPANY/BATTERY HEADQUARTERS, MARINE CORPS</v>
      </c>
      <c r="F158" s="125" t="str">
        <f aca="false">LEFT(H158,6)</f>
        <v>M28261</v>
      </c>
      <c r="G158" s="126" t="s">
        <v>128</v>
      </c>
      <c r="H158" s="126" t="s">
        <v>424</v>
      </c>
      <c r="I158" s="126" t="s">
        <v>413</v>
      </c>
      <c r="J158" s="126" t="s">
        <v>182</v>
      </c>
      <c r="K158" s="127" t="s">
        <v>132</v>
      </c>
      <c r="L158" s="126" t="s">
        <v>132</v>
      </c>
      <c r="M158" s="126" t="s">
        <v>133</v>
      </c>
      <c r="N158" s="126" t="s">
        <v>134</v>
      </c>
      <c r="O158" s="126" t="s">
        <v>135</v>
      </c>
      <c r="P158" s="126" t="s">
        <v>135</v>
      </c>
      <c r="Q158" s="128"/>
      <c r="R158" s="126" t="s">
        <v>136</v>
      </c>
      <c r="S158" s="126" t="s">
        <v>137</v>
      </c>
      <c r="T158" s="128"/>
      <c r="U158" s="129" t="n">
        <v>0</v>
      </c>
      <c r="V158" s="129" t="n">
        <v>0</v>
      </c>
      <c r="W158" s="129" t="n">
        <v>0</v>
      </c>
      <c r="X158" s="129" t="n">
        <v>0</v>
      </c>
      <c r="Y158" s="129" t="n">
        <v>0</v>
      </c>
      <c r="Z158" s="129" t="n">
        <v>1</v>
      </c>
      <c r="AA158" s="129" t="n">
        <v>0</v>
      </c>
      <c r="AB158" s="129" t="n">
        <v>0</v>
      </c>
      <c r="AC158" s="129" t="n">
        <v>0</v>
      </c>
      <c r="AD158" s="129" t="n">
        <v>0</v>
      </c>
      <c r="AE158" s="129" t="n">
        <v>0</v>
      </c>
      <c r="AF158" s="129" t="n">
        <v>0</v>
      </c>
      <c r="AG158" s="129" t="n">
        <v>0</v>
      </c>
      <c r="AH158" s="129" t="n">
        <v>0</v>
      </c>
      <c r="AI158" s="129" t="n">
        <v>0</v>
      </c>
      <c r="AJ158" s="129" t="n">
        <v>0</v>
      </c>
      <c r="AK158" s="129" t="n">
        <v>0</v>
      </c>
      <c r="AL158" s="129" t="n">
        <v>0</v>
      </c>
      <c r="AM158" s="129" t="n">
        <v>0</v>
      </c>
      <c r="AN158" s="128"/>
      <c r="AO158" s="128"/>
      <c r="AP158" s="126" t="s">
        <v>138</v>
      </c>
      <c r="AQ158" s="126" t="s">
        <v>139</v>
      </c>
      <c r="AR158" s="126" t="s">
        <v>140</v>
      </c>
      <c r="AS158" s="128"/>
      <c r="AT158" s="130"/>
    </row>
    <row r="159" customFormat="false" ht="12.75" hidden="false" customHeight="true" outlineLevel="0" collapsed="false">
      <c r="B159" s="122" t="n">
        <f aca="false">B158+1</f>
        <v>156</v>
      </c>
      <c r="C159" s="123" t="s">
        <v>168</v>
      </c>
      <c r="D159" s="140" t="n">
        <v>61073</v>
      </c>
      <c r="E159" s="124" t="str">
        <f aca="false">IF(D159="","",IFERROR(VLOOKUP(D159,CCN_Library!$A$4:$B$13,2,FALSE()),"NOT IN LIBRARY"))</f>
        <v>COMPANY/BATTERY HEADQUARTERS, MARINE CORPS</v>
      </c>
      <c r="F159" s="125" t="str">
        <f aca="false">LEFT(H159,6)</f>
        <v>M28261</v>
      </c>
      <c r="G159" s="126" t="s">
        <v>128</v>
      </c>
      <c r="H159" s="126" t="s">
        <v>425</v>
      </c>
      <c r="I159" s="126" t="s">
        <v>416</v>
      </c>
      <c r="J159" s="126" t="s">
        <v>191</v>
      </c>
      <c r="K159" s="127" t="s">
        <v>417</v>
      </c>
      <c r="L159" s="126" t="s">
        <v>161</v>
      </c>
      <c r="M159" s="126" t="s">
        <v>133</v>
      </c>
      <c r="N159" s="126" t="s">
        <v>128</v>
      </c>
      <c r="O159" s="126" t="s">
        <v>135</v>
      </c>
      <c r="P159" s="126" t="s">
        <v>135</v>
      </c>
      <c r="Q159" s="128"/>
      <c r="R159" s="126" t="s">
        <v>136</v>
      </c>
      <c r="S159" s="126" t="s">
        <v>58</v>
      </c>
      <c r="T159" s="128"/>
      <c r="U159" s="129" t="n">
        <v>0</v>
      </c>
      <c r="V159" s="129" t="n">
        <v>0</v>
      </c>
      <c r="W159" s="129" t="n">
        <v>0</v>
      </c>
      <c r="X159" s="129" t="n">
        <v>0</v>
      </c>
      <c r="Y159" s="129" t="n">
        <v>0</v>
      </c>
      <c r="Z159" s="129" t="n">
        <v>0</v>
      </c>
      <c r="AA159" s="129" t="n">
        <v>1</v>
      </c>
      <c r="AB159" s="129" t="n">
        <v>0</v>
      </c>
      <c r="AC159" s="129" t="n">
        <v>0</v>
      </c>
      <c r="AD159" s="129" t="n">
        <v>0</v>
      </c>
      <c r="AE159" s="129" t="n">
        <v>0</v>
      </c>
      <c r="AF159" s="129" t="n">
        <v>0</v>
      </c>
      <c r="AG159" s="129" t="n">
        <v>0</v>
      </c>
      <c r="AH159" s="129" t="n">
        <v>0</v>
      </c>
      <c r="AI159" s="129" t="n">
        <v>0</v>
      </c>
      <c r="AJ159" s="129" t="n">
        <v>0</v>
      </c>
      <c r="AK159" s="129" t="n">
        <v>0</v>
      </c>
      <c r="AL159" s="129" t="n">
        <v>0</v>
      </c>
      <c r="AM159" s="129" t="n">
        <v>0</v>
      </c>
      <c r="AN159" s="128"/>
      <c r="AO159" s="128"/>
      <c r="AP159" s="126" t="s">
        <v>138</v>
      </c>
      <c r="AQ159" s="126" t="s">
        <v>139</v>
      </c>
      <c r="AR159" s="126" t="s">
        <v>140</v>
      </c>
      <c r="AS159" s="128"/>
      <c r="AT159" s="130"/>
    </row>
    <row r="160" customFormat="false" ht="12.75" hidden="false" customHeight="true" outlineLevel="0" collapsed="false">
      <c r="B160" s="122" t="n">
        <f aca="false">B159+1</f>
        <v>157</v>
      </c>
      <c r="C160" s="123" t="s">
        <v>168</v>
      </c>
      <c r="D160" s="140" t="n">
        <v>61073</v>
      </c>
      <c r="E160" s="124" t="str">
        <f aca="false">IF(D160="","",IFERROR(VLOOKUP(D160,CCN_Library!$A$4:$B$13,2,FALSE()),"NOT IN LIBRARY"))</f>
        <v>COMPANY/BATTERY HEADQUARTERS, MARINE CORPS</v>
      </c>
      <c r="F160" s="125" t="str">
        <f aca="false">LEFT(H160,6)</f>
        <v>M28261</v>
      </c>
      <c r="G160" s="126" t="s">
        <v>128</v>
      </c>
      <c r="H160" s="126" t="s">
        <v>426</v>
      </c>
      <c r="I160" s="126" t="s">
        <v>416</v>
      </c>
      <c r="J160" s="126" t="s">
        <v>191</v>
      </c>
      <c r="K160" s="127" t="s">
        <v>417</v>
      </c>
      <c r="L160" s="126" t="s">
        <v>161</v>
      </c>
      <c r="M160" s="126" t="s">
        <v>133</v>
      </c>
      <c r="N160" s="126" t="s">
        <v>128</v>
      </c>
      <c r="O160" s="126" t="s">
        <v>135</v>
      </c>
      <c r="P160" s="126" t="s">
        <v>135</v>
      </c>
      <c r="Q160" s="128"/>
      <c r="R160" s="126" t="s">
        <v>136</v>
      </c>
      <c r="S160" s="126" t="s">
        <v>58</v>
      </c>
      <c r="T160" s="128"/>
      <c r="U160" s="129" t="n">
        <v>0</v>
      </c>
      <c r="V160" s="129" t="n">
        <v>0</v>
      </c>
      <c r="W160" s="129" t="n">
        <v>0</v>
      </c>
      <c r="X160" s="129" t="n">
        <v>0</v>
      </c>
      <c r="Y160" s="129" t="n">
        <v>0</v>
      </c>
      <c r="Z160" s="129" t="n">
        <v>0</v>
      </c>
      <c r="AA160" s="129" t="n">
        <v>1</v>
      </c>
      <c r="AB160" s="129" t="n">
        <v>0</v>
      </c>
      <c r="AC160" s="129" t="n">
        <v>0</v>
      </c>
      <c r="AD160" s="129" t="n">
        <v>0</v>
      </c>
      <c r="AE160" s="129" t="n">
        <v>0</v>
      </c>
      <c r="AF160" s="129" t="n">
        <v>0</v>
      </c>
      <c r="AG160" s="129" t="n">
        <v>0</v>
      </c>
      <c r="AH160" s="129" t="n">
        <v>0</v>
      </c>
      <c r="AI160" s="129" t="n">
        <v>0</v>
      </c>
      <c r="AJ160" s="129" t="n">
        <v>0</v>
      </c>
      <c r="AK160" s="129" t="n">
        <v>0</v>
      </c>
      <c r="AL160" s="129" t="n">
        <v>0</v>
      </c>
      <c r="AM160" s="129" t="n">
        <v>0</v>
      </c>
      <c r="AN160" s="128"/>
      <c r="AO160" s="128"/>
      <c r="AP160" s="126" t="s">
        <v>138</v>
      </c>
      <c r="AQ160" s="126" t="s">
        <v>139</v>
      </c>
      <c r="AR160" s="126" t="s">
        <v>140</v>
      </c>
      <c r="AS160" s="128"/>
      <c r="AT160" s="130"/>
    </row>
    <row r="161" customFormat="false" ht="12.75" hidden="false" customHeight="true" outlineLevel="0" collapsed="false">
      <c r="B161" s="122" t="n">
        <f aca="false">B160+1</f>
        <v>158</v>
      </c>
      <c r="C161" s="123" t="s">
        <v>168</v>
      </c>
      <c r="D161" s="140" t="n">
        <v>61073</v>
      </c>
      <c r="E161" s="124" t="str">
        <f aca="false">IF(D161="","",IFERROR(VLOOKUP(D161,CCN_Library!$A$4:$B$13,2,FALSE()),"NOT IN LIBRARY"))</f>
        <v>COMPANY/BATTERY HEADQUARTERS, MARINE CORPS</v>
      </c>
      <c r="F161" s="125" t="str">
        <f aca="false">LEFT(H161,6)</f>
        <v>M28261</v>
      </c>
      <c r="G161" s="126" t="s">
        <v>128</v>
      </c>
      <c r="H161" s="126" t="s">
        <v>427</v>
      </c>
      <c r="I161" s="126" t="s">
        <v>416</v>
      </c>
      <c r="J161" s="126" t="s">
        <v>191</v>
      </c>
      <c r="K161" s="127" t="s">
        <v>417</v>
      </c>
      <c r="L161" s="126" t="s">
        <v>161</v>
      </c>
      <c r="M161" s="126" t="s">
        <v>133</v>
      </c>
      <c r="N161" s="126" t="s">
        <v>128</v>
      </c>
      <c r="O161" s="126" t="s">
        <v>135</v>
      </c>
      <c r="P161" s="126" t="s">
        <v>135</v>
      </c>
      <c r="Q161" s="128"/>
      <c r="R161" s="126" t="s">
        <v>136</v>
      </c>
      <c r="S161" s="126" t="s">
        <v>58</v>
      </c>
      <c r="T161" s="128"/>
      <c r="U161" s="129" t="n">
        <v>0</v>
      </c>
      <c r="V161" s="129" t="n">
        <v>0</v>
      </c>
      <c r="W161" s="129" t="n">
        <v>0</v>
      </c>
      <c r="X161" s="129" t="n">
        <v>0</v>
      </c>
      <c r="Y161" s="129" t="n">
        <v>0</v>
      </c>
      <c r="Z161" s="129" t="n">
        <v>0</v>
      </c>
      <c r="AA161" s="129" t="n">
        <v>1</v>
      </c>
      <c r="AB161" s="129" t="n">
        <v>0</v>
      </c>
      <c r="AC161" s="129" t="n">
        <v>0</v>
      </c>
      <c r="AD161" s="129" t="n">
        <v>0</v>
      </c>
      <c r="AE161" s="129" t="n">
        <v>0</v>
      </c>
      <c r="AF161" s="129" t="n">
        <v>0</v>
      </c>
      <c r="AG161" s="129" t="n">
        <v>0</v>
      </c>
      <c r="AH161" s="129" t="n">
        <v>0</v>
      </c>
      <c r="AI161" s="129" t="n">
        <v>0</v>
      </c>
      <c r="AJ161" s="129" t="n">
        <v>0</v>
      </c>
      <c r="AK161" s="129" t="n">
        <v>0</v>
      </c>
      <c r="AL161" s="129" t="n">
        <v>0</v>
      </c>
      <c r="AM161" s="129" t="n">
        <v>0</v>
      </c>
      <c r="AN161" s="128"/>
      <c r="AO161" s="128"/>
      <c r="AP161" s="126" t="s">
        <v>138</v>
      </c>
      <c r="AQ161" s="126" t="s">
        <v>139</v>
      </c>
      <c r="AR161" s="126" t="s">
        <v>140</v>
      </c>
      <c r="AS161" s="128"/>
      <c r="AT161" s="139"/>
    </row>
    <row r="162" customFormat="false" ht="12.75" hidden="false" customHeight="true" outlineLevel="0" collapsed="false">
      <c r="B162" s="131" t="n">
        <f aca="false">B161+1</f>
        <v>159</v>
      </c>
      <c r="C162" s="132" t="s">
        <v>162</v>
      </c>
      <c r="D162" s="133" t="n">
        <v>61073</v>
      </c>
      <c r="E162" s="133"/>
      <c r="F162" s="134" t="str">
        <f aca="false">LEFT(H162,6)</f>
        <v>M28261</v>
      </c>
      <c r="G162" s="135" t="s">
        <v>177</v>
      </c>
      <c r="H162" s="135" t="s">
        <v>428</v>
      </c>
      <c r="I162" s="135" t="s">
        <v>429</v>
      </c>
      <c r="J162" s="136"/>
      <c r="K162" s="136"/>
      <c r="L162" s="136"/>
      <c r="M162" s="136"/>
      <c r="N162" s="136"/>
      <c r="O162" s="136"/>
      <c r="P162" s="136"/>
      <c r="Q162" s="136"/>
      <c r="R162" s="136"/>
      <c r="S162" s="136"/>
      <c r="T162" s="136"/>
      <c r="U162" s="137" t="n">
        <v>0</v>
      </c>
      <c r="V162" s="137" t="n">
        <v>0</v>
      </c>
      <c r="W162" s="137" t="n">
        <v>0</v>
      </c>
      <c r="X162" s="137" t="n">
        <v>0</v>
      </c>
      <c r="Y162" s="137" t="n">
        <v>0</v>
      </c>
      <c r="Z162" s="137" t="n">
        <v>0</v>
      </c>
      <c r="AA162" s="137" t="n">
        <v>0</v>
      </c>
      <c r="AB162" s="137" t="n">
        <v>0</v>
      </c>
      <c r="AC162" s="137" t="n">
        <v>0</v>
      </c>
      <c r="AD162" s="137" t="n">
        <v>0</v>
      </c>
      <c r="AE162" s="137" t="n">
        <v>0</v>
      </c>
      <c r="AF162" s="137" t="n">
        <v>0</v>
      </c>
      <c r="AG162" s="137" t="n">
        <v>0</v>
      </c>
      <c r="AH162" s="137" t="n">
        <v>0</v>
      </c>
      <c r="AI162" s="137" t="n">
        <v>0</v>
      </c>
      <c r="AJ162" s="137" t="n">
        <v>0</v>
      </c>
      <c r="AK162" s="137" t="n">
        <v>0</v>
      </c>
      <c r="AL162" s="137" t="n">
        <v>0</v>
      </c>
      <c r="AM162" s="137" t="n">
        <v>0</v>
      </c>
      <c r="AN162" s="136"/>
      <c r="AO162" s="136"/>
      <c r="AP162" s="136"/>
      <c r="AQ162" s="136"/>
      <c r="AR162" s="136"/>
      <c r="AS162" s="136"/>
      <c r="AT162" s="138"/>
    </row>
    <row r="163" customFormat="false" ht="12.75" hidden="false" customHeight="true" outlineLevel="0" collapsed="false">
      <c r="B163" s="122" t="n">
        <f aca="false">B162+1</f>
        <v>160</v>
      </c>
      <c r="C163" s="123" t="s">
        <v>162</v>
      </c>
      <c r="D163" s="140" t="n">
        <v>61073</v>
      </c>
      <c r="E163" s="124" t="str">
        <f aca="false">IF(D163="","",IFERROR(VLOOKUP(D163,CCN_Library!$A$4:$B$13,2,FALSE()),"NOT IN LIBRARY"))</f>
        <v>COMPANY/BATTERY HEADQUARTERS, MARINE CORPS</v>
      </c>
      <c r="F163" s="125" t="str">
        <f aca="false">LEFT(H163,6)</f>
        <v>M28261</v>
      </c>
      <c r="G163" s="126" t="s">
        <v>128</v>
      </c>
      <c r="H163" s="126" t="s">
        <v>430</v>
      </c>
      <c r="I163" s="126" t="s">
        <v>411</v>
      </c>
      <c r="J163" s="126" t="s">
        <v>211</v>
      </c>
      <c r="K163" s="127" t="s">
        <v>151</v>
      </c>
      <c r="L163" s="126" t="s">
        <v>151</v>
      </c>
      <c r="M163" s="126" t="s">
        <v>133</v>
      </c>
      <c r="N163" s="126" t="s">
        <v>134</v>
      </c>
      <c r="O163" s="126" t="s">
        <v>135</v>
      </c>
      <c r="P163" s="126" t="s">
        <v>135</v>
      </c>
      <c r="Q163" s="128"/>
      <c r="R163" s="126" t="s">
        <v>136</v>
      </c>
      <c r="S163" s="126" t="s">
        <v>137</v>
      </c>
      <c r="T163" s="128"/>
      <c r="U163" s="129" t="n">
        <v>0</v>
      </c>
      <c r="V163" s="129" t="n">
        <v>0</v>
      </c>
      <c r="W163" s="129" t="n">
        <v>0</v>
      </c>
      <c r="X163" s="129" t="n">
        <v>0</v>
      </c>
      <c r="Y163" s="129" t="n">
        <v>0</v>
      </c>
      <c r="Z163" s="129" t="n">
        <v>1</v>
      </c>
      <c r="AA163" s="129" t="n">
        <v>0</v>
      </c>
      <c r="AB163" s="129" t="n">
        <v>0</v>
      </c>
      <c r="AC163" s="129" t="n">
        <v>0</v>
      </c>
      <c r="AD163" s="129" t="n">
        <v>0</v>
      </c>
      <c r="AE163" s="129" t="n">
        <v>0</v>
      </c>
      <c r="AF163" s="129" t="n">
        <v>0</v>
      </c>
      <c r="AG163" s="129" t="n">
        <v>0</v>
      </c>
      <c r="AH163" s="129" t="n">
        <v>0</v>
      </c>
      <c r="AI163" s="129" t="n">
        <v>0</v>
      </c>
      <c r="AJ163" s="129" t="n">
        <v>0</v>
      </c>
      <c r="AK163" s="129" t="n">
        <v>0</v>
      </c>
      <c r="AL163" s="129" t="n">
        <v>0</v>
      </c>
      <c r="AM163" s="129" t="n">
        <v>0</v>
      </c>
      <c r="AN163" s="128"/>
      <c r="AO163" s="128"/>
      <c r="AP163" s="126" t="s">
        <v>138</v>
      </c>
      <c r="AQ163" s="126" t="s">
        <v>139</v>
      </c>
      <c r="AR163" s="126" t="s">
        <v>140</v>
      </c>
      <c r="AS163" s="128"/>
      <c r="AT163" s="130"/>
    </row>
    <row r="164" customFormat="false" ht="12.75" hidden="false" customHeight="true" outlineLevel="0" collapsed="false">
      <c r="B164" s="122" t="n">
        <f aca="false">B163+1</f>
        <v>161</v>
      </c>
      <c r="C164" s="123" t="s">
        <v>162</v>
      </c>
      <c r="D164" s="140" t="n">
        <v>61073</v>
      </c>
      <c r="E164" s="124" t="str">
        <f aca="false">IF(D164="","",IFERROR(VLOOKUP(D164,CCN_Library!$A$4:$B$13,2,FALSE()),"NOT IN LIBRARY"))</f>
        <v>COMPANY/BATTERY HEADQUARTERS, MARINE CORPS</v>
      </c>
      <c r="F164" s="125" t="str">
        <f aca="false">LEFT(H164,6)</f>
        <v>M28261</v>
      </c>
      <c r="G164" s="126" t="s">
        <v>128</v>
      </c>
      <c r="H164" s="126" t="s">
        <v>431</v>
      </c>
      <c r="I164" s="126" t="s">
        <v>413</v>
      </c>
      <c r="J164" s="126" t="s">
        <v>182</v>
      </c>
      <c r="K164" s="127" t="s">
        <v>132</v>
      </c>
      <c r="L164" s="126" t="s">
        <v>132</v>
      </c>
      <c r="M164" s="126" t="s">
        <v>133</v>
      </c>
      <c r="N164" s="126" t="s">
        <v>134</v>
      </c>
      <c r="O164" s="126" t="s">
        <v>135</v>
      </c>
      <c r="P164" s="126" t="s">
        <v>135</v>
      </c>
      <c r="Q164" s="128"/>
      <c r="R164" s="126" t="s">
        <v>136</v>
      </c>
      <c r="S164" s="126" t="s">
        <v>137</v>
      </c>
      <c r="T164" s="128"/>
      <c r="U164" s="129" t="n">
        <v>0</v>
      </c>
      <c r="V164" s="129" t="n">
        <v>0</v>
      </c>
      <c r="W164" s="129" t="n">
        <v>0</v>
      </c>
      <c r="X164" s="129" t="n">
        <v>0</v>
      </c>
      <c r="Y164" s="129" t="n">
        <v>0</v>
      </c>
      <c r="Z164" s="129" t="n">
        <v>1</v>
      </c>
      <c r="AA164" s="129" t="n">
        <v>0</v>
      </c>
      <c r="AB164" s="129" t="n">
        <v>0</v>
      </c>
      <c r="AC164" s="129" t="n">
        <v>0</v>
      </c>
      <c r="AD164" s="129" t="n">
        <v>0</v>
      </c>
      <c r="AE164" s="129" t="n">
        <v>0</v>
      </c>
      <c r="AF164" s="129" t="n">
        <v>0</v>
      </c>
      <c r="AG164" s="129" t="n">
        <v>0</v>
      </c>
      <c r="AH164" s="129" t="n">
        <v>0</v>
      </c>
      <c r="AI164" s="129" t="n">
        <v>0</v>
      </c>
      <c r="AJ164" s="129" t="n">
        <v>0</v>
      </c>
      <c r="AK164" s="129" t="n">
        <v>0</v>
      </c>
      <c r="AL164" s="129" t="n">
        <v>0</v>
      </c>
      <c r="AM164" s="129" t="n">
        <v>0</v>
      </c>
      <c r="AN164" s="128"/>
      <c r="AO164" s="128"/>
      <c r="AP164" s="126" t="s">
        <v>138</v>
      </c>
      <c r="AQ164" s="126" t="s">
        <v>139</v>
      </c>
      <c r="AR164" s="126" t="s">
        <v>140</v>
      </c>
      <c r="AS164" s="128"/>
      <c r="AT164" s="130"/>
    </row>
    <row r="165" customFormat="false" ht="12.75" hidden="false" customHeight="true" outlineLevel="0" collapsed="false">
      <c r="B165" s="122" t="n">
        <f aca="false">B164+1</f>
        <v>162</v>
      </c>
      <c r="C165" s="123" t="s">
        <v>162</v>
      </c>
      <c r="D165" s="140" t="n">
        <v>61073</v>
      </c>
      <c r="E165" s="124" t="str">
        <f aca="false">IF(D165="","",IFERROR(VLOOKUP(D165,CCN_Library!$A$4:$B$13,2,FALSE()),"NOT IN LIBRARY"))</f>
        <v>COMPANY/BATTERY HEADQUARTERS, MARINE CORPS</v>
      </c>
      <c r="F165" s="125" t="str">
        <f aca="false">LEFT(H165,6)</f>
        <v>M28261</v>
      </c>
      <c r="G165" s="126" t="s">
        <v>128</v>
      </c>
      <c r="H165" s="126" t="s">
        <v>432</v>
      </c>
      <c r="I165" s="126" t="s">
        <v>413</v>
      </c>
      <c r="J165" s="126" t="s">
        <v>182</v>
      </c>
      <c r="K165" s="127" t="s">
        <v>132</v>
      </c>
      <c r="L165" s="126" t="s">
        <v>132</v>
      </c>
      <c r="M165" s="126" t="s">
        <v>133</v>
      </c>
      <c r="N165" s="126" t="s">
        <v>134</v>
      </c>
      <c r="O165" s="126" t="s">
        <v>135</v>
      </c>
      <c r="P165" s="126" t="s">
        <v>135</v>
      </c>
      <c r="Q165" s="128"/>
      <c r="R165" s="126" t="s">
        <v>136</v>
      </c>
      <c r="S165" s="126" t="s">
        <v>137</v>
      </c>
      <c r="T165" s="128"/>
      <c r="U165" s="129" t="n">
        <v>0</v>
      </c>
      <c r="V165" s="129" t="n">
        <v>0</v>
      </c>
      <c r="W165" s="129" t="n">
        <v>0</v>
      </c>
      <c r="X165" s="129" t="n">
        <v>0</v>
      </c>
      <c r="Y165" s="129" t="n">
        <v>0</v>
      </c>
      <c r="Z165" s="129" t="n">
        <v>1</v>
      </c>
      <c r="AA165" s="129" t="n">
        <v>0</v>
      </c>
      <c r="AB165" s="129" t="n">
        <v>0</v>
      </c>
      <c r="AC165" s="129" t="n">
        <v>0</v>
      </c>
      <c r="AD165" s="129" t="n">
        <v>0</v>
      </c>
      <c r="AE165" s="129" t="n">
        <v>0</v>
      </c>
      <c r="AF165" s="129" t="n">
        <v>0</v>
      </c>
      <c r="AG165" s="129" t="n">
        <v>0</v>
      </c>
      <c r="AH165" s="129" t="n">
        <v>0</v>
      </c>
      <c r="AI165" s="129" t="n">
        <v>0</v>
      </c>
      <c r="AJ165" s="129" t="n">
        <v>0</v>
      </c>
      <c r="AK165" s="129" t="n">
        <v>0</v>
      </c>
      <c r="AL165" s="129" t="n">
        <v>0</v>
      </c>
      <c r="AM165" s="129" t="n">
        <v>0</v>
      </c>
      <c r="AN165" s="128"/>
      <c r="AO165" s="128"/>
      <c r="AP165" s="126" t="s">
        <v>138</v>
      </c>
      <c r="AQ165" s="126" t="s">
        <v>139</v>
      </c>
      <c r="AR165" s="126" t="s">
        <v>140</v>
      </c>
      <c r="AS165" s="128"/>
      <c r="AT165" s="130"/>
    </row>
    <row r="166" customFormat="false" ht="12.75" hidden="false" customHeight="true" outlineLevel="0" collapsed="false">
      <c r="B166" s="122" t="n">
        <f aca="false">B165+1</f>
        <v>163</v>
      </c>
      <c r="C166" s="123" t="s">
        <v>168</v>
      </c>
      <c r="D166" s="140" t="n">
        <v>61073</v>
      </c>
      <c r="E166" s="124" t="str">
        <f aca="false">IF(D166="","",IFERROR(VLOOKUP(D166,CCN_Library!$A$4:$B$13,2,FALSE()),"NOT IN LIBRARY"))</f>
        <v>COMPANY/BATTERY HEADQUARTERS, MARINE CORPS</v>
      </c>
      <c r="F166" s="125" t="str">
        <f aca="false">LEFT(H166,6)</f>
        <v>M28261</v>
      </c>
      <c r="G166" s="126" t="s">
        <v>128</v>
      </c>
      <c r="H166" s="126" t="s">
        <v>433</v>
      </c>
      <c r="I166" s="126" t="s">
        <v>416</v>
      </c>
      <c r="J166" s="126" t="s">
        <v>191</v>
      </c>
      <c r="K166" s="127" t="s">
        <v>417</v>
      </c>
      <c r="L166" s="126" t="s">
        <v>161</v>
      </c>
      <c r="M166" s="126" t="s">
        <v>133</v>
      </c>
      <c r="N166" s="126" t="s">
        <v>128</v>
      </c>
      <c r="O166" s="126" t="s">
        <v>135</v>
      </c>
      <c r="P166" s="126" t="s">
        <v>135</v>
      </c>
      <c r="Q166" s="128"/>
      <c r="R166" s="126" t="s">
        <v>136</v>
      </c>
      <c r="S166" s="126" t="s">
        <v>58</v>
      </c>
      <c r="T166" s="128"/>
      <c r="U166" s="129" t="n">
        <v>0</v>
      </c>
      <c r="V166" s="129" t="n">
        <v>0</v>
      </c>
      <c r="W166" s="129" t="n">
        <v>0</v>
      </c>
      <c r="X166" s="129" t="n">
        <v>0</v>
      </c>
      <c r="Y166" s="129" t="n">
        <v>0</v>
      </c>
      <c r="Z166" s="129" t="n">
        <v>0</v>
      </c>
      <c r="AA166" s="129" t="n">
        <v>1</v>
      </c>
      <c r="AB166" s="129" t="n">
        <v>0</v>
      </c>
      <c r="AC166" s="129" t="n">
        <v>0</v>
      </c>
      <c r="AD166" s="129" t="n">
        <v>0</v>
      </c>
      <c r="AE166" s="129" t="n">
        <v>0</v>
      </c>
      <c r="AF166" s="129" t="n">
        <v>0</v>
      </c>
      <c r="AG166" s="129" t="n">
        <v>0</v>
      </c>
      <c r="AH166" s="129" t="n">
        <v>0</v>
      </c>
      <c r="AI166" s="129" t="n">
        <v>0</v>
      </c>
      <c r="AJ166" s="129" t="n">
        <v>0</v>
      </c>
      <c r="AK166" s="129" t="n">
        <v>0</v>
      </c>
      <c r="AL166" s="129" t="n">
        <v>0</v>
      </c>
      <c r="AM166" s="129" t="n">
        <v>0</v>
      </c>
      <c r="AN166" s="128"/>
      <c r="AO166" s="128"/>
      <c r="AP166" s="126" t="s">
        <v>138</v>
      </c>
      <c r="AQ166" s="126" t="s">
        <v>139</v>
      </c>
      <c r="AR166" s="126" t="s">
        <v>140</v>
      </c>
      <c r="AS166" s="128"/>
      <c r="AT166" s="139"/>
    </row>
    <row r="167" customFormat="false" ht="12.75" hidden="false" customHeight="true" outlineLevel="0" collapsed="false">
      <c r="B167" s="122" t="n">
        <f aca="false">B166+1</f>
        <v>164</v>
      </c>
      <c r="C167" s="123" t="s">
        <v>168</v>
      </c>
      <c r="D167" s="140" t="n">
        <v>61073</v>
      </c>
      <c r="E167" s="124" t="str">
        <f aca="false">IF(D167="","",IFERROR(VLOOKUP(D167,CCN_Library!$A$4:$B$13,2,FALSE()),"NOT IN LIBRARY"))</f>
        <v>COMPANY/BATTERY HEADQUARTERS, MARINE CORPS</v>
      </c>
      <c r="F167" s="125" t="str">
        <f aca="false">LEFT(H167,6)</f>
        <v>M28261</v>
      </c>
      <c r="G167" s="126" t="s">
        <v>128</v>
      </c>
      <c r="H167" s="126" t="s">
        <v>434</v>
      </c>
      <c r="I167" s="126" t="s">
        <v>416</v>
      </c>
      <c r="J167" s="126" t="s">
        <v>191</v>
      </c>
      <c r="K167" s="127" t="s">
        <v>417</v>
      </c>
      <c r="L167" s="126" t="s">
        <v>161</v>
      </c>
      <c r="M167" s="126" t="s">
        <v>133</v>
      </c>
      <c r="N167" s="126" t="s">
        <v>128</v>
      </c>
      <c r="O167" s="126" t="s">
        <v>135</v>
      </c>
      <c r="P167" s="126" t="s">
        <v>135</v>
      </c>
      <c r="Q167" s="128"/>
      <c r="R167" s="126" t="s">
        <v>136</v>
      </c>
      <c r="S167" s="126" t="s">
        <v>58</v>
      </c>
      <c r="T167" s="128"/>
      <c r="U167" s="129" t="n">
        <v>0</v>
      </c>
      <c r="V167" s="129" t="n">
        <v>0</v>
      </c>
      <c r="W167" s="129" t="n">
        <v>0</v>
      </c>
      <c r="X167" s="129" t="n">
        <v>0</v>
      </c>
      <c r="Y167" s="129" t="n">
        <v>0</v>
      </c>
      <c r="Z167" s="129" t="n">
        <v>0</v>
      </c>
      <c r="AA167" s="129" t="n">
        <v>1</v>
      </c>
      <c r="AB167" s="129" t="n">
        <v>0</v>
      </c>
      <c r="AC167" s="129" t="n">
        <v>0</v>
      </c>
      <c r="AD167" s="129" t="n">
        <v>0</v>
      </c>
      <c r="AE167" s="129" t="n">
        <v>0</v>
      </c>
      <c r="AF167" s="129" t="n">
        <v>0</v>
      </c>
      <c r="AG167" s="129" t="n">
        <v>0</v>
      </c>
      <c r="AH167" s="129" t="n">
        <v>0</v>
      </c>
      <c r="AI167" s="129" t="n">
        <v>0</v>
      </c>
      <c r="AJ167" s="129" t="n">
        <v>0</v>
      </c>
      <c r="AK167" s="129" t="n">
        <v>0</v>
      </c>
      <c r="AL167" s="129" t="n">
        <v>0</v>
      </c>
      <c r="AM167" s="129" t="n">
        <v>0</v>
      </c>
      <c r="AN167" s="128"/>
      <c r="AO167" s="128"/>
      <c r="AP167" s="126" t="s">
        <v>138</v>
      </c>
      <c r="AQ167" s="126" t="s">
        <v>139</v>
      </c>
      <c r="AR167" s="126" t="s">
        <v>140</v>
      </c>
      <c r="AS167" s="128"/>
      <c r="AT167" s="130"/>
    </row>
    <row r="168" customFormat="false" ht="12.75" hidden="false" customHeight="true" outlineLevel="0" collapsed="false">
      <c r="B168" s="122" t="n">
        <f aca="false">B167+1</f>
        <v>165</v>
      </c>
      <c r="C168" s="123" t="s">
        <v>168</v>
      </c>
      <c r="D168" s="140" t="n">
        <v>61073</v>
      </c>
      <c r="E168" s="124" t="str">
        <f aca="false">IF(D168="","",IFERROR(VLOOKUP(D168,CCN_Library!$A$4:$B$13,2,FALSE()),"NOT IN LIBRARY"))</f>
        <v>COMPANY/BATTERY HEADQUARTERS, MARINE CORPS</v>
      </c>
      <c r="F168" s="125" t="str">
        <f aca="false">LEFT(H168,6)</f>
        <v>M28261</v>
      </c>
      <c r="G168" s="126" t="s">
        <v>128</v>
      </c>
      <c r="H168" s="126" t="s">
        <v>435</v>
      </c>
      <c r="I168" s="126" t="s">
        <v>416</v>
      </c>
      <c r="J168" s="126" t="s">
        <v>191</v>
      </c>
      <c r="K168" s="127" t="s">
        <v>417</v>
      </c>
      <c r="L168" s="126" t="s">
        <v>161</v>
      </c>
      <c r="M168" s="126" t="s">
        <v>133</v>
      </c>
      <c r="N168" s="126" t="s">
        <v>128</v>
      </c>
      <c r="O168" s="126" t="s">
        <v>135</v>
      </c>
      <c r="P168" s="126" t="s">
        <v>135</v>
      </c>
      <c r="Q168" s="128"/>
      <c r="R168" s="126" t="s">
        <v>136</v>
      </c>
      <c r="S168" s="126" t="s">
        <v>58</v>
      </c>
      <c r="T168" s="128"/>
      <c r="U168" s="129" t="n">
        <v>0</v>
      </c>
      <c r="V168" s="129" t="n">
        <v>0</v>
      </c>
      <c r="W168" s="129" t="n">
        <v>0</v>
      </c>
      <c r="X168" s="129" t="n">
        <v>0</v>
      </c>
      <c r="Y168" s="129" t="n">
        <v>0</v>
      </c>
      <c r="Z168" s="129" t="n">
        <v>0</v>
      </c>
      <c r="AA168" s="129" t="n">
        <v>1</v>
      </c>
      <c r="AB168" s="129" t="n">
        <v>0</v>
      </c>
      <c r="AC168" s="129" t="n">
        <v>0</v>
      </c>
      <c r="AD168" s="129" t="n">
        <v>0</v>
      </c>
      <c r="AE168" s="129" t="n">
        <v>0</v>
      </c>
      <c r="AF168" s="129" t="n">
        <v>0</v>
      </c>
      <c r="AG168" s="129" t="n">
        <v>0</v>
      </c>
      <c r="AH168" s="129" t="n">
        <v>0</v>
      </c>
      <c r="AI168" s="129" t="n">
        <v>0</v>
      </c>
      <c r="AJ168" s="129" t="n">
        <v>0</v>
      </c>
      <c r="AK168" s="129" t="n">
        <v>0</v>
      </c>
      <c r="AL168" s="129" t="n">
        <v>0</v>
      </c>
      <c r="AM168" s="129" t="n">
        <v>0</v>
      </c>
      <c r="AN168" s="128"/>
      <c r="AO168" s="128"/>
      <c r="AP168" s="126" t="s">
        <v>138</v>
      </c>
      <c r="AQ168" s="126" t="s">
        <v>139</v>
      </c>
      <c r="AR168" s="126" t="s">
        <v>140</v>
      </c>
      <c r="AS168" s="128"/>
      <c r="AT168" s="130"/>
    </row>
    <row r="169" customFormat="false" ht="12.75" hidden="false" customHeight="true" outlineLevel="0" collapsed="false">
      <c r="B169" s="131" t="n">
        <f aca="false">B168+1</f>
        <v>166</v>
      </c>
      <c r="C169" s="132" t="s">
        <v>162</v>
      </c>
      <c r="D169" s="133" t="n">
        <v>61073</v>
      </c>
      <c r="E169" s="133"/>
      <c r="F169" s="134" t="str">
        <f aca="false">LEFT(H169,6)</f>
        <v>M28261</v>
      </c>
      <c r="G169" s="135" t="s">
        <v>58</v>
      </c>
      <c r="H169" s="135" t="s">
        <v>436</v>
      </c>
      <c r="I169" s="135" t="s">
        <v>437</v>
      </c>
      <c r="J169" s="136"/>
      <c r="K169" s="136"/>
      <c r="L169" s="136"/>
      <c r="M169" s="136"/>
      <c r="N169" s="136"/>
      <c r="O169" s="136"/>
      <c r="P169" s="136"/>
      <c r="Q169" s="136"/>
      <c r="R169" s="136"/>
      <c r="S169" s="136"/>
      <c r="T169" s="136"/>
      <c r="U169" s="137" t="n">
        <v>0</v>
      </c>
      <c r="V169" s="137" t="n">
        <v>0</v>
      </c>
      <c r="W169" s="137" t="n">
        <v>0</v>
      </c>
      <c r="X169" s="137" t="n">
        <v>0</v>
      </c>
      <c r="Y169" s="137" t="n">
        <v>0</v>
      </c>
      <c r="Z169" s="137" t="n">
        <v>0</v>
      </c>
      <c r="AA169" s="137" t="n">
        <v>0</v>
      </c>
      <c r="AB169" s="137" t="n">
        <v>0</v>
      </c>
      <c r="AC169" s="137" t="n">
        <v>0</v>
      </c>
      <c r="AD169" s="137" t="n">
        <v>0</v>
      </c>
      <c r="AE169" s="137" t="n">
        <v>0</v>
      </c>
      <c r="AF169" s="137" t="n">
        <v>0</v>
      </c>
      <c r="AG169" s="137" t="n">
        <v>0</v>
      </c>
      <c r="AH169" s="137" t="n">
        <v>0</v>
      </c>
      <c r="AI169" s="137" t="n">
        <v>0</v>
      </c>
      <c r="AJ169" s="137" t="n">
        <v>0</v>
      </c>
      <c r="AK169" s="137" t="n">
        <v>0</v>
      </c>
      <c r="AL169" s="137" t="n">
        <v>0</v>
      </c>
      <c r="AM169" s="137" t="n">
        <v>0</v>
      </c>
      <c r="AN169" s="136"/>
      <c r="AO169" s="136"/>
      <c r="AP169" s="136"/>
      <c r="AQ169" s="136"/>
      <c r="AR169" s="136"/>
      <c r="AS169" s="136"/>
      <c r="AT169" s="138"/>
    </row>
    <row r="170" customFormat="false" ht="12.75" hidden="false" customHeight="true" outlineLevel="0" collapsed="false">
      <c r="B170" s="131" t="n">
        <f aca="false">B169+1</f>
        <v>167</v>
      </c>
      <c r="C170" s="132" t="s">
        <v>162</v>
      </c>
      <c r="D170" s="133" t="n">
        <v>61073</v>
      </c>
      <c r="E170" s="133"/>
      <c r="F170" s="134" t="str">
        <f aca="false">LEFT(H170,6)</f>
        <v>M28261</v>
      </c>
      <c r="G170" s="135" t="s">
        <v>177</v>
      </c>
      <c r="H170" s="135" t="s">
        <v>438</v>
      </c>
      <c r="I170" s="135" t="s">
        <v>439</v>
      </c>
      <c r="J170" s="136"/>
      <c r="K170" s="136"/>
      <c r="L170" s="136"/>
      <c r="M170" s="136"/>
      <c r="N170" s="136"/>
      <c r="O170" s="136"/>
      <c r="P170" s="136"/>
      <c r="Q170" s="136"/>
      <c r="R170" s="136"/>
      <c r="S170" s="136"/>
      <c r="T170" s="136"/>
      <c r="U170" s="137" t="n">
        <v>0</v>
      </c>
      <c r="V170" s="137" t="n">
        <v>0</v>
      </c>
      <c r="W170" s="137" t="n">
        <v>0</v>
      </c>
      <c r="X170" s="137" t="n">
        <v>0</v>
      </c>
      <c r="Y170" s="137" t="n">
        <v>0</v>
      </c>
      <c r="Z170" s="137" t="n">
        <v>0</v>
      </c>
      <c r="AA170" s="137" t="n">
        <v>0</v>
      </c>
      <c r="AB170" s="137" t="n">
        <v>0</v>
      </c>
      <c r="AC170" s="137" t="n">
        <v>0</v>
      </c>
      <c r="AD170" s="137" t="n">
        <v>0</v>
      </c>
      <c r="AE170" s="137" t="n">
        <v>0</v>
      </c>
      <c r="AF170" s="137" t="n">
        <v>0</v>
      </c>
      <c r="AG170" s="137" t="n">
        <v>0</v>
      </c>
      <c r="AH170" s="137" t="n">
        <v>0</v>
      </c>
      <c r="AI170" s="137" t="n">
        <v>0</v>
      </c>
      <c r="AJ170" s="137" t="n">
        <v>0</v>
      </c>
      <c r="AK170" s="137" t="n">
        <v>0</v>
      </c>
      <c r="AL170" s="137" t="n">
        <v>0</v>
      </c>
      <c r="AM170" s="137" t="n">
        <v>0</v>
      </c>
      <c r="AN170" s="136"/>
      <c r="AO170" s="136"/>
      <c r="AP170" s="136"/>
      <c r="AQ170" s="136"/>
      <c r="AR170" s="136"/>
      <c r="AS170" s="136"/>
      <c r="AT170" s="138"/>
    </row>
    <row r="171" customFormat="false" ht="12.75" hidden="false" customHeight="true" outlineLevel="0" collapsed="false">
      <c r="B171" s="122" t="n">
        <f aca="false">B170+1</f>
        <v>168</v>
      </c>
      <c r="C171" s="123" t="s">
        <v>162</v>
      </c>
      <c r="D171" s="140" t="n">
        <v>61073</v>
      </c>
      <c r="E171" s="124" t="str">
        <f aca="false">IF(D171="","",IFERROR(VLOOKUP(D171,CCN_Library!$A$4:$B$13,2,FALSE()),"NOT IN LIBRARY"))</f>
        <v>COMPANY/BATTERY HEADQUARTERS, MARINE CORPS</v>
      </c>
      <c r="F171" s="125" t="str">
        <f aca="false">LEFT(H171,6)</f>
        <v>M28261</v>
      </c>
      <c r="G171" s="126" t="s">
        <v>128</v>
      </c>
      <c r="H171" s="126" t="s">
        <v>440</v>
      </c>
      <c r="I171" s="126" t="s">
        <v>441</v>
      </c>
      <c r="J171" s="126" t="s">
        <v>189</v>
      </c>
      <c r="K171" s="127" t="s">
        <v>442</v>
      </c>
      <c r="L171" s="126" t="s">
        <v>161</v>
      </c>
      <c r="M171" s="126" t="s">
        <v>133</v>
      </c>
      <c r="N171" s="126" t="s">
        <v>128</v>
      </c>
      <c r="O171" s="126" t="s">
        <v>135</v>
      </c>
      <c r="P171" s="126" t="s">
        <v>135</v>
      </c>
      <c r="Q171" s="128"/>
      <c r="R171" s="126" t="s">
        <v>136</v>
      </c>
      <c r="S171" s="126" t="s">
        <v>137</v>
      </c>
      <c r="T171" s="128"/>
      <c r="U171" s="129" t="n">
        <v>0</v>
      </c>
      <c r="V171" s="129" t="n">
        <v>0</v>
      </c>
      <c r="W171" s="129" t="n">
        <v>0</v>
      </c>
      <c r="X171" s="129" t="n">
        <v>0</v>
      </c>
      <c r="Y171" s="129" t="n">
        <v>0</v>
      </c>
      <c r="Z171" s="129" t="n">
        <v>0</v>
      </c>
      <c r="AA171" s="129" t="n">
        <v>1</v>
      </c>
      <c r="AB171" s="129" t="n">
        <v>0</v>
      </c>
      <c r="AC171" s="129" t="n">
        <v>0</v>
      </c>
      <c r="AD171" s="129" t="n">
        <v>0</v>
      </c>
      <c r="AE171" s="129" t="n">
        <v>0</v>
      </c>
      <c r="AF171" s="129" t="n">
        <v>0</v>
      </c>
      <c r="AG171" s="129" t="n">
        <v>0</v>
      </c>
      <c r="AH171" s="129" t="n">
        <v>0</v>
      </c>
      <c r="AI171" s="129" t="n">
        <v>0</v>
      </c>
      <c r="AJ171" s="129" t="n">
        <v>0</v>
      </c>
      <c r="AK171" s="129" t="n">
        <v>0</v>
      </c>
      <c r="AL171" s="129" t="n">
        <v>0</v>
      </c>
      <c r="AM171" s="129" t="n">
        <v>0</v>
      </c>
      <c r="AN171" s="128"/>
      <c r="AO171" s="128"/>
      <c r="AP171" s="126" t="s">
        <v>138</v>
      </c>
      <c r="AQ171" s="126" t="s">
        <v>139</v>
      </c>
      <c r="AR171" s="126" t="s">
        <v>140</v>
      </c>
      <c r="AS171" s="128"/>
      <c r="AT171" s="139"/>
    </row>
    <row r="172" customFormat="false" ht="12.75" hidden="false" customHeight="true" outlineLevel="0" collapsed="false">
      <c r="B172" s="122" t="n">
        <f aca="false">B171+1</f>
        <v>169</v>
      </c>
      <c r="C172" s="123" t="s">
        <v>168</v>
      </c>
      <c r="D172" s="140" t="n">
        <v>61073</v>
      </c>
      <c r="E172" s="124" t="str">
        <f aca="false">IF(D172="","",IFERROR(VLOOKUP(D172,CCN_Library!$A$4:$B$13,2,FALSE()),"NOT IN LIBRARY"))</f>
        <v>COMPANY/BATTERY HEADQUARTERS, MARINE CORPS</v>
      </c>
      <c r="F172" s="125" t="str">
        <f aca="false">LEFT(H172,6)</f>
        <v>M28261</v>
      </c>
      <c r="G172" s="126" t="s">
        <v>128</v>
      </c>
      <c r="H172" s="126" t="s">
        <v>443</v>
      </c>
      <c r="I172" s="126" t="s">
        <v>441</v>
      </c>
      <c r="J172" s="126" t="s">
        <v>191</v>
      </c>
      <c r="K172" s="127" t="s">
        <v>442</v>
      </c>
      <c r="L172" s="126" t="s">
        <v>161</v>
      </c>
      <c r="M172" s="126" t="s">
        <v>133</v>
      </c>
      <c r="N172" s="126" t="s">
        <v>128</v>
      </c>
      <c r="O172" s="126" t="s">
        <v>135</v>
      </c>
      <c r="P172" s="126" t="s">
        <v>135</v>
      </c>
      <c r="Q172" s="128"/>
      <c r="R172" s="126" t="s">
        <v>136</v>
      </c>
      <c r="S172" s="126" t="s">
        <v>58</v>
      </c>
      <c r="T172" s="128"/>
      <c r="U172" s="129" t="n">
        <v>0</v>
      </c>
      <c r="V172" s="129" t="n">
        <v>0</v>
      </c>
      <c r="W172" s="129" t="n">
        <v>0</v>
      </c>
      <c r="X172" s="129" t="n">
        <v>0</v>
      </c>
      <c r="Y172" s="129" t="n">
        <v>0</v>
      </c>
      <c r="Z172" s="129" t="n">
        <v>0</v>
      </c>
      <c r="AA172" s="129" t="n">
        <v>1</v>
      </c>
      <c r="AB172" s="129" t="n">
        <v>0</v>
      </c>
      <c r="AC172" s="129" t="n">
        <v>0</v>
      </c>
      <c r="AD172" s="129" t="n">
        <v>0</v>
      </c>
      <c r="AE172" s="129" t="n">
        <v>0</v>
      </c>
      <c r="AF172" s="129" t="n">
        <v>0</v>
      </c>
      <c r="AG172" s="129" t="n">
        <v>0</v>
      </c>
      <c r="AH172" s="129" t="n">
        <v>0</v>
      </c>
      <c r="AI172" s="129" t="n">
        <v>0</v>
      </c>
      <c r="AJ172" s="129" t="n">
        <v>0</v>
      </c>
      <c r="AK172" s="129" t="n">
        <v>0</v>
      </c>
      <c r="AL172" s="129" t="n">
        <v>0</v>
      </c>
      <c r="AM172" s="129" t="n">
        <v>0</v>
      </c>
      <c r="AN172" s="128"/>
      <c r="AO172" s="128"/>
      <c r="AP172" s="126" t="s">
        <v>138</v>
      </c>
      <c r="AQ172" s="126" t="s">
        <v>139</v>
      </c>
      <c r="AR172" s="126" t="s">
        <v>140</v>
      </c>
      <c r="AS172" s="128"/>
      <c r="AT172" s="130"/>
    </row>
    <row r="173" customFormat="false" ht="12.75" hidden="false" customHeight="true" outlineLevel="0" collapsed="false">
      <c r="B173" s="122" t="n">
        <f aca="false">B172+1</f>
        <v>170</v>
      </c>
      <c r="C173" s="123" t="s">
        <v>168</v>
      </c>
      <c r="D173" s="140" t="n">
        <v>61073</v>
      </c>
      <c r="E173" s="124" t="str">
        <f aca="false">IF(D173="","",IFERROR(VLOOKUP(D173,CCN_Library!$A$4:$B$13,2,FALSE()),"NOT IN LIBRARY"))</f>
        <v>COMPANY/BATTERY HEADQUARTERS, MARINE CORPS</v>
      </c>
      <c r="F173" s="125" t="str">
        <f aca="false">LEFT(H173,6)</f>
        <v>M28261</v>
      </c>
      <c r="G173" s="126" t="s">
        <v>128</v>
      </c>
      <c r="H173" s="126" t="s">
        <v>444</v>
      </c>
      <c r="I173" s="126" t="s">
        <v>441</v>
      </c>
      <c r="J173" s="126" t="s">
        <v>191</v>
      </c>
      <c r="K173" s="127" t="s">
        <v>442</v>
      </c>
      <c r="L173" s="126" t="s">
        <v>161</v>
      </c>
      <c r="M173" s="126" t="s">
        <v>133</v>
      </c>
      <c r="N173" s="126" t="s">
        <v>128</v>
      </c>
      <c r="O173" s="126" t="s">
        <v>135</v>
      </c>
      <c r="P173" s="126" t="s">
        <v>135</v>
      </c>
      <c r="Q173" s="128"/>
      <c r="R173" s="126" t="s">
        <v>136</v>
      </c>
      <c r="S173" s="126" t="s">
        <v>58</v>
      </c>
      <c r="T173" s="128"/>
      <c r="U173" s="129" t="n">
        <v>0</v>
      </c>
      <c r="V173" s="129" t="n">
        <v>0</v>
      </c>
      <c r="W173" s="129" t="n">
        <v>0</v>
      </c>
      <c r="X173" s="129" t="n">
        <v>0</v>
      </c>
      <c r="Y173" s="129" t="n">
        <v>0</v>
      </c>
      <c r="Z173" s="129" t="n">
        <v>0</v>
      </c>
      <c r="AA173" s="129" t="n">
        <v>1</v>
      </c>
      <c r="AB173" s="129" t="n">
        <v>0</v>
      </c>
      <c r="AC173" s="129" t="n">
        <v>0</v>
      </c>
      <c r="AD173" s="129" t="n">
        <v>0</v>
      </c>
      <c r="AE173" s="129" t="n">
        <v>0</v>
      </c>
      <c r="AF173" s="129" t="n">
        <v>0</v>
      </c>
      <c r="AG173" s="129" t="n">
        <v>0</v>
      </c>
      <c r="AH173" s="129" t="n">
        <v>0</v>
      </c>
      <c r="AI173" s="129" t="n">
        <v>0</v>
      </c>
      <c r="AJ173" s="129" t="n">
        <v>0</v>
      </c>
      <c r="AK173" s="129" t="n">
        <v>0</v>
      </c>
      <c r="AL173" s="129" t="n">
        <v>0</v>
      </c>
      <c r="AM173" s="129" t="n">
        <v>0</v>
      </c>
      <c r="AN173" s="128"/>
      <c r="AO173" s="128"/>
      <c r="AP173" s="126" t="s">
        <v>138</v>
      </c>
      <c r="AQ173" s="126" t="s">
        <v>139</v>
      </c>
      <c r="AR173" s="126" t="s">
        <v>140</v>
      </c>
      <c r="AS173" s="128"/>
      <c r="AT173" s="130"/>
    </row>
    <row r="174" customFormat="false" ht="12.75" hidden="false" customHeight="true" outlineLevel="0" collapsed="false">
      <c r="B174" s="131" t="n">
        <f aca="false">B173+1</f>
        <v>171</v>
      </c>
      <c r="C174" s="132" t="s">
        <v>162</v>
      </c>
      <c r="D174" s="133" t="n">
        <v>61073</v>
      </c>
      <c r="E174" s="133"/>
      <c r="F174" s="134" t="str">
        <f aca="false">LEFT(H174,6)</f>
        <v>M28261</v>
      </c>
      <c r="G174" s="135" t="s">
        <v>177</v>
      </c>
      <c r="H174" s="135" t="s">
        <v>445</v>
      </c>
      <c r="I174" s="135" t="s">
        <v>446</v>
      </c>
      <c r="J174" s="136"/>
      <c r="K174" s="136"/>
      <c r="L174" s="136"/>
      <c r="M174" s="136"/>
      <c r="N174" s="136"/>
      <c r="O174" s="136"/>
      <c r="P174" s="136"/>
      <c r="Q174" s="136"/>
      <c r="R174" s="136"/>
      <c r="S174" s="136"/>
      <c r="T174" s="136"/>
      <c r="U174" s="137" t="n">
        <v>0</v>
      </c>
      <c r="V174" s="137" t="n">
        <v>0</v>
      </c>
      <c r="W174" s="137" t="n">
        <v>0</v>
      </c>
      <c r="X174" s="137" t="n">
        <v>0</v>
      </c>
      <c r="Y174" s="137" t="n">
        <v>0</v>
      </c>
      <c r="Z174" s="137" t="n">
        <v>0</v>
      </c>
      <c r="AA174" s="137" t="n">
        <v>0</v>
      </c>
      <c r="AB174" s="137" t="n">
        <v>0</v>
      </c>
      <c r="AC174" s="137" t="n">
        <v>0</v>
      </c>
      <c r="AD174" s="137" t="n">
        <v>0</v>
      </c>
      <c r="AE174" s="137" t="n">
        <v>0</v>
      </c>
      <c r="AF174" s="137" t="n">
        <v>0</v>
      </c>
      <c r="AG174" s="137" t="n">
        <v>0</v>
      </c>
      <c r="AH174" s="137" t="n">
        <v>0</v>
      </c>
      <c r="AI174" s="137" t="n">
        <v>0</v>
      </c>
      <c r="AJ174" s="137" t="n">
        <v>0</v>
      </c>
      <c r="AK174" s="137" t="n">
        <v>0</v>
      </c>
      <c r="AL174" s="137" t="n">
        <v>0</v>
      </c>
      <c r="AM174" s="137" t="n">
        <v>0</v>
      </c>
      <c r="AN174" s="136"/>
      <c r="AO174" s="136"/>
      <c r="AP174" s="136"/>
      <c r="AQ174" s="136"/>
      <c r="AR174" s="136"/>
      <c r="AS174" s="136"/>
      <c r="AT174" s="138"/>
    </row>
    <row r="175" customFormat="false" ht="12.75" hidden="false" customHeight="true" outlineLevel="0" collapsed="false">
      <c r="B175" s="122" t="n">
        <f aca="false">B174+1</f>
        <v>172</v>
      </c>
      <c r="C175" s="123" t="s">
        <v>162</v>
      </c>
      <c r="D175" s="140" t="n">
        <v>61073</v>
      </c>
      <c r="E175" s="124" t="str">
        <f aca="false">IF(D175="","",IFERROR(VLOOKUP(D175,CCN_Library!$A$4:$B$13,2,FALSE()),"NOT IN LIBRARY"))</f>
        <v>COMPANY/BATTERY HEADQUARTERS, MARINE CORPS</v>
      </c>
      <c r="F175" s="125" t="str">
        <f aca="false">LEFT(H175,6)</f>
        <v>M28261</v>
      </c>
      <c r="G175" s="126" t="s">
        <v>128</v>
      </c>
      <c r="H175" s="126" t="s">
        <v>447</v>
      </c>
      <c r="I175" s="126" t="s">
        <v>441</v>
      </c>
      <c r="J175" s="126" t="s">
        <v>189</v>
      </c>
      <c r="K175" s="127" t="s">
        <v>442</v>
      </c>
      <c r="L175" s="126" t="s">
        <v>161</v>
      </c>
      <c r="M175" s="126" t="s">
        <v>133</v>
      </c>
      <c r="N175" s="126" t="s">
        <v>128</v>
      </c>
      <c r="O175" s="126" t="s">
        <v>135</v>
      </c>
      <c r="P175" s="126" t="s">
        <v>135</v>
      </c>
      <c r="Q175" s="128"/>
      <c r="R175" s="126" t="s">
        <v>136</v>
      </c>
      <c r="S175" s="126" t="s">
        <v>137</v>
      </c>
      <c r="T175" s="128"/>
      <c r="U175" s="129" t="n">
        <v>0</v>
      </c>
      <c r="V175" s="129" t="n">
        <v>0</v>
      </c>
      <c r="W175" s="129" t="n">
        <v>0</v>
      </c>
      <c r="X175" s="129" t="n">
        <v>0</v>
      </c>
      <c r="Y175" s="129" t="n">
        <v>0</v>
      </c>
      <c r="Z175" s="129" t="n">
        <v>0</v>
      </c>
      <c r="AA175" s="129" t="n">
        <v>1</v>
      </c>
      <c r="AB175" s="129" t="n">
        <v>0</v>
      </c>
      <c r="AC175" s="129" t="n">
        <v>0</v>
      </c>
      <c r="AD175" s="129" t="n">
        <v>0</v>
      </c>
      <c r="AE175" s="129" t="n">
        <v>0</v>
      </c>
      <c r="AF175" s="129" t="n">
        <v>0</v>
      </c>
      <c r="AG175" s="129" t="n">
        <v>0</v>
      </c>
      <c r="AH175" s="129" t="n">
        <v>0</v>
      </c>
      <c r="AI175" s="129" t="n">
        <v>0</v>
      </c>
      <c r="AJ175" s="129" t="n">
        <v>0</v>
      </c>
      <c r="AK175" s="129" t="n">
        <v>0</v>
      </c>
      <c r="AL175" s="129" t="n">
        <v>0</v>
      </c>
      <c r="AM175" s="129" t="n">
        <v>0</v>
      </c>
      <c r="AN175" s="128"/>
      <c r="AO175" s="128"/>
      <c r="AP175" s="126" t="s">
        <v>138</v>
      </c>
      <c r="AQ175" s="126" t="s">
        <v>139</v>
      </c>
      <c r="AR175" s="126" t="s">
        <v>140</v>
      </c>
      <c r="AS175" s="128"/>
      <c r="AT175" s="139"/>
    </row>
    <row r="176" customFormat="false" ht="12.75" hidden="false" customHeight="true" outlineLevel="0" collapsed="false">
      <c r="B176" s="122" t="n">
        <f aca="false">B175+1</f>
        <v>173</v>
      </c>
      <c r="C176" s="123" t="s">
        <v>168</v>
      </c>
      <c r="D176" s="140" t="n">
        <v>61073</v>
      </c>
      <c r="E176" s="124" t="str">
        <f aca="false">IF(D176="","",IFERROR(VLOOKUP(D176,CCN_Library!$A$4:$B$13,2,FALSE()),"NOT IN LIBRARY"))</f>
        <v>COMPANY/BATTERY HEADQUARTERS, MARINE CORPS</v>
      </c>
      <c r="F176" s="125" t="str">
        <f aca="false">LEFT(H176,6)</f>
        <v>M28261</v>
      </c>
      <c r="G176" s="126" t="s">
        <v>128</v>
      </c>
      <c r="H176" s="126" t="s">
        <v>448</v>
      </c>
      <c r="I176" s="126" t="s">
        <v>441</v>
      </c>
      <c r="J176" s="126" t="s">
        <v>191</v>
      </c>
      <c r="K176" s="127" t="s">
        <v>442</v>
      </c>
      <c r="L176" s="126" t="s">
        <v>161</v>
      </c>
      <c r="M176" s="126" t="s">
        <v>133</v>
      </c>
      <c r="N176" s="126" t="s">
        <v>128</v>
      </c>
      <c r="O176" s="126" t="s">
        <v>135</v>
      </c>
      <c r="P176" s="126" t="s">
        <v>135</v>
      </c>
      <c r="Q176" s="128"/>
      <c r="R176" s="126" t="s">
        <v>136</v>
      </c>
      <c r="S176" s="126" t="s">
        <v>58</v>
      </c>
      <c r="T176" s="128"/>
      <c r="U176" s="129" t="n">
        <v>0</v>
      </c>
      <c r="V176" s="129" t="n">
        <v>0</v>
      </c>
      <c r="W176" s="129" t="n">
        <v>0</v>
      </c>
      <c r="X176" s="129" t="n">
        <v>0</v>
      </c>
      <c r="Y176" s="129" t="n">
        <v>0</v>
      </c>
      <c r="Z176" s="129" t="n">
        <v>0</v>
      </c>
      <c r="AA176" s="129" t="n">
        <v>1</v>
      </c>
      <c r="AB176" s="129" t="n">
        <v>0</v>
      </c>
      <c r="AC176" s="129" t="n">
        <v>0</v>
      </c>
      <c r="AD176" s="129" t="n">
        <v>0</v>
      </c>
      <c r="AE176" s="129" t="n">
        <v>0</v>
      </c>
      <c r="AF176" s="129" t="n">
        <v>0</v>
      </c>
      <c r="AG176" s="129" t="n">
        <v>0</v>
      </c>
      <c r="AH176" s="129" t="n">
        <v>0</v>
      </c>
      <c r="AI176" s="129" t="n">
        <v>0</v>
      </c>
      <c r="AJ176" s="129" t="n">
        <v>0</v>
      </c>
      <c r="AK176" s="129" t="n">
        <v>0</v>
      </c>
      <c r="AL176" s="129" t="n">
        <v>0</v>
      </c>
      <c r="AM176" s="129" t="n">
        <v>0</v>
      </c>
      <c r="AN176" s="128"/>
      <c r="AO176" s="128"/>
      <c r="AP176" s="126" t="s">
        <v>138</v>
      </c>
      <c r="AQ176" s="126" t="s">
        <v>139</v>
      </c>
      <c r="AR176" s="126" t="s">
        <v>140</v>
      </c>
      <c r="AS176" s="128"/>
      <c r="AT176" s="130"/>
    </row>
    <row r="177" customFormat="false" ht="12.75" hidden="false" customHeight="true" outlineLevel="0" collapsed="false">
      <c r="B177" s="122" t="n">
        <f aca="false">B176+1</f>
        <v>174</v>
      </c>
      <c r="C177" s="123" t="s">
        <v>168</v>
      </c>
      <c r="D177" s="140" t="n">
        <v>61073</v>
      </c>
      <c r="E177" s="124" t="str">
        <f aca="false">IF(D177="","",IFERROR(VLOOKUP(D177,CCN_Library!$A$4:$B$13,2,FALSE()),"NOT IN LIBRARY"))</f>
        <v>COMPANY/BATTERY HEADQUARTERS, MARINE CORPS</v>
      </c>
      <c r="F177" s="125" t="str">
        <f aca="false">LEFT(H177,6)</f>
        <v>M28261</v>
      </c>
      <c r="G177" s="126" t="s">
        <v>128</v>
      </c>
      <c r="H177" s="126" t="s">
        <v>449</v>
      </c>
      <c r="I177" s="126" t="s">
        <v>441</v>
      </c>
      <c r="J177" s="126" t="s">
        <v>191</v>
      </c>
      <c r="K177" s="127" t="s">
        <v>442</v>
      </c>
      <c r="L177" s="126" t="s">
        <v>161</v>
      </c>
      <c r="M177" s="126" t="s">
        <v>133</v>
      </c>
      <c r="N177" s="126" t="s">
        <v>128</v>
      </c>
      <c r="O177" s="126" t="s">
        <v>135</v>
      </c>
      <c r="P177" s="126" t="s">
        <v>135</v>
      </c>
      <c r="Q177" s="128"/>
      <c r="R177" s="126" t="s">
        <v>136</v>
      </c>
      <c r="S177" s="126" t="s">
        <v>58</v>
      </c>
      <c r="T177" s="128"/>
      <c r="U177" s="129" t="n">
        <v>0</v>
      </c>
      <c r="V177" s="129" t="n">
        <v>0</v>
      </c>
      <c r="W177" s="129" t="n">
        <v>0</v>
      </c>
      <c r="X177" s="129" t="n">
        <v>0</v>
      </c>
      <c r="Y177" s="129" t="n">
        <v>0</v>
      </c>
      <c r="Z177" s="129" t="n">
        <v>0</v>
      </c>
      <c r="AA177" s="129" t="n">
        <v>1</v>
      </c>
      <c r="AB177" s="129" t="n">
        <v>0</v>
      </c>
      <c r="AC177" s="129" t="n">
        <v>0</v>
      </c>
      <c r="AD177" s="129" t="n">
        <v>0</v>
      </c>
      <c r="AE177" s="129" t="n">
        <v>0</v>
      </c>
      <c r="AF177" s="129" t="n">
        <v>0</v>
      </c>
      <c r="AG177" s="129" t="n">
        <v>0</v>
      </c>
      <c r="AH177" s="129" t="n">
        <v>0</v>
      </c>
      <c r="AI177" s="129" t="n">
        <v>0</v>
      </c>
      <c r="AJ177" s="129" t="n">
        <v>0</v>
      </c>
      <c r="AK177" s="129" t="n">
        <v>0</v>
      </c>
      <c r="AL177" s="129" t="n">
        <v>0</v>
      </c>
      <c r="AM177" s="129" t="n">
        <v>0</v>
      </c>
      <c r="AN177" s="128"/>
      <c r="AO177" s="128"/>
      <c r="AP177" s="126" t="s">
        <v>138</v>
      </c>
      <c r="AQ177" s="126" t="s">
        <v>139</v>
      </c>
      <c r="AR177" s="126" t="s">
        <v>140</v>
      </c>
      <c r="AS177" s="128"/>
      <c r="AT177" s="130"/>
    </row>
    <row r="178" customFormat="false" ht="12.75" hidden="false" customHeight="true" outlineLevel="0" collapsed="false">
      <c r="B178" s="131" t="n">
        <f aca="false">B177+1</f>
        <v>175</v>
      </c>
      <c r="C178" s="132" t="s">
        <v>162</v>
      </c>
      <c r="D178" s="133" t="n">
        <v>61073</v>
      </c>
      <c r="E178" s="133"/>
      <c r="F178" s="134" t="str">
        <f aca="false">LEFT(H178,6)</f>
        <v>M28261</v>
      </c>
      <c r="G178" s="135" t="s">
        <v>58</v>
      </c>
      <c r="H178" s="135" t="s">
        <v>450</v>
      </c>
      <c r="I178" s="135" t="s">
        <v>451</v>
      </c>
      <c r="J178" s="136"/>
      <c r="K178" s="136"/>
      <c r="L178" s="136"/>
      <c r="M178" s="136"/>
      <c r="N178" s="136"/>
      <c r="O178" s="136"/>
      <c r="P178" s="136"/>
      <c r="Q178" s="136"/>
      <c r="R178" s="136"/>
      <c r="S178" s="136"/>
      <c r="T178" s="136"/>
      <c r="U178" s="137" t="n">
        <v>0</v>
      </c>
      <c r="V178" s="137" t="n">
        <v>0</v>
      </c>
      <c r="W178" s="137" t="n">
        <v>0</v>
      </c>
      <c r="X178" s="137" t="n">
        <v>0</v>
      </c>
      <c r="Y178" s="137" t="n">
        <v>0</v>
      </c>
      <c r="Z178" s="137" t="n">
        <v>0</v>
      </c>
      <c r="AA178" s="137" t="n">
        <v>0</v>
      </c>
      <c r="AB178" s="137" t="n">
        <v>0</v>
      </c>
      <c r="AC178" s="137" t="n">
        <v>0</v>
      </c>
      <c r="AD178" s="137" t="n">
        <v>0</v>
      </c>
      <c r="AE178" s="137" t="n">
        <v>0</v>
      </c>
      <c r="AF178" s="137" t="n">
        <v>0</v>
      </c>
      <c r="AG178" s="137" t="n">
        <v>0</v>
      </c>
      <c r="AH178" s="137" t="n">
        <v>0</v>
      </c>
      <c r="AI178" s="137" t="n">
        <v>0</v>
      </c>
      <c r="AJ178" s="137" t="n">
        <v>0</v>
      </c>
      <c r="AK178" s="137" t="n">
        <v>0</v>
      </c>
      <c r="AL178" s="137" t="n">
        <v>0</v>
      </c>
      <c r="AM178" s="137" t="n">
        <v>0</v>
      </c>
      <c r="AN178" s="136"/>
      <c r="AO178" s="136"/>
      <c r="AP178" s="136"/>
      <c r="AQ178" s="136"/>
      <c r="AR178" s="136"/>
      <c r="AS178" s="136"/>
      <c r="AT178" s="138"/>
    </row>
    <row r="179" customFormat="false" ht="12.75" hidden="false" customHeight="true" outlineLevel="0" collapsed="false">
      <c r="B179" s="122" t="n">
        <f aca="false">B178+1</f>
        <v>176</v>
      </c>
      <c r="C179" s="123" t="s">
        <v>162</v>
      </c>
      <c r="D179" s="140" t="n">
        <v>61073</v>
      </c>
      <c r="E179" s="124" t="str">
        <f aca="false">IF(D179="","",IFERROR(VLOOKUP(D179,CCN_Library!$A$4:$B$13,2,FALSE()),"NOT IN LIBRARY"))</f>
        <v>COMPANY/BATTERY HEADQUARTERS, MARINE CORPS</v>
      </c>
      <c r="F179" s="125" t="str">
        <f aca="false">LEFT(H179,6)</f>
        <v>M28261</v>
      </c>
      <c r="G179" s="126" t="s">
        <v>128</v>
      </c>
      <c r="H179" s="126" t="s">
        <v>452</v>
      </c>
      <c r="I179" s="126" t="s">
        <v>453</v>
      </c>
      <c r="J179" s="126" t="s">
        <v>211</v>
      </c>
      <c r="K179" s="127" t="s">
        <v>132</v>
      </c>
      <c r="L179" s="126" t="s">
        <v>132</v>
      </c>
      <c r="M179" s="126" t="s">
        <v>133</v>
      </c>
      <c r="N179" s="126" t="s">
        <v>134</v>
      </c>
      <c r="O179" s="126" t="s">
        <v>135</v>
      </c>
      <c r="P179" s="126" t="s">
        <v>135</v>
      </c>
      <c r="Q179" s="128"/>
      <c r="R179" s="126" t="s">
        <v>136</v>
      </c>
      <c r="S179" s="126" t="s">
        <v>137</v>
      </c>
      <c r="T179" s="128"/>
      <c r="U179" s="129" t="n">
        <v>0</v>
      </c>
      <c r="V179" s="129" t="n">
        <v>0</v>
      </c>
      <c r="W179" s="129" t="n">
        <v>0</v>
      </c>
      <c r="X179" s="129" t="n">
        <v>0</v>
      </c>
      <c r="Y179" s="129" t="n">
        <v>0</v>
      </c>
      <c r="Z179" s="129" t="n">
        <v>1</v>
      </c>
      <c r="AA179" s="129" t="n">
        <v>0</v>
      </c>
      <c r="AB179" s="129" t="n">
        <v>0</v>
      </c>
      <c r="AC179" s="129" t="n">
        <v>0</v>
      </c>
      <c r="AD179" s="129" t="n">
        <v>0</v>
      </c>
      <c r="AE179" s="129" t="n">
        <v>0</v>
      </c>
      <c r="AF179" s="129" t="n">
        <v>0</v>
      </c>
      <c r="AG179" s="129" t="n">
        <v>0</v>
      </c>
      <c r="AH179" s="129" t="n">
        <v>0</v>
      </c>
      <c r="AI179" s="129" t="n">
        <v>0</v>
      </c>
      <c r="AJ179" s="129" t="n">
        <v>0</v>
      </c>
      <c r="AK179" s="129" t="n">
        <v>0</v>
      </c>
      <c r="AL179" s="129" t="n">
        <v>0</v>
      </c>
      <c r="AM179" s="129" t="n">
        <v>0</v>
      </c>
      <c r="AN179" s="128"/>
      <c r="AO179" s="128"/>
      <c r="AP179" s="126" t="s">
        <v>138</v>
      </c>
      <c r="AQ179" s="126" t="s">
        <v>139</v>
      </c>
      <c r="AR179" s="126" t="s">
        <v>140</v>
      </c>
      <c r="AS179" s="128"/>
      <c r="AT179" s="139"/>
    </row>
    <row r="180" customFormat="false" ht="12.75" hidden="false" customHeight="true" outlineLevel="0" collapsed="false">
      <c r="B180" s="122" t="n">
        <f aca="false">B179+1</f>
        <v>177</v>
      </c>
      <c r="C180" s="123" t="s">
        <v>162</v>
      </c>
      <c r="D180" s="140" t="n">
        <v>61073</v>
      </c>
      <c r="E180" s="124" t="str">
        <f aca="false">IF(D180="","",IFERROR(VLOOKUP(D180,CCN_Library!$A$4:$B$13,2,FALSE()),"NOT IN LIBRARY"))</f>
        <v>COMPANY/BATTERY HEADQUARTERS, MARINE CORPS</v>
      </c>
      <c r="F180" s="125" t="str">
        <f aca="false">LEFT(H180,6)</f>
        <v>M28261</v>
      </c>
      <c r="G180" s="126" t="s">
        <v>128</v>
      </c>
      <c r="H180" s="126" t="s">
        <v>454</v>
      </c>
      <c r="I180" s="126" t="s">
        <v>453</v>
      </c>
      <c r="J180" s="126" t="s">
        <v>182</v>
      </c>
      <c r="K180" s="127" t="s">
        <v>132</v>
      </c>
      <c r="L180" s="126" t="s">
        <v>132</v>
      </c>
      <c r="M180" s="126" t="s">
        <v>133</v>
      </c>
      <c r="N180" s="126" t="s">
        <v>134</v>
      </c>
      <c r="O180" s="126" t="s">
        <v>135</v>
      </c>
      <c r="P180" s="126" t="s">
        <v>135</v>
      </c>
      <c r="Q180" s="128"/>
      <c r="R180" s="126" t="s">
        <v>136</v>
      </c>
      <c r="S180" s="126" t="s">
        <v>136</v>
      </c>
      <c r="T180" s="128"/>
      <c r="U180" s="129" t="n">
        <v>0</v>
      </c>
      <c r="V180" s="129" t="n">
        <v>0</v>
      </c>
      <c r="W180" s="129" t="n">
        <v>0</v>
      </c>
      <c r="X180" s="129" t="n">
        <v>0</v>
      </c>
      <c r="Y180" s="129" t="n">
        <v>0</v>
      </c>
      <c r="Z180" s="129" t="n">
        <v>1</v>
      </c>
      <c r="AA180" s="129" t="n">
        <v>0</v>
      </c>
      <c r="AB180" s="129" t="n">
        <v>0</v>
      </c>
      <c r="AC180" s="129" t="n">
        <v>0</v>
      </c>
      <c r="AD180" s="129" t="n">
        <v>0</v>
      </c>
      <c r="AE180" s="129" t="n">
        <v>0</v>
      </c>
      <c r="AF180" s="129" t="n">
        <v>0</v>
      </c>
      <c r="AG180" s="129" t="n">
        <v>0</v>
      </c>
      <c r="AH180" s="129" t="n">
        <v>0</v>
      </c>
      <c r="AI180" s="129" t="n">
        <v>0</v>
      </c>
      <c r="AJ180" s="129" t="n">
        <v>0</v>
      </c>
      <c r="AK180" s="129" t="n">
        <v>0</v>
      </c>
      <c r="AL180" s="129" t="n">
        <v>0</v>
      </c>
      <c r="AM180" s="129" t="n">
        <v>0</v>
      </c>
      <c r="AN180" s="128"/>
      <c r="AO180" s="128"/>
      <c r="AP180" s="126" t="s">
        <v>138</v>
      </c>
      <c r="AQ180" s="126" t="s">
        <v>139</v>
      </c>
      <c r="AR180" s="126" t="s">
        <v>140</v>
      </c>
      <c r="AS180" s="128"/>
      <c r="AT180" s="139"/>
    </row>
    <row r="181" customFormat="false" ht="12.75" hidden="false" customHeight="true" outlineLevel="0" collapsed="false">
      <c r="B181" s="122" t="n">
        <f aca="false">B180+1</f>
        <v>178</v>
      </c>
      <c r="C181" s="123" t="s">
        <v>162</v>
      </c>
      <c r="D181" s="140" t="n">
        <v>61073</v>
      </c>
      <c r="E181" s="124" t="str">
        <f aca="false">IF(D181="","",IFERROR(VLOOKUP(D181,CCN_Library!$A$4:$B$13,2,FALSE()),"NOT IN LIBRARY"))</f>
        <v>COMPANY/BATTERY HEADQUARTERS, MARINE CORPS</v>
      </c>
      <c r="F181" s="125" t="str">
        <f aca="false">LEFT(H181,6)</f>
        <v>M28261</v>
      </c>
      <c r="G181" s="126" t="s">
        <v>128</v>
      </c>
      <c r="H181" s="126" t="s">
        <v>455</v>
      </c>
      <c r="I181" s="126" t="s">
        <v>453</v>
      </c>
      <c r="J181" s="126" t="s">
        <v>182</v>
      </c>
      <c r="K181" s="127" t="s">
        <v>132</v>
      </c>
      <c r="L181" s="126" t="s">
        <v>132</v>
      </c>
      <c r="M181" s="126" t="s">
        <v>133</v>
      </c>
      <c r="N181" s="126" t="s">
        <v>134</v>
      </c>
      <c r="O181" s="126" t="s">
        <v>135</v>
      </c>
      <c r="P181" s="126" t="s">
        <v>135</v>
      </c>
      <c r="Q181" s="128"/>
      <c r="R181" s="126" t="s">
        <v>136</v>
      </c>
      <c r="S181" s="126" t="s">
        <v>136</v>
      </c>
      <c r="T181" s="128"/>
      <c r="U181" s="129" t="n">
        <v>0</v>
      </c>
      <c r="V181" s="129" t="n">
        <v>0</v>
      </c>
      <c r="W181" s="129" t="n">
        <v>0</v>
      </c>
      <c r="X181" s="129" t="n">
        <v>0</v>
      </c>
      <c r="Y181" s="129" t="n">
        <v>0</v>
      </c>
      <c r="Z181" s="129" t="n">
        <v>1</v>
      </c>
      <c r="AA181" s="129" t="n">
        <v>0</v>
      </c>
      <c r="AB181" s="129" t="n">
        <v>0</v>
      </c>
      <c r="AC181" s="129" t="n">
        <v>0</v>
      </c>
      <c r="AD181" s="129" t="n">
        <v>0</v>
      </c>
      <c r="AE181" s="129" t="n">
        <v>0</v>
      </c>
      <c r="AF181" s="129" t="n">
        <v>0</v>
      </c>
      <c r="AG181" s="129" t="n">
        <v>0</v>
      </c>
      <c r="AH181" s="129" t="n">
        <v>0</v>
      </c>
      <c r="AI181" s="129" t="n">
        <v>0</v>
      </c>
      <c r="AJ181" s="129" t="n">
        <v>0</v>
      </c>
      <c r="AK181" s="129" t="n">
        <v>0</v>
      </c>
      <c r="AL181" s="129" t="n">
        <v>0</v>
      </c>
      <c r="AM181" s="129" t="n">
        <v>0</v>
      </c>
      <c r="AN181" s="128"/>
      <c r="AO181" s="128"/>
      <c r="AP181" s="126" t="s">
        <v>138</v>
      </c>
      <c r="AQ181" s="126" t="s">
        <v>139</v>
      </c>
      <c r="AR181" s="126" t="s">
        <v>140</v>
      </c>
      <c r="AS181" s="128"/>
      <c r="AT181" s="130"/>
    </row>
    <row r="182" customFormat="false" ht="12.75" hidden="false" customHeight="true" outlineLevel="0" collapsed="false">
      <c r="B182" s="122" t="n">
        <f aca="false">B181+1</f>
        <v>179</v>
      </c>
      <c r="C182" s="123" t="s">
        <v>162</v>
      </c>
      <c r="D182" s="140" t="n">
        <v>61073</v>
      </c>
      <c r="E182" s="124" t="str">
        <f aca="false">IF(D182="","",IFERROR(VLOOKUP(D182,CCN_Library!$A$4:$B$13,2,FALSE()),"NOT IN LIBRARY"))</f>
        <v>COMPANY/BATTERY HEADQUARTERS, MARINE CORPS</v>
      </c>
      <c r="F182" s="125" t="str">
        <f aca="false">LEFT(H182,6)</f>
        <v>M28261</v>
      </c>
      <c r="G182" s="126" t="s">
        <v>128</v>
      </c>
      <c r="H182" s="126" t="s">
        <v>456</v>
      </c>
      <c r="I182" s="126" t="s">
        <v>457</v>
      </c>
      <c r="J182" s="126" t="s">
        <v>189</v>
      </c>
      <c r="K182" s="127" t="s">
        <v>458</v>
      </c>
      <c r="L182" s="126" t="s">
        <v>161</v>
      </c>
      <c r="M182" s="126" t="s">
        <v>133</v>
      </c>
      <c r="N182" s="126" t="s">
        <v>128</v>
      </c>
      <c r="O182" s="126" t="s">
        <v>135</v>
      </c>
      <c r="P182" s="126" t="s">
        <v>135</v>
      </c>
      <c r="Q182" s="128"/>
      <c r="R182" s="126" t="s">
        <v>136</v>
      </c>
      <c r="S182" s="126" t="s">
        <v>137</v>
      </c>
      <c r="T182" s="128"/>
      <c r="U182" s="129" t="n">
        <v>0</v>
      </c>
      <c r="V182" s="129" t="n">
        <v>0</v>
      </c>
      <c r="W182" s="129" t="n">
        <v>0</v>
      </c>
      <c r="X182" s="129" t="n">
        <v>0</v>
      </c>
      <c r="Y182" s="129" t="n">
        <v>0</v>
      </c>
      <c r="Z182" s="129" t="n">
        <v>0</v>
      </c>
      <c r="AA182" s="129" t="n">
        <v>1</v>
      </c>
      <c r="AB182" s="129" t="n">
        <v>0</v>
      </c>
      <c r="AC182" s="129" t="n">
        <v>0</v>
      </c>
      <c r="AD182" s="129" t="n">
        <v>0</v>
      </c>
      <c r="AE182" s="129" t="n">
        <v>0</v>
      </c>
      <c r="AF182" s="129" t="n">
        <v>0</v>
      </c>
      <c r="AG182" s="129" t="n">
        <v>0</v>
      </c>
      <c r="AH182" s="129" t="n">
        <v>0</v>
      </c>
      <c r="AI182" s="129" t="n">
        <v>0</v>
      </c>
      <c r="AJ182" s="129" t="n">
        <v>0</v>
      </c>
      <c r="AK182" s="129" t="n">
        <v>0</v>
      </c>
      <c r="AL182" s="129" t="n">
        <v>0</v>
      </c>
      <c r="AM182" s="129" t="n">
        <v>0</v>
      </c>
      <c r="AN182" s="128"/>
      <c r="AO182" s="128"/>
      <c r="AP182" s="126" t="s">
        <v>138</v>
      </c>
      <c r="AQ182" s="126" t="s">
        <v>139</v>
      </c>
      <c r="AR182" s="126" t="s">
        <v>140</v>
      </c>
      <c r="AS182" s="128"/>
      <c r="AT182" s="130"/>
    </row>
    <row r="183" customFormat="false" ht="12.75" hidden="false" customHeight="true" outlineLevel="0" collapsed="false">
      <c r="B183" s="122" t="n">
        <f aca="false">B182+1</f>
        <v>180</v>
      </c>
      <c r="C183" s="123" t="s">
        <v>168</v>
      </c>
      <c r="D183" s="140" t="n">
        <v>61073</v>
      </c>
      <c r="E183" s="124" t="str">
        <f aca="false">IF(D183="","",IFERROR(VLOOKUP(D183,CCN_Library!$A$4:$B$13,2,FALSE()),"NOT IN LIBRARY"))</f>
        <v>COMPANY/BATTERY HEADQUARTERS, MARINE CORPS</v>
      </c>
      <c r="F183" s="125" t="str">
        <f aca="false">LEFT(H183,6)</f>
        <v>M28261</v>
      </c>
      <c r="G183" s="126" t="s">
        <v>128</v>
      </c>
      <c r="H183" s="126" t="s">
        <v>459</v>
      </c>
      <c r="I183" s="126" t="s">
        <v>457</v>
      </c>
      <c r="J183" s="126" t="s">
        <v>191</v>
      </c>
      <c r="K183" s="127" t="s">
        <v>458</v>
      </c>
      <c r="L183" s="126" t="s">
        <v>161</v>
      </c>
      <c r="M183" s="126" t="s">
        <v>133</v>
      </c>
      <c r="N183" s="126" t="s">
        <v>128</v>
      </c>
      <c r="O183" s="126" t="s">
        <v>135</v>
      </c>
      <c r="P183" s="126" t="s">
        <v>135</v>
      </c>
      <c r="Q183" s="128"/>
      <c r="R183" s="126" t="s">
        <v>136</v>
      </c>
      <c r="S183" s="126" t="s">
        <v>136</v>
      </c>
      <c r="T183" s="128"/>
      <c r="U183" s="129" t="n">
        <v>0</v>
      </c>
      <c r="V183" s="129" t="n">
        <v>0</v>
      </c>
      <c r="W183" s="129" t="n">
        <v>0</v>
      </c>
      <c r="X183" s="129" t="n">
        <v>0</v>
      </c>
      <c r="Y183" s="129" t="n">
        <v>0</v>
      </c>
      <c r="Z183" s="129" t="n">
        <v>0</v>
      </c>
      <c r="AA183" s="129" t="n">
        <v>1</v>
      </c>
      <c r="AB183" s="129" t="n">
        <v>0</v>
      </c>
      <c r="AC183" s="129" t="n">
        <v>0</v>
      </c>
      <c r="AD183" s="129" t="n">
        <v>0</v>
      </c>
      <c r="AE183" s="129" t="n">
        <v>0</v>
      </c>
      <c r="AF183" s="129" t="n">
        <v>0</v>
      </c>
      <c r="AG183" s="129" t="n">
        <v>0</v>
      </c>
      <c r="AH183" s="129" t="n">
        <v>0</v>
      </c>
      <c r="AI183" s="129" t="n">
        <v>0</v>
      </c>
      <c r="AJ183" s="129" t="n">
        <v>0</v>
      </c>
      <c r="AK183" s="129" t="n">
        <v>0</v>
      </c>
      <c r="AL183" s="129" t="n">
        <v>0</v>
      </c>
      <c r="AM183" s="129" t="n">
        <v>0</v>
      </c>
      <c r="AN183" s="128"/>
      <c r="AO183" s="128"/>
      <c r="AP183" s="126" t="s">
        <v>138</v>
      </c>
      <c r="AQ183" s="126" t="s">
        <v>139</v>
      </c>
      <c r="AR183" s="126" t="s">
        <v>140</v>
      </c>
      <c r="AS183" s="128"/>
      <c r="AT183" s="130"/>
    </row>
    <row r="184" customFormat="false" ht="12.75" hidden="false" customHeight="true" outlineLevel="0" collapsed="false">
      <c r="B184" s="122" t="n">
        <f aca="false">B183+1</f>
        <v>181</v>
      </c>
      <c r="C184" s="123" t="s">
        <v>168</v>
      </c>
      <c r="D184" s="140" t="n">
        <v>61073</v>
      </c>
      <c r="E184" s="124" t="str">
        <f aca="false">IF(D184="","",IFERROR(VLOOKUP(D184,CCN_Library!$A$4:$B$13,2,FALSE()),"NOT IN LIBRARY"))</f>
        <v>COMPANY/BATTERY HEADQUARTERS, MARINE CORPS</v>
      </c>
      <c r="F184" s="125" t="str">
        <f aca="false">LEFT(H184,6)</f>
        <v>M28261</v>
      </c>
      <c r="G184" s="126" t="s">
        <v>128</v>
      </c>
      <c r="H184" s="126" t="s">
        <v>460</v>
      </c>
      <c r="I184" s="126" t="s">
        <v>457</v>
      </c>
      <c r="J184" s="126" t="s">
        <v>191</v>
      </c>
      <c r="K184" s="127" t="s">
        <v>458</v>
      </c>
      <c r="L184" s="126" t="s">
        <v>161</v>
      </c>
      <c r="M184" s="126" t="s">
        <v>133</v>
      </c>
      <c r="N184" s="126" t="s">
        <v>128</v>
      </c>
      <c r="O184" s="126" t="s">
        <v>135</v>
      </c>
      <c r="P184" s="126" t="s">
        <v>135</v>
      </c>
      <c r="Q184" s="128"/>
      <c r="R184" s="126" t="s">
        <v>136</v>
      </c>
      <c r="S184" s="126" t="s">
        <v>136</v>
      </c>
      <c r="T184" s="128"/>
      <c r="U184" s="129" t="n">
        <v>0</v>
      </c>
      <c r="V184" s="129" t="n">
        <v>0</v>
      </c>
      <c r="W184" s="129" t="n">
        <v>0</v>
      </c>
      <c r="X184" s="129" t="n">
        <v>0</v>
      </c>
      <c r="Y184" s="129" t="n">
        <v>0</v>
      </c>
      <c r="Z184" s="129" t="n">
        <v>0</v>
      </c>
      <c r="AA184" s="129" t="n">
        <v>1</v>
      </c>
      <c r="AB184" s="129" t="n">
        <v>0</v>
      </c>
      <c r="AC184" s="129" t="n">
        <v>0</v>
      </c>
      <c r="AD184" s="129" t="n">
        <v>0</v>
      </c>
      <c r="AE184" s="129" t="n">
        <v>0</v>
      </c>
      <c r="AF184" s="129" t="n">
        <v>0</v>
      </c>
      <c r="AG184" s="129" t="n">
        <v>0</v>
      </c>
      <c r="AH184" s="129" t="n">
        <v>0</v>
      </c>
      <c r="AI184" s="129" t="n">
        <v>0</v>
      </c>
      <c r="AJ184" s="129" t="n">
        <v>0</v>
      </c>
      <c r="AK184" s="129" t="n">
        <v>0</v>
      </c>
      <c r="AL184" s="129" t="n">
        <v>0</v>
      </c>
      <c r="AM184" s="129" t="n">
        <v>0</v>
      </c>
      <c r="AN184" s="128"/>
      <c r="AO184" s="128"/>
      <c r="AP184" s="126" t="s">
        <v>138</v>
      </c>
      <c r="AQ184" s="126" t="s">
        <v>139</v>
      </c>
      <c r="AR184" s="126" t="s">
        <v>140</v>
      </c>
      <c r="AS184" s="128"/>
      <c r="AT184" s="139"/>
    </row>
    <row r="185" customFormat="false" ht="12.75" hidden="false" customHeight="true" outlineLevel="0" collapsed="false">
      <c r="B185" s="131" t="n">
        <f aca="false">B184+1</f>
        <v>182</v>
      </c>
      <c r="C185" s="132" t="s">
        <v>162</v>
      </c>
      <c r="D185" s="133" t="n">
        <v>61073</v>
      </c>
      <c r="E185" s="133"/>
      <c r="F185" s="134" t="str">
        <f aca="false">LEFT(H185,6)</f>
        <v>M28261</v>
      </c>
      <c r="G185" s="135" t="s">
        <v>58</v>
      </c>
      <c r="H185" s="135" t="s">
        <v>461</v>
      </c>
      <c r="I185" s="135" t="s">
        <v>462</v>
      </c>
      <c r="J185" s="136"/>
      <c r="K185" s="136"/>
      <c r="L185" s="136"/>
      <c r="M185" s="136"/>
      <c r="N185" s="136"/>
      <c r="O185" s="136"/>
      <c r="P185" s="136"/>
      <c r="Q185" s="136"/>
      <c r="R185" s="136"/>
      <c r="S185" s="136"/>
      <c r="T185" s="136"/>
      <c r="U185" s="137" t="n">
        <v>0</v>
      </c>
      <c r="V185" s="137" t="n">
        <v>0</v>
      </c>
      <c r="W185" s="137" t="n">
        <v>0</v>
      </c>
      <c r="X185" s="137" t="n">
        <v>0</v>
      </c>
      <c r="Y185" s="137" t="n">
        <v>0</v>
      </c>
      <c r="Z185" s="137" t="n">
        <v>0</v>
      </c>
      <c r="AA185" s="137" t="n">
        <v>0</v>
      </c>
      <c r="AB185" s="137" t="n">
        <v>0</v>
      </c>
      <c r="AC185" s="137" t="n">
        <v>0</v>
      </c>
      <c r="AD185" s="137" t="n">
        <v>0</v>
      </c>
      <c r="AE185" s="137" t="n">
        <v>0</v>
      </c>
      <c r="AF185" s="137" t="n">
        <v>0</v>
      </c>
      <c r="AG185" s="137" t="n">
        <v>0</v>
      </c>
      <c r="AH185" s="137" t="n">
        <v>0</v>
      </c>
      <c r="AI185" s="137" t="n">
        <v>0</v>
      </c>
      <c r="AJ185" s="137" t="n">
        <v>0</v>
      </c>
      <c r="AK185" s="137" t="n">
        <v>0</v>
      </c>
      <c r="AL185" s="137" t="n">
        <v>0</v>
      </c>
      <c r="AM185" s="137" t="n">
        <v>0</v>
      </c>
      <c r="AN185" s="136"/>
      <c r="AO185" s="136"/>
      <c r="AP185" s="136"/>
      <c r="AQ185" s="136"/>
      <c r="AR185" s="136"/>
      <c r="AS185" s="136"/>
      <c r="AT185" s="138"/>
    </row>
    <row r="186" customFormat="false" ht="12.75" hidden="false" customHeight="true" outlineLevel="0" collapsed="false">
      <c r="B186" s="131" t="n">
        <f aca="false">B185+1</f>
        <v>183</v>
      </c>
      <c r="C186" s="132" t="s">
        <v>162</v>
      </c>
      <c r="D186" s="133" t="n">
        <v>61073</v>
      </c>
      <c r="E186" s="133"/>
      <c r="F186" s="134" t="str">
        <f aca="false">LEFT(H186,6)</f>
        <v>M28261</v>
      </c>
      <c r="G186" s="135" t="s">
        <v>177</v>
      </c>
      <c r="H186" s="135" t="s">
        <v>463</v>
      </c>
      <c r="I186" s="135" t="s">
        <v>464</v>
      </c>
      <c r="J186" s="136"/>
      <c r="K186" s="136"/>
      <c r="L186" s="136"/>
      <c r="M186" s="136"/>
      <c r="N186" s="136"/>
      <c r="O186" s="136"/>
      <c r="P186" s="136"/>
      <c r="Q186" s="136"/>
      <c r="R186" s="136"/>
      <c r="S186" s="136"/>
      <c r="T186" s="136"/>
      <c r="U186" s="137" t="n">
        <v>0</v>
      </c>
      <c r="V186" s="137" t="n">
        <v>0</v>
      </c>
      <c r="W186" s="137" t="n">
        <v>0</v>
      </c>
      <c r="X186" s="137" t="n">
        <v>0</v>
      </c>
      <c r="Y186" s="137" t="n">
        <v>0</v>
      </c>
      <c r="Z186" s="137" t="n">
        <v>0</v>
      </c>
      <c r="AA186" s="137" t="n">
        <v>0</v>
      </c>
      <c r="AB186" s="137" t="n">
        <v>0</v>
      </c>
      <c r="AC186" s="137" t="n">
        <v>0</v>
      </c>
      <c r="AD186" s="137" t="n">
        <v>0</v>
      </c>
      <c r="AE186" s="137" t="n">
        <v>0</v>
      </c>
      <c r="AF186" s="137" t="n">
        <v>0</v>
      </c>
      <c r="AG186" s="137" t="n">
        <v>0</v>
      </c>
      <c r="AH186" s="137" t="n">
        <v>0</v>
      </c>
      <c r="AI186" s="137" t="n">
        <v>0</v>
      </c>
      <c r="AJ186" s="137" t="n">
        <v>0</v>
      </c>
      <c r="AK186" s="137" t="n">
        <v>0</v>
      </c>
      <c r="AL186" s="137" t="n">
        <v>0</v>
      </c>
      <c r="AM186" s="137" t="n">
        <v>0</v>
      </c>
      <c r="AN186" s="136"/>
      <c r="AO186" s="136"/>
      <c r="AP186" s="136"/>
      <c r="AQ186" s="136"/>
      <c r="AR186" s="136"/>
      <c r="AS186" s="136"/>
      <c r="AT186" s="138"/>
    </row>
    <row r="187" customFormat="false" ht="12.75" hidden="false" customHeight="true" outlineLevel="0" collapsed="false">
      <c r="B187" s="122" t="n">
        <f aca="false">B186+1</f>
        <v>184</v>
      </c>
      <c r="C187" s="123" t="s">
        <v>162</v>
      </c>
      <c r="D187" s="140" t="n">
        <v>61073</v>
      </c>
      <c r="E187" s="124" t="str">
        <f aca="false">IF(D187="","",IFERROR(VLOOKUP(D187,CCN_Library!$A$4:$B$13,2,FALSE()),"NOT IN LIBRARY"))</f>
        <v>COMPANY/BATTERY HEADQUARTERS, MARINE CORPS</v>
      </c>
      <c r="F187" s="125" t="str">
        <f aca="false">LEFT(H187,6)</f>
        <v>M28261</v>
      </c>
      <c r="G187" s="126" t="s">
        <v>128</v>
      </c>
      <c r="H187" s="126" t="s">
        <v>465</v>
      </c>
      <c r="I187" s="126" t="s">
        <v>466</v>
      </c>
      <c r="J187" s="126" t="s">
        <v>211</v>
      </c>
      <c r="K187" s="127" t="s">
        <v>151</v>
      </c>
      <c r="L187" s="126" t="s">
        <v>151</v>
      </c>
      <c r="M187" s="126" t="s">
        <v>133</v>
      </c>
      <c r="N187" s="126" t="s">
        <v>134</v>
      </c>
      <c r="O187" s="126" t="s">
        <v>135</v>
      </c>
      <c r="P187" s="126" t="s">
        <v>135</v>
      </c>
      <c r="Q187" s="128"/>
      <c r="R187" s="126" t="s">
        <v>136</v>
      </c>
      <c r="S187" s="126" t="s">
        <v>137</v>
      </c>
      <c r="T187" s="128"/>
      <c r="U187" s="129" t="n">
        <v>0</v>
      </c>
      <c r="V187" s="129" t="n">
        <v>0</v>
      </c>
      <c r="W187" s="129" t="n">
        <v>0</v>
      </c>
      <c r="X187" s="129" t="n">
        <v>0</v>
      </c>
      <c r="Y187" s="129" t="n">
        <v>0</v>
      </c>
      <c r="Z187" s="129" t="n">
        <v>1</v>
      </c>
      <c r="AA187" s="129" t="n">
        <v>0</v>
      </c>
      <c r="AB187" s="129" t="n">
        <v>0</v>
      </c>
      <c r="AC187" s="129" t="n">
        <v>0</v>
      </c>
      <c r="AD187" s="129" t="n">
        <v>0</v>
      </c>
      <c r="AE187" s="129" t="n">
        <v>0</v>
      </c>
      <c r="AF187" s="129" t="n">
        <v>0</v>
      </c>
      <c r="AG187" s="129" t="n">
        <v>0</v>
      </c>
      <c r="AH187" s="129" t="n">
        <v>0</v>
      </c>
      <c r="AI187" s="129" t="n">
        <v>0</v>
      </c>
      <c r="AJ187" s="129" t="n">
        <v>0</v>
      </c>
      <c r="AK187" s="129" t="n">
        <v>0</v>
      </c>
      <c r="AL187" s="129" t="n">
        <v>0</v>
      </c>
      <c r="AM187" s="129" t="n">
        <v>0</v>
      </c>
      <c r="AN187" s="128"/>
      <c r="AO187" s="128"/>
      <c r="AP187" s="126" t="s">
        <v>138</v>
      </c>
      <c r="AQ187" s="126" t="s">
        <v>139</v>
      </c>
      <c r="AR187" s="126" t="s">
        <v>140</v>
      </c>
      <c r="AS187" s="128"/>
      <c r="AT187" s="130"/>
    </row>
    <row r="188" customFormat="false" ht="12.75" hidden="false" customHeight="true" outlineLevel="0" collapsed="false">
      <c r="B188" s="122" t="n">
        <f aca="false">B187+1</f>
        <v>185</v>
      </c>
      <c r="C188" s="123" t="s">
        <v>162</v>
      </c>
      <c r="D188" s="140" t="n">
        <v>61073</v>
      </c>
      <c r="E188" s="124" t="str">
        <f aca="false">IF(D188="","",IFERROR(VLOOKUP(D188,CCN_Library!$A$4:$B$13,2,FALSE()),"NOT IN LIBRARY"))</f>
        <v>COMPANY/BATTERY HEADQUARTERS, MARINE CORPS</v>
      </c>
      <c r="F188" s="125" t="str">
        <f aca="false">LEFT(H188,6)</f>
        <v>M28261</v>
      </c>
      <c r="G188" s="126" t="s">
        <v>128</v>
      </c>
      <c r="H188" s="126" t="s">
        <v>467</v>
      </c>
      <c r="I188" s="126" t="s">
        <v>468</v>
      </c>
      <c r="J188" s="126" t="s">
        <v>211</v>
      </c>
      <c r="K188" s="127" t="s">
        <v>151</v>
      </c>
      <c r="L188" s="126" t="s">
        <v>151</v>
      </c>
      <c r="M188" s="126" t="s">
        <v>133</v>
      </c>
      <c r="N188" s="126" t="s">
        <v>134</v>
      </c>
      <c r="O188" s="126" t="s">
        <v>135</v>
      </c>
      <c r="P188" s="126" t="s">
        <v>135</v>
      </c>
      <c r="Q188" s="128"/>
      <c r="R188" s="126" t="s">
        <v>136</v>
      </c>
      <c r="S188" s="126" t="s">
        <v>137</v>
      </c>
      <c r="T188" s="128"/>
      <c r="U188" s="129" t="n">
        <v>0</v>
      </c>
      <c r="V188" s="129" t="n">
        <v>0</v>
      </c>
      <c r="W188" s="129" t="n">
        <v>0</v>
      </c>
      <c r="X188" s="129" t="n">
        <v>0</v>
      </c>
      <c r="Y188" s="129" t="n">
        <v>0</v>
      </c>
      <c r="Z188" s="129" t="n">
        <v>1</v>
      </c>
      <c r="AA188" s="129" t="n">
        <v>0</v>
      </c>
      <c r="AB188" s="129" t="n">
        <v>0</v>
      </c>
      <c r="AC188" s="129" t="n">
        <v>0</v>
      </c>
      <c r="AD188" s="129" t="n">
        <v>0</v>
      </c>
      <c r="AE188" s="129" t="n">
        <v>0</v>
      </c>
      <c r="AF188" s="129" t="n">
        <v>0</v>
      </c>
      <c r="AG188" s="129" t="n">
        <v>0</v>
      </c>
      <c r="AH188" s="129" t="n">
        <v>0</v>
      </c>
      <c r="AI188" s="129" t="n">
        <v>0</v>
      </c>
      <c r="AJ188" s="129" t="n">
        <v>0</v>
      </c>
      <c r="AK188" s="129" t="n">
        <v>0</v>
      </c>
      <c r="AL188" s="129" t="n">
        <v>0</v>
      </c>
      <c r="AM188" s="129" t="n">
        <v>0</v>
      </c>
      <c r="AN188" s="128"/>
      <c r="AO188" s="128"/>
      <c r="AP188" s="126" t="s">
        <v>138</v>
      </c>
      <c r="AQ188" s="126" t="s">
        <v>139</v>
      </c>
      <c r="AR188" s="126" t="s">
        <v>140</v>
      </c>
      <c r="AS188" s="128"/>
      <c r="AT188" s="130"/>
    </row>
    <row r="189" customFormat="false" ht="12.75" hidden="false" customHeight="true" outlineLevel="0" collapsed="false">
      <c r="B189" s="122" t="n">
        <f aca="false">B188+1</f>
        <v>186</v>
      </c>
      <c r="C189" s="123" t="s">
        <v>162</v>
      </c>
      <c r="D189" s="140" t="n">
        <v>61073</v>
      </c>
      <c r="E189" s="124" t="str">
        <f aca="false">IF(D189="","",IFERROR(VLOOKUP(D189,CCN_Library!$A$4:$B$13,2,FALSE()),"NOT IN LIBRARY"))</f>
        <v>COMPANY/BATTERY HEADQUARTERS, MARINE CORPS</v>
      </c>
      <c r="F189" s="125" t="str">
        <f aca="false">LEFT(H189,6)</f>
        <v>M28261</v>
      </c>
      <c r="G189" s="126" t="s">
        <v>128</v>
      </c>
      <c r="H189" s="126" t="s">
        <v>469</v>
      </c>
      <c r="I189" s="126" t="s">
        <v>470</v>
      </c>
      <c r="J189" s="126" t="s">
        <v>211</v>
      </c>
      <c r="K189" s="127" t="s">
        <v>151</v>
      </c>
      <c r="L189" s="126" t="s">
        <v>151</v>
      </c>
      <c r="M189" s="126" t="s">
        <v>133</v>
      </c>
      <c r="N189" s="126" t="s">
        <v>134</v>
      </c>
      <c r="O189" s="126" t="s">
        <v>135</v>
      </c>
      <c r="P189" s="126" t="s">
        <v>135</v>
      </c>
      <c r="Q189" s="128"/>
      <c r="R189" s="126" t="s">
        <v>136</v>
      </c>
      <c r="S189" s="126" t="s">
        <v>137</v>
      </c>
      <c r="T189" s="128"/>
      <c r="U189" s="129" t="n">
        <v>0</v>
      </c>
      <c r="V189" s="129" t="n">
        <v>0</v>
      </c>
      <c r="W189" s="129" t="n">
        <v>0</v>
      </c>
      <c r="X189" s="129" t="n">
        <v>0</v>
      </c>
      <c r="Y189" s="129" t="n">
        <v>0</v>
      </c>
      <c r="Z189" s="129" t="n">
        <v>1</v>
      </c>
      <c r="AA189" s="129" t="n">
        <v>0</v>
      </c>
      <c r="AB189" s="129" t="n">
        <v>0</v>
      </c>
      <c r="AC189" s="129" t="n">
        <v>0</v>
      </c>
      <c r="AD189" s="129" t="n">
        <v>0</v>
      </c>
      <c r="AE189" s="129" t="n">
        <v>0</v>
      </c>
      <c r="AF189" s="129" t="n">
        <v>0</v>
      </c>
      <c r="AG189" s="129" t="n">
        <v>0</v>
      </c>
      <c r="AH189" s="129" t="n">
        <v>0</v>
      </c>
      <c r="AI189" s="129" t="n">
        <v>0</v>
      </c>
      <c r="AJ189" s="129" t="n">
        <v>0</v>
      </c>
      <c r="AK189" s="129" t="n">
        <v>0</v>
      </c>
      <c r="AL189" s="129" t="n">
        <v>0</v>
      </c>
      <c r="AM189" s="129" t="n">
        <v>0</v>
      </c>
      <c r="AN189" s="128"/>
      <c r="AO189" s="128"/>
      <c r="AP189" s="126" t="s">
        <v>138</v>
      </c>
      <c r="AQ189" s="126" t="s">
        <v>139</v>
      </c>
      <c r="AR189" s="126" t="s">
        <v>140</v>
      </c>
      <c r="AS189" s="126" t="s">
        <v>152</v>
      </c>
      <c r="AT189" s="130"/>
    </row>
    <row r="190" customFormat="false" ht="12.75" hidden="false" customHeight="true" outlineLevel="0" collapsed="false">
      <c r="B190" s="122" t="n">
        <f aca="false">B189+1</f>
        <v>187</v>
      </c>
      <c r="C190" s="123" t="s">
        <v>162</v>
      </c>
      <c r="D190" s="140" t="n">
        <v>61073</v>
      </c>
      <c r="E190" s="124" t="str">
        <f aca="false">IF(D190="","",IFERROR(VLOOKUP(D190,CCN_Library!$A$4:$B$13,2,FALSE()),"NOT IN LIBRARY"))</f>
        <v>COMPANY/BATTERY HEADQUARTERS, MARINE CORPS</v>
      </c>
      <c r="F190" s="125" t="str">
        <f aca="false">LEFT(H190,6)</f>
        <v>M28261</v>
      </c>
      <c r="G190" s="126" t="s">
        <v>128</v>
      </c>
      <c r="H190" s="126" t="s">
        <v>471</v>
      </c>
      <c r="I190" s="126" t="s">
        <v>472</v>
      </c>
      <c r="J190" s="126" t="s">
        <v>182</v>
      </c>
      <c r="K190" s="127" t="s">
        <v>223</v>
      </c>
      <c r="L190" s="126" t="s">
        <v>223</v>
      </c>
      <c r="M190" s="126" t="s">
        <v>133</v>
      </c>
      <c r="N190" s="126" t="s">
        <v>134</v>
      </c>
      <c r="O190" s="126" t="s">
        <v>135</v>
      </c>
      <c r="P190" s="126" t="s">
        <v>135</v>
      </c>
      <c r="Q190" s="128"/>
      <c r="R190" s="126" t="s">
        <v>136</v>
      </c>
      <c r="S190" s="126" t="s">
        <v>137</v>
      </c>
      <c r="T190" s="128"/>
      <c r="U190" s="129" t="n">
        <v>0</v>
      </c>
      <c r="V190" s="129" t="n">
        <v>0</v>
      </c>
      <c r="W190" s="129" t="n">
        <v>0</v>
      </c>
      <c r="X190" s="129" t="n">
        <v>0</v>
      </c>
      <c r="Y190" s="129" t="n">
        <v>0</v>
      </c>
      <c r="Z190" s="129" t="n">
        <v>1</v>
      </c>
      <c r="AA190" s="129" t="n">
        <v>0</v>
      </c>
      <c r="AB190" s="129" t="n">
        <v>0</v>
      </c>
      <c r="AC190" s="129" t="n">
        <v>0</v>
      </c>
      <c r="AD190" s="129" t="n">
        <v>0</v>
      </c>
      <c r="AE190" s="129" t="n">
        <v>0</v>
      </c>
      <c r="AF190" s="129" t="n">
        <v>0</v>
      </c>
      <c r="AG190" s="129" t="n">
        <v>0</v>
      </c>
      <c r="AH190" s="129" t="n">
        <v>0</v>
      </c>
      <c r="AI190" s="129" t="n">
        <v>0</v>
      </c>
      <c r="AJ190" s="129" t="n">
        <v>0</v>
      </c>
      <c r="AK190" s="129" t="n">
        <v>0</v>
      </c>
      <c r="AL190" s="129" t="n">
        <v>0</v>
      </c>
      <c r="AM190" s="129" t="n">
        <v>0</v>
      </c>
      <c r="AN190" s="128"/>
      <c r="AO190" s="128"/>
      <c r="AP190" s="126" t="s">
        <v>138</v>
      </c>
      <c r="AQ190" s="126" t="s">
        <v>139</v>
      </c>
      <c r="AR190" s="126" t="s">
        <v>140</v>
      </c>
      <c r="AS190" s="128"/>
      <c r="AT190" s="130"/>
    </row>
    <row r="191" customFormat="false" ht="12.75" hidden="false" customHeight="true" outlineLevel="0" collapsed="false">
      <c r="B191" s="122" t="n">
        <f aca="false">B190+1</f>
        <v>188</v>
      </c>
      <c r="C191" s="123" t="s">
        <v>162</v>
      </c>
      <c r="D191" s="140" t="n">
        <v>61073</v>
      </c>
      <c r="E191" s="124" t="str">
        <f aca="false">IF(D191="","",IFERROR(VLOOKUP(D191,CCN_Library!$A$4:$B$13,2,FALSE()),"NOT IN LIBRARY"))</f>
        <v>COMPANY/BATTERY HEADQUARTERS, MARINE CORPS</v>
      </c>
      <c r="F191" s="125" t="str">
        <f aca="false">LEFT(H191,6)</f>
        <v>M28261</v>
      </c>
      <c r="G191" s="126" t="s">
        <v>128</v>
      </c>
      <c r="H191" s="126" t="s">
        <v>473</v>
      </c>
      <c r="I191" s="126" t="s">
        <v>474</v>
      </c>
      <c r="J191" s="126" t="s">
        <v>189</v>
      </c>
      <c r="K191" s="127" t="s">
        <v>475</v>
      </c>
      <c r="L191" s="126" t="s">
        <v>161</v>
      </c>
      <c r="M191" s="126" t="s">
        <v>133</v>
      </c>
      <c r="N191" s="126" t="s">
        <v>128</v>
      </c>
      <c r="O191" s="126" t="s">
        <v>135</v>
      </c>
      <c r="P191" s="126" t="s">
        <v>135</v>
      </c>
      <c r="Q191" s="128"/>
      <c r="R191" s="126" t="s">
        <v>136</v>
      </c>
      <c r="S191" s="126" t="s">
        <v>137</v>
      </c>
      <c r="T191" s="128"/>
      <c r="U191" s="129" t="n">
        <v>0</v>
      </c>
      <c r="V191" s="129" t="n">
        <v>0</v>
      </c>
      <c r="W191" s="129" t="n">
        <v>0</v>
      </c>
      <c r="X191" s="129" t="n">
        <v>0</v>
      </c>
      <c r="Y191" s="129" t="n">
        <v>0</v>
      </c>
      <c r="Z191" s="129" t="n">
        <v>0</v>
      </c>
      <c r="AA191" s="129" t="n">
        <v>1</v>
      </c>
      <c r="AB191" s="129" t="n">
        <v>0</v>
      </c>
      <c r="AC191" s="129" t="n">
        <v>0</v>
      </c>
      <c r="AD191" s="129" t="n">
        <v>0</v>
      </c>
      <c r="AE191" s="129" t="n">
        <v>0</v>
      </c>
      <c r="AF191" s="129" t="n">
        <v>0</v>
      </c>
      <c r="AG191" s="129" t="n">
        <v>0</v>
      </c>
      <c r="AH191" s="129" t="n">
        <v>0</v>
      </c>
      <c r="AI191" s="129" t="n">
        <v>0</v>
      </c>
      <c r="AJ191" s="129" t="n">
        <v>0</v>
      </c>
      <c r="AK191" s="129" t="n">
        <v>0</v>
      </c>
      <c r="AL191" s="129" t="n">
        <v>0</v>
      </c>
      <c r="AM191" s="129" t="n">
        <v>0</v>
      </c>
      <c r="AN191" s="128"/>
      <c r="AO191" s="128"/>
      <c r="AP191" s="126" t="s">
        <v>138</v>
      </c>
      <c r="AQ191" s="126" t="s">
        <v>139</v>
      </c>
      <c r="AR191" s="126" t="s">
        <v>140</v>
      </c>
      <c r="AS191" s="128"/>
      <c r="AT191" s="130"/>
    </row>
    <row r="192" customFormat="false" ht="12.75" hidden="false" customHeight="true" outlineLevel="0" collapsed="false">
      <c r="B192" s="122" t="n">
        <f aca="false">B191+1</f>
        <v>189</v>
      </c>
      <c r="C192" s="123" t="s">
        <v>168</v>
      </c>
      <c r="D192" s="140" t="n">
        <v>61073</v>
      </c>
      <c r="E192" s="124" t="str">
        <f aca="false">IF(D192="","",IFERROR(VLOOKUP(D192,CCN_Library!$A$4:$B$13,2,FALSE()),"NOT IN LIBRARY"))</f>
        <v>COMPANY/BATTERY HEADQUARTERS, MARINE CORPS</v>
      </c>
      <c r="F192" s="125" t="str">
        <f aca="false">LEFT(H192,6)</f>
        <v>M28261</v>
      </c>
      <c r="G192" s="126" t="s">
        <v>128</v>
      </c>
      <c r="H192" s="126" t="s">
        <v>476</v>
      </c>
      <c r="I192" s="126" t="s">
        <v>477</v>
      </c>
      <c r="J192" s="126" t="s">
        <v>191</v>
      </c>
      <c r="K192" s="127" t="s">
        <v>478</v>
      </c>
      <c r="L192" s="126" t="s">
        <v>161</v>
      </c>
      <c r="M192" s="126" t="s">
        <v>133</v>
      </c>
      <c r="N192" s="126" t="s">
        <v>128</v>
      </c>
      <c r="O192" s="126" t="s">
        <v>135</v>
      </c>
      <c r="P192" s="126" t="s">
        <v>135</v>
      </c>
      <c r="Q192" s="128"/>
      <c r="R192" s="126" t="s">
        <v>136</v>
      </c>
      <c r="S192" s="126" t="s">
        <v>58</v>
      </c>
      <c r="T192" s="128"/>
      <c r="U192" s="129" t="n">
        <v>0</v>
      </c>
      <c r="V192" s="129" t="n">
        <v>0</v>
      </c>
      <c r="W192" s="129" t="n">
        <v>0</v>
      </c>
      <c r="X192" s="129" t="n">
        <v>0</v>
      </c>
      <c r="Y192" s="129" t="n">
        <v>0</v>
      </c>
      <c r="Z192" s="129" t="n">
        <v>0</v>
      </c>
      <c r="AA192" s="129" t="n">
        <v>1</v>
      </c>
      <c r="AB192" s="129" t="n">
        <v>0</v>
      </c>
      <c r="AC192" s="129" t="n">
        <v>0</v>
      </c>
      <c r="AD192" s="129" t="n">
        <v>0</v>
      </c>
      <c r="AE192" s="129" t="n">
        <v>0</v>
      </c>
      <c r="AF192" s="129" t="n">
        <v>0</v>
      </c>
      <c r="AG192" s="129" t="n">
        <v>0</v>
      </c>
      <c r="AH192" s="129" t="n">
        <v>0</v>
      </c>
      <c r="AI192" s="129" t="n">
        <v>0</v>
      </c>
      <c r="AJ192" s="129" t="n">
        <v>0</v>
      </c>
      <c r="AK192" s="129" t="n">
        <v>0</v>
      </c>
      <c r="AL192" s="129" t="n">
        <v>0</v>
      </c>
      <c r="AM192" s="129" t="n">
        <v>0</v>
      </c>
      <c r="AN192" s="128"/>
      <c r="AO192" s="128"/>
      <c r="AP192" s="126" t="s">
        <v>138</v>
      </c>
      <c r="AQ192" s="126" t="s">
        <v>139</v>
      </c>
      <c r="AR192" s="126" t="s">
        <v>140</v>
      </c>
      <c r="AS192" s="128"/>
      <c r="AT192" s="130"/>
    </row>
    <row r="193" customFormat="false" ht="12.75" hidden="false" customHeight="true" outlineLevel="0" collapsed="false">
      <c r="B193" s="122" t="n">
        <f aca="false">B192+1</f>
        <v>190</v>
      </c>
      <c r="C193" s="123" t="s">
        <v>168</v>
      </c>
      <c r="D193" s="140" t="n">
        <v>61073</v>
      </c>
      <c r="E193" s="124" t="str">
        <f aca="false">IF(D193="","",IFERROR(VLOOKUP(D193,CCN_Library!$A$4:$B$13,2,FALSE()),"NOT IN LIBRARY"))</f>
        <v>COMPANY/BATTERY HEADQUARTERS, MARINE CORPS</v>
      </c>
      <c r="F193" s="125" t="str">
        <f aca="false">LEFT(H193,6)</f>
        <v>M28261</v>
      </c>
      <c r="G193" s="126" t="s">
        <v>128</v>
      </c>
      <c r="H193" s="126" t="s">
        <v>479</v>
      </c>
      <c r="I193" s="126" t="s">
        <v>477</v>
      </c>
      <c r="J193" s="126" t="s">
        <v>176</v>
      </c>
      <c r="K193" s="127" t="s">
        <v>478</v>
      </c>
      <c r="L193" s="126" t="s">
        <v>161</v>
      </c>
      <c r="M193" s="126" t="s">
        <v>133</v>
      </c>
      <c r="N193" s="126" t="s">
        <v>128</v>
      </c>
      <c r="O193" s="126" t="s">
        <v>135</v>
      </c>
      <c r="P193" s="126" t="s">
        <v>135</v>
      </c>
      <c r="Q193" s="128"/>
      <c r="R193" s="126" t="s">
        <v>136</v>
      </c>
      <c r="S193" s="126" t="s">
        <v>58</v>
      </c>
      <c r="T193" s="128"/>
      <c r="U193" s="129" t="n">
        <v>0</v>
      </c>
      <c r="V193" s="129" t="n">
        <v>0</v>
      </c>
      <c r="W193" s="129" t="n">
        <v>0</v>
      </c>
      <c r="X193" s="129" t="n">
        <v>0</v>
      </c>
      <c r="Y193" s="129" t="n">
        <v>0</v>
      </c>
      <c r="Z193" s="129" t="n">
        <v>0</v>
      </c>
      <c r="AA193" s="129" t="n">
        <v>1</v>
      </c>
      <c r="AB193" s="129" t="n">
        <v>0</v>
      </c>
      <c r="AC193" s="129" t="n">
        <v>0</v>
      </c>
      <c r="AD193" s="129" t="n">
        <v>0</v>
      </c>
      <c r="AE193" s="129" t="n">
        <v>0</v>
      </c>
      <c r="AF193" s="129" t="n">
        <v>0</v>
      </c>
      <c r="AG193" s="129" t="n">
        <v>0</v>
      </c>
      <c r="AH193" s="129" t="n">
        <v>0</v>
      </c>
      <c r="AI193" s="129" t="n">
        <v>0</v>
      </c>
      <c r="AJ193" s="129" t="n">
        <v>0</v>
      </c>
      <c r="AK193" s="129" t="n">
        <v>0</v>
      </c>
      <c r="AL193" s="129" t="n">
        <v>0</v>
      </c>
      <c r="AM193" s="129" t="n">
        <v>0</v>
      </c>
      <c r="AN193" s="128"/>
      <c r="AO193" s="128"/>
      <c r="AP193" s="126" t="s">
        <v>138</v>
      </c>
      <c r="AQ193" s="126" t="s">
        <v>139</v>
      </c>
      <c r="AR193" s="126" t="s">
        <v>140</v>
      </c>
      <c r="AS193" s="128"/>
      <c r="AT193" s="139"/>
    </row>
    <row r="194" customFormat="false" ht="12.75" hidden="false" customHeight="true" outlineLevel="0" collapsed="false">
      <c r="B194" s="122" t="n">
        <f aca="false">B193+1</f>
        <v>191</v>
      </c>
      <c r="C194" s="123" t="s">
        <v>168</v>
      </c>
      <c r="D194" s="140" t="n">
        <v>61073</v>
      </c>
      <c r="E194" s="124" t="str">
        <f aca="false">IF(D194="","",IFERROR(VLOOKUP(D194,CCN_Library!$A$4:$B$13,2,FALSE()),"NOT IN LIBRARY"))</f>
        <v>COMPANY/BATTERY HEADQUARTERS, MARINE CORPS</v>
      </c>
      <c r="F194" s="125" t="str">
        <f aca="false">LEFT(H194,6)</f>
        <v>M28261</v>
      </c>
      <c r="G194" s="126" t="s">
        <v>128</v>
      </c>
      <c r="H194" s="126" t="s">
        <v>480</v>
      </c>
      <c r="I194" s="126" t="s">
        <v>159</v>
      </c>
      <c r="J194" s="126" t="s">
        <v>176</v>
      </c>
      <c r="K194" s="127" t="s">
        <v>161</v>
      </c>
      <c r="L194" s="126" t="s">
        <v>161</v>
      </c>
      <c r="M194" s="126" t="s">
        <v>133</v>
      </c>
      <c r="N194" s="126" t="s">
        <v>128</v>
      </c>
      <c r="O194" s="126" t="s">
        <v>135</v>
      </c>
      <c r="P194" s="126" t="s">
        <v>135</v>
      </c>
      <c r="Q194" s="128"/>
      <c r="R194" s="126" t="s">
        <v>136</v>
      </c>
      <c r="S194" s="126" t="s">
        <v>58</v>
      </c>
      <c r="T194" s="128"/>
      <c r="U194" s="129" t="n">
        <v>0</v>
      </c>
      <c r="V194" s="129" t="n">
        <v>0</v>
      </c>
      <c r="W194" s="129" t="n">
        <v>0</v>
      </c>
      <c r="X194" s="129" t="n">
        <v>0</v>
      </c>
      <c r="Y194" s="129" t="n">
        <v>0</v>
      </c>
      <c r="Z194" s="129" t="n">
        <v>0</v>
      </c>
      <c r="AA194" s="129" t="n">
        <v>1</v>
      </c>
      <c r="AB194" s="129" t="n">
        <v>0</v>
      </c>
      <c r="AC194" s="129" t="n">
        <v>0</v>
      </c>
      <c r="AD194" s="129" t="n">
        <v>0</v>
      </c>
      <c r="AE194" s="129" t="n">
        <v>0</v>
      </c>
      <c r="AF194" s="129" t="n">
        <v>0</v>
      </c>
      <c r="AG194" s="129" t="n">
        <v>0</v>
      </c>
      <c r="AH194" s="129" t="n">
        <v>0</v>
      </c>
      <c r="AI194" s="129" t="n">
        <v>0</v>
      </c>
      <c r="AJ194" s="129" t="n">
        <v>0</v>
      </c>
      <c r="AK194" s="129" t="n">
        <v>0</v>
      </c>
      <c r="AL194" s="129" t="n">
        <v>0</v>
      </c>
      <c r="AM194" s="129" t="n">
        <v>0</v>
      </c>
      <c r="AN194" s="128"/>
      <c r="AO194" s="128"/>
      <c r="AP194" s="126" t="s">
        <v>138</v>
      </c>
      <c r="AQ194" s="126" t="s">
        <v>139</v>
      </c>
      <c r="AR194" s="126" t="s">
        <v>140</v>
      </c>
      <c r="AS194" s="128"/>
      <c r="AT194" s="130"/>
    </row>
    <row r="195" customFormat="false" ht="12.75" hidden="false" customHeight="true" outlineLevel="0" collapsed="false">
      <c r="B195" s="131" t="n">
        <f aca="false">B194+1</f>
        <v>192</v>
      </c>
      <c r="C195" s="132" t="s">
        <v>162</v>
      </c>
      <c r="D195" s="133" t="n">
        <v>61073</v>
      </c>
      <c r="E195" s="133"/>
      <c r="F195" s="134" t="str">
        <f aca="false">LEFT(H195,6)</f>
        <v>M28261</v>
      </c>
      <c r="G195" s="135" t="s">
        <v>177</v>
      </c>
      <c r="H195" s="135" t="s">
        <v>481</v>
      </c>
      <c r="I195" s="135" t="s">
        <v>482</v>
      </c>
      <c r="J195" s="136"/>
      <c r="K195" s="136"/>
      <c r="L195" s="136"/>
      <c r="M195" s="136"/>
      <c r="N195" s="136"/>
      <c r="O195" s="136"/>
      <c r="P195" s="136"/>
      <c r="Q195" s="136"/>
      <c r="R195" s="136"/>
      <c r="S195" s="136"/>
      <c r="T195" s="136"/>
      <c r="U195" s="137" t="n">
        <v>0</v>
      </c>
      <c r="V195" s="137" t="n">
        <v>0</v>
      </c>
      <c r="W195" s="137" t="n">
        <v>0</v>
      </c>
      <c r="X195" s="137" t="n">
        <v>0</v>
      </c>
      <c r="Y195" s="137" t="n">
        <v>0</v>
      </c>
      <c r="Z195" s="137" t="n">
        <v>0</v>
      </c>
      <c r="AA195" s="137" t="n">
        <v>0</v>
      </c>
      <c r="AB195" s="137" t="n">
        <v>0</v>
      </c>
      <c r="AC195" s="137" t="n">
        <v>0</v>
      </c>
      <c r="AD195" s="137" t="n">
        <v>0</v>
      </c>
      <c r="AE195" s="137" t="n">
        <v>0</v>
      </c>
      <c r="AF195" s="137" t="n">
        <v>0</v>
      </c>
      <c r="AG195" s="137" t="n">
        <v>0</v>
      </c>
      <c r="AH195" s="137" t="n">
        <v>0</v>
      </c>
      <c r="AI195" s="137" t="n">
        <v>0</v>
      </c>
      <c r="AJ195" s="137" t="n">
        <v>0</v>
      </c>
      <c r="AK195" s="137" t="n">
        <v>0</v>
      </c>
      <c r="AL195" s="137" t="n">
        <v>0</v>
      </c>
      <c r="AM195" s="137" t="n">
        <v>0</v>
      </c>
      <c r="AN195" s="136"/>
      <c r="AO195" s="136"/>
      <c r="AP195" s="136"/>
      <c r="AQ195" s="136"/>
      <c r="AR195" s="136"/>
      <c r="AS195" s="136"/>
      <c r="AT195" s="138"/>
    </row>
    <row r="196" customFormat="false" ht="12.75" hidden="false" customHeight="true" outlineLevel="0" collapsed="false">
      <c r="B196" s="131" t="n">
        <f aca="false">B195+1</f>
        <v>193</v>
      </c>
      <c r="C196" s="132" t="s">
        <v>162</v>
      </c>
      <c r="D196" s="133" t="n">
        <v>61073</v>
      </c>
      <c r="E196" s="133"/>
      <c r="F196" s="134" t="str">
        <f aca="false">LEFT(H196,6)</f>
        <v>M28261</v>
      </c>
      <c r="G196" s="135" t="s">
        <v>177</v>
      </c>
      <c r="H196" s="135" t="s">
        <v>483</v>
      </c>
      <c r="I196" s="135" t="s">
        <v>484</v>
      </c>
      <c r="J196" s="136"/>
      <c r="K196" s="136"/>
      <c r="L196" s="136"/>
      <c r="M196" s="136"/>
      <c r="N196" s="136"/>
      <c r="O196" s="136"/>
      <c r="P196" s="136"/>
      <c r="Q196" s="136"/>
      <c r="R196" s="136"/>
      <c r="S196" s="136"/>
      <c r="T196" s="136"/>
      <c r="U196" s="137" t="n">
        <v>0</v>
      </c>
      <c r="V196" s="137" t="n">
        <v>0</v>
      </c>
      <c r="W196" s="137" t="n">
        <v>0</v>
      </c>
      <c r="X196" s="137" t="n">
        <v>0</v>
      </c>
      <c r="Y196" s="137" t="n">
        <v>0</v>
      </c>
      <c r="Z196" s="137" t="n">
        <v>0</v>
      </c>
      <c r="AA196" s="137" t="n">
        <v>0</v>
      </c>
      <c r="AB196" s="137" t="n">
        <v>0</v>
      </c>
      <c r="AC196" s="137" t="n">
        <v>0</v>
      </c>
      <c r="AD196" s="137" t="n">
        <v>0</v>
      </c>
      <c r="AE196" s="137" t="n">
        <v>0</v>
      </c>
      <c r="AF196" s="137" t="n">
        <v>0</v>
      </c>
      <c r="AG196" s="137" t="n">
        <v>0</v>
      </c>
      <c r="AH196" s="137" t="n">
        <v>0</v>
      </c>
      <c r="AI196" s="137" t="n">
        <v>0</v>
      </c>
      <c r="AJ196" s="137" t="n">
        <v>0</v>
      </c>
      <c r="AK196" s="137" t="n">
        <v>0</v>
      </c>
      <c r="AL196" s="137" t="n">
        <v>0</v>
      </c>
      <c r="AM196" s="137" t="n">
        <v>0</v>
      </c>
      <c r="AN196" s="136"/>
      <c r="AO196" s="136"/>
      <c r="AP196" s="136"/>
      <c r="AQ196" s="136"/>
      <c r="AR196" s="136"/>
      <c r="AS196" s="136"/>
      <c r="AT196" s="138"/>
    </row>
    <row r="197" customFormat="false" ht="12.75" hidden="false" customHeight="true" outlineLevel="0" collapsed="false">
      <c r="B197" s="122" t="n">
        <f aca="false">B196+1</f>
        <v>194</v>
      </c>
      <c r="C197" s="123" t="s">
        <v>162</v>
      </c>
      <c r="D197" s="140" t="n">
        <v>61073</v>
      </c>
      <c r="E197" s="124" t="str">
        <f aca="false">IF(D197="","",IFERROR(VLOOKUP(D197,CCN_Library!$A$4:$B$13,2,FALSE()),"NOT IN LIBRARY"))</f>
        <v>COMPANY/BATTERY HEADQUARTERS, MARINE CORPS</v>
      </c>
      <c r="F197" s="125" t="str">
        <f aca="false">LEFT(H197,6)</f>
        <v>M28261</v>
      </c>
      <c r="G197" s="126" t="s">
        <v>128</v>
      </c>
      <c r="H197" s="126" t="s">
        <v>485</v>
      </c>
      <c r="I197" s="126" t="s">
        <v>486</v>
      </c>
      <c r="J197" s="126" t="s">
        <v>211</v>
      </c>
      <c r="K197" s="127" t="s">
        <v>151</v>
      </c>
      <c r="L197" s="126" t="s">
        <v>151</v>
      </c>
      <c r="M197" s="126" t="s">
        <v>133</v>
      </c>
      <c r="N197" s="126" t="s">
        <v>134</v>
      </c>
      <c r="O197" s="126" t="s">
        <v>135</v>
      </c>
      <c r="P197" s="126" t="s">
        <v>135</v>
      </c>
      <c r="Q197" s="128"/>
      <c r="R197" s="126" t="s">
        <v>136</v>
      </c>
      <c r="S197" s="126" t="s">
        <v>137</v>
      </c>
      <c r="T197" s="128"/>
      <c r="U197" s="129" t="n">
        <v>0</v>
      </c>
      <c r="V197" s="129" t="n">
        <v>0</v>
      </c>
      <c r="W197" s="129" t="n">
        <v>0</v>
      </c>
      <c r="X197" s="129" t="n">
        <v>0</v>
      </c>
      <c r="Y197" s="129" t="n">
        <v>0</v>
      </c>
      <c r="Z197" s="129" t="n">
        <v>1</v>
      </c>
      <c r="AA197" s="129" t="n">
        <v>0</v>
      </c>
      <c r="AB197" s="129" t="n">
        <v>0</v>
      </c>
      <c r="AC197" s="129" t="n">
        <v>0</v>
      </c>
      <c r="AD197" s="129" t="n">
        <v>0</v>
      </c>
      <c r="AE197" s="129" t="n">
        <v>0</v>
      </c>
      <c r="AF197" s="129" t="n">
        <v>0</v>
      </c>
      <c r="AG197" s="129" t="n">
        <v>0</v>
      </c>
      <c r="AH197" s="129" t="n">
        <v>0</v>
      </c>
      <c r="AI197" s="129" t="n">
        <v>0</v>
      </c>
      <c r="AJ197" s="129" t="n">
        <v>0</v>
      </c>
      <c r="AK197" s="129" t="n">
        <v>0</v>
      </c>
      <c r="AL197" s="129" t="n">
        <v>0</v>
      </c>
      <c r="AM197" s="129" t="n">
        <v>0</v>
      </c>
      <c r="AN197" s="128"/>
      <c r="AO197" s="128"/>
      <c r="AP197" s="126" t="s">
        <v>138</v>
      </c>
      <c r="AQ197" s="126" t="s">
        <v>139</v>
      </c>
      <c r="AR197" s="126" t="s">
        <v>140</v>
      </c>
      <c r="AS197" s="128"/>
      <c r="AT197" s="130"/>
    </row>
    <row r="198" customFormat="false" ht="12.75" hidden="false" customHeight="true" outlineLevel="0" collapsed="false">
      <c r="B198" s="122" t="n">
        <f aca="false">B197+1</f>
        <v>195</v>
      </c>
      <c r="C198" s="123" t="s">
        <v>162</v>
      </c>
      <c r="D198" s="140" t="n">
        <v>61073</v>
      </c>
      <c r="E198" s="124" t="str">
        <f aca="false">IF(D198="","",IFERROR(VLOOKUP(D198,CCN_Library!$A$4:$B$13,2,FALSE()),"NOT IN LIBRARY"))</f>
        <v>COMPANY/BATTERY HEADQUARTERS, MARINE CORPS</v>
      </c>
      <c r="F198" s="125" t="str">
        <f aca="false">LEFT(H198,6)</f>
        <v>M28261</v>
      </c>
      <c r="G198" s="126" t="s">
        <v>128</v>
      </c>
      <c r="H198" s="126" t="s">
        <v>487</v>
      </c>
      <c r="I198" s="126" t="s">
        <v>486</v>
      </c>
      <c r="J198" s="126" t="s">
        <v>211</v>
      </c>
      <c r="K198" s="127" t="s">
        <v>151</v>
      </c>
      <c r="L198" s="126" t="s">
        <v>151</v>
      </c>
      <c r="M198" s="126" t="s">
        <v>133</v>
      </c>
      <c r="N198" s="126" t="s">
        <v>134</v>
      </c>
      <c r="O198" s="126" t="s">
        <v>135</v>
      </c>
      <c r="P198" s="126" t="s">
        <v>135</v>
      </c>
      <c r="Q198" s="128"/>
      <c r="R198" s="126" t="s">
        <v>136</v>
      </c>
      <c r="S198" s="126" t="s">
        <v>137</v>
      </c>
      <c r="T198" s="128"/>
      <c r="U198" s="129" t="n">
        <v>0</v>
      </c>
      <c r="V198" s="129" t="n">
        <v>0</v>
      </c>
      <c r="W198" s="129" t="n">
        <v>0</v>
      </c>
      <c r="X198" s="129" t="n">
        <v>0</v>
      </c>
      <c r="Y198" s="129" t="n">
        <v>0</v>
      </c>
      <c r="Z198" s="129" t="n">
        <v>1</v>
      </c>
      <c r="AA198" s="129" t="n">
        <v>0</v>
      </c>
      <c r="AB198" s="129" t="n">
        <v>0</v>
      </c>
      <c r="AC198" s="129" t="n">
        <v>0</v>
      </c>
      <c r="AD198" s="129" t="n">
        <v>0</v>
      </c>
      <c r="AE198" s="129" t="n">
        <v>0</v>
      </c>
      <c r="AF198" s="129" t="n">
        <v>0</v>
      </c>
      <c r="AG198" s="129" t="n">
        <v>0</v>
      </c>
      <c r="AH198" s="129" t="n">
        <v>0</v>
      </c>
      <c r="AI198" s="129" t="n">
        <v>0</v>
      </c>
      <c r="AJ198" s="129" t="n">
        <v>0</v>
      </c>
      <c r="AK198" s="129" t="n">
        <v>0</v>
      </c>
      <c r="AL198" s="129" t="n">
        <v>0</v>
      </c>
      <c r="AM198" s="129" t="n">
        <v>0</v>
      </c>
      <c r="AN198" s="128"/>
      <c r="AO198" s="128"/>
      <c r="AP198" s="126" t="s">
        <v>138</v>
      </c>
      <c r="AQ198" s="126" t="s">
        <v>139</v>
      </c>
      <c r="AR198" s="126" t="s">
        <v>140</v>
      </c>
      <c r="AS198" s="128"/>
      <c r="AT198" s="139"/>
    </row>
    <row r="199" customFormat="false" ht="12.75" hidden="false" customHeight="true" outlineLevel="0" collapsed="false">
      <c r="B199" s="122" t="n">
        <f aca="false">B198+1</f>
        <v>196</v>
      </c>
      <c r="C199" s="123" t="s">
        <v>162</v>
      </c>
      <c r="D199" s="140" t="n">
        <v>61073</v>
      </c>
      <c r="E199" s="124" t="str">
        <f aca="false">IF(D199="","",IFERROR(VLOOKUP(D199,CCN_Library!$A$4:$B$13,2,FALSE()),"NOT IN LIBRARY"))</f>
        <v>COMPANY/BATTERY HEADQUARTERS, MARINE CORPS</v>
      </c>
      <c r="F199" s="125" t="str">
        <f aca="false">LEFT(H199,6)</f>
        <v>M28261</v>
      </c>
      <c r="G199" s="126" t="s">
        <v>128</v>
      </c>
      <c r="H199" s="126" t="s">
        <v>488</v>
      </c>
      <c r="I199" s="126" t="s">
        <v>489</v>
      </c>
      <c r="J199" s="126" t="s">
        <v>182</v>
      </c>
      <c r="K199" s="127" t="s">
        <v>132</v>
      </c>
      <c r="L199" s="126" t="s">
        <v>132</v>
      </c>
      <c r="M199" s="126" t="s">
        <v>133</v>
      </c>
      <c r="N199" s="126" t="s">
        <v>134</v>
      </c>
      <c r="O199" s="126" t="s">
        <v>135</v>
      </c>
      <c r="P199" s="126" t="s">
        <v>135</v>
      </c>
      <c r="Q199" s="128"/>
      <c r="R199" s="126" t="s">
        <v>136</v>
      </c>
      <c r="S199" s="126" t="s">
        <v>137</v>
      </c>
      <c r="T199" s="128"/>
      <c r="U199" s="129" t="n">
        <v>0</v>
      </c>
      <c r="V199" s="129" t="n">
        <v>0</v>
      </c>
      <c r="W199" s="129" t="n">
        <v>0</v>
      </c>
      <c r="X199" s="129" t="n">
        <v>0</v>
      </c>
      <c r="Y199" s="129" t="n">
        <v>0</v>
      </c>
      <c r="Z199" s="129" t="n">
        <v>1</v>
      </c>
      <c r="AA199" s="129" t="n">
        <v>0</v>
      </c>
      <c r="AB199" s="129" t="n">
        <v>0</v>
      </c>
      <c r="AC199" s="129" t="n">
        <v>0</v>
      </c>
      <c r="AD199" s="129" t="n">
        <v>0</v>
      </c>
      <c r="AE199" s="129" t="n">
        <v>0</v>
      </c>
      <c r="AF199" s="129" t="n">
        <v>0</v>
      </c>
      <c r="AG199" s="129" t="n">
        <v>0</v>
      </c>
      <c r="AH199" s="129" t="n">
        <v>0</v>
      </c>
      <c r="AI199" s="129" t="n">
        <v>0</v>
      </c>
      <c r="AJ199" s="129" t="n">
        <v>0</v>
      </c>
      <c r="AK199" s="129" t="n">
        <v>0</v>
      </c>
      <c r="AL199" s="129" t="n">
        <v>0</v>
      </c>
      <c r="AM199" s="129" t="n">
        <v>0</v>
      </c>
      <c r="AN199" s="128"/>
      <c r="AO199" s="128"/>
      <c r="AP199" s="126" t="s">
        <v>138</v>
      </c>
      <c r="AQ199" s="126" t="s">
        <v>139</v>
      </c>
      <c r="AR199" s="126" t="s">
        <v>140</v>
      </c>
      <c r="AS199" s="128"/>
      <c r="AT199" s="130"/>
    </row>
    <row r="200" customFormat="false" ht="12.75" hidden="false" customHeight="true" outlineLevel="0" collapsed="false">
      <c r="B200" s="122" t="n">
        <f aca="false">B199+1</f>
        <v>197</v>
      </c>
      <c r="C200" s="123" t="s">
        <v>162</v>
      </c>
      <c r="D200" s="140" t="n">
        <v>61073</v>
      </c>
      <c r="E200" s="124" t="str">
        <f aca="false">IF(D200="","",IFERROR(VLOOKUP(D200,CCN_Library!$A$4:$B$13,2,FALSE()),"NOT IN LIBRARY"))</f>
        <v>COMPANY/BATTERY HEADQUARTERS, MARINE CORPS</v>
      </c>
      <c r="F200" s="125" t="str">
        <f aca="false">LEFT(H200,6)</f>
        <v>M28261</v>
      </c>
      <c r="G200" s="126" t="s">
        <v>128</v>
      </c>
      <c r="H200" s="126" t="s">
        <v>490</v>
      </c>
      <c r="I200" s="126" t="s">
        <v>474</v>
      </c>
      <c r="J200" s="126" t="s">
        <v>187</v>
      </c>
      <c r="K200" s="127" t="s">
        <v>475</v>
      </c>
      <c r="L200" s="126" t="s">
        <v>161</v>
      </c>
      <c r="M200" s="126" t="s">
        <v>133</v>
      </c>
      <c r="N200" s="126" t="s">
        <v>128</v>
      </c>
      <c r="O200" s="126" t="s">
        <v>135</v>
      </c>
      <c r="P200" s="126" t="s">
        <v>135</v>
      </c>
      <c r="Q200" s="128"/>
      <c r="R200" s="126" t="s">
        <v>136</v>
      </c>
      <c r="S200" s="126" t="s">
        <v>137</v>
      </c>
      <c r="T200" s="128"/>
      <c r="U200" s="129" t="n">
        <v>0</v>
      </c>
      <c r="V200" s="129" t="n">
        <v>0</v>
      </c>
      <c r="W200" s="129" t="n">
        <v>0</v>
      </c>
      <c r="X200" s="129" t="n">
        <v>0</v>
      </c>
      <c r="Y200" s="129" t="n">
        <v>0</v>
      </c>
      <c r="Z200" s="129" t="n">
        <v>0</v>
      </c>
      <c r="AA200" s="129" t="n">
        <v>1</v>
      </c>
      <c r="AB200" s="129" t="n">
        <v>0</v>
      </c>
      <c r="AC200" s="129" t="n">
        <v>0</v>
      </c>
      <c r="AD200" s="129" t="n">
        <v>0</v>
      </c>
      <c r="AE200" s="129" t="n">
        <v>0</v>
      </c>
      <c r="AF200" s="129" t="n">
        <v>0</v>
      </c>
      <c r="AG200" s="129" t="n">
        <v>0</v>
      </c>
      <c r="AH200" s="129" t="n">
        <v>0</v>
      </c>
      <c r="AI200" s="129" t="n">
        <v>0</v>
      </c>
      <c r="AJ200" s="129" t="n">
        <v>0</v>
      </c>
      <c r="AK200" s="129" t="n">
        <v>0</v>
      </c>
      <c r="AL200" s="129" t="n">
        <v>0</v>
      </c>
      <c r="AM200" s="129" t="n">
        <v>0</v>
      </c>
      <c r="AN200" s="128"/>
      <c r="AO200" s="128"/>
      <c r="AP200" s="126" t="s">
        <v>138</v>
      </c>
      <c r="AQ200" s="126" t="s">
        <v>139</v>
      </c>
      <c r="AR200" s="126" t="s">
        <v>140</v>
      </c>
      <c r="AS200" s="128"/>
      <c r="AT200" s="130"/>
    </row>
    <row r="201" customFormat="false" ht="12.75" hidden="false" customHeight="true" outlineLevel="0" collapsed="false">
      <c r="B201" s="122" t="n">
        <f aca="false">B200+1</f>
        <v>198</v>
      </c>
      <c r="C201" s="123" t="s">
        <v>168</v>
      </c>
      <c r="D201" s="140" t="n">
        <v>61073</v>
      </c>
      <c r="E201" s="124" t="str">
        <f aca="false">IF(D201="","",IFERROR(VLOOKUP(D201,CCN_Library!$A$4:$B$13,2,FALSE()),"NOT IN LIBRARY"))</f>
        <v>COMPANY/BATTERY HEADQUARTERS, MARINE CORPS</v>
      </c>
      <c r="F201" s="125" t="str">
        <f aca="false">LEFT(H201,6)</f>
        <v>M28261</v>
      </c>
      <c r="G201" s="126" t="s">
        <v>128</v>
      </c>
      <c r="H201" s="126" t="s">
        <v>491</v>
      </c>
      <c r="I201" s="126" t="s">
        <v>159</v>
      </c>
      <c r="J201" s="126" t="s">
        <v>191</v>
      </c>
      <c r="K201" s="127" t="s">
        <v>161</v>
      </c>
      <c r="L201" s="126" t="s">
        <v>161</v>
      </c>
      <c r="M201" s="126" t="s">
        <v>133</v>
      </c>
      <c r="N201" s="126" t="s">
        <v>128</v>
      </c>
      <c r="O201" s="126" t="s">
        <v>135</v>
      </c>
      <c r="P201" s="126" t="s">
        <v>135</v>
      </c>
      <c r="Q201" s="128"/>
      <c r="R201" s="126" t="s">
        <v>136</v>
      </c>
      <c r="S201" s="126" t="s">
        <v>58</v>
      </c>
      <c r="T201" s="128"/>
      <c r="U201" s="129" t="n">
        <v>0</v>
      </c>
      <c r="V201" s="129" t="n">
        <v>0</v>
      </c>
      <c r="W201" s="129" t="n">
        <v>0</v>
      </c>
      <c r="X201" s="129" t="n">
        <v>0</v>
      </c>
      <c r="Y201" s="129" t="n">
        <v>0</v>
      </c>
      <c r="Z201" s="129" t="n">
        <v>0</v>
      </c>
      <c r="AA201" s="129" t="n">
        <v>1</v>
      </c>
      <c r="AB201" s="129" t="n">
        <v>0</v>
      </c>
      <c r="AC201" s="129" t="n">
        <v>0</v>
      </c>
      <c r="AD201" s="129" t="n">
        <v>0</v>
      </c>
      <c r="AE201" s="129" t="n">
        <v>0</v>
      </c>
      <c r="AF201" s="129" t="n">
        <v>0</v>
      </c>
      <c r="AG201" s="129" t="n">
        <v>0</v>
      </c>
      <c r="AH201" s="129" t="n">
        <v>0</v>
      </c>
      <c r="AI201" s="129" t="n">
        <v>0</v>
      </c>
      <c r="AJ201" s="129" t="n">
        <v>0</v>
      </c>
      <c r="AK201" s="129" t="n">
        <v>0</v>
      </c>
      <c r="AL201" s="129" t="n">
        <v>0</v>
      </c>
      <c r="AM201" s="129" t="n">
        <v>0</v>
      </c>
      <c r="AN201" s="128"/>
      <c r="AO201" s="128"/>
      <c r="AP201" s="126" t="s">
        <v>138</v>
      </c>
      <c r="AQ201" s="126" t="s">
        <v>139</v>
      </c>
      <c r="AR201" s="126" t="s">
        <v>140</v>
      </c>
      <c r="AS201" s="128"/>
      <c r="AT201" s="130"/>
    </row>
    <row r="202" customFormat="false" ht="12.75" hidden="false" customHeight="true" outlineLevel="0" collapsed="false">
      <c r="B202" s="122" t="n">
        <f aca="false">B201+1</f>
        <v>199</v>
      </c>
      <c r="C202" s="123" t="s">
        <v>168</v>
      </c>
      <c r="D202" s="140" t="n">
        <v>61073</v>
      </c>
      <c r="E202" s="124" t="str">
        <f aca="false">IF(D202="","",IFERROR(VLOOKUP(D202,CCN_Library!$A$4:$B$13,2,FALSE()),"NOT IN LIBRARY"))</f>
        <v>COMPANY/BATTERY HEADQUARTERS, MARINE CORPS</v>
      </c>
      <c r="F202" s="125" t="str">
        <f aca="false">LEFT(H202,6)</f>
        <v>M28261</v>
      </c>
      <c r="G202" s="126" t="s">
        <v>128</v>
      </c>
      <c r="H202" s="126" t="s">
        <v>492</v>
      </c>
      <c r="I202" s="126" t="s">
        <v>159</v>
      </c>
      <c r="J202" s="126" t="s">
        <v>191</v>
      </c>
      <c r="K202" s="127" t="s">
        <v>161</v>
      </c>
      <c r="L202" s="126" t="s">
        <v>161</v>
      </c>
      <c r="M202" s="126" t="s">
        <v>133</v>
      </c>
      <c r="N202" s="126" t="s">
        <v>128</v>
      </c>
      <c r="O202" s="126" t="s">
        <v>135</v>
      </c>
      <c r="P202" s="126" t="s">
        <v>135</v>
      </c>
      <c r="Q202" s="128"/>
      <c r="R202" s="126" t="s">
        <v>136</v>
      </c>
      <c r="S202" s="126" t="s">
        <v>58</v>
      </c>
      <c r="T202" s="128"/>
      <c r="U202" s="129" t="n">
        <v>0</v>
      </c>
      <c r="V202" s="129" t="n">
        <v>0</v>
      </c>
      <c r="W202" s="129" t="n">
        <v>0</v>
      </c>
      <c r="X202" s="129" t="n">
        <v>0</v>
      </c>
      <c r="Y202" s="129" t="n">
        <v>0</v>
      </c>
      <c r="Z202" s="129" t="n">
        <v>0</v>
      </c>
      <c r="AA202" s="129" t="n">
        <v>1</v>
      </c>
      <c r="AB202" s="129" t="n">
        <v>0</v>
      </c>
      <c r="AC202" s="129" t="n">
        <v>0</v>
      </c>
      <c r="AD202" s="129" t="n">
        <v>0</v>
      </c>
      <c r="AE202" s="129" t="n">
        <v>0</v>
      </c>
      <c r="AF202" s="129" t="n">
        <v>0</v>
      </c>
      <c r="AG202" s="129" t="n">
        <v>0</v>
      </c>
      <c r="AH202" s="129" t="n">
        <v>0</v>
      </c>
      <c r="AI202" s="129" t="n">
        <v>0</v>
      </c>
      <c r="AJ202" s="129" t="n">
        <v>0</v>
      </c>
      <c r="AK202" s="129" t="n">
        <v>0</v>
      </c>
      <c r="AL202" s="129" t="n">
        <v>0</v>
      </c>
      <c r="AM202" s="129" t="n">
        <v>0</v>
      </c>
      <c r="AN202" s="128"/>
      <c r="AO202" s="128"/>
      <c r="AP202" s="126" t="s">
        <v>138</v>
      </c>
      <c r="AQ202" s="126" t="s">
        <v>139</v>
      </c>
      <c r="AR202" s="126" t="s">
        <v>140</v>
      </c>
      <c r="AS202" s="128"/>
      <c r="AT202" s="130"/>
    </row>
    <row r="203" customFormat="false" ht="12.75" hidden="false" customHeight="true" outlineLevel="0" collapsed="false">
      <c r="B203" s="122" t="n">
        <f aca="false">B202+1</f>
        <v>200</v>
      </c>
      <c r="C203" s="123" t="s">
        <v>168</v>
      </c>
      <c r="D203" s="140" t="n">
        <v>61073</v>
      </c>
      <c r="E203" s="124" t="str">
        <f aca="false">IF(D203="","",IFERROR(VLOOKUP(D203,CCN_Library!$A$4:$B$13,2,FALSE()),"NOT IN LIBRARY"))</f>
        <v>COMPANY/BATTERY HEADQUARTERS, MARINE CORPS</v>
      </c>
      <c r="F203" s="125" t="str">
        <f aca="false">LEFT(H203,6)</f>
        <v>M28261</v>
      </c>
      <c r="G203" s="126" t="s">
        <v>128</v>
      </c>
      <c r="H203" s="126" t="s">
        <v>493</v>
      </c>
      <c r="I203" s="126" t="s">
        <v>159</v>
      </c>
      <c r="J203" s="126" t="s">
        <v>191</v>
      </c>
      <c r="K203" s="127" t="s">
        <v>161</v>
      </c>
      <c r="L203" s="126" t="s">
        <v>161</v>
      </c>
      <c r="M203" s="126" t="s">
        <v>133</v>
      </c>
      <c r="N203" s="126" t="s">
        <v>128</v>
      </c>
      <c r="O203" s="126" t="s">
        <v>135</v>
      </c>
      <c r="P203" s="126" t="s">
        <v>135</v>
      </c>
      <c r="Q203" s="128"/>
      <c r="R203" s="126" t="s">
        <v>136</v>
      </c>
      <c r="S203" s="126" t="s">
        <v>58</v>
      </c>
      <c r="T203" s="128"/>
      <c r="U203" s="129" t="n">
        <v>0</v>
      </c>
      <c r="V203" s="129" t="n">
        <v>0</v>
      </c>
      <c r="W203" s="129" t="n">
        <v>0</v>
      </c>
      <c r="X203" s="129" t="n">
        <v>0</v>
      </c>
      <c r="Y203" s="129" t="n">
        <v>0</v>
      </c>
      <c r="Z203" s="129" t="n">
        <v>0</v>
      </c>
      <c r="AA203" s="129" t="n">
        <v>1</v>
      </c>
      <c r="AB203" s="129" t="n">
        <v>0</v>
      </c>
      <c r="AC203" s="129" t="n">
        <v>0</v>
      </c>
      <c r="AD203" s="129" t="n">
        <v>0</v>
      </c>
      <c r="AE203" s="129" t="n">
        <v>0</v>
      </c>
      <c r="AF203" s="129" t="n">
        <v>0</v>
      </c>
      <c r="AG203" s="129" t="n">
        <v>0</v>
      </c>
      <c r="AH203" s="129" t="n">
        <v>0</v>
      </c>
      <c r="AI203" s="129" t="n">
        <v>0</v>
      </c>
      <c r="AJ203" s="129" t="n">
        <v>0</v>
      </c>
      <c r="AK203" s="129" t="n">
        <v>0</v>
      </c>
      <c r="AL203" s="129" t="n">
        <v>0</v>
      </c>
      <c r="AM203" s="129" t="n">
        <v>0</v>
      </c>
      <c r="AN203" s="128"/>
      <c r="AO203" s="128"/>
      <c r="AP203" s="126" t="s">
        <v>138</v>
      </c>
      <c r="AQ203" s="126" t="s">
        <v>139</v>
      </c>
      <c r="AR203" s="126" t="s">
        <v>140</v>
      </c>
      <c r="AS203" s="128"/>
      <c r="AT203" s="130"/>
    </row>
    <row r="204" customFormat="false" ht="12.75" hidden="false" customHeight="true" outlineLevel="0" collapsed="false">
      <c r="B204" s="122" t="n">
        <f aca="false">B203+1</f>
        <v>201</v>
      </c>
      <c r="C204" s="123" t="s">
        <v>168</v>
      </c>
      <c r="D204" s="140" t="n">
        <v>61073</v>
      </c>
      <c r="E204" s="124" t="str">
        <f aca="false">IF(D204="","",IFERROR(VLOOKUP(D204,CCN_Library!$A$4:$B$13,2,FALSE()),"NOT IN LIBRARY"))</f>
        <v>COMPANY/BATTERY HEADQUARTERS, MARINE CORPS</v>
      </c>
      <c r="F204" s="125" t="str">
        <f aca="false">LEFT(H204,6)</f>
        <v>M28261</v>
      </c>
      <c r="G204" s="126" t="s">
        <v>128</v>
      </c>
      <c r="H204" s="126" t="s">
        <v>494</v>
      </c>
      <c r="I204" s="126" t="s">
        <v>159</v>
      </c>
      <c r="J204" s="126" t="s">
        <v>176</v>
      </c>
      <c r="K204" s="127" t="s">
        <v>161</v>
      </c>
      <c r="L204" s="126" t="s">
        <v>161</v>
      </c>
      <c r="M204" s="126" t="s">
        <v>133</v>
      </c>
      <c r="N204" s="126" t="s">
        <v>128</v>
      </c>
      <c r="O204" s="126" t="s">
        <v>135</v>
      </c>
      <c r="P204" s="126" t="s">
        <v>135</v>
      </c>
      <c r="Q204" s="128"/>
      <c r="R204" s="126" t="s">
        <v>136</v>
      </c>
      <c r="S204" s="126" t="s">
        <v>58</v>
      </c>
      <c r="T204" s="128"/>
      <c r="U204" s="129" t="n">
        <v>0</v>
      </c>
      <c r="V204" s="129" t="n">
        <v>0</v>
      </c>
      <c r="W204" s="129" t="n">
        <v>0</v>
      </c>
      <c r="X204" s="129" t="n">
        <v>0</v>
      </c>
      <c r="Y204" s="129" t="n">
        <v>0</v>
      </c>
      <c r="Z204" s="129" t="n">
        <v>0</v>
      </c>
      <c r="AA204" s="129" t="n">
        <v>1</v>
      </c>
      <c r="AB204" s="129" t="n">
        <v>0</v>
      </c>
      <c r="AC204" s="129" t="n">
        <v>0</v>
      </c>
      <c r="AD204" s="129" t="n">
        <v>0</v>
      </c>
      <c r="AE204" s="129" t="n">
        <v>0</v>
      </c>
      <c r="AF204" s="129" t="n">
        <v>0</v>
      </c>
      <c r="AG204" s="129" t="n">
        <v>0</v>
      </c>
      <c r="AH204" s="129" t="n">
        <v>0</v>
      </c>
      <c r="AI204" s="129" t="n">
        <v>0</v>
      </c>
      <c r="AJ204" s="129" t="n">
        <v>0</v>
      </c>
      <c r="AK204" s="129" t="n">
        <v>0</v>
      </c>
      <c r="AL204" s="129" t="n">
        <v>0</v>
      </c>
      <c r="AM204" s="129" t="n">
        <v>0</v>
      </c>
      <c r="AN204" s="128"/>
      <c r="AO204" s="128"/>
      <c r="AP204" s="126" t="s">
        <v>138</v>
      </c>
      <c r="AQ204" s="126" t="s">
        <v>139</v>
      </c>
      <c r="AR204" s="126" t="s">
        <v>140</v>
      </c>
      <c r="AS204" s="128"/>
      <c r="AT204" s="130"/>
    </row>
    <row r="205" customFormat="false" ht="12.75" hidden="false" customHeight="true" outlineLevel="0" collapsed="false">
      <c r="B205" s="122" t="n">
        <f aca="false">B204+1</f>
        <v>202</v>
      </c>
      <c r="C205" s="123" t="s">
        <v>168</v>
      </c>
      <c r="D205" s="140" t="n">
        <v>61073</v>
      </c>
      <c r="E205" s="124" t="str">
        <f aca="false">IF(D205="","",IFERROR(VLOOKUP(D205,CCN_Library!$A$4:$B$13,2,FALSE()),"NOT IN LIBRARY"))</f>
        <v>COMPANY/BATTERY HEADQUARTERS, MARINE CORPS</v>
      </c>
      <c r="F205" s="125" t="str">
        <f aca="false">LEFT(H205,6)</f>
        <v>M28261</v>
      </c>
      <c r="G205" s="126" t="s">
        <v>128</v>
      </c>
      <c r="H205" s="126" t="s">
        <v>495</v>
      </c>
      <c r="I205" s="126" t="s">
        <v>159</v>
      </c>
      <c r="J205" s="126" t="s">
        <v>176</v>
      </c>
      <c r="K205" s="127" t="s">
        <v>161</v>
      </c>
      <c r="L205" s="126" t="s">
        <v>161</v>
      </c>
      <c r="M205" s="126" t="s">
        <v>133</v>
      </c>
      <c r="N205" s="126" t="s">
        <v>128</v>
      </c>
      <c r="O205" s="126" t="s">
        <v>135</v>
      </c>
      <c r="P205" s="126" t="s">
        <v>135</v>
      </c>
      <c r="Q205" s="128"/>
      <c r="R205" s="126" t="s">
        <v>136</v>
      </c>
      <c r="S205" s="126" t="s">
        <v>58</v>
      </c>
      <c r="T205" s="128"/>
      <c r="U205" s="129" t="n">
        <v>0</v>
      </c>
      <c r="V205" s="129" t="n">
        <v>0</v>
      </c>
      <c r="W205" s="129" t="n">
        <v>0</v>
      </c>
      <c r="X205" s="129" t="n">
        <v>0</v>
      </c>
      <c r="Y205" s="129" t="n">
        <v>0</v>
      </c>
      <c r="Z205" s="129" t="n">
        <v>0</v>
      </c>
      <c r="AA205" s="129" t="n">
        <v>1</v>
      </c>
      <c r="AB205" s="129" t="n">
        <v>0</v>
      </c>
      <c r="AC205" s="129" t="n">
        <v>0</v>
      </c>
      <c r="AD205" s="129" t="n">
        <v>0</v>
      </c>
      <c r="AE205" s="129" t="n">
        <v>0</v>
      </c>
      <c r="AF205" s="129" t="n">
        <v>0</v>
      </c>
      <c r="AG205" s="129" t="n">
        <v>0</v>
      </c>
      <c r="AH205" s="129" t="n">
        <v>0</v>
      </c>
      <c r="AI205" s="129" t="n">
        <v>0</v>
      </c>
      <c r="AJ205" s="129" t="n">
        <v>0</v>
      </c>
      <c r="AK205" s="129" t="n">
        <v>0</v>
      </c>
      <c r="AL205" s="129" t="n">
        <v>0</v>
      </c>
      <c r="AM205" s="129" t="n">
        <v>0</v>
      </c>
      <c r="AN205" s="128"/>
      <c r="AO205" s="128"/>
      <c r="AP205" s="126" t="s">
        <v>138</v>
      </c>
      <c r="AQ205" s="126" t="s">
        <v>139</v>
      </c>
      <c r="AR205" s="126" t="s">
        <v>140</v>
      </c>
      <c r="AS205" s="128"/>
      <c r="AT205" s="130"/>
    </row>
    <row r="206" customFormat="false" ht="12.75" hidden="false" customHeight="true" outlineLevel="0" collapsed="false">
      <c r="B206" s="122" t="n">
        <f aca="false">B205+1</f>
        <v>203</v>
      </c>
      <c r="C206" s="123" t="s">
        <v>168</v>
      </c>
      <c r="D206" s="140" t="n">
        <v>61073</v>
      </c>
      <c r="E206" s="124" t="str">
        <f aca="false">IF(D206="","",IFERROR(VLOOKUP(D206,CCN_Library!$A$4:$B$13,2,FALSE()),"NOT IN LIBRARY"))</f>
        <v>COMPANY/BATTERY HEADQUARTERS, MARINE CORPS</v>
      </c>
      <c r="F206" s="125" t="str">
        <f aca="false">LEFT(H206,6)</f>
        <v>M28261</v>
      </c>
      <c r="G206" s="126" t="s">
        <v>128</v>
      </c>
      <c r="H206" s="126" t="s">
        <v>496</v>
      </c>
      <c r="I206" s="126" t="s">
        <v>159</v>
      </c>
      <c r="J206" s="126" t="s">
        <v>176</v>
      </c>
      <c r="K206" s="127" t="s">
        <v>161</v>
      </c>
      <c r="L206" s="126" t="s">
        <v>161</v>
      </c>
      <c r="M206" s="126" t="s">
        <v>133</v>
      </c>
      <c r="N206" s="126" t="s">
        <v>128</v>
      </c>
      <c r="O206" s="126" t="s">
        <v>135</v>
      </c>
      <c r="P206" s="126" t="s">
        <v>135</v>
      </c>
      <c r="Q206" s="128"/>
      <c r="R206" s="126" t="s">
        <v>136</v>
      </c>
      <c r="S206" s="126" t="s">
        <v>58</v>
      </c>
      <c r="T206" s="128"/>
      <c r="U206" s="129" t="n">
        <v>0</v>
      </c>
      <c r="V206" s="129" t="n">
        <v>0</v>
      </c>
      <c r="W206" s="129" t="n">
        <v>0</v>
      </c>
      <c r="X206" s="129" t="n">
        <v>0</v>
      </c>
      <c r="Y206" s="129" t="n">
        <v>0</v>
      </c>
      <c r="Z206" s="129" t="n">
        <v>0</v>
      </c>
      <c r="AA206" s="129" t="n">
        <v>1</v>
      </c>
      <c r="AB206" s="129" t="n">
        <v>0</v>
      </c>
      <c r="AC206" s="129" t="n">
        <v>0</v>
      </c>
      <c r="AD206" s="129" t="n">
        <v>0</v>
      </c>
      <c r="AE206" s="129" t="n">
        <v>0</v>
      </c>
      <c r="AF206" s="129" t="n">
        <v>0</v>
      </c>
      <c r="AG206" s="129" t="n">
        <v>0</v>
      </c>
      <c r="AH206" s="129" t="n">
        <v>0</v>
      </c>
      <c r="AI206" s="129" t="n">
        <v>0</v>
      </c>
      <c r="AJ206" s="129" t="n">
        <v>0</v>
      </c>
      <c r="AK206" s="129" t="n">
        <v>0</v>
      </c>
      <c r="AL206" s="129" t="n">
        <v>0</v>
      </c>
      <c r="AM206" s="129" t="n">
        <v>0</v>
      </c>
      <c r="AN206" s="128"/>
      <c r="AO206" s="128"/>
      <c r="AP206" s="126" t="s">
        <v>138</v>
      </c>
      <c r="AQ206" s="126" t="s">
        <v>139</v>
      </c>
      <c r="AR206" s="126" t="s">
        <v>140</v>
      </c>
      <c r="AS206" s="128"/>
      <c r="AT206" s="130"/>
    </row>
    <row r="207" customFormat="false" ht="12.75" hidden="false" customHeight="true" outlineLevel="0" collapsed="false">
      <c r="B207" s="131" t="n">
        <f aca="false">B206+1</f>
        <v>204</v>
      </c>
      <c r="C207" s="132" t="s">
        <v>162</v>
      </c>
      <c r="D207" s="133" t="n">
        <v>61073</v>
      </c>
      <c r="E207" s="133"/>
      <c r="F207" s="134" t="str">
        <f aca="false">LEFT(H207,6)</f>
        <v>M28261</v>
      </c>
      <c r="G207" s="135" t="s">
        <v>177</v>
      </c>
      <c r="H207" s="135" t="s">
        <v>497</v>
      </c>
      <c r="I207" s="135" t="s">
        <v>498</v>
      </c>
      <c r="J207" s="136"/>
      <c r="K207" s="136"/>
      <c r="L207" s="136"/>
      <c r="M207" s="136"/>
      <c r="N207" s="136"/>
      <c r="O207" s="136"/>
      <c r="P207" s="136"/>
      <c r="Q207" s="136"/>
      <c r="R207" s="136"/>
      <c r="S207" s="136"/>
      <c r="T207" s="136"/>
      <c r="U207" s="137" t="n">
        <v>0</v>
      </c>
      <c r="V207" s="137" t="n">
        <v>0</v>
      </c>
      <c r="W207" s="137" t="n">
        <v>0</v>
      </c>
      <c r="X207" s="137" t="n">
        <v>0</v>
      </c>
      <c r="Y207" s="137" t="n">
        <v>0</v>
      </c>
      <c r="Z207" s="137" t="n">
        <v>0</v>
      </c>
      <c r="AA207" s="137" t="n">
        <v>0</v>
      </c>
      <c r="AB207" s="137" t="n">
        <v>0</v>
      </c>
      <c r="AC207" s="137" t="n">
        <v>0</v>
      </c>
      <c r="AD207" s="137" t="n">
        <v>0</v>
      </c>
      <c r="AE207" s="137" t="n">
        <v>0</v>
      </c>
      <c r="AF207" s="137" t="n">
        <v>0</v>
      </c>
      <c r="AG207" s="137" t="n">
        <v>0</v>
      </c>
      <c r="AH207" s="137" t="n">
        <v>0</v>
      </c>
      <c r="AI207" s="137" t="n">
        <v>0</v>
      </c>
      <c r="AJ207" s="137" t="n">
        <v>0</v>
      </c>
      <c r="AK207" s="137" t="n">
        <v>0</v>
      </c>
      <c r="AL207" s="137" t="n">
        <v>0</v>
      </c>
      <c r="AM207" s="137" t="n">
        <v>0</v>
      </c>
      <c r="AN207" s="136"/>
      <c r="AO207" s="136"/>
      <c r="AP207" s="136"/>
      <c r="AQ207" s="136"/>
      <c r="AR207" s="136"/>
      <c r="AS207" s="136"/>
      <c r="AT207" s="138"/>
    </row>
    <row r="208" customFormat="false" ht="12.75" hidden="false" customHeight="true" outlineLevel="0" collapsed="false">
      <c r="B208" s="122" t="n">
        <f aca="false">B207+1</f>
        <v>205</v>
      </c>
      <c r="C208" s="123" t="s">
        <v>162</v>
      </c>
      <c r="D208" s="140" t="n">
        <v>61073</v>
      </c>
      <c r="E208" s="124" t="str">
        <f aca="false">IF(D208="","",IFERROR(VLOOKUP(D208,CCN_Library!$A$4:$B$13,2,FALSE()),"NOT IN LIBRARY"))</f>
        <v>COMPANY/BATTERY HEADQUARTERS, MARINE CORPS</v>
      </c>
      <c r="F208" s="125" t="str">
        <f aca="false">LEFT(H208,6)</f>
        <v>M28261</v>
      </c>
      <c r="G208" s="126" t="s">
        <v>128</v>
      </c>
      <c r="H208" s="126" t="s">
        <v>499</v>
      </c>
      <c r="I208" s="126" t="s">
        <v>500</v>
      </c>
      <c r="J208" s="126" t="s">
        <v>182</v>
      </c>
      <c r="K208" s="127" t="s">
        <v>223</v>
      </c>
      <c r="L208" s="126" t="s">
        <v>223</v>
      </c>
      <c r="M208" s="126" t="s">
        <v>133</v>
      </c>
      <c r="N208" s="126" t="s">
        <v>134</v>
      </c>
      <c r="O208" s="126" t="s">
        <v>135</v>
      </c>
      <c r="P208" s="126" t="s">
        <v>135</v>
      </c>
      <c r="Q208" s="128"/>
      <c r="R208" s="126" t="s">
        <v>136</v>
      </c>
      <c r="S208" s="126" t="s">
        <v>137</v>
      </c>
      <c r="T208" s="128"/>
      <c r="U208" s="129" t="n">
        <v>0</v>
      </c>
      <c r="V208" s="129" t="n">
        <v>0</v>
      </c>
      <c r="W208" s="129" t="n">
        <v>0</v>
      </c>
      <c r="X208" s="129" t="n">
        <v>0</v>
      </c>
      <c r="Y208" s="129" t="n">
        <v>0</v>
      </c>
      <c r="Z208" s="129" t="n">
        <v>1</v>
      </c>
      <c r="AA208" s="129" t="n">
        <v>0</v>
      </c>
      <c r="AB208" s="129" t="n">
        <v>0</v>
      </c>
      <c r="AC208" s="129" t="n">
        <v>0</v>
      </c>
      <c r="AD208" s="129" t="n">
        <v>0</v>
      </c>
      <c r="AE208" s="129" t="n">
        <v>0</v>
      </c>
      <c r="AF208" s="129" t="n">
        <v>0</v>
      </c>
      <c r="AG208" s="129" t="n">
        <v>0</v>
      </c>
      <c r="AH208" s="129" t="n">
        <v>0</v>
      </c>
      <c r="AI208" s="129" t="n">
        <v>0</v>
      </c>
      <c r="AJ208" s="129" t="n">
        <v>0</v>
      </c>
      <c r="AK208" s="129" t="n">
        <v>0</v>
      </c>
      <c r="AL208" s="129" t="n">
        <v>0</v>
      </c>
      <c r="AM208" s="129" t="n">
        <v>0</v>
      </c>
      <c r="AN208" s="128"/>
      <c r="AO208" s="128"/>
      <c r="AP208" s="126" t="s">
        <v>138</v>
      </c>
      <c r="AQ208" s="126" t="s">
        <v>139</v>
      </c>
      <c r="AR208" s="126" t="s">
        <v>140</v>
      </c>
      <c r="AS208" s="128"/>
      <c r="AT208" s="130"/>
    </row>
    <row r="209" customFormat="false" ht="12.75" hidden="false" customHeight="true" outlineLevel="0" collapsed="false">
      <c r="B209" s="122" t="n">
        <f aca="false">B208+1</f>
        <v>206</v>
      </c>
      <c r="C209" s="123" t="s">
        <v>162</v>
      </c>
      <c r="D209" s="140" t="n">
        <v>61073</v>
      </c>
      <c r="E209" s="124" t="str">
        <f aca="false">IF(D209="","",IFERROR(VLOOKUP(D209,CCN_Library!$A$4:$B$13,2,FALSE()),"NOT IN LIBRARY"))</f>
        <v>COMPANY/BATTERY HEADQUARTERS, MARINE CORPS</v>
      </c>
      <c r="F209" s="125" t="str">
        <f aca="false">LEFT(H209,6)</f>
        <v>M28261</v>
      </c>
      <c r="G209" s="126" t="s">
        <v>128</v>
      </c>
      <c r="H209" s="126" t="s">
        <v>501</v>
      </c>
      <c r="I209" s="126" t="s">
        <v>159</v>
      </c>
      <c r="J209" s="126" t="s">
        <v>189</v>
      </c>
      <c r="K209" s="127" t="s">
        <v>161</v>
      </c>
      <c r="L209" s="126" t="s">
        <v>161</v>
      </c>
      <c r="M209" s="126" t="s">
        <v>133</v>
      </c>
      <c r="N209" s="126" t="s">
        <v>128</v>
      </c>
      <c r="O209" s="126" t="s">
        <v>135</v>
      </c>
      <c r="P209" s="126" t="s">
        <v>135</v>
      </c>
      <c r="Q209" s="128"/>
      <c r="R209" s="126" t="s">
        <v>136</v>
      </c>
      <c r="S209" s="126" t="s">
        <v>137</v>
      </c>
      <c r="T209" s="128"/>
      <c r="U209" s="129" t="n">
        <v>0</v>
      </c>
      <c r="V209" s="129" t="n">
        <v>0</v>
      </c>
      <c r="W209" s="129" t="n">
        <v>0</v>
      </c>
      <c r="X209" s="129" t="n">
        <v>0</v>
      </c>
      <c r="Y209" s="129" t="n">
        <v>0</v>
      </c>
      <c r="Z209" s="129" t="n">
        <v>0</v>
      </c>
      <c r="AA209" s="129" t="n">
        <v>1</v>
      </c>
      <c r="AB209" s="129" t="n">
        <v>0</v>
      </c>
      <c r="AC209" s="129" t="n">
        <v>0</v>
      </c>
      <c r="AD209" s="129" t="n">
        <v>0</v>
      </c>
      <c r="AE209" s="129" t="n">
        <v>0</v>
      </c>
      <c r="AF209" s="129" t="n">
        <v>0</v>
      </c>
      <c r="AG209" s="129" t="n">
        <v>0</v>
      </c>
      <c r="AH209" s="129" t="n">
        <v>0</v>
      </c>
      <c r="AI209" s="129" t="n">
        <v>0</v>
      </c>
      <c r="AJ209" s="129" t="n">
        <v>0</v>
      </c>
      <c r="AK209" s="129" t="n">
        <v>0</v>
      </c>
      <c r="AL209" s="129" t="n">
        <v>0</v>
      </c>
      <c r="AM209" s="129" t="n">
        <v>0</v>
      </c>
      <c r="AN209" s="128"/>
      <c r="AO209" s="128"/>
      <c r="AP209" s="126" t="s">
        <v>138</v>
      </c>
      <c r="AQ209" s="126" t="s">
        <v>139</v>
      </c>
      <c r="AR209" s="126" t="s">
        <v>140</v>
      </c>
      <c r="AS209" s="128"/>
      <c r="AT209" s="130"/>
    </row>
    <row r="210" customFormat="false" ht="12.75" hidden="false" customHeight="true" outlineLevel="0" collapsed="false">
      <c r="B210" s="122" t="n">
        <f aca="false">B209+1</f>
        <v>207</v>
      </c>
      <c r="C210" s="123" t="s">
        <v>168</v>
      </c>
      <c r="D210" s="140" t="n">
        <v>61073</v>
      </c>
      <c r="E210" s="124" t="str">
        <f aca="false">IF(D210="","",IFERROR(VLOOKUP(D210,CCN_Library!$A$4:$B$13,2,FALSE()),"NOT IN LIBRARY"))</f>
        <v>COMPANY/BATTERY HEADQUARTERS, MARINE CORPS</v>
      </c>
      <c r="F210" s="125" t="str">
        <f aca="false">LEFT(H210,6)</f>
        <v>M28261</v>
      </c>
      <c r="G210" s="126" t="s">
        <v>128</v>
      </c>
      <c r="H210" s="126" t="s">
        <v>502</v>
      </c>
      <c r="I210" s="126" t="s">
        <v>159</v>
      </c>
      <c r="J210" s="126" t="s">
        <v>191</v>
      </c>
      <c r="K210" s="127" t="s">
        <v>161</v>
      </c>
      <c r="L210" s="126" t="s">
        <v>161</v>
      </c>
      <c r="M210" s="126" t="s">
        <v>133</v>
      </c>
      <c r="N210" s="126" t="s">
        <v>128</v>
      </c>
      <c r="O210" s="126" t="s">
        <v>135</v>
      </c>
      <c r="P210" s="126" t="s">
        <v>135</v>
      </c>
      <c r="Q210" s="128"/>
      <c r="R210" s="126" t="s">
        <v>136</v>
      </c>
      <c r="S210" s="126" t="s">
        <v>58</v>
      </c>
      <c r="T210" s="128"/>
      <c r="U210" s="129" t="n">
        <v>0</v>
      </c>
      <c r="V210" s="129" t="n">
        <v>0</v>
      </c>
      <c r="W210" s="129" t="n">
        <v>0</v>
      </c>
      <c r="X210" s="129" t="n">
        <v>0</v>
      </c>
      <c r="Y210" s="129" t="n">
        <v>0</v>
      </c>
      <c r="Z210" s="129" t="n">
        <v>0</v>
      </c>
      <c r="AA210" s="129" t="n">
        <v>1</v>
      </c>
      <c r="AB210" s="129" t="n">
        <v>0</v>
      </c>
      <c r="AC210" s="129" t="n">
        <v>0</v>
      </c>
      <c r="AD210" s="129" t="n">
        <v>0</v>
      </c>
      <c r="AE210" s="129" t="n">
        <v>0</v>
      </c>
      <c r="AF210" s="129" t="n">
        <v>0</v>
      </c>
      <c r="AG210" s="129" t="n">
        <v>0</v>
      </c>
      <c r="AH210" s="129" t="n">
        <v>0</v>
      </c>
      <c r="AI210" s="129" t="n">
        <v>0</v>
      </c>
      <c r="AJ210" s="129" t="n">
        <v>0</v>
      </c>
      <c r="AK210" s="129" t="n">
        <v>0</v>
      </c>
      <c r="AL210" s="129" t="n">
        <v>0</v>
      </c>
      <c r="AM210" s="129" t="n">
        <v>0</v>
      </c>
      <c r="AN210" s="128"/>
      <c r="AO210" s="128"/>
      <c r="AP210" s="126" t="s">
        <v>138</v>
      </c>
      <c r="AQ210" s="126" t="s">
        <v>139</v>
      </c>
      <c r="AR210" s="126" t="s">
        <v>140</v>
      </c>
      <c r="AS210" s="128"/>
      <c r="AT210" s="130"/>
    </row>
    <row r="211" customFormat="false" ht="12.75" hidden="false" customHeight="true" outlineLevel="0" collapsed="false">
      <c r="B211" s="122" t="n">
        <f aca="false">B210+1</f>
        <v>208</v>
      </c>
      <c r="C211" s="123" t="s">
        <v>168</v>
      </c>
      <c r="D211" s="140" t="n">
        <v>61073</v>
      </c>
      <c r="E211" s="124" t="str">
        <f aca="false">IF(D211="","",IFERROR(VLOOKUP(D211,CCN_Library!$A$4:$B$13,2,FALSE()),"NOT IN LIBRARY"))</f>
        <v>COMPANY/BATTERY HEADQUARTERS, MARINE CORPS</v>
      </c>
      <c r="F211" s="125" t="str">
        <f aca="false">LEFT(H211,6)</f>
        <v>M28261</v>
      </c>
      <c r="G211" s="126" t="s">
        <v>128</v>
      </c>
      <c r="H211" s="126" t="s">
        <v>503</v>
      </c>
      <c r="I211" s="126" t="s">
        <v>159</v>
      </c>
      <c r="J211" s="126" t="s">
        <v>191</v>
      </c>
      <c r="K211" s="127" t="s">
        <v>161</v>
      </c>
      <c r="L211" s="126" t="s">
        <v>161</v>
      </c>
      <c r="M211" s="126" t="s">
        <v>133</v>
      </c>
      <c r="N211" s="126" t="s">
        <v>128</v>
      </c>
      <c r="O211" s="126" t="s">
        <v>135</v>
      </c>
      <c r="P211" s="126" t="s">
        <v>135</v>
      </c>
      <c r="Q211" s="128"/>
      <c r="R211" s="126" t="s">
        <v>136</v>
      </c>
      <c r="S211" s="126" t="s">
        <v>58</v>
      </c>
      <c r="T211" s="128"/>
      <c r="U211" s="129" t="n">
        <v>0</v>
      </c>
      <c r="V211" s="129" t="n">
        <v>0</v>
      </c>
      <c r="W211" s="129" t="n">
        <v>0</v>
      </c>
      <c r="X211" s="129" t="n">
        <v>0</v>
      </c>
      <c r="Y211" s="129" t="n">
        <v>0</v>
      </c>
      <c r="Z211" s="129" t="n">
        <v>0</v>
      </c>
      <c r="AA211" s="129" t="n">
        <v>1</v>
      </c>
      <c r="AB211" s="129" t="n">
        <v>0</v>
      </c>
      <c r="AC211" s="129" t="n">
        <v>0</v>
      </c>
      <c r="AD211" s="129" t="n">
        <v>0</v>
      </c>
      <c r="AE211" s="129" t="n">
        <v>0</v>
      </c>
      <c r="AF211" s="129" t="n">
        <v>0</v>
      </c>
      <c r="AG211" s="129" t="n">
        <v>0</v>
      </c>
      <c r="AH211" s="129" t="n">
        <v>0</v>
      </c>
      <c r="AI211" s="129" t="n">
        <v>0</v>
      </c>
      <c r="AJ211" s="129" t="n">
        <v>0</v>
      </c>
      <c r="AK211" s="129" t="n">
        <v>0</v>
      </c>
      <c r="AL211" s="129" t="n">
        <v>0</v>
      </c>
      <c r="AM211" s="129" t="n">
        <v>0</v>
      </c>
      <c r="AN211" s="128"/>
      <c r="AO211" s="128"/>
      <c r="AP211" s="126" t="s">
        <v>138</v>
      </c>
      <c r="AQ211" s="126" t="s">
        <v>139</v>
      </c>
      <c r="AR211" s="126" t="s">
        <v>140</v>
      </c>
      <c r="AS211" s="128"/>
      <c r="AT211" s="130"/>
    </row>
    <row r="212" customFormat="false" ht="12.75" hidden="false" customHeight="true" outlineLevel="0" collapsed="false">
      <c r="B212" s="122" t="n">
        <f aca="false">B211+1</f>
        <v>209</v>
      </c>
      <c r="C212" s="123" t="s">
        <v>168</v>
      </c>
      <c r="D212" s="140" t="n">
        <v>61073</v>
      </c>
      <c r="E212" s="124" t="str">
        <f aca="false">IF(D212="","",IFERROR(VLOOKUP(D212,CCN_Library!$A$4:$B$13,2,FALSE()),"NOT IN LIBRARY"))</f>
        <v>COMPANY/BATTERY HEADQUARTERS, MARINE CORPS</v>
      </c>
      <c r="F212" s="125" t="str">
        <f aca="false">LEFT(H212,6)</f>
        <v>M28261</v>
      </c>
      <c r="G212" s="126" t="s">
        <v>128</v>
      </c>
      <c r="H212" s="126" t="s">
        <v>504</v>
      </c>
      <c r="I212" s="126" t="s">
        <v>159</v>
      </c>
      <c r="J212" s="126" t="s">
        <v>191</v>
      </c>
      <c r="K212" s="127" t="s">
        <v>161</v>
      </c>
      <c r="L212" s="126" t="s">
        <v>161</v>
      </c>
      <c r="M212" s="126" t="s">
        <v>133</v>
      </c>
      <c r="N212" s="126" t="s">
        <v>128</v>
      </c>
      <c r="O212" s="126" t="s">
        <v>135</v>
      </c>
      <c r="P212" s="126" t="s">
        <v>135</v>
      </c>
      <c r="Q212" s="128"/>
      <c r="R212" s="126" t="s">
        <v>136</v>
      </c>
      <c r="S212" s="126" t="s">
        <v>58</v>
      </c>
      <c r="T212" s="128"/>
      <c r="U212" s="129" t="n">
        <v>0</v>
      </c>
      <c r="V212" s="129" t="n">
        <v>0</v>
      </c>
      <c r="W212" s="129" t="n">
        <v>0</v>
      </c>
      <c r="X212" s="129" t="n">
        <v>0</v>
      </c>
      <c r="Y212" s="129" t="n">
        <v>0</v>
      </c>
      <c r="Z212" s="129" t="n">
        <v>0</v>
      </c>
      <c r="AA212" s="129" t="n">
        <v>1</v>
      </c>
      <c r="AB212" s="129" t="n">
        <v>0</v>
      </c>
      <c r="AC212" s="129" t="n">
        <v>0</v>
      </c>
      <c r="AD212" s="129" t="n">
        <v>0</v>
      </c>
      <c r="AE212" s="129" t="n">
        <v>0</v>
      </c>
      <c r="AF212" s="129" t="n">
        <v>0</v>
      </c>
      <c r="AG212" s="129" t="n">
        <v>0</v>
      </c>
      <c r="AH212" s="129" t="n">
        <v>0</v>
      </c>
      <c r="AI212" s="129" t="n">
        <v>0</v>
      </c>
      <c r="AJ212" s="129" t="n">
        <v>0</v>
      </c>
      <c r="AK212" s="129" t="n">
        <v>0</v>
      </c>
      <c r="AL212" s="129" t="n">
        <v>0</v>
      </c>
      <c r="AM212" s="129" t="n">
        <v>0</v>
      </c>
      <c r="AN212" s="128"/>
      <c r="AO212" s="128"/>
      <c r="AP212" s="126" t="s">
        <v>138</v>
      </c>
      <c r="AQ212" s="126" t="s">
        <v>139</v>
      </c>
      <c r="AR212" s="126" t="s">
        <v>140</v>
      </c>
      <c r="AS212" s="128"/>
      <c r="AT212" s="130"/>
    </row>
    <row r="213" customFormat="false" ht="12.75" hidden="false" customHeight="true" outlineLevel="0" collapsed="false">
      <c r="B213" s="122" t="n">
        <f aca="false">B212+1</f>
        <v>210</v>
      </c>
      <c r="C213" s="123" t="s">
        <v>168</v>
      </c>
      <c r="D213" s="140" t="n">
        <v>61073</v>
      </c>
      <c r="E213" s="124" t="str">
        <f aca="false">IF(D213="","",IFERROR(VLOOKUP(D213,CCN_Library!$A$4:$B$13,2,FALSE()),"NOT IN LIBRARY"))</f>
        <v>COMPANY/BATTERY HEADQUARTERS, MARINE CORPS</v>
      </c>
      <c r="F213" s="125" t="str">
        <f aca="false">LEFT(H213,6)</f>
        <v>M28261</v>
      </c>
      <c r="G213" s="126" t="s">
        <v>128</v>
      </c>
      <c r="H213" s="126" t="s">
        <v>505</v>
      </c>
      <c r="I213" s="126" t="s">
        <v>159</v>
      </c>
      <c r="J213" s="126" t="s">
        <v>176</v>
      </c>
      <c r="K213" s="127" t="s">
        <v>161</v>
      </c>
      <c r="L213" s="126" t="s">
        <v>161</v>
      </c>
      <c r="M213" s="126" t="s">
        <v>133</v>
      </c>
      <c r="N213" s="126" t="s">
        <v>128</v>
      </c>
      <c r="O213" s="126" t="s">
        <v>135</v>
      </c>
      <c r="P213" s="126" t="s">
        <v>135</v>
      </c>
      <c r="Q213" s="128"/>
      <c r="R213" s="126" t="s">
        <v>136</v>
      </c>
      <c r="S213" s="126" t="s">
        <v>58</v>
      </c>
      <c r="T213" s="128"/>
      <c r="U213" s="129" t="n">
        <v>0</v>
      </c>
      <c r="V213" s="129" t="n">
        <v>0</v>
      </c>
      <c r="W213" s="129" t="n">
        <v>0</v>
      </c>
      <c r="X213" s="129" t="n">
        <v>0</v>
      </c>
      <c r="Y213" s="129" t="n">
        <v>0</v>
      </c>
      <c r="Z213" s="129" t="n">
        <v>0</v>
      </c>
      <c r="AA213" s="129" t="n">
        <v>1</v>
      </c>
      <c r="AB213" s="129" t="n">
        <v>0</v>
      </c>
      <c r="AC213" s="129" t="n">
        <v>0</v>
      </c>
      <c r="AD213" s="129" t="n">
        <v>0</v>
      </c>
      <c r="AE213" s="129" t="n">
        <v>0</v>
      </c>
      <c r="AF213" s="129" t="n">
        <v>0</v>
      </c>
      <c r="AG213" s="129" t="n">
        <v>0</v>
      </c>
      <c r="AH213" s="129" t="n">
        <v>0</v>
      </c>
      <c r="AI213" s="129" t="n">
        <v>0</v>
      </c>
      <c r="AJ213" s="129" t="n">
        <v>0</v>
      </c>
      <c r="AK213" s="129" t="n">
        <v>0</v>
      </c>
      <c r="AL213" s="129" t="n">
        <v>0</v>
      </c>
      <c r="AM213" s="129" t="n">
        <v>0</v>
      </c>
      <c r="AN213" s="128"/>
      <c r="AO213" s="128"/>
      <c r="AP213" s="126" t="s">
        <v>138</v>
      </c>
      <c r="AQ213" s="126" t="s">
        <v>139</v>
      </c>
      <c r="AR213" s="126" t="s">
        <v>140</v>
      </c>
      <c r="AS213" s="128"/>
      <c r="AT213" s="130"/>
    </row>
    <row r="214" customFormat="false" ht="12.75" hidden="false" customHeight="true" outlineLevel="0" collapsed="false">
      <c r="B214" s="122" t="n">
        <f aca="false">B213+1</f>
        <v>211</v>
      </c>
      <c r="C214" s="123" t="s">
        <v>168</v>
      </c>
      <c r="D214" s="140" t="n">
        <v>61073</v>
      </c>
      <c r="E214" s="124" t="str">
        <f aca="false">IF(D214="","",IFERROR(VLOOKUP(D214,CCN_Library!$A$4:$B$13,2,FALSE()),"NOT IN LIBRARY"))</f>
        <v>COMPANY/BATTERY HEADQUARTERS, MARINE CORPS</v>
      </c>
      <c r="F214" s="125" t="str">
        <f aca="false">LEFT(H214,6)</f>
        <v>M28261</v>
      </c>
      <c r="G214" s="126" t="s">
        <v>128</v>
      </c>
      <c r="H214" s="126" t="s">
        <v>506</v>
      </c>
      <c r="I214" s="126" t="s">
        <v>159</v>
      </c>
      <c r="J214" s="126" t="s">
        <v>176</v>
      </c>
      <c r="K214" s="127" t="s">
        <v>161</v>
      </c>
      <c r="L214" s="126" t="s">
        <v>161</v>
      </c>
      <c r="M214" s="126" t="s">
        <v>133</v>
      </c>
      <c r="N214" s="126" t="s">
        <v>128</v>
      </c>
      <c r="O214" s="126" t="s">
        <v>135</v>
      </c>
      <c r="P214" s="126" t="s">
        <v>135</v>
      </c>
      <c r="Q214" s="128"/>
      <c r="R214" s="126" t="s">
        <v>136</v>
      </c>
      <c r="S214" s="126" t="s">
        <v>58</v>
      </c>
      <c r="T214" s="128"/>
      <c r="U214" s="129" t="n">
        <v>0</v>
      </c>
      <c r="V214" s="129" t="n">
        <v>0</v>
      </c>
      <c r="W214" s="129" t="n">
        <v>0</v>
      </c>
      <c r="X214" s="129" t="n">
        <v>0</v>
      </c>
      <c r="Y214" s="129" t="n">
        <v>0</v>
      </c>
      <c r="Z214" s="129" t="n">
        <v>0</v>
      </c>
      <c r="AA214" s="129" t="n">
        <v>1</v>
      </c>
      <c r="AB214" s="129" t="n">
        <v>0</v>
      </c>
      <c r="AC214" s="129" t="n">
        <v>0</v>
      </c>
      <c r="AD214" s="129" t="n">
        <v>0</v>
      </c>
      <c r="AE214" s="129" t="n">
        <v>0</v>
      </c>
      <c r="AF214" s="129" t="n">
        <v>0</v>
      </c>
      <c r="AG214" s="129" t="n">
        <v>0</v>
      </c>
      <c r="AH214" s="129" t="n">
        <v>0</v>
      </c>
      <c r="AI214" s="129" t="n">
        <v>0</v>
      </c>
      <c r="AJ214" s="129" t="n">
        <v>0</v>
      </c>
      <c r="AK214" s="129" t="n">
        <v>0</v>
      </c>
      <c r="AL214" s="129" t="n">
        <v>0</v>
      </c>
      <c r="AM214" s="129" t="n">
        <v>0</v>
      </c>
      <c r="AN214" s="128"/>
      <c r="AO214" s="128"/>
      <c r="AP214" s="126" t="s">
        <v>138</v>
      </c>
      <c r="AQ214" s="126" t="s">
        <v>139</v>
      </c>
      <c r="AR214" s="126" t="s">
        <v>140</v>
      </c>
      <c r="AS214" s="128"/>
      <c r="AT214" s="130"/>
    </row>
    <row r="215" customFormat="false" ht="12.75" hidden="false" customHeight="true" outlineLevel="0" collapsed="false">
      <c r="B215" s="122" t="n">
        <f aca="false">B214+1</f>
        <v>212</v>
      </c>
      <c r="C215" s="123" t="s">
        <v>168</v>
      </c>
      <c r="D215" s="140" t="n">
        <v>61073</v>
      </c>
      <c r="E215" s="124" t="str">
        <f aca="false">IF(D215="","",IFERROR(VLOOKUP(D215,CCN_Library!$A$4:$B$13,2,FALSE()),"NOT IN LIBRARY"))</f>
        <v>COMPANY/BATTERY HEADQUARTERS, MARINE CORPS</v>
      </c>
      <c r="F215" s="125" t="str">
        <f aca="false">LEFT(H215,6)</f>
        <v>M28261</v>
      </c>
      <c r="G215" s="126" t="s">
        <v>128</v>
      </c>
      <c r="H215" s="126" t="s">
        <v>507</v>
      </c>
      <c r="I215" s="126" t="s">
        <v>159</v>
      </c>
      <c r="J215" s="126" t="s">
        <v>176</v>
      </c>
      <c r="K215" s="127" t="s">
        <v>161</v>
      </c>
      <c r="L215" s="126" t="s">
        <v>161</v>
      </c>
      <c r="M215" s="126" t="s">
        <v>133</v>
      </c>
      <c r="N215" s="126" t="s">
        <v>128</v>
      </c>
      <c r="O215" s="126" t="s">
        <v>135</v>
      </c>
      <c r="P215" s="126" t="s">
        <v>135</v>
      </c>
      <c r="Q215" s="128"/>
      <c r="R215" s="126" t="s">
        <v>136</v>
      </c>
      <c r="S215" s="126" t="s">
        <v>58</v>
      </c>
      <c r="T215" s="128"/>
      <c r="U215" s="129" t="n">
        <v>0</v>
      </c>
      <c r="V215" s="129" t="n">
        <v>0</v>
      </c>
      <c r="W215" s="129" t="n">
        <v>0</v>
      </c>
      <c r="X215" s="129" t="n">
        <v>0</v>
      </c>
      <c r="Y215" s="129" t="n">
        <v>0</v>
      </c>
      <c r="Z215" s="129" t="n">
        <v>0</v>
      </c>
      <c r="AA215" s="129" t="n">
        <v>1</v>
      </c>
      <c r="AB215" s="129" t="n">
        <v>0</v>
      </c>
      <c r="AC215" s="129" t="n">
        <v>0</v>
      </c>
      <c r="AD215" s="129" t="n">
        <v>0</v>
      </c>
      <c r="AE215" s="129" t="n">
        <v>0</v>
      </c>
      <c r="AF215" s="129" t="n">
        <v>0</v>
      </c>
      <c r="AG215" s="129" t="n">
        <v>0</v>
      </c>
      <c r="AH215" s="129" t="n">
        <v>0</v>
      </c>
      <c r="AI215" s="129" t="n">
        <v>0</v>
      </c>
      <c r="AJ215" s="129" t="n">
        <v>0</v>
      </c>
      <c r="AK215" s="129" t="n">
        <v>0</v>
      </c>
      <c r="AL215" s="129" t="n">
        <v>0</v>
      </c>
      <c r="AM215" s="129" t="n">
        <v>0</v>
      </c>
      <c r="AN215" s="128"/>
      <c r="AO215" s="128"/>
      <c r="AP215" s="126" t="s">
        <v>138</v>
      </c>
      <c r="AQ215" s="126" t="s">
        <v>139</v>
      </c>
      <c r="AR215" s="126" t="s">
        <v>140</v>
      </c>
      <c r="AS215" s="128"/>
      <c r="AT215" s="130"/>
    </row>
    <row r="216" customFormat="false" ht="12.75" hidden="false" customHeight="true" outlineLevel="0" collapsed="false">
      <c r="B216" s="131" t="n">
        <f aca="false">B215+1</f>
        <v>213</v>
      </c>
      <c r="C216" s="132" t="s">
        <v>162</v>
      </c>
      <c r="D216" s="133" t="n">
        <v>61073</v>
      </c>
      <c r="E216" s="133"/>
      <c r="F216" s="134" t="str">
        <f aca="false">LEFT(H216,6)</f>
        <v>M28261</v>
      </c>
      <c r="G216" s="135" t="s">
        <v>177</v>
      </c>
      <c r="H216" s="135" t="s">
        <v>508</v>
      </c>
      <c r="I216" s="135" t="s">
        <v>509</v>
      </c>
      <c r="J216" s="136"/>
      <c r="K216" s="136"/>
      <c r="L216" s="136"/>
      <c r="M216" s="136"/>
      <c r="N216" s="136"/>
      <c r="O216" s="136"/>
      <c r="P216" s="136"/>
      <c r="Q216" s="136"/>
      <c r="R216" s="136"/>
      <c r="S216" s="136"/>
      <c r="T216" s="136"/>
      <c r="U216" s="137" t="n">
        <v>0</v>
      </c>
      <c r="V216" s="137" t="n">
        <v>0</v>
      </c>
      <c r="W216" s="137" t="n">
        <v>0</v>
      </c>
      <c r="X216" s="137" t="n">
        <v>0</v>
      </c>
      <c r="Y216" s="137" t="n">
        <v>0</v>
      </c>
      <c r="Z216" s="137" t="n">
        <v>0</v>
      </c>
      <c r="AA216" s="137" t="n">
        <v>0</v>
      </c>
      <c r="AB216" s="137" t="n">
        <v>0</v>
      </c>
      <c r="AC216" s="137" t="n">
        <v>0</v>
      </c>
      <c r="AD216" s="137" t="n">
        <v>0</v>
      </c>
      <c r="AE216" s="137" t="n">
        <v>0</v>
      </c>
      <c r="AF216" s="137" t="n">
        <v>0</v>
      </c>
      <c r="AG216" s="137" t="n">
        <v>0</v>
      </c>
      <c r="AH216" s="137" t="n">
        <v>0</v>
      </c>
      <c r="AI216" s="137" t="n">
        <v>0</v>
      </c>
      <c r="AJ216" s="137" t="n">
        <v>0</v>
      </c>
      <c r="AK216" s="137" t="n">
        <v>0</v>
      </c>
      <c r="AL216" s="137" t="n">
        <v>0</v>
      </c>
      <c r="AM216" s="137" t="n">
        <v>0</v>
      </c>
      <c r="AN216" s="136"/>
      <c r="AO216" s="136"/>
      <c r="AP216" s="136"/>
      <c r="AQ216" s="136"/>
      <c r="AR216" s="136"/>
      <c r="AS216" s="136"/>
      <c r="AT216" s="138"/>
    </row>
    <row r="217" customFormat="false" ht="12.75" hidden="false" customHeight="true" outlineLevel="0" collapsed="false">
      <c r="B217" s="122" t="n">
        <f aca="false">B216+1</f>
        <v>214</v>
      </c>
      <c r="C217" s="123" t="s">
        <v>162</v>
      </c>
      <c r="D217" s="140" t="n">
        <v>61073</v>
      </c>
      <c r="E217" s="124" t="str">
        <f aca="false">IF(D217="","",IFERROR(VLOOKUP(D217,CCN_Library!$A$4:$B$13,2,FALSE()),"NOT IN LIBRARY"))</f>
        <v>COMPANY/BATTERY HEADQUARTERS, MARINE CORPS</v>
      </c>
      <c r="F217" s="125" t="str">
        <f aca="false">LEFT(H217,6)</f>
        <v>M28261</v>
      </c>
      <c r="G217" s="126" t="s">
        <v>128</v>
      </c>
      <c r="H217" s="126" t="s">
        <v>510</v>
      </c>
      <c r="I217" s="126" t="s">
        <v>472</v>
      </c>
      <c r="J217" s="126" t="s">
        <v>182</v>
      </c>
      <c r="K217" s="127" t="s">
        <v>223</v>
      </c>
      <c r="L217" s="126" t="s">
        <v>223</v>
      </c>
      <c r="M217" s="126" t="s">
        <v>133</v>
      </c>
      <c r="N217" s="126" t="s">
        <v>134</v>
      </c>
      <c r="O217" s="126" t="s">
        <v>135</v>
      </c>
      <c r="P217" s="126" t="s">
        <v>135</v>
      </c>
      <c r="Q217" s="128"/>
      <c r="R217" s="126" t="s">
        <v>136</v>
      </c>
      <c r="S217" s="126" t="s">
        <v>137</v>
      </c>
      <c r="T217" s="128"/>
      <c r="U217" s="129" t="n">
        <v>0</v>
      </c>
      <c r="V217" s="129" t="n">
        <v>0</v>
      </c>
      <c r="W217" s="129" t="n">
        <v>0</v>
      </c>
      <c r="X217" s="129" t="n">
        <v>0</v>
      </c>
      <c r="Y217" s="129" t="n">
        <v>0</v>
      </c>
      <c r="Z217" s="129" t="n">
        <v>1</v>
      </c>
      <c r="AA217" s="129" t="n">
        <v>0</v>
      </c>
      <c r="AB217" s="129" t="n">
        <v>0</v>
      </c>
      <c r="AC217" s="129" t="n">
        <v>0</v>
      </c>
      <c r="AD217" s="129" t="n">
        <v>0</v>
      </c>
      <c r="AE217" s="129" t="n">
        <v>0</v>
      </c>
      <c r="AF217" s="129" t="n">
        <v>0</v>
      </c>
      <c r="AG217" s="129" t="n">
        <v>0</v>
      </c>
      <c r="AH217" s="129" t="n">
        <v>0</v>
      </c>
      <c r="AI217" s="129" t="n">
        <v>0</v>
      </c>
      <c r="AJ217" s="129" t="n">
        <v>0</v>
      </c>
      <c r="AK217" s="129" t="n">
        <v>0</v>
      </c>
      <c r="AL217" s="129" t="n">
        <v>0</v>
      </c>
      <c r="AM217" s="129" t="n">
        <v>0</v>
      </c>
      <c r="AN217" s="128"/>
      <c r="AO217" s="128"/>
      <c r="AP217" s="126" t="s">
        <v>138</v>
      </c>
      <c r="AQ217" s="126" t="s">
        <v>139</v>
      </c>
      <c r="AR217" s="126" t="s">
        <v>140</v>
      </c>
      <c r="AS217" s="128"/>
      <c r="AT217" s="130"/>
    </row>
    <row r="218" customFormat="false" ht="12.75" hidden="false" customHeight="true" outlineLevel="0" collapsed="false">
      <c r="B218" s="122" t="n">
        <f aca="false">B217+1</f>
        <v>215</v>
      </c>
      <c r="C218" s="123" t="s">
        <v>168</v>
      </c>
      <c r="D218" s="140" t="n">
        <v>61073</v>
      </c>
      <c r="E218" s="124" t="str">
        <f aca="false">IF(D218="","",IFERROR(VLOOKUP(D218,CCN_Library!$A$4:$B$13,2,FALSE()),"NOT IN LIBRARY"))</f>
        <v>COMPANY/BATTERY HEADQUARTERS, MARINE CORPS</v>
      </c>
      <c r="F218" s="125" t="str">
        <f aca="false">LEFT(H218,6)</f>
        <v>M28261</v>
      </c>
      <c r="G218" s="126" t="s">
        <v>128</v>
      </c>
      <c r="H218" s="126" t="s">
        <v>511</v>
      </c>
      <c r="I218" s="126" t="s">
        <v>159</v>
      </c>
      <c r="J218" s="126" t="s">
        <v>191</v>
      </c>
      <c r="K218" s="127" t="s">
        <v>161</v>
      </c>
      <c r="L218" s="126" t="s">
        <v>161</v>
      </c>
      <c r="M218" s="126" t="s">
        <v>133</v>
      </c>
      <c r="N218" s="126" t="s">
        <v>128</v>
      </c>
      <c r="O218" s="126" t="s">
        <v>135</v>
      </c>
      <c r="P218" s="126" t="s">
        <v>135</v>
      </c>
      <c r="Q218" s="128"/>
      <c r="R218" s="126" t="s">
        <v>136</v>
      </c>
      <c r="S218" s="126" t="s">
        <v>58</v>
      </c>
      <c r="T218" s="128"/>
      <c r="U218" s="129" t="n">
        <v>0</v>
      </c>
      <c r="V218" s="129" t="n">
        <v>0</v>
      </c>
      <c r="W218" s="129" t="n">
        <v>0</v>
      </c>
      <c r="X218" s="129" t="n">
        <v>0</v>
      </c>
      <c r="Y218" s="129" t="n">
        <v>0</v>
      </c>
      <c r="Z218" s="129" t="n">
        <v>0</v>
      </c>
      <c r="AA218" s="129" t="n">
        <v>1</v>
      </c>
      <c r="AB218" s="129" t="n">
        <v>0</v>
      </c>
      <c r="AC218" s="129" t="n">
        <v>0</v>
      </c>
      <c r="AD218" s="129" t="n">
        <v>0</v>
      </c>
      <c r="AE218" s="129" t="n">
        <v>0</v>
      </c>
      <c r="AF218" s="129" t="n">
        <v>0</v>
      </c>
      <c r="AG218" s="129" t="n">
        <v>0</v>
      </c>
      <c r="AH218" s="129" t="n">
        <v>0</v>
      </c>
      <c r="AI218" s="129" t="n">
        <v>0</v>
      </c>
      <c r="AJ218" s="129" t="n">
        <v>0</v>
      </c>
      <c r="AK218" s="129" t="n">
        <v>0</v>
      </c>
      <c r="AL218" s="129" t="n">
        <v>0</v>
      </c>
      <c r="AM218" s="129" t="n">
        <v>0</v>
      </c>
      <c r="AN218" s="128"/>
      <c r="AO218" s="128"/>
      <c r="AP218" s="126" t="s">
        <v>138</v>
      </c>
      <c r="AQ218" s="126" t="s">
        <v>139</v>
      </c>
      <c r="AR218" s="126" t="s">
        <v>140</v>
      </c>
      <c r="AS218" s="128"/>
      <c r="AT218" s="130"/>
    </row>
    <row r="219" customFormat="false" ht="12.75" hidden="false" customHeight="true" outlineLevel="0" collapsed="false">
      <c r="B219" s="131" t="n">
        <f aca="false">B218+1</f>
        <v>216</v>
      </c>
      <c r="C219" s="132" t="s">
        <v>162</v>
      </c>
      <c r="D219" s="133" t="n">
        <v>61073</v>
      </c>
      <c r="E219" s="133"/>
      <c r="F219" s="134" t="str">
        <f aca="false">LEFT(H219,6)</f>
        <v>M28261</v>
      </c>
      <c r="G219" s="135" t="s">
        <v>177</v>
      </c>
      <c r="H219" s="135" t="s">
        <v>512</v>
      </c>
      <c r="I219" s="135" t="s">
        <v>513</v>
      </c>
      <c r="J219" s="136"/>
      <c r="K219" s="136"/>
      <c r="L219" s="136"/>
      <c r="M219" s="136"/>
      <c r="N219" s="136"/>
      <c r="O219" s="136"/>
      <c r="P219" s="136"/>
      <c r="Q219" s="136"/>
      <c r="R219" s="136"/>
      <c r="S219" s="136"/>
      <c r="T219" s="136"/>
      <c r="U219" s="137" t="n">
        <v>0</v>
      </c>
      <c r="V219" s="137" t="n">
        <v>0</v>
      </c>
      <c r="W219" s="137" t="n">
        <v>0</v>
      </c>
      <c r="X219" s="137" t="n">
        <v>0</v>
      </c>
      <c r="Y219" s="137" t="n">
        <v>0</v>
      </c>
      <c r="Z219" s="137" t="n">
        <v>0</v>
      </c>
      <c r="AA219" s="137" t="n">
        <v>0</v>
      </c>
      <c r="AB219" s="137" t="n">
        <v>0</v>
      </c>
      <c r="AC219" s="137" t="n">
        <v>0</v>
      </c>
      <c r="AD219" s="137" t="n">
        <v>0</v>
      </c>
      <c r="AE219" s="137" t="n">
        <v>0</v>
      </c>
      <c r="AF219" s="137" t="n">
        <v>0</v>
      </c>
      <c r="AG219" s="137" t="n">
        <v>0</v>
      </c>
      <c r="AH219" s="137" t="n">
        <v>0</v>
      </c>
      <c r="AI219" s="137" t="n">
        <v>0</v>
      </c>
      <c r="AJ219" s="137" t="n">
        <v>0</v>
      </c>
      <c r="AK219" s="137" t="n">
        <v>0</v>
      </c>
      <c r="AL219" s="137" t="n">
        <v>0</v>
      </c>
      <c r="AM219" s="137" t="n">
        <v>0</v>
      </c>
      <c r="AN219" s="136"/>
      <c r="AO219" s="136"/>
      <c r="AP219" s="136"/>
      <c r="AQ219" s="136"/>
      <c r="AR219" s="136"/>
      <c r="AS219" s="136"/>
      <c r="AT219" s="138"/>
    </row>
    <row r="220" customFormat="false" ht="12.75" hidden="false" customHeight="true" outlineLevel="0" collapsed="false">
      <c r="B220" s="122" t="n">
        <f aca="false">B219+1</f>
        <v>217</v>
      </c>
      <c r="C220" s="123" t="s">
        <v>162</v>
      </c>
      <c r="D220" s="140" t="n">
        <v>61073</v>
      </c>
      <c r="E220" s="124" t="str">
        <f aca="false">IF(D220="","",IFERROR(VLOOKUP(D220,CCN_Library!$A$4:$B$13,2,FALSE()),"NOT IN LIBRARY"))</f>
        <v>COMPANY/BATTERY HEADQUARTERS, MARINE CORPS</v>
      </c>
      <c r="F220" s="125" t="str">
        <f aca="false">LEFT(H220,6)</f>
        <v>M28261</v>
      </c>
      <c r="G220" s="126" t="s">
        <v>128</v>
      </c>
      <c r="H220" s="126" t="s">
        <v>514</v>
      </c>
      <c r="I220" s="126" t="s">
        <v>515</v>
      </c>
      <c r="J220" s="126" t="s">
        <v>189</v>
      </c>
      <c r="K220" s="127" t="s">
        <v>516</v>
      </c>
      <c r="L220" s="126" t="s">
        <v>161</v>
      </c>
      <c r="M220" s="126" t="s">
        <v>133</v>
      </c>
      <c r="N220" s="126" t="s">
        <v>128</v>
      </c>
      <c r="O220" s="126" t="s">
        <v>135</v>
      </c>
      <c r="P220" s="126" t="s">
        <v>135</v>
      </c>
      <c r="Q220" s="128"/>
      <c r="R220" s="126" t="s">
        <v>136</v>
      </c>
      <c r="S220" s="126" t="s">
        <v>137</v>
      </c>
      <c r="T220" s="128"/>
      <c r="U220" s="129" t="n">
        <v>0</v>
      </c>
      <c r="V220" s="129" t="n">
        <v>0</v>
      </c>
      <c r="W220" s="129" t="n">
        <v>0</v>
      </c>
      <c r="X220" s="129" t="n">
        <v>0</v>
      </c>
      <c r="Y220" s="129" t="n">
        <v>0</v>
      </c>
      <c r="Z220" s="129" t="n">
        <v>0</v>
      </c>
      <c r="AA220" s="129" t="n">
        <v>1</v>
      </c>
      <c r="AB220" s="129" t="n">
        <v>0</v>
      </c>
      <c r="AC220" s="129" t="n">
        <v>0</v>
      </c>
      <c r="AD220" s="129" t="n">
        <v>0</v>
      </c>
      <c r="AE220" s="129" t="n">
        <v>0</v>
      </c>
      <c r="AF220" s="129" t="n">
        <v>0</v>
      </c>
      <c r="AG220" s="129" t="n">
        <v>0</v>
      </c>
      <c r="AH220" s="129" t="n">
        <v>0</v>
      </c>
      <c r="AI220" s="129" t="n">
        <v>0</v>
      </c>
      <c r="AJ220" s="129" t="n">
        <v>0</v>
      </c>
      <c r="AK220" s="129" t="n">
        <v>0</v>
      </c>
      <c r="AL220" s="129" t="n">
        <v>0</v>
      </c>
      <c r="AM220" s="129" t="n">
        <v>0</v>
      </c>
      <c r="AN220" s="128"/>
      <c r="AO220" s="128"/>
      <c r="AP220" s="126" t="s">
        <v>138</v>
      </c>
      <c r="AQ220" s="126" t="s">
        <v>139</v>
      </c>
      <c r="AR220" s="126" t="s">
        <v>140</v>
      </c>
      <c r="AS220" s="128"/>
      <c r="AT220" s="130"/>
    </row>
    <row r="221" customFormat="false" ht="12.75" hidden="false" customHeight="true" outlineLevel="0" collapsed="false">
      <c r="B221" s="122" t="n">
        <f aca="false">B220+1</f>
        <v>218</v>
      </c>
      <c r="C221" s="123" t="s">
        <v>168</v>
      </c>
      <c r="D221" s="140" t="n">
        <v>61073</v>
      </c>
      <c r="E221" s="124" t="str">
        <f aca="false">IF(D221="","",IFERROR(VLOOKUP(D221,CCN_Library!$A$4:$B$13,2,FALSE()),"NOT IN LIBRARY"))</f>
        <v>COMPANY/BATTERY HEADQUARTERS, MARINE CORPS</v>
      </c>
      <c r="F221" s="125" t="str">
        <f aca="false">LEFT(H221,6)</f>
        <v>M28261</v>
      </c>
      <c r="G221" s="126" t="s">
        <v>128</v>
      </c>
      <c r="H221" s="126" t="s">
        <v>517</v>
      </c>
      <c r="I221" s="126" t="s">
        <v>515</v>
      </c>
      <c r="J221" s="126" t="s">
        <v>191</v>
      </c>
      <c r="K221" s="127" t="s">
        <v>516</v>
      </c>
      <c r="L221" s="126" t="s">
        <v>161</v>
      </c>
      <c r="M221" s="126" t="s">
        <v>133</v>
      </c>
      <c r="N221" s="126" t="s">
        <v>128</v>
      </c>
      <c r="O221" s="126" t="s">
        <v>135</v>
      </c>
      <c r="P221" s="126" t="s">
        <v>135</v>
      </c>
      <c r="Q221" s="128"/>
      <c r="R221" s="126" t="s">
        <v>136</v>
      </c>
      <c r="S221" s="126" t="s">
        <v>58</v>
      </c>
      <c r="T221" s="128"/>
      <c r="U221" s="129" t="n">
        <v>0</v>
      </c>
      <c r="V221" s="129" t="n">
        <v>0</v>
      </c>
      <c r="W221" s="129" t="n">
        <v>0</v>
      </c>
      <c r="X221" s="129" t="n">
        <v>0</v>
      </c>
      <c r="Y221" s="129" t="n">
        <v>0</v>
      </c>
      <c r="Z221" s="129" t="n">
        <v>0</v>
      </c>
      <c r="AA221" s="129" t="n">
        <v>1</v>
      </c>
      <c r="AB221" s="129" t="n">
        <v>0</v>
      </c>
      <c r="AC221" s="129" t="n">
        <v>0</v>
      </c>
      <c r="AD221" s="129" t="n">
        <v>0</v>
      </c>
      <c r="AE221" s="129" t="n">
        <v>0</v>
      </c>
      <c r="AF221" s="129" t="n">
        <v>0</v>
      </c>
      <c r="AG221" s="129" t="n">
        <v>0</v>
      </c>
      <c r="AH221" s="129" t="n">
        <v>0</v>
      </c>
      <c r="AI221" s="129" t="n">
        <v>0</v>
      </c>
      <c r="AJ221" s="129" t="n">
        <v>0</v>
      </c>
      <c r="AK221" s="129" t="n">
        <v>0</v>
      </c>
      <c r="AL221" s="129" t="n">
        <v>0</v>
      </c>
      <c r="AM221" s="129" t="n">
        <v>0</v>
      </c>
      <c r="AN221" s="128"/>
      <c r="AO221" s="128"/>
      <c r="AP221" s="126" t="s">
        <v>138</v>
      </c>
      <c r="AQ221" s="126" t="s">
        <v>139</v>
      </c>
      <c r="AR221" s="126" t="s">
        <v>140</v>
      </c>
      <c r="AS221" s="128"/>
      <c r="AT221" s="130"/>
    </row>
    <row r="222" customFormat="false" ht="12.75" hidden="false" customHeight="true" outlineLevel="0" collapsed="false">
      <c r="B222" s="122" t="n">
        <f aca="false">B221+1</f>
        <v>219</v>
      </c>
      <c r="C222" s="123" t="s">
        <v>168</v>
      </c>
      <c r="D222" s="140" t="n">
        <v>61073</v>
      </c>
      <c r="E222" s="124" t="str">
        <f aca="false">IF(D222="","",IFERROR(VLOOKUP(D222,CCN_Library!$A$4:$B$13,2,FALSE()),"NOT IN LIBRARY"))</f>
        <v>COMPANY/BATTERY HEADQUARTERS, MARINE CORPS</v>
      </c>
      <c r="F222" s="125" t="str">
        <f aca="false">LEFT(H222,6)</f>
        <v>M28261</v>
      </c>
      <c r="G222" s="126" t="s">
        <v>128</v>
      </c>
      <c r="H222" s="126" t="s">
        <v>518</v>
      </c>
      <c r="I222" s="126" t="s">
        <v>515</v>
      </c>
      <c r="J222" s="126" t="s">
        <v>191</v>
      </c>
      <c r="K222" s="127" t="s">
        <v>516</v>
      </c>
      <c r="L222" s="126" t="s">
        <v>161</v>
      </c>
      <c r="M222" s="126" t="s">
        <v>133</v>
      </c>
      <c r="N222" s="126" t="s">
        <v>128</v>
      </c>
      <c r="O222" s="126" t="s">
        <v>135</v>
      </c>
      <c r="P222" s="126" t="s">
        <v>135</v>
      </c>
      <c r="Q222" s="128"/>
      <c r="R222" s="126" t="s">
        <v>136</v>
      </c>
      <c r="S222" s="126" t="s">
        <v>58</v>
      </c>
      <c r="T222" s="128"/>
      <c r="U222" s="129" t="n">
        <v>0</v>
      </c>
      <c r="V222" s="129" t="n">
        <v>0</v>
      </c>
      <c r="W222" s="129" t="n">
        <v>0</v>
      </c>
      <c r="X222" s="129" t="n">
        <v>0</v>
      </c>
      <c r="Y222" s="129" t="n">
        <v>0</v>
      </c>
      <c r="Z222" s="129" t="n">
        <v>0</v>
      </c>
      <c r="AA222" s="129" t="n">
        <v>1</v>
      </c>
      <c r="AB222" s="129" t="n">
        <v>0</v>
      </c>
      <c r="AC222" s="129" t="n">
        <v>0</v>
      </c>
      <c r="AD222" s="129" t="n">
        <v>0</v>
      </c>
      <c r="AE222" s="129" t="n">
        <v>0</v>
      </c>
      <c r="AF222" s="129" t="n">
        <v>0</v>
      </c>
      <c r="AG222" s="129" t="n">
        <v>0</v>
      </c>
      <c r="AH222" s="129" t="n">
        <v>0</v>
      </c>
      <c r="AI222" s="129" t="n">
        <v>0</v>
      </c>
      <c r="AJ222" s="129" t="n">
        <v>0</v>
      </c>
      <c r="AK222" s="129" t="n">
        <v>0</v>
      </c>
      <c r="AL222" s="129" t="n">
        <v>0</v>
      </c>
      <c r="AM222" s="129" t="n">
        <v>0</v>
      </c>
      <c r="AN222" s="128"/>
      <c r="AO222" s="128"/>
      <c r="AP222" s="126" t="s">
        <v>138</v>
      </c>
      <c r="AQ222" s="126" t="s">
        <v>139</v>
      </c>
      <c r="AR222" s="126" t="s">
        <v>140</v>
      </c>
      <c r="AS222" s="128"/>
      <c r="AT222" s="139"/>
    </row>
    <row r="223" customFormat="false" ht="12.75" hidden="false" customHeight="true" outlineLevel="0" collapsed="false">
      <c r="B223" s="131" t="n">
        <f aca="false">B222+1</f>
        <v>220</v>
      </c>
      <c r="C223" s="132" t="s">
        <v>162</v>
      </c>
      <c r="D223" s="133" t="n">
        <v>61073</v>
      </c>
      <c r="E223" s="133"/>
      <c r="F223" s="134" t="str">
        <f aca="false">LEFT(H223,6)</f>
        <v>M28261</v>
      </c>
      <c r="G223" s="135" t="s">
        <v>177</v>
      </c>
      <c r="H223" s="135" t="s">
        <v>519</v>
      </c>
      <c r="I223" s="135" t="s">
        <v>520</v>
      </c>
      <c r="J223" s="136"/>
      <c r="K223" s="136"/>
      <c r="L223" s="136"/>
      <c r="M223" s="136"/>
      <c r="N223" s="136"/>
      <c r="O223" s="136"/>
      <c r="P223" s="136"/>
      <c r="Q223" s="136"/>
      <c r="R223" s="136"/>
      <c r="S223" s="136"/>
      <c r="T223" s="136"/>
      <c r="U223" s="137" t="n">
        <v>0</v>
      </c>
      <c r="V223" s="137" t="n">
        <v>0</v>
      </c>
      <c r="W223" s="137" t="n">
        <v>0</v>
      </c>
      <c r="X223" s="137" t="n">
        <v>0</v>
      </c>
      <c r="Y223" s="137" t="n">
        <v>0</v>
      </c>
      <c r="Z223" s="137" t="n">
        <v>0</v>
      </c>
      <c r="AA223" s="137" t="n">
        <v>0</v>
      </c>
      <c r="AB223" s="137" t="n">
        <v>0</v>
      </c>
      <c r="AC223" s="137" t="n">
        <v>0</v>
      </c>
      <c r="AD223" s="137" t="n">
        <v>0</v>
      </c>
      <c r="AE223" s="137" t="n">
        <v>0</v>
      </c>
      <c r="AF223" s="137" t="n">
        <v>0</v>
      </c>
      <c r="AG223" s="137" t="n">
        <v>0</v>
      </c>
      <c r="AH223" s="137" t="n">
        <v>0</v>
      </c>
      <c r="AI223" s="137" t="n">
        <v>0</v>
      </c>
      <c r="AJ223" s="137" t="n">
        <v>0</v>
      </c>
      <c r="AK223" s="137" t="n">
        <v>0</v>
      </c>
      <c r="AL223" s="137" t="n">
        <v>0</v>
      </c>
      <c r="AM223" s="137" t="n">
        <v>0</v>
      </c>
      <c r="AN223" s="136"/>
      <c r="AO223" s="136"/>
      <c r="AP223" s="136"/>
      <c r="AQ223" s="136"/>
      <c r="AR223" s="136"/>
      <c r="AS223" s="136"/>
      <c r="AT223" s="138"/>
    </row>
    <row r="224" customFormat="false" ht="12.75" hidden="false" customHeight="true" outlineLevel="0" collapsed="false">
      <c r="B224" s="122" t="n">
        <f aca="false">B223+1</f>
        <v>221</v>
      </c>
      <c r="C224" s="123" t="s">
        <v>162</v>
      </c>
      <c r="D224" s="140" t="n">
        <v>61073</v>
      </c>
      <c r="E224" s="124" t="str">
        <f aca="false">IF(D224="","",IFERROR(VLOOKUP(D224,CCN_Library!$A$4:$B$13,2,FALSE()),"NOT IN LIBRARY"))</f>
        <v>COMPANY/BATTERY HEADQUARTERS, MARINE CORPS</v>
      </c>
      <c r="F224" s="125" t="str">
        <f aca="false">LEFT(H224,6)</f>
        <v>M28261</v>
      </c>
      <c r="G224" s="126" t="s">
        <v>128</v>
      </c>
      <c r="H224" s="126" t="s">
        <v>521</v>
      </c>
      <c r="I224" s="126" t="s">
        <v>457</v>
      </c>
      <c r="J224" s="126" t="s">
        <v>189</v>
      </c>
      <c r="K224" s="127" t="s">
        <v>458</v>
      </c>
      <c r="L224" s="126" t="s">
        <v>161</v>
      </c>
      <c r="M224" s="126" t="s">
        <v>133</v>
      </c>
      <c r="N224" s="126" t="s">
        <v>128</v>
      </c>
      <c r="O224" s="126" t="s">
        <v>135</v>
      </c>
      <c r="P224" s="126" t="s">
        <v>135</v>
      </c>
      <c r="Q224" s="128"/>
      <c r="R224" s="126" t="s">
        <v>136</v>
      </c>
      <c r="S224" s="126" t="s">
        <v>137</v>
      </c>
      <c r="T224" s="128"/>
      <c r="U224" s="129" t="n">
        <v>0</v>
      </c>
      <c r="V224" s="129" t="n">
        <v>0</v>
      </c>
      <c r="W224" s="129" t="n">
        <v>0</v>
      </c>
      <c r="X224" s="129" t="n">
        <v>0</v>
      </c>
      <c r="Y224" s="129" t="n">
        <v>0</v>
      </c>
      <c r="Z224" s="129" t="n">
        <v>0</v>
      </c>
      <c r="AA224" s="129" t="n">
        <v>1</v>
      </c>
      <c r="AB224" s="129" t="n">
        <v>0</v>
      </c>
      <c r="AC224" s="129" t="n">
        <v>0</v>
      </c>
      <c r="AD224" s="129" t="n">
        <v>0</v>
      </c>
      <c r="AE224" s="129" t="n">
        <v>0</v>
      </c>
      <c r="AF224" s="129" t="n">
        <v>0</v>
      </c>
      <c r="AG224" s="129" t="n">
        <v>0</v>
      </c>
      <c r="AH224" s="129" t="n">
        <v>0</v>
      </c>
      <c r="AI224" s="129" t="n">
        <v>0</v>
      </c>
      <c r="AJ224" s="129" t="n">
        <v>0</v>
      </c>
      <c r="AK224" s="129" t="n">
        <v>0</v>
      </c>
      <c r="AL224" s="129" t="n">
        <v>0</v>
      </c>
      <c r="AM224" s="129" t="n">
        <v>0</v>
      </c>
      <c r="AN224" s="128"/>
      <c r="AO224" s="128"/>
      <c r="AP224" s="126" t="s">
        <v>138</v>
      </c>
      <c r="AQ224" s="126" t="s">
        <v>139</v>
      </c>
      <c r="AR224" s="126" t="s">
        <v>140</v>
      </c>
      <c r="AS224" s="128"/>
      <c r="AT224" s="130"/>
    </row>
    <row r="225" customFormat="false" ht="12.75" hidden="false" customHeight="true" outlineLevel="0" collapsed="false">
      <c r="B225" s="122" t="n">
        <f aca="false">B224+1</f>
        <v>222</v>
      </c>
      <c r="C225" s="123" t="s">
        <v>168</v>
      </c>
      <c r="D225" s="140" t="n">
        <v>61073</v>
      </c>
      <c r="E225" s="124" t="str">
        <f aca="false">IF(D225="","",IFERROR(VLOOKUP(D225,CCN_Library!$A$4:$B$13,2,FALSE()),"NOT IN LIBRARY"))</f>
        <v>COMPANY/BATTERY HEADQUARTERS, MARINE CORPS</v>
      </c>
      <c r="F225" s="125" t="str">
        <f aca="false">LEFT(H225,6)</f>
        <v>M28261</v>
      </c>
      <c r="G225" s="126" t="s">
        <v>128</v>
      </c>
      <c r="H225" s="126" t="s">
        <v>522</v>
      </c>
      <c r="I225" s="126" t="s">
        <v>457</v>
      </c>
      <c r="J225" s="126" t="s">
        <v>191</v>
      </c>
      <c r="K225" s="127" t="s">
        <v>458</v>
      </c>
      <c r="L225" s="126" t="s">
        <v>161</v>
      </c>
      <c r="M225" s="126" t="s">
        <v>133</v>
      </c>
      <c r="N225" s="126" t="s">
        <v>128</v>
      </c>
      <c r="O225" s="126" t="s">
        <v>135</v>
      </c>
      <c r="P225" s="126" t="s">
        <v>135</v>
      </c>
      <c r="Q225" s="128"/>
      <c r="R225" s="126" t="s">
        <v>136</v>
      </c>
      <c r="S225" s="126" t="s">
        <v>58</v>
      </c>
      <c r="T225" s="128"/>
      <c r="U225" s="129" t="n">
        <v>0</v>
      </c>
      <c r="V225" s="129" t="n">
        <v>0</v>
      </c>
      <c r="W225" s="129" t="n">
        <v>0</v>
      </c>
      <c r="X225" s="129" t="n">
        <v>0</v>
      </c>
      <c r="Y225" s="129" t="n">
        <v>0</v>
      </c>
      <c r="Z225" s="129" t="n">
        <v>0</v>
      </c>
      <c r="AA225" s="129" t="n">
        <v>1</v>
      </c>
      <c r="AB225" s="129" t="n">
        <v>0</v>
      </c>
      <c r="AC225" s="129" t="n">
        <v>0</v>
      </c>
      <c r="AD225" s="129" t="n">
        <v>0</v>
      </c>
      <c r="AE225" s="129" t="n">
        <v>0</v>
      </c>
      <c r="AF225" s="129" t="n">
        <v>0</v>
      </c>
      <c r="AG225" s="129" t="n">
        <v>0</v>
      </c>
      <c r="AH225" s="129" t="n">
        <v>0</v>
      </c>
      <c r="AI225" s="129" t="n">
        <v>0</v>
      </c>
      <c r="AJ225" s="129" t="n">
        <v>0</v>
      </c>
      <c r="AK225" s="129" t="n">
        <v>0</v>
      </c>
      <c r="AL225" s="129" t="n">
        <v>0</v>
      </c>
      <c r="AM225" s="129" t="n">
        <v>0</v>
      </c>
      <c r="AN225" s="128"/>
      <c r="AO225" s="128"/>
      <c r="AP225" s="126" t="s">
        <v>138</v>
      </c>
      <c r="AQ225" s="126" t="s">
        <v>139</v>
      </c>
      <c r="AR225" s="126" t="s">
        <v>140</v>
      </c>
      <c r="AS225" s="128"/>
      <c r="AT225" s="130"/>
    </row>
    <row r="226" customFormat="false" ht="12.75" hidden="false" customHeight="true" outlineLevel="0" collapsed="false">
      <c r="B226" s="122" t="n">
        <f aca="false">B225+1</f>
        <v>223</v>
      </c>
      <c r="C226" s="123" t="s">
        <v>168</v>
      </c>
      <c r="D226" s="140" t="n">
        <v>61073</v>
      </c>
      <c r="E226" s="124" t="str">
        <f aca="false">IF(D226="","",IFERROR(VLOOKUP(D226,CCN_Library!$A$4:$B$13,2,FALSE()),"NOT IN LIBRARY"))</f>
        <v>COMPANY/BATTERY HEADQUARTERS, MARINE CORPS</v>
      </c>
      <c r="F226" s="125" t="str">
        <f aca="false">LEFT(H226,6)</f>
        <v>M28261</v>
      </c>
      <c r="G226" s="126" t="s">
        <v>128</v>
      </c>
      <c r="H226" s="126" t="s">
        <v>523</v>
      </c>
      <c r="I226" s="126" t="s">
        <v>457</v>
      </c>
      <c r="J226" s="126" t="s">
        <v>176</v>
      </c>
      <c r="K226" s="127" t="s">
        <v>458</v>
      </c>
      <c r="L226" s="126" t="s">
        <v>161</v>
      </c>
      <c r="M226" s="126" t="s">
        <v>133</v>
      </c>
      <c r="N226" s="126" t="s">
        <v>128</v>
      </c>
      <c r="O226" s="126" t="s">
        <v>135</v>
      </c>
      <c r="P226" s="126" t="s">
        <v>135</v>
      </c>
      <c r="Q226" s="128"/>
      <c r="R226" s="126" t="s">
        <v>136</v>
      </c>
      <c r="S226" s="126" t="s">
        <v>58</v>
      </c>
      <c r="T226" s="128"/>
      <c r="U226" s="129" t="n">
        <v>0</v>
      </c>
      <c r="V226" s="129" t="n">
        <v>0</v>
      </c>
      <c r="W226" s="129" t="n">
        <v>0</v>
      </c>
      <c r="X226" s="129" t="n">
        <v>0</v>
      </c>
      <c r="Y226" s="129" t="n">
        <v>0</v>
      </c>
      <c r="Z226" s="129" t="n">
        <v>0</v>
      </c>
      <c r="AA226" s="129" t="n">
        <v>1</v>
      </c>
      <c r="AB226" s="129" t="n">
        <v>0</v>
      </c>
      <c r="AC226" s="129" t="n">
        <v>0</v>
      </c>
      <c r="AD226" s="129" t="n">
        <v>0</v>
      </c>
      <c r="AE226" s="129" t="n">
        <v>0</v>
      </c>
      <c r="AF226" s="129" t="n">
        <v>0</v>
      </c>
      <c r="AG226" s="129" t="n">
        <v>0</v>
      </c>
      <c r="AH226" s="129" t="n">
        <v>0</v>
      </c>
      <c r="AI226" s="129" t="n">
        <v>0</v>
      </c>
      <c r="AJ226" s="129" t="n">
        <v>0</v>
      </c>
      <c r="AK226" s="129" t="n">
        <v>0</v>
      </c>
      <c r="AL226" s="129" t="n">
        <v>0</v>
      </c>
      <c r="AM226" s="129" t="n">
        <v>0</v>
      </c>
      <c r="AN226" s="128"/>
      <c r="AO226" s="128"/>
      <c r="AP226" s="126" t="s">
        <v>138</v>
      </c>
      <c r="AQ226" s="126" t="s">
        <v>139</v>
      </c>
      <c r="AR226" s="126" t="s">
        <v>140</v>
      </c>
      <c r="AS226" s="128"/>
      <c r="AT226" s="130"/>
    </row>
    <row r="227" customFormat="false" ht="12.75" hidden="false" customHeight="true" outlineLevel="0" collapsed="false">
      <c r="B227" s="131" t="n">
        <f aca="false">B226+1</f>
        <v>224</v>
      </c>
      <c r="C227" s="132" t="s">
        <v>162</v>
      </c>
      <c r="D227" s="133" t="n">
        <v>61073</v>
      </c>
      <c r="E227" s="133"/>
      <c r="F227" s="134" t="str">
        <f aca="false">LEFT(H227,6)</f>
        <v>M28261</v>
      </c>
      <c r="G227" s="135" t="s">
        <v>177</v>
      </c>
      <c r="H227" s="135" t="s">
        <v>524</v>
      </c>
      <c r="I227" s="135" t="s">
        <v>525</v>
      </c>
      <c r="J227" s="136"/>
      <c r="K227" s="136"/>
      <c r="L227" s="136"/>
      <c r="M227" s="136"/>
      <c r="N227" s="136"/>
      <c r="O227" s="136"/>
      <c r="P227" s="136"/>
      <c r="Q227" s="136"/>
      <c r="R227" s="136"/>
      <c r="S227" s="136"/>
      <c r="T227" s="136"/>
      <c r="U227" s="137" t="n">
        <v>0</v>
      </c>
      <c r="V227" s="137" t="n">
        <v>0</v>
      </c>
      <c r="W227" s="137" t="n">
        <v>0</v>
      </c>
      <c r="X227" s="137" t="n">
        <v>0</v>
      </c>
      <c r="Y227" s="137" t="n">
        <v>0</v>
      </c>
      <c r="Z227" s="137" t="n">
        <v>0</v>
      </c>
      <c r="AA227" s="137" t="n">
        <v>0</v>
      </c>
      <c r="AB227" s="137" t="n">
        <v>0</v>
      </c>
      <c r="AC227" s="137" t="n">
        <v>0</v>
      </c>
      <c r="AD227" s="137" t="n">
        <v>0</v>
      </c>
      <c r="AE227" s="137" t="n">
        <v>0</v>
      </c>
      <c r="AF227" s="137" t="n">
        <v>0</v>
      </c>
      <c r="AG227" s="137" t="n">
        <v>0</v>
      </c>
      <c r="AH227" s="137" t="n">
        <v>0</v>
      </c>
      <c r="AI227" s="137" t="n">
        <v>0</v>
      </c>
      <c r="AJ227" s="137" t="n">
        <v>0</v>
      </c>
      <c r="AK227" s="137" t="n">
        <v>0</v>
      </c>
      <c r="AL227" s="137" t="n">
        <v>0</v>
      </c>
      <c r="AM227" s="137" t="n">
        <v>0</v>
      </c>
      <c r="AN227" s="136"/>
      <c r="AO227" s="136"/>
      <c r="AP227" s="136"/>
      <c r="AQ227" s="136"/>
      <c r="AR227" s="136"/>
      <c r="AS227" s="136"/>
      <c r="AT227" s="138"/>
    </row>
    <row r="228" customFormat="false" ht="12.75" hidden="false" customHeight="true" outlineLevel="0" collapsed="false">
      <c r="B228" s="122" t="n">
        <f aca="false">B227+1</f>
        <v>225</v>
      </c>
      <c r="C228" s="123" t="s">
        <v>162</v>
      </c>
      <c r="D228" s="140" t="n">
        <v>61073</v>
      </c>
      <c r="E228" s="124" t="str">
        <f aca="false">IF(D228="","",IFERROR(VLOOKUP(D228,CCN_Library!$A$4:$B$13,2,FALSE()),"NOT IN LIBRARY"))</f>
        <v>COMPANY/BATTERY HEADQUARTERS, MARINE CORPS</v>
      </c>
      <c r="F228" s="125" t="str">
        <f aca="false">LEFT(H228,6)</f>
        <v>M28261</v>
      </c>
      <c r="G228" s="126" t="s">
        <v>128</v>
      </c>
      <c r="H228" s="126" t="s">
        <v>526</v>
      </c>
      <c r="I228" s="126" t="s">
        <v>527</v>
      </c>
      <c r="J228" s="126" t="s">
        <v>211</v>
      </c>
      <c r="K228" s="127" t="s">
        <v>151</v>
      </c>
      <c r="L228" s="126" t="s">
        <v>151</v>
      </c>
      <c r="M228" s="126" t="s">
        <v>133</v>
      </c>
      <c r="N228" s="126" t="s">
        <v>134</v>
      </c>
      <c r="O228" s="126" t="s">
        <v>135</v>
      </c>
      <c r="P228" s="126" t="s">
        <v>135</v>
      </c>
      <c r="Q228" s="128"/>
      <c r="R228" s="126" t="s">
        <v>136</v>
      </c>
      <c r="S228" s="126" t="s">
        <v>137</v>
      </c>
      <c r="T228" s="128"/>
      <c r="U228" s="129" t="n">
        <v>0</v>
      </c>
      <c r="V228" s="129" t="n">
        <v>0</v>
      </c>
      <c r="W228" s="129" t="n">
        <v>0</v>
      </c>
      <c r="X228" s="129" t="n">
        <v>0</v>
      </c>
      <c r="Y228" s="129" t="n">
        <v>0</v>
      </c>
      <c r="Z228" s="129" t="n">
        <v>1</v>
      </c>
      <c r="AA228" s="129" t="n">
        <v>0</v>
      </c>
      <c r="AB228" s="129" t="n">
        <v>0</v>
      </c>
      <c r="AC228" s="129" t="n">
        <v>0</v>
      </c>
      <c r="AD228" s="129" t="n">
        <v>0</v>
      </c>
      <c r="AE228" s="129" t="n">
        <v>0</v>
      </c>
      <c r="AF228" s="129" t="n">
        <v>0</v>
      </c>
      <c r="AG228" s="129" t="n">
        <v>0</v>
      </c>
      <c r="AH228" s="129" t="n">
        <v>0</v>
      </c>
      <c r="AI228" s="129" t="n">
        <v>0</v>
      </c>
      <c r="AJ228" s="129" t="n">
        <v>0</v>
      </c>
      <c r="AK228" s="129" t="n">
        <v>0</v>
      </c>
      <c r="AL228" s="129" t="n">
        <v>0</v>
      </c>
      <c r="AM228" s="129" t="n">
        <v>0</v>
      </c>
      <c r="AN228" s="128"/>
      <c r="AO228" s="128"/>
      <c r="AP228" s="126" t="s">
        <v>138</v>
      </c>
      <c r="AQ228" s="126" t="s">
        <v>139</v>
      </c>
      <c r="AR228" s="126" t="s">
        <v>140</v>
      </c>
      <c r="AS228" s="128"/>
      <c r="AT228" s="130"/>
    </row>
    <row r="229" customFormat="false" ht="12.75" hidden="false" customHeight="true" outlineLevel="0" collapsed="false">
      <c r="B229" s="122" t="n">
        <f aca="false">B228+1</f>
        <v>226</v>
      </c>
      <c r="C229" s="123" t="s">
        <v>162</v>
      </c>
      <c r="D229" s="140" t="n">
        <v>61073</v>
      </c>
      <c r="E229" s="124" t="str">
        <f aca="false">IF(D229="","",IFERROR(VLOOKUP(D229,CCN_Library!$A$4:$B$13,2,FALSE()),"NOT IN LIBRARY"))</f>
        <v>COMPANY/BATTERY HEADQUARTERS, MARINE CORPS</v>
      </c>
      <c r="F229" s="125" t="str">
        <f aca="false">LEFT(H229,6)</f>
        <v>M28261</v>
      </c>
      <c r="G229" s="126" t="s">
        <v>128</v>
      </c>
      <c r="H229" s="126" t="s">
        <v>528</v>
      </c>
      <c r="I229" s="126" t="s">
        <v>472</v>
      </c>
      <c r="J229" s="126" t="s">
        <v>211</v>
      </c>
      <c r="K229" s="127" t="s">
        <v>223</v>
      </c>
      <c r="L229" s="126" t="s">
        <v>223</v>
      </c>
      <c r="M229" s="126" t="s">
        <v>133</v>
      </c>
      <c r="N229" s="126" t="s">
        <v>134</v>
      </c>
      <c r="O229" s="126" t="s">
        <v>135</v>
      </c>
      <c r="P229" s="126" t="s">
        <v>135</v>
      </c>
      <c r="Q229" s="128"/>
      <c r="R229" s="126" t="s">
        <v>136</v>
      </c>
      <c r="S229" s="126" t="s">
        <v>137</v>
      </c>
      <c r="T229" s="128"/>
      <c r="U229" s="129" t="n">
        <v>0</v>
      </c>
      <c r="V229" s="129" t="n">
        <v>0</v>
      </c>
      <c r="W229" s="129" t="n">
        <v>0</v>
      </c>
      <c r="X229" s="129" t="n">
        <v>0</v>
      </c>
      <c r="Y229" s="129" t="n">
        <v>0</v>
      </c>
      <c r="Z229" s="129" t="n">
        <v>1</v>
      </c>
      <c r="AA229" s="129" t="n">
        <v>0</v>
      </c>
      <c r="AB229" s="129" t="n">
        <v>0</v>
      </c>
      <c r="AC229" s="129" t="n">
        <v>0</v>
      </c>
      <c r="AD229" s="129" t="n">
        <v>0</v>
      </c>
      <c r="AE229" s="129" t="n">
        <v>0</v>
      </c>
      <c r="AF229" s="129" t="n">
        <v>0</v>
      </c>
      <c r="AG229" s="129" t="n">
        <v>0</v>
      </c>
      <c r="AH229" s="129" t="n">
        <v>0</v>
      </c>
      <c r="AI229" s="129" t="n">
        <v>0</v>
      </c>
      <c r="AJ229" s="129" t="n">
        <v>0</v>
      </c>
      <c r="AK229" s="129" t="n">
        <v>0</v>
      </c>
      <c r="AL229" s="129" t="n">
        <v>0</v>
      </c>
      <c r="AM229" s="129" t="n">
        <v>0</v>
      </c>
      <c r="AN229" s="128"/>
      <c r="AO229" s="128"/>
      <c r="AP229" s="126" t="s">
        <v>138</v>
      </c>
      <c r="AQ229" s="126" t="s">
        <v>139</v>
      </c>
      <c r="AR229" s="126" t="s">
        <v>140</v>
      </c>
      <c r="AS229" s="128"/>
      <c r="AT229" s="130"/>
    </row>
    <row r="230" customFormat="false" ht="12.75" hidden="false" customHeight="true" outlineLevel="0" collapsed="false">
      <c r="B230" s="122" t="n">
        <f aca="false">B229+1</f>
        <v>227</v>
      </c>
      <c r="C230" s="123" t="s">
        <v>162</v>
      </c>
      <c r="D230" s="140" t="n">
        <v>61073</v>
      </c>
      <c r="E230" s="124" t="str">
        <f aca="false">IF(D230="","",IFERROR(VLOOKUP(D230,CCN_Library!$A$4:$B$13,2,FALSE()),"NOT IN LIBRARY"))</f>
        <v>COMPANY/BATTERY HEADQUARTERS, MARINE CORPS</v>
      </c>
      <c r="F230" s="125" t="str">
        <f aca="false">LEFT(H230,6)</f>
        <v>M28261</v>
      </c>
      <c r="G230" s="126" t="s">
        <v>128</v>
      </c>
      <c r="H230" s="126" t="s">
        <v>529</v>
      </c>
      <c r="I230" s="126" t="s">
        <v>530</v>
      </c>
      <c r="J230" s="126" t="s">
        <v>182</v>
      </c>
      <c r="K230" s="127" t="s">
        <v>223</v>
      </c>
      <c r="L230" s="126" t="s">
        <v>223</v>
      </c>
      <c r="M230" s="126" t="s">
        <v>133</v>
      </c>
      <c r="N230" s="126" t="s">
        <v>134</v>
      </c>
      <c r="O230" s="126" t="s">
        <v>135</v>
      </c>
      <c r="P230" s="126" t="s">
        <v>135</v>
      </c>
      <c r="Q230" s="128"/>
      <c r="R230" s="126" t="s">
        <v>136</v>
      </c>
      <c r="S230" s="126" t="s">
        <v>137</v>
      </c>
      <c r="T230" s="128"/>
      <c r="U230" s="129" t="n">
        <v>0</v>
      </c>
      <c r="V230" s="129" t="n">
        <v>0</v>
      </c>
      <c r="W230" s="129" t="n">
        <v>0</v>
      </c>
      <c r="X230" s="129" t="n">
        <v>0</v>
      </c>
      <c r="Y230" s="129" t="n">
        <v>0</v>
      </c>
      <c r="Z230" s="129" t="n">
        <v>1</v>
      </c>
      <c r="AA230" s="129" t="n">
        <v>0</v>
      </c>
      <c r="AB230" s="129" t="n">
        <v>0</v>
      </c>
      <c r="AC230" s="129" t="n">
        <v>0</v>
      </c>
      <c r="AD230" s="129" t="n">
        <v>0</v>
      </c>
      <c r="AE230" s="129" t="n">
        <v>0</v>
      </c>
      <c r="AF230" s="129" t="n">
        <v>0</v>
      </c>
      <c r="AG230" s="129" t="n">
        <v>0</v>
      </c>
      <c r="AH230" s="129" t="n">
        <v>0</v>
      </c>
      <c r="AI230" s="129" t="n">
        <v>0</v>
      </c>
      <c r="AJ230" s="129" t="n">
        <v>0</v>
      </c>
      <c r="AK230" s="129" t="n">
        <v>0</v>
      </c>
      <c r="AL230" s="129" t="n">
        <v>0</v>
      </c>
      <c r="AM230" s="129" t="n">
        <v>0</v>
      </c>
      <c r="AN230" s="128"/>
      <c r="AO230" s="128"/>
      <c r="AP230" s="126" t="s">
        <v>138</v>
      </c>
      <c r="AQ230" s="126" t="s">
        <v>139</v>
      </c>
      <c r="AR230" s="126" t="s">
        <v>140</v>
      </c>
      <c r="AS230" s="128"/>
      <c r="AT230" s="139"/>
    </row>
    <row r="231" customFormat="false" ht="12.75" hidden="false" customHeight="true" outlineLevel="0" collapsed="false">
      <c r="B231" s="122" t="n">
        <f aca="false">B230+1</f>
        <v>228</v>
      </c>
      <c r="C231" s="123" t="s">
        <v>162</v>
      </c>
      <c r="D231" s="140" t="n">
        <v>61073</v>
      </c>
      <c r="E231" s="124" t="str">
        <f aca="false">IF(D231="","",IFERROR(VLOOKUP(D231,CCN_Library!$A$4:$B$13,2,FALSE()),"NOT IN LIBRARY"))</f>
        <v>COMPANY/BATTERY HEADQUARTERS, MARINE CORPS</v>
      </c>
      <c r="F231" s="125" t="str">
        <f aca="false">LEFT(H231,6)</f>
        <v>M28261</v>
      </c>
      <c r="G231" s="126" t="s">
        <v>128</v>
      </c>
      <c r="H231" s="126" t="s">
        <v>531</v>
      </c>
      <c r="I231" s="126" t="s">
        <v>159</v>
      </c>
      <c r="J231" s="126" t="s">
        <v>189</v>
      </c>
      <c r="K231" s="127" t="s">
        <v>161</v>
      </c>
      <c r="L231" s="126" t="s">
        <v>161</v>
      </c>
      <c r="M231" s="126" t="s">
        <v>133</v>
      </c>
      <c r="N231" s="126" t="s">
        <v>128</v>
      </c>
      <c r="O231" s="126" t="s">
        <v>135</v>
      </c>
      <c r="P231" s="126" t="s">
        <v>135</v>
      </c>
      <c r="Q231" s="128"/>
      <c r="R231" s="126" t="s">
        <v>136</v>
      </c>
      <c r="S231" s="126" t="s">
        <v>137</v>
      </c>
      <c r="T231" s="128"/>
      <c r="U231" s="129" t="n">
        <v>0</v>
      </c>
      <c r="V231" s="129" t="n">
        <v>0</v>
      </c>
      <c r="W231" s="129" t="n">
        <v>0</v>
      </c>
      <c r="X231" s="129" t="n">
        <v>0</v>
      </c>
      <c r="Y231" s="129" t="n">
        <v>0</v>
      </c>
      <c r="Z231" s="129" t="n">
        <v>0</v>
      </c>
      <c r="AA231" s="129" t="n">
        <v>1</v>
      </c>
      <c r="AB231" s="129" t="n">
        <v>0</v>
      </c>
      <c r="AC231" s="129" t="n">
        <v>0</v>
      </c>
      <c r="AD231" s="129" t="n">
        <v>0</v>
      </c>
      <c r="AE231" s="129" t="n">
        <v>0</v>
      </c>
      <c r="AF231" s="129" t="n">
        <v>0</v>
      </c>
      <c r="AG231" s="129" t="n">
        <v>0</v>
      </c>
      <c r="AH231" s="129" t="n">
        <v>0</v>
      </c>
      <c r="AI231" s="129" t="n">
        <v>0</v>
      </c>
      <c r="AJ231" s="129" t="n">
        <v>0</v>
      </c>
      <c r="AK231" s="129" t="n">
        <v>0</v>
      </c>
      <c r="AL231" s="129" t="n">
        <v>0</v>
      </c>
      <c r="AM231" s="129" t="n">
        <v>0</v>
      </c>
      <c r="AN231" s="128"/>
      <c r="AO231" s="128"/>
      <c r="AP231" s="126" t="s">
        <v>138</v>
      </c>
      <c r="AQ231" s="126" t="s">
        <v>139</v>
      </c>
      <c r="AR231" s="126" t="s">
        <v>140</v>
      </c>
      <c r="AS231" s="128"/>
      <c r="AT231" s="130"/>
    </row>
    <row r="232" customFormat="false" ht="12.75" hidden="false" customHeight="true" outlineLevel="0" collapsed="false">
      <c r="B232" s="122" t="n">
        <f aca="false">B231+1</f>
        <v>229</v>
      </c>
      <c r="C232" s="123" t="s">
        <v>168</v>
      </c>
      <c r="D232" s="140" t="n">
        <v>61073</v>
      </c>
      <c r="E232" s="124" t="str">
        <f aca="false">IF(D232="","",IFERROR(VLOOKUP(D232,CCN_Library!$A$4:$B$13,2,FALSE()),"NOT IN LIBRARY"))</f>
        <v>COMPANY/BATTERY HEADQUARTERS, MARINE CORPS</v>
      </c>
      <c r="F232" s="125" t="str">
        <f aca="false">LEFT(H232,6)</f>
        <v>M28261</v>
      </c>
      <c r="G232" s="126" t="s">
        <v>128</v>
      </c>
      <c r="H232" s="126" t="s">
        <v>532</v>
      </c>
      <c r="I232" s="126" t="s">
        <v>159</v>
      </c>
      <c r="J232" s="126" t="s">
        <v>191</v>
      </c>
      <c r="K232" s="127" t="s">
        <v>161</v>
      </c>
      <c r="L232" s="126" t="s">
        <v>161</v>
      </c>
      <c r="M232" s="126" t="s">
        <v>133</v>
      </c>
      <c r="N232" s="126" t="s">
        <v>128</v>
      </c>
      <c r="O232" s="126" t="s">
        <v>135</v>
      </c>
      <c r="P232" s="126" t="s">
        <v>135</v>
      </c>
      <c r="Q232" s="128"/>
      <c r="R232" s="126" t="s">
        <v>136</v>
      </c>
      <c r="S232" s="126" t="s">
        <v>58</v>
      </c>
      <c r="T232" s="128"/>
      <c r="U232" s="129" t="n">
        <v>0</v>
      </c>
      <c r="V232" s="129" t="n">
        <v>0</v>
      </c>
      <c r="W232" s="129" t="n">
        <v>0</v>
      </c>
      <c r="X232" s="129" t="n">
        <v>0</v>
      </c>
      <c r="Y232" s="129" t="n">
        <v>0</v>
      </c>
      <c r="Z232" s="129" t="n">
        <v>0</v>
      </c>
      <c r="AA232" s="129" t="n">
        <v>1</v>
      </c>
      <c r="AB232" s="129" t="n">
        <v>0</v>
      </c>
      <c r="AC232" s="129" t="n">
        <v>0</v>
      </c>
      <c r="AD232" s="129" t="n">
        <v>0</v>
      </c>
      <c r="AE232" s="129" t="n">
        <v>0</v>
      </c>
      <c r="AF232" s="129" t="n">
        <v>0</v>
      </c>
      <c r="AG232" s="129" t="n">
        <v>0</v>
      </c>
      <c r="AH232" s="129" t="n">
        <v>0</v>
      </c>
      <c r="AI232" s="129" t="n">
        <v>0</v>
      </c>
      <c r="AJ232" s="129" t="n">
        <v>0</v>
      </c>
      <c r="AK232" s="129" t="n">
        <v>0</v>
      </c>
      <c r="AL232" s="129" t="n">
        <v>0</v>
      </c>
      <c r="AM232" s="129" t="n">
        <v>0</v>
      </c>
      <c r="AN232" s="128"/>
      <c r="AO232" s="128"/>
      <c r="AP232" s="126" t="s">
        <v>138</v>
      </c>
      <c r="AQ232" s="126" t="s">
        <v>139</v>
      </c>
      <c r="AR232" s="126" t="s">
        <v>140</v>
      </c>
      <c r="AS232" s="128"/>
      <c r="AT232" s="130"/>
    </row>
    <row r="233" customFormat="false" ht="12.75" hidden="false" customHeight="true" outlineLevel="0" collapsed="false">
      <c r="B233" s="122" t="n">
        <f aca="false">B232+1</f>
        <v>230</v>
      </c>
      <c r="C233" s="123" t="s">
        <v>168</v>
      </c>
      <c r="D233" s="140" t="n">
        <v>61073</v>
      </c>
      <c r="E233" s="124" t="str">
        <f aca="false">IF(D233="","",IFERROR(VLOOKUP(D233,CCN_Library!$A$4:$B$13,2,FALSE()),"NOT IN LIBRARY"))</f>
        <v>COMPANY/BATTERY HEADQUARTERS, MARINE CORPS</v>
      </c>
      <c r="F233" s="125" t="str">
        <f aca="false">LEFT(H233,6)</f>
        <v>M28261</v>
      </c>
      <c r="G233" s="126" t="s">
        <v>128</v>
      </c>
      <c r="H233" s="126" t="s">
        <v>533</v>
      </c>
      <c r="I233" s="126" t="s">
        <v>159</v>
      </c>
      <c r="J233" s="126" t="s">
        <v>160</v>
      </c>
      <c r="K233" s="127" t="s">
        <v>161</v>
      </c>
      <c r="L233" s="126" t="s">
        <v>161</v>
      </c>
      <c r="M233" s="126" t="s">
        <v>133</v>
      </c>
      <c r="N233" s="126" t="s">
        <v>128</v>
      </c>
      <c r="O233" s="126" t="s">
        <v>135</v>
      </c>
      <c r="P233" s="126" t="s">
        <v>135</v>
      </c>
      <c r="Q233" s="128"/>
      <c r="R233" s="126" t="s">
        <v>136</v>
      </c>
      <c r="S233" s="126" t="s">
        <v>58</v>
      </c>
      <c r="T233" s="128"/>
      <c r="U233" s="129" t="n">
        <v>0</v>
      </c>
      <c r="V233" s="129" t="n">
        <v>0</v>
      </c>
      <c r="W233" s="129" t="n">
        <v>0</v>
      </c>
      <c r="X233" s="129" t="n">
        <v>0</v>
      </c>
      <c r="Y233" s="129" t="n">
        <v>0</v>
      </c>
      <c r="Z233" s="129" t="n">
        <v>0</v>
      </c>
      <c r="AA233" s="129" t="n">
        <v>1</v>
      </c>
      <c r="AB233" s="129" t="n">
        <v>0</v>
      </c>
      <c r="AC233" s="129" t="n">
        <v>0</v>
      </c>
      <c r="AD233" s="129" t="n">
        <v>0</v>
      </c>
      <c r="AE233" s="129" t="n">
        <v>0</v>
      </c>
      <c r="AF233" s="129" t="n">
        <v>0</v>
      </c>
      <c r="AG233" s="129" t="n">
        <v>0</v>
      </c>
      <c r="AH233" s="129" t="n">
        <v>0</v>
      </c>
      <c r="AI233" s="129" t="n">
        <v>0</v>
      </c>
      <c r="AJ233" s="129" t="n">
        <v>0</v>
      </c>
      <c r="AK233" s="129" t="n">
        <v>0</v>
      </c>
      <c r="AL233" s="129" t="n">
        <v>0</v>
      </c>
      <c r="AM233" s="129" t="n">
        <v>0</v>
      </c>
      <c r="AN233" s="128"/>
      <c r="AO233" s="128"/>
      <c r="AP233" s="126" t="s">
        <v>138</v>
      </c>
      <c r="AQ233" s="126" t="s">
        <v>139</v>
      </c>
      <c r="AR233" s="126" t="s">
        <v>140</v>
      </c>
      <c r="AS233" s="128"/>
      <c r="AT233" s="130"/>
    </row>
    <row r="234" customFormat="false" ht="12.75" hidden="false" customHeight="true" outlineLevel="0" collapsed="false">
      <c r="B234" s="122" t="n">
        <f aca="false">B233+1</f>
        <v>231</v>
      </c>
      <c r="C234" s="123" t="s">
        <v>168</v>
      </c>
      <c r="D234" s="140" t="n">
        <v>61073</v>
      </c>
      <c r="E234" s="124" t="str">
        <f aca="false">IF(D234="","",IFERROR(VLOOKUP(D234,CCN_Library!$A$4:$B$13,2,FALSE()),"NOT IN LIBRARY"))</f>
        <v>COMPANY/BATTERY HEADQUARTERS, MARINE CORPS</v>
      </c>
      <c r="F234" s="125" t="str">
        <f aca="false">LEFT(H234,6)</f>
        <v>M28261</v>
      </c>
      <c r="G234" s="126" t="s">
        <v>128</v>
      </c>
      <c r="H234" s="126" t="s">
        <v>534</v>
      </c>
      <c r="I234" s="126" t="s">
        <v>159</v>
      </c>
      <c r="J234" s="126" t="s">
        <v>160</v>
      </c>
      <c r="K234" s="127" t="s">
        <v>161</v>
      </c>
      <c r="L234" s="126" t="s">
        <v>161</v>
      </c>
      <c r="M234" s="126" t="s">
        <v>133</v>
      </c>
      <c r="N234" s="126" t="s">
        <v>128</v>
      </c>
      <c r="O234" s="126" t="s">
        <v>135</v>
      </c>
      <c r="P234" s="126" t="s">
        <v>135</v>
      </c>
      <c r="Q234" s="128"/>
      <c r="R234" s="126" t="s">
        <v>136</v>
      </c>
      <c r="S234" s="126" t="s">
        <v>58</v>
      </c>
      <c r="T234" s="128"/>
      <c r="U234" s="129" t="n">
        <v>0</v>
      </c>
      <c r="V234" s="129" t="n">
        <v>0</v>
      </c>
      <c r="W234" s="129" t="n">
        <v>0</v>
      </c>
      <c r="X234" s="129" t="n">
        <v>0</v>
      </c>
      <c r="Y234" s="129" t="n">
        <v>0</v>
      </c>
      <c r="Z234" s="129" t="n">
        <v>0</v>
      </c>
      <c r="AA234" s="129" t="n">
        <v>1</v>
      </c>
      <c r="AB234" s="129" t="n">
        <v>0</v>
      </c>
      <c r="AC234" s="129" t="n">
        <v>0</v>
      </c>
      <c r="AD234" s="129" t="n">
        <v>0</v>
      </c>
      <c r="AE234" s="129" t="n">
        <v>0</v>
      </c>
      <c r="AF234" s="129" t="n">
        <v>0</v>
      </c>
      <c r="AG234" s="129" t="n">
        <v>0</v>
      </c>
      <c r="AH234" s="129" t="n">
        <v>0</v>
      </c>
      <c r="AI234" s="129" t="n">
        <v>0</v>
      </c>
      <c r="AJ234" s="129" t="n">
        <v>0</v>
      </c>
      <c r="AK234" s="129" t="n">
        <v>0</v>
      </c>
      <c r="AL234" s="129" t="n">
        <v>0</v>
      </c>
      <c r="AM234" s="129" t="n">
        <v>0</v>
      </c>
      <c r="AN234" s="128"/>
      <c r="AO234" s="128"/>
      <c r="AP234" s="126" t="s">
        <v>138</v>
      </c>
      <c r="AQ234" s="126" t="s">
        <v>139</v>
      </c>
      <c r="AR234" s="126" t="s">
        <v>140</v>
      </c>
      <c r="AS234" s="128"/>
      <c r="AT234" s="130"/>
    </row>
    <row r="235" customFormat="false" ht="12.75" hidden="false" customHeight="true" outlineLevel="0" collapsed="false">
      <c r="B235" s="122" t="n">
        <f aca="false">B234+1</f>
        <v>232</v>
      </c>
      <c r="C235" s="123" t="s">
        <v>168</v>
      </c>
      <c r="D235" s="140" t="n">
        <v>61073</v>
      </c>
      <c r="E235" s="124" t="str">
        <f aca="false">IF(D235="","",IFERROR(VLOOKUP(D235,CCN_Library!$A$4:$B$13,2,FALSE()),"NOT IN LIBRARY"))</f>
        <v>COMPANY/BATTERY HEADQUARTERS, MARINE CORPS</v>
      </c>
      <c r="F235" s="125" t="str">
        <f aca="false">LEFT(H235,6)</f>
        <v>M28261</v>
      </c>
      <c r="G235" s="126" t="s">
        <v>128</v>
      </c>
      <c r="H235" s="126" t="s">
        <v>535</v>
      </c>
      <c r="I235" s="126" t="s">
        <v>159</v>
      </c>
      <c r="J235" s="126" t="s">
        <v>191</v>
      </c>
      <c r="K235" s="127" t="s">
        <v>161</v>
      </c>
      <c r="L235" s="126" t="s">
        <v>161</v>
      </c>
      <c r="M235" s="126" t="s">
        <v>133</v>
      </c>
      <c r="N235" s="126" t="s">
        <v>128</v>
      </c>
      <c r="O235" s="126" t="s">
        <v>135</v>
      </c>
      <c r="P235" s="126" t="s">
        <v>135</v>
      </c>
      <c r="Q235" s="128"/>
      <c r="R235" s="126" t="s">
        <v>136</v>
      </c>
      <c r="S235" s="126" t="s">
        <v>58</v>
      </c>
      <c r="T235" s="128"/>
      <c r="U235" s="129" t="n">
        <v>0</v>
      </c>
      <c r="V235" s="129" t="n">
        <v>0</v>
      </c>
      <c r="W235" s="129" t="n">
        <v>0</v>
      </c>
      <c r="X235" s="129" t="n">
        <v>0</v>
      </c>
      <c r="Y235" s="129" t="n">
        <v>0</v>
      </c>
      <c r="Z235" s="129" t="n">
        <v>0</v>
      </c>
      <c r="AA235" s="129" t="n">
        <v>1</v>
      </c>
      <c r="AB235" s="129" t="n">
        <v>0</v>
      </c>
      <c r="AC235" s="129" t="n">
        <v>0</v>
      </c>
      <c r="AD235" s="129" t="n">
        <v>0</v>
      </c>
      <c r="AE235" s="129" t="n">
        <v>0</v>
      </c>
      <c r="AF235" s="129" t="n">
        <v>0</v>
      </c>
      <c r="AG235" s="129" t="n">
        <v>0</v>
      </c>
      <c r="AH235" s="129" t="n">
        <v>0</v>
      </c>
      <c r="AI235" s="129" t="n">
        <v>0</v>
      </c>
      <c r="AJ235" s="129" t="n">
        <v>0</v>
      </c>
      <c r="AK235" s="129" t="n">
        <v>0</v>
      </c>
      <c r="AL235" s="129" t="n">
        <v>0</v>
      </c>
      <c r="AM235" s="129" t="n">
        <v>0</v>
      </c>
      <c r="AN235" s="128"/>
      <c r="AO235" s="128"/>
      <c r="AP235" s="126" t="s">
        <v>138</v>
      </c>
      <c r="AQ235" s="126" t="s">
        <v>139</v>
      </c>
      <c r="AR235" s="126" t="s">
        <v>140</v>
      </c>
      <c r="AS235" s="128"/>
      <c r="AT235" s="130"/>
    </row>
    <row r="236" customFormat="false" ht="12.75" hidden="false" customHeight="true" outlineLevel="0" collapsed="false">
      <c r="B236" s="122" t="n">
        <f aca="false">B235+1</f>
        <v>233</v>
      </c>
      <c r="C236" s="123" t="s">
        <v>168</v>
      </c>
      <c r="D236" s="140" t="n">
        <v>61073</v>
      </c>
      <c r="E236" s="124" t="str">
        <f aca="false">IF(D236="","",IFERROR(VLOOKUP(D236,CCN_Library!$A$4:$B$13,2,FALSE()),"NOT IN LIBRARY"))</f>
        <v>COMPANY/BATTERY HEADQUARTERS, MARINE CORPS</v>
      </c>
      <c r="F236" s="125" t="str">
        <f aca="false">LEFT(H236,6)</f>
        <v>M28261</v>
      </c>
      <c r="G236" s="126" t="s">
        <v>128</v>
      </c>
      <c r="H236" s="126" t="s">
        <v>536</v>
      </c>
      <c r="I236" s="126" t="s">
        <v>159</v>
      </c>
      <c r="J236" s="126" t="s">
        <v>160</v>
      </c>
      <c r="K236" s="127" t="s">
        <v>161</v>
      </c>
      <c r="L236" s="126" t="s">
        <v>161</v>
      </c>
      <c r="M236" s="126" t="s">
        <v>133</v>
      </c>
      <c r="N236" s="126" t="s">
        <v>128</v>
      </c>
      <c r="O236" s="126" t="s">
        <v>135</v>
      </c>
      <c r="P236" s="126" t="s">
        <v>135</v>
      </c>
      <c r="Q236" s="128"/>
      <c r="R236" s="126" t="s">
        <v>136</v>
      </c>
      <c r="S236" s="126" t="s">
        <v>58</v>
      </c>
      <c r="T236" s="128"/>
      <c r="U236" s="129" t="n">
        <v>0</v>
      </c>
      <c r="V236" s="129" t="n">
        <v>0</v>
      </c>
      <c r="W236" s="129" t="n">
        <v>0</v>
      </c>
      <c r="X236" s="129" t="n">
        <v>0</v>
      </c>
      <c r="Y236" s="129" t="n">
        <v>0</v>
      </c>
      <c r="Z236" s="129" t="n">
        <v>0</v>
      </c>
      <c r="AA236" s="129" t="n">
        <v>1</v>
      </c>
      <c r="AB236" s="129" t="n">
        <v>0</v>
      </c>
      <c r="AC236" s="129" t="n">
        <v>0</v>
      </c>
      <c r="AD236" s="129" t="n">
        <v>0</v>
      </c>
      <c r="AE236" s="129" t="n">
        <v>0</v>
      </c>
      <c r="AF236" s="129" t="n">
        <v>0</v>
      </c>
      <c r="AG236" s="129" t="n">
        <v>0</v>
      </c>
      <c r="AH236" s="129" t="n">
        <v>0</v>
      </c>
      <c r="AI236" s="129" t="n">
        <v>0</v>
      </c>
      <c r="AJ236" s="129" t="n">
        <v>0</v>
      </c>
      <c r="AK236" s="129" t="n">
        <v>0</v>
      </c>
      <c r="AL236" s="129" t="n">
        <v>0</v>
      </c>
      <c r="AM236" s="129" t="n">
        <v>0</v>
      </c>
      <c r="AN236" s="128"/>
      <c r="AO236" s="128"/>
      <c r="AP236" s="126" t="s">
        <v>138</v>
      </c>
      <c r="AQ236" s="126" t="s">
        <v>139</v>
      </c>
      <c r="AR236" s="126" t="s">
        <v>140</v>
      </c>
      <c r="AS236" s="128"/>
      <c r="AT236" s="130"/>
    </row>
    <row r="237" customFormat="false" ht="12.75" hidden="false" customHeight="true" outlineLevel="0" collapsed="false">
      <c r="B237" s="122" t="n">
        <f aca="false">B236+1</f>
        <v>234</v>
      </c>
      <c r="C237" s="123" t="s">
        <v>168</v>
      </c>
      <c r="D237" s="140" t="n">
        <v>61073</v>
      </c>
      <c r="E237" s="124" t="str">
        <f aca="false">IF(D237="","",IFERROR(VLOOKUP(D237,CCN_Library!$A$4:$B$13,2,FALSE()),"NOT IN LIBRARY"))</f>
        <v>COMPANY/BATTERY HEADQUARTERS, MARINE CORPS</v>
      </c>
      <c r="F237" s="125" t="str">
        <f aca="false">LEFT(H237,6)</f>
        <v>M28261</v>
      </c>
      <c r="G237" s="126" t="s">
        <v>128</v>
      </c>
      <c r="H237" s="126" t="s">
        <v>537</v>
      </c>
      <c r="I237" s="126" t="s">
        <v>159</v>
      </c>
      <c r="J237" s="126" t="s">
        <v>160</v>
      </c>
      <c r="K237" s="127" t="s">
        <v>161</v>
      </c>
      <c r="L237" s="126" t="s">
        <v>161</v>
      </c>
      <c r="M237" s="126" t="s">
        <v>133</v>
      </c>
      <c r="N237" s="126" t="s">
        <v>128</v>
      </c>
      <c r="O237" s="126" t="s">
        <v>135</v>
      </c>
      <c r="P237" s="126" t="s">
        <v>135</v>
      </c>
      <c r="Q237" s="128"/>
      <c r="R237" s="126" t="s">
        <v>136</v>
      </c>
      <c r="S237" s="126" t="s">
        <v>58</v>
      </c>
      <c r="T237" s="128"/>
      <c r="U237" s="129" t="n">
        <v>0</v>
      </c>
      <c r="V237" s="129" t="n">
        <v>0</v>
      </c>
      <c r="W237" s="129" t="n">
        <v>0</v>
      </c>
      <c r="X237" s="129" t="n">
        <v>0</v>
      </c>
      <c r="Y237" s="129" t="n">
        <v>0</v>
      </c>
      <c r="Z237" s="129" t="n">
        <v>0</v>
      </c>
      <c r="AA237" s="129" t="n">
        <v>1</v>
      </c>
      <c r="AB237" s="129" t="n">
        <v>0</v>
      </c>
      <c r="AC237" s="129" t="n">
        <v>0</v>
      </c>
      <c r="AD237" s="129" t="n">
        <v>0</v>
      </c>
      <c r="AE237" s="129" t="n">
        <v>0</v>
      </c>
      <c r="AF237" s="129" t="n">
        <v>0</v>
      </c>
      <c r="AG237" s="129" t="n">
        <v>0</v>
      </c>
      <c r="AH237" s="129" t="n">
        <v>0</v>
      </c>
      <c r="AI237" s="129" t="n">
        <v>0</v>
      </c>
      <c r="AJ237" s="129" t="n">
        <v>0</v>
      </c>
      <c r="AK237" s="129" t="n">
        <v>0</v>
      </c>
      <c r="AL237" s="129" t="n">
        <v>0</v>
      </c>
      <c r="AM237" s="129" t="n">
        <v>0</v>
      </c>
      <c r="AN237" s="128"/>
      <c r="AO237" s="128"/>
      <c r="AP237" s="126" t="s">
        <v>138</v>
      </c>
      <c r="AQ237" s="126" t="s">
        <v>139</v>
      </c>
      <c r="AR237" s="126" t="s">
        <v>140</v>
      </c>
      <c r="AS237" s="128"/>
      <c r="AT237" s="130"/>
    </row>
    <row r="238" customFormat="false" ht="12.75" hidden="false" customHeight="true" outlineLevel="0" collapsed="false">
      <c r="B238" s="122" t="n">
        <f aca="false">B237+1</f>
        <v>235</v>
      </c>
      <c r="C238" s="123" t="s">
        <v>168</v>
      </c>
      <c r="D238" s="140" t="n">
        <v>61073</v>
      </c>
      <c r="E238" s="124" t="str">
        <f aca="false">IF(D238="","",IFERROR(VLOOKUP(D238,CCN_Library!$A$4:$B$13,2,FALSE()),"NOT IN LIBRARY"))</f>
        <v>COMPANY/BATTERY HEADQUARTERS, MARINE CORPS</v>
      </c>
      <c r="F238" s="125" t="str">
        <f aca="false">LEFT(H238,6)</f>
        <v>M28261</v>
      </c>
      <c r="G238" s="126" t="s">
        <v>128</v>
      </c>
      <c r="H238" s="126" t="s">
        <v>538</v>
      </c>
      <c r="I238" s="126" t="s">
        <v>159</v>
      </c>
      <c r="J238" s="126" t="s">
        <v>160</v>
      </c>
      <c r="K238" s="127" t="s">
        <v>161</v>
      </c>
      <c r="L238" s="126" t="s">
        <v>161</v>
      </c>
      <c r="M238" s="126" t="s">
        <v>133</v>
      </c>
      <c r="N238" s="126" t="s">
        <v>128</v>
      </c>
      <c r="O238" s="126" t="s">
        <v>135</v>
      </c>
      <c r="P238" s="126" t="s">
        <v>135</v>
      </c>
      <c r="Q238" s="128"/>
      <c r="R238" s="126" t="s">
        <v>136</v>
      </c>
      <c r="S238" s="126" t="s">
        <v>58</v>
      </c>
      <c r="T238" s="128"/>
      <c r="U238" s="129" t="n">
        <v>0</v>
      </c>
      <c r="V238" s="129" t="n">
        <v>0</v>
      </c>
      <c r="W238" s="129" t="n">
        <v>0</v>
      </c>
      <c r="X238" s="129" t="n">
        <v>0</v>
      </c>
      <c r="Y238" s="129" t="n">
        <v>0</v>
      </c>
      <c r="Z238" s="129" t="n">
        <v>0</v>
      </c>
      <c r="AA238" s="129" t="n">
        <v>1</v>
      </c>
      <c r="AB238" s="129" t="n">
        <v>0</v>
      </c>
      <c r="AC238" s="129" t="n">
        <v>0</v>
      </c>
      <c r="AD238" s="129" t="n">
        <v>0</v>
      </c>
      <c r="AE238" s="129" t="n">
        <v>0</v>
      </c>
      <c r="AF238" s="129" t="n">
        <v>0</v>
      </c>
      <c r="AG238" s="129" t="n">
        <v>0</v>
      </c>
      <c r="AH238" s="129" t="n">
        <v>0</v>
      </c>
      <c r="AI238" s="129" t="n">
        <v>0</v>
      </c>
      <c r="AJ238" s="129" t="n">
        <v>0</v>
      </c>
      <c r="AK238" s="129" t="n">
        <v>0</v>
      </c>
      <c r="AL238" s="129" t="n">
        <v>0</v>
      </c>
      <c r="AM238" s="129" t="n">
        <v>0</v>
      </c>
      <c r="AN238" s="128"/>
      <c r="AO238" s="128"/>
      <c r="AP238" s="126" t="s">
        <v>138</v>
      </c>
      <c r="AQ238" s="126" t="s">
        <v>139</v>
      </c>
      <c r="AR238" s="126" t="s">
        <v>140</v>
      </c>
      <c r="AS238" s="128"/>
      <c r="AT238" s="130"/>
    </row>
    <row r="239" customFormat="false" ht="12.75" hidden="false" customHeight="true" outlineLevel="0" collapsed="false">
      <c r="B239" s="131" t="n">
        <f aca="false">B238+1</f>
        <v>236</v>
      </c>
      <c r="C239" s="132" t="s">
        <v>162</v>
      </c>
      <c r="D239" s="133" t="n">
        <v>61073</v>
      </c>
      <c r="E239" s="133"/>
      <c r="F239" s="134" t="str">
        <f aca="false">LEFT(H239,6)</f>
        <v>M28261</v>
      </c>
      <c r="G239" s="135" t="s">
        <v>58</v>
      </c>
      <c r="H239" s="135" t="s">
        <v>539</v>
      </c>
      <c r="I239" s="135" t="s">
        <v>540</v>
      </c>
      <c r="J239" s="136"/>
      <c r="K239" s="136"/>
      <c r="L239" s="136"/>
      <c r="M239" s="136"/>
      <c r="N239" s="136"/>
      <c r="O239" s="136"/>
      <c r="P239" s="136"/>
      <c r="Q239" s="136"/>
      <c r="R239" s="136"/>
      <c r="S239" s="136"/>
      <c r="T239" s="136"/>
      <c r="U239" s="137" t="n">
        <v>0</v>
      </c>
      <c r="V239" s="137" t="n">
        <v>0</v>
      </c>
      <c r="W239" s="137" t="n">
        <v>0</v>
      </c>
      <c r="X239" s="137" t="n">
        <v>0</v>
      </c>
      <c r="Y239" s="137" t="n">
        <v>0</v>
      </c>
      <c r="Z239" s="137" t="n">
        <v>0</v>
      </c>
      <c r="AA239" s="137" t="n">
        <v>0</v>
      </c>
      <c r="AB239" s="137" t="n">
        <v>0</v>
      </c>
      <c r="AC239" s="137" t="n">
        <v>0</v>
      </c>
      <c r="AD239" s="137" t="n">
        <v>0</v>
      </c>
      <c r="AE239" s="137" t="n">
        <v>0</v>
      </c>
      <c r="AF239" s="137" t="n">
        <v>0</v>
      </c>
      <c r="AG239" s="137" t="n">
        <v>0</v>
      </c>
      <c r="AH239" s="137" t="n">
        <v>0</v>
      </c>
      <c r="AI239" s="137" t="n">
        <v>0</v>
      </c>
      <c r="AJ239" s="137" t="n">
        <v>0</v>
      </c>
      <c r="AK239" s="137" t="n">
        <v>0</v>
      </c>
      <c r="AL239" s="137" t="n">
        <v>0</v>
      </c>
      <c r="AM239" s="137" t="n">
        <v>0</v>
      </c>
      <c r="AN239" s="136"/>
      <c r="AO239" s="136"/>
      <c r="AP239" s="136"/>
      <c r="AQ239" s="136"/>
      <c r="AR239" s="136"/>
      <c r="AS239" s="136"/>
      <c r="AT239" s="138"/>
    </row>
    <row r="240" customFormat="false" ht="12.75" hidden="false" customHeight="true" outlineLevel="0" collapsed="false">
      <c r="B240" s="131" t="n">
        <f aca="false">B239+1</f>
        <v>237</v>
      </c>
      <c r="C240" s="132" t="s">
        <v>162</v>
      </c>
      <c r="D240" s="133" t="n">
        <v>61073</v>
      </c>
      <c r="E240" s="133"/>
      <c r="F240" s="134" t="str">
        <f aca="false">LEFT(H240,6)</f>
        <v>M28261</v>
      </c>
      <c r="G240" s="135" t="s">
        <v>177</v>
      </c>
      <c r="H240" s="135" t="s">
        <v>541</v>
      </c>
      <c r="I240" s="135" t="s">
        <v>542</v>
      </c>
      <c r="J240" s="136"/>
      <c r="K240" s="136"/>
      <c r="L240" s="136"/>
      <c r="M240" s="136"/>
      <c r="N240" s="136"/>
      <c r="O240" s="136"/>
      <c r="P240" s="136"/>
      <c r="Q240" s="136"/>
      <c r="R240" s="136"/>
      <c r="S240" s="136"/>
      <c r="T240" s="136"/>
      <c r="U240" s="137" t="n">
        <v>0</v>
      </c>
      <c r="V240" s="137" t="n">
        <v>0</v>
      </c>
      <c r="W240" s="137" t="n">
        <v>0</v>
      </c>
      <c r="X240" s="137" t="n">
        <v>0</v>
      </c>
      <c r="Y240" s="137" t="n">
        <v>0</v>
      </c>
      <c r="Z240" s="137" t="n">
        <v>0</v>
      </c>
      <c r="AA240" s="137" t="n">
        <v>0</v>
      </c>
      <c r="AB240" s="137" t="n">
        <v>0</v>
      </c>
      <c r="AC240" s="137" t="n">
        <v>0</v>
      </c>
      <c r="AD240" s="137" t="n">
        <v>0</v>
      </c>
      <c r="AE240" s="137" t="n">
        <v>0</v>
      </c>
      <c r="AF240" s="137" t="n">
        <v>0</v>
      </c>
      <c r="AG240" s="137" t="n">
        <v>0</v>
      </c>
      <c r="AH240" s="137" t="n">
        <v>0</v>
      </c>
      <c r="AI240" s="137" t="n">
        <v>0</v>
      </c>
      <c r="AJ240" s="137" t="n">
        <v>0</v>
      </c>
      <c r="AK240" s="137" t="n">
        <v>0</v>
      </c>
      <c r="AL240" s="137" t="n">
        <v>0</v>
      </c>
      <c r="AM240" s="137" t="n">
        <v>0</v>
      </c>
      <c r="AN240" s="136"/>
      <c r="AO240" s="136"/>
      <c r="AP240" s="136"/>
      <c r="AQ240" s="136"/>
      <c r="AR240" s="136"/>
      <c r="AS240" s="136"/>
      <c r="AT240" s="138"/>
    </row>
    <row r="241" customFormat="false" ht="12.75" hidden="false" customHeight="true" outlineLevel="0" collapsed="false">
      <c r="B241" s="122" t="n">
        <f aca="false">B240+1</f>
        <v>238</v>
      </c>
      <c r="C241" s="123" t="s">
        <v>162</v>
      </c>
      <c r="D241" s="140" t="n">
        <v>61073</v>
      </c>
      <c r="E241" s="124" t="str">
        <f aca="false">IF(D241="","",IFERROR(VLOOKUP(D241,CCN_Library!$A$4:$B$13,2,FALSE()),"NOT IN LIBRARY"))</f>
        <v>COMPANY/BATTERY HEADQUARTERS, MARINE CORPS</v>
      </c>
      <c r="F241" s="125" t="str">
        <f aca="false">LEFT(H241,6)</f>
        <v>M28261</v>
      </c>
      <c r="G241" s="126" t="s">
        <v>128</v>
      </c>
      <c r="H241" s="126" t="s">
        <v>543</v>
      </c>
      <c r="I241" s="126" t="s">
        <v>466</v>
      </c>
      <c r="J241" s="126" t="s">
        <v>211</v>
      </c>
      <c r="K241" s="127" t="s">
        <v>151</v>
      </c>
      <c r="L241" s="126" t="s">
        <v>151</v>
      </c>
      <c r="M241" s="126" t="s">
        <v>133</v>
      </c>
      <c r="N241" s="126" t="s">
        <v>134</v>
      </c>
      <c r="O241" s="126" t="s">
        <v>135</v>
      </c>
      <c r="P241" s="126" t="s">
        <v>135</v>
      </c>
      <c r="Q241" s="128"/>
      <c r="R241" s="126" t="s">
        <v>136</v>
      </c>
      <c r="S241" s="126" t="s">
        <v>137</v>
      </c>
      <c r="T241" s="128"/>
      <c r="U241" s="129" t="n">
        <v>0</v>
      </c>
      <c r="V241" s="129" t="n">
        <v>0</v>
      </c>
      <c r="W241" s="129" t="n">
        <v>0</v>
      </c>
      <c r="X241" s="129" t="n">
        <v>0</v>
      </c>
      <c r="Y241" s="129" t="n">
        <v>0</v>
      </c>
      <c r="Z241" s="129" t="n">
        <v>1</v>
      </c>
      <c r="AA241" s="129" t="n">
        <v>0</v>
      </c>
      <c r="AB241" s="129" t="n">
        <v>0</v>
      </c>
      <c r="AC241" s="129" t="n">
        <v>0</v>
      </c>
      <c r="AD241" s="129" t="n">
        <v>0</v>
      </c>
      <c r="AE241" s="129" t="n">
        <v>0</v>
      </c>
      <c r="AF241" s="129" t="n">
        <v>0</v>
      </c>
      <c r="AG241" s="129" t="n">
        <v>0</v>
      </c>
      <c r="AH241" s="129" t="n">
        <v>0</v>
      </c>
      <c r="AI241" s="129" t="n">
        <v>0</v>
      </c>
      <c r="AJ241" s="129" t="n">
        <v>0</v>
      </c>
      <c r="AK241" s="129" t="n">
        <v>0</v>
      </c>
      <c r="AL241" s="129" t="n">
        <v>0</v>
      </c>
      <c r="AM241" s="129" t="n">
        <v>0</v>
      </c>
      <c r="AN241" s="128"/>
      <c r="AO241" s="128"/>
      <c r="AP241" s="126" t="s">
        <v>138</v>
      </c>
      <c r="AQ241" s="126" t="s">
        <v>139</v>
      </c>
      <c r="AR241" s="126" t="s">
        <v>140</v>
      </c>
      <c r="AS241" s="128"/>
      <c r="AT241" s="130"/>
    </row>
    <row r="242" customFormat="false" ht="12.75" hidden="false" customHeight="true" outlineLevel="0" collapsed="false">
      <c r="B242" s="122" t="n">
        <f aca="false">B241+1</f>
        <v>239</v>
      </c>
      <c r="C242" s="123" t="s">
        <v>162</v>
      </c>
      <c r="D242" s="140" t="n">
        <v>61073</v>
      </c>
      <c r="E242" s="124" t="str">
        <f aca="false">IF(D242="","",IFERROR(VLOOKUP(D242,CCN_Library!$A$4:$B$13,2,FALSE()),"NOT IN LIBRARY"))</f>
        <v>COMPANY/BATTERY HEADQUARTERS, MARINE CORPS</v>
      </c>
      <c r="F242" s="125" t="str">
        <f aca="false">LEFT(H242,6)</f>
        <v>M28261</v>
      </c>
      <c r="G242" s="126" t="s">
        <v>128</v>
      </c>
      <c r="H242" s="126" t="s">
        <v>544</v>
      </c>
      <c r="I242" s="126" t="s">
        <v>468</v>
      </c>
      <c r="J242" s="126" t="s">
        <v>211</v>
      </c>
      <c r="K242" s="127" t="s">
        <v>151</v>
      </c>
      <c r="L242" s="126" t="s">
        <v>151</v>
      </c>
      <c r="M242" s="126" t="s">
        <v>133</v>
      </c>
      <c r="N242" s="126" t="s">
        <v>134</v>
      </c>
      <c r="O242" s="126" t="s">
        <v>135</v>
      </c>
      <c r="P242" s="126" t="s">
        <v>135</v>
      </c>
      <c r="Q242" s="128"/>
      <c r="R242" s="126" t="s">
        <v>136</v>
      </c>
      <c r="S242" s="126" t="s">
        <v>137</v>
      </c>
      <c r="T242" s="128"/>
      <c r="U242" s="129" t="n">
        <v>0</v>
      </c>
      <c r="V242" s="129" t="n">
        <v>0</v>
      </c>
      <c r="W242" s="129" t="n">
        <v>0</v>
      </c>
      <c r="X242" s="129" t="n">
        <v>0</v>
      </c>
      <c r="Y242" s="129" t="n">
        <v>0</v>
      </c>
      <c r="Z242" s="129" t="n">
        <v>1</v>
      </c>
      <c r="AA242" s="129" t="n">
        <v>0</v>
      </c>
      <c r="AB242" s="129" t="n">
        <v>0</v>
      </c>
      <c r="AC242" s="129" t="n">
        <v>0</v>
      </c>
      <c r="AD242" s="129" t="n">
        <v>0</v>
      </c>
      <c r="AE242" s="129" t="n">
        <v>0</v>
      </c>
      <c r="AF242" s="129" t="n">
        <v>0</v>
      </c>
      <c r="AG242" s="129" t="n">
        <v>0</v>
      </c>
      <c r="AH242" s="129" t="n">
        <v>0</v>
      </c>
      <c r="AI242" s="129" t="n">
        <v>0</v>
      </c>
      <c r="AJ242" s="129" t="n">
        <v>0</v>
      </c>
      <c r="AK242" s="129" t="n">
        <v>0</v>
      </c>
      <c r="AL242" s="129" t="n">
        <v>0</v>
      </c>
      <c r="AM242" s="129" t="n">
        <v>0</v>
      </c>
      <c r="AN242" s="128"/>
      <c r="AO242" s="128"/>
      <c r="AP242" s="126" t="s">
        <v>138</v>
      </c>
      <c r="AQ242" s="126" t="s">
        <v>139</v>
      </c>
      <c r="AR242" s="126" t="s">
        <v>140</v>
      </c>
      <c r="AS242" s="128"/>
      <c r="AT242" s="130"/>
    </row>
    <row r="243" customFormat="false" ht="12.75" hidden="false" customHeight="true" outlineLevel="0" collapsed="false">
      <c r="B243" s="122" t="n">
        <f aca="false">B242+1</f>
        <v>240</v>
      </c>
      <c r="C243" s="123" t="s">
        <v>162</v>
      </c>
      <c r="D243" s="140" t="n">
        <v>61073</v>
      </c>
      <c r="E243" s="124" t="str">
        <f aca="false">IF(D243="","",IFERROR(VLOOKUP(D243,CCN_Library!$A$4:$B$13,2,FALSE()),"NOT IN LIBRARY"))</f>
        <v>COMPANY/BATTERY HEADQUARTERS, MARINE CORPS</v>
      </c>
      <c r="F243" s="125" t="str">
        <f aca="false">LEFT(H243,6)</f>
        <v>M28261</v>
      </c>
      <c r="G243" s="126" t="s">
        <v>128</v>
      </c>
      <c r="H243" s="126" t="s">
        <v>545</v>
      </c>
      <c r="I243" s="126" t="s">
        <v>470</v>
      </c>
      <c r="J243" s="126" t="s">
        <v>211</v>
      </c>
      <c r="K243" s="127" t="s">
        <v>151</v>
      </c>
      <c r="L243" s="126" t="s">
        <v>151</v>
      </c>
      <c r="M243" s="126" t="s">
        <v>133</v>
      </c>
      <c r="N243" s="126" t="s">
        <v>134</v>
      </c>
      <c r="O243" s="126" t="s">
        <v>135</v>
      </c>
      <c r="P243" s="126" t="s">
        <v>135</v>
      </c>
      <c r="Q243" s="128"/>
      <c r="R243" s="126" t="s">
        <v>136</v>
      </c>
      <c r="S243" s="126" t="s">
        <v>137</v>
      </c>
      <c r="T243" s="128"/>
      <c r="U243" s="129" t="n">
        <v>0</v>
      </c>
      <c r="V243" s="129" t="n">
        <v>0</v>
      </c>
      <c r="W243" s="129" t="n">
        <v>0</v>
      </c>
      <c r="X243" s="129" t="n">
        <v>0</v>
      </c>
      <c r="Y243" s="129" t="n">
        <v>0</v>
      </c>
      <c r="Z243" s="129" t="n">
        <v>1</v>
      </c>
      <c r="AA243" s="129" t="n">
        <v>0</v>
      </c>
      <c r="AB243" s="129" t="n">
        <v>0</v>
      </c>
      <c r="AC243" s="129" t="n">
        <v>0</v>
      </c>
      <c r="AD243" s="129" t="n">
        <v>0</v>
      </c>
      <c r="AE243" s="129" t="n">
        <v>0</v>
      </c>
      <c r="AF243" s="129" t="n">
        <v>0</v>
      </c>
      <c r="AG243" s="129" t="n">
        <v>0</v>
      </c>
      <c r="AH243" s="129" t="n">
        <v>0</v>
      </c>
      <c r="AI243" s="129" t="n">
        <v>0</v>
      </c>
      <c r="AJ243" s="129" t="n">
        <v>0</v>
      </c>
      <c r="AK243" s="129" t="n">
        <v>0</v>
      </c>
      <c r="AL243" s="129" t="n">
        <v>0</v>
      </c>
      <c r="AM243" s="129" t="n">
        <v>0</v>
      </c>
      <c r="AN243" s="128"/>
      <c r="AO243" s="128"/>
      <c r="AP243" s="126" t="s">
        <v>138</v>
      </c>
      <c r="AQ243" s="126" t="s">
        <v>139</v>
      </c>
      <c r="AR243" s="126" t="s">
        <v>140</v>
      </c>
      <c r="AS243" s="128"/>
      <c r="AT243" s="139"/>
    </row>
    <row r="244" customFormat="false" ht="12.75" hidden="false" customHeight="true" outlineLevel="0" collapsed="false">
      <c r="B244" s="122" t="n">
        <f aca="false">B243+1</f>
        <v>241</v>
      </c>
      <c r="C244" s="123" t="s">
        <v>162</v>
      </c>
      <c r="D244" s="140" t="n">
        <v>61073</v>
      </c>
      <c r="E244" s="124" t="str">
        <f aca="false">IF(D244="","",IFERROR(VLOOKUP(D244,CCN_Library!$A$4:$B$13,2,FALSE()),"NOT IN LIBRARY"))</f>
        <v>COMPANY/BATTERY HEADQUARTERS, MARINE CORPS</v>
      </c>
      <c r="F244" s="125" t="str">
        <f aca="false">LEFT(H244,6)</f>
        <v>M28261</v>
      </c>
      <c r="G244" s="126" t="s">
        <v>128</v>
      </c>
      <c r="H244" s="126" t="s">
        <v>546</v>
      </c>
      <c r="I244" s="126" t="s">
        <v>472</v>
      </c>
      <c r="J244" s="126" t="s">
        <v>182</v>
      </c>
      <c r="K244" s="127" t="s">
        <v>223</v>
      </c>
      <c r="L244" s="126" t="s">
        <v>223</v>
      </c>
      <c r="M244" s="126" t="s">
        <v>133</v>
      </c>
      <c r="N244" s="126" t="s">
        <v>134</v>
      </c>
      <c r="O244" s="126" t="s">
        <v>135</v>
      </c>
      <c r="P244" s="126" t="s">
        <v>135</v>
      </c>
      <c r="Q244" s="128"/>
      <c r="R244" s="126" t="s">
        <v>136</v>
      </c>
      <c r="S244" s="126" t="s">
        <v>137</v>
      </c>
      <c r="T244" s="128"/>
      <c r="U244" s="129" t="n">
        <v>0</v>
      </c>
      <c r="V244" s="129" t="n">
        <v>0</v>
      </c>
      <c r="W244" s="129" t="n">
        <v>0</v>
      </c>
      <c r="X244" s="129" t="n">
        <v>0</v>
      </c>
      <c r="Y244" s="129" t="n">
        <v>0</v>
      </c>
      <c r="Z244" s="129" t="n">
        <v>1</v>
      </c>
      <c r="AA244" s="129" t="n">
        <v>0</v>
      </c>
      <c r="AB244" s="129" t="n">
        <v>0</v>
      </c>
      <c r="AC244" s="129" t="n">
        <v>0</v>
      </c>
      <c r="AD244" s="129" t="n">
        <v>0</v>
      </c>
      <c r="AE244" s="129" t="n">
        <v>0</v>
      </c>
      <c r="AF244" s="129" t="n">
        <v>0</v>
      </c>
      <c r="AG244" s="129" t="n">
        <v>0</v>
      </c>
      <c r="AH244" s="129" t="n">
        <v>0</v>
      </c>
      <c r="AI244" s="129" t="n">
        <v>0</v>
      </c>
      <c r="AJ244" s="129" t="n">
        <v>0</v>
      </c>
      <c r="AK244" s="129" t="n">
        <v>0</v>
      </c>
      <c r="AL244" s="129" t="n">
        <v>0</v>
      </c>
      <c r="AM244" s="129" t="n">
        <v>0</v>
      </c>
      <c r="AN244" s="128"/>
      <c r="AO244" s="128"/>
      <c r="AP244" s="126" t="s">
        <v>138</v>
      </c>
      <c r="AQ244" s="126" t="s">
        <v>139</v>
      </c>
      <c r="AR244" s="126" t="s">
        <v>140</v>
      </c>
      <c r="AS244" s="128"/>
      <c r="AT244" s="139"/>
    </row>
    <row r="245" customFormat="false" ht="12.75" hidden="false" customHeight="true" outlineLevel="0" collapsed="false">
      <c r="B245" s="122" t="n">
        <f aca="false">B244+1</f>
        <v>242</v>
      </c>
      <c r="C245" s="123" t="s">
        <v>162</v>
      </c>
      <c r="D245" s="140" t="n">
        <v>61073</v>
      </c>
      <c r="E245" s="124" t="str">
        <f aca="false">IF(D245="","",IFERROR(VLOOKUP(D245,CCN_Library!$A$4:$B$13,2,FALSE()),"NOT IN LIBRARY"))</f>
        <v>COMPANY/BATTERY HEADQUARTERS, MARINE CORPS</v>
      </c>
      <c r="F245" s="125" t="str">
        <f aca="false">LEFT(H245,6)</f>
        <v>M28261</v>
      </c>
      <c r="G245" s="126" t="s">
        <v>128</v>
      </c>
      <c r="H245" s="126" t="s">
        <v>547</v>
      </c>
      <c r="I245" s="126" t="s">
        <v>474</v>
      </c>
      <c r="J245" s="126" t="s">
        <v>189</v>
      </c>
      <c r="K245" s="127" t="s">
        <v>475</v>
      </c>
      <c r="L245" s="126" t="s">
        <v>161</v>
      </c>
      <c r="M245" s="126" t="s">
        <v>133</v>
      </c>
      <c r="N245" s="126" t="s">
        <v>128</v>
      </c>
      <c r="O245" s="126" t="s">
        <v>135</v>
      </c>
      <c r="P245" s="126" t="s">
        <v>135</v>
      </c>
      <c r="Q245" s="128"/>
      <c r="R245" s="126" t="s">
        <v>136</v>
      </c>
      <c r="S245" s="126" t="s">
        <v>137</v>
      </c>
      <c r="T245" s="128"/>
      <c r="U245" s="129" t="n">
        <v>0</v>
      </c>
      <c r="V245" s="129" t="n">
        <v>0</v>
      </c>
      <c r="W245" s="129" t="n">
        <v>0</v>
      </c>
      <c r="X245" s="129" t="n">
        <v>0</v>
      </c>
      <c r="Y245" s="129" t="n">
        <v>0</v>
      </c>
      <c r="Z245" s="129" t="n">
        <v>0</v>
      </c>
      <c r="AA245" s="129" t="n">
        <v>1</v>
      </c>
      <c r="AB245" s="129" t="n">
        <v>0</v>
      </c>
      <c r="AC245" s="129" t="n">
        <v>0</v>
      </c>
      <c r="AD245" s="129" t="n">
        <v>0</v>
      </c>
      <c r="AE245" s="129" t="n">
        <v>0</v>
      </c>
      <c r="AF245" s="129" t="n">
        <v>0</v>
      </c>
      <c r="AG245" s="129" t="n">
        <v>0</v>
      </c>
      <c r="AH245" s="129" t="n">
        <v>0</v>
      </c>
      <c r="AI245" s="129" t="n">
        <v>0</v>
      </c>
      <c r="AJ245" s="129" t="n">
        <v>0</v>
      </c>
      <c r="AK245" s="129" t="n">
        <v>0</v>
      </c>
      <c r="AL245" s="129" t="n">
        <v>0</v>
      </c>
      <c r="AM245" s="129" t="n">
        <v>0</v>
      </c>
      <c r="AN245" s="128"/>
      <c r="AO245" s="128"/>
      <c r="AP245" s="126" t="s">
        <v>138</v>
      </c>
      <c r="AQ245" s="126" t="s">
        <v>139</v>
      </c>
      <c r="AR245" s="126" t="s">
        <v>140</v>
      </c>
      <c r="AS245" s="128"/>
      <c r="AT245" s="130"/>
    </row>
    <row r="246" customFormat="false" ht="12.75" hidden="false" customHeight="true" outlineLevel="0" collapsed="false">
      <c r="B246" s="122" t="n">
        <f aca="false">B245+1</f>
        <v>243</v>
      </c>
      <c r="C246" s="123" t="s">
        <v>168</v>
      </c>
      <c r="D246" s="140" t="n">
        <v>61073</v>
      </c>
      <c r="E246" s="124" t="str">
        <f aca="false">IF(D246="","",IFERROR(VLOOKUP(D246,CCN_Library!$A$4:$B$13,2,FALSE()),"NOT IN LIBRARY"))</f>
        <v>COMPANY/BATTERY HEADQUARTERS, MARINE CORPS</v>
      </c>
      <c r="F246" s="125" t="str">
        <f aca="false">LEFT(H246,6)</f>
        <v>M28261</v>
      </c>
      <c r="G246" s="126" t="s">
        <v>128</v>
      </c>
      <c r="H246" s="126" t="s">
        <v>548</v>
      </c>
      <c r="I246" s="126" t="s">
        <v>477</v>
      </c>
      <c r="J246" s="126" t="s">
        <v>191</v>
      </c>
      <c r="K246" s="127" t="s">
        <v>478</v>
      </c>
      <c r="L246" s="126" t="s">
        <v>161</v>
      </c>
      <c r="M246" s="126" t="s">
        <v>133</v>
      </c>
      <c r="N246" s="126" t="s">
        <v>128</v>
      </c>
      <c r="O246" s="126" t="s">
        <v>135</v>
      </c>
      <c r="P246" s="126" t="s">
        <v>135</v>
      </c>
      <c r="Q246" s="128"/>
      <c r="R246" s="126" t="s">
        <v>136</v>
      </c>
      <c r="S246" s="126" t="s">
        <v>136</v>
      </c>
      <c r="T246" s="128"/>
      <c r="U246" s="129" t="n">
        <v>0</v>
      </c>
      <c r="V246" s="129" t="n">
        <v>0</v>
      </c>
      <c r="W246" s="129" t="n">
        <v>0</v>
      </c>
      <c r="X246" s="129" t="n">
        <v>0</v>
      </c>
      <c r="Y246" s="129" t="n">
        <v>0</v>
      </c>
      <c r="Z246" s="129" t="n">
        <v>0</v>
      </c>
      <c r="AA246" s="129" t="n">
        <v>1</v>
      </c>
      <c r="AB246" s="129" t="n">
        <v>0</v>
      </c>
      <c r="AC246" s="129" t="n">
        <v>0</v>
      </c>
      <c r="AD246" s="129" t="n">
        <v>0</v>
      </c>
      <c r="AE246" s="129" t="n">
        <v>0</v>
      </c>
      <c r="AF246" s="129" t="n">
        <v>0</v>
      </c>
      <c r="AG246" s="129" t="n">
        <v>0</v>
      </c>
      <c r="AH246" s="129" t="n">
        <v>0</v>
      </c>
      <c r="AI246" s="129" t="n">
        <v>0</v>
      </c>
      <c r="AJ246" s="129" t="n">
        <v>0</v>
      </c>
      <c r="AK246" s="129" t="n">
        <v>0</v>
      </c>
      <c r="AL246" s="129" t="n">
        <v>0</v>
      </c>
      <c r="AM246" s="129" t="n">
        <v>0</v>
      </c>
      <c r="AN246" s="128"/>
      <c r="AO246" s="128"/>
      <c r="AP246" s="126" t="s">
        <v>138</v>
      </c>
      <c r="AQ246" s="126" t="s">
        <v>139</v>
      </c>
      <c r="AR246" s="126" t="s">
        <v>140</v>
      </c>
      <c r="AS246" s="128"/>
      <c r="AT246" s="130"/>
    </row>
    <row r="247" customFormat="false" ht="12.75" hidden="false" customHeight="true" outlineLevel="0" collapsed="false">
      <c r="B247" s="122" t="n">
        <f aca="false">B246+1</f>
        <v>244</v>
      </c>
      <c r="C247" s="123" t="s">
        <v>168</v>
      </c>
      <c r="D247" s="140" t="n">
        <v>61073</v>
      </c>
      <c r="E247" s="124" t="str">
        <f aca="false">IF(D247="","",IFERROR(VLOOKUP(D247,CCN_Library!$A$4:$B$13,2,FALSE()),"NOT IN LIBRARY"))</f>
        <v>COMPANY/BATTERY HEADQUARTERS, MARINE CORPS</v>
      </c>
      <c r="F247" s="125" t="str">
        <f aca="false">LEFT(H247,6)</f>
        <v>M28261</v>
      </c>
      <c r="G247" s="126" t="s">
        <v>128</v>
      </c>
      <c r="H247" s="126" t="s">
        <v>549</v>
      </c>
      <c r="I247" s="126" t="s">
        <v>477</v>
      </c>
      <c r="J247" s="126" t="s">
        <v>176</v>
      </c>
      <c r="K247" s="127" t="s">
        <v>478</v>
      </c>
      <c r="L247" s="126" t="s">
        <v>161</v>
      </c>
      <c r="M247" s="126" t="s">
        <v>133</v>
      </c>
      <c r="N247" s="126" t="s">
        <v>128</v>
      </c>
      <c r="O247" s="126" t="s">
        <v>135</v>
      </c>
      <c r="P247" s="126" t="s">
        <v>135</v>
      </c>
      <c r="Q247" s="128"/>
      <c r="R247" s="126" t="s">
        <v>136</v>
      </c>
      <c r="S247" s="126" t="s">
        <v>136</v>
      </c>
      <c r="T247" s="128"/>
      <c r="U247" s="129" t="n">
        <v>0</v>
      </c>
      <c r="V247" s="129" t="n">
        <v>0</v>
      </c>
      <c r="W247" s="129" t="n">
        <v>0</v>
      </c>
      <c r="X247" s="129" t="n">
        <v>0</v>
      </c>
      <c r="Y247" s="129" t="n">
        <v>0</v>
      </c>
      <c r="Z247" s="129" t="n">
        <v>0</v>
      </c>
      <c r="AA247" s="129" t="n">
        <v>1</v>
      </c>
      <c r="AB247" s="129" t="n">
        <v>0</v>
      </c>
      <c r="AC247" s="129" t="n">
        <v>0</v>
      </c>
      <c r="AD247" s="129" t="n">
        <v>0</v>
      </c>
      <c r="AE247" s="129" t="n">
        <v>0</v>
      </c>
      <c r="AF247" s="129" t="n">
        <v>0</v>
      </c>
      <c r="AG247" s="129" t="n">
        <v>0</v>
      </c>
      <c r="AH247" s="129" t="n">
        <v>0</v>
      </c>
      <c r="AI247" s="129" t="n">
        <v>0</v>
      </c>
      <c r="AJ247" s="129" t="n">
        <v>0</v>
      </c>
      <c r="AK247" s="129" t="n">
        <v>0</v>
      </c>
      <c r="AL247" s="129" t="n">
        <v>0</v>
      </c>
      <c r="AM247" s="129" t="n">
        <v>0</v>
      </c>
      <c r="AN247" s="128"/>
      <c r="AO247" s="128"/>
      <c r="AP247" s="126" t="s">
        <v>138</v>
      </c>
      <c r="AQ247" s="126" t="s">
        <v>139</v>
      </c>
      <c r="AR247" s="126" t="s">
        <v>140</v>
      </c>
      <c r="AS247" s="128"/>
      <c r="AT247" s="130"/>
    </row>
    <row r="248" customFormat="false" ht="12.75" hidden="false" customHeight="true" outlineLevel="0" collapsed="false">
      <c r="B248" s="122" t="n">
        <f aca="false">B247+1</f>
        <v>245</v>
      </c>
      <c r="C248" s="123" t="s">
        <v>168</v>
      </c>
      <c r="D248" s="140" t="n">
        <v>61073</v>
      </c>
      <c r="E248" s="124" t="str">
        <f aca="false">IF(D248="","",IFERROR(VLOOKUP(D248,CCN_Library!$A$4:$B$13,2,FALSE()),"NOT IN LIBRARY"))</f>
        <v>COMPANY/BATTERY HEADQUARTERS, MARINE CORPS</v>
      </c>
      <c r="F248" s="125" t="str">
        <f aca="false">LEFT(H248,6)</f>
        <v>M28261</v>
      </c>
      <c r="G248" s="126" t="s">
        <v>128</v>
      </c>
      <c r="H248" s="126" t="s">
        <v>550</v>
      </c>
      <c r="I248" s="126" t="s">
        <v>159</v>
      </c>
      <c r="J248" s="126" t="s">
        <v>176</v>
      </c>
      <c r="K248" s="127" t="s">
        <v>161</v>
      </c>
      <c r="L248" s="126" t="s">
        <v>161</v>
      </c>
      <c r="M248" s="126" t="s">
        <v>133</v>
      </c>
      <c r="N248" s="126" t="s">
        <v>128</v>
      </c>
      <c r="O248" s="126" t="s">
        <v>135</v>
      </c>
      <c r="P248" s="126" t="s">
        <v>135</v>
      </c>
      <c r="Q248" s="128"/>
      <c r="R248" s="126" t="s">
        <v>136</v>
      </c>
      <c r="S248" s="126" t="s">
        <v>136</v>
      </c>
      <c r="T248" s="128"/>
      <c r="U248" s="129" t="n">
        <v>0</v>
      </c>
      <c r="V248" s="129" t="n">
        <v>0</v>
      </c>
      <c r="W248" s="129" t="n">
        <v>0</v>
      </c>
      <c r="X248" s="129" t="n">
        <v>0</v>
      </c>
      <c r="Y248" s="129" t="n">
        <v>0</v>
      </c>
      <c r="Z248" s="129" t="n">
        <v>0</v>
      </c>
      <c r="AA248" s="129" t="n">
        <v>1</v>
      </c>
      <c r="AB248" s="129" t="n">
        <v>0</v>
      </c>
      <c r="AC248" s="129" t="n">
        <v>0</v>
      </c>
      <c r="AD248" s="129" t="n">
        <v>0</v>
      </c>
      <c r="AE248" s="129" t="n">
        <v>0</v>
      </c>
      <c r="AF248" s="129" t="n">
        <v>0</v>
      </c>
      <c r="AG248" s="129" t="n">
        <v>0</v>
      </c>
      <c r="AH248" s="129" t="n">
        <v>0</v>
      </c>
      <c r="AI248" s="129" t="n">
        <v>0</v>
      </c>
      <c r="AJ248" s="129" t="n">
        <v>0</v>
      </c>
      <c r="AK248" s="129" t="n">
        <v>0</v>
      </c>
      <c r="AL248" s="129" t="n">
        <v>0</v>
      </c>
      <c r="AM248" s="129" t="n">
        <v>0</v>
      </c>
      <c r="AN248" s="128"/>
      <c r="AO248" s="128"/>
      <c r="AP248" s="126" t="s">
        <v>138</v>
      </c>
      <c r="AQ248" s="126" t="s">
        <v>139</v>
      </c>
      <c r="AR248" s="126" t="s">
        <v>140</v>
      </c>
      <c r="AS248" s="128"/>
      <c r="AT248" s="130"/>
    </row>
    <row r="249" customFormat="false" ht="12.75" hidden="false" customHeight="true" outlineLevel="0" collapsed="false">
      <c r="B249" s="131" t="n">
        <f aca="false">B248+1</f>
        <v>246</v>
      </c>
      <c r="C249" s="132" t="s">
        <v>162</v>
      </c>
      <c r="D249" s="133" t="n">
        <v>61073</v>
      </c>
      <c r="E249" s="133"/>
      <c r="F249" s="134" t="str">
        <f aca="false">LEFT(H249,6)</f>
        <v>M28261</v>
      </c>
      <c r="G249" s="135" t="s">
        <v>177</v>
      </c>
      <c r="H249" s="135" t="s">
        <v>551</v>
      </c>
      <c r="I249" s="135" t="s">
        <v>552</v>
      </c>
      <c r="J249" s="136"/>
      <c r="K249" s="136"/>
      <c r="L249" s="136"/>
      <c r="M249" s="136"/>
      <c r="N249" s="136"/>
      <c r="O249" s="136"/>
      <c r="P249" s="136"/>
      <c r="Q249" s="136"/>
      <c r="R249" s="136"/>
      <c r="S249" s="136"/>
      <c r="T249" s="136"/>
      <c r="U249" s="137" t="n">
        <v>0</v>
      </c>
      <c r="V249" s="137" t="n">
        <v>0</v>
      </c>
      <c r="W249" s="137" t="n">
        <v>0</v>
      </c>
      <c r="X249" s="137" t="n">
        <v>0</v>
      </c>
      <c r="Y249" s="137" t="n">
        <v>0</v>
      </c>
      <c r="Z249" s="137" t="n">
        <v>0</v>
      </c>
      <c r="AA249" s="137" t="n">
        <v>0</v>
      </c>
      <c r="AB249" s="137" t="n">
        <v>0</v>
      </c>
      <c r="AC249" s="137" t="n">
        <v>0</v>
      </c>
      <c r="AD249" s="137" t="n">
        <v>0</v>
      </c>
      <c r="AE249" s="137" t="n">
        <v>0</v>
      </c>
      <c r="AF249" s="137" t="n">
        <v>0</v>
      </c>
      <c r="AG249" s="137" t="n">
        <v>0</v>
      </c>
      <c r="AH249" s="137" t="n">
        <v>0</v>
      </c>
      <c r="AI249" s="137" t="n">
        <v>0</v>
      </c>
      <c r="AJ249" s="137" t="n">
        <v>0</v>
      </c>
      <c r="AK249" s="137" t="n">
        <v>0</v>
      </c>
      <c r="AL249" s="137" t="n">
        <v>0</v>
      </c>
      <c r="AM249" s="137" t="n">
        <v>0</v>
      </c>
      <c r="AN249" s="136"/>
      <c r="AO249" s="136"/>
      <c r="AP249" s="136"/>
      <c r="AQ249" s="136"/>
      <c r="AR249" s="136"/>
      <c r="AS249" s="136"/>
      <c r="AT249" s="138"/>
    </row>
    <row r="250" customFormat="false" ht="12.75" hidden="false" customHeight="true" outlineLevel="0" collapsed="false">
      <c r="B250" s="131" t="n">
        <f aca="false">B249+1</f>
        <v>247</v>
      </c>
      <c r="C250" s="132" t="s">
        <v>162</v>
      </c>
      <c r="D250" s="133" t="n">
        <v>61073</v>
      </c>
      <c r="E250" s="133"/>
      <c r="F250" s="134" t="str">
        <f aca="false">LEFT(H250,6)</f>
        <v>M28261</v>
      </c>
      <c r="G250" s="135" t="s">
        <v>177</v>
      </c>
      <c r="H250" s="135" t="s">
        <v>553</v>
      </c>
      <c r="I250" s="135" t="s">
        <v>554</v>
      </c>
      <c r="J250" s="136"/>
      <c r="K250" s="136"/>
      <c r="L250" s="136"/>
      <c r="M250" s="136"/>
      <c r="N250" s="136"/>
      <c r="O250" s="136"/>
      <c r="P250" s="136"/>
      <c r="Q250" s="136"/>
      <c r="R250" s="136"/>
      <c r="S250" s="136"/>
      <c r="T250" s="136"/>
      <c r="U250" s="137" t="n">
        <v>0</v>
      </c>
      <c r="V250" s="137" t="n">
        <v>0</v>
      </c>
      <c r="W250" s="137" t="n">
        <v>0</v>
      </c>
      <c r="X250" s="137" t="n">
        <v>0</v>
      </c>
      <c r="Y250" s="137" t="n">
        <v>0</v>
      </c>
      <c r="Z250" s="137" t="n">
        <v>0</v>
      </c>
      <c r="AA250" s="137" t="n">
        <v>0</v>
      </c>
      <c r="AB250" s="137" t="n">
        <v>0</v>
      </c>
      <c r="AC250" s="137" t="n">
        <v>0</v>
      </c>
      <c r="AD250" s="137" t="n">
        <v>0</v>
      </c>
      <c r="AE250" s="137" t="n">
        <v>0</v>
      </c>
      <c r="AF250" s="137" t="n">
        <v>0</v>
      </c>
      <c r="AG250" s="137" t="n">
        <v>0</v>
      </c>
      <c r="AH250" s="137" t="n">
        <v>0</v>
      </c>
      <c r="AI250" s="137" t="n">
        <v>0</v>
      </c>
      <c r="AJ250" s="137" t="n">
        <v>0</v>
      </c>
      <c r="AK250" s="137" t="n">
        <v>0</v>
      </c>
      <c r="AL250" s="137" t="n">
        <v>0</v>
      </c>
      <c r="AM250" s="137" t="n">
        <v>0</v>
      </c>
      <c r="AN250" s="136"/>
      <c r="AO250" s="136"/>
      <c r="AP250" s="136"/>
      <c r="AQ250" s="136"/>
      <c r="AR250" s="136"/>
      <c r="AS250" s="136"/>
      <c r="AT250" s="138"/>
    </row>
    <row r="251" customFormat="false" ht="12.75" hidden="false" customHeight="true" outlineLevel="0" collapsed="false">
      <c r="B251" s="122" t="n">
        <f aca="false">B250+1</f>
        <v>248</v>
      </c>
      <c r="C251" s="123" t="s">
        <v>162</v>
      </c>
      <c r="D251" s="140" t="n">
        <v>61073</v>
      </c>
      <c r="E251" s="124" t="str">
        <f aca="false">IF(D251="","",IFERROR(VLOOKUP(D251,CCN_Library!$A$4:$B$13,2,FALSE()),"NOT IN LIBRARY"))</f>
        <v>COMPANY/BATTERY HEADQUARTERS, MARINE CORPS</v>
      </c>
      <c r="F251" s="125" t="str">
        <f aca="false">LEFT(H251,6)</f>
        <v>M28261</v>
      </c>
      <c r="G251" s="126" t="s">
        <v>128</v>
      </c>
      <c r="H251" s="126" t="s">
        <v>555</v>
      </c>
      <c r="I251" s="126" t="s">
        <v>486</v>
      </c>
      <c r="J251" s="126" t="s">
        <v>211</v>
      </c>
      <c r="K251" s="127" t="s">
        <v>151</v>
      </c>
      <c r="L251" s="126" t="s">
        <v>151</v>
      </c>
      <c r="M251" s="126" t="s">
        <v>133</v>
      </c>
      <c r="N251" s="126" t="s">
        <v>134</v>
      </c>
      <c r="O251" s="126" t="s">
        <v>135</v>
      </c>
      <c r="P251" s="126" t="s">
        <v>135</v>
      </c>
      <c r="Q251" s="128"/>
      <c r="R251" s="126" t="s">
        <v>136</v>
      </c>
      <c r="S251" s="126" t="s">
        <v>137</v>
      </c>
      <c r="T251" s="128"/>
      <c r="U251" s="129" t="n">
        <v>0</v>
      </c>
      <c r="V251" s="129" t="n">
        <v>0</v>
      </c>
      <c r="W251" s="129" t="n">
        <v>0</v>
      </c>
      <c r="X251" s="129" t="n">
        <v>0</v>
      </c>
      <c r="Y251" s="129" t="n">
        <v>0</v>
      </c>
      <c r="Z251" s="129" t="n">
        <v>1</v>
      </c>
      <c r="AA251" s="129" t="n">
        <v>0</v>
      </c>
      <c r="AB251" s="129" t="n">
        <v>0</v>
      </c>
      <c r="AC251" s="129" t="n">
        <v>0</v>
      </c>
      <c r="AD251" s="129" t="n">
        <v>0</v>
      </c>
      <c r="AE251" s="129" t="n">
        <v>0</v>
      </c>
      <c r="AF251" s="129" t="n">
        <v>0</v>
      </c>
      <c r="AG251" s="129" t="n">
        <v>0</v>
      </c>
      <c r="AH251" s="129" t="n">
        <v>0</v>
      </c>
      <c r="AI251" s="129" t="n">
        <v>0</v>
      </c>
      <c r="AJ251" s="129" t="n">
        <v>0</v>
      </c>
      <c r="AK251" s="129" t="n">
        <v>0</v>
      </c>
      <c r="AL251" s="129" t="n">
        <v>0</v>
      </c>
      <c r="AM251" s="129" t="n">
        <v>0</v>
      </c>
      <c r="AN251" s="128"/>
      <c r="AO251" s="128"/>
      <c r="AP251" s="126" t="s">
        <v>138</v>
      </c>
      <c r="AQ251" s="126" t="s">
        <v>139</v>
      </c>
      <c r="AR251" s="126" t="s">
        <v>140</v>
      </c>
      <c r="AS251" s="128"/>
      <c r="AT251" s="130"/>
    </row>
    <row r="252" customFormat="false" ht="12.75" hidden="false" customHeight="true" outlineLevel="0" collapsed="false">
      <c r="B252" s="122" t="n">
        <f aca="false">B251+1</f>
        <v>249</v>
      </c>
      <c r="C252" s="123" t="s">
        <v>162</v>
      </c>
      <c r="D252" s="140" t="n">
        <v>61073</v>
      </c>
      <c r="E252" s="124" t="str">
        <f aca="false">IF(D252="","",IFERROR(VLOOKUP(D252,CCN_Library!$A$4:$B$13,2,FALSE()),"NOT IN LIBRARY"))</f>
        <v>COMPANY/BATTERY HEADQUARTERS, MARINE CORPS</v>
      </c>
      <c r="F252" s="125" t="str">
        <f aca="false">LEFT(H252,6)</f>
        <v>M28261</v>
      </c>
      <c r="G252" s="126" t="s">
        <v>128</v>
      </c>
      <c r="H252" s="126" t="s">
        <v>556</v>
      </c>
      <c r="I252" s="126" t="s">
        <v>486</v>
      </c>
      <c r="J252" s="126" t="s">
        <v>211</v>
      </c>
      <c r="K252" s="127" t="s">
        <v>151</v>
      </c>
      <c r="L252" s="126" t="s">
        <v>151</v>
      </c>
      <c r="M252" s="126" t="s">
        <v>133</v>
      </c>
      <c r="N252" s="126" t="s">
        <v>134</v>
      </c>
      <c r="O252" s="126" t="s">
        <v>135</v>
      </c>
      <c r="P252" s="126" t="s">
        <v>135</v>
      </c>
      <c r="Q252" s="128"/>
      <c r="R252" s="126" t="s">
        <v>136</v>
      </c>
      <c r="S252" s="126" t="s">
        <v>137</v>
      </c>
      <c r="T252" s="128"/>
      <c r="U252" s="129" t="n">
        <v>0</v>
      </c>
      <c r="V252" s="129" t="n">
        <v>0</v>
      </c>
      <c r="W252" s="129" t="n">
        <v>0</v>
      </c>
      <c r="X252" s="129" t="n">
        <v>0</v>
      </c>
      <c r="Y252" s="129" t="n">
        <v>0</v>
      </c>
      <c r="Z252" s="129" t="n">
        <v>1</v>
      </c>
      <c r="AA252" s="129" t="n">
        <v>0</v>
      </c>
      <c r="AB252" s="129" t="n">
        <v>0</v>
      </c>
      <c r="AC252" s="129" t="n">
        <v>0</v>
      </c>
      <c r="AD252" s="129" t="n">
        <v>0</v>
      </c>
      <c r="AE252" s="129" t="n">
        <v>0</v>
      </c>
      <c r="AF252" s="129" t="n">
        <v>0</v>
      </c>
      <c r="AG252" s="129" t="n">
        <v>0</v>
      </c>
      <c r="AH252" s="129" t="n">
        <v>0</v>
      </c>
      <c r="AI252" s="129" t="n">
        <v>0</v>
      </c>
      <c r="AJ252" s="129" t="n">
        <v>0</v>
      </c>
      <c r="AK252" s="129" t="n">
        <v>0</v>
      </c>
      <c r="AL252" s="129" t="n">
        <v>0</v>
      </c>
      <c r="AM252" s="129" t="n">
        <v>0</v>
      </c>
      <c r="AN252" s="128"/>
      <c r="AO252" s="128"/>
      <c r="AP252" s="126" t="s">
        <v>138</v>
      </c>
      <c r="AQ252" s="126" t="s">
        <v>139</v>
      </c>
      <c r="AR252" s="126" t="s">
        <v>140</v>
      </c>
      <c r="AS252" s="128"/>
      <c r="AT252" s="130"/>
    </row>
    <row r="253" customFormat="false" ht="12.75" hidden="false" customHeight="true" outlineLevel="0" collapsed="false">
      <c r="B253" s="122" t="n">
        <f aca="false">B252+1</f>
        <v>250</v>
      </c>
      <c r="C253" s="123" t="s">
        <v>162</v>
      </c>
      <c r="D253" s="140" t="n">
        <v>61073</v>
      </c>
      <c r="E253" s="124" t="str">
        <f aca="false">IF(D253="","",IFERROR(VLOOKUP(D253,CCN_Library!$A$4:$B$13,2,FALSE()),"NOT IN LIBRARY"))</f>
        <v>COMPANY/BATTERY HEADQUARTERS, MARINE CORPS</v>
      </c>
      <c r="F253" s="125" t="str">
        <f aca="false">LEFT(H253,6)</f>
        <v>M28261</v>
      </c>
      <c r="G253" s="126" t="s">
        <v>128</v>
      </c>
      <c r="H253" s="126" t="s">
        <v>557</v>
      </c>
      <c r="I253" s="126" t="s">
        <v>489</v>
      </c>
      <c r="J253" s="126" t="s">
        <v>182</v>
      </c>
      <c r="K253" s="127" t="s">
        <v>132</v>
      </c>
      <c r="L253" s="126" t="s">
        <v>132</v>
      </c>
      <c r="M253" s="126" t="s">
        <v>133</v>
      </c>
      <c r="N253" s="126" t="s">
        <v>134</v>
      </c>
      <c r="O253" s="126" t="s">
        <v>135</v>
      </c>
      <c r="P253" s="126" t="s">
        <v>135</v>
      </c>
      <c r="Q253" s="128"/>
      <c r="R253" s="126" t="s">
        <v>136</v>
      </c>
      <c r="S253" s="126" t="s">
        <v>137</v>
      </c>
      <c r="T253" s="128"/>
      <c r="U253" s="129" t="n">
        <v>0</v>
      </c>
      <c r="V253" s="129" t="n">
        <v>0</v>
      </c>
      <c r="W253" s="129" t="n">
        <v>0</v>
      </c>
      <c r="X253" s="129" t="n">
        <v>0</v>
      </c>
      <c r="Y253" s="129" t="n">
        <v>0</v>
      </c>
      <c r="Z253" s="129" t="n">
        <v>1</v>
      </c>
      <c r="AA253" s="129" t="n">
        <v>0</v>
      </c>
      <c r="AB253" s="129" t="n">
        <v>0</v>
      </c>
      <c r="AC253" s="129" t="n">
        <v>0</v>
      </c>
      <c r="AD253" s="129" t="n">
        <v>0</v>
      </c>
      <c r="AE253" s="129" t="n">
        <v>0</v>
      </c>
      <c r="AF253" s="129" t="n">
        <v>0</v>
      </c>
      <c r="AG253" s="129" t="n">
        <v>0</v>
      </c>
      <c r="AH253" s="129" t="n">
        <v>0</v>
      </c>
      <c r="AI253" s="129" t="n">
        <v>0</v>
      </c>
      <c r="AJ253" s="129" t="n">
        <v>0</v>
      </c>
      <c r="AK253" s="129" t="n">
        <v>0</v>
      </c>
      <c r="AL253" s="129" t="n">
        <v>0</v>
      </c>
      <c r="AM253" s="129" t="n">
        <v>0</v>
      </c>
      <c r="AN253" s="128"/>
      <c r="AO253" s="128"/>
      <c r="AP253" s="126" t="s">
        <v>138</v>
      </c>
      <c r="AQ253" s="126" t="s">
        <v>139</v>
      </c>
      <c r="AR253" s="126" t="s">
        <v>140</v>
      </c>
      <c r="AS253" s="128"/>
      <c r="AT253" s="130"/>
    </row>
    <row r="254" customFormat="false" ht="12.75" hidden="false" customHeight="true" outlineLevel="0" collapsed="false">
      <c r="B254" s="122" t="n">
        <f aca="false">B253+1</f>
        <v>251</v>
      </c>
      <c r="C254" s="123" t="s">
        <v>162</v>
      </c>
      <c r="D254" s="140" t="n">
        <v>61073</v>
      </c>
      <c r="E254" s="124" t="str">
        <f aca="false">IF(D254="","",IFERROR(VLOOKUP(D254,CCN_Library!$A$4:$B$13,2,FALSE()),"NOT IN LIBRARY"))</f>
        <v>COMPANY/BATTERY HEADQUARTERS, MARINE CORPS</v>
      </c>
      <c r="F254" s="125" t="str">
        <f aca="false">LEFT(H254,6)</f>
        <v>M28261</v>
      </c>
      <c r="G254" s="126" t="s">
        <v>128</v>
      </c>
      <c r="H254" s="126" t="s">
        <v>558</v>
      </c>
      <c r="I254" s="126" t="s">
        <v>474</v>
      </c>
      <c r="J254" s="126" t="s">
        <v>187</v>
      </c>
      <c r="K254" s="127" t="s">
        <v>475</v>
      </c>
      <c r="L254" s="126" t="s">
        <v>161</v>
      </c>
      <c r="M254" s="126" t="s">
        <v>133</v>
      </c>
      <c r="N254" s="126" t="s">
        <v>128</v>
      </c>
      <c r="O254" s="126" t="s">
        <v>135</v>
      </c>
      <c r="P254" s="126" t="s">
        <v>135</v>
      </c>
      <c r="Q254" s="128"/>
      <c r="R254" s="126" t="s">
        <v>136</v>
      </c>
      <c r="S254" s="126" t="s">
        <v>137</v>
      </c>
      <c r="T254" s="128"/>
      <c r="U254" s="129" t="n">
        <v>0</v>
      </c>
      <c r="V254" s="129" t="n">
        <v>0</v>
      </c>
      <c r="W254" s="129" t="n">
        <v>0</v>
      </c>
      <c r="X254" s="129" t="n">
        <v>0</v>
      </c>
      <c r="Y254" s="129" t="n">
        <v>0</v>
      </c>
      <c r="Z254" s="129" t="n">
        <v>0</v>
      </c>
      <c r="AA254" s="129" t="n">
        <v>1</v>
      </c>
      <c r="AB254" s="129" t="n">
        <v>0</v>
      </c>
      <c r="AC254" s="129" t="n">
        <v>0</v>
      </c>
      <c r="AD254" s="129" t="n">
        <v>0</v>
      </c>
      <c r="AE254" s="129" t="n">
        <v>0</v>
      </c>
      <c r="AF254" s="129" t="n">
        <v>0</v>
      </c>
      <c r="AG254" s="129" t="n">
        <v>0</v>
      </c>
      <c r="AH254" s="129" t="n">
        <v>0</v>
      </c>
      <c r="AI254" s="129" t="n">
        <v>0</v>
      </c>
      <c r="AJ254" s="129" t="n">
        <v>0</v>
      </c>
      <c r="AK254" s="129" t="n">
        <v>0</v>
      </c>
      <c r="AL254" s="129" t="n">
        <v>0</v>
      </c>
      <c r="AM254" s="129" t="n">
        <v>0</v>
      </c>
      <c r="AN254" s="128"/>
      <c r="AO254" s="128"/>
      <c r="AP254" s="126" t="s">
        <v>138</v>
      </c>
      <c r="AQ254" s="126" t="s">
        <v>139</v>
      </c>
      <c r="AR254" s="126" t="s">
        <v>140</v>
      </c>
      <c r="AS254" s="128"/>
      <c r="AT254" s="130"/>
    </row>
    <row r="255" customFormat="false" ht="12.75" hidden="false" customHeight="true" outlineLevel="0" collapsed="false">
      <c r="B255" s="122" t="n">
        <f aca="false">B254+1</f>
        <v>252</v>
      </c>
      <c r="C255" s="123" t="s">
        <v>168</v>
      </c>
      <c r="D255" s="140" t="n">
        <v>61073</v>
      </c>
      <c r="E255" s="124" t="str">
        <f aca="false">IF(D255="","",IFERROR(VLOOKUP(D255,CCN_Library!$A$4:$B$13,2,FALSE()),"NOT IN LIBRARY"))</f>
        <v>COMPANY/BATTERY HEADQUARTERS, MARINE CORPS</v>
      </c>
      <c r="F255" s="125" t="str">
        <f aca="false">LEFT(H255,6)</f>
        <v>M28261</v>
      </c>
      <c r="G255" s="126" t="s">
        <v>128</v>
      </c>
      <c r="H255" s="126" t="s">
        <v>559</v>
      </c>
      <c r="I255" s="126" t="s">
        <v>159</v>
      </c>
      <c r="J255" s="126" t="s">
        <v>191</v>
      </c>
      <c r="K255" s="127" t="s">
        <v>161</v>
      </c>
      <c r="L255" s="126" t="s">
        <v>161</v>
      </c>
      <c r="M255" s="126" t="s">
        <v>133</v>
      </c>
      <c r="N255" s="126" t="s">
        <v>128</v>
      </c>
      <c r="O255" s="126" t="s">
        <v>135</v>
      </c>
      <c r="P255" s="126" t="s">
        <v>135</v>
      </c>
      <c r="Q255" s="128"/>
      <c r="R255" s="126" t="s">
        <v>136</v>
      </c>
      <c r="S255" s="126" t="s">
        <v>136</v>
      </c>
      <c r="T255" s="128"/>
      <c r="U255" s="129" t="n">
        <v>0</v>
      </c>
      <c r="V255" s="129" t="n">
        <v>0</v>
      </c>
      <c r="W255" s="129" t="n">
        <v>0</v>
      </c>
      <c r="X255" s="129" t="n">
        <v>0</v>
      </c>
      <c r="Y255" s="129" t="n">
        <v>0</v>
      </c>
      <c r="Z255" s="129" t="n">
        <v>0</v>
      </c>
      <c r="AA255" s="129" t="n">
        <v>1</v>
      </c>
      <c r="AB255" s="129" t="n">
        <v>0</v>
      </c>
      <c r="AC255" s="129" t="n">
        <v>0</v>
      </c>
      <c r="AD255" s="129" t="n">
        <v>0</v>
      </c>
      <c r="AE255" s="129" t="n">
        <v>0</v>
      </c>
      <c r="AF255" s="129" t="n">
        <v>0</v>
      </c>
      <c r="AG255" s="129" t="n">
        <v>0</v>
      </c>
      <c r="AH255" s="129" t="n">
        <v>0</v>
      </c>
      <c r="AI255" s="129" t="n">
        <v>0</v>
      </c>
      <c r="AJ255" s="129" t="n">
        <v>0</v>
      </c>
      <c r="AK255" s="129" t="n">
        <v>0</v>
      </c>
      <c r="AL255" s="129" t="n">
        <v>0</v>
      </c>
      <c r="AM255" s="129" t="n">
        <v>0</v>
      </c>
      <c r="AN255" s="128"/>
      <c r="AO255" s="128"/>
      <c r="AP255" s="126" t="s">
        <v>138</v>
      </c>
      <c r="AQ255" s="126" t="s">
        <v>139</v>
      </c>
      <c r="AR255" s="126" t="s">
        <v>140</v>
      </c>
      <c r="AS255" s="128"/>
      <c r="AT255" s="130"/>
    </row>
    <row r="256" customFormat="false" ht="12.75" hidden="false" customHeight="true" outlineLevel="0" collapsed="false">
      <c r="B256" s="122" t="n">
        <f aca="false">B255+1</f>
        <v>253</v>
      </c>
      <c r="C256" s="123" t="s">
        <v>168</v>
      </c>
      <c r="D256" s="140" t="n">
        <v>61073</v>
      </c>
      <c r="E256" s="124" t="str">
        <f aca="false">IF(D256="","",IFERROR(VLOOKUP(D256,CCN_Library!$A$4:$B$13,2,FALSE()),"NOT IN LIBRARY"))</f>
        <v>COMPANY/BATTERY HEADQUARTERS, MARINE CORPS</v>
      </c>
      <c r="F256" s="125" t="str">
        <f aca="false">LEFT(H256,6)</f>
        <v>M28261</v>
      </c>
      <c r="G256" s="126" t="s">
        <v>128</v>
      </c>
      <c r="H256" s="126" t="s">
        <v>560</v>
      </c>
      <c r="I256" s="126" t="s">
        <v>159</v>
      </c>
      <c r="J256" s="126" t="s">
        <v>191</v>
      </c>
      <c r="K256" s="127" t="s">
        <v>161</v>
      </c>
      <c r="L256" s="126" t="s">
        <v>161</v>
      </c>
      <c r="M256" s="126" t="s">
        <v>133</v>
      </c>
      <c r="N256" s="126" t="s">
        <v>128</v>
      </c>
      <c r="O256" s="126" t="s">
        <v>135</v>
      </c>
      <c r="P256" s="126" t="s">
        <v>135</v>
      </c>
      <c r="Q256" s="128"/>
      <c r="R256" s="126" t="s">
        <v>136</v>
      </c>
      <c r="S256" s="126" t="s">
        <v>136</v>
      </c>
      <c r="T256" s="128"/>
      <c r="U256" s="129" t="n">
        <v>0</v>
      </c>
      <c r="V256" s="129" t="n">
        <v>0</v>
      </c>
      <c r="W256" s="129" t="n">
        <v>0</v>
      </c>
      <c r="X256" s="129" t="n">
        <v>0</v>
      </c>
      <c r="Y256" s="129" t="n">
        <v>0</v>
      </c>
      <c r="Z256" s="129" t="n">
        <v>0</v>
      </c>
      <c r="AA256" s="129" t="n">
        <v>1</v>
      </c>
      <c r="AB256" s="129" t="n">
        <v>0</v>
      </c>
      <c r="AC256" s="129" t="n">
        <v>0</v>
      </c>
      <c r="AD256" s="129" t="n">
        <v>0</v>
      </c>
      <c r="AE256" s="129" t="n">
        <v>0</v>
      </c>
      <c r="AF256" s="129" t="n">
        <v>0</v>
      </c>
      <c r="AG256" s="129" t="n">
        <v>0</v>
      </c>
      <c r="AH256" s="129" t="n">
        <v>0</v>
      </c>
      <c r="AI256" s="129" t="n">
        <v>0</v>
      </c>
      <c r="AJ256" s="129" t="n">
        <v>0</v>
      </c>
      <c r="AK256" s="129" t="n">
        <v>0</v>
      </c>
      <c r="AL256" s="129" t="n">
        <v>0</v>
      </c>
      <c r="AM256" s="129" t="n">
        <v>0</v>
      </c>
      <c r="AN256" s="128"/>
      <c r="AO256" s="128"/>
      <c r="AP256" s="126" t="s">
        <v>138</v>
      </c>
      <c r="AQ256" s="126" t="s">
        <v>139</v>
      </c>
      <c r="AR256" s="126" t="s">
        <v>140</v>
      </c>
      <c r="AS256" s="128"/>
      <c r="AT256" s="130"/>
    </row>
    <row r="257" customFormat="false" ht="12.75" hidden="false" customHeight="true" outlineLevel="0" collapsed="false">
      <c r="B257" s="122" t="n">
        <f aca="false">B256+1</f>
        <v>254</v>
      </c>
      <c r="C257" s="123" t="s">
        <v>168</v>
      </c>
      <c r="D257" s="140" t="n">
        <v>61073</v>
      </c>
      <c r="E257" s="124" t="str">
        <f aca="false">IF(D257="","",IFERROR(VLOOKUP(D257,CCN_Library!$A$4:$B$13,2,FALSE()),"NOT IN LIBRARY"))</f>
        <v>COMPANY/BATTERY HEADQUARTERS, MARINE CORPS</v>
      </c>
      <c r="F257" s="125" t="str">
        <f aca="false">LEFT(H257,6)</f>
        <v>M28261</v>
      </c>
      <c r="G257" s="126" t="s">
        <v>128</v>
      </c>
      <c r="H257" s="126" t="s">
        <v>561</v>
      </c>
      <c r="I257" s="126" t="s">
        <v>159</v>
      </c>
      <c r="J257" s="126" t="s">
        <v>191</v>
      </c>
      <c r="K257" s="127" t="s">
        <v>161</v>
      </c>
      <c r="L257" s="126" t="s">
        <v>161</v>
      </c>
      <c r="M257" s="126" t="s">
        <v>133</v>
      </c>
      <c r="N257" s="126" t="s">
        <v>128</v>
      </c>
      <c r="O257" s="126" t="s">
        <v>135</v>
      </c>
      <c r="P257" s="126" t="s">
        <v>135</v>
      </c>
      <c r="Q257" s="128"/>
      <c r="R257" s="126" t="s">
        <v>136</v>
      </c>
      <c r="S257" s="126" t="s">
        <v>136</v>
      </c>
      <c r="T257" s="128"/>
      <c r="U257" s="129" t="n">
        <v>0</v>
      </c>
      <c r="V257" s="129" t="n">
        <v>0</v>
      </c>
      <c r="W257" s="129" t="n">
        <v>0</v>
      </c>
      <c r="X257" s="129" t="n">
        <v>0</v>
      </c>
      <c r="Y257" s="129" t="n">
        <v>0</v>
      </c>
      <c r="Z257" s="129" t="n">
        <v>0</v>
      </c>
      <c r="AA257" s="129" t="n">
        <v>1</v>
      </c>
      <c r="AB257" s="129" t="n">
        <v>0</v>
      </c>
      <c r="AC257" s="129" t="n">
        <v>0</v>
      </c>
      <c r="AD257" s="129" t="n">
        <v>0</v>
      </c>
      <c r="AE257" s="129" t="n">
        <v>0</v>
      </c>
      <c r="AF257" s="129" t="n">
        <v>0</v>
      </c>
      <c r="AG257" s="129" t="n">
        <v>0</v>
      </c>
      <c r="AH257" s="129" t="n">
        <v>0</v>
      </c>
      <c r="AI257" s="129" t="n">
        <v>0</v>
      </c>
      <c r="AJ257" s="129" t="n">
        <v>0</v>
      </c>
      <c r="AK257" s="129" t="n">
        <v>0</v>
      </c>
      <c r="AL257" s="129" t="n">
        <v>0</v>
      </c>
      <c r="AM257" s="129" t="n">
        <v>0</v>
      </c>
      <c r="AN257" s="128"/>
      <c r="AO257" s="128"/>
      <c r="AP257" s="126" t="s">
        <v>138</v>
      </c>
      <c r="AQ257" s="126" t="s">
        <v>139</v>
      </c>
      <c r="AR257" s="126" t="s">
        <v>140</v>
      </c>
      <c r="AS257" s="128"/>
      <c r="AT257" s="139"/>
    </row>
    <row r="258" customFormat="false" ht="12.75" hidden="false" customHeight="true" outlineLevel="0" collapsed="false">
      <c r="B258" s="122" t="n">
        <f aca="false">B257+1</f>
        <v>255</v>
      </c>
      <c r="C258" s="123" t="s">
        <v>168</v>
      </c>
      <c r="D258" s="140" t="n">
        <v>61073</v>
      </c>
      <c r="E258" s="124" t="str">
        <f aca="false">IF(D258="","",IFERROR(VLOOKUP(D258,CCN_Library!$A$4:$B$13,2,FALSE()),"NOT IN LIBRARY"))</f>
        <v>COMPANY/BATTERY HEADQUARTERS, MARINE CORPS</v>
      </c>
      <c r="F258" s="125" t="str">
        <f aca="false">LEFT(H258,6)</f>
        <v>M28261</v>
      </c>
      <c r="G258" s="126" t="s">
        <v>128</v>
      </c>
      <c r="H258" s="126" t="s">
        <v>562</v>
      </c>
      <c r="I258" s="126" t="s">
        <v>159</v>
      </c>
      <c r="J258" s="126" t="s">
        <v>176</v>
      </c>
      <c r="K258" s="127" t="s">
        <v>161</v>
      </c>
      <c r="L258" s="126" t="s">
        <v>161</v>
      </c>
      <c r="M258" s="126" t="s">
        <v>133</v>
      </c>
      <c r="N258" s="126" t="s">
        <v>128</v>
      </c>
      <c r="O258" s="126" t="s">
        <v>135</v>
      </c>
      <c r="P258" s="126" t="s">
        <v>135</v>
      </c>
      <c r="Q258" s="128"/>
      <c r="R258" s="126" t="s">
        <v>136</v>
      </c>
      <c r="S258" s="126" t="s">
        <v>136</v>
      </c>
      <c r="T258" s="128"/>
      <c r="U258" s="129" t="n">
        <v>0</v>
      </c>
      <c r="V258" s="129" t="n">
        <v>0</v>
      </c>
      <c r="W258" s="129" t="n">
        <v>0</v>
      </c>
      <c r="X258" s="129" t="n">
        <v>0</v>
      </c>
      <c r="Y258" s="129" t="n">
        <v>0</v>
      </c>
      <c r="Z258" s="129" t="n">
        <v>0</v>
      </c>
      <c r="AA258" s="129" t="n">
        <v>1</v>
      </c>
      <c r="AB258" s="129" t="n">
        <v>0</v>
      </c>
      <c r="AC258" s="129" t="n">
        <v>0</v>
      </c>
      <c r="AD258" s="129" t="n">
        <v>0</v>
      </c>
      <c r="AE258" s="129" t="n">
        <v>0</v>
      </c>
      <c r="AF258" s="129" t="n">
        <v>0</v>
      </c>
      <c r="AG258" s="129" t="n">
        <v>0</v>
      </c>
      <c r="AH258" s="129" t="n">
        <v>0</v>
      </c>
      <c r="AI258" s="129" t="n">
        <v>0</v>
      </c>
      <c r="AJ258" s="129" t="n">
        <v>0</v>
      </c>
      <c r="AK258" s="129" t="n">
        <v>0</v>
      </c>
      <c r="AL258" s="129" t="n">
        <v>0</v>
      </c>
      <c r="AM258" s="129" t="n">
        <v>0</v>
      </c>
      <c r="AN258" s="128"/>
      <c r="AO258" s="128"/>
      <c r="AP258" s="126" t="s">
        <v>138</v>
      </c>
      <c r="AQ258" s="126" t="s">
        <v>139</v>
      </c>
      <c r="AR258" s="126" t="s">
        <v>140</v>
      </c>
      <c r="AS258" s="128"/>
      <c r="AT258" s="130"/>
    </row>
    <row r="259" customFormat="false" ht="12.75" hidden="false" customHeight="true" outlineLevel="0" collapsed="false">
      <c r="B259" s="122" t="n">
        <f aca="false">B258+1</f>
        <v>256</v>
      </c>
      <c r="C259" s="123" t="s">
        <v>168</v>
      </c>
      <c r="D259" s="140" t="n">
        <v>61073</v>
      </c>
      <c r="E259" s="124" t="str">
        <f aca="false">IF(D259="","",IFERROR(VLOOKUP(D259,CCN_Library!$A$4:$B$13,2,FALSE()),"NOT IN LIBRARY"))</f>
        <v>COMPANY/BATTERY HEADQUARTERS, MARINE CORPS</v>
      </c>
      <c r="F259" s="125" t="str">
        <f aca="false">LEFT(H259,6)</f>
        <v>M28261</v>
      </c>
      <c r="G259" s="126" t="s">
        <v>128</v>
      </c>
      <c r="H259" s="126" t="s">
        <v>563</v>
      </c>
      <c r="I259" s="126" t="s">
        <v>159</v>
      </c>
      <c r="J259" s="126" t="s">
        <v>176</v>
      </c>
      <c r="K259" s="127" t="s">
        <v>161</v>
      </c>
      <c r="L259" s="126" t="s">
        <v>161</v>
      </c>
      <c r="M259" s="126" t="s">
        <v>133</v>
      </c>
      <c r="N259" s="126" t="s">
        <v>128</v>
      </c>
      <c r="O259" s="126" t="s">
        <v>135</v>
      </c>
      <c r="P259" s="126" t="s">
        <v>135</v>
      </c>
      <c r="Q259" s="128"/>
      <c r="R259" s="126" t="s">
        <v>136</v>
      </c>
      <c r="S259" s="126" t="s">
        <v>136</v>
      </c>
      <c r="T259" s="128"/>
      <c r="U259" s="129" t="n">
        <v>0</v>
      </c>
      <c r="V259" s="129" t="n">
        <v>0</v>
      </c>
      <c r="W259" s="129" t="n">
        <v>0</v>
      </c>
      <c r="X259" s="129" t="n">
        <v>0</v>
      </c>
      <c r="Y259" s="129" t="n">
        <v>0</v>
      </c>
      <c r="Z259" s="129" t="n">
        <v>0</v>
      </c>
      <c r="AA259" s="129" t="n">
        <v>1</v>
      </c>
      <c r="AB259" s="129" t="n">
        <v>0</v>
      </c>
      <c r="AC259" s="129" t="n">
        <v>0</v>
      </c>
      <c r="AD259" s="129" t="n">
        <v>0</v>
      </c>
      <c r="AE259" s="129" t="n">
        <v>0</v>
      </c>
      <c r="AF259" s="129" t="n">
        <v>0</v>
      </c>
      <c r="AG259" s="129" t="n">
        <v>0</v>
      </c>
      <c r="AH259" s="129" t="n">
        <v>0</v>
      </c>
      <c r="AI259" s="129" t="n">
        <v>0</v>
      </c>
      <c r="AJ259" s="129" t="n">
        <v>0</v>
      </c>
      <c r="AK259" s="129" t="n">
        <v>0</v>
      </c>
      <c r="AL259" s="129" t="n">
        <v>0</v>
      </c>
      <c r="AM259" s="129" t="n">
        <v>0</v>
      </c>
      <c r="AN259" s="128"/>
      <c r="AO259" s="128"/>
      <c r="AP259" s="126" t="s">
        <v>138</v>
      </c>
      <c r="AQ259" s="126" t="s">
        <v>139</v>
      </c>
      <c r="AR259" s="126" t="s">
        <v>140</v>
      </c>
      <c r="AS259" s="128"/>
      <c r="AT259" s="130"/>
    </row>
    <row r="260" customFormat="false" ht="12.75" hidden="false" customHeight="true" outlineLevel="0" collapsed="false">
      <c r="B260" s="122" t="n">
        <f aca="false">B259+1</f>
        <v>257</v>
      </c>
      <c r="C260" s="123" t="s">
        <v>168</v>
      </c>
      <c r="D260" s="140" t="n">
        <v>61073</v>
      </c>
      <c r="E260" s="124" t="str">
        <f aca="false">IF(D260="","",IFERROR(VLOOKUP(D260,CCN_Library!$A$4:$B$13,2,FALSE()),"NOT IN LIBRARY"))</f>
        <v>COMPANY/BATTERY HEADQUARTERS, MARINE CORPS</v>
      </c>
      <c r="F260" s="125" t="str">
        <f aca="false">LEFT(H260,6)</f>
        <v>M28261</v>
      </c>
      <c r="G260" s="126" t="s">
        <v>128</v>
      </c>
      <c r="H260" s="126" t="s">
        <v>564</v>
      </c>
      <c r="I260" s="126" t="s">
        <v>159</v>
      </c>
      <c r="J260" s="126" t="s">
        <v>176</v>
      </c>
      <c r="K260" s="127" t="s">
        <v>161</v>
      </c>
      <c r="L260" s="126" t="s">
        <v>161</v>
      </c>
      <c r="M260" s="126" t="s">
        <v>133</v>
      </c>
      <c r="N260" s="126" t="s">
        <v>128</v>
      </c>
      <c r="O260" s="126" t="s">
        <v>135</v>
      </c>
      <c r="P260" s="126" t="s">
        <v>135</v>
      </c>
      <c r="Q260" s="128"/>
      <c r="R260" s="126" t="s">
        <v>136</v>
      </c>
      <c r="S260" s="126" t="s">
        <v>136</v>
      </c>
      <c r="T260" s="128"/>
      <c r="U260" s="129" t="n">
        <v>0</v>
      </c>
      <c r="V260" s="129" t="n">
        <v>0</v>
      </c>
      <c r="W260" s="129" t="n">
        <v>0</v>
      </c>
      <c r="X260" s="129" t="n">
        <v>0</v>
      </c>
      <c r="Y260" s="129" t="n">
        <v>0</v>
      </c>
      <c r="Z260" s="129" t="n">
        <v>0</v>
      </c>
      <c r="AA260" s="129" t="n">
        <v>1</v>
      </c>
      <c r="AB260" s="129" t="n">
        <v>0</v>
      </c>
      <c r="AC260" s="129" t="n">
        <v>0</v>
      </c>
      <c r="AD260" s="129" t="n">
        <v>0</v>
      </c>
      <c r="AE260" s="129" t="n">
        <v>0</v>
      </c>
      <c r="AF260" s="129" t="n">
        <v>0</v>
      </c>
      <c r="AG260" s="129" t="n">
        <v>0</v>
      </c>
      <c r="AH260" s="129" t="n">
        <v>0</v>
      </c>
      <c r="AI260" s="129" t="n">
        <v>0</v>
      </c>
      <c r="AJ260" s="129" t="n">
        <v>0</v>
      </c>
      <c r="AK260" s="129" t="n">
        <v>0</v>
      </c>
      <c r="AL260" s="129" t="n">
        <v>0</v>
      </c>
      <c r="AM260" s="129" t="n">
        <v>0</v>
      </c>
      <c r="AN260" s="128"/>
      <c r="AO260" s="128"/>
      <c r="AP260" s="126" t="s">
        <v>138</v>
      </c>
      <c r="AQ260" s="126" t="s">
        <v>139</v>
      </c>
      <c r="AR260" s="126" t="s">
        <v>140</v>
      </c>
      <c r="AS260" s="128"/>
      <c r="AT260" s="130"/>
    </row>
    <row r="261" customFormat="false" ht="12.75" hidden="false" customHeight="true" outlineLevel="0" collapsed="false">
      <c r="B261" s="131" t="n">
        <f aca="false">B260+1</f>
        <v>258</v>
      </c>
      <c r="C261" s="132" t="s">
        <v>162</v>
      </c>
      <c r="D261" s="133" t="n">
        <v>61073</v>
      </c>
      <c r="E261" s="133"/>
      <c r="F261" s="134" t="str">
        <f aca="false">LEFT(H261,6)</f>
        <v>M28261</v>
      </c>
      <c r="G261" s="135" t="s">
        <v>177</v>
      </c>
      <c r="H261" s="135" t="s">
        <v>565</v>
      </c>
      <c r="I261" s="135" t="s">
        <v>566</v>
      </c>
      <c r="J261" s="136"/>
      <c r="K261" s="136"/>
      <c r="L261" s="136"/>
      <c r="M261" s="136"/>
      <c r="N261" s="136"/>
      <c r="O261" s="136"/>
      <c r="P261" s="136"/>
      <c r="Q261" s="136"/>
      <c r="R261" s="136"/>
      <c r="S261" s="136"/>
      <c r="T261" s="136"/>
      <c r="U261" s="137" t="n">
        <v>0</v>
      </c>
      <c r="V261" s="137" t="n">
        <v>0</v>
      </c>
      <c r="W261" s="137" t="n">
        <v>0</v>
      </c>
      <c r="X261" s="137" t="n">
        <v>0</v>
      </c>
      <c r="Y261" s="137" t="n">
        <v>0</v>
      </c>
      <c r="Z261" s="137" t="n">
        <v>0</v>
      </c>
      <c r="AA261" s="137" t="n">
        <v>0</v>
      </c>
      <c r="AB261" s="137" t="n">
        <v>0</v>
      </c>
      <c r="AC261" s="137" t="n">
        <v>0</v>
      </c>
      <c r="AD261" s="137" t="n">
        <v>0</v>
      </c>
      <c r="AE261" s="137" t="n">
        <v>0</v>
      </c>
      <c r="AF261" s="137" t="n">
        <v>0</v>
      </c>
      <c r="AG261" s="137" t="n">
        <v>0</v>
      </c>
      <c r="AH261" s="137" t="n">
        <v>0</v>
      </c>
      <c r="AI261" s="137" t="n">
        <v>0</v>
      </c>
      <c r="AJ261" s="137" t="n">
        <v>0</v>
      </c>
      <c r="AK261" s="137" t="n">
        <v>0</v>
      </c>
      <c r="AL261" s="137" t="n">
        <v>0</v>
      </c>
      <c r="AM261" s="137" t="n">
        <v>0</v>
      </c>
      <c r="AN261" s="136"/>
      <c r="AO261" s="136"/>
      <c r="AP261" s="136"/>
      <c r="AQ261" s="136"/>
      <c r="AR261" s="136"/>
      <c r="AS261" s="136"/>
      <c r="AT261" s="138"/>
    </row>
    <row r="262" customFormat="false" ht="12.75" hidden="false" customHeight="true" outlineLevel="0" collapsed="false">
      <c r="B262" s="122" t="n">
        <f aca="false">B261+1</f>
        <v>259</v>
      </c>
      <c r="C262" s="123" t="s">
        <v>162</v>
      </c>
      <c r="D262" s="140" t="n">
        <v>61073</v>
      </c>
      <c r="E262" s="124" t="str">
        <f aca="false">IF(D262="","",IFERROR(VLOOKUP(D262,CCN_Library!$A$4:$B$13,2,FALSE()),"NOT IN LIBRARY"))</f>
        <v>COMPANY/BATTERY HEADQUARTERS, MARINE CORPS</v>
      </c>
      <c r="F262" s="125" t="str">
        <f aca="false">LEFT(H262,6)</f>
        <v>M28261</v>
      </c>
      <c r="G262" s="126" t="s">
        <v>128</v>
      </c>
      <c r="H262" s="126" t="s">
        <v>567</v>
      </c>
      <c r="I262" s="126" t="s">
        <v>500</v>
      </c>
      <c r="J262" s="126" t="s">
        <v>182</v>
      </c>
      <c r="K262" s="127" t="s">
        <v>223</v>
      </c>
      <c r="L262" s="126" t="s">
        <v>223</v>
      </c>
      <c r="M262" s="126" t="s">
        <v>133</v>
      </c>
      <c r="N262" s="126" t="s">
        <v>134</v>
      </c>
      <c r="O262" s="126" t="s">
        <v>135</v>
      </c>
      <c r="P262" s="126" t="s">
        <v>135</v>
      </c>
      <c r="Q262" s="128"/>
      <c r="R262" s="126" t="s">
        <v>136</v>
      </c>
      <c r="S262" s="126" t="s">
        <v>137</v>
      </c>
      <c r="T262" s="128"/>
      <c r="U262" s="129" t="n">
        <v>0</v>
      </c>
      <c r="V262" s="129" t="n">
        <v>0</v>
      </c>
      <c r="W262" s="129" t="n">
        <v>0</v>
      </c>
      <c r="X262" s="129" t="n">
        <v>0</v>
      </c>
      <c r="Y262" s="129" t="n">
        <v>0</v>
      </c>
      <c r="Z262" s="129" t="n">
        <v>1</v>
      </c>
      <c r="AA262" s="129" t="n">
        <v>0</v>
      </c>
      <c r="AB262" s="129" t="n">
        <v>0</v>
      </c>
      <c r="AC262" s="129" t="n">
        <v>0</v>
      </c>
      <c r="AD262" s="129" t="n">
        <v>0</v>
      </c>
      <c r="AE262" s="129" t="n">
        <v>0</v>
      </c>
      <c r="AF262" s="129" t="n">
        <v>0</v>
      </c>
      <c r="AG262" s="129" t="n">
        <v>0</v>
      </c>
      <c r="AH262" s="129" t="n">
        <v>0</v>
      </c>
      <c r="AI262" s="129" t="n">
        <v>0</v>
      </c>
      <c r="AJ262" s="129" t="n">
        <v>0</v>
      </c>
      <c r="AK262" s="129" t="n">
        <v>0</v>
      </c>
      <c r="AL262" s="129" t="n">
        <v>0</v>
      </c>
      <c r="AM262" s="129" t="n">
        <v>0</v>
      </c>
      <c r="AN262" s="128"/>
      <c r="AO262" s="128"/>
      <c r="AP262" s="126" t="s">
        <v>138</v>
      </c>
      <c r="AQ262" s="126" t="s">
        <v>139</v>
      </c>
      <c r="AR262" s="126" t="s">
        <v>140</v>
      </c>
      <c r="AS262" s="128"/>
      <c r="AT262" s="130"/>
    </row>
    <row r="263" customFormat="false" ht="12.75" hidden="false" customHeight="true" outlineLevel="0" collapsed="false">
      <c r="B263" s="122" t="n">
        <f aca="false">B262+1</f>
        <v>260</v>
      </c>
      <c r="C263" s="123" t="s">
        <v>162</v>
      </c>
      <c r="D263" s="140" t="n">
        <v>61073</v>
      </c>
      <c r="E263" s="124" t="str">
        <f aca="false">IF(D263="","",IFERROR(VLOOKUP(D263,CCN_Library!$A$4:$B$13,2,FALSE()),"NOT IN LIBRARY"))</f>
        <v>COMPANY/BATTERY HEADQUARTERS, MARINE CORPS</v>
      </c>
      <c r="F263" s="125" t="str">
        <f aca="false">LEFT(H263,6)</f>
        <v>M28261</v>
      </c>
      <c r="G263" s="126" t="s">
        <v>128</v>
      </c>
      <c r="H263" s="126" t="s">
        <v>568</v>
      </c>
      <c r="I263" s="126" t="s">
        <v>159</v>
      </c>
      <c r="J263" s="126" t="s">
        <v>189</v>
      </c>
      <c r="K263" s="127" t="s">
        <v>161</v>
      </c>
      <c r="L263" s="126" t="s">
        <v>161</v>
      </c>
      <c r="M263" s="126" t="s">
        <v>133</v>
      </c>
      <c r="N263" s="126" t="s">
        <v>128</v>
      </c>
      <c r="O263" s="126" t="s">
        <v>135</v>
      </c>
      <c r="P263" s="126" t="s">
        <v>135</v>
      </c>
      <c r="Q263" s="128"/>
      <c r="R263" s="126" t="s">
        <v>136</v>
      </c>
      <c r="S263" s="126" t="s">
        <v>137</v>
      </c>
      <c r="T263" s="128"/>
      <c r="U263" s="129" t="n">
        <v>0</v>
      </c>
      <c r="V263" s="129" t="n">
        <v>0</v>
      </c>
      <c r="W263" s="129" t="n">
        <v>0</v>
      </c>
      <c r="X263" s="129" t="n">
        <v>0</v>
      </c>
      <c r="Y263" s="129" t="n">
        <v>0</v>
      </c>
      <c r="Z263" s="129" t="n">
        <v>0</v>
      </c>
      <c r="AA263" s="129" t="n">
        <v>1</v>
      </c>
      <c r="AB263" s="129" t="n">
        <v>0</v>
      </c>
      <c r="AC263" s="129" t="n">
        <v>0</v>
      </c>
      <c r="AD263" s="129" t="n">
        <v>0</v>
      </c>
      <c r="AE263" s="129" t="n">
        <v>0</v>
      </c>
      <c r="AF263" s="129" t="n">
        <v>0</v>
      </c>
      <c r="AG263" s="129" t="n">
        <v>0</v>
      </c>
      <c r="AH263" s="129" t="n">
        <v>0</v>
      </c>
      <c r="AI263" s="129" t="n">
        <v>0</v>
      </c>
      <c r="AJ263" s="129" t="n">
        <v>0</v>
      </c>
      <c r="AK263" s="129" t="n">
        <v>0</v>
      </c>
      <c r="AL263" s="129" t="n">
        <v>0</v>
      </c>
      <c r="AM263" s="129" t="n">
        <v>0</v>
      </c>
      <c r="AN263" s="128"/>
      <c r="AO263" s="128"/>
      <c r="AP263" s="126" t="s">
        <v>138</v>
      </c>
      <c r="AQ263" s="126" t="s">
        <v>139</v>
      </c>
      <c r="AR263" s="126" t="s">
        <v>140</v>
      </c>
      <c r="AS263" s="128"/>
      <c r="AT263" s="130"/>
    </row>
    <row r="264" customFormat="false" ht="12.75" hidden="false" customHeight="true" outlineLevel="0" collapsed="false">
      <c r="B264" s="122" t="n">
        <f aca="false">B263+1</f>
        <v>261</v>
      </c>
      <c r="C264" s="123" t="s">
        <v>168</v>
      </c>
      <c r="D264" s="140" t="n">
        <v>61073</v>
      </c>
      <c r="E264" s="124" t="str">
        <f aca="false">IF(D264="","",IFERROR(VLOOKUP(D264,CCN_Library!$A$4:$B$13,2,FALSE()),"NOT IN LIBRARY"))</f>
        <v>COMPANY/BATTERY HEADQUARTERS, MARINE CORPS</v>
      </c>
      <c r="F264" s="125" t="str">
        <f aca="false">LEFT(H264,6)</f>
        <v>M28261</v>
      </c>
      <c r="G264" s="126" t="s">
        <v>128</v>
      </c>
      <c r="H264" s="126" t="s">
        <v>569</v>
      </c>
      <c r="I264" s="126" t="s">
        <v>159</v>
      </c>
      <c r="J264" s="126" t="s">
        <v>191</v>
      </c>
      <c r="K264" s="127" t="s">
        <v>161</v>
      </c>
      <c r="L264" s="126" t="s">
        <v>161</v>
      </c>
      <c r="M264" s="126" t="s">
        <v>133</v>
      </c>
      <c r="N264" s="126" t="s">
        <v>128</v>
      </c>
      <c r="O264" s="126" t="s">
        <v>135</v>
      </c>
      <c r="P264" s="126" t="s">
        <v>135</v>
      </c>
      <c r="Q264" s="128"/>
      <c r="R264" s="126" t="s">
        <v>136</v>
      </c>
      <c r="S264" s="126" t="s">
        <v>58</v>
      </c>
      <c r="T264" s="128"/>
      <c r="U264" s="129" t="n">
        <v>0</v>
      </c>
      <c r="V264" s="129" t="n">
        <v>0</v>
      </c>
      <c r="W264" s="129" t="n">
        <v>0</v>
      </c>
      <c r="X264" s="129" t="n">
        <v>0</v>
      </c>
      <c r="Y264" s="129" t="n">
        <v>0</v>
      </c>
      <c r="Z264" s="129" t="n">
        <v>0</v>
      </c>
      <c r="AA264" s="129" t="n">
        <v>1</v>
      </c>
      <c r="AB264" s="129" t="n">
        <v>0</v>
      </c>
      <c r="AC264" s="129" t="n">
        <v>0</v>
      </c>
      <c r="AD264" s="129" t="n">
        <v>0</v>
      </c>
      <c r="AE264" s="129" t="n">
        <v>0</v>
      </c>
      <c r="AF264" s="129" t="n">
        <v>0</v>
      </c>
      <c r="AG264" s="129" t="n">
        <v>0</v>
      </c>
      <c r="AH264" s="129" t="n">
        <v>0</v>
      </c>
      <c r="AI264" s="129" t="n">
        <v>0</v>
      </c>
      <c r="AJ264" s="129" t="n">
        <v>0</v>
      </c>
      <c r="AK264" s="129" t="n">
        <v>0</v>
      </c>
      <c r="AL264" s="129" t="n">
        <v>0</v>
      </c>
      <c r="AM264" s="129" t="n">
        <v>0</v>
      </c>
      <c r="AN264" s="128"/>
      <c r="AO264" s="128"/>
      <c r="AP264" s="126" t="s">
        <v>138</v>
      </c>
      <c r="AQ264" s="126" t="s">
        <v>139</v>
      </c>
      <c r="AR264" s="126" t="s">
        <v>140</v>
      </c>
      <c r="AS264" s="128"/>
      <c r="AT264" s="130"/>
    </row>
    <row r="265" customFormat="false" ht="12.75" hidden="false" customHeight="true" outlineLevel="0" collapsed="false">
      <c r="B265" s="122" t="n">
        <f aca="false">B264+1</f>
        <v>262</v>
      </c>
      <c r="C265" s="123" t="s">
        <v>168</v>
      </c>
      <c r="D265" s="140" t="n">
        <v>61073</v>
      </c>
      <c r="E265" s="124" t="str">
        <f aca="false">IF(D265="","",IFERROR(VLOOKUP(D265,CCN_Library!$A$4:$B$13,2,FALSE()),"NOT IN LIBRARY"))</f>
        <v>COMPANY/BATTERY HEADQUARTERS, MARINE CORPS</v>
      </c>
      <c r="F265" s="125" t="str">
        <f aca="false">LEFT(H265,6)</f>
        <v>M28261</v>
      </c>
      <c r="G265" s="126" t="s">
        <v>128</v>
      </c>
      <c r="H265" s="126" t="s">
        <v>570</v>
      </c>
      <c r="I265" s="126" t="s">
        <v>159</v>
      </c>
      <c r="J265" s="126" t="s">
        <v>191</v>
      </c>
      <c r="K265" s="127" t="s">
        <v>161</v>
      </c>
      <c r="L265" s="126" t="s">
        <v>161</v>
      </c>
      <c r="M265" s="126" t="s">
        <v>133</v>
      </c>
      <c r="N265" s="126" t="s">
        <v>128</v>
      </c>
      <c r="O265" s="126" t="s">
        <v>135</v>
      </c>
      <c r="P265" s="126" t="s">
        <v>135</v>
      </c>
      <c r="Q265" s="128"/>
      <c r="R265" s="126" t="s">
        <v>136</v>
      </c>
      <c r="S265" s="126" t="s">
        <v>58</v>
      </c>
      <c r="T265" s="128"/>
      <c r="U265" s="129" t="n">
        <v>0</v>
      </c>
      <c r="V265" s="129" t="n">
        <v>0</v>
      </c>
      <c r="W265" s="129" t="n">
        <v>0</v>
      </c>
      <c r="X265" s="129" t="n">
        <v>0</v>
      </c>
      <c r="Y265" s="129" t="n">
        <v>0</v>
      </c>
      <c r="Z265" s="129" t="n">
        <v>0</v>
      </c>
      <c r="AA265" s="129" t="n">
        <v>1</v>
      </c>
      <c r="AB265" s="129" t="n">
        <v>0</v>
      </c>
      <c r="AC265" s="129" t="n">
        <v>0</v>
      </c>
      <c r="AD265" s="129" t="n">
        <v>0</v>
      </c>
      <c r="AE265" s="129" t="n">
        <v>0</v>
      </c>
      <c r="AF265" s="129" t="n">
        <v>0</v>
      </c>
      <c r="AG265" s="129" t="n">
        <v>0</v>
      </c>
      <c r="AH265" s="129" t="n">
        <v>0</v>
      </c>
      <c r="AI265" s="129" t="n">
        <v>0</v>
      </c>
      <c r="AJ265" s="129" t="n">
        <v>0</v>
      </c>
      <c r="AK265" s="129" t="n">
        <v>0</v>
      </c>
      <c r="AL265" s="129" t="n">
        <v>0</v>
      </c>
      <c r="AM265" s="129" t="n">
        <v>0</v>
      </c>
      <c r="AN265" s="128"/>
      <c r="AO265" s="128"/>
      <c r="AP265" s="126" t="s">
        <v>138</v>
      </c>
      <c r="AQ265" s="126" t="s">
        <v>139</v>
      </c>
      <c r="AR265" s="126" t="s">
        <v>140</v>
      </c>
      <c r="AS265" s="128"/>
      <c r="AT265" s="130"/>
    </row>
    <row r="266" customFormat="false" ht="12.75" hidden="false" customHeight="true" outlineLevel="0" collapsed="false">
      <c r="B266" s="122" t="n">
        <f aca="false">B265+1</f>
        <v>263</v>
      </c>
      <c r="C266" s="123" t="s">
        <v>168</v>
      </c>
      <c r="D266" s="140" t="n">
        <v>61073</v>
      </c>
      <c r="E266" s="124" t="str">
        <f aca="false">IF(D266="","",IFERROR(VLOOKUP(D266,CCN_Library!$A$4:$B$13,2,FALSE()),"NOT IN LIBRARY"))</f>
        <v>COMPANY/BATTERY HEADQUARTERS, MARINE CORPS</v>
      </c>
      <c r="F266" s="125" t="str">
        <f aca="false">LEFT(H266,6)</f>
        <v>M28261</v>
      </c>
      <c r="G266" s="126" t="s">
        <v>128</v>
      </c>
      <c r="H266" s="126" t="s">
        <v>571</v>
      </c>
      <c r="I266" s="126" t="s">
        <v>159</v>
      </c>
      <c r="J266" s="126" t="s">
        <v>191</v>
      </c>
      <c r="K266" s="127" t="s">
        <v>161</v>
      </c>
      <c r="L266" s="126" t="s">
        <v>161</v>
      </c>
      <c r="M266" s="126" t="s">
        <v>133</v>
      </c>
      <c r="N266" s="126" t="s">
        <v>128</v>
      </c>
      <c r="O266" s="126" t="s">
        <v>135</v>
      </c>
      <c r="P266" s="126" t="s">
        <v>135</v>
      </c>
      <c r="Q266" s="128"/>
      <c r="R266" s="126" t="s">
        <v>136</v>
      </c>
      <c r="S266" s="126" t="s">
        <v>58</v>
      </c>
      <c r="T266" s="128"/>
      <c r="U266" s="129" t="n">
        <v>0</v>
      </c>
      <c r="V266" s="129" t="n">
        <v>0</v>
      </c>
      <c r="W266" s="129" t="n">
        <v>0</v>
      </c>
      <c r="X266" s="129" t="n">
        <v>0</v>
      </c>
      <c r="Y266" s="129" t="n">
        <v>0</v>
      </c>
      <c r="Z266" s="129" t="n">
        <v>0</v>
      </c>
      <c r="AA266" s="129" t="n">
        <v>1</v>
      </c>
      <c r="AB266" s="129" t="n">
        <v>0</v>
      </c>
      <c r="AC266" s="129" t="n">
        <v>0</v>
      </c>
      <c r="AD266" s="129" t="n">
        <v>0</v>
      </c>
      <c r="AE266" s="129" t="n">
        <v>0</v>
      </c>
      <c r="AF266" s="129" t="n">
        <v>0</v>
      </c>
      <c r="AG266" s="129" t="n">
        <v>0</v>
      </c>
      <c r="AH266" s="129" t="n">
        <v>0</v>
      </c>
      <c r="AI266" s="129" t="n">
        <v>0</v>
      </c>
      <c r="AJ266" s="129" t="n">
        <v>0</v>
      </c>
      <c r="AK266" s="129" t="n">
        <v>0</v>
      </c>
      <c r="AL266" s="129" t="n">
        <v>0</v>
      </c>
      <c r="AM266" s="129" t="n">
        <v>0</v>
      </c>
      <c r="AN266" s="128"/>
      <c r="AO266" s="128"/>
      <c r="AP266" s="126" t="s">
        <v>138</v>
      </c>
      <c r="AQ266" s="126" t="s">
        <v>139</v>
      </c>
      <c r="AR266" s="126" t="s">
        <v>140</v>
      </c>
      <c r="AS266" s="128"/>
      <c r="AT266" s="130"/>
    </row>
    <row r="267" customFormat="false" ht="12.75" hidden="false" customHeight="true" outlineLevel="0" collapsed="false">
      <c r="B267" s="122" t="n">
        <f aca="false">B266+1</f>
        <v>264</v>
      </c>
      <c r="C267" s="123" t="s">
        <v>168</v>
      </c>
      <c r="D267" s="140" t="n">
        <v>61073</v>
      </c>
      <c r="E267" s="124" t="str">
        <f aca="false">IF(D267="","",IFERROR(VLOOKUP(D267,CCN_Library!$A$4:$B$13,2,FALSE()),"NOT IN LIBRARY"))</f>
        <v>COMPANY/BATTERY HEADQUARTERS, MARINE CORPS</v>
      </c>
      <c r="F267" s="125" t="str">
        <f aca="false">LEFT(H267,6)</f>
        <v>M28261</v>
      </c>
      <c r="G267" s="126" t="s">
        <v>128</v>
      </c>
      <c r="H267" s="126" t="s">
        <v>572</v>
      </c>
      <c r="I267" s="126" t="s">
        <v>159</v>
      </c>
      <c r="J267" s="126" t="s">
        <v>176</v>
      </c>
      <c r="K267" s="127" t="s">
        <v>161</v>
      </c>
      <c r="L267" s="126" t="s">
        <v>161</v>
      </c>
      <c r="M267" s="126" t="s">
        <v>133</v>
      </c>
      <c r="N267" s="126" t="s">
        <v>128</v>
      </c>
      <c r="O267" s="126" t="s">
        <v>135</v>
      </c>
      <c r="P267" s="126" t="s">
        <v>135</v>
      </c>
      <c r="Q267" s="128"/>
      <c r="R267" s="126" t="s">
        <v>136</v>
      </c>
      <c r="S267" s="126" t="s">
        <v>136</v>
      </c>
      <c r="T267" s="128"/>
      <c r="U267" s="129" t="n">
        <v>0</v>
      </c>
      <c r="V267" s="129" t="n">
        <v>0</v>
      </c>
      <c r="W267" s="129" t="n">
        <v>0</v>
      </c>
      <c r="X267" s="129" t="n">
        <v>0</v>
      </c>
      <c r="Y267" s="129" t="n">
        <v>0</v>
      </c>
      <c r="Z267" s="129" t="n">
        <v>0</v>
      </c>
      <c r="AA267" s="129" t="n">
        <v>1</v>
      </c>
      <c r="AB267" s="129" t="n">
        <v>0</v>
      </c>
      <c r="AC267" s="129" t="n">
        <v>0</v>
      </c>
      <c r="AD267" s="129" t="n">
        <v>0</v>
      </c>
      <c r="AE267" s="129" t="n">
        <v>0</v>
      </c>
      <c r="AF267" s="129" t="n">
        <v>0</v>
      </c>
      <c r="AG267" s="129" t="n">
        <v>0</v>
      </c>
      <c r="AH267" s="129" t="n">
        <v>0</v>
      </c>
      <c r="AI267" s="129" t="n">
        <v>0</v>
      </c>
      <c r="AJ267" s="129" t="n">
        <v>0</v>
      </c>
      <c r="AK267" s="129" t="n">
        <v>0</v>
      </c>
      <c r="AL267" s="129" t="n">
        <v>0</v>
      </c>
      <c r="AM267" s="129" t="n">
        <v>0</v>
      </c>
      <c r="AN267" s="128"/>
      <c r="AO267" s="128"/>
      <c r="AP267" s="126" t="s">
        <v>138</v>
      </c>
      <c r="AQ267" s="126" t="s">
        <v>139</v>
      </c>
      <c r="AR267" s="126" t="s">
        <v>140</v>
      </c>
      <c r="AS267" s="128"/>
      <c r="AT267" s="130"/>
    </row>
    <row r="268" customFormat="false" ht="12.75" hidden="false" customHeight="true" outlineLevel="0" collapsed="false">
      <c r="B268" s="122" t="n">
        <f aca="false">B267+1</f>
        <v>265</v>
      </c>
      <c r="C268" s="123" t="s">
        <v>168</v>
      </c>
      <c r="D268" s="140" t="n">
        <v>61073</v>
      </c>
      <c r="E268" s="124" t="str">
        <f aca="false">IF(D268="","",IFERROR(VLOOKUP(D268,CCN_Library!$A$4:$B$13,2,FALSE()),"NOT IN LIBRARY"))</f>
        <v>COMPANY/BATTERY HEADQUARTERS, MARINE CORPS</v>
      </c>
      <c r="F268" s="125" t="str">
        <f aca="false">LEFT(H268,6)</f>
        <v>M28261</v>
      </c>
      <c r="G268" s="126" t="s">
        <v>128</v>
      </c>
      <c r="H268" s="126" t="s">
        <v>573</v>
      </c>
      <c r="I268" s="126" t="s">
        <v>159</v>
      </c>
      <c r="J268" s="126" t="s">
        <v>176</v>
      </c>
      <c r="K268" s="127" t="s">
        <v>161</v>
      </c>
      <c r="L268" s="126" t="s">
        <v>161</v>
      </c>
      <c r="M268" s="126" t="s">
        <v>133</v>
      </c>
      <c r="N268" s="126" t="s">
        <v>128</v>
      </c>
      <c r="O268" s="126" t="s">
        <v>135</v>
      </c>
      <c r="P268" s="126" t="s">
        <v>135</v>
      </c>
      <c r="Q268" s="128"/>
      <c r="R268" s="126" t="s">
        <v>136</v>
      </c>
      <c r="S268" s="126" t="s">
        <v>136</v>
      </c>
      <c r="T268" s="128"/>
      <c r="U268" s="129" t="n">
        <v>0</v>
      </c>
      <c r="V268" s="129" t="n">
        <v>0</v>
      </c>
      <c r="W268" s="129" t="n">
        <v>0</v>
      </c>
      <c r="X268" s="129" t="n">
        <v>0</v>
      </c>
      <c r="Y268" s="129" t="n">
        <v>0</v>
      </c>
      <c r="Z268" s="129" t="n">
        <v>0</v>
      </c>
      <c r="AA268" s="129" t="n">
        <v>1</v>
      </c>
      <c r="AB268" s="129" t="n">
        <v>0</v>
      </c>
      <c r="AC268" s="129" t="n">
        <v>0</v>
      </c>
      <c r="AD268" s="129" t="n">
        <v>0</v>
      </c>
      <c r="AE268" s="129" t="n">
        <v>0</v>
      </c>
      <c r="AF268" s="129" t="n">
        <v>0</v>
      </c>
      <c r="AG268" s="129" t="n">
        <v>0</v>
      </c>
      <c r="AH268" s="129" t="n">
        <v>0</v>
      </c>
      <c r="AI268" s="129" t="n">
        <v>0</v>
      </c>
      <c r="AJ268" s="129" t="n">
        <v>0</v>
      </c>
      <c r="AK268" s="129" t="n">
        <v>0</v>
      </c>
      <c r="AL268" s="129" t="n">
        <v>0</v>
      </c>
      <c r="AM268" s="129" t="n">
        <v>0</v>
      </c>
      <c r="AN268" s="128"/>
      <c r="AO268" s="128"/>
      <c r="AP268" s="126" t="s">
        <v>138</v>
      </c>
      <c r="AQ268" s="126" t="s">
        <v>139</v>
      </c>
      <c r="AR268" s="126" t="s">
        <v>140</v>
      </c>
      <c r="AS268" s="128"/>
      <c r="AT268" s="130"/>
    </row>
    <row r="269" customFormat="false" ht="12.75" hidden="false" customHeight="true" outlineLevel="0" collapsed="false">
      <c r="B269" s="122" t="n">
        <f aca="false">B268+1</f>
        <v>266</v>
      </c>
      <c r="C269" s="123" t="s">
        <v>168</v>
      </c>
      <c r="D269" s="140" t="n">
        <v>61073</v>
      </c>
      <c r="E269" s="124" t="str">
        <f aca="false">IF(D269="","",IFERROR(VLOOKUP(D269,CCN_Library!$A$4:$B$13,2,FALSE()),"NOT IN LIBRARY"))</f>
        <v>COMPANY/BATTERY HEADQUARTERS, MARINE CORPS</v>
      </c>
      <c r="F269" s="125" t="str">
        <f aca="false">LEFT(H269,6)</f>
        <v>M28261</v>
      </c>
      <c r="G269" s="126" t="s">
        <v>128</v>
      </c>
      <c r="H269" s="126" t="s">
        <v>574</v>
      </c>
      <c r="I269" s="126" t="s">
        <v>159</v>
      </c>
      <c r="J269" s="126" t="s">
        <v>176</v>
      </c>
      <c r="K269" s="127" t="s">
        <v>161</v>
      </c>
      <c r="L269" s="126" t="s">
        <v>161</v>
      </c>
      <c r="M269" s="126" t="s">
        <v>133</v>
      </c>
      <c r="N269" s="126" t="s">
        <v>128</v>
      </c>
      <c r="O269" s="126" t="s">
        <v>135</v>
      </c>
      <c r="P269" s="126" t="s">
        <v>135</v>
      </c>
      <c r="Q269" s="128"/>
      <c r="R269" s="126" t="s">
        <v>136</v>
      </c>
      <c r="S269" s="126" t="s">
        <v>136</v>
      </c>
      <c r="T269" s="128"/>
      <c r="U269" s="129" t="n">
        <v>0</v>
      </c>
      <c r="V269" s="129" t="n">
        <v>0</v>
      </c>
      <c r="W269" s="129" t="n">
        <v>0</v>
      </c>
      <c r="X269" s="129" t="n">
        <v>0</v>
      </c>
      <c r="Y269" s="129" t="n">
        <v>0</v>
      </c>
      <c r="Z269" s="129" t="n">
        <v>0</v>
      </c>
      <c r="AA269" s="129" t="n">
        <v>1</v>
      </c>
      <c r="AB269" s="129" t="n">
        <v>0</v>
      </c>
      <c r="AC269" s="129" t="n">
        <v>0</v>
      </c>
      <c r="AD269" s="129" t="n">
        <v>0</v>
      </c>
      <c r="AE269" s="129" t="n">
        <v>0</v>
      </c>
      <c r="AF269" s="129" t="n">
        <v>0</v>
      </c>
      <c r="AG269" s="129" t="n">
        <v>0</v>
      </c>
      <c r="AH269" s="129" t="n">
        <v>0</v>
      </c>
      <c r="AI269" s="129" t="n">
        <v>0</v>
      </c>
      <c r="AJ269" s="129" t="n">
        <v>0</v>
      </c>
      <c r="AK269" s="129" t="n">
        <v>0</v>
      </c>
      <c r="AL269" s="129" t="n">
        <v>0</v>
      </c>
      <c r="AM269" s="129" t="n">
        <v>0</v>
      </c>
      <c r="AN269" s="128"/>
      <c r="AO269" s="128"/>
      <c r="AP269" s="126" t="s">
        <v>138</v>
      </c>
      <c r="AQ269" s="126" t="s">
        <v>139</v>
      </c>
      <c r="AR269" s="126" t="s">
        <v>140</v>
      </c>
      <c r="AS269" s="128"/>
      <c r="AT269" s="139"/>
    </row>
    <row r="270" customFormat="false" ht="12.75" hidden="false" customHeight="true" outlineLevel="0" collapsed="false">
      <c r="B270" s="131" t="n">
        <f aca="false">B269+1</f>
        <v>267</v>
      </c>
      <c r="C270" s="132" t="s">
        <v>162</v>
      </c>
      <c r="D270" s="133" t="n">
        <v>61073</v>
      </c>
      <c r="E270" s="133"/>
      <c r="F270" s="134" t="str">
        <f aca="false">LEFT(H270,6)</f>
        <v>M28261</v>
      </c>
      <c r="G270" s="135" t="s">
        <v>177</v>
      </c>
      <c r="H270" s="135" t="s">
        <v>575</v>
      </c>
      <c r="I270" s="135" t="s">
        <v>576</v>
      </c>
      <c r="J270" s="136"/>
      <c r="K270" s="136"/>
      <c r="L270" s="136"/>
      <c r="M270" s="136"/>
      <c r="N270" s="136"/>
      <c r="O270" s="136"/>
      <c r="P270" s="136"/>
      <c r="Q270" s="136"/>
      <c r="R270" s="136"/>
      <c r="S270" s="136"/>
      <c r="T270" s="136"/>
      <c r="U270" s="137" t="n">
        <v>0</v>
      </c>
      <c r="V270" s="137" t="n">
        <v>0</v>
      </c>
      <c r="W270" s="137" t="n">
        <v>0</v>
      </c>
      <c r="X270" s="137" t="n">
        <v>0</v>
      </c>
      <c r="Y270" s="137" t="n">
        <v>0</v>
      </c>
      <c r="Z270" s="137" t="n">
        <v>0</v>
      </c>
      <c r="AA270" s="137" t="n">
        <v>0</v>
      </c>
      <c r="AB270" s="137" t="n">
        <v>0</v>
      </c>
      <c r="AC270" s="137" t="n">
        <v>0</v>
      </c>
      <c r="AD270" s="137" t="n">
        <v>0</v>
      </c>
      <c r="AE270" s="137" t="n">
        <v>0</v>
      </c>
      <c r="AF270" s="137" t="n">
        <v>0</v>
      </c>
      <c r="AG270" s="137" t="n">
        <v>0</v>
      </c>
      <c r="AH270" s="137" t="n">
        <v>0</v>
      </c>
      <c r="AI270" s="137" t="n">
        <v>0</v>
      </c>
      <c r="AJ270" s="137" t="n">
        <v>0</v>
      </c>
      <c r="AK270" s="137" t="n">
        <v>0</v>
      </c>
      <c r="AL270" s="137" t="n">
        <v>0</v>
      </c>
      <c r="AM270" s="137" t="n">
        <v>0</v>
      </c>
      <c r="AN270" s="136"/>
      <c r="AO270" s="136"/>
      <c r="AP270" s="136"/>
      <c r="AQ270" s="136"/>
      <c r="AR270" s="136"/>
      <c r="AS270" s="136"/>
      <c r="AT270" s="138"/>
    </row>
    <row r="271" customFormat="false" ht="12.75" hidden="false" customHeight="true" outlineLevel="0" collapsed="false">
      <c r="B271" s="122" t="n">
        <f aca="false">B270+1</f>
        <v>268</v>
      </c>
      <c r="C271" s="123" t="s">
        <v>162</v>
      </c>
      <c r="D271" s="140" t="n">
        <v>61073</v>
      </c>
      <c r="E271" s="124" t="str">
        <f aca="false">IF(D271="","",IFERROR(VLOOKUP(D271,CCN_Library!$A$4:$B$13,2,FALSE()),"NOT IN LIBRARY"))</f>
        <v>COMPANY/BATTERY HEADQUARTERS, MARINE CORPS</v>
      </c>
      <c r="F271" s="125" t="str">
        <f aca="false">LEFT(H271,6)</f>
        <v>M28261</v>
      </c>
      <c r="G271" s="126" t="s">
        <v>128</v>
      </c>
      <c r="H271" s="126" t="s">
        <v>577</v>
      </c>
      <c r="I271" s="126" t="s">
        <v>472</v>
      </c>
      <c r="J271" s="126" t="s">
        <v>182</v>
      </c>
      <c r="K271" s="127" t="s">
        <v>223</v>
      </c>
      <c r="L271" s="126" t="s">
        <v>223</v>
      </c>
      <c r="M271" s="126" t="s">
        <v>133</v>
      </c>
      <c r="N271" s="126" t="s">
        <v>134</v>
      </c>
      <c r="O271" s="126" t="s">
        <v>135</v>
      </c>
      <c r="P271" s="126" t="s">
        <v>135</v>
      </c>
      <c r="Q271" s="128"/>
      <c r="R271" s="126" t="s">
        <v>136</v>
      </c>
      <c r="S271" s="126" t="s">
        <v>137</v>
      </c>
      <c r="T271" s="128"/>
      <c r="U271" s="129" t="n">
        <v>0</v>
      </c>
      <c r="V271" s="129" t="n">
        <v>0</v>
      </c>
      <c r="W271" s="129" t="n">
        <v>0</v>
      </c>
      <c r="X271" s="129" t="n">
        <v>0</v>
      </c>
      <c r="Y271" s="129" t="n">
        <v>0</v>
      </c>
      <c r="Z271" s="129" t="n">
        <v>1</v>
      </c>
      <c r="AA271" s="129" t="n">
        <v>0</v>
      </c>
      <c r="AB271" s="129" t="n">
        <v>0</v>
      </c>
      <c r="AC271" s="129" t="n">
        <v>0</v>
      </c>
      <c r="AD271" s="129" t="n">
        <v>0</v>
      </c>
      <c r="AE271" s="129" t="n">
        <v>0</v>
      </c>
      <c r="AF271" s="129" t="n">
        <v>0</v>
      </c>
      <c r="AG271" s="129" t="n">
        <v>0</v>
      </c>
      <c r="AH271" s="129" t="n">
        <v>0</v>
      </c>
      <c r="AI271" s="129" t="n">
        <v>0</v>
      </c>
      <c r="AJ271" s="129" t="n">
        <v>0</v>
      </c>
      <c r="AK271" s="129" t="n">
        <v>0</v>
      </c>
      <c r="AL271" s="129" t="n">
        <v>0</v>
      </c>
      <c r="AM271" s="129" t="n">
        <v>0</v>
      </c>
      <c r="AN271" s="128"/>
      <c r="AO271" s="128"/>
      <c r="AP271" s="126" t="s">
        <v>138</v>
      </c>
      <c r="AQ271" s="126" t="s">
        <v>139</v>
      </c>
      <c r="AR271" s="126" t="s">
        <v>140</v>
      </c>
      <c r="AS271" s="128"/>
      <c r="AT271" s="130"/>
    </row>
    <row r="272" customFormat="false" ht="12.75" hidden="false" customHeight="true" outlineLevel="0" collapsed="false">
      <c r="B272" s="122" t="n">
        <f aca="false">B271+1</f>
        <v>269</v>
      </c>
      <c r="C272" s="123" t="s">
        <v>168</v>
      </c>
      <c r="D272" s="140" t="n">
        <v>61073</v>
      </c>
      <c r="E272" s="124" t="str">
        <f aca="false">IF(D272="","",IFERROR(VLOOKUP(D272,CCN_Library!$A$4:$B$13,2,FALSE()),"NOT IN LIBRARY"))</f>
        <v>COMPANY/BATTERY HEADQUARTERS, MARINE CORPS</v>
      </c>
      <c r="F272" s="125" t="str">
        <f aca="false">LEFT(H272,6)</f>
        <v>M28261</v>
      </c>
      <c r="G272" s="126" t="s">
        <v>128</v>
      </c>
      <c r="H272" s="126" t="s">
        <v>578</v>
      </c>
      <c r="I272" s="126" t="s">
        <v>159</v>
      </c>
      <c r="J272" s="126" t="s">
        <v>191</v>
      </c>
      <c r="K272" s="127" t="s">
        <v>161</v>
      </c>
      <c r="L272" s="126" t="s">
        <v>161</v>
      </c>
      <c r="M272" s="126" t="s">
        <v>133</v>
      </c>
      <c r="N272" s="126" t="s">
        <v>128</v>
      </c>
      <c r="O272" s="126" t="s">
        <v>135</v>
      </c>
      <c r="P272" s="126" t="s">
        <v>135</v>
      </c>
      <c r="Q272" s="128"/>
      <c r="R272" s="126" t="s">
        <v>136</v>
      </c>
      <c r="S272" s="126" t="s">
        <v>136</v>
      </c>
      <c r="T272" s="128"/>
      <c r="U272" s="129" t="n">
        <v>0</v>
      </c>
      <c r="V272" s="129" t="n">
        <v>0</v>
      </c>
      <c r="W272" s="129" t="n">
        <v>0</v>
      </c>
      <c r="X272" s="129" t="n">
        <v>0</v>
      </c>
      <c r="Y272" s="129" t="n">
        <v>0</v>
      </c>
      <c r="Z272" s="129" t="n">
        <v>0</v>
      </c>
      <c r="AA272" s="129" t="n">
        <v>1</v>
      </c>
      <c r="AB272" s="129" t="n">
        <v>0</v>
      </c>
      <c r="AC272" s="129" t="n">
        <v>0</v>
      </c>
      <c r="AD272" s="129" t="n">
        <v>0</v>
      </c>
      <c r="AE272" s="129" t="n">
        <v>0</v>
      </c>
      <c r="AF272" s="129" t="n">
        <v>0</v>
      </c>
      <c r="AG272" s="129" t="n">
        <v>0</v>
      </c>
      <c r="AH272" s="129" t="n">
        <v>0</v>
      </c>
      <c r="AI272" s="129" t="n">
        <v>0</v>
      </c>
      <c r="AJ272" s="129" t="n">
        <v>0</v>
      </c>
      <c r="AK272" s="129" t="n">
        <v>0</v>
      </c>
      <c r="AL272" s="129" t="n">
        <v>0</v>
      </c>
      <c r="AM272" s="129" t="n">
        <v>0</v>
      </c>
      <c r="AN272" s="128"/>
      <c r="AO272" s="128"/>
      <c r="AP272" s="126" t="s">
        <v>138</v>
      </c>
      <c r="AQ272" s="126" t="s">
        <v>139</v>
      </c>
      <c r="AR272" s="126" t="s">
        <v>140</v>
      </c>
      <c r="AS272" s="128"/>
      <c r="AT272" s="130"/>
    </row>
    <row r="273" customFormat="false" ht="12.75" hidden="false" customHeight="true" outlineLevel="0" collapsed="false">
      <c r="B273" s="131" t="n">
        <f aca="false">B272+1</f>
        <v>270</v>
      </c>
      <c r="C273" s="132" t="s">
        <v>162</v>
      </c>
      <c r="D273" s="133" t="n">
        <v>61073</v>
      </c>
      <c r="E273" s="133"/>
      <c r="F273" s="134" t="str">
        <f aca="false">LEFT(H273,6)</f>
        <v>M28261</v>
      </c>
      <c r="G273" s="135" t="s">
        <v>177</v>
      </c>
      <c r="H273" s="135" t="s">
        <v>579</v>
      </c>
      <c r="I273" s="135" t="s">
        <v>580</v>
      </c>
      <c r="J273" s="136"/>
      <c r="K273" s="136"/>
      <c r="L273" s="136"/>
      <c r="M273" s="136"/>
      <c r="N273" s="136"/>
      <c r="O273" s="136"/>
      <c r="P273" s="136"/>
      <c r="Q273" s="136"/>
      <c r="R273" s="136"/>
      <c r="S273" s="136"/>
      <c r="T273" s="136"/>
      <c r="U273" s="137" t="n">
        <v>0</v>
      </c>
      <c r="V273" s="137" t="n">
        <v>0</v>
      </c>
      <c r="W273" s="137" t="n">
        <v>0</v>
      </c>
      <c r="X273" s="137" t="n">
        <v>0</v>
      </c>
      <c r="Y273" s="137" t="n">
        <v>0</v>
      </c>
      <c r="Z273" s="137" t="n">
        <v>0</v>
      </c>
      <c r="AA273" s="137" t="n">
        <v>0</v>
      </c>
      <c r="AB273" s="137" t="n">
        <v>0</v>
      </c>
      <c r="AC273" s="137" t="n">
        <v>0</v>
      </c>
      <c r="AD273" s="137" t="n">
        <v>0</v>
      </c>
      <c r="AE273" s="137" t="n">
        <v>0</v>
      </c>
      <c r="AF273" s="137" t="n">
        <v>0</v>
      </c>
      <c r="AG273" s="137" t="n">
        <v>0</v>
      </c>
      <c r="AH273" s="137" t="n">
        <v>0</v>
      </c>
      <c r="AI273" s="137" t="n">
        <v>0</v>
      </c>
      <c r="AJ273" s="137" t="n">
        <v>0</v>
      </c>
      <c r="AK273" s="137" t="n">
        <v>0</v>
      </c>
      <c r="AL273" s="137" t="n">
        <v>0</v>
      </c>
      <c r="AM273" s="137" t="n">
        <v>0</v>
      </c>
      <c r="AN273" s="136"/>
      <c r="AO273" s="136"/>
      <c r="AP273" s="136"/>
      <c r="AQ273" s="136"/>
      <c r="AR273" s="136"/>
      <c r="AS273" s="136"/>
      <c r="AT273" s="138"/>
    </row>
    <row r="274" customFormat="false" ht="12.75" hidden="false" customHeight="true" outlineLevel="0" collapsed="false">
      <c r="B274" s="122" t="n">
        <f aca="false">B273+1</f>
        <v>271</v>
      </c>
      <c r="C274" s="123" t="s">
        <v>162</v>
      </c>
      <c r="D274" s="140" t="n">
        <v>61073</v>
      </c>
      <c r="E274" s="124" t="str">
        <f aca="false">IF(D274="","",IFERROR(VLOOKUP(D274,CCN_Library!$A$4:$B$13,2,FALSE()),"NOT IN LIBRARY"))</f>
        <v>COMPANY/BATTERY HEADQUARTERS, MARINE CORPS</v>
      </c>
      <c r="F274" s="125" t="str">
        <f aca="false">LEFT(H274,6)</f>
        <v>M28261</v>
      </c>
      <c r="G274" s="126" t="s">
        <v>128</v>
      </c>
      <c r="H274" s="126" t="s">
        <v>581</v>
      </c>
      <c r="I274" s="126" t="s">
        <v>515</v>
      </c>
      <c r="J274" s="126" t="s">
        <v>189</v>
      </c>
      <c r="K274" s="127" t="s">
        <v>516</v>
      </c>
      <c r="L274" s="126" t="s">
        <v>161</v>
      </c>
      <c r="M274" s="126" t="s">
        <v>133</v>
      </c>
      <c r="N274" s="126" t="s">
        <v>128</v>
      </c>
      <c r="O274" s="126" t="s">
        <v>135</v>
      </c>
      <c r="P274" s="126" t="s">
        <v>135</v>
      </c>
      <c r="Q274" s="128"/>
      <c r="R274" s="126" t="s">
        <v>136</v>
      </c>
      <c r="S274" s="126" t="s">
        <v>137</v>
      </c>
      <c r="T274" s="128"/>
      <c r="U274" s="129" t="n">
        <v>0</v>
      </c>
      <c r="V274" s="129" t="n">
        <v>0</v>
      </c>
      <c r="W274" s="129" t="n">
        <v>0</v>
      </c>
      <c r="X274" s="129" t="n">
        <v>0</v>
      </c>
      <c r="Y274" s="129" t="n">
        <v>0</v>
      </c>
      <c r="Z274" s="129" t="n">
        <v>0</v>
      </c>
      <c r="AA274" s="129" t="n">
        <v>1</v>
      </c>
      <c r="AB274" s="129" t="n">
        <v>0</v>
      </c>
      <c r="AC274" s="129" t="n">
        <v>0</v>
      </c>
      <c r="AD274" s="129" t="n">
        <v>0</v>
      </c>
      <c r="AE274" s="129" t="n">
        <v>0</v>
      </c>
      <c r="AF274" s="129" t="n">
        <v>0</v>
      </c>
      <c r="AG274" s="129" t="n">
        <v>0</v>
      </c>
      <c r="AH274" s="129" t="n">
        <v>0</v>
      </c>
      <c r="AI274" s="129" t="n">
        <v>0</v>
      </c>
      <c r="AJ274" s="129" t="n">
        <v>0</v>
      </c>
      <c r="AK274" s="129" t="n">
        <v>0</v>
      </c>
      <c r="AL274" s="129" t="n">
        <v>0</v>
      </c>
      <c r="AM274" s="129" t="n">
        <v>0</v>
      </c>
      <c r="AN274" s="128"/>
      <c r="AO274" s="128"/>
      <c r="AP274" s="126" t="s">
        <v>138</v>
      </c>
      <c r="AQ274" s="126" t="s">
        <v>139</v>
      </c>
      <c r="AR274" s="126" t="s">
        <v>140</v>
      </c>
      <c r="AS274" s="128"/>
      <c r="AT274" s="130"/>
    </row>
    <row r="275" customFormat="false" ht="12.75" hidden="false" customHeight="true" outlineLevel="0" collapsed="false">
      <c r="B275" s="122" t="n">
        <f aca="false">B274+1</f>
        <v>272</v>
      </c>
      <c r="C275" s="123" t="s">
        <v>168</v>
      </c>
      <c r="D275" s="140" t="n">
        <v>61073</v>
      </c>
      <c r="E275" s="124" t="str">
        <f aca="false">IF(D275="","",IFERROR(VLOOKUP(D275,CCN_Library!$A$4:$B$13,2,FALSE()),"NOT IN LIBRARY"))</f>
        <v>COMPANY/BATTERY HEADQUARTERS, MARINE CORPS</v>
      </c>
      <c r="F275" s="125" t="str">
        <f aca="false">LEFT(H275,6)</f>
        <v>M28261</v>
      </c>
      <c r="G275" s="126" t="s">
        <v>128</v>
      </c>
      <c r="H275" s="126" t="s">
        <v>582</v>
      </c>
      <c r="I275" s="126" t="s">
        <v>515</v>
      </c>
      <c r="J275" s="126" t="s">
        <v>191</v>
      </c>
      <c r="K275" s="127" t="s">
        <v>516</v>
      </c>
      <c r="L275" s="126" t="s">
        <v>161</v>
      </c>
      <c r="M275" s="126" t="s">
        <v>133</v>
      </c>
      <c r="N275" s="126" t="s">
        <v>128</v>
      </c>
      <c r="O275" s="126" t="s">
        <v>135</v>
      </c>
      <c r="P275" s="126" t="s">
        <v>135</v>
      </c>
      <c r="Q275" s="128"/>
      <c r="R275" s="126" t="s">
        <v>136</v>
      </c>
      <c r="S275" s="126" t="s">
        <v>136</v>
      </c>
      <c r="T275" s="128"/>
      <c r="U275" s="129" t="n">
        <v>0</v>
      </c>
      <c r="V275" s="129" t="n">
        <v>0</v>
      </c>
      <c r="W275" s="129" t="n">
        <v>0</v>
      </c>
      <c r="X275" s="129" t="n">
        <v>0</v>
      </c>
      <c r="Y275" s="129" t="n">
        <v>0</v>
      </c>
      <c r="Z275" s="129" t="n">
        <v>0</v>
      </c>
      <c r="AA275" s="129" t="n">
        <v>1</v>
      </c>
      <c r="AB275" s="129" t="n">
        <v>0</v>
      </c>
      <c r="AC275" s="129" t="n">
        <v>0</v>
      </c>
      <c r="AD275" s="129" t="n">
        <v>0</v>
      </c>
      <c r="AE275" s="129" t="n">
        <v>0</v>
      </c>
      <c r="AF275" s="129" t="n">
        <v>0</v>
      </c>
      <c r="AG275" s="129" t="n">
        <v>0</v>
      </c>
      <c r="AH275" s="129" t="n">
        <v>0</v>
      </c>
      <c r="AI275" s="129" t="n">
        <v>0</v>
      </c>
      <c r="AJ275" s="129" t="n">
        <v>0</v>
      </c>
      <c r="AK275" s="129" t="n">
        <v>0</v>
      </c>
      <c r="AL275" s="129" t="n">
        <v>0</v>
      </c>
      <c r="AM275" s="129" t="n">
        <v>0</v>
      </c>
      <c r="AN275" s="128"/>
      <c r="AO275" s="128"/>
      <c r="AP275" s="126" t="s">
        <v>138</v>
      </c>
      <c r="AQ275" s="126" t="s">
        <v>139</v>
      </c>
      <c r="AR275" s="126" t="s">
        <v>140</v>
      </c>
      <c r="AS275" s="128"/>
      <c r="AT275" s="130"/>
    </row>
    <row r="276" customFormat="false" ht="12.75" hidden="false" customHeight="true" outlineLevel="0" collapsed="false">
      <c r="B276" s="122" t="n">
        <f aca="false">B275+1</f>
        <v>273</v>
      </c>
      <c r="C276" s="123" t="s">
        <v>168</v>
      </c>
      <c r="D276" s="140" t="n">
        <v>61073</v>
      </c>
      <c r="E276" s="124" t="str">
        <f aca="false">IF(D276="","",IFERROR(VLOOKUP(D276,CCN_Library!$A$4:$B$13,2,FALSE()),"NOT IN LIBRARY"))</f>
        <v>COMPANY/BATTERY HEADQUARTERS, MARINE CORPS</v>
      </c>
      <c r="F276" s="125" t="str">
        <f aca="false">LEFT(H276,6)</f>
        <v>M28261</v>
      </c>
      <c r="G276" s="126" t="s">
        <v>128</v>
      </c>
      <c r="H276" s="126" t="s">
        <v>583</v>
      </c>
      <c r="I276" s="126" t="s">
        <v>515</v>
      </c>
      <c r="J276" s="126" t="s">
        <v>191</v>
      </c>
      <c r="K276" s="127" t="s">
        <v>516</v>
      </c>
      <c r="L276" s="126" t="s">
        <v>161</v>
      </c>
      <c r="M276" s="126" t="s">
        <v>133</v>
      </c>
      <c r="N276" s="126" t="s">
        <v>128</v>
      </c>
      <c r="O276" s="126" t="s">
        <v>135</v>
      </c>
      <c r="P276" s="126" t="s">
        <v>135</v>
      </c>
      <c r="Q276" s="128"/>
      <c r="R276" s="126" t="s">
        <v>136</v>
      </c>
      <c r="S276" s="126" t="s">
        <v>58</v>
      </c>
      <c r="T276" s="128"/>
      <c r="U276" s="129" t="n">
        <v>0</v>
      </c>
      <c r="V276" s="129" t="n">
        <v>0</v>
      </c>
      <c r="W276" s="129" t="n">
        <v>0</v>
      </c>
      <c r="X276" s="129" t="n">
        <v>0</v>
      </c>
      <c r="Y276" s="129" t="n">
        <v>0</v>
      </c>
      <c r="Z276" s="129" t="n">
        <v>0</v>
      </c>
      <c r="AA276" s="129" t="n">
        <v>1</v>
      </c>
      <c r="AB276" s="129" t="n">
        <v>0</v>
      </c>
      <c r="AC276" s="129" t="n">
        <v>0</v>
      </c>
      <c r="AD276" s="129" t="n">
        <v>0</v>
      </c>
      <c r="AE276" s="129" t="n">
        <v>0</v>
      </c>
      <c r="AF276" s="129" t="n">
        <v>0</v>
      </c>
      <c r="AG276" s="129" t="n">
        <v>0</v>
      </c>
      <c r="AH276" s="129" t="n">
        <v>0</v>
      </c>
      <c r="AI276" s="129" t="n">
        <v>0</v>
      </c>
      <c r="AJ276" s="129" t="n">
        <v>0</v>
      </c>
      <c r="AK276" s="129" t="n">
        <v>0</v>
      </c>
      <c r="AL276" s="129" t="n">
        <v>0</v>
      </c>
      <c r="AM276" s="129" t="n">
        <v>0</v>
      </c>
      <c r="AN276" s="128"/>
      <c r="AO276" s="128"/>
      <c r="AP276" s="126" t="s">
        <v>138</v>
      </c>
      <c r="AQ276" s="126" t="s">
        <v>139</v>
      </c>
      <c r="AR276" s="126" t="s">
        <v>140</v>
      </c>
      <c r="AS276" s="128"/>
      <c r="AT276" s="130"/>
    </row>
    <row r="277" customFormat="false" ht="12.75" hidden="false" customHeight="true" outlineLevel="0" collapsed="false">
      <c r="B277" s="131" t="n">
        <f aca="false">B276+1</f>
        <v>274</v>
      </c>
      <c r="C277" s="132" t="s">
        <v>162</v>
      </c>
      <c r="D277" s="133" t="n">
        <v>61073</v>
      </c>
      <c r="E277" s="133"/>
      <c r="F277" s="134" t="str">
        <f aca="false">LEFT(H277,6)</f>
        <v>M28261</v>
      </c>
      <c r="G277" s="135" t="s">
        <v>58</v>
      </c>
      <c r="H277" s="135" t="s">
        <v>584</v>
      </c>
      <c r="I277" s="135" t="s">
        <v>520</v>
      </c>
      <c r="J277" s="136"/>
      <c r="K277" s="136"/>
      <c r="L277" s="136"/>
      <c r="M277" s="136"/>
      <c r="N277" s="136"/>
      <c r="O277" s="136"/>
      <c r="P277" s="136"/>
      <c r="Q277" s="136"/>
      <c r="R277" s="136"/>
      <c r="S277" s="136"/>
      <c r="T277" s="136"/>
      <c r="U277" s="137" t="n">
        <v>0</v>
      </c>
      <c r="V277" s="137" t="n">
        <v>0</v>
      </c>
      <c r="W277" s="137" t="n">
        <v>0</v>
      </c>
      <c r="X277" s="137" t="n">
        <v>0</v>
      </c>
      <c r="Y277" s="137" t="n">
        <v>0</v>
      </c>
      <c r="Z277" s="137" t="n">
        <v>0</v>
      </c>
      <c r="AA277" s="137" t="n">
        <v>0</v>
      </c>
      <c r="AB277" s="137" t="n">
        <v>0</v>
      </c>
      <c r="AC277" s="137" t="n">
        <v>0</v>
      </c>
      <c r="AD277" s="137" t="n">
        <v>0</v>
      </c>
      <c r="AE277" s="137" t="n">
        <v>0</v>
      </c>
      <c r="AF277" s="137" t="n">
        <v>0</v>
      </c>
      <c r="AG277" s="137" t="n">
        <v>0</v>
      </c>
      <c r="AH277" s="137" t="n">
        <v>0</v>
      </c>
      <c r="AI277" s="137" t="n">
        <v>0</v>
      </c>
      <c r="AJ277" s="137" t="n">
        <v>0</v>
      </c>
      <c r="AK277" s="137" t="n">
        <v>0</v>
      </c>
      <c r="AL277" s="137" t="n">
        <v>0</v>
      </c>
      <c r="AM277" s="137" t="n">
        <v>0</v>
      </c>
      <c r="AN277" s="136"/>
      <c r="AO277" s="136"/>
      <c r="AP277" s="136"/>
      <c r="AQ277" s="136"/>
      <c r="AR277" s="136"/>
      <c r="AS277" s="136"/>
      <c r="AT277" s="138"/>
    </row>
    <row r="278" customFormat="false" ht="12.75" hidden="false" customHeight="true" outlineLevel="0" collapsed="false">
      <c r="B278" s="122" t="n">
        <f aca="false">B277+1</f>
        <v>275</v>
      </c>
      <c r="C278" s="123" t="s">
        <v>162</v>
      </c>
      <c r="D278" s="140" t="n">
        <v>61073</v>
      </c>
      <c r="E278" s="124" t="str">
        <f aca="false">IF(D278="","",IFERROR(VLOOKUP(D278,CCN_Library!$A$4:$B$13,2,FALSE()),"NOT IN LIBRARY"))</f>
        <v>COMPANY/BATTERY HEADQUARTERS, MARINE CORPS</v>
      </c>
      <c r="F278" s="125" t="str">
        <f aca="false">LEFT(H278,6)</f>
        <v>M28261</v>
      </c>
      <c r="G278" s="126" t="s">
        <v>128</v>
      </c>
      <c r="H278" s="126" t="s">
        <v>585</v>
      </c>
      <c r="I278" s="126" t="s">
        <v>457</v>
      </c>
      <c r="J278" s="126" t="s">
        <v>189</v>
      </c>
      <c r="K278" s="127" t="s">
        <v>458</v>
      </c>
      <c r="L278" s="126" t="s">
        <v>161</v>
      </c>
      <c r="M278" s="126" t="s">
        <v>133</v>
      </c>
      <c r="N278" s="126" t="s">
        <v>128</v>
      </c>
      <c r="O278" s="126" t="s">
        <v>135</v>
      </c>
      <c r="P278" s="126" t="s">
        <v>135</v>
      </c>
      <c r="Q278" s="128"/>
      <c r="R278" s="126" t="s">
        <v>136</v>
      </c>
      <c r="S278" s="126" t="s">
        <v>136</v>
      </c>
      <c r="T278" s="128"/>
      <c r="U278" s="129" t="n">
        <v>0</v>
      </c>
      <c r="V278" s="129" t="n">
        <v>0</v>
      </c>
      <c r="W278" s="129" t="n">
        <v>0</v>
      </c>
      <c r="X278" s="129" t="n">
        <v>0</v>
      </c>
      <c r="Y278" s="129" t="n">
        <v>0</v>
      </c>
      <c r="Z278" s="129" t="n">
        <v>0</v>
      </c>
      <c r="AA278" s="129" t="n">
        <v>1</v>
      </c>
      <c r="AB278" s="129" t="n">
        <v>0</v>
      </c>
      <c r="AC278" s="129" t="n">
        <v>0</v>
      </c>
      <c r="AD278" s="129" t="n">
        <v>0</v>
      </c>
      <c r="AE278" s="129" t="n">
        <v>0</v>
      </c>
      <c r="AF278" s="129" t="n">
        <v>0</v>
      </c>
      <c r="AG278" s="129" t="n">
        <v>0</v>
      </c>
      <c r="AH278" s="129" t="n">
        <v>0</v>
      </c>
      <c r="AI278" s="129" t="n">
        <v>0</v>
      </c>
      <c r="AJ278" s="129" t="n">
        <v>0</v>
      </c>
      <c r="AK278" s="129" t="n">
        <v>0</v>
      </c>
      <c r="AL278" s="129" t="n">
        <v>0</v>
      </c>
      <c r="AM278" s="129" t="n">
        <v>0</v>
      </c>
      <c r="AN278" s="128"/>
      <c r="AO278" s="128"/>
      <c r="AP278" s="126" t="s">
        <v>138</v>
      </c>
      <c r="AQ278" s="126" t="s">
        <v>139</v>
      </c>
      <c r="AR278" s="126" t="s">
        <v>140</v>
      </c>
      <c r="AS278" s="128"/>
      <c r="AT278" s="130"/>
    </row>
    <row r="279" customFormat="false" ht="12.75" hidden="false" customHeight="true" outlineLevel="0" collapsed="false">
      <c r="B279" s="122" t="n">
        <f aca="false">B278+1</f>
        <v>276</v>
      </c>
      <c r="C279" s="123" t="s">
        <v>168</v>
      </c>
      <c r="D279" s="140" t="n">
        <v>61073</v>
      </c>
      <c r="E279" s="124" t="str">
        <f aca="false">IF(D279="","",IFERROR(VLOOKUP(D279,CCN_Library!$A$4:$B$13,2,FALSE()),"NOT IN LIBRARY"))</f>
        <v>COMPANY/BATTERY HEADQUARTERS, MARINE CORPS</v>
      </c>
      <c r="F279" s="125" t="str">
        <f aca="false">LEFT(H279,6)</f>
        <v>M28261</v>
      </c>
      <c r="G279" s="126" t="s">
        <v>128</v>
      </c>
      <c r="H279" s="126" t="s">
        <v>586</v>
      </c>
      <c r="I279" s="126" t="s">
        <v>457</v>
      </c>
      <c r="J279" s="126" t="s">
        <v>191</v>
      </c>
      <c r="K279" s="127" t="s">
        <v>458</v>
      </c>
      <c r="L279" s="126" t="s">
        <v>161</v>
      </c>
      <c r="M279" s="126" t="s">
        <v>133</v>
      </c>
      <c r="N279" s="126" t="s">
        <v>128</v>
      </c>
      <c r="O279" s="126" t="s">
        <v>135</v>
      </c>
      <c r="P279" s="126" t="s">
        <v>135</v>
      </c>
      <c r="Q279" s="128"/>
      <c r="R279" s="126" t="s">
        <v>136</v>
      </c>
      <c r="S279" s="126" t="s">
        <v>136</v>
      </c>
      <c r="T279" s="128"/>
      <c r="U279" s="129" t="n">
        <v>0</v>
      </c>
      <c r="V279" s="129" t="n">
        <v>0</v>
      </c>
      <c r="W279" s="129" t="n">
        <v>0</v>
      </c>
      <c r="X279" s="129" t="n">
        <v>0</v>
      </c>
      <c r="Y279" s="129" t="n">
        <v>0</v>
      </c>
      <c r="Z279" s="129" t="n">
        <v>0</v>
      </c>
      <c r="AA279" s="129" t="n">
        <v>1</v>
      </c>
      <c r="AB279" s="129" t="n">
        <v>0</v>
      </c>
      <c r="AC279" s="129" t="n">
        <v>0</v>
      </c>
      <c r="AD279" s="129" t="n">
        <v>0</v>
      </c>
      <c r="AE279" s="129" t="n">
        <v>0</v>
      </c>
      <c r="AF279" s="129" t="n">
        <v>0</v>
      </c>
      <c r="AG279" s="129" t="n">
        <v>0</v>
      </c>
      <c r="AH279" s="129" t="n">
        <v>0</v>
      </c>
      <c r="AI279" s="129" t="n">
        <v>0</v>
      </c>
      <c r="AJ279" s="129" t="n">
        <v>0</v>
      </c>
      <c r="AK279" s="129" t="n">
        <v>0</v>
      </c>
      <c r="AL279" s="129" t="n">
        <v>0</v>
      </c>
      <c r="AM279" s="129" t="n">
        <v>0</v>
      </c>
      <c r="AN279" s="128"/>
      <c r="AO279" s="128"/>
      <c r="AP279" s="126" t="s">
        <v>138</v>
      </c>
      <c r="AQ279" s="126" t="s">
        <v>139</v>
      </c>
      <c r="AR279" s="126" t="s">
        <v>140</v>
      </c>
      <c r="AS279" s="128"/>
      <c r="AT279" s="130"/>
    </row>
    <row r="280" customFormat="false" ht="12.75" hidden="false" customHeight="true" outlineLevel="0" collapsed="false">
      <c r="B280" s="122" t="n">
        <f aca="false">B279+1</f>
        <v>277</v>
      </c>
      <c r="C280" s="123" t="s">
        <v>168</v>
      </c>
      <c r="D280" s="140" t="n">
        <v>61073</v>
      </c>
      <c r="E280" s="124" t="str">
        <f aca="false">IF(D280="","",IFERROR(VLOOKUP(D280,CCN_Library!$A$4:$B$13,2,FALSE()),"NOT IN LIBRARY"))</f>
        <v>COMPANY/BATTERY HEADQUARTERS, MARINE CORPS</v>
      </c>
      <c r="F280" s="125" t="str">
        <f aca="false">LEFT(H280,6)</f>
        <v>M28261</v>
      </c>
      <c r="G280" s="126" t="s">
        <v>128</v>
      </c>
      <c r="H280" s="126" t="s">
        <v>587</v>
      </c>
      <c r="I280" s="126" t="s">
        <v>457</v>
      </c>
      <c r="J280" s="126" t="s">
        <v>176</v>
      </c>
      <c r="K280" s="127" t="s">
        <v>458</v>
      </c>
      <c r="L280" s="126" t="s">
        <v>161</v>
      </c>
      <c r="M280" s="126" t="s">
        <v>133</v>
      </c>
      <c r="N280" s="126" t="s">
        <v>128</v>
      </c>
      <c r="O280" s="126" t="s">
        <v>135</v>
      </c>
      <c r="P280" s="126" t="s">
        <v>135</v>
      </c>
      <c r="Q280" s="128"/>
      <c r="R280" s="126" t="s">
        <v>136</v>
      </c>
      <c r="S280" s="126" t="s">
        <v>136</v>
      </c>
      <c r="T280" s="128"/>
      <c r="U280" s="129" t="n">
        <v>0</v>
      </c>
      <c r="V280" s="129" t="n">
        <v>0</v>
      </c>
      <c r="W280" s="129" t="n">
        <v>0</v>
      </c>
      <c r="X280" s="129" t="n">
        <v>0</v>
      </c>
      <c r="Y280" s="129" t="n">
        <v>0</v>
      </c>
      <c r="Z280" s="129" t="n">
        <v>0</v>
      </c>
      <c r="AA280" s="129" t="n">
        <v>1</v>
      </c>
      <c r="AB280" s="129" t="n">
        <v>0</v>
      </c>
      <c r="AC280" s="129" t="n">
        <v>0</v>
      </c>
      <c r="AD280" s="129" t="n">
        <v>0</v>
      </c>
      <c r="AE280" s="129" t="n">
        <v>0</v>
      </c>
      <c r="AF280" s="129" t="n">
        <v>0</v>
      </c>
      <c r="AG280" s="129" t="n">
        <v>0</v>
      </c>
      <c r="AH280" s="129" t="n">
        <v>0</v>
      </c>
      <c r="AI280" s="129" t="n">
        <v>0</v>
      </c>
      <c r="AJ280" s="129" t="n">
        <v>0</v>
      </c>
      <c r="AK280" s="129" t="n">
        <v>0</v>
      </c>
      <c r="AL280" s="129" t="n">
        <v>0</v>
      </c>
      <c r="AM280" s="129" t="n">
        <v>0</v>
      </c>
      <c r="AN280" s="128"/>
      <c r="AO280" s="128"/>
      <c r="AP280" s="126" t="s">
        <v>138</v>
      </c>
      <c r="AQ280" s="126" t="s">
        <v>139</v>
      </c>
      <c r="AR280" s="126" t="s">
        <v>140</v>
      </c>
      <c r="AS280" s="128"/>
      <c r="AT280" s="130"/>
    </row>
    <row r="281" customFormat="false" ht="12.75" hidden="false" customHeight="true" outlineLevel="0" collapsed="false">
      <c r="B281" s="131" t="n">
        <f aca="false">B280+1</f>
        <v>278</v>
      </c>
      <c r="C281" s="132" t="s">
        <v>162</v>
      </c>
      <c r="D281" s="133" t="n">
        <v>61073</v>
      </c>
      <c r="E281" s="133"/>
      <c r="F281" s="134" t="str">
        <f aca="false">LEFT(H281,6)</f>
        <v>M28261</v>
      </c>
      <c r="G281" s="135" t="s">
        <v>58</v>
      </c>
      <c r="H281" s="135" t="s">
        <v>588</v>
      </c>
      <c r="I281" s="135" t="s">
        <v>525</v>
      </c>
      <c r="J281" s="136"/>
      <c r="K281" s="136"/>
      <c r="L281" s="136"/>
      <c r="M281" s="136"/>
      <c r="N281" s="136"/>
      <c r="O281" s="136"/>
      <c r="P281" s="136"/>
      <c r="Q281" s="136"/>
      <c r="R281" s="136"/>
      <c r="S281" s="136"/>
      <c r="T281" s="136"/>
      <c r="U281" s="137" t="n">
        <v>0</v>
      </c>
      <c r="V281" s="137" t="n">
        <v>0</v>
      </c>
      <c r="W281" s="137" t="n">
        <v>0</v>
      </c>
      <c r="X281" s="137" t="n">
        <v>0</v>
      </c>
      <c r="Y281" s="137" t="n">
        <v>0</v>
      </c>
      <c r="Z281" s="137" t="n">
        <v>0</v>
      </c>
      <c r="AA281" s="137" t="n">
        <v>0</v>
      </c>
      <c r="AB281" s="137" t="n">
        <v>0</v>
      </c>
      <c r="AC281" s="137" t="n">
        <v>0</v>
      </c>
      <c r="AD281" s="137" t="n">
        <v>0</v>
      </c>
      <c r="AE281" s="137" t="n">
        <v>0</v>
      </c>
      <c r="AF281" s="137" t="n">
        <v>0</v>
      </c>
      <c r="AG281" s="137" t="n">
        <v>0</v>
      </c>
      <c r="AH281" s="137" t="n">
        <v>0</v>
      </c>
      <c r="AI281" s="137" t="n">
        <v>0</v>
      </c>
      <c r="AJ281" s="137" t="n">
        <v>0</v>
      </c>
      <c r="AK281" s="137" t="n">
        <v>0</v>
      </c>
      <c r="AL281" s="137" t="n">
        <v>0</v>
      </c>
      <c r="AM281" s="137" t="n">
        <v>0</v>
      </c>
      <c r="AN281" s="136"/>
      <c r="AO281" s="136"/>
      <c r="AP281" s="136"/>
      <c r="AQ281" s="136"/>
      <c r="AR281" s="136"/>
      <c r="AS281" s="136"/>
      <c r="AT281" s="138"/>
    </row>
    <row r="282" customFormat="false" ht="12.75" hidden="false" customHeight="true" outlineLevel="0" collapsed="false">
      <c r="B282" s="122" t="n">
        <f aca="false">B281+1</f>
        <v>279</v>
      </c>
      <c r="C282" s="123" t="s">
        <v>162</v>
      </c>
      <c r="D282" s="140" t="n">
        <v>61073</v>
      </c>
      <c r="E282" s="124" t="str">
        <f aca="false">IF(D282="","",IFERROR(VLOOKUP(D282,CCN_Library!$A$4:$B$13,2,FALSE()),"NOT IN LIBRARY"))</f>
        <v>COMPANY/BATTERY HEADQUARTERS, MARINE CORPS</v>
      </c>
      <c r="F282" s="125" t="str">
        <f aca="false">LEFT(H282,6)</f>
        <v>M28261</v>
      </c>
      <c r="G282" s="126" t="s">
        <v>128</v>
      </c>
      <c r="H282" s="126" t="s">
        <v>589</v>
      </c>
      <c r="I282" s="126" t="s">
        <v>527</v>
      </c>
      <c r="J282" s="126" t="s">
        <v>211</v>
      </c>
      <c r="K282" s="127" t="s">
        <v>151</v>
      </c>
      <c r="L282" s="126" t="s">
        <v>151</v>
      </c>
      <c r="M282" s="126" t="s">
        <v>133</v>
      </c>
      <c r="N282" s="126" t="s">
        <v>134</v>
      </c>
      <c r="O282" s="126" t="s">
        <v>135</v>
      </c>
      <c r="P282" s="126" t="s">
        <v>135</v>
      </c>
      <c r="Q282" s="128"/>
      <c r="R282" s="126" t="s">
        <v>136</v>
      </c>
      <c r="S282" s="126" t="s">
        <v>136</v>
      </c>
      <c r="T282" s="128"/>
      <c r="U282" s="129" t="n">
        <v>0</v>
      </c>
      <c r="V282" s="129" t="n">
        <v>0</v>
      </c>
      <c r="W282" s="129" t="n">
        <v>0</v>
      </c>
      <c r="X282" s="129" t="n">
        <v>0</v>
      </c>
      <c r="Y282" s="129" t="n">
        <v>0</v>
      </c>
      <c r="Z282" s="129" t="n">
        <v>1</v>
      </c>
      <c r="AA282" s="129" t="n">
        <v>0</v>
      </c>
      <c r="AB282" s="129" t="n">
        <v>0</v>
      </c>
      <c r="AC282" s="129" t="n">
        <v>0</v>
      </c>
      <c r="AD282" s="129" t="n">
        <v>0</v>
      </c>
      <c r="AE282" s="129" t="n">
        <v>0</v>
      </c>
      <c r="AF282" s="129" t="n">
        <v>0</v>
      </c>
      <c r="AG282" s="129" t="n">
        <v>0</v>
      </c>
      <c r="AH282" s="129" t="n">
        <v>0</v>
      </c>
      <c r="AI282" s="129" t="n">
        <v>0</v>
      </c>
      <c r="AJ282" s="129" t="n">
        <v>0</v>
      </c>
      <c r="AK282" s="129" t="n">
        <v>0</v>
      </c>
      <c r="AL282" s="129" t="n">
        <v>0</v>
      </c>
      <c r="AM282" s="129" t="n">
        <v>0</v>
      </c>
      <c r="AN282" s="128"/>
      <c r="AO282" s="128"/>
      <c r="AP282" s="126" t="s">
        <v>138</v>
      </c>
      <c r="AQ282" s="126" t="s">
        <v>139</v>
      </c>
      <c r="AR282" s="126" t="s">
        <v>140</v>
      </c>
      <c r="AS282" s="128"/>
      <c r="AT282" s="130"/>
    </row>
    <row r="283" customFormat="false" ht="12.75" hidden="false" customHeight="true" outlineLevel="0" collapsed="false">
      <c r="B283" s="122" t="n">
        <f aca="false">B282+1</f>
        <v>280</v>
      </c>
      <c r="C283" s="123" t="s">
        <v>162</v>
      </c>
      <c r="D283" s="140" t="n">
        <v>61073</v>
      </c>
      <c r="E283" s="124" t="str">
        <f aca="false">IF(D283="","",IFERROR(VLOOKUP(D283,CCN_Library!$A$4:$B$13,2,FALSE()),"NOT IN LIBRARY"))</f>
        <v>COMPANY/BATTERY HEADQUARTERS, MARINE CORPS</v>
      </c>
      <c r="F283" s="125" t="str">
        <f aca="false">LEFT(H283,6)</f>
        <v>M28261</v>
      </c>
      <c r="G283" s="126" t="s">
        <v>128</v>
      </c>
      <c r="H283" s="126" t="s">
        <v>590</v>
      </c>
      <c r="I283" s="126" t="s">
        <v>472</v>
      </c>
      <c r="J283" s="126" t="s">
        <v>211</v>
      </c>
      <c r="K283" s="127" t="s">
        <v>223</v>
      </c>
      <c r="L283" s="126" t="s">
        <v>223</v>
      </c>
      <c r="M283" s="126" t="s">
        <v>133</v>
      </c>
      <c r="N283" s="126" t="s">
        <v>134</v>
      </c>
      <c r="O283" s="126" t="s">
        <v>135</v>
      </c>
      <c r="P283" s="126" t="s">
        <v>135</v>
      </c>
      <c r="Q283" s="128"/>
      <c r="R283" s="126" t="s">
        <v>136</v>
      </c>
      <c r="S283" s="126" t="s">
        <v>137</v>
      </c>
      <c r="T283" s="128"/>
      <c r="U283" s="129" t="n">
        <v>0</v>
      </c>
      <c r="V283" s="129" t="n">
        <v>0</v>
      </c>
      <c r="W283" s="129" t="n">
        <v>0</v>
      </c>
      <c r="X283" s="129" t="n">
        <v>0</v>
      </c>
      <c r="Y283" s="129" t="n">
        <v>0</v>
      </c>
      <c r="Z283" s="129" t="n">
        <v>1</v>
      </c>
      <c r="AA283" s="129" t="n">
        <v>0</v>
      </c>
      <c r="AB283" s="129" t="n">
        <v>0</v>
      </c>
      <c r="AC283" s="129" t="n">
        <v>0</v>
      </c>
      <c r="AD283" s="129" t="n">
        <v>0</v>
      </c>
      <c r="AE283" s="129" t="n">
        <v>0</v>
      </c>
      <c r="AF283" s="129" t="n">
        <v>0</v>
      </c>
      <c r="AG283" s="129" t="n">
        <v>0</v>
      </c>
      <c r="AH283" s="129" t="n">
        <v>0</v>
      </c>
      <c r="AI283" s="129" t="n">
        <v>0</v>
      </c>
      <c r="AJ283" s="129" t="n">
        <v>0</v>
      </c>
      <c r="AK283" s="129" t="n">
        <v>0</v>
      </c>
      <c r="AL283" s="129" t="n">
        <v>0</v>
      </c>
      <c r="AM283" s="129" t="n">
        <v>0</v>
      </c>
      <c r="AN283" s="128"/>
      <c r="AO283" s="128"/>
      <c r="AP283" s="126" t="s">
        <v>138</v>
      </c>
      <c r="AQ283" s="126" t="s">
        <v>139</v>
      </c>
      <c r="AR283" s="126" t="s">
        <v>140</v>
      </c>
      <c r="AS283" s="128"/>
      <c r="AT283" s="130"/>
    </row>
    <row r="284" customFormat="false" ht="12.75" hidden="false" customHeight="true" outlineLevel="0" collapsed="false">
      <c r="B284" s="122" t="n">
        <f aca="false">B283+1</f>
        <v>281</v>
      </c>
      <c r="C284" s="123" t="s">
        <v>162</v>
      </c>
      <c r="D284" s="140" t="n">
        <v>61073</v>
      </c>
      <c r="E284" s="124" t="str">
        <f aca="false">IF(D284="","",IFERROR(VLOOKUP(D284,CCN_Library!$A$4:$B$13,2,FALSE()),"NOT IN LIBRARY"))</f>
        <v>COMPANY/BATTERY HEADQUARTERS, MARINE CORPS</v>
      </c>
      <c r="F284" s="125" t="str">
        <f aca="false">LEFT(H284,6)</f>
        <v>M28261</v>
      </c>
      <c r="G284" s="126" t="s">
        <v>128</v>
      </c>
      <c r="H284" s="126" t="s">
        <v>591</v>
      </c>
      <c r="I284" s="126" t="s">
        <v>530</v>
      </c>
      <c r="J284" s="126" t="s">
        <v>182</v>
      </c>
      <c r="K284" s="127" t="s">
        <v>223</v>
      </c>
      <c r="L284" s="126" t="s">
        <v>223</v>
      </c>
      <c r="M284" s="126" t="s">
        <v>133</v>
      </c>
      <c r="N284" s="126" t="s">
        <v>134</v>
      </c>
      <c r="O284" s="126" t="s">
        <v>135</v>
      </c>
      <c r="P284" s="126" t="s">
        <v>135</v>
      </c>
      <c r="Q284" s="128"/>
      <c r="R284" s="126" t="s">
        <v>136</v>
      </c>
      <c r="S284" s="126" t="s">
        <v>136</v>
      </c>
      <c r="T284" s="128"/>
      <c r="U284" s="129" t="n">
        <v>0</v>
      </c>
      <c r="V284" s="129" t="n">
        <v>0</v>
      </c>
      <c r="W284" s="129" t="n">
        <v>0</v>
      </c>
      <c r="X284" s="129" t="n">
        <v>0</v>
      </c>
      <c r="Y284" s="129" t="n">
        <v>0</v>
      </c>
      <c r="Z284" s="129" t="n">
        <v>1</v>
      </c>
      <c r="AA284" s="129" t="n">
        <v>0</v>
      </c>
      <c r="AB284" s="129" t="n">
        <v>0</v>
      </c>
      <c r="AC284" s="129" t="n">
        <v>0</v>
      </c>
      <c r="AD284" s="129" t="n">
        <v>0</v>
      </c>
      <c r="AE284" s="129" t="n">
        <v>0</v>
      </c>
      <c r="AF284" s="129" t="n">
        <v>0</v>
      </c>
      <c r="AG284" s="129" t="n">
        <v>0</v>
      </c>
      <c r="AH284" s="129" t="n">
        <v>0</v>
      </c>
      <c r="AI284" s="129" t="n">
        <v>0</v>
      </c>
      <c r="AJ284" s="129" t="n">
        <v>0</v>
      </c>
      <c r="AK284" s="129" t="n">
        <v>0</v>
      </c>
      <c r="AL284" s="129" t="n">
        <v>0</v>
      </c>
      <c r="AM284" s="129" t="n">
        <v>0</v>
      </c>
      <c r="AN284" s="128"/>
      <c r="AO284" s="128"/>
      <c r="AP284" s="126" t="s">
        <v>138</v>
      </c>
      <c r="AQ284" s="126" t="s">
        <v>139</v>
      </c>
      <c r="AR284" s="126" t="s">
        <v>140</v>
      </c>
      <c r="AS284" s="128"/>
      <c r="AT284" s="130"/>
    </row>
    <row r="285" customFormat="false" ht="12.75" hidden="false" customHeight="true" outlineLevel="0" collapsed="false">
      <c r="B285" s="122" t="n">
        <f aca="false">B284+1</f>
        <v>282</v>
      </c>
      <c r="C285" s="123" t="s">
        <v>162</v>
      </c>
      <c r="D285" s="140" t="n">
        <v>61073</v>
      </c>
      <c r="E285" s="124" t="str">
        <f aca="false">IF(D285="","",IFERROR(VLOOKUP(D285,CCN_Library!$A$4:$B$13,2,FALSE()),"NOT IN LIBRARY"))</f>
        <v>COMPANY/BATTERY HEADQUARTERS, MARINE CORPS</v>
      </c>
      <c r="F285" s="125" t="str">
        <f aca="false">LEFT(H285,6)</f>
        <v>M28261</v>
      </c>
      <c r="G285" s="126" t="s">
        <v>128</v>
      </c>
      <c r="H285" s="126" t="s">
        <v>592</v>
      </c>
      <c r="I285" s="126" t="s">
        <v>159</v>
      </c>
      <c r="J285" s="126" t="s">
        <v>189</v>
      </c>
      <c r="K285" s="127" t="s">
        <v>161</v>
      </c>
      <c r="L285" s="126" t="s">
        <v>161</v>
      </c>
      <c r="M285" s="126" t="s">
        <v>133</v>
      </c>
      <c r="N285" s="126" t="s">
        <v>128</v>
      </c>
      <c r="O285" s="126" t="s">
        <v>135</v>
      </c>
      <c r="P285" s="126" t="s">
        <v>135</v>
      </c>
      <c r="Q285" s="128"/>
      <c r="R285" s="126" t="s">
        <v>136</v>
      </c>
      <c r="S285" s="126" t="s">
        <v>136</v>
      </c>
      <c r="T285" s="128"/>
      <c r="U285" s="129" t="n">
        <v>0</v>
      </c>
      <c r="V285" s="129" t="n">
        <v>0</v>
      </c>
      <c r="W285" s="129" t="n">
        <v>0</v>
      </c>
      <c r="X285" s="129" t="n">
        <v>0</v>
      </c>
      <c r="Y285" s="129" t="n">
        <v>0</v>
      </c>
      <c r="Z285" s="129" t="n">
        <v>0</v>
      </c>
      <c r="AA285" s="129" t="n">
        <v>1</v>
      </c>
      <c r="AB285" s="129" t="n">
        <v>0</v>
      </c>
      <c r="AC285" s="129" t="n">
        <v>0</v>
      </c>
      <c r="AD285" s="129" t="n">
        <v>0</v>
      </c>
      <c r="AE285" s="129" t="n">
        <v>0</v>
      </c>
      <c r="AF285" s="129" t="n">
        <v>0</v>
      </c>
      <c r="AG285" s="129" t="n">
        <v>0</v>
      </c>
      <c r="AH285" s="129" t="n">
        <v>0</v>
      </c>
      <c r="AI285" s="129" t="n">
        <v>0</v>
      </c>
      <c r="AJ285" s="129" t="n">
        <v>0</v>
      </c>
      <c r="AK285" s="129" t="n">
        <v>0</v>
      </c>
      <c r="AL285" s="129" t="n">
        <v>0</v>
      </c>
      <c r="AM285" s="129" t="n">
        <v>0</v>
      </c>
      <c r="AN285" s="128"/>
      <c r="AO285" s="128"/>
      <c r="AP285" s="126" t="s">
        <v>138</v>
      </c>
      <c r="AQ285" s="126" t="s">
        <v>139</v>
      </c>
      <c r="AR285" s="126" t="s">
        <v>140</v>
      </c>
      <c r="AS285" s="128"/>
      <c r="AT285" s="130"/>
    </row>
    <row r="286" customFormat="false" ht="12.75" hidden="false" customHeight="true" outlineLevel="0" collapsed="false">
      <c r="B286" s="122" t="n">
        <f aca="false">B285+1</f>
        <v>283</v>
      </c>
      <c r="C286" s="123" t="s">
        <v>168</v>
      </c>
      <c r="D286" s="140" t="n">
        <v>61073</v>
      </c>
      <c r="E286" s="124" t="str">
        <f aca="false">IF(D286="","",IFERROR(VLOOKUP(D286,CCN_Library!$A$4:$B$13,2,FALSE()),"NOT IN LIBRARY"))</f>
        <v>COMPANY/BATTERY HEADQUARTERS, MARINE CORPS</v>
      </c>
      <c r="F286" s="125" t="str">
        <f aca="false">LEFT(H286,6)</f>
        <v>M28261</v>
      </c>
      <c r="G286" s="126" t="s">
        <v>128</v>
      </c>
      <c r="H286" s="126" t="s">
        <v>593</v>
      </c>
      <c r="I286" s="126" t="s">
        <v>159</v>
      </c>
      <c r="J286" s="126" t="s">
        <v>191</v>
      </c>
      <c r="K286" s="127" t="s">
        <v>161</v>
      </c>
      <c r="L286" s="126" t="s">
        <v>161</v>
      </c>
      <c r="M286" s="126" t="s">
        <v>133</v>
      </c>
      <c r="N286" s="126" t="s">
        <v>128</v>
      </c>
      <c r="O286" s="126" t="s">
        <v>135</v>
      </c>
      <c r="P286" s="126" t="s">
        <v>135</v>
      </c>
      <c r="Q286" s="128"/>
      <c r="R286" s="126" t="s">
        <v>136</v>
      </c>
      <c r="S286" s="126" t="s">
        <v>136</v>
      </c>
      <c r="T286" s="128"/>
      <c r="U286" s="129" t="n">
        <v>0</v>
      </c>
      <c r="V286" s="129" t="n">
        <v>0</v>
      </c>
      <c r="W286" s="129" t="n">
        <v>0</v>
      </c>
      <c r="X286" s="129" t="n">
        <v>0</v>
      </c>
      <c r="Y286" s="129" t="n">
        <v>0</v>
      </c>
      <c r="Z286" s="129" t="n">
        <v>0</v>
      </c>
      <c r="AA286" s="129" t="n">
        <v>1</v>
      </c>
      <c r="AB286" s="129" t="n">
        <v>0</v>
      </c>
      <c r="AC286" s="129" t="n">
        <v>0</v>
      </c>
      <c r="AD286" s="129" t="n">
        <v>0</v>
      </c>
      <c r="AE286" s="129" t="n">
        <v>0</v>
      </c>
      <c r="AF286" s="129" t="n">
        <v>0</v>
      </c>
      <c r="AG286" s="129" t="n">
        <v>0</v>
      </c>
      <c r="AH286" s="129" t="n">
        <v>0</v>
      </c>
      <c r="AI286" s="129" t="n">
        <v>0</v>
      </c>
      <c r="AJ286" s="129" t="n">
        <v>0</v>
      </c>
      <c r="AK286" s="129" t="n">
        <v>0</v>
      </c>
      <c r="AL286" s="129" t="n">
        <v>0</v>
      </c>
      <c r="AM286" s="129" t="n">
        <v>0</v>
      </c>
      <c r="AN286" s="128"/>
      <c r="AO286" s="128"/>
      <c r="AP286" s="126" t="s">
        <v>138</v>
      </c>
      <c r="AQ286" s="126" t="s">
        <v>139</v>
      </c>
      <c r="AR286" s="126" t="s">
        <v>140</v>
      </c>
      <c r="AS286" s="128"/>
      <c r="AT286" s="130"/>
    </row>
    <row r="287" customFormat="false" ht="12.75" hidden="false" customHeight="true" outlineLevel="0" collapsed="false">
      <c r="B287" s="122" t="n">
        <f aca="false">B286+1</f>
        <v>284</v>
      </c>
      <c r="C287" s="123" t="s">
        <v>168</v>
      </c>
      <c r="D287" s="140" t="n">
        <v>61073</v>
      </c>
      <c r="E287" s="124" t="str">
        <f aca="false">IF(D287="","",IFERROR(VLOOKUP(D287,CCN_Library!$A$4:$B$13,2,FALSE()),"NOT IN LIBRARY"))</f>
        <v>COMPANY/BATTERY HEADQUARTERS, MARINE CORPS</v>
      </c>
      <c r="F287" s="125" t="str">
        <f aca="false">LEFT(H287,6)</f>
        <v>M28261</v>
      </c>
      <c r="G287" s="126" t="s">
        <v>128</v>
      </c>
      <c r="H287" s="126" t="s">
        <v>594</v>
      </c>
      <c r="I287" s="126" t="s">
        <v>159</v>
      </c>
      <c r="J287" s="126" t="s">
        <v>160</v>
      </c>
      <c r="K287" s="127" t="s">
        <v>161</v>
      </c>
      <c r="L287" s="126" t="s">
        <v>161</v>
      </c>
      <c r="M287" s="126" t="s">
        <v>133</v>
      </c>
      <c r="N287" s="126" t="s">
        <v>128</v>
      </c>
      <c r="O287" s="126" t="s">
        <v>135</v>
      </c>
      <c r="P287" s="126" t="s">
        <v>135</v>
      </c>
      <c r="Q287" s="128"/>
      <c r="R287" s="126" t="s">
        <v>136</v>
      </c>
      <c r="S287" s="126" t="s">
        <v>136</v>
      </c>
      <c r="T287" s="128"/>
      <c r="U287" s="129" t="n">
        <v>0</v>
      </c>
      <c r="V287" s="129" t="n">
        <v>0</v>
      </c>
      <c r="W287" s="129" t="n">
        <v>0</v>
      </c>
      <c r="X287" s="129" t="n">
        <v>0</v>
      </c>
      <c r="Y287" s="129" t="n">
        <v>0</v>
      </c>
      <c r="Z287" s="129" t="n">
        <v>0</v>
      </c>
      <c r="AA287" s="129" t="n">
        <v>1</v>
      </c>
      <c r="AB287" s="129" t="n">
        <v>0</v>
      </c>
      <c r="AC287" s="129" t="n">
        <v>0</v>
      </c>
      <c r="AD287" s="129" t="n">
        <v>0</v>
      </c>
      <c r="AE287" s="129" t="n">
        <v>0</v>
      </c>
      <c r="AF287" s="129" t="n">
        <v>0</v>
      </c>
      <c r="AG287" s="129" t="n">
        <v>0</v>
      </c>
      <c r="AH287" s="129" t="n">
        <v>0</v>
      </c>
      <c r="AI287" s="129" t="n">
        <v>0</v>
      </c>
      <c r="AJ287" s="129" t="n">
        <v>0</v>
      </c>
      <c r="AK287" s="129" t="n">
        <v>0</v>
      </c>
      <c r="AL287" s="129" t="n">
        <v>0</v>
      </c>
      <c r="AM287" s="129" t="n">
        <v>0</v>
      </c>
      <c r="AN287" s="128"/>
      <c r="AO287" s="128"/>
      <c r="AP287" s="126" t="s">
        <v>138</v>
      </c>
      <c r="AQ287" s="126" t="s">
        <v>139</v>
      </c>
      <c r="AR287" s="126" t="s">
        <v>140</v>
      </c>
      <c r="AS287" s="128"/>
      <c r="AT287" s="130"/>
    </row>
    <row r="288" customFormat="false" ht="12.75" hidden="false" customHeight="true" outlineLevel="0" collapsed="false">
      <c r="B288" s="122" t="n">
        <f aca="false">B287+1</f>
        <v>285</v>
      </c>
      <c r="C288" s="123" t="s">
        <v>168</v>
      </c>
      <c r="D288" s="140" t="n">
        <v>61073</v>
      </c>
      <c r="E288" s="124" t="str">
        <f aca="false">IF(D288="","",IFERROR(VLOOKUP(D288,CCN_Library!$A$4:$B$13,2,FALSE()),"NOT IN LIBRARY"))</f>
        <v>COMPANY/BATTERY HEADQUARTERS, MARINE CORPS</v>
      </c>
      <c r="F288" s="125" t="str">
        <f aca="false">LEFT(H288,6)</f>
        <v>M28261</v>
      </c>
      <c r="G288" s="126" t="s">
        <v>128</v>
      </c>
      <c r="H288" s="126" t="s">
        <v>595</v>
      </c>
      <c r="I288" s="126" t="s">
        <v>159</v>
      </c>
      <c r="J288" s="126" t="s">
        <v>160</v>
      </c>
      <c r="K288" s="127" t="s">
        <v>161</v>
      </c>
      <c r="L288" s="126" t="s">
        <v>161</v>
      </c>
      <c r="M288" s="126" t="s">
        <v>133</v>
      </c>
      <c r="N288" s="126" t="s">
        <v>128</v>
      </c>
      <c r="O288" s="126" t="s">
        <v>135</v>
      </c>
      <c r="P288" s="126" t="s">
        <v>135</v>
      </c>
      <c r="Q288" s="128"/>
      <c r="R288" s="126" t="s">
        <v>136</v>
      </c>
      <c r="S288" s="126" t="s">
        <v>136</v>
      </c>
      <c r="T288" s="128"/>
      <c r="U288" s="129" t="n">
        <v>0</v>
      </c>
      <c r="V288" s="129" t="n">
        <v>0</v>
      </c>
      <c r="W288" s="129" t="n">
        <v>0</v>
      </c>
      <c r="X288" s="129" t="n">
        <v>0</v>
      </c>
      <c r="Y288" s="129" t="n">
        <v>0</v>
      </c>
      <c r="Z288" s="129" t="n">
        <v>0</v>
      </c>
      <c r="AA288" s="129" t="n">
        <v>1</v>
      </c>
      <c r="AB288" s="129" t="n">
        <v>0</v>
      </c>
      <c r="AC288" s="129" t="n">
        <v>0</v>
      </c>
      <c r="AD288" s="129" t="n">
        <v>0</v>
      </c>
      <c r="AE288" s="129" t="n">
        <v>0</v>
      </c>
      <c r="AF288" s="129" t="n">
        <v>0</v>
      </c>
      <c r="AG288" s="129" t="n">
        <v>0</v>
      </c>
      <c r="AH288" s="129" t="n">
        <v>0</v>
      </c>
      <c r="AI288" s="129" t="n">
        <v>0</v>
      </c>
      <c r="AJ288" s="129" t="n">
        <v>0</v>
      </c>
      <c r="AK288" s="129" t="n">
        <v>0</v>
      </c>
      <c r="AL288" s="129" t="n">
        <v>0</v>
      </c>
      <c r="AM288" s="129" t="n">
        <v>0</v>
      </c>
      <c r="AN288" s="128"/>
      <c r="AO288" s="128"/>
      <c r="AP288" s="126" t="s">
        <v>138</v>
      </c>
      <c r="AQ288" s="126" t="s">
        <v>139</v>
      </c>
      <c r="AR288" s="126" t="s">
        <v>140</v>
      </c>
      <c r="AS288" s="128"/>
      <c r="AT288" s="130"/>
    </row>
    <row r="289" customFormat="false" ht="12.75" hidden="false" customHeight="true" outlineLevel="0" collapsed="false">
      <c r="B289" s="122" t="n">
        <f aca="false">B288+1</f>
        <v>286</v>
      </c>
      <c r="C289" s="123" t="s">
        <v>168</v>
      </c>
      <c r="D289" s="140" t="n">
        <v>61073</v>
      </c>
      <c r="E289" s="124" t="str">
        <f aca="false">IF(D289="","",IFERROR(VLOOKUP(D289,CCN_Library!$A$4:$B$13,2,FALSE()),"NOT IN LIBRARY"))</f>
        <v>COMPANY/BATTERY HEADQUARTERS, MARINE CORPS</v>
      </c>
      <c r="F289" s="125" t="str">
        <f aca="false">LEFT(H289,6)</f>
        <v>M28261</v>
      </c>
      <c r="G289" s="126" t="s">
        <v>128</v>
      </c>
      <c r="H289" s="126" t="s">
        <v>596</v>
      </c>
      <c r="I289" s="126" t="s">
        <v>159</v>
      </c>
      <c r="J289" s="126" t="s">
        <v>191</v>
      </c>
      <c r="K289" s="127" t="s">
        <v>161</v>
      </c>
      <c r="L289" s="126" t="s">
        <v>161</v>
      </c>
      <c r="M289" s="126" t="s">
        <v>133</v>
      </c>
      <c r="N289" s="126" t="s">
        <v>128</v>
      </c>
      <c r="O289" s="126" t="s">
        <v>135</v>
      </c>
      <c r="P289" s="126" t="s">
        <v>135</v>
      </c>
      <c r="Q289" s="128"/>
      <c r="R289" s="126" t="s">
        <v>136</v>
      </c>
      <c r="S289" s="126" t="s">
        <v>136</v>
      </c>
      <c r="T289" s="128"/>
      <c r="U289" s="129" t="n">
        <v>0</v>
      </c>
      <c r="V289" s="129" t="n">
        <v>0</v>
      </c>
      <c r="W289" s="129" t="n">
        <v>0</v>
      </c>
      <c r="X289" s="129" t="n">
        <v>0</v>
      </c>
      <c r="Y289" s="129" t="n">
        <v>0</v>
      </c>
      <c r="Z289" s="129" t="n">
        <v>0</v>
      </c>
      <c r="AA289" s="129" t="n">
        <v>1</v>
      </c>
      <c r="AB289" s="129" t="n">
        <v>0</v>
      </c>
      <c r="AC289" s="129" t="n">
        <v>0</v>
      </c>
      <c r="AD289" s="129" t="n">
        <v>0</v>
      </c>
      <c r="AE289" s="129" t="n">
        <v>0</v>
      </c>
      <c r="AF289" s="129" t="n">
        <v>0</v>
      </c>
      <c r="AG289" s="129" t="n">
        <v>0</v>
      </c>
      <c r="AH289" s="129" t="n">
        <v>0</v>
      </c>
      <c r="AI289" s="129" t="n">
        <v>0</v>
      </c>
      <c r="AJ289" s="129" t="n">
        <v>0</v>
      </c>
      <c r="AK289" s="129" t="n">
        <v>0</v>
      </c>
      <c r="AL289" s="129" t="n">
        <v>0</v>
      </c>
      <c r="AM289" s="129" t="n">
        <v>0</v>
      </c>
      <c r="AN289" s="128"/>
      <c r="AO289" s="128"/>
      <c r="AP289" s="126" t="s">
        <v>138</v>
      </c>
      <c r="AQ289" s="126" t="s">
        <v>139</v>
      </c>
      <c r="AR289" s="126" t="s">
        <v>140</v>
      </c>
      <c r="AS289" s="128"/>
      <c r="AT289" s="130"/>
    </row>
    <row r="290" customFormat="false" ht="12.75" hidden="false" customHeight="true" outlineLevel="0" collapsed="false">
      <c r="B290" s="122" t="n">
        <f aca="false">B289+1</f>
        <v>287</v>
      </c>
      <c r="C290" s="123" t="s">
        <v>168</v>
      </c>
      <c r="D290" s="140" t="n">
        <v>61073</v>
      </c>
      <c r="E290" s="124" t="str">
        <f aca="false">IF(D290="","",IFERROR(VLOOKUP(D290,CCN_Library!$A$4:$B$13,2,FALSE()),"NOT IN LIBRARY"))</f>
        <v>COMPANY/BATTERY HEADQUARTERS, MARINE CORPS</v>
      </c>
      <c r="F290" s="125" t="str">
        <f aca="false">LEFT(H290,6)</f>
        <v>M28261</v>
      </c>
      <c r="G290" s="126" t="s">
        <v>128</v>
      </c>
      <c r="H290" s="126" t="s">
        <v>597</v>
      </c>
      <c r="I290" s="126" t="s">
        <v>159</v>
      </c>
      <c r="J290" s="126" t="s">
        <v>160</v>
      </c>
      <c r="K290" s="127" t="s">
        <v>161</v>
      </c>
      <c r="L290" s="126" t="s">
        <v>161</v>
      </c>
      <c r="M290" s="126" t="s">
        <v>133</v>
      </c>
      <c r="N290" s="126" t="s">
        <v>128</v>
      </c>
      <c r="O290" s="126" t="s">
        <v>135</v>
      </c>
      <c r="P290" s="126" t="s">
        <v>135</v>
      </c>
      <c r="Q290" s="128"/>
      <c r="R290" s="126" t="s">
        <v>136</v>
      </c>
      <c r="S290" s="126" t="s">
        <v>136</v>
      </c>
      <c r="T290" s="128"/>
      <c r="U290" s="129" t="n">
        <v>0</v>
      </c>
      <c r="V290" s="129" t="n">
        <v>0</v>
      </c>
      <c r="W290" s="129" t="n">
        <v>0</v>
      </c>
      <c r="X290" s="129" t="n">
        <v>0</v>
      </c>
      <c r="Y290" s="129" t="n">
        <v>0</v>
      </c>
      <c r="Z290" s="129" t="n">
        <v>0</v>
      </c>
      <c r="AA290" s="129" t="n">
        <v>1</v>
      </c>
      <c r="AB290" s="129" t="n">
        <v>0</v>
      </c>
      <c r="AC290" s="129" t="n">
        <v>0</v>
      </c>
      <c r="AD290" s="129" t="n">
        <v>0</v>
      </c>
      <c r="AE290" s="129" t="n">
        <v>0</v>
      </c>
      <c r="AF290" s="129" t="n">
        <v>0</v>
      </c>
      <c r="AG290" s="129" t="n">
        <v>0</v>
      </c>
      <c r="AH290" s="129" t="n">
        <v>0</v>
      </c>
      <c r="AI290" s="129" t="n">
        <v>0</v>
      </c>
      <c r="AJ290" s="129" t="n">
        <v>0</v>
      </c>
      <c r="AK290" s="129" t="n">
        <v>0</v>
      </c>
      <c r="AL290" s="129" t="n">
        <v>0</v>
      </c>
      <c r="AM290" s="129" t="n">
        <v>0</v>
      </c>
      <c r="AN290" s="128"/>
      <c r="AO290" s="128"/>
      <c r="AP290" s="126" t="s">
        <v>138</v>
      </c>
      <c r="AQ290" s="126" t="s">
        <v>139</v>
      </c>
      <c r="AR290" s="126" t="s">
        <v>140</v>
      </c>
      <c r="AS290" s="128"/>
      <c r="AT290" s="130"/>
    </row>
    <row r="291" customFormat="false" ht="12.75" hidden="false" customHeight="true" outlineLevel="0" collapsed="false">
      <c r="B291" s="122" t="n">
        <f aca="false">B290+1</f>
        <v>288</v>
      </c>
      <c r="C291" s="123" t="s">
        <v>168</v>
      </c>
      <c r="D291" s="140" t="n">
        <v>61073</v>
      </c>
      <c r="E291" s="124" t="str">
        <f aca="false">IF(D291="","",IFERROR(VLOOKUP(D291,CCN_Library!$A$4:$B$13,2,FALSE()),"NOT IN LIBRARY"))</f>
        <v>COMPANY/BATTERY HEADQUARTERS, MARINE CORPS</v>
      </c>
      <c r="F291" s="125" t="str">
        <f aca="false">LEFT(H291,6)</f>
        <v>M28261</v>
      </c>
      <c r="G291" s="126" t="s">
        <v>128</v>
      </c>
      <c r="H291" s="126" t="s">
        <v>598</v>
      </c>
      <c r="I291" s="126" t="s">
        <v>159</v>
      </c>
      <c r="J291" s="126" t="s">
        <v>160</v>
      </c>
      <c r="K291" s="127" t="s">
        <v>161</v>
      </c>
      <c r="L291" s="126" t="s">
        <v>161</v>
      </c>
      <c r="M291" s="126" t="s">
        <v>133</v>
      </c>
      <c r="N291" s="126" t="s">
        <v>128</v>
      </c>
      <c r="O291" s="126" t="s">
        <v>135</v>
      </c>
      <c r="P291" s="126" t="s">
        <v>135</v>
      </c>
      <c r="Q291" s="128"/>
      <c r="R291" s="126" t="s">
        <v>136</v>
      </c>
      <c r="S291" s="126" t="s">
        <v>136</v>
      </c>
      <c r="T291" s="128"/>
      <c r="U291" s="129" t="n">
        <v>0</v>
      </c>
      <c r="V291" s="129" t="n">
        <v>0</v>
      </c>
      <c r="W291" s="129" t="n">
        <v>0</v>
      </c>
      <c r="X291" s="129" t="n">
        <v>0</v>
      </c>
      <c r="Y291" s="129" t="n">
        <v>0</v>
      </c>
      <c r="Z291" s="129" t="n">
        <v>0</v>
      </c>
      <c r="AA291" s="129" t="n">
        <v>1</v>
      </c>
      <c r="AB291" s="129" t="n">
        <v>0</v>
      </c>
      <c r="AC291" s="129" t="n">
        <v>0</v>
      </c>
      <c r="AD291" s="129" t="n">
        <v>0</v>
      </c>
      <c r="AE291" s="129" t="n">
        <v>0</v>
      </c>
      <c r="AF291" s="129" t="n">
        <v>0</v>
      </c>
      <c r="AG291" s="129" t="n">
        <v>0</v>
      </c>
      <c r="AH291" s="129" t="n">
        <v>0</v>
      </c>
      <c r="AI291" s="129" t="n">
        <v>0</v>
      </c>
      <c r="AJ291" s="129" t="n">
        <v>0</v>
      </c>
      <c r="AK291" s="129" t="n">
        <v>0</v>
      </c>
      <c r="AL291" s="129" t="n">
        <v>0</v>
      </c>
      <c r="AM291" s="129" t="n">
        <v>0</v>
      </c>
      <c r="AN291" s="128"/>
      <c r="AO291" s="128"/>
      <c r="AP291" s="126" t="s">
        <v>138</v>
      </c>
      <c r="AQ291" s="126" t="s">
        <v>139</v>
      </c>
      <c r="AR291" s="126" t="s">
        <v>140</v>
      </c>
      <c r="AS291" s="128"/>
      <c r="AT291" s="130"/>
    </row>
    <row r="292" customFormat="false" ht="12.75" hidden="false" customHeight="true" outlineLevel="0" collapsed="false">
      <c r="B292" s="122" t="n">
        <f aca="false">B291+1</f>
        <v>289</v>
      </c>
      <c r="C292" s="123" t="s">
        <v>168</v>
      </c>
      <c r="D292" s="140" t="n">
        <v>61073</v>
      </c>
      <c r="E292" s="124" t="str">
        <f aca="false">IF(D292="","",IFERROR(VLOOKUP(D292,CCN_Library!$A$4:$B$13,2,FALSE()),"NOT IN LIBRARY"))</f>
        <v>COMPANY/BATTERY HEADQUARTERS, MARINE CORPS</v>
      </c>
      <c r="F292" s="125" t="str">
        <f aca="false">LEFT(H292,6)</f>
        <v>M28261</v>
      </c>
      <c r="G292" s="126" t="s">
        <v>128</v>
      </c>
      <c r="H292" s="126" t="s">
        <v>599</v>
      </c>
      <c r="I292" s="126" t="s">
        <v>159</v>
      </c>
      <c r="J292" s="126" t="s">
        <v>160</v>
      </c>
      <c r="K292" s="127" t="s">
        <v>161</v>
      </c>
      <c r="L292" s="126" t="s">
        <v>161</v>
      </c>
      <c r="M292" s="126" t="s">
        <v>133</v>
      </c>
      <c r="N292" s="126" t="s">
        <v>128</v>
      </c>
      <c r="O292" s="126" t="s">
        <v>135</v>
      </c>
      <c r="P292" s="126" t="s">
        <v>135</v>
      </c>
      <c r="Q292" s="128"/>
      <c r="R292" s="126" t="s">
        <v>136</v>
      </c>
      <c r="S292" s="126" t="s">
        <v>136</v>
      </c>
      <c r="T292" s="128"/>
      <c r="U292" s="129" t="n">
        <v>0</v>
      </c>
      <c r="V292" s="129" t="n">
        <v>0</v>
      </c>
      <c r="W292" s="129" t="n">
        <v>0</v>
      </c>
      <c r="X292" s="129" t="n">
        <v>0</v>
      </c>
      <c r="Y292" s="129" t="n">
        <v>0</v>
      </c>
      <c r="Z292" s="129" t="n">
        <v>0</v>
      </c>
      <c r="AA292" s="129" t="n">
        <v>1</v>
      </c>
      <c r="AB292" s="129" t="n">
        <v>0</v>
      </c>
      <c r="AC292" s="129" t="n">
        <v>0</v>
      </c>
      <c r="AD292" s="129" t="n">
        <v>0</v>
      </c>
      <c r="AE292" s="129" t="n">
        <v>0</v>
      </c>
      <c r="AF292" s="129" t="n">
        <v>0</v>
      </c>
      <c r="AG292" s="129" t="n">
        <v>0</v>
      </c>
      <c r="AH292" s="129" t="n">
        <v>0</v>
      </c>
      <c r="AI292" s="129" t="n">
        <v>0</v>
      </c>
      <c r="AJ292" s="129" t="n">
        <v>0</v>
      </c>
      <c r="AK292" s="129" t="n">
        <v>0</v>
      </c>
      <c r="AL292" s="129" t="n">
        <v>0</v>
      </c>
      <c r="AM292" s="129" t="n">
        <v>0</v>
      </c>
      <c r="AN292" s="128"/>
      <c r="AO292" s="128"/>
      <c r="AP292" s="126" t="s">
        <v>138</v>
      </c>
      <c r="AQ292" s="126" t="s">
        <v>139</v>
      </c>
      <c r="AR292" s="126" t="s">
        <v>140</v>
      </c>
      <c r="AS292" s="128"/>
      <c r="AT292" s="130"/>
    </row>
    <row r="293" customFormat="false" ht="12.75" hidden="false" customHeight="true" outlineLevel="0" collapsed="false">
      <c r="B293" s="131" t="n">
        <f aca="false">B292+1</f>
        <v>290</v>
      </c>
      <c r="C293" s="132" t="s">
        <v>162</v>
      </c>
      <c r="D293" s="133" t="n">
        <v>61073</v>
      </c>
      <c r="E293" s="133"/>
      <c r="F293" s="134" t="str">
        <f aca="false">LEFT(H293,6)</f>
        <v>M28263</v>
      </c>
      <c r="G293" s="135" t="s">
        <v>58</v>
      </c>
      <c r="H293" s="135" t="s">
        <v>600</v>
      </c>
      <c r="I293" s="135" t="s">
        <v>601</v>
      </c>
      <c r="J293" s="136"/>
      <c r="K293" s="136"/>
      <c r="L293" s="136"/>
      <c r="M293" s="136"/>
      <c r="N293" s="136"/>
      <c r="O293" s="136"/>
      <c r="P293" s="136"/>
      <c r="Q293" s="136"/>
      <c r="R293" s="136"/>
      <c r="S293" s="136"/>
      <c r="T293" s="136"/>
      <c r="U293" s="137" t="n">
        <v>0</v>
      </c>
      <c r="V293" s="137" t="n">
        <v>0</v>
      </c>
      <c r="W293" s="137" t="n">
        <v>0</v>
      </c>
      <c r="X293" s="137" t="n">
        <v>0</v>
      </c>
      <c r="Y293" s="137" t="n">
        <v>0</v>
      </c>
      <c r="Z293" s="137" t="n">
        <v>0</v>
      </c>
      <c r="AA293" s="137" t="n">
        <v>0</v>
      </c>
      <c r="AB293" s="137" t="n">
        <v>0</v>
      </c>
      <c r="AC293" s="137" t="n">
        <v>0</v>
      </c>
      <c r="AD293" s="137" t="n">
        <v>0</v>
      </c>
      <c r="AE293" s="137" t="n">
        <v>0</v>
      </c>
      <c r="AF293" s="137" t="n">
        <v>0</v>
      </c>
      <c r="AG293" s="137" t="n">
        <v>0</v>
      </c>
      <c r="AH293" s="137" t="n">
        <v>0</v>
      </c>
      <c r="AI293" s="137" t="n">
        <v>0</v>
      </c>
      <c r="AJ293" s="137" t="n">
        <v>0</v>
      </c>
      <c r="AK293" s="137" t="n">
        <v>0</v>
      </c>
      <c r="AL293" s="137" t="n">
        <v>0</v>
      </c>
      <c r="AM293" s="137" t="n">
        <v>0</v>
      </c>
      <c r="AN293" s="136"/>
      <c r="AO293" s="136"/>
      <c r="AP293" s="136"/>
      <c r="AQ293" s="136"/>
      <c r="AR293" s="136"/>
      <c r="AS293" s="136"/>
      <c r="AT293" s="138"/>
    </row>
    <row r="294" customFormat="false" ht="12.75" hidden="false" customHeight="true" outlineLevel="0" collapsed="false">
      <c r="B294" s="122" t="n">
        <f aca="false">B293+1</f>
        <v>291</v>
      </c>
      <c r="C294" s="123" t="s">
        <v>162</v>
      </c>
      <c r="D294" s="124" t="n">
        <v>61073</v>
      </c>
      <c r="E294" s="124" t="str">
        <f aca="false">IF(D294="","",IFERROR(VLOOKUP(D294,CCN_Library!$A$4:$B$13,2,FALSE()),"NOT IN LIBRARY"))</f>
        <v>COMPANY/BATTERY HEADQUARTERS, MARINE CORPS</v>
      </c>
      <c r="F294" s="125" t="str">
        <f aca="false">LEFT(H294,6)</f>
        <v>M28263</v>
      </c>
      <c r="G294" s="126" t="s">
        <v>128</v>
      </c>
      <c r="H294" s="126" t="s">
        <v>602</v>
      </c>
      <c r="I294" s="126" t="s">
        <v>166</v>
      </c>
      <c r="J294" s="126" t="s">
        <v>143</v>
      </c>
      <c r="K294" s="127" t="s">
        <v>132</v>
      </c>
      <c r="L294" s="126" t="s">
        <v>132</v>
      </c>
      <c r="M294" s="126" t="s">
        <v>133</v>
      </c>
      <c r="N294" s="126" t="s">
        <v>134</v>
      </c>
      <c r="O294" s="126" t="s">
        <v>135</v>
      </c>
      <c r="P294" s="126" t="s">
        <v>135</v>
      </c>
      <c r="Q294" s="128"/>
      <c r="R294" s="126" t="s">
        <v>136</v>
      </c>
      <c r="S294" s="126" t="s">
        <v>137</v>
      </c>
      <c r="T294" s="128"/>
      <c r="U294" s="129" t="n">
        <v>0</v>
      </c>
      <c r="V294" s="129" t="n">
        <v>0</v>
      </c>
      <c r="W294" s="129" t="n">
        <v>0</v>
      </c>
      <c r="X294" s="129" t="n">
        <v>0</v>
      </c>
      <c r="Y294" s="129" t="n">
        <v>0</v>
      </c>
      <c r="Z294" s="129" t="n">
        <v>1</v>
      </c>
      <c r="AA294" s="129" t="n">
        <v>0</v>
      </c>
      <c r="AB294" s="129" t="n">
        <v>0</v>
      </c>
      <c r="AC294" s="129" t="n">
        <v>0</v>
      </c>
      <c r="AD294" s="129" t="n">
        <v>0</v>
      </c>
      <c r="AE294" s="129" t="n">
        <v>0</v>
      </c>
      <c r="AF294" s="129" t="n">
        <v>0</v>
      </c>
      <c r="AG294" s="129" t="n">
        <v>0</v>
      </c>
      <c r="AH294" s="129" t="n">
        <v>0</v>
      </c>
      <c r="AI294" s="129" t="n">
        <v>0</v>
      </c>
      <c r="AJ294" s="129" t="n">
        <v>0</v>
      </c>
      <c r="AK294" s="129" t="n">
        <v>0</v>
      </c>
      <c r="AL294" s="129" t="n">
        <v>0</v>
      </c>
      <c r="AM294" s="129" t="n">
        <v>0</v>
      </c>
      <c r="AN294" s="128"/>
      <c r="AO294" s="128"/>
      <c r="AP294" s="126" t="s">
        <v>138</v>
      </c>
      <c r="AQ294" s="126" t="s">
        <v>139</v>
      </c>
      <c r="AR294" s="126" t="s">
        <v>140</v>
      </c>
      <c r="AS294" s="128"/>
      <c r="AT294" s="130"/>
    </row>
    <row r="295" customFormat="false" ht="12.75" hidden="false" customHeight="true" outlineLevel="0" collapsed="false">
      <c r="B295" s="122" t="n">
        <f aca="false">B294+1</f>
        <v>292</v>
      </c>
      <c r="C295" s="123" t="s">
        <v>162</v>
      </c>
      <c r="D295" s="124" t="n">
        <v>61073</v>
      </c>
      <c r="E295" s="124" t="str">
        <f aca="false">IF(D295="","",IFERROR(VLOOKUP(D295,CCN_Library!$A$4:$B$13,2,FALSE()),"NOT IN LIBRARY"))</f>
        <v>COMPANY/BATTERY HEADQUARTERS, MARINE CORPS</v>
      </c>
      <c r="F295" s="125" t="str">
        <f aca="false">LEFT(H295,6)</f>
        <v>M28263</v>
      </c>
      <c r="G295" s="126" t="s">
        <v>128</v>
      </c>
      <c r="H295" s="126" t="s">
        <v>603</v>
      </c>
      <c r="I295" s="126" t="s">
        <v>142</v>
      </c>
      <c r="J295" s="126" t="s">
        <v>211</v>
      </c>
      <c r="K295" s="127" t="s">
        <v>132</v>
      </c>
      <c r="L295" s="126" t="s">
        <v>132</v>
      </c>
      <c r="M295" s="126" t="s">
        <v>133</v>
      </c>
      <c r="N295" s="126" t="s">
        <v>134</v>
      </c>
      <c r="O295" s="126" t="s">
        <v>135</v>
      </c>
      <c r="P295" s="126" t="s">
        <v>135</v>
      </c>
      <c r="Q295" s="128"/>
      <c r="R295" s="126" t="s">
        <v>136</v>
      </c>
      <c r="S295" s="126" t="s">
        <v>137</v>
      </c>
      <c r="T295" s="128"/>
      <c r="U295" s="129" t="n">
        <v>0</v>
      </c>
      <c r="V295" s="129" t="n">
        <v>0</v>
      </c>
      <c r="W295" s="129" t="n">
        <v>0</v>
      </c>
      <c r="X295" s="129" t="n">
        <v>0</v>
      </c>
      <c r="Y295" s="129" t="n">
        <v>0</v>
      </c>
      <c r="Z295" s="129" t="n">
        <v>1</v>
      </c>
      <c r="AA295" s="129" t="n">
        <v>0</v>
      </c>
      <c r="AB295" s="129" t="n">
        <v>0</v>
      </c>
      <c r="AC295" s="129" t="n">
        <v>0</v>
      </c>
      <c r="AD295" s="129" t="n">
        <v>0</v>
      </c>
      <c r="AE295" s="129" t="n">
        <v>0</v>
      </c>
      <c r="AF295" s="129" t="n">
        <v>0</v>
      </c>
      <c r="AG295" s="129" t="n">
        <v>0</v>
      </c>
      <c r="AH295" s="129" t="n">
        <v>0</v>
      </c>
      <c r="AI295" s="129" t="n">
        <v>0</v>
      </c>
      <c r="AJ295" s="129" t="n">
        <v>0</v>
      </c>
      <c r="AK295" s="129" t="n">
        <v>0</v>
      </c>
      <c r="AL295" s="129" t="n">
        <v>0</v>
      </c>
      <c r="AM295" s="129" t="n">
        <v>0</v>
      </c>
      <c r="AN295" s="128"/>
      <c r="AO295" s="128"/>
      <c r="AP295" s="126" t="s">
        <v>138</v>
      </c>
      <c r="AQ295" s="126" t="s">
        <v>139</v>
      </c>
      <c r="AR295" s="126" t="s">
        <v>140</v>
      </c>
      <c r="AS295" s="128"/>
      <c r="AT295" s="130"/>
    </row>
    <row r="296" customFormat="false" ht="12.75" hidden="false" customHeight="true" outlineLevel="0" collapsed="false">
      <c r="B296" s="122" t="n">
        <f aca="false">B295+1</f>
        <v>293</v>
      </c>
      <c r="C296" s="123" t="s">
        <v>162</v>
      </c>
      <c r="D296" s="124" t="n">
        <v>61073</v>
      </c>
      <c r="E296" s="124" t="str">
        <f aca="false">IF(D296="","",IFERROR(VLOOKUP(D296,CCN_Library!$A$4:$B$13,2,FALSE()),"NOT IN LIBRARY"))</f>
        <v>COMPANY/BATTERY HEADQUARTERS, MARINE CORPS</v>
      </c>
      <c r="F296" s="125" t="str">
        <f aca="false">LEFT(H296,6)</f>
        <v>M28263</v>
      </c>
      <c r="G296" s="126" t="s">
        <v>128</v>
      </c>
      <c r="H296" s="126" t="s">
        <v>604</v>
      </c>
      <c r="I296" s="126" t="s">
        <v>605</v>
      </c>
      <c r="J296" s="126" t="s">
        <v>143</v>
      </c>
      <c r="K296" s="127" t="s">
        <v>151</v>
      </c>
      <c r="L296" s="126" t="s">
        <v>151</v>
      </c>
      <c r="M296" s="126" t="s">
        <v>133</v>
      </c>
      <c r="N296" s="126" t="s">
        <v>134</v>
      </c>
      <c r="O296" s="126" t="s">
        <v>135</v>
      </c>
      <c r="P296" s="126" t="s">
        <v>135</v>
      </c>
      <c r="Q296" s="128"/>
      <c r="R296" s="126" t="s">
        <v>136</v>
      </c>
      <c r="S296" s="126" t="s">
        <v>137</v>
      </c>
      <c r="T296" s="128"/>
      <c r="U296" s="129" t="n">
        <v>0</v>
      </c>
      <c r="V296" s="129" t="n">
        <v>0</v>
      </c>
      <c r="W296" s="129" t="n">
        <v>0</v>
      </c>
      <c r="X296" s="129" t="n">
        <v>0</v>
      </c>
      <c r="Y296" s="129" t="n">
        <v>0</v>
      </c>
      <c r="Z296" s="129" t="n">
        <v>1</v>
      </c>
      <c r="AA296" s="129" t="n">
        <v>0</v>
      </c>
      <c r="AB296" s="129" t="n">
        <v>0</v>
      </c>
      <c r="AC296" s="129" t="n">
        <v>0</v>
      </c>
      <c r="AD296" s="129" t="n">
        <v>0</v>
      </c>
      <c r="AE296" s="129" t="n">
        <v>0</v>
      </c>
      <c r="AF296" s="129" t="n">
        <v>0</v>
      </c>
      <c r="AG296" s="129" t="n">
        <v>0</v>
      </c>
      <c r="AH296" s="129" t="n">
        <v>0</v>
      </c>
      <c r="AI296" s="129" t="n">
        <v>0</v>
      </c>
      <c r="AJ296" s="129" t="n">
        <v>0</v>
      </c>
      <c r="AK296" s="129" t="n">
        <v>0</v>
      </c>
      <c r="AL296" s="129" t="n">
        <v>0</v>
      </c>
      <c r="AM296" s="129" t="n">
        <v>0</v>
      </c>
      <c r="AN296" s="128"/>
      <c r="AO296" s="128"/>
      <c r="AP296" s="126" t="s">
        <v>138</v>
      </c>
      <c r="AQ296" s="126" t="s">
        <v>139</v>
      </c>
      <c r="AR296" s="126" t="s">
        <v>140</v>
      </c>
      <c r="AS296" s="128"/>
      <c r="AT296" s="130"/>
    </row>
    <row r="297" customFormat="false" ht="12.75" hidden="false" customHeight="true" outlineLevel="0" collapsed="false">
      <c r="B297" s="122" t="n">
        <f aca="false">B296+1</f>
        <v>294</v>
      </c>
      <c r="C297" s="123" t="s">
        <v>162</v>
      </c>
      <c r="D297" s="124" t="n">
        <v>61073</v>
      </c>
      <c r="E297" s="124" t="str">
        <f aca="false">IF(D297="","",IFERROR(VLOOKUP(D297,CCN_Library!$A$4:$B$13,2,FALSE()),"NOT IN LIBRARY"))</f>
        <v>COMPANY/BATTERY HEADQUARTERS, MARINE CORPS</v>
      </c>
      <c r="F297" s="125" t="str">
        <f aca="false">LEFT(H297,6)</f>
        <v>M28263</v>
      </c>
      <c r="G297" s="126" t="s">
        <v>128</v>
      </c>
      <c r="H297" s="126" t="s">
        <v>606</v>
      </c>
      <c r="I297" s="126" t="s">
        <v>159</v>
      </c>
      <c r="J297" s="126" t="s">
        <v>174</v>
      </c>
      <c r="K297" s="127" t="s">
        <v>161</v>
      </c>
      <c r="L297" s="126" t="s">
        <v>161</v>
      </c>
      <c r="M297" s="126" t="s">
        <v>133</v>
      </c>
      <c r="N297" s="126" t="s">
        <v>128</v>
      </c>
      <c r="O297" s="126" t="s">
        <v>135</v>
      </c>
      <c r="P297" s="126" t="s">
        <v>135</v>
      </c>
      <c r="Q297" s="128"/>
      <c r="R297" s="126" t="s">
        <v>136</v>
      </c>
      <c r="S297" s="126" t="s">
        <v>137</v>
      </c>
      <c r="T297" s="128"/>
      <c r="U297" s="129" t="n">
        <v>0</v>
      </c>
      <c r="V297" s="129" t="n">
        <v>0</v>
      </c>
      <c r="W297" s="129" t="n">
        <v>0</v>
      </c>
      <c r="X297" s="129" t="n">
        <v>0</v>
      </c>
      <c r="Y297" s="129" t="n">
        <v>0</v>
      </c>
      <c r="Z297" s="129" t="n">
        <v>0</v>
      </c>
      <c r="AA297" s="129" t="n">
        <v>1</v>
      </c>
      <c r="AB297" s="129" t="n">
        <v>0</v>
      </c>
      <c r="AC297" s="129" t="n">
        <v>0</v>
      </c>
      <c r="AD297" s="129" t="n">
        <v>0</v>
      </c>
      <c r="AE297" s="129" t="n">
        <v>0</v>
      </c>
      <c r="AF297" s="129" t="n">
        <v>0</v>
      </c>
      <c r="AG297" s="129" t="n">
        <v>0</v>
      </c>
      <c r="AH297" s="129" t="n">
        <v>0</v>
      </c>
      <c r="AI297" s="129" t="n">
        <v>0</v>
      </c>
      <c r="AJ297" s="129" t="n">
        <v>0</v>
      </c>
      <c r="AK297" s="129" t="n">
        <v>0</v>
      </c>
      <c r="AL297" s="129" t="n">
        <v>0</v>
      </c>
      <c r="AM297" s="129" t="n">
        <v>0</v>
      </c>
      <c r="AN297" s="128"/>
      <c r="AO297" s="128"/>
      <c r="AP297" s="126" t="s">
        <v>138</v>
      </c>
      <c r="AQ297" s="126" t="s">
        <v>139</v>
      </c>
      <c r="AR297" s="126" t="s">
        <v>140</v>
      </c>
      <c r="AS297" s="128"/>
      <c r="AT297" s="130"/>
    </row>
    <row r="298" customFormat="false" ht="12.75" hidden="false" customHeight="true" outlineLevel="0" collapsed="false">
      <c r="B298" s="122" t="n">
        <f aca="false">B297+1</f>
        <v>295</v>
      </c>
      <c r="C298" s="123" t="s">
        <v>168</v>
      </c>
      <c r="D298" s="124" t="n">
        <v>61073</v>
      </c>
      <c r="E298" s="124" t="str">
        <f aca="false">IF(D298="","",IFERROR(VLOOKUP(D298,CCN_Library!$A$4:$B$13,2,FALSE()),"NOT IN LIBRARY"))</f>
        <v>COMPANY/BATTERY HEADQUARTERS, MARINE CORPS</v>
      </c>
      <c r="F298" s="125" t="str">
        <f aca="false">LEFT(H298,6)</f>
        <v>M28263</v>
      </c>
      <c r="G298" s="126" t="s">
        <v>128</v>
      </c>
      <c r="H298" s="126" t="s">
        <v>607</v>
      </c>
      <c r="I298" s="126" t="s">
        <v>195</v>
      </c>
      <c r="J298" s="126" t="s">
        <v>199</v>
      </c>
      <c r="K298" s="127" t="s">
        <v>197</v>
      </c>
      <c r="L298" s="126" t="s">
        <v>197</v>
      </c>
      <c r="M298" s="126" t="s">
        <v>133</v>
      </c>
      <c r="N298" s="126" t="s">
        <v>128</v>
      </c>
      <c r="O298" s="126" t="s">
        <v>135</v>
      </c>
      <c r="P298" s="126" t="s">
        <v>135</v>
      </c>
      <c r="Q298" s="128"/>
      <c r="R298" s="126" t="s">
        <v>136</v>
      </c>
      <c r="S298" s="126" t="s">
        <v>58</v>
      </c>
      <c r="T298" s="128"/>
      <c r="U298" s="129" t="n">
        <v>0</v>
      </c>
      <c r="V298" s="129" t="n">
        <v>0</v>
      </c>
      <c r="W298" s="129" t="n">
        <v>0</v>
      </c>
      <c r="X298" s="129" t="n">
        <v>0</v>
      </c>
      <c r="Y298" s="129" t="n">
        <v>0</v>
      </c>
      <c r="Z298" s="129" t="n">
        <v>0</v>
      </c>
      <c r="AA298" s="129" t="n">
        <v>1</v>
      </c>
      <c r="AB298" s="129" t="n">
        <v>0</v>
      </c>
      <c r="AC298" s="129" t="n">
        <v>0</v>
      </c>
      <c r="AD298" s="129" t="n">
        <v>0</v>
      </c>
      <c r="AE298" s="129" t="n">
        <v>0</v>
      </c>
      <c r="AF298" s="129" t="n">
        <v>0</v>
      </c>
      <c r="AG298" s="129" t="n">
        <v>0</v>
      </c>
      <c r="AH298" s="129" t="n">
        <v>0</v>
      </c>
      <c r="AI298" s="129" t="n">
        <v>0</v>
      </c>
      <c r="AJ298" s="129" t="n">
        <v>0</v>
      </c>
      <c r="AK298" s="129" t="n">
        <v>0</v>
      </c>
      <c r="AL298" s="129" t="n">
        <v>0</v>
      </c>
      <c r="AM298" s="129" t="n">
        <v>0</v>
      </c>
      <c r="AN298" s="128"/>
      <c r="AO298" s="128"/>
      <c r="AP298" s="126" t="s">
        <v>138</v>
      </c>
      <c r="AQ298" s="126" t="s">
        <v>139</v>
      </c>
      <c r="AR298" s="126" t="s">
        <v>140</v>
      </c>
      <c r="AS298" s="128"/>
      <c r="AT298" s="130"/>
    </row>
    <row r="299" customFormat="false" ht="12.75" hidden="false" customHeight="true" outlineLevel="0" collapsed="false">
      <c r="B299" s="122" t="n">
        <f aca="false">B298+1</f>
        <v>296</v>
      </c>
      <c r="C299" s="123" t="s">
        <v>162</v>
      </c>
      <c r="D299" s="124" t="n">
        <v>61073</v>
      </c>
      <c r="E299" s="124" t="str">
        <f aca="false">IF(D299="","",IFERROR(VLOOKUP(D299,CCN_Library!$A$4:$B$13,2,FALSE()),"NOT IN LIBRARY"))</f>
        <v>COMPANY/BATTERY HEADQUARTERS, MARINE CORPS</v>
      </c>
      <c r="F299" s="125" t="str">
        <f aca="false">LEFT(H299,6)</f>
        <v>M28263</v>
      </c>
      <c r="G299" s="126" t="s">
        <v>128</v>
      </c>
      <c r="H299" s="126" t="s">
        <v>608</v>
      </c>
      <c r="I299" s="126" t="s">
        <v>159</v>
      </c>
      <c r="J299" s="126" t="s">
        <v>187</v>
      </c>
      <c r="K299" s="127" t="s">
        <v>161</v>
      </c>
      <c r="L299" s="126" t="s">
        <v>161</v>
      </c>
      <c r="M299" s="126" t="s">
        <v>133</v>
      </c>
      <c r="N299" s="126" t="s">
        <v>128</v>
      </c>
      <c r="O299" s="126" t="s">
        <v>135</v>
      </c>
      <c r="P299" s="126" t="s">
        <v>135</v>
      </c>
      <c r="Q299" s="128"/>
      <c r="R299" s="126" t="s">
        <v>136</v>
      </c>
      <c r="S299" s="126" t="s">
        <v>137</v>
      </c>
      <c r="T299" s="128"/>
      <c r="U299" s="129" t="n">
        <v>0</v>
      </c>
      <c r="V299" s="129" t="n">
        <v>0</v>
      </c>
      <c r="W299" s="129" t="n">
        <v>0</v>
      </c>
      <c r="X299" s="129" t="n">
        <v>0</v>
      </c>
      <c r="Y299" s="129" t="n">
        <v>0</v>
      </c>
      <c r="Z299" s="129" t="n">
        <v>0</v>
      </c>
      <c r="AA299" s="129" t="n">
        <v>1</v>
      </c>
      <c r="AB299" s="129" t="n">
        <v>0</v>
      </c>
      <c r="AC299" s="129" t="n">
        <v>0</v>
      </c>
      <c r="AD299" s="129" t="n">
        <v>0</v>
      </c>
      <c r="AE299" s="129" t="n">
        <v>0</v>
      </c>
      <c r="AF299" s="129" t="n">
        <v>0</v>
      </c>
      <c r="AG299" s="129" t="n">
        <v>0</v>
      </c>
      <c r="AH299" s="129" t="n">
        <v>0</v>
      </c>
      <c r="AI299" s="129" t="n">
        <v>0</v>
      </c>
      <c r="AJ299" s="129" t="n">
        <v>0</v>
      </c>
      <c r="AK299" s="129" t="n">
        <v>0</v>
      </c>
      <c r="AL299" s="129" t="n">
        <v>0</v>
      </c>
      <c r="AM299" s="129" t="n">
        <v>0</v>
      </c>
      <c r="AN299" s="128"/>
      <c r="AO299" s="128"/>
      <c r="AP299" s="126" t="s">
        <v>138</v>
      </c>
      <c r="AQ299" s="126" t="s">
        <v>139</v>
      </c>
      <c r="AR299" s="126" t="s">
        <v>140</v>
      </c>
      <c r="AS299" s="128"/>
      <c r="AT299" s="130"/>
    </row>
    <row r="300" customFormat="false" ht="12.75" hidden="false" customHeight="true" outlineLevel="0" collapsed="false">
      <c r="B300" s="122" t="n">
        <f aca="false">B299+1</f>
        <v>297</v>
      </c>
      <c r="C300" s="123" t="s">
        <v>162</v>
      </c>
      <c r="D300" s="124" t="n">
        <v>61073</v>
      </c>
      <c r="E300" s="124" t="str">
        <f aca="false">IF(D300="","",IFERROR(VLOOKUP(D300,CCN_Library!$A$4:$B$13,2,FALSE()),"NOT IN LIBRARY"))</f>
        <v>COMPANY/BATTERY HEADQUARTERS, MARINE CORPS</v>
      </c>
      <c r="F300" s="125" t="str">
        <f aca="false">LEFT(H300,6)</f>
        <v>M28263</v>
      </c>
      <c r="G300" s="126" t="s">
        <v>128</v>
      </c>
      <c r="H300" s="126" t="s">
        <v>609</v>
      </c>
      <c r="I300" s="126" t="s">
        <v>159</v>
      </c>
      <c r="J300" s="126" t="s">
        <v>189</v>
      </c>
      <c r="K300" s="127" t="s">
        <v>161</v>
      </c>
      <c r="L300" s="126" t="s">
        <v>161</v>
      </c>
      <c r="M300" s="126" t="s">
        <v>133</v>
      </c>
      <c r="N300" s="126" t="s">
        <v>128</v>
      </c>
      <c r="O300" s="126" t="s">
        <v>135</v>
      </c>
      <c r="P300" s="126" t="s">
        <v>135</v>
      </c>
      <c r="Q300" s="128"/>
      <c r="R300" s="126" t="s">
        <v>136</v>
      </c>
      <c r="S300" s="126" t="s">
        <v>137</v>
      </c>
      <c r="T300" s="128"/>
      <c r="U300" s="129" t="n">
        <v>0</v>
      </c>
      <c r="V300" s="129" t="n">
        <v>0</v>
      </c>
      <c r="W300" s="129" t="n">
        <v>0</v>
      </c>
      <c r="X300" s="129" t="n">
        <v>0</v>
      </c>
      <c r="Y300" s="129" t="n">
        <v>0</v>
      </c>
      <c r="Z300" s="129" t="n">
        <v>0</v>
      </c>
      <c r="AA300" s="129" t="n">
        <v>1</v>
      </c>
      <c r="AB300" s="129" t="n">
        <v>0</v>
      </c>
      <c r="AC300" s="129" t="n">
        <v>0</v>
      </c>
      <c r="AD300" s="129" t="n">
        <v>0</v>
      </c>
      <c r="AE300" s="129" t="n">
        <v>0</v>
      </c>
      <c r="AF300" s="129" t="n">
        <v>0</v>
      </c>
      <c r="AG300" s="129" t="n">
        <v>0</v>
      </c>
      <c r="AH300" s="129" t="n">
        <v>0</v>
      </c>
      <c r="AI300" s="129" t="n">
        <v>0</v>
      </c>
      <c r="AJ300" s="129" t="n">
        <v>0</v>
      </c>
      <c r="AK300" s="129" t="n">
        <v>0</v>
      </c>
      <c r="AL300" s="129" t="n">
        <v>0</v>
      </c>
      <c r="AM300" s="129" t="n">
        <v>0</v>
      </c>
      <c r="AN300" s="126" t="s">
        <v>384</v>
      </c>
      <c r="AO300" s="126" t="s">
        <v>610</v>
      </c>
      <c r="AP300" s="126" t="s">
        <v>138</v>
      </c>
      <c r="AQ300" s="126" t="s">
        <v>139</v>
      </c>
      <c r="AR300" s="126" t="s">
        <v>386</v>
      </c>
      <c r="AS300" s="128"/>
      <c r="AT300" s="130"/>
    </row>
    <row r="301" customFormat="false" ht="12.75" hidden="false" customHeight="true" outlineLevel="0" collapsed="false">
      <c r="B301" s="122" t="n">
        <f aca="false">B300+1</f>
        <v>298</v>
      </c>
      <c r="C301" s="123" t="s">
        <v>168</v>
      </c>
      <c r="D301" s="124" t="n">
        <v>61073</v>
      </c>
      <c r="E301" s="124" t="str">
        <f aca="false">IF(D301="","",IFERROR(VLOOKUP(D301,CCN_Library!$A$4:$B$13,2,FALSE()),"NOT IN LIBRARY"))</f>
        <v>COMPANY/BATTERY HEADQUARTERS, MARINE CORPS</v>
      </c>
      <c r="F301" s="125" t="str">
        <f aca="false">LEFT(H301,6)</f>
        <v>M28263</v>
      </c>
      <c r="G301" s="126" t="s">
        <v>128</v>
      </c>
      <c r="H301" s="126" t="s">
        <v>611</v>
      </c>
      <c r="I301" s="126" t="s">
        <v>159</v>
      </c>
      <c r="J301" s="126" t="s">
        <v>191</v>
      </c>
      <c r="K301" s="127" t="s">
        <v>161</v>
      </c>
      <c r="L301" s="126" t="s">
        <v>161</v>
      </c>
      <c r="M301" s="126" t="s">
        <v>133</v>
      </c>
      <c r="N301" s="126" t="s">
        <v>128</v>
      </c>
      <c r="O301" s="126" t="s">
        <v>135</v>
      </c>
      <c r="P301" s="126" t="s">
        <v>135</v>
      </c>
      <c r="Q301" s="128"/>
      <c r="R301" s="126" t="s">
        <v>136</v>
      </c>
      <c r="S301" s="126" t="s">
        <v>58</v>
      </c>
      <c r="T301" s="128"/>
      <c r="U301" s="129" t="n">
        <v>0</v>
      </c>
      <c r="V301" s="129" t="n">
        <v>0</v>
      </c>
      <c r="W301" s="129" t="n">
        <v>0</v>
      </c>
      <c r="X301" s="129" t="n">
        <v>0</v>
      </c>
      <c r="Y301" s="129" t="n">
        <v>0</v>
      </c>
      <c r="Z301" s="129" t="n">
        <v>0</v>
      </c>
      <c r="AA301" s="129" t="n">
        <v>1</v>
      </c>
      <c r="AB301" s="129" t="n">
        <v>0</v>
      </c>
      <c r="AC301" s="129" t="n">
        <v>0</v>
      </c>
      <c r="AD301" s="129" t="n">
        <v>0</v>
      </c>
      <c r="AE301" s="129" t="n">
        <v>0</v>
      </c>
      <c r="AF301" s="129" t="n">
        <v>0</v>
      </c>
      <c r="AG301" s="129" t="n">
        <v>0</v>
      </c>
      <c r="AH301" s="129" t="n">
        <v>0</v>
      </c>
      <c r="AI301" s="129" t="n">
        <v>0</v>
      </c>
      <c r="AJ301" s="129" t="n">
        <v>0</v>
      </c>
      <c r="AK301" s="129" t="n">
        <v>0</v>
      </c>
      <c r="AL301" s="129" t="n">
        <v>0</v>
      </c>
      <c r="AM301" s="129" t="n">
        <v>0</v>
      </c>
      <c r="AN301" s="126" t="s">
        <v>384</v>
      </c>
      <c r="AO301" s="126" t="s">
        <v>385</v>
      </c>
      <c r="AP301" s="126" t="s">
        <v>138</v>
      </c>
      <c r="AQ301" s="126" t="s">
        <v>139</v>
      </c>
      <c r="AR301" s="126" t="s">
        <v>386</v>
      </c>
      <c r="AS301" s="128"/>
      <c r="AT301" s="130"/>
    </row>
    <row r="302" customFormat="false" ht="12.75" hidden="false" customHeight="true" outlineLevel="0" collapsed="false">
      <c r="B302" s="122" t="n">
        <f aca="false">B301+1</f>
        <v>299</v>
      </c>
      <c r="C302" s="123" t="s">
        <v>162</v>
      </c>
      <c r="D302" s="124" t="n">
        <v>61073</v>
      </c>
      <c r="E302" s="124" t="str">
        <f aca="false">IF(D302="","",IFERROR(VLOOKUP(D302,CCN_Library!$A$4:$B$13,2,FALSE()),"NOT IN LIBRARY"))</f>
        <v>COMPANY/BATTERY HEADQUARTERS, MARINE CORPS</v>
      </c>
      <c r="F302" s="125" t="str">
        <f aca="false">LEFT(H302,6)</f>
        <v>M28263</v>
      </c>
      <c r="G302" s="126" t="s">
        <v>128</v>
      </c>
      <c r="H302" s="126" t="s">
        <v>612</v>
      </c>
      <c r="I302" s="126" t="s">
        <v>613</v>
      </c>
      <c r="J302" s="126" t="s">
        <v>182</v>
      </c>
      <c r="K302" s="127" t="s">
        <v>132</v>
      </c>
      <c r="L302" s="126" t="s">
        <v>132</v>
      </c>
      <c r="M302" s="126" t="s">
        <v>133</v>
      </c>
      <c r="N302" s="126" t="s">
        <v>134</v>
      </c>
      <c r="O302" s="126" t="s">
        <v>135</v>
      </c>
      <c r="P302" s="126" t="s">
        <v>135</v>
      </c>
      <c r="Q302" s="128"/>
      <c r="R302" s="126" t="s">
        <v>136</v>
      </c>
      <c r="S302" s="126" t="s">
        <v>137</v>
      </c>
      <c r="T302" s="128"/>
      <c r="U302" s="129" t="n">
        <v>0</v>
      </c>
      <c r="V302" s="129" t="n">
        <v>0</v>
      </c>
      <c r="W302" s="129" t="n">
        <v>0</v>
      </c>
      <c r="X302" s="129" t="n">
        <v>0</v>
      </c>
      <c r="Y302" s="129" t="n">
        <v>0</v>
      </c>
      <c r="Z302" s="129" t="n">
        <v>1</v>
      </c>
      <c r="AA302" s="129" t="n">
        <v>0</v>
      </c>
      <c r="AB302" s="129" t="n">
        <v>0</v>
      </c>
      <c r="AC302" s="129" t="n">
        <v>0</v>
      </c>
      <c r="AD302" s="129" t="n">
        <v>0</v>
      </c>
      <c r="AE302" s="129" t="n">
        <v>0</v>
      </c>
      <c r="AF302" s="129" t="n">
        <v>0</v>
      </c>
      <c r="AG302" s="129" t="n">
        <v>0</v>
      </c>
      <c r="AH302" s="129" t="n">
        <v>0</v>
      </c>
      <c r="AI302" s="129" t="n">
        <v>0</v>
      </c>
      <c r="AJ302" s="129" t="n">
        <v>0</v>
      </c>
      <c r="AK302" s="129" t="n">
        <v>0</v>
      </c>
      <c r="AL302" s="129" t="n">
        <v>0</v>
      </c>
      <c r="AM302" s="129" t="n">
        <v>0</v>
      </c>
      <c r="AN302" s="128"/>
      <c r="AO302" s="128"/>
      <c r="AP302" s="126" t="s">
        <v>138</v>
      </c>
      <c r="AQ302" s="126" t="s">
        <v>139</v>
      </c>
      <c r="AR302" s="126" t="s">
        <v>140</v>
      </c>
      <c r="AS302" s="128"/>
      <c r="AT302" s="130"/>
    </row>
    <row r="303" customFormat="false" ht="12.75" hidden="false" customHeight="true" outlineLevel="0" collapsed="false">
      <c r="B303" s="122" t="n">
        <f aca="false">B302+1</f>
        <v>300</v>
      </c>
      <c r="C303" s="123" t="s">
        <v>162</v>
      </c>
      <c r="D303" s="124" t="n">
        <v>61073</v>
      </c>
      <c r="E303" s="124" t="str">
        <f aca="false">IF(D303="","",IFERROR(VLOOKUP(D303,CCN_Library!$A$4:$B$13,2,FALSE()),"NOT IN LIBRARY"))</f>
        <v>COMPANY/BATTERY HEADQUARTERS, MARINE CORPS</v>
      </c>
      <c r="F303" s="125" t="str">
        <f aca="false">LEFT(H303,6)</f>
        <v>M28263</v>
      </c>
      <c r="G303" s="126" t="s">
        <v>128</v>
      </c>
      <c r="H303" s="126" t="s">
        <v>614</v>
      </c>
      <c r="I303" s="126" t="s">
        <v>159</v>
      </c>
      <c r="J303" s="126" t="s">
        <v>187</v>
      </c>
      <c r="K303" s="127" t="s">
        <v>161</v>
      </c>
      <c r="L303" s="126" t="s">
        <v>161</v>
      </c>
      <c r="M303" s="126" t="s">
        <v>133</v>
      </c>
      <c r="N303" s="126" t="s">
        <v>128</v>
      </c>
      <c r="O303" s="126" t="s">
        <v>135</v>
      </c>
      <c r="P303" s="126" t="s">
        <v>135</v>
      </c>
      <c r="Q303" s="128"/>
      <c r="R303" s="126" t="s">
        <v>136</v>
      </c>
      <c r="S303" s="126" t="s">
        <v>137</v>
      </c>
      <c r="T303" s="128"/>
      <c r="U303" s="129" t="n">
        <v>0</v>
      </c>
      <c r="V303" s="129" t="n">
        <v>0</v>
      </c>
      <c r="W303" s="129" t="n">
        <v>0</v>
      </c>
      <c r="X303" s="129" t="n">
        <v>0</v>
      </c>
      <c r="Y303" s="129" t="n">
        <v>0</v>
      </c>
      <c r="Z303" s="129" t="n">
        <v>0</v>
      </c>
      <c r="AA303" s="129" t="n">
        <v>1</v>
      </c>
      <c r="AB303" s="129" t="n">
        <v>0</v>
      </c>
      <c r="AC303" s="129" t="n">
        <v>0</v>
      </c>
      <c r="AD303" s="129" t="n">
        <v>0</v>
      </c>
      <c r="AE303" s="129" t="n">
        <v>0</v>
      </c>
      <c r="AF303" s="129" t="n">
        <v>0</v>
      </c>
      <c r="AG303" s="129" t="n">
        <v>0</v>
      </c>
      <c r="AH303" s="129" t="n">
        <v>0</v>
      </c>
      <c r="AI303" s="129" t="n">
        <v>0</v>
      </c>
      <c r="AJ303" s="129" t="n">
        <v>0</v>
      </c>
      <c r="AK303" s="129" t="n">
        <v>0</v>
      </c>
      <c r="AL303" s="129" t="n">
        <v>0</v>
      </c>
      <c r="AM303" s="129" t="n">
        <v>0</v>
      </c>
      <c r="AN303" s="128"/>
      <c r="AO303" s="128"/>
      <c r="AP303" s="126" t="s">
        <v>138</v>
      </c>
      <c r="AQ303" s="126" t="s">
        <v>139</v>
      </c>
      <c r="AR303" s="126" t="s">
        <v>140</v>
      </c>
      <c r="AS303" s="128"/>
      <c r="AT303" s="130"/>
    </row>
    <row r="304" customFormat="false" ht="12.75" hidden="false" customHeight="true" outlineLevel="0" collapsed="false">
      <c r="B304" s="122" t="n">
        <f aca="false">B303+1</f>
        <v>301</v>
      </c>
      <c r="C304" s="123" t="s">
        <v>168</v>
      </c>
      <c r="D304" s="124" t="n">
        <v>61073</v>
      </c>
      <c r="E304" s="124" t="str">
        <f aca="false">IF(D304="","",IFERROR(VLOOKUP(D304,CCN_Library!$A$4:$B$13,2,FALSE()),"NOT IN LIBRARY"))</f>
        <v>COMPANY/BATTERY HEADQUARTERS, MARINE CORPS</v>
      </c>
      <c r="F304" s="125" t="str">
        <f aca="false">LEFT(H304,6)</f>
        <v>M28263</v>
      </c>
      <c r="G304" s="126" t="s">
        <v>128</v>
      </c>
      <c r="H304" s="126" t="s">
        <v>615</v>
      </c>
      <c r="I304" s="126" t="s">
        <v>159</v>
      </c>
      <c r="J304" s="126" t="s">
        <v>191</v>
      </c>
      <c r="K304" s="127" t="s">
        <v>161</v>
      </c>
      <c r="L304" s="126" t="s">
        <v>161</v>
      </c>
      <c r="M304" s="126" t="s">
        <v>133</v>
      </c>
      <c r="N304" s="126" t="s">
        <v>128</v>
      </c>
      <c r="O304" s="126" t="s">
        <v>135</v>
      </c>
      <c r="P304" s="126" t="s">
        <v>135</v>
      </c>
      <c r="Q304" s="128"/>
      <c r="R304" s="126" t="s">
        <v>136</v>
      </c>
      <c r="S304" s="126" t="s">
        <v>58</v>
      </c>
      <c r="T304" s="128"/>
      <c r="U304" s="129" t="n">
        <v>0</v>
      </c>
      <c r="V304" s="129" t="n">
        <v>0</v>
      </c>
      <c r="W304" s="129" t="n">
        <v>0</v>
      </c>
      <c r="X304" s="129" t="n">
        <v>0</v>
      </c>
      <c r="Y304" s="129" t="n">
        <v>0</v>
      </c>
      <c r="Z304" s="129" t="n">
        <v>0</v>
      </c>
      <c r="AA304" s="129" t="n">
        <v>1</v>
      </c>
      <c r="AB304" s="129" t="n">
        <v>0</v>
      </c>
      <c r="AC304" s="129" t="n">
        <v>0</v>
      </c>
      <c r="AD304" s="129" t="n">
        <v>0</v>
      </c>
      <c r="AE304" s="129" t="n">
        <v>0</v>
      </c>
      <c r="AF304" s="129" t="n">
        <v>0</v>
      </c>
      <c r="AG304" s="129" t="n">
        <v>0</v>
      </c>
      <c r="AH304" s="129" t="n">
        <v>0</v>
      </c>
      <c r="AI304" s="129" t="n">
        <v>0</v>
      </c>
      <c r="AJ304" s="129" t="n">
        <v>0</v>
      </c>
      <c r="AK304" s="129" t="n">
        <v>0</v>
      </c>
      <c r="AL304" s="129" t="n">
        <v>0</v>
      </c>
      <c r="AM304" s="129" t="n">
        <v>0</v>
      </c>
      <c r="AN304" s="126" t="s">
        <v>384</v>
      </c>
      <c r="AO304" s="126" t="s">
        <v>385</v>
      </c>
      <c r="AP304" s="126" t="s">
        <v>138</v>
      </c>
      <c r="AQ304" s="126" t="s">
        <v>139</v>
      </c>
      <c r="AR304" s="126" t="s">
        <v>386</v>
      </c>
      <c r="AS304" s="128"/>
      <c r="AT304" s="130"/>
    </row>
    <row r="305" customFormat="false" ht="12.75" hidden="false" customHeight="true" outlineLevel="0" collapsed="false">
      <c r="B305" s="122" t="n">
        <f aca="false">B304+1</f>
        <v>302</v>
      </c>
      <c r="C305" s="123" t="s">
        <v>168</v>
      </c>
      <c r="D305" s="124" t="n">
        <v>61073</v>
      </c>
      <c r="E305" s="124" t="str">
        <f aca="false">IF(D305="","",IFERROR(VLOOKUP(D305,CCN_Library!$A$4:$B$13,2,FALSE()),"NOT IN LIBRARY"))</f>
        <v>COMPANY/BATTERY HEADQUARTERS, MARINE CORPS</v>
      </c>
      <c r="F305" s="125" t="str">
        <f aca="false">LEFT(H305,6)</f>
        <v>M28263</v>
      </c>
      <c r="G305" s="126" t="s">
        <v>128</v>
      </c>
      <c r="H305" s="126" t="s">
        <v>616</v>
      </c>
      <c r="I305" s="126" t="s">
        <v>159</v>
      </c>
      <c r="J305" s="126" t="s">
        <v>191</v>
      </c>
      <c r="K305" s="127" t="s">
        <v>161</v>
      </c>
      <c r="L305" s="126" t="s">
        <v>161</v>
      </c>
      <c r="M305" s="126" t="s">
        <v>133</v>
      </c>
      <c r="N305" s="126" t="s">
        <v>128</v>
      </c>
      <c r="O305" s="126" t="s">
        <v>135</v>
      </c>
      <c r="P305" s="126" t="s">
        <v>135</v>
      </c>
      <c r="Q305" s="128"/>
      <c r="R305" s="126" t="s">
        <v>136</v>
      </c>
      <c r="S305" s="126" t="s">
        <v>58</v>
      </c>
      <c r="T305" s="128"/>
      <c r="U305" s="129" t="n">
        <v>0</v>
      </c>
      <c r="V305" s="129" t="n">
        <v>0</v>
      </c>
      <c r="W305" s="129" t="n">
        <v>0</v>
      </c>
      <c r="X305" s="129" t="n">
        <v>0</v>
      </c>
      <c r="Y305" s="129" t="n">
        <v>0</v>
      </c>
      <c r="Z305" s="129" t="n">
        <v>0</v>
      </c>
      <c r="AA305" s="129" t="n">
        <v>1</v>
      </c>
      <c r="AB305" s="129" t="n">
        <v>0</v>
      </c>
      <c r="AC305" s="129" t="n">
        <v>0</v>
      </c>
      <c r="AD305" s="129" t="n">
        <v>0</v>
      </c>
      <c r="AE305" s="129" t="n">
        <v>0</v>
      </c>
      <c r="AF305" s="129" t="n">
        <v>0</v>
      </c>
      <c r="AG305" s="129" t="n">
        <v>0</v>
      </c>
      <c r="AH305" s="129" t="n">
        <v>0</v>
      </c>
      <c r="AI305" s="129" t="n">
        <v>0</v>
      </c>
      <c r="AJ305" s="129" t="n">
        <v>0</v>
      </c>
      <c r="AK305" s="129" t="n">
        <v>0</v>
      </c>
      <c r="AL305" s="129" t="n">
        <v>0</v>
      </c>
      <c r="AM305" s="129" t="n">
        <v>0</v>
      </c>
      <c r="AN305" s="126" t="s">
        <v>384</v>
      </c>
      <c r="AO305" s="126" t="s">
        <v>385</v>
      </c>
      <c r="AP305" s="126" t="s">
        <v>138</v>
      </c>
      <c r="AQ305" s="126" t="s">
        <v>139</v>
      </c>
      <c r="AR305" s="126" t="s">
        <v>386</v>
      </c>
      <c r="AS305" s="128"/>
      <c r="AT305" s="139"/>
    </row>
    <row r="306" customFormat="false" ht="12.75" hidden="false" customHeight="true" outlineLevel="0" collapsed="false">
      <c r="B306" s="122" t="n">
        <f aca="false">B305+1</f>
        <v>303</v>
      </c>
      <c r="C306" s="123" t="s">
        <v>168</v>
      </c>
      <c r="D306" s="124" t="n">
        <v>61073</v>
      </c>
      <c r="E306" s="124" t="str">
        <f aca="false">IF(D306="","",IFERROR(VLOOKUP(D306,CCN_Library!$A$4:$B$13,2,FALSE()),"NOT IN LIBRARY"))</f>
        <v>COMPANY/BATTERY HEADQUARTERS, MARINE CORPS</v>
      </c>
      <c r="F306" s="125" t="str">
        <f aca="false">LEFT(H306,6)</f>
        <v>M28263</v>
      </c>
      <c r="G306" s="126" t="s">
        <v>128</v>
      </c>
      <c r="H306" s="126" t="s">
        <v>617</v>
      </c>
      <c r="I306" s="126" t="s">
        <v>159</v>
      </c>
      <c r="J306" s="126" t="s">
        <v>176</v>
      </c>
      <c r="K306" s="127" t="s">
        <v>161</v>
      </c>
      <c r="L306" s="126" t="s">
        <v>161</v>
      </c>
      <c r="M306" s="126" t="s">
        <v>133</v>
      </c>
      <c r="N306" s="126" t="s">
        <v>128</v>
      </c>
      <c r="O306" s="126" t="s">
        <v>135</v>
      </c>
      <c r="P306" s="126" t="s">
        <v>135</v>
      </c>
      <c r="Q306" s="128"/>
      <c r="R306" s="126" t="s">
        <v>136</v>
      </c>
      <c r="S306" s="126" t="s">
        <v>58</v>
      </c>
      <c r="T306" s="128"/>
      <c r="U306" s="129" t="n">
        <v>0</v>
      </c>
      <c r="V306" s="129" t="n">
        <v>0</v>
      </c>
      <c r="W306" s="129" t="n">
        <v>0</v>
      </c>
      <c r="X306" s="129" t="n">
        <v>0</v>
      </c>
      <c r="Y306" s="129" t="n">
        <v>0</v>
      </c>
      <c r="Z306" s="129" t="n">
        <v>0</v>
      </c>
      <c r="AA306" s="129" t="n">
        <v>1</v>
      </c>
      <c r="AB306" s="129" t="n">
        <v>0</v>
      </c>
      <c r="AC306" s="129" t="n">
        <v>0</v>
      </c>
      <c r="AD306" s="129" t="n">
        <v>0</v>
      </c>
      <c r="AE306" s="129" t="n">
        <v>0</v>
      </c>
      <c r="AF306" s="129" t="n">
        <v>0</v>
      </c>
      <c r="AG306" s="129" t="n">
        <v>0</v>
      </c>
      <c r="AH306" s="129" t="n">
        <v>0</v>
      </c>
      <c r="AI306" s="129" t="n">
        <v>0</v>
      </c>
      <c r="AJ306" s="129" t="n">
        <v>0</v>
      </c>
      <c r="AK306" s="129" t="n">
        <v>0</v>
      </c>
      <c r="AL306" s="129" t="n">
        <v>0</v>
      </c>
      <c r="AM306" s="129" t="n">
        <v>0</v>
      </c>
      <c r="AN306" s="126" t="s">
        <v>384</v>
      </c>
      <c r="AO306" s="126" t="s">
        <v>385</v>
      </c>
      <c r="AP306" s="126" t="s">
        <v>138</v>
      </c>
      <c r="AQ306" s="126" t="s">
        <v>139</v>
      </c>
      <c r="AR306" s="126" t="s">
        <v>386</v>
      </c>
      <c r="AS306" s="128"/>
      <c r="AT306" s="130"/>
    </row>
    <row r="307" customFormat="false" ht="12.75" hidden="false" customHeight="true" outlineLevel="0" collapsed="false">
      <c r="B307" s="122" t="n">
        <f aca="false">B306+1</f>
        <v>304</v>
      </c>
      <c r="C307" s="123" t="s">
        <v>168</v>
      </c>
      <c r="D307" s="124" t="n">
        <v>61073</v>
      </c>
      <c r="E307" s="124" t="str">
        <f aca="false">IF(D307="","",IFERROR(VLOOKUP(D307,CCN_Library!$A$4:$B$13,2,FALSE()),"NOT IN LIBRARY"))</f>
        <v>COMPANY/BATTERY HEADQUARTERS, MARINE CORPS</v>
      </c>
      <c r="F307" s="125" t="str">
        <f aca="false">LEFT(H307,6)</f>
        <v>M28263</v>
      </c>
      <c r="G307" s="126" t="s">
        <v>128</v>
      </c>
      <c r="H307" s="126" t="s">
        <v>618</v>
      </c>
      <c r="I307" s="126" t="s">
        <v>159</v>
      </c>
      <c r="J307" s="126" t="s">
        <v>176</v>
      </c>
      <c r="K307" s="127" t="s">
        <v>161</v>
      </c>
      <c r="L307" s="126" t="s">
        <v>161</v>
      </c>
      <c r="M307" s="126" t="s">
        <v>133</v>
      </c>
      <c r="N307" s="126" t="s">
        <v>128</v>
      </c>
      <c r="O307" s="126" t="s">
        <v>135</v>
      </c>
      <c r="P307" s="126" t="s">
        <v>135</v>
      </c>
      <c r="Q307" s="128"/>
      <c r="R307" s="126" t="s">
        <v>136</v>
      </c>
      <c r="S307" s="126" t="s">
        <v>58</v>
      </c>
      <c r="T307" s="128"/>
      <c r="U307" s="129" t="n">
        <v>0</v>
      </c>
      <c r="V307" s="129" t="n">
        <v>0</v>
      </c>
      <c r="W307" s="129" t="n">
        <v>0</v>
      </c>
      <c r="X307" s="129" t="n">
        <v>0</v>
      </c>
      <c r="Y307" s="129" t="n">
        <v>0</v>
      </c>
      <c r="Z307" s="129" t="n">
        <v>0</v>
      </c>
      <c r="AA307" s="129" t="n">
        <v>1</v>
      </c>
      <c r="AB307" s="129" t="n">
        <v>0</v>
      </c>
      <c r="AC307" s="129" t="n">
        <v>0</v>
      </c>
      <c r="AD307" s="129" t="n">
        <v>0</v>
      </c>
      <c r="AE307" s="129" t="n">
        <v>0</v>
      </c>
      <c r="AF307" s="129" t="n">
        <v>0</v>
      </c>
      <c r="AG307" s="129" t="n">
        <v>0</v>
      </c>
      <c r="AH307" s="129" t="n">
        <v>0</v>
      </c>
      <c r="AI307" s="129" t="n">
        <v>0</v>
      </c>
      <c r="AJ307" s="129" t="n">
        <v>0</v>
      </c>
      <c r="AK307" s="129" t="n">
        <v>0</v>
      </c>
      <c r="AL307" s="129" t="n">
        <v>0</v>
      </c>
      <c r="AM307" s="129" t="n">
        <v>0</v>
      </c>
      <c r="AN307" s="126" t="s">
        <v>384</v>
      </c>
      <c r="AO307" s="126" t="s">
        <v>385</v>
      </c>
      <c r="AP307" s="126" t="s">
        <v>138</v>
      </c>
      <c r="AQ307" s="126" t="s">
        <v>139</v>
      </c>
      <c r="AR307" s="126" t="s">
        <v>386</v>
      </c>
      <c r="AS307" s="128"/>
      <c r="AT307" s="130"/>
    </row>
    <row r="308" customFormat="false" ht="12.75" hidden="false" customHeight="true" outlineLevel="0" collapsed="false">
      <c r="B308" s="122" t="n">
        <f aca="false">B307+1</f>
        <v>305</v>
      </c>
      <c r="C308" s="123" t="s">
        <v>168</v>
      </c>
      <c r="D308" s="124" t="n">
        <v>61073</v>
      </c>
      <c r="E308" s="124" t="str">
        <f aca="false">IF(D308="","",IFERROR(VLOOKUP(D308,CCN_Library!$A$4:$B$13,2,FALSE()),"NOT IN LIBRARY"))</f>
        <v>COMPANY/BATTERY HEADQUARTERS, MARINE CORPS</v>
      </c>
      <c r="F308" s="125" t="str">
        <f aca="false">LEFT(H308,6)</f>
        <v>M28263</v>
      </c>
      <c r="G308" s="126" t="s">
        <v>128</v>
      </c>
      <c r="H308" s="126" t="s">
        <v>619</v>
      </c>
      <c r="I308" s="126" t="s">
        <v>159</v>
      </c>
      <c r="J308" s="126" t="s">
        <v>191</v>
      </c>
      <c r="K308" s="127" t="s">
        <v>161</v>
      </c>
      <c r="L308" s="126" t="s">
        <v>161</v>
      </c>
      <c r="M308" s="126" t="s">
        <v>133</v>
      </c>
      <c r="N308" s="126" t="s">
        <v>128</v>
      </c>
      <c r="O308" s="126" t="s">
        <v>135</v>
      </c>
      <c r="P308" s="126" t="s">
        <v>135</v>
      </c>
      <c r="Q308" s="128"/>
      <c r="R308" s="126" t="s">
        <v>136</v>
      </c>
      <c r="S308" s="126" t="s">
        <v>58</v>
      </c>
      <c r="T308" s="128"/>
      <c r="U308" s="129" t="n">
        <v>0</v>
      </c>
      <c r="V308" s="129" t="n">
        <v>0</v>
      </c>
      <c r="W308" s="129" t="n">
        <v>0</v>
      </c>
      <c r="X308" s="129" t="n">
        <v>0</v>
      </c>
      <c r="Y308" s="129" t="n">
        <v>0</v>
      </c>
      <c r="Z308" s="129" t="n">
        <v>0</v>
      </c>
      <c r="AA308" s="129" t="n">
        <v>1</v>
      </c>
      <c r="AB308" s="129" t="n">
        <v>0</v>
      </c>
      <c r="AC308" s="129" t="n">
        <v>0</v>
      </c>
      <c r="AD308" s="129" t="n">
        <v>0</v>
      </c>
      <c r="AE308" s="129" t="n">
        <v>0</v>
      </c>
      <c r="AF308" s="129" t="n">
        <v>0</v>
      </c>
      <c r="AG308" s="129" t="n">
        <v>0</v>
      </c>
      <c r="AH308" s="129" t="n">
        <v>0</v>
      </c>
      <c r="AI308" s="129" t="n">
        <v>0</v>
      </c>
      <c r="AJ308" s="129" t="n">
        <v>0</v>
      </c>
      <c r="AK308" s="129" t="n">
        <v>0</v>
      </c>
      <c r="AL308" s="129" t="n">
        <v>0</v>
      </c>
      <c r="AM308" s="129" t="n">
        <v>0</v>
      </c>
      <c r="AN308" s="126" t="s">
        <v>384</v>
      </c>
      <c r="AO308" s="126" t="s">
        <v>385</v>
      </c>
      <c r="AP308" s="126" t="s">
        <v>138</v>
      </c>
      <c r="AQ308" s="126" t="s">
        <v>139</v>
      </c>
      <c r="AR308" s="126" t="s">
        <v>386</v>
      </c>
      <c r="AS308" s="128"/>
      <c r="AT308" s="130"/>
    </row>
    <row r="309" customFormat="false" ht="12.75" hidden="false" customHeight="true" outlineLevel="0" collapsed="false">
      <c r="B309" s="122" t="n">
        <f aca="false">B308+1</f>
        <v>306</v>
      </c>
      <c r="C309" s="123" t="s">
        <v>168</v>
      </c>
      <c r="D309" s="124" t="n">
        <v>61073</v>
      </c>
      <c r="E309" s="124" t="str">
        <f aca="false">IF(D309="","",IFERROR(VLOOKUP(D309,CCN_Library!$A$4:$B$13,2,FALSE()),"NOT IN LIBRARY"))</f>
        <v>COMPANY/BATTERY HEADQUARTERS, MARINE CORPS</v>
      </c>
      <c r="F309" s="125" t="str">
        <f aca="false">LEFT(H309,6)</f>
        <v>M28263</v>
      </c>
      <c r="G309" s="126" t="s">
        <v>128</v>
      </c>
      <c r="H309" s="126" t="s">
        <v>620</v>
      </c>
      <c r="I309" s="126" t="s">
        <v>159</v>
      </c>
      <c r="J309" s="126" t="s">
        <v>176</v>
      </c>
      <c r="K309" s="127" t="s">
        <v>161</v>
      </c>
      <c r="L309" s="126" t="s">
        <v>161</v>
      </c>
      <c r="M309" s="126" t="s">
        <v>133</v>
      </c>
      <c r="N309" s="126" t="s">
        <v>128</v>
      </c>
      <c r="O309" s="126" t="s">
        <v>135</v>
      </c>
      <c r="P309" s="126" t="s">
        <v>135</v>
      </c>
      <c r="Q309" s="128"/>
      <c r="R309" s="126" t="s">
        <v>136</v>
      </c>
      <c r="S309" s="126" t="s">
        <v>58</v>
      </c>
      <c r="T309" s="128"/>
      <c r="U309" s="129" t="n">
        <v>0</v>
      </c>
      <c r="V309" s="129" t="n">
        <v>0</v>
      </c>
      <c r="W309" s="129" t="n">
        <v>0</v>
      </c>
      <c r="X309" s="129" t="n">
        <v>0</v>
      </c>
      <c r="Y309" s="129" t="n">
        <v>0</v>
      </c>
      <c r="Z309" s="129" t="n">
        <v>0</v>
      </c>
      <c r="AA309" s="129" t="n">
        <v>1</v>
      </c>
      <c r="AB309" s="129" t="n">
        <v>0</v>
      </c>
      <c r="AC309" s="129" t="n">
        <v>0</v>
      </c>
      <c r="AD309" s="129" t="n">
        <v>0</v>
      </c>
      <c r="AE309" s="129" t="n">
        <v>0</v>
      </c>
      <c r="AF309" s="129" t="n">
        <v>0</v>
      </c>
      <c r="AG309" s="129" t="n">
        <v>0</v>
      </c>
      <c r="AH309" s="129" t="n">
        <v>0</v>
      </c>
      <c r="AI309" s="129" t="n">
        <v>0</v>
      </c>
      <c r="AJ309" s="129" t="n">
        <v>0</v>
      </c>
      <c r="AK309" s="129" t="n">
        <v>0</v>
      </c>
      <c r="AL309" s="129" t="n">
        <v>0</v>
      </c>
      <c r="AM309" s="129" t="n">
        <v>0</v>
      </c>
      <c r="AN309" s="126" t="s">
        <v>384</v>
      </c>
      <c r="AO309" s="126" t="s">
        <v>385</v>
      </c>
      <c r="AP309" s="126" t="s">
        <v>138</v>
      </c>
      <c r="AQ309" s="126" t="s">
        <v>139</v>
      </c>
      <c r="AR309" s="126" t="s">
        <v>386</v>
      </c>
      <c r="AS309" s="128"/>
      <c r="AT309" s="130"/>
    </row>
    <row r="310" customFormat="false" ht="12.75" hidden="false" customHeight="true" outlineLevel="0" collapsed="false">
      <c r="B310" s="122" t="n">
        <f aca="false">B309+1</f>
        <v>307</v>
      </c>
      <c r="C310" s="123" t="s">
        <v>168</v>
      </c>
      <c r="D310" s="124" t="n">
        <v>61073</v>
      </c>
      <c r="E310" s="124" t="str">
        <f aca="false">IF(D310="","",IFERROR(VLOOKUP(D310,CCN_Library!$A$4:$B$13,2,FALSE()),"NOT IN LIBRARY"))</f>
        <v>COMPANY/BATTERY HEADQUARTERS, MARINE CORPS</v>
      </c>
      <c r="F310" s="125" t="str">
        <f aca="false">LEFT(H310,6)</f>
        <v>M28263</v>
      </c>
      <c r="G310" s="126" t="s">
        <v>128</v>
      </c>
      <c r="H310" s="126" t="s">
        <v>621</v>
      </c>
      <c r="I310" s="126" t="s">
        <v>159</v>
      </c>
      <c r="J310" s="126" t="s">
        <v>176</v>
      </c>
      <c r="K310" s="127" t="s">
        <v>161</v>
      </c>
      <c r="L310" s="126" t="s">
        <v>161</v>
      </c>
      <c r="M310" s="126" t="s">
        <v>133</v>
      </c>
      <c r="N310" s="126" t="s">
        <v>128</v>
      </c>
      <c r="O310" s="126" t="s">
        <v>135</v>
      </c>
      <c r="P310" s="126" t="s">
        <v>135</v>
      </c>
      <c r="Q310" s="128"/>
      <c r="R310" s="126" t="s">
        <v>136</v>
      </c>
      <c r="S310" s="126" t="s">
        <v>58</v>
      </c>
      <c r="T310" s="128"/>
      <c r="U310" s="129" t="n">
        <v>0</v>
      </c>
      <c r="V310" s="129" t="n">
        <v>0</v>
      </c>
      <c r="W310" s="129" t="n">
        <v>0</v>
      </c>
      <c r="X310" s="129" t="n">
        <v>0</v>
      </c>
      <c r="Y310" s="129" t="n">
        <v>0</v>
      </c>
      <c r="Z310" s="129" t="n">
        <v>0</v>
      </c>
      <c r="AA310" s="129" t="n">
        <v>1</v>
      </c>
      <c r="AB310" s="129" t="n">
        <v>0</v>
      </c>
      <c r="AC310" s="129" t="n">
        <v>0</v>
      </c>
      <c r="AD310" s="129" t="n">
        <v>0</v>
      </c>
      <c r="AE310" s="129" t="n">
        <v>0</v>
      </c>
      <c r="AF310" s="129" t="n">
        <v>0</v>
      </c>
      <c r="AG310" s="129" t="n">
        <v>0</v>
      </c>
      <c r="AH310" s="129" t="n">
        <v>0</v>
      </c>
      <c r="AI310" s="129" t="n">
        <v>0</v>
      </c>
      <c r="AJ310" s="129" t="n">
        <v>0</v>
      </c>
      <c r="AK310" s="129" t="n">
        <v>0</v>
      </c>
      <c r="AL310" s="129" t="n">
        <v>0</v>
      </c>
      <c r="AM310" s="129" t="n">
        <v>0</v>
      </c>
      <c r="AN310" s="126" t="s">
        <v>384</v>
      </c>
      <c r="AO310" s="126" t="s">
        <v>385</v>
      </c>
      <c r="AP310" s="126" t="s">
        <v>138</v>
      </c>
      <c r="AQ310" s="126" t="s">
        <v>139</v>
      </c>
      <c r="AR310" s="126" t="s">
        <v>386</v>
      </c>
      <c r="AS310" s="128"/>
      <c r="AT310" s="130"/>
    </row>
    <row r="311" customFormat="false" ht="12.75" hidden="false" customHeight="true" outlineLevel="0" collapsed="false">
      <c r="B311" s="122" t="n">
        <f aca="false">B310+1</f>
        <v>308</v>
      </c>
      <c r="C311" s="123" t="s">
        <v>168</v>
      </c>
      <c r="D311" s="124" t="n">
        <v>61073</v>
      </c>
      <c r="E311" s="124" t="str">
        <f aca="false">IF(D311="","",IFERROR(VLOOKUP(D311,CCN_Library!$A$4:$B$13,2,FALSE()),"NOT IN LIBRARY"))</f>
        <v>COMPANY/BATTERY HEADQUARTERS, MARINE CORPS</v>
      </c>
      <c r="F311" s="125" t="str">
        <f aca="false">LEFT(H311,6)</f>
        <v>M28263</v>
      </c>
      <c r="G311" s="126" t="s">
        <v>128</v>
      </c>
      <c r="H311" s="126" t="s">
        <v>622</v>
      </c>
      <c r="I311" s="126" t="s">
        <v>159</v>
      </c>
      <c r="J311" s="126" t="s">
        <v>176</v>
      </c>
      <c r="K311" s="127" t="s">
        <v>161</v>
      </c>
      <c r="L311" s="126" t="s">
        <v>161</v>
      </c>
      <c r="M311" s="126" t="s">
        <v>133</v>
      </c>
      <c r="N311" s="126" t="s">
        <v>128</v>
      </c>
      <c r="O311" s="126" t="s">
        <v>135</v>
      </c>
      <c r="P311" s="126" t="s">
        <v>135</v>
      </c>
      <c r="Q311" s="128"/>
      <c r="R311" s="126" t="s">
        <v>136</v>
      </c>
      <c r="S311" s="126" t="s">
        <v>58</v>
      </c>
      <c r="T311" s="128"/>
      <c r="U311" s="129" t="n">
        <v>0</v>
      </c>
      <c r="V311" s="129" t="n">
        <v>0</v>
      </c>
      <c r="W311" s="129" t="n">
        <v>0</v>
      </c>
      <c r="X311" s="129" t="n">
        <v>0</v>
      </c>
      <c r="Y311" s="129" t="n">
        <v>0</v>
      </c>
      <c r="Z311" s="129" t="n">
        <v>0</v>
      </c>
      <c r="AA311" s="129" t="n">
        <v>1</v>
      </c>
      <c r="AB311" s="129" t="n">
        <v>0</v>
      </c>
      <c r="AC311" s="129" t="n">
        <v>0</v>
      </c>
      <c r="AD311" s="129" t="n">
        <v>0</v>
      </c>
      <c r="AE311" s="129" t="n">
        <v>0</v>
      </c>
      <c r="AF311" s="129" t="n">
        <v>0</v>
      </c>
      <c r="AG311" s="129" t="n">
        <v>0</v>
      </c>
      <c r="AH311" s="129" t="n">
        <v>0</v>
      </c>
      <c r="AI311" s="129" t="n">
        <v>0</v>
      </c>
      <c r="AJ311" s="129" t="n">
        <v>0</v>
      </c>
      <c r="AK311" s="129" t="n">
        <v>0</v>
      </c>
      <c r="AL311" s="129" t="n">
        <v>0</v>
      </c>
      <c r="AM311" s="129" t="n">
        <v>0</v>
      </c>
      <c r="AN311" s="126" t="s">
        <v>384</v>
      </c>
      <c r="AO311" s="126" t="s">
        <v>385</v>
      </c>
      <c r="AP311" s="126" t="s">
        <v>138</v>
      </c>
      <c r="AQ311" s="126" t="s">
        <v>139</v>
      </c>
      <c r="AR311" s="126" t="s">
        <v>386</v>
      </c>
      <c r="AS311" s="128"/>
      <c r="AT311" s="130"/>
    </row>
    <row r="312" customFormat="false" ht="12.75" hidden="false" customHeight="true" outlineLevel="0" collapsed="false">
      <c r="B312" s="122" t="n">
        <f aca="false">B311+1</f>
        <v>309</v>
      </c>
      <c r="C312" s="123" t="s">
        <v>162</v>
      </c>
      <c r="D312" s="124" t="n">
        <v>61073</v>
      </c>
      <c r="E312" s="124" t="str">
        <f aca="false">IF(D312="","",IFERROR(VLOOKUP(D312,CCN_Library!$A$4:$B$13,2,FALSE()),"NOT IN LIBRARY"))</f>
        <v>COMPANY/BATTERY HEADQUARTERS, MARINE CORPS</v>
      </c>
      <c r="F312" s="125" t="str">
        <f aca="false">LEFT(H312,6)</f>
        <v>M28263</v>
      </c>
      <c r="G312" s="126" t="s">
        <v>128</v>
      </c>
      <c r="H312" s="126" t="s">
        <v>623</v>
      </c>
      <c r="I312" s="126" t="s">
        <v>624</v>
      </c>
      <c r="J312" s="126" t="s">
        <v>185</v>
      </c>
      <c r="K312" s="127" t="s">
        <v>132</v>
      </c>
      <c r="L312" s="126" t="s">
        <v>132</v>
      </c>
      <c r="M312" s="126" t="s">
        <v>133</v>
      </c>
      <c r="N312" s="126" t="s">
        <v>134</v>
      </c>
      <c r="O312" s="126" t="s">
        <v>135</v>
      </c>
      <c r="P312" s="126" t="s">
        <v>135</v>
      </c>
      <c r="Q312" s="128"/>
      <c r="R312" s="126" t="s">
        <v>136</v>
      </c>
      <c r="S312" s="126" t="s">
        <v>137</v>
      </c>
      <c r="T312" s="128"/>
      <c r="U312" s="129" t="n">
        <v>0</v>
      </c>
      <c r="V312" s="129" t="n">
        <v>0</v>
      </c>
      <c r="W312" s="129" t="n">
        <v>0</v>
      </c>
      <c r="X312" s="129" t="n">
        <v>0</v>
      </c>
      <c r="Y312" s="129" t="n">
        <v>0</v>
      </c>
      <c r="Z312" s="129" t="n">
        <v>1</v>
      </c>
      <c r="AA312" s="129" t="n">
        <v>0</v>
      </c>
      <c r="AB312" s="129" t="n">
        <v>0</v>
      </c>
      <c r="AC312" s="129" t="n">
        <v>0</v>
      </c>
      <c r="AD312" s="129" t="n">
        <v>0</v>
      </c>
      <c r="AE312" s="129" t="n">
        <v>0</v>
      </c>
      <c r="AF312" s="129" t="n">
        <v>0</v>
      </c>
      <c r="AG312" s="129" t="n">
        <v>0</v>
      </c>
      <c r="AH312" s="129" t="n">
        <v>0</v>
      </c>
      <c r="AI312" s="129" t="n">
        <v>0</v>
      </c>
      <c r="AJ312" s="129" t="n">
        <v>0</v>
      </c>
      <c r="AK312" s="129" t="n">
        <v>0</v>
      </c>
      <c r="AL312" s="129" t="n">
        <v>0</v>
      </c>
      <c r="AM312" s="129" t="n">
        <v>0</v>
      </c>
      <c r="AN312" s="126" t="s">
        <v>384</v>
      </c>
      <c r="AO312" s="126" t="s">
        <v>610</v>
      </c>
      <c r="AP312" s="126" t="s">
        <v>138</v>
      </c>
      <c r="AQ312" s="126" t="s">
        <v>139</v>
      </c>
      <c r="AR312" s="126" t="s">
        <v>386</v>
      </c>
      <c r="AS312" s="128"/>
      <c r="AT312" s="130"/>
    </row>
    <row r="313" customFormat="false" ht="12.75" hidden="false" customHeight="true" outlineLevel="0" collapsed="false">
      <c r="B313" s="122" t="n">
        <f aca="false">B312+1</f>
        <v>310</v>
      </c>
      <c r="C313" s="123" t="s">
        <v>162</v>
      </c>
      <c r="D313" s="124" t="n">
        <v>61073</v>
      </c>
      <c r="E313" s="124" t="str">
        <f aca="false">IF(D313="","",IFERROR(VLOOKUP(D313,CCN_Library!$A$4:$B$13,2,FALSE()),"NOT IN LIBRARY"))</f>
        <v>COMPANY/BATTERY HEADQUARTERS, MARINE CORPS</v>
      </c>
      <c r="F313" s="125" t="str">
        <f aca="false">LEFT(H313,6)</f>
        <v>M28263</v>
      </c>
      <c r="G313" s="126" t="s">
        <v>128</v>
      </c>
      <c r="H313" s="126" t="s">
        <v>625</v>
      </c>
      <c r="I313" s="126" t="s">
        <v>159</v>
      </c>
      <c r="J313" s="126" t="s">
        <v>187</v>
      </c>
      <c r="K313" s="127" t="s">
        <v>161</v>
      </c>
      <c r="L313" s="126" t="s">
        <v>161</v>
      </c>
      <c r="M313" s="126" t="s">
        <v>133</v>
      </c>
      <c r="N313" s="126" t="s">
        <v>128</v>
      </c>
      <c r="O313" s="126" t="s">
        <v>135</v>
      </c>
      <c r="P313" s="126" t="s">
        <v>135</v>
      </c>
      <c r="Q313" s="128"/>
      <c r="R313" s="126" t="s">
        <v>136</v>
      </c>
      <c r="S313" s="126" t="s">
        <v>137</v>
      </c>
      <c r="T313" s="128"/>
      <c r="U313" s="129" t="n">
        <v>0</v>
      </c>
      <c r="V313" s="129" t="n">
        <v>0</v>
      </c>
      <c r="W313" s="129" t="n">
        <v>0</v>
      </c>
      <c r="X313" s="129" t="n">
        <v>0</v>
      </c>
      <c r="Y313" s="129" t="n">
        <v>0</v>
      </c>
      <c r="Z313" s="129" t="n">
        <v>0</v>
      </c>
      <c r="AA313" s="129" t="n">
        <v>1</v>
      </c>
      <c r="AB313" s="129" t="n">
        <v>0</v>
      </c>
      <c r="AC313" s="129" t="n">
        <v>0</v>
      </c>
      <c r="AD313" s="129" t="n">
        <v>0</v>
      </c>
      <c r="AE313" s="129" t="n">
        <v>0</v>
      </c>
      <c r="AF313" s="129" t="n">
        <v>0</v>
      </c>
      <c r="AG313" s="129" t="n">
        <v>0</v>
      </c>
      <c r="AH313" s="129" t="n">
        <v>0</v>
      </c>
      <c r="AI313" s="129" t="n">
        <v>0</v>
      </c>
      <c r="AJ313" s="129" t="n">
        <v>0</v>
      </c>
      <c r="AK313" s="129" t="n">
        <v>0</v>
      </c>
      <c r="AL313" s="129" t="n">
        <v>0</v>
      </c>
      <c r="AM313" s="129" t="n">
        <v>0</v>
      </c>
      <c r="AN313" s="128"/>
      <c r="AO313" s="128"/>
      <c r="AP313" s="126" t="s">
        <v>138</v>
      </c>
      <c r="AQ313" s="126" t="s">
        <v>139</v>
      </c>
      <c r="AR313" s="126" t="s">
        <v>140</v>
      </c>
      <c r="AS313" s="128"/>
      <c r="AT313" s="130"/>
    </row>
    <row r="314" customFormat="false" ht="12.75" hidden="false" customHeight="true" outlineLevel="0" collapsed="false">
      <c r="B314" s="122" t="n">
        <f aca="false">B313+1</f>
        <v>311</v>
      </c>
      <c r="C314" s="123" t="s">
        <v>162</v>
      </c>
      <c r="D314" s="124" t="n">
        <v>61073</v>
      </c>
      <c r="E314" s="124" t="str">
        <f aca="false">IF(D314="","",IFERROR(VLOOKUP(D314,CCN_Library!$A$4:$B$13,2,FALSE()),"NOT IN LIBRARY"))</f>
        <v>COMPANY/BATTERY HEADQUARTERS, MARINE CORPS</v>
      </c>
      <c r="F314" s="125" t="str">
        <f aca="false">LEFT(H314,6)</f>
        <v>M28263</v>
      </c>
      <c r="G314" s="126" t="s">
        <v>128</v>
      </c>
      <c r="H314" s="126" t="s">
        <v>626</v>
      </c>
      <c r="I314" s="126" t="s">
        <v>159</v>
      </c>
      <c r="J314" s="126" t="s">
        <v>187</v>
      </c>
      <c r="K314" s="127" t="s">
        <v>161</v>
      </c>
      <c r="L314" s="126" t="s">
        <v>161</v>
      </c>
      <c r="M314" s="126" t="s">
        <v>133</v>
      </c>
      <c r="N314" s="126" t="s">
        <v>128</v>
      </c>
      <c r="O314" s="126" t="s">
        <v>135</v>
      </c>
      <c r="P314" s="126" t="s">
        <v>135</v>
      </c>
      <c r="Q314" s="128"/>
      <c r="R314" s="126" t="s">
        <v>136</v>
      </c>
      <c r="S314" s="126" t="s">
        <v>137</v>
      </c>
      <c r="T314" s="128"/>
      <c r="U314" s="129" t="n">
        <v>0</v>
      </c>
      <c r="V314" s="129" t="n">
        <v>0</v>
      </c>
      <c r="W314" s="129" t="n">
        <v>0</v>
      </c>
      <c r="X314" s="129" t="n">
        <v>0</v>
      </c>
      <c r="Y314" s="129" t="n">
        <v>0</v>
      </c>
      <c r="Z314" s="129" t="n">
        <v>0</v>
      </c>
      <c r="AA314" s="129" t="n">
        <v>1</v>
      </c>
      <c r="AB314" s="129" t="n">
        <v>0</v>
      </c>
      <c r="AC314" s="129" t="n">
        <v>0</v>
      </c>
      <c r="AD314" s="129" t="n">
        <v>0</v>
      </c>
      <c r="AE314" s="129" t="n">
        <v>0</v>
      </c>
      <c r="AF314" s="129" t="n">
        <v>0</v>
      </c>
      <c r="AG314" s="129" t="n">
        <v>0</v>
      </c>
      <c r="AH314" s="129" t="n">
        <v>0</v>
      </c>
      <c r="AI314" s="129" t="n">
        <v>0</v>
      </c>
      <c r="AJ314" s="129" t="n">
        <v>0</v>
      </c>
      <c r="AK314" s="129" t="n">
        <v>0</v>
      </c>
      <c r="AL314" s="129" t="n">
        <v>0</v>
      </c>
      <c r="AM314" s="129" t="n">
        <v>0</v>
      </c>
      <c r="AN314" s="128"/>
      <c r="AO314" s="128"/>
      <c r="AP314" s="126" t="s">
        <v>138</v>
      </c>
      <c r="AQ314" s="126" t="s">
        <v>139</v>
      </c>
      <c r="AR314" s="126" t="s">
        <v>140</v>
      </c>
      <c r="AS314" s="128"/>
      <c r="AT314" s="130"/>
    </row>
    <row r="315" customFormat="false" ht="12.75" hidden="false" customHeight="true" outlineLevel="0" collapsed="false">
      <c r="B315" s="122" t="n">
        <f aca="false">B314+1</f>
        <v>312</v>
      </c>
      <c r="C315" s="123" t="s">
        <v>162</v>
      </c>
      <c r="D315" s="124" t="n">
        <v>61073</v>
      </c>
      <c r="E315" s="124" t="str">
        <f aca="false">IF(D315="","",IFERROR(VLOOKUP(D315,CCN_Library!$A$4:$B$13,2,FALSE()),"NOT IN LIBRARY"))</f>
        <v>COMPANY/BATTERY HEADQUARTERS, MARINE CORPS</v>
      </c>
      <c r="F315" s="125" t="str">
        <f aca="false">LEFT(H315,6)</f>
        <v>M28263</v>
      </c>
      <c r="G315" s="126" t="s">
        <v>128</v>
      </c>
      <c r="H315" s="126" t="s">
        <v>627</v>
      </c>
      <c r="I315" s="126" t="s">
        <v>159</v>
      </c>
      <c r="J315" s="126" t="s">
        <v>189</v>
      </c>
      <c r="K315" s="127" t="s">
        <v>161</v>
      </c>
      <c r="L315" s="126" t="s">
        <v>161</v>
      </c>
      <c r="M315" s="126" t="s">
        <v>133</v>
      </c>
      <c r="N315" s="126" t="s">
        <v>128</v>
      </c>
      <c r="O315" s="126" t="s">
        <v>135</v>
      </c>
      <c r="P315" s="126" t="s">
        <v>135</v>
      </c>
      <c r="Q315" s="128"/>
      <c r="R315" s="126" t="s">
        <v>136</v>
      </c>
      <c r="S315" s="126" t="s">
        <v>137</v>
      </c>
      <c r="T315" s="128"/>
      <c r="U315" s="129" t="n">
        <v>0</v>
      </c>
      <c r="V315" s="129" t="n">
        <v>0</v>
      </c>
      <c r="W315" s="129" t="n">
        <v>0</v>
      </c>
      <c r="X315" s="129" t="n">
        <v>0</v>
      </c>
      <c r="Y315" s="129" t="n">
        <v>0</v>
      </c>
      <c r="Z315" s="129" t="n">
        <v>0</v>
      </c>
      <c r="AA315" s="129" t="n">
        <v>1</v>
      </c>
      <c r="AB315" s="129" t="n">
        <v>0</v>
      </c>
      <c r="AC315" s="129" t="n">
        <v>0</v>
      </c>
      <c r="AD315" s="129" t="n">
        <v>0</v>
      </c>
      <c r="AE315" s="129" t="n">
        <v>0</v>
      </c>
      <c r="AF315" s="129" t="n">
        <v>0</v>
      </c>
      <c r="AG315" s="129" t="n">
        <v>0</v>
      </c>
      <c r="AH315" s="129" t="n">
        <v>0</v>
      </c>
      <c r="AI315" s="129" t="n">
        <v>0</v>
      </c>
      <c r="AJ315" s="129" t="n">
        <v>0</v>
      </c>
      <c r="AK315" s="129" t="n">
        <v>0</v>
      </c>
      <c r="AL315" s="129" t="n">
        <v>0</v>
      </c>
      <c r="AM315" s="129" t="n">
        <v>0</v>
      </c>
      <c r="AN315" s="126" t="s">
        <v>384</v>
      </c>
      <c r="AO315" s="126" t="s">
        <v>385</v>
      </c>
      <c r="AP315" s="126" t="s">
        <v>138</v>
      </c>
      <c r="AQ315" s="126" t="s">
        <v>139</v>
      </c>
      <c r="AR315" s="126" t="s">
        <v>386</v>
      </c>
      <c r="AS315" s="128"/>
      <c r="AT315" s="130"/>
    </row>
    <row r="316" customFormat="false" ht="12.75" hidden="false" customHeight="true" outlineLevel="0" collapsed="false">
      <c r="B316" s="122" t="n">
        <f aca="false">B315+1</f>
        <v>313</v>
      </c>
      <c r="C316" s="123" t="s">
        <v>168</v>
      </c>
      <c r="D316" s="124" t="n">
        <v>61073</v>
      </c>
      <c r="E316" s="124" t="str">
        <f aca="false">IF(D316="","",IFERROR(VLOOKUP(D316,CCN_Library!$A$4:$B$13,2,FALSE()),"NOT IN LIBRARY"))</f>
        <v>COMPANY/BATTERY HEADQUARTERS, MARINE CORPS</v>
      </c>
      <c r="F316" s="125" t="str">
        <f aca="false">LEFT(H316,6)</f>
        <v>M28263</v>
      </c>
      <c r="G316" s="126" t="s">
        <v>128</v>
      </c>
      <c r="H316" s="126" t="s">
        <v>628</v>
      </c>
      <c r="I316" s="126" t="s">
        <v>159</v>
      </c>
      <c r="J316" s="126" t="s">
        <v>191</v>
      </c>
      <c r="K316" s="127" t="s">
        <v>161</v>
      </c>
      <c r="L316" s="126" t="s">
        <v>161</v>
      </c>
      <c r="M316" s="126" t="s">
        <v>133</v>
      </c>
      <c r="N316" s="126" t="s">
        <v>128</v>
      </c>
      <c r="O316" s="126" t="s">
        <v>135</v>
      </c>
      <c r="P316" s="126" t="s">
        <v>135</v>
      </c>
      <c r="Q316" s="128"/>
      <c r="R316" s="126" t="s">
        <v>136</v>
      </c>
      <c r="S316" s="126" t="s">
        <v>58</v>
      </c>
      <c r="T316" s="128"/>
      <c r="U316" s="129" t="n">
        <v>0</v>
      </c>
      <c r="V316" s="129" t="n">
        <v>0</v>
      </c>
      <c r="W316" s="129" t="n">
        <v>0</v>
      </c>
      <c r="X316" s="129" t="n">
        <v>0</v>
      </c>
      <c r="Y316" s="129" t="n">
        <v>0</v>
      </c>
      <c r="Z316" s="129" t="n">
        <v>0</v>
      </c>
      <c r="AA316" s="129" t="n">
        <v>1</v>
      </c>
      <c r="AB316" s="129" t="n">
        <v>0</v>
      </c>
      <c r="AC316" s="129" t="n">
        <v>0</v>
      </c>
      <c r="AD316" s="129" t="n">
        <v>0</v>
      </c>
      <c r="AE316" s="129" t="n">
        <v>0</v>
      </c>
      <c r="AF316" s="129" t="n">
        <v>0</v>
      </c>
      <c r="AG316" s="129" t="n">
        <v>0</v>
      </c>
      <c r="AH316" s="129" t="n">
        <v>0</v>
      </c>
      <c r="AI316" s="129" t="n">
        <v>0</v>
      </c>
      <c r="AJ316" s="129" t="n">
        <v>0</v>
      </c>
      <c r="AK316" s="129" t="n">
        <v>0</v>
      </c>
      <c r="AL316" s="129" t="n">
        <v>0</v>
      </c>
      <c r="AM316" s="129" t="n">
        <v>0</v>
      </c>
      <c r="AN316" s="126" t="s">
        <v>384</v>
      </c>
      <c r="AO316" s="126" t="s">
        <v>385</v>
      </c>
      <c r="AP316" s="126" t="s">
        <v>138</v>
      </c>
      <c r="AQ316" s="126" t="s">
        <v>139</v>
      </c>
      <c r="AR316" s="126" t="s">
        <v>386</v>
      </c>
      <c r="AS316" s="128"/>
      <c r="AT316" s="130"/>
    </row>
    <row r="317" customFormat="false" ht="12.75" hidden="false" customHeight="true" outlineLevel="0" collapsed="false">
      <c r="B317" s="122" t="n">
        <f aca="false">B316+1</f>
        <v>314</v>
      </c>
      <c r="C317" s="123" t="s">
        <v>168</v>
      </c>
      <c r="D317" s="124" t="n">
        <v>61073</v>
      </c>
      <c r="E317" s="124" t="str">
        <f aca="false">IF(D317="","",IFERROR(VLOOKUP(D317,CCN_Library!$A$4:$B$13,2,FALSE()),"NOT IN LIBRARY"))</f>
        <v>COMPANY/BATTERY HEADQUARTERS, MARINE CORPS</v>
      </c>
      <c r="F317" s="125" t="str">
        <f aca="false">LEFT(H317,6)</f>
        <v>M28263</v>
      </c>
      <c r="G317" s="126" t="s">
        <v>128</v>
      </c>
      <c r="H317" s="126" t="s">
        <v>629</v>
      </c>
      <c r="I317" s="126" t="s">
        <v>159</v>
      </c>
      <c r="J317" s="126" t="s">
        <v>191</v>
      </c>
      <c r="K317" s="127" t="s">
        <v>161</v>
      </c>
      <c r="L317" s="126" t="s">
        <v>161</v>
      </c>
      <c r="M317" s="126" t="s">
        <v>133</v>
      </c>
      <c r="N317" s="126" t="s">
        <v>128</v>
      </c>
      <c r="O317" s="126" t="s">
        <v>135</v>
      </c>
      <c r="P317" s="126" t="s">
        <v>135</v>
      </c>
      <c r="Q317" s="128"/>
      <c r="R317" s="126" t="s">
        <v>136</v>
      </c>
      <c r="S317" s="126" t="s">
        <v>58</v>
      </c>
      <c r="T317" s="128"/>
      <c r="U317" s="129" t="n">
        <v>0</v>
      </c>
      <c r="V317" s="129" t="n">
        <v>0</v>
      </c>
      <c r="W317" s="129" t="n">
        <v>0</v>
      </c>
      <c r="X317" s="129" t="n">
        <v>0</v>
      </c>
      <c r="Y317" s="129" t="n">
        <v>0</v>
      </c>
      <c r="Z317" s="129" t="n">
        <v>0</v>
      </c>
      <c r="AA317" s="129" t="n">
        <v>1</v>
      </c>
      <c r="AB317" s="129" t="n">
        <v>0</v>
      </c>
      <c r="AC317" s="129" t="n">
        <v>0</v>
      </c>
      <c r="AD317" s="129" t="n">
        <v>0</v>
      </c>
      <c r="AE317" s="129" t="n">
        <v>0</v>
      </c>
      <c r="AF317" s="129" t="n">
        <v>0</v>
      </c>
      <c r="AG317" s="129" t="n">
        <v>0</v>
      </c>
      <c r="AH317" s="129" t="n">
        <v>0</v>
      </c>
      <c r="AI317" s="129" t="n">
        <v>0</v>
      </c>
      <c r="AJ317" s="129" t="n">
        <v>0</v>
      </c>
      <c r="AK317" s="129" t="n">
        <v>0</v>
      </c>
      <c r="AL317" s="129" t="n">
        <v>0</v>
      </c>
      <c r="AM317" s="129" t="n">
        <v>0</v>
      </c>
      <c r="AN317" s="126" t="s">
        <v>384</v>
      </c>
      <c r="AO317" s="126" t="s">
        <v>385</v>
      </c>
      <c r="AP317" s="126" t="s">
        <v>138</v>
      </c>
      <c r="AQ317" s="126" t="s">
        <v>139</v>
      </c>
      <c r="AR317" s="126" t="s">
        <v>386</v>
      </c>
      <c r="AS317" s="128"/>
      <c r="AT317" s="139"/>
    </row>
    <row r="318" customFormat="false" ht="12.75" hidden="false" customHeight="true" outlineLevel="0" collapsed="false">
      <c r="B318" s="122" t="n">
        <f aca="false">B317+1</f>
        <v>315</v>
      </c>
      <c r="C318" s="123" t="s">
        <v>168</v>
      </c>
      <c r="D318" s="124" t="n">
        <v>61073</v>
      </c>
      <c r="E318" s="124" t="str">
        <f aca="false">IF(D318="","",IFERROR(VLOOKUP(D318,CCN_Library!$A$4:$B$13,2,FALSE()),"NOT IN LIBRARY"))</f>
        <v>COMPANY/BATTERY HEADQUARTERS, MARINE CORPS</v>
      </c>
      <c r="F318" s="125" t="str">
        <f aca="false">LEFT(H318,6)</f>
        <v>M28263</v>
      </c>
      <c r="G318" s="126" t="s">
        <v>128</v>
      </c>
      <c r="H318" s="126" t="s">
        <v>630</v>
      </c>
      <c r="I318" s="126" t="s">
        <v>159</v>
      </c>
      <c r="J318" s="126" t="s">
        <v>176</v>
      </c>
      <c r="K318" s="127" t="s">
        <v>161</v>
      </c>
      <c r="L318" s="126" t="s">
        <v>161</v>
      </c>
      <c r="M318" s="126" t="s">
        <v>133</v>
      </c>
      <c r="N318" s="126" t="s">
        <v>128</v>
      </c>
      <c r="O318" s="126" t="s">
        <v>135</v>
      </c>
      <c r="P318" s="126" t="s">
        <v>135</v>
      </c>
      <c r="Q318" s="128"/>
      <c r="R318" s="126" t="s">
        <v>136</v>
      </c>
      <c r="S318" s="126" t="s">
        <v>58</v>
      </c>
      <c r="T318" s="128"/>
      <c r="U318" s="129" t="n">
        <v>0</v>
      </c>
      <c r="V318" s="129" t="n">
        <v>0</v>
      </c>
      <c r="W318" s="129" t="n">
        <v>0</v>
      </c>
      <c r="X318" s="129" t="n">
        <v>0</v>
      </c>
      <c r="Y318" s="129" t="n">
        <v>0</v>
      </c>
      <c r="Z318" s="129" t="n">
        <v>0</v>
      </c>
      <c r="AA318" s="129" t="n">
        <v>1</v>
      </c>
      <c r="AB318" s="129" t="n">
        <v>0</v>
      </c>
      <c r="AC318" s="129" t="n">
        <v>0</v>
      </c>
      <c r="AD318" s="129" t="n">
        <v>0</v>
      </c>
      <c r="AE318" s="129" t="n">
        <v>0</v>
      </c>
      <c r="AF318" s="129" t="n">
        <v>0</v>
      </c>
      <c r="AG318" s="129" t="n">
        <v>0</v>
      </c>
      <c r="AH318" s="129" t="n">
        <v>0</v>
      </c>
      <c r="AI318" s="129" t="n">
        <v>0</v>
      </c>
      <c r="AJ318" s="129" t="n">
        <v>0</v>
      </c>
      <c r="AK318" s="129" t="n">
        <v>0</v>
      </c>
      <c r="AL318" s="129" t="n">
        <v>0</v>
      </c>
      <c r="AM318" s="129" t="n">
        <v>0</v>
      </c>
      <c r="AN318" s="126" t="s">
        <v>384</v>
      </c>
      <c r="AO318" s="126" t="s">
        <v>385</v>
      </c>
      <c r="AP318" s="126" t="s">
        <v>138</v>
      </c>
      <c r="AQ318" s="126" t="s">
        <v>139</v>
      </c>
      <c r="AR318" s="126" t="s">
        <v>386</v>
      </c>
      <c r="AS318" s="128"/>
      <c r="AT318" s="130"/>
    </row>
    <row r="319" customFormat="false" ht="12.75" hidden="false" customHeight="true" outlineLevel="0" collapsed="false">
      <c r="B319" s="122" t="n">
        <f aca="false">B318+1</f>
        <v>316</v>
      </c>
      <c r="C319" s="123" t="s">
        <v>168</v>
      </c>
      <c r="D319" s="124" t="n">
        <v>61073</v>
      </c>
      <c r="E319" s="124" t="str">
        <f aca="false">IF(D319="","",IFERROR(VLOOKUP(D319,CCN_Library!$A$4:$B$13,2,FALSE()),"NOT IN LIBRARY"))</f>
        <v>COMPANY/BATTERY HEADQUARTERS, MARINE CORPS</v>
      </c>
      <c r="F319" s="125" t="str">
        <f aca="false">LEFT(H319,6)</f>
        <v>M28263</v>
      </c>
      <c r="G319" s="126" t="s">
        <v>128</v>
      </c>
      <c r="H319" s="126" t="s">
        <v>631</v>
      </c>
      <c r="I319" s="126" t="s">
        <v>632</v>
      </c>
      <c r="J319" s="126" t="s">
        <v>256</v>
      </c>
      <c r="K319" s="127" t="s">
        <v>285</v>
      </c>
      <c r="L319" s="126" t="s">
        <v>285</v>
      </c>
      <c r="M319" s="126" t="s">
        <v>148</v>
      </c>
      <c r="N319" s="126" t="s">
        <v>128</v>
      </c>
      <c r="O319" s="126" t="s">
        <v>135</v>
      </c>
      <c r="P319" s="126" t="s">
        <v>135</v>
      </c>
      <c r="Q319" s="128"/>
      <c r="R319" s="126" t="s">
        <v>136</v>
      </c>
      <c r="S319" s="126" t="s">
        <v>148</v>
      </c>
      <c r="T319" s="128"/>
      <c r="U319" s="129" t="n">
        <v>0</v>
      </c>
      <c r="V319" s="129" t="n">
        <v>1</v>
      </c>
      <c r="W319" s="129" t="n">
        <v>0</v>
      </c>
      <c r="X319" s="129" t="n">
        <v>0</v>
      </c>
      <c r="Y319" s="129" t="n">
        <v>0</v>
      </c>
      <c r="Z319" s="129" t="n">
        <v>0</v>
      </c>
      <c r="AA319" s="129" t="n">
        <v>0</v>
      </c>
      <c r="AB319" s="129" t="n">
        <v>0</v>
      </c>
      <c r="AC319" s="129" t="n">
        <v>0</v>
      </c>
      <c r="AD319" s="129" t="n">
        <v>0</v>
      </c>
      <c r="AE319" s="129" t="n">
        <v>0</v>
      </c>
      <c r="AF319" s="129" t="n">
        <v>0</v>
      </c>
      <c r="AG319" s="129" t="n">
        <v>0</v>
      </c>
      <c r="AH319" s="129" t="n">
        <v>0</v>
      </c>
      <c r="AI319" s="129" t="n">
        <v>0</v>
      </c>
      <c r="AJ319" s="129" t="n">
        <v>0</v>
      </c>
      <c r="AK319" s="129" t="n">
        <v>0</v>
      </c>
      <c r="AL319" s="129" t="n">
        <v>0</v>
      </c>
      <c r="AM319" s="129" t="n">
        <v>0</v>
      </c>
      <c r="AN319" s="128"/>
      <c r="AO319" s="128"/>
      <c r="AP319" s="126" t="s">
        <v>138</v>
      </c>
      <c r="AQ319" s="126" t="s">
        <v>139</v>
      </c>
      <c r="AR319" s="126" t="s">
        <v>140</v>
      </c>
      <c r="AS319" s="128"/>
      <c r="AT319" s="130"/>
    </row>
    <row r="320" customFormat="false" ht="12.75" hidden="false" customHeight="true" outlineLevel="0" collapsed="false">
      <c r="B320" s="122" t="n">
        <f aca="false">B319+1</f>
        <v>317</v>
      </c>
      <c r="C320" s="123" t="s">
        <v>162</v>
      </c>
      <c r="D320" s="124" t="n">
        <v>61073</v>
      </c>
      <c r="E320" s="124" t="str">
        <f aca="false">IF(D320="","",IFERROR(VLOOKUP(D320,CCN_Library!$A$4:$B$13,2,FALSE()),"NOT IN LIBRARY"))</f>
        <v>COMPANY/BATTERY HEADQUARTERS, MARINE CORPS</v>
      </c>
      <c r="F320" s="125" t="str">
        <f aca="false">LEFT(H320,6)</f>
        <v>M28263</v>
      </c>
      <c r="G320" s="126" t="s">
        <v>128</v>
      </c>
      <c r="H320" s="126" t="s">
        <v>633</v>
      </c>
      <c r="I320" s="126" t="s">
        <v>634</v>
      </c>
      <c r="J320" s="126" t="s">
        <v>247</v>
      </c>
      <c r="K320" s="127" t="s">
        <v>635</v>
      </c>
      <c r="L320" s="126" t="s">
        <v>635</v>
      </c>
      <c r="M320" s="126" t="s">
        <v>148</v>
      </c>
      <c r="N320" s="126" t="s">
        <v>128</v>
      </c>
      <c r="O320" s="126" t="s">
        <v>135</v>
      </c>
      <c r="P320" s="126" t="s">
        <v>135</v>
      </c>
      <c r="Q320" s="128"/>
      <c r="R320" s="126" t="s">
        <v>136</v>
      </c>
      <c r="S320" s="126" t="s">
        <v>58</v>
      </c>
      <c r="T320" s="128"/>
      <c r="U320" s="129" t="n">
        <v>0</v>
      </c>
      <c r="V320" s="129" t="n">
        <v>1</v>
      </c>
      <c r="W320" s="129" t="n">
        <v>0</v>
      </c>
      <c r="X320" s="129" t="n">
        <v>0</v>
      </c>
      <c r="Y320" s="129" t="n">
        <v>0</v>
      </c>
      <c r="Z320" s="129" t="n">
        <v>0</v>
      </c>
      <c r="AA320" s="129" t="n">
        <v>0</v>
      </c>
      <c r="AB320" s="129" t="n">
        <v>0</v>
      </c>
      <c r="AC320" s="129" t="n">
        <v>0</v>
      </c>
      <c r="AD320" s="129" t="n">
        <v>0</v>
      </c>
      <c r="AE320" s="129" t="n">
        <v>0</v>
      </c>
      <c r="AF320" s="129" t="n">
        <v>0</v>
      </c>
      <c r="AG320" s="129" t="n">
        <v>0</v>
      </c>
      <c r="AH320" s="129" t="n">
        <v>0</v>
      </c>
      <c r="AI320" s="129" t="n">
        <v>0</v>
      </c>
      <c r="AJ320" s="129" t="n">
        <v>0</v>
      </c>
      <c r="AK320" s="129" t="n">
        <v>0</v>
      </c>
      <c r="AL320" s="129" t="n">
        <v>0</v>
      </c>
      <c r="AM320" s="129" t="n">
        <v>0</v>
      </c>
      <c r="AN320" s="128"/>
      <c r="AO320" s="128"/>
      <c r="AP320" s="126" t="s">
        <v>138</v>
      </c>
      <c r="AQ320" s="126" t="s">
        <v>139</v>
      </c>
      <c r="AR320" s="126" t="s">
        <v>140</v>
      </c>
      <c r="AS320" s="128"/>
      <c r="AT320" s="130"/>
    </row>
    <row r="321" customFormat="false" ht="12.75" hidden="false" customHeight="true" outlineLevel="0" collapsed="false">
      <c r="B321" s="122" t="n">
        <f aca="false">B320+1</f>
        <v>318</v>
      </c>
      <c r="C321" s="123" t="s">
        <v>168</v>
      </c>
      <c r="D321" s="124" t="n">
        <v>61073</v>
      </c>
      <c r="E321" s="124" t="str">
        <f aca="false">IF(D321="","",IFERROR(VLOOKUP(D321,CCN_Library!$A$4:$B$13,2,FALSE()),"NOT IN LIBRARY"))</f>
        <v>COMPANY/BATTERY HEADQUARTERS, MARINE CORPS</v>
      </c>
      <c r="F321" s="125" t="str">
        <f aca="false">LEFT(H321,6)</f>
        <v>M28263</v>
      </c>
      <c r="G321" s="126" t="s">
        <v>128</v>
      </c>
      <c r="H321" s="126" t="s">
        <v>636</v>
      </c>
      <c r="I321" s="126" t="s">
        <v>637</v>
      </c>
      <c r="J321" s="126" t="s">
        <v>253</v>
      </c>
      <c r="K321" s="127" t="s">
        <v>635</v>
      </c>
      <c r="L321" s="126" t="s">
        <v>635</v>
      </c>
      <c r="M321" s="126" t="s">
        <v>148</v>
      </c>
      <c r="N321" s="126" t="s">
        <v>128</v>
      </c>
      <c r="O321" s="126" t="s">
        <v>135</v>
      </c>
      <c r="P321" s="126" t="s">
        <v>135</v>
      </c>
      <c r="Q321" s="128"/>
      <c r="R321" s="126" t="s">
        <v>136</v>
      </c>
      <c r="S321" s="126" t="s">
        <v>148</v>
      </c>
      <c r="T321" s="128"/>
      <c r="U321" s="129" t="n">
        <v>0</v>
      </c>
      <c r="V321" s="129" t="n">
        <v>1</v>
      </c>
      <c r="W321" s="129" t="n">
        <v>0</v>
      </c>
      <c r="X321" s="129" t="n">
        <v>0</v>
      </c>
      <c r="Y321" s="129" t="n">
        <v>0</v>
      </c>
      <c r="Z321" s="129" t="n">
        <v>0</v>
      </c>
      <c r="AA321" s="129" t="n">
        <v>0</v>
      </c>
      <c r="AB321" s="129" t="n">
        <v>0</v>
      </c>
      <c r="AC321" s="129" t="n">
        <v>0</v>
      </c>
      <c r="AD321" s="129" t="n">
        <v>0</v>
      </c>
      <c r="AE321" s="129" t="n">
        <v>0</v>
      </c>
      <c r="AF321" s="129" t="n">
        <v>0</v>
      </c>
      <c r="AG321" s="129" t="n">
        <v>0</v>
      </c>
      <c r="AH321" s="129" t="n">
        <v>0</v>
      </c>
      <c r="AI321" s="129" t="n">
        <v>0</v>
      </c>
      <c r="AJ321" s="129" t="n">
        <v>0</v>
      </c>
      <c r="AK321" s="129" t="n">
        <v>0</v>
      </c>
      <c r="AL321" s="129" t="n">
        <v>0</v>
      </c>
      <c r="AM321" s="129" t="n">
        <v>0</v>
      </c>
      <c r="AN321" s="128"/>
      <c r="AO321" s="128"/>
      <c r="AP321" s="126" t="s">
        <v>138</v>
      </c>
      <c r="AQ321" s="126" t="s">
        <v>139</v>
      </c>
      <c r="AR321" s="126" t="s">
        <v>140</v>
      </c>
      <c r="AS321" s="128"/>
      <c r="AT321" s="130"/>
    </row>
    <row r="322" customFormat="false" ht="12.75" hidden="false" customHeight="true" outlineLevel="0" collapsed="false">
      <c r="B322" s="122" t="n">
        <f aca="false">B321+1</f>
        <v>319</v>
      </c>
      <c r="C322" s="123" t="s">
        <v>168</v>
      </c>
      <c r="D322" s="124" t="n">
        <v>61073</v>
      </c>
      <c r="E322" s="124" t="str">
        <f aca="false">IF(D322="","",IFERROR(VLOOKUP(D322,CCN_Library!$A$4:$B$13,2,FALSE()),"NOT IN LIBRARY"))</f>
        <v>COMPANY/BATTERY HEADQUARTERS, MARINE CORPS</v>
      </c>
      <c r="F322" s="125" t="str">
        <f aca="false">LEFT(H322,6)</f>
        <v>M28263</v>
      </c>
      <c r="G322" s="126" t="s">
        <v>128</v>
      </c>
      <c r="H322" s="126" t="s">
        <v>638</v>
      </c>
      <c r="I322" s="126" t="s">
        <v>637</v>
      </c>
      <c r="J322" s="126" t="s">
        <v>171</v>
      </c>
      <c r="K322" s="127" t="s">
        <v>635</v>
      </c>
      <c r="L322" s="126" t="s">
        <v>635</v>
      </c>
      <c r="M322" s="126" t="s">
        <v>148</v>
      </c>
      <c r="N322" s="126" t="s">
        <v>128</v>
      </c>
      <c r="O322" s="126" t="s">
        <v>135</v>
      </c>
      <c r="P322" s="126" t="s">
        <v>135</v>
      </c>
      <c r="Q322" s="128"/>
      <c r="R322" s="126" t="s">
        <v>136</v>
      </c>
      <c r="S322" s="126" t="s">
        <v>148</v>
      </c>
      <c r="T322" s="128"/>
      <c r="U322" s="129" t="n">
        <v>0</v>
      </c>
      <c r="V322" s="129" t="n">
        <v>1</v>
      </c>
      <c r="W322" s="129" t="n">
        <v>0</v>
      </c>
      <c r="X322" s="129" t="n">
        <v>0</v>
      </c>
      <c r="Y322" s="129" t="n">
        <v>0</v>
      </c>
      <c r="Z322" s="129" t="n">
        <v>0</v>
      </c>
      <c r="AA322" s="129" t="n">
        <v>0</v>
      </c>
      <c r="AB322" s="129" t="n">
        <v>0</v>
      </c>
      <c r="AC322" s="129" t="n">
        <v>0</v>
      </c>
      <c r="AD322" s="129" t="n">
        <v>0</v>
      </c>
      <c r="AE322" s="129" t="n">
        <v>0</v>
      </c>
      <c r="AF322" s="129" t="n">
        <v>0</v>
      </c>
      <c r="AG322" s="129" t="n">
        <v>0</v>
      </c>
      <c r="AH322" s="129" t="n">
        <v>0</v>
      </c>
      <c r="AI322" s="129" t="n">
        <v>0</v>
      </c>
      <c r="AJ322" s="129" t="n">
        <v>0</v>
      </c>
      <c r="AK322" s="129" t="n">
        <v>0</v>
      </c>
      <c r="AL322" s="129" t="n">
        <v>0</v>
      </c>
      <c r="AM322" s="129" t="n">
        <v>0</v>
      </c>
      <c r="AN322" s="128"/>
      <c r="AO322" s="128"/>
      <c r="AP322" s="126" t="s">
        <v>138</v>
      </c>
      <c r="AQ322" s="126" t="s">
        <v>139</v>
      </c>
      <c r="AR322" s="126" t="s">
        <v>140</v>
      </c>
      <c r="AS322" s="128"/>
      <c r="AT322" s="130"/>
    </row>
    <row r="323" customFormat="false" ht="12.75" hidden="false" customHeight="true" outlineLevel="0" collapsed="false">
      <c r="B323" s="122" t="n">
        <f aca="false">B322+1</f>
        <v>320</v>
      </c>
      <c r="C323" s="123" t="s">
        <v>168</v>
      </c>
      <c r="D323" s="124" t="n">
        <v>61073</v>
      </c>
      <c r="E323" s="124" t="str">
        <f aca="false">IF(D323="","",IFERROR(VLOOKUP(D323,CCN_Library!$A$4:$B$13,2,FALSE()),"NOT IN LIBRARY"))</f>
        <v>COMPANY/BATTERY HEADQUARTERS, MARINE CORPS</v>
      </c>
      <c r="F323" s="125" t="str">
        <f aca="false">LEFT(H323,6)</f>
        <v>M28263</v>
      </c>
      <c r="G323" s="126" t="s">
        <v>128</v>
      </c>
      <c r="H323" s="126" t="s">
        <v>639</v>
      </c>
      <c r="I323" s="126" t="s">
        <v>637</v>
      </c>
      <c r="J323" s="126" t="s">
        <v>171</v>
      </c>
      <c r="K323" s="127" t="s">
        <v>635</v>
      </c>
      <c r="L323" s="126" t="s">
        <v>635</v>
      </c>
      <c r="M323" s="126" t="s">
        <v>148</v>
      </c>
      <c r="N323" s="126" t="s">
        <v>128</v>
      </c>
      <c r="O323" s="126" t="s">
        <v>135</v>
      </c>
      <c r="P323" s="126" t="s">
        <v>135</v>
      </c>
      <c r="Q323" s="128"/>
      <c r="R323" s="126" t="s">
        <v>136</v>
      </c>
      <c r="S323" s="126" t="s">
        <v>148</v>
      </c>
      <c r="T323" s="128"/>
      <c r="U323" s="129" t="n">
        <v>0</v>
      </c>
      <c r="V323" s="129" t="n">
        <v>1</v>
      </c>
      <c r="W323" s="129" t="n">
        <v>0</v>
      </c>
      <c r="X323" s="129" t="n">
        <v>0</v>
      </c>
      <c r="Y323" s="129" t="n">
        <v>0</v>
      </c>
      <c r="Z323" s="129" t="n">
        <v>0</v>
      </c>
      <c r="AA323" s="129" t="n">
        <v>0</v>
      </c>
      <c r="AB323" s="129" t="n">
        <v>0</v>
      </c>
      <c r="AC323" s="129" t="n">
        <v>0</v>
      </c>
      <c r="AD323" s="129" t="n">
        <v>0</v>
      </c>
      <c r="AE323" s="129" t="n">
        <v>0</v>
      </c>
      <c r="AF323" s="129" t="n">
        <v>0</v>
      </c>
      <c r="AG323" s="129" t="n">
        <v>0</v>
      </c>
      <c r="AH323" s="129" t="n">
        <v>0</v>
      </c>
      <c r="AI323" s="129" t="n">
        <v>0</v>
      </c>
      <c r="AJ323" s="129" t="n">
        <v>0</v>
      </c>
      <c r="AK323" s="129" t="n">
        <v>0</v>
      </c>
      <c r="AL323" s="129" t="n">
        <v>0</v>
      </c>
      <c r="AM323" s="129" t="n">
        <v>0</v>
      </c>
      <c r="AN323" s="128"/>
      <c r="AO323" s="128"/>
      <c r="AP323" s="126" t="s">
        <v>138</v>
      </c>
      <c r="AQ323" s="126" t="s">
        <v>139</v>
      </c>
      <c r="AR323" s="126" t="s">
        <v>140</v>
      </c>
      <c r="AS323" s="128"/>
      <c r="AT323" s="130"/>
    </row>
    <row r="324" customFormat="false" ht="12.75" hidden="false" customHeight="true" outlineLevel="0" collapsed="false">
      <c r="B324" s="122" t="n">
        <f aca="false">B323+1</f>
        <v>321</v>
      </c>
      <c r="C324" s="123" t="s">
        <v>168</v>
      </c>
      <c r="D324" s="124" t="n">
        <v>61073</v>
      </c>
      <c r="E324" s="124" t="str">
        <f aca="false">IF(D324="","",IFERROR(VLOOKUP(D324,CCN_Library!$A$4:$B$13,2,FALSE()),"NOT IN LIBRARY"))</f>
        <v>COMPANY/BATTERY HEADQUARTERS, MARINE CORPS</v>
      </c>
      <c r="F324" s="125" t="str">
        <f aca="false">LEFT(H324,6)</f>
        <v>M28263</v>
      </c>
      <c r="G324" s="126" t="s">
        <v>128</v>
      </c>
      <c r="H324" s="126" t="s">
        <v>640</v>
      </c>
      <c r="I324" s="126" t="s">
        <v>353</v>
      </c>
      <c r="J324" s="126" t="s">
        <v>253</v>
      </c>
      <c r="K324" s="127" t="s">
        <v>354</v>
      </c>
      <c r="L324" s="126" t="s">
        <v>354</v>
      </c>
      <c r="M324" s="126" t="s">
        <v>148</v>
      </c>
      <c r="N324" s="126" t="s">
        <v>128</v>
      </c>
      <c r="O324" s="126" t="s">
        <v>135</v>
      </c>
      <c r="P324" s="126" t="s">
        <v>135</v>
      </c>
      <c r="Q324" s="128"/>
      <c r="R324" s="126" t="s">
        <v>136</v>
      </c>
      <c r="S324" s="126" t="s">
        <v>148</v>
      </c>
      <c r="T324" s="128"/>
      <c r="U324" s="129" t="n">
        <v>0</v>
      </c>
      <c r="V324" s="129" t="n">
        <v>1</v>
      </c>
      <c r="W324" s="129" t="n">
        <v>0</v>
      </c>
      <c r="X324" s="129" t="n">
        <v>0</v>
      </c>
      <c r="Y324" s="129" t="n">
        <v>0</v>
      </c>
      <c r="Z324" s="129" t="n">
        <v>0</v>
      </c>
      <c r="AA324" s="129" t="n">
        <v>0</v>
      </c>
      <c r="AB324" s="129" t="n">
        <v>0</v>
      </c>
      <c r="AC324" s="129" t="n">
        <v>0</v>
      </c>
      <c r="AD324" s="129" t="n">
        <v>0</v>
      </c>
      <c r="AE324" s="129" t="n">
        <v>0</v>
      </c>
      <c r="AF324" s="129" t="n">
        <v>0</v>
      </c>
      <c r="AG324" s="129" t="n">
        <v>0</v>
      </c>
      <c r="AH324" s="129" t="n">
        <v>0</v>
      </c>
      <c r="AI324" s="129" t="n">
        <v>0</v>
      </c>
      <c r="AJ324" s="129" t="n">
        <v>0</v>
      </c>
      <c r="AK324" s="129" t="n">
        <v>0</v>
      </c>
      <c r="AL324" s="129" t="n">
        <v>0</v>
      </c>
      <c r="AM324" s="129" t="n">
        <v>0</v>
      </c>
      <c r="AN324" s="128"/>
      <c r="AO324" s="128"/>
      <c r="AP324" s="126" t="s">
        <v>138</v>
      </c>
      <c r="AQ324" s="126" t="s">
        <v>139</v>
      </c>
      <c r="AR324" s="126" t="s">
        <v>140</v>
      </c>
      <c r="AS324" s="128"/>
      <c r="AT324" s="130"/>
    </row>
    <row r="325" customFormat="false" ht="12.75" hidden="false" customHeight="true" outlineLevel="0" collapsed="false">
      <c r="B325" s="122" t="n">
        <f aca="false">B324+1</f>
        <v>322</v>
      </c>
      <c r="C325" s="123" t="s">
        <v>168</v>
      </c>
      <c r="D325" s="124" t="n">
        <v>61073</v>
      </c>
      <c r="E325" s="124" t="str">
        <f aca="false">IF(D325="","",IFERROR(VLOOKUP(D325,CCN_Library!$A$4:$B$13,2,FALSE()),"NOT IN LIBRARY"))</f>
        <v>COMPANY/BATTERY HEADQUARTERS, MARINE CORPS</v>
      </c>
      <c r="F325" s="125" t="str">
        <f aca="false">LEFT(H325,6)</f>
        <v>M28263</v>
      </c>
      <c r="G325" s="126" t="s">
        <v>128</v>
      </c>
      <c r="H325" s="126" t="s">
        <v>641</v>
      </c>
      <c r="I325" s="126" t="s">
        <v>353</v>
      </c>
      <c r="J325" s="126" t="s">
        <v>171</v>
      </c>
      <c r="K325" s="127" t="s">
        <v>354</v>
      </c>
      <c r="L325" s="126" t="s">
        <v>354</v>
      </c>
      <c r="M325" s="126" t="s">
        <v>148</v>
      </c>
      <c r="N325" s="126" t="s">
        <v>128</v>
      </c>
      <c r="O325" s="126" t="s">
        <v>135</v>
      </c>
      <c r="P325" s="126" t="s">
        <v>135</v>
      </c>
      <c r="Q325" s="128"/>
      <c r="R325" s="126" t="s">
        <v>136</v>
      </c>
      <c r="S325" s="126" t="s">
        <v>148</v>
      </c>
      <c r="T325" s="128"/>
      <c r="U325" s="129" t="n">
        <v>0</v>
      </c>
      <c r="V325" s="129" t="n">
        <v>1</v>
      </c>
      <c r="W325" s="129" t="n">
        <v>0</v>
      </c>
      <c r="X325" s="129" t="n">
        <v>0</v>
      </c>
      <c r="Y325" s="129" t="n">
        <v>0</v>
      </c>
      <c r="Z325" s="129" t="n">
        <v>0</v>
      </c>
      <c r="AA325" s="129" t="n">
        <v>0</v>
      </c>
      <c r="AB325" s="129" t="n">
        <v>0</v>
      </c>
      <c r="AC325" s="129" t="n">
        <v>0</v>
      </c>
      <c r="AD325" s="129" t="n">
        <v>0</v>
      </c>
      <c r="AE325" s="129" t="n">
        <v>0</v>
      </c>
      <c r="AF325" s="129" t="n">
        <v>0</v>
      </c>
      <c r="AG325" s="129" t="n">
        <v>0</v>
      </c>
      <c r="AH325" s="129" t="n">
        <v>0</v>
      </c>
      <c r="AI325" s="129" t="n">
        <v>0</v>
      </c>
      <c r="AJ325" s="129" t="n">
        <v>0</v>
      </c>
      <c r="AK325" s="129" t="n">
        <v>0</v>
      </c>
      <c r="AL325" s="129" t="n">
        <v>0</v>
      </c>
      <c r="AM325" s="129" t="n">
        <v>0</v>
      </c>
      <c r="AN325" s="128"/>
      <c r="AO325" s="128"/>
      <c r="AP325" s="126" t="s">
        <v>138</v>
      </c>
      <c r="AQ325" s="126" t="s">
        <v>139</v>
      </c>
      <c r="AR325" s="126" t="s">
        <v>140</v>
      </c>
      <c r="AS325" s="128"/>
      <c r="AT325" s="130"/>
    </row>
    <row r="326" customFormat="false" ht="12.75" hidden="false" customHeight="true" outlineLevel="0" collapsed="false">
      <c r="B326" s="131" t="n">
        <f aca="false">B325+1</f>
        <v>323</v>
      </c>
      <c r="C326" s="132" t="s">
        <v>293</v>
      </c>
      <c r="D326" s="133" t="n">
        <v>21451</v>
      </c>
      <c r="E326" s="133"/>
      <c r="F326" s="134" t="str">
        <f aca="false">LEFT(H326,6)</f>
        <v>M28263</v>
      </c>
      <c r="G326" s="135" t="s">
        <v>58</v>
      </c>
      <c r="H326" s="135" t="s">
        <v>642</v>
      </c>
      <c r="I326" s="135" t="s">
        <v>643</v>
      </c>
      <c r="J326" s="136"/>
      <c r="K326" s="136"/>
      <c r="L326" s="136"/>
      <c r="M326" s="136"/>
      <c r="N326" s="136"/>
      <c r="O326" s="136"/>
      <c r="P326" s="136"/>
      <c r="Q326" s="136"/>
      <c r="R326" s="136"/>
      <c r="S326" s="136"/>
      <c r="T326" s="136"/>
      <c r="U326" s="137" t="n">
        <v>0</v>
      </c>
      <c r="V326" s="137" t="n">
        <v>0</v>
      </c>
      <c r="W326" s="137" t="n">
        <v>0</v>
      </c>
      <c r="X326" s="137" t="n">
        <v>0</v>
      </c>
      <c r="Y326" s="137" t="n">
        <v>0</v>
      </c>
      <c r="Z326" s="137" t="n">
        <v>0</v>
      </c>
      <c r="AA326" s="137" t="n">
        <v>0</v>
      </c>
      <c r="AB326" s="137" t="n">
        <v>0</v>
      </c>
      <c r="AC326" s="137" t="n">
        <v>0</v>
      </c>
      <c r="AD326" s="137" t="n">
        <v>0</v>
      </c>
      <c r="AE326" s="137" t="n">
        <v>0</v>
      </c>
      <c r="AF326" s="137" t="n">
        <v>0</v>
      </c>
      <c r="AG326" s="137" t="n">
        <v>0</v>
      </c>
      <c r="AH326" s="137" t="n">
        <v>0</v>
      </c>
      <c r="AI326" s="137" t="n">
        <v>0</v>
      </c>
      <c r="AJ326" s="137" t="n">
        <v>0</v>
      </c>
      <c r="AK326" s="137" t="n">
        <v>0</v>
      </c>
      <c r="AL326" s="137" t="n">
        <v>0</v>
      </c>
      <c r="AM326" s="137" t="n">
        <v>0</v>
      </c>
      <c r="AN326" s="136"/>
      <c r="AO326" s="136"/>
      <c r="AP326" s="136"/>
      <c r="AQ326" s="136"/>
      <c r="AR326" s="136"/>
      <c r="AS326" s="136"/>
      <c r="AT326" s="138"/>
    </row>
    <row r="327" customFormat="false" ht="12.75" hidden="false" customHeight="true" outlineLevel="0" collapsed="false">
      <c r="B327" s="131" t="n">
        <f aca="false">B326+1</f>
        <v>324</v>
      </c>
      <c r="C327" s="132" t="s">
        <v>293</v>
      </c>
      <c r="D327" s="133" t="n">
        <v>21451</v>
      </c>
      <c r="E327" s="133"/>
      <c r="F327" s="134" t="str">
        <f aca="false">LEFT(H327,6)</f>
        <v>M28263</v>
      </c>
      <c r="G327" s="135" t="s">
        <v>177</v>
      </c>
      <c r="H327" s="135" t="s">
        <v>644</v>
      </c>
      <c r="I327" s="135" t="s">
        <v>645</v>
      </c>
      <c r="J327" s="136"/>
      <c r="K327" s="136"/>
      <c r="L327" s="136"/>
      <c r="M327" s="136"/>
      <c r="N327" s="136"/>
      <c r="O327" s="136"/>
      <c r="P327" s="136"/>
      <c r="Q327" s="136"/>
      <c r="R327" s="136"/>
      <c r="S327" s="136"/>
      <c r="T327" s="136"/>
      <c r="U327" s="137" t="n">
        <v>0</v>
      </c>
      <c r="V327" s="137" t="n">
        <v>0</v>
      </c>
      <c r="W327" s="137" t="n">
        <v>0</v>
      </c>
      <c r="X327" s="137" t="n">
        <v>0</v>
      </c>
      <c r="Y327" s="137" t="n">
        <v>0</v>
      </c>
      <c r="Z327" s="137" t="n">
        <v>0</v>
      </c>
      <c r="AA327" s="137" t="n">
        <v>0</v>
      </c>
      <c r="AB327" s="137" t="n">
        <v>0</v>
      </c>
      <c r="AC327" s="137" t="n">
        <v>0</v>
      </c>
      <c r="AD327" s="137" t="n">
        <v>0</v>
      </c>
      <c r="AE327" s="137" t="n">
        <v>0</v>
      </c>
      <c r="AF327" s="137" t="n">
        <v>0</v>
      </c>
      <c r="AG327" s="137" t="n">
        <v>0</v>
      </c>
      <c r="AH327" s="137" t="n">
        <v>0</v>
      </c>
      <c r="AI327" s="137" t="n">
        <v>0</v>
      </c>
      <c r="AJ327" s="137" t="n">
        <v>0</v>
      </c>
      <c r="AK327" s="137" t="n">
        <v>0</v>
      </c>
      <c r="AL327" s="137" t="n">
        <v>0</v>
      </c>
      <c r="AM327" s="137" t="n">
        <v>0</v>
      </c>
      <c r="AN327" s="136"/>
      <c r="AO327" s="136"/>
      <c r="AP327" s="136"/>
      <c r="AQ327" s="136"/>
      <c r="AR327" s="136"/>
      <c r="AS327" s="136"/>
      <c r="AT327" s="138"/>
    </row>
    <row r="328" customFormat="false" ht="12.75" hidden="false" customHeight="true" outlineLevel="0" collapsed="false">
      <c r="B328" s="122" t="n">
        <f aca="false">B327+1</f>
        <v>325</v>
      </c>
      <c r="C328" s="123" t="s">
        <v>299</v>
      </c>
      <c r="D328" s="124" t="n">
        <v>21451</v>
      </c>
      <c r="E328" s="124" t="str">
        <f aca="false">IF(D328="","",IFERROR(VLOOKUP(D328,CCN_Library!$A$4:$B$13,2,FALSE()),"NOT IN LIBRARY"))</f>
        <v>AUTOMOTIVE ORGANIZATIONAL SHOP</v>
      </c>
      <c r="F328" s="125" t="str">
        <f aca="false">LEFT(H328,6)</f>
        <v>M28263</v>
      </c>
      <c r="G328" s="126" t="s">
        <v>128</v>
      </c>
      <c r="H328" s="126" t="s">
        <v>646</v>
      </c>
      <c r="I328" s="126" t="s">
        <v>159</v>
      </c>
      <c r="J328" s="126" t="s">
        <v>191</v>
      </c>
      <c r="K328" s="127" t="s">
        <v>161</v>
      </c>
      <c r="L328" s="126" t="s">
        <v>161</v>
      </c>
      <c r="M328" s="126" t="s">
        <v>133</v>
      </c>
      <c r="N328" s="126" t="s">
        <v>128</v>
      </c>
      <c r="O328" s="126" t="s">
        <v>135</v>
      </c>
      <c r="P328" s="126" t="s">
        <v>135</v>
      </c>
      <c r="Q328" s="128"/>
      <c r="R328" s="126" t="s">
        <v>136</v>
      </c>
      <c r="S328" s="126" t="s">
        <v>58</v>
      </c>
      <c r="T328" s="128"/>
      <c r="U328" s="129" t="n">
        <v>0</v>
      </c>
      <c r="V328" s="129" t="n">
        <v>0</v>
      </c>
      <c r="W328" s="129" t="n">
        <v>0</v>
      </c>
      <c r="X328" s="129" t="n">
        <v>0</v>
      </c>
      <c r="Y328" s="129" t="n">
        <v>0</v>
      </c>
      <c r="Z328" s="129" t="n">
        <v>0</v>
      </c>
      <c r="AA328" s="129" t="n">
        <v>1</v>
      </c>
      <c r="AB328" s="129" t="n">
        <v>0</v>
      </c>
      <c r="AC328" s="129" t="n">
        <v>0</v>
      </c>
      <c r="AD328" s="129" t="n">
        <v>0</v>
      </c>
      <c r="AE328" s="129" t="n">
        <v>0</v>
      </c>
      <c r="AF328" s="129" t="n">
        <v>0</v>
      </c>
      <c r="AG328" s="129" t="n">
        <v>0</v>
      </c>
      <c r="AH328" s="129" t="n">
        <v>0</v>
      </c>
      <c r="AI328" s="129" t="n">
        <v>0</v>
      </c>
      <c r="AJ328" s="129" t="n">
        <v>0</v>
      </c>
      <c r="AK328" s="129" t="n">
        <v>0</v>
      </c>
      <c r="AL328" s="129" t="n">
        <v>0</v>
      </c>
      <c r="AM328" s="129" t="n">
        <v>0</v>
      </c>
      <c r="AN328" s="128"/>
      <c r="AO328" s="128"/>
      <c r="AP328" s="126" t="s">
        <v>138</v>
      </c>
      <c r="AQ328" s="126" t="s">
        <v>139</v>
      </c>
      <c r="AR328" s="126" t="s">
        <v>140</v>
      </c>
      <c r="AS328" s="128"/>
      <c r="AT328" s="139"/>
    </row>
    <row r="329" customFormat="false" ht="12.75" hidden="false" customHeight="true" outlineLevel="0" collapsed="false">
      <c r="B329" s="122" t="n">
        <f aca="false">B328+1</f>
        <v>326</v>
      </c>
      <c r="C329" s="123" t="s">
        <v>299</v>
      </c>
      <c r="D329" s="124" t="n">
        <v>21451</v>
      </c>
      <c r="E329" s="124" t="str">
        <f aca="false">IF(D329="","",IFERROR(VLOOKUP(D329,CCN_Library!$A$4:$B$13,2,FALSE()),"NOT IN LIBRARY"))</f>
        <v>AUTOMOTIVE ORGANIZATIONAL SHOP</v>
      </c>
      <c r="F329" s="125" t="str">
        <f aca="false">LEFT(H329,6)</f>
        <v>M28263</v>
      </c>
      <c r="G329" s="126" t="s">
        <v>128</v>
      </c>
      <c r="H329" s="126" t="s">
        <v>647</v>
      </c>
      <c r="I329" s="126" t="s">
        <v>159</v>
      </c>
      <c r="J329" s="126" t="s">
        <v>160</v>
      </c>
      <c r="K329" s="127" t="s">
        <v>161</v>
      </c>
      <c r="L329" s="126" t="s">
        <v>161</v>
      </c>
      <c r="M329" s="126" t="s">
        <v>133</v>
      </c>
      <c r="N329" s="126" t="s">
        <v>128</v>
      </c>
      <c r="O329" s="126" t="s">
        <v>135</v>
      </c>
      <c r="P329" s="126" t="s">
        <v>135</v>
      </c>
      <c r="Q329" s="128"/>
      <c r="R329" s="126" t="s">
        <v>136</v>
      </c>
      <c r="S329" s="126" t="s">
        <v>58</v>
      </c>
      <c r="T329" s="128"/>
      <c r="U329" s="129" t="n">
        <v>0</v>
      </c>
      <c r="V329" s="129" t="n">
        <v>0</v>
      </c>
      <c r="W329" s="129" t="n">
        <v>0</v>
      </c>
      <c r="X329" s="129" t="n">
        <v>0</v>
      </c>
      <c r="Y329" s="129" t="n">
        <v>0</v>
      </c>
      <c r="Z329" s="129" t="n">
        <v>0</v>
      </c>
      <c r="AA329" s="129" t="n">
        <v>1</v>
      </c>
      <c r="AB329" s="129" t="n">
        <v>0</v>
      </c>
      <c r="AC329" s="129" t="n">
        <v>0</v>
      </c>
      <c r="AD329" s="129" t="n">
        <v>0</v>
      </c>
      <c r="AE329" s="129" t="n">
        <v>0</v>
      </c>
      <c r="AF329" s="129" t="n">
        <v>0</v>
      </c>
      <c r="AG329" s="129" t="n">
        <v>0</v>
      </c>
      <c r="AH329" s="129" t="n">
        <v>0</v>
      </c>
      <c r="AI329" s="129" t="n">
        <v>0</v>
      </c>
      <c r="AJ329" s="129" t="n">
        <v>0</v>
      </c>
      <c r="AK329" s="129" t="n">
        <v>0</v>
      </c>
      <c r="AL329" s="129" t="n">
        <v>0</v>
      </c>
      <c r="AM329" s="129" t="n">
        <v>0</v>
      </c>
      <c r="AN329" s="126" t="s">
        <v>384</v>
      </c>
      <c r="AO329" s="126" t="s">
        <v>610</v>
      </c>
      <c r="AP329" s="126" t="s">
        <v>138</v>
      </c>
      <c r="AQ329" s="126" t="s">
        <v>139</v>
      </c>
      <c r="AR329" s="126" t="s">
        <v>386</v>
      </c>
      <c r="AS329" s="128"/>
      <c r="AT329" s="130"/>
    </row>
    <row r="330" customFormat="false" ht="12.75" hidden="false" customHeight="true" outlineLevel="0" collapsed="false">
      <c r="B330" s="122" t="n">
        <f aca="false">B329+1</f>
        <v>327</v>
      </c>
      <c r="C330" s="123" t="s">
        <v>299</v>
      </c>
      <c r="D330" s="124" t="n">
        <v>21451</v>
      </c>
      <c r="E330" s="124" t="str">
        <f aca="false">IF(D330="","",IFERROR(VLOOKUP(D330,CCN_Library!$A$4:$B$13,2,FALSE()),"NOT IN LIBRARY"))</f>
        <v>AUTOMOTIVE ORGANIZATIONAL SHOP</v>
      </c>
      <c r="F330" s="125" t="str">
        <f aca="false">LEFT(H330,6)</f>
        <v>M28263</v>
      </c>
      <c r="G330" s="126" t="s">
        <v>128</v>
      </c>
      <c r="H330" s="126" t="s">
        <v>648</v>
      </c>
      <c r="I330" s="126" t="s">
        <v>332</v>
      </c>
      <c r="J330" s="126" t="s">
        <v>171</v>
      </c>
      <c r="K330" s="127" t="s">
        <v>302</v>
      </c>
      <c r="L330" s="126" t="s">
        <v>302</v>
      </c>
      <c r="M330" s="126" t="s">
        <v>148</v>
      </c>
      <c r="N330" s="126" t="s">
        <v>128</v>
      </c>
      <c r="O330" s="126" t="s">
        <v>135</v>
      </c>
      <c r="P330" s="126" t="s">
        <v>135</v>
      </c>
      <c r="Q330" s="128"/>
      <c r="R330" s="126" t="s">
        <v>136</v>
      </c>
      <c r="S330" s="126" t="s">
        <v>148</v>
      </c>
      <c r="T330" s="128"/>
      <c r="U330" s="129" t="n">
        <v>0</v>
      </c>
      <c r="V330" s="129" t="n">
        <v>1</v>
      </c>
      <c r="W330" s="129" t="n">
        <v>0</v>
      </c>
      <c r="X330" s="129" t="n">
        <v>0</v>
      </c>
      <c r="Y330" s="129" t="n">
        <v>0</v>
      </c>
      <c r="Z330" s="129" t="n">
        <v>0</v>
      </c>
      <c r="AA330" s="129" t="n">
        <v>0</v>
      </c>
      <c r="AB330" s="129" t="n">
        <v>0</v>
      </c>
      <c r="AC330" s="129" t="n">
        <v>0</v>
      </c>
      <c r="AD330" s="129" t="n">
        <v>0</v>
      </c>
      <c r="AE330" s="129" t="n">
        <v>0</v>
      </c>
      <c r="AF330" s="129" t="n">
        <v>0</v>
      </c>
      <c r="AG330" s="129" t="n">
        <v>0</v>
      </c>
      <c r="AH330" s="129" t="n">
        <v>0</v>
      </c>
      <c r="AI330" s="129" t="n">
        <v>0</v>
      </c>
      <c r="AJ330" s="129" t="n">
        <v>0</v>
      </c>
      <c r="AK330" s="129" t="n">
        <v>0</v>
      </c>
      <c r="AL330" s="129" t="n">
        <v>0</v>
      </c>
      <c r="AM330" s="129" t="n">
        <v>0</v>
      </c>
      <c r="AN330" s="128"/>
      <c r="AO330" s="128"/>
      <c r="AP330" s="126" t="s">
        <v>138</v>
      </c>
      <c r="AQ330" s="126" t="s">
        <v>139</v>
      </c>
      <c r="AR330" s="126" t="s">
        <v>140</v>
      </c>
      <c r="AS330" s="128"/>
      <c r="AT330" s="130"/>
    </row>
    <row r="331" customFormat="false" ht="12.75" hidden="false" customHeight="true" outlineLevel="0" collapsed="false">
      <c r="B331" s="122" t="n">
        <f aca="false">B330+1</f>
        <v>328</v>
      </c>
      <c r="C331" s="123" t="s">
        <v>299</v>
      </c>
      <c r="D331" s="124" t="n">
        <v>21451</v>
      </c>
      <c r="E331" s="124" t="str">
        <f aca="false">IF(D331="","",IFERROR(VLOOKUP(D331,CCN_Library!$A$4:$B$13,2,FALSE()),"NOT IN LIBRARY"))</f>
        <v>AUTOMOTIVE ORGANIZATIONAL SHOP</v>
      </c>
      <c r="F331" s="125" t="str">
        <f aca="false">LEFT(H331,6)</f>
        <v>M28263</v>
      </c>
      <c r="G331" s="126" t="s">
        <v>128</v>
      </c>
      <c r="H331" s="126" t="s">
        <v>649</v>
      </c>
      <c r="I331" s="126" t="s">
        <v>332</v>
      </c>
      <c r="J331" s="126" t="s">
        <v>171</v>
      </c>
      <c r="K331" s="127" t="s">
        <v>302</v>
      </c>
      <c r="L331" s="126" t="s">
        <v>302</v>
      </c>
      <c r="M331" s="126" t="s">
        <v>148</v>
      </c>
      <c r="N331" s="126" t="s">
        <v>128</v>
      </c>
      <c r="O331" s="126" t="s">
        <v>135</v>
      </c>
      <c r="P331" s="126" t="s">
        <v>135</v>
      </c>
      <c r="Q331" s="128"/>
      <c r="R331" s="126" t="s">
        <v>136</v>
      </c>
      <c r="S331" s="126" t="s">
        <v>148</v>
      </c>
      <c r="T331" s="128"/>
      <c r="U331" s="129" t="n">
        <v>0</v>
      </c>
      <c r="V331" s="129" t="n">
        <v>1</v>
      </c>
      <c r="W331" s="129" t="n">
        <v>0</v>
      </c>
      <c r="X331" s="129" t="n">
        <v>0</v>
      </c>
      <c r="Y331" s="129" t="n">
        <v>0</v>
      </c>
      <c r="Z331" s="129" t="n">
        <v>0</v>
      </c>
      <c r="AA331" s="129" t="n">
        <v>0</v>
      </c>
      <c r="AB331" s="129" t="n">
        <v>0</v>
      </c>
      <c r="AC331" s="129" t="n">
        <v>0</v>
      </c>
      <c r="AD331" s="129" t="n">
        <v>0</v>
      </c>
      <c r="AE331" s="129" t="n">
        <v>0</v>
      </c>
      <c r="AF331" s="129" t="n">
        <v>0</v>
      </c>
      <c r="AG331" s="129" t="n">
        <v>0</v>
      </c>
      <c r="AH331" s="129" t="n">
        <v>0</v>
      </c>
      <c r="AI331" s="129" t="n">
        <v>0</v>
      </c>
      <c r="AJ331" s="129" t="n">
        <v>0</v>
      </c>
      <c r="AK331" s="129" t="n">
        <v>0</v>
      </c>
      <c r="AL331" s="129" t="n">
        <v>0</v>
      </c>
      <c r="AM331" s="129" t="n">
        <v>0</v>
      </c>
      <c r="AN331" s="128"/>
      <c r="AO331" s="128"/>
      <c r="AP331" s="126" t="s">
        <v>138</v>
      </c>
      <c r="AQ331" s="126" t="s">
        <v>139</v>
      </c>
      <c r="AR331" s="126" t="s">
        <v>140</v>
      </c>
      <c r="AS331" s="128"/>
      <c r="AT331" s="130"/>
    </row>
    <row r="332" customFormat="false" ht="12.75" hidden="false" customHeight="true" outlineLevel="0" collapsed="false">
      <c r="B332" s="122" t="n">
        <f aca="false">B331+1</f>
        <v>329</v>
      </c>
      <c r="C332" s="123" t="s">
        <v>299</v>
      </c>
      <c r="D332" s="124" t="n">
        <v>21451</v>
      </c>
      <c r="E332" s="124" t="str">
        <f aca="false">IF(D332="","",IFERROR(VLOOKUP(D332,CCN_Library!$A$4:$B$13,2,FALSE()),"NOT IN LIBRARY"))</f>
        <v>AUTOMOTIVE ORGANIZATIONAL SHOP</v>
      </c>
      <c r="F332" s="125" t="str">
        <f aca="false">LEFT(H332,6)</f>
        <v>M28263</v>
      </c>
      <c r="G332" s="126" t="s">
        <v>128</v>
      </c>
      <c r="H332" s="126" t="s">
        <v>650</v>
      </c>
      <c r="I332" s="126" t="s">
        <v>332</v>
      </c>
      <c r="J332" s="126" t="s">
        <v>171</v>
      </c>
      <c r="K332" s="127" t="s">
        <v>302</v>
      </c>
      <c r="L332" s="126" t="s">
        <v>302</v>
      </c>
      <c r="M332" s="126" t="s">
        <v>148</v>
      </c>
      <c r="N332" s="126" t="s">
        <v>128</v>
      </c>
      <c r="O332" s="126" t="s">
        <v>135</v>
      </c>
      <c r="P332" s="126" t="s">
        <v>135</v>
      </c>
      <c r="Q332" s="128"/>
      <c r="R332" s="126" t="s">
        <v>136</v>
      </c>
      <c r="S332" s="126" t="s">
        <v>148</v>
      </c>
      <c r="T332" s="128"/>
      <c r="U332" s="129" t="n">
        <v>0</v>
      </c>
      <c r="V332" s="129" t="n">
        <v>1</v>
      </c>
      <c r="W332" s="129" t="n">
        <v>0</v>
      </c>
      <c r="X332" s="129" t="n">
        <v>0</v>
      </c>
      <c r="Y332" s="129" t="n">
        <v>0</v>
      </c>
      <c r="Z332" s="129" t="n">
        <v>0</v>
      </c>
      <c r="AA332" s="129" t="n">
        <v>0</v>
      </c>
      <c r="AB332" s="129" t="n">
        <v>0</v>
      </c>
      <c r="AC332" s="129" t="n">
        <v>0</v>
      </c>
      <c r="AD332" s="129" t="n">
        <v>0</v>
      </c>
      <c r="AE332" s="129" t="n">
        <v>0</v>
      </c>
      <c r="AF332" s="129" t="n">
        <v>0</v>
      </c>
      <c r="AG332" s="129" t="n">
        <v>0</v>
      </c>
      <c r="AH332" s="129" t="n">
        <v>0</v>
      </c>
      <c r="AI332" s="129" t="n">
        <v>0</v>
      </c>
      <c r="AJ332" s="129" t="n">
        <v>0</v>
      </c>
      <c r="AK332" s="129" t="n">
        <v>0</v>
      </c>
      <c r="AL332" s="129" t="n">
        <v>0</v>
      </c>
      <c r="AM332" s="129" t="n">
        <v>0</v>
      </c>
      <c r="AN332" s="128"/>
      <c r="AO332" s="128"/>
      <c r="AP332" s="126" t="s">
        <v>138</v>
      </c>
      <c r="AQ332" s="126" t="s">
        <v>139</v>
      </c>
      <c r="AR332" s="126" t="s">
        <v>140</v>
      </c>
      <c r="AS332" s="128"/>
      <c r="AT332" s="130"/>
    </row>
    <row r="333" customFormat="false" ht="12.75" hidden="false" customHeight="true" outlineLevel="0" collapsed="false">
      <c r="B333" s="122" t="n">
        <f aca="false">B332+1</f>
        <v>330</v>
      </c>
      <c r="C333" s="123" t="s">
        <v>299</v>
      </c>
      <c r="D333" s="124" t="n">
        <v>21451</v>
      </c>
      <c r="E333" s="124" t="str">
        <f aca="false">IF(D333="","",IFERROR(VLOOKUP(D333,CCN_Library!$A$4:$B$13,2,FALSE()),"NOT IN LIBRARY"))</f>
        <v>AUTOMOTIVE ORGANIZATIONAL SHOP</v>
      </c>
      <c r="F333" s="125" t="str">
        <f aca="false">LEFT(H333,6)</f>
        <v>M28263</v>
      </c>
      <c r="G333" s="126" t="s">
        <v>128</v>
      </c>
      <c r="H333" s="126" t="s">
        <v>651</v>
      </c>
      <c r="I333" s="126" t="s">
        <v>332</v>
      </c>
      <c r="J333" s="126" t="s">
        <v>171</v>
      </c>
      <c r="K333" s="127" t="s">
        <v>302</v>
      </c>
      <c r="L333" s="126" t="s">
        <v>302</v>
      </c>
      <c r="M333" s="126" t="s">
        <v>148</v>
      </c>
      <c r="N333" s="126" t="s">
        <v>128</v>
      </c>
      <c r="O333" s="126" t="s">
        <v>135</v>
      </c>
      <c r="P333" s="126" t="s">
        <v>135</v>
      </c>
      <c r="Q333" s="128"/>
      <c r="R333" s="126" t="s">
        <v>136</v>
      </c>
      <c r="S333" s="126" t="s">
        <v>148</v>
      </c>
      <c r="T333" s="128"/>
      <c r="U333" s="129" t="n">
        <v>0</v>
      </c>
      <c r="V333" s="129" t="n">
        <v>1</v>
      </c>
      <c r="W333" s="129" t="n">
        <v>0</v>
      </c>
      <c r="X333" s="129" t="n">
        <v>0</v>
      </c>
      <c r="Y333" s="129" t="n">
        <v>0</v>
      </c>
      <c r="Z333" s="129" t="n">
        <v>0</v>
      </c>
      <c r="AA333" s="129" t="n">
        <v>0</v>
      </c>
      <c r="AB333" s="129" t="n">
        <v>0</v>
      </c>
      <c r="AC333" s="129" t="n">
        <v>0</v>
      </c>
      <c r="AD333" s="129" t="n">
        <v>0</v>
      </c>
      <c r="AE333" s="129" t="n">
        <v>0</v>
      </c>
      <c r="AF333" s="129" t="n">
        <v>0</v>
      </c>
      <c r="AG333" s="129" t="n">
        <v>0</v>
      </c>
      <c r="AH333" s="129" t="n">
        <v>0</v>
      </c>
      <c r="AI333" s="129" t="n">
        <v>0</v>
      </c>
      <c r="AJ333" s="129" t="n">
        <v>0</v>
      </c>
      <c r="AK333" s="129" t="n">
        <v>0</v>
      </c>
      <c r="AL333" s="129" t="n">
        <v>0</v>
      </c>
      <c r="AM333" s="129" t="n">
        <v>0</v>
      </c>
      <c r="AN333" s="128"/>
      <c r="AO333" s="128"/>
      <c r="AP333" s="126" t="s">
        <v>138</v>
      </c>
      <c r="AQ333" s="126" t="s">
        <v>139</v>
      </c>
      <c r="AR333" s="126" t="s">
        <v>140</v>
      </c>
      <c r="AS333" s="128"/>
      <c r="AT333" s="130"/>
    </row>
    <row r="334" customFormat="false" ht="12.75" hidden="false" customHeight="true" outlineLevel="0" collapsed="false">
      <c r="B334" s="131" t="n">
        <f aca="false">B333+1</f>
        <v>331</v>
      </c>
      <c r="C334" s="132" t="s">
        <v>293</v>
      </c>
      <c r="D334" s="133" t="n">
        <v>21451</v>
      </c>
      <c r="E334" s="133"/>
      <c r="F334" s="134" t="str">
        <f aca="false">LEFT(H334,6)</f>
        <v>M28263</v>
      </c>
      <c r="G334" s="135" t="s">
        <v>177</v>
      </c>
      <c r="H334" s="135" t="s">
        <v>652</v>
      </c>
      <c r="I334" s="135" t="s">
        <v>653</v>
      </c>
      <c r="J334" s="136"/>
      <c r="K334" s="136"/>
      <c r="L334" s="136"/>
      <c r="M334" s="136"/>
      <c r="N334" s="136"/>
      <c r="O334" s="136"/>
      <c r="P334" s="136"/>
      <c r="Q334" s="136"/>
      <c r="R334" s="136"/>
      <c r="S334" s="136"/>
      <c r="T334" s="136"/>
      <c r="U334" s="137" t="n">
        <v>0</v>
      </c>
      <c r="V334" s="137" t="n">
        <v>0</v>
      </c>
      <c r="W334" s="137" t="n">
        <v>0</v>
      </c>
      <c r="X334" s="137" t="n">
        <v>0</v>
      </c>
      <c r="Y334" s="137" t="n">
        <v>0</v>
      </c>
      <c r="Z334" s="137" t="n">
        <v>0</v>
      </c>
      <c r="AA334" s="137" t="n">
        <v>0</v>
      </c>
      <c r="AB334" s="137" t="n">
        <v>0</v>
      </c>
      <c r="AC334" s="137" t="n">
        <v>0</v>
      </c>
      <c r="AD334" s="137" t="n">
        <v>0</v>
      </c>
      <c r="AE334" s="137" t="n">
        <v>0</v>
      </c>
      <c r="AF334" s="137" t="n">
        <v>0</v>
      </c>
      <c r="AG334" s="137" t="n">
        <v>0</v>
      </c>
      <c r="AH334" s="137" t="n">
        <v>0</v>
      </c>
      <c r="AI334" s="137" t="n">
        <v>0</v>
      </c>
      <c r="AJ334" s="137" t="n">
        <v>0</v>
      </c>
      <c r="AK334" s="137" t="n">
        <v>0</v>
      </c>
      <c r="AL334" s="137" t="n">
        <v>0</v>
      </c>
      <c r="AM334" s="137" t="n">
        <v>0</v>
      </c>
      <c r="AN334" s="136"/>
      <c r="AO334" s="136"/>
      <c r="AP334" s="136"/>
      <c r="AQ334" s="136"/>
      <c r="AR334" s="136"/>
      <c r="AS334" s="136"/>
      <c r="AT334" s="138"/>
    </row>
    <row r="335" customFormat="false" ht="12.75" hidden="false" customHeight="true" outlineLevel="0" collapsed="false">
      <c r="B335" s="122" t="n">
        <f aca="false">B334+1</f>
        <v>332</v>
      </c>
      <c r="C335" s="123" t="s">
        <v>299</v>
      </c>
      <c r="D335" s="124" t="n">
        <v>21451</v>
      </c>
      <c r="E335" s="124" t="str">
        <f aca="false">IF(D335="","",IFERROR(VLOOKUP(D335,CCN_Library!$A$4:$B$13,2,FALSE()),"NOT IN LIBRARY"))</f>
        <v>AUTOMOTIVE ORGANIZATIONAL SHOP</v>
      </c>
      <c r="F335" s="125" t="str">
        <f aca="false">LEFT(H335,6)</f>
        <v>M28263</v>
      </c>
      <c r="G335" s="126" t="s">
        <v>128</v>
      </c>
      <c r="H335" s="126" t="s">
        <v>654</v>
      </c>
      <c r="I335" s="126" t="s">
        <v>159</v>
      </c>
      <c r="J335" s="126" t="s">
        <v>191</v>
      </c>
      <c r="K335" s="127" t="s">
        <v>161</v>
      </c>
      <c r="L335" s="126" t="s">
        <v>161</v>
      </c>
      <c r="M335" s="126" t="s">
        <v>133</v>
      </c>
      <c r="N335" s="126" t="s">
        <v>128</v>
      </c>
      <c r="O335" s="126" t="s">
        <v>135</v>
      </c>
      <c r="P335" s="126" t="s">
        <v>135</v>
      </c>
      <c r="Q335" s="128"/>
      <c r="R335" s="126" t="s">
        <v>136</v>
      </c>
      <c r="S335" s="126" t="s">
        <v>58</v>
      </c>
      <c r="T335" s="128"/>
      <c r="U335" s="129" t="n">
        <v>0</v>
      </c>
      <c r="V335" s="129" t="n">
        <v>0</v>
      </c>
      <c r="W335" s="129" t="n">
        <v>0</v>
      </c>
      <c r="X335" s="129" t="n">
        <v>0</v>
      </c>
      <c r="Y335" s="129" t="n">
        <v>0</v>
      </c>
      <c r="Z335" s="129" t="n">
        <v>0</v>
      </c>
      <c r="AA335" s="129" t="n">
        <v>1</v>
      </c>
      <c r="AB335" s="129" t="n">
        <v>0</v>
      </c>
      <c r="AC335" s="129" t="n">
        <v>0</v>
      </c>
      <c r="AD335" s="129" t="n">
        <v>0</v>
      </c>
      <c r="AE335" s="129" t="n">
        <v>0</v>
      </c>
      <c r="AF335" s="129" t="n">
        <v>0</v>
      </c>
      <c r="AG335" s="129" t="n">
        <v>0</v>
      </c>
      <c r="AH335" s="129" t="n">
        <v>0</v>
      </c>
      <c r="AI335" s="129" t="n">
        <v>0</v>
      </c>
      <c r="AJ335" s="129" t="n">
        <v>0</v>
      </c>
      <c r="AK335" s="129" t="n">
        <v>0</v>
      </c>
      <c r="AL335" s="129" t="n">
        <v>0</v>
      </c>
      <c r="AM335" s="129" t="n">
        <v>0</v>
      </c>
      <c r="AN335" s="128"/>
      <c r="AO335" s="128"/>
      <c r="AP335" s="126" t="s">
        <v>138</v>
      </c>
      <c r="AQ335" s="126" t="s">
        <v>139</v>
      </c>
      <c r="AR335" s="126" t="s">
        <v>140</v>
      </c>
      <c r="AS335" s="128"/>
      <c r="AT335" s="130"/>
    </row>
    <row r="336" customFormat="false" ht="12.75" hidden="false" customHeight="true" outlineLevel="0" collapsed="false">
      <c r="B336" s="122" t="n">
        <f aca="false">B335+1</f>
        <v>333</v>
      </c>
      <c r="C336" s="123" t="s">
        <v>299</v>
      </c>
      <c r="D336" s="124" t="n">
        <v>21451</v>
      </c>
      <c r="E336" s="124" t="str">
        <f aca="false">IF(D336="","",IFERROR(VLOOKUP(D336,CCN_Library!$A$4:$B$13,2,FALSE()),"NOT IN LIBRARY"))</f>
        <v>AUTOMOTIVE ORGANIZATIONAL SHOP</v>
      </c>
      <c r="F336" s="125" t="str">
        <f aca="false">LEFT(H336,6)</f>
        <v>M28263</v>
      </c>
      <c r="G336" s="126" t="s">
        <v>128</v>
      </c>
      <c r="H336" s="126" t="s">
        <v>655</v>
      </c>
      <c r="I336" s="126" t="s">
        <v>159</v>
      </c>
      <c r="J336" s="126" t="s">
        <v>160</v>
      </c>
      <c r="K336" s="127" t="s">
        <v>161</v>
      </c>
      <c r="L336" s="126" t="s">
        <v>161</v>
      </c>
      <c r="M336" s="126" t="s">
        <v>133</v>
      </c>
      <c r="N336" s="126" t="s">
        <v>128</v>
      </c>
      <c r="O336" s="126" t="s">
        <v>135</v>
      </c>
      <c r="P336" s="126" t="s">
        <v>135</v>
      </c>
      <c r="Q336" s="128"/>
      <c r="R336" s="126" t="s">
        <v>136</v>
      </c>
      <c r="S336" s="126" t="s">
        <v>58</v>
      </c>
      <c r="T336" s="128"/>
      <c r="U336" s="129" t="n">
        <v>0</v>
      </c>
      <c r="V336" s="129" t="n">
        <v>0</v>
      </c>
      <c r="W336" s="129" t="n">
        <v>0</v>
      </c>
      <c r="X336" s="129" t="n">
        <v>0</v>
      </c>
      <c r="Y336" s="129" t="n">
        <v>0</v>
      </c>
      <c r="Z336" s="129" t="n">
        <v>0</v>
      </c>
      <c r="AA336" s="129" t="n">
        <v>1</v>
      </c>
      <c r="AB336" s="129" t="n">
        <v>0</v>
      </c>
      <c r="AC336" s="129" t="n">
        <v>0</v>
      </c>
      <c r="AD336" s="129" t="n">
        <v>0</v>
      </c>
      <c r="AE336" s="129" t="n">
        <v>0</v>
      </c>
      <c r="AF336" s="129" t="n">
        <v>0</v>
      </c>
      <c r="AG336" s="129" t="n">
        <v>0</v>
      </c>
      <c r="AH336" s="129" t="n">
        <v>0</v>
      </c>
      <c r="AI336" s="129" t="n">
        <v>0</v>
      </c>
      <c r="AJ336" s="129" t="n">
        <v>0</v>
      </c>
      <c r="AK336" s="129" t="n">
        <v>0</v>
      </c>
      <c r="AL336" s="129" t="n">
        <v>0</v>
      </c>
      <c r="AM336" s="129" t="n">
        <v>0</v>
      </c>
      <c r="AN336" s="126" t="s">
        <v>384</v>
      </c>
      <c r="AO336" s="126" t="s">
        <v>610</v>
      </c>
      <c r="AP336" s="126" t="s">
        <v>138</v>
      </c>
      <c r="AQ336" s="126" t="s">
        <v>139</v>
      </c>
      <c r="AR336" s="126" t="s">
        <v>386</v>
      </c>
      <c r="AS336" s="128"/>
      <c r="AT336" s="130"/>
    </row>
    <row r="337" customFormat="false" ht="12.75" hidden="false" customHeight="true" outlineLevel="0" collapsed="false">
      <c r="B337" s="122" t="n">
        <f aca="false">B336+1</f>
        <v>334</v>
      </c>
      <c r="C337" s="123" t="s">
        <v>299</v>
      </c>
      <c r="D337" s="124" t="n">
        <v>21451</v>
      </c>
      <c r="E337" s="124" t="str">
        <f aca="false">IF(D337="","",IFERROR(VLOOKUP(D337,CCN_Library!$A$4:$B$13,2,FALSE()),"NOT IN LIBRARY"))</f>
        <v>AUTOMOTIVE ORGANIZATIONAL SHOP</v>
      </c>
      <c r="F337" s="125" t="str">
        <f aca="false">LEFT(H337,6)</f>
        <v>M28263</v>
      </c>
      <c r="G337" s="126" t="s">
        <v>128</v>
      </c>
      <c r="H337" s="126" t="s">
        <v>656</v>
      </c>
      <c r="I337" s="126" t="s">
        <v>332</v>
      </c>
      <c r="J337" s="126" t="s">
        <v>171</v>
      </c>
      <c r="K337" s="127" t="s">
        <v>302</v>
      </c>
      <c r="L337" s="126" t="s">
        <v>302</v>
      </c>
      <c r="M337" s="126" t="s">
        <v>148</v>
      </c>
      <c r="N337" s="126" t="s">
        <v>128</v>
      </c>
      <c r="O337" s="126" t="s">
        <v>135</v>
      </c>
      <c r="P337" s="126" t="s">
        <v>135</v>
      </c>
      <c r="Q337" s="128"/>
      <c r="R337" s="126" t="s">
        <v>136</v>
      </c>
      <c r="S337" s="126" t="s">
        <v>148</v>
      </c>
      <c r="T337" s="128"/>
      <c r="U337" s="129" t="n">
        <v>0</v>
      </c>
      <c r="V337" s="129" t="n">
        <v>1</v>
      </c>
      <c r="W337" s="129" t="n">
        <v>0</v>
      </c>
      <c r="X337" s="129" t="n">
        <v>0</v>
      </c>
      <c r="Y337" s="129" t="n">
        <v>0</v>
      </c>
      <c r="Z337" s="129" t="n">
        <v>0</v>
      </c>
      <c r="AA337" s="129" t="n">
        <v>0</v>
      </c>
      <c r="AB337" s="129" t="n">
        <v>0</v>
      </c>
      <c r="AC337" s="129" t="n">
        <v>0</v>
      </c>
      <c r="AD337" s="129" t="n">
        <v>0</v>
      </c>
      <c r="AE337" s="129" t="n">
        <v>0</v>
      </c>
      <c r="AF337" s="129" t="n">
        <v>0</v>
      </c>
      <c r="AG337" s="129" t="n">
        <v>0</v>
      </c>
      <c r="AH337" s="129" t="n">
        <v>0</v>
      </c>
      <c r="AI337" s="129" t="n">
        <v>0</v>
      </c>
      <c r="AJ337" s="129" t="n">
        <v>0</v>
      </c>
      <c r="AK337" s="129" t="n">
        <v>0</v>
      </c>
      <c r="AL337" s="129" t="n">
        <v>0</v>
      </c>
      <c r="AM337" s="129" t="n">
        <v>0</v>
      </c>
      <c r="AN337" s="128"/>
      <c r="AO337" s="128"/>
      <c r="AP337" s="126" t="s">
        <v>138</v>
      </c>
      <c r="AQ337" s="126" t="s">
        <v>139</v>
      </c>
      <c r="AR337" s="126" t="s">
        <v>140</v>
      </c>
      <c r="AS337" s="128"/>
      <c r="AT337" s="130"/>
    </row>
    <row r="338" customFormat="false" ht="12.75" hidden="false" customHeight="true" outlineLevel="0" collapsed="false">
      <c r="B338" s="122" t="n">
        <f aca="false">B337+1</f>
        <v>335</v>
      </c>
      <c r="C338" s="123" t="s">
        <v>299</v>
      </c>
      <c r="D338" s="124" t="n">
        <v>21451</v>
      </c>
      <c r="E338" s="124" t="str">
        <f aca="false">IF(D338="","",IFERROR(VLOOKUP(D338,CCN_Library!$A$4:$B$13,2,FALSE()),"NOT IN LIBRARY"))</f>
        <v>AUTOMOTIVE ORGANIZATIONAL SHOP</v>
      </c>
      <c r="F338" s="125" t="str">
        <f aca="false">LEFT(H338,6)</f>
        <v>M28263</v>
      </c>
      <c r="G338" s="126" t="s">
        <v>128</v>
      </c>
      <c r="H338" s="126" t="s">
        <v>657</v>
      </c>
      <c r="I338" s="126" t="s">
        <v>332</v>
      </c>
      <c r="J338" s="126" t="s">
        <v>171</v>
      </c>
      <c r="K338" s="127" t="s">
        <v>302</v>
      </c>
      <c r="L338" s="126" t="s">
        <v>302</v>
      </c>
      <c r="M338" s="126" t="s">
        <v>148</v>
      </c>
      <c r="N338" s="126" t="s">
        <v>128</v>
      </c>
      <c r="O338" s="126" t="s">
        <v>135</v>
      </c>
      <c r="P338" s="126" t="s">
        <v>135</v>
      </c>
      <c r="Q338" s="128"/>
      <c r="R338" s="126" t="s">
        <v>136</v>
      </c>
      <c r="S338" s="126" t="s">
        <v>148</v>
      </c>
      <c r="T338" s="128"/>
      <c r="U338" s="129" t="n">
        <v>0</v>
      </c>
      <c r="V338" s="129" t="n">
        <v>1</v>
      </c>
      <c r="W338" s="129" t="n">
        <v>0</v>
      </c>
      <c r="X338" s="129" t="n">
        <v>0</v>
      </c>
      <c r="Y338" s="129" t="n">
        <v>0</v>
      </c>
      <c r="Z338" s="129" t="n">
        <v>0</v>
      </c>
      <c r="AA338" s="129" t="n">
        <v>0</v>
      </c>
      <c r="AB338" s="129" t="n">
        <v>0</v>
      </c>
      <c r="AC338" s="129" t="n">
        <v>0</v>
      </c>
      <c r="AD338" s="129" t="n">
        <v>0</v>
      </c>
      <c r="AE338" s="129" t="n">
        <v>0</v>
      </c>
      <c r="AF338" s="129" t="n">
        <v>0</v>
      </c>
      <c r="AG338" s="129" t="n">
        <v>0</v>
      </c>
      <c r="AH338" s="129" t="n">
        <v>0</v>
      </c>
      <c r="AI338" s="129" t="n">
        <v>0</v>
      </c>
      <c r="AJ338" s="129" t="n">
        <v>0</v>
      </c>
      <c r="AK338" s="129" t="n">
        <v>0</v>
      </c>
      <c r="AL338" s="129" t="n">
        <v>0</v>
      </c>
      <c r="AM338" s="129" t="n">
        <v>0</v>
      </c>
      <c r="AN338" s="128"/>
      <c r="AO338" s="128"/>
      <c r="AP338" s="126" t="s">
        <v>138</v>
      </c>
      <c r="AQ338" s="126" t="s">
        <v>139</v>
      </c>
      <c r="AR338" s="126" t="s">
        <v>140</v>
      </c>
      <c r="AS338" s="128"/>
      <c r="AT338" s="130"/>
    </row>
    <row r="339" customFormat="false" ht="12.75" hidden="false" customHeight="true" outlineLevel="0" collapsed="false">
      <c r="B339" s="122" t="n">
        <f aca="false">B338+1</f>
        <v>336</v>
      </c>
      <c r="C339" s="123" t="s">
        <v>299</v>
      </c>
      <c r="D339" s="124" t="n">
        <v>21451</v>
      </c>
      <c r="E339" s="124" t="str">
        <f aca="false">IF(D339="","",IFERROR(VLOOKUP(D339,CCN_Library!$A$4:$B$13,2,FALSE()),"NOT IN LIBRARY"))</f>
        <v>AUTOMOTIVE ORGANIZATIONAL SHOP</v>
      </c>
      <c r="F339" s="125" t="str">
        <f aca="false">LEFT(H339,6)</f>
        <v>M28263</v>
      </c>
      <c r="G339" s="126" t="s">
        <v>128</v>
      </c>
      <c r="H339" s="126" t="s">
        <v>658</v>
      </c>
      <c r="I339" s="126" t="s">
        <v>332</v>
      </c>
      <c r="J339" s="126" t="s">
        <v>171</v>
      </c>
      <c r="K339" s="127" t="s">
        <v>302</v>
      </c>
      <c r="L339" s="126" t="s">
        <v>302</v>
      </c>
      <c r="M339" s="126" t="s">
        <v>148</v>
      </c>
      <c r="N339" s="126" t="s">
        <v>128</v>
      </c>
      <c r="O339" s="126" t="s">
        <v>135</v>
      </c>
      <c r="P339" s="126" t="s">
        <v>135</v>
      </c>
      <c r="Q339" s="128"/>
      <c r="R339" s="126" t="s">
        <v>136</v>
      </c>
      <c r="S339" s="126" t="s">
        <v>148</v>
      </c>
      <c r="T339" s="128"/>
      <c r="U339" s="129" t="n">
        <v>0</v>
      </c>
      <c r="V339" s="129" t="n">
        <v>1</v>
      </c>
      <c r="W339" s="129" t="n">
        <v>0</v>
      </c>
      <c r="X339" s="129" t="n">
        <v>0</v>
      </c>
      <c r="Y339" s="129" t="n">
        <v>0</v>
      </c>
      <c r="Z339" s="129" t="n">
        <v>0</v>
      </c>
      <c r="AA339" s="129" t="n">
        <v>0</v>
      </c>
      <c r="AB339" s="129" t="n">
        <v>0</v>
      </c>
      <c r="AC339" s="129" t="n">
        <v>0</v>
      </c>
      <c r="AD339" s="129" t="n">
        <v>0</v>
      </c>
      <c r="AE339" s="129" t="n">
        <v>0</v>
      </c>
      <c r="AF339" s="129" t="n">
        <v>0</v>
      </c>
      <c r="AG339" s="129" t="n">
        <v>0</v>
      </c>
      <c r="AH339" s="129" t="n">
        <v>0</v>
      </c>
      <c r="AI339" s="129" t="n">
        <v>0</v>
      </c>
      <c r="AJ339" s="129" t="n">
        <v>0</v>
      </c>
      <c r="AK339" s="129" t="n">
        <v>0</v>
      </c>
      <c r="AL339" s="129" t="n">
        <v>0</v>
      </c>
      <c r="AM339" s="129" t="n">
        <v>0</v>
      </c>
      <c r="AN339" s="128"/>
      <c r="AO339" s="128"/>
      <c r="AP339" s="126" t="s">
        <v>138</v>
      </c>
      <c r="AQ339" s="126" t="s">
        <v>139</v>
      </c>
      <c r="AR339" s="126" t="s">
        <v>140</v>
      </c>
      <c r="AS339" s="128"/>
      <c r="AT339" s="130"/>
    </row>
    <row r="340" customFormat="false" ht="12.75" hidden="false" customHeight="true" outlineLevel="0" collapsed="false">
      <c r="B340" s="122" t="n">
        <f aca="false">B339+1</f>
        <v>337</v>
      </c>
      <c r="C340" s="123" t="s">
        <v>299</v>
      </c>
      <c r="D340" s="124" t="n">
        <v>21451</v>
      </c>
      <c r="E340" s="124" t="str">
        <f aca="false">IF(D340="","",IFERROR(VLOOKUP(D340,CCN_Library!$A$4:$B$13,2,FALSE()),"NOT IN LIBRARY"))</f>
        <v>AUTOMOTIVE ORGANIZATIONAL SHOP</v>
      </c>
      <c r="F340" s="125" t="str">
        <f aca="false">LEFT(H340,6)</f>
        <v>M28263</v>
      </c>
      <c r="G340" s="126" t="s">
        <v>128</v>
      </c>
      <c r="H340" s="126" t="s">
        <v>659</v>
      </c>
      <c r="I340" s="126" t="s">
        <v>332</v>
      </c>
      <c r="J340" s="126" t="s">
        <v>171</v>
      </c>
      <c r="K340" s="127" t="s">
        <v>302</v>
      </c>
      <c r="L340" s="126" t="s">
        <v>302</v>
      </c>
      <c r="M340" s="126" t="s">
        <v>148</v>
      </c>
      <c r="N340" s="126" t="s">
        <v>128</v>
      </c>
      <c r="O340" s="126" t="s">
        <v>135</v>
      </c>
      <c r="P340" s="126" t="s">
        <v>135</v>
      </c>
      <c r="Q340" s="128"/>
      <c r="R340" s="126" t="s">
        <v>136</v>
      </c>
      <c r="S340" s="126" t="s">
        <v>148</v>
      </c>
      <c r="T340" s="128"/>
      <c r="U340" s="129" t="n">
        <v>0</v>
      </c>
      <c r="V340" s="129" t="n">
        <v>1</v>
      </c>
      <c r="W340" s="129" t="n">
        <v>0</v>
      </c>
      <c r="X340" s="129" t="n">
        <v>0</v>
      </c>
      <c r="Y340" s="129" t="n">
        <v>0</v>
      </c>
      <c r="Z340" s="129" t="n">
        <v>0</v>
      </c>
      <c r="AA340" s="129" t="n">
        <v>0</v>
      </c>
      <c r="AB340" s="129" t="n">
        <v>0</v>
      </c>
      <c r="AC340" s="129" t="n">
        <v>0</v>
      </c>
      <c r="AD340" s="129" t="n">
        <v>0</v>
      </c>
      <c r="AE340" s="129" t="n">
        <v>0</v>
      </c>
      <c r="AF340" s="129" t="n">
        <v>0</v>
      </c>
      <c r="AG340" s="129" t="n">
        <v>0</v>
      </c>
      <c r="AH340" s="129" t="n">
        <v>0</v>
      </c>
      <c r="AI340" s="129" t="n">
        <v>0</v>
      </c>
      <c r="AJ340" s="129" t="n">
        <v>0</v>
      </c>
      <c r="AK340" s="129" t="n">
        <v>0</v>
      </c>
      <c r="AL340" s="129" t="n">
        <v>0</v>
      </c>
      <c r="AM340" s="129" t="n">
        <v>0</v>
      </c>
      <c r="AN340" s="128"/>
      <c r="AO340" s="128"/>
      <c r="AP340" s="126" t="s">
        <v>138</v>
      </c>
      <c r="AQ340" s="126" t="s">
        <v>139</v>
      </c>
      <c r="AR340" s="126" t="s">
        <v>140</v>
      </c>
      <c r="AS340" s="128"/>
      <c r="AT340" s="139"/>
    </row>
    <row r="341" customFormat="false" ht="12.75" hidden="false" customHeight="true" outlineLevel="0" collapsed="false">
      <c r="B341" s="131" t="n">
        <f aca="false">B340+1</f>
        <v>338</v>
      </c>
      <c r="C341" s="132" t="s">
        <v>162</v>
      </c>
      <c r="D341" s="133" t="n">
        <v>61073</v>
      </c>
      <c r="E341" s="133"/>
      <c r="F341" s="134" t="str">
        <f aca="false">LEFT(H341,6)</f>
        <v>M28263</v>
      </c>
      <c r="G341" s="135" t="s">
        <v>58</v>
      </c>
      <c r="H341" s="135" t="s">
        <v>660</v>
      </c>
      <c r="I341" s="135" t="s">
        <v>661</v>
      </c>
      <c r="J341" s="136"/>
      <c r="K341" s="136"/>
      <c r="L341" s="136"/>
      <c r="M341" s="136"/>
      <c r="N341" s="136"/>
      <c r="O341" s="136"/>
      <c r="P341" s="136"/>
      <c r="Q341" s="136"/>
      <c r="R341" s="136"/>
      <c r="S341" s="136"/>
      <c r="T341" s="136"/>
      <c r="U341" s="137" t="n">
        <v>0</v>
      </c>
      <c r="V341" s="137" t="n">
        <v>0</v>
      </c>
      <c r="W341" s="137" t="n">
        <v>0</v>
      </c>
      <c r="X341" s="137" t="n">
        <v>0</v>
      </c>
      <c r="Y341" s="137" t="n">
        <v>0</v>
      </c>
      <c r="Z341" s="137" t="n">
        <v>0</v>
      </c>
      <c r="AA341" s="137" t="n">
        <v>0</v>
      </c>
      <c r="AB341" s="137" t="n">
        <v>0</v>
      </c>
      <c r="AC341" s="137" t="n">
        <v>0</v>
      </c>
      <c r="AD341" s="137" t="n">
        <v>0</v>
      </c>
      <c r="AE341" s="137" t="n">
        <v>0</v>
      </c>
      <c r="AF341" s="137" t="n">
        <v>0</v>
      </c>
      <c r="AG341" s="137" t="n">
        <v>0</v>
      </c>
      <c r="AH341" s="137" t="n">
        <v>0</v>
      </c>
      <c r="AI341" s="137" t="n">
        <v>0</v>
      </c>
      <c r="AJ341" s="137" t="n">
        <v>0</v>
      </c>
      <c r="AK341" s="137" t="n">
        <v>0</v>
      </c>
      <c r="AL341" s="137" t="n">
        <v>0</v>
      </c>
      <c r="AM341" s="137" t="n">
        <v>0</v>
      </c>
      <c r="AN341" s="136"/>
      <c r="AO341" s="136"/>
      <c r="AP341" s="136"/>
      <c r="AQ341" s="136"/>
      <c r="AR341" s="136"/>
      <c r="AS341" s="136"/>
      <c r="AT341" s="138"/>
    </row>
    <row r="342" customFormat="false" ht="12.75" hidden="false" customHeight="true" outlineLevel="0" collapsed="false">
      <c r="B342" s="131" t="n">
        <f aca="false">B341+1</f>
        <v>339</v>
      </c>
      <c r="C342" s="132" t="s">
        <v>162</v>
      </c>
      <c r="D342" s="133" t="n">
        <v>61073</v>
      </c>
      <c r="E342" s="133"/>
      <c r="F342" s="134" t="str">
        <f aca="false">LEFT(H342,6)</f>
        <v>M28263</v>
      </c>
      <c r="G342" s="135" t="s">
        <v>177</v>
      </c>
      <c r="H342" s="135" t="s">
        <v>662</v>
      </c>
      <c r="I342" s="135" t="s">
        <v>663</v>
      </c>
      <c r="J342" s="136"/>
      <c r="K342" s="136"/>
      <c r="L342" s="136"/>
      <c r="M342" s="136"/>
      <c r="N342" s="136"/>
      <c r="O342" s="136"/>
      <c r="P342" s="136"/>
      <c r="Q342" s="136"/>
      <c r="R342" s="136"/>
      <c r="S342" s="136"/>
      <c r="T342" s="136"/>
      <c r="U342" s="137" t="n">
        <v>0</v>
      </c>
      <c r="V342" s="137" t="n">
        <v>0</v>
      </c>
      <c r="W342" s="137" t="n">
        <v>0</v>
      </c>
      <c r="X342" s="137" t="n">
        <v>0</v>
      </c>
      <c r="Y342" s="137" t="n">
        <v>0</v>
      </c>
      <c r="Z342" s="137" t="n">
        <v>0</v>
      </c>
      <c r="AA342" s="137" t="n">
        <v>0</v>
      </c>
      <c r="AB342" s="137" t="n">
        <v>0</v>
      </c>
      <c r="AC342" s="137" t="n">
        <v>0</v>
      </c>
      <c r="AD342" s="137" t="n">
        <v>0</v>
      </c>
      <c r="AE342" s="137" t="n">
        <v>0</v>
      </c>
      <c r="AF342" s="137" t="n">
        <v>0</v>
      </c>
      <c r="AG342" s="137" t="n">
        <v>0</v>
      </c>
      <c r="AH342" s="137" t="n">
        <v>0</v>
      </c>
      <c r="AI342" s="137" t="n">
        <v>0</v>
      </c>
      <c r="AJ342" s="137" t="n">
        <v>0</v>
      </c>
      <c r="AK342" s="137" t="n">
        <v>0</v>
      </c>
      <c r="AL342" s="137" t="n">
        <v>0</v>
      </c>
      <c r="AM342" s="137" t="n">
        <v>0</v>
      </c>
      <c r="AN342" s="136"/>
      <c r="AO342" s="136"/>
      <c r="AP342" s="136"/>
      <c r="AQ342" s="136"/>
      <c r="AR342" s="136"/>
      <c r="AS342" s="136"/>
      <c r="AT342" s="138"/>
    </row>
    <row r="343" customFormat="false" ht="12.75" hidden="false" customHeight="true" outlineLevel="0" collapsed="false">
      <c r="B343" s="122" t="n">
        <f aca="false">B342+1</f>
        <v>340</v>
      </c>
      <c r="C343" s="123" t="s">
        <v>162</v>
      </c>
      <c r="D343" s="140" t="n">
        <v>61073</v>
      </c>
      <c r="E343" s="124" t="str">
        <f aca="false">IF(D343="","",IFERROR(VLOOKUP(D343,CCN_Library!$A$4:$B$13,2,FALSE()),"NOT IN LIBRARY"))</f>
        <v>COMPANY/BATTERY HEADQUARTERS, MARINE CORPS</v>
      </c>
      <c r="F343" s="125" t="str">
        <f aca="false">LEFT(H343,6)</f>
        <v>M28263</v>
      </c>
      <c r="G343" s="126" t="s">
        <v>128</v>
      </c>
      <c r="H343" s="126" t="s">
        <v>664</v>
      </c>
      <c r="I343" s="126" t="s">
        <v>466</v>
      </c>
      <c r="J343" s="126" t="s">
        <v>211</v>
      </c>
      <c r="K343" s="127" t="s">
        <v>151</v>
      </c>
      <c r="L343" s="126" t="s">
        <v>151</v>
      </c>
      <c r="M343" s="126" t="s">
        <v>133</v>
      </c>
      <c r="N343" s="126" t="s">
        <v>134</v>
      </c>
      <c r="O343" s="126" t="s">
        <v>135</v>
      </c>
      <c r="P343" s="126" t="s">
        <v>135</v>
      </c>
      <c r="Q343" s="128"/>
      <c r="R343" s="126" t="s">
        <v>136</v>
      </c>
      <c r="S343" s="126" t="s">
        <v>137</v>
      </c>
      <c r="T343" s="128"/>
      <c r="U343" s="129" t="n">
        <v>0</v>
      </c>
      <c r="V343" s="129" t="n">
        <v>0</v>
      </c>
      <c r="W343" s="129" t="n">
        <v>0</v>
      </c>
      <c r="X343" s="129" t="n">
        <v>0</v>
      </c>
      <c r="Y343" s="129" t="n">
        <v>0</v>
      </c>
      <c r="Z343" s="129" t="n">
        <v>1</v>
      </c>
      <c r="AA343" s="129" t="n">
        <v>0</v>
      </c>
      <c r="AB343" s="129" t="n">
        <v>0</v>
      </c>
      <c r="AC343" s="129" t="n">
        <v>0</v>
      </c>
      <c r="AD343" s="129" t="n">
        <v>0</v>
      </c>
      <c r="AE343" s="129" t="n">
        <v>0</v>
      </c>
      <c r="AF343" s="129" t="n">
        <v>0</v>
      </c>
      <c r="AG343" s="129" t="n">
        <v>0</v>
      </c>
      <c r="AH343" s="129" t="n">
        <v>0</v>
      </c>
      <c r="AI343" s="129" t="n">
        <v>0</v>
      </c>
      <c r="AJ343" s="129" t="n">
        <v>0</v>
      </c>
      <c r="AK343" s="129" t="n">
        <v>0</v>
      </c>
      <c r="AL343" s="129" t="n">
        <v>0</v>
      </c>
      <c r="AM343" s="129" t="n">
        <v>0</v>
      </c>
      <c r="AN343" s="128"/>
      <c r="AO343" s="128"/>
      <c r="AP343" s="126" t="s">
        <v>138</v>
      </c>
      <c r="AQ343" s="126" t="s">
        <v>139</v>
      </c>
      <c r="AR343" s="126" t="s">
        <v>140</v>
      </c>
      <c r="AS343" s="128"/>
      <c r="AT343" s="130"/>
    </row>
    <row r="344" customFormat="false" ht="12.75" hidden="false" customHeight="true" outlineLevel="0" collapsed="false">
      <c r="B344" s="122" t="n">
        <f aca="false">B343+1</f>
        <v>341</v>
      </c>
      <c r="C344" s="123" t="s">
        <v>162</v>
      </c>
      <c r="D344" s="140" t="n">
        <v>61073</v>
      </c>
      <c r="E344" s="124" t="str">
        <f aca="false">IF(D344="","",IFERROR(VLOOKUP(D344,CCN_Library!$A$4:$B$13,2,FALSE()),"NOT IN LIBRARY"))</f>
        <v>COMPANY/BATTERY HEADQUARTERS, MARINE CORPS</v>
      </c>
      <c r="F344" s="125" t="str">
        <f aca="false">LEFT(H344,6)</f>
        <v>M28263</v>
      </c>
      <c r="G344" s="126" t="s">
        <v>128</v>
      </c>
      <c r="H344" s="126" t="s">
        <v>665</v>
      </c>
      <c r="I344" s="126" t="s">
        <v>468</v>
      </c>
      <c r="J344" s="126" t="s">
        <v>211</v>
      </c>
      <c r="K344" s="127" t="s">
        <v>151</v>
      </c>
      <c r="L344" s="126" t="s">
        <v>151</v>
      </c>
      <c r="M344" s="126" t="s">
        <v>133</v>
      </c>
      <c r="N344" s="126" t="s">
        <v>134</v>
      </c>
      <c r="O344" s="126" t="s">
        <v>135</v>
      </c>
      <c r="P344" s="126" t="s">
        <v>135</v>
      </c>
      <c r="Q344" s="128"/>
      <c r="R344" s="126" t="s">
        <v>136</v>
      </c>
      <c r="S344" s="126" t="s">
        <v>137</v>
      </c>
      <c r="T344" s="128"/>
      <c r="U344" s="129" t="n">
        <v>0</v>
      </c>
      <c r="V344" s="129" t="n">
        <v>0</v>
      </c>
      <c r="W344" s="129" t="n">
        <v>0</v>
      </c>
      <c r="X344" s="129" t="n">
        <v>0</v>
      </c>
      <c r="Y344" s="129" t="n">
        <v>0</v>
      </c>
      <c r="Z344" s="129" t="n">
        <v>1</v>
      </c>
      <c r="AA344" s="129" t="n">
        <v>0</v>
      </c>
      <c r="AB344" s="129" t="n">
        <v>0</v>
      </c>
      <c r="AC344" s="129" t="n">
        <v>0</v>
      </c>
      <c r="AD344" s="129" t="n">
        <v>0</v>
      </c>
      <c r="AE344" s="129" t="n">
        <v>0</v>
      </c>
      <c r="AF344" s="129" t="n">
        <v>0</v>
      </c>
      <c r="AG344" s="129" t="n">
        <v>0</v>
      </c>
      <c r="AH344" s="129" t="n">
        <v>0</v>
      </c>
      <c r="AI344" s="129" t="n">
        <v>0</v>
      </c>
      <c r="AJ344" s="129" t="n">
        <v>0</v>
      </c>
      <c r="AK344" s="129" t="n">
        <v>0</v>
      </c>
      <c r="AL344" s="129" t="n">
        <v>0</v>
      </c>
      <c r="AM344" s="129" t="n">
        <v>0</v>
      </c>
      <c r="AN344" s="128"/>
      <c r="AO344" s="128"/>
      <c r="AP344" s="126" t="s">
        <v>138</v>
      </c>
      <c r="AQ344" s="126" t="s">
        <v>139</v>
      </c>
      <c r="AR344" s="126" t="s">
        <v>140</v>
      </c>
      <c r="AS344" s="128"/>
      <c r="AT344" s="130"/>
    </row>
    <row r="345" customFormat="false" ht="12.75" hidden="false" customHeight="true" outlineLevel="0" collapsed="false">
      <c r="B345" s="122" t="n">
        <f aca="false">B344+1</f>
        <v>342</v>
      </c>
      <c r="C345" s="123" t="s">
        <v>162</v>
      </c>
      <c r="D345" s="140" t="n">
        <v>61073</v>
      </c>
      <c r="E345" s="124" t="str">
        <f aca="false">IF(D345="","",IFERROR(VLOOKUP(D345,CCN_Library!$A$4:$B$13,2,FALSE()),"NOT IN LIBRARY"))</f>
        <v>COMPANY/BATTERY HEADQUARTERS, MARINE CORPS</v>
      </c>
      <c r="F345" s="125" t="str">
        <f aca="false">LEFT(H345,6)</f>
        <v>M28263</v>
      </c>
      <c r="G345" s="126" t="s">
        <v>128</v>
      </c>
      <c r="H345" s="126" t="s">
        <v>666</v>
      </c>
      <c r="I345" s="126" t="s">
        <v>470</v>
      </c>
      <c r="J345" s="126" t="s">
        <v>211</v>
      </c>
      <c r="K345" s="127" t="s">
        <v>151</v>
      </c>
      <c r="L345" s="126" t="s">
        <v>151</v>
      </c>
      <c r="M345" s="126" t="s">
        <v>133</v>
      </c>
      <c r="N345" s="126" t="s">
        <v>134</v>
      </c>
      <c r="O345" s="126" t="s">
        <v>135</v>
      </c>
      <c r="P345" s="126" t="s">
        <v>135</v>
      </c>
      <c r="Q345" s="128"/>
      <c r="R345" s="126" t="s">
        <v>136</v>
      </c>
      <c r="S345" s="126" t="s">
        <v>137</v>
      </c>
      <c r="T345" s="128"/>
      <c r="U345" s="129" t="n">
        <v>0</v>
      </c>
      <c r="V345" s="129" t="n">
        <v>0</v>
      </c>
      <c r="W345" s="129" t="n">
        <v>0</v>
      </c>
      <c r="X345" s="129" t="n">
        <v>0</v>
      </c>
      <c r="Y345" s="129" t="n">
        <v>0</v>
      </c>
      <c r="Z345" s="129" t="n">
        <v>1</v>
      </c>
      <c r="AA345" s="129" t="n">
        <v>0</v>
      </c>
      <c r="AB345" s="129" t="n">
        <v>0</v>
      </c>
      <c r="AC345" s="129" t="n">
        <v>0</v>
      </c>
      <c r="AD345" s="129" t="n">
        <v>0</v>
      </c>
      <c r="AE345" s="129" t="n">
        <v>0</v>
      </c>
      <c r="AF345" s="129" t="n">
        <v>0</v>
      </c>
      <c r="AG345" s="129" t="n">
        <v>0</v>
      </c>
      <c r="AH345" s="129" t="n">
        <v>0</v>
      </c>
      <c r="AI345" s="129" t="n">
        <v>0</v>
      </c>
      <c r="AJ345" s="129" t="n">
        <v>0</v>
      </c>
      <c r="AK345" s="129" t="n">
        <v>0</v>
      </c>
      <c r="AL345" s="129" t="n">
        <v>0</v>
      </c>
      <c r="AM345" s="129" t="n">
        <v>0</v>
      </c>
      <c r="AN345" s="128"/>
      <c r="AO345" s="128"/>
      <c r="AP345" s="126" t="s">
        <v>138</v>
      </c>
      <c r="AQ345" s="126" t="s">
        <v>139</v>
      </c>
      <c r="AR345" s="126" t="s">
        <v>140</v>
      </c>
      <c r="AS345" s="126" t="s">
        <v>152</v>
      </c>
      <c r="AT345" s="130"/>
    </row>
    <row r="346" customFormat="false" ht="12.75" hidden="false" customHeight="true" outlineLevel="0" collapsed="false">
      <c r="B346" s="122" t="n">
        <f aca="false">B345+1</f>
        <v>343</v>
      </c>
      <c r="C346" s="123" t="s">
        <v>162</v>
      </c>
      <c r="D346" s="140" t="n">
        <v>61073</v>
      </c>
      <c r="E346" s="124" t="str">
        <f aca="false">IF(D346="","",IFERROR(VLOOKUP(D346,CCN_Library!$A$4:$B$13,2,FALSE()),"NOT IN LIBRARY"))</f>
        <v>COMPANY/BATTERY HEADQUARTERS, MARINE CORPS</v>
      </c>
      <c r="F346" s="125" t="str">
        <f aca="false">LEFT(H346,6)</f>
        <v>M28263</v>
      </c>
      <c r="G346" s="126" t="s">
        <v>128</v>
      </c>
      <c r="H346" s="126" t="s">
        <v>667</v>
      </c>
      <c r="I346" s="126" t="s">
        <v>472</v>
      </c>
      <c r="J346" s="126" t="s">
        <v>182</v>
      </c>
      <c r="K346" s="127" t="s">
        <v>223</v>
      </c>
      <c r="L346" s="126" t="s">
        <v>223</v>
      </c>
      <c r="M346" s="126" t="s">
        <v>133</v>
      </c>
      <c r="N346" s="126" t="s">
        <v>134</v>
      </c>
      <c r="O346" s="126" t="s">
        <v>135</v>
      </c>
      <c r="P346" s="126" t="s">
        <v>135</v>
      </c>
      <c r="Q346" s="128"/>
      <c r="R346" s="126" t="s">
        <v>136</v>
      </c>
      <c r="S346" s="126" t="s">
        <v>137</v>
      </c>
      <c r="T346" s="128"/>
      <c r="U346" s="129" t="n">
        <v>0</v>
      </c>
      <c r="V346" s="129" t="n">
        <v>0</v>
      </c>
      <c r="W346" s="129" t="n">
        <v>0</v>
      </c>
      <c r="X346" s="129" t="n">
        <v>0</v>
      </c>
      <c r="Y346" s="129" t="n">
        <v>0</v>
      </c>
      <c r="Z346" s="129" t="n">
        <v>1</v>
      </c>
      <c r="AA346" s="129" t="n">
        <v>0</v>
      </c>
      <c r="AB346" s="129" t="n">
        <v>0</v>
      </c>
      <c r="AC346" s="129" t="n">
        <v>0</v>
      </c>
      <c r="AD346" s="129" t="n">
        <v>0</v>
      </c>
      <c r="AE346" s="129" t="n">
        <v>0</v>
      </c>
      <c r="AF346" s="129" t="n">
        <v>0</v>
      </c>
      <c r="AG346" s="129" t="n">
        <v>0</v>
      </c>
      <c r="AH346" s="129" t="n">
        <v>0</v>
      </c>
      <c r="AI346" s="129" t="n">
        <v>0</v>
      </c>
      <c r="AJ346" s="129" t="n">
        <v>0</v>
      </c>
      <c r="AK346" s="129" t="n">
        <v>0</v>
      </c>
      <c r="AL346" s="129" t="n">
        <v>0</v>
      </c>
      <c r="AM346" s="129" t="n">
        <v>0</v>
      </c>
      <c r="AN346" s="128"/>
      <c r="AO346" s="128"/>
      <c r="AP346" s="126" t="s">
        <v>138</v>
      </c>
      <c r="AQ346" s="126" t="s">
        <v>139</v>
      </c>
      <c r="AR346" s="126" t="s">
        <v>140</v>
      </c>
      <c r="AS346" s="128"/>
      <c r="AT346" s="139"/>
    </row>
    <row r="347" customFormat="false" ht="12.75" hidden="false" customHeight="true" outlineLevel="0" collapsed="false">
      <c r="B347" s="122" t="n">
        <f aca="false">B346+1</f>
        <v>344</v>
      </c>
      <c r="C347" s="123" t="s">
        <v>162</v>
      </c>
      <c r="D347" s="140" t="n">
        <v>61073</v>
      </c>
      <c r="E347" s="124" t="str">
        <f aca="false">IF(D347="","",IFERROR(VLOOKUP(D347,CCN_Library!$A$4:$B$13,2,FALSE()),"NOT IN LIBRARY"))</f>
        <v>COMPANY/BATTERY HEADQUARTERS, MARINE CORPS</v>
      </c>
      <c r="F347" s="125" t="str">
        <f aca="false">LEFT(H347,6)</f>
        <v>M28263</v>
      </c>
      <c r="G347" s="126" t="s">
        <v>128</v>
      </c>
      <c r="H347" s="126" t="s">
        <v>668</v>
      </c>
      <c r="I347" s="126" t="s">
        <v>474</v>
      </c>
      <c r="J347" s="126" t="s">
        <v>189</v>
      </c>
      <c r="K347" s="127" t="s">
        <v>475</v>
      </c>
      <c r="L347" s="126" t="s">
        <v>161</v>
      </c>
      <c r="M347" s="126" t="s">
        <v>133</v>
      </c>
      <c r="N347" s="126" t="s">
        <v>128</v>
      </c>
      <c r="O347" s="126" t="s">
        <v>135</v>
      </c>
      <c r="P347" s="126" t="s">
        <v>135</v>
      </c>
      <c r="Q347" s="128"/>
      <c r="R347" s="126" t="s">
        <v>136</v>
      </c>
      <c r="S347" s="126" t="s">
        <v>137</v>
      </c>
      <c r="T347" s="128"/>
      <c r="U347" s="129" t="n">
        <v>0</v>
      </c>
      <c r="V347" s="129" t="n">
        <v>0</v>
      </c>
      <c r="W347" s="129" t="n">
        <v>0</v>
      </c>
      <c r="X347" s="129" t="n">
        <v>0</v>
      </c>
      <c r="Y347" s="129" t="n">
        <v>0</v>
      </c>
      <c r="Z347" s="129" t="n">
        <v>0</v>
      </c>
      <c r="AA347" s="129" t="n">
        <v>1</v>
      </c>
      <c r="AB347" s="129" t="n">
        <v>0</v>
      </c>
      <c r="AC347" s="129" t="n">
        <v>0</v>
      </c>
      <c r="AD347" s="129" t="n">
        <v>0</v>
      </c>
      <c r="AE347" s="129" t="n">
        <v>0</v>
      </c>
      <c r="AF347" s="129" t="n">
        <v>0</v>
      </c>
      <c r="AG347" s="129" t="n">
        <v>0</v>
      </c>
      <c r="AH347" s="129" t="n">
        <v>0</v>
      </c>
      <c r="AI347" s="129" t="n">
        <v>0</v>
      </c>
      <c r="AJ347" s="129" t="n">
        <v>0</v>
      </c>
      <c r="AK347" s="129" t="n">
        <v>0</v>
      </c>
      <c r="AL347" s="129" t="n">
        <v>0</v>
      </c>
      <c r="AM347" s="129" t="n">
        <v>0</v>
      </c>
      <c r="AN347" s="128"/>
      <c r="AO347" s="128"/>
      <c r="AP347" s="126" t="s">
        <v>138</v>
      </c>
      <c r="AQ347" s="126" t="s">
        <v>139</v>
      </c>
      <c r="AR347" s="126" t="s">
        <v>140</v>
      </c>
      <c r="AS347" s="128"/>
      <c r="AT347" s="130"/>
    </row>
    <row r="348" customFormat="false" ht="12.75" hidden="false" customHeight="true" outlineLevel="0" collapsed="false">
      <c r="B348" s="122" t="n">
        <f aca="false">B347+1</f>
        <v>345</v>
      </c>
      <c r="C348" s="123" t="s">
        <v>168</v>
      </c>
      <c r="D348" s="140" t="n">
        <v>61073</v>
      </c>
      <c r="E348" s="124" t="str">
        <f aca="false">IF(D348="","",IFERROR(VLOOKUP(D348,CCN_Library!$A$4:$B$13,2,FALSE()),"NOT IN LIBRARY"))</f>
        <v>COMPANY/BATTERY HEADQUARTERS, MARINE CORPS</v>
      </c>
      <c r="F348" s="125" t="str">
        <f aca="false">LEFT(H348,6)</f>
        <v>M28263</v>
      </c>
      <c r="G348" s="126" t="s">
        <v>128</v>
      </c>
      <c r="H348" s="126" t="s">
        <v>669</v>
      </c>
      <c r="I348" s="126" t="s">
        <v>477</v>
      </c>
      <c r="J348" s="126" t="s">
        <v>191</v>
      </c>
      <c r="K348" s="127" t="s">
        <v>478</v>
      </c>
      <c r="L348" s="126" t="s">
        <v>161</v>
      </c>
      <c r="M348" s="126" t="s">
        <v>133</v>
      </c>
      <c r="N348" s="126" t="s">
        <v>128</v>
      </c>
      <c r="O348" s="126" t="s">
        <v>135</v>
      </c>
      <c r="P348" s="126" t="s">
        <v>135</v>
      </c>
      <c r="Q348" s="128"/>
      <c r="R348" s="126" t="s">
        <v>136</v>
      </c>
      <c r="S348" s="126" t="s">
        <v>58</v>
      </c>
      <c r="T348" s="128"/>
      <c r="U348" s="129" t="n">
        <v>0</v>
      </c>
      <c r="V348" s="129" t="n">
        <v>0</v>
      </c>
      <c r="W348" s="129" t="n">
        <v>0</v>
      </c>
      <c r="X348" s="129" t="n">
        <v>0</v>
      </c>
      <c r="Y348" s="129" t="n">
        <v>0</v>
      </c>
      <c r="Z348" s="129" t="n">
        <v>0</v>
      </c>
      <c r="AA348" s="129" t="n">
        <v>1</v>
      </c>
      <c r="AB348" s="129" t="n">
        <v>0</v>
      </c>
      <c r="AC348" s="129" t="n">
        <v>0</v>
      </c>
      <c r="AD348" s="129" t="n">
        <v>0</v>
      </c>
      <c r="AE348" s="129" t="n">
        <v>0</v>
      </c>
      <c r="AF348" s="129" t="n">
        <v>0</v>
      </c>
      <c r="AG348" s="129" t="n">
        <v>0</v>
      </c>
      <c r="AH348" s="129" t="n">
        <v>0</v>
      </c>
      <c r="AI348" s="129" t="n">
        <v>0</v>
      </c>
      <c r="AJ348" s="129" t="n">
        <v>0</v>
      </c>
      <c r="AK348" s="129" t="n">
        <v>0</v>
      </c>
      <c r="AL348" s="129" t="n">
        <v>0</v>
      </c>
      <c r="AM348" s="129" t="n">
        <v>0</v>
      </c>
      <c r="AN348" s="128"/>
      <c r="AO348" s="128"/>
      <c r="AP348" s="126" t="s">
        <v>138</v>
      </c>
      <c r="AQ348" s="126" t="s">
        <v>139</v>
      </c>
      <c r="AR348" s="126" t="s">
        <v>140</v>
      </c>
      <c r="AS348" s="128"/>
      <c r="AT348" s="130"/>
    </row>
    <row r="349" customFormat="false" ht="12.75" hidden="false" customHeight="true" outlineLevel="0" collapsed="false">
      <c r="B349" s="122" t="n">
        <f aca="false">B348+1</f>
        <v>346</v>
      </c>
      <c r="C349" s="123" t="s">
        <v>168</v>
      </c>
      <c r="D349" s="140" t="n">
        <v>61073</v>
      </c>
      <c r="E349" s="124" t="str">
        <f aca="false">IF(D349="","",IFERROR(VLOOKUP(D349,CCN_Library!$A$4:$B$13,2,FALSE()),"NOT IN LIBRARY"))</f>
        <v>COMPANY/BATTERY HEADQUARTERS, MARINE CORPS</v>
      </c>
      <c r="F349" s="125" t="str">
        <f aca="false">LEFT(H349,6)</f>
        <v>M28263</v>
      </c>
      <c r="G349" s="126" t="s">
        <v>128</v>
      </c>
      <c r="H349" s="126" t="s">
        <v>670</v>
      </c>
      <c r="I349" s="126" t="s">
        <v>477</v>
      </c>
      <c r="J349" s="126" t="s">
        <v>176</v>
      </c>
      <c r="K349" s="127" t="s">
        <v>478</v>
      </c>
      <c r="L349" s="126" t="s">
        <v>161</v>
      </c>
      <c r="M349" s="126" t="s">
        <v>133</v>
      </c>
      <c r="N349" s="126" t="s">
        <v>128</v>
      </c>
      <c r="O349" s="126" t="s">
        <v>135</v>
      </c>
      <c r="P349" s="126" t="s">
        <v>135</v>
      </c>
      <c r="Q349" s="128"/>
      <c r="R349" s="126" t="s">
        <v>136</v>
      </c>
      <c r="S349" s="126" t="s">
        <v>58</v>
      </c>
      <c r="T349" s="128"/>
      <c r="U349" s="129" t="n">
        <v>0</v>
      </c>
      <c r="V349" s="129" t="n">
        <v>0</v>
      </c>
      <c r="W349" s="129" t="n">
        <v>0</v>
      </c>
      <c r="X349" s="129" t="n">
        <v>0</v>
      </c>
      <c r="Y349" s="129" t="n">
        <v>0</v>
      </c>
      <c r="Z349" s="129" t="n">
        <v>0</v>
      </c>
      <c r="AA349" s="129" t="n">
        <v>1</v>
      </c>
      <c r="AB349" s="129" t="n">
        <v>0</v>
      </c>
      <c r="AC349" s="129" t="n">
        <v>0</v>
      </c>
      <c r="AD349" s="129" t="n">
        <v>0</v>
      </c>
      <c r="AE349" s="129" t="n">
        <v>0</v>
      </c>
      <c r="AF349" s="129" t="n">
        <v>0</v>
      </c>
      <c r="AG349" s="129" t="n">
        <v>0</v>
      </c>
      <c r="AH349" s="129" t="n">
        <v>0</v>
      </c>
      <c r="AI349" s="129" t="n">
        <v>0</v>
      </c>
      <c r="AJ349" s="129" t="n">
        <v>0</v>
      </c>
      <c r="AK349" s="129" t="n">
        <v>0</v>
      </c>
      <c r="AL349" s="129" t="n">
        <v>0</v>
      </c>
      <c r="AM349" s="129" t="n">
        <v>0</v>
      </c>
      <c r="AN349" s="128"/>
      <c r="AO349" s="128"/>
      <c r="AP349" s="126" t="s">
        <v>138</v>
      </c>
      <c r="AQ349" s="126" t="s">
        <v>139</v>
      </c>
      <c r="AR349" s="126" t="s">
        <v>140</v>
      </c>
      <c r="AS349" s="128"/>
      <c r="AT349" s="130"/>
    </row>
    <row r="350" customFormat="false" ht="12.75" hidden="false" customHeight="true" outlineLevel="0" collapsed="false">
      <c r="B350" s="122" t="n">
        <f aca="false">B349+1</f>
        <v>347</v>
      </c>
      <c r="C350" s="123" t="s">
        <v>168</v>
      </c>
      <c r="D350" s="140" t="n">
        <v>61073</v>
      </c>
      <c r="E350" s="124" t="str">
        <f aca="false">IF(D350="","",IFERROR(VLOOKUP(D350,CCN_Library!$A$4:$B$13,2,FALSE()),"NOT IN LIBRARY"))</f>
        <v>COMPANY/BATTERY HEADQUARTERS, MARINE CORPS</v>
      </c>
      <c r="F350" s="125" t="str">
        <f aca="false">LEFT(H350,6)</f>
        <v>M28263</v>
      </c>
      <c r="G350" s="126" t="s">
        <v>128</v>
      </c>
      <c r="H350" s="126" t="s">
        <v>671</v>
      </c>
      <c r="I350" s="126" t="s">
        <v>159</v>
      </c>
      <c r="J350" s="126" t="s">
        <v>176</v>
      </c>
      <c r="K350" s="127" t="s">
        <v>161</v>
      </c>
      <c r="L350" s="126" t="s">
        <v>161</v>
      </c>
      <c r="M350" s="126" t="s">
        <v>133</v>
      </c>
      <c r="N350" s="126" t="s">
        <v>128</v>
      </c>
      <c r="O350" s="126" t="s">
        <v>135</v>
      </c>
      <c r="P350" s="126" t="s">
        <v>135</v>
      </c>
      <c r="Q350" s="128"/>
      <c r="R350" s="126" t="s">
        <v>136</v>
      </c>
      <c r="S350" s="126" t="s">
        <v>58</v>
      </c>
      <c r="T350" s="128"/>
      <c r="U350" s="129" t="n">
        <v>0</v>
      </c>
      <c r="V350" s="129" t="n">
        <v>0</v>
      </c>
      <c r="W350" s="129" t="n">
        <v>0</v>
      </c>
      <c r="X350" s="129" t="n">
        <v>0</v>
      </c>
      <c r="Y350" s="129" t="n">
        <v>0</v>
      </c>
      <c r="Z350" s="129" t="n">
        <v>0</v>
      </c>
      <c r="AA350" s="129" t="n">
        <v>1</v>
      </c>
      <c r="AB350" s="129" t="n">
        <v>0</v>
      </c>
      <c r="AC350" s="129" t="n">
        <v>0</v>
      </c>
      <c r="AD350" s="129" t="n">
        <v>0</v>
      </c>
      <c r="AE350" s="129" t="n">
        <v>0</v>
      </c>
      <c r="AF350" s="129" t="n">
        <v>0</v>
      </c>
      <c r="AG350" s="129" t="n">
        <v>0</v>
      </c>
      <c r="AH350" s="129" t="n">
        <v>0</v>
      </c>
      <c r="AI350" s="129" t="n">
        <v>0</v>
      </c>
      <c r="AJ350" s="129" t="n">
        <v>0</v>
      </c>
      <c r="AK350" s="129" t="n">
        <v>0</v>
      </c>
      <c r="AL350" s="129" t="n">
        <v>0</v>
      </c>
      <c r="AM350" s="129" t="n">
        <v>0</v>
      </c>
      <c r="AN350" s="126" t="s">
        <v>384</v>
      </c>
      <c r="AO350" s="126" t="s">
        <v>610</v>
      </c>
      <c r="AP350" s="126" t="s">
        <v>138</v>
      </c>
      <c r="AQ350" s="126" t="s">
        <v>139</v>
      </c>
      <c r="AR350" s="126" t="s">
        <v>386</v>
      </c>
      <c r="AS350" s="128"/>
      <c r="AT350" s="130"/>
    </row>
    <row r="351" customFormat="false" ht="12.75" hidden="false" customHeight="true" outlineLevel="0" collapsed="false">
      <c r="B351" s="131" t="n">
        <f aca="false">B350+1</f>
        <v>348</v>
      </c>
      <c r="C351" s="132" t="s">
        <v>162</v>
      </c>
      <c r="D351" s="133" t="n">
        <v>61073</v>
      </c>
      <c r="E351" s="133"/>
      <c r="F351" s="134" t="str">
        <f aca="false">LEFT(H351,6)</f>
        <v>M28263</v>
      </c>
      <c r="G351" s="135" t="s">
        <v>177</v>
      </c>
      <c r="H351" s="135" t="s">
        <v>672</v>
      </c>
      <c r="I351" s="135" t="s">
        <v>482</v>
      </c>
      <c r="J351" s="136"/>
      <c r="K351" s="136"/>
      <c r="L351" s="136"/>
      <c r="M351" s="136"/>
      <c r="N351" s="136"/>
      <c r="O351" s="136"/>
      <c r="P351" s="136"/>
      <c r="Q351" s="136"/>
      <c r="R351" s="136"/>
      <c r="S351" s="136"/>
      <c r="T351" s="136"/>
      <c r="U351" s="137" t="n">
        <v>0</v>
      </c>
      <c r="V351" s="137" t="n">
        <v>0</v>
      </c>
      <c r="W351" s="137" t="n">
        <v>0</v>
      </c>
      <c r="X351" s="137" t="n">
        <v>0</v>
      </c>
      <c r="Y351" s="137" t="n">
        <v>0</v>
      </c>
      <c r="Z351" s="137" t="n">
        <v>0</v>
      </c>
      <c r="AA351" s="137" t="n">
        <v>0</v>
      </c>
      <c r="AB351" s="137" t="n">
        <v>0</v>
      </c>
      <c r="AC351" s="137" t="n">
        <v>0</v>
      </c>
      <c r="AD351" s="137" t="n">
        <v>0</v>
      </c>
      <c r="AE351" s="137" t="n">
        <v>0</v>
      </c>
      <c r="AF351" s="137" t="n">
        <v>0</v>
      </c>
      <c r="AG351" s="137" t="n">
        <v>0</v>
      </c>
      <c r="AH351" s="137" t="n">
        <v>0</v>
      </c>
      <c r="AI351" s="137" t="n">
        <v>0</v>
      </c>
      <c r="AJ351" s="137" t="n">
        <v>0</v>
      </c>
      <c r="AK351" s="137" t="n">
        <v>0</v>
      </c>
      <c r="AL351" s="137" t="n">
        <v>0</v>
      </c>
      <c r="AM351" s="137" t="n">
        <v>0</v>
      </c>
      <c r="AN351" s="136"/>
      <c r="AO351" s="136"/>
      <c r="AP351" s="136"/>
      <c r="AQ351" s="136"/>
      <c r="AR351" s="136"/>
      <c r="AS351" s="136"/>
      <c r="AT351" s="138"/>
    </row>
    <row r="352" customFormat="false" ht="12.75" hidden="false" customHeight="true" outlineLevel="0" collapsed="false">
      <c r="B352" s="131" t="n">
        <f aca="false">B351+1</f>
        <v>349</v>
      </c>
      <c r="C352" s="132" t="s">
        <v>162</v>
      </c>
      <c r="D352" s="133" t="n">
        <v>61073</v>
      </c>
      <c r="E352" s="133"/>
      <c r="F352" s="134" t="str">
        <f aca="false">LEFT(H352,6)</f>
        <v>M28263</v>
      </c>
      <c r="G352" s="135" t="s">
        <v>177</v>
      </c>
      <c r="H352" s="135" t="s">
        <v>673</v>
      </c>
      <c r="I352" s="135" t="s">
        <v>484</v>
      </c>
      <c r="J352" s="136"/>
      <c r="K352" s="136"/>
      <c r="L352" s="136"/>
      <c r="M352" s="136"/>
      <c r="N352" s="136"/>
      <c r="O352" s="136"/>
      <c r="P352" s="136"/>
      <c r="Q352" s="136"/>
      <c r="R352" s="136"/>
      <c r="S352" s="136"/>
      <c r="T352" s="136"/>
      <c r="U352" s="137" t="n">
        <v>0</v>
      </c>
      <c r="V352" s="137" t="n">
        <v>0</v>
      </c>
      <c r="W352" s="137" t="n">
        <v>0</v>
      </c>
      <c r="X352" s="137" t="n">
        <v>0</v>
      </c>
      <c r="Y352" s="137" t="n">
        <v>0</v>
      </c>
      <c r="Z352" s="137" t="n">
        <v>0</v>
      </c>
      <c r="AA352" s="137" t="n">
        <v>0</v>
      </c>
      <c r="AB352" s="137" t="n">
        <v>0</v>
      </c>
      <c r="AC352" s="137" t="n">
        <v>0</v>
      </c>
      <c r="AD352" s="137" t="n">
        <v>0</v>
      </c>
      <c r="AE352" s="137" t="n">
        <v>0</v>
      </c>
      <c r="AF352" s="137" t="n">
        <v>0</v>
      </c>
      <c r="AG352" s="137" t="n">
        <v>0</v>
      </c>
      <c r="AH352" s="137" t="n">
        <v>0</v>
      </c>
      <c r="AI352" s="137" t="n">
        <v>0</v>
      </c>
      <c r="AJ352" s="137" t="n">
        <v>0</v>
      </c>
      <c r="AK352" s="137" t="n">
        <v>0</v>
      </c>
      <c r="AL352" s="137" t="n">
        <v>0</v>
      </c>
      <c r="AM352" s="137" t="n">
        <v>0</v>
      </c>
      <c r="AN352" s="136"/>
      <c r="AO352" s="136"/>
      <c r="AP352" s="136"/>
      <c r="AQ352" s="136"/>
      <c r="AR352" s="136"/>
      <c r="AS352" s="136"/>
      <c r="AT352" s="138"/>
    </row>
    <row r="353" customFormat="false" ht="12.75" hidden="false" customHeight="true" outlineLevel="0" collapsed="false">
      <c r="B353" s="122" t="n">
        <f aca="false">B352+1</f>
        <v>350</v>
      </c>
      <c r="C353" s="123" t="s">
        <v>162</v>
      </c>
      <c r="D353" s="140" t="n">
        <v>61073</v>
      </c>
      <c r="E353" s="124" t="str">
        <f aca="false">IF(D353="","",IFERROR(VLOOKUP(D353,CCN_Library!$A$4:$B$13,2,FALSE()),"NOT IN LIBRARY"))</f>
        <v>COMPANY/BATTERY HEADQUARTERS, MARINE CORPS</v>
      </c>
      <c r="F353" s="125" t="str">
        <f aca="false">LEFT(H353,6)</f>
        <v>M28263</v>
      </c>
      <c r="G353" s="126" t="s">
        <v>128</v>
      </c>
      <c r="H353" s="126" t="s">
        <v>674</v>
      </c>
      <c r="I353" s="126" t="s">
        <v>486</v>
      </c>
      <c r="J353" s="126" t="s">
        <v>211</v>
      </c>
      <c r="K353" s="127" t="s">
        <v>151</v>
      </c>
      <c r="L353" s="126" t="s">
        <v>151</v>
      </c>
      <c r="M353" s="126" t="s">
        <v>133</v>
      </c>
      <c r="N353" s="126" t="s">
        <v>134</v>
      </c>
      <c r="O353" s="126" t="s">
        <v>135</v>
      </c>
      <c r="P353" s="126" t="s">
        <v>135</v>
      </c>
      <c r="Q353" s="128"/>
      <c r="R353" s="126" t="s">
        <v>136</v>
      </c>
      <c r="S353" s="126" t="s">
        <v>137</v>
      </c>
      <c r="T353" s="128"/>
      <c r="U353" s="129" t="n">
        <v>0</v>
      </c>
      <c r="V353" s="129" t="n">
        <v>0</v>
      </c>
      <c r="W353" s="129" t="n">
        <v>0</v>
      </c>
      <c r="X353" s="129" t="n">
        <v>0</v>
      </c>
      <c r="Y353" s="129" t="n">
        <v>0</v>
      </c>
      <c r="Z353" s="129" t="n">
        <v>1</v>
      </c>
      <c r="AA353" s="129" t="n">
        <v>0</v>
      </c>
      <c r="AB353" s="129" t="n">
        <v>0</v>
      </c>
      <c r="AC353" s="129" t="n">
        <v>0</v>
      </c>
      <c r="AD353" s="129" t="n">
        <v>0</v>
      </c>
      <c r="AE353" s="129" t="n">
        <v>0</v>
      </c>
      <c r="AF353" s="129" t="n">
        <v>0</v>
      </c>
      <c r="AG353" s="129" t="n">
        <v>0</v>
      </c>
      <c r="AH353" s="129" t="n">
        <v>0</v>
      </c>
      <c r="AI353" s="129" t="n">
        <v>0</v>
      </c>
      <c r="AJ353" s="129" t="n">
        <v>0</v>
      </c>
      <c r="AK353" s="129" t="n">
        <v>0</v>
      </c>
      <c r="AL353" s="129" t="n">
        <v>0</v>
      </c>
      <c r="AM353" s="129" t="n">
        <v>0</v>
      </c>
      <c r="AN353" s="126" t="s">
        <v>384</v>
      </c>
      <c r="AO353" s="126" t="s">
        <v>385</v>
      </c>
      <c r="AP353" s="126" t="s">
        <v>138</v>
      </c>
      <c r="AQ353" s="126" t="s">
        <v>139</v>
      </c>
      <c r="AR353" s="126" t="s">
        <v>386</v>
      </c>
      <c r="AS353" s="128"/>
      <c r="AT353" s="139"/>
    </row>
    <row r="354" customFormat="false" ht="12.75" hidden="false" customHeight="true" outlineLevel="0" collapsed="false">
      <c r="B354" s="122" t="n">
        <f aca="false">B353+1</f>
        <v>351</v>
      </c>
      <c r="C354" s="123" t="s">
        <v>162</v>
      </c>
      <c r="D354" s="140" t="n">
        <v>61073</v>
      </c>
      <c r="E354" s="124" t="str">
        <f aca="false">IF(D354="","",IFERROR(VLOOKUP(D354,CCN_Library!$A$4:$B$13,2,FALSE()),"NOT IN LIBRARY"))</f>
        <v>COMPANY/BATTERY HEADQUARTERS, MARINE CORPS</v>
      </c>
      <c r="F354" s="125" t="str">
        <f aca="false">LEFT(H354,6)</f>
        <v>M28263</v>
      </c>
      <c r="G354" s="126" t="s">
        <v>128</v>
      </c>
      <c r="H354" s="126" t="s">
        <v>675</v>
      </c>
      <c r="I354" s="126" t="s">
        <v>486</v>
      </c>
      <c r="J354" s="126" t="s">
        <v>211</v>
      </c>
      <c r="K354" s="127" t="s">
        <v>151</v>
      </c>
      <c r="L354" s="126" t="s">
        <v>151</v>
      </c>
      <c r="M354" s="126" t="s">
        <v>133</v>
      </c>
      <c r="N354" s="126" t="s">
        <v>134</v>
      </c>
      <c r="O354" s="126" t="s">
        <v>135</v>
      </c>
      <c r="P354" s="126" t="s">
        <v>135</v>
      </c>
      <c r="Q354" s="128"/>
      <c r="R354" s="126" t="s">
        <v>136</v>
      </c>
      <c r="S354" s="126" t="s">
        <v>137</v>
      </c>
      <c r="T354" s="128"/>
      <c r="U354" s="129" t="n">
        <v>0</v>
      </c>
      <c r="V354" s="129" t="n">
        <v>0</v>
      </c>
      <c r="W354" s="129" t="n">
        <v>0</v>
      </c>
      <c r="X354" s="129" t="n">
        <v>0</v>
      </c>
      <c r="Y354" s="129" t="n">
        <v>0</v>
      </c>
      <c r="Z354" s="129" t="n">
        <v>1</v>
      </c>
      <c r="AA354" s="129" t="n">
        <v>0</v>
      </c>
      <c r="AB354" s="129" t="n">
        <v>0</v>
      </c>
      <c r="AC354" s="129" t="n">
        <v>0</v>
      </c>
      <c r="AD354" s="129" t="n">
        <v>0</v>
      </c>
      <c r="AE354" s="129" t="n">
        <v>0</v>
      </c>
      <c r="AF354" s="129" t="n">
        <v>0</v>
      </c>
      <c r="AG354" s="129" t="n">
        <v>0</v>
      </c>
      <c r="AH354" s="129" t="n">
        <v>0</v>
      </c>
      <c r="AI354" s="129" t="n">
        <v>0</v>
      </c>
      <c r="AJ354" s="129" t="n">
        <v>0</v>
      </c>
      <c r="AK354" s="129" t="n">
        <v>0</v>
      </c>
      <c r="AL354" s="129" t="n">
        <v>0</v>
      </c>
      <c r="AM354" s="129" t="n">
        <v>0</v>
      </c>
      <c r="AN354" s="126" t="s">
        <v>384</v>
      </c>
      <c r="AO354" s="126" t="s">
        <v>385</v>
      </c>
      <c r="AP354" s="126" t="s">
        <v>138</v>
      </c>
      <c r="AQ354" s="126" t="s">
        <v>139</v>
      </c>
      <c r="AR354" s="126" t="s">
        <v>386</v>
      </c>
      <c r="AS354" s="128"/>
      <c r="AT354" s="130"/>
    </row>
    <row r="355" customFormat="false" ht="12.75" hidden="false" customHeight="true" outlineLevel="0" collapsed="false">
      <c r="B355" s="122" t="n">
        <f aca="false">B354+1</f>
        <v>352</v>
      </c>
      <c r="C355" s="123" t="s">
        <v>162</v>
      </c>
      <c r="D355" s="140" t="n">
        <v>61073</v>
      </c>
      <c r="E355" s="124" t="str">
        <f aca="false">IF(D355="","",IFERROR(VLOOKUP(D355,CCN_Library!$A$4:$B$13,2,FALSE()),"NOT IN LIBRARY"))</f>
        <v>COMPANY/BATTERY HEADQUARTERS, MARINE CORPS</v>
      </c>
      <c r="F355" s="125" t="str">
        <f aca="false">LEFT(H355,6)</f>
        <v>M28263</v>
      </c>
      <c r="G355" s="126" t="s">
        <v>128</v>
      </c>
      <c r="H355" s="126" t="s">
        <v>676</v>
      </c>
      <c r="I355" s="126" t="s">
        <v>489</v>
      </c>
      <c r="J355" s="126" t="s">
        <v>182</v>
      </c>
      <c r="K355" s="127" t="s">
        <v>132</v>
      </c>
      <c r="L355" s="126" t="s">
        <v>132</v>
      </c>
      <c r="M355" s="126" t="s">
        <v>133</v>
      </c>
      <c r="N355" s="126" t="s">
        <v>134</v>
      </c>
      <c r="O355" s="126" t="s">
        <v>135</v>
      </c>
      <c r="P355" s="126" t="s">
        <v>135</v>
      </c>
      <c r="Q355" s="128"/>
      <c r="R355" s="126" t="s">
        <v>136</v>
      </c>
      <c r="S355" s="126" t="s">
        <v>137</v>
      </c>
      <c r="T355" s="128"/>
      <c r="U355" s="129" t="n">
        <v>0</v>
      </c>
      <c r="V355" s="129" t="n">
        <v>0</v>
      </c>
      <c r="W355" s="129" t="n">
        <v>0</v>
      </c>
      <c r="X355" s="129" t="n">
        <v>0</v>
      </c>
      <c r="Y355" s="129" t="n">
        <v>0</v>
      </c>
      <c r="Z355" s="129" t="n">
        <v>1</v>
      </c>
      <c r="AA355" s="129" t="n">
        <v>0</v>
      </c>
      <c r="AB355" s="129" t="n">
        <v>0</v>
      </c>
      <c r="AC355" s="129" t="n">
        <v>0</v>
      </c>
      <c r="AD355" s="129" t="n">
        <v>0</v>
      </c>
      <c r="AE355" s="129" t="n">
        <v>0</v>
      </c>
      <c r="AF355" s="129" t="n">
        <v>0</v>
      </c>
      <c r="AG355" s="129" t="n">
        <v>0</v>
      </c>
      <c r="AH355" s="129" t="n">
        <v>0</v>
      </c>
      <c r="AI355" s="129" t="n">
        <v>0</v>
      </c>
      <c r="AJ355" s="129" t="n">
        <v>0</v>
      </c>
      <c r="AK355" s="129" t="n">
        <v>0</v>
      </c>
      <c r="AL355" s="129" t="n">
        <v>0</v>
      </c>
      <c r="AM355" s="129" t="n">
        <v>0</v>
      </c>
      <c r="AN355" s="128"/>
      <c r="AO355" s="128"/>
      <c r="AP355" s="126" t="s">
        <v>138</v>
      </c>
      <c r="AQ355" s="126" t="s">
        <v>139</v>
      </c>
      <c r="AR355" s="126" t="s">
        <v>140</v>
      </c>
      <c r="AS355" s="128"/>
      <c r="AT355" s="130"/>
    </row>
    <row r="356" customFormat="false" ht="12.75" hidden="false" customHeight="true" outlineLevel="0" collapsed="false">
      <c r="B356" s="122" t="n">
        <f aca="false">B355+1</f>
        <v>353</v>
      </c>
      <c r="C356" s="123" t="s">
        <v>162</v>
      </c>
      <c r="D356" s="140" t="n">
        <v>61073</v>
      </c>
      <c r="E356" s="124" t="str">
        <f aca="false">IF(D356="","",IFERROR(VLOOKUP(D356,CCN_Library!$A$4:$B$13,2,FALSE()),"NOT IN LIBRARY"))</f>
        <v>COMPANY/BATTERY HEADQUARTERS, MARINE CORPS</v>
      </c>
      <c r="F356" s="125" t="str">
        <f aca="false">LEFT(H356,6)</f>
        <v>M28263</v>
      </c>
      <c r="G356" s="126" t="s">
        <v>128</v>
      </c>
      <c r="H356" s="126" t="s">
        <v>677</v>
      </c>
      <c r="I356" s="126" t="s">
        <v>474</v>
      </c>
      <c r="J356" s="126" t="s">
        <v>187</v>
      </c>
      <c r="K356" s="127" t="s">
        <v>475</v>
      </c>
      <c r="L356" s="126" t="s">
        <v>161</v>
      </c>
      <c r="M356" s="126" t="s">
        <v>133</v>
      </c>
      <c r="N356" s="126" t="s">
        <v>128</v>
      </c>
      <c r="O356" s="126" t="s">
        <v>135</v>
      </c>
      <c r="P356" s="126" t="s">
        <v>135</v>
      </c>
      <c r="Q356" s="128"/>
      <c r="R356" s="126" t="s">
        <v>136</v>
      </c>
      <c r="S356" s="126" t="s">
        <v>137</v>
      </c>
      <c r="T356" s="128"/>
      <c r="U356" s="129" t="n">
        <v>0</v>
      </c>
      <c r="V356" s="129" t="n">
        <v>0</v>
      </c>
      <c r="W356" s="129" t="n">
        <v>0</v>
      </c>
      <c r="X356" s="129" t="n">
        <v>0</v>
      </c>
      <c r="Y356" s="129" t="n">
        <v>0</v>
      </c>
      <c r="Z356" s="129" t="n">
        <v>0</v>
      </c>
      <c r="AA356" s="129" t="n">
        <v>1</v>
      </c>
      <c r="AB356" s="129" t="n">
        <v>0</v>
      </c>
      <c r="AC356" s="129" t="n">
        <v>0</v>
      </c>
      <c r="AD356" s="129" t="n">
        <v>0</v>
      </c>
      <c r="AE356" s="129" t="n">
        <v>0</v>
      </c>
      <c r="AF356" s="129" t="n">
        <v>0</v>
      </c>
      <c r="AG356" s="129" t="n">
        <v>0</v>
      </c>
      <c r="AH356" s="129" t="n">
        <v>0</v>
      </c>
      <c r="AI356" s="129" t="n">
        <v>0</v>
      </c>
      <c r="AJ356" s="129" t="n">
        <v>0</v>
      </c>
      <c r="AK356" s="129" t="n">
        <v>0</v>
      </c>
      <c r="AL356" s="129" t="n">
        <v>0</v>
      </c>
      <c r="AM356" s="129" t="n">
        <v>0</v>
      </c>
      <c r="AN356" s="126" t="s">
        <v>384</v>
      </c>
      <c r="AO356" s="126" t="s">
        <v>385</v>
      </c>
      <c r="AP356" s="126" t="s">
        <v>138</v>
      </c>
      <c r="AQ356" s="126" t="s">
        <v>139</v>
      </c>
      <c r="AR356" s="126" t="s">
        <v>386</v>
      </c>
      <c r="AS356" s="128"/>
      <c r="AT356" s="130"/>
    </row>
    <row r="357" customFormat="false" ht="12.75" hidden="false" customHeight="true" outlineLevel="0" collapsed="false">
      <c r="B357" s="122" t="n">
        <f aca="false">B356+1</f>
        <v>354</v>
      </c>
      <c r="C357" s="123" t="s">
        <v>168</v>
      </c>
      <c r="D357" s="140" t="n">
        <v>61073</v>
      </c>
      <c r="E357" s="124" t="str">
        <f aca="false">IF(D357="","",IFERROR(VLOOKUP(D357,CCN_Library!$A$4:$B$13,2,FALSE()),"NOT IN LIBRARY"))</f>
        <v>COMPANY/BATTERY HEADQUARTERS, MARINE CORPS</v>
      </c>
      <c r="F357" s="125" t="str">
        <f aca="false">LEFT(H357,6)</f>
        <v>M28263</v>
      </c>
      <c r="G357" s="126" t="s">
        <v>128</v>
      </c>
      <c r="H357" s="126" t="s">
        <v>678</v>
      </c>
      <c r="I357" s="126" t="s">
        <v>159</v>
      </c>
      <c r="J357" s="126" t="s">
        <v>191</v>
      </c>
      <c r="K357" s="127" t="s">
        <v>161</v>
      </c>
      <c r="L357" s="126" t="s">
        <v>161</v>
      </c>
      <c r="M357" s="126" t="s">
        <v>133</v>
      </c>
      <c r="N357" s="126" t="s">
        <v>128</v>
      </c>
      <c r="O357" s="126" t="s">
        <v>135</v>
      </c>
      <c r="P357" s="126" t="s">
        <v>135</v>
      </c>
      <c r="Q357" s="128"/>
      <c r="R357" s="126" t="s">
        <v>136</v>
      </c>
      <c r="S357" s="126" t="s">
        <v>58</v>
      </c>
      <c r="T357" s="128"/>
      <c r="U357" s="129" t="n">
        <v>0</v>
      </c>
      <c r="V357" s="129" t="n">
        <v>0</v>
      </c>
      <c r="W357" s="129" t="n">
        <v>0</v>
      </c>
      <c r="X357" s="129" t="n">
        <v>0</v>
      </c>
      <c r="Y357" s="129" t="n">
        <v>0</v>
      </c>
      <c r="Z357" s="129" t="n">
        <v>0</v>
      </c>
      <c r="AA357" s="129" t="n">
        <v>1</v>
      </c>
      <c r="AB357" s="129" t="n">
        <v>0</v>
      </c>
      <c r="AC357" s="129" t="n">
        <v>0</v>
      </c>
      <c r="AD357" s="129" t="n">
        <v>0</v>
      </c>
      <c r="AE357" s="129" t="n">
        <v>0</v>
      </c>
      <c r="AF357" s="129" t="n">
        <v>0</v>
      </c>
      <c r="AG357" s="129" t="n">
        <v>0</v>
      </c>
      <c r="AH357" s="129" t="n">
        <v>0</v>
      </c>
      <c r="AI357" s="129" t="n">
        <v>0</v>
      </c>
      <c r="AJ357" s="129" t="n">
        <v>0</v>
      </c>
      <c r="AK357" s="129" t="n">
        <v>0</v>
      </c>
      <c r="AL357" s="129" t="n">
        <v>0</v>
      </c>
      <c r="AM357" s="129" t="n">
        <v>0</v>
      </c>
      <c r="AN357" s="126" t="s">
        <v>384</v>
      </c>
      <c r="AO357" s="126" t="s">
        <v>610</v>
      </c>
      <c r="AP357" s="126" t="s">
        <v>138</v>
      </c>
      <c r="AQ357" s="126" t="s">
        <v>139</v>
      </c>
      <c r="AR357" s="126" t="s">
        <v>386</v>
      </c>
      <c r="AS357" s="128"/>
      <c r="AT357" s="130"/>
    </row>
    <row r="358" customFormat="false" ht="12.75" hidden="false" customHeight="true" outlineLevel="0" collapsed="false">
      <c r="B358" s="122" t="n">
        <f aca="false">B357+1</f>
        <v>355</v>
      </c>
      <c r="C358" s="123" t="s">
        <v>168</v>
      </c>
      <c r="D358" s="140" t="n">
        <v>61073</v>
      </c>
      <c r="E358" s="124" t="str">
        <f aca="false">IF(D358="","",IFERROR(VLOOKUP(D358,CCN_Library!$A$4:$B$13,2,FALSE()),"NOT IN LIBRARY"))</f>
        <v>COMPANY/BATTERY HEADQUARTERS, MARINE CORPS</v>
      </c>
      <c r="F358" s="125" t="str">
        <f aca="false">LEFT(H358,6)</f>
        <v>M28263</v>
      </c>
      <c r="G358" s="126" t="s">
        <v>128</v>
      </c>
      <c r="H358" s="126" t="s">
        <v>679</v>
      </c>
      <c r="I358" s="126" t="s">
        <v>159</v>
      </c>
      <c r="J358" s="126" t="s">
        <v>191</v>
      </c>
      <c r="K358" s="127" t="s">
        <v>161</v>
      </c>
      <c r="L358" s="126" t="s">
        <v>161</v>
      </c>
      <c r="M358" s="126" t="s">
        <v>133</v>
      </c>
      <c r="N358" s="126" t="s">
        <v>128</v>
      </c>
      <c r="O358" s="126" t="s">
        <v>135</v>
      </c>
      <c r="P358" s="126" t="s">
        <v>135</v>
      </c>
      <c r="Q358" s="128"/>
      <c r="R358" s="126" t="s">
        <v>136</v>
      </c>
      <c r="S358" s="126" t="s">
        <v>58</v>
      </c>
      <c r="T358" s="128"/>
      <c r="U358" s="129" t="n">
        <v>0</v>
      </c>
      <c r="V358" s="129" t="n">
        <v>0</v>
      </c>
      <c r="W358" s="129" t="n">
        <v>0</v>
      </c>
      <c r="X358" s="129" t="n">
        <v>0</v>
      </c>
      <c r="Y358" s="129" t="n">
        <v>0</v>
      </c>
      <c r="Z358" s="129" t="n">
        <v>0</v>
      </c>
      <c r="AA358" s="129" t="n">
        <v>1</v>
      </c>
      <c r="AB358" s="129" t="n">
        <v>0</v>
      </c>
      <c r="AC358" s="129" t="n">
        <v>0</v>
      </c>
      <c r="AD358" s="129" t="n">
        <v>0</v>
      </c>
      <c r="AE358" s="129" t="n">
        <v>0</v>
      </c>
      <c r="AF358" s="129" t="n">
        <v>0</v>
      </c>
      <c r="AG358" s="129" t="n">
        <v>0</v>
      </c>
      <c r="AH358" s="129" t="n">
        <v>0</v>
      </c>
      <c r="AI358" s="129" t="n">
        <v>0</v>
      </c>
      <c r="AJ358" s="129" t="n">
        <v>0</v>
      </c>
      <c r="AK358" s="129" t="n">
        <v>0</v>
      </c>
      <c r="AL358" s="129" t="n">
        <v>0</v>
      </c>
      <c r="AM358" s="129" t="n">
        <v>0</v>
      </c>
      <c r="AN358" s="128"/>
      <c r="AO358" s="128"/>
      <c r="AP358" s="126" t="s">
        <v>138</v>
      </c>
      <c r="AQ358" s="126" t="s">
        <v>139</v>
      </c>
      <c r="AR358" s="126" t="s">
        <v>140</v>
      </c>
      <c r="AS358" s="128"/>
      <c r="AT358" s="130"/>
    </row>
    <row r="359" customFormat="false" ht="12.75" hidden="false" customHeight="true" outlineLevel="0" collapsed="false">
      <c r="B359" s="122" t="n">
        <f aca="false">B358+1</f>
        <v>356</v>
      </c>
      <c r="C359" s="123" t="s">
        <v>168</v>
      </c>
      <c r="D359" s="140" t="n">
        <v>61073</v>
      </c>
      <c r="E359" s="124" t="str">
        <f aca="false">IF(D359="","",IFERROR(VLOOKUP(D359,CCN_Library!$A$4:$B$13,2,FALSE()),"NOT IN LIBRARY"))</f>
        <v>COMPANY/BATTERY HEADQUARTERS, MARINE CORPS</v>
      </c>
      <c r="F359" s="125" t="str">
        <f aca="false">LEFT(H359,6)</f>
        <v>M28263</v>
      </c>
      <c r="G359" s="126" t="s">
        <v>128</v>
      </c>
      <c r="H359" s="126" t="s">
        <v>680</v>
      </c>
      <c r="I359" s="126" t="s">
        <v>159</v>
      </c>
      <c r="J359" s="126" t="s">
        <v>191</v>
      </c>
      <c r="K359" s="127" t="s">
        <v>161</v>
      </c>
      <c r="L359" s="126" t="s">
        <v>161</v>
      </c>
      <c r="M359" s="126" t="s">
        <v>133</v>
      </c>
      <c r="N359" s="126" t="s">
        <v>128</v>
      </c>
      <c r="O359" s="126" t="s">
        <v>135</v>
      </c>
      <c r="P359" s="126" t="s">
        <v>135</v>
      </c>
      <c r="Q359" s="128"/>
      <c r="R359" s="126" t="s">
        <v>136</v>
      </c>
      <c r="S359" s="126" t="s">
        <v>58</v>
      </c>
      <c r="T359" s="128"/>
      <c r="U359" s="129" t="n">
        <v>0</v>
      </c>
      <c r="V359" s="129" t="n">
        <v>0</v>
      </c>
      <c r="W359" s="129" t="n">
        <v>0</v>
      </c>
      <c r="X359" s="129" t="n">
        <v>0</v>
      </c>
      <c r="Y359" s="129" t="n">
        <v>0</v>
      </c>
      <c r="Z359" s="129" t="n">
        <v>0</v>
      </c>
      <c r="AA359" s="129" t="n">
        <v>1</v>
      </c>
      <c r="AB359" s="129" t="n">
        <v>0</v>
      </c>
      <c r="AC359" s="129" t="n">
        <v>0</v>
      </c>
      <c r="AD359" s="129" t="n">
        <v>0</v>
      </c>
      <c r="AE359" s="129" t="n">
        <v>0</v>
      </c>
      <c r="AF359" s="129" t="n">
        <v>0</v>
      </c>
      <c r="AG359" s="129" t="n">
        <v>0</v>
      </c>
      <c r="AH359" s="129" t="n">
        <v>0</v>
      </c>
      <c r="AI359" s="129" t="n">
        <v>0</v>
      </c>
      <c r="AJ359" s="129" t="n">
        <v>0</v>
      </c>
      <c r="AK359" s="129" t="n">
        <v>0</v>
      </c>
      <c r="AL359" s="129" t="n">
        <v>0</v>
      </c>
      <c r="AM359" s="129" t="n">
        <v>0</v>
      </c>
      <c r="AN359" s="128"/>
      <c r="AO359" s="128"/>
      <c r="AP359" s="126" t="s">
        <v>138</v>
      </c>
      <c r="AQ359" s="126" t="s">
        <v>139</v>
      </c>
      <c r="AR359" s="126" t="s">
        <v>140</v>
      </c>
      <c r="AS359" s="128"/>
      <c r="AT359" s="130"/>
    </row>
    <row r="360" customFormat="false" ht="12.75" hidden="false" customHeight="true" outlineLevel="0" collapsed="false">
      <c r="B360" s="122" t="n">
        <f aca="false">B359+1</f>
        <v>357</v>
      </c>
      <c r="C360" s="123" t="s">
        <v>168</v>
      </c>
      <c r="D360" s="140" t="n">
        <v>61073</v>
      </c>
      <c r="E360" s="124" t="str">
        <f aca="false">IF(D360="","",IFERROR(VLOOKUP(D360,CCN_Library!$A$4:$B$13,2,FALSE()),"NOT IN LIBRARY"))</f>
        <v>COMPANY/BATTERY HEADQUARTERS, MARINE CORPS</v>
      </c>
      <c r="F360" s="125" t="str">
        <f aca="false">LEFT(H360,6)</f>
        <v>M28263</v>
      </c>
      <c r="G360" s="126" t="s">
        <v>128</v>
      </c>
      <c r="H360" s="126" t="s">
        <v>681</v>
      </c>
      <c r="I360" s="126" t="s">
        <v>159</v>
      </c>
      <c r="J360" s="126" t="s">
        <v>176</v>
      </c>
      <c r="K360" s="127" t="s">
        <v>161</v>
      </c>
      <c r="L360" s="126" t="s">
        <v>161</v>
      </c>
      <c r="M360" s="126" t="s">
        <v>133</v>
      </c>
      <c r="N360" s="126" t="s">
        <v>128</v>
      </c>
      <c r="O360" s="126" t="s">
        <v>135</v>
      </c>
      <c r="P360" s="126" t="s">
        <v>135</v>
      </c>
      <c r="Q360" s="128"/>
      <c r="R360" s="126" t="s">
        <v>136</v>
      </c>
      <c r="S360" s="126" t="s">
        <v>58</v>
      </c>
      <c r="T360" s="128"/>
      <c r="U360" s="129" t="n">
        <v>0</v>
      </c>
      <c r="V360" s="129" t="n">
        <v>0</v>
      </c>
      <c r="W360" s="129" t="n">
        <v>0</v>
      </c>
      <c r="X360" s="129" t="n">
        <v>0</v>
      </c>
      <c r="Y360" s="129" t="n">
        <v>0</v>
      </c>
      <c r="Z360" s="129" t="n">
        <v>0</v>
      </c>
      <c r="AA360" s="129" t="n">
        <v>1</v>
      </c>
      <c r="AB360" s="129" t="n">
        <v>0</v>
      </c>
      <c r="AC360" s="129" t="n">
        <v>0</v>
      </c>
      <c r="AD360" s="129" t="n">
        <v>0</v>
      </c>
      <c r="AE360" s="129" t="n">
        <v>0</v>
      </c>
      <c r="AF360" s="129" t="n">
        <v>0</v>
      </c>
      <c r="AG360" s="129" t="n">
        <v>0</v>
      </c>
      <c r="AH360" s="129" t="n">
        <v>0</v>
      </c>
      <c r="AI360" s="129" t="n">
        <v>0</v>
      </c>
      <c r="AJ360" s="129" t="n">
        <v>0</v>
      </c>
      <c r="AK360" s="129" t="n">
        <v>0</v>
      </c>
      <c r="AL360" s="129" t="n">
        <v>0</v>
      </c>
      <c r="AM360" s="129" t="n">
        <v>0</v>
      </c>
      <c r="AN360" s="126" t="s">
        <v>384</v>
      </c>
      <c r="AO360" s="126" t="s">
        <v>610</v>
      </c>
      <c r="AP360" s="126" t="s">
        <v>138</v>
      </c>
      <c r="AQ360" s="126" t="s">
        <v>139</v>
      </c>
      <c r="AR360" s="126" t="s">
        <v>386</v>
      </c>
      <c r="AS360" s="128"/>
      <c r="AT360" s="139"/>
    </row>
    <row r="361" customFormat="false" ht="12.75" hidden="false" customHeight="true" outlineLevel="0" collapsed="false">
      <c r="B361" s="122" t="n">
        <f aca="false">B360+1</f>
        <v>358</v>
      </c>
      <c r="C361" s="123" t="s">
        <v>168</v>
      </c>
      <c r="D361" s="140" t="n">
        <v>61073</v>
      </c>
      <c r="E361" s="124" t="str">
        <f aca="false">IF(D361="","",IFERROR(VLOOKUP(D361,CCN_Library!$A$4:$B$13,2,FALSE()),"NOT IN LIBRARY"))</f>
        <v>COMPANY/BATTERY HEADQUARTERS, MARINE CORPS</v>
      </c>
      <c r="F361" s="125" t="str">
        <f aca="false">LEFT(H361,6)</f>
        <v>M28263</v>
      </c>
      <c r="G361" s="126" t="s">
        <v>128</v>
      </c>
      <c r="H361" s="126" t="s">
        <v>682</v>
      </c>
      <c r="I361" s="126" t="s">
        <v>159</v>
      </c>
      <c r="J361" s="126" t="s">
        <v>176</v>
      </c>
      <c r="K361" s="127" t="s">
        <v>161</v>
      </c>
      <c r="L361" s="126" t="s">
        <v>161</v>
      </c>
      <c r="M361" s="126" t="s">
        <v>133</v>
      </c>
      <c r="N361" s="126" t="s">
        <v>128</v>
      </c>
      <c r="O361" s="126" t="s">
        <v>135</v>
      </c>
      <c r="P361" s="126" t="s">
        <v>135</v>
      </c>
      <c r="Q361" s="128"/>
      <c r="R361" s="126" t="s">
        <v>136</v>
      </c>
      <c r="S361" s="126" t="s">
        <v>58</v>
      </c>
      <c r="T361" s="128"/>
      <c r="U361" s="129" t="n">
        <v>0</v>
      </c>
      <c r="V361" s="129" t="n">
        <v>0</v>
      </c>
      <c r="W361" s="129" t="n">
        <v>0</v>
      </c>
      <c r="X361" s="129" t="n">
        <v>0</v>
      </c>
      <c r="Y361" s="129" t="n">
        <v>0</v>
      </c>
      <c r="Z361" s="129" t="n">
        <v>0</v>
      </c>
      <c r="AA361" s="129" t="n">
        <v>1</v>
      </c>
      <c r="AB361" s="129" t="n">
        <v>0</v>
      </c>
      <c r="AC361" s="129" t="n">
        <v>0</v>
      </c>
      <c r="AD361" s="129" t="n">
        <v>0</v>
      </c>
      <c r="AE361" s="129" t="n">
        <v>0</v>
      </c>
      <c r="AF361" s="129" t="n">
        <v>0</v>
      </c>
      <c r="AG361" s="129" t="n">
        <v>0</v>
      </c>
      <c r="AH361" s="129" t="n">
        <v>0</v>
      </c>
      <c r="AI361" s="129" t="n">
        <v>0</v>
      </c>
      <c r="AJ361" s="129" t="n">
        <v>0</v>
      </c>
      <c r="AK361" s="129" t="n">
        <v>0</v>
      </c>
      <c r="AL361" s="129" t="n">
        <v>0</v>
      </c>
      <c r="AM361" s="129" t="n">
        <v>0</v>
      </c>
      <c r="AN361" s="128"/>
      <c r="AO361" s="128"/>
      <c r="AP361" s="126" t="s">
        <v>138</v>
      </c>
      <c r="AQ361" s="126" t="s">
        <v>139</v>
      </c>
      <c r="AR361" s="126" t="s">
        <v>140</v>
      </c>
      <c r="AS361" s="128"/>
      <c r="AT361" s="130"/>
    </row>
    <row r="362" customFormat="false" ht="12.75" hidden="false" customHeight="true" outlineLevel="0" collapsed="false">
      <c r="B362" s="122" t="n">
        <f aca="false">B361+1</f>
        <v>359</v>
      </c>
      <c r="C362" s="123" t="s">
        <v>168</v>
      </c>
      <c r="D362" s="140" t="n">
        <v>61073</v>
      </c>
      <c r="E362" s="124" t="str">
        <f aca="false">IF(D362="","",IFERROR(VLOOKUP(D362,CCN_Library!$A$4:$B$13,2,FALSE()),"NOT IN LIBRARY"))</f>
        <v>COMPANY/BATTERY HEADQUARTERS, MARINE CORPS</v>
      </c>
      <c r="F362" s="125" t="str">
        <f aca="false">LEFT(H362,6)</f>
        <v>M28263</v>
      </c>
      <c r="G362" s="126" t="s">
        <v>128</v>
      </c>
      <c r="H362" s="126" t="s">
        <v>683</v>
      </c>
      <c r="I362" s="126" t="s">
        <v>159</v>
      </c>
      <c r="J362" s="126" t="s">
        <v>176</v>
      </c>
      <c r="K362" s="127" t="s">
        <v>161</v>
      </c>
      <c r="L362" s="126" t="s">
        <v>161</v>
      </c>
      <c r="M362" s="126" t="s">
        <v>133</v>
      </c>
      <c r="N362" s="126" t="s">
        <v>128</v>
      </c>
      <c r="O362" s="126" t="s">
        <v>135</v>
      </c>
      <c r="P362" s="126" t="s">
        <v>135</v>
      </c>
      <c r="Q362" s="128"/>
      <c r="R362" s="126" t="s">
        <v>136</v>
      </c>
      <c r="S362" s="126" t="s">
        <v>58</v>
      </c>
      <c r="T362" s="128"/>
      <c r="U362" s="129" t="n">
        <v>0</v>
      </c>
      <c r="V362" s="129" t="n">
        <v>0</v>
      </c>
      <c r="W362" s="129" t="n">
        <v>0</v>
      </c>
      <c r="X362" s="129" t="n">
        <v>0</v>
      </c>
      <c r="Y362" s="129" t="n">
        <v>0</v>
      </c>
      <c r="Z362" s="129" t="n">
        <v>0</v>
      </c>
      <c r="AA362" s="129" t="n">
        <v>1</v>
      </c>
      <c r="AB362" s="129" t="n">
        <v>0</v>
      </c>
      <c r="AC362" s="129" t="n">
        <v>0</v>
      </c>
      <c r="AD362" s="129" t="n">
        <v>0</v>
      </c>
      <c r="AE362" s="129" t="n">
        <v>0</v>
      </c>
      <c r="AF362" s="129" t="n">
        <v>0</v>
      </c>
      <c r="AG362" s="129" t="n">
        <v>0</v>
      </c>
      <c r="AH362" s="129" t="n">
        <v>0</v>
      </c>
      <c r="AI362" s="129" t="n">
        <v>0</v>
      </c>
      <c r="AJ362" s="129" t="n">
        <v>0</v>
      </c>
      <c r="AK362" s="129" t="n">
        <v>0</v>
      </c>
      <c r="AL362" s="129" t="n">
        <v>0</v>
      </c>
      <c r="AM362" s="129" t="n">
        <v>0</v>
      </c>
      <c r="AN362" s="128"/>
      <c r="AO362" s="128"/>
      <c r="AP362" s="126" t="s">
        <v>138</v>
      </c>
      <c r="AQ362" s="126" t="s">
        <v>139</v>
      </c>
      <c r="AR362" s="126" t="s">
        <v>140</v>
      </c>
      <c r="AS362" s="128"/>
      <c r="AT362" s="130"/>
    </row>
    <row r="363" customFormat="false" ht="12.75" hidden="false" customHeight="true" outlineLevel="0" collapsed="false">
      <c r="B363" s="131" t="n">
        <f aca="false">B362+1</f>
        <v>360</v>
      </c>
      <c r="C363" s="132" t="s">
        <v>162</v>
      </c>
      <c r="D363" s="133" t="n">
        <v>61073</v>
      </c>
      <c r="E363" s="133"/>
      <c r="F363" s="134" t="str">
        <f aca="false">LEFT(H363,6)</f>
        <v>M28263</v>
      </c>
      <c r="G363" s="135" t="s">
        <v>177</v>
      </c>
      <c r="H363" s="135" t="s">
        <v>684</v>
      </c>
      <c r="I363" s="135" t="s">
        <v>498</v>
      </c>
      <c r="J363" s="136"/>
      <c r="K363" s="136"/>
      <c r="L363" s="136"/>
      <c r="M363" s="136"/>
      <c r="N363" s="136"/>
      <c r="O363" s="136"/>
      <c r="P363" s="136"/>
      <c r="Q363" s="136"/>
      <c r="R363" s="136"/>
      <c r="S363" s="136"/>
      <c r="T363" s="136"/>
      <c r="U363" s="137" t="n">
        <v>0</v>
      </c>
      <c r="V363" s="137" t="n">
        <v>0</v>
      </c>
      <c r="W363" s="137" t="n">
        <v>0</v>
      </c>
      <c r="X363" s="137" t="n">
        <v>0</v>
      </c>
      <c r="Y363" s="137" t="n">
        <v>0</v>
      </c>
      <c r="Z363" s="137" t="n">
        <v>0</v>
      </c>
      <c r="AA363" s="137" t="n">
        <v>0</v>
      </c>
      <c r="AB363" s="137" t="n">
        <v>0</v>
      </c>
      <c r="AC363" s="137" t="n">
        <v>0</v>
      </c>
      <c r="AD363" s="137" t="n">
        <v>0</v>
      </c>
      <c r="AE363" s="137" t="n">
        <v>0</v>
      </c>
      <c r="AF363" s="137" t="n">
        <v>0</v>
      </c>
      <c r="AG363" s="137" t="n">
        <v>0</v>
      </c>
      <c r="AH363" s="137" t="n">
        <v>0</v>
      </c>
      <c r="AI363" s="137" t="n">
        <v>0</v>
      </c>
      <c r="AJ363" s="137" t="n">
        <v>0</v>
      </c>
      <c r="AK363" s="137" t="n">
        <v>0</v>
      </c>
      <c r="AL363" s="137" t="n">
        <v>0</v>
      </c>
      <c r="AM363" s="137" t="n">
        <v>0</v>
      </c>
      <c r="AN363" s="136"/>
      <c r="AO363" s="136"/>
      <c r="AP363" s="136"/>
      <c r="AQ363" s="136"/>
      <c r="AR363" s="136"/>
      <c r="AS363" s="136"/>
      <c r="AT363" s="138"/>
    </row>
    <row r="364" customFormat="false" ht="12.75" hidden="false" customHeight="true" outlineLevel="0" collapsed="false">
      <c r="B364" s="122" t="n">
        <f aca="false">B363+1</f>
        <v>361</v>
      </c>
      <c r="C364" s="123" t="s">
        <v>162</v>
      </c>
      <c r="D364" s="140" t="n">
        <v>61073</v>
      </c>
      <c r="E364" s="124" t="str">
        <f aca="false">IF(D364="","",IFERROR(VLOOKUP(D364,CCN_Library!$A$4:$B$13,2,FALSE()),"NOT IN LIBRARY"))</f>
        <v>COMPANY/BATTERY HEADQUARTERS, MARINE CORPS</v>
      </c>
      <c r="F364" s="125" t="str">
        <f aca="false">LEFT(H364,6)</f>
        <v>M28263</v>
      </c>
      <c r="G364" s="126" t="s">
        <v>128</v>
      </c>
      <c r="H364" s="126" t="s">
        <v>685</v>
      </c>
      <c r="I364" s="126" t="s">
        <v>500</v>
      </c>
      <c r="J364" s="126" t="s">
        <v>182</v>
      </c>
      <c r="K364" s="127" t="s">
        <v>223</v>
      </c>
      <c r="L364" s="126" t="s">
        <v>223</v>
      </c>
      <c r="M364" s="126" t="s">
        <v>133</v>
      </c>
      <c r="N364" s="126" t="s">
        <v>134</v>
      </c>
      <c r="O364" s="126" t="s">
        <v>135</v>
      </c>
      <c r="P364" s="126" t="s">
        <v>135</v>
      </c>
      <c r="Q364" s="128"/>
      <c r="R364" s="126" t="s">
        <v>136</v>
      </c>
      <c r="S364" s="126" t="s">
        <v>137</v>
      </c>
      <c r="T364" s="128"/>
      <c r="U364" s="129" t="n">
        <v>0</v>
      </c>
      <c r="V364" s="129" t="n">
        <v>0</v>
      </c>
      <c r="W364" s="129" t="n">
        <v>0</v>
      </c>
      <c r="X364" s="129" t="n">
        <v>0</v>
      </c>
      <c r="Y364" s="129" t="n">
        <v>0</v>
      </c>
      <c r="Z364" s="129" t="n">
        <v>1</v>
      </c>
      <c r="AA364" s="129" t="n">
        <v>0</v>
      </c>
      <c r="AB364" s="129" t="n">
        <v>0</v>
      </c>
      <c r="AC364" s="129" t="n">
        <v>0</v>
      </c>
      <c r="AD364" s="129" t="n">
        <v>0</v>
      </c>
      <c r="AE364" s="129" t="n">
        <v>0</v>
      </c>
      <c r="AF364" s="129" t="n">
        <v>0</v>
      </c>
      <c r="AG364" s="129" t="n">
        <v>0</v>
      </c>
      <c r="AH364" s="129" t="n">
        <v>0</v>
      </c>
      <c r="AI364" s="129" t="n">
        <v>0</v>
      </c>
      <c r="AJ364" s="129" t="n">
        <v>0</v>
      </c>
      <c r="AK364" s="129" t="n">
        <v>0</v>
      </c>
      <c r="AL364" s="129" t="n">
        <v>0</v>
      </c>
      <c r="AM364" s="129" t="n">
        <v>0</v>
      </c>
      <c r="AN364" s="126" t="s">
        <v>384</v>
      </c>
      <c r="AO364" s="126" t="s">
        <v>385</v>
      </c>
      <c r="AP364" s="126" t="s">
        <v>138</v>
      </c>
      <c r="AQ364" s="126" t="s">
        <v>139</v>
      </c>
      <c r="AR364" s="126" t="s">
        <v>386</v>
      </c>
      <c r="AS364" s="128"/>
      <c r="AT364" s="130"/>
    </row>
    <row r="365" customFormat="false" ht="12.75" hidden="false" customHeight="true" outlineLevel="0" collapsed="false">
      <c r="B365" s="122" t="n">
        <f aca="false">B364+1</f>
        <v>362</v>
      </c>
      <c r="C365" s="123" t="s">
        <v>162</v>
      </c>
      <c r="D365" s="140" t="n">
        <v>61073</v>
      </c>
      <c r="E365" s="124" t="str">
        <f aca="false">IF(D365="","",IFERROR(VLOOKUP(D365,CCN_Library!$A$4:$B$13,2,FALSE()),"NOT IN LIBRARY"))</f>
        <v>COMPANY/BATTERY HEADQUARTERS, MARINE CORPS</v>
      </c>
      <c r="F365" s="125" t="str">
        <f aca="false">LEFT(H365,6)</f>
        <v>M28263</v>
      </c>
      <c r="G365" s="126" t="s">
        <v>128</v>
      </c>
      <c r="H365" s="126" t="s">
        <v>686</v>
      </c>
      <c r="I365" s="126" t="s">
        <v>159</v>
      </c>
      <c r="J365" s="126" t="s">
        <v>189</v>
      </c>
      <c r="K365" s="127" t="s">
        <v>161</v>
      </c>
      <c r="L365" s="126" t="s">
        <v>161</v>
      </c>
      <c r="M365" s="126" t="s">
        <v>133</v>
      </c>
      <c r="N365" s="126" t="s">
        <v>128</v>
      </c>
      <c r="O365" s="126" t="s">
        <v>135</v>
      </c>
      <c r="P365" s="126" t="s">
        <v>135</v>
      </c>
      <c r="Q365" s="128"/>
      <c r="R365" s="126" t="s">
        <v>136</v>
      </c>
      <c r="S365" s="126" t="s">
        <v>137</v>
      </c>
      <c r="T365" s="128"/>
      <c r="U365" s="129" t="n">
        <v>0</v>
      </c>
      <c r="V365" s="129" t="n">
        <v>0</v>
      </c>
      <c r="W365" s="129" t="n">
        <v>0</v>
      </c>
      <c r="X365" s="129" t="n">
        <v>0</v>
      </c>
      <c r="Y365" s="129" t="n">
        <v>0</v>
      </c>
      <c r="Z365" s="129" t="n">
        <v>0</v>
      </c>
      <c r="AA365" s="129" t="n">
        <v>1</v>
      </c>
      <c r="AB365" s="129" t="n">
        <v>0</v>
      </c>
      <c r="AC365" s="129" t="n">
        <v>0</v>
      </c>
      <c r="AD365" s="129" t="n">
        <v>0</v>
      </c>
      <c r="AE365" s="129" t="n">
        <v>0</v>
      </c>
      <c r="AF365" s="129" t="n">
        <v>0</v>
      </c>
      <c r="AG365" s="129" t="n">
        <v>0</v>
      </c>
      <c r="AH365" s="129" t="n">
        <v>0</v>
      </c>
      <c r="AI365" s="129" t="n">
        <v>0</v>
      </c>
      <c r="AJ365" s="129" t="n">
        <v>0</v>
      </c>
      <c r="AK365" s="129" t="n">
        <v>0</v>
      </c>
      <c r="AL365" s="129" t="n">
        <v>0</v>
      </c>
      <c r="AM365" s="129" t="n">
        <v>0</v>
      </c>
      <c r="AN365" s="128"/>
      <c r="AO365" s="128"/>
      <c r="AP365" s="126" t="s">
        <v>138</v>
      </c>
      <c r="AQ365" s="126" t="s">
        <v>139</v>
      </c>
      <c r="AR365" s="126" t="s">
        <v>140</v>
      </c>
      <c r="AS365" s="128"/>
      <c r="AT365" s="130"/>
    </row>
    <row r="366" customFormat="false" ht="12.75" hidden="false" customHeight="true" outlineLevel="0" collapsed="false">
      <c r="B366" s="122" t="n">
        <f aca="false">B365+1</f>
        <v>363</v>
      </c>
      <c r="C366" s="123" t="s">
        <v>168</v>
      </c>
      <c r="D366" s="140" t="n">
        <v>61073</v>
      </c>
      <c r="E366" s="124" t="str">
        <f aca="false">IF(D366="","",IFERROR(VLOOKUP(D366,CCN_Library!$A$4:$B$13,2,FALSE()),"NOT IN LIBRARY"))</f>
        <v>COMPANY/BATTERY HEADQUARTERS, MARINE CORPS</v>
      </c>
      <c r="F366" s="125" t="str">
        <f aca="false">LEFT(H366,6)</f>
        <v>M28263</v>
      </c>
      <c r="G366" s="126" t="s">
        <v>128</v>
      </c>
      <c r="H366" s="126" t="s">
        <v>687</v>
      </c>
      <c r="I366" s="126" t="s">
        <v>159</v>
      </c>
      <c r="J366" s="126" t="s">
        <v>191</v>
      </c>
      <c r="K366" s="127" t="s">
        <v>161</v>
      </c>
      <c r="L366" s="126" t="s">
        <v>161</v>
      </c>
      <c r="M366" s="126" t="s">
        <v>133</v>
      </c>
      <c r="N366" s="126" t="s">
        <v>128</v>
      </c>
      <c r="O366" s="126" t="s">
        <v>135</v>
      </c>
      <c r="P366" s="126" t="s">
        <v>135</v>
      </c>
      <c r="Q366" s="128"/>
      <c r="R366" s="126" t="s">
        <v>136</v>
      </c>
      <c r="S366" s="126" t="s">
        <v>58</v>
      </c>
      <c r="T366" s="128"/>
      <c r="U366" s="129" t="n">
        <v>0</v>
      </c>
      <c r="V366" s="129" t="n">
        <v>0</v>
      </c>
      <c r="W366" s="129" t="n">
        <v>0</v>
      </c>
      <c r="X366" s="129" t="n">
        <v>0</v>
      </c>
      <c r="Y366" s="129" t="n">
        <v>0</v>
      </c>
      <c r="Z366" s="129" t="n">
        <v>0</v>
      </c>
      <c r="AA366" s="129" t="n">
        <v>1</v>
      </c>
      <c r="AB366" s="129" t="n">
        <v>0</v>
      </c>
      <c r="AC366" s="129" t="n">
        <v>0</v>
      </c>
      <c r="AD366" s="129" t="n">
        <v>0</v>
      </c>
      <c r="AE366" s="129" t="n">
        <v>0</v>
      </c>
      <c r="AF366" s="129" t="n">
        <v>0</v>
      </c>
      <c r="AG366" s="129" t="n">
        <v>0</v>
      </c>
      <c r="AH366" s="129" t="n">
        <v>0</v>
      </c>
      <c r="AI366" s="129" t="n">
        <v>0</v>
      </c>
      <c r="AJ366" s="129" t="n">
        <v>0</v>
      </c>
      <c r="AK366" s="129" t="n">
        <v>0</v>
      </c>
      <c r="AL366" s="129" t="n">
        <v>0</v>
      </c>
      <c r="AM366" s="129" t="n">
        <v>0</v>
      </c>
      <c r="AN366" s="126" t="s">
        <v>384</v>
      </c>
      <c r="AO366" s="126" t="s">
        <v>385</v>
      </c>
      <c r="AP366" s="126" t="s">
        <v>138</v>
      </c>
      <c r="AQ366" s="126" t="s">
        <v>139</v>
      </c>
      <c r="AR366" s="126" t="s">
        <v>386</v>
      </c>
      <c r="AS366" s="128"/>
      <c r="AT366" s="130"/>
    </row>
    <row r="367" customFormat="false" ht="12.75" hidden="false" customHeight="true" outlineLevel="0" collapsed="false">
      <c r="B367" s="122" t="n">
        <f aca="false">B366+1</f>
        <v>364</v>
      </c>
      <c r="C367" s="123" t="s">
        <v>168</v>
      </c>
      <c r="D367" s="140" t="n">
        <v>61073</v>
      </c>
      <c r="E367" s="124" t="str">
        <f aca="false">IF(D367="","",IFERROR(VLOOKUP(D367,CCN_Library!$A$4:$B$13,2,FALSE()),"NOT IN LIBRARY"))</f>
        <v>COMPANY/BATTERY HEADQUARTERS, MARINE CORPS</v>
      </c>
      <c r="F367" s="125" t="str">
        <f aca="false">LEFT(H367,6)</f>
        <v>M28263</v>
      </c>
      <c r="G367" s="126" t="s">
        <v>128</v>
      </c>
      <c r="H367" s="126" t="s">
        <v>688</v>
      </c>
      <c r="I367" s="126" t="s">
        <v>159</v>
      </c>
      <c r="J367" s="126" t="s">
        <v>191</v>
      </c>
      <c r="K367" s="127" t="s">
        <v>161</v>
      </c>
      <c r="L367" s="126" t="s">
        <v>161</v>
      </c>
      <c r="M367" s="126" t="s">
        <v>133</v>
      </c>
      <c r="N367" s="126" t="s">
        <v>128</v>
      </c>
      <c r="O367" s="126" t="s">
        <v>135</v>
      </c>
      <c r="P367" s="126" t="s">
        <v>135</v>
      </c>
      <c r="Q367" s="128"/>
      <c r="R367" s="126" t="s">
        <v>136</v>
      </c>
      <c r="S367" s="126" t="s">
        <v>58</v>
      </c>
      <c r="T367" s="128"/>
      <c r="U367" s="129" t="n">
        <v>0</v>
      </c>
      <c r="V367" s="129" t="n">
        <v>0</v>
      </c>
      <c r="W367" s="129" t="n">
        <v>0</v>
      </c>
      <c r="X367" s="129" t="n">
        <v>0</v>
      </c>
      <c r="Y367" s="129" t="n">
        <v>0</v>
      </c>
      <c r="Z367" s="129" t="n">
        <v>0</v>
      </c>
      <c r="AA367" s="129" t="n">
        <v>1</v>
      </c>
      <c r="AB367" s="129" t="n">
        <v>0</v>
      </c>
      <c r="AC367" s="129" t="n">
        <v>0</v>
      </c>
      <c r="AD367" s="129" t="n">
        <v>0</v>
      </c>
      <c r="AE367" s="129" t="n">
        <v>0</v>
      </c>
      <c r="AF367" s="129" t="n">
        <v>0</v>
      </c>
      <c r="AG367" s="129" t="n">
        <v>0</v>
      </c>
      <c r="AH367" s="129" t="n">
        <v>0</v>
      </c>
      <c r="AI367" s="129" t="n">
        <v>0</v>
      </c>
      <c r="AJ367" s="129" t="n">
        <v>0</v>
      </c>
      <c r="AK367" s="129" t="n">
        <v>0</v>
      </c>
      <c r="AL367" s="129" t="n">
        <v>0</v>
      </c>
      <c r="AM367" s="129" t="n">
        <v>0</v>
      </c>
      <c r="AN367" s="128"/>
      <c r="AO367" s="128"/>
      <c r="AP367" s="126" t="s">
        <v>138</v>
      </c>
      <c r="AQ367" s="126" t="s">
        <v>139</v>
      </c>
      <c r="AR367" s="126" t="s">
        <v>140</v>
      </c>
      <c r="AS367" s="128"/>
      <c r="AT367" s="139"/>
    </row>
    <row r="368" customFormat="false" ht="12.75" hidden="false" customHeight="true" outlineLevel="0" collapsed="false">
      <c r="B368" s="122" t="n">
        <f aca="false">B367+1</f>
        <v>365</v>
      </c>
      <c r="C368" s="123" t="s">
        <v>168</v>
      </c>
      <c r="D368" s="140" t="n">
        <v>61073</v>
      </c>
      <c r="E368" s="124" t="str">
        <f aca="false">IF(D368="","",IFERROR(VLOOKUP(D368,CCN_Library!$A$4:$B$13,2,FALSE()),"NOT IN LIBRARY"))</f>
        <v>COMPANY/BATTERY HEADQUARTERS, MARINE CORPS</v>
      </c>
      <c r="F368" s="125" t="str">
        <f aca="false">LEFT(H368,6)</f>
        <v>M28263</v>
      </c>
      <c r="G368" s="126" t="s">
        <v>128</v>
      </c>
      <c r="H368" s="126" t="s">
        <v>689</v>
      </c>
      <c r="I368" s="126" t="s">
        <v>159</v>
      </c>
      <c r="J368" s="126" t="s">
        <v>191</v>
      </c>
      <c r="K368" s="127" t="s">
        <v>161</v>
      </c>
      <c r="L368" s="126" t="s">
        <v>161</v>
      </c>
      <c r="M368" s="126" t="s">
        <v>133</v>
      </c>
      <c r="N368" s="126" t="s">
        <v>128</v>
      </c>
      <c r="O368" s="126" t="s">
        <v>135</v>
      </c>
      <c r="P368" s="126" t="s">
        <v>135</v>
      </c>
      <c r="Q368" s="128"/>
      <c r="R368" s="126" t="s">
        <v>136</v>
      </c>
      <c r="S368" s="126" t="s">
        <v>58</v>
      </c>
      <c r="T368" s="128"/>
      <c r="U368" s="129" t="n">
        <v>0</v>
      </c>
      <c r="V368" s="129" t="n">
        <v>0</v>
      </c>
      <c r="W368" s="129" t="n">
        <v>0</v>
      </c>
      <c r="X368" s="129" t="n">
        <v>0</v>
      </c>
      <c r="Y368" s="129" t="n">
        <v>0</v>
      </c>
      <c r="Z368" s="129" t="n">
        <v>0</v>
      </c>
      <c r="AA368" s="129" t="n">
        <v>1</v>
      </c>
      <c r="AB368" s="129" t="n">
        <v>0</v>
      </c>
      <c r="AC368" s="129" t="n">
        <v>0</v>
      </c>
      <c r="AD368" s="129" t="n">
        <v>0</v>
      </c>
      <c r="AE368" s="129" t="n">
        <v>0</v>
      </c>
      <c r="AF368" s="129" t="n">
        <v>0</v>
      </c>
      <c r="AG368" s="129" t="n">
        <v>0</v>
      </c>
      <c r="AH368" s="129" t="n">
        <v>0</v>
      </c>
      <c r="AI368" s="129" t="n">
        <v>0</v>
      </c>
      <c r="AJ368" s="129" t="n">
        <v>0</v>
      </c>
      <c r="AK368" s="129" t="n">
        <v>0</v>
      </c>
      <c r="AL368" s="129" t="n">
        <v>0</v>
      </c>
      <c r="AM368" s="129" t="n">
        <v>0</v>
      </c>
      <c r="AN368" s="128"/>
      <c r="AO368" s="128"/>
      <c r="AP368" s="126" t="s">
        <v>138</v>
      </c>
      <c r="AQ368" s="126" t="s">
        <v>139</v>
      </c>
      <c r="AR368" s="126" t="s">
        <v>140</v>
      </c>
      <c r="AS368" s="128"/>
      <c r="AT368" s="139"/>
    </row>
    <row r="369" customFormat="false" ht="12.75" hidden="false" customHeight="true" outlineLevel="0" collapsed="false">
      <c r="B369" s="122" t="n">
        <f aca="false">B368+1</f>
        <v>366</v>
      </c>
      <c r="C369" s="123" t="s">
        <v>168</v>
      </c>
      <c r="D369" s="140" t="n">
        <v>61073</v>
      </c>
      <c r="E369" s="124" t="str">
        <f aca="false">IF(D369="","",IFERROR(VLOOKUP(D369,CCN_Library!$A$4:$B$13,2,FALSE()),"NOT IN LIBRARY"))</f>
        <v>COMPANY/BATTERY HEADQUARTERS, MARINE CORPS</v>
      </c>
      <c r="F369" s="125" t="str">
        <f aca="false">LEFT(H369,6)</f>
        <v>M28263</v>
      </c>
      <c r="G369" s="126" t="s">
        <v>128</v>
      </c>
      <c r="H369" s="126" t="s">
        <v>690</v>
      </c>
      <c r="I369" s="126" t="s">
        <v>159</v>
      </c>
      <c r="J369" s="126" t="s">
        <v>176</v>
      </c>
      <c r="K369" s="127" t="s">
        <v>161</v>
      </c>
      <c r="L369" s="126" t="s">
        <v>161</v>
      </c>
      <c r="M369" s="126" t="s">
        <v>133</v>
      </c>
      <c r="N369" s="126" t="s">
        <v>128</v>
      </c>
      <c r="O369" s="126" t="s">
        <v>135</v>
      </c>
      <c r="P369" s="126" t="s">
        <v>135</v>
      </c>
      <c r="Q369" s="128"/>
      <c r="R369" s="126" t="s">
        <v>136</v>
      </c>
      <c r="S369" s="126" t="s">
        <v>58</v>
      </c>
      <c r="T369" s="128"/>
      <c r="U369" s="129" t="n">
        <v>0</v>
      </c>
      <c r="V369" s="129" t="n">
        <v>0</v>
      </c>
      <c r="W369" s="129" t="n">
        <v>0</v>
      </c>
      <c r="X369" s="129" t="n">
        <v>0</v>
      </c>
      <c r="Y369" s="129" t="n">
        <v>0</v>
      </c>
      <c r="Z369" s="129" t="n">
        <v>0</v>
      </c>
      <c r="AA369" s="129" t="n">
        <v>1</v>
      </c>
      <c r="AB369" s="129" t="n">
        <v>0</v>
      </c>
      <c r="AC369" s="129" t="n">
        <v>0</v>
      </c>
      <c r="AD369" s="129" t="n">
        <v>0</v>
      </c>
      <c r="AE369" s="129" t="n">
        <v>0</v>
      </c>
      <c r="AF369" s="129" t="n">
        <v>0</v>
      </c>
      <c r="AG369" s="129" t="n">
        <v>0</v>
      </c>
      <c r="AH369" s="129" t="n">
        <v>0</v>
      </c>
      <c r="AI369" s="129" t="n">
        <v>0</v>
      </c>
      <c r="AJ369" s="129" t="n">
        <v>0</v>
      </c>
      <c r="AK369" s="129" t="n">
        <v>0</v>
      </c>
      <c r="AL369" s="129" t="n">
        <v>0</v>
      </c>
      <c r="AM369" s="129" t="n">
        <v>0</v>
      </c>
      <c r="AN369" s="128"/>
      <c r="AO369" s="128"/>
      <c r="AP369" s="126" t="s">
        <v>138</v>
      </c>
      <c r="AQ369" s="126" t="s">
        <v>139</v>
      </c>
      <c r="AR369" s="126" t="s">
        <v>140</v>
      </c>
      <c r="AS369" s="128"/>
      <c r="AT369" s="130"/>
    </row>
    <row r="370" customFormat="false" ht="12.75" hidden="false" customHeight="true" outlineLevel="0" collapsed="false">
      <c r="B370" s="122" t="n">
        <f aca="false">B369+1</f>
        <v>367</v>
      </c>
      <c r="C370" s="123" t="s">
        <v>168</v>
      </c>
      <c r="D370" s="140" t="n">
        <v>61073</v>
      </c>
      <c r="E370" s="124" t="str">
        <f aca="false">IF(D370="","",IFERROR(VLOOKUP(D370,CCN_Library!$A$4:$B$13,2,FALSE()),"NOT IN LIBRARY"))</f>
        <v>COMPANY/BATTERY HEADQUARTERS, MARINE CORPS</v>
      </c>
      <c r="F370" s="125" t="str">
        <f aca="false">LEFT(H370,6)</f>
        <v>M28263</v>
      </c>
      <c r="G370" s="126" t="s">
        <v>128</v>
      </c>
      <c r="H370" s="126" t="s">
        <v>691</v>
      </c>
      <c r="I370" s="126" t="s">
        <v>159</v>
      </c>
      <c r="J370" s="126" t="s">
        <v>176</v>
      </c>
      <c r="K370" s="127" t="s">
        <v>161</v>
      </c>
      <c r="L370" s="126" t="s">
        <v>161</v>
      </c>
      <c r="M370" s="126" t="s">
        <v>133</v>
      </c>
      <c r="N370" s="126" t="s">
        <v>128</v>
      </c>
      <c r="O370" s="126" t="s">
        <v>135</v>
      </c>
      <c r="P370" s="126" t="s">
        <v>135</v>
      </c>
      <c r="Q370" s="128"/>
      <c r="R370" s="126" t="s">
        <v>136</v>
      </c>
      <c r="S370" s="126" t="s">
        <v>58</v>
      </c>
      <c r="T370" s="128"/>
      <c r="U370" s="129" t="n">
        <v>0</v>
      </c>
      <c r="V370" s="129" t="n">
        <v>0</v>
      </c>
      <c r="W370" s="129" t="n">
        <v>0</v>
      </c>
      <c r="X370" s="129" t="n">
        <v>0</v>
      </c>
      <c r="Y370" s="129" t="n">
        <v>0</v>
      </c>
      <c r="Z370" s="129" t="n">
        <v>0</v>
      </c>
      <c r="AA370" s="129" t="n">
        <v>1</v>
      </c>
      <c r="AB370" s="129" t="n">
        <v>0</v>
      </c>
      <c r="AC370" s="129" t="n">
        <v>0</v>
      </c>
      <c r="AD370" s="129" t="n">
        <v>0</v>
      </c>
      <c r="AE370" s="129" t="n">
        <v>0</v>
      </c>
      <c r="AF370" s="129" t="n">
        <v>0</v>
      </c>
      <c r="AG370" s="129" t="n">
        <v>0</v>
      </c>
      <c r="AH370" s="129" t="n">
        <v>0</v>
      </c>
      <c r="AI370" s="129" t="n">
        <v>0</v>
      </c>
      <c r="AJ370" s="129" t="n">
        <v>0</v>
      </c>
      <c r="AK370" s="129" t="n">
        <v>0</v>
      </c>
      <c r="AL370" s="129" t="n">
        <v>0</v>
      </c>
      <c r="AM370" s="129" t="n">
        <v>0</v>
      </c>
      <c r="AN370" s="128"/>
      <c r="AO370" s="128"/>
      <c r="AP370" s="126" t="s">
        <v>138</v>
      </c>
      <c r="AQ370" s="126" t="s">
        <v>139</v>
      </c>
      <c r="AR370" s="126" t="s">
        <v>140</v>
      </c>
      <c r="AS370" s="128"/>
      <c r="AT370" s="130"/>
    </row>
    <row r="371" customFormat="false" ht="12.75" hidden="false" customHeight="true" outlineLevel="0" collapsed="false">
      <c r="B371" s="122" t="n">
        <f aca="false">B370+1</f>
        <v>368</v>
      </c>
      <c r="C371" s="123" t="s">
        <v>168</v>
      </c>
      <c r="D371" s="140" t="n">
        <v>61073</v>
      </c>
      <c r="E371" s="124" t="str">
        <f aca="false">IF(D371="","",IFERROR(VLOOKUP(D371,CCN_Library!$A$4:$B$13,2,FALSE()),"NOT IN LIBRARY"))</f>
        <v>COMPANY/BATTERY HEADQUARTERS, MARINE CORPS</v>
      </c>
      <c r="F371" s="125" t="str">
        <f aca="false">LEFT(H371,6)</f>
        <v>M28263</v>
      </c>
      <c r="G371" s="126" t="s">
        <v>128</v>
      </c>
      <c r="H371" s="126" t="s">
        <v>692</v>
      </c>
      <c r="I371" s="126" t="s">
        <v>159</v>
      </c>
      <c r="J371" s="126" t="s">
        <v>176</v>
      </c>
      <c r="K371" s="127" t="s">
        <v>161</v>
      </c>
      <c r="L371" s="126" t="s">
        <v>161</v>
      </c>
      <c r="M371" s="126" t="s">
        <v>133</v>
      </c>
      <c r="N371" s="126" t="s">
        <v>128</v>
      </c>
      <c r="O371" s="126" t="s">
        <v>135</v>
      </c>
      <c r="P371" s="126" t="s">
        <v>135</v>
      </c>
      <c r="Q371" s="128"/>
      <c r="R371" s="126" t="s">
        <v>136</v>
      </c>
      <c r="S371" s="126" t="s">
        <v>58</v>
      </c>
      <c r="T371" s="128"/>
      <c r="U371" s="129" t="n">
        <v>0</v>
      </c>
      <c r="V371" s="129" t="n">
        <v>0</v>
      </c>
      <c r="W371" s="129" t="n">
        <v>0</v>
      </c>
      <c r="X371" s="129" t="n">
        <v>0</v>
      </c>
      <c r="Y371" s="129" t="n">
        <v>0</v>
      </c>
      <c r="Z371" s="129" t="n">
        <v>0</v>
      </c>
      <c r="AA371" s="129" t="n">
        <v>1</v>
      </c>
      <c r="AB371" s="129" t="n">
        <v>0</v>
      </c>
      <c r="AC371" s="129" t="n">
        <v>0</v>
      </c>
      <c r="AD371" s="129" t="n">
        <v>0</v>
      </c>
      <c r="AE371" s="129" t="n">
        <v>0</v>
      </c>
      <c r="AF371" s="129" t="n">
        <v>0</v>
      </c>
      <c r="AG371" s="129" t="n">
        <v>0</v>
      </c>
      <c r="AH371" s="129" t="n">
        <v>0</v>
      </c>
      <c r="AI371" s="129" t="n">
        <v>0</v>
      </c>
      <c r="AJ371" s="129" t="n">
        <v>0</v>
      </c>
      <c r="AK371" s="129" t="n">
        <v>0</v>
      </c>
      <c r="AL371" s="129" t="n">
        <v>0</v>
      </c>
      <c r="AM371" s="129" t="n">
        <v>0</v>
      </c>
      <c r="AN371" s="128"/>
      <c r="AO371" s="128"/>
      <c r="AP371" s="126" t="s">
        <v>138</v>
      </c>
      <c r="AQ371" s="126" t="s">
        <v>139</v>
      </c>
      <c r="AR371" s="126" t="s">
        <v>140</v>
      </c>
      <c r="AS371" s="128"/>
      <c r="AT371" s="130"/>
    </row>
    <row r="372" customFormat="false" ht="12.75" hidden="false" customHeight="true" outlineLevel="0" collapsed="false">
      <c r="B372" s="131" t="n">
        <f aca="false">B371+1</f>
        <v>369</v>
      </c>
      <c r="C372" s="132" t="s">
        <v>162</v>
      </c>
      <c r="D372" s="133" t="n">
        <v>61073</v>
      </c>
      <c r="E372" s="133"/>
      <c r="F372" s="134" t="str">
        <f aca="false">LEFT(H372,6)</f>
        <v>M28263</v>
      </c>
      <c r="G372" s="135" t="s">
        <v>177</v>
      </c>
      <c r="H372" s="135" t="s">
        <v>693</v>
      </c>
      <c r="I372" s="135" t="s">
        <v>509</v>
      </c>
      <c r="J372" s="136"/>
      <c r="K372" s="136"/>
      <c r="L372" s="136"/>
      <c r="M372" s="136"/>
      <c r="N372" s="136"/>
      <c r="O372" s="136"/>
      <c r="P372" s="136"/>
      <c r="Q372" s="136"/>
      <c r="R372" s="136"/>
      <c r="S372" s="136"/>
      <c r="T372" s="136"/>
      <c r="U372" s="137" t="n">
        <v>0</v>
      </c>
      <c r="V372" s="137" t="n">
        <v>0</v>
      </c>
      <c r="W372" s="137" t="n">
        <v>0</v>
      </c>
      <c r="X372" s="137" t="n">
        <v>0</v>
      </c>
      <c r="Y372" s="137" t="n">
        <v>0</v>
      </c>
      <c r="Z372" s="137" t="n">
        <v>0</v>
      </c>
      <c r="AA372" s="137" t="n">
        <v>0</v>
      </c>
      <c r="AB372" s="137" t="n">
        <v>0</v>
      </c>
      <c r="AC372" s="137" t="n">
        <v>0</v>
      </c>
      <c r="AD372" s="137" t="n">
        <v>0</v>
      </c>
      <c r="AE372" s="137" t="n">
        <v>0</v>
      </c>
      <c r="AF372" s="137" t="n">
        <v>0</v>
      </c>
      <c r="AG372" s="137" t="n">
        <v>0</v>
      </c>
      <c r="AH372" s="137" t="n">
        <v>0</v>
      </c>
      <c r="AI372" s="137" t="n">
        <v>0</v>
      </c>
      <c r="AJ372" s="137" t="n">
        <v>0</v>
      </c>
      <c r="AK372" s="137" t="n">
        <v>0</v>
      </c>
      <c r="AL372" s="137" t="n">
        <v>0</v>
      </c>
      <c r="AM372" s="137" t="n">
        <v>0</v>
      </c>
      <c r="AN372" s="136"/>
      <c r="AO372" s="136"/>
      <c r="AP372" s="136"/>
      <c r="AQ372" s="136"/>
      <c r="AR372" s="136"/>
      <c r="AS372" s="136"/>
      <c r="AT372" s="138"/>
    </row>
    <row r="373" customFormat="false" ht="12.75" hidden="false" customHeight="true" outlineLevel="0" collapsed="false">
      <c r="B373" s="122" t="n">
        <f aca="false">B372+1</f>
        <v>370</v>
      </c>
      <c r="C373" s="123" t="s">
        <v>162</v>
      </c>
      <c r="D373" s="140" t="n">
        <v>61073</v>
      </c>
      <c r="E373" s="124" t="str">
        <f aca="false">IF(D373="","",IFERROR(VLOOKUP(D373,CCN_Library!$A$4:$B$13,2,FALSE()),"NOT IN LIBRARY"))</f>
        <v>COMPANY/BATTERY HEADQUARTERS, MARINE CORPS</v>
      </c>
      <c r="F373" s="125" t="str">
        <f aca="false">LEFT(H373,6)</f>
        <v>M28263</v>
      </c>
      <c r="G373" s="126" t="s">
        <v>128</v>
      </c>
      <c r="H373" s="126" t="s">
        <v>694</v>
      </c>
      <c r="I373" s="126" t="s">
        <v>472</v>
      </c>
      <c r="J373" s="126" t="s">
        <v>182</v>
      </c>
      <c r="K373" s="127" t="s">
        <v>223</v>
      </c>
      <c r="L373" s="126" t="s">
        <v>223</v>
      </c>
      <c r="M373" s="126" t="s">
        <v>133</v>
      </c>
      <c r="N373" s="126" t="s">
        <v>134</v>
      </c>
      <c r="O373" s="126" t="s">
        <v>135</v>
      </c>
      <c r="P373" s="126" t="s">
        <v>135</v>
      </c>
      <c r="Q373" s="128"/>
      <c r="R373" s="126" t="s">
        <v>136</v>
      </c>
      <c r="S373" s="126" t="s">
        <v>137</v>
      </c>
      <c r="T373" s="128"/>
      <c r="U373" s="129" t="n">
        <v>0</v>
      </c>
      <c r="V373" s="129" t="n">
        <v>0</v>
      </c>
      <c r="W373" s="129" t="n">
        <v>0</v>
      </c>
      <c r="X373" s="129" t="n">
        <v>0</v>
      </c>
      <c r="Y373" s="129" t="n">
        <v>0</v>
      </c>
      <c r="Z373" s="129" t="n">
        <v>1</v>
      </c>
      <c r="AA373" s="129" t="n">
        <v>0</v>
      </c>
      <c r="AB373" s="129" t="n">
        <v>0</v>
      </c>
      <c r="AC373" s="129" t="n">
        <v>0</v>
      </c>
      <c r="AD373" s="129" t="n">
        <v>0</v>
      </c>
      <c r="AE373" s="129" t="n">
        <v>0</v>
      </c>
      <c r="AF373" s="129" t="n">
        <v>0</v>
      </c>
      <c r="AG373" s="129" t="n">
        <v>0</v>
      </c>
      <c r="AH373" s="129" t="n">
        <v>0</v>
      </c>
      <c r="AI373" s="129" t="n">
        <v>0</v>
      </c>
      <c r="AJ373" s="129" t="n">
        <v>0</v>
      </c>
      <c r="AK373" s="129" t="n">
        <v>0</v>
      </c>
      <c r="AL373" s="129" t="n">
        <v>0</v>
      </c>
      <c r="AM373" s="129" t="n">
        <v>0</v>
      </c>
      <c r="AN373" s="126" t="s">
        <v>384</v>
      </c>
      <c r="AO373" s="126" t="s">
        <v>385</v>
      </c>
      <c r="AP373" s="126" t="s">
        <v>138</v>
      </c>
      <c r="AQ373" s="126" t="s">
        <v>139</v>
      </c>
      <c r="AR373" s="126" t="s">
        <v>386</v>
      </c>
      <c r="AS373" s="128"/>
      <c r="AT373" s="130"/>
    </row>
    <row r="374" customFormat="false" ht="12.75" hidden="false" customHeight="true" outlineLevel="0" collapsed="false">
      <c r="B374" s="122" t="n">
        <f aca="false">B373+1</f>
        <v>371</v>
      </c>
      <c r="C374" s="123" t="s">
        <v>168</v>
      </c>
      <c r="D374" s="140" t="n">
        <v>61073</v>
      </c>
      <c r="E374" s="124" t="str">
        <f aca="false">IF(D374="","",IFERROR(VLOOKUP(D374,CCN_Library!$A$4:$B$13,2,FALSE()),"NOT IN LIBRARY"))</f>
        <v>COMPANY/BATTERY HEADQUARTERS, MARINE CORPS</v>
      </c>
      <c r="F374" s="125" t="str">
        <f aca="false">LEFT(H374,6)</f>
        <v>M28263</v>
      </c>
      <c r="G374" s="126" t="s">
        <v>128</v>
      </c>
      <c r="H374" s="126" t="s">
        <v>695</v>
      </c>
      <c r="I374" s="126" t="s">
        <v>696</v>
      </c>
      <c r="J374" s="126" t="s">
        <v>191</v>
      </c>
      <c r="K374" s="127" t="s">
        <v>697</v>
      </c>
      <c r="L374" s="126" t="s">
        <v>161</v>
      </c>
      <c r="M374" s="126" t="s">
        <v>133</v>
      </c>
      <c r="N374" s="126" t="s">
        <v>128</v>
      </c>
      <c r="O374" s="126" t="s">
        <v>135</v>
      </c>
      <c r="P374" s="126" t="s">
        <v>135</v>
      </c>
      <c r="Q374" s="128"/>
      <c r="R374" s="126" t="s">
        <v>136</v>
      </c>
      <c r="S374" s="126" t="s">
        <v>58</v>
      </c>
      <c r="T374" s="128"/>
      <c r="U374" s="129" t="n">
        <v>0</v>
      </c>
      <c r="V374" s="129" t="n">
        <v>0</v>
      </c>
      <c r="W374" s="129" t="n">
        <v>0</v>
      </c>
      <c r="X374" s="129" t="n">
        <v>0</v>
      </c>
      <c r="Y374" s="129" t="n">
        <v>0</v>
      </c>
      <c r="Z374" s="129" t="n">
        <v>0</v>
      </c>
      <c r="AA374" s="129" t="n">
        <v>1</v>
      </c>
      <c r="AB374" s="129" t="n">
        <v>0</v>
      </c>
      <c r="AC374" s="129" t="n">
        <v>0</v>
      </c>
      <c r="AD374" s="129" t="n">
        <v>0</v>
      </c>
      <c r="AE374" s="129" t="n">
        <v>0</v>
      </c>
      <c r="AF374" s="129" t="n">
        <v>0</v>
      </c>
      <c r="AG374" s="129" t="n">
        <v>0</v>
      </c>
      <c r="AH374" s="129" t="n">
        <v>0</v>
      </c>
      <c r="AI374" s="129" t="n">
        <v>0</v>
      </c>
      <c r="AJ374" s="129" t="n">
        <v>0</v>
      </c>
      <c r="AK374" s="129" t="n">
        <v>0</v>
      </c>
      <c r="AL374" s="129" t="n">
        <v>0</v>
      </c>
      <c r="AM374" s="129" t="n">
        <v>0</v>
      </c>
      <c r="AN374" s="128"/>
      <c r="AO374" s="128"/>
      <c r="AP374" s="126" t="s">
        <v>138</v>
      </c>
      <c r="AQ374" s="126" t="s">
        <v>139</v>
      </c>
      <c r="AR374" s="126" t="s">
        <v>140</v>
      </c>
      <c r="AS374" s="128"/>
      <c r="AT374" s="130"/>
    </row>
    <row r="375" customFormat="false" ht="12.75" hidden="false" customHeight="true" outlineLevel="0" collapsed="false">
      <c r="B375" s="131" t="n">
        <f aca="false">B374+1</f>
        <v>372</v>
      </c>
      <c r="C375" s="132" t="s">
        <v>162</v>
      </c>
      <c r="D375" s="133" t="n">
        <v>61073</v>
      </c>
      <c r="E375" s="133"/>
      <c r="F375" s="134" t="str">
        <f aca="false">LEFT(H375,6)</f>
        <v>M28263</v>
      </c>
      <c r="G375" s="135" t="s">
        <v>177</v>
      </c>
      <c r="H375" s="135" t="s">
        <v>698</v>
      </c>
      <c r="I375" s="135" t="s">
        <v>513</v>
      </c>
      <c r="J375" s="136"/>
      <c r="K375" s="136"/>
      <c r="L375" s="136"/>
      <c r="M375" s="136"/>
      <c r="N375" s="136"/>
      <c r="O375" s="136"/>
      <c r="P375" s="136"/>
      <c r="Q375" s="136"/>
      <c r="R375" s="136"/>
      <c r="S375" s="136"/>
      <c r="T375" s="136"/>
      <c r="U375" s="137" t="n">
        <v>0</v>
      </c>
      <c r="V375" s="137" t="n">
        <v>0</v>
      </c>
      <c r="W375" s="137" t="n">
        <v>0</v>
      </c>
      <c r="X375" s="137" t="n">
        <v>0</v>
      </c>
      <c r="Y375" s="137" t="n">
        <v>0</v>
      </c>
      <c r="Z375" s="137" t="n">
        <v>0</v>
      </c>
      <c r="AA375" s="137" t="n">
        <v>0</v>
      </c>
      <c r="AB375" s="137" t="n">
        <v>0</v>
      </c>
      <c r="AC375" s="137" t="n">
        <v>0</v>
      </c>
      <c r="AD375" s="137" t="n">
        <v>0</v>
      </c>
      <c r="AE375" s="137" t="n">
        <v>0</v>
      </c>
      <c r="AF375" s="137" t="n">
        <v>0</v>
      </c>
      <c r="AG375" s="137" t="n">
        <v>0</v>
      </c>
      <c r="AH375" s="137" t="n">
        <v>0</v>
      </c>
      <c r="AI375" s="137" t="n">
        <v>0</v>
      </c>
      <c r="AJ375" s="137" t="n">
        <v>0</v>
      </c>
      <c r="AK375" s="137" t="n">
        <v>0</v>
      </c>
      <c r="AL375" s="137" t="n">
        <v>0</v>
      </c>
      <c r="AM375" s="137" t="n">
        <v>0</v>
      </c>
      <c r="AN375" s="136"/>
      <c r="AO375" s="136"/>
      <c r="AP375" s="136"/>
      <c r="AQ375" s="136"/>
      <c r="AR375" s="136"/>
      <c r="AS375" s="136"/>
      <c r="AT375" s="138"/>
    </row>
    <row r="376" customFormat="false" ht="12.75" hidden="false" customHeight="true" outlineLevel="0" collapsed="false">
      <c r="B376" s="122" t="n">
        <f aca="false">B375+1</f>
        <v>373</v>
      </c>
      <c r="C376" s="123" t="s">
        <v>162</v>
      </c>
      <c r="D376" s="140" t="n">
        <v>61073</v>
      </c>
      <c r="E376" s="124" t="str">
        <f aca="false">IF(D376="","",IFERROR(VLOOKUP(D376,CCN_Library!$A$4:$B$13,2,FALSE()),"NOT IN LIBRARY"))</f>
        <v>COMPANY/BATTERY HEADQUARTERS, MARINE CORPS</v>
      </c>
      <c r="F376" s="125" t="str">
        <f aca="false">LEFT(H376,6)</f>
        <v>M28263</v>
      </c>
      <c r="G376" s="126" t="s">
        <v>128</v>
      </c>
      <c r="H376" s="126" t="s">
        <v>699</v>
      </c>
      <c r="I376" s="126" t="s">
        <v>515</v>
      </c>
      <c r="J376" s="126" t="s">
        <v>189</v>
      </c>
      <c r="K376" s="127" t="s">
        <v>516</v>
      </c>
      <c r="L376" s="126" t="s">
        <v>161</v>
      </c>
      <c r="M376" s="126" t="s">
        <v>133</v>
      </c>
      <c r="N376" s="126" t="s">
        <v>128</v>
      </c>
      <c r="O376" s="126" t="s">
        <v>135</v>
      </c>
      <c r="P376" s="126" t="s">
        <v>135</v>
      </c>
      <c r="Q376" s="128"/>
      <c r="R376" s="126" t="s">
        <v>136</v>
      </c>
      <c r="S376" s="126" t="s">
        <v>137</v>
      </c>
      <c r="T376" s="128"/>
      <c r="U376" s="129" t="n">
        <v>0</v>
      </c>
      <c r="V376" s="129" t="n">
        <v>0</v>
      </c>
      <c r="W376" s="129" t="n">
        <v>0</v>
      </c>
      <c r="X376" s="129" t="n">
        <v>0</v>
      </c>
      <c r="Y376" s="129" t="n">
        <v>0</v>
      </c>
      <c r="Z376" s="129" t="n">
        <v>0</v>
      </c>
      <c r="AA376" s="129" t="n">
        <v>1</v>
      </c>
      <c r="AB376" s="129" t="n">
        <v>0</v>
      </c>
      <c r="AC376" s="129" t="n">
        <v>0</v>
      </c>
      <c r="AD376" s="129" t="n">
        <v>0</v>
      </c>
      <c r="AE376" s="129" t="n">
        <v>0</v>
      </c>
      <c r="AF376" s="129" t="n">
        <v>0</v>
      </c>
      <c r="AG376" s="129" t="n">
        <v>0</v>
      </c>
      <c r="AH376" s="129" t="n">
        <v>0</v>
      </c>
      <c r="AI376" s="129" t="n">
        <v>0</v>
      </c>
      <c r="AJ376" s="129" t="n">
        <v>0</v>
      </c>
      <c r="AK376" s="129" t="n">
        <v>0</v>
      </c>
      <c r="AL376" s="129" t="n">
        <v>0</v>
      </c>
      <c r="AM376" s="129" t="n">
        <v>0</v>
      </c>
      <c r="AN376" s="128"/>
      <c r="AO376" s="128"/>
      <c r="AP376" s="126" t="s">
        <v>138</v>
      </c>
      <c r="AQ376" s="126" t="s">
        <v>139</v>
      </c>
      <c r="AR376" s="126" t="s">
        <v>140</v>
      </c>
      <c r="AS376" s="128"/>
      <c r="AT376" s="130"/>
    </row>
    <row r="377" customFormat="false" ht="12.75" hidden="false" customHeight="true" outlineLevel="0" collapsed="false">
      <c r="B377" s="122" t="n">
        <f aca="false">B376+1</f>
        <v>374</v>
      </c>
      <c r="C377" s="123" t="s">
        <v>168</v>
      </c>
      <c r="D377" s="140" t="n">
        <v>61073</v>
      </c>
      <c r="E377" s="124" t="str">
        <f aca="false">IF(D377="","",IFERROR(VLOOKUP(D377,CCN_Library!$A$4:$B$13,2,FALSE()),"NOT IN LIBRARY"))</f>
        <v>COMPANY/BATTERY HEADQUARTERS, MARINE CORPS</v>
      </c>
      <c r="F377" s="125" t="str">
        <f aca="false">LEFT(H377,6)</f>
        <v>M28263</v>
      </c>
      <c r="G377" s="126" t="s">
        <v>128</v>
      </c>
      <c r="H377" s="126" t="s">
        <v>700</v>
      </c>
      <c r="I377" s="126" t="s">
        <v>515</v>
      </c>
      <c r="J377" s="126" t="s">
        <v>191</v>
      </c>
      <c r="K377" s="127" t="s">
        <v>516</v>
      </c>
      <c r="L377" s="126" t="s">
        <v>161</v>
      </c>
      <c r="M377" s="126" t="s">
        <v>133</v>
      </c>
      <c r="N377" s="126" t="s">
        <v>128</v>
      </c>
      <c r="O377" s="126" t="s">
        <v>135</v>
      </c>
      <c r="P377" s="126" t="s">
        <v>135</v>
      </c>
      <c r="Q377" s="128"/>
      <c r="R377" s="126" t="s">
        <v>136</v>
      </c>
      <c r="S377" s="126" t="s">
        <v>58</v>
      </c>
      <c r="T377" s="128"/>
      <c r="U377" s="129" t="n">
        <v>0</v>
      </c>
      <c r="V377" s="129" t="n">
        <v>0</v>
      </c>
      <c r="W377" s="129" t="n">
        <v>0</v>
      </c>
      <c r="X377" s="129" t="n">
        <v>0</v>
      </c>
      <c r="Y377" s="129" t="n">
        <v>0</v>
      </c>
      <c r="Z377" s="129" t="n">
        <v>0</v>
      </c>
      <c r="AA377" s="129" t="n">
        <v>1</v>
      </c>
      <c r="AB377" s="129" t="n">
        <v>0</v>
      </c>
      <c r="AC377" s="129" t="n">
        <v>0</v>
      </c>
      <c r="AD377" s="129" t="n">
        <v>0</v>
      </c>
      <c r="AE377" s="129" t="n">
        <v>0</v>
      </c>
      <c r="AF377" s="129" t="n">
        <v>0</v>
      </c>
      <c r="AG377" s="129" t="n">
        <v>0</v>
      </c>
      <c r="AH377" s="129" t="n">
        <v>0</v>
      </c>
      <c r="AI377" s="129" t="n">
        <v>0</v>
      </c>
      <c r="AJ377" s="129" t="n">
        <v>0</v>
      </c>
      <c r="AK377" s="129" t="n">
        <v>0</v>
      </c>
      <c r="AL377" s="129" t="n">
        <v>0</v>
      </c>
      <c r="AM377" s="129" t="n">
        <v>0</v>
      </c>
      <c r="AN377" s="128"/>
      <c r="AO377" s="128"/>
      <c r="AP377" s="126" t="s">
        <v>138</v>
      </c>
      <c r="AQ377" s="126" t="s">
        <v>139</v>
      </c>
      <c r="AR377" s="126" t="s">
        <v>140</v>
      </c>
      <c r="AS377" s="128"/>
      <c r="AT377" s="130"/>
    </row>
    <row r="378" customFormat="false" ht="12.75" hidden="false" customHeight="true" outlineLevel="0" collapsed="false">
      <c r="B378" s="122" t="n">
        <f aca="false">B377+1</f>
        <v>375</v>
      </c>
      <c r="C378" s="123" t="s">
        <v>168</v>
      </c>
      <c r="D378" s="140" t="n">
        <v>61073</v>
      </c>
      <c r="E378" s="124" t="str">
        <f aca="false">IF(D378="","",IFERROR(VLOOKUP(D378,CCN_Library!$A$4:$B$13,2,FALSE()),"NOT IN LIBRARY"))</f>
        <v>COMPANY/BATTERY HEADQUARTERS, MARINE CORPS</v>
      </c>
      <c r="F378" s="125" t="str">
        <f aca="false">LEFT(H378,6)</f>
        <v>M28263</v>
      </c>
      <c r="G378" s="126" t="s">
        <v>128</v>
      </c>
      <c r="H378" s="126" t="s">
        <v>701</v>
      </c>
      <c r="I378" s="126" t="s">
        <v>515</v>
      </c>
      <c r="J378" s="126" t="s">
        <v>191</v>
      </c>
      <c r="K378" s="127" t="s">
        <v>516</v>
      </c>
      <c r="L378" s="126" t="s">
        <v>161</v>
      </c>
      <c r="M378" s="126" t="s">
        <v>133</v>
      </c>
      <c r="N378" s="126" t="s">
        <v>128</v>
      </c>
      <c r="O378" s="126" t="s">
        <v>135</v>
      </c>
      <c r="P378" s="126" t="s">
        <v>135</v>
      </c>
      <c r="Q378" s="128"/>
      <c r="R378" s="126" t="s">
        <v>136</v>
      </c>
      <c r="S378" s="126" t="s">
        <v>58</v>
      </c>
      <c r="T378" s="128"/>
      <c r="U378" s="129" t="n">
        <v>0</v>
      </c>
      <c r="V378" s="129" t="n">
        <v>0</v>
      </c>
      <c r="W378" s="129" t="n">
        <v>0</v>
      </c>
      <c r="X378" s="129" t="n">
        <v>0</v>
      </c>
      <c r="Y378" s="129" t="n">
        <v>0</v>
      </c>
      <c r="Z378" s="129" t="n">
        <v>0</v>
      </c>
      <c r="AA378" s="129" t="n">
        <v>1</v>
      </c>
      <c r="AB378" s="129" t="n">
        <v>0</v>
      </c>
      <c r="AC378" s="129" t="n">
        <v>0</v>
      </c>
      <c r="AD378" s="129" t="n">
        <v>0</v>
      </c>
      <c r="AE378" s="129" t="n">
        <v>0</v>
      </c>
      <c r="AF378" s="129" t="n">
        <v>0</v>
      </c>
      <c r="AG378" s="129" t="n">
        <v>0</v>
      </c>
      <c r="AH378" s="129" t="n">
        <v>0</v>
      </c>
      <c r="AI378" s="129" t="n">
        <v>0</v>
      </c>
      <c r="AJ378" s="129" t="n">
        <v>0</v>
      </c>
      <c r="AK378" s="129" t="n">
        <v>0</v>
      </c>
      <c r="AL378" s="129" t="n">
        <v>0</v>
      </c>
      <c r="AM378" s="129" t="n">
        <v>0</v>
      </c>
      <c r="AN378" s="128"/>
      <c r="AO378" s="128"/>
      <c r="AP378" s="126" t="s">
        <v>138</v>
      </c>
      <c r="AQ378" s="126" t="s">
        <v>139</v>
      </c>
      <c r="AR378" s="126" t="s">
        <v>140</v>
      </c>
      <c r="AS378" s="128"/>
      <c r="AT378" s="130"/>
    </row>
    <row r="379" customFormat="false" ht="12.75" hidden="false" customHeight="true" outlineLevel="0" collapsed="false">
      <c r="B379" s="131" t="n">
        <f aca="false">B378+1</f>
        <v>376</v>
      </c>
      <c r="C379" s="132" t="s">
        <v>162</v>
      </c>
      <c r="D379" s="133" t="n">
        <v>61073</v>
      </c>
      <c r="E379" s="133"/>
      <c r="F379" s="134" t="str">
        <f aca="false">LEFT(H379,6)</f>
        <v>M28263</v>
      </c>
      <c r="G379" s="135" t="s">
        <v>177</v>
      </c>
      <c r="H379" s="135" t="s">
        <v>702</v>
      </c>
      <c r="I379" s="135" t="s">
        <v>520</v>
      </c>
      <c r="J379" s="136"/>
      <c r="K379" s="136"/>
      <c r="L379" s="136"/>
      <c r="M379" s="136"/>
      <c r="N379" s="136"/>
      <c r="O379" s="136"/>
      <c r="P379" s="136"/>
      <c r="Q379" s="136"/>
      <c r="R379" s="136"/>
      <c r="S379" s="136"/>
      <c r="T379" s="136"/>
      <c r="U379" s="137" t="n">
        <v>0</v>
      </c>
      <c r="V379" s="137" t="n">
        <v>0</v>
      </c>
      <c r="W379" s="137" t="n">
        <v>0</v>
      </c>
      <c r="X379" s="137" t="n">
        <v>0</v>
      </c>
      <c r="Y379" s="137" t="n">
        <v>0</v>
      </c>
      <c r="Z379" s="137" t="n">
        <v>0</v>
      </c>
      <c r="AA379" s="137" t="n">
        <v>0</v>
      </c>
      <c r="AB379" s="137" t="n">
        <v>0</v>
      </c>
      <c r="AC379" s="137" t="n">
        <v>0</v>
      </c>
      <c r="AD379" s="137" t="n">
        <v>0</v>
      </c>
      <c r="AE379" s="137" t="n">
        <v>0</v>
      </c>
      <c r="AF379" s="137" t="n">
        <v>0</v>
      </c>
      <c r="AG379" s="137" t="n">
        <v>0</v>
      </c>
      <c r="AH379" s="137" t="n">
        <v>0</v>
      </c>
      <c r="AI379" s="137" t="n">
        <v>0</v>
      </c>
      <c r="AJ379" s="137" t="n">
        <v>0</v>
      </c>
      <c r="AK379" s="137" t="n">
        <v>0</v>
      </c>
      <c r="AL379" s="137" t="n">
        <v>0</v>
      </c>
      <c r="AM379" s="137" t="n">
        <v>0</v>
      </c>
      <c r="AN379" s="136"/>
      <c r="AO379" s="136"/>
      <c r="AP379" s="136"/>
      <c r="AQ379" s="136"/>
      <c r="AR379" s="136"/>
      <c r="AS379" s="136"/>
      <c r="AT379" s="138"/>
    </row>
    <row r="380" customFormat="false" ht="12.75" hidden="false" customHeight="true" outlineLevel="0" collapsed="false">
      <c r="B380" s="122" t="n">
        <f aca="false">B379+1</f>
        <v>377</v>
      </c>
      <c r="C380" s="123" t="s">
        <v>162</v>
      </c>
      <c r="D380" s="140" t="n">
        <v>61073</v>
      </c>
      <c r="E380" s="124" t="str">
        <f aca="false">IF(D380="","",IFERROR(VLOOKUP(D380,CCN_Library!$A$4:$B$13,2,FALSE()),"NOT IN LIBRARY"))</f>
        <v>COMPANY/BATTERY HEADQUARTERS, MARINE CORPS</v>
      </c>
      <c r="F380" s="125" t="str">
        <f aca="false">LEFT(H380,6)</f>
        <v>M28263</v>
      </c>
      <c r="G380" s="126" t="s">
        <v>128</v>
      </c>
      <c r="H380" s="126" t="s">
        <v>703</v>
      </c>
      <c r="I380" s="126" t="s">
        <v>457</v>
      </c>
      <c r="J380" s="126" t="s">
        <v>189</v>
      </c>
      <c r="K380" s="127" t="s">
        <v>458</v>
      </c>
      <c r="L380" s="126" t="s">
        <v>161</v>
      </c>
      <c r="M380" s="126" t="s">
        <v>133</v>
      </c>
      <c r="N380" s="126" t="s">
        <v>128</v>
      </c>
      <c r="O380" s="126" t="s">
        <v>135</v>
      </c>
      <c r="P380" s="126" t="s">
        <v>135</v>
      </c>
      <c r="Q380" s="128"/>
      <c r="R380" s="126" t="s">
        <v>136</v>
      </c>
      <c r="S380" s="126" t="s">
        <v>137</v>
      </c>
      <c r="T380" s="128"/>
      <c r="U380" s="129" t="n">
        <v>0</v>
      </c>
      <c r="V380" s="129" t="n">
        <v>0</v>
      </c>
      <c r="W380" s="129" t="n">
        <v>0</v>
      </c>
      <c r="X380" s="129" t="n">
        <v>0</v>
      </c>
      <c r="Y380" s="129" t="n">
        <v>0</v>
      </c>
      <c r="Z380" s="129" t="n">
        <v>0</v>
      </c>
      <c r="AA380" s="129" t="n">
        <v>1</v>
      </c>
      <c r="AB380" s="129" t="n">
        <v>0</v>
      </c>
      <c r="AC380" s="129" t="n">
        <v>0</v>
      </c>
      <c r="AD380" s="129" t="n">
        <v>0</v>
      </c>
      <c r="AE380" s="129" t="n">
        <v>0</v>
      </c>
      <c r="AF380" s="129" t="n">
        <v>0</v>
      </c>
      <c r="AG380" s="129" t="n">
        <v>0</v>
      </c>
      <c r="AH380" s="129" t="n">
        <v>0</v>
      </c>
      <c r="AI380" s="129" t="n">
        <v>0</v>
      </c>
      <c r="AJ380" s="129" t="n">
        <v>0</v>
      </c>
      <c r="AK380" s="129" t="n">
        <v>0</v>
      </c>
      <c r="AL380" s="129" t="n">
        <v>0</v>
      </c>
      <c r="AM380" s="129" t="n">
        <v>0</v>
      </c>
      <c r="AN380" s="128"/>
      <c r="AO380" s="128"/>
      <c r="AP380" s="126" t="s">
        <v>138</v>
      </c>
      <c r="AQ380" s="126" t="s">
        <v>139</v>
      </c>
      <c r="AR380" s="126" t="s">
        <v>140</v>
      </c>
      <c r="AS380" s="128"/>
      <c r="AT380" s="130"/>
    </row>
    <row r="381" customFormat="false" ht="12.75" hidden="false" customHeight="true" outlineLevel="0" collapsed="false">
      <c r="B381" s="122" t="n">
        <f aca="false">B380+1</f>
        <v>378</v>
      </c>
      <c r="C381" s="123" t="s">
        <v>168</v>
      </c>
      <c r="D381" s="140" t="n">
        <v>61073</v>
      </c>
      <c r="E381" s="124" t="str">
        <f aca="false">IF(D381="","",IFERROR(VLOOKUP(D381,CCN_Library!$A$4:$B$13,2,FALSE()),"NOT IN LIBRARY"))</f>
        <v>COMPANY/BATTERY HEADQUARTERS, MARINE CORPS</v>
      </c>
      <c r="F381" s="125" t="str">
        <f aca="false">LEFT(H381,6)</f>
        <v>M28263</v>
      </c>
      <c r="G381" s="126" t="s">
        <v>128</v>
      </c>
      <c r="H381" s="126" t="s">
        <v>704</v>
      </c>
      <c r="I381" s="126" t="s">
        <v>457</v>
      </c>
      <c r="J381" s="126" t="s">
        <v>191</v>
      </c>
      <c r="K381" s="127" t="s">
        <v>458</v>
      </c>
      <c r="L381" s="126" t="s">
        <v>161</v>
      </c>
      <c r="M381" s="126" t="s">
        <v>133</v>
      </c>
      <c r="N381" s="126" t="s">
        <v>128</v>
      </c>
      <c r="O381" s="126" t="s">
        <v>135</v>
      </c>
      <c r="P381" s="126" t="s">
        <v>135</v>
      </c>
      <c r="Q381" s="128"/>
      <c r="R381" s="126" t="s">
        <v>136</v>
      </c>
      <c r="S381" s="126" t="s">
        <v>58</v>
      </c>
      <c r="T381" s="128"/>
      <c r="U381" s="129" t="n">
        <v>0</v>
      </c>
      <c r="V381" s="129" t="n">
        <v>0</v>
      </c>
      <c r="W381" s="129" t="n">
        <v>0</v>
      </c>
      <c r="X381" s="129" t="n">
        <v>0</v>
      </c>
      <c r="Y381" s="129" t="n">
        <v>0</v>
      </c>
      <c r="Z381" s="129" t="n">
        <v>0</v>
      </c>
      <c r="AA381" s="129" t="n">
        <v>1</v>
      </c>
      <c r="AB381" s="129" t="n">
        <v>0</v>
      </c>
      <c r="AC381" s="129" t="n">
        <v>0</v>
      </c>
      <c r="AD381" s="129" t="n">
        <v>0</v>
      </c>
      <c r="AE381" s="129" t="n">
        <v>0</v>
      </c>
      <c r="AF381" s="129" t="n">
        <v>0</v>
      </c>
      <c r="AG381" s="129" t="n">
        <v>0</v>
      </c>
      <c r="AH381" s="129" t="n">
        <v>0</v>
      </c>
      <c r="AI381" s="129" t="n">
        <v>0</v>
      </c>
      <c r="AJ381" s="129" t="n">
        <v>0</v>
      </c>
      <c r="AK381" s="129" t="n">
        <v>0</v>
      </c>
      <c r="AL381" s="129" t="n">
        <v>0</v>
      </c>
      <c r="AM381" s="129" t="n">
        <v>0</v>
      </c>
      <c r="AN381" s="128"/>
      <c r="AO381" s="128"/>
      <c r="AP381" s="126" t="s">
        <v>138</v>
      </c>
      <c r="AQ381" s="126" t="s">
        <v>139</v>
      </c>
      <c r="AR381" s="126" t="s">
        <v>140</v>
      </c>
      <c r="AS381" s="128"/>
      <c r="AT381" s="130"/>
    </row>
    <row r="382" customFormat="false" ht="12.75" hidden="false" customHeight="true" outlineLevel="0" collapsed="false">
      <c r="B382" s="122" t="n">
        <f aca="false">B381+1</f>
        <v>379</v>
      </c>
      <c r="C382" s="123" t="s">
        <v>168</v>
      </c>
      <c r="D382" s="140" t="n">
        <v>61073</v>
      </c>
      <c r="E382" s="124" t="str">
        <f aca="false">IF(D382="","",IFERROR(VLOOKUP(D382,CCN_Library!$A$4:$B$13,2,FALSE()),"NOT IN LIBRARY"))</f>
        <v>COMPANY/BATTERY HEADQUARTERS, MARINE CORPS</v>
      </c>
      <c r="F382" s="125" t="str">
        <f aca="false">LEFT(H382,6)</f>
        <v>M28263</v>
      </c>
      <c r="G382" s="126" t="s">
        <v>128</v>
      </c>
      <c r="H382" s="126" t="s">
        <v>705</v>
      </c>
      <c r="I382" s="126" t="s">
        <v>457</v>
      </c>
      <c r="J382" s="126" t="s">
        <v>176</v>
      </c>
      <c r="K382" s="127" t="s">
        <v>458</v>
      </c>
      <c r="L382" s="126" t="s">
        <v>161</v>
      </c>
      <c r="M382" s="126" t="s">
        <v>133</v>
      </c>
      <c r="N382" s="126" t="s">
        <v>128</v>
      </c>
      <c r="O382" s="126" t="s">
        <v>135</v>
      </c>
      <c r="P382" s="126" t="s">
        <v>135</v>
      </c>
      <c r="Q382" s="128"/>
      <c r="R382" s="126" t="s">
        <v>136</v>
      </c>
      <c r="S382" s="126" t="s">
        <v>58</v>
      </c>
      <c r="T382" s="128"/>
      <c r="U382" s="129" t="n">
        <v>0</v>
      </c>
      <c r="V382" s="129" t="n">
        <v>0</v>
      </c>
      <c r="W382" s="129" t="n">
        <v>0</v>
      </c>
      <c r="X382" s="129" t="n">
        <v>0</v>
      </c>
      <c r="Y382" s="129" t="n">
        <v>0</v>
      </c>
      <c r="Z382" s="129" t="n">
        <v>0</v>
      </c>
      <c r="AA382" s="129" t="n">
        <v>1</v>
      </c>
      <c r="AB382" s="129" t="n">
        <v>0</v>
      </c>
      <c r="AC382" s="129" t="n">
        <v>0</v>
      </c>
      <c r="AD382" s="129" t="n">
        <v>0</v>
      </c>
      <c r="AE382" s="129" t="n">
        <v>0</v>
      </c>
      <c r="AF382" s="129" t="n">
        <v>0</v>
      </c>
      <c r="AG382" s="129" t="n">
        <v>0</v>
      </c>
      <c r="AH382" s="129" t="n">
        <v>0</v>
      </c>
      <c r="AI382" s="129" t="n">
        <v>0</v>
      </c>
      <c r="AJ382" s="129" t="n">
        <v>0</v>
      </c>
      <c r="AK382" s="129" t="n">
        <v>0</v>
      </c>
      <c r="AL382" s="129" t="n">
        <v>0</v>
      </c>
      <c r="AM382" s="129" t="n">
        <v>0</v>
      </c>
      <c r="AN382" s="128"/>
      <c r="AO382" s="128"/>
      <c r="AP382" s="126" t="s">
        <v>138</v>
      </c>
      <c r="AQ382" s="126" t="s">
        <v>139</v>
      </c>
      <c r="AR382" s="126" t="s">
        <v>140</v>
      </c>
      <c r="AS382" s="128"/>
      <c r="AT382" s="139"/>
    </row>
    <row r="383" customFormat="false" ht="12.75" hidden="false" customHeight="true" outlineLevel="0" collapsed="false">
      <c r="B383" s="131" t="n">
        <f aca="false">B382+1</f>
        <v>380</v>
      </c>
      <c r="C383" s="132" t="s">
        <v>162</v>
      </c>
      <c r="D383" s="133" t="n">
        <v>61073</v>
      </c>
      <c r="E383" s="133"/>
      <c r="F383" s="134" t="str">
        <f aca="false">LEFT(H383,6)</f>
        <v>M28263</v>
      </c>
      <c r="G383" s="135" t="s">
        <v>58</v>
      </c>
      <c r="H383" s="135" t="s">
        <v>706</v>
      </c>
      <c r="I383" s="135" t="s">
        <v>525</v>
      </c>
      <c r="J383" s="136"/>
      <c r="K383" s="136"/>
      <c r="L383" s="136"/>
      <c r="M383" s="136"/>
      <c r="N383" s="136"/>
      <c r="O383" s="136"/>
      <c r="P383" s="136"/>
      <c r="Q383" s="136"/>
      <c r="R383" s="136"/>
      <c r="S383" s="136"/>
      <c r="T383" s="136"/>
      <c r="U383" s="137" t="n">
        <v>0</v>
      </c>
      <c r="V383" s="137" t="n">
        <v>0</v>
      </c>
      <c r="W383" s="137" t="n">
        <v>0</v>
      </c>
      <c r="X383" s="137" t="n">
        <v>0</v>
      </c>
      <c r="Y383" s="137" t="n">
        <v>0</v>
      </c>
      <c r="Z383" s="137" t="n">
        <v>0</v>
      </c>
      <c r="AA383" s="137" t="n">
        <v>0</v>
      </c>
      <c r="AB383" s="137" t="n">
        <v>0</v>
      </c>
      <c r="AC383" s="137" t="n">
        <v>0</v>
      </c>
      <c r="AD383" s="137" t="n">
        <v>0</v>
      </c>
      <c r="AE383" s="137" t="n">
        <v>0</v>
      </c>
      <c r="AF383" s="137" t="n">
        <v>0</v>
      </c>
      <c r="AG383" s="137" t="n">
        <v>0</v>
      </c>
      <c r="AH383" s="137" t="n">
        <v>0</v>
      </c>
      <c r="AI383" s="137" t="n">
        <v>0</v>
      </c>
      <c r="AJ383" s="137" t="n">
        <v>0</v>
      </c>
      <c r="AK383" s="137" t="n">
        <v>0</v>
      </c>
      <c r="AL383" s="137" t="n">
        <v>0</v>
      </c>
      <c r="AM383" s="137" t="n">
        <v>0</v>
      </c>
      <c r="AN383" s="136"/>
      <c r="AO383" s="136"/>
      <c r="AP383" s="136"/>
      <c r="AQ383" s="136"/>
      <c r="AR383" s="136"/>
      <c r="AS383" s="136"/>
      <c r="AT383" s="138"/>
    </row>
    <row r="384" customFormat="false" ht="12.75" hidden="false" customHeight="true" outlineLevel="0" collapsed="false">
      <c r="B384" s="122" t="n">
        <f aca="false">B383+1</f>
        <v>381</v>
      </c>
      <c r="C384" s="123" t="s">
        <v>162</v>
      </c>
      <c r="D384" s="140" t="n">
        <v>61073</v>
      </c>
      <c r="E384" s="124" t="str">
        <f aca="false">IF(D384="","",IFERROR(VLOOKUP(D384,CCN_Library!$A$4:$B$13,2,FALSE()),"NOT IN LIBRARY"))</f>
        <v>COMPANY/BATTERY HEADQUARTERS, MARINE CORPS</v>
      </c>
      <c r="F384" s="125" t="str">
        <f aca="false">LEFT(H384,6)</f>
        <v>M28263</v>
      </c>
      <c r="G384" s="126" t="s">
        <v>128</v>
      </c>
      <c r="H384" s="126" t="s">
        <v>707</v>
      </c>
      <c r="I384" s="126" t="s">
        <v>527</v>
      </c>
      <c r="J384" s="126" t="s">
        <v>211</v>
      </c>
      <c r="K384" s="127" t="s">
        <v>151</v>
      </c>
      <c r="L384" s="126" t="s">
        <v>151</v>
      </c>
      <c r="M384" s="126" t="s">
        <v>133</v>
      </c>
      <c r="N384" s="126" t="s">
        <v>134</v>
      </c>
      <c r="O384" s="126" t="s">
        <v>135</v>
      </c>
      <c r="P384" s="126" t="s">
        <v>135</v>
      </c>
      <c r="Q384" s="128"/>
      <c r="R384" s="126" t="s">
        <v>136</v>
      </c>
      <c r="S384" s="126" t="s">
        <v>137</v>
      </c>
      <c r="T384" s="128"/>
      <c r="U384" s="129" t="n">
        <v>0</v>
      </c>
      <c r="V384" s="129" t="n">
        <v>0</v>
      </c>
      <c r="W384" s="129" t="n">
        <v>0</v>
      </c>
      <c r="X384" s="129" t="n">
        <v>0</v>
      </c>
      <c r="Y384" s="129" t="n">
        <v>0</v>
      </c>
      <c r="Z384" s="129" t="n">
        <v>1</v>
      </c>
      <c r="AA384" s="129" t="n">
        <v>0</v>
      </c>
      <c r="AB384" s="129" t="n">
        <v>0</v>
      </c>
      <c r="AC384" s="129" t="n">
        <v>0</v>
      </c>
      <c r="AD384" s="129" t="n">
        <v>0</v>
      </c>
      <c r="AE384" s="129" t="n">
        <v>0</v>
      </c>
      <c r="AF384" s="129" t="n">
        <v>0</v>
      </c>
      <c r="AG384" s="129" t="n">
        <v>0</v>
      </c>
      <c r="AH384" s="129" t="n">
        <v>0</v>
      </c>
      <c r="AI384" s="129" t="n">
        <v>0</v>
      </c>
      <c r="AJ384" s="129" t="n">
        <v>0</v>
      </c>
      <c r="AK384" s="129" t="n">
        <v>0</v>
      </c>
      <c r="AL384" s="129" t="n">
        <v>0</v>
      </c>
      <c r="AM384" s="129" t="n">
        <v>0</v>
      </c>
      <c r="AN384" s="128"/>
      <c r="AO384" s="128"/>
      <c r="AP384" s="126" t="s">
        <v>138</v>
      </c>
      <c r="AQ384" s="126" t="s">
        <v>139</v>
      </c>
      <c r="AR384" s="126" t="s">
        <v>140</v>
      </c>
      <c r="AS384" s="128"/>
      <c r="AT384" s="130"/>
    </row>
    <row r="385" customFormat="false" ht="12.75" hidden="false" customHeight="true" outlineLevel="0" collapsed="false">
      <c r="B385" s="122" t="n">
        <f aca="false">B384+1</f>
        <v>382</v>
      </c>
      <c r="C385" s="123" t="s">
        <v>162</v>
      </c>
      <c r="D385" s="140" t="n">
        <v>61073</v>
      </c>
      <c r="E385" s="124" t="str">
        <f aca="false">IF(D385="","",IFERROR(VLOOKUP(D385,CCN_Library!$A$4:$B$13,2,FALSE()),"NOT IN LIBRARY"))</f>
        <v>COMPANY/BATTERY HEADQUARTERS, MARINE CORPS</v>
      </c>
      <c r="F385" s="125" t="str">
        <f aca="false">LEFT(H385,6)</f>
        <v>M28263</v>
      </c>
      <c r="G385" s="126" t="s">
        <v>128</v>
      </c>
      <c r="H385" s="126" t="s">
        <v>708</v>
      </c>
      <c r="I385" s="126" t="s">
        <v>472</v>
      </c>
      <c r="J385" s="126" t="s">
        <v>211</v>
      </c>
      <c r="K385" s="127" t="s">
        <v>223</v>
      </c>
      <c r="L385" s="126" t="s">
        <v>223</v>
      </c>
      <c r="M385" s="126" t="s">
        <v>133</v>
      </c>
      <c r="N385" s="126" t="s">
        <v>134</v>
      </c>
      <c r="O385" s="126" t="s">
        <v>135</v>
      </c>
      <c r="P385" s="126" t="s">
        <v>135</v>
      </c>
      <c r="Q385" s="128"/>
      <c r="R385" s="126" t="s">
        <v>136</v>
      </c>
      <c r="S385" s="126" t="s">
        <v>137</v>
      </c>
      <c r="T385" s="128"/>
      <c r="U385" s="129" t="n">
        <v>0</v>
      </c>
      <c r="V385" s="129" t="n">
        <v>0</v>
      </c>
      <c r="W385" s="129" t="n">
        <v>0</v>
      </c>
      <c r="X385" s="129" t="n">
        <v>0</v>
      </c>
      <c r="Y385" s="129" t="n">
        <v>0</v>
      </c>
      <c r="Z385" s="129" t="n">
        <v>1</v>
      </c>
      <c r="AA385" s="129" t="n">
        <v>0</v>
      </c>
      <c r="AB385" s="129" t="n">
        <v>0</v>
      </c>
      <c r="AC385" s="129" t="n">
        <v>0</v>
      </c>
      <c r="AD385" s="129" t="n">
        <v>0</v>
      </c>
      <c r="AE385" s="129" t="n">
        <v>0</v>
      </c>
      <c r="AF385" s="129" t="n">
        <v>0</v>
      </c>
      <c r="AG385" s="129" t="n">
        <v>0</v>
      </c>
      <c r="AH385" s="129" t="n">
        <v>0</v>
      </c>
      <c r="AI385" s="129" t="n">
        <v>0</v>
      </c>
      <c r="AJ385" s="129" t="n">
        <v>0</v>
      </c>
      <c r="AK385" s="129" t="n">
        <v>0</v>
      </c>
      <c r="AL385" s="129" t="n">
        <v>0</v>
      </c>
      <c r="AM385" s="129" t="n">
        <v>0</v>
      </c>
      <c r="AN385" s="128"/>
      <c r="AO385" s="128"/>
      <c r="AP385" s="126" t="s">
        <v>138</v>
      </c>
      <c r="AQ385" s="126" t="s">
        <v>139</v>
      </c>
      <c r="AR385" s="126" t="s">
        <v>140</v>
      </c>
      <c r="AS385" s="128"/>
      <c r="AT385" s="130"/>
    </row>
    <row r="386" customFormat="false" ht="12.75" hidden="false" customHeight="true" outlineLevel="0" collapsed="false">
      <c r="B386" s="122" t="n">
        <f aca="false">B385+1</f>
        <v>383</v>
      </c>
      <c r="C386" s="123" t="s">
        <v>162</v>
      </c>
      <c r="D386" s="140" t="n">
        <v>61073</v>
      </c>
      <c r="E386" s="124" t="str">
        <f aca="false">IF(D386="","",IFERROR(VLOOKUP(D386,CCN_Library!$A$4:$B$13,2,FALSE()),"NOT IN LIBRARY"))</f>
        <v>COMPANY/BATTERY HEADQUARTERS, MARINE CORPS</v>
      </c>
      <c r="F386" s="125" t="str">
        <f aca="false">LEFT(H386,6)</f>
        <v>M28263</v>
      </c>
      <c r="G386" s="126" t="s">
        <v>128</v>
      </c>
      <c r="H386" s="126" t="s">
        <v>709</v>
      </c>
      <c r="I386" s="126" t="s">
        <v>530</v>
      </c>
      <c r="J386" s="126" t="s">
        <v>182</v>
      </c>
      <c r="K386" s="127" t="s">
        <v>223</v>
      </c>
      <c r="L386" s="126" t="s">
        <v>223</v>
      </c>
      <c r="M386" s="126" t="s">
        <v>133</v>
      </c>
      <c r="N386" s="126" t="s">
        <v>134</v>
      </c>
      <c r="O386" s="126" t="s">
        <v>135</v>
      </c>
      <c r="P386" s="126" t="s">
        <v>135</v>
      </c>
      <c r="Q386" s="128"/>
      <c r="R386" s="126" t="s">
        <v>136</v>
      </c>
      <c r="S386" s="126" t="s">
        <v>137</v>
      </c>
      <c r="T386" s="128"/>
      <c r="U386" s="129" t="n">
        <v>0</v>
      </c>
      <c r="V386" s="129" t="n">
        <v>0</v>
      </c>
      <c r="W386" s="129" t="n">
        <v>0</v>
      </c>
      <c r="X386" s="129" t="n">
        <v>0</v>
      </c>
      <c r="Y386" s="129" t="n">
        <v>0</v>
      </c>
      <c r="Z386" s="129" t="n">
        <v>1</v>
      </c>
      <c r="AA386" s="129" t="n">
        <v>0</v>
      </c>
      <c r="AB386" s="129" t="n">
        <v>0</v>
      </c>
      <c r="AC386" s="129" t="n">
        <v>0</v>
      </c>
      <c r="AD386" s="129" t="n">
        <v>0</v>
      </c>
      <c r="AE386" s="129" t="n">
        <v>0</v>
      </c>
      <c r="AF386" s="129" t="n">
        <v>0</v>
      </c>
      <c r="AG386" s="129" t="n">
        <v>0</v>
      </c>
      <c r="AH386" s="129" t="n">
        <v>0</v>
      </c>
      <c r="AI386" s="129" t="n">
        <v>0</v>
      </c>
      <c r="AJ386" s="129" t="n">
        <v>0</v>
      </c>
      <c r="AK386" s="129" t="n">
        <v>0</v>
      </c>
      <c r="AL386" s="129" t="n">
        <v>0</v>
      </c>
      <c r="AM386" s="129" t="n">
        <v>0</v>
      </c>
      <c r="AN386" s="128"/>
      <c r="AO386" s="128"/>
      <c r="AP386" s="126" t="s">
        <v>138</v>
      </c>
      <c r="AQ386" s="126" t="s">
        <v>139</v>
      </c>
      <c r="AR386" s="126" t="s">
        <v>140</v>
      </c>
      <c r="AS386" s="128"/>
      <c r="AT386" s="130"/>
    </row>
    <row r="387" customFormat="false" ht="12.75" hidden="false" customHeight="true" outlineLevel="0" collapsed="false">
      <c r="B387" s="122" t="n">
        <f aca="false">B386+1</f>
        <v>384</v>
      </c>
      <c r="C387" s="123" t="s">
        <v>162</v>
      </c>
      <c r="D387" s="140" t="n">
        <v>61073</v>
      </c>
      <c r="E387" s="124" t="str">
        <f aca="false">IF(D387="","",IFERROR(VLOOKUP(D387,CCN_Library!$A$4:$B$13,2,FALSE()),"NOT IN LIBRARY"))</f>
        <v>COMPANY/BATTERY HEADQUARTERS, MARINE CORPS</v>
      </c>
      <c r="F387" s="125" t="str">
        <f aca="false">LEFT(H387,6)</f>
        <v>M28263</v>
      </c>
      <c r="G387" s="126" t="s">
        <v>128</v>
      </c>
      <c r="H387" s="126" t="s">
        <v>710</v>
      </c>
      <c r="I387" s="126" t="s">
        <v>159</v>
      </c>
      <c r="J387" s="126" t="s">
        <v>189</v>
      </c>
      <c r="K387" s="127" t="s">
        <v>161</v>
      </c>
      <c r="L387" s="126" t="s">
        <v>161</v>
      </c>
      <c r="M387" s="126" t="s">
        <v>133</v>
      </c>
      <c r="N387" s="126" t="s">
        <v>128</v>
      </c>
      <c r="O387" s="126" t="s">
        <v>135</v>
      </c>
      <c r="P387" s="126" t="s">
        <v>135</v>
      </c>
      <c r="Q387" s="128"/>
      <c r="R387" s="126" t="s">
        <v>136</v>
      </c>
      <c r="S387" s="126" t="s">
        <v>137</v>
      </c>
      <c r="T387" s="128"/>
      <c r="U387" s="129" t="n">
        <v>0</v>
      </c>
      <c r="V387" s="129" t="n">
        <v>0</v>
      </c>
      <c r="W387" s="129" t="n">
        <v>0</v>
      </c>
      <c r="X387" s="129" t="n">
        <v>0</v>
      </c>
      <c r="Y387" s="129" t="n">
        <v>0</v>
      </c>
      <c r="Z387" s="129" t="n">
        <v>0</v>
      </c>
      <c r="AA387" s="129" t="n">
        <v>1</v>
      </c>
      <c r="AB387" s="129" t="n">
        <v>0</v>
      </c>
      <c r="AC387" s="129" t="n">
        <v>0</v>
      </c>
      <c r="AD387" s="129" t="n">
        <v>0</v>
      </c>
      <c r="AE387" s="129" t="n">
        <v>0</v>
      </c>
      <c r="AF387" s="129" t="n">
        <v>0</v>
      </c>
      <c r="AG387" s="129" t="n">
        <v>0</v>
      </c>
      <c r="AH387" s="129" t="n">
        <v>0</v>
      </c>
      <c r="AI387" s="129" t="n">
        <v>0</v>
      </c>
      <c r="AJ387" s="129" t="n">
        <v>0</v>
      </c>
      <c r="AK387" s="129" t="n">
        <v>0</v>
      </c>
      <c r="AL387" s="129" t="n">
        <v>0</v>
      </c>
      <c r="AM387" s="129" t="n">
        <v>0</v>
      </c>
      <c r="AN387" s="128"/>
      <c r="AO387" s="128"/>
      <c r="AP387" s="126" t="s">
        <v>138</v>
      </c>
      <c r="AQ387" s="126" t="s">
        <v>139</v>
      </c>
      <c r="AR387" s="126" t="s">
        <v>140</v>
      </c>
      <c r="AS387" s="128"/>
      <c r="AT387" s="130"/>
    </row>
    <row r="388" customFormat="false" ht="12.75" hidden="false" customHeight="true" outlineLevel="0" collapsed="false">
      <c r="B388" s="122" t="n">
        <f aca="false">B387+1</f>
        <v>385</v>
      </c>
      <c r="C388" s="123" t="s">
        <v>168</v>
      </c>
      <c r="D388" s="140" t="n">
        <v>61073</v>
      </c>
      <c r="E388" s="124" t="str">
        <f aca="false">IF(D388="","",IFERROR(VLOOKUP(D388,CCN_Library!$A$4:$B$13,2,FALSE()),"NOT IN LIBRARY"))</f>
        <v>COMPANY/BATTERY HEADQUARTERS, MARINE CORPS</v>
      </c>
      <c r="F388" s="125" t="str">
        <f aca="false">LEFT(H388,6)</f>
        <v>M28263</v>
      </c>
      <c r="G388" s="126" t="s">
        <v>128</v>
      </c>
      <c r="H388" s="126" t="s">
        <v>711</v>
      </c>
      <c r="I388" s="126" t="s">
        <v>159</v>
      </c>
      <c r="J388" s="126" t="s">
        <v>191</v>
      </c>
      <c r="K388" s="127" t="s">
        <v>161</v>
      </c>
      <c r="L388" s="126" t="s">
        <v>161</v>
      </c>
      <c r="M388" s="126" t="s">
        <v>133</v>
      </c>
      <c r="N388" s="126" t="s">
        <v>128</v>
      </c>
      <c r="O388" s="126" t="s">
        <v>135</v>
      </c>
      <c r="P388" s="126" t="s">
        <v>135</v>
      </c>
      <c r="Q388" s="128"/>
      <c r="R388" s="126" t="s">
        <v>136</v>
      </c>
      <c r="S388" s="126" t="s">
        <v>58</v>
      </c>
      <c r="T388" s="128"/>
      <c r="U388" s="129" t="n">
        <v>0</v>
      </c>
      <c r="V388" s="129" t="n">
        <v>0</v>
      </c>
      <c r="W388" s="129" t="n">
        <v>0</v>
      </c>
      <c r="X388" s="129" t="n">
        <v>0</v>
      </c>
      <c r="Y388" s="129" t="n">
        <v>0</v>
      </c>
      <c r="Z388" s="129" t="n">
        <v>0</v>
      </c>
      <c r="AA388" s="129" t="n">
        <v>1</v>
      </c>
      <c r="AB388" s="129" t="n">
        <v>0</v>
      </c>
      <c r="AC388" s="129" t="n">
        <v>0</v>
      </c>
      <c r="AD388" s="129" t="n">
        <v>0</v>
      </c>
      <c r="AE388" s="129" t="n">
        <v>0</v>
      </c>
      <c r="AF388" s="129" t="n">
        <v>0</v>
      </c>
      <c r="AG388" s="129" t="n">
        <v>0</v>
      </c>
      <c r="AH388" s="129" t="n">
        <v>0</v>
      </c>
      <c r="AI388" s="129" t="n">
        <v>0</v>
      </c>
      <c r="AJ388" s="129" t="n">
        <v>0</v>
      </c>
      <c r="AK388" s="129" t="n">
        <v>0</v>
      </c>
      <c r="AL388" s="129" t="n">
        <v>0</v>
      </c>
      <c r="AM388" s="129" t="n">
        <v>0</v>
      </c>
      <c r="AN388" s="128"/>
      <c r="AO388" s="128"/>
      <c r="AP388" s="126" t="s">
        <v>138</v>
      </c>
      <c r="AQ388" s="126" t="s">
        <v>139</v>
      </c>
      <c r="AR388" s="126" t="s">
        <v>140</v>
      </c>
      <c r="AS388" s="128"/>
      <c r="AT388" s="130"/>
    </row>
    <row r="389" customFormat="false" ht="12.75" hidden="false" customHeight="true" outlineLevel="0" collapsed="false">
      <c r="B389" s="122" t="n">
        <f aca="false">B388+1</f>
        <v>386</v>
      </c>
      <c r="C389" s="123" t="s">
        <v>168</v>
      </c>
      <c r="D389" s="140" t="n">
        <v>61073</v>
      </c>
      <c r="E389" s="124" t="str">
        <f aca="false">IF(D389="","",IFERROR(VLOOKUP(D389,CCN_Library!$A$4:$B$13,2,FALSE()),"NOT IN LIBRARY"))</f>
        <v>COMPANY/BATTERY HEADQUARTERS, MARINE CORPS</v>
      </c>
      <c r="F389" s="125" t="str">
        <f aca="false">LEFT(H389,6)</f>
        <v>M28263</v>
      </c>
      <c r="G389" s="126" t="s">
        <v>128</v>
      </c>
      <c r="H389" s="126" t="s">
        <v>712</v>
      </c>
      <c r="I389" s="126" t="s">
        <v>159</v>
      </c>
      <c r="J389" s="126" t="s">
        <v>191</v>
      </c>
      <c r="K389" s="127" t="s">
        <v>161</v>
      </c>
      <c r="L389" s="126" t="s">
        <v>161</v>
      </c>
      <c r="M389" s="126" t="s">
        <v>133</v>
      </c>
      <c r="N389" s="126" t="s">
        <v>128</v>
      </c>
      <c r="O389" s="126" t="s">
        <v>135</v>
      </c>
      <c r="P389" s="126" t="s">
        <v>135</v>
      </c>
      <c r="Q389" s="128"/>
      <c r="R389" s="126" t="s">
        <v>136</v>
      </c>
      <c r="S389" s="126" t="s">
        <v>58</v>
      </c>
      <c r="T389" s="128"/>
      <c r="U389" s="129" t="n">
        <v>0</v>
      </c>
      <c r="V389" s="129" t="n">
        <v>0</v>
      </c>
      <c r="W389" s="129" t="n">
        <v>0</v>
      </c>
      <c r="X389" s="129" t="n">
        <v>0</v>
      </c>
      <c r="Y389" s="129" t="n">
        <v>0</v>
      </c>
      <c r="Z389" s="129" t="n">
        <v>0</v>
      </c>
      <c r="AA389" s="129" t="n">
        <v>1</v>
      </c>
      <c r="AB389" s="129" t="n">
        <v>0</v>
      </c>
      <c r="AC389" s="129" t="n">
        <v>0</v>
      </c>
      <c r="AD389" s="129" t="n">
        <v>0</v>
      </c>
      <c r="AE389" s="129" t="n">
        <v>0</v>
      </c>
      <c r="AF389" s="129" t="n">
        <v>0</v>
      </c>
      <c r="AG389" s="129" t="n">
        <v>0</v>
      </c>
      <c r="AH389" s="129" t="n">
        <v>0</v>
      </c>
      <c r="AI389" s="129" t="n">
        <v>0</v>
      </c>
      <c r="AJ389" s="129" t="n">
        <v>0</v>
      </c>
      <c r="AK389" s="129" t="n">
        <v>0</v>
      </c>
      <c r="AL389" s="129" t="n">
        <v>0</v>
      </c>
      <c r="AM389" s="129" t="n">
        <v>0</v>
      </c>
      <c r="AN389" s="128"/>
      <c r="AO389" s="128"/>
      <c r="AP389" s="126" t="s">
        <v>138</v>
      </c>
      <c r="AQ389" s="126" t="s">
        <v>139</v>
      </c>
      <c r="AR389" s="126" t="s">
        <v>140</v>
      </c>
      <c r="AS389" s="128"/>
      <c r="AT389" s="130"/>
    </row>
    <row r="390" customFormat="false" ht="12.75" hidden="false" customHeight="true" outlineLevel="0" collapsed="false">
      <c r="B390" s="122" t="n">
        <f aca="false">B389+1</f>
        <v>387</v>
      </c>
      <c r="C390" s="123" t="s">
        <v>168</v>
      </c>
      <c r="D390" s="140" t="n">
        <v>61073</v>
      </c>
      <c r="E390" s="124" t="str">
        <f aca="false">IF(D390="","",IFERROR(VLOOKUP(D390,CCN_Library!$A$4:$B$13,2,FALSE()),"NOT IN LIBRARY"))</f>
        <v>COMPANY/BATTERY HEADQUARTERS, MARINE CORPS</v>
      </c>
      <c r="F390" s="125" t="str">
        <f aca="false">LEFT(H390,6)</f>
        <v>M28263</v>
      </c>
      <c r="G390" s="126" t="s">
        <v>128</v>
      </c>
      <c r="H390" s="126" t="s">
        <v>713</v>
      </c>
      <c r="I390" s="126" t="s">
        <v>159</v>
      </c>
      <c r="J390" s="126" t="s">
        <v>160</v>
      </c>
      <c r="K390" s="127" t="s">
        <v>161</v>
      </c>
      <c r="L390" s="126" t="s">
        <v>161</v>
      </c>
      <c r="M390" s="126" t="s">
        <v>133</v>
      </c>
      <c r="N390" s="126" t="s">
        <v>128</v>
      </c>
      <c r="O390" s="126" t="s">
        <v>135</v>
      </c>
      <c r="P390" s="126" t="s">
        <v>135</v>
      </c>
      <c r="Q390" s="128"/>
      <c r="R390" s="126" t="s">
        <v>136</v>
      </c>
      <c r="S390" s="126" t="s">
        <v>58</v>
      </c>
      <c r="T390" s="128"/>
      <c r="U390" s="129" t="n">
        <v>0</v>
      </c>
      <c r="V390" s="129" t="n">
        <v>0</v>
      </c>
      <c r="W390" s="129" t="n">
        <v>0</v>
      </c>
      <c r="X390" s="129" t="n">
        <v>0</v>
      </c>
      <c r="Y390" s="129" t="n">
        <v>0</v>
      </c>
      <c r="Z390" s="129" t="n">
        <v>0</v>
      </c>
      <c r="AA390" s="129" t="n">
        <v>1</v>
      </c>
      <c r="AB390" s="129" t="n">
        <v>0</v>
      </c>
      <c r="AC390" s="129" t="n">
        <v>0</v>
      </c>
      <c r="AD390" s="129" t="n">
        <v>0</v>
      </c>
      <c r="AE390" s="129" t="n">
        <v>0</v>
      </c>
      <c r="AF390" s="129" t="n">
        <v>0</v>
      </c>
      <c r="AG390" s="129" t="n">
        <v>0</v>
      </c>
      <c r="AH390" s="129" t="n">
        <v>0</v>
      </c>
      <c r="AI390" s="129" t="n">
        <v>0</v>
      </c>
      <c r="AJ390" s="129" t="n">
        <v>0</v>
      </c>
      <c r="AK390" s="129" t="n">
        <v>0</v>
      </c>
      <c r="AL390" s="129" t="n">
        <v>0</v>
      </c>
      <c r="AM390" s="129" t="n">
        <v>0</v>
      </c>
      <c r="AN390" s="126" t="s">
        <v>384</v>
      </c>
      <c r="AO390" s="126" t="s">
        <v>610</v>
      </c>
      <c r="AP390" s="126" t="s">
        <v>138</v>
      </c>
      <c r="AQ390" s="126" t="s">
        <v>139</v>
      </c>
      <c r="AR390" s="126" t="s">
        <v>386</v>
      </c>
      <c r="AS390" s="128"/>
      <c r="AT390" s="139"/>
    </row>
    <row r="391" customFormat="false" ht="12.75" hidden="false" customHeight="true" outlineLevel="0" collapsed="false">
      <c r="B391" s="122" t="n">
        <f aca="false">B390+1</f>
        <v>388</v>
      </c>
      <c r="C391" s="123" t="s">
        <v>168</v>
      </c>
      <c r="D391" s="140" t="n">
        <v>61073</v>
      </c>
      <c r="E391" s="124" t="str">
        <f aca="false">IF(D391="","",IFERROR(VLOOKUP(D391,CCN_Library!$A$4:$B$13,2,FALSE()),"NOT IN LIBRARY"))</f>
        <v>COMPANY/BATTERY HEADQUARTERS, MARINE CORPS</v>
      </c>
      <c r="F391" s="125" t="str">
        <f aca="false">LEFT(H391,6)</f>
        <v>M28263</v>
      </c>
      <c r="G391" s="126" t="s">
        <v>128</v>
      </c>
      <c r="H391" s="126" t="s">
        <v>714</v>
      </c>
      <c r="I391" s="126" t="s">
        <v>159</v>
      </c>
      <c r="J391" s="126" t="s">
        <v>160</v>
      </c>
      <c r="K391" s="127" t="s">
        <v>161</v>
      </c>
      <c r="L391" s="126" t="s">
        <v>161</v>
      </c>
      <c r="M391" s="126" t="s">
        <v>133</v>
      </c>
      <c r="N391" s="126" t="s">
        <v>128</v>
      </c>
      <c r="O391" s="126" t="s">
        <v>135</v>
      </c>
      <c r="P391" s="126" t="s">
        <v>135</v>
      </c>
      <c r="Q391" s="128"/>
      <c r="R391" s="126" t="s">
        <v>136</v>
      </c>
      <c r="S391" s="126" t="s">
        <v>58</v>
      </c>
      <c r="T391" s="128"/>
      <c r="U391" s="129" t="n">
        <v>0</v>
      </c>
      <c r="V391" s="129" t="n">
        <v>0</v>
      </c>
      <c r="W391" s="129" t="n">
        <v>0</v>
      </c>
      <c r="X391" s="129" t="n">
        <v>0</v>
      </c>
      <c r="Y391" s="129" t="n">
        <v>0</v>
      </c>
      <c r="Z391" s="129" t="n">
        <v>0</v>
      </c>
      <c r="AA391" s="129" t="n">
        <v>1</v>
      </c>
      <c r="AB391" s="129" t="n">
        <v>0</v>
      </c>
      <c r="AC391" s="129" t="n">
        <v>0</v>
      </c>
      <c r="AD391" s="129" t="n">
        <v>0</v>
      </c>
      <c r="AE391" s="129" t="n">
        <v>0</v>
      </c>
      <c r="AF391" s="129" t="n">
        <v>0</v>
      </c>
      <c r="AG391" s="129" t="n">
        <v>0</v>
      </c>
      <c r="AH391" s="129" t="n">
        <v>0</v>
      </c>
      <c r="AI391" s="129" t="n">
        <v>0</v>
      </c>
      <c r="AJ391" s="129" t="n">
        <v>0</v>
      </c>
      <c r="AK391" s="129" t="n">
        <v>0</v>
      </c>
      <c r="AL391" s="129" t="n">
        <v>0</v>
      </c>
      <c r="AM391" s="129" t="n">
        <v>0</v>
      </c>
      <c r="AN391" s="128"/>
      <c r="AO391" s="128"/>
      <c r="AP391" s="126" t="s">
        <v>138</v>
      </c>
      <c r="AQ391" s="126" t="s">
        <v>139</v>
      </c>
      <c r="AR391" s="126" t="s">
        <v>140</v>
      </c>
      <c r="AS391" s="128"/>
      <c r="AT391" s="130"/>
    </row>
    <row r="392" customFormat="false" ht="12.75" hidden="false" customHeight="true" outlineLevel="0" collapsed="false">
      <c r="B392" s="122" t="n">
        <f aca="false">B391+1</f>
        <v>389</v>
      </c>
      <c r="C392" s="123" t="s">
        <v>168</v>
      </c>
      <c r="D392" s="140" t="n">
        <v>61073</v>
      </c>
      <c r="E392" s="124" t="str">
        <f aca="false">IF(D392="","",IFERROR(VLOOKUP(D392,CCN_Library!$A$4:$B$13,2,FALSE()),"NOT IN LIBRARY"))</f>
        <v>COMPANY/BATTERY HEADQUARTERS, MARINE CORPS</v>
      </c>
      <c r="F392" s="125" t="str">
        <f aca="false">LEFT(H392,6)</f>
        <v>M28263</v>
      </c>
      <c r="G392" s="126" t="s">
        <v>128</v>
      </c>
      <c r="H392" s="126" t="s">
        <v>715</v>
      </c>
      <c r="I392" s="126" t="s">
        <v>159</v>
      </c>
      <c r="J392" s="126" t="s">
        <v>160</v>
      </c>
      <c r="K392" s="127" t="s">
        <v>161</v>
      </c>
      <c r="L392" s="126" t="s">
        <v>161</v>
      </c>
      <c r="M392" s="126" t="s">
        <v>133</v>
      </c>
      <c r="N392" s="126" t="s">
        <v>128</v>
      </c>
      <c r="O392" s="126" t="s">
        <v>135</v>
      </c>
      <c r="P392" s="126" t="s">
        <v>135</v>
      </c>
      <c r="Q392" s="128"/>
      <c r="R392" s="126" t="s">
        <v>136</v>
      </c>
      <c r="S392" s="126" t="s">
        <v>58</v>
      </c>
      <c r="T392" s="128"/>
      <c r="U392" s="129" t="n">
        <v>0</v>
      </c>
      <c r="V392" s="129" t="n">
        <v>0</v>
      </c>
      <c r="W392" s="129" t="n">
        <v>0</v>
      </c>
      <c r="X392" s="129" t="n">
        <v>0</v>
      </c>
      <c r="Y392" s="129" t="n">
        <v>0</v>
      </c>
      <c r="Z392" s="129" t="n">
        <v>0</v>
      </c>
      <c r="AA392" s="129" t="n">
        <v>1</v>
      </c>
      <c r="AB392" s="129" t="n">
        <v>0</v>
      </c>
      <c r="AC392" s="129" t="n">
        <v>0</v>
      </c>
      <c r="AD392" s="129" t="n">
        <v>0</v>
      </c>
      <c r="AE392" s="129" t="n">
        <v>0</v>
      </c>
      <c r="AF392" s="129" t="n">
        <v>0</v>
      </c>
      <c r="AG392" s="129" t="n">
        <v>0</v>
      </c>
      <c r="AH392" s="129" t="n">
        <v>0</v>
      </c>
      <c r="AI392" s="129" t="n">
        <v>0</v>
      </c>
      <c r="AJ392" s="129" t="n">
        <v>0</v>
      </c>
      <c r="AK392" s="129" t="n">
        <v>0</v>
      </c>
      <c r="AL392" s="129" t="n">
        <v>0</v>
      </c>
      <c r="AM392" s="129" t="n">
        <v>0</v>
      </c>
      <c r="AN392" s="128"/>
      <c r="AO392" s="128"/>
      <c r="AP392" s="126" t="s">
        <v>138</v>
      </c>
      <c r="AQ392" s="126" t="s">
        <v>139</v>
      </c>
      <c r="AR392" s="126" t="s">
        <v>140</v>
      </c>
      <c r="AS392" s="128"/>
      <c r="AT392" s="130"/>
    </row>
    <row r="393" customFormat="false" ht="12.75" hidden="false" customHeight="true" outlineLevel="0" collapsed="false">
      <c r="B393" s="122" t="n">
        <f aca="false">B392+1</f>
        <v>390</v>
      </c>
      <c r="C393" s="123" t="s">
        <v>168</v>
      </c>
      <c r="D393" s="140" t="n">
        <v>61073</v>
      </c>
      <c r="E393" s="124" t="str">
        <f aca="false">IF(D393="","",IFERROR(VLOOKUP(D393,CCN_Library!$A$4:$B$13,2,FALSE()),"NOT IN LIBRARY"))</f>
        <v>COMPANY/BATTERY HEADQUARTERS, MARINE CORPS</v>
      </c>
      <c r="F393" s="125" t="str">
        <f aca="false">LEFT(H393,6)</f>
        <v>M28263</v>
      </c>
      <c r="G393" s="126" t="s">
        <v>128</v>
      </c>
      <c r="H393" s="126" t="s">
        <v>716</v>
      </c>
      <c r="I393" s="126" t="s">
        <v>159</v>
      </c>
      <c r="J393" s="126" t="s">
        <v>160</v>
      </c>
      <c r="K393" s="127" t="s">
        <v>161</v>
      </c>
      <c r="L393" s="126" t="s">
        <v>161</v>
      </c>
      <c r="M393" s="126" t="s">
        <v>133</v>
      </c>
      <c r="N393" s="126" t="s">
        <v>128</v>
      </c>
      <c r="O393" s="126" t="s">
        <v>135</v>
      </c>
      <c r="P393" s="126" t="s">
        <v>135</v>
      </c>
      <c r="Q393" s="128"/>
      <c r="R393" s="126" t="s">
        <v>136</v>
      </c>
      <c r="S393" s="126" t="s">
        <v>58</v>
      </c>
      <c r="T393" s="128"/>
      <c r="U393" s="129" t="n">
        <v>0</v>
      </c>
      <c r="V393" s="129" t="n">
        <v>0</v>
      </c>
      <c r="W393" s="129" t="n">
        <v>0</v>
      </c>
      <c r="X393" s="129" t="n">
        <v>0</v>
      </c>
      <c r="Y393" s="129" t="n">
        <v>0</v>
      </c>
      <c r="Z393" s="129" t="n">
        <v>0</v>
      </c>
      <c r="AA393" s="129" t="n">
        <v>1</v>
      </c>
      <c r="AB393" s="129" t="n">
        <v>0</v>
      </c>
      <c r="AC393" s="129" t="n">
        <v>0</v>
      </c>
      <c r="AD393" s="129" t="n">
        <v>0</v>
      </c>
      <c r="AE393" s="129" t="n">
        <v>0</v>
      </c>
      <c r="AF393" s="129" t="n">
        <v>0</v>
      </c>
      <c r="AG393" s="129" t="n">
        <v>0</v>
      </c>
      <c r="AH393" s="129" t="n">
        <v>0</v>
      </c>
      <c r="AI393" s="129" t="n">
        <v>0</v>
      </c>
      <c r="AJ393" s="129" t="n">
        <v>0</v>
      </c>
      <c r="AK393" s="129" t="n">
        <v>0</v>
      </c>
      <c r="AL393" s="129" t="n">
        <v>0</v>
      </c>
      <c r="AM393" s="129" t="n">
        <v>0</v>
      </c>
      <c r="AN393" s="128"/>
      <c r="AO393" s="128"/>
      <c r="AP393" s="126" t="s">
        <v>138</v>
      </c>
      <c r="AQ393" s="126" t="s">
        <v>139</v>
      </c>
      <c r="AR393" s="126" t="s">
        <v>140</v>
      </c>
      <c r="AS393" s="128"/>
      <c r="AT393" s="130"/>
    </row>
    <row r="394" customFormat="false" ht="12.75" hidden="false" customHeight="true" outlineLevel="0" collapsed="false">
      <c r="B394" s="122" t="n">
        <f aca="false">B393+1</f>
        <v>391</v>
      </c>
      <c r="C394" s="123" t="s">
        <v>168</v>
      </c>
      <c r="D394" s="140" t="n">
        <v>61073</v>
      </c>
      <c r="E394" s="124" t="str">
        <f aca="false">IF(D394="","",IFERROR(VLOOKUP(D394,CCN_Library!$A$4:$B$13,2,FALSE()),"NOT IN LIBRARY"))</f>
        <v>COMPANY/BATTERY HEADQUARTERS, MARINE CORPS</v>
      </c>
      <c r="F394" s="125" t="str">
        <f aca="false">LEFT(H394,6)</f>
        <v>M28263</v>
      </c>
      <c r="G394" s="126" t="s">
        <v>128</v>
      </c>
      <c r="H394" s="126" t="s">
        <v>717</v>
      </c>
      <c r="I394" s="126" t="s">
        <v>159</v>
      </c>
      <c r="J394" s="126" t="s">
        <v>160</v>
      </c>
      <c r="K394" s="127" t="s">
        <v>161</v>
      </c>
      <c r="L394" s="126" t="s">
        <v>161</v>
      </c>
      <c r="M394" s="126" t="s">
        <v>133</v>
      </c>
      <c r="N394" s="126" t="s">
        <v>128</v>
      </c>
      <c r="O394" s="126" t="s">
        <v>135</v>
      </c>
      <c r="P394" s="126" t="s">
        <v>135</v>
      </c>
      <c r="Q394" s="128"/>
      <c r="R394" s="126" t="s">
        <v>136</v>
      </c>
      <c r="S394" s="126" t="s">
        <v>58</v>
      </c>
      <c r="T394" s="128"/>
      <c r="U394" s="129" t="n">
        <v>0</v>
      </c>
      <c r="V394" s="129" t="n">
        <v>0</v>
      </c>
      <c r="W394" s="129" t="n">
        <v>0</v>
      </c>
      <c r="X394" s="129" t="n">
        <v>0</v>
      </c>
      <c r="Y394" s="129" t="n">
        <v>0</v>
      </c>
      <c r="Z394" s="129" t="n">
        <v>0</v>
      </c>
      <c r="AA394" s="129" t="n">
        <v>1</v>
      </c>
      <c r="AB394" s="129" t="n">
        <v>0</v>
      </c>
      <c r="AC394" s="129" t="n">
        <v>0</v>
      </c>
      <c r="AD394" s="129" t="n">
        <v>0</v>
      </c>
      <c r="AE394" s="129" t="n">
        <v>0</v>
      </c>
      <c r="AF394" s="129" t="n">
        <v>0</v>
      </c>
      <c r="AG394" s="129" t="n">
        <v>0</v>
      </c>
      <c r="AH394" s="129" t="n">
        <v>0</v>
      </c>
      <c r="AI394" s="129" t="n">
        <v>0</v>
      </c>
      <c r="AJ394" s="129" t="n">
        <v>0</v>
      </c>
      <c r="AK394" s="129" t="n">
        <v>0</v>
      </c>
      <c r="AL394" s="129" t="n">
        <v>0</v>
      </c>
      <c r="AM394" s="129" t="n">
        <v>0</v>
      </c>
      <c r="AN394" s="128"/>
      <c r="AO394" s="128"/>
      <c r="AP394" s="126" t="s">
        <v>138</v>
      </c>
      <c r="AQ394" s="126" t="s">
        <v>139</v>
      </c>
      <c r="AR394" s="126" t="s">
        <v>140</v>
      </c>
      <c r="AS394" s="128"/>
      <c r="AT394" s="130"/>
    </row>
    <row r="395" customFormat="false" ht="12.75" hidden="false" customHeight="true" outlineLevel="0" collapsed="false">
      <c r="B395" s="131" t="n">
        <f aca="false">B394+1</f>
        <v>392</v>
      </c>
      <c r="C395" s="132" t="s">
        <v>162</v>
      </c>
      <c r="D395" s="133" t="n">
        <v>61073</v>
      </c>
      <c r="E395" s="133"/>
      <c r="F395" s="134" t="str">
        <f aca="false">LEFT(H395,6)</f>
        <v>M28263</v>
      </c>
      <c r="G395" s="135" t="s">
        <v>58</v>
      </c>
      <c r="H395" s="135" t="s">
        <v>718</v>
      </c>
      <c r="I395" s="135" t="s">
        <v>719</v>
      </c>
      <c r="J395" s="136"/>
      <c r="K395" s="136"/>
      <c r="L395" s="136"/>
      <c r="M395" s="136"/>
      <c r="N395" s="136"/>
      <c r="O395" s="136"/>
      <c r="P395" s="136"/>
      <c r="Q395" s="136"/>
      <c r="R395" s="136"/>
      <c r="S395" s="136"/>
      <c r="T395" s="136"/>
      <c r="U395" s="137" t="n">
        <v>0</v>
      </c>
      <c r="V395" s="137" t="n">
        <v>0</v>
      </c>
      <c r="W395" s="137" t="n">
        <v>0</v>
      </c>
      <c r="X395" s="137" t="n">
        <v>0</v>
      </c>
      <c r="Y395" s="137" t="n">
        <v>0</v>
      </c>
      <c r="Z395" s="137" t="n">
        <v>0</v>
      </c>
      <c r="AA395" s="137" t="n">
        <v>0</v>
      </c>
      <c r="AB395" s="137" t="n">
        <v>0</v>
      </c>
      <c r="AC395" s="137" t="n">
        <v>0</v>
      </c>
      <c r="AD395" s="137" t="n">
        <v>0</v>
      </c>
      <c r="AE395" s="137" t="n">
        <v>0</v>
      </c>
      <c r="AF395" s="137" t="n">
        <v>0</v>
      </c>
      <c r="AG395" s="137" t="n">
        <v>0</v>
      </c>
      <c r="AH395" s="137" t="n">
        <v>0</v>
      </c>
      <c r="AI395" s="137" t="n">
        <v>0</v>
      </c>
      <c r="AJ395" s="137" t="n">
        <v>0</v>
      </c>
      <c r="AK395" s="137" t="n">
        <v>0</v>
      </c>
      <c r="AL395" s="137" t="n">
        <v>0</v>
      </c>
      <c r="AM395" s="137" t="n">
        <v>0</v>
      </c>
      <c r="AN395" s="136"/>
      <c r="AO395" s="136"/>
      <c r="AP395" s="136"/>
      <c r="AQ395" s="136"/>
      <c r="AR395" s="136"/>
      <c r="AS395" s="136"/>
      <c r="AT395" s="138"/>
    </row>
    <row r="396" customFormat="false" ht="12.75" hidden="false" customHeight="true" outlineLevel="0" collapsed="false">
      <c r="B396" s="131" t="n">
        <f aca="false">B395+1</f>
        <v>393</v>
      </c>
      <c r="C396" s="132" t="s">
        <v>162</v>
      </c>
      <c r="D396" s="133" t="n">
        <v>61073</v>
      </c>
      <c r="E396" s="133"/>
      <c r="F396" s="134" t="str">
        <f aca="false">LEFT(H396,6)</f>
        <v>M28263</v>
      </c>
      <c r="G396" s="135" t="s">
        <v>177</v>
      </c>
      <c r="H396" s="135" t="s">
        <v>720</v>
      </c>
      <c r="I396" s="135" t="s">
        <v>721</v>
      </c>
      <c r="J396" s="136"/>
      <c r="K396" s="136"/>
      <c r="L396" s="136"/>
      <c r="M396" s="136"/>
      <c r="N396" s="136"/>
      <c r="O396" s="136"/>
      <c r="P396" s="136"/>
      <c r="Q396" s="136"/>
      <c r="R396" s="136"/>
      <c r="S396" s="136"/>
      <c r="T396" s="136"/>
      <c r="U396" s="137" t="n">
        <v>0</v>
      </c>
      <c r="V396" s="137" t="n">
        <v>0</v>
      </c>
      <c r="W396" s="137" t="n">
        <v>0</v>
      </c>
      <c r="X396" s="137" t="n">
        <v>0</v>
      </c>
      <c r="Y396" s="137" t="n">
        <v>0</v>
      </c>
      <c r="Z396" s="137" t="n">
        <v>0</v>
      </c>
      <c r="AA396" s="137" t="n">
        <v>0</v>
      </c>
      <c r="AB396" s="137" t="n">
        <v>0</v>
      </c>
      <c r="AC396" s="137" t="n">
        <v>0</v>
      </c>
      <c r="AD396" s="137" t="n">
        <v>0</v>
      </c>
      <c r="AE396" s="137" t="n">
        <v>0</v>
      </c>
      <c r="AF396" s="137" t="n">
        <v>0</v>
      </c>
      <c r="AG396" s="137" t="n">
        <v>0</v>
      </c>
      <c r="AH396" s="137" t="n">
        <v>0</v>
      </c>
      <c r="AI396" s="137" t="n">
        <v>0</v>
      </c>
      <c r="AJ396" s="137" t="n">
        <v>0</v>
      </c>
      <c r="AK396" s="137" t="n">
        <v>0</v>
      </c>
      <c r="AL396" s="137" t="n">
        <v>0</v>
      </c>
      <c r="AM396" s="137" t="n">
        <v>0</v>
      </c>
      <c r="AN396" s="136"/>
      <c r="AO396" s="136"/>
      <c r="AP396" s="136"/>
      <c r="AQ396" s="136"/>
      <c r="AR396" s="136"/>
      <c r="AS396" s="136"/>
      <c r="AT396" s="138"/>
    </row>
    <row r="397" customFormat="false" ht="12.75" hidden="false" customHeight="true" outlineLevel="0" collapsed="false">
      <c r="B397" s="122" t="n">
        <f aca="false">B396+1</f>
        <v>394</v>
      </c>
      <c r="C397" s="123" t="s">
        <v>162</v>
      </c>
      <c r="D397" s="140" t="n">
        <v>61073</v>
      </c>
      <c r="E397" s="124" t="str">
        <f aca="false">IF(D397="","",IFERROR(VLOOKUP(D397,CCN_Library!$A$4:$B$13,2,FALSE()),"NOT IN LIBRARY"))</f>
        <v>COMPANY/BATTERY HEADQUARTERS, MARINE CORPS</v>
      </c>
      <c r="F397" s="125" t="str">
        <f aca="false">LEFT(H397,6)</f>
        <v>M28263</v>
      </c>
      <c r="G397" s="126" t="s">
        <v>128</v>
      </c>
      <c r="H397" s="126" t="s">
        <v>722</v>
      </c>
      <c r="I397" s="126" t="s">
        <v>466</v>
      </c>
      <c r="J397" s="126" t="s">
        <v>211</v>
      </c>
      <c r="K397" s="127" t="s">
        <v>151</v>
      </c>
      <c r="L397" s="126" t="s">
        <v>151</v>
      </c>
      <c r="M397" s="126" t="s">
        <v>133</v>
      </c>
      <c r="N397" s="126" t="s">
        <v>134</v>
      </c>
      <c r="O397" s="126" t="s">
        <v>135</v>
      </c>
      <c r="P397" s="126" t="s">
        <v>135</v>
      </c>
      <c r="Q397" s="128"/>
      <c r="R397" s="126" t="s">
        <v>136</v>
      </c>
      <c r="S397" s="126" t="s">
        <v>137</v>
      </c>
      <c r="T397" s="128"/>
      <c r="U397" s="129" t="n">
        <v>0</v>
      </c>
      <c r="V397" s="129" t="n">
        <v>0</v>
      </c>
      <c r="W397" s="129" t="n">
        <v>0</v>
      </c>
      <c r="X397" s="129" t="n">
        <v>0</v>
      </c>
      <c r="Y397" s="129" t="n">
        <v>0</v>
      </c>
      <c r="Z397" s="129" t="n">
        <v>1</v>
      </c>
      <c r="AA397" s="129" t="n">
        <v>0</v>
      </c>
      <c r="AB397" s="129" t="n">
        <v>0</v>
      </c>
      <c r="AC397" s="129" t="n">
        <v>0</v>
      </c>
      <c r="AD397" s="129" t="n">
        <v>0</v>
      </c>
      <c r="AE397" s="129" t="n">
        <v>0</v>
      </c>
      <c r="AF397" s="129" t="n">
        <v>0</v>
      </c>
      <c r="AG397" s="129" t="n">
        <v>0</v>
      </c>
      <c r="AH397" s="129" t="n">
        <v>0</v>
      </c>
      <c r="AI397" s="129" t="n">
        <v>0</v>
      </c>
      <c r="AJ397" s="129" t="n">
        <v>0</v>
      </c>
      <c r="AK397" s="129" t="n">
        <v>0</v>
      </c>
      <c r="AL397" s="129" t="n">
        <v>0</v>
      </c>
      <c r="AM397" s="129" t="n">
        <v>0</v>
      </c>
      <c r="AN397" s="128"/>
      <c r="AO397" s="128"/>
      <c r="AP397" s="126" t="s">
        <v>138</v>
      </c>
      <c r="AQ397" s="126" t="s">
        <v>139</v>
      </c>
      <c r="AR397" s="126" t="s">
        <v>140</v>
      </c>
      <c r="AS397" s="128"/>
      <c r="AT397" s="139"/>
    </row>
    <row r="398" customFormat="false" ht="12.75" hidden="false" customHeight="true" outlineLevel="0" collapsed="false">
      <c r="B398" s="122" t="n">
        <f aca="false">B397+1</f>
        <v>395</v>
      </c>
      <c r="C398" s="123" t="s">
        <v>162</v>
      </c>
      <c r="D398" s="140" t="n">
        <v>61073</v>
      </c>
      <c r="E398" s="124" t="str">
        <f aca="false">IF(D398="","",IFERROR(VLOOKUP(D398,CCN_Library!$A$4:$B$13,2,FALSE()),"NOT IN LIBRARY"))</f>
        <v>COMPANY/BATTERY HEADQUARTERS, MARINE CORPS</v>
      </c>
      <c r="F398" s="125" t="str">
        <f aca="false">LEFT(H398,6)</f>
        <v>M28263</v>
      </c>
      <c r="G398" s="126" t="s">
        <v>128</v>
      </c>
      <c r="H398" s="126" t="s">
        <v>723</v>
      </c>
      <c r="I398" s="126" t="s">
        <v>466</v>
      </c>
      <c r="J398" s="126" t="s">
        <v>211</v>
      </c>
      <c r="K398" s="127" t="s">
        <v>151</v>
      </c>
      <c r="L398" s="126" t="s">
        <v>151</v>
      </c>
      <c r="M398" s="126" t="s">
        <v>133</v>
      </c>
      <c r="N398" s="126" t="s">
        <v>134</v>
      </c>
      <c r="O398" s="126" t="s">
        <v>135</v>
      </c>
      <c r="P398" s="126" t="s">
        <v>135</v>
      </c>
      <c r="Q398" s="128"/>
      <c r="R398" s="126" t="s">
        <v>136</v>
      </c>
      <c r="S398" s="126" t="s">
        <v>137</v>
      </c>
      <c r="T398" s="128"/>
      <c r="U398" s="129" t="n">
        <v>0</v>
      </c>
      <c r="V398" s="129" t="n">
        <v>0</v>
      </c>
      <c r="W398" s="129" t="n">
        <v>0</v>
      </c>
      <c r="X398" s="129" t="n">
        <v>0</v>
      </c>
      <c r="Y398" s="129" t="n">
        <v>0</v>
      </c>
      <c r="Z398" s="129" t="n">
        <v>1</v>
      </c>
      <c r="AA398" s="129" t="n">
        <v>0</v>
      </c>
      <c r="AB398" s="129" t="n">
        <v>0</v>
      </c>
      <c r="AC398" s="129" t="n">
        <v>0</v>
      </c>
      <c r="AD398" s="129" t="n">
        <v>0</v>
      </c>
      <c r="AE398" s="129" t="n">
        <v>0</v>
      </c>
      <c r="AF398" s="129" t="n">
        <v>0</v>
      </c>
      <c r="AG398" s="129" t="n">
        <v>0</v>
      </c>
      <c r="AH398" s="129" t="n">
        <v>0</v>
      </c>
      <c r="AI398" s="129" t="n">
        <v>0</v>
      </c>
      <c r="AJ398" s="129" t="n">
        <v>0</v>
      </c>
      <c r="AK398" s="129" t="n">
        <v>0</v>
      </c>
      <c r="AL398" s="129" t="n">
        <v>0</v>
      </c>
      <c r="AM398" s="129" t="n">
        <v>0</v>
      </c>
      <c r="AN398" s="128"/>
      <c r="AO398" s="128"/>
      <c r="AP398" s="126" t="s">
        <v>138</v>
      </c>
      <c r="AQ398" s="126" t="s">
        <v>139</v>
      </c>
      <c r="AR398" s="126" t="s">
        <v>140</v>
      </c>
      <c r="AS398" s="128"/>
      <c r="AT398" s="139"/>
    </row>
    <row r="399" customFormat="false" ht="12.75" hidden="false" customHeight="true" outlineLevel="0" collapsed="false">
      <c r="B399" s="122" t="n">
        <f aca="false">B398+1</f>
        <v>396</v>
      </c>
      <c r="C399" s="123" t="s">
        <v>162</v>
      </c>
      <c r="D399" s="140" t="n">
        <v>61073</v>
      </c>
      <c r="E399" s="124" t="str">
        <f aca="false">IF(D399="","",IFERROR(VLOOKUP(D399,CCN_Library!$A$4:$B$13,2,FALSE()),"NOT IN LIBRARY"))</f>
        <v>COMPANY/BATTERY HEADQUARTERS, MARINE CORPS</v>
      </c>
      <c r="F399" s="125" t="str">
        <f aca="false">LEFT(H399,6)</f>
        <v>M28263</v>
      </c>
      <c r="G399" s="126" t="s">
        <v>128</v>
      </c>
      <c r="H399" s="126" t="s">
        <v>724</v>
      </c>
      <c r="I399" s="126" t="s">
        <v>470</v>
      </c>
      <c r="J399" s="126" t="s">
        <v>211</v>
      </c>
      <c r="K399" s="127" t="s">
        <v>151</v>
      </c>
      <c r="L399" s="126" t="s">
        <v>151</v>
      </c>
      <c r="M399" s="126" t="s">
        <v>133</v>
      </c>
      <c r="N399" s="126" t="s">
        <v>134</v>
      </c>
      <c r="O399" s="126" t="s">
        <v>135</v>
      </c>
      <c r="P399" s="126" t="s">
        <v>135</v>
      </c>
      <c r="Q399" s="128"/>
      <c r="R399" s="126" t="s">
        <v>136</v>
      </c>
      <c r="S399" s="126" t="s">
        <v>137</v>
      </c>
      <c r="T399" s="128"/>
      <c r="U399" s="129" t="n">
        <v>0</v>
      </c>
      <c r="V399" s="129" t="n">
        <v>0</v>
      </c>
      <c r="W399" s="129" t="n">
        <v>0</v>
      </c>
      <c r="X399" s="129" t="n">
        <v>0</v>
      </c>
      <c r="Y399" s="129" t="n">
        <v>0</v>
      </c>
      <c r="Z399" s="129" t="n">
        <v>1</v>
      </c>
      <c r="AA399" s="129" t="n">
        <v>0</v>
      </c>
      <c r="AB399" s="129" t="n">
        <v>0</v>
      </c>
      <c r="AC399" s="129" t="n">
        <v>0</v>
      </c>
      <c r="AD399" s="129" t="n">
        <v>0</v>
      </c>
      <c r="AE399" s="129" t="n">
        <v>0</v>
      </c>
      <c r="AF399" s="129" t="n">
        <v>0</v>
      </c>
      <c r="AG399" s="129" t="n">
        <v>0</v>
      </c>
      <c r="AH399" s="129" t="n">
        <v>0</v>
      </c>
      <c r="AI399" s="129" t="n">
        <v>0</v>
      </c>
      <c r="AJ399" s="129" t="n">
        <v>0</v>
      </c>
      <c r="AK399" s="129" t="n">
        <v>0</v>
      </c>
      <c r="AL399" s="129" t="n">
        <v>0</v>
      </c>
      <c r="AM399" s="129" t="n">
        <v>0</v>
      </c>
      <c r="AN399" s="128"/>
      <c r="AO399" s="128"/>
      <c r="AP399" s="126" t="s">
        <v>138</v>
      </c>
      <c r="AQ399" s="126" t="s">
        <v>139</v>
      </c>
      <c r="AR399" s="126" t="s">
        <v>140</v>
      </c>
      <c r="AS399" s="128"/>
      <c r="AT399" s="130"/>
    </row>
    <row r="400" customFormat="false" ht="12.75" hidden="false" customHeight="true" outlineLevel="0" collapsed="false">
      <c r="B400" s="122" t="n">
        <f aca="false">B399+1</f>
        <v>397</v>
      </c>
      <c r="C400" s="123" t="s">
        <v>162</v>
      </c>
      <c r="D400" s="140" t="n">
        <v>61073</v>
      </c>
      <c r="E400" s="124" t="str">
        <f aca="false">IF(D400="","",IFERROR(VLOOKUP(D400,CCN_Library!$A$4:$B$13,2,FALSE()),"NOT IN LIBRARY"))</f>
        <v>COMPANY/BATTERY HEADQUARTERS, MARINE CORPS</v>
      </c>
      <c r="F400" s="125" t="str">
        <f aca="false">LEFT(H400,6)</f>
        <v>M28263</v>
      </c>
      <c r="G400" s="126" t="s">
        <v>128</v>
      </c>
      <c r="H400" s="126" t="s">
        <v>725</v>
      </c>
      <c r="I400" s="126" t="s">
        <v>472</v>
      </c>
      <c r="J400" s="126" t="s">
        <v>182</v>
      </c>
      <c r="K400" s="127" t="s">
        <v>223</v>
      </c>
      <c r="L400" s="126" t="s">
        <v>223</v>
      </c>
      <c r="M400" s="126" t="s">
        <v>133</v>
      </c>
      <c r="N400" s="126" t="s">
        <v>134</v>
      </c>
      <c r="O400" s="126" t="s">
        <v>135</v>
      </c>
      <c r="P400" s="126" t="s">
        <v>135</v>
      </c>
      <c r="Q400" s="128"/>
      <c r="R400" s="126" t="s">
        <v>136</v>
      </c>
      <c r="S400" s="126" t="s">
        <v>137</v>
      </c>
      <c r="T400" s="128"/>
      <c r="U400" s="129" t="n">
        <v>0</v>
      </c>
      <c r="V400" s="129" t="n">
        <v>0</v>
      </c>
      <c r="W400" s="129" t="n">
        <v>0</v>
      </c>
      <c r="X400" s="129" t="n">
        <v>0</v>
      </c>
      <c r="Y400" s="129" t="n">
        <v>0</v>
      </c>
      <c r="Z400" s="129" t="n">
        <v>1</v>
      </c>
      <c r="AA400" s="129" t="n">
        <v>0</v>
      </c>
      <c r="AB400" s="129" t="n">
        <v>0</v>
      </c>
      <c r="AC400" s="129" t="n">
        <v>0</v>
      </c>
      <c r="AD400" s="129" t="n">
        <v>0</v>
      </c>
      <c r="AE400" s="129" t="n">
        <v>0</v>
      </c>
      <c r="AF400" s="129" t="n">
        <v>0</v>
      </c>
      <c r="AG400" s="129" t="n">
        <v>0</v>
      </c>
      <c r="AH400" s="129" t="n">
        <v>0</v>
      </c>
      <c r="AI400" s="129" t="n">
        <v>0</v>
      </c>
      <c r="AJ400" s="129" t="n">
        <v>0</v>
      </c>
      <c r="AK400" s="129" t="n">
        <v>0</v>
      </c>
      <c r="AL400" s="129" t="n">
        <v>0</v>
      </c>
      <c r="AM400" s="129" t="n">
        <v>0</v>
      </c>
      <c r="AN400" s="128"/>
      <c r="AO400" s="128"/>
      <c r="AP400" s="126" t="s">
        <v>138</v>
      </c>
      <c r="AQ400" s="126" t="s">
        <v>139</v>
      </c>
      <c r="AR400" s="126" t="s">
        <v>140</v>
      </c>
      <c r="AS400" s="128"/>
      <c r="AT400" s="130"/>
    </row>
    <row r="401" customFormat="false" ht="12.75" hidden="false" customHeight="true" outlineLevel="0" collapsed="false">
      <c r="B401" s="122" t="n">
        <f aca="false">B400+1</f>
        <v>398</v>
      </c>
      <c r="C401" s="123" t="s">
        <v>162</v>
      </c>
      <c r="D401" s="140" t="n">
        <v>61073</v>
      </c>
      <c r="E401" s="124" t="str">
        <f aca="false">IF(D401="","",IFERROR(VLOOKUP(D401,CCN_Library!$A$4:$B$13,2,FALSE()),"NOT IN LIBRARY"))</f>
        <v>COMPANY/BATTERY HEADQUARTERS, MARINE CORPS</v>
      </c>
      <c r="F401" s="125" t="str">
        <f aca="false">LEFT(H401,6)</f>
        <v>M28263</v>
      </c>
      <c r="G401" s="126" t="s">
        <v>128</v>
      </c>
      <c r="H401" s="126" t="s">
        <v>726</v>
      </c>
      <c r="I401" s="126" t="s">
        <v>474</v>
      </c>
      <c r="J401" s="126" t="s">
        <v>189</v>
      </c>
      <c r="K401" s="127" t="s">
        <v>475</v>
      </c>
      <c r="L401" s="126" t="s">
        <v>161</v>
      </c>
      <c r="M401" s="126" t="s">
        <v>133</v>
      </c>
      <c r="N401" s="126" t="s">
        <v>128</v>
      </c>
      <c r="O401" s="126" t="s">
        <v>135</v>
      </c>
      <c r="P401" s="126" t="s">
        <v>135</v>
      </c>
      <c r="Q401" s="128"/>
      <c r="R401" s="126" t="s">
        <v>136</v>
      </c>
      <c r="S401" s="126" t="s">
        <v>137</v>
      </c>
      <c r="T401" s="128"/>
      <c r="U401" s="129" t="n">
        <v>0</v>
      </c>
      <c r="V401" s="129" t="n">
        <v>0</v>
      </c>
      <c r="W401" s="129" t="n">
        <v>0</v>
      </c>
      <c r="X401" s="129" t="n">
        <v>0</v>
      </c>
      <c r="Y401" s="129" t="n">
        <v>0</v>
      </c>
      <c r="Z401" s="129" t="n">
        <v>0</v>
      </c>
      <c r="AA401" s="129" t="n">
        <v>1</v>
      </c>
      <c r="AB401" s="129" t="n">
        <v>0</v>
      </c>
      <c r="AC401" s="129" t="n">
        <v>0</v>
      </c>
      <c r="AD401" s="129" t="n">
        <v>0</v>
      </c>
      <c r="AE401" s="129" t="n">
        <v>0</v>
      </c>
      <c r="AF401" s="129" t="n">
        <v>0</v>
      </c>
      <c r="AG401" s="129" t="n">
        <v>0</v>
      </c>
      <c r="AH401" s="129" t="n">
        <v>0</v>
      </c>
      <c r="AI401" s="129" t="n">
        <v>0</v>
      </c>
      <c r="AJ401" s="129" t="n">
        <v>0</v>
      </c>
      <c r="AK401" s="129" t="n">
        <v>0</v>
      </c>
      <c r="AL401" s="129" t="n">
        <v>0</v>
      </c>
      <c r="AM401" s="129" t="n">
        <v>0</v>
      </c>
      <c r="AN401" s="128"/>
      <c r="AO401" s="128"/>
      <c r="AP401" s="126" t="s">
        <v>138</v>
      </c>
      <c r="AQ401" s="126" t="s">
        <v>139</v>
      </c>
      <c r="AR401" s="126" t="s">
        <v>140</v>
      </c>
      <c r="AS401" s="128"/>
      <c r="AT401" s="139"/>
    </row>
    <row r="402" customFormat="false" ht="12.75" hidden="false" customHeight="true" outlineLevel="0" collapsed="false">
      <c r="B402" s="122" t="n">
        <f aca="false">B401+1</f>
        <v>399</v>
      </c>
      <c r="C402" s="123" t="s">
        <v>168</v>
      </c>
      <c r="D402" s="140" t="n">
        <v>61073</v>
      </c>
      <c r="E402" s="124" t="str">
        <f aca="false">IF(D402="","",IFERROR(VLOOKUP(D402,CCN_Library!$A$4:$B$13,2,FALSE()),"NOT IN LIBRARY"))</f>
        <v>COMPANY/BATTERY HEADQUARTERS, MARINE CORPS</v>
      </c>
      <c r="F402" s="125" t="str">
        <f aca="false">LEFT(H402,6)</f>
        <v>M28263</v>
      </c>
      <c r="G402" s="126" t="s">
        <v>128</v>
      </c>
      <c r="H402" s="126" t="s">
        <v>727</v>
      </c>
      <c r="I402" s="126" t="s">
        <v>477</v>
      </c>
      <c r="J402" s="126" t="s">
        <v>191</v>
      </c>
      <c r="K402" s="127" t="s">
        <v>478</v>
      </c>
      <c r="L402" s="126" t="s">
        <v>161</v>
      </c>
      <c r="M402" s="126" t="s">
        <v>133</v>
      </c>
      <c r="N402" s="126" t="s">
        <v>128</v>
      </c>
      <c r="O402" s="126" t="s">
        <v>135</v>
      </c>
      <c r="P402" s="126" t="s">
        <v>135</v>
      </c>
      <c r="Q402" s="128"/>
      <c r="R402" s="126" t="s">
        <v>136</v>
      </c>
      <c r="S402" s="126" t="s">
        <v>58</v>
      </c>
      <c r="T402" s="128"/>
      <c r="U402" s="129" t="n">
        <v>0</v>
      </c>
      <c r="V402" s="129" t="n">
        <v>0</v>
      </c>
      <c r="W402" s="129" t="n">
        <v>0</v>
      </c>
      <c r="X402" s="129" t="n">
        <v>0</v>
      </c>
      <c r="Y402" s="129" t="n">
        <v>0</v>
      </c>
      <c r="Z402" s="129" t="n">
        <v>0</v>
      </c>
      <c r="AA402" s="129" t="n">
        <v>1</v>
      </c>
      <c r="AB402" s="129" t="n">
        <v>0</v>
      </c>
      <c r="AC402" s="129" t="n">
        <v>0</v>
      </c>
      <c r="AD402" s="129" t="n">
        <v>0</v>
      </c>
      <c r="AE402" s="129" t="n">
        <v>0</v>
      </c>
      <c r="AF402" s="129" t="n">
        <v>0</v>
      </c>
      <c r="AG402" s="129" t="n">
        <v>0</v>
      </c>
      <c r="AH402" s="129" t="n">
        <v>0</v>
      </c>
      <c r="AI402" s="129" t="n">
        <v>0</v>
      </c>
      <c r="AJ402" s="129" t="n">
        <v>0</v>
      </c>
      <c r="AK402" s="129" t="n">
        <v>0</v>
      </c>
      <c r="AL402" s="129" t="n">
        <v>0</v>
      </c>
      <c r="AM402" s="129" t="n">
        <v>0</v>
      </c>
      <c r="AN402" s="128"/>
      <c r="AO402" s="128"/>
      <c r="AP402" s="126" t="s">
        <v>138</v>
      </c>
      <c r="AQ402" s="126" t="s">
        <v>139</v>
      </c>
      <c r="AR402" s="126" t="s">
        <v>140</v>
      </c>
      <c r="AS402" s="128"/>
      <c r="AT402" s="130"/>
    </row>
    <row r="403" customFormat="false" ht="12.75" hidden="false" customHeight="true" outlineLevel="0" collapsed="false">
      <c r="B403" s="122" t="n">
        <f aca="false">B402+1</f>
        <v>400</v>
      </c>
      <c r="C403" s="123" t="s">
        <v>168</v>
      </c>
      <c r="D403" s="140" t="n">
        <v>61073</v>
      </c>
      <c r="E403" s="124" t="str">
        <f aca="false">IF(D403="","",IFERROR(VLOOKUP(D403,CCN_Library!$A$4:$B$13,2,FALSE()),"NOT IN LIBRARY"))</f>
        <v>COMPANY/BATTERY HEADQUARTERS, MARINE CORPS</v>
      </c>
      <c r="F403" s="125" t="str">
        <f aca="false">LEFT(H403,6)</f>
        <v>M28263</v>
      </c>
      <c r="G403" s="126" t="s">
        <v>128</v>
      </c>
      <c r="H403" s="126" t="s">
        <v>728</v>
      </c>
      <c r="I403" s="126" t="s">
        <v>477</v>
      </c>
      <c r="J403" s="126" t="s">
        <v>176</v>
      </c>
      <c r="K403" s="127" t="s">
        <v>478</v>
      </c>
      <c r="L403" s="126" t="s">
        <v>161</v>
      </c>
      <c r="M403" s="126" t="s">
        <v>133</v>
      </c>
      <c r="N403" s="126" t="s">
        <v>128</v>
      </c>
      <c r="O403" s="126" t="s">
        <v>135</v>
      </c>
      <c r="P403" s="126" t="s">
        <v>135</v>
      </c>
      <c r="Q403" s="128"/>
      <c r="R403" s="126" t="s">
        <v>136</v>
      </c>
      <c r="S403" s="126" t="s">
        <v>58</v>
      </c>
      <c r="T403" s="128"/>
      <c r="U403" s="129" t="n">
        <v>0</v>
      </c>
      <c r="V403" s="129" t="n">
        <v>0</v>
      </c>
      <c r="W403" s="129" t="n">
        <v>0</v>
      </c>
      <c r="X403" s="129" t="n">
        <v>0</v>
      </c>
      <c r="Y403" s="129" t="n">
        <v>0</v>
      </c>
      <c r="Z403" s="129" t="n">
        <v>0</v>
      </c>
      <c r="AA403" s="129" t="n">
        <v>1</v>
      </c>
      <c r="AB403" s="129" t="n">
        <v>0</v>
      </c>
      <c r="AC403" s="129" t="n">
        <v>0</v>
      </c>
      <c r="AD403" s="129" t="n">
        <v>0</v>
      </c>
      <c r="AE403" s="129" t="n">
        <v>0</v>
      </c>
      <c r="AF403" s="129" t="n">
        <v>0</v>
      </c>
      <c r="AG403" s="129" t="n">
        <v>0</v>
      </c>
      <c r="AH403" s="129" t="n">
        <v>0</v>
      </c>
      <c r="AI403" s="129" t="n">
        <v>0</v>
      </c>
      <c r="AJ403" s="129" t="n">
        <v>0</v>
      </c>
      <c r="AK403" s="129" t="n">
        <v>0</v>
      </c>
      <c r="AL403" s="129" t="n">
        <v>0</v>
      </c>
      <c r="AM403" s="129" t="n">
        <v>0</v>
      </c>
      <c r="AN403" s="128"/>
      <c r="AO403" s="128"/>
      <c r="AP403" s="126" t="s">
        <v>138</v>
      </c>
      <c r="AQ403" s="126" t="s">
        <v>139</v>
      </c>
      <c r="AR403" s="126" t="s">
        <v>140</v>
      </c>
      <c r="AS403" s="128"/>
      <c r="AT403" s="139"/>
    </row>
    <row r="404" customFormat="false" ht="12.75" hidden="false" customHeight="true" outlineLevel="0" collapsed="false">
      <c r="B404" s="122" t="n">
        <f aca="false">B403+1</f>
        <v>401</v>
      </c>
      <c r="C404" s="123" t="s">
        <v>168</v>
      </c>
      <c r="D404" s="140" t="n">
        <v>61073</v>
      </c>
      <c r="E404" s="124" t="str">
        <f aca="false">IF(D404="","",IFERROR(VLOOKUP(D404,CCN_Library!$A$4:$B$13,2,FALSE()),"NOT IN LIBRARY"))</f>
        <v>COMPANY/BATTERY HEADQUARTERS, MARINE CORPS</v>
      </c>
      <c r="F404" s="125" t="str">
        <f aca="false">LEFT(H404,6)</f>
        <v>M28263</v>
      </c>
      <c r="G404" s="126" t="s">
        <v>128</v>
      </c>
      <c r="H404" s="126" t="s">
        <v>729</v>
      </c>
      <c r="I404" s="126" t="s">
        <v>159</v>
      </c>
      <c r="J404" s="126" t="s">
        <v>176</v>
      </c>
      <c r="K404" s="127" t="s">
        <v>161</v>
      </c>
      <c r="L404" s="126" t="s">
        <v>161</v>
      </c>
      <c r="M404" s="126" t="s">
        <v>133</v>
      </c>
      <c r="N404" s="126" t="s">
        <v>128</v>
      </c>
      <c r="O404" s="126" t="s">
        <v>135</v>
      </c>
      <c r="P404" s="126" t="s">
        <v>135</v>
      </c>
      <c r="Q404" s="128"/>
      <c r="R404" s="126" t="s">
        <v>136</v>
      </c>
      <c r="S404" s="126" t="s">
        <v>58</v>
      </c>
      <c r="T404" s="128"/>
      <c r="U404" s="129" t="n">
        <v>0</v>
      </c>
      <c r="V404" s="129" t="n">
        <v>0</v>
      </c>
      <c r="W404" s="129" t="n">
        <v>0</v>
      </c>
      <c r="X404" s="129" t="n">
        <v>0</v>
      </c>
      <c r="Y404" s="129" t="n">
        <v>0</v>
      </c>
      <c r="Z404" s="129" t="n">
        <v>0</v>
      </c>
      <c r="AA404" s="129" t="n">
        <v>1</v>
      </c>
      <c r="AB404" s="129" t="n">
        <v>0</v>
      </c>
      <c r="AC404" s="129" t="n">
        <v>0</v>
      </c>
      <c r="AD404" s="129" t="n">
        <v>0</v>
      </c>
      <c r="AE404" s="129" t="n">
        <v>0</v>
      </c>
      <c r="AF404" s="129" t="n">
        <v>0</v>
      </c>
      <c r="AG404" s="129" t="n">
        <v>0</v>
      </c>
      <c r="AH404" s="129" t="n">
        <v>0</v>
      </c>
      <c r="AI404" s="129" t="n">
        <v>0</v>
      </c>
      <c r="AJ404" s="129" t="n">
        <v>0</v>
      </c>
      <c r="AK404" s="129" t="n">
        <v>0</v>
      </c>
      <c r="AL404" s="129" t="n">
        <v>0</v>
      </c>
      <c r="AM404" s="129" t="n">
        <v>0</v>
      </c>
      <c r="AN404" s="126" t="s">
        <v>384</v>
      </c>
      <c r="AO404" s="126" t="s">
        <v>610</v>
      </c>
      <c r="AP404" s="126" t="s">
        <v>138</v>
      </c>
      <c r="AQ404" s="126" t="s">
        <v>139</v>
      </c>
      <c r="AR404" s="126" t="s">
        <v>386</v>
      </c>
      <c r="AS404" s="128"/>
      <c r="AT404" s="139"/>
    </row>
    <row r="405" customFormat="false" ht="12.75" hidden="false" customHeight="true" outlineLevel="0" collapsed="false">
      <c r="B405" s="131" t="n">
        <f aca="false">B404+1</f>
        <v>402</v>
      </c>
      <c r="C405" s="132" t="s">
        <v>162</v>
      </c>
      <c r="D405" s="133" t="n">
        <v>61073</v>
      </c>
      <c r="E405" s="133"/>
      <c r="F405" s="134" t="str">
        <f aca="false">LEFT(H405,6)</f>
        <v>M28263</v>
      </c>
      <c r="G405" s="135" t="s">
        <v>177</v>
      </c>
      <c r="H405" s="135" t="s">
        <v>730</v>
      </c>
      <c r="I405" s="135" t="s">
        <v>552</v>
      </c>
      <c r="J405" s="136"/>
      <c r="K405" s="136"/>
      <c r="L405" s="136"/>
      <c r="M405" s="136"/>
      <c r="N405" s="136"/>
      <c r="O405" s="136"/>
      <c r="P405" s="136"/>
      <c r="Q405" s="136"/>
      <c r="R405" s="136"/>
      <c r="S405" s="136"/>
      <c r="T405" s="136"/>
      <c r="U405" s="137" t="n">
        <v>0</v>
      </c>
      <c r="V405" s="137" t="n">
        <v>0</v>
      </c>
      <c r="W405" s="137" t="n">
        <v>0</v>
      </c>
      <c r="X405" s="137" t="n">
        <v>0</v>
      </c>
      <c r="Y405" s="137" t="n">
        <v>0</v>
      </c>
      <c r="Z405" s="137" t="n">
        <v>0</v>
      </c>
      <c r="AA405" s="137" t="n">
        <v>0</v>
      </c>
      <c r="AB405" s="137" t="n">
        <v>0</v>
      </c>
      <c r="AC405" s="137" t="n">
        <v>0</v>
      </c>
      <c r="AD405" s="137" t="n">
        <v>0</v>
      </c>
      <c r="AE405" s="137" t="n">
        <v>0</v>
      </c>
      <c r="AF405" s="137" t="n">
        <v>0</v>
      </c>
      <c r="AG405" s="137" t="n">
        <v>0</v>
      </c>
      <c r="AH405" s="137" t="n">
        <v>0</v>
      </c>
      <c r="AI405" s="137" t="n">
        <v>0</v>
      </c>
      <c r="AJ405" s="137" t="n">
        <v>0</v>
      </c>
      <c r="AK405" s="137" t="n">
        <v>0</v>
      </c>
      <c r="AL405" s="137" t="n">
        <v>0</v>
      </c>
      <c r="AM405" s="137" t="n">
        <v>0</v>
      </c>
      <c r="AN405" s="136"/>
      <c r="AO405" s="136"/>
      <c r="AP405" s="136"/>
      <c r="AQ405" s="136"/>
      <c r="AR405" s="136"/>
      <c r="AS405" s="136"/>
      <c r="AT405" s="138"/>
    </row>
    <row r="406" customFormat="false" ht="12.75" hidden="false" customHeight="true" outlineLevel="0" collapsed="false">
      <c r="B406" s="131" t="n">
        <f aca="false">B405+1</f>
        <v>403</v>
      </c>
      <c r="C406" s="132" t="s">
        <v>162</v>
      </c>
      <c r="D406" s="133" t="n">
        <v>61073</v>
      </c>
      <c r="E406" s="133"/>
      <c r="F406" s="134" t="str">
        <f aca="false">LEFT(H406,6)</f>
        <v>M28263</v>
      </c>
      <c r="G406" s="135" t="s">
        <v>177</v>
      </c>
      <c r="H406" s="135" t="s">
        <v>731</v>
      </c>
      <c r="I406" s="135" t="s">
        <v>554</v>
      </c>
      <c r="J406" s="136"/>
      <c r="K406" s="136"/>
      <c r="L406" s="136"/>
      <c r="M406" s="136"/>
      <c r="N406" s="136"/>
      <c r="O406" s="136"/>
      <c r="P406" s="136"/>
      <c r="Q406" s="136"/>
      <c r="R406" s="136"/>
      <c r="S406" s="136"/>
      <c r="T406" s="136"/>
      <c r="U406" s="137" t="n">
        <v>0</v>
      </c>
      <c r="V406" s="137" t="n">
        <v>0</v>
      </c>
      <c r="W406" s="137" t="n">
        <v>0</v>
      </c>
      <c r="X406" s="137" t="n">
        <v>0</v>
      </c>
      <c r="Y406" s="137" t="n">
        <v>0</v>
      </c>
      <c r="Z406" s="137" t="n">
        <v>0</v>
      </c>
      <c r="AA406" s="137" t="n">
        <v>0</v>
      </c>
      <c r="AB406" s="137" t="n">
        <v>0</v>
      </c>
      <c r="AC406" s="137" t="n">
        <v>0</v>
      </c>
      <c r="AD406" s="137" t="n">
        <v>0</v>
      </c>
      <c r="AE406" s="137" t="n">
        <v>0</v>
      </c>
      <c r="AF406" s="137" t="n">
        <v>0</v>
      </c>
      <c r="AG406" s="137" t="n">
        <v>0</v>
      </c>
      <c r="AH406" s="137" t="n">
        <v>0</v>
      </c>
      <c r="AI406" s="137" t="n">
        <v>0</v>
      </c>
      <c r="AJ406" s="137" t="n">
        <v>0</v>
      </c>
      <c r="AK406" s="137" t="n">
        <v>0</v>
      </c>
      <c r="AL406" s="137" t="n">
        <v>0</v>
      </c>
      <c r="AM406" s="137" t="n">
        <v>0</v>
      </c>
      <c r="AN406" s="136"/>
      <c r="AO406" s="136"/>
      <c r="AP406" s="136"/>
      <c r="AQ406" s="136"/>
      <c r="AR406" s="136"/>
      <c r="AS406" s="136"/>
      <c r="AT406" s="138"/>
    </row>
    <row r="407" customFormat="false" ht="12.75" hidden="false" customHeight="true" outlineLevel="0" collapsed="false">
      <c r="B407" s="122" t="n">
        <f aca="false">B406+1</f>
        <v>404</v>
      </c>
      <c r="C407" s="123" t="s">
        <v>162</v>
      </c>
      <c r="D407" s="140" t="n">
        <v>61073</v>
      </c>
      <c r="E407" s="124" t="str">
        <f aca="false">IF(D407="","",IFERROR(VLOOKUP(D407,CCN_Library!$A$4:$B$13,2,FALSE()),"NOT IN LIBRARY"))</f>
        <v>COMPANY/BATTERY HEADQUARTERS, MARINE CORPS</v>
      </c>
      <c r="F407" s="125" t="str">
        <f aca="false">LEFT(H407,6)</f>
        <v>M28263</v>
      </c>
      <c r="G407" s="126" t="s">
        <v>128</v>
      </c>
      <c r="H407" s="126" t="s">
        <v>732</v>
      </c>
      <c r="I407" s="126" t="s">
        <v>486</v>
      </c>
      <c r="J407" s="126" t="s">
        <v>211</v>
      </c>
      <c r="K407" s="127" t="s">
        <v>151</v>
      </c>
      <c r="L407" s="126" t="s">
        <v>151</v>
      </c>
      <c r="M407" s="126" t="s">
        <v>133</v>
      </c>
      <c r="N407" s="126" t="s">
        <v>134</v>
      </c>
      <c r="O407" s="126" t="s">
        <v>135</v>
      </c>
      <c r="P407" s="126" t="s">
        <v>135</v>
      </c>
      <c r="Q407" s="128"/>
      <c r="R407" s="126" t="s">
        <v>136</v>
      </c>
      <c r="S407" s="126" t="s">
        <v>137</v>
      </c>
      <c r="T407" s="128"/>
      <c r="U407" s="129" t="n">
        <v>0</v>
      </c>
      <c r="V407" s="129" t="n">
        <v>0</v>
      </c>
      <c r="W407" s="129" t="n">
        <v>0</v>
      </c>
      <c r="X407" s="129" t="n">
        <v>0</v>
      </c>
      <c r="Y407" s="129" t="n">
        <v>0</v>
      </c>
      <c r="Z407" s="129" t="n">
        <v>1</v>
      </c>
      <c r="AA407" s="129" t="n">
        <v>0</v>
      </c>
      <c r="AB407" s="129" t="n">
        <v>0</v>
      </c>
      <c r="AC407" s="129" t="n">
        <v>0</v>
      </c>
      <c r="AD407" s="129" t="n">
        <v>0</v>
      </c>
      <c r="AE407" s="129" t="n">
        <v>0</v>
      </c>
      <c r="AF407" s="129" t="n">
        <v>0</v>
      </c>
      <c r="AG407" s="129" t="n">
        <v>0</v>
      </c>
      <c r="AH407" s="129" t="n">
        <v>0</v>
      </c>
      <c r="AI407" s="129" t="n">
        <v>0</v>
      </c>
      <c r="AJ407" s="129" t="n">
        <v>0</v>
      </c>
      <c r="AK407" s="129" t="n">
        <v>0</v>
      </c>
      <c r="AL407" s="129" t="n">
        <v>0</v>
      </c>
      <c r="AM407" s="129" t="n">
        <v>0</v>
      </c>
      <c r="AN407" s="128"/>
      <c r="AO407" s="128"/>
      <c r="AP407" s="126" t="s">
        <v>138</v>
      </c>
      <c r="AQ407" s="126" t="s">
        <v>139</v>
      </c>
      <c r="AR407" s="126" t="s">
        <v>140</v>
      </c>
      <c r="AS407" s="128"/>
      <c r="AT407" s="139"/>
    </row>
    <row r="408" customFormat="false" ht="12.75" hidden="false" customHeight="true" outlineLevel="0" collapsed="false">
      <c r="B408" s="122" t="n">
        <f aca="false">B407+1</f>
        <v>405</v>
      </c>
      <c r="C408" s="123" t="s">
        <v>162</v>
      </c>
      <c r="D408" s="140" t="n">
        <v>61073</v>
      </c>
      <c r="E408" s="124" t="str">
        <f aca="false">IF(D408="","",IFERROR(VLOOKUP(D408,CCN_Library!$A$4:$B$13,2,FALSE()),"NOT IN LIBRARY"))</f>
        <v>COMPANY/BATTERY HEADQUARTERS, MARINE CORPS</v>
      </c>
      <c r="F408" s="125" t="str">
        <f aca="false">LEFT(H408,6)</f>
        <v>M28263</v>
      </c>
      <c r="G408" s="126" t="s">
        <v>128</v>
      </c>
      <c r="H408" s="126" t="s">
        <v>733</v>
      </c>
      <c r="I408" s="126" t="s">
        <v>486</v>
      </c>
      <c r="J408" s="126" t="s">
        <v>211</v>
      </c>
      <c r="K408" s="127" t="s">
        <v>151</v>
      </c>
      <c r="L408" s="126" t="s">
        <v>151</v>
      </c>
      <c r="M408" s="126" t="s">
        <v>133</v>
      </c>
      <c r="N408" s="126" t="s">
        <v>134</v>
      </c>
      <c r="O408" s="126" t="s">
        <v>135</v>
      </c>
      <c r="P408" s="126" t="s">
        <v>135</v>
      </c>
      <c r="Q408" s="128"/>
      <c r="R408" s="126" t="s">
        <v>136</v>
      </c>
      <c r="S408" s="126" t="s">
        <v>137</v>
      </c>
      <c r="T408" s="128"/>
      <c r="U408" s="129" t="n">
        <v>0</v>
      </c>
      <c r="V408" s="129" t="n">
        <v>0</v>
      </c>
      <c r="W408" s="129" t="n">
        <v>0</v>
      </c>
      <c r="X408" s="129" t="n">
        <v>0</v>
      </c>
      <c r="Y408" s="129" t="n">
        <v>0</v>
      </c>
      <c r="Z408" s="129" t="n">
        <v>1</v>
      </c>
      <c r="AA408" s="129" t="n">
        <v>0</v>
      </c>
      <c r="AB408" s="129" t="n">
        <v>0</v>
      </c>
      <c r="AC408" s="129" t="n">
        <v>0</v>
      </c>
      <c r="AD408" s="129" t="n">
        <v>0</v>
      </c>
      <c r="AE408" s="129" t="n">
        <v>0</v>
      </c>
      <c r="AF408" s="129" t="n">
        <v>0</v>
      </c>
      <c r="AG408" s="129" t="n">
        <v>0</v>
      </c>
      <c r="AH408" s="129" t="n">
        <v>0</v>
      </c>
      <c r="AI408" s="129" t="n">
        <v>0</v>
      </c>
      <c r="AJ408" s="129" t="n">
        <v>0</v>
      </c>
      <c r="AK408" s="129" t="n">
        <v>0</v>
      </c>
      <c r="AL408" s="129" t="n">
        <v>0</v>
      </c>
      <c r="AM408" s="129" t="n">
        <v>0</v>
      </c>
      <c r="AN408" s="128"/>
      <c r="AO408" s="128"/>
      <c r="AP408" s="126" t="s">
        <v>138</v>
      </c>
      <c r="AQ408" s="126" t="s">
        <v>139</v>
      </c>
      <c r="AR408" s="126" t="s">
        <v>140</v>
      </c>
      <c r="AS408" s="128"/>
      <c r="AT408" s="130"/>
    </row>
    <row r="409" customFormat="false" ht="12.75" hidden="false" customHeight="true" outlineLevel="0" collapsed="false">
      <c r="B409" s="122" t="n">
        <f aca="false">B408+1</f>
        <v>406</v>
      </c>
      <c r="C409" s="123" t="s">
        <v>162</v>
      </c>
      <c r="D409" s="140" t="n">
        <v>61073</v>
      </c>
      <c r="E409" s="124" t="str">
        <f aca="false">IF(D409="","",IFERROR(VLOOKUP(D409,CCN_Library!$A$4:$B$13,2,FALSE()),"NOT IN LIBRARY"))</f>
        <v>COMPANY/BATTERY HEADQUARTERS, MARINE CORPS</v>
      </c>
      <c r="F409" s="125" t="str">
        <f aca="false">LEFT(H409,6)</f>
        <v>M28263</v>
      </c>
      <c r="G409" s="126" t="s">
        <v>128</v>
      </c>
      <c r="H409" s="126" t="s">
        <v>734</v>
      </c>
      <c r="I409" s="126" t="s">
        <v>489</v>
      </c>
      <c r="J409" s="126" t="s">
        <v>182</v>
      </c>
      <c r="K409" s="127" t="s">
        <v>132</v>
      </c>
      <c r="L409" s="126" t="s">
        <v>132</v>
      </c>
      <c r="M409" s="126" t="s">
        <v>133</v>
      </c>
      <c r="N409" s="126" t="s">
        <v>134</v>
      </c>
      <c r="O409" s="126" t="s">
        <v>135</v>
      </c>
      <c r="P409" s="126" t="s">
        <v>135</v>
      </c>
      <c r="Q409" s="128"/>
      <c r="R409" s="126" t="s">
        <v>136</v>
      </c>
      <c r="S409" s="126" t="s">
        <v>137</v>
      </c>
      <c r="T409" s="128"/>
      <c r="U409" s="129" t="n">
        <v>0</v>
      </c>
      <c r="V409" s="129" t="n">
        <v>0</v>
      </c>
      <c r="W409" s="129" t="n">
        <v>0</v>
      </c>
      <c r="X409" s="129" t="n">
        <v>0</v>
      </c>
      <c r="Y409" s="129" t="n">
        <v>0</v>
      </c>
      <c r="Z409" s="129" t="n">
        <v>1</v>
      </c>
      <c r="AA409" s="129" t="n">
        <v>0</v>
      </c>
      <c r="AB409" s="129" t="n">
        <v>0</v>
      </c>
      <c r="AC409" s="129" t="n">
        <v>0</v>
      </c>
      <c r="AD409" s="129" t="n">
        <v>0</v>
      </c>
      <c r="AE409" s="129" t="n">
        <v>0</v>
      </c>
      <c r="AF409" s="129" t="n">
        <v>0</v>
      </c>
      <c r="AG409" s="129" t="n">
        <v>0</v>
      </c>
      <c r="AH409" s="129" t="n">
        <v>0</v>
      </c>
      <c r="AI409" s="129" t="n">
        <v>0</v>
      </c>
      <c r="AJ409" s="129" t="n">
        <v>0</v>
      </c>
      <c r="AK409" s="129" t="n">
        <v>0</v>
      </c>
      <c r="AL409" s="129" t="n">
        <v>0</v>
      </c>
      <c r="AM409" s="129" t="n">
        <v>0</v>
      </c>
      <c r="AN409" s="128"/>
      <c r="AO409" s="128"/>
      <c r="AP409" s="126" t="s">
        <v>138</v>
      </c>
      <c r="AQ409" s="126" t="s">
        <v>139</v>
      </c>
      <c r="AR409" s="126" t="s">
        <v>140</v>
      </c>
      <c r="AS409" s="128"/>
      <c r="AT409" s="130"/>
    </row>
    <row r="410" customFormat="false" ht="12.75" hidden="false" customHeight="true" outlineLevel="0" collapsed="false">
      <c r="B410" s="122" t="n">
        <f aca="false">B409+1</f>
        <v>407</v>
      </c>
      <c r="C410" s="123" t="s">
        <v>162</v>
      </c>
      <c r="D410" s="140" t="n">
        <v>61073</v>
      </c>
      <c r="E410" s="124" t="str">
        <f aca="false">IF(D410="","",IFERROR(VLOOKUP(D410,CCN_Library!$A$4:$B$13,2,FALSE()),"NOT IN LIBRARY"))</f>
        <v>COMPANY/BATTERY HEADQUARTERS, MARINE CORPS</v>
      </c>
      <c r="F410" s="125" t="str">
        <f aca="false">LEFT(H410,6)</f>
        <v>M28263</v>
      </c>
      <c r="G410" s="126" t="s">
        <v>128</v>
      </c>
      <c r="H410" s="126" t="s">
        <v>735</v>
      </c>
      <c r="I410" s="126" t="s">
        <v>474</v>
      </c>
      <c r="J410" s="126" t="s">
        <v>187</v>
      </c>
      <c r="K410" s="127" t="s">
        <v>475</v>
      </c>
      <c r="L410" s="126" t="s">
        <v>161</v>
      </c>
      <c r="M410" s="126" t="s">
        <v>133</v>
      </c>
      <c r="N410" s="126" t="s">
        <v>128</v>
      </c>
      <c r="O410" s="126" t="s">
        <v>135</v>
      </c>
      <c r="P410" s="126" t="s">
        <v>135</v>
      </c>
      <c r="Q410" s="128"/>
      <c r="R410" s="126" t="s">
        <v>136</v>
      </c>
      <c r="S410" s="126" t="s">
        <v>137</v>
      </c>
      <c r="T410" s="128"/>
      <c r="U410" s="129" t="n">
        <v>0</v>
      </c>
      <c r="V410" s="129" t="n">
        <v>0</v>
      </c>
      <c r="W410" s="129" t="n">
        <v>0</v>
      </c>
      <c r="X410" s="129" t="n">
        <v>0</v>
      </c>
      <c r="Y410" s="129" t="n">
        <v>0</v>
      </c>
      <c r="Z410" s="129" t="n">
        <v>0</v>
      </c>
      <c r="AA410" s="129" t="n">
        <v>1</v>
      </c>
      <c r="AB410" s="129" t="n">
        <v>0</v>
      </c>
      <c r="AC410" s="129" t="n">
        <v>0</v>
      </c>
      <c r="AD410" s="129" t="n">
        <v>0</v>
      </c>
      <c r="AE410" s="129" t="n">
        <v>0</v>
      </c>
      <c r="AF410" s="129" t="n">
        <v>0</v>
      </c>
      <c r="AG410" s="129" t="n">
        <v>0</v>
      </c>
      <c r="AH410" s="129" t="n">
        <v>0</v>
      </c>
      <c r="AI410" s="129" t="n">
        <v>0</v>
      </c>
      <c r="AJ410" s="129" t="n">
        <v>0</v>
      </c>
      <c r="AK410" s="129" t="n">
        <v>0</v>
      </c>
      <c r="AL410" s="129" t="n">
        <v>0</v>
      </c>
      <c r="AM410" s="129" t="n">
        <v>0</v>
      </c>
      <c r="AN410" s="128"/>
      <c r="AO410" s="128"/>
      <c r="AP410" s="126" t="s">
        <v>138</v>
      </c>
      <c r="AQ410" s="126" t="s">
        <v>139</v>
      </c>
      <c r="AR410" s="126" t="s">
        <v>140</v>
      </c>
      <c r="AS410" s="128"/>
      <c r="AT410" s="139"/>
    </row>
    <row r="411" customFormat="false" ht="12.75" hidden="false" customHeight="true" outlineLevel="0" collapsed="false">
      <c r="B411" s="122" t="n">
        <f aca="false">B410+1</f>
        <v>408</v>
      </c>
      <c r="C411" s="123" t="s">
        <v>168</v>
      </c>
      <c r="D411" s="140" t="n">
        <v>61073</v>
      </c>
      <c r="E411" s="124" t="str">
        <f aca="false">IF(D411="","",IFERROR(VLOOKUP(D411,CCN_Library!$A$4:$B$13,2,FALSE()),"NOT IN LIBRARY"))</f>
        <v>COMPANY/BATTERY HEADQUARTERS, MARINE CORPS</v>
      </c>
      <c r="F411" s="125" t="str">
        <f aca="false">LEFT(H411,6)</f>
        <v>M28263</v>
      </c>
      <c r="G411" s="126" t="s">
        <v>128</v>
      </c>
      <c r="H411" s="126" t="s">
        <v>736</v>
      </c>
      <c r="I411" s="126" t="s">
        <v>159</v>
      </c>
      <c r="J411" s="126" t="s">
        <v>191</v>
      </c>
      <c r="K411" s="127" t="s">
        <v>161</v>
      </c>
      <c r="L411" s="126" t="s">
        <v>161</v>
      </c>
      <c r="M411" s="126" t="s">
        <v>133</v>
      </c>
      <c r="N411" s="126" t="s">
        <v>128</v>
      </c>
      <c r="O411" s="126" t="s">
        <v>135</v>
      </c>
      <c r="P411" s="126" t="s">
        <v>135</v>
      </c>
      <c r="Q411" s="128"/>
      <c r="R411" s="126" t="s">
        <v>136</v>
      </c>
      <c r="S411" s="126" t="s">
        <v>58</v>
      </c>
      <c r="T411" s="128"/>
      <c r="U411" s="129" t="n">
        <v>0</v>
      </c>
      <c r="V411" s="129" t="n">
        <v>0</v>
      </c>
      <c r="W411" s="129" t="n">
        <v>0</v>
      </c>
      <c r="X411" s="129" t="n">
        <v>0</v>
      </c>
      <c r="Y411" s="129" t="n">
        <v>0</v>
      </c>
      <c r="Z411" s="129" t="n">
        <v>0</v>
      </c>
      <c r="AA411" s="129" t="n">
        <v>1</v>
      </c>
      <c r="AB411" s="129" t="n">
        <v>0</v>
      </c>
      <c r="AC411" s="129" t="n">
        <v>0</v>
      </c>
      <c r="AD411" s="129" t="n">
        <v>0</v>
      </c>
      <c r="AE411" s="129" t="n">
        <v>0</v>
      </c>
      <c r="AF411" s="129" t="n">
        <v>0</v>
      </c>
      <c r="AG411" s="129" t="n">
        <v>0</v>
      </c>
      <c r="AH411" s="129" t="n">
        <v>0</v>
      </c>
      <c r="AI411" s="129" t="n">
        <v>0</v>
      </c>
      <c r="AJ411" s="129" t="n">
        <v>0</v>
      </c>
      <c r="AK411" s="129" t="n">
        <v>0</v>
      </c>
      <c r="AL411" s="129" t="n">
        <v>0</v>
      </c>
      <c r="AM411" s="129" t="n">
        <v>0</v>
      </c>
      <c r="AN411" s="126" t="s">
        <v>384</v>
      </c>
      <c r="AO411" s="126" t="s">
        <v>610</v>
      </c>
      <c r="AP411" s="126" t="s">
        <v>138</v>
      </c>
      <c r="AQ411" s="126" t="s">
        <v>139</v>
      </c>
      <c r="AR411" s="126" t="s">
        <v>386</v>
      </c>
      <c r="AS411" s="128"/>
      <c r="AT411" s="130"/>
    </row>
    <row r="412" customFormat="false" ht="12.75" hidden="false" customHeight="true" outlineLevel="0" collapsed="false">
      <c r="B412" s="122" t="n">
        <f aca="false">B411+1</f>
        <v>409</v>
      </c>
      <c r="C412" s="123" t="s">
        <v>168</v>
      </c>
      <c r="D412" s="140" t="n">
        <v>61073</v>
      </c>
      <c r="E412" s="124" t="str">
        <f aca="false">IF(D412="","",IFERROR(VLOOKUP(D412,CCN_Library!$A$4:$B$13,2,FALSE()),"NOT IN LIBRARY"))</f>
        <v>COMPANY/BATTERY HEADQUARTERS, MARINE CORPS</v>
      </c>
      <c r="F412" s="125" t="str">
        <f aca="false">LEFT(H412,6)</f>
        <v>M28263</v>
      </c>
      <c r="G412" s="126" t="s">
        <v>128</v>
      </c>
      <c r="H412" s="126" t="s">
        <v>737</v>
      </c>
      <c r="I412" s="126" t="s">
        <v>159</v>
      </c>
      <c r="J412" s="126" t="s">
        <v>191</v>
      </c>
      <c r="K412" s="127" t="s">
        <v>161</v>
      </c>
      <c r="L412" s="126" t="s">
        <v>161</v>
      </c>
      <c r="M412" s="126" t="s">
        <v>133</v>
      </c>
      <c r="N412" s="126" t="s">
        <v>128</v>
      </c>
      <c r="O412" s="126" t="s">
        <v>135</v>
      </c>
      <c r="P412" s="126" t="s">
        <v>135</v>
      </c>
      <c r="Q412" s="128"/>
      <c r="R412" s="126" t="s">
        <v>136</v>
      </c>
      <c r="S412" s="126" t="s">
        <v>58</v>
      </c>
      <c r="T412" s="128"/>
      <c r="U412" s="129" t="n">
        <v>0</v>
      </c>
      <c r="V412" s="129" t="n">
        <v>0</v>
      </c>
      <c r="W412" s="129" t="n">
        <v>0</v>
      </c>
      <c r="X412" s="129" t="n">
        <v>0</v>
      </c>
      <c r="Y412" s="129" t="n">
        <v>0</v>
      </c>
      <c r="Z412" s="129" t="n">
        <v>0</v>
      </c>
      <c r="AA412" s="129" t="n">
        <v>1</v>
      </c>
      <c r="AB412" s="129" t="n">
        <v>0</v>
      </c>
      <c r="AC412" s="129" t="n">
        <v>0</v>
      </c>
      <c r="AD412" s="129" t="n">
        <v>0</v>
      </c>
      <c r="AE412" s="129" t="n">
        <v>0</v>
      </c>
      <c r="AF412" s="129" t="n">
        <v>0</v>
      </c>
      <c r="AG412" s="129" t="n">
        <v>0</v>
      </c>
      <c r="AH412" s="129" t="n">
        <v>0</v>
      </c>
      <c r="AI412" s="129" t="n">
        <v>0</v>
      </c>
      <c r="AJ412" s="129" t="n">
        <v>0</v>
      </c>
      <c r="AK412" s="129" t="n">
        <v>0</v>
      </c>
      <c r="AL412" s="129" t="n">
        <v>0</v>
      </c>
      <c r="AM412" s="129" t="n">
        <v>0</v>
      </c>
      <c r="AN412" s="128"/>
      <c r="AO412" s="128"/>
      <c r="AP412" s="126" t="s">
        <v>138</v>
      </c>
      <c r="AQ412" s="126" t="s">
        <v>139</v>
      </c>
      <c r="AR412" s="126" t="s">
        <v>140</v>
      </c>
      <c r="AS412" s="128"/>
      <c r="AT412" s="130"/>
    </row>
    <row r="413" customFormat="false" ht="12.75" hidden="false" customHeight="true" outlineLevel="0" collapsed="false">
      <c r="B413" s="122" t="n">
        <f aca="false">B412+1</f>
        <v>410</v>
      </c>
      <c r="C413" s="123" t="s">
        <v>168</v>
      </c>
      <c r="D413" s="140" t="n">
        <v>61073</v>
      </c>
      <c r="E413" s="124" t="str">
        <f aca="false">IF(D413="","",IFERROR(VLOOKUP(D413,CCN_Library!$A$4:$B$13,2,FALSE()),"NOT IN LIBRARY"))</f>
        <v>COMPANY/BATTERY HEADQUARTERS, MARINE CORPS</v>
      </c>
      <c r="F413" s="125" t="str">
        <f aca="false">LEFT(H413,6)</f>
        <v>M28263</v>
      </c>
      <c r="G413" s="126" t="s">
        <v>128</v>
      </c>
      <c r="H413" s="126" t="s">
        <v>738</v>
      </c>
      <c r="I413" s="126" t="s">
        <v>159</v>
      </c>
      <c r="J413" s="126" t="s">
        <v>191</v>
      </c>
      <c r="K413" s="127" t="s">
        <v>161</v>
      </c>
      <c r="L413" s="126" t="s">
        <v>161</v>
      </c>
      <c r="M413" s="126" t="s">
        <v>133</v>
      </c>
      <c r="N413" s="126" t="s">
        <v>128</v>
      </c>
      <c r="O413" s="126" t="s">
        <v>135</v>
      </c>
      <c r="P413" s="126" t="s">
        <v>135</v>
      </c>
      <c r="Q413" s="128"/>
      <c r="R413" s="126" t="s">
        <v>136</v>
      </c>
      <c r="S413" s="126" t="s">
        <v>58</v>
      </c>
      <c r="T413" s="128"/>
      <c r="U413" s="129" t="n">
        <v>0</v>
      </c>
      <c r="V413" s="129" t="n">
        <v>0</v>
      </c>
      <c r="W413" s="129" t="n">
        <v>0</v>
      </c>
      <c r="X413" s="129" t="n">
        <v>0</v>
      </c>
      <c r="Y413" s="129" t="n">
        <v>0</v>
      </c>
      <c r="Z413" s="129" t="n">
        <v>0</v>
      </c>
      <c r="AA413" s="129" t="n">
        <v>1</v>
      </c>
      <c r="AB413" s="129" t="n">
        <v>0</v>
      </c>
      <c r="AC413" s="129" t="n">
        <v>0</v>
      </c>
      <c r="AD413" s="129" t="n">
        <v>0</v>
      </c>
      <c r="AE413" s="129" t="n">
        <v>0</v>
      </c>
      <c r="AF413" s="129" t="n">
        <v>0</v>
      </c>
      <c r="AG413" s="129" t="n">
        <v>0</v>
      </c>
      <c r="AH413" s="129" t="n">
        <v>0</v>
      </c>
      <c r="AI413" s="129" t="n">
        <v>0</v>
      </c>
      <c r="AJ413" s="129" t="n">
        <v>0</v>
      </c>
      <c r="AK413" s="129" t="n">
        <v>0</v>
      </c>
      <c r="AL413" s="129" t="n">
        <v>0</v>
      </c>
      <c r="AM413" s="129" t="n">
        <v>0</v>
      </c>
      <c r="AN413" s="128"/>
      <c r="AO413" s="128"/>
      <c r="AP413" s="126" t="s">
        <v>138</v>
      </c>
      <c r="AQ413" s="126" t="s">
        <v>139</v>
      </c>
      <c r="AR413" s="126" t="s">
        <v>140</v>
      </c>
      <c r="AS413" s="128"/>
      <c r="AT413" s="139"/>
    </row>
    <row r="414" customFormat="false" ht="12.75" hidden="false" customHeight="true" outlineLevel="0" collapsed="false">
      <c r="B414" s="122" t="n">
        <f aca="false">B413+1</f>
        <v>411</v>
      </c>
      <c r="C414" s="123" t="s">
        <v>168</v>
      </c>
      <c r="D414" s="140" t="n">
        <v>61073</v>
      </c>
      <c r="E414" s="124" t="str">
        <f aca="false">IF(D414="","",IFERROR(VLOOKUP(D414,CCN_Library!$A$4:$B$13,2,FALSE()),"NOT IN LIBRARY"))</f>
        <v>COMPANY/BATTERY HEADQUARTERS, MARINE CORPS</v>
      </c>
      <c r="F414" s="125" t="str">
        <f aca="false">LEFT(H414,6)</f>
        <v>M28263</v>
      </c>
      <c r="G414" s="126" t="s">
        <v>128</v>
      </c>
      <c r="H414" s="126" t="s">
        <v>739</v>
      </c>
      <c r="I414" s="126" t="s">
        <v>159</v>
      </c>
      <c r="J414" s="126" t="s">
        <v>176</v>
      </c>
      <c r="K414" s="127" t="s">
        <v>161</v>
      </c>
      <c r="L414" s="126" t="s">
        <v>161</v>
      </c>
      <c r="M414" s="126" t="s">
        <v>133</v>
      </c>
      <c r="N414" s="126" t="s">
        <v>128</v>
      </c>
      <c r="O414" s="126" t="s">
        <v>135</v>
      </c>
      <c r="P414" s="126" t="s">
        <v>135</v>
      </c>
      <c r="Q414" s="128"/>
      <c r="R414" s="126" t="s">
        <v>136</v>
      </c>
      <c r="S414" s="126" t="s">
        <v>58</v>
      </c>
      <c r="T414" s="128"/>
      <c r="U414" s="129" t="n">
        <v>0</v>
      </c>
      <c r="V414" s="129" t="n">
        <v>0</v>
      </c>
      <c r="W414" s="129" t="n">
        <v>0</v>
      </c>
      <c r="X414" s="129" t="n">
        <v>0</v>
      </c>
      <c r="Y414" s="129" t="n">
        <v>0</v>
      </c>
      <c r="Z414" s="129" t="n">
        <v>0</v>
      </c>
      <c r="AA414" s="129" t="n">
        <v>1</v>
      </c>
      <c r="AB414" s="129" t="n">
        <v>0</v>
      </c>
      <c r="AC414" s="129" t="n">
        <v>0</v>
      </c>
      <c r="AD414" s="129" t="n">
        <v>0</v>
      </c>
      <c r="AE414" s="129" t="n">
        <v>0</v>
      </c>
      <c r="AF414" s="129" t="n">
        <v>0</v>
      </c>
      <c r="AG414" s="129" t="n">
        <v>0</v>
      </c>
      <c r="AH414" s="129" t="n">
        <v>0</v>
      </c>
      <c r="AI414" s="129" t="n">
        <v>0</v>
      </c>
      <c r="AJ414" s="129" t="n">
        <v>0</v>
      </c>
      <c r="AK414" s="129" t="n">
        <v>0</v>
      </c>
      <c r="AL414" s="129" t="n">
        <v>0</v>
      </c>
      <c r="AM414" s="129" t="n">
        <v>0</v>
      </c>
      <c r="AN414" s="128"/>
      <c r="AO414" s="128"/>
      <c r="AP414" s="126" t="s">
        <v>138</v>
      </c>
      <c r="AQ414" s="126" t="s">
        <v>139</v>
      </c>
      <c r="AR414" s="126" t="s">
        <v>140</v>
      </c>
      <c r="AS414" s="128"/>
      <c r="AT414" s="130"/>
    </row>
    <row r="415" customFormat="false" ht="12.75" hidden="false" customHeight="true" outlineLevel="0" collapsed="false">
      <c r="B415" s="122" t="n">
        <f aca="false">B414+1</f>
        <v>412</v>
      </c>
      <c r="C415" s="123" t="s">
        <v>168</v>
      </c>
      <c r="D415" s="140" t="n">
        <v>61073</v>
      </c>
      <c r="E415" s="124" t="str">
        <f aca="false">IF(D415="","",IFERROR(VLOOKUP(D415,CCN_Library!$A$4:$B$13,2,FALSE()),"NOT IN LIBRARY"))</f>
        <v>COMPANY/BATTERY HEADQUARTERS, MARINE CORPS</v>
      </c>
      <c r="F415" s="125" t="str">
        <f aca="false">LEFT(H415,6)</f>
        <v>M28263</v>
      </c>
      <c r="G415" s="126" t="s">
        <v>128</v>
      </c>
      <c r="H415" s="126" t="s">
        <v>740</v>
      </c>
      <c r="I415" s="126" t="s">
        <v>159</v>
      </c>
      <c r="J415" s="126" t="s">
        <v>176</v>
      </c>
      <c r="K415" s="127" t="s">
        <v>161</v>
      </c>
      <c r="L415" s="126" t="s">
        <v>161</v>
      </c>
      <c r="M415" s="126" t="s">
        <v>133</v>
      </c>
      <c r="N415" s="126" t="s">
        <v>128</v>
      </c>
      <c r="O415" s="126" t="s">
        <v>135</v>
      </c>
      <c r="P415" s="126" t="s">
        <v>135</v>
      </c>
      <c r="Q415" s="128"/>
      <c r="R415" s="126" t="s">
        <v>136</v>
      </c>
      <c r="S415" s="126" t="s">
        <v>58</v>
      </c>
      <c r="T415" s="128"/>
      <c r="U415" s="129" t="n">
        <v>0</v>
      </c>
      <c r="V415" s="129" t="n">
        <v>0</v>
      </c>
      <c r="W415" s="129" t="n">
        <v>0</v>
      </c>
      <c r="X415" s="129" t="n">
        <v>0</v>
      </c>
      <c r="Y415" s="129" t="n">
        <v>0</v>
      </c>
      <c r="Z415" s="129" t="n">
        <v>0</v>
      </c>
      <c r="AA415" s="129" t="n">
        <v>1</v>
      </c>
      <c r="AB415" s="129" t="n">
        <v>0</v>
      </c>
      <c r="AC415" s="129" t="n">
        <v>0</v>
      </c>
      <c r="AD415" s="129" t="n">
        <v>0</v>
      </c>
      <c r="AE415" s="129" t="n">
        <v>0</v>
      </c>
      <c r="AF415" s="129" t="n">
        <v>0</v>
      </c>
      <c r="AG415" s="129" t="n">
        <v>0</v>
      </c>
      <c r="AH415" s="129" t="n">
        <v>0</v>
      </c>
      <c r="AI415" s="129" t="n">
        <v>0</v>
      </c>
      <c r="AJ415" s="129" t="n">
        <v>0</v>
      </c>
      <c r="AK415" s="129" t="n">
        <v>0</v>
      </c>
      <c r="AL415" s="129" t="n">
        <v>0</v>
      </c>
      <c r="AM415" s="129" t="n">
        <v>0</v>
      </c>
      <c r="AN415" s="128"/>
      <c r="AO415" s="128"/>
      <c r="AP415" s="126" t="s">
        <v>138</v>
      </c>
      <c r="AQ415" s="126" t="s">
        <v>139</v>
      </c>
      <c r="AR415" s="126" t="s">
        <v>140</v>
      </c>
      <c r="AS415" s="128"/>
      <c r="AT415" s="130"/>
    </row>
    <row r="416" customFormat="false" ht="12.75" hidden="false" customHeight="true" outlineLevel="0" collapsed="false">
      <c r="B416" s="122" t="n">
        <f aca="false">B415+1</f>
        <v>413</v>
      </c>
      <c r="C416" s="123" t="s">
        <v>168</v>
      </c>
      <c r="D416" s="140" t="n">
        <v>61073</v>
      </c>
      <c r="E416" s="124" t="str">
        <f aca="false">IF(D416="","",IFERROR(VLOOKUP(D416,CCN_Library!$A$4:$B$13,2,FALSE()),"NOT IN LIBRARY"))</f>
        <v>COMPANY/BATTERY HEADQUARTERS, MARINE CORPS</v>
      </c>
      <c r="F416" s="125" t="str">
        <f aca="false">LEFT(H416,6)</f>
        <v>M28263</v>
      </c>
      <c r="G416" s="126" t="s">
        <v>128</v>
      </c>
      <c r="H416" s="126" t="s">
        <v>741</v>
      </c>
      <c r="I416" s="126" t="s">
        <v>159</v>
      </c>
      <c r="J416" s="126" t="s">
        <v>176</v>
      </c>
      <c r="K416" s="127" t="s">
        <v>161</v>
      </c>
      <c r="L416" s="126" t="s">
        <v>161</v>
      </c>
      <c r="M416" s="126" t="s">
        <v>133</v>
      </c>
      <c r="N416" s="126" t="s">
        <v>128</v>
      </c>
      <c r="O416" s="126" t="s">
        <v>135</v>
      </c>
      <c r="P416" s="126" t="s">
        <v>135</v>
      </c>
      <c r="Q416" s="128"/>
      <c r="R416" s="126" t="s">
        <v>136</v>
      </c>
      <c r="S416" s="126" t="s">
        <v>58</v>
      </c>
      <c r="T416" s="128"/>
      <c r="U416" s="129" t="n">
        <v>0</v>
      </c>
      <c r="V416" s="129" t="n">
        <v>0</v>
      </c>
      <c r="W416" s="129" t="n">
        <v>0</v>
      </c>
      <c r="X416" s="129" t="n">
        <v>0</v>
      </c>
      <c r="Y416" s="129" t="n">
        <v>0</v>
      </c>
      <c r="Z416" s="129" t="n">
        <v>0</v>
      </c>
      <c r="AA416" s="129" t="n">
        <v>1</v>
      </c>
      <c r="AB416" s="129" t="n">
        <v>0</v>
      </c>
      <c r="AC416" s="129" t="n">
        <v>0</v>
      </c>
      <c r="AD416" s="129" t="n">
        <v>0</v>
      </c>
      <c r="AE416" s="129" t="n">
        <v>0</v>
      </c>
      <c r="AF416" s="129" t="n">
        <v>0</v>
      </c>
      <c r="AG416" s="129" t="n">
        <v>0</v>
      </c>
      <c r="AH416" s="129" t="n">
        <v>0</v>
      </c>
      <c r="AI416" s="129" t="n">
        <v>0</v>
      </c>
      <c r="AJ416" s="129" t="n">
        <v>0</v>
      </c>
      <c r="AK416" s="129" t="n">
        <v>0</v>
      </c>
      <c r="AL416" s="129" t="n">
        <v>0</v>
      </c>
      <c r="AM416" s="129" t="n">
        <v>0</v>
      </c>
      <c r="AN416" s="128"/>
      <c r="AO416" s="128"/>
      <c r="AP416" s="126" t="s">
        <v>138</v>
      </c>
      <c r="AQ416" s="126" t="s">
        <v>139</v>
      </c>
      <c r="AR416" s="126" t="s">
        <v>140</v>
      </c>
      <c r="AS416" s="128"/>
      <c r="AT416" s="139"/>
    </row>
    <row r="417" customFormat="false" ht="12.75" hidden="false" customHeight="true" outlineLevel="0" collapsed="false">
      <c r="B417" s="131" t="n">
        <f aca="false">B416+1</f>
        <v>414</v>
      </c>
      <c r="C417" s="132" t="s">
        <v>162</v>
      </c>
      <c r="D417" s="133" t="n">
        <v>61073</v>
      </c>
      <c r="E417" s="133"/>
      <c r="F417" s="134" t="str">
        <f aca="false">LEFT(H417,6)</f>
        <v>M28263</v>
      </c>
      <c r="G417" s="135" t="s">
        <v>177</v>
      </c>
      <c r="H417" s="135" t="s">
        <v>742</v>
      </c>
      <c r="I417" s="135" t="s">
        <v>566</v>
      </c>
      <c r="J417" s="136"/>
      <c r="K417" s="136"/>
      <c r="L417" s="136"/>
      <c r="M417" s="136"/>
      <c r="N417" s="136"/>
      <c r="O417" s="136"/>
      <c r="P417" s="136"/>
      <c r="Q417" s="136"/>
      <c r="R417" s="136"/>
      <c r="S417" s="136"/>
      <c r="T417" s="136"/>
      <c r="U417" s="137" t="n">
        <v>0</v>
      </c>
      <c r="V417" s="137" t="n">
        <v>0</v>
      </c>
      <c r="W417" s="137" t="n">
        <v>0</v>
      </c>
      <c r="X417" s="137" t="n">
        <v>0</v>
      </c>
      <c r="Y417" s="137" t="n">
        <v>0</v>
      </c>
      <c r="Z417" s="137" t="n">
        <v>0</v>
      </c>
      <c r="AA417" s="137" t="n">
        <v>0</v>
      </c>
      <c r="AB417" s="137" t="n">
        <v>0</v>
      </c>
      <c r="AC417" s="137" t="n">
        <v>0</v>
      </c>
      <c r="AD417" s="137" t="n">
        <v>0</v>
      </c>
      <c r="AE417" s="137" t="n">
        <v>0</v>
      </c>
      <c r="AF417" s="137" t="n">
        <v>0</v>
      </c>
      <c r="AG417" s="137" t="n">
        <v>0</v>
      </c>
      <c r="AH417" s="137" t="n">
        <v>0</v>
      </c>
      <c r="AI417" s="137" t="n">
        <v>0</v>
      </c>
      <c r="AJ417" s="137" t="n">
        <v>0</v>
      </c>
      <c r="AK417" s="137" t="n">
        <v>0</v>
      </c>
      <c r="AL417" s="137" t="n">
        <v>0</v>
      </c>
      <c r="AM417" s="137" t="n">
        <v>0</v>
      </c>
      <c r="AN417" s="136"/>
      <c r="AO417" s="136"/>
      <c r="AP417" s="136"/>
      <c r="AQ417" s="136"/>
      <c r="AR417" s="136"/>
      <c r="AS417" s="136"/>
      <c r="AT417" s="138"/>
    </row>
    <row r="418" customFormat="false" ht="12.75" hidden="false" customHeight="true" outlineLevel="0" collapsed="false">
      <c r="B418" s="122" t="n">
        <f aca="false">B417+1</f>
        <v>415</v>
      </c>
      <c r="C418" s="123" t="s">
        <v>162</v>
      </c>
      <c r="D418" s="140" t="n">
        <v>61073</v>
      </c>
      <c r="E418" s="124" t="str">
        <f aca="false">IF(D418="","",IFERROR(VLOOKUP(D418,CCN_Library!$A$4:$B$13,2,FALSE()),"NOT IN LIBRARY"))</f>
        <v>COMPANY/BATTERY HEADQUARTERS, MARINE CORPS</v>
      </c>
      <c r="F418" s="125" t="str">
        <f aca="false">LEFT(H418,6)</f>
        <v>M28263</v>
      </c>
      <c r="G418" s="126" t="s">
        <v>128</v>
      </c>
      <c r="H418" s="126" t="s">
        <v>743</v>
      </c>
      <c r="I418" s="126" t="s">
        <v>500</v>
      </c>
      <c r="J418" s="126" t="s">
        <v>182</v>
      </c>
      <c r="K418" s="127" t="s">
        <v>223</v>
      </c>
      <c r="L418" s="126" t="s">
        <v>223</v>
      </c>
      <c r="M418" s="126" t="s">
        <v>133</v>
      </c>
      <c r="N418" s="126" t="s">
        <v>134</v>
      </c>
      <c r="O418" s="126" t="s">
        <v>135</v>
      </c>
      <c r="P418" s="126" t="s">
        <v>135</v>
      </c>
      <c r="Q418" s="128"/>
      <c r="R418" s="126" t="s">
        <v>136</v>
      </c>
      <c r="S418" s="126" t="s">
        <v>137</v>
      </c>
      <c r="T418" s="128"/>
      <c r="U418" s="129" t="n">
        <v>0</v>
      </c>
      <c r="V418" s="129" t="n">
        <v>0</v>
      </c>
      <c r="W418" s="129" t="n">
        <v>0</v>
      </c>
      <c r="X418" s="129" t="n">
        <v>0</v>
      </c>
      <c r="Y418" s="129" t="n">
        <v>0</v>
      </c>
      <c r="Z418" s="129" t="n">
        <v>1</v>
      </c>
      <c r="AA418" s="129" t="n">
        <v>0</v>
      </c>
      <c r="AB418" s="129" t="n">
        <v>0</v>
      </c>
      <c r="AC418" s="129" t="n">
        <v>0</v>
      </c>
      <c r="AD418" s="129" t="n">
        <v>0</v>
      </c>
      <c r="AE418" s="129" t="n">
        <v>0</v>
      </c>
      <c r="AF418" s="129" t="n">
        <v>0</v>
      </c>
      <c r="AG418" s="129" t="n">
        <v>0</v>
      </c>
      <c r="AH418" s="129" t="n">
        <v>0</v>
      </c>
      <c r="AI418" s="129" t="n">
        <v>0</v>
      </c>
      <c r="AJ418" s="129" t="n">
        <v>0</v>
      </c>
      <c r="AK418" s="129" t="n">
        <v>0</v>
      </c>
      <c r="AL418" s="129" t="n">
        <v>0</v>
      </c>
      <c r="AM418" s="129" t="n">
        <v>0</v>
      </c>
      <c r="AN418" s="128"/>
      <c r="AO418" s="128"/>
      <c r="AP418" s="126" t="s">
        <v>138</v>
      </c>
      <c r="AQ418" s="126" t="s">
        <v>139</v>
      </c>
      <c r="AR418" s="126" t="s">
        <v>140</v>
      </c>
      <c r="AS418" s="128"/>
      <c r="AT418" s="139"/>
    </row>
    <row r="419" customFormat="false" ht="12.75" hidden="false" customHeight="true" outlineLevel="0" collapsed="false">
      <c r="B419" s="122" t="n">
        <f aca="false">B418+1</f>
        <v>416</v>
      </c>
      <c r="C419" s="123" t="s">
        <v>162</v>
      </c>
      <c r="D419" s="140" t="n">
        <v>61073</v>
      </c>
      <c r="E419" s="124" t="str">
        <f aca="false">IF(D419="","",IFERROR(VLOOKUP(D419,CCN_Library!$A$4:$B$13,2,FALSE()),"NOT IN LIBRARY"))</f>
        <v>COMPANY/BATTERY HEADQUARTERS, MARINE CORPS</v>
      </c>
      <c r="F419" s="125" t="str">
        <f aca="false">LEFT(H419,6)</f>
        <v>M28263</v>
      </c>
      <c r="G419" s="126" t="s">
        <v>128</v>
      </c>
      <c r="H419" s="126" t="s">
        <v>744</v>
      </c>
      <c r="I419" s="126" t="s">
        <v>159</v>
      </c>
      <c r="J419" s="126" t="s">
        <v>189</v>
      </c>
      <c r="K419" s="127" t="s">
        <v>161</v>
      </c>
      <c r="L419" s="126" t="s">
        <v>161</v>
      </c>
      <c r="M419" s="126" t="s">
        <v>133</v>
      </c>
      <c r="N419" s="126" t="s">
        <v>128</v>
      </c>
      <c r="O419" s="126" t="s">
        <v>135</v>
      </c>
      <c r="P419" s="126" t="s">
        <v>135</v>
      </c>
      <c r="Q419" s="128"/>
      <c r="R419" s="126" t="s">
        <v>136</v>
      </c>
      <c r="S419" s="126" t="s">
        <v>137</v>
      </c>
      <c r="T419" s="128"/>
      <c r="U419" s="129" t="n">
        <v>0</v>
      </c>
      <c r="V419" s="129" t="n">
        <v>0</v>
      </c>
      <c r="W419" s="129" t="n">
        <v>0</v>
      </c>
      <c r="X419" s="129" t="n">
        <v>0</v>
      </c>
      <c r="Y419" s="129" t="n">
        <v>0</v>
      </c>
      <c r="Z419" s="129" t="n">
        <v>0</v>
      </c>
      <c r="AA419" s="129" t="n">
        <v>1</v>
      </c>
      <c r="AB419" s="129" t="n">
        <v>0</v>
      </c>
      <c r="AC419" s="129" t="n">
        <v>0</v>
      </c>
      <c r="AD419" s="129" t="n">
        <v>0</v>
      </c>
      <c r="AE419" s="129" t="n">
        <v>0</v>
      </c>
      <c r="AF419" s="129" t="n">
        <v>0</v>
      </c>
      <c r="AG419" s="129" t="n">
        <v>0</v>
      </c>
      <c r="AH419" s="129" t="n">
        <v>0</v>
      </c>
      <c r="AI419" s="129" t="n">
        <v>0</v>
      </c>
      <c r="AJ419" s="129" t="n">
        <v>0</v>
      </c>
      <c r="AK419" s="129" t="n">
        <v>0</v>
      </c>
      <c r="AL419" s="129" t="n">
        <v>0</v>
      </c>
      <c r="AM419" s="129" t="n">
        <v>0</v>
      </c>
      <c r="AN419" s="128"/>
      <c r="AO419" s="128"/>
      <c r="AP419" s="126" t="s">
        <v>138</v>
      </c>
      <c r="AQ419" s="126" t="s">
        <v>139</v>
      </c>
      <c r="AR419" s="126" t="s">
        <v>140</v>
      </c>
      <c r="AS419" s="128"/>
      <c r="AT419" s="130"/>
    </row>
    <row r="420" customFormat="false" ht="12.75" hidden="false" customHeight="true" outlineLevel="0" collapsed="false">
      <c r="B420" s="122" t="n">
        <f aca="false">B419+1</f>
        <v>417</v>
      </c>
      <c r="C420" s="123" t="s">
        <v>168</v>
      </c>
      <c r="D420" s="140" t="n">
        <v>61073</v>
      </c>
      <c r="E420" s="124" t="str">
        <f aca="false">IF(D420="","",IFERROR(VLOOKUP(D420,CCN_Library!$A$4:$B$13,2,FALSE()),"NOT IN LIBRARY"))</f>
        <v>COMPANY/BATTERY HEADQUARTERS, MARINE CORPS</v>
      </c>
      <c r="F420" s="125" t="str">
        <f aca="false">LEFT(H420,6)</f>
        <v>M28263</v>
      </c>
      <c r="G420" s="126" t="s">
        <v>128</v>
      </c>
      <c r="H420" s="126" t="s">
        <v>745</v>
      </c>
      <c r="I420" s="126" t="s">
        <v>159</v>
      </c>
      <c r="J420" s="126" t="s">
        <v>191</v>
      </c>
      <c r="K420" s="127" t="s">
        <v>161</v>
      </c>
      <c r="L420" s="126" t="s">
        <v>161</v>
      </c>
      <c r="M420" s="126" t="s">
        <v>133</v>
      </c>
      <c r="N420" s="126" t="s">
        <v>128</v>
      </c>
      <c r="O420" s="126" t="s">
        <v>135</v>
      </c>
      <c r="P420" s="126" t="s">
        <v>135</v>
      </c>
      <c r="Q420" s="128"/>
      <c r="R420" s="126" t="s">
        <v>136</v>
      </c>
      <c r="S420" s="126" t="s">
        <v>58</v>
      </c>
      <c r="T420" s="128"/>
      <c r="U420" s="129" t="n">
        <v>0</v>
      </c>
      <c r="V420" s="129" t="n">
        <v>0</v>
      </c>
      <c r="W420" s="129" t="n">
        <v>0</v>
      </c>
      <c r="X420" s="129" t="n">
        <v>0</v>
      </c>
      <c r="Y420" s="129" t="n">
        <v>0</v>
      </c>
      <c r="Z420" s="129" t="n">
        <v>0</v>
      </c>
      <c r="AA420" s="129" t="n">
        <v>1</v>
      </c>
      <c r="AB420" s="129" t="n">
        <v>0</v>
      </c>
      <c r="AC420" s="129" t="n">
        <v>0</v>
      </c>
      <c r="AD420" s="129" t="n">
        <v>0</v>
      </c>
      <c r="AE420" s="129" t="n">
        <v>0</v>
      </c>
      <c r="AF420" s="129" t="n">
        <v>0</v>
      </c>
      <c r="AG420" s="129" t="n">
        <v>0</v>
      </c>
      <c r="AH420" s="129" t="n">
        <v>0</v>
      </c>
      <c r="AI420" s="129" t="n">
        <v>0</v>
      </c>
      <c r="AJ420" s="129" t="n">
        <v>0</v>
      </c>
      <c r="AK420" s="129" t="n">
        <v>0</v>
      </c>
      <c r="AL420" s="129" t="n">
        <v>0</v>
      </c>
      <c r="AM420" s="129" t="n">
        <v>0</v>
      </c>
      <c r="AN420" s="128"/>
      <c r="AO420" s="128"/>
      <c r="AP420" s="126" t="s">
        <v>138</v>
      </c>
      <c r="AQ420" s="126" t="s">
        <v>139</v>
      </c>
      <c r="AR420" s="126" t="s">
        <v>140</v>
      </c>
      <c r="AS420" s="128"/>
      <c r="AT420" s="130"/>
    </row>
    <row r="421" customFormat="false" ht="12.75" hidden="false" customHeight="true" outlineLevel="0" collapsed="false">
      <c r="B421" s="122" t="n">
        <f aca="false">B420+1</f>
        <v>418</v>
      </c>
      <c r="C421" s="123" t="s">
        <v>168</v>
      </c>
      <c r="D421" s="140" t="n">
        <v>61073</v>
      </c>
      <c r="E421" s="124" t="str">
        <f aca="false">IF(D421="","",IFERROR(VLOOKUP(D421,CCN_Library!$A$4:$B$13,2,FALSE()),"NOT IN LIBRARY"))</f>
        <v>COMPANY/BATTERY HEADQUARTERS, MARINE CORPS</v>
      </c>
      <c r="F421" s="125" t="str">
        <f aca="false">LEFT(H421,6)</f>
        <v>M28263</v>
      </c>
      <c r="G421" s="126" t="s">
        <v>128</v>
      </c>
      <c r="H421" s="126" t="s">
        <v>746</v>
      </c>
      <c r="I421" s="126" t="s">
        <v>159</v>
      </c>
      <c r="J421" s="126" t="s">
        <v>191</v>
      </c>
      <c r="K421" s="127" t="s">
        <v>161</v>
      </c>
      <c r="L421" s="126" t="s">
        <v>161</v>
      </c>
      <c r="M421" s="126" t="s">
        <v>133</v>
      </c>
      <c r="N421" s="126" t="s">
        <v>128</v>
      </c>
      <c r="O421" s="126" t="s">
        <v>135</v>
      </c>
      <c r="P421" s="126" t="s">
        <v>135</v>
      </c>
      <c r="Q421" s="128"/>
      <c r="R421" s="126" t="s">
        <v>136</v>
      </c>
      <c r="S421" s="126" t="s">
        <v>58</v>
      </c>
      <c r="T421" s="128"/>
      <c r="U421" s="129" t="n">
        <v>0</v>
      </c>
      <c r="V421" s="129" t="n">
        <v>0</v>
      </c>
      <c r="W421" s="129" t="n">
        <v>0</v>
      </c>
      <c r="X421" s="129" t="n">
        <v>0</v>
      </c>
      <c r="Y421" s="129" t="n">
        <v>0</v>
      </c>
      <c r="Z421" s="129" t="n">
        <v>0</v>
      </c>
      <c r="AA421" s="129" t="n">
        <v>1</v>
      </c>
      <c r="AB421" s="129" t="n">
        <v>0</v>
      </c>
      <c r="AC421" s="129" t="n">
        <v>0</v>
      </c>
      <c r="AD421" s="129" t="n">
        <v>0</v>
      </c>
      <c r="AE421" s="129" t="n">
        <v>0</v>
      </c>
      <c r="AF421" s="129" t="n">
        <v>0</v>
      </c>
      <c r="AG421" s="129" t="n">
        <v>0</v>
      </c>
      <c r="AH421" s="129" t="n">
        <v>0</v>
      </c>
      <c r="AI421" s="129" t="n">
        <v>0</v>
      </c>
      <c r="AJ421" s="129" t="n">
        <v>0</v>
      </c>
      <c r="AK421" s="129" t="n">
        <v>0</v>
      </c>
      <c r="AL421" s="129" t="n">
        <v>0</v>
      </c>
      <c r="AM421" s="129" t="n">
        <v>0</v>
      </c>
      <c r="AN421" s="128"/>
      <c r="AO421" s="128"/>
      <c r="AP421" s="126" t="s">
        <v>138</v>
      </c>
      <c r="AQ421" s="126" t="s">
        <v>139</v>
      </c>
      <c r="AR421" s="126" t="s">
        <v>140</v>
      </c>
      <c r="AS421" s="128"/>
      <c r="AT421" s="139"/>
    </row>
    <row r="422" customFormat="false" ht="12.75" hidden="false" customHeight="true" outlineLevel="0" collapsed="false">
      <c r="B422" s="122" t="n">
        <f aca="false">B421+1</f>
        <v>419</v>
      </c>
      <c r="C422" s="123" t="s">
        <v>168</v>
      </c>
      <c r="D422" s="140" t="n">
        <v>61073</v>
      </c>
      <c r="E422" s="124" t="str">
        <f aca="false">IF(D422="","",IFERROR(VLOOKUP(D422,CCN_Library!$A$4:$B$13,2,FALSE()),"NOT IN LIBRARY"))</f>
        <v>COMPANY/BATTERY HEADQUARTERS, MARINE CORPS</v>
      </c>
      <c r="F422" s="125" t="str">
        <f aca="false">LEFT(H422,6)</f>
        <v>M28263</v>
      </c>
      <c r="G422" s="126" t="s">
        <v>128</v>
      </c>
      <c r="H422" s="126" t="s">
        <v>747</v>
      </c>
      <c r="I422" s="126" t="s">
        <v>159</v>
      </c>
      <c r="J422" s="126" t="s">
        <v>191</v>
      </c>
      <c r="K422" s="127" t="s">
        <v>161</v>
      </c>
      <c r="L422" s="126" t="s">
        <v>161</v>
      </c>
      <c r="M422" s="126" t="s">
        <v>133</v>
      </c>
      <c r="N422" s="126" t="s">
        <v>128</v>
      </c>
      <c r="O422" s="126" t="s">
        <v>135</v>
      </c>
      <c r="P422" s="126" t="s">
        <v>135</v>
      </c>
      <c r="Q422" s="128"/>
      <c r="R422" s="126" t="s">
        <v>136</v>
      </c>
      <c r="S422" s="126" t="s">
        <v>58</v>
      </c>
      <c r="T422" s="128"/>
      <c r="U422" s="129" t="n">
        <v>0</v>
      </c>
      <c r="V422" s="129" t="n">
        <v>0</v>
      </c>
      <c r="W422" s="129" t="n">
        <v>0</v>
      </c>
      <c r="X422" s="129" t="n">
        <v>0</v>
      </c>
      <c r="Y422" s="129" t="n">
        <v>0</v>
      </c>
      <c r="Z422" s="129" t="n">
        <v>0</v>
      </c>
      <c r="AA422" s="129" t="n">
        <v>1</v>
      </c>
      <c r="AB422" s="129" t="n">
        <v>0</v>
      </c>
      <c r="AC422" s="129" t="n">
        <v>0</v>
      </c>
      <c r="AD422" s="129" t="n">
        <v>0</v>
      </c>
      <c r="AE422" s="129" t="n">
        <v>0</v>
      </c>
      <c r="AF422" s="129" t="n">
        <v>0</v>
      </c>
      <c r="AG422" s="129" t="n">
        <v>0</v>
      </c>
      <c r="AH422" s="129" t="n">
        <v>0</v>
      </c>
      <c r="AI422" s="129" t="n">
        <v>0</v>
      </c>
      <c r="AJ422" s="129" t="n">
        <v>0</v>
      </c>
      <c r="AK422" s="129" t="n">
        <v>0</v>
      </c>
      <c r="AL422" s="129" t="n">
        <v>0</v>
      </c>
      <c r="AM422" s="129" t="n">
        <v>0</v>
      </c>
      <c r="AN422" s="128"/>
      <c r="AO422" s="128"/>
      <c r="AP422" s="126" t="s">
        <v>138</v>
      </c>
      <c r="AQ422" s="126" t="s">
        <v>139</v>
      </c>
      <c r="AR422" s="126" t="s">
        <v>140</v>
      </c>
      <c r="AS422" s="128"/>
      <c r="AT422" s="130"/>
    </row>
    <row r="423" customFormat="false" ht="12.75" hidden="false" customHeight="true" outlineLevel="0" collapsed="false">
      <c r="B423" s="122" t="n">
        <f aca="false">B422+1</f>
        <v>420</v>
      </c>
      <c r="C423" s="123" t="s">
        <v>168</v>
      </c>
      <c r="D423" s="140" t="n">
        <v>61073</v>
      </c>
      <c r="E423" s="124" t="str">
        <f aca="false">IF(D423="","",IFERROR(VLOOKUP(D423,CCN_Library!$A$4:$B$13,2,FALSE()),"NOT IN LIBRARY"))</f>
        <v>COMPANY/BATTERY HEADQUARTERS, MARINE CORPS</v>
      </c>
      <c r="F423" s="125" t="str">
        <f aca="false">LEFT(H423,6)</f>
        <v>M28263</v>
      </c>
      <c r="G423" s="126" t="s">
        <v>128</v>
      </c>
      <c r="H423" s="126" t="s">
        <v>748</v>
      </c>
      <c r="I423" s="126" t="s">
        <v>159</v>
      </c>
      <c r="J423" s="126" t="s">
        <v>176</v>
      </c>
      <c r="K423" s="127" t="s">
        <v>161</v>
      </c>
      <c r="L423" s="126" t="s">
        <v>161</v>
      </c>
      <c r="M423" s="126" t="s">
        <v>133</v>
      </c>
      <c r="N423" s="126" t="s">
        <v>128</v>
      </c>
      <c r="O423" s="126" t="s">
        <v>135</v>
      </c>
      <c r="P423" s="126" t="s">
        <v>135</v>
      </c>
      <c r="Q423" s="128"/>
      <c r="R423" s="126" t="s">
        <v>136</v>
      </c>
      <c r="S423" s="126" t="s">
        <v>58</v>
      </c>
      <c r="T423" s="128"/>
      <c r="U423" s="129" t="n">
        <v>0</v>
      </c>
      <c r="V423" s="129" t="n">
        <v>0</v>
      </c>
      <c r="W423" s="129" t="n">
        <v>0</v>
      </c>
      <c r="X423" s="129" t="n">
        <v>0</v>
      </c>
      <c r="Y423" s="129" t="n">
        <v>0</v>
      </c>
      <c r="Z423" s="129" t="n">
        <v>0</v>
      </c>
      <c r="AA423" s="129" t="n">
        <v>1</v>
      </c>
      <c r="AB423" s="129" t="n">
        <v>0</v>
      </c>
      <c r="AC423" s="129" t="n">
        <v>0</v>
      </c>
      <c r="AD423" s="129" t="n">
        <v>0</v>
      </c>
      <c r="AE423" s="129" t="n">
        <v>0</v>
      </c>
      <c r="AF423" s="129" t="n">
        <v>0</v>
      </c>
      <c r="AG423" s="129" t="n">
        <v>0</v>
      </c>
      <c r="AH423" s="129" t="n">
        <v>0</v>
      </c>
      <c r="AI423" s="129" t="n">
        <v>0</v>
      </c>
      <c r="AJ423" s="129" t="n">
        <v>0</v>
      </c>
      <c r="AK423" s="129" t="n">
        <v>0</v>
      </c>
      <c r="AL423" s="129" t="n">
        <v>0</v>
      </c>
      <c r="AM423" s="129" t="n">
        <v>0</v>
      </c>
      <c r="AN423" s="128"/>
      <c r="AO423" s="128"/>
      <c r="AP423" s="126" t="s">
        <v>138</v>
      </c>
      <c r="AQ423" s="126" t="s">
        <v>139</v>
      </c>
      <c r="AR423" s="126" t="s">
        <v>140</v>
      </c>
      <c r="AS423" s="128"/>
      <c r="AT423" s="130"/>
    </row>
    <row r="424" customFormat="false" ht="12.75" hidden="false" customHeight="true" outlineLevel="0" collapsed="false">
      <c r="B424" s="122" t="n">
        <f aca="false">B423+1</f>
        <v>421</v>
      </c>
      <c r="C424" s="123" t="s">
        <v>168</v>
      </c>
      <c r="D424" s="140" t="n">
        <v>61073</v>
      </c>
      <c r="E424" s="124" t="str">
        <f aca="false">IF(D424="","",IFERROR(VLOOKUP(D424,CCN_Library!$A$4:$B$13,2,FALSE()),"NOT IN LIBRARY"))</f>
        <v>COMPANY/BATTERY HEADQUARTERS, MARINE CORPS</v>
      </c>
      <c r="F424" s="125" t="str">
        <f aca="false">LEFT(H424,6)</f>
        <v>M28263</v>
      </c>
      <c r="G424" s="126" t="s">
        <v>128</v>
      </c>
      <c r="H424" s="126" t="s">
        <v>749</v>
      </c>
      <c r="I424" s="126" t="s">
        <v>159</v>
      </c>
      <c r="J424" s="126" t="s">
        <v>176</v>
      </c>
      <c r="K424" s="127" t="s">
        <v>161</v>
      </c>
      <c r="L424" s="126" t="s">
        <v>161</v>
      </c>
      <c r="M424" s="126" t="s">
        <v>133</v>
      </c>
      <c r="N424" s="126" t="s">
        <v>128</v>
      </c>
      <c r="O424" s="126" t="s">
        <v>135</v>
      </c>
      <c r="P424" s="126" t="s">
        <v>135</v>
      </c>
      <c r="Q424" s="128"/>
      <c r="R424" s="126" t="s">
        <v>136</v>
      </c>
      <c r="S424" s="126" t="s">
        <v>58</v>
      </c>
      <c r="T424" s="128"/>
      <c r="U424" s="129" t="n">
        <v>0</v>
      </c>
      <c r="V424" s="129" t="n">
        <v>0</v>
      </c>
      <c r="W424" s="129" t="n">
        <v>0</v>
      </c>
      <c r="X424" s="129" t="n">
        <v>0</v>
      </c>
      <c r="Y424" s="129" t="n">
        <v>0</v>
      </c>
      <c r="Z424" s="129" t="n">
        <v>0</v>
      </c>
      <c r="AA424" s="129" t="n">
        <v>1</v>
      </c>
      <c r="AB424" s="129" t="n">
        <v>0</v>
      </c>
      <c r="AC424" s="129" t="n">
        <v>0</v>
      </c>
      <c r="AD424" s="129" t="n">
        <v>0</v>
      </c>
      <c r="AE424" s="129" t="n">
        <v>0</v>
      </c>
      <c r="AF424" s="129" t="n">
        <v>0</v>
      </c>
      <c r="AG424" s="129" t="n">
        <v>0</v>
      </c>
      <c r="AH424" s="129" t="n">
        <v>0</v>
      </c>
      <c r="AI424" s="129" t="n">
        <v>0</v>
      </c>
      <c r="AJ424" s="129" t="n">
        <v>0</v>
      </c>
      <c r="AK424" s="129" t="n">
        <v>0</v>
      </c>
      <c r="AL424" s="129" t="n">
        <v>0</v>
      </c>
      <c r="AM424" s="129" t="n">
        <v>0</v>
      </c>
      <c r="AN424" s="128"/>
      <c r="AO424" s="128"/>
      <c r="AP424" s="126" t="s">
        <v>138</v>
      </c>
      <c r="AQ424" s="126" t="s">
        <v>139</v>
      </c>
      <c r="AR424" s="126" t="s">
        <v>140</v>
      </c>
      <c r="AS424" s="128"/>
      <c r="AT424" s="139"/>
    </row>
    <row r="425" customFormat="false" ht="12.75" hidden="false" customHeight="true" outlineLevel="0" collapsed="false">
      <c r="B425" s="122" t="n">
        <f aca="false">B424+1</f>
        <v>422</v>
      </c>
      <c r="C425" s="123" t="s">
        <v>168</v>
      </c>
      <c r="D425" s="140" t="n">
        <v>61073</v>
      </c>
      <c r="E425" s="124" t="str">
        <f aca="false">IF(D425="","",IFERROR(VLOOKUP(D425,CCN_Library!$A$4:$B$13,2,FALSE()),"NOT IN LIBRARY"))</f>
        <v>COMPANY/BATTERY HEADQUARTERS, MARINE CORPS</v>
      </c>
      <c r="F425" s="125" t="str">
        <f aca="false">LEFT(H425,6)</f>
        <v>M28263</v>
      </c>
      <c r="G425" s="126" t="s">
        <v>128</v>
      </c>
      <c r="H425" s="126" t="s">
        <v>750</v>
      </c>
      <c r="I425" s="126" t="s">
        <v>159</v>
      </c>
      <c r="J425" s="126" t="s">
        <v>176</v>
      </c>
      <c r="K425" s="127" t="s">
        <v>161</v>
      </c>
      <c r="L425" s="126" t="s">
        <v>161</v>
      </c>
      <c r="M425" s="126" t="s">
        <v>133</v>
      </c>
      <c r="N425" s="126" t="s">
        <v>128</v>
      </c>
      <c r="O425" s="126" t="s">
        <v>135</v>
      </c>
      <c r="P425" s="126" t="s">
        <v>135</v>
      </c>
      <c r="Q425" s="128"/>
      <c r="R425" s="126" t="s">
        <v>136</v>
      </c>
      <c r="S425" s="126" t="s">
        <v>58</v>
      </c>
      <c r="T425" s="128"/>
      <c r="U425" s="129" t="n">
        <v>0</v>
      </c>
      <c r="V425" s="129" t="n">
        <v>0</v>
      </c>
      <c r="W425" s="129" t="n">
        <v>0</v>
      </c>
      <c r="X425" s="129" t="n">
        <v>0</v>
      </c>
      <c r="Y425" s="129" t="n">
        <v>0</v>
      </c>
      <c r="Z425" s="129" t="n">
        <v>0</v>
      </c>
      <c r="AA425" s="129" t="n">
        <v>1</v>
      </c>
      <c r="AB425" s="129" t="n">
        <v>0</v>
      </c>
      <c r="AC425" s="129" t="n">
        <v>0</v>
      </c>
      <c r="AD425" s="129" t="n">
        <v>0</v>
      </c>
      <c r="AE425" s="129" t="n">
        <v>0</v>
      </c>
      <c r="AF425" s="129" t="n">
        <v>0</v>
      </c>
      <c r="AG425" s="129" t="n">
        <v>0</v>
      </c>
      <c r="AH425" s="129" t="n">
        <v>0</v>
      </c>
      <c r="AI425" s="129" t="n">
        <v>0</v>
      </c>
      <c r="AJ425" s="129" t="n">
        <v>0</v>
      </c>
      <c r="AK425" s="129" t="n">
        <v>0</v>
      </c>
      <c r="AL425" s="129" t="n">
        <v>0</v>
      </c>
      <c r="AM425" s="129" t="n">
        <v>0</v>
      </c>
      <c r="AN425" s="128"/>
      <c r="AO425" s="128"/>
      <c r="AP425" s="126" t="s">
        <v>138</v>
      </c>
      <c r="AQ425" s="126" t="s">
        <v>139</v>
      </c>
      <c r="AR425" s="126" t="s">
        <v>140</v>
      </c>
      <c r="AS425" s="128"/>
      <c r="AT425" s="130"/>
    </row>
    <row r="426" customFormat="false" ht="12.75" hidden="false" customHeight="true" outlineLevel="0" collapsed="false">
      <c r="B426" s="131" t="n">
        <f aca="false">B425+1</f>
        <v>423</v>
      </c>
      <c r="C426" s="132" t="s">
        <v>162</v>
      </c>
      <c r="D426" s="133" t="n">
        <v>61073</v>
      </c>
      <c r="E426" s="133"/>
      <c r="F426" s="134" t="str">
        <f aca="false">LEFT(H426,6)</f>
        <v>M28263</v>
      </c>
      <c r="G426" s="135" t="s">
        <v>177</v>
      </c>
      <c r="H426" s="135" t="s">
        <v>751</v>
      </c>
      <c r="I426" s="135" t="s">
        <v>576</v>
      </c>
      <c r="J426" s="136"/>
      <c r="K426" s="136"/>
      <c r="L426" s="136"/>
      <c r="M426" s="136"/>
      <c r="N426" s="136"/>
      <c r="O426" s="136"/>
      <c r="P426" s="136"/>
      <c r="Q426" s="136"/>
      <c r="R426" s="136"/>
      <c r="S426" s="136"/>
      <c r="T426" s="136"/>
      <c r="U426" s="137" t="n">
        <v>0</v>
      </c>
      <c r="V426" s="137" t="n">
        <v>0</v>
      </c>
      <c r="W426" s="137" t="n">
        <v>0</v>
      </c>
      <c r="X426" s="137" t="n">
        <v>0</v>
      </c>
      <c r="Y426" s="137" t="n">
        <v>0</v>
      </c>
      <c r="Z426" s="137" t="n">
        <v>0</v>
      </c>
      <c r="AA426" s="137" t="n">
        <v>0</v>
      </c>
      <c r="AB426" s="137" t="n">
        <v>0</v>
      </c>
      <c r="AC426" s="137" t="n">
        <v>0</v>
      </c>
      <c r="AD426" s="137" t="n">
        <v>0</v>
      </c>
      <c r="AE426" s="137" t="n">
        <v>0</v>
      </c>
      <c r="AF426" s="137" t="n">
        <v>0</v>
      </c>
      <c r="AG426" s="137" t="n">
        <v>0</v>
      </c>
      <c r="AH426" s="137" t="n">
        <v>0</v>
      </c>
      <c r="AI426" s="137" t="n">
        <v>0</v>
      </c>
      <c r="AJ426" s="137" t="n">
        <v>0</v>
      </c>
      <c r="AK426" s="137" t="n">
        <v>0</v>
      </c>
      <c r="AL426" s="137" t="n">
        <v>0</v>
      </c>
      <c r="AM426" s="137" t="n">
        <v>0</v>
      </c>
      <c r="AN426" s="136"/>
      <c r="AO426" s="136"/>
      <c r="AP426" s="136"/>
      <c r="AQ426" s="136"/>
      <c r="AR426" s="136"/>
      <c r="AS426" s="136"/>
      <c r="AT426" s="138"/>
    </row>
    <row r="427" customFormat="false" ht="12.75" hidden="false" customHeight="true" outlineLevel="0" collapsed="false">
      <c r="B427" s="122" t="n">
        <f aca="false">B426+1</f>
        <v>424</v>
      </c>
      <c r="C427" s="123" t="s">
        <v>162</v>
      </c>
      <c r="D427" s="140" t="n">
        <v>61073</v>
      </c>
      <c r="E427" s="124" t="str">
        <f aca="false">IF(D427="","",IFERROR(VLOOKUP(D427,CCN_Library!$A$4:$B$13,2,FALSE()),"NOT IN LIBRARY"))</f>
        <v>COMPANY/BATTERY HEADQUARTERS, MARINE CORPS</v>
      </c>
      <c r="F427" s="125" t="str">
        <f aca="false">LEFT(H427,6)</f>
        <v>M28263</v>
      </c>
      <c r="G427" s="126" t="s">
        <v>128</v>
      </c>
      <c r="H427" s="126" t="s">
        <v>752</v>
      </c>
      <c r="I427" s="126" t="s">
        <v>472</v>
      </c>
      <c r="J427" s="126" t="s">
        <v>182</v>
      </c>
      <c r="K427" s="127" t="s">
        <v>223</v>
      </c>
      <c r="L427" s="126" t="s">
        <v>223</v>
      </c>
      <c r="M427" s="126" t="s">
        <v>133</v>
      </c>
      <c r="N427" s="126" t="s">
        <v>134</v>
      </c>
      <c r="O427" s="126" t="s">
        <v>135</v>
      </c>
      <c r="P427" s="126" t="s">
        <v>135</v>
      </c>
      <c r="Q427" s="128"/>
      <c r="R427" s="126" t="s">
        <v>136</v>
      </c>
      <c r="S427" s="126" t="s">
        <v>137</v>
      </c>
      <c r="T427" s="128"/>
      <c r="U427" s="129" t="n">
        <v>0</v>
      </c>
      <c r="V427" s="129" t="n">
        <v>0</v>
      </c>
      <c r="W427" s="129" t="n">
        <v>0</v>
      </c>
      <c r="X427" s="129" t="n">
        <v>0</v>
      </c>
      <c r="Y427" s="129" t="n">
        <v>0</v>
      </c>
      <c r="Z427" s="129" t="n">
        <v>1</v>
      </c>
      <c r="AA427" s="129" t="n">
        <v>0</v>
      </c>
      <c r="AB427" s="129" t="n">
        <v>0</v>
      </c>
      <c r="AC427" s="129" t="n">
        <v>0</v>
      </c>
      <c r="AD427" s="129" t="n">
        <v>0</v>
      </c>
      <c r="AE427" s="129" t="n">
        <v>0</v>
      </c>
      <c r="AF427" s="129" t="n">
        <v>0</v>
      </c>
      <c r="AG427" s="129" t="n">
        <v>0</v>
      </c>
      <c r="AH427" s="129" t="n">
        <v>0</v>
      </c>
      <c r="AI427" s="129" t="n">
        <v>0</v>
      </c>
      <c r="AJ427" s="129" t="n">
        <v>0</v>
      </c>
      <c r="AK427" s="129" t="n">
        <v>0</v>
      </c>
      <c r="AL427" s="129" t="n">
        <v>0</v>
      </c>
      <c r="AM427" s="129" t="n">
        <v>0</v>
      </c>
      <c r="AN427" s="128"/>
      <c r="AO427" s="128"/>
      <c r="AP427" s="126" t="s">
        <v>138</v>
      </c>
      <c r="AQ427" s="126" t="s">
        <v>139</v>
      </c>
      <c r="AR427" s="126" t="s">
        <v>140</v>
      </c>
      <c r="AS427" s="128"/>
      <c r="AT427" s="139"/>
    </row>
    <row r="428" customFormat="false" ht="12.75" hidden="false" customHeight="true" outlineLevel="0" collapsed="false">
      <c r="B428" s="122" t="n">
        <f aca="false">B427+1</f>
        <v>425</v>
      </c>
      <c r="C428" s="123" t="s">
        <v>168</v>
      </c>
      <c r="D428" s="140" t="n">
        <v>61073</v>
      </c>
      <c r="E428" s="124" t="str">
        <f aca="false">IF(D428="","",IFERROR(VLOOKUP(D428,CCN_Library!$A$4:$B$13,2,FALSE()),"NOT IN LIBRARY"))</f>
        <v>COMPANY/BATTERY HEADQUARTERS, MARINE CORPS</v>
      </c>
      <c r="F428" s="125" t="str">
        <f aca="false">LEFT(H428,6)</f>
        <v>M28263</v>
      </c>
      <c r="G428" s="126" t="s">
        <v>128</v>
      </c>
      <c r="H428" s="126" t="s">
        <v>753</v>
      </c>
      <c r="I428" s="126" t="s">
        <v>696</v>
      </c>
      <c r="J428" s="126" t="s">
        <v>191</v>
      </c>
      <c r="K428" s="127" t="s">
        <v>697</v>
      </c>
      <c r="L428" s="126" t="s">
        <v>161</v>
      </c>
      <c r="M428" s="126" t="s">
        <v>133</v>
      </c>
      <c r="N428" s="126" t="s">
        <v>128</v>
      </c>
      <c r="O428" s="126" t="s">
        <v>135</v>
      </c>
      <c r="P428" s="126" t="s">
        <v>135</v>
      </c>
      <c r="Q428" s="128"/>
      <c r="R428" s="126" t="s">
        <v>136</v>
      </c>
      <c r="S428" s="126" t="s">
        <v>58</v>
      </c>
      <c r="T428" s="128"/>
      <c r="U428" s="129" t="n">
        <v>0</v>
      </c>
      <c r="V428" s="129" t="n">
        <v>0</v>
      </c>
      <c r="W428" s="129" t="n">
        <v>0</v>
      </c>
      <c r="X428" s="129" t="n">
        <v>0</v>
      </c>
      <c r="Y428" s="129" t="n">
        <v>0</v>
      </c>
      <c r="Z428" s="129" t="n">
        <v>0</v>
      </c>
      <c r="AA428" s="129" t="n">
        <v>1</v>
      </c>
      <c r="AB428" s="129" t="n">
        <v>0</v>
      </c>
      <c r="AC428" s="129" t="n">
        <v>0</v>
      </c>
      <c r="AD428" s="129" t="n">
        <v>0</v>
      </c>
      <c r="AE428" s="129" t="n">
        <v>0</v>
      </c>
      <c r="AF428" s="129" t="n">
        <v>0</v>
      </c>
      <c r="AG428" s="129" t="n">
        <v>0</v>
      </c>
      <c r="AH428" s="129" t="n">
        <v>0</v>
      </c>
      <c r="AI428" s="129" t="n">
        <v>0</v>
      </c>
      <c r="AJ428" s="129" t="n">
        <v>0</v>
      </c>
      <c r="AK428" s="129" t="n">
        <v>0</v>
      </c>
      <c r="AL428" s="129" t="n">
        <v>0</v>
      </c>
      <c r="AM428" s="129" t="n">
        <v>0</v>
      </c>
      <c r="AN428" s="128"/>
      <c r="AO428" s="128"/>
      <c r="AP428" s="126" t="s">
        <v>138</v>
      </c>
      <c r="AQ428" s="126" t="s">
        <v>139</v>
      </c>
      <c r="AR428" s="126" t="s">
        <v>140</v>
      </c>
      <c r="AS428" s="128"/>
      <c r="AT428" s="130"/>
    </row>
    <row r="429" customFormat="false" ht="12.75" hidden="false" customHeight="true" outlineLevel="0" collapsed="false">
      <c r="B429" s="131" t="n">
        <f aca="false">B428+1</f>
        <v>426</v>
      </c>
      <c r="C429" s="132" t="s">
        <v>162</v>
      </c>
      <c r="D429" s="133" t="n">
        <v>61073</v>
      </c>
      <c r="E429" s="133"/>
      <c r="F429" s="134" t="str">
        <f aca="false">LEFT(H429,6)</f>
        <v>M28263</v>
      </c>
      <c r="G429" s="135" t="s">
        <v>177</v>
      </c>
      <c r="H429" s="135" t="s">
        <v>754</v>
      </c>
      <c r="I429" s="135" t="s">
        <v>580</v>
      </c>
      <c r="J429" s="136"/>
      <c r="K429" s="136"/>
      <c r="L429" s="136"/>
      <c r="M429" s="136"/>
      <c r="N429" s="136"/>
      <c r="O429" s="136"/>
      <c r="P429" s="136"/>
      <c r="Q429" s="136"/>
      <c r="R429" s="136"/>
      <c r="S429" s="136"/>
      <c r="T429" s="136"/>
      <c r="U429" s="137" t="n">
        <v>0</v>
      </c>
      <c r="V429" s="137" t="n">
        <v>0</v>
      </c>
      <c r="W429" s="137" t="n">
        <v>0</v>
      </c>
      <c r="X429" s="137" t="n">
        <v>0</v>
      </c>
      <c r="Y429" s="137" t="n">
        <v>0</v>
      </c>
      <c r="Z429" s="137" t="n">
        <v>0</v>
      </c>
      <c r="AA429" s="137" t="n">
        <v>0</v>
      </c>
      <c r="AB429" s="137" t="n">
        <v>0</v>
      </c>
      <c r="AC429" s="137" t="n">
        <v>0</v>
      </c>
      <c r="AD429" s="137" t="n">
        <v>0</v>
      </c>
      <c r="AE429" s="137" t="n">
        <v>0</v>
      </c>
      <c r="AF429" s="137" t="n">
        <v>0</v>
      </c>
      <c r="AG429" s="137" t="n">
        <v>0</v>
      </c>
      <c r="AH429" s="137" t="n">
        <v>0</v>
      </c>
      <c r="AI429" s="137" t="n">
        <v>0</v>
      </c>
      <c r="AJ429" s="137" t="n">
        <v>0</v>
      </c>
      <c r="AK429" s="137" t="n">
        <v>0</v>
      </c>
      <c r="AL429" s="137" t="n">
        <v>0</v>
      </c>
      <c r="AM429" s="137" t="n">
        <v>0</v>
      </c>
      <c r="AN429" s="136"/>
      <c r="AO429" s="136"/>
      <c r="AP429" s="136"/>
      <c r="AQ429" s="136"/>
      <c r="AR429" s="136"/>
      <c r="AS429" s="136"/>
      <c r="AT429" s="138"/>
    </row>
    <row r="430" customFormat="false" ht="12.75" hidden="false" customHeight="true" outlineLevel="0" collapsed="false">
      <c r="B430" s="122" t="n">
        <f aca="false">B429+1</f>
        <v>427</v>
      </c>
      <c r="C430" s="123" t="s">
        <v>162</v>
      </c>
      <c r="D430" s="140" t="n">
        <v>61073</v>
      </c>
      <c r="E430" s="124" t="str">
        <f aca="false">IF(D430="","",IFERROR(VLOOKUP(D430,CCN_Library!$A$4:$B$13,2,FALSE()),"NOT IN LIBRARY"))</f>
        <v>COMPANY/BATTERY HEADQUARTERS, MARINE CORPS</v>
      </c>
      <c r="F430" s="125" t="str">
        <f aca="false">LEFT(H430,6)</f>
        <v>M28263</v>
      </c>
      <c r="G430" s="126" t="s">
        <v>128</v>
      </c>
      <c r="H430" s="126" t="s">
        <v>755</v>
      </c>
      <c r="I430" s="126" t="s">
        <v>515</v>
      </c>
      <c r="J430" s="126" t="s">
        <v>189</v>
      </c>
      <c r="K430" s="127" t="s">
        <v>516</v>
      </c>
      <c r="L430" s="126" t="s">
        <v>161</v>
      </c>
      <c r="M430" s="126" t="s">
        <v>133</v>
      </c>
      <c r="N430" s="126" t="s">
        <v>128</v>
      </c>
      <c r="O430" s="126" t="s">
        <v>135</v>
      </c>
      <c r="P430" s="126" t="s">
        <v>135</v>
      </c>
      <c r="Q430" s="128"/>
      <c r="R430" s="126" t="s">
        <v>136</v>
      </c>
      <c r="S430" s="126" t="s">
        <v>137</v>
      </c>
      <c r="T430" s="128"/>
      <c r="U430" s="129" t="n">
        <v>0</v>
      </c>
      <c r="V430" s="129" t="n">
        <v>0</v>
      </c>
      <c r="W430" s="129" t="n">
        <v>0</v>
      </c>
      <c r="X430" s="129" t="n">
        <v>0</v>
      </c>
      <c r="Y430" s="129" t="n">
        <v>0</v>
      </c>
      <c r="Z430" s="129" t="n">
        <v>0</v>
      </c>
      <c r="AA430" s="129" t="n">
        <v>1</v>
      </c>
      <c r="AB430" s="129" t="n">
        <v>0</v>
      </c>
      <c r="AC430" s="129" t="n">
        <v>0</v>
      </c>
      <c r="AD430" s="129" t="n">
        <v>0</v>
      </c>
      <c r="AE430" s="129" t="n">
        <v>0</v>
      </c>
      <c r="AF430" s="129" t="n">
        <v>0</v>
      </c>
      <c r="AG430" s="129" t="n">
        <v>0</v>
      </c>
      <c r="AH430" s="129" t="n">
        <v>0</v>
      </c>
      <c r="AI430" s="129" t="n">
        <v>0</v>
      </c>
      <c r="AJ430" s="129" t="n">
        <v>0</v>
      </c>
      <c r="AK430" s="129" t="n">
        <v>0</v>
      </c>
      <c r="AL430" s="129" t="n">
        <v>0</v>
      </c>
      <c r="AM430" s="129" t="n">
        <v>0</v>
      </c>
      <c r="AN430" s="128"/>
      <c r="AO430" s="128"/>
      <c r="AP430" s="126" t="s">
        <v>138</v>
      </c>
      <c r="AQ430" s="126" t="s">
        <v>139</v>
      </c>
      <c r="AR430" s="126" t="s">
        <v>140</v>
      </c>
      <c r="AS430" s="128"/>
      <c r="AT430" s="139"/>
    </row>
    <row r="431" customFormat="false" ht="12.75" hidden="false" customHeight="true" outlineLevel="0" collapsed="false">
      <c r="B431" s="122" t="n">
        <f aca="false">B430+1</f>
        <v>428</v>
      </c>
      <c r="C431" s="123" t="s">
        <v>168</v>
      </c>
      <c r="D431" s="140" t="n">
        <v>61073</v>
      </c>
      <c r="E431" s="124" t="str">
        <f aca="false">IF(D431="","",IFERROR(VLOOKUP(D431,CCN_Library!$A$4:$B$13,2,FALSE()),"NOT IN LIBRARY"))</f>
        <v>COMPANY/BATTERY HEADQUARTERS, MARINE CORPS</v>
      </c>
      <c r="F431" s="125" t="str">
        <f aca="false">LEFT(H431,6)</f>
        <v>M28263</v>
      </c>
      <c r="G431" s="126" t="s">
        <v>128</v>
      </c>
      <c r="H431" s="126" t="s">
        <v>756</v>
      </c>
      <c r="I431" s="126" t="s">
        <v>515</v>
      </c>
      <c r="J431" s="126" t="s">
        <v>191</v>
      </c>
      <c r="K431" s="127" t="s">
        <v>516</v>
      </c>
      <c r="L431" s="126" t="s">
        <v>161</v>
      </c>
      <c r="M431" s="126" t="s">
        <v>133</v>
      </c>
      <c r="N431" s="126" t="s">
        <v>128</v>
      </c>
      <c r="O431" s="126" t="s">
        <v>135</v>
      </c>
      <c r="P431" s="126" t="s">
        <v>135</v>
      </c>
      <c r="Q431" s="128"/>
      <c r="R431" s="126" t="s">
        <v>136</v>
      </c>
      <c r="S431" s="126" t="s">
        <v>58</v>
      </c>
      <c r="T431" s="128"/>
      <c r="U431" s="129" t="n">
        <v>0</v>
      </c>
      <c r="V431" s="129" t="n">
        <v>0</v>
      </c>
      <c r="W431" s="129" t="n">
        <v>0</v>
      </c>
      <c r="X431" s="129" t="n">
        <v>0</v>
      </c>
      <c r="Y431" s="129" t="n">
        <v>0</v>
      </c>
      <c r="Z431" s="129" t="n">
        <v>0</v>
      </c>
      <c r="AA431" s="129" t="n">
        <v>1</v>
      </c>
      <c r="AB431" s="129" t="n">
        <v>0</v>
      </c>
      <c r="AC431" s="129" t="n">
        <v>0</v>
      </c>
      <c r="AD431" s="129" t="n">
        <v>0</v>
      </c>
      <c r="AE431" s="129" t="n">
        <v>0</v>
      </c>
      <c r="AF431" s="129" t="n">
        <v>0</v>
      </c>
      <c r="AG431" s="129" t="n">
        <v>0</v>
      </c>
      <c r="AH431" s="129" t="n">
        <v>0</v>
      </c>
      <c r="AI431" s="129" t="n">
        <v>0</v>
      </c>
      <c r="AJ431" s="129" t="n">
        <v>0</v>
      </c>
      <c r="AK431" s="129" t="n">
        <v>0</v>
      </c>
      <c r="AL431" s="129" t="n">
        <v>0</v>
      </c>
      <c r="AM431" s="129" t="n">
        <v>0</v>
      </c>
      <c r="AN431" s="128"/>
      <c r="AO431" s="128"/>
      <c r="AP431" s="126" t="s">
        <v>138</v>
      </c>
      <c r="AQ431" s="126" t="s">
        <v>139</v>
      </c>
      <c r="AR431" s="126" t="s">
        <v>140</v>
      </c>
      <c r="AS431" s="128"/>
      <c r="AT431" s="130"/>
    </row>
    <row r="432" customFormat="false" ht="12.75" hidden="false" customHeight="true" outlineLevel="0" collapsed="false">
      <c r="B432" s="122" t="n">
        <f aca="false">B431+1</f>
        <v>429</v>
      </c>
      <c r="C432" s="123" t="s">
        <v>168</v>
      </c>
      <c r="D432" s="140" t="n">
        <v>61073</v>
      </c>
      <c r="E432" s="124" t="str">
        <f aca="false">IF(D432="","",IFERROR(VLOOKUP(D432,CCN_Library!$A$4:$B$13,2,FALSE()),"NOT IN LIBRARY"))</f>
        <v>COMPANY/BATTERY HEADQUARTERS, MARINE CORPS</v>
      </c>
      <c r="F432" s="125" t="str">
        <f aca="false">LEFT(H432,6)</f>
        <v>M28263</v>
      </c>
      <c r="G432" s="126" t="s">
        <v>128</v>
      </c>
      <c r="H432" s="126" t="s">
        <v>757</v>
      </c>
      <c r="I432" s="126" t="s">
        <v>515</v>
      </c>
      <c r="J432" s="126" t="s">
        <v>191</v>
      </c>
      <c r="K432" s="127" t="s">
        <v>516</v>
      </c>
      <c r="L432" s="126" t="s">
        <v>161</v>
      </c>
      <c r="M432" s="126" t="s">
        <v>133</v>
      </c>
      <c r="N432" s="126" t="s">
        <v>128</v>
      </c>
      <c r="O432" s="126" t="s">
        <v>135</v>
      </c>
      <c r="P432" s="126" t="s">
        <v>135</v>
      </c>
      <c r="Q432" s="128"/>
      <c r="R432" s="126" t="s">
        <v>136</v>
      </c>
      <c r="S432" s="126" t="s">
        <v>58</v>
      </c>
      <c r="T432" s="128"/>
      <c r="U432" s="129" t="n">
        <v>0</v>
      </c>
      <c r="V432" s="129" t="n">
        <v>0</v>
      </c>
      <c r="W432" s="129" t="n">
        <v>0</v>
      </c>
      <c r="X432" s="129" t="n">
        <v>0</v>
      </c>
      <c r="Y432" s="129" t="n">
        <v>0</v>
      </c>
      <c r="Z432" s="129" t="n">
        <v>0</v>
      </c>
      <c r="AA432" s="129" t="n">
        <v>1</v>
      </c>
      <c r="AB432" s="129" t="n">
        <v>0</v>
      </c>
      <c r="AC432" s="129" t="n">
        <v>0</v>
      </c>
      <c r="AD432" s="129" t="n">
        <v>0</v>
      </c>
      <c r="AE432" s="129" t="n">
        <v>0</v>
      </c>
      <c r="AF432" s="129" t="n">
        <v>0</v>
      </c>
      <c r="AG432" s="129" t="n">
        <v>0</v>
      </c>
      <c r="AH432" s="129" t="n">
        <v>0</v>
      </c>
      <c r="AI432" s="129" t="n">
        <v>0</v>
      </c>
      <c r="AJ432" s="129" t="n">
        <v>0</v>
      </c>
      <c r="AK432" s="129" t="n">
        <v>0</v>
      </c>
      <c r="AL432" s="129" t="n">
        <v>0</v>
      </c>
      <c r="AM432" s="129" t="n">
        <v>0</v>
      </c>
      <c r="AN432" s="128"/>
      <c r="AO432" s="128"/>
      <c r="AP432" s="126" t="s">
        <v>138</v>
      </c>
      <c r="AQ432" s="126" t="s">
        <v>139</v>
      </c>
      <c r="AR432" s="126" t="s">
        <v>140</v>
      </c>
      <c r="AS432" s="128"/>
      <c r="AT432" s="139"/>
    </row>
    <row r="433" customFormat="false" ht="12.75" hidden="false" customHeight="true" outlineLevel="0" collapsed="false">
      <c r="B433" s="131" t="n">
        <f aca="false">B432+1</f>
        <v>430</v>
      </c>
      <c r="C433" s="132" t="s">
        <v>162</v>
      </c>
      <c r="D433" s="133" t="n">
        <v>61073</v>
      </c>
      <c r="E433" s="133"/>
      <c r="F433" s="134" t="str">
        <f aca="false">LEFT(H433,6)</f>
        <v>M28263</v>
      </c>
      <c r="G433" s="135" t="s">
        <v>177</v>
      </c>
      <c r="H433" s="135" t="s">
        <v>758</v>
      </c>
      <c r="I433" s="135" t="s">
        <v>759</v>
      </c>
      <c r="J433" s="136"/>
      <c r="K433" s="136"/>
      <c r="L433" s="136"/>
      <c r="M433" s="136"/>
      <c r="N433" s="136"/>
      <c r="O433" s="136"/>
      <c r="P433" s="136"/>
      <c r="Q433" s="136"/>
      <c r="R433" s="136"/>
      <c r="S433" s="136"/>
      <c r="T433" s="136"/>
      <c r="U433" s="137" t="n">
        <v>0</v>
      </c>
      <c r="V433" s="137" t="n">
        <v>0</v>
      </c>
      <c r="W433" s="137" t="n">
        <v>0</v>
      </c>
      <c r="X433" s="137" t="n">
        <v>0</v>
      </c>
      <c r="Y433" s="137" t="n">
        <v>0</v>
      </c>
      <c r="Z433" s="137" t="n">
        <v>0</v>
      </c>
      <c r="AA433" s="137" t="n">
        <v>0</v>
      </c>
      <c r="AB433" s="137" t="n">
        <v>0</v>
      </c>
      <c r="AC433" s="137" t="n">
        <v>0</v>
      </c>
      <c r="AD433" s="137" t="n">
        <v>0</v>
      </c>
      <c r="AE433" s="137" t="n">
        <v>0</v>
      </c>
      <c r="AF433" s="137" t="n">
        <v>0</v>
      </c>
      <c r="AG433" s="137" t="n">
        <v>0</v>
      </c>
      <c r="AH433" s="137" t="n">
        <v>0</v>
      </c>
      <c r="AI433" s="137" t="n">
        <v>0</v>
      </c>
      <c r="AJ433" s="137" t="n">
        <v>0</v>
      </c>
      <c r="AK433" s="137" t="n">
        <v>0</v>
      </c>
      <c r="AL433" s="137" t="n">
        <v>0</v>
      </c>
      <c r="AM433" s="137" t="n">
        <v>0</v>
      </c>
      <c r="AN433" s="136"/>
      <c r="AO433" s="136"/>
      <c r="AP433" s="136"/>
      <c r="AQ433" s="136"/>
      <c r="AR433" s="136"/>
      <c r="AS433" s="136"/>
      <c r="AT433" s="138"/>
    </row>
    <row r="434" customFormat="false" ht="12.75" hidden="false" customHeight="true" outlineLevel="0" collapsed="false">
      <c r="B434" s="122" t="n">
        <f aca="false">B433+1</f>
        <v>431</v>
      </c>
      <c r="C434" s="123" t="s">
        <v>162</v>
      </c>
      <c r="D434" s="140" t="n">
        <v>61073</v>
      </c>
      <c r="E434" s="124" t="str">
        <f aca="false">IF(D434="","",IFERROR(VLOOKUP(D434,CCN_Library!$A$4:$B$13,2,FALSE()),"NOT IN LIBRARY"))</f>
        <v>COMPANY/BATTERY HEADQUARTERS, MARINE CORPS</v>
      </c>
      <c r="F434" s="125" t="str">
        <f aca="false">LEFT(H434,6)</f>
        <v>M28263</v>
      </c>
      <c r="G434" s="126" t="s">
        <v>128</v>
      </c>
      <c r="H434" s="126" t="s">
        <v>760</v>
      </c>
      <c r="I434" s="126" t="s">
        <v>457</v>
      </c>
      <c r="J434" s="126" t="s">
        <v>189</v>
      </c>
      <c r="K434" s="127" t="s">
        <v>458</v>
      </c>
      <c r="L434" s="126" t="s">
        <v>161</v>
      </c>
      <c r="M434" s="126" t="s">
        <v>133</v>
      </c>
      <c r="N434" s="126" t="s">
        <v>128</v>
      </c>
      <c r="O434" s="126" t="s">
        <v>135</v>
      </c>
      <c r="P434" s="126" t="s">
        <v>135</v>
      </c>
      <c r="Q434" s="128"/>
      <c r="R434" s="126" t="s">
        <v>136</v>
      </c>
      <c r="S434" s="126" t="s">
        <v>137</v>
      </c>
      <c r="T434" s="128"/>
      <c r="U434" s="129" t="n">
        <v>0</v>
      </c>
      <c r="V434" s="129" t="n">
        <v>0</v>
      </c>
      <c r="W434" s="129" t="n">
        <v>0</v>
      </c>
      <c r="X434" s="129" t="n">
        <v>0</v>
      </c>
      <c r="Y434" s="129" t="n">
        <v>0</v>
      </c>
      <c r="Z434" s="129" t="n">
        <v>0</v>
      </c>
      <c r="AA434" s="129" t="n">
        <v>1</v>
      </c>
      <c r="AB434" s="129" t="n">
        <v>0</v>
      </c>
      <c r="AC434" s="129" t="n">
        <v>0</v>
      </c>
      <c r="AD434" s="129" t="n">
        <v>0</v>
      </c>
      <c r="AE434" s="129" t="n">
        <v>0</v>
      </c>
      <c r="AF434" s="129" t="n">
        <v>0</v>
      </c>
      <c r="AG434" s="129" t="n">
        <v>0</v>
      </c>
      <c r="AH434" s="129" t="n">
        <v>0</v>
      </c>
      <c r="AI434" s="129" t="n">
        <v>0</v>
      </c>
      <c r="AJ434" s="129" t="n">
        <v>0</v>
      </c>
      <c r="AK434" s="129" t="n">
        <v>0</v>
      </c>
      <c r="AL434" s="129" t="n">
        <v>0</v>
      </c>
      <c r="AM434" s="129" t="n">
        <v>0</v>
      </c>
      <c r="AN434" s="128"/>
      <c r="AO434" s="128"/>
      <c r="AP434" s="126" t="s">
        <v>138</v>
      </c>
      <c r="AQ434" s="126" t="s">
        <v>139</v>
      </c>
      <c r="AR434" s="126" t="s">
        <v>140</v>
      </c>
      <c r="AS434" s="128"/>
      <c r="AT434" s="130"/>
    </row>
    <row r="435" customFormat="false" ht="12.75" hidden="false" customHeight="true" outlineLevel="0" collapsed="false">
      <c r="B435" s="122" t="n">
        <f aca="false">B434+1</f>
        <v>432</v>
      </c>
      <c r="C435" s="123" t="s">
        <v>168</v>
      </c>
      <c r="D435" s="140" t="n">
        <v>61073</v>
      </c>
      <c r="E435" s="124" t="str">
        <f aca="false">IF(D435="","",IFERROR(VLOOKUP(D435,CCN_Library!$A$4:$B$13,2,FALSE()),"NOT IN LIBRARY"))</f>
        <v>COMPANY/BATTERY HEADQUARTERS, MARINE CORPS</v>
      </c>
      <c r="F435" s="125" t="str">
        <f aca="false">LEFT(H435,6)</f>
        <v>M28263</v>
      </c>
      <c r="G435" s="126" t="s">
        <v>128</v>
      </c>
      <c r="H435" s="126" t="s">
        <v>761</v>
      </c>
      <c r="I435" s="126" t="s">
        <v>457</v>
      </c>
      <c r="J435" s="126" t="s">
        <v>191</v>
      </c>
      <c r="K435" s="127" t="s">
        <v>458</v>
      </c>
      <c r="L435" s="126" t="s">
        <v>161</v>
      </c>
      <c r="M435" s="126" t="s">
        <v>133</v>
      </c>
      <c r="N435" s="126" t="s">
        <v>128</v>
      </c>
      <c r="O435" s="126" t="s">
        <v>135</v>
      </c>
      <c r="P435" s="126" t="s">
        <v>135</v>
      </c>
      <c r="Q435" s="128"/>
      <c r="R435" s="126" t="s">
        <v>136</v>
      </c>
      <c r="S435" s="126" t="s">
        <v>58</v>
      </c>
      <c r="T435" s="128"/>
      <c r="U435" s="129" t="n">
        <v>0</v>
      </c>
      <c r="V435" s="129" t="n">
        <v>0</v>
      </c>
      <c r="W435" s="129" t="n">
        <v>0</v>
      </c>
      <c r="X435" s="129" t="n">
        <v>0</v>
      </c>
      <c r="Y435" s="129" t="n">
        <v>0</v>
      </c>
      <c r="Z435" s="129" t="n">
        <v>0</v>
      </c>
      <c r="AA435" s="129" t="n">
        <v>1</v>
      </c>
      <c r="AB435" s="129" t="n">
        <v>0</v>
      </c>
      <c r="AC435" s="129" t="n">
        <v>0</v>
      </c>
      <c r="AD435" s="129" t="n">
        <v>0</v>
      </c>
      <c r="AE435" s="129" t="n">
        <v>0</v>
      </c>
      <c r="AF435" s="129" t="n">
        <v>0</v>
      </c>
      <c r="AG435" s="129" t="n">
        <v>0</v>
      </c>
      <c r="AH435" s="129" t="n">
        <v>0</v>
      </c>
      <c r="AI435" s="129" t="n">
        <v>0</v>
      </c>
      <c r="AJ435" s="129" t="n">
        <v>0</v>
      </c>
      <c r="AK435" s="129" t="n">
        <v>0</v>
      </c>
      <c r="AL435" s="129" t="n">
        <v>0</v>
      </c>
      <c r="AM435" s="129" t="n">
        <v>0</v>
      </c>
      <c r="AN435" s="128"/>
      <c r="AO435" s="128"/>
      <c r="AP435" s="126" t="s">
        <v>138</v>
      </c>
      <c r="AQ435" s="126" t="s">
        <v>139</v>
      </c>
      <c r="AR435" s="126" t="s">
        <v>140</v>
      </c>
      <c r="AS435" s="128"/>
      <c r="AT435" s="139"/>
    </row>
    <row r="436" customFormat="false" ht="12.75" hidden="false" customHeight="true" outlineLevel="0" collapsed="false">
      <c r="B436" s="122" t="n">
        <f aca="false">B435+1</f>
        <v>433</v>
      </c>
      <c r="C436" s="123" t="s">
        <v>168</v>
      </c>
      <c r="D436" s="140" t="n">
        <v>61073</v>
      </c>
      <c r="E436" s="124" t="str">
        <f aca="false">IF(D436="","",IFERROR(VLOOKUP(D436,CCN_Library!$A$4:$B$13,2,FALSE()),"NOT IN LIBRARY"))</f>
        <v>COMPANY/BATTERY HEADQUARTERS, MARINE CORPS</v>
      </c>
      <c r="F436" s="125" t="str">
        <f aca="false">LEFT(H436,6)</f>
        <v>M28263</v>
      </c>
      <c r="G436" s="126" t="s">
        <v>128</v>
      </c>
      <c r="H436" s="126" t="s">
        <v>762</v>
      </c>
      <c r="I436" s="126" t="s">
        <v>457</v>
      </c>
      <c r="J436" s="126" t="s">
        <v>176</v>
      </c>
      <c r="K436" s="127" t="s">
        <v>458</v>
      </c>
      <c r="L436" s="126" t="s">
        <v>161</v>
      </c>
      <c r="M436" s="126" t="s">
        <v>133</v>
      </c>
      <c r="N436" s="126" t="s">
        <v>128</v>
      </c>
      <c r="O436" s="126" t="s">
        <v>135</v>
      </c>
      <c r="P436" s="126" t="s">
        <v>135</v>
      </c>
      <c r="Q436" s="128"/>
      <c r="R436" s="126" t="s">
        <v>136</v>
      </c>
      <c r="S436" s="126" t="s">
        <v>58</v>
      </c>
      <c r="T436" s="128"/>
      <c r="U436" s="129" t="n">
        <v>0</v>
      </c>
      <c r="V436" s="129" t="n">
        <v>0</v>
      </c>
      <c r="W436" s="129" t="n">
        <v>0</v>
      </c>
      <c r="X436" s="129" t="n">
        <v>0</v>
      </c>
      <c r="Y436" s="129" t="n">
        <v>0</v>
      </c>
      <c r="Z436" s="129" t="n">
        <v>0</v>
      </c>
      <c r="AA436" s="129" t="n">
        <v>1</v>
      </c>
      <c r="AB436" s="129" t="n">
        <v>0</v>
      </c>
      <c r="AC436" s="129" t="n">
        <v>0</v>
      </c>
      <c r="AD436" s="129" t="n">
        <v>0</v>
      </c>
      <c r="AE436" s="129" t="n">
        <v>0</v>
      </c>
      <c r="AF436" s="129" t="n">
        <v>0</v>
      </c>
      <c r="AG436" s="129" t="n">
        <v>0</v>
      </c>
      <c r="AH436" s="129" t="n">
        <v>0</v>
      </c>
      <c r="AI436" s="129" t="n">
        <v>0</v>
      </c>
      <c r="AJ436" s="129" t="n">
        <v>0</v>
      </c>
      <c r="AK436" s="129" t="n">
        <v>0</v>
      </c>
      <c r="AL436" s="129" t="n">
        <v>0</v>
      </c>
      <c r="AM436" s="129" t="n">
        <v>0</v>
      </c>
      <c r="AN436" s="128"/>
      <c r="AO436" s="128"/>
      <c r="AP436" s="126" t="s">
        <v>138</v>
      </c>
      <c r="AQ436" s="126" t="s">
        <v>139</v>
      </c>
      <c r="AR436" s="126" t="s">
        <v>140</v>
      </c>
      <c r="AS436" s="128"/>
      <c r="AT436" s="130"/>
    </row>
    <row r="437" customFormat="false" ht="12.75" hidden="false" customHeight="true" outlineLevel="0" collapsed="false">
      <c r="B437" s="131" t="n">
        <f aca="false">B436+1</f>
        <v>434</v>
      </c>
      <c r="C437" s="132" t="s">
        <v>162</v>
      </c>
      <c r="D437" s="133" t="n">
        <v>61073</v>
      </c>
      <c r="E437" s="133"/>
      <c r="F437" s="134" t="str">
        <f aca="false">LEFT(H437,6)</f>
        <v>M28263</v>
      </c>
      <c r="G437" s="135" t="s">
        <v>58</v>
      </c>
      <c r="H437" s="135" t="s">
        <v>763</v>
      </c>
      <c r="I437" s="135" t="s">
        <v>764</v>
      </c>
      <c r="J437" s="136"/>
      <c r="K437" s="136"/>
      <c r="L437" s="136"/>
      <c r="M437" s="136"/>
      <c r="N437" s="136"/>
      <c r="O437" s="136"/>
      <c r="P437" s="136"/>
      <c r="Q437" s="136"/>
      <c r="R437" s="136"/>
      <c r="S437" s="136"/>
      <c r="T437" s="136"/>
      <c r="U437" s="137" t="n">
        <v>0</v>
      </c>
      <c r="V437" s="137" t="n">
        <v>0</v>
      </c>
      <c r="W437" s="137" t="n">
        <v>0</v>
      </c>
      <c r="X437" s="137" t="n">
        <v>0</v>
      </c>
      <c r="Y437" s="137" t="n">
        <v>0</v>
      </c>
      <c r="Z437" s="137" t="n">
        <v>0</v>
      </c>
      <c r="AA437" s="137" t="n">
        <v>0</v>
      </c>
      <c r="AB437" s="137" t="n">
        <v>0</v>
      </c>
      <c r="AC437" s="137" t="n">
        <v>0</v>
      </c>
      <c r="AD437" s="137" t="n">
        <v>0</v>
      </c>
      <c r="AE437" s="137" t="n">
        <v>0</v>
      </c>
      <c r="AF437" s="137" t="n">
        <v>0</v>
      </c>
      <c r="AG437" s="137" t="n">
        <v>0</v>
      </c>
      <c r="AH437" s="137" t="n">
        <v>0</v>
      </c>
      <c r="AI437" s="137" t="n">
        <v>0</v>
      </c>
      <c r="AJ437" s="137" t="n">
        <v>0</v>
      </c>
      <c r="AK437" s="137" t="n">
        <v>0</v>
      </c>
      <c r="AL437" s="137" t="n">
        <v>0</v>
      </c>
      <c r="AM437" s="137" t="n">
        <v>0</v>
      </c>
      <c r="AN437" s="136"/>
      <c r="AO437" s="136"/>
      <c r="AP437" s="136"/>
      <c r="AQ437" s="136"/>
      <c r="AR437" s="136"/>
      <c r="AS437" s="136"/>
      <c r="AT437" s="138"/>
    </row>
    <row r="438" customFormat="false" ht="12.75" hidden="false" customHeight="true" outlineLevel="0" collapsed="false">
      <c r="B438" s="122" t="n">
        <f aca="false">B437+1</f>
        <v>435</v>
      </c>
      <c r="C438" s="123" t="s">
        <v>162</v>
      </c>
      <c r="D438" s="140" t="n">
        <v>61073</v>
      </c>
      <c r="E438" s="124" t="str">
        <f aca="false">IF(D438="","",IFERROR(VLOOKUP(D438,CCN_Library!$A$4:$B$13,2,FALSE()),"NOT IN LIBRARY"))</f>
        <v>COMPANY/BATTERY HEADQUARTERS, MARINE CORPS</v>
      </c>
      <c r="F438" s="125" t="str">
        <f aca="false">LEFT(H438,6)</f>
        <v>M28263</v>
      </c>
      <c r="G438" s="126" t="s">
        <v>128</v>
      </c>
      <c r="H438" s="126" t="s">
        <v>765</v>
      </c>
      <c r="I438" s="126" t="s">
        <v>527</v>
      </c>
      <c r="J438" s="126" t="s">
        <v>211</v>
      </c>
      <c r="K438" s="127" t="s">
        <v>151</v>
      </c>
      <c r="L438" s="126" t="s">
        <v>151</v>
      </c>
      <c r="M438" s="126" t="s">
        <v>133</v>
      </c>
      <c r="N438" s="126" t="s">
        <v>134</v>
      </c>
      <c r="O438" s="126" t="s">
        <v>135</v>
      </c>
      <c r="P438" s="126" t="s">
        <v>135</v>
      </c>
      <c r="Q438" s="128"/>
      <c r="R438" s="126" t="s">
        <v>136</v>
      </c>
      <c r="S438" s="126" t="s">
        <v>137</v>
      </c>
      <c r="T438" s="128"/>
      <c r="U438" s="129" t="n">
        <v>0</v>
      </c>
      <c r="V438" s="129" t="n">
        <v>0</v>
      </c>
      <c r="W438" s="129" t="n">
        <v>0</v>
      </c>
      <c r="X438" s="129" t="n">
        <v>0</v>
      </c>
      <c r="Y438" s="129" t="n">
        <v>0</v>
      </c>
      <c r="Z438" s="129" t="n">
        <v>1</v>
      </c>
      <c r="AA438" s="129" t="n">
        <v>0</v>
      </c>
      <c r="AB438" s="129" t="n">
        <v>0</v>
      </c>
      <c r="AC438" s="129" t="n">
        <v>0</v>
      </c>
      <c r="AD438" s="129" t="n">
        <v>0</v>
      </c>
      <c r="AE438" s="129" t="n">
        <v>0</v>
      </c>
      <c r="AF438" s="129" t="n">
        <v>0</v>
      </c>
      <c r="AG438" s="129" t="n">
        <v>0</v>
      </c>
      <c r="AH438" s="129" t="n">
        <v>0</v>
      </c>
      <c r="AI438" s="129" t="n">
        <v>0</v>
      </c>
      <c r="AJ438" s="129" t="n">
        <v>0</v>
      </c>
      <c r="AK438" s="129" t="n">
        <v>0</v>
      </c>
      <c r="AL438" s="129" t="n">
        <v>0</v>
      </c>
      <c r="AM438" s="129" t="n">
        <v>0</v>
      </c>
      <c r="AN438" s="128"/>
      <c r="AO438" s="128"/>
      <c r="AP438" s="126" t="s">
        <v>138</v>
      </c>
      <c r="AQ438" s="126" t="s">
        <v>139</v>
      </c>
      <c r="AR438" s="126" t="s">
        <v>140</v>
      </c>
      <c r="AS438" s="128"/>
      <c r="AT438" s="139"/>
    </row>
    <row r="439" customFormat="false" ht="12.75" hidden="false" customHeight="true" outlineLevel="0" collapsed="false">
      <c r="B439" s="122" t="n">
        <f aca="false">B438+1</f>
        <v>436</v>
      </c>
      <c r="C439" s="123" t="s">
        <v>162</v>
      </c>
      <c r="D439" s="140" t="n">
        <v>61073</v>
      </c>
      <c r="E439" s="124" t="str">
        <f aca="false">IF(D439="","",IFERROR(VLOOKUP(D439,CCN_Library!$A$4:$B$13,2,FALSE()),"NOT IN LIBRARY"))</f>
        <v>COMPANY/BATTERY HEADQUARTERS, MARINE CORPS</v>
      </c>
      <c r="F439" s="125" t="str">
        <f aca="false">LEFT(H439,6)</f>
        <v>M28263</v>
      </c>
      <c r="G439" s="126" t="s">
        <v>128</v>
      </c>
      <c r="H439" s="126" t="s">
        <v>766</v>
      </c>
      <c r="I439" s="126" t="s">
        <v>472</v>
      </c>
      <c r="J439" s="126" t="s">
        <v>211</v>
      </c>
      <c r="K439" s="127" t="s">
        <v>223</v>
      </c>
      <c r="L439" s="126" t="s">
        <v>223</v>
      </c>
      <c r="M439" s="126" t="s">
        <v>133</v>
      </c>
      <c r="N439" s="126" t="s">
        <v>134</v>
      </c>
      <c r="O439" s="126" t="s">
        <v>135</v>
      </c>
      <c r="P439" s="126" t="s">
        <v>135</v>
      </c>
      <c r="Q439" s="128"/>
      <c r="R439" s="126" t="s">
        <v>136</v>
      </c>
      <c r="S439" s="126" t="s">
        <v>137</v>
      </c>
      <c r="T439" s="128"/>
      <c r="U439" s="129" t="n">
        <v>0</v>
      </c>
      <c r="V439" s="129" t="n">
        <v>0</v>
      </c>
      <c r="W439" s="129" t="n">
        <v>0</v>
      </c>
      <c r="X439" s="129" t="n">
        <v>0</v>
      </c>
      <c r="Y439" s="129" t="n">
        <v>0</v>
      </c>
      <c r="Z439" s="129" t="n">
        <v>1</v>
      </c>
      <c r="AA439" s="129" t="n">
        <v>0</v>
      </c>
      <c r="AB439" s="129" t="n">
        <v>0</v>
      </c>
      <c r="AC439" s="129" t="n">
        <v>0</v>
      </c>
      <c r="AD439" s="129" t="n">
        <v>0</v>
      </c>
      <c r="AE439" s="129" t="n">
        <v>0</v>
      </c>
      <c r="AF439" s="129" t="n">
        <v>0</v>
      </c>
      <c r="AG439" s="129" t="n">
        <v>0</v>
      </c>
      <c r="AH439" s="129" t="n">
        <v>0</v>
      </c>
      <c r="AI439" s="129" t="n">
        <v>0</v>
      </c>
      <c r="AJ439" s="129" t="n">
        <v>0</v>
      </c>
      <c r="AK439" s="129" t="n">
        <v>0</v>
      </c>
      <c r="AL439" s="129" t="n">
        <v>0</v>
      </c>
      <c r="AM439" s="129" t="n">
        <v>0</v>
      </c>
      <c r="AN439" s="128"/>
      <c r="AO439" s="128"/>
      <c r="AP439" s="126" t="s">
        <v>138</v>
      </c>
      <c r="AQ439" s="126" t="s">
        <v>139</v>
      </c>
      <c r="AR439" s="126" t="s">
        <v>140</v>
      </c>
      <c r="AS439" s="128"/>
      <c r="AT439" s="130"/>
    </row>
    <row r="440" customFormat="false" ht="12.75" hidden="false" customHeight="true" outlineLevel="0" collapsed="false">
      <c r="B440" s="122" t="n">
        <f aca="false">B439+1</f>
        <v>437</v>
      </c>
      <c r="C440" s="123" t="s">
        <v>162</v>
      </c>
      <c r="D440" s="140" t="n">
        <v>61073</v>
      </c>
      <c r="E440" s="124" t="str">
        <f aca="false">IF(D440="","",IFERROR(VLOOKUP(D440,CCN_Library!$A$4:$B$13,2,FALSE()),"NOT IN LIBRARY"))</f>
        <v>COMPANY/BATTERY HEADQUARTERS, MARINE CORPS</v>
      </c>
      <c r="F440" s="125" t="str">
        <f aca="false">LEFT(H440,6)</f>
        <v>M28263</v>
      </c>
      <c r="G440" s="126" t="s">
        <v>128</v>
      </c>
      <c r="H440" s="126" t="s">
        <v>767</v>
      </c>
      <c r="I440" s="126" t="s">
        <v>530</v>
      </c>
      <c r="J440" s="126" t="s">
        <v>182</v>
      </c>
      <c r="K440" s="127" t="s">
        <v>223</v>
      </c>
      <c r="L440" s="126" t="s">
        <v>223</v>
      </c>
      <c r="M440" s="126" t="s">
        <v>133</v>
      </c>
      <c r="N440" s="126" t="s">
        <v>134</v>
      </c>
      <c r="O440" s="126" t="s">
        <v>135</v>
      </c>
      <c r="P440" s="126" t="s">
        <v>135</v>
      </c>
      <c r="Q440" s="128"/>
      <c r="R440" s="126" t="s">
        <v>136</v>
      </c>
      <c r="S440" s="126" t="s">
        <v>137</v>
      </c>
      <c r="T440" s="128"/>
      <c r="U440" s="129" t="n">
        <v>0</v>
      </c>
      <c r="V440" s="129" t="n">
        <v>0</v>
      </c>
      <c r="W440" s="129" t="n">
        <v>0</v>
      </c>
      <c r="X440" s="129" t="n">
        <v>0</v>
      </c>
      <c r="Y440" s="129" t="n">
        <v>0</v>
      </c>
      <c r="Z440" s="129" t="n">
        <v>1</v>
      </c>
      <c r="AA440" s="129" t="n">
        <v>0</v>
      </c>
      <c r="AB440" s="129" t="n">
        <v>0</v>
      </c>
      <c r="AC440" s="129" t="n">
        <v>0</v>
      </c>
      <c r="AD440" s="129" t="n">
        <v>0</v>
      </c>
      <c r="AE440" s="129" t="n">
        <v>0</v>
      </c>
      <c r="AF440" s="129" t="n">
        <v>0</v>
      </c>
      <c r="AG440" s="129" t="n">
        <v>0</v>
      </c>
      <c r="AH440" s="129" t="n">
        <v>0</v>
      </c>
      <c r="AI440" s="129" t="n">
        <v>0</v>
      </c>
      <c r="AJ440" s="129" t="n">
        <v>0</v>
      </c>
      <c r="AK440" s="129" t="n">
        <v>0</v>
      </c>
      <c r="AL440" s="129" t="n">
        <v>0</v>
      </c>
      <c r="AM440" s="129" t="n">
        <v>0</v>
      </c>
      <c r="AN440" s="128"/>
      <c r="AO440" s="128"/>
      <c r="AP440" s="126" t="s">
        <v>138</v>
      </c>
      <c r="AQ440" s="126" t="s">
        <v>139</v>
      </c>
      <c r="AR440" s="126" t="s">
        <v>140</v>
      </c>
      <c r="AS440" s="128"/>
      <c r="AT440" s="130"/>
    </row>
    <row r="441" customFormat="false" ht="12.75" hidden="false" customHeight="true" outlineLevel="0" collapsed="false">
      <c r="B441" s="122" t="n">
        <f aca="false">B440+1</f>
        <v>438</v>
      </c>
      <c r="C441" s="123" t="s">
        <v>162</v>
      </c>
      <c r="D441" s="140" t="n">
        <v>61073</v>
      </c>
      <c r="E441" s="124" t="str">
        <f aca="false">IF(D441="","",IFERROR(VLOOKUP(D441,CCN_Library!$A$4:$B$13,2,FALSE()),"NOT IN LIBRARY"))</f>
        <v>COMPANY/BATTERY HEADQUARTERS, MARINE CORPS</v>
      </c>
      <c r="F441" s="125" t="str">
        <f aca="false">LEFT(H441,6)</f>
        <v>M28263</v>
      </c>
      <c r="G441" s="126" t="s">
        <v>128</v>
      </c>
      <c r="H441" s="126" t="s">
        <v>768</v>
      </c>
      <c r="I441" s="126" t="s">
        <v>159</v>
      </c>
      <c r="J441" s="126" t="s">
        <v>189</v>
      </c>
      <c r="K441" s="127" t="s">
        <v>161</v>
      </c>
      <c r="L441" s="126" t="s">
        <v>161</v>
      </c>
      <c r="M441" s="126" t="s">
        <v>133</v>
      </c>
      <c r="N441" s="126" t="s">
        <v>128</v>
      </c>
      <c r="O441" s="126" t="s">
        <v>135</v>
      </c>
      <c r="P441" s="126" t="s">
        <v>135</v>
      </c>
      <c r="Q441" s="128"/>
      <c r="R441" s="126" t="s">
        <v>136</v>
      </c>
      <c r="S441" s="126" t="s">
        <v>137</v>
      </c>
      <c r="T441" s="128"/>
      <c r="U441" s="129" t="n">
        <v>0</v>
      </c>
      <c r="V441" s="129" t="n">
        <v>0</v>
      </c>
      <c r="W441" s="129" t="n">
        <v>0</v>
      </c>
      <c r="X441" s="129" t="n">
        <v>0</v>
      </c>
      <c r="Y441" s="129" t="n">
        <v>0</v>
      </c>
      <c r="Z441" s="129" t="n">
        <v>0</v>
      </c>
      <c r="AA441" s="129" t="n">
        <v>1</v>
      </c>
      <c r="AB441" s="129" t="n">
        <v>0</v>
      </c>
      <c r="AC441" s="129" t="n">
        <v>0</v>
      </c>
      <c r="AD441" s="129" t="n">
        <v>0</v>
      </c>
      <c r="AE441" s="129" t="n">
        <v>0</v>
      </c>
      <c r="AF441" s="129" t="n">
        <v>0</v>
      </c>
      <c r="AG441" s="129" t="n">
        <v>0</v>
      </c>
      <c r="AH441" s="129" t="n">
        <v>0</v>
      </c>
      <c r="AI441" s="129" t="n">
        <v>0</v>
      </c>
      <c r="AJ441" s="129" t="n">
        <v>0</v>
      </c>
      <c r="AK441" s="129" t="n">
        <v>0</v>
      </c>
      <c r="AL441" s="129" t="n">
        <v>0</v>
      </c>
      <c r="AM441" s="129" t="n">
        <v>0</v>
      </c>
      <c r="AN441" s="128"/>
      <c r="AO441" s="128"/>
      <c r="AP441" s="126" t="s">
        <v>138</v>
      </c>
      <c r="AQ441" s="126" t="s">
        <v>139</v>
      </c>
      <c r="AR441" s="126" t="s">
        <v>140</v>
      </c>
      <c r="AS441" s="128"/>
      <c r="AT441" s="139"/>
    </row>
    <row r="442" customFormat="false" ht="12.75" hidden="false" customHeight="true" outlineLevel="0" collapsed="false">
      <c r="B442" s="122" t="n">
        <f aca="false">B441+1</f>
        <v>439</v>
      </c>
      <c r="C442" s="123" t="s">
        <v>168</v>
      </c>
      <c r="D442" s="140" t="n">
        <v>61073</v>
      </c>
      <c r="E442" s="124" t="str">
        <f aca="false">IF(D442="","",IFERROR(VLOOKUP(D442,CCN_Library!$A$4:$B$13,2,FALSE()),"NOT IN LIBRARY"))</f>
        <v>COMPANY/BATTERY HEADQUARTERS, MARINE CORPS</v>
      </c>
      <c r="F442" s="125" t="str">
        <f aca="false">LEFT(H442,6)</f>
        <v>M28263</v>
      </c>
      <c r="G442" s="126" t="s">
        <v>128</v>
      </c>
      <c r="H442" s="126" t="s">
        <v>769</v>
      </c>
      <c r="I442" s="126" t="s">
        <v>159</v>
      </c>
      <c r="J442" s="126" t="s">
        <v>191</v>
      </c>
      <c r="K442" s="127" t="s">
        <v>161</v>
      </c>
      <c r="L442" s="126" t="s">
        <v>161</v>
      </c>
      <c r="M442" s="126" t="s">
        <v>133</v>
      </c>
      <c r="N442" s="126" t="s">
        <v>128</v>
      </c>
      <c r="O442" s="126" t="s">
        <v>135</v>
      </c>
      <c r="P442" s="126" t="s">
        <v>135</v>
      </c>
      <c r="Q442" s="128"/>
      <c r="R442" s="126" t="s">
        <v>136</v>
      </c>
      <c r="S442" s="126" t="s">
        <v>58</v>
      </c>
      <c r="T442" s="128"/>
      <c r="U442" s="129" t="n">
        <v>0</v>
      </c>
      <c r="V442" s="129" t="n">
        <v>0</v>
      </c>
      <c r="W442" s="129" t="n">
        <v>0</v>
      </c>
      <c r="X442" s="129" t="n">
        <v>0</v>
      </c>
      <c r="Y442" s="129" t="n">
        <v>0</v>
      </c>
      <c r="Z442" s="129" t="n">
        <v>0</v>
      </c>
      <c r="AA442" s="129" t="n">
        <v>1</v>
      </c>
      <c r="AB442" s="129" t="n">
        <v>0</v>
      </c>
      <c r="AC442" s="129" t="n">
        <v>0</v>
      </c>
      <c r="AD442" s="129" t="n">
        <v>0</v>
      </c>
      <c r="AE442" s="129" t="n">
        <v>0</v>
      </c>
      <c r="AF442" s="129" t="n">
        <v>0</v>
      </c>
      <c r="AG442" s="129" t="n">
        <v>0</v>
      </c>
      <c r="AH442" s="129" t="n">
        <v>0</v>
      </c>
      <c r="AI442" s="129" t="n">
        <v>0</v>
      </c>
      <c r="AJ442" s="129" t="n">
        <v>0</v>
      </c>
      <c r="AK442" s="129" t="n">
        <v>0</v>
      </c>
      <c r="AL442" s="129" t="n">
        <v>0</v>
      </c>
      <c r="AM442" s="129" t="n">
        <v>0</v>
      </c>
      <c r="AN442" s="128"/>
      <c r="AO442" s="128"/>
      <c r="AP442" s="126" t="s">
        <v>138</v>
      </c>
      <c r="AQ442" s="126" t="s">
        <v>139</v>
      </c>
      <c r="AR442" s="126" t="s">
        <v>140</v>
      </c>
      <c r="AS442" s="128"/>
      <c r="AT442" s="130"/>
    </row>
    <row r="443" customFormat="false" ht="12.75" hidden="false" customHeight="true" outlineLevel="0" collapsed="false">
      <c r="B443" s="122" t="n">
        <f aca="false">B442+1</f>
        <v>440</v>
      </c>
      <c r="C443" s="123" t="s">
        <v>168</v>
      </c>
      <c r="D443" s="140" t="n">
        <v>61073</v>
      </c>
      <c r="E443" s="124" t="str">
        <f aca="false">IF(D443="","",IFERROR(VLOOKUP(D443,CCN_Library!$A$4:$B$13,2,FALSE()),"NOT IN LIBRARY"))</f>
        <v>COMPANY/BATTERY HEADQUARTERS, MARINE CORPS</v>
      </c>
      <c r="F443" s="125" t="str">
        <f aca="false">LEFT(H443,6)</f>
        <v>M28263</v>
      </c>
      <c r="G443" s="126" t="s">
        <v>128</v>
      </c>
      <c r="H443" s="126" t="s">
        <v>770</v>
      </c>
      <c r="I443" s="126" t="s">
        <v>159</v>
      </c>
      <c r="J443" s="126" t="s">
        <v>191</v>
      </c>
      <c r="K443" s="127" t="s">
        <v>161</v>
      </c>
      <c r="L443" s="126" t="s">
        <v>161</v>
      </c>
      <c r="M443" s="126" t="s">
        <v>133</v>
      </c>
      <c r="N443" s="126" t="s">
        <v>128</v>
      </c>
      <c r="O443" s="126" t="s">
        <v>135</v>
      </c>
      <c r="P443" s="126" t="s">
        <v>135</v>
      </c>
      <c r="Q443" s="128"/>
      <c r="R443" s="126" t="s">
        <v>136</v>
      </c>
      <c r="S443" s="126" t="s">
        <v>58</v>
      </c>
      <c r="T443" s="128"/>
      <c r="U443" s="129" t="n">
        <v>0</v>
      </c>
      <c r="V443" s="129" t="n">
        <v>0</v>
      </c>
      <c r="W443" s="129" t="n">
        <v>0</v>
      </c>
      <c r="X443" s="129" t="n">
        <v>0</v>
      </c>
      <c r="Y443" s="129" t="n">
        <v>0</v>
      </c>
      <c r="Z443" s="129" t="n">
        <v>0</v>
      </c>
      <c r="AA443" s="129" t="n">
        <v>1</v>
      </c>
      <c r="AB443" s="129" t="n">
        <v>0</v>
      </c>
      <c r="AC443" s="129" t="n">
        <v>0</v>
      </c>
      <c r="AD443" s="129" t="n">
        <v>0</v>
      </c>
      <c r="AE443" s="129" t="n">
        <v>0</v>
      </c>
      <c r="AF443" s="129" t="n">
        <v>0</v>
      </c>
      <c r="AG443" s="129" t="n">
        <v>0</v>
      </c>
      <c r="AH443" s="129" t="n">
        <v>0</v>
      </c>
      <c r="AI443" s="129" t="n">
        <v>0</v>
      </c>
      <c r="AJ443" s="129" t="n">
        <v>0</v>
      </c>
      <c r="AK443" s="129" t="n">
        <v>0</v>
      </c>
      <c r="AL443" s="129" t="n">
        <v>0</v>
      </c>
      <c r="AM443" s="129" t="n">
        <v>0</v>
      </c>
      <c r="AN443" s="128"/>
      <c r="AO443" s="128"/>
      <c r="AP443" s="126" t="s">
        <v>138</v>
      </c>
      <c r="AQ443" s="126" t="s">
        <v>139</v>
      </c>
      <c r="AR443" s="126" t="s">
        <v>140</v>
      </c>
      <c r="AS443" s="128"/>
      <c r="AT443" s="130"/>
    </row>
    <row r="444" customFormat="false" ht="12.75" hidden="false" customHeight="true" outlineLevel="0" collapsed="false">
      <c r="B444" s="122" t="n">
        <f aca="false">B443+1</f>
        <v>441</v>
      </c>
      <c r="C444" s="123" t="s">
        <v>168</v>
      </c>
      <c r="D444" s="140" t="n">
        <v>61073</v>
      </c>
      <c r="E444" s="124" t="str">
        <f aca="false">IF(D444="","",IFERROR(VLOOKUP(D444,CCN_Library!$A$4:$B$13,2,FALSE()),"NOT IN LIBRARY"))</f>
        <v>COMPANY/BATTERY HEADQUARTERS, MARINE CORPS</v>
      </c>
      <c r="F444" s="125" t="str">
        <f aca="false">LEFT(H444,6)</f>
        <v>M28263</v>
      </c>
      <c r="G444" s="126" t="s">
        <v>128</v>
      </c>
      <c r="H444" s="126" t="s">
        <v>771</v>
      </c>
      <c r="I444" s="126" t="s">
        <v>159</v>
      </c>
      <c r="J444" s="126" t="s">
        <v>160</v>
      </c>
      <c r="K444" s="127" t="s">
        <v>161</v>
      </c>
      <c r="L444" s="126" t="s">
        <v>161</v>
      </c>
      <c r="M444" s="126" t="s">
        <v>133</v>
      </c>
      <c r="N444" s="126" t="s">
        <v>128</v>
      </c>
      <c r="O444" s="126" t="s">
        <v>135</v>
      </c>
      <c r="P444" s="126" t="s">
        <v>135</v>
      </c>
      <c r="Q444" s="128"/>
      <c r="R444" s="126" t="s">
        <v>136</v>
      </c>
      <c r="S444" s="126" t="s">
        <v>58</v>
      </c>
      <c r="T444" s="128"/>
      <c r="U444" s="129" t="n">
        <v>0</v>
      </c>
      <c r="V444" s="129" t="n">
        <v>0</v>
      </c>
      <c r="W444" s="129" t="n">
        <v>0</v>
      </c>
      <c r="X444" s="129" t="n">
        <v>0</v>
      </c>
      <c r="Y444" s="129" t="n">
        <v>0</v>
      </c>
      <c r="Z444" s="129" t="n">
        <v>0</v>
      </c>
      <c r="AA444" s="129" t="n">
        <v>1</v>
      </c>
      <c r="AB444" s="129" t="n">
        <v>0</v>
      </c>
      <c r="AC444" s="129" t="n">
        <v>0</v>
      </c>
      <c r="AD444" s="129" t="n">
        <v>0</v>
      </c>
      <c r="AE444" s="129" t="n">
        <v>0</v>
      </c>
      <c r="AF444" s="129" t="n">
        <v>0</v>
      </c>
      <c r="AG444" s="129" t="n">
        <v>0</v>
      </c>
      <c r="AH444" s="129" t="n">
        <v>0</v>
      </c>
      <c r="AI444" s="129" t="n">
        <v>0</v>
      </c>
      <c r="AJ444" s="129" t="n">
        <v>0</v>
      </c>
      <c r="AK444" s="129" t="n">
        <v>0</v>
      </c>
      <c r="AL444" s="129" t="n">
        <v>0</v>
      </c>
      <c r="AM444" s="129" t="n">
        <v>0</v>
      </c>
      <c r="AN444" s="128"/>
      <c r="AO444" s="128"/>
      <c r="AP444" s="126" t="s">
        <v>138</v>
      </c>
      <c r="AQ444" s="126" t="s">
        <v>139</v>
      </c>
      <c r="AR444" s="126" t="s">
        <v>140</v>
      </c>
      <c r="AS444" s="128"/>
      <c r="AT444" s="139"/>
    </row>
    <row r="445" customFormat="false" ht="12.75" hidden="false" customHeight="true" outlineLevel="0" collapsed="false">
      <c r="B445" s="122" t="n">
        <f aca="false">B444+1</f>
        <v>442</v>
      </c>
      <c r="C445" s="123" t="s">
        <v>168</v>
      </c>
      <c r="D445" s="140" t="n">
        <v>61073</v>
      </c>
      <c r="E445" s="124" t="str">
        <f aca="false">IF(D445="","",IFERROR(VLOOKUP(D445,CCN_Library!$A$4:$B$13,2,FALSE()),"NOT IN LIBRARY"))</f>
        <v>COMPANY/BATTERY HEADQUARTERS, MARINE CORPS</v>
      </c>
      <c r="F445" s="125" t="str">
        <f aca="false">LEFT(H445,6)</f>
        <v>M28263</v>
      </c>
      <c r="G445" s="126" t="s">
        <v>128</v>
      </c>
      <c r="H445" s="126" t="s">
        <v>772</v>
      </c>
      <c r="I445" s="126" t="s">
        <v>159</v>
      </c>
      <c r="J445" s="126" t="s">
        <v>160</v>
      </c>
      <c r="K445" s="127" t="s">
        <v>161</v>
      </c>
      <c r="L445" s="126" t="s">
        <v>161</v>
      </c>
      <c r="M445" s="126" t="s">
        <v>133</v>
      </c>
      <c r="N445" s="126" t="s">
        <v>128</v>
      </c>
      <c r="O445" s="126" t="s">
        <v>135</v>
      </c>
      <c r="P445" s="126" t="s">
        <v>135</v>
      </c>
      <c r="Q445" s="128"/>
      <c r="R445" s="126" t="s">
        <v>136</v>
      </c>
      <c r="S445" s="126" t="s">
        <v>58</v>
      </c>
      <c r="T445" s="128"/>
      <c r="U445" s="129" t="n">
        <v>0</v>
      </c>
      <c r="V445" s="129" t="n">
        <v>0</v>
      </c>
      <c r="W445" s="129" t="n">
        <v>0</v>
      </c>
      <c r="X445" s="129" t="n">
        <v>0</v>
      </c>
      <c r="Y445" s="129" t="n">
        <v>0</v>
      </c>
      <c r="Z445" s="129" t="n">
        <v>0</v>
      </c>
      <c r="AA445" s="129" t="n">
        <v>1</v>
      </c>
      <c r="AB445" s="129" t="n">
        <v>0</v>
      </c>
      <c r="AC445" s="129" t="n">
        <v>0</v>
      </c>
      <c r="AD445" s="129" t="n">
        <v>0</v>
      </c>
      <c r="AE445" s="129" t="n">
        <v>0</v>
      </c>
      <c r="AF445" s="129" t="n">
        <v>0</v>
      </c>
      <c r="AG445" s="129" t="n">
        <v>0</v>
      </c>
      <c r="AH445" s="129" t="n">
        <v>0</v>
      </c>
      <c r="AI445" s="129" t="n">
        <v>0</v>
      </c>
      <c r="AJ445" s="129" t="n">
        <v>0</v>
      </c>
      <c r="AK445" s="129" t="n">
        <v>0</v>
      </c>
      <c r="AL445" s="129" t="n">
        <v>0</v>
      </c>
      <c r="AM445" s="129" t="n">
        <v>0</v>
      </c>
      <c r="AN445" s="128"/>
      <c r="AO445" s="128"/>
      <c r="AP445" s="126" t="s">
        <v>138</v>
      </c>
      <c r="AQ445" s="126" t="s">
        <v>139</v>
      </c>
      <c r="AR445" s="126" t="s">
        <v>140</v>
      </c>
      <c r="AS445" s="128"/>
      <c r="AT445" s="139"/>
    </row>
    <row r="446" customFormat="false" ht="12.75" hidden="false" customHeight="true" outlineLevel="0" collapsed="false">
      <c r="B446" s="122" t="n">
        <f aca="false">B445+1</f>
        <v>443</v>
      </c>
      <c r="C446" s="123" t="s">
        <v>168</v>
      </c>
      <c r="D446" s="140" t="n">
        <v>61073</v>
      </c>
      <c r="E446" s="124" t="str">
        <f aca="false">IF(D446="","",IFERROR(VLOOKUP(D446,CCN_Library!$A$4:$B$13,2,FALSE()),"NOT IN LIBRARY"))</f>
        <v>COMPANY/BATTERY HEADQUARTERS, MARINE CORPS</v>
      </c>
      <c r="F446" s="125" t="str">
        <f aca="false">LEFT(H446,6)</f>
        <v>M28263</v>
      </c>
      <c r="G446" s="126" t="s">
        <v>128</v>
      </c>
      <c r="H446" s="126" t="s">
        <v>773</v>
      </c>
      <c r="I446" s="126" t="s">
        <v>159</v>
      </c>
      <c r="J446" s="126" t="s">
        <v>160</v>
      </c>
      <c r="K446" s="127" t="s">
        <v>161</v>
      </c>
      <c r="L446" s="126" t="s">
        <v>161</v>
      </c>
      <c r="M446" s="126" t="s">
        <v>133</v>
      </c>
      <c r="N446" s="126" t="s">
        <v>128</v>
      </c>
      <c r="O446" s="126" t="s">
        <v>135</v>
      </c>
      <c r="P446" s="126" t="s">
        <v>135</v>
      </c>
      <c r="Q446" s="128"/>
      <c r="R446" s="126" t="s">
        <v>136</v>
      </c>
      <c r="S446" s="126" t="s">
        <v>58</v>
      </c>
      <c r="T446" s="128"/>
      <c r="U446" s="129" t="n">
        <v>0</v>
      </c>
      <c r="V446" s="129" t="n">
        <v>0</v>
      </c>
      <c r="W446" s="129" t="n">
        <v>0</v>
      </c>
      <c r="X446" s="129" t="n">
        <v>0</v>
      </c>
      <c r="Y446" s="129" t="n">
        <v>0</v>
      </c>
      <c r="Z446" s="129" t="n">
        <v>0</v>
      </c>
      <c r="AA446" s="129" t="n">
        <v>1</v>
      </c>
      <c r="AB446" s="129" t="n">
        <v>0</v>
      </c>
      <c r="AC446" s="129" t="n">
        <v>0</v>
      </c>
      <c r="AD446" s="129" t="n">
        <v>0</v>
      </c>
      <c r="AE446" s="129" t="n">
        <v>0</v>
      </c>
      <c r="AF446" s="129" t="n">
        <v>0</v>
      </c>
      <c r="AG446" s="129" t="n">
        <v>0</v>
      </c>
      <c r="AH446" s="129" t="n">
        <v>0</v>
      </c>
      <c r="AI446" s="129" t="n">
        <v>0</v>
      </c>
      <c r="AJ446" s="129" t="n">
        <v>0</v>
      </c>
      <c r="AK446" s="129" t="n">
        <v>0</v>
      </c>
      <c r="AL446" s="129" t="n">
        <v>0</v>
      </c>
      <c r="AM446" s="129" t="n">
        <v>0</v>
      </c>
      <c r="AN446" s="128"/>
      <c r="AO446" s="128"/>
      <c r="AP446" s="126" t="s">
        <v>138</v>
      </c>
      <c r="AQ446" s="126" t="s">
        <v>139</v>
      </c>
      <c r="AR446" s="126" t="s">
        <v>140</v>
      </c>
      <c r="AS446" s="128"/>
      <c r="AT446" s="130"/>
    </row>
    <row r="447" customFormat="false" ht="12.75" hidden="false" customHeight="true" outlineLevel="0" collapsed="false">
      <c r="B447" s="122" t="n">
        <f aca="false">B446+1</f>
        <v>444</v>
      </c>
      <c r="C447" s="123" t="s">
        <v>168</v>
      </c>
      <c r="D447" s="140" t="n">
        <v>61073</v>
      </c>
      <c r="E447" s="124" t="str">
        <f aca="false">IF(D447="","",IFERROR(VLOOKUP(D447,CCN_Library!$A$4:$B$13,2,FALSE()),"NOT IN LIBRARY"))</f>
        <v>COMPANY/BATTERY HEADQUARTERS, MARINE CORPS</v>
      </c>
      <c r="F447" s="125" t="str">
        <f aca="false">LEFT(H447,6)</f>
        <v>M28263</v>
      </c>
      <c r="G447" s="126" t="s">
        <v>128</v>
      </c>
      <c r="H447" s="126" t="s">
        <v>774</v>
      </c>
      <c r="I447" s="126" t="s">
        <v>159</v>
      </c>
      <c r="J447" s="126" t="s">
        <v>160</v>
      </c>
      <c r="K447" s="127" t="s">
        <v>161</v>
      </c>
      <c r="L447" s="126" t="s">
        <v>161</v>
      </c>
      <c r="M447" s="126" t="s">
        <v>133</v>
      </c>
      <c r="N447" s="126" t="s">
        <v>128</v>
      </c>
      <c r="O447" s="126" t="s">
        <v>135</v>
      </c>
      <c r="P447" s="126" t="s">
        <v>135</v>
      </c>
      <c r="Q447" s="128"/>
      <c r="R447" s="126" t="s">
        <v>136</v>
      </c>
      <c r="S447" s="126" t="s">
        <v>58</v>
      </c>
      <c r="T447" s="128"/>
      <c r="U447" s="129" t="n">
        <v>0</v>
      </c>
      <c r="V447" s="129" t="n">
        <v>0</v>
      </c>
      <c r="W447" s="129" t="n">
        <v>0</v>
      </c>
      <c r="X447" s="129" t="n">
        <v>0</v>
      </c>
      <c r="Y447" s="129" t="n">
        <v>0</v>
      </c>
      <c r="Z447" s="129" t="n">
        <v>0</v>
      </c>
      <c r="AA447" s="129" t="n">
        <v>1</v>
      </c>
      <c r="AB447" s="129" t="n">
        <v>0</v>
      </c>
      <c r="AC447" s="129" t="n">
        <v>0</v>
      </c>
      <c r="AD447" s="129" t="n">
        <v>0</v>
      </c>
      <c r="AE447" s="129" t="n">
        <v>0</v>
      </c>
      <c r="AF447" s="129" t="n">
        <v>0</v>
      </c>
      <c r="AG447" s="129" t="n">
        <v>0</v>
      </c>
      <c r="AH447" s="129" t="n">
        <v>0</v>
      </c>
      <c r="AI447" s="129" t="n">
        <v>0</v>
      </c>
      <c r="AJ447" s="129" t="n">
        <v>0</v>
      </c>
      <c r="AK447" s="129" t="n">
        <v>0</v>
      </c>
      <c r="AL447" s="129" t="n">
        <v>0</v>
      </c>
      <c r="AM447" s="129" t="n">
        <v>0</v>
      </c>
      <c r="AN447" s="128"/>
      <c r="AO447" s="128"/>
      <c r="AP447" s="126" t="s">
        <v>138</v>
      </c>
      <c r="AQ447" s="126" t="s">
        <v>139</v>
      </c>
      <c r="AR447" s="126" t="s">
        <v>140</v>
      </c>
      <c r="AS447" s="128"/>
      <c r="AT447" s="130"/>
    </row>
    <row r="448" customFormat="false" ht="12.75" hidden="false" customHeight="true" outlineLevel="0" collapsed="false">
      <c r="B448" s="122" t="n">
        <f aca="false">B447+1</f>
        <v>445</v>
      </c>
      <c r="C448" s="123" t="s">
        <v>168</v>
      </c>
      <c r="D448" s="140" t="n">
        <v>61073</v>
      </c>
      <c r="E448" s="124" t="str">
        <f aca="false">IF(D448="","",IFERROR(VLOOKUP(D448,CCN_Library!$A$4:$B$13,2,FALSE()),"NOT IN LIBRARY"))</f>
        <v>COMPANY/BATTERY HEADQUARTERS, MARINE CORPS</v>
      </c>
      <c r="F448" s="125" t="str">
        <f aca="false">LEFT(H448,6)</f>
        <v>M28263</v>
      </c>
      <c r="G448" s="126" t="s">
        <v>128</v>
      </c>
      <c r="H448" s="126" t="s">
        <v>775</v>
      </c>
      <c r="I448" s="126" t="s">
        <v>159</v>
      </c>
      <c r="J448" s="126" t="s">
        <v>160</v>
      </c>
      <c r="K448" s="127" t="s">
        <v>161</v>
      </c>
      <c r="L448" s="126" t="s">
        <v>161</v>
      </c>
      <c r="M448" s="126" t="s">
        <v>133</v>
      </c>
      <c r="N448" s="126" t="s">
        <v>128</v>
      </c>
      <c r="O448" s="126" t="s">
        <v>135</v>
      </c>
      <c r="P448" s="126" t="s">
        <v>135</v>
      </c>
      <c r="Q448" s="128"/>
      <c r="R448" s="126" t="s">
        <v>136</v>
      </c>
      <c r="S448" s="126" t="s">
        <v>58</v>
      </c>
      <c r="T448" s="128"/>
      <c r="U448" s="129" t="n">
        <v>0</v>
      </c>
      <c r="V448" s="129" t="n">
        <v>0</v>
      </c>
      <c r="W448" s="129" t="n">
        <v>0</v>
      </c>
      <c r="X448" s="129" t="n">
        <v>0</v>
      </c>
      <c r="Y448" s="129" t="n">
        <v>0</v>
      </c>
      <c r="Z448" s="129" t="n">
        <v>0</v>
      </c>
      <c r="AA448" s="129" t="n">
        <v>1</v>
      </c>
      <c r="AB448" s="129" t="n">
        <v>0</v>
      </c>
      <c r="AC448" s="129" t="n">
        <v>0</v>
      </c>
      <c r="AD448" s="129" t="n">
        <v>0</v>
      </c>
      <c r="AE448" s="129" t="n">
        <v>0</v>
      </c>
      <c r="AF448" s="129" t="n">
        <v>0</v>
      </c>
      <c r="AG448" s="129" t="n">
        <v>0</v>
      </c>
      <c r="AH448" s="129" t="n">
        <v>0</v>
      </c>
      <c r="AI448" s="129" t="n">
        <v>0</v>
      </c>
      <c r="AJ448" s="129" t="n">
        <v>0</v>
      </c>
      <c r="AK448" s="129" t="n">
        <v>0</v>
      </c>
      <c r="AL448" s="129" t="n">
        <v>0</v>
      </c>
      <c r="AM448" s="129" t="n">
        <v>0</v>
      </c>
      <c r="AN448" s="128"/>
      <c r="AO448" s="128"/>
      <c r="AP448" s="126" t="s">
        <v>138</v>
      </c>
      <c r="AQ448" s="126" t="s">
        <v>139</v>
      </c>
      <c r="AR448" s="126" t="s">
        <v>140</v>
      </c>
      <c r="AS448" s="128"/>
      <c r="AT448" s="130"/>
    </row>
    <row r="449" customFormat="false" ht="12.75" hidden="false" customHeight="true" outlineLevel="0" collapsed="false">
      <c r="B449" s="131" t="n">
        <f aca="false">B448+1</f>
        <v>446</v>
      </c>
      <c r="C449" s="132" t="s">
        <v>162</v>
      </c>
      <c r="D449" s="133" t="n">
        <v>61073</v>
      </c>
      <c r="E449" s="133"/>
      <c r="F449" s="134" t="str">
        <f aca="false">LEFT(H449,6)</f>
        <v>M28263</v>
      </c>
      <c r="G449" s="135" t="s">
        <v>58</v>
      </c>
      <c r="H449" s="135" t="s">
        <v>776</v>
      </c>
      <c r="I449" s="135" t="s">
        <v>777</v>
      </c>
      <c r="J449" s="136"/>
      <c r="K449" s="136"/>
      <c r="L449" s="136"/>
      <c r="M449" s="136"/>
      <c r="N449" s="136"/>
      <c r="O449" s="136"/>
      <c r="P449" s="136"/>
      <c r="Q449" s="136"/>
      <c r="R449" s="136"/>
      <c r="S449" s="136"/>
      <c r="T449" s="136"/>
      <c r="U449" s="137" t="n">
        <v>0</v>
      </c>
      <c r="V449" s="137" t="n">
        <v>0</v>
      </c>
      <c r="W449" s="137" t="n">
        <v>0</v>
      </c>
      <c r="X449" s="137" t="n">
        <v>0</v>
      </c>
      <c r="Y449" s="137" t="n">
        <v>0</v>
      </c>
      <c r="Z449" s="137" t="n">
        <v>0</v>
      </c>
      <c r="AA449" s="137" t="n">
        <v>0</v>
      </c>
      <c r="AB449" s="137" t="n">
        <v>0</v>
      </c>
      <c r="AC449" s="137" t="n">
        <v>0</v>
      </c>
      <c r="AD449" s="137" t="n">
        <v>0</v>
      </c>
      <c r="AE449" s="137" t="n">
        <v>0</v>
      </c>
      <c r="AF449" s="137" t="n">
        <v>0</v>
      </c>
      <c r="AG449" s="137" t="n">
        <v>0</v>
      </c>
      <c r="AH449" s="137" t="n">
        <v>0</v>
      </c>
      <c r="AI449" s="137" t="n">
        <v>0</v>
      </c>
      <c r="AJ449" s="137" t="n">
        <v>0</v>
      </c>
      <c r="AK449" s="137" t="n">
        <v>0</v>
      </c>
      <c r="AL449" s="137" t="n">
        <v>0</v>
      </c>
      <c r="AM449" s="137" t="n">
        <v>0</v>
      </c>
      <c r="AN449" s="136"/>
      <c r="AO449" s="136"/>
      <c r="AP449" s="136"/>
      <c r="AQ449" s="136"/>
      <c r="AR449" s="136"/>
      <c r="AS449" s="136"/>
      <c r="AT449" s="138"/>
    </row>
    <row r="450" customFormat="false" ht="12.75" hidden="false" customHeight="true" outlineLevel="0" collapsed="false">
      <c r="B450" s="131" t="n">
        <f aca="false">B449+1</f>
        <v>447</v>
      </c>
      <c r="C450" s="132" t="s">
        <v>162</v>
      </c>
      <c r="D450" s="133" t="n">
        <v>61073</v>
      </c>
      <c r="E450" s="133"/>
      <c r="F450" s="134" t="str">
        <f aca="false">LEFT(H450,6)</f>
        <v>M28263</v>
      </c>
      <c r="G450" s="135" t="s">
        <v>177</v>
      </c>
      <c r="H450" s="135" t="s">
        <v>778</v>
      </c>
      <c r="I450" s="135" t="s">
        <v>779</v>
      </c>
      <c r="J450" s="136"/>
      <c r="K450" s="136"/>
      <c r="L450" s="136"/>
      <c r="M450" s="136"/>
      <c r="N450" s="136"/>
      <c r="O450" s="136"/>
      <c r="P450" s="136"/>
      <c r="Q450" s="136"/>
      <c r="R450" s="136"/>
      <c r="S450" s="136"/>
      <c r="T450" s="136"/>
      <c r="U450" s="137" t="n">
        <v>0</v>
      </c>
      <c r="V450" s="137" t="n">
        <v>0</v>
      </c>
      <c r="W450" s="137" t="n">
        <v>0</v>
      </c>
      <c r="X450" s="137" t="n">
        <v>0</v>
      </c>
      <c r="Y450" s="137" t="n">
        <v>0</v>
      </c>
      <c r="Z450" s="137" t="n">
        <v>0</v>
      </c>
      <c r="AA450" s="137" t="n">
        <v>0</v>
      </c>
      <c r="AB450" s="137" t="n">
        <v>0</v>
      </c>
      <c r="AC450" s="137" t="n">
        <v>0</v>
      </c>
      <c r="AD450" s="137" t="n">
        <v>0</v>
      </c>
      <c r="AE450" s="137" t="n">
        <v>0</v>
      </c>
      <c r="AF450" s="137" t="n">
        <v>0</v>
      </c>
      <c r="AG450" s="137" t="n">
        <v>0</v>
      </c>
      <c r="AH450" s="137" t="n">
        <v>0</v>
      </c>
      <c r="AI450" s="137" t="n">
        <v>0</v>
      </c>
      <c r="AJ450" s="137" t="n">
        <v>0</v>
      </c>
      <c r="AK450" s="137" t="n">
        <v>0</v>
      </c>
      <c r="AL450" s="137" t="n">
        <v>0</v>
      </c>
      <c r="AM450" s="137" t="n">
        <v>0</v>
      </c>
      <c r="AN450" s="136"/>
      <c r="AO450" s="136"/>
      <c r="AP450" s="136"/>
      <c r="AQ450" s="136"/>
      <c r="AR450" s="136"/>
      <c r="AS450" s="136"/>
      <c r="AT450" s="138"/>
    </row>
    <row r="451" customFormat="false" ht="12.75" hidden="false" customHeight="true" outlineLevel="0" collapsed="false">
      <c r="B451" s="122" t="n">
        <f aca="false">B450+1</f>
        <v>448</v>
      </c>
      <c r="C451" s="123" t="s">
        <v>162</v>
      </c>
      <c r="D451" s="140" t="n">
        <v>61073</v>
      </c>
      <c r="E451" s="124" t="str">
        <f aca="false">IF(D451="","",IFERROR(VLOOKUP(D451,CCN_Library!$A$4:$B$13,2,FALSE()),"NOT IN LIBRARY"))</f>
        <v>COMPANY/BATTERY HEADQUARTERS, MARINE CORPS</v>
      </c>
      <c r="F451" s="125" t="str">
        <f aca="false">LEFT(H451,6)</f>
        <v>M28263</v>
      </c>
      <c r="G451" s="126" t="s">
        <v>128</v>
      </c>
      <c r="H451" s="126" t="s">
        <v>780</v>
      </c>
      <c r="I451" s="126" t="s">
        <v>466</v>
      </c>
      <c r="J451" s="126" t="s">
        <v>211</v>
      </c>
      <c r="K451" s="127" t="s">
        <v>151</v>
      </c>
      <c r="L451" s="126" t="s">
        <v>151</v>
      </c>
      <c r="M451" s="126" t="s">
        <v>133</v>
      </c>
      <c r="N451" s="126" t="s">
        <v>134</v>
      </c>
      <c r="O451" s="126" t="s">
        <v>135</v>
      </c>
      <c r="P451" s="126" t="s">
        <v>135</v>
      </c>
      <c r="Q451" s="128"/>
      <c r="R451" s="126" t="s">
        <v>136</v>
      </c>
      <c r="S451" s="126" t="s">
        <v>137</v>
      </c>
      <c r="T451" s="128"/>
      <c r="U451" s="129" t="n">
        <v>0</v>
      </c>
      <c r="V451" s="129" t="n">
        <v>0</v>
      </c>
      <c r="W451" s="129" t="n">
        <v>0</v>
      </c>
      <c r="X451" s="129" t="n">
        <v>0</v>
      </c>
      <c r="Y451" s="129" t="n">
        <v>0</v>
      </c>
      <c r="Z451" s="129" t="n">
        <v>1</v>
      </c>
      <c r="AA451" s="129" t="n">
        <v>0</v>
      </c>
      <c r="AB451" s="129" t="n">
        <v>0</v>
      </c>
      <c r="AC451" s="129" t="n">
        <v>0</v>
      </c>
      <c r="AD451" s="129" t="n">
        <v>0</v>
      </c>
      <c r="AE451" s="129" t="n">
        <v>0</v>
      </c>
      <c r="AF451" s="129" t="n">
        <v>0</v>
      </c>
      <c r="AG451" s="129" t="n">
        <v>0</v>
      </c>
      <c r="AH451" s="129" t="n">
        <v>0</v>
      </c>
      <c r="AI451" s="129" t="n">
        <v>0</v>
      </c>
      <c r="AJ451" s="129" t="n">
        <v>0</v>
      </c>
      <c r="AK451" s="129" t="n">
        <v>0</v>
      </c>
      <c r="AL451" s="129" t="n">
        <v>0</v>
      </c>
      <c r="AM451" s="129" t="n">
        <v>0</v>
      </c>
      <c r="AN451" s="128"/>
      <c r="AO451" s="128"/>
      <c r="AP451" s="126" t="s">
        <v>138</v>
      </c>
      <c r="AQ451" s="126" t="s">
        <v>139</v>
      </c>
      <c r="AR451" s="126" t="s">
        <v>140</v>
      </c>
      <c r="AS451" s="128"/>
      <c r="AT451" s="139"/>
    </row>
    <row r="452" customFormat="false" ht="12.75" hidden="false" customHeight="true" outlineLevel="0" collapsed="false">
      <c r="B452" s="122" t="n">
        <f aca="false">B451+1</f>
        <v>449</v>
      </c>
      <c r="C452" s="123" t="s">
        <v>162</v>
      </c>
      <c r="D452" s="140" t="n">
        <v>61073</v>
      </c>
      <c r="E452" s="124" t="str">
        <f aca="false">IF(D452="","",IFERROR(VLOOKUP(D452,CCN_Library!$A$4:$B$13,2,FALSE()),"NOT IN LIBRARY"))</f>
        <v>COMPANY/BATTERY HEADQUARTERS, MARINE CORPS</v>
      </c>
      <c r="F452" s="125" t="str">
        <f aca="false">LEFT(H452,6)</f>
        <v>M28263</v>
      </c>
      <c r="G452" s="126" t="s">
        <v>128</v>
      </c>
      <c r="H452" s="126" t="s">
        <v>781</v>
      </c>
      <c r="I452" s="126" t="s">
        <v>466</v>
      </c>
      <c r="J452" s="126" t="s">
        <v>211</v>
      </c>
      <c r="K452" s="127" t="s">
        <v>151</v>
      </c>
      <c r="L452" s="126" t="s">
        <v>151</v>
      </c>
      <c r="M452" s="126" t="s">
        <v>133</v>
      </c>
      <c r="N452" s="126" t="s">
        <v>134</v>
      </c>
      <c r="O452" s="126" t="s">
        <v>135</v>
      </c>
      <c r="P452" s="126" t="s">
        <v>135</v>
      </c>
      <c r="Q452" s="128"/>
      <c r="R452" s="126" t="s">
        <v>136</v>
      </c>
      <c r="S452" s="126" t="s">
        <v>137</v>
      </c>
      <c r="T452" s="128"/>
      <c r="U452" s="129" t="n">
        <v>0</v>
      </c>
      <c r="V452" s="129" t="n">
        <v>0</v>
      </c>
      <c r="W452" s="129" t="n">
        <v>0</v>
      </c>
      <c r="X452" s="129" t="n">
        <v>0</v>
      </c>
      <c r="Y452" s="129" t="n">
        <v>0</v>
      </c>
      <c r="Z452" s="129" t="n">
        <v>1</v>
      </c>
      <c r="AA452" s="129" t="n">
        <v>0</v>
      </c>
      <c r="AB452" s="129" t="n">
        <v>0</v>
      </c>
      <c r="AC452" s="129" t="n">
        <v>0</v>
      </c>
      <c r="AD452" s="129" t="n">
        <v>0</v>
      </c>
      <c r="AE452" s="129" t="n">
        <v>0</v>
      </c>
      <c r="AF452" s="129" t="n">
        <v>0</v>
      </c>
      <c r="AG452" s="129" t="n">
        <v>0</v>
      </c>
      <c r="AH452" s="129" t="n">
        <v>0</v>
      </c>
      <c r="AI452" s="129" t="n">
        <v>0</v>
      </c>
      <c r="AJ452" s="129" t="n">
        <v>0</v>
      </c>
      <c r="AK452" s="129" t="n">
        <v>0</v>
      </c>
      <c r="AL452" s="129" t="n">
        <v>0</v>
      </c>
      <c r="AM452" s="129" t="n">
        <v>0</v>
      </c>
      <c r="AN452" s="128"/>
      <c r="AO452" s="128"/>
      <c r="AP452" s="126" t="s">
        <v>138</v>
      </c>
      <c r="AQ452" s="126" t="s">
        <v>139</v>
      </c>
      <c r="AR452" s="126" t="s">
        <v>140</v>
      </c>
      <c r="AS452" s="128"/>
      <c r="AT452" s="130"/>
    </row>
    <row r="453" customFormat="false" ht="12.75" hidden="false" customHeight="true" outlineLevel="0" collapsed="false">
      <c r="B453" s="122" t="n">
        <f aca="false">B452+1</f>
        <v>450</v>
      </c>
      <c r="C453" s="123" t="s">
        <v>162</v>
      </c>
      <c r="D453" s="140" t="n">
        <v>61073</v>
      </c>
      <c r="E453" s="124" t="str">
        <f aca="false">IF(D453="","",IFERROR(VLOOKUP(D453,CCN_Library!$A$4:$B$13,2,FALSE()),"NOT IN LIBRARY"))</f>
        <v>COMPANY/BATTERY HEADQUARTERS, MARINE CORPS</v>
      </c>
      <c r="F453" s="125" t="str">
        <f aca="false">LEFT(H453,6)</f>
        <v>M28263</v>
      </c>
      <c r="G453" s="126" t="s">
        <v>128</v>
      </c>
      <c r="H453" s="126" t="s">
        <v>782</v>
      </c>
      <c r="I453" s="126" t="s">
        <v>470</v>
      </c>
      <c r="J453" s="126" t="s">
        <v>211</v>
      </c>
      <c r="K453" s="127" t="s">
        <v>151</v>
      </c>
      <c r="L453" s="126" t="s">
        <v>151</v>
      </c>
      <c r="M453" s="126" t="s">
        <v>133</v>
      </c>
      <c r="N453" s="126" t="s">
        <v>134</v>
      </c>
      <c r="O453" s="126" t="s">
        <v>135</v>
      </c>
      <c r="P453" s="126" t="s">
        <v>135</v>
      </c>
      <c r="Q453" s="128"/>
      <c r="R453" s="126" t="s">
        <v>136</v>
      </c>
      <c r="S453" s="126" t="s">
        <v>137</v>
      </c>
      <c r="T453" s="128"/>
      <c r="U453" s="129" t="n">
        <v>0</v>
      </c>
      <c r="V453" s="129" t="n">
        <v>0</v>
      </c>
      <c r="W453" s="129" t="n">
        <v>0</v>
      </c>
      <c r="X453" s="129" t="n">
        <v>0</v>
      </c>
      <c r="Y453" s="129" t="n">
        <v>0</v>
      </c>
      <c r="Z453" s="129" t="n">
        <v>1</v>
      </c>
      <c r="AA453" s="129" t="n">
        <v>0</v>
      </c>
      <c r="AB453" s="129" t="n">
        <v>0</v>
      </c>
      <c r="AC453" s="129" t="n">
        <v>0</v>
      </c>
      <c r="AD453" s="129" t="n">
        <v>0</v>
      </c>
      <c r="AE453" s="129" t="n">
        <v>0</v>
      </c>
      <c r="AF453" s="129" t="n">
        <v>0</v>
      </c>
      <c r="AG453" s="129" t="n">
        <v>0</v>
      </c>
      <c r="AH453" s="129" t="n">
        <v>0</v>
      </c>
      <c r="AI453" s="129" t="n">
        <v>0</v>
      </c>
      <c r="AJ453" s="129" t="n">
        <v>0</v>
      </c>
      <c r="AK453" s="129" t="n">
        <v>0</v>
      </c>
      <c r="AL453" s="129" t="n">
        <v>0</v>
      </c>
      <c r="AM453" s="129" t="n">
        <v>0</v>
      </c>
      <c r="AN453" s="128"/>
      <c r="AO453" s="128"/>
      <c r="AP453" s="126" t="s">
        <v>138</v>
      </c>
      <c r="AQ453" s="126" t="s">
        <v>139</v>
      </c>
      <c r="AR453" s="126" t="s">
        <v>140</v>
      </c>
      <c r="AS453" s="128"/>
      <c r="AT453" s="130"/>
    </row>
    <row r="454" customFormat="false" ht="12.75" hidden="false" customHeight="true" outlineLevel="0" collapsed="false">
      <c r="B454" s="122" t="n">
        <f aca="false">B453+1</f>
        <v>451</v>
      </c>
      <c r="C454" s="123" t="s">
        <v>162</v>
      </c>
      <c r="D454" s="140" t="n">
        <v>61073</v>
      </c>
      <c r="E454" s="124" t="str">
        <f aca="false">IF(D454="","",IFERROR(VLOOKUP(D454,CCN_Library!$A$4:$B$13,2,FALSE()),"NOT IN LIBRARY"))</f>
        <v>COMPANY/BATTERY HEADQUARTERS, MARINE CORPS</v>
      </c>
      <c r="F454" s="125" t="str">
        <f aca="false">LEFT(H454,6)</f>
        <v>M28263</v>
      </c>
      <c r="G454" s="126" t="s">
        <v>128</v>
      </c>
      <c r="H454" s="126" t="s">
        <v>783</v>
      </c>
      <c r="I454" s="126" t="s">
        <v>472</v>
      </c>
      <c r="J454" s="126" t="s">
        <v>182</v>
      </c>
      <c r="K454" s="127" t="s">
        <v>223</v>
      </c>
      <c r="L454" s="126" t="s">
        <v>223</v>
      </c>
      <c r="M454" s="126" t="s">
        <v>133</v>
      </c>
      <c r="N454" s="126" t="s">
        <v>134</v>
      </c>
      <c r="O454" s="126" t="s">
        <v>135</v>
      </c>
      <c r="P454" s="126" t="s">
        <v>135</v>
      </c>
      <c r="Q454" s="128"/>
      <c r="R454" s="126" t="s">
        <v>136</v>
      </c>
      <c r="S454" s="126" t="s">
        <v>137</v>
      </c>
      <c r="T454" s="128"/>
      <c r="U454" s="129" t="n">
        <v>0</v>
      </c>
      <c r="V454" s="129" t="n">
        <v>0</v>
      </c>
      <c r="W454" s="129" t="n">
        <v>0</v>
      </c>
      <c r="X454" s="129" t="n">
        <v>0</v>
      </c>
      <c r="Y454" s="129" t="n">
        <v>0</v>
      </c>
      <c r="Z454" s="129" t="n">
        <v>1</v>
      </c>
      <c r="AA454" s="129" t="n">
        <v>0</v>
      </c>
      <c r="AB454" s="129" t="n">
        <v>0</v>
      </c>
      <c r="AC454" s="129" t="n">
        <v>0</v>
      </c>
      <c r="AD454" s="129" t="n">
        <v>0</v>
      </c>
      <c r="AE454" s="129" t="n">
        <v>0</v>
      </c>
      <c r="AF454" s="129" t="n">
        <v>0</v>
      </c>
      <c r="AG454" s="129" t="n">
        <v>0</v>
      </c>
      <c r="AH454" s="129" t="n">
        <v>0</v>
      </c>
      <c r="AI454" s="129" t="n">
        <v>0</v>
      </c>
      <c r="AJ454" s="129" t="n">
        <v>0</v>
      </c>
      <c r="AK454" s="129" t="n">
        <v>0</v>
      </c>
      <c r="AL454" s="129" t="n">
        <v>0</v>
      </c>
      <c r="AM454" s="129" t="n">
        <v>0</v>
      </c>
      <c r="AN454" s="128"/>
      <c r="AO454" s="128"/>
      <c r="AP454" s="126" t="s">
        <v>138</v>
      </c>
      <c r="AQ454" s="126" t="s">
        <v>139</v>
      </c>
      <c r="AR454" s="126" t="s">
        <v>140</v>
      </c>
      <c r="AS454" s="128"/>
      <c r="AT454" s="130"/>
    </row>
    <row r="455" customFormat="false" ht="12.75" hidden="false" customHeight="true" outlineLevel="0" collapsed="false">
      <c r="B455" s="122" t="n">
        <f aca="false">B454+1</f>
        <v>452</v>
      </c>
      <c r="C455" s="123" t="s">
        <v>162</v>
      </c>
      <c r="D455" s="140" t="n">
        <v>61073</v>
      </c>
      <c r="E455" s="124" t="str">
        <f aca="false">IF(D455="","",IFERROR(VLOOKUP(D455,CCN_Library!$A$4:$B$13,2,FALSE()),"NOT IN LIBRARY"))</f>
        <v>COMPANY/BATTERY HEADQUARTERS, MARINE CORPS</v>
      </c>
      <c r="F455" s="125" t="str">
        <f aca="false">LEFT(H455,6)</f>
        <v>M28263</v>
      </c>
      <c r="G455" s="126" t="s">
        <v>128</v>
      </c>
      <c r="H455" s="126" t="s">
        <v>784</v>
      </c>
      <c r="I455" s="126" t="s">
        <v>474</v>
      </c>
      <c r="J455" s="126" t="s">
        <v>189</v>
      </c>
      <c r="K455" s="127" t="s">
        <v>475</v>
      </c>
      <c r="L455" s="126" t="s">
        <v>161</v>
      </c>
      <c r="M455" s="126" t="s">
        <v>133</v>
      </c>
      <c r="N455" s="126" t="s">
        <v>128</v>
      </c>
      <c r="O455" s="126" t="s">
        <v>135</v>
      </c>
      <c r="P455" s="126" t="s">
        <v>135</v>
      </c>
      <c r="Q455" s="128"/>
      <c r="R455" s="126" t="s">
        <v>136</v>
      </c>
      <c r="S455" s="126" t="s">
        <v>137</v>
      </c>
      <c r="T455" s="128"/>
      <c r="U455" s="129" t="n">
        <v>0</v>
      </c>
      <c r="V455" s="129" t="n">
        <v>0</v>
      </c>
      <c r="W455" s="129" t="n">
        <v>0</v>
      </c>
      <c r="X455" s="129" t="n">
        <v>0</v>
      </c>
      <c r="Y455" s="129" t="n">
        <v>0</v>
      </c>
      <c r="Z455" s="129" t="n">
        <v>0</v>
      </c>
      <c r="AA455" s="129" t="n">
        <v>1</v>
      </c>
      <c r="AB455" s="129" t="n">
        <v>0</v>
      </c>
      <c r="AC455" s="129" t="n">
        <v>0</v>
      </c>
      <c r="AD455" s="129" t="n">
        <v>0</v>
      </c>
      <c r="AE455" s="129" t="n">
        <v>0</v>
      </c>
      <c r="AF455" s="129" t="n">
        <v>0</v>
      </c>
      <c r="AG455" s="129" t="n">
        <v>0</v>
      </c>
      <c r="AH455" s="129" t="n">
        <v>0</v>
      </c>
      <c r="AI455" s="129" t="n">
        <v>0</v>
      </c>
      <c r="AJ455" s="129" t="n">
        <v>0</v>
      </c>
      <c r="AK455" s="129" t="n">
        <v>0</v>
      </c>
      <c r="AL455" s="129" t="n">
        <v>0</v>
      </c>
      <c r="AM455" s="129" t="n">
        <v>0</v>
      </c>
      <c r="AN455" s="128"/>
      <c r="AO455" s="128"/>
      <c r="AP455" s="126" t="s">
        <v>138</v>
      </c>
      <c r="AQ455" s="126" t="s">
        <v>139</v>
      </c>
      <c r="AR455" s="126" t="s">
        <v>140</v>
      </c>
      <c r="AS455" s="128"/>
      <c r="AT455" s="130"/>
    </row>
    <row r="456" customFormat="false" ht="12.75" hidden="false" customHeight="true" outlineLevel="0" collapsed="false">
      <c r="B456" s="122" t="n">
        <f aca="false">B455+1</f>
        <v>453</v>
      </c>
      <c r="C456" s="123" t="s">
        <v>168</v>
      </c>
      <c r="D456" s="140" t="n">
        <v>61073</v>
      </c>
      <c r="E456" s="124" t="str">
        <f aca="false">IF(D456="","",IFERROR(VLOOKUP(D456,CCN_Library!$A$4:$B$13,2,FALSE()),"NOT IN LIBRARY"))</f>
        <v>COMPANY/BATTERY HEADQUARTERS, MARINE CORPS</v>
      </c>
      <c r="F456" s="125" t="str">
        <f aca="false">LEFT(H456,6)</f>
        <v>M28263</v>
      </c>
      <c r="G456" s="126" t="s">
        <v>128</v>
      </c>
      <c r="H456" s="126" t="s">
        <v>785</v>
      </c>
      <c r="I456" s="126" t="s">
        <v>477</v>
      </c>
      <c r="J456" s="126" t="s">
        <v>191</v>
      </c>
      <c r="K456" s="127" t="s">
        <v>478</v>
      </c>
      <c r="L456" s="126" t="s">
        <v>161</v>
      </c>
      <c r="M456" s="126" t="s">
        <v>133</v>
      </c>
      <c r="N456" s="126" t="s">
        <v>128</v>
      </c>
      <c r="O456" s="126" t="s">
        <v>135</v>
      </c>
      <c r="P456" s="126" t="s">
        <v>135</v>
      </c>
      <c r="Q456" s="128"/>
      <c r="R456" s="126" t="s">
        <v>136</v>
      </c>
      <c r="S456" s="126" t="s">
        <v>58</v>
      </c>
      <c r="T456" s="128"/>
      <c r="U456" s="129" t="n">
        <v>0</v>
      </c>
      <c r="V456" s="129" t="n">
        <v>0</v>
      </c>
      <c r="W456" s="129" t="n">
        <v>0</v>
      </c>
      <c r="X456" s="129" t="n">
        <v>0</v>
      </c>
      <c r="Y456" s="129" t="n">
        <v>0</v>
      </c>
      <c r="Z456" s="129" t="n">
        <v>0</v>
      </c>
      <c r="AA456" s="129" t="n">
        <v>1</v>
      </c>
      <c r="AB456" s="129" t="n">
        <v>0</v>
      </c>
      <c r="AC456" s="129" t="n">
        <v>0</v>
      </c>
      <c r="AD456" s="129" t="n">
        <v>0</v>
      </c>
      <c r="AE456" s="129" t="n">
        <v>0</v>
      </c>
      <c r="AF456" s="129" t="n">
        <v>0</v>
      </c>
      <c r="AG456" s="129" t="n">
        <v>0</v>
      </c>
      <c r="AH456" s="129" t="n">
        <v>0</v>
      </c>
      <c r="AI456" s="129" t="n">
        <v>0</v>
      </c>
      <c r="AJ456" s="129" t="n">
        <v>0</v>
      </c>
      <c r="AK456" s="129" t="n">
        <v>0</v>
      </c>
      <c r="AL456" s="129" t="n">
        <v>0</v>
      </c>
      <c r="AM456" s="129" t="n">
        <v>0</v>
      </c>
      <c r="AN456" s="128"/>
      <c r="AO456" s="128"/>
      <c r="AP456" s="126" t="s">
        <v>138</v>
      </c>
      <c r="AQ456" s="126" t="s">
        <v>139</v>
      </c>
      <c r="AR456" s="126" t="s">
        <v>140</v>
      </c>
      <c r="AS456" s="128"/>
      <c r="AT456" s="130"/>
    </row>
    <row r="457" customFormat="false" ht="12.75" hidden="false" customHeight="true" outlineLevel="0" collapsed="false">
      <c r="B457" s="122" t="n">
        <f aca="false">B456+1</f>
        <v>454</v>
      </c>
      <c r="C457" s="123" t="s">
        <v>168</v>
      </c>
      <c r="D457" s="140" t="n">
        <v>61073</v>
      </c>
      <c r="E457" s="124" t="str">
        <f aca="false">IF(D457="","",IFERROR(VLOOKUP(D457,CCN_Library!$A$4:$B$13,2,FALSE()),"NOT IN LIBRARY"))</f>
        <v>COMPANY/BATTERY HEADQUARTERS, MARINE CORPS</v>
      </c>
      <c r="F457" s="125" t="str">
        <f aca="false">LEFT(H457,6)</f>
        <v>M28263</v>
      </c>
      <c r="G457" s="126" t="s">
        <v>128</v>
      </c>
      <c r="H457" s="126" t="s">
        <v>786</v>
      </c>
      <c r="I457" s="126" t="s">
        <v>477</v>
      </c>
      <c r="J457" s="126" t="s">
        <v>176</v>
      </c>
      <c r="K457" s="127" t="s">
        <v>478</v>
      </c>
      <c r="L457" s="126" t="s">
        <v>161</v>
      </c>
      <c r="M457" s="126" t="s">
        <v>133</v>
      </c>
      <c r="N457" s="126" t="s">
        <v>128</v>
      </c>
      <c r="O457" s="126" t="s">
        <v>135</v>
      </c>
      <c r="P457" s="126" t="s">
        <v>135</v>
      </c>
      <c r="Q457" s="128"/>
      <c r="R457" s="126" t="s">
        <v>136</v>
      </c>
      <c r="S457" s="126" t="s">
        <v>58</v>
      </c>
      <c r="T457" s="128"/>
      <c r="U457" s="129" t="n">
        <v>0</v>
      </c>
      <c r="V457" s="129" t="n">
        <v>0</v>
      </c>
      <c r="W457" s="129" t="n">
        <v>0</v>
      </c>
      <c r="X457" s="129" t="n">
        <v>0</v>
      </c>
      <c r="Y457" s="129" t="n">
        <v>0</v>
      </c>
      <c r="Z457" s="129" t="n">
        <v>0</v>
      </c>
      <c r="AA457" s="129" t="n">
        <v>1</v>
      </c>
      <c r="AB457" s="129" t="n">
        <v>0</v>
      </c>
      <c r="AC457" s="129" t="n">
        <v>0</v>
      </c>
      <c r="AD457" s="129" t="n">
        <v>0</v>
      </c>
      <c r="AE457" s="129" t="n">
        <v>0</v>
      </c>
      <c r="AF457" s="129" t="n">
        <v>0</v>
      </c>
      <c r="AG457" s="129" t="n">
        <v>0</v>
      </c>
      <c r="AH457" s="129" t="n">
        <v>0</v>
      </c>
      <c r="AI457" s="129" t="n">
        <v>0</v>
      </c>
      <c r="AJ457" s="129" t="n">
        <v>0</v>
      </c>
      <c r="AK457" s="129" t="n">
        <v>0</v>
      </c>
      <c r="AL457" s="129" t="n">
        <v>0</v>
      </c>
      <c r="AM457" s="129" t="n">
        <v>0</v>
      </c>
      <c r="AN457" s="128"/>
      <c r="AO457" s="128"/>
      <c r="AP457" s="126" t="s">
        <v>138</v>
      </c>
      <c r="AQ457" s="126" t="s">
        <v>139</v>
      </c>
      <c r="AR457" s="126" t="s">
        <v>140</v>
      </c>
      <c r="AS457" s="128"/>
      <c r="AT457" s="139"/>
    </row>
    <row r="458" customFormat="false" ht="12.75" hidden="false" customHeight="true" outlineLevel="0" collapsed="false">
      <c r="B458" s="122" t="n">
        <f aca="false">B457+1</f>
        <v>455</v>
      </c>
      <c r="C458" s="123" t="s">
        <v>168</v>
      </c>
      <c r="D458" s="140" t="n">
        <v>61073</v>
      </c>
      <c r="E458" s="124" t="str">
        <f aca="false">IF(D458="","",IFERROR(VLOOKUP(D458,CCN_Library!$A$4:$B$13,2,FALSE()),"NOT IN LIBRARY"))</f>
        <v>COMPANY/BATTERY HEADQUARTERS, MARINE CORPS</v>
      </c>
      <c r="F458" s="125" t="str">
        <f aca="false">LEFT(H458,6)</f>
        <v>M28263</v>
      </c>
      <c r="G458" s="126" t="s">
        <v>128</v>
      </c>
      <c r="H458" s="126" t="s">
        <v>787</v>
      </c>
      <c r="I458" s="126" t="s">
        <v>159</v>
      </c>
      <c r="J458" s="126" t="s">
        <v>176</v>
      </c>
      <c r="K458" s="127" t="s">
        <v>161</v>
      </c>
      <c r="L458" s="126" t="s">
        <v>161</v>
      </c>
      <c r="M458" s="126" t="s">
        <v>133</v>
      </c>
      <c r="N458" s="126" t="s">
        <v>128</v>
      </c>
      <c r="O458" s="126" t="s">
        <v>135</v>
      </c>
      <c r="P458" s="126" t="s">
        <v>135</v>
      </c>
      <c r="Q458" s="128"/>
      <c r="R458" s="126" t="s">
        <v>136</v>
      </c>
      <c r="S458" s="126" t="s">
        <v>58</v>
      </c>
      <c r="T458" s="128"/>
      <c r="U458" s="129" t="n">
        <v>0</v>
      </c>
      <c r="V458" s="129" t="n">
        <v>0</v>
      </c>
      <c r="W458" s="129" t="n">
        <v>0</v>
      </c>
      <c r="X458" s="129" t="n">
        <v>0</v>
      </c>
      <c r="Y458" s="129" t="n">
        <v>0</v>
      </c>
      <c r="Z458" s="129" t="n">
        <v>0</v>
      </c>
      <c r="AA458" s="129" t="n">
        <v>1</v>
      </c>
      <c r="AB458" s="129" t="n">
        <v>0</v>
      </c>
      <c r="AC458" s="129" t="n">
        <v>0</v>
      </c>
      <c r="AD458" s="129" t="n">
        <v>0</v>
      </c>
      <c r="AE458" s="129" t="n">
        <v>0</v>
      </c>
      <c r="AF458" s="129" t="n">
        <v>0</v>
      </c>
      <c r="AG458" s="129" t="n">
        <v>0</v>
      </c>
      <c r="AH458" s="129" t="n">
        <v>0</v>
      </c>
      <c r="AI458" s="129" t="n">
        <v>0</v>
      </c>
      <c r="AJ458" s="129" t="n">
        <v>0</v>
      </c>
      <c r="AK458" s="129" t="n">
        <v>0</v>
      </c>
      <c r="AL458" s="129" t="n">
        <v>0</v>
      </c>
      <c r="AM458" s="129" t="n">
        <v>0</v>
      </c>
      <c r="AN458" s="126" t="s">
        <v>384</v>
      </c>
      <c r="AO458" s="126" t="s">
        <v>610</v>
      </c>
      <c r="AP458" s="126" t="s">
        <v>138</v>
      </c>
      <c r="AQ458" s="126" t="s">
        <v>139</v>
      </c>
      <c r="AR458" s="126" t="s">
        <v>386</v>
      </c>
      <c r="AS458" s="128"/>
      <c r="AT458" s="130"/>
    </row>
    <row r="459" customFormat="false" ht="12.75" hidden="false" customHeight="true" outlineLevel="0" collapsed="false">
      <c r="B459" s="131" t="n">
        <f aca="false">B458+1</f>
        <v>456</v>
      </c>
      <c r="C459" s="132" t="s">
        <v>162</v>
      </c>
      <c r="D459" s="133" t="n">
        <v>61073</v>
      </c>
      <c r="E459" s="133"/>
      <c r="F459" s="134" t="str">
        <f aca="false">LEFT(H459,6)</f>
        <v>M28263</v>
      </c>
      <c r="G459" s="135" t="s">
        <v>177</v>
      </c>
      <c r="H459" s="135" t="s">
        <v>788</v>
      </c>
      <c r="I459" s="135" t="s">
        <v>789</v>
      </c>
      <c r="J459" s="136"/>
      <c r="K459" s="136"/>
      <c r="L459" s="136"/>
      <c r="M459" s="136"/>
      <c r="N459" s="136"/>
      <c r="O459" s="136"/>
      <c r="P459" s="136"/>
      <c r="Q459" s="136"/>
      <c r="R459" s="136"/>
      <c r="S459" s="136"/>
      <c r="T459" s="136"/>
      <c r="U459" s="137" t="n">
        <v>0</v>
      </c>
      <c r="V459" s="137" t="n">
        <v>0</v>
      </c>
      <c r="W459" s="137" t="n">
        <v>0</v>
      </c>
      <c r="X459" s="137" t="n">
        <v>0</v>
      </c>
      <c r="Y459" s="137" t="n">
        <v>0</v>
      </c>
      <c r="Z459" s="137" t="n">
        <v>0</v>
      </c>
      <c r="AA459" s="137" t="n">
        <v>0</v>
      </c>
      <c r="AB459" s="137" t="n">
        <v>0</v>
      </c>
      <c r="AC459" s="137" t="n">
        <v>0</v>
      </c>
      <c r="AD459" s="137" t="n">
        <v>0</v>
      </c>
      <c r="AE459" s="137" t="n">
        <v>0</v>
      </c>
      <c r="AF459" s="137" t="n">
        <v>0</v>
      </c>
      <c r="AG459" s="137" t="n">
        <v>0</v>
      </c>
      <c r="AH459" s="137" t="n">
        <v>0</v>
      </c>
      <c r="AI459" s="137" t="n">
        <v>0</v>
      </c>
      <c r="AJ459" s="137" t="n">
        <v>0</v>
      </c>
      <c r="AK459" s="137" t="n">
        <v>0</v>
      </c>
      <c r="AL459" s="137" t="n">
        <v>0</v>
      </c>
      <c r="AM459" s="137" t="n">
        <v>0</v>
      </c>
      <c r="AN459" s="136"/>
      <c r="AO459" s="136"/>
      <c r="AP459" s="136"/>
      <c r="AQ459" s="136"/>
      <c r="AR459" s="136"/>
      <c r="AS459" s="136"/>
      <c r="AT459" s="138"/>
    </row>
    <row r="460" customFormat="false" ht="12.75" hidden="false" customHeight="true" outlineLevel="0" collapsed="false">
      <c r="B460" s="131" t="n">
        <f aca="false">B459+1</f>
        <v>457</v>
      </c>
      <c r="C460" s="132" t="s">
        <v>162</v>
      </c>
      <c r="D460" s="133" t="n">
        <v>61073</v>
      </c>
      <c r="E460" s="133"/>
      <c r="F460" s="134" t="str">
        <f aca="false">LEFT(H460,6)</f>
        <v>M28263</v>
      </c>
      <c r="G460" s="135" t="s">
        <v>177</v>
      </c>
      <c r="H460" s="135" t="s">
        <v>790</v>
      </c>
      <c r="I460" s="135" t="s">
        <v>791</v>
      </c>
      <c r="J460" s="136"/>
      <c r="K460" s="136"/>
      <c r="L460" s="136"/>
      <c r="M460" s="136"/>
      <c r="N460" s="136"/>
      <c r="O460" s="136"/>
      <c r="P460" s="136"/>
      <c r="Q460" s="136"/>
      <c r="R460" s="136"/>
      <c r="S460" s="136"/>
      <c r="T460" s="136"/>
      <c r="U460" s="137" t="n">
        <v>0</v>
      </c>
      <c r="V460" s="137" t="n">
        <v>0</v>
      </c>
      <c r="W460" s="137" t="n">
        <v>0</v>
      </c>
      <c r="X460" s="137" t="n">
        <v>0</v>
      </c>
      <c r="Y460" s="137" t="n">
        <v>0</v>
      </c>
      <c r="Z460" s="137" t="n">
        <v>0</v>
      </c>
      <c r="AA460" s="137" t="n">
        <v>0</v>
      </c>
      <c r="AB460" s="137" t="n">
        <v>0</v>
      </c>
      <c r="AC460" s="137" t="n">
        <v>0</v>
      </c>
      <c r="AD460" s="137" t="n">
        <v>0</v>
      </c>
      <c r="AE460" s="137" t="n">
        <v>0</v>
      </c>
      <c r="AF460" s="137" t="n">
        <v>0</v>
      </c>
      <c r="AG460" s="137" t="n">
        <v>0</v>
      </c>
      <c r="AH460" s="137" t="n">
        <v>0</v>
      </c>
      <c r="AI460" s="137" t="n">
        <v>0</v>
      </c>
      <c r="AJ460" s="137" t="n">
        <v>0</v>
      </c>
      <c r="AK460" s="137" t="n">
        <v>0</v>
      </c>
      <c r="AL460" s="137" t="n">
        <v>0</v>
      </c>
      <c r="AM460" s="137" t="n">
        <v>0</v>
      </c>
      <c r="AN460" s="136"/>
      <c r="AO460" s="136"/>
      <c r="AP460" s="136"/>
      <c r="AQ460" s="136"/>
      <c r="AR460" s="136"/>
      <c r="AS460" s="136"/>
      <c r="AT460" s="138"/>
    </row>
    <row r="461" customFormat="false" ht="12.75" hidden="false" customHeight="true" outlineLevel="0" collapsed="false">
      <c r="B461" s="122" t="n">
        <f aca="false">B460+1</f>
        <v>458</v>
      </c>
      <c r="C461" s="123" t="s">
        <v>162</v>
      </c>
      <c r="D461" s="140" t="n">
        <v>61073</v>
      </c>
      <c r="E461" s="124" t="str">
        <f aca="false">IF(D461="","",IFERROR(VLOOKUP(D461,CCN_Library!$A$4:$B$13,2,FALSE()),"NOT IN LIBRARY"))</f>
        <v>COMPANY/BATTERY HEADQUARTERS, MARINE CORPS</v>
      </c>
      <c r="F461" s="125" t="str">
        <f aca="false">LEFT(H461,6)</f>
        <v>M28263</v>
      </c>
      <c r="G461" s="126" t="s">
        <v>128</v>
      </c>
      <c r="H461" s="126" t="s">
        <v>792</v>
      </c>
      <c r="I461" s="126" t="s">
        <v>486</v>
      </c>
      <c r="J461" s="126" t="s">
        <v>211</v>
      </c>
      <c r="K461" s="127" t="s">
        <v>151</v>
      </c>
      <c r="L461" s="126" t="s">
        <v>151</v>
      </c>
      <c r="M461" s="126" t="s">
        <v>133</v>
      </c>
      <c r="N461" s="126" t="s">
        <v>134</v>
      </c>
      <c r="O461" s="126" t="s">
        <v>135</v>
      </c>
      <c r="P461" s="126" t="s">
        <v>135</v>
      </c>
      <c r="Q461" s="128"/>
      <c r="R461" s="126" t="s">
        <v>136</v>
      </c>
      <c r="S461" s="126" t="s">
        <v>137</v>
      </c>
      <c r="T461" s="128"/>
      <c r="U461" s="129" t="n">
        <v>0</v>
      </c>
      <c r="V461" s="129" t="n">
        <v>0</v>
      </c>
      <c r="W461" s="129" t="n">
        <v>0</v>
      </c>
      <c r="X461" s="129" t="n">
        <v>0</v>
      </c>
      <c r="Y461" s="129" t="n">
        <v>0</v>
      </c>
      <c r="Z461" s="129" t="n">
        <v>1</v>
      </c>
      <c r="AA461" s="129" t="n">
        <v>0</v>
      </c>
      <c r="AB461" s="129" t="n">
        <v>0</v>
      </c>
      <c r="AC461" s="129" t="n">
        <v>0</v>
      </c>
      <c r="AD461" s="129" t="n">
        <v>0</v>
      </c>
      <c r="AE461" s="129" t="n">
        <v>0</v>
      </c>
      <c r="AF461" s="129" t="n">
        <v>0</v>
      </c>
      <c r="AG461" s="129" t="n">
        <v>0</v>
      </c>
      <c r="AH461" s="129" t="n">
        <v>0</v>
      </c>
      <c r="AI461" s="129" t="n">
        <v>0</v>
      </c>
      <c r="AJ461" s="129" t="n">
        <v>0</v>
      </c>
      <c r="AK461" s="129" t="n">
        <v>0</v>
      </c>
      <c r="AL461" s="129" t="n">
        <v>0</v>
      </c>
      <c r="AM461" s="129" t="n">
        <v>0</v>
      </c>
      <c r="AN461" s="126" t="s">
        <v>384</v>
      </c>
      <c r="AO461" s="126" t="s">
        <v>385</v>
      </c>
      <c r="AP461" s="126" t="s">
        <v>138</v>
      </c>
      <c r="AQ461" s="126" t="s">
        <v>139</v>
      </c>
      <c r="AR461" s="126" t="s">
        <v>386</v>
      </c>
      <c r="AS461" s="128"/>
      <c r="AT461" s="130"/>
    </row>
    <row r="462" customFormat="false" ht="12.75" hidden="false" customHeight="true" outlineLevel="0" collapsed="false">
      <c r="B462" s="122" t="n">
        <f aca="false">B461+1</f>
        <v>459</v>
      </c>
      <c r="C462" s="123" t="s">
        <v>162</v>
      </c>
      <c r="D462" s="140" t="n">
        <v>61073</v>
      </c>
      <c r="E462" s="124" t="str">
        <f aca="false">IF(D462="","",IFERROR(VLOOKUP(D462,CCN_Library!$A$4:$B$13,2,FALSE()),"NOT IN LIBRARY"))</f>
        <v>COMPANY/BATTERY HEADQUARTERS, MARINE CORPS</v>
      </c>
      <c r="F462" s="125" t="str">
        <f aca="false">LEFT(H462,6)</f>
        <v>M28263</v>
      </c>
      <c r="G462" s="126" t="s">
        <v>128</v>
      </c>
      <c r="H462" s="126" t="s">
        <v>793</v>
      </c>
      <c r="I462" s="126" t="s">
        <v>486</v>
      </c>
      <c r="J462" s="126" t="s">
        <v>211</v>
      </c>
      <c r="K462" s="127" t="s">
        <v>151</v>
      </c>
      <c r="L462" s="126" t="s">
        <v>151</v>
      </c>
      <c r="M462" s="126" t="s">
        <v>133</v>
      </c>
      <c r="N462" s="126" t="s">
        <v>134</v>
      </c>
      <c r="O462" s="126" t="s">
        <v>135</v>
      </c>
      <c r="P462" s="126" t="s">
        <v>135</v>
      </c>
      <c r="Q462" s="128"/>
      <c r="R462" s="126" t="s">
        <v>136</v>
      </c>
      <c r="S462" s="126" t="s">
        <v>137</v>
      </c>
      <c r="T462" s="128"/>
      <c r="U462" s="129" t="n">
        <v>0</v>
      </c>
      <c r="V462" s="129" t="n">
        <v>0</v>
      </c>
      <c r="W462" s="129" t="n">
        <v>0</v>
      </c>
      <c r="X462" s="129" t="n">
        <v>0</v>
      </c>
      <c r="Y462" s="129" t="n">
        <v>0</v>
      </c>
      <c r="Z462" s="129" t="n">
        <v>1</v>
      </c>
      <c r="AA462" s="129" t="n">
        <v>0</v>
      </c>
      <c r="AB462" s="129" t="n">
        <v>0</v>
      </c>
      <c r="AC462" s="129" t="n">
        <v>0</v>
      </c>
      <c r="AD462" s="129" t="n">
        <v>0</v>
      </c>
      <c r="AE462" s="129" t="n">
        <v>0</v>
      </c>
      <c r="AF462" s="129" t="n">
        <v>0</v>
      </c>
      <c r="AG462" s="129" t="n">
        <v>0</v>
      </c>
      <c r="AH462" s="129" t="n">
        <v>0</v>
      </c>
      <c r="AI462" s="129" t="n">
        <v>0</v>
      </c>
      <c r="AJ462" s="129" t="n">
        <v>0</v>
      </c>
      <c r="AK462" s="129" t="n">
        <v>0</v>
      </c>
      <c r="AL462" s="129" t="n">
        <v>0</v>
      </c>
      <c r="AM462" s="129" t="n">
        <v>0</v>
      </c>
      <c r="AN462" s="128"/>
      <c r="AO462" s="128"/>
      <c r="AP462" s="126" t="s">
        <v>138</v>
      </c>
      <c r="AQ462" s="126" t="s">
        <v>139</v>
      </c>
      <c r="AR462" s="126" t="s">
        <v>140</v>
      </c>
      <c r="AS462" s="128"/>
      <c r="AT462" s="139"/>
    </row>
    <row r="463" customFormat="false" ht="12.75" hidden="false" customHeight="true" outlineLevel="0" collapsed="false">
      <c r="B463" s="122" t="n">
        <f aca="false">B462+1</f>
        <v>460</v>
      </c>
      <c r="C463" s="123" t="s">
        <v>162</v>
      </c>
      <c r="D463" s="140" t="n">
        <v>61073</v>
      </c>
      <c r="E463" s="124" t="str">
        <f aca="false">IF(D463="","",IFERROR(VLOOKUP(D463,CCN_Library!$A$4:$B$13,2,FALSE()),"NOT IN LIBRARY"))</f>
        <v>COMPANY/BATTERY HEADQUARTERS, MARINE CORPS</v>
      </c>
      <c r="F463" s="125" t="str">
        <f aca="false">LEFT(H463,6)</f>
        <v>M28263</v>
      </c>
      <c r="G463" s="126" t="s">
        <v>128</v>
      </c>
      <c r="H463" s="126" t="s">
        <v>794</v>
      </c>
      <c r="I463" s="126" t="s">
        <v>489</v>
      </c>
      <c r="J463" s="126" t="s">
        <v>182</v>
      </c>
      <c r="K463" s="127" t="s">
        <v>132</v>
      </c>
      <c r="L463" s="126" t="s">
        <v>132</v>
      </c>
      <c r="M463" s="126" t="s">
        <v>133</v>
      </c>
      <c r="N463" s="126" t="s">
        <v>134</v>
      </c>
      <c r="O463" s="126" t="s">
        <v>135</v>
      </c>
      <c r="P463" s="126" t="s">
        <v>135</v>
      </c>
      <c r="Q463" s="128"/>
      <c r="R463" s="126" t="s">
        <v>136</v>
      </c>
      <c r="S463" s="126" t="s">
        <v>137</v>
      </c>
      <c r="T463" s="128"/>
      <c r="U463" s="129" t="n">
        <v>0</v>
      </c>
      <c r="V463" s="129" t="n">
        <v>0</v>
      </c>
      <c r="W463" s="129" t="n">
        <v>0</v>
      </c>
      <c r="X463" s="129" t="n">
        <v>0</v>
      </c>
      <c r="Y463" s="129" t="n">
        <v>0</v>
      </c>
      <c r="Z463" s="129" t="n">
        <v>1</v>
      </c>
      <c r="AA463" s="129" t="n">
        <v>0</v>
      </c>
      <c r="AB463" s="129" t="n">
        <v>0</v>
      </c>
      <c r="AC463" s="129" t="n">
        <v>0</v>
      </c>
      <c r="AD463" s="129" t="n">
        <v>0</v>
      </c>
      <c r="AE463" s="129" t="n">
        <v>0</v>
      </c>
      <c r="AF463" s="129" t="n">
        <v>0</v>
      </c>
      <c r="AG463" s="129" t="n">
        <v>0</v>
      </c>
      <c r="AH463" s="129" t="n">
        <v>0</v>
      </c>
      <c r="AI463" s="129" t="n">
        <v>0</v>
      </c>
      <c r="AJ463" s="129" t="n">
        <v>0</v>
      </c>
      <c r="AK463" s="129" t="n">
        <v>0</v>
      </c>
      <c r="AL463" s="129" t="n">
        <v>0</v>
      </c>
      <c r="AM463" s="129" t="n">
        <v>0</v>
      </c>
      <c r="AN463" s="128"/>
      <c r="AO463" s="128"/>
      <c r="AP463" s="126" t="s">
        <v>138</v>
      </c>
      <c r="AQ463" s="126" t="s">
        <v>139</v>
      </c>
      <c r="AR463" s="126" t="s">
        <v>140</v>
      </c>
      <c r="AS463" s="128"/>
      <c r="AT463" s="139"/>
    </row>
    <row r="464" customFormat="false" ht="12.75" hidden="false" customHeight="true" outlineLevel="0" collapsed="false">
      <c r="B464" s="122" t="n">
        <f aca="false">B463+1</f>
        <v>461</v>
      </c>
      <c r="C464" s="123" t="s">
        <v>162</v>
      </c>
      <c r="D464" s="140" t="n">
        <v>61073</v>
      </c>
      <c r="E464" s="124" t="str">
        <f aca="false">IF(D464="","",IFERROR(VLOOKUP(D464,CCN_Library!$A$4:$B$13,2,FALSE()),"NOT IN LIBRARY"))</f>
        <v>COMPANY/BATTERY HEADQUARTERS, MARINE CORPS</v>
      </c>
      <c r="F464" s="125" t="str">
        <f aca="false">LEFT(H464,6)</f>
        <v>M28263</v>
      </c>
      <c r="G464" s="126" t="s">
        <v>128</v>
      </c>
      <c r="H464" s="126" t="s">
        <v>795</v>
      </c>
      <c r="I464" s="126" t="s">
        <v>474</v>
      </c>
      <c r="J464" s="126" t="s">
        <v>187</v>
      </c>
      <c r="K464" s="127" t="s">
        <v>475</v>
      </c>
      <c r="L464" s="126" t="s">
        <v>161</v>
      </c>
      <c r="M464" s="126" t="s">
        <v>133</v>
      </c>
      <c r="N464" s="126" t="s">
        <v>128</v>
      </c>
      <c r="O464" s="126" t="s">
        <v>135</v>
      </c>
      <c r="P464" s="126" t="s">
        <v>135</v>
      </c>
      <c r="Q464" s="128"/>
      <c r="R464" s="126" t="s">
        <v>136</v>
      </c>
      <c r="S464" s="126" t="s">
        <v>137</v>
      </c>
      <c r="T464" s="128"/>
      <c r="U464" s="129" t="n">
        <v>0</v>
      </c>
      <c r="V464" s="129" t="n">
        <v>0</v>
      </c>
      <c r="W464" s="129" t="n">
        <v>0</v>
      </c>
      <c r="X464" s="129" t="n">
        <v>0</v>
      </c>
      <c r="Y464" s="129" t="n">
        <v>0</v>
      </c>
      <c r="Z464" s="129" t="n">
        <v>0</v>
      </c>
      <c r="AA464" s="129" t="n">
        <v>1</v>
      </c>
      <c r="AB464" s="129" t="n">
        <v>0</v>
      </c>
      <c r="AC464" s="129" t="n">
        <v>0</v>
      </c>
      <c r="AD464" s="129" t="n">
        <v>0</v>
      </c>
      <c r="AE464" s="129" t="n">
        <v>0</v>
      </c>
      <c r="AF464" s="129" t="n">
        <v>0</v>
      </c>
      <c r="AG464" s="129" t="n">
        <v>0</v>
      </c>
      <c r="AH464" s="129" t="n">
        <v>0</v>
      </c>
      <c r="AI464" s="129" t="n">
        <v>0</v>
      </c>
      <c r="AJ464" s="129" t="n">
        <v>0</v>
      </c>
      <c r="AK464" s="129" t="n">
        <v>0</v>
      </c>
      <c r="AL464" s="129" t="n">
        <v>0</v>
      </c>
      <c r="AM464" s="129" t="n">
        <v>0</v>
      </c>
      <c r="AN464" s="128"/>
      <c r="AO464" s="128"/>
      <c r="AP464" s="126" t="s">
        <v>138</v>
      </c>
      <c r="AQ464" s="126" t="s">
        <v>139</v>
      </c>
      <c r="AR464" s="126" t="s">
        <v>140</v>
      </c>
      <c r="AS464" s="128"/>
      <c r="AT464" s="130"/>
    </row>
    <row r="465" customFormat="false" ht="12.75" hidden="false" customHeight="true" outlineLevel="0" collapsed="false">
      <c r="B465" s="122" t="n">
        <f aca="false">B464+1</f>
        <v>462</v>
      </c>
      <c r="C465" s="123" t="s">
        <v>168</v>
      </c>
      <c r="D465" s="140" t="n">
        <v>61073</v>
      </c>
      <c r="E465" s="124" t="str">
        <f aca="false">IF(D465="","",IFERROR(VLOOKUP(D465,CCN_Library!$A$4:$B$13,2,FALSE()),"NOT IN LIBRARY"))</f>
        <v>COMPANY/BATTERY HEADQUARTERS, MARINE CORPS</v>
      </c>
      <c r="F465" s="125" t="str">
        <f aca="false">LEFT(H465,6)</f>
        <v>M28263</v>
      </c>
      <c r="G465" s="126" t="s">
        <v>128</v>
      </c>
      <c r="H465" s="126" t="s">
        <v>796</v>
      </c>
      <c r="I465" s="126" t="s">
        <v>159</v>
      </c>
      <c r="J465" s="126" t="s">
        <v>191</v>
      </c>
      <c r="K465" s="127" t="s">
        <v>161</v>
      </c>
      <c r="L465" s="126" t="s">
        <v>161</v>
      </c>
      <c r="M465" s="126" t="s">
        <v>133</v>
      </c>
      <c r="N465" s="126" t="s">
        <v>128</v>
      </c>
      <c r="O465" s="126" t="s">
        <v>135</v>
      </c>
      <c r="P465" s="126" t="s">
        <v>135</v>
      </c>
      <c r="Q465" s="128"/>
      <c r="R465" s="126" t="s">
        <v>136</v>
      </c>
      <c r="S465" s="126" t="s">
        <v>58</v>
      </c>
      <c r="T465" s="128"/>
      <c r="U465" s="129" t="n">
        <v>0</v>
      </c>
      <c r="V465" s="129" t="n">
        <v>0</v>
      </c>
      <c r="W465" s="129" t="n">
        <v>0</v>
      </c>
      <c r="X465" s="129" t="n">
        <v>0</v>
      </c>
      <c r="Y465" s="129" t="n">
        <v>0</v>
      </c>
      <c r="Z465" s="129" t="n">
        <v>0</v>
      </c>
      <c r="AA465" s="129" t="n">
        <v>1</v>
      </c>
      <c r="AB465" s="129" t="n">
        <v>0</v>
      </c>
      <c r="AC465" s="129" t="n">
        <v>0</v>
      </c>
      <c r="AD465" s="129" t="n">
        <v>0</v>
      </c>
      <c r="AE465" s="129" t="n">
        <v>0</v>
      </c>
      <c r="AF465" s="129" t="n">
        <v>0</v>
      </c>
      <c r="AG465" s="129" t="n">
        <v>0</v>
      </c>
      <c r="AH465" s="129" t="n">
        <v>0</v>
      </c>
      <c r="AI465" s="129" t="n">
        <v>0</v>
      </c>
      <c r="AJ465" s="129" t="n">
        <v>0</v>
      </c>
      <c r="AK465" s="129" t="n">
        <v>0</v>
      </c>
      <c r="AL465" s="129" t="n">
        <v>0</v>
      </c>
      <c r="AM465" s="129" t="n">
        <v>0</v>
      </c>
      <c r="AN465" s="128"/>
      <c r="AO465" s="128"/>
      <c r="AP465" s="126" t="s">
        <v>138</v>
      </c>
      <c r="AQ465" s="126" t="s">
        <v>139</v>
      </c>
      <c r="AR465" s="126" t="s">
        <v>140</v>
      </c>
      <c r="AS465" s="128"/>
      <c r="AT465" s="130"/>
    </row>
    <row r="466" customFormat="false" ht="12.75" hidden="false" customHeight="true" outlineLevel="0" collapsed="false">
      <c r="B466" s="122" t="n">
        <f aca="false">B465+1</f>
        <v>463</v>
      </c>
      <c r="C466" s="123" t="s">
        <v>168</v>
      </c>
      <c r="D466" s="140" t="n">
        <v>61073</v>
      </c>
      <c r="E466" s="124" t="str">
        <f aca="false">IF(D466="","",IFERROR(VLOOKUP(D466,CCN_Library!$A$4:$B$13,2,FALSE()),"NOT IN LIBRARY"))</f>
        <v>COMPANY/BATTERY HEADQUARTERS, MARINE CORPS</v>
      </c>
      <c r="F466" s="125" t="str">
        <f aca="false">LEFT(H466,6)</f>
        <v>M28263</v>
      </c>
      <c r="G466" s="126" t="s">
        <v>128</v>
      </c>
      <c r="H466" s="126" t="s">
        <v>797</v>
      </c>
      <c r="I466" s="126" t="s">
        <v>159</v>
      </c>
      <c r="J466" s="126" t="s">
        <v>191</v>
      </c>
      <c r="K466" s="127" t="s">
        <v>161</v>
      </c>
      <c r="L466" s="126" t="s">
        <v>161</v>
      </c>
      <c r="M466" s="126" t="s">
        <v>133</v>
      </c>
      <c r="N466" s="126" t="s">
        <v>128</v>
      </c>
      <c r="O466" s="126" t="s">
        <v>135</v>
      </c>
      <c r="P466" s="126" t="s">
        <v>135</v>
      </c>
      <c r="Q466" s="128"/>
      <c r="R466" s="126" t="s">
        <v>136</v>
      </c>
      <c r="S466" s="126" t="s">
        <v>58</v>
      </c>
      <c r="T466" s="128"/>
      <c r="U466" s="129" t="n">
        <v>0</v>
      </c>
      <c r="V466" s="129" t="n">
        <v>0</v>
      </c>
      <c r="W466" s="129" t="n">
        <v>0</v>
      </c>
      <c r="X466" s="129" t="n">
        <v>0</v>
      </c>
      <c r="Y466" s="129" t="n">
        <v>0</v>
      </c>
      <c r="Z466" s="129" t="n">
        <v>0</v>
      </c>
      <c r="AA466" s="129" t="n">
        <v>1</v>
      </c>
      <c r="AB466" s="129" t="n">
        <v>0</v>
      </c>
      <c r="AC466" s="129" t="n">
        <v>0</v>
      </c>
      <c r="AD466" s="129" t="n">
        <v>0</v>
      </c>
      <c r="AE466" s="129" t="n">
        <v>0</v>
      </c>
      <c r="AF466" s="129" t="n">
        <v>0</v>
      </c>
      <c r="AG466" s="129" t="n">
        <v>0</v>
      </c>
      <c r="AH466" s="129" t="n">
        <v>0</v>
      </c>
      <c r="AI466" s="129" t="n">
        <v>0</v>
      </c>
      <c r="AJ466" s="129" t="n">
        <v>0</v>
      </c>
      <c r="AK466" s="129" t="n">
        <v>0</v>
      </c>
      <c r="AL466" s="129" t="n">
        <v>0</v>
      </c>
      <c r="AM466" s="129" t="n">
        <v>0</v>
      </c>
      <c r="AN466" s="128"/>
      <c r="AO466" s="128"/>
      <c r="AP466" s="126" t="s">
        <v>138</v>
      </c>
      <c r="AQ466" s="126" t="s">
        <v>139</v>
      </c>
      <c r="AR466" s="126" t="s">
        <v>140</v>
      </c>
      <c r="AS466" s="128"/>
      <c r="AT466" s="130"/>
    </row>
    <row r="467" customFormat="false" ht="12.75" hidden="false" customHeight="true" outlineLevel="0" collapsed="false">
      <c r="B467" s="122" t="n">
        <f aca="false">B466+1</f>
        <v>464</v>
      </c>
      <c r="C467" s="123" t="s">
        <v>168</v>
      </c>
      <c r="D467" s="140" t="n">
        <v>61073</v>
      </c>
      <c r="E467" s="124" t="str">
        <f aca="false">IF(D467="","",IFERROR(VLOOKUP(D467,CCN_Library!$A$4:$B$13,2,FALSE()),"NOT IN LIBRARY"))</f>
        <v>COMPANY/BATTERY HEADQUARTERS, MARINE CORPS</v>
      </c>
      <c r="F467" s="125" t="str">
        <f aca="false">LEFT(H467,6)</f>
        <v>M28263</v>
      </c>
      <c r="G467" s="126" t="s">
        <v>128</v>
      </c>
      <c r="H467" s="126" t="s">
        <v>798</v>
      </c>
      <c r="I467" s="126" t="s">
        <v>159</v>
      </c>
      <c r="J467" s="126" t="s">
        <v>191</v>
      </c>
      <c r="K467" s="127" t="s">
        <v>161</v>
      </c>
      <c r="L467" s="126" t="s">
        <v>161</v>
      </c>
      <c r="M467" s="126" t="s">
        <v>133</v>
      </c>
      <c r="N467" s="126" t="s">
        <v>128</v>
      </c>
      <c r="O467" s="126" t="s">
        <v>135</v>
      </c>
      <c r="P467" s="126" t="s">
        <v>135</v>
      </c>
      <c r="Q467" s="128"/>
      <c r="R467" s="126" t="s">
        <v>136</v>
      </c>
      <c r="S467" s="126" t="s">
        <v>58</v>
      </c>
      <c r="T467" s="128"/>
      <c r="U467" s="129" t="n">
        <v>0</v>
      </c>
      <c r="V467" s="129" t="n">
        <v>0</v>
      </c>
      <c r="W467" s="129" t="n">
        <v>0</v>
      </c>
      <c r="X467" s="129" t="n">
        <v>0</v>
      </c>
      <c r="Y467" s="129" t="n">
        <v>0</v>
      </c>
      <c r="Z467" s="129" t="n">
        <v>0</v>
      </c>
      <c r="AA467" s="129" t="n">
        <v>1</v>
      </c>
      <c r="AB467" s="129" t="n">
        <v>0</v>
      </c>
      <c r="AC467" s="129" t="n">
        <v>0</v>
      </c>
      <c r="AD467" s="129" t="n">
        <v>0</v>
      </c>
      <c r="AE467" s="129" t="n">
        <v>0</v>
      </c>
      <c r="AF467" s="129" t="n">
        <v>0</v>
      </c>
      <c r="AG467" s="129" t="n">
        <v>0</v>
      </c>
      <c r="AH467" s="129" t="n">
        <v>0</v>
      </c>
      <c r="AI467" s="129" t="n">
        <v>0</v>
      </c>
      <c r="AJ467" s="129" t="n">
        <v>0</v>
      </c>
      <c r="AK467" s="129" t="n">
        <v>0</v>
      </c>
      <c r="AL467" s="129" t="n">
        <v>0</v>
      </c>
      <c r="AM467" s="129" t="n">
        <v>0</v>
      </c>
      <c r="AN467" s="128"/>
      <c r="AO467" s="128"/>
      <c r="AP467" s="126" t="s">
        <v>138</v>
      </c>
      <c r="AQ467" s="126" t="s">
        <v>139</v>
      </c>
      <c r="AR467" s="126" t="s">
        <v>140</v>
      </c>
      <c r="AS467" s="128"/>
      <c r="AT467" s="130"/>
    </row>
    <row r="468" customFormat="false" ht="12.75" hidden="false" customHeight="true" outlineLevel="0" collapsed="false">
      <c r="B468" s="122" t="n">
        <f aca="false">B467+1</f>
        <v>465</v>
      </c>
      <c r="C468" s="123" t="s">
        <v>168</v>
      </c>
      <c r="D468" s="140" t="n">
        <v>61073</v>
      </c>
      <c r="E468" s="124" t="str">
        <f aca="false">IF(D468="","",IFERROR(VLOOKUP(D468,CCN_Library!$A$4:$B$13,2,FALSE()),"NOT IN LIBRARY"))</f>
        <v>COMPANY/BATTERY HEADQUARTERS, MARINE CORPS</v>
      </c>
      <c r="F468" s="125" t="str">
        <f aca="false">LEFT(H468,6)</f>
        <v>M28263</v>
      </c>
      <c r="G468" s="126" t="s">
        <v>128</v>
      </c>
      <c r="H468" s="126" t="s">
        <v>799</v>
      </c>
      <c r="I468" s="126" t="s">
        <v>159</v>
      </c>
      <c r="J468" s="126" t="s">
        <v>176</v>
      </c>
      <c r="K468" s="127" t="s">
        <v>161</v>
      </c>
      <c r="L468" s="126" t="s">
        <v>161</v>
      </c>
      <c r="M468" s="126" t="s">
        <v>133</v>
      </c>
      <c r="N468" s="126" t="s">
        <v>128</v>
      </c>
      <c r="O468" s="126" t="s">
        <v>135</v>
      </c>
      <c r="P468" s="126" t="s">
        <v>135</v>
      </c>
      <c r="Q468" s="128"/>
      <c r="R468" s="126" t="s">
        <v>136</v>
      </c>
      <c r="S468" s="126" t="s">
        <v>58</v>
      </c>
      <c r="T468" s="128"/>
      <c r="U468" s="129" t="n">
        <v>0</v>
      </c>
      <c r="V468" s="129" t="n">
        <v>0</v>
      </c>
      <c r="W468" s="129" t="n">
        <v>0</v>
      </c>
      <c r="X468" s="129" t="n">
        <v>0</v>
      </c>
      <c r="Y468" s="129" t="n">
        <v>0</v>
      </c>
      <c r="Z468" s="129" t="n">
        <v>0</v>
      </c>
      <c r="AA468" s="129" t="n">
        <v>1</v>
      </c>
      <c r="AB468" s="129" t="n">
        <v>0</v>
      </c>
      <c r="AC468" s="129" t="n">
        <v>0</v>
      </c>
      <c r="AD468" s="129" t="n">
        <v>0</v>
      </c>
      <c r="AE468" s="129" t="n">
        <v>0</v>
      </c>
      <c r="AF468" s="129" t="n">
        <v>0</v>
      </c>
      <c r="AG468" s="129" t="n">
        <v>0</v>
      </c>
      <c r="AH468" s="129" t="n">
        <v>0</v>
      </c>
      <c r="AI468" s="129" t="n">
        <v>0</v>
      </c>
      <c r="AJ468" s="129" t="n">
        <v>0</v>
      </c>
      <c r="AK468" s="129" t="n">
        <v>0</v>
      </c>
      <c r="AL468" s="129" t="n">
        <v>0</v>
      </c>
      <c r="AM468" s="129" t="n">
        <v>0</v>
      </c>
      <c r="AN468" s="128"/>
      <c r="AO468" s="128"/>
      <c r="AP468" s="126" t="s">
        <v>138</v>
      </c>
      <c r="AQ468" s="126" t="s">
        <v>139</v>
      </c>
      <c r="AR468" s="126" t="s">
        <v>140</v>
      </c>
      <c r="AS468" s="128"/>
      <c r="AT468" s="130"/>
    </row>
    <row r="469" customFormat="false" ht="12.75" hidden="false" customHeight="true" outlineLevel="0" collapsed="false">
      <c r="B469" s="122" t="n">
        <f aca="false">B468+1</f>
        <v>466</v>
      </c>
      <c r="C469" s="123" t="s">
        <v>168</v>
      </c>
      <c r="D469" s="140" t="n">
        <v>61073</v>
      </c>
      <c r="E469" s="124" t="str">
        <f aca="false">IF(D469="","",IFERROR(VLOOKUP(D469,CCN_Library!$A$4:$B$13,2,FALSE()),"NOT IN LIBRARY"))</f>
        <v>COMPANY/BATTERY HEADQUARTERS, MARINE CORPS</v>
      </c>
      <c r="F469" s="125" t="str">
        <f aca="false">LEFT(H469,6)</f>
        <v>M28263</v>
      </c>
      <c r="G469" s="126" t="s">
        <v>128</v>
      </c>
      <c r="H469" s="126" t="s">
        <v>800</v>
      </c>
      <c r="I469" s="126" t="s">
        <v>159</v>
      </c>
      <c r="J469" s="126" t="s">
        <v>176</v>
      </c>
      <c r="K469" s="127" t="s">
        <v>161</v>
      </c>
      <c r="L469" s="126" t="s">
        <v>161</v>
      </c>
      <c r="M469" s="126" t="s">
        <v>133</v>
      </c>
      <c r="N469" s="126" t="s">
        <v>128</v>
      </c>
      <c r="O469" s="126" t="s">
        <v>135</v>
      </c>
      <c r="P469" s="126" t="s">
        <v>135</v>
      </c>
      <c r="Q469" s="128"/>
      <c r="R469" s="126" t="s">
        <v>136</v>
      </c>
      <c r="S469" s="126" t="s">
        <v>58</v>
      </c>
      <c r="T469" s="128"/>
      <c r="U469" s="129" t="n">
        <v>0</v>
      </c>
      <c r="V469" s="129" t="n">
        <v>0</v>
      </c>
      <c r="W469" s="129" t="n">
        <v>0</v>
      </c>
      <c r="X469" s="129" t="n">
        <v>0</v>
      </c>
      <c r="Y469" s="129" t="n">
        <v>0</v>
      </c>
      <c r="Z469" s="129" t="n">
        <v>0</v>
      </c>
      <c r="AA469" s="129" t="n">
        <v>1</v>
      </c>
      <c r="AB469" s="129" t="n">
        <v>0</v>
      </c>
      <c r="AC469" s="129" t="n">
        <v>0</v>
      </c>
      <c r="AD469" s="129" t="n">
        <v>0</v>
      </c>
      <c r="AE469" s="129" t="n">
        <v>0</v>
      </c>
      <c r="AF469" s="129" t="n">
        <v>0</v>
      </c>
      <c r="AG469" s="129" t="n">
        <v>0</v>
      </c>
      <c r="AH469" s="129" t="n">
        <v>0</v>
      </c>
      <c r="AI469" s="129" t="n">
        <v>0</v>
      </c>
      <c r="AJ469" s="129" t="n">
        <v>0</v>
      </c>
      <c r="AK469" s="129" t="n">
        <v>0</v>
      </c>
      <c r="AL469" s="129" t="n">
        <v>0</v>
      </c>
      <c r="AM469" s="129" t="n">
        <v>0</v>
      </c>
      <c r="AN469" s="128"/>
      <c r="AO469" s="128"/>
      <c r="AP469" s="126" t="s">
        <v>138</v>
      </c>
      <c r="AQ469" s="126" t="s">
        <v>139</v>
      </c>
      <c r="AR469" s="126" t="s">
        <v>140</v>
      </c>
      <c r="AS469" s="128"/>
      <c r="AT469" s="139"/>
    </row>
    <row r="470" customFormat="false" ht="12.75" hidden="false" customHeight="true" outlineLevel="0" collapsed="false">
      <c r="B470" s="122" t="n">
        <f aca="false">B469+1</f>
        <v>467</v>
      </c>
      <c r="C470" s="123" t="s">
        <v>168</v>
      </c>
      <c r="D470" s="140" t="n">
        <v>61073</v>
      </c>
      <c r="E470" s="124" t="str">
        <f aca="false">IF(D470="","",IFERROR(VLOOKUP(D470,CCN_Library!$A$4:$B$13,2,FALSE()),"NOT IN LIBRARY"))</f>
        <v>COMPANY/BATTERY HEADQUARTERS, MARINE CORPS</v>
      </c>
      <c r="F470" s="125" t="str">
        <f aca="false">LEFT(H470,6)</f>
        <v>M28263</v>
      </c>
      <c r="G470" s="126" t="s">
        <v>128</v>
      </c>
      <c r="H470" s="126" t="s">
        <v>801</v>
      </c>
      <c r="I470" s="126" t="s">
        <v>159</v>
      </c>
      <c r="J470" s="126" t="s">
        <v>176</v>
      </c>
      <c r="K470" s="127" t="s">
        <v>161</v>
      </c>
      <c r="L470" s="126" t="s">
        <v>161</v>
      </c>
      <c r="M470" s="126" t="s">
        <v>133</v>
      </c>
      <c r="N470" s="126" t="s">
        <v>128</v>
      </c>
      <c r="O470" s="126" t="s">
        <v>135</v>
      </c>
      <c r="P470" s="126" t="s">
        <v>135</v>
      </c>
      <c r="Q470" s="128"/>
      <c r="R470" s="126" t="s">
        <v>136</v>
      </c>
      <c r="S470" s="126" t="s">
        <v>58</v>
      </c>
      <c r="T470" s="128"/>
      <c r="U470" s="129" t="n">
        <v>0</v>
      </c>
      <c r="V470" s="129" t="n">
        <v>0</v>
      </c>
      <c r="W470" s="129" t="n">
        <v>0</v>
      </c>
      <c r="X470" s="129" t="n">
        <v>0</v>
      </c>
      <c r="Y470" s="129" t="n">
        <v>0</v>
      </c>
      <c r="Z470" s="129" t="n">
        <v>0</v>
      </c>
      <c r="AA470" s="129" t="n">
        <v>1</v>
      </c>
      <c r="AB470" s="129" t="n">
        <v>0</v>
      </c>
      <c r="AC470" s="129" t="n">
        <v>0</v>
      </c>
      <c r="AD470" s="129" t="n">
        <v>0</v>
      </c>
      <c r="AE470" s="129" t="n">
        <v>0</v>
      </c>
      <c r="AF470" s="129" t="n">
        <v>0</v>
      </c>
      <c r="AG470" s="129" t="n">
        <v>0</v>
      </c>
      <c r="AH470" s="129" t="n">
        <v>0</v>
      </c>
      <c r="AI470" s="129" t="n">
        <v>0</v>
      </c>
      <c r="AJ470" s="129" t="n">
        <v>0</v>
      </c>
      <c r="AK470" s="129" t="n">
        <v>0</v>
      </c>
      <c r="AL470" s="129" t="n">
        <v>0</v>
      </c>
      <c r="AM470" s="129" t="n">
        <v>0</v>
      </c>
      <c r="AN470" s="128"/>
      <c r="AO470" s="128"/>
      <c r="AP470" s="126" t="s">
        <v>138</v>
      </c>
      <c r="AQ470" s="126" t="s">
        <v>139</v>
      </c>
      <c r="AR470" s="126" t="s">
        <v>140</v>
      </c>
      <c r="AS470" s="128"/>
      <c r="AT470" s="130"/>
    </row>
    <row r="471" customFormat="false" ht="12.75" hidden="false" customHeight="true" outlineLevel="0" collapsed="false">
      <c r="B471" s="131" t="n">
        <f aca="false">B470+1</f>
        <v>468</v>
      </c>
      <c r="C471" s="132" t="s">
        <v>162</v>
      </c>
      <c r="D471" s="133" t="n">
        <v>61073</v>
      </c>
      <c r="E471" s="133"/>
      <c r="F471" s="134" t="str">
        <f aca="false">LEFT(H471,6)</f>
        <v>M28263</v>
      </c>
      <c r="G471" s="135" t="s">
        <v>177</v>
      </c>
      <c r="H471" s="135" t="s">
        <v>802</v>
      </c>
      <c r="I471" s="135" t="s">
        <v>803</v>
      </c>
      <c r="J471" s="136"/>
      <c r="K471" s="136"/>
      <c r="L471" s="136"/>
      <c r="M471" s="136"/>
      <c r="N471" s="136"/>
      <c r="O471" s="136"/>
      <c r="P471" s="136"/>
      <c r="Q471" s="136"/>
      <c r="R471" s="136"/>
      <c r="S471" s="136"/>
      <c r="T471" s="136"/>
      <c r="U471" s="137" t="n">
        <v>0</v>
      </c>
      <c r="V471" s="137" t="n">
        <v>0</v>
      </c>
      <c r="W471" s="137" t="n">
        <v>0</v>
      </c>
      <c r="X471" s="137" t="n">
        <v>0</v>
      </c>
      <c r="Y471" s="137" t="n">
        <v>0</v>
      </c>
      <c r="Z471" s="137" t="n">
        <v>0</v>
      </c>
      <c r="AA471" s="137" t="n">
        <v>0</v>
      </c>
      <c r="AB471" s="137" t="n">
        <v>0</v>
      </c>
      <c r="AC471" s="137" t="n">
        <v>0</v>
      </c>
      <c r="AD471" s="137" t="n">
        <v>0</v>
      </c>
      <c r="AE471" s="137" t="n">
        <v>0</v>
      </c>
      <c r="AF471" s="137" t="n">
        <v>0</v>
      </c>
      <c r="AG471" s="137" t="n">
        <v>0</v>
      </c>
      <c r="AH471" s="137" t="n">
        <v>0</v>
      </c>
      <c r="AI471" s="137" t="n">
        <v>0</v>
      </c>
      <c r="AJ471" s="137" t="n">
        <v>0</v>
      </c>
      <c r="AK471" s="137" t="n">
        <v>0</v>
      </c>
      <c r="AL471" s="137" t="n">
        <v>0</v>
      </c>
      <c r="AM471" s="137" t="n">
        <v>0</v>
      </c>
      <c r="AN471" s="136"/>
      <c r="AO471" s="136"/>
      <c r="AP471" s="136"/>
      <c r="AQ471" s="136"/>
      <c r="AR471" s="136"/>
      <c r="AS471" s="136"/>
      <c r="AT471" s="138"/>
    </row>
    <row r="472" customFormat="false" ht="12.75" hidden="false" customHeight="true" outlineLevel="0" collapsed="false">
      <c r="B472" s="122" t="n">
        <f aca="false">B471+1</f>
        <v>469</v>
      </c>
      <c r="C472" s="123" t="s">
        <v>162</v>
      </c>
      <c r="D472" s="140" t="n">
        <v>61073</v>
      </c>
      <c r="E472" s="124" t="str">
        <f aca="false">IF(D472="","",IFERROR(VLOOKUP(D472,CCN_Library!$A$4:$B$13,2,FALSE()),"NOT IN LIBRARY"))</f>
        <v>COMPANY/BATTERY HEADQUARTERS, MARINE CORPS</v>
      </c>
      <c r="F472" s="125" t="str">
        <f aca="false">LEFT(H472,6)</f>
        <v>M28263</v>
      </c>
      <c r="G472" s="126" t="s">
        <v>128</v>
      </c>
      <c r="H472" s="126" t="s">
        <v>804</v>
      </c>
      <c r="I472" s="126" t="s">
        <v>500</v>
      </c>
      <c r="J472" s="126" t="s">
        <v>182</v>
      </c>
      <c r="K472" s="127" t="s">
        <v>223</v>
      </c>
      <c r="L472" s="126" t="s">
        <v>223</v>
      </c>
      <c r="M472" s="126" t="s">
        <v>133</v>
      </c>
      <c r="N472" s="126" t="s">
        <v>134</v>
      </c>
      <c r="O472" s="126" t="s">
        <v>135</v>
      </c>
      <c r="P472" s="126" t="s">
        <v>135</v>
      </c>
      <c r="Q472" s="128"/>
      <c r="R472" s="126" t="s">
        <v>136</v>
      </c>
      <c r="S472" s="126" t="s">
        <v>137</v>
      </c>
      <c r="T472" s="128"/>
      <c r="U472" s="129" t="n">
        <v>0</v>
      </c>
      <c r="V472" s="129" t="n">
        <v>0</v>
      </c>
      <c r="W472" s="129" t="n">
        <v>0</v>
      </c>
      <c r="X472" s="129" t="n">
        <v>0</v>
      </c>
      <c r="Y472" s="129" t="n">
        <v>0</v>
      </c>
      <c r="Z472" s="129" t="n">
        <v>1</v>
      </c>
      <c r="AA472" s="129" t="n">
        <v>0</v>
      </c>
      <c r="AB472" s="129" t="n">
        <v>0</v>
      </c>
      <c r="AC472" s="129" t="n">
        <v>0</v>
      </c>
      <c r="AD472" s="129" t="n">
        <v>0</v>
      </c>
      <c r="AE472" s="129" t="n">
        <v>0</v>
      </c>
      <c r="AF472" s="129" t="n">
        <v>0</v>
      </c>
      <c r="AG472" s="129" t="n">
        <v>0</v>
      </c>
      <c r="AH472" s="129" t="n">
        <v>0</v>
      </c>
      <c r="AI472" s="129" t="n">
        <v>0</v>
      </c>
      <c r="AJ472" s="129" t="n">
        <v>0</v>
      </c>
      <c r="AK472" s="129" t="n">
        <v>0</v>
      </c>
      <c r="AL472" s="129" t="n">
        <v>0</v>
      </c>
      <c r="AM472" s="129" t="n">
        <v>0</v>
      </c>
      <c r="AN472" s="128"/>
      <c r="AO472" s="128"/>
      <c r="AP472" s="126" t="s">
        <v>138</v>
      </c>
      <c r="AQ472" s="126" t="s">
        <v>139</v>
      </c>
      <c r="AR472" s="126" t="s">
        <v>140</v>
      </c>
      <c r="AS472" s="128"/>
      <c r="AT472" s="130"/>
    </row>
    <row r="473" customFormat="false" ht="12.75" hidden="false" customHeight="true" outlineLevel="0" collapsed="false">
      <c r="B473" s="122" t="n">
        <f aca="false">B472+1</f>
        <v>470</v>
      </c>
      <c r="C473" s="123" t="s">
        <v>162</v>
      </c>
      <c r="D473" s="140" t="n">
        <v>61073</v>
      </c>
      <c r="E473" s="124" t="str">
        <f aca="false">IF(D473="","",IFERROR(VLOOKUP(D473,CCN_Library!$A$4:$B$13,2,FALSE()),"NOT IN LIBRARY"))</f>
        <v>COMPANY/BATTERY HEADQUARTERS, MARINE CORPS</v>
      </c>
      <c r="F473" s="125" t="str">
        <f aca="false">LEFT(H473,6)</f>
        <v>M28263</v>
      </c>
      <c r="G473" s="126" t="s">
        <v>128</v>
      </c>
      <c r="H473" s="126" t="s">
        <v>805</v>
      </c>
      <c r="I473" s="126" t="s">
        <v>159</v>
      </c>
      <c r="J473" s="126" t="s">
        <v>189</v>
      </c>
      <c r="K473" s="127" t="s">
        <v>161</v>
      </c>
      <c r="L473" s="126" t="s">
        <v>161</v>
      </c>
      <c r="M473" s="126" t="s">
        <v>133</v>
      </c>
      <c r="N473" s="126" t="s">
        <v>128</v>
      </c>
      <c r="O473" s="126" t="s">
        <v>135</v>
      </c>
      <c r="P473" s="126" t="s">
        <v>135</v>
      </c>
      <c r="Q473" s="128"/>
      <c r="R473" s="126" t="s">
        <v>136</v>
      </c>
      <c r="S473" s="126" t="s">
        <v>137</v>
      </c>
      <c r="T473" s="128"/>
      <c r="U473" s="129" t="n">
        <v>0</v>
      </c>
      <c r="V473" s="129" t="n">
        <v>0</v>
      </c>
      <c r="W473" s="129" t="n">
        <v>0</v>
      </c>
      <c r="X473" s="129" t="n">
        <v>0</v>
      </c>
      <c r="Y473" s="129" t="n">
        <v>0</v>
      </c>
      <c r="Z473" s="129" t="n">
        <v>0</v>
      </c>
      <c r="AA473" s="129" t="n">
        <v>1</v>
      </c>
      <c r="AB473" s="129" t="n">
        <v>0</v>
      </c>
      <c r="AC473" s="129" t="n">
        <v>0</v>
      </c>
      <c r="AD473" s="129" t="n">
        <v>0</v>
      </c>
      <c r="AE473" s="129" t="n">
        <v>0</v>
      </c>
      <c r="AF473" s="129" t="n">
        <v>0</v>
      </c>
      <c r="AG473" s="129" t="n">
        <v>0</v>
      </c>
      <c r="AH473" s="129" t="n">
        <v>0</v>
      </c>
      <c r="AI473" s="129" t="n">
        <v>0</v>
      </c>
      <c r="AJ473" s="129" t="n">
        <v>0</v>
      </c>
      <c r="AK473" s="129" t="n">
        <v>0</v>
      </c>
      <c r="AL473" s="129" t="n">
        <v>0</v>
      </c>
      <c r="AM473" s="129" t="n">
        <v>0</v>
      </c>
      <c r="AN473" s="128"/>
      <c r="AO473" s="128"/>
      <c r="AP473" s="126" t="s">
        <v>138</v>
      </c>
      <c r="AQ473" s="126" t="s">
        <v>139</v>
      </c>
      <c r="AR473" s="126" t="s">
        <v>140</v>
      </c>
      <c r="AS473" s="128"/>
      <c r="AT473" s="130"/>
    </row>
    <row r="474" customFormat="false" ht="12.75" hidden="false" customHeight="true" outlineLevel="0" collapsed="false">
      <c r="B474" s="122" t="n">
        <f aca="false">B473+1</f>
        <v>471</v>
      </c>
      <c r="C474" s="123" t="s">
        <v>168</v>
      </c>
      <c r="D474" s="140" t="n">
        <v>61073</v>
      </c>
      <c r="E474" s="124" t="str">
        <f aca="false">IF(D474="","",IFERROR(VLOOKUP(D474,CCN_Library!$A$4:$B$13,2,FALSE()),"NOT IN LIBRARY"))</f>
        <v>COMPANY/BATTERY HEADQUARTERS, MARINE CORPS</v>
      </c>
      <c r="F474" s="125" t="str">
        <f aca="false">LEFT(H474,6)</f>
        <v>M28263</v>
      </c>
      <c r="G474" s="126" t="s">
        <v>128</v>
      </c>
      <c r="H474" s="126" t="s">
        <v>806</v>
      </c>
      <c r="I474" s="126" t="s">
        <v>159</v>
      </c>
      <c r="J474" s="126" t="s">
        <v>191</v>
      </c>
      <c r="K474" s="127" t="s">
        <v>161</v>
      </c>
      <c r="L474" s="126" t="s">
        <v>161</v>
      </c>
      <c r="M474" s="126" t="s">
        <v>133</v>
      </c>
      <c r="N474" s="126" t="s">
        <v>128</v>
      </c>
      <c r="O474" s="126" t="s">
        <v>135</v>
      </c>
      <c r="P474" s="126" t="s">
        <v>135</v>
      </c>
      <c r="Q474" s="128"/>
      <c r="R474" s="126" t="s">
        <v>136</v>
      </c>
      <c r="S474" s="126" t="s">
        <v>58</v>
      </c>
      <c r="T474" s="128"/>
      <c r="U474" s="129" t="n">
        <v>0</v>
      </c>
      <c r="V474" s="129" t="n">
        <v>0</v>
      </c>
      <c r="W474" s="129" t="n">
        <v>0</v>
      </c>
      <c r="X474" s="129" t="n">
        <v>0</v>
      </c>
      <c r="Y474" s="129" t="n">
        <v>0</v>
      </c>
      <c r="Z474" s="129" t="n">
        <v>0</v>
      </c>
      <c r="AA474" s="129" t="n">
        <v>1</v>
      </c>
      <c r="AB474" s="129" t="n">
        <v>0</v>
      </c>
      <c r="AC474" s="129" t="n">
        <v>0</v>
      </c>
      <c r="AD474" s="129" t="n">
        <v>0</v>
      </c>
      <c r="AE474" s="129" t="n">
        <v>0</v>
      </c>
      <c r="AF474" s="129" t="n">
        <v>0</v>
      </c>
      <c r="AG474" s="129" t="n">
        <v>0</v>
      </c>
      <c r="AH474" s="129" t="n">
        <v>0</v>
      </c>
      <c r="AI474" s="129" t="n">
        <v>0</v>
      </c>
      <c r="AJ474" s="129" t="n">
        <v>0</v>
      </c>
      <c r="AK474" s="129" t="n">
        <v>0</v>
      </c>
      <c r="AL474" s="129" t="n">
        <v>0</v>
      </c>
      <c r="AM474" s="129" t="n">
        <v>0</v>
      </c>
      <c r="AN474" s="128"/>
      <c r="AO474" s="128"/>
      <c r="AP474" s="126" t="s">
        <v>138</v>
      </c>
      <c r="AQ474" s="126" t="s">
        <v>139</v>
      </c>
      <c r="AR474" s="126" t="s">
        <v>140</v>
      </c>
      <c r="AS474" s="128"/>
      <c r="AT474" s="139"/>
    </row>
    <row r="475" customFormat="false" ht="12.75" hidden="false" customHeight="true" outlineLevel="0" collapsed="false">
      <c r="B475" s="122" t="n">
        <f aca="false">B474+1</f>
        <v>472</v>
      </c>
      <c r="C475" s="123" t="s">
        <v>168</v>
      </c>
      <c r="D475" s="140" t="n">
        <v>61073</v>
      </c>
      <c r="E475" s="124" t="str">
        <f aca="false">IF(D475="","",IFERROR(VLOOKUP(D475,CCN_Library!$A$4:$B$13,2,FALSE()),"NOT IN LIBRARY"))</f>
        <v>COMPANY/BATTERY HEADQUARTERS, MARINE CORPS</v>
      </c>
      <c r="F475" s="125" t="str">
        <f aca="false">LEFT(H475,6)</f>
        <v>M28263</v>
      </c>
      <c r="G475" s="126" t="s">
        <v>128</v>
      </c>
      <c r="H475" s="126" t="s">
        <v>807</v>
      </c>
      <c r="I475" s="126" t="s">
        <v>159</v>
      </c>
      <c r="J475" s="126" t="s">
        <v>191</v>
      </c>
      <c r="K475" s="127" t="s">
        <v>161</v>
      </c>
      <c r="L475" s="126" t="s">
        <v>161</v>
      </c>
      <c r="M475" s="126" t="s">
        <v>133</v>
      </c>
      <c r="N475" s="126" t="s">
        <v>128</v>
      </c>
      <c r="O475" s="126" t="s">
        <v>135</v>
      </c>
      <c r="P475" s="126" t="s">
        <v>135</v>
      </c>
      <c r="Q475" s="128"/>
      <c r="R475" s="126" t="s">
        <v>136</v>
      </c>
      <c r="S475" s="126" t="s">
        <v>58</v>
      </c>
      <c r="T475" s="128"/>
      <c r="U475" s="129" t="n">
        <v>0</v>
      </c>
      <c r="V475" s="129" t="n">
        <v>0</v>
      </c>
      <c r="W475" s="129" t="n">
        <v>0</v>
      </c>
      <c r="X475" s="129" t="n">
        <v>0</v>
      </c>
      <c r="Y475" s="129" t="n">
        <v>0</v>
      </c>
      <c r="Z475" s="129" t="n">
        <v>0</v>
      </c>
      <c r="AA475" s="129" t="n">
        <v>1</v>
      </c>
      <c r="AB475" s="129" t="n">
        <v>0</v>
      </c>
      <c r="AC475" s="129" t="n">
        <v>0</v>
      </c>
      <c r="AD475" s="129" t="n">
        <v>0</v>
      </c>
      <c r="AE475" s="129" t="n">
        <v>0</v>
      </c>
      <c r="AF475" s="129" t="n">
        <v>0</v>
      </c>
      <c r="AG475" s="129" t="n">
        <v>0</v>
      </c>
      <c r="AH475" s="129" t="n">
        <v>0</v>
      </c>
      <c r="AI475" s="129" t="n">
        <v>0</v>
      </c>
      <c r="AJ475" s="129" t="n">
        <v>0</v>
      </c>
      <c r="AK475" s="129" t="n">
        <v>0</v>
      </c>
      <c r="AL475" s="129" t="n">
        <v>0</v>
      </c>
      <c r="AM475" s="129" t="n">
        <v>0</v>
      </c>
      <c r="AN475" s="128"/>
      <c r="AO475" s="128"/>
      <c r="AP475" s="126" t="s">
        <v>138</v>
      </c>
      <c r="AQ475" s="126" t="s">
        <v>139</v>
      </c>
      <c r="AR475" s="126" t="s">
        <v>140</v>
      </c>
      <c r="AS475" s="128"/>
      <c r="AT475" s="139"/>
    </row>
    <row r="476" customFormat="false" ht="12.75" hidden="false" customHeight="true" outlineLevel="0" collapsed="false">
      <c r="B476" s="122" t="n">
        <f aca="false">B475+1</f>
        <v>473</v>
      </c>
      <c r="C476" s="123" t="s">
        <v>168</v>
      </c>
      <c r="D476" s="140" t="n">
        <v>61073</v>
      </c>
      <c r="E476" s="124" t="str">
        <f aca="false">IF(D476="","",IFERROR(VLOOKUP(D476,CCN_Library!$A$4:$B$13,2,FALSE()),"NOT IN LIBRARY"))</f>
        <v>COMPANY/BATTERY HEADQUARTERS, MARINE CORPS</v>
      </c>
      <c r="F476" s="125" t="str">
        <f aca="false">LEFT(H476,6)</f>
        <v>M28263</v>
      </c>
      <c r="G476" s="126" t="s">
        <v>128</v>
      </c>
      <c r="H476" s="126" t="s">
        <v>808</v>
      </c>
      <c r="I476" s="126" t="s">
        <v>159</v>
      </c>
      <c r="J476" s="126" t="s">
        <v>191</v>
      </c>
      <c r="K476" s="127" t="s">
        <v>161</v>
      </c>
      <c r="L476" s="126" t="s">
        <v>161</v>
      </c>
      <c r="M476" s="126" t="s">
        <v>133</v>
      </c>
      <c r="N476" s="126" t="s">
        <v>128</v>
      </c>
      <c r="O476" s="126" t="s">
        <v>135</v>
      </c>
      <c r="P476" s="126" t="s">
        <v>135</v>
      </c>
      <c r="Q476" s="128"/>
      <c r="R476" s="126" t="s">
        <v>136</v>
      </c>
      <c r="S476" s="126" t="s">
        <v>58</v>
      </c>
      <c r="T476" s="128"/>
      <c r="U476" s="129" t="n">
        <v>0</v>
      </c>
      <c r="V476" s="129" t="n">
        <v>0</v>
      </c>
      <c r="W476" s="129" t="n">
        <v>0</v>
      </c>
      <c r="X476" s="129" t="n">
        <v>0</v>
      </c>
      <c r="Y476" s="129" t="n">
        <v>0</v>
      </c>
      <c r="Z476" s="129" t="n">
        <v>0</v>
      </c>
      <c r="AA476" s="129" t="n">
        <v>1</v>
      </c>
      <c r="AB476" s="129" t="n">
        <v>0</v>
      </c>
      <c r="AC476" s="129" t="n">
        <v>0</v>
      </c>
      <c r="AD476" s="129" t="n">
        <v>0</v>
      </c>
      <c r="AE476" s="129" t="n">
        <v>0</v>
      </c>
      <c r="AF476" s="129" t="n">
        <v>0</v>
      </c>
      <c r="AG476" s="129" t="n">
        <v>0</v>
      </c>
      <c r="AH476" s="129" t="n">
        <v>0</v>
      </c>
      <c r="AI476" s="129" t="n">
        <v>0</v>
      </c>
      <c r="AJ476" s="129" t="n">
        <v>0</v>
      </c>
      <c r="AK476" s="129" t="n">
        <v>0</v>
      </c>
      <c r="AL476" s="129" t="n">
        <v>0</v>
      </c>
      <c r="AM476" s="129" t="n">
        <v>0</v>
      </c>
      <c r="AN476" s="128"/>
      <c r="AO476" s="128"/>
      <c r="AP476" s="126" t="s">
        <v>138</v>
      </c>
      <c r="AQ476" s="126" t="s">
        <v>139</v>
      </c>
      <c r="AR476" s="126" t="s">
        <v>140</v>
      </c>
      <c r="AS476" s="128"/>
      <c r="AT476" s="130"/>
    </row>
    <row r="477" customFormat="false" ht="12.75" hidden="false" customHeight="true" outlineLevel="0" collapsed="false">
      <c r="B477" s="122" t="n">
        <f aca="false">B476+1</f>
        <v>474</v>
      </c>
      <c r="C477" s="123" t="s">
        <v>168</v>
      </c>
      <c r="D477" s="140" t="n">
        <v>61073</v>
      </c>
      <c r="E477" s="124" t="str">
        <f aca="false">IF(D477="","",IFERROR(VLOOKUP(D477,CCN_Library!$A$4:$B$13,2,FALSE()),"NOT IN LIBRARY"))</f>
        <v>COMPANY/BATTERY HEADQUARTERS, MARINE CORPS</v>
      </c>
      <c r="F477" s="125" t="str">
        <f aca="false">LEFT(H477,6)</f>
        <v>M28263</v>
      </c>
      <c r="G477" s="126" t="s">
        <v>128</v>
      </c>
      <c r="H477" s="126" t="s">
        <v>809</v>
      </c>
      <c r="I477" s="126" t="s">
        <v>159</v>
      </c>
      <c r="J477" s="126" t="s">
        <v>176</v>
      </c>
      <c r="K477" s="127" t="s">
        <v>161</v>
      </c>
      <c r="L477" s="126" t="s">
        <v>161</v>
      </c>
      <c r="M477" s="126" t="s">
        <v>133</v>
      </c>
      <c r="N477" s="126" t="s">
        <v>128</v>
      </c>
      <c r="O477" s="126" t="s">
        <v>135</v>
      </c>
      <c r="P477" s="126" t="s">
        <v>135</v>
      </c>
      <c r="Q477" s="128"/>
      <c r="R477" s="126" t="s">
        <v>136</v>
      </c>
      <c r="S477" s="126" t="s">
        <v>58</v>
      </c>
      <c r="T477" s="128"/>
      <c r="U477" s="129" t="n">
        <v>0</v>
      </c>
      <c r="V477" s="129" t="n">
        <v>0</v>
      </c>
      <c r="W477" s="129" t="n">
        <v>0</v>
      </c>
      <c r="X477" s="129" t="n">
        <v>0</v>
      </c>
      <c r="Y477" s="129" t="n">
        <v>0</v>
      </c>
      <c r="Z477" s="129" t="n">
        <v>0</v>
      </c>
      <c r="AA477" s="129" t="n">
        <v>1</v>
      </c>
      <c r="AB477" s="129" t="n">
        <v>0</v>
      </c>
      <c r="AC477" s="129" t="n">
        <v>0</v>
      </c>
      <c r="AD477" s="129" t="n">
        <v>0</v>
      </c>
      <c r="AE477" s="129" t="n">
        <v>0</v>
      </c>
      <c r="AF477" s="129" t="n">
        <v>0</v>
      </c>
      <c r="AG477" s="129" t="n">
        <v>0</v>
      </c>
      <c r="AH477" s="129" t="n">
        <v>0</v>
      </c>
      <c r="AI477" s="129" t="n">
        <v>0</v>
      </c>
      <c r="AJ477" s="129" t="n">
        <v>0</v>
      </c>
      <c r="AK477" s="129" t="n">
        <v>0</v>
      </c>
      <c r="AL477" s="129" t="n">
        <v>0</v>
      </c>
      <c r="AM477" s="129" t="n">
        <v>0</v>
      </c>
      <c r="AN477" s="128"/>
      <c r="AO477" s="128"/>
      <c r="AP477" s="126" t="s">
        <v>138</v>
      </c>
      <c r="AQ477" s="126" t="s">
        <v>139</v>
      </c>
      <c r="AR477" s="126" t="s">
        <v>140</v>
      </c>
      <c r="AS477" s="128"/>
      <c r="AT477" s="130"/>
    </row>
    <row r="478" customFormat="false" ht="12.75" hidden="false" customHeight="true" outlineLevel="0" collapsed="false">
      <c r="B478" s="122" t="n">
        <f aca="false">B477+1</f>
        <v>475</v>
      </c>
      <c r="C478" s="123" t="s">
        <v>168</v>
      </c>
      <c r="D478" s="140" t="n">
        <v>61073</v>
      </c>
      <c r="E478" s="124" t="str">
        <f aca="false">IF(D478="","",IFERROR(VLOOKUP(D478,CCN_Library!$A$4:$B$13,2,FALSE()),"NOT IN LIBRARY"))</f>
        <v>COMPANY/BATTERY HEADQUARTERS, MARINE CORPS</v>
      </c>
      <c r="F478" s="125" t="str">
        <f aca="false">LEFT(H478,6)</f>
        <v>M28263</v>
      </c>
      <c r="G478" s="126" t="s">
        <v>128</v>
      </c>
      <c r="H478" s="126" t="s">
        <v>810</v>
      </c>
      <c r="I478" s="126" t="s">
        <v>159</v>
      </c>
      <c r="J478" s="126" t="s">
        <v>176</v>
      </c>
      <c r="K478" s="127" t="s">
        <v>161</v>
      </c>
      <c r="L478" s="126" t="s">
        <v>161</v>
      </c>
      <c r="M478" s="126" t="s">
        <v>133</v>
      </c>
      <c r="N478" s="126" t="s">
        <v>128</v>
      </c>
      <c r="O478" s="126" t="s">
        <v>135</v>
      </c>
      <c r="P478" s="126" t="s">
        <v>135</v>
      </c>
      <c r="Q478" s="128"/>
      <c r="R478" s="126" t="s">
        <v>136</v>
      </c>
      <c r="S478" s="126" t="s">
        <v>58</v>
      </c>
      <c r="T478" s="128"/>
      <c r="U478" s="129" t="n">
        <v>0</v>
      </c>
      <c r="V478" s="129" t="n">
        <v>0</v>
      </c>
      <c r="W478" s="129" t="n">
        <v>0</v>
      </c>
      <c r="X478" s="129" t="n">
        <v>0</v>
      </c>
      <c r="Y478" s="129" t="n">
        <v>0</v>
      </c>
      <c r="Z478" s="129" t="n">
        <v>0</v>
      </c>
      <c r="AA478" s="129" t="n">
        <v>1</v>
      </c>
      <c r="AB478" s="129" t="n">
        <v>0</v>
      </c>
      <c r="AC478" s="129" t="n">
        <v>0</v>
      </c>
      <c r="AD478" s="129" t="n">
        <v>0</v>
      </c>
      <c r="AE478" s="129" t="n">
        <v>0</v>
      </c>
      <c r="AF478" s="129" t="n">
        <v>0</v>
      </c>
      <c r="AG478" s="129" t="n">
        <v>0</v>
      </c>
      <c r="AH478" s="129" t="n">
        <v>0</v>
      </c>
      <c r="AI478" s="129" t="n">
        <v>0</v>
      </c>
      <c r="AJ478" s="129" t="n">
        <v>0</v>
      </c>
      <c r="AK478" s="129" t="n">
        <v>0</v>
      </c>
      <c r="AL478" s="129" t="n">
        <v>0</v>
      </c>
      <c r="AM478" s="129" t="n">
        <v>0</v>
      </c>
      <c r="AN478" s="128"/>
      <c r="AO478" s="128"/>
      <c r="AP478" s="126" t="s">
        <v>138</v>
      </c>
      <c r="AQ478" s="126" t="s">
        <v>139</v>
      </c>
      <c r="AR478" s="126" t="s">
        <v>140</v>
      </c>
      <c r="AS478" s="128"/>
      <c r="AT478" s="130"/>
    </row>
    <row r="479" customFormat="false" ht="12.75" hidden="false" customHeight="true" outlineLevel="0" collapsed="false">
      <c r="B479" s="122" t="n">
        <f aca="false">B478+1</f>
        <v>476</v>
      </c>
      <c r="C479" s="123" t="s">
        <v>168</v>
      </c>
      <c r="D479" s="140" t="n">
        <v>61073</v>
      </c>
      <c r="E479" s="124" t="str">
        <f aca="false">IF(D479="","",IFERROR(VLOOKUP(D479,CCN_Library!$A$4:$B$13,2,FALSE()),"NOT IN LIBRARY"))</f>
        <v>COMPANY/BATTERY HEADQUARTERS, MARINE CORPS</v>
      </c>
      <c r="F479" s="125" t="str">
        <f aca="false">LEFT(H479,6)</f>
        <v>M28263</v>
      </c>
      <c r="G479" s="126" t="s">
        <v>128</v>
      </c>
      <c r="H479" s="126" t="s">
        <v>811</v>
      </c>
      <c r="I479" s="126" t="s">
        <v>159</v>
      </c>
      <c r="J479" s="126" t="s">
        <v>176</v>
      </c>
      <c r="K479" s="127" t="s">
        <v>161</v>
      </c>
      <c r="L479" s="126" t="s">
        <v>161</v>
      </c>
      <c r="M479" s="126" t="s">
        <v>133</v>
      </c>
      <c r="N479" s="126" t="s">
        <v>128</v>
      </c>
      <c r="O479" s="126" t="s">
        <v>135</v>
      </c>
      <c r="P479" s="126" t="s">
        <v>135</v>
      </c>
      <c r="Q479" s="128"/>
      <c r="R479" s="126" t="s">
        <v>136</v>
      </c>
      <c r="S479" s="126" t="s">
        <v>58</v>
      </c>
      <c r="T479" s="128"/>
      <c r="U479" s="129" t="n">
        <v>0</v>
      </c>
      <c r="V479" s="129" t="n">
        <v>0</v>
      </c>
      <c r="W479" s="129" t="n">
        <v>0</v>
      </c>
      <c r="X479" s="129" t="n">
        <v>0</v>
      </c>
      <c r="Y479" s="129" t="n">
        <v>0</v>
      </c>
      <c r="Z479" s="129" t="n">
        <v>0</v>
      </c>
      <c r="AA479" s="129" t="n">
        <v>1</v>
      </c>
      <c r="AB479" s="129" t="n">
        <v>0</v>
      </c>
      <c r="AC479" s="129" t="n">
        <v>0</v>
      </c>
      <c r="AD479" s="129" t="n">
        <v>0</v>
      </c>
      <c r="AE479" s="129" t="n">
        <v>0</v>
      </c>
      <c r="AF479" s="129" t="n">
        <v>0</v>
      </c>
      <c r="AG479" s="129" t="n">
        <v>0</v>
      </c>
      <c r="AH479" s="129" t="n">
        <v>0</v>
      </c>
      <c r="AI479" s="129" t="n">
        <v>0</v>
      </c>
      <c r="AJ479" s="129" t="n">
        <v>0</v>
      </c>
      <c r="AK479" s="129" t="n">
        <v>0</v>
      </c>
      <c r="AL479" s="129" t="n">
        <v>0</v>
      </c>
      <c r="AM479" s="129" t="n">
        <v>0</v>
      </c>
      <c r="AN479" s="128"/>
      <c r="AO479" s="128"/>
      <c r="AP479" s="126" t="s">
        <v>138</v>
      </c>
      <c r="AQ479" s="126" t="s">
        <v>139</v>
      </c>
      <c r="AR479" s="126" t="s">
        <v>140</v>
      </c>
      <c r="AS479" s="128"/>
      <c r="AT479" s="130"/>
    </row>
    <row r="480" customFormat="false" ht="12.75" hidden="false" customHeight="true" outlineLevel="0" collapsed="false">
      <c r="B480" s="131" t="n">
        <f aca="false">B479+1</f>
        <v>477</v>
      </c>
      <c r="C480" s="132" t="s">
        <v>162</v>
      </c>
      <c r="D480" s="133" t="n">
        <v>61073</v>
      </c>
      <c r="E480" s="133"/>
      <c r="F480" s="134" t="str">
        <f aca="false">LEFT(H480,6)</f>
        <v>M28263</v>
      </c>
      <c r="G480" s="135" t="s">
        <v>177</v>
      </c>
      <c r="H480" s="135" t="s">
        <v>812</v>
      </c>
      <c r="I480" s="135" t="s">
        <v>813</v>
      </c>
      <c r="J480" s="136"/>
      <c r="K480" s="136"/>
      <c r="L480" s="136"/>
      <c r="M480" s="136"/>
      <c r="N480" s="136"/>
      <c r="O480" s="136"/>
      <c r="P480" s="136"/>
      <c r="Q480" s="136"/>
      <c r="R480" s="136"/>
      <c r="S480" s="136"/>
      <c r="T480" s="136"/>
      <c r="U480" s="137" t="n">
        <v>0</v>
      </c>
      <c r="V480" s="137" t="n">
        <v>0</v>
      </c>
      <c r="W480" s="137" t="n">
        <v>0</v>
      </c>
      <c r="X480" s="137" t="n">
        <v>0</v>
      </c>
      <c r="Y480" s="137" t="n">
        <v>0</v>
      </c>
      <c r="Z480" s="137" t="n">
        <v>0</v>
      </c>
      <c r="AA480" s="137" t="n">
        <v>0</v>
      </c>
      <c r="AB480" s="137" t="n">
        <v>0</v>
      </c>
      <c r="AC480" s="137" t="n">
        <v>0</v>
      </c>
      <c r="AD480" s="137" t="n">
        <v>0</v>
      </c>
      <c r="AE480" s="137" t="n">
        <v>0</v>
      </c>
      <c r="AF480" s="137" t="n">
        <v>0</v>
      </c>
      <c r="AG480" s="137" t="n">
        <v>0</v>
      </c>
      <c r="AH480" s="137" t="n">
        <v>0</v>
      </c>
      <c r="AI480" s="137" t="n">
        <v>0</v>
      </c>
      <c r="AJ480" s="137" t="n">
        <v>0</v>
      </c>
      <c r="AK480" s="137" t="n">
        <v>0</v>
      </c>
      <c r="AL480" s="137" t="n">
        <v>0</v>
      </c>
      <c r="AM480" s="137" t="n">
        <v>0</v>
      </c>
      <c r="AN480" s="136"/>
      <c r="AO480" s="136"/>
      <c r="AP480" s="136"/>
      <c r="AQ480" s="136"/>
      <c r="AR480" s="136"/>
      <c r="AS480" s="136"/>
      <c r="AT480" s="138"/>
    </row>
    <row r="481" customFormat="false" ht="12.75" hidden="false" customHeight="true" outlineLevel="0" collapsed="false">
      <c r="B481" s="122" t="n">
        <f aca="false">B480+1</f>
        <v>478</v>
      </c>
      <c r="C481" s="123" t="s">
        <v>162</v>
      </c>
      <c r="D481" s="140" t="n">
        <v>61073</v>
      </c>
      <c r="E481" s="124" t="str">
        <f aca="false">IF(D481="","",IFERROR(VLOOKUP(D481,CCN_Library!$A$4:$B$13,2,FALSE()),"NOT IN LIBRARY"))</f>
        <v>COMPANY/BATTERY HEADQUARTERS, MARINE CORPS</v>
      </c>
      <c r="F481" s="125" t="str">
        <f aca="false">LEFT(H481,6)</f>
        <v>M28263</v>
      </c>
      <c r="G481" s="126" t="s">
        <v>128</v>
      </c>
      <c r="H481" s="126" t="s">
        <v>814</v>
      </c>
      <c r="I481" s="126" t="s">
        <v>472</v>
      </c>
      <c r="J481" s="126" t="s">
        <v>182</v>
      </c>
      <c r="K481" s="127" t="s">
        <v>223</v>
      </c>
      <c r="L481" s="126" t="s">
        <v>223</v>
      </c>
      <c r="M481" s="126" t="s">
        <v>133</v>
      </c>
      <c r="N481" s="126" t="s">
        <v>134</v>
      </c>
      <c r="O481" s="126" t="s">
        <v>135</v>
      </c>
      <c r="P481" s="126" t="s">
        <v>135</v>
      </c>
      <c r="Q481" s="128"/>
      <c r="R481" s="126" t="s">
        <v>136</v>
      </c>
      <c r="S481" s="126" t="s">
        <v>137</v>
      </c>
      <c r="T481" s="128"/>
      <c r="U481" s="129" t="n">
        <v>0</v>
      </c>
      <c r="V481" s="129" t="n">
        <v>0</v>
      </c>
      <c r="W481" s="129" t="n">
        <v>0</v>
      </c>
      <c r="X481" s="129" t="n">
        <v>0</v>
      </c>
      <c r="Y481" s="129" t="n">
        <v>0</v>
      </c>
      <c r="Z481" s="129" t="n">
        <v>1</v>
      </c>
      <c r="AA481" s="129" t="n">
        <v>0</v>
      </c>
      <c r="AB481" s="129" t="n">
        <v>0</v>
      </c>
      <c r="AC481" s="129" t="n">
        <v>0</v>
      </c>
      <c r="AD481" s="129" t="n">
        <v>0</v>
      </c>
      <c r="AE481" s="129" t="n">
        <v>0</v>
      </c>
      <c r="AF481" s="129" t="n">
        <v>0</v>
      </c>
      <c r="AG481" s="129" t="n">
        <v>0</v>
      </c>
      <c r="AH481" s="129" t="n">
        <v>0</v>
      </c>
      <c r="AI481" s="129" t="n">
        <v>0</v>
      </c>
      <c r="AJ481" s="129" t="n">
        <v>0</v>
      </c>
      <c r="AK481" s="129" t="n">
        <v>0</v>
      </c>
      <c r="AL481" s="129" t="n">
        <v>0</v>
      </c>
      <c r="AM481" s="129" t="n">
        <v>0</v>
      </c>
      <c r="AN481" s="128"/>
      <c r="AO481" s="128"/>
      <c r="AP481" s="126" t="s">
        <v>138</v>
      </c>
      <c r="AQ481" s="126" t="s">
        <v>139</v>
      </c>
      <c r="AR481" s="126" t="s">
        <v>140</v>
      </c>
      <c r="AS481" s="128"/>
      <c r="AT481" s="139"/>
    </row>
    <row r="482" customFormat="false" ht="12.75" hidden="false" customHeight="true" outlineLevel="0" collapsed="false">
      <c r="B482" s="122" t="n">
        <f aca="false">B481+1</f>
        <v>479</v>
      </c>
      <c r="C482" s="123" t="s">
        <v>168</v>
      </c>
      <c r="D482" s="140" t="n">
        <v>61073</v>
      </c>
      <c r="E482" s="124" t="str">
        <f aca="false">IF(D482="","",IFERROR(VLOOKUP(D482,CCN_Library!$A$4:$B$13,2,FALSE()),"NOT IN LIBRARY"))</f>
        <v>COMPANY/BATTERY HEADQUARTERS, MARINE CORPS</v>
      </c>
      <c r="F482" s="125" t="str">
        <f aca="false">LEFT(H482,6)</f>
        <v>M28263</v>
      </c>
      <c r="G482" s="126" t="s">
        <v>128</v>
      </c>
      <c r="H482" s="126" t="s">
        <v>815</v>
      </c>
      <c r="I482" s="126" t="s">
        <v>696</v>
      </c>
      <c r="J482" s="126" t="s">
        <v>191</v>
      </c>
      <c r="K482" s="127" t="s">
        <v>697</v>
      </c>
      <c r="L482" s="126" t="s">
        <v>161</v>
      </c>
      <c r="M482" s="126" t="s">
        <v>133</v>
      </c>
      <c r="N482" s="126" t="s">
        <v>128</v>
      </c>
      <c r="O482" s="126" t="s">
        <v>135</v>
      </c>
      <c r="P482" s="126" t="s">
        <v>135</v>
      </c>
      <c r="Q482" s="128"/>
      <c r="R482" s="126" t="s">
        <v>136</v>
      </c>
      <c r="S482" s="126" t="s">
        <v>58</v>
      </c>
      <c r="T482" s="128"/>
      <c r="U482" s="129" t="n">
        <v>0</v>
      </c>
      <c r="V482" s="129" t="n">
        <v>0</v>
      </c>
      <c r="W482" s="129" t="n">
        <v>0</v>
      </c>
      <c r="X482" s="129" t="n">
        <v>0</v>
      </c>
      <c r="Y482" s="129" t="n">
        <v>0</v>
      </c>
      <c r="Z482" s="129" t="n">
        <v>0</v>
      </c>
      <c r="AA482" s="129" t="n">
        <v>1</v>
      </c>
      <c r="AB482" s="129" t="n">
        <v>0</v>
      </c>
      <c r="AC482" s="129" t="n">
        <v>0</v>
      </c>
      <c r="AD482" s="129" t="n">
        <v>0</v>
      </c>
      <c r="AE482" s="129" t="n">
        <v>0</v>
      </c>
      <c r="AF482" s="129" t="n">
        <v>0</v>
      </c>
      <c r="AG482" s="129" t="n">
        <v>0</v>
      </c>
      <c r="AH482" s="129" t="n">
        <v>0</v>
      </c>
      <c r="AI482" s="129" t="n">
        <v>0</v>
      </c>
      <c r="AJ482" s="129" t="n">
        <v>0</v>
      </c>
      <c r="AK482" s="129" t="n">
        <v>0</v>
      </c>
      <c r="AL482" s="129" t="n">
        <v>0</v>
      </c>
      <c r="AM482" s="129" t="n">
        <v>0</v>
      </c>
      <c r="AN482" s="128"/>
      <c r="AO482" s="128"/>
      <c r="AP482" s="126" t="s">
        <v>138</v>
      </c>
      <c r="AQ482" s="126" t="s">
        <v>139</v>
      </c>
      <c r="AR482" s="126" t="s">
        <v>140</v>
      </c>
      <c r="AS482" s="128"/>
      <c r="AT482" s="130"/>
    </row>
    <row r="483" customFormat="false" ht="12.75" hidden="false" customHeight="true" outlineLevel="0" collapsed="false">
      <c r="B483" s="131" t="n">
        <f aca="false">B482+1</f>
        <v>480</v>
      </c>
      <c r="C483" s="132" t="s">
        <v>162</v>
      </c>
      <c r="D483" s="133" t="n">
        <v>61073</v>
      </c>
      <c r="E483" s="133"/>
      <c r="F483" s="134" t="str">
        <f aca="false">LEFT(H483,6)</f>
        <v>M28263</v>
      </c>
      <c r="G483" s="135" t="s">
        <v>177</v>
      </c>
      <c r="H483" s="135" t="s">
        <v>816</v>
      </c>
      <c r="I483" s="135" t="s">
        <v>580</v>
      </c>
      <c r="J483" s="136"/>
      <c r="K483" s="136"/>
      <c r="L483" s="136"/>
      <c r="M483" s="136"/>
      <c r="N483" s="136"/>
      <c r="O483" s="136"/>
      <c r="P483" s="136"/>
      <c r="Q483" s="136"/>
      <c r="R483" s="136"/>
      <c r="S483" s="136"/>
      <c r="T483" s="136"/>
      <c r="U483" s="137" t="n">
        <v>0</v>
      </c>
      <c r="V483" s="137" t="n">
        <v>0</v>
      </c>
      <c r="W483" s="137" t="n">
        <v>0</v>
      </c>
      <c r="X483" s="137" t="n">
        <v>0</v>
      </c>
      <c r="Y483" s="137" t="n">
        <v>0</v>
      </c>
      <c r="Z483" s="137" t="n">
        <v>0</v>
      </c>
      <c r="AA483" s="137" t="n">
        <v>0</v>
      </c>
      <c r="AB483" s="137" t="n">
        <v>0</v>
      </c>
      <c r="AC483" s="137" t="n">
        <v>0</v>
      </c>
      <c r="AD483" s="137" t="n">
        <v>0</v>
      </c>
      <c r="AE483" s="137" t="n">
        <v>0</v>
      </c>
      <c r="AF483" s="137" t="n">
        <v>0</v>
      </c>
      <c r="AG483" s="137" t="n">
        <v>0</v>
      </c>
      <c r="AH483" s="137" t="n">
        <v>0</v>
      </c>
      <c r="AI483" s="137" t="n">
        <v>0</v>
      </c>
      <c r="AJ483" s="137" t="n">
        <v>0</v>
      </c>
      <c r="AK483" s="137" t="n">
        <v>0</v>
      </c>
      <c r="AL483" s="137" t="n">
        <v>0</v>
      </c>
      <c r="AM483" s="137" t="n">
        <v>0</v>
      </c>
      <c r="AN483" s="136"/>
      <c r="AO483" s="136"/>
      <c r="AP483" s="136"/>
      <c r="AQ483" s="136"/>
      <c r="AR483" s="136"/>
      <c r="AS483" s="136"/>
      <c r="AT483" s="138"/>
    </row>
    <row r="484" customFormat="false" ht="12.75" hidden="false" customHeight="true" outlineLevel="0" collapsed="false">
      <c r="B484" s="122" t="n">
        <f aca="false">B483+1</f>
        <v>481</v>
      </c>
      <c r="C484" s="123" t="s">
        <v>162</v>
      </c>
      <c r="D484" s="140" t="n">
        <v>61073</v>
      </c>
      <c r="E484" s="124" t="str">
        <f aca="false">IF(D484="","",IFERROR(VLOOKUP(D484,CCN_Library!$A$4:$B$13,2,FALSE()),"NOT IN LIBRARY"))</f>
        <v>COMPANY/BATTERY HEADQUARTERS, MARINE CORPS</v>
      </c>
      <c r="F484" s="125" t="str">
        <f aca="false">LEFT(H484,6)</f>
        <v>M28263</v>
      </c>
      <c r="G484" s="126" t="s">
        <v>128</v>
      </c>
      <c r="H484" s="126" t="s">
        <v>817</v>
      </c>
      <c r="I484" s="126" t="s">
        <v>515</v>
      </c>
      <c r="J484" s="126" t="s">
        <v>189</v>
      </c>
      <c r="K484" s="127" t="s">
        <v>516</v>
      </c>
      <c r="L484" s="126" t="s">
        <v>161</v>
      </c>
      <c r="M484" s="126" t="s">
        <v>133</v>
      </c>
      <c r="N484" s="126" t="s">
        <v>128</v>
      </c>
      <c r="O484" s="126" t="s">
        <v>135</v>
      </c>
      <c r="P484" s="126" t="s">
        <v>135</v>
      </c>
      <c r="Q484" s="128"/>
      <c r="R484" s="126" t="s">
        <v>136</v>
      </c>
      <c r="S484" s="126" t="s">
        <v>137</v>
      </c>
      <c r="T484" s="128"/>
      <c r="U484" s="129" t="n">
        <v>0</v>
      </c>
      <c r="V484" s="129" t="n">
        <v>0</v>
      </c>
      <c r="W484" s="129" t="n">
        <v>0</v>
      </c>
      <c r="X484" s="129" t="n">
        <v>0</v>
      </c>
      <c r="Y484" s="129" t="n">
        <v>0</v>
      </c>
      <c r="Z484" s="129" t="n">
        <v>0</v>
      </c>
      <c r="AA484" s="129" t="n">
        <v>1</v>
      </c>
      <c r="AB484" s="129" t="n">
        <v>0</v>
      </c>
      <c r="AC484" s="129" t="n">
        <v>0</v>
      </c>
      <c r="AD484" s="129" t="n">
        <v>0</v>
      </c>
      <c r="AE484" s="129" t="n">
        <v>0</v>
      </c>
      <c r="AF484" s="129" t="n">
        <v>0</v>
      </c>
      <c r="AG484" s="129" t="n">
        <v>0</v>
      </c>
      <c r="AH484" s="129" t="n">
        <v>0</v>
      </c>
      <c r="AI484" s="129" t="n">
        <v>0</v>
      </c>
      <c r="AJ484" s="129" t="n">
        <v>0</v>
      </c>
      <c r="AK484" s="129" t="n">
        <v>0</v>
      </c>
      <c r="AL484" s="129" t="n">
        <v>0</v>
      </c>
      <c r="AM484" s="129" t="n">
        <v>0</v>
      </c>
      <c r="AN484" s="128"/>
      <c r="AO484" s="128"/>
      <c r="AP484" s="126" t="s">
        <v>138</v>
      </c>
      <c r="AQ484" s="126" t="s">
        <v>139</v>
      </c>
      <c r="AR484" s="126" t="s">
        <v>140</v>
      </c>
      <c r="AS484" s="128"/>
      <c r="AT484" s="130"/>
    </row>
    <row r="485" customFormat="false" ht="12.75" hidden="false" customHeight="true" outlineLevel="0" collapsed="false">
      <c r="B485" s="122" t="n">
        <f aca="false">B484+1</f>
        <v>482</v>
      </c>
      <c r="C485" s="123" t="s">
        <v>168</v>
      </c>
      <c r="D485" s="140" t="n">
        <v>61073</v>
      </c>
      <c r="E485" s="124" t="str">
        <f aca="false">IF(D485="","",IFERROR(VLOOKUP(D485,CCN_Library!$A$4:$B$13,2,FALSE()),"NOT IN LIBRARY"))</f>
        <v>COMPANY/BATTERY HEADQUARTERS, MARINE CORPS</v>
      </c>
      <c r="F485" s="125" t="str">
        <f aca="false">LEFT(H485,6)</f>
        <v>M28263</v>
      </c>
      <c r="G485" s="126" t="s">
        <v>128</v>
      </c>
      <c r="H485" s="126" t="s">
        <v>818</v>
      </c>
      <c r="I485" s="126" t="s">
        <v>515</v>
      </c>
      <c r="J485" s="126" t="s">
        <v>191</v>
      </c>
      <c r="K485" s="127" t="s">
        <v>516</v>
      </c>
      <c r="L485" s="126" t="s">
        <v>161</v>
      </c>
      <c r="M485" s="126" t="s">
        <v>133</v>
      </c>
      <c r="N485" s="126" t="s">
        <v>128</v>
      </c>
      <c r="O485" s="126" t="s">
        <v>135</v>
      </c>
      <c r="P485" s="126" t="s">
        <v>135</v>
      </c>
      <c r="Q485" s="128"/>
      <c r="R485" s="126" t="s">
        <v>136</v>
      </c>
      <c r="S485" s="126" t="s">
        <v>58</v>
      </c>
      <c r="T485" s="128"/>
      <c r="U485" s="129" t="n">
        <v>0</v>
      </c>
      <c r="V485" s="129" t="n">
        <v>0</v>
      </c>
      <c r="W485" s="129" t="n">
        <v>0</v>
      </c>
      <c r="X485" s="129" t="n">
        <v>0</v>
      </c>
      <c r="Y485" s="129" t="n">
        <v>0</v>
      </c>
      <c r="Z485" s="129" t="n">
        <v>0</v>
      </c>
      <c r="AA485" s="129" t="n">
        <v>1</v>
      </c>
      <c r="AB485" s="129" t="n">
        <v>0</v>
      </c>
      <c r="AC485" s="129" t="n">
        <v>0</v>
      </c>
      <c r="AD485" s="129" t="n">
        <v>0</v>
      </c>
      <c r="AE485" s="129" t="n">
        <v>0</v>
      </c>
      <c r="AF485" s="129" t="n">
        <v>0</v>
      </c>
      <c r="AG485" s="129" t="n">
        <v>0</v>
      </c>
      <c r="AH485" s="129" t="n">
        <v>0</v>
      </c>
      <c r="AI485" s="129" t="n">
        <v>0</v>
      </c>
      <c r="AJ485" s="129" t="n">
        <v>0</v>
      </c>
      <c r="AK485" s="129" t="n">
        <v>0</v>
      </c>
      <c r="AL485" s="129" t="n">
        <v>0</v>
      </c>
      <c r="AM485" s="129" t="n">
        <v>0</v>
      </c>
      <c r="AN485" s="128"/>
      <c r="AO485" s="128"/>
      <c r="AP485" s="126" t="s">
        <v>138</v>
      </c>
      <c r="AQ485" s="126" t="s">
        <v>139</v>
      </c>
      <c r="AR485" s="126" t="s">
        <v>140</v>
      </c>
      <c r="AS485" s="128"/>
      <c r="AT485" s="130"/>
    </row>
    <row r="486" customFormat="false" ht="12.75" hidden="false" customHeight="true" outlineLevel="0" collapsed="false">
      <c r="B486" s="122" t="n">
        <f aca="false">B485+1</f>
        <v>483</v>
      </c>
      <c r="C486" s="123" t="s">
        <v>168</v>
      </c>
      <c r="D486" s="140" t="n">
        <v>61073</v>
      </c>
      <c r="E486" s="124" t="str">
        <f aca="false">IF(D486="","",IFERROR(VLOOKUP(D486,CCN_Library!$A$4:$B$13,2,FALSE()),"NOT IN LIBRARY"))</f>
        <v>COMPANY/BATTERY HEADQUARTERS, MARINE CORPS</v>
      </c>
      <c r="F486" s="125" t="str">
        <f aca="false">LEFT(H486,6)</f>
        <v>M28263</v>
      </c>
      <c r="G486" s="126" t="s">
        <v>128</v>
      </c>
      <c r="H486" s="126" t="s">
        <v>819</v>
      </c>
      <c r="I486" s="126" t="s">
        <v>515</v>
      </c>
      <c r="J486" s="126" t="s">
        <v>191</v>
      </c>
      <c r="K486" s="127" t="s">
        <v>516</v>
      </c>
      <c r="L486" s="126" t="s">
        <v>161</v>
      </c>
      <c r="M486" s="126" t="s">
        <v>133</v>
      </c>
      <c r="N486" s="126" t="s">
        <v>128</v>
      </c>
      <c r="O486" s="126" t="s">
        <v>135</v>
      </c>
      <c r="P486" s="126" t="s">
        <v>135</v>
      </c>
      <c r="Q486" s="128"/>
      <c r="R486" s="126" t="s">
        <v>136</v>
      </c>
      <c r="S486" s="126" t="s">
        <v>58</v>
      </c>
      <c r="T486" s="128"/>
      <c r="U486" s="129" t="n">
        <v>0</v>
      </c>
      <c r="V486" s="129" t="n">
        <v>0</v>
      </c>
      <c r="W486" s="129" t="n">
        <v>0</v>
      </c>
      <c r="X486" s="129" t="n">
        <v>0</v>
      </c>
      <c r="Y486" s="129" t="n">
        <v>0</v>
      </c>
      <c r="Z486" s="129" t="n">
        <v>0</v>
      </c>
      <c r="AA486" s="129" t="n">
        <v>1</v>
      </c>
      <c r="AB486" s="129" t="n">
        <v>0</v>
      </c>
      <c r="AC486" s="129" t="n">
        <v>0</v>
      </c>
      <c r="AD486" s="129" t="n">
        <v>0</v>
      </c>
      <c r="AE486" s="129" t="n">
        <v>0</v>
      </c>
      <c r="AF486" s="129" t="n">
        <v>0</v>
      </c>
      <c r="AG486" s="129" t="n">
        <v>0</v>
      </c>
      <c r="AH486" s="129" t="n">
        <v>0</v>
      </c>
      <c r="AI486" s="129" t="n">
        <v>0</v>
      </c>
      <c r="AJ486" s="129" t="n">
        <v>0</v>
      </c>
      <c r="AK486" s="129" t="n">
        <v>0</v>
      </c>
      <c r="AL486" s="129" t="n">
        <v>0</v>
      </c>
      <c r="AM486" s="129" t="n">
        <v>0</v>
      </c>
      <c r="AN486" s="128"/>
      <c r="AO486" s="128"/>
      <c r="AP486" s="126" t="s">
        <v>138</v>
      </c>
      <c r="AQ486" s="126" t="s">
        <v>139</v>
      </c>
      <c r="AR486" s="126" t="s">
        <v>140</v>
      </c>
      <c r="AS486" s="128"/>
      <c r="AT486" s="139"/>
    </row>
    <row r="487" customFormat="false" ht="12.75" hidden="false" customHeight="true" outlineLevel="0" collapsed="false">
      <c r="B487" s="131" t="n">
        <f aca="false">B486+1</f>
        <v>484</v>
      </c>
      <c r="C487" s="132" t="s">
        <v>162</v>
      </c>
      <c r="D487" s="133" t="n">
        <v>61073</v>
      </c>
      <c r="E487" s="133"/>
      <c r="F487" s="134" t="str">
        <f aca="false">LEFT(H487,6)</f>
        <v>M28263</v>
      </c>
      <c r="G487" s="135" t="s">
        <v>177</v>
      </c>
      <c r="H487" s="135" t="s">
        <v>820</v>
      </c>
      <c r="I487" s="135" t="s">
        <v>821</v>
      </c>
      <c r="J487" s="136"/>
      <c r="K487" s="136"/>
      <c r="L487" s="136"/>
      <c r="M487" s="136"/>
      <c r="N487" s="136"/>
      <c r="O487" s="136"/>
      <c r="P487" s="136"/>
      <c r="Q487" s="136"/>
      <c r="R487" s="136"/>
      <c r="S487" s="136"/>
      <c r="T487" s="136"/>
      <c r="U487" s="137" t="n">
        <v>0</v>
      </c>
      <c r="V487" s="137" t="n">
        <v>0</v>
      </c>
      <c r="W487" s="137" t="n">
        <v>0</v>
      </c>
      <c r="X487" s="137" t="n">
        <v>0</v>
      </c>
      <c r="Y487" s="137" t="n">
        <v>0</v>
      </c>
      <c r="Z487" s="137" t="n">
        <v>0</v>
      </c>
      <c r="AA487" s="137" t="n">
        <v>0</v>
      </c>
      <c r="AB487" s="137" t="n">
        <v>0</v>
      </c>
      <c r="AC487" s="137" t="n">
        <v>0</v>
      </c>
      <c r="AD487" s="137" t="n">
        <v>0</v>
      </c>
      <c r="AE487" s="137" t="n">
        <v>0</v>
      </c>
      <c r="AF487" s="137" t="n">
        <v>0</v>
      </c>
      <c r="AG487" s="137" t="n">
        <v>0</v>
      </c>
      <c r="AH487" s="137" t="n">
        <v>0</v>
      </c>
      <c r="AI487" s="137" t="n">
        <v>0</v>
      </c>
      <c r="AJ487" s="137" t="n">
        <v>0</v>
      </c>
      <c r="AK487" s="137" t="n">
        <v>0</v>
      </c>
      <c r="AL487" s="137" t="n">
        <v>0</v>
      </c>
      <c r="AM487" s="137" t="n">
        <v>0</v>
      </c>
      <c r="AN487" s="136"/>
      <c r="AO487" s="136"/>
      <c r="AP487" s="136"/>
      <c r="AQ487" s="136"/>
      <c r="AR487" s="136"/>
      <c r="AS487" s="136"/>
      <c r="AT487" s="138"/>
    </row>
    <row r="488" customFormat="false" ht="12.75" hidden="false" customHeight="true" outlineLevel="0" collapsed="false">
      <c r="B488" s="122" t="n">
        <f aca="false">B487+1</f>
        <v>485</v>
      </c>
      <c r="C488" s="123" t="s">
        <v>162</v>
      </c>
      <c r="D488" s="140" t="n">
        <v>61073</v>
      </c>
      <c r="E488" s="124" t="str">
        <f aca="false">IF(D488="","",IFERROR(VLOOKUP(D488,CCN_Library!$A$4:$B$13,2,FALSE()),"NOT IN LIBRARY"))</f>
        <v>COMPANY/BATTERY HEADQUARTERS, MARINE CORPS</v>
      </c>
      <c r="F488" s="125" t="str">
        <f aca="false">LEFT(H488,6)</f>
        <v>M28263</v>
      </c>
      <c r="G488" s="126" t="s">
        <v>128</v>
      </c>
      <c r="H488" s="126" t="s">
        <v>822</v>
      </c>
      <c r="I488" s="126" t="s">
        <v>457</v>
      </c>
      <c r="J488" s="126" t="s">
        <v>189</v>
      </c>
      <c r="K488" s="127" t="s">
        <v>458</v>
      </c>
      <c r="L488" s="126" t="s">
        <v>161</v>
      </c>
      <c r="M488" s="126" t="s">
        <v>133</v>
      </c>
      <c r="N488" s="126" t="s">
        <v>128</v>
      </c>
      <c r="O488" s="126" t="s">
        <v>135</v>
      </c>
      <c r="P488" s="126" t="s">
        <v>135</v>
      </c>
      <c r="Q488" s="128"/>
      <c r="R488" s="126" t="s">
        <v>136</v>
      </c>
      <c r="S488" s="126" t="s">
        <v>137</v>
      </c>
      <c r="T488" s="128"/>
      <c r="U488" s="129" t="n">
        <v>0</v>
      </c>
      <c r="V488" s="129" t="n">
        <v>0</v>
      </c>
      <c r="W488" s="129" t="n">
        <v>0</v>
      </c>
      <c r="X488" s="129" t="n">
        <v>0</v>
      </c>
      <c r="Y488" s="129" t="n">
        <v>0</v>
      </c>
      <c r="Z488" s="129" t="n">
        <v>0</v>
      </c>
      <c r="AA488" s="129" t="n">
        <v>1</v>
      </c>
      <c r="AB488" s="129" t="n">
        <v>0</v>
      </c>
      <c r="AC488" s="129" t="n">
        <v>0</v>
      </c>
      <c r="AD488" s="129" t="n">
        <v>0</v>
      </c>
      <c r="AE488" s="129" t="n">
        <v>0</v>
      </c>
      <c r="AF488" s="129" t="n">
        <v>0</v>
      </c>
      <c r="AG488" s="129" t="n">
        <v>0</v>
      </c>
      <c r="AH488" s="129" t="n">
        <v>0</v>
      </c>
      <c r="AI488" s="129" t="n">
        <v>0</v>
      </c>
      <c r="AJ488" s="129" t="n">
        <v>0</v>
      </c>
      <c r="AK488" s="129" t="n">
        <v>0</v>
      </c>
      <c r="AL488" s="129" t="n">
        <v>0</v>
      </c>
      <c r="AM488" s="129" t="n">
        <v>0</v>
      </c>
      <c r="AN488" s="128"/>
      <c r="AO488" s="128"/>
      <c r="AP488" s="126" t="s">
        <v>138</v>
      </c>
      <c r="AQ488" s="126" t="s">
        <v>139</v>
      </c>
      <c r="AR488" s="126" t="s">
        <v>140</v>
      </c>
      <c r="AS488" s="128"/>
      <c r="AT488" s="139"/>
    </row>
    <row r="489" customFormat="false" ht="12.75" hidden="false" customHeight="true" outlineLevel="0" collapsed="false">
      <c r="B489" s="122" t="n">
        <f aca="false">B488+1</f>
        <v>486</v>
      </c>
      <c r="C489" s="123" t="s">
        <v>168</v>
      </c>
      <c r="D489" s="140" t="n">
        <v>61073</v>
      </c>
      <c r="E489" s="124" t="str">
        <f aca="false">IF(D489="","",IFERROR(VLOOKUP(D489,CCN_Library!$A$4:$B$13,2,FALSE()),"NOT IN LIBRARY"))</f>
        <v>COMPANY/BATTERY HEADQUARTERS, MARINE CORPS</v>
      </c>
      <c r="F489" s="125" t="str">
        <f aca="false">LEFT(H489,6)</f>
        <v>M28263</v>
      </c>
      <c r="G489" s="126" t="s">
        <v>128</v>
      </c>
      <c r="H489" s="126" t="s">
        <v>823</v>
      </c>
      <c r="I489" s="126" t="s">
        <v>457</v>
      </c>
      <c r="J489" s="126" t="s">
        <v>191</v>
      </c>
      <c r="K489" s="127" t="s">
        <v>458</v>
      </c>
      <c r="L489" s="126" t="s">
        <v>161</v>
      </c>
      <c r="M489" s="126" t="s">
        <v>133</v>
      </c>
      <c r="N489" s="126" t="s">
        <v>128</v>
      </c>
      <c r="O489" s="126" t="s">
        <v>135</v>
      </c>
      <c r="P489" s="126" t="s">
        <v>135</v>
      </c>
      <c r="Q489" s="128"/>
      <c r="R489" s="126" t="s">
        <v>136</v>
      </c>
      <c r="S489" s="126" t="s">
        <v>58</v>
      </c>
      <c r="T489" s="128"/>
      <c r="U489" s="129" t="n">
        <v>0</v>
      </c>
      <c r="V489" s="129" t="n">
        <v>0</v>
      </c>
      <c r="W489" s="129" t="n">
        <v>0</v>
      </c>
      <c r="X489" s="129" t="n">
        <v>0</v>
      </c>
      <c r="Y489" s="129" t="n">
        <v>0</v>
      </c>
      <c r="Z489" s="129" t="n">
        <v>0</v>
      </c>
      <c r="AA489" s="129" t="n">
        <v>1</v>
      </c>
      <c r="AB489" s="129" t="n">
        <v>0</v>
      </c>
      <c r="AC489" s="129" t="n">
        <v>0</v>
      </c>
      <c r="AD489" s="129" t="n">
        <v>0</v>
      </c>
      <c r="AE489" s="129" t="n">
        <v>0</v>
      </c>
      <c r="AF489" s="129" t="n">
        <v>0</v>
      </c>
      <c r="AG489" s="129" t="n">
        <v>0</v>
      </c>
      <c r="AH489" s="129" t="n">
        <v>0</v>
      </c>
      <c r="AI489" s="129" t="n">
        <v>0</v>
      </c>
      <c r="AJ489" s="129" t="n">
        <v>0</v>
      </c>
      <c r="AK489" s="129" t="n">
        <v>0</v>
      </c>
      <c r="AL489" s="129" t="n">
        <v>0</v>
      </c>
      <c r="AM489" s="129" t="n">
        <v>0</v>
      </c>
      <c r="AN489" s="128"/>
      <c r="AO489" s="128"/>
      <c r="AP489" s="126" t="s">
        <v>138</v>
      </c>
      <c r="AQ489" s="126" t="s">
        <v>139</v>
      </c>
      <c r="AR489" s="126" t="s">
        <v>140</v>
      </c>
      <c r="AS489" s="128"/>
      <c r="AT489" s="130"/>
    </row>
    <row r="490" customFormat="false" ht="12.75" hidden="false" customHeight="true" outlineLevel="0" collapsed="false">
      <c r="B490" s="122" t="n">
        <f aca="false">B489+1</f>
        <v>487</v>
      </c>
      <c r="C490" s="123" t="s">
        <v>168</v>
      </c>
      <c r="D490" s="140" t="n">
        <v>61073</v>
      </c>
      <c r="E490" s="124" t="str">
        <f aca="false">IF(D490="","",IFERROR(VLOOKUP(D490,CCN_Library!$A$4:$B$13,2,FALSE()),"NOT IN LIBRARY"))</f>
        <v>COMPANY/BATTERY HEADQUARTERS, MARINE CORPS</v>
      </c>
      <c r="F490" s="125" t="str">
        <f aca="false">LEFT(H490,6)</f>
        <v>M28263</v>
      </c>
      <c r="G490" s="126" t="s">
        <v>128</v>
      </c>
      <c r="H490" s="126" t="s">
        <v>824</v>
      </c>
      <c r="I490" s="126" t="s">
        <v>457</v>
      </c>
      <c r="J490" s="126" t="s">
        <v>176</v>
      </c>
      <c r="K490" s="127" t="s">
        <v>458</v>
      </c>
      <c r="L490" s="126" t="s">
        <v>161</v>
      </c>
      <c r="M490" s="126" t="s">
        <v>133</v>
      </c>
      <c r="N490" s="126" t="s">
        <v>128</v>
      </c>
      <c r="O490" s="126" t="s">
        <v>135</v>
      </c>
      <c r="P490" s="126" t="s">
        <v>135</v>
      </c>
      <c r="Q490" s="128"/>
      <c r="R490" s="126" t="s">
        <v>136</v>
      </c>
      <c r="S490" s="126" t="s">
        <v>58</v>
      </c>
      <c r="T490" s="128"/>
      <c r="U490" s="129" t="n">
        <v>0</v>
      </c>
      <c r="V490" s="129" t="n">
        <v>0</v>
      </c>
      <c r="W490" s="129" t="n">
        <v>0</v>
      </c>
      <c r="X490" s="129" t="n">
        <v>0</v>
      </c>
      <c r="Y490" s="129" t="n">
        <v>0</v>
      </c>
      <c r="Z490" s="129" t="n">
        <v>0</v>
      </c>
      <c r="AA490" s="129" t="n">
        <v>1</v>
      </c>
      <c r="AB490" s="129" t="n">
        <v>0</v>
      </c>
      <c r="AC490" s="129" t="n">
        <v>0</v>
      </c>
      <c r="AD490" s="129" t="n">
        <v>0</v>
      </c>
      <c r="AE490" s="129" t="n">
        <v>0</v>
      </c>
      <c r="AF490" s="129" t="n">
        <v>0</v>
      </c>
      <c r="AG490" s="129" t="n">
        <v>0</v>
      </c>
      <c r="AH490" s="129" t="n">
        <v>0</v>
      </c>
      <c r="AI490" s="129" t="n">
        <v>0</v>
      </c>
      <c r="AJ490" s="129" t="n">
        <v>0</v>
      </c>
      <c r="AK490" s="129" t="n">
        <v>0</v>
      </c>
      <c r="AL490" s="129" t="n">
        <v>0</v>
      </c>
      <c r="AM490" s="129" t="n">
        <v>0</v>
      </c>
      <c r="AN490" s="128"/>
      <c r="AO490" s="128"/>
      <c r="AP490" s="126" t="s">
        <v>138</v>
      </c>
      <c r="AQ490" s="126" t="s">
        <v>139</v>
      </c>
      <c r="AR490" s="126" t="s">
        <v>140</v>
      </c>
      <c r="AS490" s="128"/>
      <c r="AT490" s="130"/>
    </row>
    <row r="491" customFormat="false" ht="12.75" hidden="false" customHeight="true" outlineLevel="0" collapsed="false">
      <c r="B491" s="131" t="n">
        <f aca="false">B490+1</f>
        <v>488</v>
      </c>
      <c r="C491" s="132" t="s">
        <v>162</v>
      </c>
      <c r="D491" s="133" t="n">
        <v>61073</v>
      </c>
      <c r="E491" s="133"/>
      <c r="F491" s="134" t="str">
        <f aca="false">LEFT(H491,6)</f>
        <v>M28263</v>
      </c>
      <c r="G491" s="135" t="s">
        <v>58</v>
      </c>
      <c r="H491" s="135" t="s">
        <v>825</v>
      </c>
      <c r="I491" s="135" t="s">
        <v>826</v>
      </c>
      <c r="J491" s="136"/>
      <c r="K491" s="136"/>
      <c r="L491" s="136"/>
      <c r="M491" s="136"/>
      <c r="N491" s="136"/>
      <c r="O491" s="136"/>
      <c r="P491" s="136"/>
      <c r="Q491" s="136"/>
      <c r="R491" s="136"/>
      <c r="S491" s="136"/>
      <c r="T491" s="136"/>
      <c r="U491" s="137" t="n">
        <v>0</v>
      </c>
      <c r="V491" s="137" t="n">
        <v>0</v>
      </c>
      <c r="W491" s="137" t="n">
        <v>0</v>
      </c>
      <c r="X491" s="137" t="n">
        <v>0</v>
      </c>
      <c r="Y491" s="137" t="n">
        <v>0</v>
      </c>
      <c r="Z491" s="137" t="n">
        <v>0</v>
      </c>
      <c r="AA491" s="137" t="n">
        <v>0</v>
      </c>
      <c r="AB491" s="137" t="n">
        <v>0</v>
      </c>
      <c r="AC491" s="137" t="n">
        <v>0</v>
      </c>
      <c r="AD491" s="137" t="n">
        <v>0</v>
      </c>
      <c r="AE491" s="137" t="n">
        <v>0</v>
      </c>
      <c r="AF491" s="137" t="n">
        <v>0</v>
      </c>
      <c r="AG491" s="137" t="n">
        <v>0</v>
      </c>
      <c r="AH491" s="137" t="n">
        <v>0</v>
      </c>
      <c r="AI491" s="137" t="n">
        <v>0</v>
      </c>
      <c r="AJ491" s="137" t="n">
        <v>0</v>
      </c>
      <c r="AK491" s="137" t="n">
        <v>0</v>
      </c>
      <c r="AL491" s="137" t="n">
        <v>0</v>
      </c>
      <c r="AM491" s="137" t="n">
        <v>0</v>
      </c>
      <c r="AN491" s="136"/>
      <c r="AO491" s="136"/>
      <c r="AP491" s="136"/>
      <c r="AQ491" s="136"/>
      <c r="AR491" s="136"/>
      <c r="AS491" s="136"/>
      <c r="AT491" s="138"/>
    </row>
    <row r="492" customFormat="false" ht="12.75" hidden="false" customHeight="true" outlineLevel="0" collapsed="false">
      <c r="B492" s="122" t="n">
        <f aca="false">B491+1</f>
        <v>489</v>
      </c>
      <c r="C492" s="123" t="s">
        <v>162</v>
      </c>
      <c r="D492" s="140" t="n">
        <v>61073</v>
      </c>
      <c r="E492" s="124" t="str">
        <f aca="false">IF(D492="","",IFERROR(VLOOKUP(D492,CCN_Library!$A$4:$B$13,2,FALSE()),"NOT IN LIBRARY"))</f>
        <v>COMPANY/BATTERY HEADQUARTERS, MARINE CORPS</v>
      </c>
      <c r="F492" s="125" t="str">
        <f aca="false">LEFT(H492,6)</f>
        <v>M28263</v>
      </c>
      <c r="G492" s="126" t="s">
        <v>128</v>
      </c>
      <c r="H492" s="126" t="s">
        <v>827</v>
      </c>
      <c r="I492" s="126" t="s">
        <v>527</v>
      </c>
      <c r="J492" s="126" t="s">
        <v>211</v>
      </c>
      <c r="K492" s="127" t="s">
        <v>151</v>
      </c>
      <c r="L492" s="126" t="s">
        <v>151</v>
      </c>
      <c r="M492" s="126" t="s">
        <v>133</v>
      </c>
      <c r="N492" s="126" t="s">
        <v>134</v>
      </c>
      <c r="O492" s="126" t="s">
        <v>135</v>
      </c>
      <c r="P492" s="126" t="s">
        <v>135</v>
      </c>
      <c r="Q492" s="128"/>
      <c r="R492" s="126" t="s">
        <v>136</v>
      </c>
      <c r="S492" s="126" t="s">
        <v>137</v>
      </c>
      <c r="T492" s="128"/>
      <c r="U492" s="129" t="n">
        <v>0</v>
      </c>
      <c r="V492" s="129" t="n">
        <v>0</v>
      </c>
      <c r="W492" s="129" t="n">
        <v>0</v>
      </c>
      <c r="X492" s="129" t="n">
        <v>0</v>
      </c>
      <c r="Y492" s="129" t="n">
        <v>0</v>
      </c>
      <c r="Z492" s="129" t="n">
        <v>1</v>
      </c>
      <c r="AA492" s="129" t="n">
        <v>0</v>
      </c>
      <c r="AB492" s="129" t="n">
        <v>0</v>
      </c>
      <c r="AC492" s="129" t="n">
        <v>0</v>
      </c>
      <c r="AD492" s="129" t="n">
        <v>0</v>
      </c>
      <c r="AE492" s="129" t="n">
        <v>0</v>
      </c>
      <c r="AF492" s="129" t="n">
        <v>0</v>
      </c>
      <c r="AG492" s="129" t="n">
        <v>0</v>
      </c>
      <c r="AH492" s="129" t="n">
        <v>0</v>
      </c>
      <c r="AI492" s="129" t="n">
        <v>0</v>
      </c>
      <c r="AJ492" s="129" t="n">
        <v>0</v>
      </c>
      <c r="AK492" s="129" t="n">
        <v>0</v>
      </c>
      <c r="AL492" s="129" t="n">
        <v>0</v>
      </c>
      <c r="AM492" s="129" t="n">
        <v>0</v>
      </c>
      <c r="AN492" s="128"/>
      <c r="AO492" s="128"/>
      <c r="AP492" s="126" t="s">
        <v>138</v>
      </c>
      <c r="AQ492" s="126" t="s">
        <v>139</v>
      </c>
      <c r="AR492" s="126" t="s">
        <v>140</v>
      </c>
      <c r="AS492" s="128"/>
      <c r="AT492" s="130"/>
    </row>
    <row r="493" customFormat="false" ht="12.75" hidden="false" customHeight="true" outlineLevel="0" collapsed="false">
      <c r="B493" s="122" t="n">
        <f aca="false">B492+1</f>
        <v>490</v>
      </c>
      <c r="C493" s="123" t="s">
        <v>162</v>
      </c>
      <c r="D493" s="140" t="n">
        <v>61073</v>
      </c>
      <c r="E493" s="124" t="str">
        <f aca="false">IF(D493="","",IFERROR(VLOOKUP(D493,CCN_Library!$A$4:$B$13,2,FALSE()),"NOT IN LIBRARY"))</f>
        <v>COMPANY/BATTERY HEADQUARTERS, MARINE CORPS</v>
      </c>
      <c r="F493" s="125" t="str">
        <f aca="false">LEFT(H493,6)</f>
        <v>M28263</v>
      </c>
      <c r="G493" s="126" t="s">
        <v>128</v>
      </c>
      <c r="H493" s="126" t="s">
        <v>828</v>
      </c>
      <c r="I493" s="126" t="s">
        <v>472</v>
      </c>
      <c r="J493" s="126" t="s">
        <v>211</v>
      </c>
      <c r="K493" s="127" t="s">
        <v>223</v>
      </c>
      <c r="L493" s="126" t="s">
        <v>223</v>
      </c>
      <c r="M493" s="126" t="s">
        <v>133</v>
      </c>
      <c r="N493" s="126" t="s">
        <v>134</v>
      </c>
      <c r="O493" s="126" t="s">
        <v>135</v>
      </c>
      <c r="P493" s="126" t="s">
        <v>135</v>
      </c>
      <c r="Q493" s="128"/>
      <c r="R493" s="126" t="s">
        <v>136</v>
      </c>
      <c r="S493" s="126" t="s">
        <v>137</v>
      </c>
      <c r="T493" s="128"/>
      <c r="U493" s="129" t="n">
        <v>0</v>
      </c>
      <c r="V493" s="129" t="n">
        <v>0</v>
      </c>
      <c r="W493" s="129" t="n">
        <v>0</v>
      </c>
      <c r="X493" s="129" t="n">
        <v>0</v>
      </c>
      <c r="Y493" s="129" t="n">
        <v>0</v>
      </c>
      <c r="Z493" s="129" t="n">
        <v>1</v>
      </c>
      <c r="AA493" s="129" t="n">
        <v>0</v>
      </c>
      <c r="AB493" s="129" t="n">
        <v>0</v>
      </c>
      <c r="AC493" s="129" t="n">
        <v>0</v>
      </c>
      <c r="AD493" s="129" t="n">
        <v>0</v>
      </c>
      <c r="AE493" s="129" t="n">
        <v>0</v>
      </c>
      <c r="AF493" s="129" t="n">
        <v>0</v>
      </c>
      <c r="AG493" s="129" t="n">
        <v>0</v>
      </c>
      <c r="AH493" s="129" t="n">
        <v>0</v>
      </c>
      <c r="AI493" s="129" t="n">
        <v>0</v>
      </c>
      <c r="AJ493" s="129" t="n">
        <v>0</v>
      </c>
      <c r="AK493" s="129" t="n">
        <v>0</v>
      </c>
      <c r="AL493" s="129" t="n">
        <v>0</v>
      </c>
      <c r="AM493" s="129" t="n">
        <v>0</v>
      </c>
      <c r="AN493" s="128"/>
      <c r="AO493" s="128"/>
      <c r="AP493" s="126" t="s">
        <v>138</v>
      </c>
      <c r="AQ493" s="126" t="s">
        <v>139</v>
      </c>
      <c r="AR493" s="126" t="s">
        <v>140</v>
      </c>
      <c r="AS493" s="128"/>
      <c r="AT493" s="130"/>
    </row>
    <row r="494" customFormat="false" ht="12.75" hidden="false" customHeight="true" outlineLevel="0" collapsed="false">
      <c r="B494" s="122" t="n">
        <f aca="false">B493+1</f>
        <v>491</v>
      </c>
      <c r="C494" s="123" t="s">
        <v>162</v>
      </c>
      <c r="D494" s="140" t="n">
        <v>61073</v>
      </c>
      <c r="E494" s="124" t="str">
        <f aca="false">IF(D494="","",IFERROR(VLOOKUP(D494,CCN_Library!$A$4:$B$13,2,FALSE()),"NOT IN LIBRARY"))</f>
        <v>COMPANY/BATTERY HEADQUARTERS, MARINE CORPS</v>
      </c>
      <c r="F494" s="125" t="str">
        <f aca="false">LEFT(H494,6)</f>
        <v>M28263</v>
      </c>
      <c r="G494" s="126" t="s">
        <v>128</v>
      </c>
      <c r="H494" s="126" t="s">
        <v>829</v>
      </c>
      <c r="I494" s="126" t="s">
        <v>530</v>
      </c>
      <c r="J494" s="126" t="s">
        <v>182</v>
      </c>
      <c r="K494" s="127" t="s">
        <v>223</v>
      </c>
      <c r="L494" s="126" t="s">
        <v>223</v>
      </c>
      <c r="M494" s="126" t="s">
        <v>133</v>
      </c>
      <c r="N494" s="126" t="s">
        <v>134</v>
      </c>
      <c r="O494" s="126" t="s">
        <v>135</v>
      </c>
      <c r="P494" s="126" t="s">
        <v>135</v>
      </c>
      <c r="Q494" s="128"/>
      <c r="R494" s="126" t="s">
        <v>136</v>
      </c>
      <c r="S494" s="126" t="s">
        <v>137</v>
      </c>
      <c r="T494" s="128"/>
      <c r="U494" s="129" t="n">
        <v>0</v>
      </c>
      <c r="V494" s="129" t="n">
        <v>0</v>
      </c>
      <c r="W494" s="129" t="n">
        <v>0</v>
      </c>
      <c r="X494" s="129" t="n">
        <v>0</v>
      </c>
      <c r="Y494" s="129" t="n">
        <v>0</v>
      </c>
      <c r="Z494" s="129" t="n">
        <v>1</v>
      </c>
      <c r="AA494" s="129" t="n">
        <v>0</v>
      </c>
      <c r="AB494" s="129" t="n">
        <v>0</v>
      </c>
      <c r="AC494" s="129" t="n">
        <v>0</v>
      </c>
      <c r="AD494" s="129" t="n">
        <v>0</v>
      </c>
      <c r="AE494" s="129" t="n">
        <v>0</v>
      </c>
      <c r="AF494" s="129" t="n">
        <v>0</v>
      </c>
      <c r="AG494" s="129" t="n">
        <v>0</v>
      </c>
      <c r="AH494" s="129" t="n">
        <v>0</v>
      </c>
      <c r="AI494" s="129" t="n">
        <v>0</v>
      </c>
      <c r="AJ494" s="129" t="n">
        <v>0</v>
      </c>
      <c r="AK494" s="129" t="n">
        <v>0</v>
      </c>
      <c r="AL494" s="129" t="n">
        <v>0</v>
      </c>
      <c r="AM494" s="129" t="n">
        <v>0</v>
      </c>
      <c r="AN494" s="128"/>
      <c r="AO494" s="128"/>
      <c r="AP494" s="126" t="s">
        <v>138</v>
      </c>
      <c r="AQ494" s="126" t="s">
        <v>139</v>
      </c>
      <c r="AR494" s="126" t="s">
        <v>140</v>
      </c>
      <c r="AS494" s="128"/>
      <c r="AT494" s="139"/>
    </row>
    <row r="495" customFormat="false" ht="12.75" hidden="false" customHeight="true" outlineLevel="0" collapsed="false">
      <c r="B495" s="122" t="n">
        <f aca="false">B494+1</f>
        <v>492</v>
      </c>
      <c r="C495" s="123" t="s">
        <v>162</v>
      </c>
      <c r="D495" s="140" t="n">
        <v>61073</v>
      </c>
      <c r="E495" s="124" t="str">
        <f aca="false">IF(D495="","",IFERROR(VLOOKUP(D495,CCN_Library!$A$4:$B$13,2,FALSE()),"NOT IN LIBRARY"))</f>
        <v>COMPANY/BATTERY HEADQUARTERS, MARINE CORPS</v>
      </c>
      <c r="F495" s="125" t="str">
        <f aca="false">LEFT(H495,6)</f>
        <v>M28263</v>
      </c>
      <c r="G495" s="126" t="s">
        <v>128</v>
      </c>
      <c r="H495" s="126" t="s">
        <v>830</v>
      </c>
      <c r="I495" s="126" t="s">
        <v>159</v>
      </c>
      <c r="J495" s="126" t="s">
        <v>189</v>
      </c>
      <c r="K495" s="127" t="s">
        <v>161</v>
      </c>
      <c r="L495" s="126" t="s">
        <v>161</v>
      </c>
      <c r="M495" s="126" t="s">
        <v>133</v>
      </c>
      <c r="N495" s="126" t="s">
        <v>128</v>
      </c>
      <c r="O495" s="126" t="s">
        <v>135</v>
      </c>
      <c r="P495" s="126" t="s">
        <v>135</v>
      </c>
      <c r="Q495" s="128"/>
      <c r="R495" s="126" t="s">
        <v>136</v>
      </c>
      <c r="S495" s="126" t="s">
        <v>137</v>
      </c>
      <c r="T495" s="128"/>
      <c r="U495" s="129" t="n">
        <v>0</v>
      </c>
      <c r="V495" s="129" t="n">
        <v>0</v>
      </c>
      <c r="W495" s="129" t="n">
        <v>0</v>
      </c>
      <c r="X495" s="129" t="n">
        <v>0</v>
      </c>
      <c r="Y495" s="129" t="n">
        <v>0</v>
      </c>
      <c r="Z495" s="129" t="n">
        <v>0</v>
      </c>
      <c r="AA495" s="129" t="n">
        <v>1</v>
      </c>
      <c r="AB495" s="129" t="n">
        <v>0</v>
      </c>
      <c r="AC495" s="129" t="n">
        <v>0</v>
      </c>
      <c r="AD495" s="129" t="n">
        <v>0</v>
      </c>
      <c r="AE495" s="129" t="n">
        <v>0</v>
      </c>
      <c r="AF495" s="129" t="n">
        <v>0</v>
      </c>
      <c r="AG495" s="129" t="n">
        <v>0</v>
      </c>
      <c r="AH495" s="129" t="n">
        <v>0</v>
      </c>
      <c r="AI495" s="129" t="n">
        <v>0</v>
      </c>
      <c r="AJ495" s="129" t="n">
        <v>0</v>
      </c>
      <c r="AK495" s="129" t="n">
        <v>0</v>
      </c>
      <c r="AL495" s="129" t="n">
        <v>0</v>
      </c>
      <c r="AM495" s="129" t="n">
        <v>0</v>
      </c>
      <c r="AN495" s="128"/>
      <c r="AO495" s="128"/>
      <c r="AP495" s="126" t="s">
        <v>138</v>
      </c>
      <c r="AQ495" s="126" t="s">
        <v>139</v>
      </c>
      <c r="AR495" s="126" t="s">
        <v>140</v>
      </c>
      <c r="AS495" s="128"/>
      <c r="AT495" s="130"/>
    </row>
    <row r="496" customFormat="false" ht="12.75" hidden="false" customHeight="true" outlineLevel="0" collapsed="false">
      <c r="B496" s="122" t="n">
        <f aca="false">B495+1</f>
        <v>493</v>
      </c>
      <c r="C496" s="123" t="s">
        <v>168</v>
      </c>
      <c r="D496" s="140" t="n">
        <v>61073</v>
      </c>
      <c r="E496" s="124" t="str">
        <f aca="false">IF(D496="","",IFERROR(VLOOKUP(D496,CCN_Library!$A$4:$B$13,2,FALSE()),"NOT IN LIBRARY"))</f>
        <v>COMPANY/BATTERY HEADQUARTERS, MARINE CORPS</v>
      </c>
      <c r="F496" s="125" t="str">
        <f aca="false">LEFT(H496,6)</f>
        <v>M28263</v>
      </c>
      <c r="G496" s="126" t="s">
        <v>128</v>
      </c>
      <c r="H496" s="126" t="s">
        <v>831</v>
      </c>
      <c r="I496" s="126" t="s">
        <v>159</v>
      </c>
      <c r="J496" s="126" t="s">
        <v>191</v>
      </c>
      <c r="K496" s="127" t="s">
        <v>161</v>
      </c>
      <c r="L496" s="126" t="s">
        <v>161</v>
      </c>
      <c r="M496" s="126" t="s">
        <v>133</v>
      </c>
      <c r="N496" s="126" t="s">
        <v>128</v>
      </c>
      <c r="O496" s="126" t="s">
        <v>135</v>
      </c>
      <c r="P496" s="126" t="s">
        <v>135</v>
      </c>
      <c r="Q496" s="128"/>
      <c r="R496" s="126" t="s">
        <v>136</v>
      </c>
      <c r="S496" s="126" t="s">
        <v>58</v>
      </c>
      <c r="T496" s="128"/>
      <c r="U496" s="129" t="n">
        <v>0</v>
      </c>
      <c r="V496" s="129" t="n">
        <v>0</v>
      </c>
      <c r="W496" s="129" t="n">
        <v>0</v>
      </c>
      <c r="X496" s="129" t="n">
        <v>0</v>
      </c>
      <c r="Y496" s="129" t="n">
        <v>0</v>
      </c>
      <c r="Z496" s="129" t="n">
        <v>0</v>
      </c>
      <c r="AA496" s="129" t="n">
        <v>1</v>
      </c>
      <c r="AB496" s="129" t="n">
        <v>0</v>
      </c>
      <c r="AC496" s="129" t="n">
        <v>0</v>
      </c>
      <c r="AD496" s="129" t="n">
        <v>0</v>
      </c>
      <c r="AE496" s="129" t="n">
        <v>0</v>
      </c>
      <c r="AF496" s="129" t="n">
        <v>0</v>
      </c>
      <c r="AG496" s="129" t="n">
        <v>0</v>
      </c>
      <c r="AH496" s="129" t="n">
        <v>0</v>
      </c>
      <c r="AI496" s="129" t="n">
        <v>0</v>
      </c>
      <c r="AJ496" s="129" t="n">
        <v>0</v>
      </c>
      <c r="AK496" s="129" t="n">
        <v>0</v>
      </c>
      <c r="AL496" s="129" t="n">
        <v>0</v>
      </c>
      <c r="AM496" s="129" t="n">
        <v>0</v>
      </c>
      <c r="AN496" s="128"/>
      <c r="AO496" s="128"/>
      <c r="AP496" s="126" t="s">
        <v>138</v>
      </c>
      <c r="AQ496" s="126" t="s">
        <v>139</v>
      </c>
      <c r="AR496" s="126" t="s">
        <v>140</v>
      </c>
      <c r="AS496" s="128"/>
      <c r="AT496" s="130"/>
    </row>
    <row r="497" customFormat="false" ht="12.75" hidden="false" customHeight="true" outlineLevel="0" collapsed="false">
      <c r="B497" s="122" t="n">
        <f aca="false">B496+1</f>
        <v>494</v>
      </c>
      <c r="C497" s="123" t="s">
        <v>168</v>
      </c>
      <c r="D497" s="140" t="n">
        <v>61073</v>
      </c>
      <c r="E497" s="124" t="str">
        <f aca="false">IF(D497="","",IFERROR(VLOOKUP(D497,CCN_Library!$A$4:$B$13,2,FALSE()),"NOT IN LIBRARY"))</f>
        <v>COMPANY/BATTERY HEADQUARTERS, MARINE CORPS</v>
      </c>
      <c r="F497" s="125" t="str">
        <f aca="false">LEFT(H497,6)</f>
        <v>M28263</v>
      </c>
      <c r="G497" s="126" t="s">
        <v>128</v>
      </c>
      <c r="H497" s="126" t="s">
        <v>832</v>
      </c>
      <c r="I497" s="126" t="s">
        <v>159</v>
      </c>
      <c r="J497" s="126" t="s">
        <v>191</v>
      </c>
      <c r="K497" s="127" t="s">
        <v>161</v>
      </c>
      <c r="L497" s="126" t="s">
        <v>161</v>
      </c>
      <c r="M497" s="126" t="s">
        <v>133</v>
      </c>
      <c r="N497" s="126" t="s">
        <v>128</v>
      </c>
      <c r="O497" s="126" t="s">
        <v>135</v>
      </c>
      <c r="P497" s="126" t="s">
        <v>135</v>
      </c>
      <c r="Q497" s="128"/>
      <c r="R497" s="126" t="s">
        <v>136</v>
      </c>
      <c r="S497" s="126" t="s">
        <v>58</v>
      </c>
      <c r="T497" s="128"/>
      <c r="U497" s="129" t="n">
        <v>0</v>
      </c>
      <c r="V497" s="129" t="n">
        <v>0</v>
      </c>
      <c r="W497" s="129" t="n">
        <v>0</v>
      </c>
      <c r="X497" s="129" t="n">
        <v>0</v>
      </c>
      <c r="Y497" s="129" t="n">
        <v>0</v>
      </c>
      <c r="Z497" s="129" t="n">
        <v>0</v>
      </c>
      <c r="AA497" s="129" t="n">
        <v>1</v>
      </c>
      <c r="AB497" s="129" t="n">
        <v>0</v>
      </c>
      <c r="AC497" s="129" t="n">
        <v>0</v>
      </c>
      <c r="AD497" s="129" t="n">
        <v>0</v>
      </c>
      <c r="AE497" s="129" t="n">
        <v>0</v>
      </c>
      <c r="AF497" s="129" t="n">
        <v>0</v>
      </c>
      <c r="AG497" s="129" t="n">
        <v>0</v>
      </c>
      <c r="AH497" s="129" t="n">
        <v>0</v>
      </c>
      <c r="AI497" s="129" t="n">
        <v>0</v>
      </c>
      <c r="AJ497" s="129" t="n">
        <v>0</v>
      </c>
      <c r="AK497" s="129" t="n">
        <v>0</v>
      </c>
      <c r="AL497" s="129" t="n">
        <v>0</v>
      </c>
      <c r="AM497" s="129" t="n">
        <v>0</v>
      </c>
      <c r="AN497" s="128"/>
      <c r="AO497" s="128"/>
      <c r="AP497" s="126" t="s">
        <v>138</v>
      </c>
      <c r="AQ497" s="126" t="s">
        <v>139</v>
      </c>
      <c r="AR497" s="126" t="s">
        <v>140</v>
      </c>
      <c r="AS497" s="128"/>
      <c r="AT497" s="130"/>
    </row>
    <row r="498" customFormat="false" ht="12.75" hidden="false" customHeight="true" outlineLevel="0" collapsed="false">
      <c r="B498" s="122" t="n">
        <f aca="false">B497+1</f>
        <v>495</v>
      </c>
      <c r="C498" s="123" t="s">
        <v>168</v>
      </c>
      <c r="D498" s="140" t="n">
        <v>61073</v>
      </c>
      <c r="E498" s="124" t="str">
        <f aca="false">IF(D498="","",IFERROR(VLOOKUP(D498,CCN_Library!$A$4:$B$13,2,FALSE()),"NOT IN LIBRARY"))</f>
        <v>COMPANY/BATTERY HEADQUARTERS, MARINE CORPS</v>
      </c>
      <c r="F498" s="125" t="str">
        <f aca="false">LEFT(H498,6)</f>
        <v>M28263</v>
      </c>
      <c r="G498" s="126" t="s">
        <v>128</v>
      </c>
      <c r="H498" s="126" t="s">
        <v>833</v>
      </c>
      <c r="I498" s="126" t="s">
        <v>159</v>
      </c>
      <c r="J498" s="126" t="s">
        <v>160</v>
      </c>
      <c r="K498" s="127" t="s">
        <v>161</v>
      </c>
      <c r="L498" s="126" t="s">
        <v>161</v>
      </c>
      <c r="M498" s="126" t="s">
        <v>133</v>
      </c>
      <c r="N498" s="126" t="s">
        <v>128</v>
      </c>
      <c r="O498" s="126" t="s">
        <v>135</v>
      </c>
      <c r="P498" s="126" t="s">
        <v>135</v>
      </c>
      <c r="Q498" s="128"/>
      <c r="R498" s="126" t="s">
        <v>136</v>
      </c>
      <c r="S498" s="126" t="s">
        <v>58</v>
      </c>
      <c r="T498" s="128"/>
      <c r="U498" s="129" t="n">
        <v>0</v>
      </c>
      <c r="V498" s="129" t="n">
        <v>0</v>
      </c>
      <c r="W498" s="129" t="n">
        <v>0</v>
      </c>
      <c r="X498" s="129" t="n">
        <v>0</v>
      </c>
      <c r="Y498" s="129" t="n">
        <v>0</v>
      </c>
      <c r="Z498" s="129" t="n">
        <v>0</v>
      </c>
      <c r="AA498" s="129" t="n">
        <v>1</v>
      </c>
      <c r="AB498" s="129" t="n">
        <v>0</v>
      </c>
      <c r="AC498" s="129" t="n">
        <v>0</v>
      </c>
      <c r="AD498" s="129" t="n">
        <v>0</v>
      </c>
      <c r="AE498" s="129" t="n">
        <v>0</v>
      </c>
      <c r="AF498" s="129" t="n">
        <v>0</v>
      </c>
      <c r="AG498" s="129" t="n">
        <v>0</v>
      </c>
      <c r="AH498" s="129" t="n">
        <v>0</v>
      </c>
      <c r="AI498" s="129" t="n">
        <v>0</v>
      </c>
      <c r="AJ498" s="129" t="n">
        <v>0</v>
      </c>
      <c r="AK498" s="129" t="n">
        <v>0</v>
      </c>
      <c r="AL498" s="129" t="n">
        <v>0</v>
      </c>
      <c r="AM498" s="129" t="n">
        <v>0</v>
      </c>
      <c r="AN498" s="128"/>
      <c r="AO498" s="128"/>
      <c r="AP498" s="126" t="s">
        <v>138</v>
      </c>
      <c r="AQ498" s="126" t="s">
        <v>139</v>
      </c>
      <c r="AR498" s="126" t="s">
        <v>140</v>
      </c>
      <c r="AS498" s="128"/>
      <c r="AT498" s="130"/>
    </row>
    <row r="499" customFormat="false" ht="12.75" hidden="false" customHeight="true" outlineLevel="0" collapsed="false">
      <c r="B499" s="122" t="n">
        <f aca="false">B498+1</f>
        <v>496</v>
      </c>
      <c r="C499" s="123" t="s">
        <v>168</v>
      </c>
      <c r="D499" s="140" t="n">
        <v>61073</v>
      </c>
      <c r="E499" s="124" t="str">
        <f aca="false">IF(D499="","",IFERROR(VLOOKUP(D499,CCN_Library!$A$4:$B$13,2,FALSE()),"NOT IN LIBRARY"))</f>
        <v>COMPANY/BATTERY HEADQUARTERS, MARINE CORPS</v>
      </c>
      <c r="F499" s="125" t="str">
        <f aca="false">LEFT(H499,6)</f>
        <v>M28263</v>
      </c>
      <c r="G499" s="126" t="s">
        <v>128</v>
      </c>
      <c r="H499" s="126" t="s">
        <v>834</v>
      </c>
      <c r="I499" s="126" t="s">
        <v>159</v>
      </c>
      <c r="J499" s="126" t="s">
        <v>160</v>
      </c>
      <c r="K499" s="127" t="s">
        <v>161</v>
      </c>
      <c r="L499" s="126" t="s">
        <v>161</v>
      </c>
      <c r="M499" s="126" t="s">
        <v>133</v>
      </c>
      <c r="N499" s="126" t="s">
        <v>128</v>
      </c>
      <c r="O499" s="126" t="s">
        <v>135</v>
      </c>
      <c r="P499" s="126" t="s">
        <v>135</v>
      </c>
      <c r="Q499" s="128"/>
      <c r="R499" s="126" t="s">
        <v>136</v>
      </c>
      <c r="S499" s="126" t="s">
        <v>58</v>
      </c>
      <c r="T499" s="128"/>
      <c r="U499" s="129" t="n">
        <v>0</v>
      </c>
      <c r="V499" s="129" t="n">
        <v>0</v>
      </c>
      <c r="W499" s="129" t="n">
        <v>0</v>
      </c>
      <c r="X499" s="129" t="n">
        <v>0</v>
      </c>
      <c r="Y499" s="129" t="n">
        <v>0</v>
      </c>
      <c r="Z499" s="129" t="n">
        <v>0</v>
      </c>
      <c r="AA499" s="129" t="n">
        <v>1</v>
      </c>
      <c r="AB499" s="129" t="n">
        <v>0</v>
      </c>
      <c r="AC499" s="129" t="n">
        <v>0</v>
      </c>
      <c r="AD499" s="129" t="n">
        <v>0</v>
      </c>
      <c r="AE499" s="129" t="n">
        <v>0</v>
      </c>
      <c r="AF499" s="129" t="n">
        <v>0</v>
      </c>
      <c r="AG499" s="129" t="n">
        <v>0</v>
      </c>
      <c r="AH499" s="129" t="n">
        <v>0</v>
      </c>
      <c r="AI499" s="129" t="n">
        <v>0</v>
      </c>
      <c r="AJ499" s="129" t="n">
        <v>0</v>
      </c>
      <c r="AK499" s="129" t="n">
        <v>0</v>
      </c>
      <c r="AL499" s="129" t="n">
        <v>0</v>
      </c>
      <c r="AM499" s="129" t="n">
        <v>0</v>
      </c>
      <c r="AN499" s="128"/>
      <c r="AO499" s="128"/>
      <c r="AP499" s="126" t="s">
        <v>138</v>
      </c>
      <c r="AQ499" s="126" t="s">
        <v>139</v>
      </c>
      <c r="AR499" s="126" t="s">
        <v>140</v>
      </c>
      <c r="AS499" s="128"/>
      <c r="AT499" s="130"/>
    </row>
    <row r="500" customFormat="false" ht="12.75" hidden="false" customHeight="true" outlineLevel="0" collapsed="false">
      <c r="B500" s="122" t="n">
        <f aca="false">B499+1</f>
        <v>497</v>
      </c>
      <c r="C500" s="123" t="s">
        <v>168</v>
      </c>
      <c r="D500" s="140" t="n">
        <v>61073</v>
      </c>
      <c r="E500" s="124" t="str">
        <f aca="false">IF(D500="","",IFERROR(VLOOKUP(D500,CCN_Library!$A$4:$B$13,2,FALSE()),"NOT IN LIBRARY"))</f>
        <v>COMPANY/BATTERY HEADQUARTERS, MARINE CORPS</v>
      </c>
      <c r="F500" s="125" t="str">
        <f aca="false">LEFT(H500,6)</f>
        <v>M28263</v>
      </c>
      <c r="G500" s="126" t="s">
        <v>128</v>
      </c>
      <c r="H500" s="126" t="s">
        <v>835</v>
      </c>
      <c r="I500" s="126" t="s">
        <v>159</v>
      </c>
      <c r="J500" s="126" t="s">
        <v>160</v>
      </c>
      <c r="K500" s="127" t="s">
        <v>161</v>
      </c>
      <c r="L500" s="126" t="s">
        <v>161</v>
      </c>
      <c r="M500" s="126" t="s">
        <v>133</v>
      </c>
      <c r="N500" s="126" t="s">
        <v>128</v>
      </c>
      <c r="O500" s="126" t="s">
        <v>135</v>
      </c>
      <c r="P500" s="126" t="s">
        <v>135</v>
      </c>
      <c r="Q500" s="128"/>
      <c r="R500" s="126" t="s">
        <v>136</v>
      </c>
      <c r="S500" s="126" t="s">
        <v>58</v>
      </c>
      <c r="T500" s="128"/>
      <c r="U500" s="129" t="n">
        <v>0</v>
      </c>
      <c r="V500" s="129" t="n">
        <v>0</v>
      </c>
      <c r="W500" s="129" t="n">
        <v>0</v>
      </c>
      <c r="X500" s="129" t="n">
        <v>0</v>
      </c>
      <c r="Y500" s="129" t="n">
        <v>0</v>
      </c>
      <c r="Z500" s="129" t="n">
        <v>0</v>
      </c>
      <c r="AA500" s="129" t="n">
        <v>1</v>
      </c>
      <c r="AB500" s="129" t="n">
        <v>0</v>
      </c>
      <c r="AC500" s="129" t="n">
        <v>0</v>
      </c>
      <c r="AD500" s="129" t="n">
        <v>0</v>
      </c>
      <c r="AE500" s="129" t="n">
        <v>0</v>
      </c>
      <c r="AF500" s="129" t="n">
        <v>0</v>
      </c>
      <c r="AG500" s="129" t="n">
        <v>0</v>
      </c>
      <c r="AH500" s="129" t="n">
        <v>0</v>
      </c>
      <c r="AI500" s="129" t="n">
        <v>0</v>
      </c>
      <c r="AJ500" s="129" t="n">
        <v>0</v>
      </c>
      <c r="AK500" s="129" t="n">
        <v>0</v>
      </c>
      <c r="AL500" s="129" t="n">
        <v>0</v>
      </c>
      <c r="AM500" s="129" t="n">
        <v>0</v>
      </c>
      <c r="AN500" s="128"/>
      <c r="AO500" s="128"/>
      <c r="AP500" s="126" t="s">
        <v>138</v>
      </c>
      <c r="AQ500" s="126" t="s">
        <v>139</v>
      </c>
      <c r="AR500" s="126" t="s">
        <v>140</v>
      </c>
      <c r="AS500" s="128"/>
      <c r="AT500" s="139"/>
    </row>
    <row r="501" customFormat="false" ht="12.75" hidden="false" customHeight="true" outlineLevel="0" collapsed="false">
      <c r="B501" s="122" t="n">
        <f aca="false">B500+1</f>
        <v>498</v>
      </c>
      <c r="C501" s="123" t="s">
        <v>168</v>
      </c>
      <c r="D501" s="140" t="n">
        <v>61073</v>
      </c>
      <c r="E501" s="124" t="str">
        <f aca="false">IF(D501="","",IFERROR(VLOOKUP(D501,CCN_Library!$A$4:$B$13,2,FALSE()),"NOT IN LIBRARY"))</f>
        <v>COMPANY/BATTERY HEADQUARTERS, MARINE CORPS</v>
      </c>
      <c r="F501" s="125" t="str">
        <f aca="false">LEFT(H501,6)</f>
        <v>M28263</v>
      </c>
      <c r="G501" s="126" t="s">
        <v>128</v>
      </c>
      <c r="H501" s="126" t="s">
        <v>836</v>
      </c>
      <c r="I501" s="126" t="s">
        <v>159</v>
      </c>
      <c r="J501" s="126" t="s">
        <v>160</v>
      </c>
      <c r="K501" s="127" t="s">
        <v>161</v>
      </c>
      <c r="L501" s="126" t="s">
        <v>161</v>
      </c>
      <c r="M501" s="126" t="s">
        <v>133</v>
      </c>
      <c r="N501" s="126" t="s">
        <v>128</v>
      </c>
      <c r="O501" s="126" t="s">
        <v>135</v>
      </c>
      <c r="P501" s="126" t="s">
        <v>135</v>
      </c>
      <c r="Q501" s="128"/>
      <c r="R501" s="126" t="s">
        <v>136</v>
      </c>
      <c r="S501" s="126" t="s">
        <v>58</v>
      </c>
      <c r="T501" s="128"/>
      <c r="U501" s="129" t="n">
        <v>0</v>
      </c>
      <c r="V501" s="129" t="n">
        <v>0</v>
      </c>
      <c r="W501" s="129" t="n">
        <v>0</v>
      </c>
      <c r="X501" s="129" t="n">
        <v>0</v>
      </c>
      <c r="Y501" s="129" t="n">
        <v>0</v>
      </c>
      <c r="Z501" s="129" t="n">
        <v>0</v>
      </c>
      <c r="AA501" s="129" t="n">
        <v>1</v>
      </c>
      <c r="AB501" s="129" t="n">
        <v>0</v>
      </c>
      <c r="AC501" s="129" t="n">
        <v>0</v>
      </c>
      <c r="AD501" s="129" t="n">
        <v>0</v>
      </c>
      <c r="AE501" s="129" t="n">
        <v>0</v>
      </c>
      <c r="AF501" s="129" t="n">
        <v>0</v>
      </c>
      <c r="AG501" s="129" t="n">
        <v>0</v>
      </c>
      <c r="AH501" s="129" t="n">
        <v>0</v>
      </c>
      <c r="AI501" s="129" t="n">
        <v>0</v>
      </c>
      <c r="AJ501" s="129" t="n">
        <v>0</v>
      </c>
      <c r="AK501" s="129" t="n">
        <v>0</v>
      </c>
      <c r="AL501" s="129" t="n">
        <v>0</v>
      </c>
      <c r="AM501" s="129" t="n">
        <v>0</v>
      </c>
      <c r="AN501" s="128"/>
      <c r="AO501" s="128"/>
      <c r="AP501" s="126" t="s">
        <v>138</v>
      </c>
      <c r="AQ501" s="126" t="s">
        <v>139</v>
      </c>
      <c r="AR501" s="126" t="s">
        <v>140</v>
      </c>
      <c r="AS501" s="128"/>
      <c r="AT501" s="130"/>
    </row>
    <row r="502" customFormat="false" ht="12.75" hidden="false" customHeight="true" outlineLevel="0" collapsed="false">
      <c r="B502" s="122" t="n">
        <f aca="false">B501+1</f>
        <v>499</v>
      </c>
      <c r="C502" s="123" t="s">
        <v>168</v>
      </c>
      <c r="D502" s="140" t="n">
        <v>61073</v>
      </c>
      <c r="E502" s="124" t="str">
        <f aca="false">IF(D502="","",IFERROR(VLOOKUP(D502,CCN_Library!$A$4:$B$13,2,FALSE()),"NOT IN LIBRARY"))</f>
        <v>COMPANY/BATTERY HEADQUARTERS, MARINE CORPS</v>
      </c>
      <c r="F502" s="125" t="str">
        <f aca="false">LEFT(H502,6)</f>
        <v>M28263</v>
      </c>
      <c r="G502" s="126" t="s">
        <v>128</v>
      </c>
      <c r="H502" s="126" t="s">
        <v>837</v>
      </c>
      <c r="I502" s="126" t="s">
        <v>159</v>
      </c>
      <c r="J502" s="126" t="s">
        <v>160</v>
      </c>
      <c r="K502" s="127" t="s">
        <v>161</v>
      </c>
      <c r="L502" s="126" t="s">
        <v>161</v>
      </c>
      <c r="M502" s="126" t="s">
        <v>133</v>
      </c>
      <c r="N502" s="126" t="s">
        <v>128</v>
      </c>
      <c r="O502" s="126" t="s">
        <v>135</v>
      </c>
      <c r="P502" s="126" t="s">
        <v>135</v>
      </c>
      <c r="Q502" s="128"/>
      <c r="R502" s="126" t="s">
        <v>136</v>
      </c>
      <c r="S502" s="126" t="s">
        <v>58</v>
      </c>
      <c r="T502" s="128"/>
      <c r="U502" s="129" t="n">
        <v>0</v>
      </c>
      <c r="V502" s="129" t="n">
        <v>0</v>
      </c>
      <c r="W502" s="129" t="n">
        <v>0</v>
      </c>
      <c r="X502" s="129" t="n">
        <v>0</v>
      </c>
      <c r="Y502" s="129" t="n">
        <v>0</v>
      </c>
      <c r="Z502" s="129" t="n">
        <v>0</v>
      </c>
      <c r="AA502" s="129" t="n">
        <v>1</v>
      </c>
      <c r="AB502" s="129" t="n">
        <v>0</v>
      </c>
      <c r="AC502" s="129" t="n">
        <v>0</v>
      </c>
      <c r="AD502" s="129" t="n">
        <v>0</v>
      </c>
      <c r="AE502" s="129" t="n">
        <v>0</v>
      </c>
      <c r="AF502" s="129" t="n">
        <v>0</v>
      </c>
      <c r="AG502" s="129" t="n">
        <v>0</v>
      </c>
      <c r="AH502" s="129" t="n">
        <v>0</v>
      </c>
      <c r="AI502" s="129" t="n">
        <v>0</v>
      </c>
      <c r="AJ502" s="129" t="n">
        <v>0</v>
      </c>
      <c r="AK502" s="129" t="n">
        <v>0</v>
      </c>
      <c r="AL502" s="129" t="n">
        <v>0</v>
      </c>
      <c r="AM502" s="129" t="n">
        <v>0</v>
      </c>
      <c r="AN502" s="128"/>
      <c r="AO502" s="128"/>
      <c r="AP502" s="126" t="s">
        <v>138</v>
      </c>
      <c r="AQ502" s="126" t="s">
        <v>139</v>
      </c>
      <c r="AR502" s="126" t="s">
        <v>140</v>
      </c>
      <c r="AS502" s="128"/>
      <c r="AT502" s="130"/>
    </row>
    <row r="503" customFormat="false" ht="12.75" hidden="false" customHeight="true" outlineLevel="0" collapsed="false">
      <c r="B503" s="141"/>
      <c r="C503" s="132" t="s">
        <v>162</v>
      </c>
      <c r="D503" s="133" t="n">
        <v>61073</v>
      </c>
      <c r="E503" s="133"/>
      <c r="F503" s="134" t="str">
        <f aca="false">LEFT(H503,6)</f>
        <v>M28262</v>
      </c>
      <c r="G503" s="135" t="s">
        <v>58</v>
      </c>
      <c r="H503" s="135" t="s">
        <v>838</v>
      </c>
      <c r="I503" s="135" t="s">
        <v>601</v>
      </c>
      <c r="J503" s="136"/>
      <c r="K503" s="136"/>
      <c r="L503" s="136"/>
      <c r="M503" s="136"/>
      <c r="N503" s="136"/>
      <c r="O503" s="136"/>
      <c r="P503" s="136"/>
      <c r="Q503" s="136"/>
      <c r="R503" s="136"/>
      <c r="S503" s="136"/>
      <c r="T503" s="136"/>
      <c r="U503" s="137" t="n">
        <v>0</v>
      </c>
      <c r="V503" s="137" t="n">
        <v>0</v>
      </c>
      <c r="W503" s="137" t="n">
        <v>0</v>
      </c>
      <c r="X503" s="137" t="n">
        <v>0</v>
      </c>
      <c r="Y503" s="137" t="n">
        <v>0</v>
      </c>
      <c r="Z503" s="137" t="n">
        <v>0</v>
      </c>
      <c r="AA503" s="137" t="n">
        <v>0</v>
      </c>
      <c r="AB503" s="137" t="n">
        <v>0</v>
      </c>
      <c r="AC503" s="137" t="n">
        <v>0</v>
      </c>
      <c r="AD503" s="137" t="n">
        <v>0</v>
      </c>
      <c r="AE503" s="137" t="n">
        <v>0</v>
      </c>
      <c r="AF503" s="137" t="n">
        <v>0</v>
      </c>
      <c r="AG503" s="137" t="n">
        <v>0</v>
      </c>
      <c r="AH503" s="137" t="n">
        <v>0</v>
      </c>
      <c r="AI503" s="137" t="n">
        <v>0</v>
      </c>
      <c r="AJ503" s="137" t="n">
        <v>0</v>
      </c>
      <c r="AK503" s="137" t="n">
        <v>0</v>
      </c>
      <c r="AL503" s="137" t="n">
        <v>0</v>
      </c>
      <c r="AM503" s="137" t="n">
        <v>0</v>
      </c>
      <c r="AN503" s="136"/>
      <c r="AO503" s="136"/>
      <c r="AP503" s="136"/>
      <c r="AQ503" s="136"/>
      <c r="AR503" s="136"/>
      <c r="AS503" s="136"/>
      <c r="AT503" s="138"/>
    </row>
    <row r="504" customFormat="false" ht="12.75" hidden="false" customHeight="true" outlineLevel="0" collapsed="false">
      <c r="B504" s="142"/>
      <c r="C504" s="143" t="s">
        <v>162</v>
      </c>
      <c r="D504" s="144" t="n">
        <v>61073</v>
      </c>
      <c r="E504" s="144" t="str">
        <f aca="false">IF(D504="","",IFERROR(VLOOKUP(D504,CCN_Library!$A$4:$B$13,2,FALSE()),"NOT IN LIBRARY"))</f>
        <v>COMPANY/BATTERY HEADQUARTERS, MARINE CORPS</v>
      </c>
      <c r="F504" s="145" t="str">
        <f aca="false">LEFT(H504,6)</f>
        <v>M28262</v>
      </c>
      <c r="G504" s="146" t="s">
        <v>128</v>
      </c>
      <c r="H504" s="146" t="s">
        <v>839</v>
      </c>
      <c r="I504" s="146" t="s">
        <v>166</v>
      </c>
      <c r="J504" s="146" t="s">
        <v>143</v>
      </c>
      <c r="K504" s="147" t="s">
        <v>132</v>
      </c>
      <c r="L504" s="146" t="s">
        <v>132</v>
      </c>
      <c r="M504" s="146" t="s">
        <v>133</v>
      </c>
      <c r="N504" s="146" t="s">
        <v>134</v>
      </c>
      <c r="O504" s="146" t="s">
        <v>135</v>
      </c>
      <c r="P504" s="146" t="s">
        <v>135</v>
      </c>
      <c r="Q504" s="148"/>
      <c r="R504" s="146" t="s">
        <v>136</v>
      </c>
      <c r="S504" s="146" t="s">
        <v>137</v>
      </c>
      <c r="T504" s="148"/>
      <c r="U504" s="149" t="n">
        <v>0</v>
      </c>
      <c r="V504" s="149" t="n">
        <v>0</v>
      </c>
      <c r="W504" s="149" t="n">
        <v>0</v>
      </c>
      <c r="X504" s="149" t="n">
        <v>0</v>
      </c>
      <c r="Y504" s="149" t="n">
        <v>0</v>
      </c>
      <c r="Z504" s="149" t="n">
        <v>1</v>
      </c>
      <c r="AA504" s="149" t="n">
        <v>0</v>
      </c>
      <c r="AB504" s="149" t="n">
        <v>0</v>
      </c>
      <c r="AC504" s="149" t="n">
        <v>0</v>
      </c>
      <c r="AD504" s="149" t="n">
        <v>0</v>
      </c>
      <c r="AE504" s="149" t="n">
        <v>0</v>
      </c>
      <c r="AF504" s="149" t="n">
        <v>0</v>
      </c>
      <c r="AG504" s="149" t="n">
        <v>0</v>
      </c>
      <c r="AH504" s="149" t="n">
        <v>0</v>
      </c>
      <c r="AI504" s="149" t="n">
        <v>0</v>
      </c>
      <c r="AJ504" s="149" t="n">
        <v>0</v>
      </c>
      <c r="AK504" s="149" t="n">
        <v>0</v>
      </c>
      <c r="AL504" s="149" t="n">
        <v>0</v>
      </c>
      <c r="AM504" s="149" t="n">
        <v>0</v>
      </c>
      <c r="AN504" s="148"/>
      <c r="AO504" s="148"/>
      <c r="AP504" s="146" t="s">
        <v>138</v>
      </c>
      <c r="AQ504" s="146" t="s">
        <v>139</v>
      </c>
      <c r="AR504" s="146" t="s">
        <v>840</v>
      </c>
      <c r="AS504" s="148"/>
      <c r="AT504" s="150"/>
    </row>
    <row r="505" customFormat="false" ht="12.75" hidden="false" customHeight="true" outlineLevel="0" collapsed="false">
      <c r="B505" s="142"/>
      <c r="C505" s="143" t="s">
        <v>162</v>
      </c>
      <c r="D505" s="144" t="n">
        <v>61073</v>
      </c>
      <c r="E505" s="144" t="str">
        <f aca="false">IF(D505="","",IFERROR(VLOOKUP(D505,CCN_Library!$A$4:$B$13,2,FALSE()),"NOT IN LIBRARY"))</f>
        <v>COMPANY/BATTERY HEADQUARTERS, MARINE CORPS</v>
      </c>
      <c r="F505" s="145" t="str">
        <f aca="false">LEFT(H505,6)</f>
        <v>M28262</v>
      </c>
      <c r="G505" s="146" t="s">
        <v>128</v>
      </c>
      <c r="H505" s="146" t="s">
        <v>841</v>
      </c>
      <c r="I505" s="146" t="s">
        <v>142</v>
      </c>
      <c r="J505" s="146" t="s">
        <v>211</v>
      </c>
      <c r="K505" s="147" t="s">
        <v>132</v>
      </c>
      <c r="L505" s="146" t="s">
        <v>132</v>
      </c>
      <c r="M505" s="146" t="s">
        <v>133</v>
      </c>
      <c r="N505" s="146" t="s">
        <v>134</v>
      </c>
      <c r="O505" s="146" t="s">
        <v>135</v>
      </c>
      <c r="P505" s="146" t="s">
        <v>135</v>
      </c>
      <c r="Q505" s="148"/>
      <c r="R505" s="146" t="s">
        <v>136</v>
      </c>
      <c r="S505" s="146" t="s">
        <v>137</v>
      </c>
      <c r="T505" s="148"/>
      <c r="U505" s="149" t="n">
        <v>0</v>
      </c>
      <c r="V505" s="149" t="n">
        <v>0</v>
      </c>
      <c r="W505" s="149" t="n">
        <v>0</v>
      </c>
      <c r="X505" s="149" t="n">
        <v>0</v>
      </c>
      <c r="Y505" s="149" t="n">
        <v>0</v>
      </c>
      <c r="Z505" s="149" t="n">
        <v>1</v>
      </c>
      <c r="AA505" s="149" t="n">
        <v>0</v>
      </c>
      <c r="AB505" s="149" t="n">
        <v>0</v>
      </c>
      <c r="AC505" s="149" t="n">
        <v>0</v>
      </c>
      <c r="AD505" s="149" t="n">
        <v>0</v>
      </c>
      <c r="AE505" s="149" t="n">
        <v>0</v>
      </c>
      <c r="AF505" s="149" t="n">
        <v>0</v>
      </c>
      <c r="AG505" s="149" t="n">
        <v>0</v>
      </c>
      <c r="AH505" s="149" t="n">
        <v>0</v>
      </c>
      <c r="AI505" s="149" t="n">
        <v>0</v>
      </c>
      <c r="AJ505" s="149" t="n">
        <v>0</v>
      </c>
      <c r="AK505" s="149" t="n">
        <v>0</v>
      </c>
      <c r="AL505" s="149" t="n">
        <v>0</v>
      </c>
      <c r="AM505" s="149" t="n">
        <v>0</v>
      </c>
      <c r="AN505" s="148"/>
      <c r="AO505" s="148"/>
      <c r="AP505" s="146" t="s">
        <v>138</v>
      </c>
      <c r="AQ505" s="146" t="s">
        <v>139</v>
      </c>
      <c r="AR505" s="146" t="s">
        <v>840</v>
      </c>
      <c r="AS505" s="148"/>
      <c r="AT505" s="150"/>
    </row>
    <row r="506" customFormat="false" ht="12.75" hidden="false" customHeight="true" outlineLevel="0" collapsed="false">
      <c r="B506" s="151"/>
      <c r="C506" s="143" t="s">
        <v>162</v>
      </c>
      <c r="D506" s="152" t="n">
        <v>61073</v>
      </c>
      <c r="E506" s="144" t="str">
        <f aca="false">IF(D506="","",IFERROR(VLOOKUP(D506,CCN_Library!$A$4:$B$13,2,FALSE()),"NOT IN LIBRARY"))</f>
        <v>COMPANY/BATTERY HEADQUARTERS, MARINE CORPS</v>
      </c>
      <c r="F506" s="145" t="str">
        <f aca="false">LEFT(H506,6)</f>
        <v>M28262</v>
      </c>
      <c r="G506" s="146" t="s">
        <v>128</v>
      </c>
      <c r="H506" s="146" t="s">
        <v>842</v>
      </c>
      <c r="I506" s="146" t="s">
        <v>605</v>
      </c>
      <c r="J506" s="146" t="s">
        <v>143</v>
      </c>
      <c r="K506" s="147" t="s">
        <v>151</v>
      </c>
      <c r="L506" s="146" t="s">
        <v>151</v>
      </c>
      <c r="M506" s="146" t="s">
        <v>133</v>
      </c>
      <c r="N506" s="146" t="s">
        <v>134</v>
      </c>
      <c r="O506" s="146" t="s">
        <v>135</v>
      </c>
      <c r="P506" s="146" t="s">
        <v>135</v>
      </c>
      <c r="Q506" s="148"/>
      <c r="R506" s="146" t="s">
        <v>136</v>
      </c>
      <c r="S506" s="146" t="s">
        <v>137</v>
      </c>
      <c r="T506" s="148"/>
      <c r="U506" s="149" t="n">
        <v>0</v>
      </c>
      <c r="V506" s="149" t="n">
        <v>0</v>
      </c>
      <c r="W506" s="149" t="n">
        <v>0</v>
      </c>
      <c r="X506" s="149" t="n">
        <v>0</v>
      </c>
      <c r="Y506" s="149" t="n">
        <v>0</v>
      </c>
      <c r="Z506" s="149" t="n">
        <v>1</v>
      </c>
      <c r="AA506" s="149" t="n">
        <v>0</v>
      </c>
      <c r="AB506" s="149" t="n">
        <v>0</v>
      </c>
      <c r="AC506" s="149" t="n">
        <v>0</v>
      </c>
      <c r="AD506" s="149" t="n">
        <v>0</v>
      </c>
      <c r="AE506" s="149" t="n">
        <v>0</v>
      </c>
      <c r="AF506" s="149" t="n">
        <v>0</v>
      </c>
      <c r="AG506" s="149" t="n">
        <v>0</v>
      </c>
      <c r="AH506" s="149" t="n">
        <v>0</v>
      </c>
      <c r="AI506" s="149" t="n">
        <v>0</v>
      </c>
      <c r="AJ506" s="149" t="n">
        <v>0</v>
      </c>
      <c r="AK506" s="149" t="n">
        <v>0</v>
      </c>
      <c r="AL506" s="149" t="n">
        <v>0</v>
      </c>
      <c r="AM506" s="149" t="n">
        <v>0</v>
      </c>
      <c r="AN506" s="148"/>
      <c r="AO506" s="148"/>
      <c r="AP506" s="146" t="s">
        <v>138</v>
      </c>
      <c r="AQ506" s="146" t="s">
        <v>139</v>
      </c>
      <c r="AR506" s="146" t="s">
        <v>840</v>
      </c>
      <c r="AS506" s="148"/>
      <c r="AT506" s="153"/>
    </row>
    <row r="507" customFormat="false" ht="12.75" hidden="false" customHeight="true" outlineLevel="0" collapsed="false">
      <c r="B507" s="142"/>
      <c r="C507" s="143" t="s">
        <v>162</v>
      </c>
      <c r="D507" s="144" t="n">
        <v>61073</v>
      </c>
      <c r="E507" s="144" t="str">
        <f aca="false">IF(D507="","",IFERROR(VLOOKUP(D507,CCN_Library!$A$4:$B$13,2,FALSE()),"NOT IN LIBRARY"))</f>
        <v>COMPANY/BATTERY HEADQUARTERS, MARINE CORPS</v>
      </c>
      <c r="F507" s="145" t="str">
        <f aca="false">LEFT(H507,6)</f>
        <v>M28262</v>
      </c>
      <c r="G507" s="146" t="s">
        <v>128</v>
      </c>
      <c r="H507" s="146" t="s">
        <v>843</v>
      </c>
      <c r="I507" s="146" t="s">
        <v>159</v>
      </c>
      <c r="J507" s="146" t="s">
        <v>174</v>
      </c>
      <c r="K507" s="147" t="s">
        <v>161</v>
      </c>
      <c r="L507" s="146" t="s">
        <v>161</v>
      </c>
      <c r="M507" s="146" t="s">
        <v>133</v>
      </c>
      <c r="N507" s="146" t="s">
        <v>128</v>
      </c>
      <c r="O507" s="146" t="s">
        <v>135</v>
      </c>
      <c r="P507" s="146" t="s">
        <v>135</v>
      </c>
      <c r="Q507" s="148"/>
      <c r="R507" s="146" t="s">
        <v>136</v>
      </c>
      <c r="S507" s="146" t="s">
        <v>137</v>
      </c>
      <c r="T507" s="148"/>
      <c r="U507" s="149" t="n">
        <v>0</v>
      </c>
      <c r="V507" s="149" t="n">
        <v>0</v>
      </c>
      <c r="W507" s="149" t="n">
        <v>0</v>
      </c>
      <c r="X507" s="149" t="n">
        <v>0</v>
      </c>
      <c r="Y507" s="149" t="n">
        <v>0</v>
      </c>
      <c r="Z507" s="149" t="n">
        <v>0</v>
      </c>
      <c r="AA507" s="149" t="n">
        <v>1</v>
      </c>
      <c r="AB507" s="149" t="n">
        <v>0</v>
      </c>
      <c r="AC507" s="149" t="n">
        <v>0</v>
      </c>
      <c r="AD507" s="149" t="n">
        <v>0</v>
      </c>
      <c r="AE507" s="149" t="n">
        <v>0</v>
      </c>
      <c r="AF507" s="149" t="n">
        <v>0</v>
      </c>
      <c r="AG507" s="149" t="n">
        <v>0</v>
      </c>
      <c r="AH507" s="149" t="n">
        <v>0</v>
      </c>
      <c r="AI507" s="149" t="n">
        <v>0</v>
      </c>
      <c r="AJ507" s="149" t="n">
        <v>0</v>
      </c>
      <c r="AK507" s="149" t="n">
        <v>0</v>
      </c>
      <c r="AL507" s="149" t="n">
        <v>0</v>
      </c>
      <c r="AM507" s="149" t="n">
        <v>0</v>
      </c>
      <c r="AN507" s="148"/>
      <c r="AO507" s="148"/>
      <c r="AP507" s="146" t="s">
        <v>138</v>
      </c>
      <c r="AQ507" s="146" t="s">
        <v>139</v>
      </c>
      <c r="AR507" s="146" t="s">
        <v>840</v>
      </c>
      <c r="AS507" s="148"/>
      <c r="AT507" s="150"/>
    </row>
    <row r="508" customFormat="false" ht="12.75" hidden="false" customHeight="true" outlineLevel="0" collapsed="false">
      <c r="B508" s="142"/>
      <c r="C508" s="143" t="s">
        <v>168</v>
      </c>
      <c r="D508" s="144" t="n">
        <v>61073</v>
      </c>
      <c r="E508" s="144" t="str">
        <f aca="false">IF(D508="","",IFERROR(VLOOKUP(D508,CCN_Library!$A$4:$B$13,2,FALSE()),"NOT IN LIBRARY"))</f>
        <v>COMPANY/BATTERY HEADQUARTERS, MARINE CORPS</v>
      </c>
      <c r="F508" s="145" t="str">
        <f aca="false">LEFT(H508,6)</f>
        <v>M28262</v>
      </c>
      <c r="G508" s="146" t="s">
        <v>128</v>
      </c>
      <c r="H508" s="146" t="s">
        <v>844</v>
      </c>
      <c r="I508" s="146" t="s">
        <v>195</v>
      </c>
      <c r="J508" s="146" t="s">
        <v>199</v>
      </c>
      <c r="K508" s="147" t="s">
        <v>197</v>
      </c>
      <c r="L508" s="146" t="s">
        <v>197</v>
      </c>
      <c r="M508" s="146" t="s">
        <v>133</v>
      </c>
      <c r="N508" s="146" t="s">
        <v>128</v>
      </c>
      <c r="O508" s="146" t="s">
        <v>135</v>
      </c>
      <c r="P508" s="146" t="s">
        <v>135</v>
      </c>
      <c r="Q508" s="148"/>
      <c r="R508" s="146" t="s">
        <v>136</v>
      </c>
      <c r="S508" s="146" t="s">
        <v>58</v>
      </c>
      <c r="T508" s="148"/>
      <c r="U508" s="149" t="n">
        <v>0</v>
      </c>
      <c r="V508" s="149" t="n">
        <v>0</v>
      </c>
      <c r="W508" s="149" t="n">
        <v>0</v>
      </c>
      <c r="X508" s="149" t="n">
        <v>0</v>
      </c>
      <c r="Y508" s="149" t="n">
        <v>0</v>
      </c>
      <c r="Z508" s="149" t="n">
        <v>0</v>
      </c>
      <c r="AA508" s="149" t="n">
        <v>1</v>
      </c>
      <c r="AB508" s="149" t="n">
        <v>0</v>
      </c>
      <c r="AC508" s="149" t="n">
        <v>0</v>
      </c>
      <c r="AD508" s="149" t="n">
        <v>0</v>
      </c>
      <c r="AE508" s="149" t="n">
        <v>0</v>
      </c>
      <c r="AF508" s="149" t="n">
        <v>0</v>
      </c>
      <c r="AG508" s="149" t="n">
        <v>0</v>
      </c>
      <c r="AH508" s="149" t="n">
        <v>0</v>
      </c>
      <c r="AI508" s="149" t="n">
        <v>0</v>
      </c>
      <c r="AJ508" s="149" t="n">
        <v>0</v>
      </c>
      <c r="AK508" s="149" t="n">
        <v>0</v>
      </c>
      <c r="AL508" s="149" t="n">
        <v>0</v>
      </c>
      <c r="AM508" s="149" t="n">
        <v>0</v>
      </c>
      <c r="AN508" s="148"/>
      <c r="AO508" s="148"/>
      <c r="AP508" s="146" t="s">
        <v>138</v>
      </c>
      <c r="AQ508" s="146" t="s">
        <v>139</v>
      </c>
      <c r="AR508" s="146" t="s">
        <v>840</v>
      </c>
      <c r="AS508" s="148"/>
      <c r="AT508" s="150"/>
    </row>
    <row r="509" customFormat="false" ht="12.75" hidden="false" customHeight="true" outlineLevel="0" collapsed="false">
      <c r="B509" s="142"/>
      <c r="C509" s="143" t="s">
        <v>162</v>
      </c>
      <c r="D509" s="144" t="n">
        <v>61073</v>
      </c>
      <c r="E509" s="144" t="str">
        <f aca="false">IF(D509="","",IFERROR(VLOOKUP(D509,CCN_Library!$A$4:$B$13,2,FALSE()),"NOT IN LIBRARY"))</f>
        <v>COMPANY/BATTERY HEADQUARTERS, MARINE CORPS</v>
      </c>
      <c r="F509" s="145" t="str">
        <f aca="false">LEFT(H509,6)</f>
        <v>M28262</v>
      </c>
      <c r="G509" s="146" t="s">
        <v>128</v>
      </c>
      <c r="H509" s="146" t="s">
        <v>845</v>
      </c>
      <c r="I509" s="146" t="s">
        <v>159</v>
      </c>
      <c r="J509" s="146" t="s">
        <v>187</v>
      </c>
      <c r="K509" s="147" t="s">
        <v>161</v>
      </c>
      <c r="L509" s="146" t="s">
        <v>161</v>
      </c>
      <c r="M509" s="146" t="s">
        <v>133</v>
      </c>
      <c r="N509" s="146" t="s">
        <v>128</v>
      </c>
      <c r="O509" s="146" t="s">
        <v>135</v>
      </c>
      <c r="P509" s="146" t="s">
        <v>135</v>
      </c>
      <c r="Q509" s="148"/>
      <c r="R509" s="146" t="s">
        <v>136</v>
      </c>
      <c r="S509" s="146" t="s">
        <v>137</v>
      </c>
      <c r="T509" s="148"/>
      <c r="U509" s="149" t="n">
        <v>0</v>
      </c>
      <c r="V509" s="149" t="n">
        <v>0</v>
      </c>
      <c r="W509" s="149" t="n">
        <v>0</v>
      </c>
      <c r="X509" s="149" t="n">
        <v>0</v>
      </c>
      <c r="Y509" s="149" t="n">
        <v>0</v>
      </c>
      <c r="Z509" s="149" t="n">
        <v>0</v>
      </c>
      <c r="AA509" s="149" t="n">
        <v>1</v>
      </c>
      <c r="AB509" s="149" t="n">
        <v>0</v>
      </c>
      <c r="AC509" s="149" t="n">
        <v>0</v>
      </c>
      <c r="AD509" s="149" t="n">
        <v>0</v>
      </c>
      <c r="AE509" s="149" t="n">
        <v>0</v>
      </c>
      <c r="AF509" s="149" t="n">
        <v>0</v>
      </c>
      <c r="AG509" s="149" t="n">
        <v>0</v>
      </c>
      <c r="AH509" s="149" t="n">
        <v>0</v>
      </c>
      <c r="AI509" s="149" t="n">
        <v>0</v>
      </c>
      <c r="AJ509" s="149" t="n">
        <v>0</v>
      </c>
      <c r="AK509" s="149" t="n">
        <v>0</v>
      </c>
      <c r="AL509" s="149" t="n">
        <v>0</v>
      </c>
      <c r="AM509" s="149" t="n">
        <v>0</v>
      </c>
      <c r="AN509" s="148"/>
      <c r="AO509" s="148"/>
      <c r="AP509" s="146" t="s">
        <v>138</v>
      </c>
      <c r="AQ509" s="146" t="s">
        <v>139</v>
      </c>
      <c r="AR509" s="146" t="s">
        <v>840</v>
      </c>
      <c r="AS509" s="148"/>
      <c r="AT509" s="150"/>
    </row>
    <row r="510" customFormat="false" ht="12.75" hidden="false" customHeight="true" outlineLevel="0" collapsed="false">
      <c r="B510" s="142"/>
      <c r="C510" s="143" t="s">
        <v>162</v>
      </c>
      <c r="D510" s="144" t="n">
        <v>61073</v>
      </c>
      <c r="E510" s="144" t="str">
        <f aca="false">IF(D510="","",IFERROR(VLOOKUP(D510,CCN_Library!$A$4:$B$13,2,FALSE()),"NOT IN LIBRARY"))</f>
        <v>COMPANY/BATTERY HEADQUARTERS, MARINE CORPS</v>
      </c>
      <c r="F510" s="145" t="str">
        <f aca="false">LEFT(H510,6)</f>
        <v>M28262</v>
      </c>
      <c r="G510" s="146" t="s">
        <v>128</v>
      </c>
      <c r="H510" s="146" t="s">
        <v>846</v>
      </c>
      <c r="I510" s="146" t="s">
        <v>159</v>
      </c>
      <c r="J510" s="146" t="s">
        <v>189</v>
      </c>
      <c r="K510" s="147" t="s">
        <v>161</v>
      </c>
      <c r="L510" s="146" t="s">
        <v>161</v>
      </c>
      <c r="M510" s="146" t="s">
        <v>133</v>
      </c>
      <c r="N510" s="146" t="s">
        <v>128</v>
      </c>
      <c r="O510" s="146" t="s">
        <v>135</v>
      </c>
      <c r="P510" s="146" t="s">
        <v>135</v>
      </c>
      <c r="Q510" s="148"/>
      <c r="R510" s="146" t="s">
        <v>136</v>
      </c>
      <c r="S510" s="146" t="s">
        <v>137</v>
      </c>
      <c r="T510" s="148"/>
      <c r="U510" s="149" t="n">
        <v>0</v>
      </c>
      <c r="V510" s="149" t="n">
        <v>0</v>
      </c>
      <c r="W510" s="149" t="n">
        <v>0</v>
      </c>
      <c r="X510" s="149" t="n">
        <v>0</v>
      </c>
      <c r="Y510" s="149" t="n">
        <v>0</v>
      </c>
      <c r="Z510" s="149" t="n">
        <v>0</v>
      </c>
      <c r="AA510" s="149" t="n">
        <v>1</v>
      </c>
      <c r="AB510" s="149" t="n">
        <v>0</v>
      </c>
      <c r="AC510" s="149" t="n">
        <v>0</v>
      </c>
      <c r="AD510" s="149" t="n">
        <v>0</v>
      </c>
      <c r="AE510" s="149" t="n">
        <v>0</v>
      </c>
      <c r="AF510" s="149" t="n">
        <v>0</v>
      </c>
      <c r="AG510" s="149" t="n">
        <v>0</v>
      </c>
      <c r="AH510" s="149" t="n">
        <v>0</v>
      </c>
      <c r="AI510" s="149" t="n">
        <v>0</v>
      </c>
      <c r="AJ510" s="149" t="n">
        <v>0</v>
      </c>
      <c r="AK510" s="149" t="n">
        <v>0</v>
      </c>
      <c r="AL510" s="149" t="n">
        <v>0</v>
      </c>
      <c r="AM510" s="149" t="n">
        <v>0</v>
      </c>
      <c r="AN510" s="148"/>
      <c r="AO510" s="148"/>
      <c r="AP510" s="146" t="s">
        <v>138</v>
      </c>
      <c r="AQ510" s="146" t="s">
        <v>139</v>
      </c>
      <c r="AR510" s="146" t="s">
        <v>840</v>
      </c>
      <c r="AS510" s="148"/>
      <c r="AT510" s="150"/>
    </row>
    <row r="511" customFormat="false" ht="12.75" hidden="false" customHeight="true" outlineLevel="0" collapsed="false">
      <c r="B511" s="151"/>
      <c r="C511" s="143" t="s">
        <v>168</v>
      </c>
      <c r="D511" s="152" t="n">
        <v>61073</v>
      </c>
      <c r="E511" s="144" t="str">
        <f aca="false">IF(D511="","",IFERROR(VLOOKUP(D511,CCN_Library!$A$4:$B$13,2,FALSE()),"NOT IN LIBRARY"))</f>
        <v>COMPANY/BATTERY HEADQUARTERS, MARINE CORPS</v>
      </c>
      <c r="F511" s="145" t="str">
        <f aca="false">LEFT(H511,6)</f>
        <v>M28262</v>
      </c>
      <c r="G511" s="146" t="s">
        <v>128</v>
      </c>
      <c r="H511" s="146" t="s">
        <v>847</v>
      </c>
      <c r="I511" s="146" t="s">
        <v>159</v>
      </c>
      <c r="J511" s="146" t="s">
        <v>191</v>
      </c>
      <c r="K511" s="147" t="s">
        <v>161</v>
      </c>
      <c r="L511" s="146" t="s">
        <v>161</v>
      </c>
      <c r="M511" s="146" t="s">
        <v>133</v>
      </c>
      <c r="N511" s="146" t="s">
        <v>128</v>
      </c>
      <c r="O511" s="146" t="s">
        <v>135</v>
      </c>
      <c r="P511" s="146" t="s">
        <v>135</v>
      </c>
      <c r="Q511" s="148"/>
      <c r="R511" s="146" t="s">
        <v>136</v>
      </c>
      <c r="S511" s="146" t="s">
        <v>58</v>
      </c>
      <c r="T511" s="148"/>
      <c r="U511" s="149" t="n">
        <v>0</v>
      </c>
      <c r="V511" s="149" t="n">
        <v>0</v>
      </c>
      <c r="W511" s="149" t="n">
        <v>0</v>
      </c>
      <c r="X511" s="149" t="n">
        <v>0</v>
      </c>
      <c r="Y511" s="149" t="n">
        <v>0</v>
      </c>
      <c r="Z511" s="149" t="n">
        <v>0</v>
      </c>
      <c r="AA511" s="149" t="n">
        <v>1</v>
      </c>
      <c r="AB511" s="149" t="n">
        <v>0</v>
      </c>
      <c r="AC511" s="149" t="n">
        <v>0</v>
      </c>
      <c r="AD511" s="149" t="n">
        <v>0</v>
      </c>
      <c r="AE511" s="149" t="n">
        <v>0</v>
      </c>
      <c r="AF511" s="149" t="n">
        <v>0</v>
      </c>
      <c r="AG511" s="149" t="n">
        <v>0</v>
      </c>
      <c r="AH511" s="149" t="n">
        <v>0</v>
      </c>
      <c r="AI511" s="149" t="n">
        <v>0</v>
      </c>
      <c r="AJ511" s="149" t="n">
        <v>0</v>
      </c>
      <c r="AK511" s="149" t="n">
        <v>0</v>
      </c>
      <c r="AL511" s="149" t="n">
        <v>0</v>
      </c>
      <c r="AM511" s="149" t="n">
        <v>0</v>
      </c>
      <c r="AN511" s="148"/>
      <c r="AO511" s="148"/>
      <c r="AP511" s="146" t="s">
        <v>138</v>
      </c>
      <c r="AQ511" s="146" t="s">
        <v>139</v>
      </c>
      <c r="AR511" s="146" t="s">
        <v>840</v>
      </c>
      <c r="AS511" s="148"/>
      <c r="AT511" s="153"/>
    </row>
    <row r="512" customFormat="false" ht="12.75" hidden="false" customHeight="true" outlineLevel="0" collapsed="false">
      <c r="B512" s="142"/>
      <c r="C512" s="143" t="s">
        <v>162</v>
      </c>
      <c r="D512" s="144" t="n">
        <v>61073</v>
      </c>
      <c r="E512" s="144" t="str">
        <f aca="false">IF(D512="","",IFERROR(VLOOKUP(D512,CCN_Library!$A$4:$B$13,2,FALSE()),"NOT IN LIBRARY"))</f>
        <v>COMPANY/BATTERY HEADQUARTERS, MARINE CORPS</v>
      </c>
      <c r="F512" s="145" t="str">
        <f aca="false">LEFT(H512,6)</f>
        <v>M28262</v>
      </c>
      <c r="G512" s="146" t="s">
        <v>128</v>
      </c>
      <c r="H512" s="146" t="s">
        <v>848</v>
      </c>
      <c r="I512" s="146" t="s">
        <v>613</v>
      </c>
      <c r="J512" s="146" t="s">
        <v>182</v>
      </c>
      <c r="K512" s="147" t="s">
        <v>132</v>
      </c>
      <c r="L512" s="146" t="s">
        <v>132</v>
      </c>
      <c r="M512" s="146" t="s">
        <v>133</v>
      </c>
      <c r="N512" s="146" t="s">
        <v>134</v>
      </c>
      <c r="O512" s="146" t="s">
        <v>135</v>
      </c>
      <c r="P512" s="146" t="s">
        <v>135</v>
      </c>
      <c r="Q512" s="148"/>
      <c r="R512" s="146" t="s">
        <v>136</v>
      </c>
      <c r="S512" s="146" t="s">
        <v>137</v>
      </c>
      <c r="T512" s="148"/>
      <c r="U512" s="149" t="n">
        <v>0</v>
      </c>
      <c r="V512" s="149" t="n">
        <v>0</v>
      </c>
      <c r="W512" s="149" t="n">
        <v>0</v>
      </c>
      <c r="X512" s="149" t="n">
        <v>0</v>
      </c>
      <c r="Y512" s="149" t="n">
        <v>0</v>
      </c>
      <c r="Z512" s="149" t="n">
        <v>1</v>
      </c>
      <c r="AA512" s="149" t="n">
        <v>0</v>
      </c>
      <c r="AB512" s="149" t="n">
        <v>0</v>
      </c>
      <c r="AC512" s="149" t="n">
        <v>0</v>
      </c>
      <c r="AD512" s="149" t="n">
        <v>0</v>
      </c>
      <c r="AE512" s="149" t="n">
        <v>0</v>
      </c>
      <c r="AF512" s="149" t="n">
        <v>0</v>
      </c>
      <c r="AG512" s="149" t="n">
        <v>0</v>
      </c>
      <c r="AH512" s="149" t="n">
        <v>0</v>
      </c>
      <c r="AI512" s="149" t="n">
        <v>0</v>
      </c>
      <c r="AJ512" s="149" t="n">
        <v>0</v>
      </c>
      <c r="AK512" s="149" t="n">
        <v>0</v>
      </c>
      <c r="AL512" s="149" t="n">
        <v>0</v>
      </c>
      <c r="AM512" s="149" t="n">
        <v>0</v>
      </c>
      <c r="AN512" s="148"/>
      <c r="AO512" s="148"/>
      <c r="AP512" s="146" t="s">
        <v>138</v>
      </c>
      <c r="AQ512" s="146" t="s">
        <v>139</v>
      </c>
      <c r="AR512" s="146" t="s">
        <v>840</v>
      </c>
      <c r="AS512" s="148"/>
      <c r="AT512" s="150"/>
    </row>
    <row r="513" customFormat="false" ht="12.75" hidden="false" customHeight="true" outlineLevel="0" collapsed="false">
      <c r="B513" s="142"/>
      <c r="C513" s="143" t="s">
        <v>162</v>
      </c>
      <c r="D513" s="144" t="n">
        <v>61073</v>
      </c>
      <c r="E513" s="144" t="str">
        <f aca="false">IF(D513="","",IFERROR(VLOOKUP(D513,CCN_Library!$A$4:$B$13,2,FALSE()),"NOT IN LIBRARY"))</f>
        <v>COMPANY/BATTERY HEADQUARTERS, MARINE CORPS</v>
      </c>
      <c r="F513" s="145" t="str">
        <f aca="false">LEFT(H513,6)</f>
        <v>M28262</v>
      </c>
      <c r="G513" s="146" t="s">
        <v>128</v>
      </c>
      <c r="H513" s="146" t="s">
        <v>849</v>
      </c>
      <c r="I513" s="146" t="s">
        <v>159</v>
      </c>
      <c r="J513" s="146" t="s">
        <v>187</v>
      </c>
      <c r="K513" s="147" t="s">
        <v>161</v>
      </c>
      <c r="L513" s="146" t="s">
        <v>161</v>
      </c>
      <c r="M513" s="146" t="s">
        <v>133</v>
      </c>
      <c r="N513" s="146" t="s">
        <v>128</v>
      </c>
      <c r="O513" s="146" t="s">
        <v>135</v>
      </c>
      <c r="P513" s="146" t="s">
        <v>135</v>
      </c>
      <c r="Q513" s="148"/>
      <c r="R513" s="146" t="s">
        <v>136</v>
      </c>
      <c r="S513" s="146" t="s">
        <v>137</v>
      </c>
      <c r="T513" s="148"/>
      <c r="U513" s="149" t="n">
        <v>0</v>
      </c>
      <c r="V513" s="149" t="n">
        <v>0</v>
      </c>
      <c r="W513" s="149" t="n">
        <v>0</v>
      </c>
      <c r="X513" s="149" t="n">
        <v>0</v>
      </c>
      <c r="Y513" s="149" t="n">
        <v>0</v>
      </c>
      <c r="Z513" s="149" t="n">
        <v>0</v>
      </c>
      <c r="AA513" s="149" t="n">
        <v>1</v>
      </c>
      <c r="AB513" s="149" t="n">
        <v>0</v>
      </c>
      <c r="AC513" s="149" t="n">
        <v>0</v>
      </c>
      <c r="AD513" s="149" t="n">
        <v>0</v>
      </c>
      <c r="AE513" s="149" t="n">
        <v>0</v>
      </c>
      <c r="AF513" s="149" t="n">
        <v>0</v>
      </c>
      <c r="AG513" s="149" t="n">
        <v>0</v>
      </c>
      <c r="AH513" s="149" t="n">
        <v>0</v>
      </c>
      <c r="AI513" s="149" t="n">
        <v>0</v>
      </c>
      <c r="AJ513" s="149" t="n">
        <v>0</v>
      </c>
      <c r="AK513" s="149" t="n">
        <v>0</v>
      </c>
      <c r="AL513" s="149" t="n">
        <v>0</v>
      </c>
      <c r="AM513" s="149" t="n">
        <v>0</v>
      </c>
      <c r="AN513" s="148"/>
      <c r="AO513" s="148"/>
      <c r="AP513" s="146" t="s">
        <v>138</v>
      </c>
      <c r="AQ513" s="146" t="s">
        <v>139</v>
      </c>
      <c r="AR513" s="146" t="s">
        <v>840</v>
      </c>
      <c r="AS513" s="148"/>
      <c r="AT513" s="150"/>
    </row>
    <row r="514" customFormat="false" ht="12.75" hidden="false" customHeight="true" outlineLevel="0" collapsed="false">
      <c r="B514" s="142"/>
      <c r="C514" s="143" t="s">
        <v>168</v>
      </c>
      <c r="D514" s="144" t="n">
        <v>61073</v>
      </c>
      <c r="E514" s="144" t="str">
        <f aca="false">IF(D514="","",IFERROR(VLOOKUP(D514,CCN_Library!$A$4:$B$13,2,FALSE()),"NOT IN LIBRARY"))</f>
        <v>COMPANY/BATTERY HEADQUARTERS, MARINE CORPS</v>
      </c>
      <c r="F514" s="145" t="str">
        <f aca="false">LEFT(H514,6)</f>
        <v>M28262</v>
      </c>
      <c r="G514" s="146" t="s">
        <v>128</v>
      </c>
      <c r="H514" s="146" t="s">
        <v>850</v>
      </c>
      <c r="I514" s="146" t="s">
        <v>159</v>
      </c>
      <c r="J514" s="146" t="s">
        <v>191</v>
      </c>
      <c r="K514" s="147" t="s">
        <v>161</v>
      </c>
      <c r="L514" s="146" t="s">
        <v>161</v>
      </c>
      <c r="M514" s="146" t="s">
        <v>133</v>
      </c>
      <c r="N514" s="146" t="s">
        <v>128</v>
      </c>
      <c r="O514" s="146" t="s">
        <v>135</v>
      </c>
      <c r="P514" s="146" t="s">
        <v>135</v>
      </c>
      <c r="Q514" s="148"/>
      <c r="R514" s="146" t="s">
        <v>136</v>
      </c>
      <c r="S514" s="146" t="s">
        <v>58</v>
      </c>
      <c r="T514" s="148"/>
      <c r="U514" s="149" t="n">
        <v>0</v>
      </c>
      <c r="V514" s="149" t="n">
        <v>0</v>
      </c>
      <c r="W514" s="149" t="n">
        <v>0</v>
      </c>
      <c r="X514" s="149" t="n">
        <v>0</v>
      </c>
      <c r="Y514" s="149" t="n">
        <v>0</v>
      </c>
      <c r="Z514" s="149" t="n">
        <v>0</v>
      </c>
      <c r="AA514" s="149" t="n">
        <v>1</v>
      </c>
      <c r="AB514" s="149" t="n">
        <v>0</v>
      </c>
      <c r="AC514" s="149" t="n">
        <v>0</v>
      </c>
      <c r="AD514" s="149" t="n">
        <v>0</v>
      </c>
      <c r="AE514" s="149" t="n">
        <v>0</v>
      </c>
      <c r="AF514" s="149" t="n">
        <v>0</v>
      </c>
      <c r="AG514" s="149" t="n">
        <v>0</v>
      </c>
      <c r="AH514" s="149" t="n">
        <v>0</v>
      </c>
      <c r="AI514" s="149" t="n">
        <v>0</v>
      </c>
      <c r="AJ514" s="149" t="n">
        <v>0</v>
      </c>
      <c r="AK514" s="149" t="n">
        <v>0</v>
      </c>
      <c r="AL514" s="149" t="n">
        <v>0</v>
      </c>
      <c r="AM514" s="149" t="n">
        <v>0</v>
      </c>
      <c r="AN514" s="148"/>
      <c r="AO514" s="148"/>
      <c r="AP514" s="146" t="s">
        <v>138</v>
      </c>
      <c r="AQ514" s="146" t="s">
        <v>139</v>
      </c>
      <c r="AR514" s="146" t="s">
        <v>840</v>
      </c>
      <c r="AS514" s="148"/>
      <c r="AT514" s="150"/>
    </row>
    <row r="515" customFormat="false" ht="12.75" hidden="false" customHeight="true" outlineLevel="0" collapsed="false">
      <c r="B515" s="142"/>
      <c r="C515" s="143" t="s">
        <v>168</v>
      </c>
      <c r="D515" s="144" t="n">
        <v>61073</v>
      </c>
      <c r="E515" s="144" t="str">
        <f aca="false">IF(D515="","",IFERROR(VLOOKUP(D515,CCN_Library!$A$4:$B$13,2,FALSE()),"NOT IN LIBRARY"))</f>
        <v>COMPANY/BATTERY HEADQUARTERS, MARINE CORPS</v>
      </c>
      <c r="F515" s="145" t="str">
        <f aca="false">LEFT(H515,6)</f>
        <v>M28262</v>
      </c>
      <c r="G515" s="146" t="s">
        <v>128</v>
      </c>
      <c r="H515" s="146" t="s">
        <v>851</v>
      </c>
      <c r="I515" s="146" t="s">
        <v>159</v>
      </c>
      <c r="J515" s="146" t="s">
        <v>191</v>
      </c>
      <c r="K515" s="147" t="s">
        <v>161</v>
      </c>
      <c r="L515" s="146" t="s">
        <v>161</v>
      </c>
      <c r="M515" s="146" t="s">
        <v>133</v>
      </c>
      <c r="N515" s="146" t="s">
        <v>128</v>
      </c>
      <c r="O515" s="146" t="s">
        <v>135</v>
      </c>
      <c r="P515" s="146" t="s">
        <v>135</v>
      </c>
      <c r="Q515" s="148"/>
      <c r="R515" s="146" t="s">
        <v>136</v>
      </c>
      <c r="S515" s="146" t="s">
        <v>58</v>
      </c>
      <c r="T515" s="148"/>
      <c r="U515" s="149" t="n">
        <v>0</v>
      </c>
      <c r="V515" s="149" t="n">
        <v>0</v>
      </c>
      <c r="W515" s="149" t="n">
        <v>0</v>
      </c>
      <c r="X515" s="149" t="n">
        <v>0</v>
      </c>
      <c r="Y515" s="149" t="n">
        <v>0</v>
      </c>
      <c r="Z515" s="149" t="n">
        <v>0</v>
      </c>
      <c r="AA515" s="149" t="n">
        <v>1</v>
      </c>
      <c r="AB515" s="149" t="n">
        <v>0</v>
      </c>
      <c r="AC515" s="149" t="n">
        <v>0</v>
      </c>
      <c r="AD515" s="149" t="n">
        <v>0</v>
      </c>
      <c r="AE515" s="149" t="n">
        <v>0</v>
      </c>
      <c r="AF515" s="149" t="n">
        <v>0</v>
      </c>
      <c r="AG515" s="149" t="n">
        <v>0</v>
      </c>
      <c r="AH515" s="149" t="n">
        <v>0</v>
      </c>
      <c r="AI515" s="149" t="n">
        <v>0</v>
      </c>
      <c r="AJ515" s="149" t="n">
        <v>0</v>
      </c>
      <c r="AK515" s="149" t="n">
        <v>0</v>
      </c>
      <c r="AL515" s="149" t="n">
        <v>0</v>
      </c>
      <c r="AM515" s="149" t="n">
        <v>0</v>
      </c>
      <c r="AN515" s="148"/>
      <c r="AO515" s="148"/>
      <c r="AP515" s="146" t="s">
        <v>138</v>
      </c>
      <c r="AQ515" s="146" t="s">
        <v>139</v>
      </c>
      <c r="AR515" s="146" t="s">
        <v>840</v>
      </c>
      <c r="AS515" s="148"/>
      <c r="AT515" s="150"/>
    </row>
    <row r="516" customFormat="false" ht="12.75" hidden="false" customHeight="true" outlineLevel="0" collapsed="false">
      <c r="B516" s="142"/>
      <c r="C516" s="143" t="s">
        <v>168</v>
      </c>
      <c r="D516" s="144" t="n">
        <v>61073</v>
      </c>
      <c r="E516" s="144" t="str">
        <f aca="false">IF(D516="","",IFERROR(VLOOKUP(D516,CCN_Library!$A$4:$B$13,2,FALSE()),"NOT IN LIBRARY"))</f>
        <v>COMPANY/BATTERY HEADQUARTERS, MARINE CORPS</v>
      </c>
      <c r="F516" s="145" t="str">
        <f aca="false">LEFT(H516,6)</f>
        <v>M28262</v>
      </c>
      <c r="G516" s="146" t="s">
        <v>128</v>
      </c>
      <c r="H516" s="146" t="s">
        <v>852</v>
      </c>
      <c r="I516" s="146" t="s">
        <v>159</v>
      </c>
      <c r="J516" s="146" t="s">
        <v>176</v>
      </c>
      <c r="K516" s="147" t="s">
        <v>161</v>
      </c>
      <c r="L516" s="146" t="s">
        <v>161</v>
      </c>
      <c r="M516" s="146" t="s">
        <v>133</v>
      </c>
      <c r="N516" s="146" t="s">
        <v>128</v>
      </c>
      <c r="O516" s="146" t="s">
        <v>135</v>
      </c>
      <c r="P516" s="146" t="s">
        <v>135</v>
      </c>
      <c r="Q516" s="148"/>
      <c r="R516" s="146" t="s">
        <v>136</v>
      </c>
      <c r="S516" s="146" t="s">
        <v>58</v>
      </c>
      <c r="T516" s="148"/>
      <c r="U516" s="149" t="n">
        <v>0</v>
      </c>
      <c r="V516" s="149" t="n">
        <v>0</v>
      </c>
      <c r="W516" s="149" t="n">
        <v>0</v>
      </c>
      <c r="X516" s="149" t="n">
        <v>0</v>
      </c>
      <c r="Y516" s="149" t="n">
        <v>0</v>
      </c>
      <c r="Z516" s="149" t="n">
        <v>0</v>
      </c>
      <c r="AA516" s="149" t="n">
        <v>1</v>
      </c>
      <c r="AB516" s="149" t="n">
        <v>0</v>
      </c>
      <c r="AC516" s="149" t="n">
        <v>0</v>
      </c>
      <c r="AD516" s="149" t="n">
        <v>0</v>
      </c>
      <c r="AE516" s="149" t="n">
        <v>0</v>
      </c>
      <c r="AF516" s="149" t="n">
        <v>0</v>
      </c>
      <c r="AG516" s="149" t="n">
        <v>0</v>
      </c>
      <c r="AH516" s="149" t="n">
        <v>0</v>
      </c>
      <c r="AI516" s="149" t="n">
        <v>0</v>
      </c>
      <c r="AJ516" s="149" t="n">
        <v>0</v>
      </c>
      <c r="AK516" s="149" t="n">
        <v>0</v>
      </c>
      <c r="AL516" s="149" t="n">
        <v>0</v>
      </c>
      <c r="AM516" s="149" t="n">
        <v>0</v>
      </c>
      <c r="AN516" s="148"/>
      <c r="AO516" s="148"/>
      <c r="AP516" s="146" t="s">
        <v>138</v>
      </c>
      <c r="AQ516" s="146" t="s">
        <v>139</v>
      </c>
      <c r="AR516" s="146" t="s">
        <v>840</v>
      </c>
      <c r="AS516" s="148"/>
      <c r="AT516" s="150"/>
    </row>
    <row r="517" customFormat="false" ht="12.75" hidden="false" customHeight="true" outlineLevel="0" collapsed="false">
      <c r="B517" s="142"/>
      <c r="C517" s="143" t="s">
        <v>168</v>
      </c>
      <c r="D517" s="144" t="n">
        <v>61073</v>
      </c>
      <c r="E517" s="144" t="str">
        <f aca="false">IF(D517="","",IFERROR(VLOOKUP(D517,CCN_Library!$A$4:$B$13,2,FALSE()),"NOT IN LIBRARY"))</f>
        <v>COMPANY/BATTERY HEADQUARTERS, MARINE CORPS</v>
      </c>
      <c r="F517" s="145" t="str">
        <f aca="false">LEFT(H517,6)</f>
        <v>M28262</v>
      </c>
      <c r="G517" s="146" t="s">
        <v>128</v>
      </c>
      <c r="H517" s="146" t="s">
        <v>853</v>
      </c>
      <c r="I517" s="146" t="s">
        <v>159</v>
      </c>
      <c r="J517" s="146" t="s">
        <v>176</v>
      </c>
      <c r="K517" s="147" t="s">
        <v>161</v>
      </c>
      <c r="L517" s="146" t="s">
        <v>161</v>
      </c>
      <c r="M517" s="146" t="s">
        <v>133</v>
      </c>
      <c r="N517" s="146" t="s">
        <v>128</v>
      </c>
      <c r="O517" s="146" t="s">
        <v>135</v>
      </c>
      <c r="P517" s="146" t="s">
        <v>135</v>
      </c>
      <c r="Q517" s="148"/>
      <c r="R517" s="146" t="s">
        <v>136</v>
      </c>
      <c r="S517" s="146" t="s">
        <v>58</v>
      </c>
      <c r="T517" s="148"/>
      <c r="U517" s="149" t="n">
        <v>0</v>
      </c>
      <c r="V517" s="149" t="n">
        <v>0</v>
      </c>
      <c r="W517" s="149" t="n">
        <v>0</v>
      </c>
      <c r="X517" s="149" t="n">
        <v>0</v>
      </c>
      <c r="Y517" s="149" t="n">
        <v>0</v>
      </c>
      <c r="Z517" s="149" t="n">
        <v>0</v>
      </c>
      <c r="AA517" s="149" t="n">
        <v>1</v>
      </c>
      <c r="AB517" s="149" t="n">
        <v>0</v>
      </c>
      <c r="AC517" s="149" t="n">
        <v>0</v>
      </c>
      <c r="AD517" s="149" t="n">
        <v>0</v>
      </c>
      <c r="AE517" s="149" t="n">
        <v>0</v>
      </c>
      <c r="AF517" s="149" t="n">
        <v>0</v>
      </c>
      <c r="AG517" s="149" t="n">
        <v>0</v>
      </c>
      <c r="AH517" s="149" t="n">
        <v>0</v>
      </c>
      <c r="AI517" s="149" t="n">
        <v>0</v>
      </c>
      <c r="AJ517" s="149" t="n">
        <v>0</v>
      </c>
      <c r="AK517" s="149" t="n">
        <v>0</v>
      </c>
      <c r="AL517" s="149" t="n">
        <v>0</v>
      </c>
      <c r="AM517" s="149" t="n">
        <v>0</v>
      </c>
      <c r="AN517" s="148"/>
      <c r="AO517" s="148"/>
      <c r="AP517" s="146" t="s">
        <v>138</v>
      </c>
      <c r="AQ517" s="146" t="s">
        <v>139</v>
      </c>
      <c r="AR517" s="146" t="s">
        <v>840</v>
      </c>
      <c r="AS517" s="148"/>
      <c r="AT517" s="150"/>
    </row>
    <row r="518" customFormat="false" ht="12.75" hidden="false" customHeight="true" outlineLevel="0" collapsed="false">
      <c r="B518" s="142"/>
      <c r="C518" s="143" t="s">
        <v>168</v>
      </c>
      <c r="D518" s="144" t="n">
        <v>61073</v>
      </c>
      <c r="E518" s="144" t="str">
        <f aca="false">IF(D518="","",IFERROR(VLOOKUP(D518,CCN_Library!$A$4:$B$13,2,FALSE()),"NOT IN LIBRARY"))</f>
        <v>COMPANY/BATTERY HEADQUARTERS, MARINE CORPS</v>
      </c>
      <c r="F518" s="145" t="str">
        <f aca="false">LEFT(H518,6)</f>
        <v>M28262</v>
      </c>
      <c r="G518" s="146" t="s">
        <v>128</v>
      </c>
      <c r="H518" s="146" t="s">
        <v>854</v>
      </c>
      <c r="I518" s="146" t="s">
        <v>159</v>
      </c>
      <c r="J518" s="146" t="s">
        <v>191</v>
      </c>
      <c r="K518" s="147" t="s">
        <v>161</v>
      </c>
      <c r="L518" s="146" t="s">
        <v>161</v>
      </c>
      <c r="M518" s="146" t="s">
        <v>133</v>
      </c>
      <c r="N518" s="146" t="s">
        <v>128</v>
      </c>
      <c r="O518" s="146" t="s">
        <v>135</v>
      </c>
      <c r="P518" s="146" t="s">
        <v>135</v>
      </c>
      <c r="Q518" s="148"/>
      <c r="R518" s="146" t="s">
        <v>136</v>
      </c>
      <c r="S518" s="146" t="s">
        <v>58</v>
      </c>
      <c r="T518" s="148"/>
      <c r="U518" s="149" t="n">
        <v>0</v>
      </c>
      <c r="V518" s="149" t="n">
        <v>0</v>
      </c>
      <c r="W518" s="149" t="n">
        <v>0</v>
      </c>
      <c r="X518" s="149" t="n">
        <v>0</v>
      </c>
      <c r="Y518" s="149" t="n">
        <v>0</v>
      </c>
      <c r="Z518" s="149" t="n">
        <v>0</v>
      </c>
      <c r="AA518" s="149" t="n">
        <v>1</v>
      </c>
      <c r="AB518" s="149" t="n">
        <v>0</v>
      </c>
      <c r="AC518" s="149" t="n">
        <v>0</v>
      </c>
      <c r="AD518" s="149" t="n">
        <v>0</v>
      </c>
      <c r="AE518" s="149" t="n">
        <v>0</v>
      </c>
      <c r="AF518" s="149" t="n">
        <v>0</v>
      </c>
      <c r="AG518" s="149" t="n">
        <v>0</v>
      </c>
      <c r="AH518" s="149" t="n">
        <v>0</v>
      </c>
      <c r="AI518" s="149" t="n">
        <v>0</v>
      </c>
      <c r="AJ518" s="149" t="n">
        <v>0</v>
      </c>
      <c r="AK518" s="149" t="n">
        <v>0</v>
      </c>
      <c r="AL518" s="149" t="n">
        <v>0</v>
      </c>
      <c r="AM518" s="149" t="n">
        <v>0</v>
      </c>
      <c r="AN518" s="148"/>
      <c r="AO518" s="148"/>
      <c r="AP518" s="146" t="s">
        <v>138</v>
      </c>
      <c r="AQ518" s="146" t="s">
        <v>139</v>
      </c>
      <c r="AR518" s="146" t="s">
        <v>840</v>
      </c>
      <c r="AS518" s="148"/>
      <c r="AT518" s="150"/>
    </row>
    <row r="519" customFormat="false" ht="12.75" hidden="false" customHeight="true" outlineLevel="0" collapsed="false">
      <c r="B519" s="142"/>
      <c r="C519" s="143" t="s">
        <v>168</v>
      </c>
      <c r="D519" s="144" t="n">
        <v>61073</v>
      </c>
      <c r="E519" s="144" t="str">
        <f aca="false">IF(D519="","",IFERROR(VLOOKUP(D519,CCN_Library!$A$4:$B$13,2,FALSE()),"NOT IN LIBRARY"))</f>
        <v>COMPANY/BATTERY HEADQUARTERS, MARINE CORPS</v>
      </c>
      <c r="F519" s="145" t="str">
        <f aca="false">LEFT(H519,6)</f>
        <v>M28262</v>
      </c>
      <c r="G519" s="146" t="s">
        <v>128</v>
      </c>
      <c r="H519" s="146" t="s">
        <v>855</v>
      </c>
      <c r="I519" s="146" t="s">
        <v>159</v>
      </c>
      <c r="J519" s="146" t="s">
        <v>176</v>
      </c>
      <c r="K519" s="147" t="s">
        <v>161</v>
      </c>
      <c r="L519" s="146" t="s">
        <v>161</v>
      </c>
      <c r="M519" s="146" t="s">
        <v>133</v>
      </c>
      <c r="N519" s="146" t="s">
        <v>128</v>
      </c>
      <c r="O519" s="146" t="s">
        <v>135</v>
      </c>
      <c r="P519" s="146" t="s">
        <v>135</v>
      </c>
      <c r="Q519" s="148"/>
      <c r="R519" s="146" t="s">
        <v>136</v>
      </c>
      <c r="S519" s="146" t="s">
        <v>58</v>
      </c>
      <c r="T519" s="148"/>
      <c r="U519" s="149" t="n">
        <v>0</v>
      </c>
      <c r="V519" s="149" t="n">
        <v>0</v>
      </c>
      <c r="W519" s="149" t="n">
        <v>0</v>
      </c>
      <c r="X519" s="149" t="n">
        <v>0</v>
      </c>
      <c r="Y519" s="149" t="n">
        <v>0</v>
      </c>
      <c r="Z519" s="149" t="n">
        <v>0</v>
      </c>
      <c r="AA519" s="149" t="n">
        <v>1</v>
      </c>
      <c r="AB519" s="149" t="n">
        <v>0</v>
      </c>
      <c r="AC519" s="149" t="n">
        <v>0</v>
      </c>
      <c r="AD519" s="149" t="n">
        <v>0</v>
      </c>
      <c r="AE519" s="149" t="n">
        <v>0</v>
      </c>
      <c r="AF519" s="149" t="n">
        <v>0</v>
      </c>
      <c r="AG519" s="149" t="n">
        <v>0</v>
      </c>
      <c r="AH519" s="149" t="n">
        <v>0</v>
      </c>
      <c r="AI519" s="149" t="n">
        <v>0</v>
      </c>
      <c r="AJ519" s="149" t="n">
        <v>0</v>
      </c>
      <c r="AK519" s="149" t="n">
        <v>0</v>
      </c>
      <c r="AL519" s="149" t="n">
        <v>0</v>
      </c>
      <c r="AM519" s="149" t="n">
        <v>0</v>
      </c>
      <c r="AN519" s="148"/>
      <c r="AO519" s="148"/>
      <c r="AP519" s="146" t="s">
        <v>138</v>
      </c>
      <c r="AQ519" s="146" t="s">
        <v>139</v>
      </c>
      <c r="AR519" s="146" t="s">
        <v>840</v>
      </c>
      <c r="AS519" s="148"/>
      <c r="AT519" s="150"/>
    </row>
    <row r="520" customFormat="false" ht="12.75" hidden="false" customHeight="true" outlineLevel="0" collapsed="false">
      <c r="B520" s="142"/>
      <c r="C520" s="143" t="s">
        <v>168</v>
      </c>
      <c r="D520" s="144" t="n">
        <v>61073</v>
      </c>
      <c r="E520" s="144" t="str">
        <f aca="false">IF(D520="","",IFERROR(VLOOKUP(D520,CCN_Library!$A$4:$B$13,2,FALSE()),"NOT IN LIBRARY"))</f>
        <v>COMPANY/BATTERY HEADQUARTERS, MARINE CORPS</v>
      </c>
      <c r="F520" s="145" t="str">
        <f aca="false">LEFT(H520,6)</f>
        <v>M28262</v>
      </c>
      <c r="G520" s="146" t="s">
        <v>128</v>
      </c>
      <c r="H520" s="146" t="s">
        <v>856</v>
      </c>
      <c r="I520" s="146" t="s">
        <v>159</v>
      </c>
      <c r="J520" s="146" t="s">
        <v>176</v>
      </c>
      <c r="K520" s="147" t="s">
        <v>161</v>
      </c>
      <c r="L520" s="146" t="s">
        <v>161</v>
      </c>
      <c r="M520" s="146" t="s">
        <v>133</v>
      </c>
      <c r="N520" s="146" t="s">
        <v>128</v>
      </c>
      <c r="O520" s="146" t="s">
        <v>135</v>
      </c>
      <c r="P520" s="146" t="s">
        <v>135</v>
      </c>
      <c r="Q520" s="148"/>
      <c r="R520" s="146" t="s">
        <v>136</v>
      </c>
      <c r="S520" s="146" t="s">
        <v>58</v>
      </c>
      <c r="T520" s="148"/>
      <c r="U520" s="149" t="n">
        <v>0</v>
      </c>
      <c r="V520" s="149" t="n">
        <v>0</v>
      </c>
      <c r="W520" s="149" t="n">
        <v>0</v>
      </c>
      <c r="X520" s="149" t="n">
        <v>0</v>
      </c>
      <c r="Y520" s="149" t="n">
        <v>0</v>
      </c>
      <c r="Z520" s="149" t="n">
        <v>0</v>
      </c>
      <c r="AA520" s="149" t="n">
        <v>1</v>
      </c>
      <c r="AB520" s="149" t="n">
        <v>0</v>
      </c>
      <c r="AC520" s="149" t="n">
        <v>0</v>
      </c>
      <c r="AD520" s="149" t="n">
        <v>0</v>
      </c>
      <c r="AE520" s="149" t="n">
        <v>0</v>
      </c>
      <c r="AF520" s="149" t="n">
        <v>0</v>
      </c>
      <c r="AG520" s="149" t="n">
        <v>0</v>
      </c>
      <c r="AH520" s="149" t="n">
        <v>0</v>
      </c>
      <c r="AI520" s="149" t="n">
        <v>0</v>
      </c>
      <c r="AJ520" s="149" t="n">
        <v>0</v>
      </c>
      <c r="AK520" s="149" t="n">
        <v>0</v>
      </c>
      <c r="AL520" s="149" t="n">
        <v>0</v>
      </c>
      <c r="AM520" s="149" t="n">
        <v>0</v>
      </c>
      <c r="AN520" s="148"/>
      <c r="AO520" s="148"/>
      <c r="AP520" s="146" t="s">
        <v>138</v>
      </c>
      <c r="AQ520" s="146" t="s">
        <v>139</v>
      </c>
      <c r="AR520" s="146" t="s">
        <v>840</v>
      </c>
      <c r="AS520" s="148"/>
      <c r="AT520" s="150"/>
    </row>
    <row r="521" customFormat="false" ht="12.75" hidden="false" customHeight="true" outlineLevel="0" collapsed="false">
      <c r="B521" s="142"/>
      <c r="C521" s="143" t="s">
        <v>168</v>
      </c>
      <c r="D521" s="144" t="n">
        <v>61073</v>
      </c>
      <c r="E521" s="144" t="str">
        <f aca="false">IF(D521="","",IFERROR(VLOOKUP(D521,CCN_Library!$A$4:$B$13,2,FALSE()),"NOT IN LIBRARY"))</f>
        <v>COMPANY/BATTERY HEADQUARTERS, MARINE CORPS</v>
      </c>
      <c r="F521" s="145" t="str">
        <f aca="false">LEFT(H521,6)</f>
        <v>M28262</v>
      </c>
      <c r="G521" s="146" t="s">
        <v>128</v>
      </c>
      <c r="H521" s="146" t="s">
        <v>857</v>
      </c>
      <c r="I521" s="146" t="s">
        <v>159</v>
      </c>
      <c r="J521" s="146" t="s">
        <v>176</v>
      </c>
      <c r="K521" s="147" t="s">
        <v>161</v>
      </c>
      <c r="L521" s="146" t="s">
        <v>161</v>
      </c>
      <c r="M521" s="146" t="s">
        <v>133</v>
      </c>
      <c r="N521" s="146" t="s">
        <v>128</v>
      </c>
      <c r="O521" s="146" t="s">
        <v>135</v>
      </c>
      <c r="P521" s="146" t="s">
        <v>135</v>
      </c>
      <c r="Q521" s="148"/>
      <c r="R521" s="146" t="s">
        <v>136</v>
      </c>
      <c r="S521" s="146" t="s">
        <v>58</v>
      </c>
      <c r="T521" s="148"/>
      <c r="U521" s="149" t="n">
        <v>0</v>
      </c>
      <c r="V521" s="149" t="n">
        <v>0</v>
      </c>
      <c r="W521" s="149" t="n">
        <v>0</v>
      </c>
      <c r="X521" s="149" t="n">
        <v>0</v>
      </c>
      <c r="Y521" s="149" t="n">
        <v>0</v>
      </c>
      <c r="Z521" s="149" t="n">
        <v>0</v>
      </c>
      <c r="AA521" s="149" t="n">
        <v>1</v>
      </c>
      <c r="AB521" s="149" t="n">
        <v>0</v>
      </c>
      <c r="AC521" s="149" t="n">
        <v>0</v>
      </c>
      <c r="AD521" s="149" t="n">
        <v>0</v>
      </c>
      <c r="AE521" s="149" t="n">
        <v>0</v>
      </c>
      <c r="AF521" s="149" t="n">
        <v>0</v>
      </c>
      <c r="AG521" s="149" t="n">
        <v>0</v>
      </c>
      <c r="AH521" s="149" t="n">
        <v>0</v>
      </c>
      <c r="AI521" s="149" t="n">
        <v>0</v>
      </c>
      <c r="AJ521" s="149" t="n">
        <v>0</v>
      </c>
      <c r="AK521" s="149" t="n">
        <v>0</v>
      </c>
      <c r="AL521" s="149" t="n">
        <v>0</v>
      </c>
      <c r="AM521" s="149" t="n">
        <v>0</v>
      </c>
      <c r="AN521" s="148"/>
      <c r="AO521" s="148"/>
      <c r="AP521" s="146" t="s">
        <v>138</v>
      </c>
      <c r="AQ521" s="146" t="s">
        <v>139</v>
      </c>
      <c r="AR521" s="146" t="s">
        <v>840</v>
      </c>
      <c r="AS521" s="148"/>
      <c r="AT521" s="150"/>
    </row>
    <row r="522" customFormat="false" ht="12.75" hidden="false" customHeight="true" outlineLevel="0" collapsed="false">
      <c r="B522" s="142"/>
      <c r="C522" s="143" t="s">
        <v>162</v>
      </c>
      <c r="D522" s="144" t="n">
        <v>61073</v>
      </c>
      <c r="E522" s="144" t="str">
        <f aca="false">IF(D522="","",IFERROR(VLOOKUP(D522,CCN_Library!$A$4:$B$13,2,FALSE()),"NOT IN LIBRARY"))</f>
        <v>COMPANY/BATTERY HEADQUARTERS, MARINE CORPS</v>
      </c>
      <c r="F522" s="145" t="str">
        <f aca="false">LEFT(H522,6)</f>
        <v>M28262</v>
      </c>
      <c r="G522" s="146" t="s">
        <v>128</v>
      </c>
      <c r="H522" s="146" t="s">
        <v>858</v>
      </c>
      <c r="I522" s="146" t="s">
        <v>624</v>
      </c>
      <c r="J522" s="146" t="s">
        <v>185</v>
      </c>
      <c r="K522" s="147" t="s">
        <v>132</v>
      </c>
      <c r="L522" s="146" t="s">
        <v>132</v>
      </c>
      <c r="M522" s="146" t="s">
        <v>133</v>
      </c>
      <c r="N522" s="146" t="s">
        <v>134</v>
      </c>
      <c r="O522" s="146" t="s">
        <v>135</v>
      </c>
      <c r="P522" s="146" t="s">
        <v>135</v>
      </c>
      <c r="Q522" s="148"/>
      <c r="R522" s="146" t="s">
        <v>136</v>
      </c>
      <c r="S522" s="146" t="s">
        <v>137</v>
      </c>
      <c r="T522" s="148"/>
      <c r="U522" s="149" t="n">
        <v>0</v>
      </c>
      <c r="V522" s="149" t="n">
        <v>0</v>
      </c>
      <c r="W522" s="149" t="n">
        <v>0</v>
      </c>
      <c r="X522" s="149" t="n">
        <v>0</v>
      </c>
      <c r="Y522" s="149" t="n">
        <v>0</v>
      </c>
      <c r="Z522" s="149" t="n">
        <v>1</v>
      </c>
      <c r="AA522" s="149" t="n">
        <v>0</v>
      </c>
      <c r="AB522" s="149" t="n">
        <v>0</v>
      </c>
      <c r="AC522" s="149" t="n">
        <v>0</v>
      </c>
      <c r="AD522" s="149" t="n">
        <v>0</v>
      </c>
      <c r="AE522" s="149" t="n">
        <v>0</v>
      </c>
      <c r="AF522" s="149" t="n">
        <v>0</v>
      </c>
      <c r="AG522" s="149" t="n">
        <v>0</v>
      </c>
      <c r="AH522" s="149" t="n">
        <v>0</v>
      </c>
      <c r="AI522" s="149" t="n">
        <v>0</v>
      </c>
      <c r="AJ522" s="149" t="n">
        <v>0</v>
      </c>
      <c r="AK522" s="149" t="n">
        <v>0</v>
      </c>
      <c r="AL522" s="149" t="n">
        <v>0</v>
      </c>
      <c r="AM522" s="149" t="n">
        <v>0</v>
      </c>
      <c r="AN522" s="148"/>
      <c r="AO522" s="148"/>
      <c r="AP522" s="146" t="s">
        <v>138</v>
      </c>
      <c r="AQ522" s="146" t="s">
        <v>139</v>
      </c>
      <c r="AR522" s="146" t="s">
        <v>840</v>
      </c>
      <c r="AS522" s="148"/>
      <c r="AT522" s="150"/>
    </row>
    <row r="523" customFormat="false" ht="12.75" hidden="false" customHeight="true" outlineLevel="0" collapsed="false">
      <c r="B523" s="142"/>
      <c r="C523" s="143" t="s">
        <v>162</v>
      </c>
      <c r="D523" s="144" t="n">
        <v>61073</v>
      </c>
      <c r="E523" s="144" t="str">
        <f aca="false">IF(D523="","",IFERROR(VLOOKUP(D523,CCN_Library!$A$4:$B$13,2,FALSE()),"NOT IN LIBRARY"))</f>
        <v>COMPANY/BATTERY HEADQUARTERS, MARINE CORPS</v>
      </c>
      <c r="F523" s="145" t="str">
        <f aca="false">LEFT(H523,6)</f>
        <v>M28262</v>
      </c>
      <c r="G523" s="146" t="s">
        <v>128</v>
      </c>
      <c r="H523" s="146" t="s">
        <v>859</v>
      </c>
      <c r="I523" s="146" t="s">
        <v>159</v>
      </c>
      <c r="J523" s="146" t="s">
        <v>187</v>
      </c>
      <c r="K523" s="147" t="s">
        <v>161</v>
      </c>
      <c r="L523" s="146" t="s">
        <v>161</v>
      </c>
      <c r="M523" s="146" t="s">
        <v>133</v>
      </c>
      <c r="N523" s="146" t="s">
        <v>128</v>
      </c>
      <c r="O523" s="146" t="s">
        <v>135</v>
      </c>
      <c r="P523" s="146" t="s">
        <v>135</v>
      </c>
      <c r="Q523" s="148"/>
      <c r="R523" s="146" t="s">
        <v>136</v>
      </c>
      <c r="S523" s="146" t="s">
        <v>137</v>
      </c>
      <c r="T523" s="148"/>
      <c r="U523" s="149" t="n">
        <v>0</v>
      </c>
      <c r="V523" s="149" t="n">
        <v>0</v>
      </c>
      <c r="W523" s="149" t="n">
        <v>0</v>
      </c>
      <c r="X523" s="149" t="n">
        <v>0</v>
      </c>
      <c r="Y523" s="149" t="n">
        <v>0</v>
      </c>
      <c r="Z523" s="149" t="n">
        <v>0</v>
      </c>
      <c r="AA523" s="149" t="n">
        <v>1</v>
      </c>
      <c r="AB523" s="149" t="n">
        <v>0</v>
      </c>
      <c r="AC523" s="149" t="n">
        <v>0</v>
      </c>
      <c r="AD523" s="149" t="n">
        <v>0</v>
      </c>
      <c r="AE523" s="149" t="n">
        <v>0</v>
      </c>
      <c r="AF523" s="149" t="n">
        <v>0</v>
      </c>
      <c r="AG523" s="149" t="n">
        <v>0</v>
      </c>
      <c r="AH523" s="149" t="n">
        <v>0</v>
      </c>
      <c r="AI523" s="149" t="n">
        <v>0</v>
      </c>
      <c r="AJ523" s="149" t="n">
        <v>0</v>
      </c>
      <c r="AK523" s="149" t="n">
        <v>0</v>
      </c>
      <c r="AL523" s="149" t="n">
        <v>0</v>
      </c>
      <c r="AM523" s="149" t="n">
        <v>0</v>
      </c>
      <c r="AN523" s="148"/>
      <c r="AO523" s="148"/>
      <c r="AP523" s="146" t="s">
        <v>138</v>
      </c>
      <c r="AQ523" s="146" t="s">
        <v>139</v>
      </c>
      <c r="AR523" s="146" t="s">
        <v>840</v>
      </c>
      <c r="AS523" s="148"/>
      <c r="AT523" s="150"/>
    </row>
    <row r="524" customFormat="false" ht="12.75" hidden="false" customHeight="true" outlineLevel="0" collapsed="false">
      <c r="B524" s="142"/>
      <c r="C524" s="143" t="s">
        <v>162</v>
      </c>
      <c r="D524" s="144" t="n">
        <v>61073</v>
      </c>
      <c r="E524" s="144" t="str">
        <f aca="false">IF(D524="","",IFERROR(VLOOKUP(D524,CCN_Library!$A$4:$B$13,2,FALSE()),"NOT IN LIBRARY"))</f>
        <v>COMPANY/BATTERY HEADQUARTERS, MARINE CORPS</v>
      </c>
      <c r="F524" s="145" t="str">
        <f aca="false">LEFT(H524,6)</f>
        <v>M28262</v>
      </c>
      <c r="G524" s="146" t="s">
        <v>128</v>
      </c>
      <c r="H524" s="146" t="s">
        <v>860</v>
      </c>
      <c r="I524" s="146" t="s">
        <v>159</v>
      </c>
      <c r="J524" s="146" t="s">
        <v>187</v>
      </c>
      <c r="K524" s="147" t="s">
        <v>161</v>
      </c>
      <c r="L524" s="146" t="s">
        <v>161</v>
      </c>
      <c r="M524" s="146" t="s">
        <v>133</v>
      </c>
      <c r="N524" s="146" t="s">
        <v>128</v>
      </c>
      <c r="O524" s="146" t="s">
        <v>135</v>
      </c>
      <c r="P524" s="146" t="s">
        <v>135</v>
      </c>
      <c r="Q524" s="148"/>
      <c r="R524" s="146" t="s">
        <v>136</v>
      </c>
      <c r="S524" s="146" t="s">
        <v>137</v>
      </c>
      <c r="T524" s="148"/>
      <c r="U524" s="149" t="n">
        <v>0</v>
      </c>
      <c r="V524" s="149" t="n">
        <v>0</v>
      </c>
      <c r="W524" s="149" t="n">
        <v>0</v>
      </c>
      <c r="X524" s="149" t="n">
        <v>0</v>
      </c>
      <c r="Y524" s="149" t="n">
        <v>0</v>
      </c>
      <c r="Z524" s="149" t="n">
        <v>0</v>
      </c>
      <c r="AA524" s="149" t="n">
        <v>1</v>
      </c>
      <c r="AB524" s="149" t="n">
        <v>0</v>
      </c>
      <c r="AC524" s="149" t="n">
        <v>0</v>
      </c>
      <c r="AD524" s="149" t="n">
        <v>0</v>
      </c>
      <c r="AE524" s="149" t="n">
        <v>0</v>
      </c>
      <c r="AF524" s="149" t="n">
        <v>0</v>
      </c>
      <c r="AG524" s="149" t="n">
        <v>0</v>
      </c>
      <c r="AH524" s="149" t="n">
        <v>0</v>
      </c>
      <c r="AI524" s="149" t="n">
        <v>0</v>
      </c>
      <c r="AJ524" s="149" t="n">
        <v>0</v>
      </c>
      <c r="AK524" s="149" t="n">
        <v>0</v>
      </c>
      <c r="AL524" s="149" t="n">
        <v>0</v>
      </c>
      <c r="AM524" s="149" t="n">
        <v>0</v>
      </c>
      <c r="AN524" s="148"/>
      <c r="AO524" s="148"/>
      <c r="AP524" s="146" t="s">
        <v>138</v>
      </c>
      <c r="AQ524" s="146" t="s">
        <v>139</v>
      </c>
      <c r="AR524" s="146" t="s">
        <v>840</v>
      </c>
      <c r="AS524" s="148"/>
      <c r="AT524" s="150"/>
    </row>
    <row r="525" customFormat="false" ht="12.75" hidden="false" customHeight="true" outlineLevel="0" collapsed="false">
      <c r="B525" s="142"/>
      <c r="C525" s="143" t="s">
        <v>162</v>
      </c>
      <c r="D525" s="144" t="n">
        <v>61073</v>
      </c>
      <c r="E525" s="144" t="str">
        <f aca="false">IF(D525="","",IFERROR(VLOOKUP(D525,CCN_Library!$A$4:$B$13,2,FALSE()),"NOT IN LIBRARY"))</f>
        <v>COMPANY/BATTERY HEADQUARTERS, MARINE CORPS</v>
      </c>
      <c r="F525" s="145" t="str">
        <f aca="false">LEFT(H525,6)</f>
        <v>M28262</v>
      </c>
      <c r="G525" s="146" t="s">
        <v>128</v>
      </c>
      <c r="H525" s="146" t="s">
        <v>861</v>
      </c>
      <c r="I525" s="146" t="s">
        <v>159</v>
      </c>
      <c r="J525" s="146" t="s">
        <v>189</v>
      </c>
      <c r="K525" s="147" t="s">
        <v>161</v>
      </c>
      <c r="L525" s="146" t="s">
        <v>161</v>
      </c>
      <c r="M525" s="146" t="s">
        <v>133</v>
      </c>
      <c r="N525" s="146" t="s">
        <v>128</v>
      </c>
      <c r="O525" s="146" t="s">
        <v>135</v>
      </c>
      <c r="P525" s="146" t="s">
        <v>135</v>
      </c>
      <c r="Q525" s="148"/>
      <c r="R525" s="146" t="s">
        <v>136</v>
      </c>
      <c r="S525" s="146" t="s">
        <v>137</v>
      </c>
      <c r="T525" s="148"/>
      <c r="U525" s="149" t="n">
        <v>0</v>
      </c>
      <c r="V525" s="149" t="n">
        <v>0</v>
      </c>
      <c r="W525" s="149" t="n">
        <v>0</v>
      </c>
      <c r="X525" s="149" t="n">
        <v>0</v>
      </c>
      <c r="Y525" s="149" t="n">
        <v>0</v>
      </c>
      <c r="Z525" s="149" t="n">
        <v>0</v>
      </c>
      <c r="AA525" s="149" t="n">
        <v>1</v>
      </c>
      <c r="AB525" s="149" t="n">
        <v>0</v>
      </c>
      <c r="AC525" s="149" t="n">
        <v>0</v>
      </c>
      <c r="AD525" s="149" t="n">
        <v>0</v>
      </c>
      <c r="AE525" s="149" t="n">
        <v>0</v>
      </c>
      <c r="AF525" s="149" t="n">
        <v>0</v>
      </c>
      <c r="AG525" s="149" t="n">
        <v>0</v>
      </c>
      <c r="AH525" s="149" t="n">
        <v>0</v>
      </c>
      <c r="AI525" s="149" t="n">
        <v>0</v>
      </c>
      <c r="AJ525" s="149" t="n">
        <v>0</v>
      </c>
      <c r="AK525" s="149" t="n">
        <v>0</v>
      </c>
      <c r="AL525" s="149" t="n">
        <v>0</v>
      </c>
      <c r="AM525" s="149" t="n">
        <v>0</v>
      </c>
      <c r="AN525" s="148"/>
      <c r="AO525" s="148"/>
      <c r="AP525" s="146" t="s">
        <v>138</v>
      </c>
      <c r="AQ525" s="146" t="s">
        <v>139</v>
      </c>
      <c r="AR525" s="146" t="s">
        <v>840</v>
      </c>
      <c r="AS525" s="148"/>
      <c r="AT525" s="150"/>
    </row>
    <row r="526" customFormat="false" ht="12.75" hidden="false" customHeight="true" outlineLevel="0" collapsed="false">
      <c r="B526" s="142"/>
      <c r="C526" s="143" t="s">
        <v>168</v>
      </c>
      <c r="D526" s="144" t="n">
        <v>61073</v>
      </c>
      <c r="E526" s="144" t="str">
        <f aca="false">IF(D526="","",IFERROR(VLOOKUP(D526,CCN_Library!$A$4:$B$13,2,FALSE()),"NOT IN LIBRARY"))</f>
        <v>COMPANY/BATTERY HEADQUARTERS, MARINE CORPS</v>
      </c>
      <c r="F526" s="145" t="str">
        <f aca="false">LEFT(H526,6)</f>
        <v>M28262</v>
      </c>
      <c r="G526" s="146" t="s">
        <v>128</v>
      </c>
      <c r="H526" s="146" t="s">
        <v>862</v>
      </c>
      <c r="I526" s="146" t="s">
        <v>159</v>
      </c>
      <c r="J526" s="146" t="s">
        <v>191</v>
      </c>
      <c r="K526" s="147" t="s">
        <v>161</v>
      </c>
      <c r="L526" s="146" t="s">
        <v>161</v>
      </c>
      <c r="M526" s="146" t="s">
        <v>133</v>
      </c>
      <c r="N526" s="146" t="s">
        <v>128</v>
      </c>
      <c r="O526" s="146" t="s">
        <v>135</v>
      </c>
      <c r="P526" s="146" t="s">
        <v>135</v>
      </c>
      <c r="Q526" s="148"/>
      <c r="R526" s="146" t="s">
        <v>136</v>
      </c>
      <c r="S526" s="146" t="s">
        <v>58</v>
      </c>
      <c r="T526" s="148"/>
      <c r="U526" s="149" t="n">
        <v>0</v>
      </c>
      <c r="V526" s="149" t="n">
        <v>0</v>
      </c>
      <c r="W526" s="149" t="n">
        <v>0</v>
      </c>
      <c r="X526" s="149" t="n">
        <v>0</v>
      </c>
      <c r="Y526" s="149" t="n">
        <v>0</v>
      </c>
      <c r="Z526" s="149" t="n">
        <v>0</v>
      </c>
      <c r="AA526" s="149" t="n">
        <v>1</v>
      </c>
      <c r="AB526" s="149" t="n">
        <v>0</v>
      </c>
      <c r="AC526" s="149" t="n">
        <v>0</v>
      </c>
      <c r="AD526" s="149" t="n">
        <v>0</v>
      </c>
      <c r="AE526" s="149" t="n">
        <v>0</v>
      </c>
      <c r="AF526" s="149" t="n">
        <v>0</v>
      </c>
      <c r="AG526" s="149" t="n">
        <v>0</v>
      </c>
      <c r="AH526" s="149" t="n">
        <v>0</v>
      </c>
      <c r="AI526" s="149" t="n">
        <v>0</v>
      </c>
      <c r="AJ526" s="149" t="n">
        <v>0</v>
      </c>
      <c r="AK526" s="149" t="n">
        <v>0</v>
      </c>
      <c r="AL526" s="149" t="n">
        <v>0</v>
      </c>
      <c r="AM526" s="149" t="n">
        <v>0</v>
      </c>
      <c r="AN526" s="148"/>
      <c r="AO526" s="148"/>
      <c r="AP526" s="146" t="s">
        <v>138</v>
      </c>
      <c r="AQ526" s="146" t="s">
        <v>139</v>
      </c>
      <c r="AR526" s="146" t="s">
        <v>840</v>
      </c>
      <c r="AS526" s="148"/>
      <c r="AT526" s="150"/>
    </row>
    <row r="527" customFormat="false" ht="12.75" hidden="false" customHeight="true" outlineLevel="0" collapsed="false">
      <c r="B527" s="142"/>
      <c r="C527" s="143" t="s">
        <v>168</v>
      </c>
      <c r="D527" s="144" t="n">
        <v>61073</v>
      </c>
      <c r="E527" s="144" t="str">
        <f aca="false">IF(D527="","",IFERROR(VLOOKUP(D527,CCN_Library!$A$4:$B$13,2,FALSE()),"NOT IN LIBRARY"))</f>
        <v>COMPANY/BATTERY HEADQUARTERS, MARINE CORPS</v>
      </c>
      <c r="F527" s="145" t="str">
        <f aca="false">LEFT(H527,6)</f>
        <v>M28262</v>
      </c>
      <c r="G527" s="146" t="s">
        <v>128</v>
      </c>
      <c r="H527" s="146" t="s">
        <v>863</v>
      </c>
      <c r="I527" s="146" t="s">
        <v>159</v>
      </c>
      <c r="J527" s="146" t="s">
        <v>191</v>
      </c>
      <c r="K527" s="147" t="s">
        <v>161</v>
      </c>
      <c r="L527" s="146" t="s">
        <v>161</v>
      </c>
      <c r="M527" s="146" t="s">
        <v>133</v>
      </c>
      <c r="N527" s="146" t="s">
        <v>128</v>
      </c>
      <c r="O527" s="146" t="s">
        <v>135</v>
      </c>
      <c r="P527" s="146" t="s">
        <v>135</v>
      </c>
      <c r="Q527" s="148"/>
      <c r="R527" s="146" t="s">
        <v>136</v>
      </c>
      <c r="S527" s="146" t="s">
        <v>58</v>
      </c>
      <c r="T527" s="148"/>
      <c r="U527" s="149" t="n">
        <v>0</v>
      </c>
      <c r="V527" s="149" t="n">
        <v>0</v>
      </c>
      <c r="W527" s="149" t="n">
        <v>0</v>
      </c>
      <c r="X527" s="149" t="n">
        <v>0</v>
      </c>
      <c r="Y527" s="149" t="n">
        <v>0</v>
      </c>
      <c r="Z527" s="149" t="n">
        <v>0</v>
      </c>
      <c r="AA527" s="149" t="n">
        <v>1</v>
      </c>
      <c r="AB527" s="149" t="n">
        <v>0</v>
      </c>
      <c r="AC527" s="149" t="n">
        <v>0</v>
      </c>
      <c r="AD527" s="149" t="n">
        <v>0</v>
      </c>
      <c r="AE527" s="149" t="n">
        <v>0</v>
      </c>
      <c r="AF527" s="149" t="n">
        <v>0</v>
      </c>
      <c r="AG527" s="149" t="n">
        <v>0</v>
      </c>
      <c r="AH527" s="149" t="n">
        <v>0</v>
      </c>
      <c r="AI527" s="149" t="n">
        <v>0</v>
      </c>
      <c r="AJ527" s="149" t="n">
        <v>0</v>
      </c>
      <c r="AK527" s="149" t="n">
        <v>0</v>
      </c>
      <c r="AL527" s="149" t="n">
        <v>0</v>
      </c>
      <c r="AM527" s="149" t="n">
        <v>0</v>
      </c>
      <c r="AN527" s="148"/>
      <c r="AO527" s="148"/>
      <c r="AP527" s="146" t="s">
        <v>138</v>
      </c>
      <c r="AQ527" s="146" t="s">
        <v>139</v>
      </c>
      <c r="AR527" s="146" t="s">
        <v>840</v>
      </c>
      <c r="AS527" s="148"/>
      <c r="AT527" s="150"/>
    </row>
    <row r="528" customFormat="false" ht="12.75" hidden="false" customHeight="true" outlineLevel="0" collapsed="false">
      <c r="B528" s="142"/>
      <c r="C528" s="143" t="s">
        <v>168</v>
      </c>
      <c r="D528" s="144" t="n">
        <v>61073</v>
      </c>
      <c r="E528" s="144" t="str">
        <f aca="false">IF(D528="","",IFERROR(VLOOKUP(D528,CCN_Library!$A$4:$B$13,2,FALSE()),"NOT IN LIBRARY"))</f>
        <v>COMPANY/BATTERY HEADQUARTERS, MARINE CORPS</v>
      </c>
      <c r="F528" s="145" t="str">
        <f aca="false">LEFT(H528,6)</f>
        <v>M28262</v>
      </c>
      <c r="G528" s="146" t="s">
        <v>128</v>
      </c>
      <c r="H528" s="146" t="s">
        <v>864</v>
      </c>
      <c r="I528" s="146" t="s">
        <v>159</v>
      </c>
      <c r="J528" s="146" t="s">
        <v>176</v>
      </c>
      <c r="K528" s="147" t="s">
        <v>161</v>
      </c>
      <c r="L528" s="146" t="s">
        <v>161</v>
      </c>
      <c r="M528" s="146" t="s">
        <v>133</v>
      </c>
      <c r="N528" s="146" t="s">
        <v>128</v>
      </c>
      <c r="O528" s="146" t="s">
        <v>135</v>
      </c>
      <c r="P528" s="146" t="s">
        <v>135</v>
      </c>
      <c r="Q528" s="148"/>
      <c r="R528" s="146" t="s">
        <v>136</v>
      </c>
      <c r="S528" s="146" t="s">
        <v>58</v>
      </c>
      <c r="T528" s="148"/>
      <c r="U528" s="149" t="n">
        <v>0</v>
      </c>
      <c r="V528" s="149" t="n">
        <v>0</v>
      </c>
      <c r="W528" s="149" t="n">
        <v>0</v>
      </c>
      <c r="X528" s="149" t="n">
        <v>0</v>
      </c>
      <c r="Y528" s="149" t="n">
        <v>0</v>
      </c>
      <c r="Z528" s="149" t="n">
        <v>0</v>
      </c>
      <c r="AA528" s="149" t="n">
        <v>1</v>
      </c>
      <c r="AB528" s="149" t="n">
        <v>0</v>
      </c>
      <c r="AC528" s="149" t="n">
        <v>0</v>
      </c>
      <c r="AD528" s="149" t="n">
        <v>0</v>
      </c>
      <c r="AE528" s="149" t="n">
        <v>0</v>
      </c>
      <c r="AF528" s="149" t="n">
        <v>0</v>
      </c>
      <c r="AG528" s="149" t="n">
        <v>0</v>
      </c>
      <c r="AH528" s="149" t="n">
        <v>0</v>
      </c>
      <c r="AI528" s="149" t="n">
        <v>0</v>
      </c>
      <c r="AJ528" s="149" t="n">
        <v>0</v>
      </c>
      <c r="AK528" s="149" t="n">
        <v>0</v>
      </c>
      <c r="AL528" s="149" t="n">
        <v>0</v>
      </c>
      <c r="AM528" s="149" t="n">
        <v>0</v>
      </c>
      <c r="AN528" s="148"/>
      <c r="AO528" s="148"/>
      <c r="AP528" s="146" t="s">
        <v>138</v>
      </c>
      <c r="AQ528" s="146" t="s">
        <v>139</v>
      </c>
      <c r="AR528" s="146" t="s">
        <v>840</v>
      </c>
      <c r="AS528" s="148"/>
      <c r="AT528" s="150"/>
    </row>
    <row r="529" customFormat="false" ht="12.75" hidden="false" customHeight="true" outlineLevel="0" collapsed="false">
      <c r="B529" s="142"/>
      <c r="C529" s="143" t="s">
        <v>168</v>
      </c>
      <c r="D529" s="144" t="n">
        <v>61073</v>
      </c>
      <c r="E529" s="144" t="str">
        <f aca="false">IF(D529="","",IFERROR(VLOOKUP(D529,CCN_Library!$A$4:$B$13,2,FALSE()),"NOT IN LIBRARY"))</f>
        <v>COMPANY/BATTERY HEADQUARTERS, MARINE CORPS</v>
      </c>
      <c r="F529" s="145" t="str">
        <f aca="false">LEFT(H529,6)</f>
        <v>M28262</v>
      </c>
      <c r="G529" s="146" t="s">
        <v>128</v>
      </c>
      <c r="H529" s="146" t="s">
        <v>865</v>
      </c>
      <c r="I529" s="146" t="s">
        <v>632</v>
      </c>
      <c r="J529" s="146" t="s">
        <v>256</v>
      </c>
      <c r="K529" s="147" t="s">
        <v>285</v>
      </c>
      <c r="L529" s="146" t="s">
        <v>285</v>
      </c>
      <c r="M529" s="146" t="s">
        <v>148</v>
      </c>
      <c r="N529" s="146" t="s">
        <v>128</v>
      </c>
      <c r="O529" s="146" t="s">
        <v>135</v>
      </c>
      <c r="P529" s="146" t="s">
        <v>135</v>
      </c>
      <c r="Q529" s="148"/>
      <c r="R529" s="146" t="s">
        <v>136</v>
      </c>
      <c r="S529" s="146" t="s">
        <v>148</v>
      </c>
      <c r="T529" s="148"/>
      <c r="U529" s="149" t="n">
        <v>0</v>
      </c>
      <c r="V529" s="149" t="n">
        <v>1</v>
      </c>
      <c r="W529" s="149" t="n">
        <v>0</v>
      </c>
      <c r="X529" s="149" t="n">
        <v>0</v>
      </c>
      <c r="Y529" s="149" t="n">
        <v>0</v>
      </c>
      <c r="Z529" s="149" t="n">
        <v>0</v>
      </c>
      <c r="AA529" s="149" t="n">
        <v>0</v>
      </c>
      <c r="AB529" s="149" t="n">
        <v>0</v>
      </c>
      <c r="AC529" s="149" t="n">
        <v>0</v>
      </c>
      <c r="AD529" s="149" t="n">
        <v>0</v>
      </c>
      <c r="AE529" s="149" t="n">
        <v>0</v>
      </c>
      <c r="AF529" s="149" t="n">
        <v>0</v>
      </c>
      <c r="AG529" s="149" t="n">
        <v>0</v>
      </c>
      <c r="AH529" s="149" t="n">
        <v>0</v>
      </c>
      <c r="AI529" s="149" t="n">
        <v>0</v>
      </c>
      <c r="AJ529" s="149" t="n">
        <v>0</v>
      </c>
      <c r="AK529" s="149" t="n">
        <v>0</v>
      </c>
      <c r="AL529" s="149" t="n">
        <v>0</v>
      </c>
      <c r="AM529" s="149" t="n">
        <v>0</v>
      </c>
      <c r="AN529" s="148"/>
      <c r="AO529" s="148"/>
      <c r="AP529" s="146" t="s">
        <v>138</v>
      </c>
      <c r="AQ529" s="146" t="s">
        <v>139</v>
      </c>
      <c r="AR529" s="146" t="s">
        <v>840</v>
      </c>
      <c r="AS529" s="148"/>
      <c r="AT529" s="150"/>
    </row>
    <row r="530" customFormat="false" ht="12.75" hidden="false" customHeight="true" outlineLevel="0" collapsed="false">
      <c r="B530" s="151"/>
      <c r="C530" s="143" t="s">
        <v>162</v>
      </c>
      <c r="D530" s="152" t="n">
        <v>61073</v>
      </c>
      <c r="E530" s="144" t="str">
        <f aca="false">IF(D530="","",IFERROR(VLOOKUP(D530,CCN_Library!$A$4:$B$13,2,FALSE()),"NOT IN LIBRARY"))</f>
        <v>COMPANY/BATTERY HEADQUARTERS, MARINE CORPS</v>
      </c>
      <c r="F530" s="145" t="str">
        <f aca="false">LEFT(H530,6)</f>
        <v>M28262</v>
      </c>
      <c r="G530" s="146" t="s">
        <v>128</v>
      </c>
      <c r="H530" s="146" t="s">
        <v>866</v>
      </c>
      <c r="I530" s="146" t="s">
        <v>634</v>
      </c>
      <c r="J530" s="146" t="s">
        <v>247</v>
      </c>
      <c r="K530" s="147" t="s">
        <v>635</v>
      </c>
      <c r="L530" s="146" t="s">
        <v>635</v>
      </c>
      <c r="M530" s="146" t="s">
        <v>148</v>
      </c>
      <c r="N530" s="146" t="s">
        <v>128</v>
      </c>
      <c r="O530" s="146" t="s">
        <v>135</v>
      </c>
      <c r="P530" s="146" t="s">
        <v>135</v>
      </c>
      <c r="Q530" s="148"/>
      <c r="R530" s="146" t="s">
        <v>136</v>
      </c>
      <c r="S530" s="146" t="s">
        <v>58</v>
      </c>
      <c r="T530" s="148"/>
      <c r="U530" s="149" t="n">
        <v>0</v>
      </c>
      <c r="V530" s="149" t="n">
        <v>1</v>
      </c>
      <c r="W530" s="149" t="n">
        <v>0</v>
      </c>
      <c r="X530" s="149" t="n">
        <v>0</v>
      </c>
      <c r="Y530" s="149" t="n">
        <v>0</v>
      </c>
      <c r="Z530" s="149" t="n">
        <v>0</v>
      </c>
      <c r="AA530" s="149" t="n">
        <v>0</v>
      </c>
      <c r="AB530" s="149" t="n">
        <v>0</v>
      </c>
      <c r="AC530" s="149" t="n">
        <v>0</v>
      </c>
      <c r="AD530" s="149" t="n">
        <v>0</v>
      </c>
      <c r="AE530" s="149" t="n">
        <v>0</v>
      </c>
      <c r="AF530" s="149" t="n">
        <v>0</v>
      </c>
      <c r="AG530" s="149" t="n">
        <v>0</v>
      </c>
      <c r="AH530" s="149" t="n">
        <v>0</v>
      </c>
      <c r="AI530" s="149" t="n">
        <v>0</v>
      </c>
      <c r="AJ530" s="149" t="n">
        <v>0</v>
      </c>
      <c r="AK530" s="149" t="n">
        <v>0</v>
      </c>
      <c r="AL530" s="149" t="n">
        <v>0</v>
      </c>
      <c r="AM530" s="149" t="n">
        <v>0</v>
      </c>
      <c r="AN530" s="148"/>
      <c r="AO530" s="148"/>
      <c r="AP530" s="146" t="s">
        <v>138</v>
      </c>
      <c r="AQ530" s="146" t="s">
        <v>139</v>
      </c>
      <c r="AR530" s="146" t="s">
        <v>840</v>
      </c>
      <c r="AS530" s="148"/>
      <c r="AT530" s="153"/>
    </row>
    <row r="531" customFormat="false" ht="12.75" hidden="false" customHeight="true" outlineLevel="0" collapsed="false">
      <c r="B531" s="142"/>
      <c r="C531" s="143" t="s">
        <v>168</v>
      </c>
      <c r="D531" s="144" t="n">
        <v>61073</v>
      </c>
      <c r="E531" s="144" t="str">
        <f aca="false">IF(D531="","",IFERROR(VLOOKUP(D531,CCN_Library!$A$4:$B$13,2,FALSE()),"NOT IN LIBRARY"))</f>
        <v>COMPANY/BATTERY HEADQUARTERS, MARINE CORPS</v>
      </c>
      <c r="F531" s="145" t="str">
        <f aca="false">LEFT(H531,6)</f>
        <v>M28262</v>
      </c>
      <c r="G531" s="146" t="s">
        <v>128</v>
      </c>
      <c r="H531" s="146" t="s">
        <v>867</v>
      </c>
      <c r="I531" s="146" t="s">
        <v>637</v>
      </c>
      <c r="J531" s="146" t="s">
        <v>253</v>
      </c>
      <c r="K531" s="147" t="s">
        <v>635</v>
      </c>
      <c r="L531" s="146" t="s">
        <v>635</v>
      </c>
      <c r="M531" s="146" t="s">
        <v>148</v>
      </c>
      <c r="N531" s="146" t="s">
        <v>128</v>
      </c>
      <c r="O531" s="146" t="s">
        <v>135</v>
      </c>
      <c r="P531" s="146" t="s">
        <v>135</v>
      </c>
      <c r="Q531" s="148"/>
      <c r="R531" s="146" t="s">
        <v>136</v>
      </c>
      <c r="S531" s="146" t="s">
        <v>148</v>
      </c>
      <c r="T531" s="148"/>
      <c r="U531" s="149" t="n">
        <v>0</v>
      </c>
      <c r="V531" s="149" t="n">
        <v>1</v>
      </c>
      <c r="W531" s="149" t="n">
        <v>0</v>
      </c>
      <c r="X531" s="149" t="n">
        <v>0</v>
      </c>
      <c r="Y531" s="149" t="n">
        <v>0</v>
      </c>
      <c r="Z531" s="149" t="n">
        <v>0</v>
      </c>
      <c r="AA531" s="149" t="n">
        <v>0</v>
      </c>
      <c r="AB531" s="149" t="n">
        <v>0</v>
      </c>
      <c r="AC531" s="149" t="n">
        <v>0</v>
      </c>
      <c r="AD531" s="149" t="n">
        <v>0</v>
      </c>
      <c r="AE531" s="149" t="n">
        <v>0</v>
      </c>
      <c r="AF531" s="149" t="n">
        <v>0</v>
      </c>
      <c r="AG531" s="149" t="n">
        <v>0</v>
      </c>
      <c r="AH531" s="149" t="n">
        <v>0</v>
      </c>
      <c r="AI531" s="149" t="n">
        <v>0</v>
      </c>
      <c r="AJ531" s="149" t="n">
        <v>0</v>
      </c>
      <c r="AK531" s="149" t="n">
        <v>0</v>
      </c>
      <c r="AL531" s="149" t="n">
        <v>0</v>
      </c>
      <c r="AM531" s="149" t="n">
        <v>0</v>
      </c>
      <c r="AN531" s="148"/>
      <c r="AO531" s="148"/>
      <c r="AP531" s="146" t="s">
        <v>138</v>
      </c>
      <c r="AQ531" s="146" t="s">
        <v>139</v>
      </c>
      <c r="AR531" s="146" t="s">
        <v>840</v>
      </c>
      <c r="AS531" s="148"/>
      <c r="AT531" s="150"/>
    </row>
    <row r="532" customFormat="false" ht="12.75" hidden="false" customHeight="true" outlineLevel="0" collapsed="false">
      <c r="B532" s="142"/>
      <c r="C532" s="143" t="s">
        <v>168</v>
      </c>
      <c r="D532" s="144" t="n">
        <v>61073</v>
      </c>
      <c r="E532" s="144" t="str">
        <f aca="false">IF(D532="","",IFERROR(VLOOKUP(D532,CCN_Library!$A$4:$B$13,2,FALSE()),"NOT IN LIBRARY"))</f>
        <v>COMPANY/BATTERY HEADQUARTERS, MARINE CORPS</v>
      </c>
      <c r="F532" s="145" t="str">
        <f aca="false">LEFT(H532,6)</f>
        <v>M28262</v>
      </c>
      <c r="G532" s="146" t="s">
        <v>128</v>
      </c>
      <c r="H532" s="146" t="s">
        <v>868</v>
      </c>
      <c r="I532" s="146" t="s">
        <v>637</v>
      </c>
      <c r="J532" s="146" t="s">
        <v>171</v>
      </c>
      <c r="K532" s="147" t="s">
        <v>635</v>
      </c>
      <c r="L532" s="146" t="s">
        <v>635</v>
      </c>
      <c r="M532" s="146" t="s">
        <v>148</v>
      </c>
      <c r="N532" s="146" t="s">
        <v>128</v>
      </c>
      <c r="O532" s="146" t="s">
        <v>135</v>
      </c>
      <c r="P532" s="146" t="s">
        <v>135</v>
      </c>
      <c r="Q532" s="148"/>
      <c r="R532" s="146" t="s">
        <v>136</v>
      </c>
      <c r="S532" s="146" t="s">
        <v>148</v>
      </c>
      <c r="T532" s="148"/>
      <c r="U532" s="149" t="n">
        <v>0</v>
      </c>
      <c r="V532" s="149" t="n">
        <v>1</v>
      </c>
      <c r="W532" s="149" t="n">
        <v>0</v>
      </c>
      <c r="X532" s="149" t="n">
        <v>0</v>
      </c>
      <c r="Y532" s="149" t="n">
        <v>0</v>
      </c>
      <c r="Z532" s="149" t="n">
        <v>0</v>
      </c>
      <c r="AA532" s="149" t="n">
        <v>0</v>
      </c>
      <c r="AB532" s="149" t="n">
        <v>0</v>
      </c>
      <c r="AC532" s="149" t="n">
        <v>0</v>
      </c>
      <c r="AD532" s="149" t="n">
        <v>0</v>
      </c>
      <c r="AE532" s="149" t="n">
        <v>0</v>
      </c>
      <c r="AF532" s="149" t="n">
        <v>0</v>
      </c>
      <c r="AG532" s="149" t="n">
        <v>0</v>
      </c>
      <c r="AH532" s="149" t="n">
        <v>0</v>
      </c>
      <c r="AI532" s="149" t="n">
        <v>0</v>
      </c>
      <c r="AJ532" s="149" t="n">
        <v>0</v>
      </c>
      <c r="AK532" s="149" t="n">
        <v>0</v>
      </c>
      <c r="AL532" s="149" t="n">
        <v>0</v>
      </c>
      <c r="AM532" s="149" t="n">
        <v>0</v>
      </c>
      <c r="AN532" s="148"/>
      <c r="AO532" s="148"/>
      <c r="AP532" s="146" t="s">
        <v>138</v>
      </c>
      <c r="AQ532" s="146" t="s">
        <v>139</v>
      </c>
      <c r="AR532" s="146" t="s">
        <v>840</v>
      </c>
      <c r="AS532" s="148"/>
      <c r="AT532" s="150"/>
    </row>
    <row r="533" customFormat="false" ht="12.75" hidden="false" customHeight="true" outlineLevel="0" collapsed="false">
      <c r="B533" s="142"/>
      <c r="C533" s="143" t="s">
        <v>168</v>
      </c>
      <c r="D533" s="144" t="n">
        <v>61073</v>
      </c>
      <c r="E533" s="144" t="str">
        <f aca="false">IF(D533="","",IFERROR(VLOOKUP(D533,CCN_Library!$A$4:$B$13,2,FALSE()),"NOT IN LIBRARY"))</f>
        <v>COMPANY/BATTERY HEADQUARTERS, MARINE CORPS</v>
      </c>
      <c r="F533" s="145" t="str">
        <f aca="false">LEFT(H533,6)</f>
        <v>M28262</v>
      </c>
      <c r="G533" s="146" t="s">
        <v>128</v>
      </c>
      <c r="H533" s="146" t="s">
        <v>869</v>
      </c>
      <c r="I533" s="146" t="s">
        <v>637</v>
      </c>
      <c r="J533" s="146" t="s">
        <v>171</v>
      </c>
      <c r="K533" s="147" t="s">
        <v>635</v>
      </c>
      <c r="L533" s="146" t="s">
        <v>635</v>
      </c>
      <c r="M533" s="146" t="s">
        <v>148</v>
      </c>
      <c r="N533" s="146" t="s">
        <v>128</v>
      </c>
      <c r="O533" s="146" t="s">
        <v>135</v>
      </c>
      <c r="P533" s="146" t="s">
        <v>135</v>
      </c>
      <c r="Q533" s="148"/>
      <c r="R533" s="146" t="s">
        <v>136</v>
      </c>
      <c r="S533" s="146" t="s">
        <v>148</v>
      </c>
      <c r="T533" s="148"/>
      <c r="U533" s="149" t="n">
        <v>0</v>
      </c>
      <c r="V533" s="149" t="n">
        <v>1</v>
      </c>
      <c r="W533" s="149" t="n">
        <v>0</v>
      </c>
      <c r="X533" s="149" t="n">
        <v>0</v>
      </c>
      <c r="Y533" s="149" t="n">
        <v>0</v>
      </c>
      <c r="Z533" s="149" t="n">
        <v>0</v>
      </c>
      <c r="AA533" s="149" t="n">
        <v>0</v>
      </c>
      <c r="AB533" s="149" t="n">
        <v>0</v>
      </c>
      <c r="AC533" s="149" t="n">
        <v>0</v>
      </c>
      <c r="AD533" s="149" t="n">
        <v>0</v>
      </c>
      <c r="AE533" s="149" t="n">
        <v>0</v>
      </c>
      <c r="AF533" s="149" t="n">
        <v>0</v>
      </c>
      <c r="AG533" s="149" t="n">
        <v>0</v>
      </c>
      <c r="AH533" s="149" t="n">
        <v>0</v>
      </c>
      <c r="AI533" s="149" t="n">
        <v>0</v>
      </c>
      <c r="AJ533" s="149" t="n">
        <v>0</v>
      </c>
      <c r="AK533" s="149" t="n">
        <v>0</v>
      </c>
      <c r="AL533" s="149" t="n">
        <v>0</v>
      </c>
      <c r="AM533" s="149" t="n">
        <v>0</v>
      </c>
      <c r="AN533" s="148"/>
      <c r="AO533" s="148"/>
      <c r="AP533" s="146" t="s">
        <v>138</v>
      </c>
      <c r="AQ533" s="146" t="s">
        <v>139</v>
      </c>
      <c r="AR533" s="146" t="s">
        <v>840</v>
      </c>
      <c r="AS533" s="148"/>
      <c r="AT533" s="150"/>
    </row>
    <row r="534" customFormat="false" ht="12.75" hidden="false" customHeight="true" outlineLevel="0" collapsed="false">
      <c r="B534" s="142"/>
      <c r="C534" s="143" t="s">
        <v>168</v>
      </c>
      <c r="D534" s="144" t="n">
        <v>61073</v>
      </c>
      <c r="E534" s="144" t="str">
        <f aca="false">IF(D534="","",IFERROR(VLOOKUP(D534,CCN_Library!$A$4:$B$13,2,FALSE()),"NOT IN LIBRARY"))</f>
        <v>COMPANY/BATTERY HEADQUARTERS, MARINE CORPS</v>
      </c>
      <c r="F534" s="145" t="str">
        <f aca="false">LEFT(H534,6)</f>
        <v>M28262</v>
      </c>
      <c r="G534" s="146" t="s">
        <v>128</v>
      </c>
      <c r="H534" s="146" t="s">
        <v>870</v>
      </c>
      <c r="I534" s="146" t="s">
        <v>353</v>
      </c>
      <c r="J534" s="146" t="s">
        <v>253</v>
      </c>
      <c r="K534" s="147" t="s">
        <v>354</v>
      </c>
      <c r="L534" s="146" t="s">
        <v>354</v>
      </c>
      <c r="M534" s="146" t="s">
        <v>148</v>
      </c>
      <c r="N534" s="146" t="s">
        <v>128</v>
      </c>
      <c r="O534" s="146" t="s">
        <v>135</v>
      </c>
      <c r="P534" s="146" t="s">
        <v>135</v>
      </c>
      <c r="Q534" s="148"/>
      <c r="R534" s="146" t="s">
        <v>136</v>
      </c>
      <c r="S534" s="146" t="s">
        <v>148</v>
      </c>
      <c r="T534" s="148"/>
      <c r="U534" s="149" t="n">
        <v>0</v>
      </c>
      <c r="V534" s="149" t="n">
        <v>1</v>
      </c>
      <c r="W534" s="149" t="n">
        <v>0</v>
      </c>
      <c r="X534" s="149" t="n">
        <v>0</v>
      </c>
      <c r="Y534" s="149" t="n">
        <v>0</v>
      </c>
      <c r="Z534" s="149" t="n">
        <v>0</v>
      </c>
      <c r="AA534" s="149" t="n">
        <v>0</v>
      </c>
      <c r="AB534" s="149" t="n">
        <v>0</v>
      </c>
      <c r="AC534" s="149" t="n">
        <v>0</v>
      </c>
      <c r="AD534" s="149" t="n">
        <v>0</v>
      </c>
      <c r="AE534" s="149" t="n">
        <v>0</v>
      </c>
      <c r="AF534" s="149" t="n">
        <v>0</v>
      </c>
      <c r="AG534" s="149" t="n">
        <v>0</v>
      </c>
      <c r="AH534" s="149" t="n">
        <v>0</v>
      </c>
      <c r="AI534" s="149" t="n">
        <v>0</v>
      </c>
      <c r="AJ534" s="149" t="n">
        <v>0</v>
      </c>
      <c r="AK534" s="149" t="n">
        <v>0</v>
      </c>
      <c r="AL534" s="149" t="n">
        <v>0</v>
      </c>
      <c r="AM534" s="149" t="n">
        <v>0</v>
      </c>
      <c r="AN534" s="148"/>
      <c r="AO534" s="148"/>
      <c r="AP534" s="146" t="s">
        <v>138</v>
      </c>
      <c r="AQ534" s="146" t="s">
        <v>139</v>
      </c>
      <c r="AR534" s="146" t="s">
        <v>840</v>
      </c>
      <c r="AS534" s="148"/>
      <c r="AT534" s="150"/>
    </row>
    <row r="535" customFormat="false" ht="12.75" hidden="false" customHeight="true" outlineLevel="0" collapsed="false">
      <c r="B535" s="142"/>
      <c r="C535" s="143" t="s">
        <v>168</v>
      </c>
      <c r="D535" s="144" t="n">
        <v>61073</v>
      </c>
      <c r="E535" s="144" t="str">
        <f aca="false">IF(D535="","",IFERROR(VLOOKUP(D535,CCN_Library!$A$4:$B$13,2,FALSE()),"NOT IN LIBRARY"))</f>
        <v>COMPANY/BATTERY HEADQUARTERS, MARINE CORPS</v>
      </c>
      <c r="F535" s="145" t="str">
        <f aca="false">LEFT(H535,6)</f>
        <v>M28262</v>
      </c>
      <c r="G535" s="146" t="s">
        <v>128</v>
      </c>
      <c r="H535" s="146" t="s">
        <v>871</v>
      </c>
      <c r="I535" s="146" t="s">
        <v>353</v>
      </c>
      <c r="J535" s="146" t="s">
        <v>171</v>
      </c>
      <c r="K535" s="147" t="s">
        <v>354</v>
      </c>
      <c r="L535" s="146" t="s">
        <v>354</v>
      </c>
      <c r="M535" s="146" t="s">
        <v>148</v>
      </c>
      <c r="N535" s="146" t="s">
        <v>128</v>
      </c>
      <c r="O535" s="146" t="s">
        <v>135</v>
      </c>
      <c r="P535" s="146" t="s">
        <v>135</v>
      </c>
      <c r="Q535" s="148"/>
      <c r="R535" s="146" t="s">
        <v>136</v>
      </c>
      <c r="S535" s="146" t="s">
        <v>148</v>
      </c>
      <c r="T535" s="148"/>
      <c r="U535" s="149" t="n">
        <v>0</v>
      </c>
      <c r="V535" s="149" t="n">
        <v>1</v>
      </c>
      <c r="W535" s="149" t="n">
        <v>0</v>
      </c>
      <c r="X535" s="149" t="n">
        <v>0</v>
      </c>
      <c r="Y535" s="149" t="n">
        <v>0</v>
      </c>
      <c r="Z535" s="149" t="n">
        <v>0</v>
      </c>
      <c r="AA535" s="149" t="n">
        <v>0</v>
      </c>
      <c r="AB535" s="149" t="n">
        <v>0</v>
      </c>
      <c r="AC535" s="149" t="n">
        <v>0</v>
      </c>
      <c r="AD535" s="149" t="n">
        <v>0</v>
      </c>
      <c r="AE535" s="149" t="n">
        <v>0</v>
      </c>
      <c r="AF535" s="149" t="n">
        <v>0</v>
      </c>
      <c r="AG535" s="149" t="n">
        <v>0</v>
      </c>
      <c r="AH535" s="149" t="n">
        <v>0</v>
      </c>
      <c r="AI535" s="149" t="n">
        <v>0</v>
      </c>
      <c r="AJ535" s="149" t="n">
        <v>0</v>
      </c>
      <c r="AK535" s="149" t="n">
        <v>0</v>
      </c>
      <c r="AL535" s="149" t="n">
        <v>0</v>
      </c>
      <c r="AM535" s="149" t="n">
        <v>0</v>
      </c>
      <c r="AN535" s="148"/>
      <c r="AO535" s="148"/>
      <c r="AP535" s="146" t="s">
        <v>138</v>
      </c>
      <c r="AQ535" s="146" t="s">
        <v>139</v>
      </c>
      <c r="AR535" s="146" t="s">
        <v>840</v>
      </c>
      <c r="AS535" s="148"/>
      <c r="AT535" s="150"/>
    </row>
    <row r="536" customFormat="false" ht="12.75" hidden="false" customHeight="true" outlineLevel="0" collapsed="false">
      <c r="B536" s="142"/>
      <c r="C536" s="143" t="s">
        <v>168</v>
      </c>
      <c r="D536" s="144" t="n">
        <v>61073</v>
      </c>
      <c r="E536" s="144" t="str">
        <f aca="false">IF(D536="","",IFERROR(VLOOKUP(D536,CCN_Library!$A$4:$B$13,2,FALSE()),"NOT IN LIBRARY"))</f>
        <v>COMPANY/BATTERY HEADQUARTERS, MARINE CORPS</v>
      </c>
      <c r="F536" s="145" t="str">
        <f aca="false">LEFT(H536,6)</f>
        <v>M28262</v>
      </c>
      <c r="G536" s="146" t="s">
        <v>128</v>
      </c>
      <c r="H536" s="146" t="s">
        <v>872</v>
      </c>
      <c r="I536" s="146" t="s">
        <v>873</v>
      </c>
      <c r="J536" s="146" t="s">
        <v>253</v>
      </c>
      <c r="K536" s="147" t="s">
        <v>302</v>
      </c>
      <c r="L536" s="146" t="s">
        <v>302</v>
      </c>
      <c r="M536" s="146" t="s">
        <v>148</v>
      </c>
      <c r="N536" s="146" t="s">
        <v>128</v>
      </c>
      <c r="O536" s="146" t="s">
        <v>135</v>
      </c>
      <c r="P536" s="146" t="s">
        <v>135</v>
      </c>
      <c r="Q536" s="148"/>
      <c r="R536" s="146" t="s">
        <v>136</v>
      </c>
      <c r="S536" s="146" t="s">
        <v>148</v>
      </c>
      <c r="T536" s="148"/>
      <c r="U536" s="149" t="n">
        <v>0</v>
      </c>
      <c r="V536" s="149" t="n">
        <v>1</v>
      </c>
      <c r="W536" s="149" t="n">
        <v>0</v>
      </c>
      <c r="X536" s="149" t="n">
        <v>0</v>
      </c>
      <c r="Y536" s="149" t="n">
        <v>0</v>
      </c>
      <c r="Z536" s="149" t="n">
        <v>0</v>
      </c>
      <c r="AA536" s="149" t="n">
        <v>0</v>
      </c>
      <c r="AB536" s="149" t="n">
        <v>0</v>
      </c>
      <c r="AC536" s="149" t="n">
        <v>0</v>
      </c>
      <c r="AD536" s="149" t="n">
        <v>0</v>
      </c>
      <c r="AE536" s="149" t="n">
        <v>0</v>
      </c>
      <c r="AF536" s="149" t="n">
        <v>0</v>
      </c>
      <c r="AG536" s="149" t="n">
        <v>0</v>
      </c>
      <c r="AH536" s="149" t="n">
        <v>0</v>
      </c>
      <c r="AI536" s="149" t="n">
        <v>0</v>
      </c>
      <c r="AJ536" s="149" t="n">
        <v>0</v>
      </c>
      <c r="AK536" s="149" t="n">
        <v>0</v>
      </c>
      <c r="AL536" s="149" t="n">
        <v>0</v>
      </c>
      <c r="AM536" s="149" t="n">
        <v>0</v>
      </c>
      <c r="AN536" s="148"/>
      <c r="AO536" s="148"/>
      <c r="AP536" s="146" t="s">
        <v>138</v>
      </c>
      <c r="AQ536" s="146" t="s">
        <v>139</v>
      </c>
      <c r="AR536" s="146" t="s">
        <v>840</v>
      </c>
      <c r="AS536" s="148"/>
      <c r="AT536" s="150"/>
    </row>
    <row r="537" customFormat="false" ht="12.75" hidden="false" customHeight="true" outlineLevel="0" collapsed="false">
      <c r="B537" s="151"/>
      <c r="C537" s="143" t="s">
        <v>293</v>
      </c>
      <c r="D537" s="152" t="n">
        <v>21451</v>
      </c>
      <c r="E537" s="152"/>
      <c r="F537" s="154" t="str">
        <f aca="false">LEFT(H537,6)</f>
        <v>M28262</v>
      </c>
      <c r="G537" s="155" t="s">
        <v>58</v>
      </c>
      <c r="H537" s="155" t="s">
        <v>874</v>
      </c>
      <c r="I537" s="155" t="s">
        <v>643</v>
      </c>
      <c r="J537" s="156"/>
      <c r="K537" s="156"/>
      <c r="L537" s="156"/>
      <c r="M537" s="156"/>
      <c r="N537" s="156"/>
      <c r="O537" s="156"/>
      <c r="P537" s="156"/>
      <c r="Q537" s="156"/>
      <c r="R537" s="156"/>
      <c r="S537" s="156"/>
      <c r="T537" s="156"/>
      <c r="U537" s="157" t="n">
        <v>0</v>
      </c>
      <c r="V537" s="157" t="n">
        <v>0</v>
      </c>
      <c r="W537" s="157" t="n">
        <v>0</v>
      </c>
      <c r="X537" s="157" t="n">
        <v>0</v>
      </c>
      <c r="Y537" s="157" t="n">
        <v>0</v>
      </c>
      <c r="Z537" s="157" t="n">
        <v>0</v>
      </c>
      <c r="AA537" s="157" t="n">
        <v>0</v>
      </c>
      <c r="AB537" s="157" t="n">
        <v>0</v>
      </c>
      <c r="AC537" s="157" t="n">
        <v>0</v>
      </c>
      <c r="AD537" s="157" t="n">
        <v>0</v>
      </c>
      <c r="AE537" s="157" t="n">
        <v>0</v>
      </c>
      <c r="AF537" s="157" t="n">
        <v>0</v>
      </c>
      <c r="AG537" s="157" t="n">
        <v>0</v>
      </c>
      <c r="AH537" s="157" t="n">
        <v>0</v>
      </c>
      <c r="AI537" s="157" t="n">
        <v>0</v>
      </c>
      <c r="AJ537" s="157" t="n">
        <v>0</v>
      </c>
      <c r="AK537" s="157" t="n">
        <v>0</v>
      </c>
      <c r="AL537" s="157" t="n">
        <v>0</v>
      </c>
      <c r="AM537" s="157" t="n">
        <v>0</v>
      </c>
      <c r="AN537" s="156"/>
      <c r="AO537" s="156"/>
      <c r="AP537" s="156"/>
      <c r="AQ537" s="156"/>
      <c r="AR537" s="156"/>
      <c r="AS537" s="156"/>
      <c r="AT537" s="153"/>
    </row>
    <row r="538" customFormat="false" ht="12.75" hidden="false" customHeight="true" outlineLevel="0" collapsed="false">
      <c r="B538" s="151"/>
      <c r="C538" s="143" t="s">
        <v>293</v>
      </c>
      <c r="D538" s="152" t="n">
        <v>21451</v>
      </c>
      <c r="E538" s="152"/>
      <c r="F538" s="154" t="str">
        <f aca="false">LEFT(H538,6)</f>
        <v>M28262</v>
      </c>
      <c r="G538" s="155" t="s">
        <v>177</v>
      </c>
      <c r="H538" s="155" t="s">
        <v>875</v>
      </c>
      <c r="I538" s="155" t="s">
        <v>645</v>
      </c>
      <c r="J538" s="156"/>
      <c r="K538" s="156"/>
      <c r="L538" s="156"/>
      <c r="M538" s="156"/>
      <c r="N538" s="156"/>
      <c r="O538" s="156"/>
      <c r="P538" s="156"/>
      <c r="Q538" s="156"/>
      <c r="R538" s="156"/>
      <c r="S538" s="156"/>
      <c r="T538" s="156"/>
      <c r="U538" s="157" t="n">
        <v>0</v>
      </c>
      <c r="V538" s="157" t="n">
        <v>0</v>
      </c>
      <c r="W538" s="157" t="n">
        <v>0</v>
      </c>
      <c r="X538" s="157" t="n">
        <v>0</v>
      </c>
      <c r="Y538" s="157" t="n">
        <v>0</v>
      </c>
      <c r="Z538" s="157" t="n">
        <v>0</v>
      </c>
      <c r="AA538" s="157" t="n">
        <v>0</v>
      </c>
      <c r="AB538" s="157" t="n">
        <v>0</v>
      </c>
      <c r="AC538" s="157" t="n">
        <v>0</v>
      </c>
      <c r="AD538" s="157" t="n">
        <v>0</v>
      </c>
      <c r="AE538" s="157" t="n">
        <v>0</v>
      </c>
      <c r="AF538" s="157" t="n">
        <v>0</v>
      </c>
      <c r="AG538" s="157" t="n">
        <v>0</v>
      </c>
      <c r="AH538" s="157" t="n">
        <v>0</v>
      </c>
      <c r="AI538" s="157" t="n">
        <v>0</v>
      </c>
      <c r="AJ538" s="157" t="n">
        <v>0</v>
      </c>
      <c r="AK538" s="157" t="n">
        <v>0</v>
      </c>
      <c r="AL538" s="157" t="n">
        <v>0</v>
      </c>
      <c r="AM538" s="157" t="n">
        <v>0</v>
      </c>
      <c r="AN538" s="156"/>
      <c r="AO538" s="156"/>
      <c r="AP538" s="156"/>
      <c r="AQ538" s="156"/>
      <c r="AR538" s="156"/>
      <c r="AS538" s="156"/>
      <c r="AT538" s="153"/>
    </row>
    <row r="539" customFormat="false" ht="12.75" hidden="false" customHeight="true" outlineLevel="0" collapsed="false">
      <c r="B539" s="142"/>
      <c r="C539" s="143" t="s">
        <v>299</v>
      </c>
      <c r="D539" s="144" t="n">
        <v>21451</v>
      </c>
      <c r="E539" s="144" t="str">
        <f aca="false">IF(D539="","",IFERROR(VLOOKUP(D539,CCN_Library!$A$4:$B$13,2,FALSE()),"NOT IN LIBRARY"))</f>
        <v>AUTOMOTIVE ORGANIZATIONAL SHOP</v>
      </c>
      <c r="F539" s="145" t="str">
        <f aca="false">LEFT(H539,6)</f>
        <v>M28262</v>
      </c>
      <c r="G539" s="146" t="s">
        <v>128</v>
      </c>
      <c r="H539" s="146" t="s">
        <v>876</v>
      </c>
      <c r="I539" s="146" t="s">
        <v>159</v>
      </c>
      <c r="J539" s="146" t="s">
        <v>191</v>
      </c>
      <c r="K539" s="147" t="s">
        <v>161</v>
      </c>
      <c r="L539" s="146" t="s">
        <v>161</v>
      </c>
      <c r="M539" s="146" t="s">
        <v>133</v>
      </c>
      <c r="N539" s="146" t="s">
        <v>128</v>
      </c>
      <c r="O539" s="146" t="s">
        <v>135</v>
      </c>
      <c r="P539" s="146" t="s">
        <v>135</v>
      </c>
      <c r="Q539" s="148"/>
      <c r="R539" s="146" t="s">
        <v>136</v>
      </c>
      <c r="S539" s="146" t="s">
        <v>58</v>
      </c>
      <c r="T539" s="148"/>
      <c r="U539" s="149" t="n">
        <v>0</v>
      </c>
      <c r="V539" s="149" t="n">
        <v>0</v>
      </c>
      <c r="W539" s="149" t="n">
        <v>0</v>
      </c>
      <c r="X539" s="149" t="n">
        <v>0</v>
      </c>
      <c r="Y539" s="149" t="n">
        <v>0</v>
      </c>
      <c r="Z539" s="149" t="n">
        <v>0</v>
      </c>
      <c r="AA539" s="149" t="n">
        <v>1</v>
      </c>
      <c r="AB539" s="149" t="n">
        <v>0</v>
      </c>
      <c r="AC539" s="149" t="n">
        <v>0</v>
      </c>
      <c r="AD539" s="149" t="n">
        <v>0</v>
      </c>
      <c r="AE539" s="149" t="n">
        <v>0</v>
      </c>
      <c r="AF539" s="149" t="n">
        <v>0</v>
      </c>
      <c r="AG539" s="149" t="n">
        <v>0</v>
      </c>
      <c r="AH539" s="149" t="n">
        <v>0</v>
      </c>
      <c r="AI539" s="149" t="n">
        <v>0</v>
      </c>
      <c r="AJ539" s="149" t="n">
        <v>0</v>
      </c>
      <c r="AK539" s="149" t="n">
        <v>0</v>
      </c>
      <c r="AL539" s="149" t="n">
        <v>0</v>
      </c>
      <c r="AM539" s="149" t="n">
        <v>0</v>
      </c>
      <c r="AN539" s="148"/>
      <c r="AO539" s="148"/>
      <c r="AP539" s="146" t="s">
        <v>138</v>
      </c>
      <c r="AQ539" s="146" t="s">
        <v>139</v>
      </c>
      <c r="AR539" s="146" t="s">
        <v>840</v>
      </c>
      <c r="AS539" s="148"/>
      <c r="AT539" s="150"/>
    </row>
    <row r="540" customFormat="false" ht="12.75" hidden="false" customHeight="true" outlineLevel="0" collapsed="false">
      <c r="B540" s="142"/>
      <c r="C540" s="143" t="s">
        <v>299</v>
      </c>
      <c r="D540" s="144" t="n">
        <v>21451</v>
      </c>
      <c r="E540" s="144" t="str">
        <f aca="false">IF(D540="","",IFERROR(VLOOKUP(D540,CCN_Library!$A$4:$B$13,2,FALSE()),"NOT IN LIBRARY"))</f>
        <v>AUTOMOTIVE ORGANIZATIONAL SHOP</v>
      </c>
      <c r="F540" s="145" t="str">
        <f aca="false">LEFT(H540,6)</f>
        <v>M28262</v>
      </c>
      <c r="G540" s="146" t="s">
        <v>128</v>
      </c>
      <c r="H540" s="146" t="s">
        <v>877</v>
      </c>
      <c r="I540" s="146" t="s">
        <v>159</v>
      </c>
      <c r="J540" s="146" t="s">
        <v>160</v>
      </c>
      <c r="K540" s="147" t="s">
        <v>161</v>
      </c>
      <c r="L540" s="146" t="s">
        <v>161</v>
      </c>
      <c r="M540" s="146" t="s">
        <v>133</v>
      </c>
      <c r="N540" s="146" t="s">
        <v>128</v>
      </c>
      <c r="O540" s="146" t="s">
        <v>135</v>
      </c>
      <c r="P540" s="146" t="s">
        <v>135</v>
      </c>
      <c r="Q540" s="148"/>
      <c r="R540" s="146" t="s">
        <v>136</v>
      </c>
      <c r="S540" s="146" t="s">
        <v>58</v>
      </c>
      <c r="T540" s="148"/>
      <c r="U540" s="149" t="n">
        <v>0</v>
      </c>
      <c r="V540" s="149" t="n">
        <v>0</v>
      </c>
      <c r="W540" s="149" t="n">
        <v>0</v>
      </c>
      <c r="X540" s="149" t="n">
        <v>0</v>
      </c>
      <c r="Y540" s="149" t="n">
        <v>0</v>
      </c>
      <c r="Z540" s="149" t="n">
        <v>0</v>
      </c>
      <c r="AA540" s="149" t="n">
        <v>1</v>
      </c>
      <c r="AB540" s="149" t="n">
        <v>0</v>
      </c>
      <c r="AC540" s="149" t="n">
        <v>0</v>
      </c>
      <c r="AD540" s="149" t="n">
        <v>0</v>
      </c>
      <c r="AE540" s="149" t="n">
        <v>0</v>
      </c>
      <c r="AF540" s="149" t="n">
        <v>0</v>
      </c>
      <c r="AG540" s="149" t="n">
        <v>0</v>
      </c>
      <c r="AH540" s="149" t="n">
        <v>0</v>
      </c>
      <c r="AI540" s="149" t="n">
        <v>0</v>
      </c>
      <c r="AJ540" s="149" t="n">
        <v>0</v>
      </c>
      <c r="AK540" s="149" t="n">
        <v>0</v>
      </c>
      <c r="AL540" s="149" t="n">
        <v>0</v>
      </c>
      <c r="AM540" s="149" t="n">
        <v>0</v>
      </c>
      <c r="AN540" s="148"/>
      <c r="AO540" s="148"/>
      <c r="AP540" s="146" t="s">
        <v>138</v>
      </c>
      <c r="AQ540" s="146" t="s">
        <v>139</v>
      </c>
      <c r="AR540" s="146" t="s">
        <v>840</v>
      </c>
      <c r="AS540" s="148"/>
      <c r="AT540" s="150"/>
    </row>
    <row r="541" customFormat="false" ht="12.75" hidden="false" customHeight="true" outlineLevel="0" collapsed="false">
      <c r="B541" s="151"/>
      <c r="C541" s="143" t="s">
        <v>299</v>
      </c>
      <c r="D541" s="152" t="n">
        <v>21451</v>
      </c>
      <c r="E541" s="144" t="str">
        <f aca="false">IF(D541="","",IFERROR(VLOOKUP(D541,CCN_Library!$A$4:$B$13,2,FALSE()),"NOT IN LIBRARY"))</f>
        <v>AUTOMOTIVE ORGANIZATIONAL SHOP</v>
      </c>
      <c r="F541" s="145" t="str">
        <f aca="false">LEFT(H541,6)</f>
        <v>M28262</v>
      </c>
      <c r="G541" s="146" t="s">
        <v>128</v>
      </c>
      <c r="H541" s="146" t="s">
        <v>878</v>
      </c>
      <c r="I541" s="146" t="s">
        <v>332</v>
      </c>
      <c r="J541" s="146" t="s">
        <v>171</v>
      </c>
      <c r="K541" s="147" t="s">
        <v>302</v>
      </c>
      <c r="L541" s="146" t="s">
        <v>302</v>
      </c>
      <c r="M541" s="146" t="s">
        <v>148</v>
      </c>
      <c r="N541" s="146" t="s">
        <v>128</v>
      </c>
      <c r="O541" s="146" t="s">
        <v>135</v>
      </c>
      <c r="P541" s="146" t="s">
        <v>135</v>
      </c>
      <c r="Q541" s="148"/>
      <c r="R541" s="146" t="s">
        <v>136</v>
      </c>
      <c r="S541" s="146" t="s">
        <v>148</v>
      </c>
      <c r="T541" s="148"/>
      <c r="U541" s="149" t="n">
        <v>0</v>
      </c>
      <c r="V541" s="149" t="n">
        <v>1</v>
      </c>
      <c r="W541" s="149" t="n">
        <v>0</v>
      </c>
      <c r="X541" s="149" t="n">
        <v>0</v>
      </c>
      <c r="Y541" s="149" t="n">
        <v>0</v>
      </c>
      <c r="Z541" s="149" t="n">
        <v>0</v>
      </c>
      <c r="AA541" s="149" t="n">
        <v>0</v>
      </c>
      <c r="AB541" s="149" t="n">
        <v>0</v>
      </c>
      <c r="AC541" s="149" t="n">
        <v>0</v>
      </c>
      <c r="AD541" s="149" t="n">
        <v>0</v>
      </c>
      <c r="AE541" s="149" t="n">
        <v>0</v>
      </c>
      <c r="AF541" s="149" t="n">
        <v>0</v>
      </c>
      <c r="AG541" s="149" t="n">
        <v>0</v>
      </c>
      <c r="AH541" s="149" t="n">
        <v>0</v>
      </c>
      <c r="AI541" s="149" t="n">
        <v>0</v>
      </c>
      <c r="AJ541" s="149" t="n">
        <v>0</v>
      </c>
      <c r="AK541" s="149" t="n">
        <v>0</v>
      </c>
      <c r="AL541" s="149" t="n">
        <v>0</v>
      </c>
      <c r="AM541" s="149" t="n">
        <v>0</v>
      </c>
      <c r="AN541" s="148"/>
      <c r="AO541" s="148"/>
      <c r="AP541" s="146" t="s">
        <v>138</v>
      </c>
      <c r="AQ541" s="146" t="s">
        <v>139</v>
      </c>
      <c r="AR541" s="146" t="s">
        <v>840</v>
      </c>
      <c r="AS541" s="148"/>
      <c r="AT541" s="153"/>
    </row>
    <row r="542" customFormat="false" ht="12.75" hidden="false" customHeight="true" outlineLevel="0" collapsed="false">
      <c r="B542" s="142"/>
      <c r="C542" s="143" t="s">
        <v>299</v>
      </c>
      <c r="D542" s="144" t="n">
        <v>21451</v>
      </c>
      <c r="E542" s="144" t="str">
        <f aca="false">IF(D542="","",IFERROR(VLOOKUP(D542,CCN_Library!$A$4:$B$13,2,FALSE()),"NOT IN LIBRARY"))</f>
        <v>AUTOMOTIVE ORGANIZATIONAL SHOP</v>
      </c>
      <c r="F542" s="145" t="str">
        <f aca="false">LEFT(H542,6)</f>
        <v>M28262</v>
      </c>
      <c r="G542" s="146" t="s">
        <v>128</v>
      </c>
      <c r="H542" s="146" t="s">
        <v>879</v>
      </c>
      <c r="I542" s="146" t="s">
        <v>332</v>
      </c>
      <c r="J542" s="146" t="s">
        <v>171</v>
      </c>
      <c r="K542" s="147" t="s">
        <v>302</v>
      </c>
      <c r="L542" s="146" t="s">
        <v>302</v>
      </c>
      <c r="M542" s="146" t="s">
        <v>148</v>
      </c>
      <c r="N542" s="146" t="s">
        <v>128</v>
      </c>
      <c r="O542" s="146" t="s">
        <v>135</v>
      </c>
      <c r="P542" s="146" t="s">
        <v>135</v>
      </c>
      <c r="Q542" s="148"/>
      <c r="R542" s="146" t="s">
        <v>136</v>
      </c>
      <c r="S542" s="146" t="s">
        <v>148</v>
      </c>
      <c r="T542" s="148"/>
      <c r="U542" s="149" t="n">
        <v>0</v>
      </c>
      <c r="V542" s="149" t="n">
        <v>1</v>
      </c>
      <c r="W542" s="149" t="n">
        <v>0</v>
      </c>
      <c r="X542" s="149" t="n">
        <v>0</v>
      </c>
      <c r="Y542" s="149" t="n">
        <v>0</v>
      </c>
      <c r="Z542" s="149" t="n">
        <v>0</v>
      </c>
      <c r="AA542" s="149" t="n">
        <v>0</v>
      </c>
      <c r="AB542" s="149" t="n">
        <v>0</v>
      </c>
      <c r="AC542" s="149" t="n">
        <v>0</v>
      </c>
      <c r="AD542" s="149" t="n">
        <v>0</v>
      </c>
      <c r="AE542" s="149" t="n">
        <v>0</v>
      </c>
      <c r="AF542" s="149" t="n">
        <v>0</v>
      </c>
      <c r="AG542" s="149" t="n">
        <v>0</v>
      </c>
      <c r="AH542" s="149" t="n">
        <v>0</v>
      </c>
      <c r="AI542" s="149" t="n">
        <v>0</v>
      </c>
      <c r="AJ542" s="149" t="n">
        <v>0</v>
      </c>
      <c r="AK542" s="149" t="n">
        <v>0</v>
      </c>
      <c r="AL542" s="149" t="n">
        <v>0</v>
      </c>
      <c r="AM542" s="149" t="n">
        <v>0</v>
      </c>
      <c r="AN542" s="148"/>
      <c r="AO542" s="148"/>
      <c r="AP542" s="146" t="s">
        <v>138</v>
      </c>
      <c r="AQ542" s="146" t="s">
        <v>139</v>
      </c>
      <c r="AR542" s="146" t="s">
        <v>840</v>
      </c>
      <c r="AS542" s="148"/>
      <c r="AT542" s="150"/>
    </row>
    <row r="543" customFormat="false" ht="12.75" hidden="false" customHeight="true" outlineLevel="0" collapsed="false">
      <c r="B543" s="142"/>
      <c r="C543" s="143" t="s">
        <v>299</v>
      </c>
      <c r="D543" s="144" t="n">
        <v>21451</v>
      </c>
      <c r="E543" s="144" t="str">
        <f aca="false">IF(D543="","",IFERROR(VLOOKUP(D543,CCN_Library!$A$4:$B$13,2,FALSE()),"NOT IN LIBRARY"))</f>
        <v>AUTOMOTIVE ORGANIZATIONAL SHOP</v>
      </c>
      <c r="F543" s="145" t="str">
        <f aca="false">LEFT(H543,6)</f>
        <v>M28262</v>
      </c>
      <c r="G543" s="146" t="s">
        <v>128</v>
      </c>
      <c r="H543" s="146" t="s">
        <v>880</v>
      </c>
      <c r="I543" s="146" t="s">
        <v>332</v>
      </c>
      <c r="J543" s="146" t="s">
        <v>171</v>
      </c>
      <c r="K543" s="147" t="s">
        <v>302</v>
      </c>
      <c r="L543" s="146" t="s">
        <v>302</v>
      </c>
      <c r="M543" s="146" t="s">
        <v>148</v>
      </c>
      <c r="N543" s="146" t="s">
        <v>128</v>
      </c>
      <c r="O543" s="146" t="s">
        <v>135</v>
      </c>
      <c r="P543" s="146" t="s">
        <v>135</v>
      </c>
      <c r="Q543" s="148"/>
      <c r="R543" s="146" t="s">
        <v>136</v>
      </c>
      <c r="S543" s="146" t="s">
        <v>148</v>
      </c>
      <c r="T543" s="148"/>
      <c r="U543" s="149" t="n">
        <v>0</v>
      </c>
      <c r="V543" s="149" t="n">
        <v>1</v>
      </c>
      <c r="W543" s="149" t="n">
        <v>0</v>
      </c>
      <c r="X543" s="149" t="n">
        <v>0</v>
      </c>
      <c r="Y543" s="149" t="n">
        <v>0</v>
      </c>
      <c r="Z543" s="149" t="n">
        <v>0</v>
      </c>
      <c r="AA543" s="149" t="n">
        <v>0</v>
      </c>
      <c r="AB543" s="149" t="n">
        <v>0</v>
      </c>
      <c r="AC543" s="149" t="n">
        <v>0</v>
      </c>
      <c r="AD543" s="149" t="n">
        <v>0</v>
      </c>
      <c r="AE543" s="149" t="n">
        <v>0</v>
      </c>
      <c r="AF543" s="149" t="n">
        <v>0</v>
      </c>
      <c r="AG543" s="149" t="n">
        <v>0</v>
      </c>
      <c r="AH543" s="149" t="n">
        <v>0</v>
      </c>
      <c r="AI543" s="149" t="n">
        <v>0</v>
      </c>
      <c r="AJ543" s="149" t="n">
        <v>0</v>
      </c>
      <c r="AK543" s="149" t="n">
        <v>0</v>
      </c>
      <c r="AL543" s="149" t="n">
        <v>0</v>
      </c>
      <c r="AM543" s="149" t="n">
        <v>0</v>
      </c>
      <c r="AN543" s="148"/>
      <c r="AO543" s="148"/>
      <c r="AP543" s="146" t="s">
        <v>138</v>
      </c>
      <c r="AQ543" s="146" t="s">
        <v>139</v>
      </c>
      <c r="AR543" s="146" t="s">
        <v>840</v>
      </c>
      <c r="AS543" s="148"/>
      <c r="AT543" s="150"/>
    </row>
    <row r="544" customFormat="false" ht="12.75" hidden="false" customHeight="true" outlineLevel="0" collapsed="false">
      <c r="B544" s="142"/>
      <c r="C544" s="143" t="s">
        <v>299</v>
      </c>
      <c r="D544" s="144" t="n">
        <v>21451</v>
      </c>
      <c r="E544" s="144" t="str">
        <f aca="false">IF(D544="","",IFERROR(VLOOKUP(D544,CCN_Library!$A$4:$B$13,2,FALSE()),"NOT IN LIBRARY"))</f>
        <v>AUTOMOTIVE ORGANIZATIONAL SHOP</v>
      </c>
      <c r="F544" s="145" t="str">
        <f aca="false">LEFT(H544,6)</f>
        <v>M28262</v>
      </c>
      <c r="G544" s="146" t="s">
        <v>128</v>
      </c>
      <c r="H544" s="146" t="s">
        <v>881</v>
      </c>
      <c r="I544" s="146" t="s">
        <v>332</v>
      </c>
      <c r="J544" s="146" t="s">
        <v>171</v>
      </c>
      <c r="K544" s="147" t="s">
        <v>302</v>
      </c>
      <c r="L544" s="146" t="s">
        <v>302</v>
      </c>
      <c r="M544" s="146" t="s">
        <v>148</v>
      </c>
      <c r="N544" s="146" t="s">
        <v>128</v>
      </c>
      <c r="O544" s="146" t="s">
        <v>135</v>
      </c>
      <c r="P544" s="146" t="s">
        <v>135</v>
      </c>
      <c r="Q544" s="148"/>
      <c r="R544" s="146" t="s">
        <v>136</v>
      </c>
      <c r="S544" s="146" t="s">
        <v>148</v>
      </c>
      <c r="T544" s="148"/>
      <c r="U544" s="149" t="n">
        <v>0</v>
      </c>
      <c r="V544" s="149" t="n">
        <v>1</v>
      </c>
      <c r="W544" s="149" t="n">
        <v>0</v>
      </c>
      <c r="X544" s="149" t="n">
        <v>0</v>
      </c>
      <c r="Y544" s="149" t="n">
        <v>0</v>
      </c>
      <c r="Z544" s="149" t="n">
        <v>0</v>
      </c>
      <c r="AA544" s="149" t="n">
        <v>0</v>
      </c>
      <c r="AB544" s="149" t="n">
        <v>0</v>
      </c>
      <c r="AC544" s="149" t="n">
        <v>0</v>
      </c>
      <c r="AD544" s="149" t="n">
        <v>0</v>
      </c>
      <c r="AE544" s="149" t="n">
        <v>0</v>
      </c>
      <c r="AF544" s="149" t="n">
        <v>0</v>
      </c>
      <c r="AG544" s="149" t="n">
        <v>0</v>
      </c>
      <c r="AH544" s="149" t="n">
        <v>0</v>
      </c>
      <c r="AI544" s="149" t="n">
        <v>0</v>
      </c>
      <c r="AJ544" s="149" t="n">
        <v>0</v>
      </c>
      <c r="AK544" s="149" t="n">
        <v>0</v>
      </c>
      <c r="AL544" s="149" t="n">
        <v>0</v>
      </c>
      <c r="AM544" s="149" t="n">
        <v>0</v>
      </c>
      <c r="AN544" s="148"/>
      <c r="AO544" s="148"/>
      <c r="AP544" s="146" t="s">
        <v>138</v>
      </c>
      <c r="AQ544" s="146" t="s">
        <v>139</v>
      </c>
      <c r="AR544" s="146" t="s">
        <v>840</v>
      </c>
      <c r="AS544" s="148"/>
      <c r="AT544" s="150"/>
    </row>
    <row r="545" customFormat="false" ht="12.75" hidden="false" customHeight="true" outlineLevel="0" collapsed="false">
      <c r="B545" s="151"/>
      <c r="C545" s="143" t="s">
        <v>293</v>
      </c>
      <c r="D545" s="152" t="n">
        <v>21451</v>
      </c>
      <c r="E545" s="152"/>
      <c r="F545" s="154" t="str">
        <f aca="false">LEFT(H545,6)</f>
        <v>M28262</v>
      </c>
      <c r="G545" s="155" t="s">
        <v>177</v>
      </c>
      <c r="H545" s="155" t="s">
        <v>882</v>
      </c>
      <c r="I545" s="155" t="s">
        <v>653</v>
      </c>
      <c r="J545" s="156"/>
      <c r="K545" s="156"/>
      <c r="L545" s="156"/>
      <c r="M545" s="156"/>
      <c r="N545" s="156"/>
      <c r="O545" s="156"/>
      <c r="P545" s="156"/>
      <c r="Q545" s="156"/>
      <c r="R545" s="156"/>
      <c r="S545" s="156"/>
      <c r="T545" s="156"/>
      <c r="U545" s="157" t="n">
        <v>0</v>
      </c>
      <c r="V545" s="157" t="n">
        <v>0</v>
      </c>
      <c r="W545" s="157" t="n">
        <v>0</v>
      </c>
      <c r="X545" s="157" t="n">
        <v>0</v>
      </c>
      <c r="Y545" s="157" t="n">
        <v>0</v>
      </c>
      <c r="Z545" s="157" t="n">
        <v>0</v>
      </c>
      <c r="AA545" s="157" t="n">
        <v>0</v>
      </c>
      <c r="AB545" s="157" t="n">
        <v>0</v>
      </c>
      <c r="AC545" s="157" t="n">
        <v>0</v>
      </c>
      <c r="AD545" s="157" t="n">
        <v>0</v>
      </c>
      <c r="AE545" s="157" t="n">
        <v>0</v>
      </c>
      <c r="AF545" s="157" t="n">
        <v>0</v>
      </c>
      <c r="AG545" s="157" t="n">
        <v>0</v>
      </c>
      <c r="AH545" s="157" t="n">
        <v>0</v>
      </c>
      <c r="AI545" s="157" t="n">
        <v>0</v>
      </c>
      <c r="AJ545" s="157" t="n">
        <v>0</v>
      </c>
      <c r="AK545" s="157" t="n">
        <v>0</v>
      </c>
      <c r="AL545" s="157" t="n">
        <v>0</v>
      </c>
      <c r="AM545" s="157" t="n">
        <v>0</v>
      </c>
      <c r="AN545" s="156"/>
      <c r="AO545" s="156"/>
      <c r="AP545" s="156"/>
      <c r="AQ545" s="156"/>
      <c r="AR545" s="156"/>
      <c r="AS545" s="156"/>
      <c r="AT545" s="153"/>
    </row>
    <row r="546" customFormat="false" ht="12.75" hidden="false" customHeight="true" outlineLevel="0" collapsed="false">
      <c r="B546" s="142"/>
      <c r="C546" s="143" t="s">
        <v>299</v>
      </c>
      <c r="D546" s="144" t="n">
        <v>21451</v>
      </c>
      <c r="E546" s="144" t="str">
        <f aca="false">IF(D546="","",IFERROR(VLOOKUP(D546,CCN_Library!$A$4:$B$13,2,FALSE()),"NOT IN LIBRARY"))</f>
        <v>AUTOMOTIVE ORGANIZATIONAL SHOP</v>
      </c>
      <c r="F546" s="145" t="str">
        <f aca="false">LEFT(H546,6)</f>
        <v>M28262</v>
      </c>
      <c r="G546" s="146" t="s">
        <v>128</v>
      </c>
      <c r="H546" s="146" t="s">
        <v>883</v>
      </c>
      <c r="I546" s="146" t="s">
        <v>159</v>
      </c>
      <c r="J546" s="146" t="s">
        <v>191</v>
      </c>
      <c r="K546" s="147" t="s">
        <v>161</v>
      </c>
      <c r="L546" s="146" t="s">
        <v>161</v>
      </c>
      <c r="M546" s="146" t="s">
        <v>133</v>
      </c>
      <c r="N546" s="146" t="s">
        <v>128</v>
      </c>
      <c r="O546" s="146" t="s">
        <v>135</v>
      </c>
      <c r="P546" s="146" t="s">
        <v>135</v>
      </c>
      <c r="Q546" s="148"/>
      <c r="R546" s="146" t="s">
        <v>136</v>
      </c>
      <c r="S546" s="146" t="s">
        <v>58</v>
      </c>
      <c r="T546" s="148"/>
      <c r="U546" s="149" t="n">
        <v>0</v>
      </c>
      <c r="V546" s="149" t="n">
        <v>0</v>
      </c>
      <c r="W546" s="149" t="n">
        <v>0</v>
      </c>
      <c r="X546" s="149" t="n">
        <v>0</v>
      </c>
      <c r="Y546" s="149" t="n">
        <v>0</v>
      </c>
      <c r="Z546" s="149" t="n">
        <v>0</v>
      </c>
      <c r="AA546" s="149" t="n">
        <v>1</v>
      </c>
      <c r="AB546" s="149" t="n">
        <v>0</v>
      </c>
      <c r="AC546" s="149" t="n">
        <v>0</v>
      </c>
      <c r="AD546" s="149" t="n">
        <v>0</v>
      </c>
      <c r="AE546" s="149" t="n">
        <v>0</v>
      </c>
      <c r="AF546" s="149" t="n">
        <v>0</v>
      </c>
      <c r="AG546" s="149" t="n">
        <v>0</v>
      </c>
      <c r="AH546" s="149" t="n">
        <v>0</v>
      </c>
      <c r="AI546" s="149" t="n">
        <v>0</v>
      </c>
      <c r="AJ546" s="149" t="n">
        <v>0</v>
      </c>
      <c r="AK546" s="149" t="n">
        <v>0</v>
      </c>
      <c r="AL546" s="149" t="n">
        <v>0</v>
      </c>
      <c r="AM546" s="149" t="n">
        <v>0</v>
      </c>
      <c r="AN546" s="148"/>
      <c r="AO546" s="148"/>
      <c r="AP546" s="146" t="s">
        <v>138</v>
      </c>
      <c r="AQ546" s="146" t="s">
        <v>139</v>
      </c>
      <c r="AR546" s="146" t="s">
        <v>840</v>
      </c>
      <c r="AS546" s="148"/>
      <c r="AT546" s="150"/>
    </row>
    <row r="547" customFormat="false" ht="12.75" hidden="false" customHeight="true" outlineLevel="0" collapsed="false">
      <c r="B547" s="142"/>
      <c r="C547" s="143" t="s">
        <v>299</v>
      </c>
      <c r="D547" s="144" t="n">
        <v>21451</v>
      </c>
      <c r="E547" s="144" t="str">
        <f aca="false">IF(D547="","",IFERROR(VLOOKUP(D547,CCN_Library!$A$4:$B$13,2,FALSE()),"NOT IN LIBRARY"))</f>
        <v>AUTOMOTIVE ORGANIZATIONAL SHOP</v>
      </c>
      <c r="F547" s="145" t="str">
        <f aca="false">LEFT(H547,6)</f>
        <v>M28262</v>
      </c>
      <c r="G547" s="146" t="s">
        <v>128</v>
      </c>
      <c r="H547" s="146" t="s">
        <v>884</v>
      </c>
      <c r="I547" s="146" t="s">
        <v>159</v>
      </c>
      <c r="J547" s="146" t="s">
        <v>160</v>
      </c>
      <c r="K547" s="147" t="s">
        <v>161</v>
      </c>
      <c r="L547" s="146" t="s">
        <v>161</v>
      </c>
      <c r="M547" s="146" t="s">
        <v>133</v>
      </c>
      <c r="N547" s="146" t="s">
        <v>128</v>
      </c>
      <c r="O547" s="146" t="s">
        <v>135</v>
      </c>
      <c r="P547" s="146" t="s">
        <v>135</v>
      </c>
      <c r="Q547" s="148"/>
      <c r="R547" s="146" t="s">
        <v>136</v>
      </c>
      <c r="S547" s="146" t="s">
        <v>58</v>
      </c>
      <c r="T547" s="148"/>
      <c r="U547" s="149" t="n">
        <v>0</v>
      </c>
      <c r="V547" s="149" t="n">
        <v>0</v>
      </c>
      <c r="W547" s="149" t="n">
        <v>0</v>
      </c>
      <c r="X547" s="149" t="n">
        <v>0</v>
      </c>
      <c r="Y547" s="149" t="n">
        <v>0</v>
      </c>
      <c r="Z547" s="149" t="n">
        <v>0</v>
      </c>
      <c r="AA547" s="149" t="n">
        <v>1</v>
      </c>
      <c r="AB547" s="149" t="n">
        <v>0</v>
      </c>
      <c r="AC547" s="149" t="n">
        <v>0</v>
      </c>
      <c r="AD547" s="149" t="n">
        <v>0</v>
      </c>
      <c r="AE547" s="149" t="n">
        <v>0</v>
      </c>
      <c r="AF547" s="149" t="n">
        <v>0</v>
      </c>
      <c r="AG547" s="149" t="n">
        <v>0</v>
      </c>
      <c r="AH547" s="149" t="n">
        <v>0</v>
      </c>
      <c r="AI547" s="149" t="n">
        <v>0</v>
      </c>
      <c r="AJ547" s="149" t="n">
        <v>0</v>
      </c>
      <c r="AK547" s="149" t="n">
        <v>0</v>
      </c>
      <c r="AL547" s="149" t="n">
        <v>0</v>
      </c>
      <c r="AM547" s="149" t="n">
        <v>0</v>
      </c>
      <c r="AN547" s="148"/>
      <c r="AO547" s="148"/>
      <c r="AP547" s="146" t="s">
        <v>138</v>
      </c>
      <c r="AQ547" s="146" t="s">
        <v>139</v>
      </c>
      <c r="AR547" s="146" t="s">
        <v>840</v>
      </c>
      <c r="AS547" s="148"/>
      <c r="AT547" s="150"/>
    </row>
    <row r="548" customFormat="false" ht="12.75" hidden="false" customHeight="true" outlineLevel="0" collapsed="false">
      <c r="B548" s="142"/>
      <c r="C548" s="143" t="s">
        <v>299</v>
      </c>
      <c r="D548" s="144" t="n">
        <v>21451</v>
      </c>
      <c r="E548" s="144" t="str">
        <f aca="false">IF(D548="","",IFERROR(VLOOKUP(D548,CCN_Library!$A$4:$B$13,2,FALSE()),"NOT IN LIBRARY"))</f>
        <v>AUTOMOTIVE ORGANIZATIONAL SHOP</v>
      </c>
      <c r="F548" s="145" t="str">
        <f aca="false">LEFT(H548,6)</f>
        <v>M28262</v>
      </c>
      <c r="G548" s="146" t="s">
        <v>128</v>
      </c>
      <c r="H548" s="146" t="s">
        <v>885</v>
      </c>
      <c r="I548" s="146" t="s">
        <v>332</v>
      </c>
      <c r="J548" s="146" t="s">
        <v>171</v>
      </c>
      <c r="K548" s="147" t="s">
        <v>302</v>
      </c>
      <c r="L548" s="146" t="s">
        <v>302</v>
      </c>
      <c r="M548" s="146" t="s">
        <v>148</v>
      </c>
      <c r="N548" s="146" t="s">
        <v>128</v>
      </c>
      <c r="O548" s="146" t="s">
        <v>135</v>
      </c>
      <c r="P548" s="146" t="s">
        <v>135</v>
      </c>
      <c r="Q548" s="148"/>
      <c r="R548" s="146" t="s">
        <v>136</v>
      </c>
      <c r="S548" s="146" t="s">
        <v>148</v>
      </c>
      <c r="T548" s="148"/>
      <c r="U548" s="149" t="n">
        <v>0</v>
      </c>
      <c r="V548" s="149" t="n">
        <v>1</v>
      </c>
      <c r="W548" s="149" t="n">
        <v>0</v>
      </c>
      <c r="X548" s="149" t="n">
        <v>0</v>
      </c>
      <c r="Y548" s="149" t="n">
        <v>0</v>
      </c>
      <c r="Z548" s="149" t="n">
        <v>0</v>
      </c>
      <c r="AA548" s="149" t="n">
        <v>0</v>
      </c>
      <c r="AB548" s="149" t="n">
        <v>0</v>
      </c>
      <c r="AC548" s="149" t="n">
        <v>0</v>
      </c>
      <c r="AD548" s="149" t="n">
        <v>0</v>
      </c>
      <c r="AE548" s="149" t="n">
        <v>0</v>
      </c>
      <c r="AF548" s="149" t="n">
        <v>0</v>
      </c>
      <c r="AG548" s="149" t="n">
        <v>0</v>
      </c>
      <c r="AH548" s="149" t="n">
        <v>0</v>
      </c>
      <c r="AI548" s="149" t="n">
        <v>0</v>
      </c>
      <c r="AJ548" s="149" t="n">
        <v>0</v>
      </c>
      <c r="AK548" s="149" t="n">
        <v>0</v>
      </c>
      <c r="AL548" s="149" t="n">
        <v>0</v>
      </c>
      <c r="AM548" s="149" t="n">
        <v>0</v>
      </c>
      <c r="AN548" s="148"/>
      <c r="AO548" s="148"/>
      <c r="AP548" s="146" t="s">
        <v>138</v>
      </c>
      <c r="AQ548" s="146" t="s">
        <v>139</v>
      </c>
      <c r="AR548" s="146" t="s">
        <v>840</v>
      </c>
      <c r="AS548" s="148"/>
      <c r="AT548" s="150"/>
    </row>
    <row r="549" customFormat="false" ht="12.75" hidden="false" customHeight="true" outlineLevel="0" collapsed="false">
      <c r="B549" s="142"/>
      <c r="C549" s="143" t="s">
        <v>299</v>
      </c>
      <c r="D549" s="144" t="n">
        <v>21451</v>
      </c>
      <c r="E549" s="144" t="str">
        <f aca="false">IF(D549="","",IFERROR(VLOOKUP(D549,CCN_Library!$A$4:$B$13,2,FALSE()),"NOT IN LIBRARY"))</f>
        <v>AUTOMOTIVE ORGANIZATIONAL SHOP</v>
      </c>
      <c r="F549" s="145" t="str">
        <f aca="false">LEFT(H549,6)</f>
        <v>M28262</v>
      </c>
      <c r="G549" s="146" t="s">
        <v>128</v>
      </c>
      <c r="H549" s="146" t="s">
        <v>886</v>
      </c>
      <c r="I549" s="146" t="s">
        <v>332</v>
      </c>
      <c r="J549" s="146" t="s">
        <v>171</v>
      </c>
      <c r="K549" s="147" t="s">
        <v>302</v>
      </c>
      <c r="L549" s="146" t="s">
        <v>302</v>
      </c>
      <c r="M549" s="146" t="s">
        <v>148</v>
      </c>
      <c r="N549" s="146" t="s">
        <v>128</v>
      </c>
      <c r="O549" s="146" t="s">
        <v>135</v>
      </c>
      <c r="P549" s="146" t="s">
        <v>135</v>
      </c>
      <c r="Q549" s="148"/>
      <c r="R549" s="146" t="s">
        <v>136</v>
      </c>
      <c r="S549" s="146" t="s">
        <v>148</v>
      </c>
      <c r="T549" s="148"/>
      <c r="U549" s="149" t="n">
        <v>0</v>
      </c>
      <c r="V549" s="149" t="n">
        <v>1</v>
      </c>
      <c r="W549" s="149" t="n">
        <v>0</v>
      </c>
      <c r="X549" s="149" t="n">
        <v>0</v>
      </c>
      <c r="Y549" s="149" t="n">
        <v>0</v>
      </c>
      <c r="Z549" s="149" t="n">
        <v>0</v>
      </c>
      <c r="AA549" s="149" t="n">
        <v>0</v>
      </c>
      <c r="AB549" s="149" t="n">
        <v>0</v>
      </c>
      <c r="AC549" s="149" t="n">
        <v>0</v>
      </c>
      <c r="AD549" s="149" t="n">
        <v>0</v>
      </c>
      <c r="AE549" s="149" t="n">
        <v>0</v>
      </c>
      <c r="AF549" s="149" t="n">
        <v>0</v>
      </c>
      <c r="AG549" s="149" t="n">
        <v>0</v>
      </c>
      <c r="AH549" s="149" t="n">
        <v>0</v>
      </c>
      <c r="AI549" s="149" t="n">
        <v>0</v>
      </c>
      <c r="AJ549" s="149" t="n">
        <v>0</v>
      </c>
      <c r="AK549" s="149" t="n">
        <v>0</v>
      </c>
      <c r="AL549" s="149" t="n">
        <v>0</v>
      </c>
      <c r="AM549" s="149" t="n">
        <v>0</v>
      </c>
      <c r="AN549" s="148"/>
      <c r="AO549" s="148"/>
      <c r="AP549" s="146" t="s">
        <v>138</v>
      </c>
      <c r="AQ549" s="146" t="s">
        <v>139</v>
      </c>
      <c r="AR549" s="146" t="s">
        <v>840</v>
      </c>
      <c r="AS549" s="148"/>
      <c r="AT549" s="150"/>
    </row>
    <row r="550" customFormat="false" ht="12.75" hidden="false" customHeight="true" outlineLevel="0" collapsed="false">
      <c r="B550" s="151"/>
      <c r="C550" s="143" t="s">
        <v>299</v>
      </c>
      <c r="D550" s="152" t="n">
        <v>21451</v>
      </c>
      <c r="E550" s="144" t="str">
        <f aca="false">IF(D550="","",IFERROR(VLOOKUP(D550,CCN_Library!$A$4:$B$13,2,FALSE()),"NOT IN LIBRARY"))</f>
        <v>AUTOMOTIVE ORGANIZATIONAL SHOP</v>
      </c>
      <c r="F550" s="145" t="str">
        <f aca="false">LEFT(H550,6)</f>
        <v>M28262</v>
      </c>
      <c r="G550" s="146" t="s">
        <v>128</v>
      </c>
      <c r="H550" s="146" t="s">
        <v>887</v>
      </c>
      <c r="I550" s="146" t="s">
        <v>332</v>
      </c>
      <c r="J550" s="146" t="s">
        <v>171</v>
      </c>
      <c r="K550" s="147" t="s">
        <v>302</v>
      </c>
      <c r="L550" s="146" t="s">
        <v>302</v>
      </c>
      <c r="M550" s="146" t="s">
        <v>148</v>
      </c>
      <c r="N550" s="146" t="s">
        <v>128</v>
      </c>
      <c r="O550" s="146" t="s">
        <v>135</v>
      </c>
      <c r="P550" s="146" t="s">
        <v>135</v>
      </c>
      <c r="Q550" s="148"/>
      <c r="R550" s="146" t="s">
        <v>136</v>
      </c>
      <c r="S550" s="146" t="s">
        <v>148</v>
      </c>
      <c r="T550" s="148"/>
      <c r="U550" s="149" t="n">
        <v>0</v>
      </c>
      <c r="V550" s="149" t="n">
        <v>1</v>
      </c>
      <c r="W550" s="149" t="n">
        <v>0</v>
      </c>
      <c r="X550" s="149" t="n">
        <v>0</v>
      </c>
      <c r="Y550" s="149" t="n">
        <v>0</v>
      </c>
      <c r="Z550" s="149" t="n">
        <v>0</v>
      </c>
      <c r="AA550" s="149" t="n">
        <v>0</v>
      </c>
      <c r="AB550" s="149" t="n">
        <v>0</v>
      </c>
      <c r="AC550" s="149" t="n">
        <v>0</v>
      </c>
      <c r="AD550" s="149" t="n">
        <v>0</v>
      </c>
      <c r="AE550" s="149" t="n">
        <v>0</v>
      </c>
      <c r="AF550" s="149" t="n">
        <v>0</v>
      </c>
      <c r="AG550" s="149" t="n">
        <v>0</v>
      </c>
      <c r="AH550" s="149" t="n">
        <v>0</v>
      </c>
      <c r="AI550" s="149" t="n">
        <v>0</v>
      </c>
      <c r="AJ550" s="149" t="n">
        <v>0</v>
      </c>
      <c r="AK550" s="149" t="n">
        <v>0</v>
      </c>
      <c r="AL550" s="149" t="n">
        <v>0</v>
      </c>
      <c r="AM550" s="149" t="n">
        <v>0</v>
      </c>
      <c r="AN550" s="148"/>
      <c r="AO550" s="148"/>
      <c r="AP550" s="146" t="s">
        <v>138</v>
      </c>
      <c r="AQ550" s="146" t="s">
        <v>139</v>
      </c>
      <c r="AR550" s="146" t="s">
        <v>840</v>
      </c>
      <c r="AS550" s="148"/>
      <c r="AT550" s="153"/>
    </row>
    <row r="551" customFormat="false" ht="12.75" hidden="false" customHeight="true" outlineLevel="0" collapsed="false">
      <c r="B551" s="151"/>
      <c r="C551" s="143" t="s">
        <v>299</v>
      </c>
      <c r="D551" s="152" t="n">
        <v>21451</v>
      </c>
      <c r="E551" s="144" t="str">
        <f aca="false">IF(D551="","",IFERROR(VLOOKUP(D551,CCN_Library!$A$4:$B$13,2,FALSE()),"NOT IN LIBRARY"))</f>
        <v>AUTOMOTIVE ORGANIZATIONAL SHOP</v>
      </c>
      <c r="F551" s="145" t="str">
        <f aca="false">LEFT(H551,6)</f>
        <v>M28262</v>
      </c>
      <c r="G551" s="146" t="s">
        <v>128</v>
      </c>
      <c r="H551" s="146" t="s">
        <v>888</v>
      </c>
      <c r="I551" s="146" t="s">
        <v>332</v>
      </c>
      <c r="J551" s="146" t="s">
        <v>171</v>
      </c>
      <c r="K551" s="147" t="s">
        <v>302</v>
      </c>
      <c r="L551" s="146" t="s">
        <v>302</v>
      </c>
      <c r="M551" s="146" t="s">
        <v>148</v>
      </c>
      <c r="N551" s="146" t="s">
        <v>128</v>
      </c>
      <c r="O551" s="146" t="s">
        <v>135</v>
      </c>
      <c r="P551" s="146" t="s">
        <v>135</v>
      </c>
      <c r="Q551" s="148"/>
      <c r="R551" s="146" t="s">
        <v>136</v>
      </c>
      <c r="S551" s="146" t="s">
        <v>148</v>
      </c>
      <c r="T551" s="148"/>
      <c r="U551" s="149" t="n">
        <v>0</v>
      </c>
      <c r="V551" s="149" t="n">
        <v>1</v>
      </c>
      <c r="W551" s="149" t="n">
        <v>0</v>
      </c>
      <c r="X551" s="149" t="n">
        <v>0</v>
      </c>
      <c r="Y551" s="149" t="n">
        <v>0</v>
      </c>
      <c r="Z551" s="149" t="n">
        <v>0</v>
      </c>
      <c r="AA551" s="149" t="n">
        <v>0</v>
      </c>
      <c r="AB551" s="149" t="n">
        <v>0</v>
      </c>
      <c r="AC551" s="149" t="n">
        <v>0</v>
      </c>
      <c r="AD551" s="149" t="n">
        <v>0</v>
      </c>
      <c r="AE551" s="149" t="n">
        <v>0</v>
      </c>
      <c r="AF551" s="149" t="n">
        <v>0</v>
      </c>
      <c r="AG551" s="149" t="n">
        <v>0</v>
      </c>
      <c r="AH551" s="149" t="n">
        <v>0</v>
      </c>
      <c r="AI551" s="149" t="n">
        <v>0</v>
      </c>
      <c r="AJ551" s="149" t="n">
        <v>0</v>
      </c>
      <c r="AK551" s="149" t="n">
        <v>0</v>
      </c>
      <c r="AL551" s="149" t="n">
        <v>0</v>
      </c>
      <c r="AM551" s="149" t="n">
        <v>0</v>
      </c>
      <c r="AN551" s="148"/>
      <c r="AO551" s="148"/>
      <c r="AP551" s="146" t="s">
        <v>138</v>
      </c>
      <c r="AQ551" s="146" t="s">
        <v>139</v>
      </c>
      <c r="AR551" s="146" t="s">
        <v>840</v>
      </c>
      <c r="AS551" s="148"/>
      <c r="AT551" s="153"/>
    </row>
    <row r="552" customFormat="false" ht="12.75" hidden="false" customHeight="true" outlineLevel="0" collapsed="false">
      <c r="B552" s="151"/>
      <c r="C552" s="143" t="s">
        <v>162</v>
      </c>
      <c r="D552" s="152" t="n">
        <v>61073</v>
      </c>
      <c r="E552" s="152"/>
      <c r="F552" s="154" t="str">
        <f aca="false">LEFT(H552,6)</f>
        <v>M28262</v>
      </c>
      <c r="G552" s="155" t="s">
        <v>58</v>
      </c>
      <c r="H552" s="155" t="s">
        <v>889</v>
      </c>
      <c r="I552" s="155" t="s">
        <v>661</v>
      </c>
      <c r="J552" s="156"/>
      <c r="K552" s="156"/>
      <c r="L552" s="156"/>
      <c r="M552" s="156"/>
      <c r="N552" s="156"/>
      <c r="O552" s="156"/>
      <c r="P552" s="156"/>
      <c r="Q552" s="156"/>
      <c r="R552" s="156"/>
      <c r="S552" s="156"/>
      <c r="T552" s="156"/>
      <c r="U552" s="157" t="n">
        <v>0</v>
      </c>
      <c r="V552" s="157" t="n">
        <v>0</v>
      </c>
      <c r="W552" s="157" t="n">
        <v>0</v>
      </c>
      <c r="X552" s="157" t="n">
        <v>0</v>
      </c>
      <c r="Y552" s="157" t="n">
        <v>0</v>
      </c>
      <c r="Z552" s="157" t="n">
        <v>0</v>
      </c>
      <c r="AA552" s="157" t="n">
        <v>0</v>
      </c>
      <c r="AB552" s="157" t="n">
        <v>0</v>
      </c>
      <c r="AC552" s="157" t="n">
        <v>0</v>
      </c>
      <c r="AD552" s="157" t="n">
        <v>0</v>
      </c>
      <c r="AE552" s="157" t="n">
        <v>0</v>
      </c>
      <c r="AF552" s="157" t="n">
        <v>0</v>
      </c>
      <c r="AG552" s="157" t="n">
        <v>0</v>
      </c>
      <c r="AH552" s="157" t="n">
        <v>0</v>
      </c>
      <c r="AI552" s="157" t="n">
        <v>0</v>
      </c>
      <c r="AJ552" s="157" t="n">
        <v>0</v>
      </c>
      <c r="AK552" s="157" t="n">
        <v>0</v>
      </c>
      <c r="AL552" s="157" t="n">
        <v>0</v>
      </c>
      <c r="AM552" s="157" t="n">
        <v>0</v>
      </c>
      <c r="AN552" s="156"/>
      <c r="AO552" s="156"/>
      <c r="AP552" s="156"/>
      <c r="AQ552" s="156"/>
      <c r="AR552" s="156"/>
      <c r="AS552" s="156"/>
      <c r="AT552" s="153"/>
    </row>
    <row r="553" customFormat="false" ht="12.75" hidden="false" customHeight="true" outlineLevel="0" collapsed="false">
      <c r="B553" s="151"/>
      <c r="C553" s="143" t="s">
        <v>162</v>
      </c>
      <c r="D553" s="152" t="n">
        <v>61073</v>
      </c>
      <c r="E553" s="152"/>
      <c r="F553" s="154" t="str">
        <f aca="false">LEFT(H553,6)</f>
        <v>M28262</v>
      </c>
      <c r="G553" s="155" t="s">
        <v>177</v>
      </c>
      <c r="H553" s="155" t="s">
        <v>890</v>
      </c>
      <c r="I553" s="155" t="s">
        <v>663</v>
      </c>
      <c r="J553" s="156"/>
      <c r="K553" s="156"/>
      <c r="L553" s="156"/>
      <c r="M553" s="156"/>
      <c r="N553" s="156"/>
      <c r="O553" s="156"/>
      <c r="P553" s="156"/>
      <c r="Q553" s="156"/>
      <c r="R553" s="156"/>
      <c r="S553" s="156"/>
      <c r="T553" s="156"/>
      <c r="U553" s="157" t="n">
        <v>0</v>
      </c>
      <c r="V553" s="157" t="n">
        <v>0</v>
      </c>
      <c r="W553" s="157" t="n">
        <v>0</v>
      </c>
      <c r="X553" s="157" t="n">
        <v>0</v>
      </c>
      <c r="Y553" s="157" t="n">
        <v>0</v>
      </c>
      <c r="Z553" s="157" t="n">
        <v>0</v>
      </c>
      <c r="AA553" s="157" t="n">
        <v>0</v>
      </c>
      <c r="AB553" s="157" t="n">
        <v>0</v>
      </c>
      <c r="AC553" s="157" t="n">
        <v>0</v>
      </c>
      <c r="AD553" s="157" t="n">
        <v>0</v>
      </c>
      <c r="AE553" s="157" t="n">
        <v>0</v>
      </c>
      <c r="AF553" s="157" t="n">
        <v>0</v>
      </c>
      <c r="AG553" s="157" t="n">
        <v>0</v>
      </c>
      <c r="AH553" s="157" t="n">
        <v>0</v>
      </c>
      <c r="AI553" s="157" t="n">
        <v>0</v>
      </c>
      <c r="AJ553" s="157" t="n">
        <v>0</v>
      </c>
      <c r="AK553" s="157" t="n">
        <v>0</v>
      </c>
      <c r="AL553" s="157" t="n">
        <v>0</v>
      </c>
      <c r="AM553" s="157" t="n">
        <v>0</v>
      </c>
      <c r="AN553" s="156"/>
      <c r="AO553" s="156"/>
      <c r="AP553" s="156"/>
      <c r="AQ553" s="156"/>
      <c r="AR553" s="156"/>
      <c r="AS553" s="156"/>
      <c r="AT553" s="153"/>
    </row>
    <row r="554" customFormat="false" ht="12.75" hidden="false" customHeight="true" outlineLevel="0" collapsed="false">
      <c r="B554" s="142"/>
      <c r="C554" s="143" t="s">
        <v>162</v>
      </c>
      <c r="D554" s="144" t="n">
        <v>61073</v>
      </c>
      <c r="E554" s="144" t="str">
        <f aca="false">IF(D554="","",IFERROR(VLOOKUP(D554,CCN_Library!$A$4:$B$13,2,FALSE()),"NOT IN LIBRARY"))</f>
        <v>COMPANY/BATTERY HEADQUARTERS, MARINE CORPS</v>
      </c>
      <c r="F554" s="145" t="str">
        <f aca="false">LEFT(H554,6)</f>
        <v>M28262</v>
      </c>
      <c r="G554" s="146" t="s">
        <v>128</v>
      </c>
      <c r="H554" s="146" t="s">
        <v>891</v>
      </c>
      <c r="I554" s="146" t="s">
        <v>466</v>
      </c>
      <c r="J554" s="146" t="s">
        <v>211</v>
      </c>
      <c r="K554" s="147" t="s">
        <v>151</v>
      </c>
      <c r="L554" s="146" t="s">
        <v>151</v>
      </c>
      <c r="M554" s="146" t="s">
        <v>133</v>
      </c>
      <c r="N554" s="146" t="s">
        <v>134</v>
      </c>
      <c r="O554" s="146" t="s">
        <v>135</v>
      </c>
      <c r="P554" s="146" t="s">
        <v>135</v>
      </c>
      <c r="Q554" s="148"/>
      <c r="R554" s="146" t="s">
        <v>136</v>
      </c>
      <c r="S554" s="146" t="s">
        <v>137</v>
      </c>
      <c r="T554" s="148"/>
      <c r="U554" s="149" t="n">
        <v>0</v>
      </c>
      <c r="V554" s="149" t="n">
        <v>0</v>
      </c>
      <c r="W554" s="149" t="n">
        <v>0</v>
      </c>
      <c r="X554" s="149" t="n">
        <v>0</v>
      </c>
      <c r="Y554" s="149" t="n">
        <v>0</v>
      </c>
      <c r="Z554" s="149" t="n">
        <v>1</v>
      </c>
      <c r="AA554" s="149" t="n">
        <v>0</v>
      </c>
      <c r="AB554" s="149" t="n">
        <v>0</v>
      </c>
      <c r="AC554" s="149" t="n">
        <v>0</v>
      </c>
      <c r="AD554" s="149" t="n">
        <v>0</v>
      </c>
      <c r="AE554" s="149" t="n">
        <v>0</v>
      </c>
      <c r="AF554" s="149" t="n">
        <v>0</v>
      </c>
      <c r="AG554" s="149" t="n">
        <v>0</v>
      </c>
      <c r="AH554" s="149" t="n">
        <v>0</v>
      </c>
      <c r="AI554" s="149" t="n">
        <v>0</v>
      </c>
      <c r="AJ554" s="149" t="n">
        <v>0</v>
      </c>
      <c r="AK554" s="149" t="n">
        <v>0</v>
      </c>
      <c r="AL554" s="149" t="n">
        <v>0</v>
      </c>
      <c r="AM554" s="149" t="n">
        <v>0</v>
      </c>
      <c r="AN554" s="148"/>
      <c r="AO554" s="148"/>
      <c r="AP554" s="146" t="s">
        <v>138</v>
      </c>
      <c r="AQ554" s="146" t="s">
        <v>139</v>
      </c>
      <c r="AR554" s="146" t="s">
        <v>840</v>
      </c>
      <c r="AS554" s="148"/>
      <c r="AT554" s="150"/>
    </row>
    <row r="555" customFormat="false" ht="12.75" hidden="false" customHeight="true" outlineLevel="0" collapsed="false">
      <c r="B555" s="142"/>
      <c r="C555" s="143" t="s">
        <v>162</v>
      </c>
      <c r="D555" s="144" t="n">
        <v>61073</v>
      </c>
      <c r="E555" s="144" t="str">
        <f aca="false">IF(D555="","",IFERROR(VLOOKUP(D555,CCN_Library!$A$4:$B$13,2,FALSE()),"NOT IN LIBRARY"))</f>
        <v>COMPANY/BATTERY HEADQUARTERS, MARINE CORPS</v>
      </c>
      <c r="F555" s="145" t="str">
        <f aca="false">LEFT(H555,6)</f>
        <v>M28262</v>
      </c>
      <c r="G555" s="146" t="s">
        <v>128</v>
      </c>
      <c r="H555" s="146" t="s">
        <v>892</v>
      </c>
      <c r="I555" s="146" t="s">
        <v>468</v>
      </c>
      <c r="J555" s="146" t="s">
        <v>211</v>
      </c>
      <c r="K555" s="147" t="s">
        <v>151</v>
      </c>
      <c r="L555" s="146" t="s">
        <v>151</v>
      </c>
      <c r="M555" s="146" t="s">
        <v>133</v>
      </c>
      <c r="N555" s="146" t="s">
        <v>134</v>
      </c>
      <c r="O555" s="146" t="s">
        <v>135</v>
      </c>
      <c r="P555" s="146" t="s">
        <v>135</v>
      </c>
      <c r="Q555" s="148"/>
      <c r="R555" s="146" t="s">
        <v>136</v>
      </c>
      <c r="S555" s="146" t="s">
        <v>137</v>
      </c>
      <c r="T555" s="148"/>
      <c r="U555" s="149" t="n">
        <v>0</v>
      </c>
      <c r="V555" s="149" t="n">
        <v>0</v>
      </c>
      <c r="W555" s="149" t="n">
        <v>0</v>
      </c>
      <c r="X555" s="149" t="n">
        <v>0</v>
      </c>
      <c r="Y555" s="149" t="n">
        <v>0</v>
      </c>
      <c r="Z555" s="149" t="n">
        <v>1</v>
      </c>
      <c r="AA555" s="149" t="n">
        <v>0</v>
      </c>
      <c r="AB555" s="149" t="n">
        <v>0</v>
      </c>
      <c r="AC555" s="149" t="n">
        <v>0</v>
      </c>
      <c r="AD555" s="149" t="n">
        <v>0</v>
      </c>
      <c r="AE555" s="149" t="n">
        <v>0</v>
      </c>
      <c r="AF555" s="149" t="n">
        <v>0</v>
      </c>
      <c r="AG555" s="149" t="n">
        <v>0</v>
      </c>
      <c r="AH555" s="149" t="n">
        <v>0</v>
      </c>
      <c r="AI555" s="149" t="n">
        <v>0</v>
      </c>
      <c r="AJ555" s="149" t="n">
        <v>0</v>
      </c>
      <c r="AK555" s="149" t="n">
        <v>0</v>
      </c>
      <c r="AL555" s="149" t="n">
        <v>0</v>
      </c>
      <c r="AM555" s="149" t="n">
        <v>0</v>
      </c>
      <c r="AN555" s="148"/>
      <c r="AO555" s="148"/>
      <c r="AP555" s="146" t="s">
        <v>138</v>
      </c>
      <c r="AQ555" s="146" t="s">
        <v>139</v>
      </c>
      <c r="AR555" s="146" t="s">
        <v>840</v>
      </c>
      <c r="AS555" s="148"/>
      <c r="AT555" s="150"/>
    </row>
    <row r="556" customFormat="false" ht="12.75" hidden="false" customHeight="true" outlineLevel="0" collapsed="false">
      <c r="B556" s="142"/>
      <c r="C556" s="143" t="s">
        <v>162</v>
      </c>
      <c r="D556" s="144" t="n">
        <v>61073</v>
      </c>
      <c r="E556" s="144" t="str">
        <f aca="false">IF(D556="","",IFERROR(VLOOKUP(D556,CCN_Library!$A$4:$B$13,2,FALSE()),"NOT IN LIBRARY"))</f>
        <v>COMPANY/BATTERY HEADQUARTERS, MARINE CORPS</v>
      </c>
      <c r="F556" s="145" t="str">
        <f aca="false">LEFT(H556,6)</f>
        <v>M28262</v>
      </c>
      <c r="G556" s="146" t="s">
        <v>128</v>
      </c>
      <c r="H556" s="146" t="s">
        <v>893</v>
      </c>
      <c r="I556" s="146" t="s">
        <v>470</v>
      </c>
      <c r="J556" s="146" t="s">
        <v>211</v>
      </c>
      <c r="K556" s="147" t="s">
        <v>151</v>
      </c>
      <c r="L556" s="146" t="s">
        <v>151</v>
      </c>
      <c r="M556" s="146" t="s">
        <v>133</v>
      </c>
      <c r="N556" s="146" t="s">
        <v>134</v>
      </c>
      <c r="O556" s="146" t="s">
        <v>135</v>
      </c>
      <c r="P556" s="146" t="s">
        <v>135</v>
      </c>
      <c r="Q556" s="148"/>
      <c r="R556" s="146" t="s">
        <v>136</v>
      </c>
      <c r="S556" s="146" t="s">
        <v>137</v>
      </c>
      <c r="T556" s="148"/>
      <c r="U556" s="149" t="n">
        <v>0</v>
      </c>
      <c r="V556" s="149" t="n">
        <v>0</v>
      </c>
      <c r="W556" s="149" t="n">
        <v>0</v>
      </c>
      <c r="X556" s="149" t="n">
        <v>0</v>
      </c>
      <c r="Y556" s="149" t="n">
        <v>0</v>
      </c>
      <c r="Z556" s="149" t="n">
        <v>1</v>
      </c>
      <c r="AA556" s="149" t="n">
        <v>0</v>
      </c>
      <c r="AB556" s="149" t="n">
        <v>0</v>
      </c>
      <c r="AC556" s="149" t="n">
        <v>0</v>
      </c>
      <c r="AD556" s="149" t="n">
        <v>0</v>
      </c>
      <c r="AE556" s="149" t="n">
        <v>0</v>
      </c>
      <c r="AF556" s="149" t="n">
        <v>0</v>
      </c>
      <c r="AG556" s="149" t="n">
        <v>0</v>
      </c>
      <c r="AH556" s="149" t="n">
        <v>0</v>
      </c>
      <c r="AI556" s="149" t="n">
        <v>0</v>
      </c>
      <c r="AJ556" s="149" t="n">
        <v>0</v>
      </c>
      <c r="AK556" s="149" t="n">
        <v>0</v>
      </c>
      <c r="AL556" s="149" t="n">
        <v>0</v>
      </c>
      <c r="AM556" s="149" t="n">
        <v>0</v>
      </c>
      <c r="AN556" s="148"/>
      <c r="AO556" s="148"/>
      <c r="AP556" s="146" t="s">
        <v>138</v>
      </c>
      <c r="AQ556" s="146" t="s">
        <v>139</v>
      </c>
      <c r="AR556" s="146" t="s">
        <v>840</v>
      </c>
      <c r="AS556" s="148"/>
      <c r="AT556" s="150"/>
    </row>
    <row r="557" customFormat="false" ht="12.75" hidden="false" customHeight="true" outlineLevel="0" collapsed="false">
      <c r="B557" s="142"/>
      <c r="C557" s="143" t="s">
        <v>162</v>
      </c>
      <c r="D557" s="144" t="n">
        <v>61073</v>
      </c>
      <c r="E557" s="144" t="str">
        <f aca="false">IF(D557="","",IFERROR(VLOOKUP(D557,CCN_Library!$A$4:$B$13,2,FALSE()),"NOT IN LIBRARY"))</f>
        <v>COMPANY/BATTERY HEADQUARTERS, MARINE CORPS</v>
      </c>
      <c r="F557" s="145" t="str">
        <f aca="false">LEFT(H557,6)</f>
        <v>M28262</v>
      </c>
      <c r="G557" s="146" t="s">
        <v>128</v>
      </c>
      <c r="H557" s="146" t="s">
        <v>894</v>
      </c>
      <c r="I557" s="146" t="s">
        <v>472</v>
      </c>
      <c r="J557" s="146" t="s">
        <v>182</v>
      </c>
      <c r="K557" s="147" t="s">
        <v>223</v>
      </c>
      <c r="L557" s="146" t="s">
        <v>223</v>
      </c>
      <c r="M557" s="146" t="s">
        <v>133</v>
      </c>
      <c r="N557" s="146" t="s">
        <v>134</v>
      </c>
      <c r="O557" s="146" t="s">
        <v>135</v>
      </c>
      <c r="P557" s="146" t="s">
        <v>135</v>
      </c>
      <c r="Q557" s="148"/>
      <c r="R557" s="146" t="s">
        <v>136</v>
      </c>
      <c r="S557" s="146" t="s">
        <v>137</v>
      </c>
      <c r="T557" s="148"/>
      <c r="U557" s="149" t="n">
        <v>0</v>
      </c>
      <c r="V557" s="149" t="n">
        <v>0</v>
      </c>
      <c r="W557" s="149" t="n">
        <v>0</v>
      </c>
      <c r="X557" s="149" t="n">
        <v>0</v>
      </c>
      <c r="Y557" s="149" t="n">
        <v>0</v>
      </c>
      <c r="Z557" s="149" t="n">
        <v>1</v>
      </c>
      <c r="AA557" s="149" t="n">
        <v>0</v>
      </c>
      <c r="AB557" s="149" t="n">
        <v>0</v>
      </c>
      <c r="AC557" s="149" t="n">
        <v>0</v>
      </c>
      <c r="AD557" s="149" t="n">
        <v>0</v>
      </c>
      <c r="AE557" s="149" t="n">
        <v>0</v>
      </c>
      <c r="AF557" s="149" t="n">
        <v>0</v>
      </c>
      <c r="AG557" s="149" t="n">
        <v>0</v>
      </c>
      <c r="AH557" s="149" t="n">
        <v>0</v>
      </c>
      <c r="AI557" s="149" t="n">
        <v>0</v>
      </c>
      <c r="AJ557" s="149" t="n">
        <v>0</v>
      </c>
      <c r="AK557" s="149" t="n">
        <v>0</v>
      </c>
      <c r="AL557" s="149" t="n">
        <v>0</v>
      </c>
      <c r="AM557" s="149" t="n">
        <v>0</v>
      </c>
      <c r="AN557" s="148"/>
      <c r="AO557" s="148"/>
      <c r="AP557" s="146" t="s">
        <v>138</v>
      </c>
      <c r="AQ557" s="146" t="s">
        <v>139</v>
      </c>
      <c r="AR557" s="146" t="s">
        <v>840</v>
      </c>
      <c r="AS557" s="148"/>
      <c r="AT557" s="150"/>
    </row>
    <row r="558" customFormat="false" ht="12.75" hidden="false" customHeight="true" outlineLevel="0" collapsed="false">
      <c r="B558" s="142"/>
      <c r="C558" s="143" t="s">
        <v>162</v>
      </c>
      <c r="D558" s="144" t="n">
        <v>61073</v>
      </c>
      <c r="E558" s="144" t="str">
        <f aca="false">IF(D558="","",IFERROR(VLOOKUP(D558,CCN_Library!$A$4:$B$13,2,FALSE()),"NOT IN LIBRARY"))</f>
        <v>COMPANY/BATTERY HEADQUARTERS, MARINE CORPS</v>
      </c>
      <c r="F558" s="145" t="str">
        <f aca="false">LEFT(H558,6)</f>
        <v>M28262</v>
      </c>
      <c r="G558" s="146" t="s">
        <v>128</v>
      </c>
      <c r="H558" s="146" t="s">
        <v>895</v>
      </c>
      <c r="I558" s="146" t="s">
        <v>474</v>
      </c>
      <c r="J558" s="146" t="s">
        <v>189</v>
      </c>
      <c r="K558" s="147" t="s">
        <v>475</v>
      </c>
      <c r="L558" s="146" t="s">
        <v>161</v>
      </c>
      <c r="M558" s="146" t="s">
        <v>133</v>
      </c>
      <c r="N558" s="146" t="s">
        <v>128</v>
      </c>
      <c r="O558" s="146" t="s">
        <v>135</v>
      </c>
      <c r="P558" s="146" t="s">
        <v>135</v>
      </c>
      <c r="Q558" s="148"/>
      <c r="R558" s="146" t="s">
        <v>136</v>
      </c>
      <c r="S558" s="146" t="s">
        <v>137</v>
      </c>
      <c r="T558" s="148"/>
      <c r="U558" s="149" t="n">
        <v>0</v>
      </c>
      <c r="V558" s="149" t="n">
        <v>0</v>
      </c>
      <c r="W558" s="149" t="n">
        <v>0</v>
      </c>
      <c r="X558" s="149" t="n">
        <v>0</v>
      </c>
      <c r="Y558" s="149" t="n">
        <v>0</v>
      </c>
      <c r="Z558" s="149" t="n">
        <v>0</v>
      </c>
      <c r="AA558" s="149" t="n">
        <v>1</v>
      </c>
      <c r="AB558" s="149" t="n">
        <v>0</v>
      </c>
      <c r="AC558" s="149" t="n">
        <v>0</v>
      </c>
      <c r="AD558" s="149" t="n">
        <v>0</v>
      </c>
      <c r="AE558" s="149" t="n">
        <v>0</v>
      </c>
      <c r="AF558" s="149" t="n">
        <v>0</v>
      </c>
      <c r="AG558" s="149" t="n">
        <v>0</v>
      </c>
      <c r="AH558" s="149" t="n">
        <v>0</v>
      </c>
      <c r="AI558" s="149" t="n">
        <v>0</v>
      </c>
      <c r="AJ558" s="149" t="n">
        <v>0</v>
      </c>
      <c r="AK558" s="149" t="n">
        <v>0</v>
      </c>
      <c r="AL558" s="149" t="n">
        <v>0</v>
      </c>
      <c r="AM558" s="149" t="n">
        <v>0</v>
      </c>
      <c r="AN558" s="148"/>
      <c r="AO558" s="148"/>
      <c r="AP558" s="146" t="s">
        <v>138</v>
      </c>
      <c r="AQ558" s="146" t="s">
        <v>139</v>
      </c>
      <c r="AR558" s="146" t="s">
        <v>840</v>
      </c>
      <c r="AS558" s="148"/>
      <c r="AT558" s="150"/>
    </row>
    <row r="559" customFormat="false" ht="12.75" hidden="false" customHeight="true" outlineLevel="0" collapsed="false">
      <c r="B559" s="151"/>
      <c r="C559" s="143" t="s">
        <v>168</v>
      </c>
      <c r="D559" s="152" t="n">
        <v>61073</v>
      </c>
      <c r="E559" s="144" t="str">
        <f aca="false">IF(D559="","",IFERROR(VLOOKUP(D559,CCN_Library!$A$4:$B$13,2,FALSE()),"NOT IN LIBRARY"))</f>
        <v>COMPANY/BATTERY HEADQUARTERS, MARINE CORPS</v>
      </c>
      <c r="F559" s="145" t="str">
        <f aca="false">LEFT(H559,6)</f>
        <v>M28262</v>
      </c>
      <c r="G559" s="146" t="s">
        <v>128</v>
      </c>
      <c r="H559" s="146" t="s">
        <v>896</v>
      </c>
      <c r="I559" s="146" t="s">
        <v>477</v>
      </c>
      <c r="J559" s="146" t="s">
        <v>191</v>
      </c>
      <c r="K559" s="147" t="s">
        <v>478</v>
      </c>
      <c r="L559" s="146" t="s">
        <v>161</v>
      </c>
      <c r="M559" s="146" t="s">
        <v>133</v>
      </c>
      <c r="N559" s="146" t="s">
        <v>128</v>
      </c>
      <c r="O559" s="146" t="s">
        <v>135</v>
      </c>
      <c r="P559" s="146" t="s">
        <v>135</v>
      </c>
      <c r="Q559" s="148"/>
      <c r="R559" s="146" t="s">
        <v>136</v>
      </c>
      <c r="S559" s="146" t="s">
        <v>58</v>
      </c>
      <c r="T559" s="148"/>
      <c r="U559" s="149" t="n">
        <v>0</v>
      </c>
      <c r="V559" s="149" t="n">
        <v>0</v>
      </c>
      <c r="W559" s="149" t="n">
        <v>0</v>
      </c>
      <c r="X559" s="149" t="n">
        <v>0</v>
      </c>
      <c r="Y559" s="149" t="n">
        <v>0</v>
      </c>
      <c r="Z559" s="149" t="n">
        <v>0</v>
      </c>
      <c r="AA559" s="149" t="n">
        <v>1</v>
      </c>
      <c r="AB559" s="149" t="n">
        <v>0</v>
      </c>
      <c r="AC559" s="149" t="n">
        <v>0</v>
      </c>
      <c r="AD559" s="149" t="n">
        <v>0</v>
      </c>
      <c r="AE559" s="149" t="n">
        <v>0</v>
      </c>
      <c r="AF559" s="149" t="n">
        <v>0</v>
      </c>
      <c r="AG559" s="149" t="n">
        <v>0</v>
      </c>
      <c r="AH559" s="149" t="n">
        <v>0</v>
      </c>
      <c r="AI559" s="149" t="n">
        <v>0</v>
      </c>
      <c r="AJ559" s="149" t="n">
        <v>0</v>
      </c>
      <c r="AK559" s="149" t="n">
        <v>0</v>
      </c>
      <c r="AL559" s="149" t="n">
        <v>0</v>
      </c>
      <c r="AM559" s="149" t="n">
        <v>0</v>
      </c>
      <c r="AN559" s="148"/>
      <c r="AO559" s="148"/>
      <c r="AP559" s="146" t="s">
        <v>138</v>
      </c>
      <c r="AQ559" s="146" t="s">
        <v>139</v>
      </c>
      <c r="AR559" s="146" t="s">
        <v>840</v>
      </c>
      <c r="AS559" s="148"/>
      <c r="AT559" s="153"/>
    </row>
    <row r="560" customFormat="false" ht="12.75" hidden="false" customHeight="true" outlineLevel="0" collapsed="false">
      <c r="B560" s="142"/>
      <c r="C560" s="143" t="s">
        <v>168</v>
      </c>
      <c r="D560" s="144" t="n">
        <v>61073</v>
      </c>
      <c r="E560" s="144" t="str">
        <f aca="false">IF(D560="","",IFERROR(VLOOKUP(D560,CCN_Library!$A$4:$B$13,2,FALSE()),"NOT IN LIBRARY"))</f>
        <v>COMPANY/BATTERY HEADQUARTERS, MARINE CORPS</v>
      </c>
      <c r="F560" s="145" t="str">
        <f aca="false">LEFT(H560,6)</f>
        <v>M28262</v>
      </c>
      <c r="G560" s="146" t="s">
        <v>128</v>
      </c>
      <c r="H560" s="146" t="s">
        <v>897</v>
      </c>
      <c r="I560" s="146" t="s">
        <v>477</v>
      </c>
      <c r="J560" s="146" t="s">
        <v>176</v>
      </c>
      <c r="K560" s="147" t="s">
        <v>478</v>
      </c>
      <c r="L560" s="146" t="s">
        <v>161</v>
      </c>
      <c r="M560" s="146" t="s">
        <v>133</v>
      </c>
      <c r="N560" s="146" t="s">
        <v>128</v>
      </c>
      <c r="O560" s="146" t="s">
        <v>135</v>
      </c>
      <c r="P560" s="146" t="s">
        <v>135</v>
      </c>
      <c r="Q560" s="148"/>
      <c r="R560" s="146" t="s">
        <v>136</v>
      </c>
      <c r="S560" s="146" t="s">
        <v>58</v>
      </c>
      <c r="T560" s="148"/>
      <c r="U560" s="149" t="n">
        <v>0</v>
      </c>
      <c r="V560" s="149" t="n">
        <v>0</v>
      </c>
      <c r="W560" s="149" t="n">
        <v>0</v>
      </c>
      <c r="X560" s="149" t="n">
        <v>0</v>
      </c>
      <c r="Y560" s="149" t="n">
        <v>0</v>
      </c>
      <c r="Z560" s="149" t="n">
        <v>0</v>
      </c>
      <c r="AA560" s="149" t="n">
        <v>1</v>
      </c>
      <c r="AB560" s="149" t="n">
        <v>0</v>
      </c>
      <c r="AC560" s="149" t="n">
        <v>0</v>
      </c>
      <c r="AD560" s="149" t="n">
        <v>0</v>
      </c>
      <c r="AE560" s="149" t="n">
        <v>0</v>
      </c>
      <c r="AF560" s="149" t="n">
        <v>0</v>
      </c>
      <c r="AG560" s="149" t="n">
        <v>0</v>
      </c>
      <c r="AH560" s="149" t="n">
        <v>0</v>
      </c>
      <c r="AI560" s="149" t="n">
        <v>0</v>
      </c>
      <c r="AJ560" s="149" t="n">
        <v>0</v>
      </c>
      <c r="AK560" s="149" t="n">
        <v>0</v>
      </c>
      <c r="AL560" s="149" t="n">
        <v>0</v>
      </c>
      <c r="AM560" s="149" t="n">
        <v>0</v>
      </c>
      <c r="AN560" s="148"/>
      <c r="AO560" s="148"/>
      <c r="AP560" s="146" t="s">
        <v>138</v>
      </c>
      <c r="AQ560" s="146" t="s">
        <v>139</v>
      </c>
      <c r="AR560" s="146" t="s">
        <v>840</v>
      </c>
      <c r="AS560" s="148"/>
      <c r="AT560" s="150"/>
    </row>
    <row r="561" customFormat="false" ht="12.75" hidden="false" customHeight="true" outlineLevel="0" collapsed="false">
      <c r="B561" s="151"/>
      <c r="C561" s="143" t="s">
        <v>168</v>
      </c>
      <c r="D561" s="152" t="n">
        <v>61073</v>
      </c>
      <c r="E561" s="144" t="str">
        <f aca="false">IF(D561="","",IFERROR(VLOOKUP(D561,CCN_Library!$A$4:$B$13,2,FALSE()),"NOT IN LIBRARY"))</f>
        <v>COMPANY/BATTERY HEADQUARTERS, MARINE CORPS</v>
      </c>
      <c r="F561" s="145" t="str">
        <f aca="false">LEFT(H561,6)</f>
        <v>M28262</v>
      </c>
      <c r="G561" s="146" t="s">
        <v>128</v>
      </c>
      <c r="H561" s="146" t="s">
        <v>898</v>
      </c>
      <c r="I561" s="146" t="s">
        <v>159</v>
      </c>
      <c r="J561" s="146" t="s">
        <v>176</v>
      </c>
      <c r="K561" s="147" t="s">
        <v>161</v>
      </c>
      <c r="L561" s="146" t="s">
        <v>161</v>
      </c>
      <c r="M561" s="146" t="s">
        <v>133</v>
      </c>
      <c r="N561" s="146" t="s">
        <v>128</v>
      </c>
      <c r="O561" s="146" t="s">
        <v>135</v>
      </c>
      <c r="P561" s="146" t="s">
        <v>135</v>
      </c>
      <c r="Q561" s="148"/>
      <c r="R561" s="146" t="s">
        <v>136</v>
      </c>
      <c r="S561" s="146" t="s">
        <v>58</v>
      </c>
      <c r="T561" s="148"/>
      <c r="U561" s="149" t="n">
        <v>0</v>
      </c>
      <c r="V561" s="149" t="n">
        <v>0</v>
      </c>
      <c r="W561" s="149" t="n">
        <v>0</v>
      </c>
      <c r="X561" s="149" t="n">
        <v>0</v>
      </c>
      <c r="Y561" s="149" t="n">
        <v>0</v>
      </c>
      <c r="Z561" s="149" t="n">
        <v>0</v>
      </c>
      <c r="AA561" s="149" t="n">
        <v>1</v>
      </c>
      <c r="AB561" s="149" t="n">
        <v>0</v>
      </c>
      <c r="AC561" s="149" t="n">
        <v>0</v>
      </c>
      <c r="AD561" s="149" t="n">
        <v>0</v>
      </c>
      <c r="AE561" s="149" t="n">
        <v>0</v>
      </c>
      <c r="AF561" s="149" t="n">
        <v>0</v>
      </c>
      <c r="AG561" s="149" t="n">
        <v>0</v>
      </c>
      <c r="AH561" s="149" t="n">
        <v>0</v>
      </c>
      <c r="AI561" s="149" t="n">
        <v>0</v>
      </c>
      <c r="AJ561" s="149" t="n">
        <v>0</v>
      </c>
      <c r="AK561" s="149" t="n">
        <v>0</v>
      </c>
      <c r="AL561" s="149" t="n">
        <v>0</v>
      </c>
      <c r="AM561" s="149" t="n">
        <v>0</v>
      </c>
      <c r="AN561" s="148"/>
      <c r="AO561" s="148"/>
      <c r="AP561" s="146" t="s">
        <v>138</v>
      </c>
      <c r="AQ561" s="146" t="s">
        <v>139</v>
      </c>
      <c r="AR561" s="146" t="s">
        <v>840</v>
      </c>
      <c r="AS561" s="148"/>
      <c r="AT561" s="153"/>
    </row>
    <row r="562" customFormat="false" ht="12.75" hidden="false" customHeight="true" outlineLevel="0" collapsed="false">
      <c r="B562" s="151"/>
      <c r="C562" s="143" t="s">
        <v>162</v>
      </c>
      <c r="D562" s="152" t="n">
        <v>61073</v>
      </c>
      <c r="E562" s="152"/>
      <c r="F562" s="154" t="str">
        <f aca="false">LEFT(H562,6)</f>
        <v>M28262</v>
      </c>
      <c r="G562" s="155" t="s">
        <v>177</v>
      </c>
      <c r="H562" s="155" t="s">
        <v>899</v>
      </c>
      <c r="I562" s="155" t="s">
        <v>482</v>
      </c>
      <c r="J562" s="156"/>
      <c r="K562" s="156"/>
      <c r="L562" s="156"/>
      <c r="M562" s="156"/>
      <c r="N562" s="156"/>
      <c r="O562" s="156"/>
      <c r="P562" s="156"/>
      <c r="Q562" s="156"/>
      <c r="R562" s="156"/>
      <c r="S562" s="156"/>
      <c r="T562" s="156"/>
      <c r="U562" s="157" t="n">
        <v>0</v>
      </c>
      <c r="V562" s="157" t="n">
        <v>0</v>
      </c>
      <c r="W562" s="157" t="n">
        <v>0</v>
      </c>
      <c r="X562" s="157" t="n">
        <v>0</v>
      </c>
      <c r="Y562" s="157" t="n">
        <v>0</v>
      </c>
      <c r="Z562" s="157" t="n">
        <v>0</v>
      </c>
      <c r="AA562" s="157" t="n">
        <v>0</v>
      </c>
      <c r="AB562" s="157" t="n">
        <v>0</v>
      </c>
      <c r="AC562" s="157" t="n">
        <v>0</v>
      </c>
      <c r="AD562" s="157" t="n">
        <v>0</v>
      </c>
      <c r="AE562" s="157" t="n">
        <v>0</v>
      </c>
      <c r="AF562" s="157" t="n">
        <v>0</v>
      </c>
      <c r="AG562" s="157" t="n">
        <v>0</v>
      </c>
      <c r="AH562" s="157" t="n">
        <v>0</v>
      </c>
      <c r="AI562" s="157" t="n">
        <v>0</v>
      </c>
      <c r="AJ562" s="157" t="n">
        <v>0</v>
      </c>
      <c r="AK562" s="157" t="n">
        <v>0</v>
      </c>
      <c r="AL562" s="157" t="n">
        <v>0</v>
      </c>
      <c r="AM562" s="157" t="n">
        <v>0</v>
      </c>
      <c r="AN562" s="156"/>
      <c r="AO562" s="156"/>
      <c r="AP562" s="156"/>
      <c r="AQ562" s="156"/>
      <c r="AR562" s="156"/>
      <c r="AS562" s="156"/>
      <c r="AT562" s="153"/>
    </row>
    <row r="563" customFormat="false" ht="12.75" hidden="false" customHeight="true" outlineLevel="0" collapsed="false">
      <c r="B563" s="151"/>
      <c r="C563" s="143" t="s">
        <v>162</v>
      </c>
      <c r="D563" s="152" t="n">
        <v>61073</v>
      </c>
      <c r="E563" s="152"/>
      <c r="F563" s="154" t="str">
        <f aca="false">LEFT(H563,6)</f>
        <v>M28262</v>
      </c>
      <c r="G563" s="155" t="s">
        <v>177</v>
      </c>
      <c r="H563" s="155" t="s">
        <v>900</v>
      </c>
      <c r="I563" s="155" t="s">
        <v>484</v>
      </c>
      <c r="J563" s="156"/>
      <c r="K563" s="156"/>
      <c r="L563" s="156"/>
      <c r="M563" s="156"/>
      <c r="N563" s="156"/>
      <c r="O563" s="156"/>
      <c r="P563" s="156"/>
      <c r="Q563" s="156"/>
      <c r="R563" s="156"/>
      <c r="S563" s="156"/>
      <c r="T563" s="156"/>
      <c r="U563" s="157" t="n">
        <v>0</v>
      </c>
      <c r="V563" s="157" t="n">
        <v>0</v>
      </c>
      <c r="W563" s="157" t="n">
        <v>0</v>
      </c>
      <c r="X563" s="157" t="n">
        <v>0</v>
      </c>
      <c r="Y563" s="157" t="n">
        <v>0</v>
      </c>
      <c r="Z563" s="157" t="n">
        <v>0</v>
      </c>
      <c r="AA563" s="157" t="n">
        <v>0</v>
      </c>
      <c r="AB563" s="157" t="n">
        <v>0</v>
      </c>
      <c r="AC563" s="157" t="n">
        <v>0</v>
      </c>
      <c r="AD563" s="157" t="n">
        <v>0</v>
      </c>
      <c r="AE563" s="157" t="n">
        <v>0</v>
      </c>
      <c r="AF563" s="157" t="n">
        <v>0</v>
      </c>
      <c r="AG563" s="157" t="n">
        <v>0</v>
      </c>
      <c r="AH563" s="157" t="n">
        <v>0</v>
      </c>
      <c r="AI563" s="157" t="n">
        <v>0</v>
      </c>
      <c r="AJ563" s="157" t="n">
        <v>0</v>
      </c>
      <c r="AK563" s="157" t="n">
        <v>0</v>
      </c>
      <c r="AL563" s="157" t="n">
        <v>0</v>
      </c>
      <c r="AM563" s="157" t="n">
        <v>0</v>
      </c>
      <c r="AN563" s="156"/>
      <c r="AO563" s="156"/>
      <c r="AP563" s="156"/>
      <c r="AQ563" s="156"/>
      <c r="AR563" s="156"/>
      <c r="AS563" s="156"/>
      <c r="AT563" s="153"/>
    </row>
    <row r="564" customFormat="false" ht="12.75" hidden="false" customHeight="true" outlineLevel="0" collapsed="false">
      <c r="B564" s="142"/>
      <c r="C564" s="143" t="s">
        <v>162</v>
      </c>
      <c r="D564" s="144" t="n">
        <v>61073</v>
      </c>
      <c r="E564" s="144" t="str">
        <f aca="false">IF(D564="","",IFERROR(VLOOKUP(D564,CCN_Library!$A$4:$B$13,2,FALSE()),"NOT IN LIBRARY"))</f>
        <v>COMPANY/BATTERY HEADQUARTERS, MARINE CORPS</v>
      </c>
      <c r="F564" s="145" t="str">
        <f aca="false">LEFT(H564,6)</f>
        <v>M28262</v>
      </c>
      <c r="G564" s="146" t="s">
        <v>128</v>
      </c>
      <c r="H564" s="146" t="s">
        <v>901</v>
      </c>
      <c r="I564" s="146" t="s">
        <v>486</v>
      </c>
      <c r="J564" s="146" t="s">
        <v>211</v>
      </c>
      <c r="K564" s="147" t="s">
        <v>151</v>
      </c>
      <c r="L564" s="146" t="s">
        <v>151</v>
      </c>
      <c r="M564" s="146" t="s">
        <v>133</v>
      </c>
      <c r="N564" s="146" t="s">
        <v>134</v>
      </c>
      <c r="O564" s="146" t="s">
        <v>135</v>
      </c>
      <c r="P564" s="146" t="s">
        <v>135</v>
      </c>
      <c r="Q564" s="148"/>
      <c r="R564" s="146" t="s">
        <v>136</v>
      </c>
      <c r="S564" s="146" t="s">
        <v>137</v>
      </c>
      <c r="T564" s="148"/>
      <c r="U564" s="149" t="n">
        <v>0</v>
      </c>
      <c r="V564" s="149" t="n">
        <v>0</v>
      </c>
      <c r="W564" s="149" t="n">
        <v>0</v>
      </c>
      <c r="X564" s="149" t="n">
        <v>0</v>
      </c>
      <c r="Y564" s="149" t="n">
        <v>0</v>
      </c>
      <c r="Z564" s="149" t="n">
        <v>1</v>
      </c>
      <c r="AA564" s="149" t="n">
        <v>0</v>
      </c>
      <c r="AB564" s="149" t="n">
        <v>0</v>
      </c>
      <c r="AC564" s="149" t="n">
        <v>0</v>
      </c>
      <c r="AD564" s="149" t="n">
        <v>0</v>
      </c>
      <c r="AE564" s="149" t="n">
        <v>0</v>
      </c>
      <c r="AF564" s="149" t="n">
        <v>0</v>
      </c>
      <c r="AG564" s="149" t="n">
        <v>0</v>
      </c>
      <c r="AH564" s="149" t="n">
        <v>0</v>
      </c>
      <c r="AI564" s="149" t="n">
        <v>0</v>
      </c>
      <c r="AJ564" s="149" t="n">
        <v>0</v>
      </c>
      <c r="AK564" s="149" t="n">
        <v>0</v>
      </c>
      <c r="AL564" s="149" t="n">
        <v>0</v>
      </c>
      <c r="AM564" s="149" t="n">
        <v>0</v>
      </c>
      <c r="AN564" s="148"/>
      <c r="AO564" s="148"/>
      <c r="AP564" s="146" t="s">
        <v>138</v>
      </c>
      <c r="AQ564" s="146" t="s">
        <v>139</v>
      </c>
      <c r="AR564" s="146" t="s">
        <v>840</v>
      </c>
      <c r="AS564" s="148"/>
      <c r="AT564" s="150"/>
    </row>
    <row r="565" customFormat="false" ht="12.75" hidden="false" customHeight="true" outlineLevel="0" collapsed="false">
      <c r="B565" s="142"/>
      <c r="C565" s="143" t="s">
        <v>162</v>
      </c>
      <c r="D565" s="144" t="n">
        <v>61073</v>
      </c>
      <c r="E565" s="144" t="str">
        <f aca="false">IF(D565="","",IFERROR(VLOOKUP(D565,CCN_Library!$A$4:$B$13,2,FALSE()),"NOT IN LIBRARY"))</f>
        <v>COMPANY/BATTERY HEADQUARTERS, MARINE CORPS</v>
      </c>
      <c r="F565" s="145" t="str">
        <f aca="false">LEFT(H565,6)</f>
        <v>M28262</v>
      </c>
      <c r="G565" s="146" t="s">
        <v>128</v>
      </c>
      <c r="H565" s="146" t="s">
        <v>902</v>
      </c>
      <c r="I565" s="146" t="s">
        <v>486</v>
      </c>
      <c r="J565" s="146" t="s">
        <v>211</v>
      </c>
      <c r="K565" s="147" t="s">
        <v>151</v>
      </c>
      <c r="L565" s="146" t="s">
        <v>151</v>
      </c>
      <c r="M565" s="146" t="s">
        <v>133</v>
      </c>
      <c r="N565" s="146" t="s">
        <v>134</v>
      </c>
      <c r="O565" s="146" t="s">
        <v>135</v>
      </c>
      <c r="P565" s="146" t="s">
        <v>135</v>
      </c>
      <c r="Q565" s="148"/>
      <c r="R565" s="146" t="s">
        <v>136</v>
      </c>
      <c r="S565" s="146" t="s">
        <v>137</v>
      </c>
      <c r="T565" s="148"/>
      <c r="U565" s="149" t="n">
        <v>0</v>
      </c>
      <c r="V565" s="149" t="n">
        <v>0</v>
      </c>
      <c r="W565" s="149" t="n">
        <v>0</v>
      </c>
      <c r="X565" s="149" t="n">
        <v>0</v>
      </c>
      <c r="Y565" s="149" t="n">
        <v>0</v>
      </c>
      <c r="Z565" s="149" t="n">
        <v>1</v>
      </c>
      <c r="AA565" s="149" t="n">
        <v>0</v>
      </c>
      <c r="AB565" s="149" t="n">
        <v>0</v>
      </c>
      <c r="AC565" s="149" t="n">
        <v>0</v>
      </c>
      <c r="AD565" s="149" t="n">
        <v>0</v>
      </c>
      <c r="AE565" s="149" t="n">
        <v>0</v>
      </c>
      <c r="AF565" s="149" t="n">
        <v>0</v>
      </c>
      <c r="AG565" s="149" t="n">
        <v>0</v>
      </c>
      <c r="AH565" s="149" t="n">
        <v>0</v>
      </c>
      <c r="AI565" s="149" t="n">
        <v>0</v>
      </c>
      <c r="AJ565" s="149" t="n">
        <v>0</v>
      </c>
      <c r="AK565" s="149" t="n">
        <v>0</v>
      </c>
      <c r="AL565" s="149" t="n">
        <v>0</v>
      </c>
      <c r="AM565" s="149" t="n">
        <v>0</v>
      </c>
      <c r="AN565" s="148"/>
      <c r="AO565" s="148"/>
      <c r="AP565" s="146" t="s">
        <v>138</v>
      </c>
      <c r="AQ565" s="146" t="s">
        <v>139</v>
      </c>
      <c r="AR565" s="146" t="s">
        <v>840</v>
      </c>
      <c r="AS565" s="148"/>
      <c r="AT565" s="150"/>
    </row>
    <row r="566" customFormat="false" ht="12.75" hidden="false" customHeight="true" outlineLevel="0" collapsed="false">
      <c r="B566" s="142"/>
      <c r="C566" s="143" t="s">
        <v>162</v>
      </c>
      <c r="D566" s="144" t="n">
        <v>61073</v>
      </c>
      <c r="E566" s="144" t="str">
        <f aca="false">IF(D566="","",IFERROR(VLOOKUP(D566,CCN_Library!$A$4:$B$13,2,FALSE()),"NOT IN LIBRARY"))</f>
        <v>COMPANY/BATTERY HEADQUARTERS, MARINE CORPS</v>
      </c>
      <c r="F566" s="145" t="str">
        <f aca="false">LEFT(H566,6)</f>
        <v>M28262</v>
      </c>
      <c r="G566" s="146" t="s">
        <v>128</v>
      </c>
      <c r="H566" s="146" t="s">
        <v>903</v>
      </c>
      <c r="I566" s="146" t="s">
        <v>489</v>
      </c>
      <c r="J566" s="146" t="s">
        <v>182</v>
      </c>
      <c r="K566" s="147" t="s">
        <v>132</v>
      </c>
      <c r="L566" s="146" t="s">
        <v>132</v>
      </c>
      <c r="M566" s="146" t="s">
        <v>133</v>
      </c>
      <c r="N566" s="146" t="s">
        <v>134</v>
      </c>
      <c r="O566" s="146" t="s">
        <v>135</v>
      </c>
      <c r="P566" s="146" t="s">
        <v>135</v>
      </c>
      <c r="Q566" s="148"/>
      <c r="R566" s="146" t="s">
        <v>136</v>
      </c>
      <c r="S566" s="146" t="s">
        <v>137</v>
      </c>
      <c r="T566" s="148"/>
      <c r="U566" s="149" t="n">
        <v>0</v>
      </c>
      <c r="V566" s="149" t="n">
        <v>0</v>
      </c>
      <c r="W566" s="149" t="n">
        <v>0</v>
      </c>
      <c r="X566" s="149" t="n">
        <v>0</v>
      </c>
      <c r="Y566" s="149" t="n">
        <v>0</v>
      </c>
      <c r="Z566" s="149" t="n">
        <v>1</v>
      </c>
      <c r="AA566" s="149" t="n">
        <v>0</v>
      </c>
      <c r="AB566" s="149" t="n">
        <v>0</v>
      </c>
      <c r="AC566" s="149" t="n">
        <v>0</v>
      </c>
      <c r="AD566" s="149" t="n">
        <v>0</v>
      </c>
      <c r="AE566" s="149" t="n">
        <v>0</v>
      </c>
      <c r="AF566" s="149" t="n">
        <v>0</v>
      </c>
      <c r="AG566" s="149" t="n">
        <v>0</v>
      </c>
      <c r="AH566" s="149" t="n">
        <v>0</v>
      </c>
      <c r="AI566" s="149" t="n">
        <v>0</v>
      </c>
      <c r="AJ566" s="149" t="n">
        <v>0</v>
      </c>
      <c r="AK566" s="149" t="n">
        <v>0</v>
      </c>
      <c r="AL566" s="149" t="n">
        <v>0</v>
      </c>
      <c r="AM566" s="149" t="n">
        <v>0</v>
      </c>
      <c r="AN566" s="148"/>
      <c r="AO566" s="148"/>
      <c r="AP566" s="146" t="s">
        <v>138</v>
      </c>
      <c r="AQ566" s="146" t="s">
        <v>139</v>
      </c>
      <c r="AR566" s="146" t="s">
        <v>840</v>
      </c>
      <c r="AS566" s="148"/>
      <c r="AT566" s="150"/>
    </row>
    <row r="567" customFormat="false" ht="12.75" hidden="false" customHeight="true" outlineLevel="0" collapsed="false">
      <c r="B567" s="142"/>
      <c r="C567" s="143" t="s">
        <v>162</v>
      </c>
      <c r="D567" s="144" t="n">
        <v>61073</v>
      </c>
      <c r="E567" s="144" t="str">
        <f aca="false">IF(D567="","",IFERROR(VLOOKUP(D567,CCN_Library!$A$4:$B$13,2,FALSE()),"NOT IN LIBRARY"))</f>
        <v>COMPANY/BATTERY HEADQUARTERS, MARINE CORPS</v>
      </c>
      <c r="F567" s="145" t="str">
        <f aca="false">LEFT(H567,6)</f>
        <v>M28262</v>
      </c>
      <c r="G567" s="146" t="s">
        <v>128</v>
      </c>
      <c r="H567" s="146" t="s">
        <v>904</v>
      </c>
      <c r="I567" s="146" t="s">
        <v>474</v>
      </c>
      <c r="J567" s="146" t="s">
        <v>187</v>
      </c>
      <c r="K567" s="147" t="s">
        <v>475</v>
      </c>
      <c r="L567" s="146" t="s">
        <v>161</v>
      </c>
      <c r="M567" s="146" t="s">
        <v>133</v>
      </c>
      <c r="N567" s="146" t="s">
        <v>128</v>
      </c>
      <c r="O567" s="146" t="s">
        <v>135</v>
      </c>
      <c r="P567" s="146" t="s">
        <v>135</v>
      </c>
      <c r="Q567" s="148"/>
      <c r="R567" s="146" t="s">
        <v>136</v>
      </c>
      <c r="S567" s="146" t="s">
        <v>137</v>
      </c>
      <c r="T567" s="148"/>
      <c r="U567" s="149" t="n">
        <v>0</v>
      </c>
      <c r="V567" s="149" t="n">
        <v>0</v>
      </c>
      <c r="W567" s="149" t="n">
        <v>0</v>
      </c>
      <c r="X567" s="149" t="n">
        <v>0</v>
      </c>
      <c r="Y567" s="149" t="n">
        <v>0</v>
      </c>
      <c r="Z567" s="149" t="n">
        <v>0</v>
      </c>
      <c r="AA567" s="149" t="n">
        <v>1</v>
      </c>
      <c r="AB567" s="149" t="n">
        <v>0</v>
      </c>
      <c r="AC567" s="149" t="n">
        <v>0</v>
      </c>
      <c r="AD567" s="149" t="n">
        <v>0</v>
      </c>
      <c r="AE567" s="149" t="n">
        <v>0</v>
      </c>
      <c r="AF567" s="149" t="n">
        <v>0</v>
      </c>
      <c r="AG567" s="149" t="n">
        <v>0</v>
      </c>
      <c r="AH567" s="149" t="n">
        <v>0</v>
      </c>
      <c r="AI567" s="149" t="n">
        <v>0</v>
      </c>
      <c r="AJ567" s="149" t="n">
        <v>0</v>
      </c>
      <c r="AK567" s="149" t="n">
        <v>0</v>
      </c>
      <c r="AL567" s="149" t="n">
        <v>0</v>
      </c>
      <c r="AM567" s="149" t="n">
        <v>0</v>
      </c>
      <c r="AN567" s="148"/>
      <c r="AO567" s="148"/>
      <c r="AP567" s="146" t="s">
        <v>138</v>
      </c>
      <c r="AQ567" s="146" t="s">
        <v>139</v>
      </c>
      <c r="AR567" s="146" t="s">
        <v>840</v>
      </c>
      <c r="AS567" s="148"/>
      <c r="AT567" s="150"/>
    </row>
    <row r="568" customFormat="false" ht="12.75" hidden="false" customHeight="true" outlineLevel="0" collapsed="false">
      <c r="B568" s="151"/>
      <c r="C568" s="143" t="s">
        <v>168</v>
      </c>
      <c r="D568" s="152" t="n">
        <v>61073</v>
      </c>
      <c r="E568" s="144" t="str">
        <f aca="false">IF(D568="","",IFERROR(VLOOKUP(D568,CCN_Library!$A$4:$B$13,2,FALSE()),"NOT IN LIBRARY"))</f>
        <v>COMPANY/BATTERY HEADQUARTERS, MARINE CORPS</v>
      </c>
      <c r="F568" s="145" t="str">
        <f aca="false">LEFT(H568,6)</f>
        <v>M28262</v>
      </c>
      <c r="G568" s="146" t="s">
        <v>128</v>
      </c>
      <c r="H568" s="146" t="s">
        <v>905</v>
      </c>
      <c r="I568" s="146" t="s">
        <v>159</v>
      </c>
      <c r="J568" s="146" t="s">
        <v>191</v>
      </c>
      <c r="K568" s="147" t="s">
        <v>161</v>
      </c>
      <c r="L568" s="146" t="s">
        <v>161</v>
      </c>
      <c r="M568" s="146" t="s">
        <v>133</v>
      </c>
      <c r="N568" s="146" t="s">
        <v>128</v>
      </c>
      <c r="O568" s="146" t="s">
        <v>135</v>
      </c>
      <c r="P568" s="146" t="s">
        <v>135</v>
      </c>
      <c r="Q568" s="148"/>
      <c r="R568" s="146" t="s">
        <v>136</v>
      </c>
      <c r="S568" s="146" t="s">
        <v>58</v>
      </c>
      <c r="T568" s="148"/>
      <c r="U568" s="149" t="n">
        <v>0</v>
      </c>
      <c r="V568" s="149" t="n">
        <v>0</v>
      </c>
      <c r="W568" s="149" t="n">
        <v>0</v>
      </c>
      <c r="X568" s="149" t="n">
        <v>0</v>
      </c>
      <c r="Y568" s="149" t="n">
        <v>0</v>
      </c>
      <c r="Z568" s="149" t="n">
        <v>0</v>
      </c>
      <c r="AA568" s="149" t="n">
        <v>1</v>
      </c>
      <c r="AB568" s="149" t="n">
        <v>0</v>
      </c>
      <c r="AC568" s="149" t="n">
        <v>0</v>
      </c>
      <c r="AD568" s="149" t="n">
        <v>0</v>
      </c>
      <c r="AE568" s="149" t="n">
        <v>0</v>
      </c>
      <c r="AF568" s="149" t="n">
        <v>0</v>
      </c>
      <c r="AG568" s="149" t="n">
        <v>0</v>
      </c>
      <c r="AH568" s="149" t="n">
        <v>0</v>
      </c>
      <c r="AI568" s="149" t="n">
        <v>0</v>
      </c>
      <c r="AJ568" s="149" t="n">
        <v>0</v>
      </c>
      <c r="AK568" s="149" t="n">
        <v>0</v>
      </c>
      <c r="AL568" s="149" t="n">
        <v>0</v>
      </c>
      <c r="AM568" s="149" t="n">
        <v>0</v>
      </c>
      <c r="AN568" s="148"/>
      <c r="AO568" s="148"/>
      <c r="AP568" s="146" t="s">
        <v>138</v>
      </c>
      <c r="AQ568" s="146" t="s">
        <v>139</v>
      </c>
      <c r="AR568" s="146" t="s">
        <v>840</v>
      </c>
      <c r="AS568" s="148"/>
      <c r="AT568" s="153"/>
    </row>
    <row r="569" customFormat="false" ht="12.75" hidden="false" customHeight="true" outlineLevel="0" collapsed="false">
      <c r="B569" s="142"/>
      <c r="C569" s="143" t="s">
        <v>168</v>
      </c>
      <c r="D569" s="144" t="n">
        <v>61073</v>
      </c>
      <c r="E569" s="144" t="str">
        <f aca="false">IF(D569="","",IFERROR(VLOOKUP(D569,CCN_Library!$A$4:$B$13,2,FALSE()),"NOT IN LIBRARY"))</f>
        <v>COMPANY/BATTERY HEADQUARTERS, MARINE CORPS</v>
      </c>
      <c r="F569" s="145" t="str">
        <f aca="false">LEFT(H569,6)</f>
        <v>M28262</v>
      </c>
      <c r="G569" s="146" t="s">
        <v>128</v>
      </c>
      <c r="H569" s="146" t="s">
        <v>906</v>
      </c>
      <c r="I569" s="146" t="s">
        <v>159</v>
      </c>
      <c r="J569" s="146" t="s">
        <v>191</v>
      </c>
      <c r="K569" s="147" t="s">
        <v>161</v>
      </c>
      <c r="L569" s="146" t="s">
        <v>161</v>
      </c>
      <c r="M569" s="146" t="s">
        <v>133</v>
      </c>
      <c r="N569" s="146" t="s">
        <v>128</v>
      </c>
      <c r="O569" s="146" t="s">
        <v>135</v>
      </c>
      <c r="P569" s="146" t="s">
        <v>135</v>
      </c>
      <c r="Q569" s="148"/>
      <c r="R569" s="146" t="s">
        <v>136</v>
      </c>
      <c r="S569" s="146" t="s">
        <v>58</v>
      </c>
      <c r="T569" s="148"/>
      <c r="U569" s="149" t="n">
        <v>0</v>
      </c>
      <c r="V569" s="149" t="n">
        <v>0</v>
      </c>
      <c r="W569" s="149" t="n">
        <v>0</v>
      </c>
      <c r="X569" s="149" t="n">
        <v>0</v>
      </c>
      <c r="Y569" s="149" t="n">
        <v>0</v>
      </c>
      <c r="Z569" s="149" t="n">
        <v>0</v>
      </c>
      <c r="AA569" s="149" t="n">
        <v>1</v>
      </c>
      <c r="AB569" s="149" t="n">
        <v>0</v>
      </c>
      <c r="AC569" s="149" t="n">
        <v>0</v>
      </c>
      <c r="AD569" s="149" t="n">
        <v>0</v>
      </c>
      <c r="AE569" s="149" t="n">
        <v>0</v>
      </c>
      <c r="AF569" s="149" t="n">
        <v>0</v>
      </c>
      <c r="AG569" s="149" t="n">
        <v>0</v>
      </c>
      <c r="AH569" s="149" t="n">
        <v>0</v>
      </c>
      <c r="AI569" s="149" t="n">
        <v>0</v>
      </c>
      <c r="AJ569" s="149" t="n">
        <v>0</v>
      </c>
      <c r="AK569" s="149" t="n">
        <v>0</v>
      </c>
      <c r="AL569" s="149" t="n">
        <v>0</v>
      </c>
      <c r="AM569" s="149" t="n">
        <v>0</v>
      </c>
      <c r="AN569" s="148"/>
      <c r="AO569" s="148"/>
      <c r="AP569" s="146" t="s">
        <v>138</v>
      </c>
      <c r="AQ569" s="146" t="s">
        <v>139</v>
      </c>
      <c r="AR569" s="146" t="s">
        <v>840</v>
      </c>
      <c r="AS569" s="148"/>
      <c r="AT569" s="150"/>
    </row>
    <row r="570" customFormat="false" ht="12.75" hidden="false" customHeight="true" outlineLevel="0" collapsed="false">
      <c r="B570" s="142"/>
      <c r="C570" s="143" t="s">
        <v>168</v>
      </c>
      <c r="D570" s="144" t="n">
        <v>61073</v>
      </c>
      <c r="E570" s="144" t="str">
        <f aca="false">IF(D570="","",IFERROR(VLOOKUP(D570,CCN_Library!$A$4:$B$13,2,FALSE()),"NOT IN LIBRARY"))</f>
        <v>COMPANY/BATTERY HEADQUARTERS, MARINE CORPS</v>
      </c>
      <c r="F570" s="145" t="str">
        <f aca="false">LEFT(H570,6)</f>
        <v>M28262</v>
      </c>
      <c r="G570" s="146" t="s">
        <v>128</v>
      </c>
      <c r="H570" s="146" t="s">
        <v>907</v>
      </c>
      <c r="I570" s="146" t="s">
        <v>159</v>
      </c>
      <c r="J570" s="146" t="s">
        <v>191</v>
      </c>
      <c r="K570" s="147" t="s">
        <v>161</v>
      </c>
      <c r="L570" s="146" t="s">
        <v>161</v>
      </c>
      <c r="M570" s="146" t="s">
        <v>133</v>
      </c>
      <c r="N570" s="146" t="s">
        <v>128</v>
      </c>
      <c r="O570" s="146" t="s">
        <v>135</v>
      </c>
      <c r="P570" s="146" t="s">
        <v>135</v>
      </c>
      <c r="Q570" s="148"/>
      <c r="R570" s="146" t="s">
        <v>136</v>
      </c>
      <c r="S570" s="146" t="s">
        <v>58</v>
      </c>
      <c r="T570" s="148"/>
      <c r="U570" s="149" t="n">
        <v>0</v>
      </c>
      <c r="V570" s="149" t="n">
        <v>0</v>
      </c>
      <c r="W570" s="149" t="n">
        <v>0</v>
      </c>
      <c r="X570" s="149" t="n">
        <v>0</v>
      </c>
      <c r="Y570" s="149" t="n">
        <v>0</v>
      </c>
      <c r="Z570" s="149" t="n">
        <v>0</v>
      </c>
      <c r="AA570" s="149" t="n">
        <v>1</v>
      </c>
      <c r="AB570" s="149" t="n">
        <v>0</v>
      </c>
      <c r="AC570" s="149" t="n">
        <v>0</v>
      </c>
      <c r="AD570" s="149" t="n">
        <v>0</v>
      </c>
      <c r="AE570" s="149" t="n">
        <v>0</v>
      </c>
      <c r="AF570" s="149" t="n">
        <v>0</v>
      </c>
      <c r="AG570" s="149" t="n">
        <v>0</v>
      </c>
      <c r="AH570" s="149" t="n">
        <v>0</v>
      </c>
      <c r="AI570" s="149" t="n">
        <v>0</v>
      </c>
      <c r="AJ570" s="149" t="n">
        <v>0</v>
      </c>
      <c r="AK570" s="149" t="n">
        <v>0</v>
      </c>
      <c r="AL570" s="149" t="n">
        <v>0</v>
      </c>
      <c r="AM570" s="149" t="n">
        <v>0</v>
      </c>
      <c r="AN570" s="148"/>
      <c r="AO570" s="148"/>
      <c r="AP570" s="146" t="s">
        <v>138</v>
      </c>
      <c r="AQ570" s="146" t="s">
        <v>139</v>
      </c>
      <c r="AR570" s="146" t="s">
        <v>840</v>
      </c>
      <c r="AS570" s="148"/>
      <c r="AT570" s="150"/>
    </row>
    <row r="571" customFormat="false" ht="12.75" hidden="false" customHeight="true" outlineLevel="0" collapsed="false">
      <c r="B571" s="142"/>
      <c r="C571" s="143" t="s">
        <v>168</v>
      </c>
      <c r="D571" s="144" t="n">
        <v>61073</v>
      </c>
      <c r="E571" s="144" t="str">
        <f aca="false">IF(D571="","",IFERROR(VLOOKUP(D571,CCN_Library!$A$4:$B$13,2,FALSE()),"NOT IN LIBRARY"))</f>
        <v>COMPANY/BATTERY HEADQUARTERS, MARINE CORPS</v>
      </c>
      <c r="F571" s="145" t="str">
        <f aca="false">LEFT(H571,6)</f>
        <v>M28262</v>
      </c>
      <c r="G571" s="146" t="s">
        <v>128</v>
      </c>
      <c r="H571" s="146" t="s">
        <v>908</v>
      </c>
      <c r="I571" s="146" t="s">
        <v>159</v>
      </c>
      <c r="J571" s="146" t="s">
        <v>176</v>
      </c>
      <c r="K571" s="147" t="s">
        <v>161</v>
      </c>
      <c r="L571" s="146" t="s">
        <v>161</v>
      </c>
      <c r="M571" s="146" t="s">
        <v>133</v>
      </c>
      <c r="N571" s="146" t="s">
        <v>128</v>
      </c>
      <c r="O571" s="146" t="s">
        <v>135</v>
      </c>
      <c r="P571" s="146" t="s">
        <v>135</v>
      </c>
      <c r="Q571" s="148"/>
      <c r="R571" s="146" t="s">
        <v>136</v>
      </c>
      <c r="S571" s="146" t="s">
        <v>58</v>
      </c>
      <c r="T571" s="148"/>
      <c r="U571" s="149" t="n">
        <v>0</v>
      </c>
      <c r="V571" s="149" t="n">
        <v>0</v>
      </c>
      <c r="W571" s="149" t="n">
        <v>0</v>
      </c>
      <c r="X571" s="149" t="n">
        <v>0</v>
      </c>
      <c r="Y571" s="149" t="n">
        <v>0</v>
      </c>
      <c r="Z571" s="149" t="n">
        <v>0</v>
      </c>
      <c r="AA571" s="149" t="n">
        <v>1</v>
      </c>
      <c r="AB571" s="149" t="n">
        <v>0</v>
      </c>
      <c r="AC571" s="149" t="n">
        <v>0</v>
      </c>
      <c r="AD571" s="149" t="n">
        <v>0</v>
      </c>
      <c r="AE571" s="149" t="n">
        <v>0</v>
      </c>
      <c r="AF571" s="149" t="n">
        <v>0</v>
      </c>
      <c r="AG571" s="149" t="n">
        <v>0</v>
      </c>
      <c r="AH571" s="149" t="n">
        <v>0</v>
      </c>
      <c r="AI571" s="149" t="n">
        <v>0</v>
      </c>
      <c r="AJ571" s="149" t="n">
        <v>0</v>
      </c>
      <c r="AK571" s="149" t="n">
        <v>0</v>
      </c>
      <c r="AL571" s="149" t="n">
        <v>0</v>
      </c>
      <c r="AM571" s="149" t="n">
        <v>0</v>
      </c>
      <c r="AN571" s="148"/>
      <c r="AO571" s="148"/>
      <c r="AP571" s="146" t="s">
        <v>138</v>
      </c>
      <c r="AQ571" s="146" t="s">
        <v>139</v>
      </c>
      <c r="AR571" s="146" t="s">
        <v>840</v>
      </c>
      <c r="AS571" s="148"/>
      <c r="AT571" s="150"/>
    </row>
    <row r="572" customFormat="false" ht="12.75" hidden="false" customHeight="true" outlineLevel="0" collapsed="false">
      <c r="B572" s="151"/>
      <c r="C572" s="143" t="s">
        <v>168</v>
      </c>
      <c r="D572" s="152" t="n">
        <v>61073</v>
      </c>
      <c r="E572" s="144" t="str">
        <f aca="false">IF(D572="","",IFERROR(VLOOKUP(D572,CCN_Library!$A$4:$B$13,2,FALSE()),"NOT IN LIBRARY"))</f>
        <v>COMPANY/BATTERY HEADQUARTERS, MARINE CORPS</v>
      </c>
      <c r="F572" s="145" t="str">
        <f aca="false">LEFT(H572,6)</f>
        <v>M28262</v>
      </c>
      <c r="G572" s="146" t="s">
        <v>128</v>
      </c>
      <c r="H572" s="146" t="s">
        <v>909</v>
      </c>
      <c r="I572" s="146" t="s">
        <v>159</v>
      </c>
      <c r="J572" s="146" t="s">
        <v>176</v>
      </c>
      <c r="K572" s="147" t="s">
        <v>161</v>
      </c>
      <c r="L572" s="146" t="s">
        <v>161</v>
      </c>
      <c r="M572" s="146" t="s">
        <v>133</v>
      </c>
      <c r="N572" s="146" t="s">
        <v>128</v>
      </c>
      <c r="O572" s="146" t="s">
        <v>135</v>
      </c>
      <c r="P572" s="146" t="s">
        <v>135</v>
      </c>
      <c r="Q572" s="148"/>
      <c r="R572" s="146" t="s">
        <v>136</v>
      </c>
      <c r="S572" s="146" t="s">
        <v>58</v>
      </c>
      <c r="T572" s="148"/>
      <c r="U572" s="149" t="n">
        <v>0</v>
      </c>
      <c r="V572" s="149" t="n">
        <v>0</v>
      </c>
      <c r="W572" s="149" t="n">
        <v>0</v>
      </c>
      <c r="X572" s="149" t="n">
        <v>0</v>
      </c>
      <c r="Y572" s="149" t="n">
        <v>0</v>
      </c>
      <c r="Z572" s="149" t="n">
        <v>0</v>
      </c>
      <c r="AA572" s="149" t="n">
        <v>1</v>
      </c>
      <c r="AB572" s="149" t="n">
        <v>0</v>
      </c>
      <c r="AC572" s="149" t="n">
        <v>0</v>
      </c>
      <c r="AD572" s="149" t="n">
        <v>0</v>
      </c>
      <c r="AE572" s="149" t="n">
        <v>0</v>
      </c>
      <c r="AF572" s="149" t="n">
        <v>0</v>
      </c>
      <c r="AG572" s="149" t="n">
        <v>0</v>
      </c>
      <c r="AH572" s="149" t="n">
        <v>0</v>
      </c>
      <c r="AI572" s="149" t="n">
        <v>0</v>
      </c>
      <c r="AJ572" s="149" t="n">
        <v>0</v>
      </c>
      <c r="AK572" s="149" t="n">
        <v>0</v>
      </c>
      <c r="AL572" s="149" t="n">
        <v>0</v>
      </c>
      <c r="AM572" s="149" t="n">
        <v>0</v>
      </c>
      <c r="AN572" s="148"/>
      <c r="AO572" s="148"/>
      <c r="AP572" s="146" t="s">
        <v>138</v>
      </c>
      <c r="AQ572" s="146" t="s">
        <v>139</v>
      </c>
      <c r="AR572" s="146" t="s">
        <v>840</v>
      </c>
      <c r="AS572" s="148"/>
      <c r="AT572" s="153"/>
    </row>
    <row r="573" customFormat="false" ht="12.75" hidden="false" customHeight="true" outlineLevel="0" collapsed="false">
      <c r="B573" s="142"/>
      <c r="C573" s="143" t="s">
        <v>168</v>
      </c>
      <c r="D573" s="144" t="n">
        <v>61073</v>
      </c>
      <c r="E573" s="144" t="str">
        <f aca="false">IF(D573="","",IFERROR(VLOOKUP(D573,CCN_Library!$A$4:$B$13,2,FALSE()),"NOT IN LIBRARY"))</f>
        <v>COMPANY/BATTERY HEADQUARTERS, MARINE CORPS</v>
      </c>
      <c r="F573" s="145" t="str">
        <f aca="false">LEFT(H573,6)</f>
        <v>M28262</v>
      </c>
      <c r="G573" s="146" t="s">
        <v>128</v>
      </c>
      <c r="H573" s="146" t="s">
        <v>910</v>
      </c>
      <c r="I573" s="146" t="s">
        <v>159</v>
      </c>
      <c r="J573" s="146" t="s">
        <v>176</v>
      </c>
      <c r="K573" s="147" t="s">
        <v>161</v>
      </c>
      <c r="L573" s="146" t="s">
        <v>161</v>
      </c>
      <c r="M573" s="146" t="s">
        <v>133</v>
      </c>
      <c r="N573" s="146" t="s">
        <v>128</v>
      </c>
      <c r="O573" s="146" t="s">
        <v>135</v>
      </c>
      <c r="P573" s="146" t="s">
        <v>135</v>
      </c>
      <c r="Q573" s="148"/>
      <c r="R573" s="146" t="s">
        <v>136</v>
      </c>
      <c r="S573" s="146" t="s">
        <v>58</v>
      </c>
      <c r="T573" s="148"/>
      <c r="U573" s="149" t="n">
        <v>0</v>
      </c>
      <c r="V573" s="149" t="n">
        <v>0</v>
      </c>
      <c r="W573" s="149" t="n">
        <v>0</v>
      </c>
      <c r="X573" s="149" t="n">
        <v>0</v>
      </c>
      <c r="Y573" s="149" t="n">
        <v>0</v>
      </c>
      <c r="Z573" s="149" t="n">
        <v>0</v>
      </c>
      <c r="AA573" s="149" t="n">
        <v>1</v>
      </c>
      <c r="AB573" s="149" t="n">
        <v>0</v>
      </c>
      <c r="AC573" s="149" t="n">
        <v>0</v>
      </c>
      <c r="AD573" s="149" t="n">
        <v>0</v>
      </c>
      <c r="AE573" s="149" t="n">
        <v>0</v>
      </c>
      <c r="AF573" s="149" t="n">
        <v>0</v>
      </c>
      <c r="AG573" s="149" t="n">
        <v>0</v>
      </c>
      <c r="AH573" s="149" t="n">
        <v>0</v>
      </c>
      <c r="AI573" s="149" t="n">
        <v>0</v>
      </c>
      <c r="AJ573" s="149" t="n">
        <v>0</v>
      </c>
      <c r="AK573" s="149" t="n">
        <v>0</v>
      </c>
      <c r="AL573" s="149" t="n">
        <v>0</v>
      </c>
      <c r="AM573" s="149" t="n">
        <v>0</v>
      </c>
      <c r="AN573" s="148"/>
      <c r="AO573" s="148"/>
      <c r="AP573" s="146" t="s">
        <v>138</v>
      </c>
      <c r="AQ573" s="146" t="s">
        <v>139</v>
      </c>
      <c r="AR573" s="146" t="s">
        <v>840</v>
      </c>
      <c r="AS573" s="148"/>
      <c r="AT573" s="150"/>
    </row>
    <row r="574" customFormat="false" ht="12.75" hidden="false" customHeight="true" outlineLevel="0" collapsed="false">
      <c r="B574" s="151"/>
      <c r="C574" s="143" t="s">
        <v>162</v>
      </c>
      <c r="D574" s="152" t="n">
        <v>61073</v>
      </c>
      <c r="E574" s="152"/>
      <c r="F574" s="154" t="str">
        <f aca="false">LEFT(H574,6)</f>
        <v>M28262</v>
      </c>
      <c r="G574" s="155" t="s">
        <v>177</v>
      </c>
      <c r="H574" s="155" t="s">
        <v>911</v>
      </c>
      <c r="I574" s="155" t="s">
        <v>498</v>
      </c>
      <c r="J574" s="156"/>
      <c r="K574" s="156"/>
      <c r="L574" s="156"/>
      <c r="M574" s="156"/>
      <c r="N574" s="156"/>
      <c r="O574" s="156"/>
      <c r="P574" s="156"/>
      <c r="Q574" s="156"/>
      <c r="R574" s="156"/>
      <c r="S574" s="156"/>
      <c r="T574" s="156"/>
      <c r="U574" s="157" t="n">
        <v>0</v>
      </c>
      <c r="V574" s="157" t="n">
        <v>0</v>
      </c>
      <c r="W574" s="157" t="n">
        <v>0</v>
      </c>
      <c r="X574" s="157" t="n">
        <v>0</v>
      </c>
      <c r="Y574" s="157" t="n">
        <v>0</v>
      </c>
      <c r="Z574" s="157" t="n">
        <v>0</v>
      </c>
      <c r="AA574" s="157" t="n">
        <v>0</v>
      </c>
      <c r="AB574" s="157" t="n">
        <v>0</v>
      </c>
      <c r="AC574" s="157" t="n">
        <v>0</v>
      </c>
      <c r="AD574" s="157" t="n">
        <v>0</v>
      </c>
      <c r="AE574" s="157" t="n">
        <v>0</v>
      </c>
      <c r="AF574" s="157" t="n">
        <v>0</v>
      </c>
      <c r="AG574" s="157" t="n">
        <v>0</v>
      </c>
      <c r="AH574" s="157" t="n">
        <v>0</v>
      </c>
      <c r="AI574" s="157" t="n">
        <v>0</v>
      </c>
      <c r="AJ574" s="157" t="n">
        <v>0</v>
      </c>
      <c r="AK574" s="157" t="n">
        <v>0</v>
      </c>
      <c r="AL574" s="157" t="n">
        <v>0</v>
      </c>
      <c r="AM574" s="157" t="n">
        <v>0</v>
      </c>
      <c r="AN574" s="156"/>
      <c r="AO574" s="156"/>
      <c r="AP574" s="156"/>
      <c r="AQ574" s="156"/>
      <c r="AR574" s="156"/>
      <c r="AS574" s="156"/>
      <c r="AT574" s="153"/>
    </row>
    <row r="575" customFormat="false" ht="12.75" hidden="false" customHeight="true" outlineLevel="0" collapsed="false">
      <c r="B575" s="142"/>
      <c r="C575" s="143" t="s">
        <v>162</v>
      </c>
      <c r="D575" s="144" t="n">
        <v>61073</v>
      </c>
      <c r="E575" s="144" t="str">
        <f aca="false">IF(D575="","",IFERROR(VLOOKUP(D575,CCN_Library!$A$4:$B$13,2,FALSE()),"NOT IN LIBRARY"))</f>
        <v>COMPANY/BATTERY HEADQUARTERS, MARINE CORPS</v>
      </c>
      <c r="F575" s="145" t="str">
        <f aca="false">LEFT(H575,6)</f>
        <v>M28262</v>
      </c>
      <c r="G575" s="146" t="s">
        <v>128</v>
      </c>
      <c r="H575" s="146" t="s">
        <v>912</v>
      </c>
      <c r="I575" s="146" t="s">
        <v>500</v>
      </c>
      <c r="J575" s="146" t="s">
        <v>182</v>
      </c>
      <c r="K575" s="147" t="s">
        <v>223</v>
      </c>
      <c r="L575" s="146" t="s">
        <v>223</v>
      </c>
      <c r="M575" s="146" t="s">
        <v>133</v>
      </c>
      <c r="N575" s="146" t="s">
        <v>134</v>
      </c>
      <c r="O575" s="146" t="s">
        <v>135</v>
      </c>
      <c r="P575" s="146" t="s">
        <v>135</v>
      </c>
      <c r="Q575" s="148"/>
      <c r="R575" s="146" t="s">
        <v>136</v>
      </c>
      <c r="S575" s="146" t="s">
        <v>137</v>
      </c>
      <c r="T575" s="148"/>
      <c r="U575" s="149" t="n">
        <v>0</v>
      </c>
      <c r="V575" s="149" t="n">
        <v>0</v>
      </c>
      <c r="W575" s="149" t="n">
        <v>0</v>
      </c>
      <c r="X575" s="149" t="n">
        <v>0</v>
      </c>
      <c r="Y575" s="149" t="n">
        <v>0</v>
      </c>
      <c r="Z575" s="149" t="n">
        <v>1</v>
      </c>
      <c r="AA575" s="149" t="n">
        <v>0</v>
      </c>
      <c r="AB575" s="149" t="n">
        <v>0</v>
      </c>
      <c r="AC575" s="149" t="n">
        <v>0</v>
      </c>
      <c r="AD575" s="149" t="n">
        <v>0</v>
      </c>
      <c r="AE575" s="149" t="n">
        <v>0</v>
      </c>
      <c r="AF575" s="149" t="n">
        <v>0</v>
      </c>
      <c r="AG575" s="149" t="n">
        <v>0</v>
      </c>
      <c r="AH575" s="149" t="n">
        <v>0</v>
      </c>
      <c r="AI575" s="149" t="n">
        <v>0</v>
      </c>
      <c r="AJ575" s="149" t="n">
        <v>0</v>
      </c>
      <c r="AK575" s="149" t="n">
        <v>0</v>
      </c>
      <c r="AL575" s="149" t="n">
        <v>0</v>
      </c>
      <c r="AM575" s="149" t="n">
        <v>0</v>
      </c>
      <c r="AN575" s="148"/>
      <c r="AO575" s="148"/>
      <c r="AP575" s="146" t="s">
        <v>138</v>
      </c>
      <c r="AQ575" s="146" t="s">
        <v>139</v>
      </c>
      <c r="AR575" s="146" t="s">
        <v>840</v>
      </c>
      <c r="AS575" s="148"/>
      <c r="AT575" s="150"/>
    </row>
    <row r="576" customFormat="false" ht="12.75" hidden="false" customHeight="true" outlineLevel="0" collapsed="false">
      <c r="B576" s="142"/>
      <c r="C576" s="143" t="s">
        <v>162</v>
      </c>
      <c r="D576" s="144" t="n">
        <v>61073</v>
      </c>
      <c r="E576" s="144" t="str">
        <f aca="false">IF(D576="","",IFERROR(VLOOKUP(D576,CCN_Library!$A$4:$B$13,2,FALSE()),"NOT IN LIBRARY"))</f>
        <v>COMPANY/BATTERY HEADQUARTERS, MARINE CORPS</v>
      </c>
      <c r="F576" s="145" t="str">
        <f aca="false">LEFT(H576,6)</f>
        <v>M28262</v>
      </c>
      <c r="G576" s="146" t="s">
        <v>128</v>
      </c>
      <c r="H576" s="146" t="s">
        <v>913</v>
      </c>
      <c r="I576" s="146" t="s">
        <v>159</v>
      </c>
      <c r="J576" s="146" t="s">
        <v>189</v>
      </c>
      <c r="K576" s="147" t="s">
        <v>161</v>
      </c>
      <c r="L576" s="146" t="s">
        <v>161</v>
      </c>
      <c r="M576" s="146" t="s">
        <v>133</v>
      </c>
      <c r="N576" s="146" t="s">
        <v>128</v>
      </c>
      <c r="O576" s="146" t="s">
        <v>135</v>
      </c>
      <c r="P576" s="146" t="s">
        <v>135</v>
      </c>
      <c r="Q576" s="148"/>
      <c r="R576" s="146" t="s">
        <v>136</v>
      </c>
      <c r="S576" s="146" t="s">
        <v>137</v>
      </c>
      <c r="T576" s="148"/>
      <c r="U576" s="149" t="n">
        <v>0</v>
      </c>
      <c r="V576" s="149" t="n">
        <v>0</v>
      </c>
      <c r="W576" s="149" t="n">
        <v>0</v>
      </c>
      <c r="X576" s="149" t="n">
        <v>0</v>
      </c>
      <c r="Y576" s="149" t="n">
        <v>0</v>
      </c>
      <c r="Z576" s="149" t="n">
        <v>0</v>
      </c>
      <c r="AA576" s="149" t="n">
        <v>1</v>
      </c>
      <c r="AB576" s="149" t="n">
        <v>0</v>
      </c>
      <c r="AC576" s="149" t="n">
        <v>0</v>
      </c>
      <c r="AD576" s="149" t="n">
        <v>0</v>
      </c>
      <c r="AE576" s="149" t="n">
        <v>0</v>
      </c>
      <c r="AF576" s="149" t="n">
        <v>0</v>
      </c>
      <c r="AG576" s="149" t="n">
        <v>0</v>
      </c>
      <c r="AH576" s="149" t="n">
        <v>0</v>
      </c>
      <c r="AI576" s="149" t="n">
        <v>0</v>
      </c>
      <c r="AJ576" s="149" t="n">
        <v>0</v>
      </c>
      <c r="AK576" s="149" t="n">
        <v>0</v>
      </c>
      <c r="AL576" s="149" t="n">
        <v>0</v>
      </c>
      <c r="AM576" s="149" t="n">
        <v>0</v>
      </c>
      <c r="AN576" s="148"/>
      <c r="AO576" s="148"/>
      <c r="AP576" s="146" t="s">
        <v>138</v>
      </c>
      <c r="AQ576" s="146" t="s">
        <v>139</v>
      </c>
      <c r="AR576" s="146" t="s">
        <v>840</v>
      </c>
      <c r="AS576" s="148"/>
      <c r="AT576" s="150"/>
    </row>
    <row r="577" customFormat="false" ht="12.75" hidden="false" customHeight="true" outlineLevel="0" collapsed="false">
      <c r="B577" s="142"/>
      <c r="C577" s="143" t="s">
        <v>168</v>
      </c>
      <c r="D577" s="144" t="n">
        <v>61073</v>
      </c>
      <c r="E577" s="144" t="str">
        <f aca="false">IF(D577="","",IFERROR(VLOOKUP(D577,CCN_Library!$A$4:$B$13,2,FALSE()),"NOT IN LIBRARY"))</f>
        <v>COMPANY/BATTERY HEADQUARTERS, MARINE CORPS</v>
      </c>
      <c r="F577" s="145" t="str">
        <f aca="false">LEFT(H577,6)</f>
        <v>M28262</v>
      </c>
      <c r="G577" s="146" t="s">
        <v>128</v>
      </c>
      <c r="H577" s="146" t="s">
        <v>914</v>
      </c>
      <c r="I577" s="146" t="s">
        <v>159</v>
      </c>
      <c r="J577" s="146" t="s">
        <v>191</v>
      </c>
      <c r="K577" s="147" t="s">
        <v>161</v>
      </c>
      <c r="L577" s="146" t="s">
        <v>161</v>
      </c>
      <c r="M577" s="146" t="s">
        <v>133</v>
      </c>
      <c r="N577" s="146" t="s">
        <v>128</v>
      </c>
      <c r="O577" s="146" t="s">
        <v>135</v>
      </c>
      <c r="P577" s="146" t="s">
        <v>135</v>
      </c>
      <c r="Q577" s="148"/>
      <c r="R577" s="146" t="s">
        <v>136</v>
      </c>
      <c r="S577" s="146" t="s">
        <v>58</v>
      </c>
      <c r="T577" s="148"/>
      <c r="U577" s="149" t="n">
        <v>0</v>
      </c>
      <c r="V577" s="149" t="n">
        <v>0</v>
      </c>
      <c r="W577" s="149" t="n">
        <v>0</v>
      </c>
      <c r="X577" s="149" t="n">
        <v>0</v>
      </c>
      <c r="Y577" s="149" t="n">
        <v>0</v>
      </c>
      <c r="Z577" s="149" t="n">
        <v>0</v>
      </c>
      <c r="AA577" s="149" t="n">
        <v>1</v>
      </c>
      <c r="AB577" s="149" t="n">
        <v>0</v>
      </c>
      <c r="AC577" s="149" t="n">
        <v>0</v>
      </c>
      <c r="AD577" s="149" t="n">
        <v>0</v>
      </c>
      <c r="AE577" s="149" t="n">
        <v>0</v>
      </c>
      <c r="AF577" s="149" t="n">
        <v>0</v>
      </c>
      <c r="AG577" s="149" t="n">
        <v>0</v>
      </c>
      <c r="AH577" s="149" t="n">
        <v>0</v>
      </c>
      <c r="AI577" s="149" t="n">
        <v>0</v>
      </c>
      <c r="AJ577" s="149" t="n">
        <v>0</v>
      </c>
      <c r="AK577" s="149" t="n">
        <v>0</v>
      </c>
      <c r="AL577" s="149" t="n">
        <v>0</v>
      </c>
      <c r="AM577" s="149" t="n">
        <v>0</v>
      </c>
      <c r="AN577" s="148"/>
      <c r="AO577" s="148"/>
      <c r="AP577" s="146" t="s">
        <v>138</v>
      </c>
      <c r="AQ577" s="146" t="s">
        <v>139</v>
      </c>
      <c r="AR577" s="146" t="s">
        <v>840</v>
      </c>
      <c r="AS577" s="148"/>
      <c r="AT577" s="150"/>
    </row>
    <row r="578" customFormat="false" ht="12.75" hidden="false" customHeight="true" outlineLevel="0" collapsed="false">
      <c r="B578" s="142"/>
      <c r="C578" s="143" t="s">
        <v>168</v>
      </c>
      <c r="D578" s="144" t="n">
        <v>61073</v>
      </c>
      <c r="E578" s="144" t="str">
        <f aca="false">IF(D578="","",IFERROR(VLOOKUP(D578,CCN_Library!$A$4:$B$13,2,FALSE()),"NOT IN LIBRARY"))</f>
        <v>COMPANY/BATTERY HEADQUARTERS, MARINE CORPS</v>
      </c>
      <c r="F578" s="145" t="str">
        <f aca="false">LEFT(H578,6)</f>
        <v>M28262</v>
      </c>
      <c r="G578" s="146" t="s">
        <v>128</v>
      </c>
      <c r="H578" s="146" t="s">
        <v>915</v>
      </c>
      <c r="I578" s="146" t="s">
        <v>159</v>
      </c>
      <c r="J578" s="146" t="s">
        <v>191</v>
      </c>
      <c r="K578" s="147" t="s">
        <v>161</v>
      </c>
      <c r="L578" s="146" t="s">
        <v>161</v>
      </c>
      <c r="M578" s="146" t="s">
        <v>133</v>
      </c>
      <c r="N578" s="146" t="s">
        <v>128</v>
      </c>
      <c r="O578" s="146" t="s">
        <v>135</v>
      </c>
      <c r="P578" s="146" t="s">
        <v>135</v>
      </c>
      <c r="Q578" s="148"/>
      <c r="R578" s="146" t="s">
        <v>136</v>
      </c>
      <c r="S578" s="146" t="s">
        <v>58</v>
      </c>
      <c r="T578" s="148"/>
      <c r="U578" s="149" t="n">
        <v>0</v>
      </c>
      <c r="V578" s="149" t="n">
        <v>0</v>
      </c>
      <c r="W578" s="149" t="n">
        <v>0</v>
      </c>
      <c r="X578" s="149" t="n">
        <v>0</v>
      </c>
      <c r="Y578" s="149" t="n">
        <v>0</v>
      </c>
      <c r="Z578" s="149" t="n">
        <v>0</v>
      </c>
      <c r="AA578" s="149" t="n">
        <v>1</v>
      </c>
      <c r="AB578" s="149" t="n">
        <v>0</v>
      </c>
      <c r="AC578" s="149" t="n">
        <v>0</v>
      </c>
      <c r="AD578" s="149" t="n">
        <v>0</v>
      </c>
      <c r="AE578" s="149" t="n">
        <v>0</v>
      </c>
      <c r="AF578" s="149" t="n">
        <v>0</v>
      </c>
      <c r="AG578" s="149" t="n">
        <v>0</v>
      </c>
      <c r="AH578" s="149" t="n">
        <v>0</v>
      </c>
      <c r="AI578" s="149" t="n">
        <v>0</v>
      </c>
      <c r="AJ578" s="149" t="n">
        <v>0</v>
      </c>
      <c r="AK578" s="149" t="n">
        <v>0</v>
      </c>
      <c r="AL578" s="149" t="n">
        <v>0</v>
      </c>
      <c r="AM578" s="149" t="n">
        <v>0</v>
      </c>
      <c r="AN578" s="148"/>
      <c r="AO578" s="148"/>
      <c r="AP578" s="146" t="s">
        <v>138</v>
      </c>
      <c r="AQ578" s="146" t="s">
        <v>139</v>
      </c>
      <c r="AR578" s="146" t="s">
        <v>840</v>
      </c>
      <c r="AS578" s="148"/>
      <c r="AT578" s="150"/>
    </row>
    <row r="579" customFormat="false" ht="12.75" hidden="false" customHeight="true" outlineLevel="0" collapsed="false">
      <c r="B579" s="151"/>
      <c r="C579" s="143" t="s">
        <v>168</v>
      </c>
      <c r="D579" s="152" t="n">
        <v>61073</v>
      </c>
      <c r="E579" s="144" t="str">
        <f aca="false">IF(D579="","",IFERROR(VLOOKUP(D579,CCN_Library!$A$4:$B$13,2,FALSE()),"NOT IN LIBRARY"))</f>
        <v>COMPANY/BATTERY HEADQUARTERS, MARINE CORPS</v>
      </c>
      <c r="F579" s="145" t="str">
        <f aca="false">LEFT(H579,6)</f>
        <v>M28262</v>
      </c>
      <c r="G579" s="146" t="s">
        <v>128</v>
      </c>
      <c r="H579" s="146" t="s">
        <v>916</v>
      </c>
      <c r="I579" s="146" t="s">
        <v>159</v>
      </c>
      <c r="J579" s="146" t="s">
        <v>191</v>
      </c>
      <c r="K579" s="147" t="s">
        <v>161</v>
      </c>
      <c r="L579" s="146" t="s">
        <v>161</v>
      </c>
      <c r="M579" s="146" t="s">
        <v>133</v>
      </c>
      <c r="N579" s="146" t="s">
        <v>128</v>
      </c>
      <c r="O579" s="146" t="s">
        <v>135</v>
      </c>
      <c r="P579" s="146" t="s">
        <v>135</v>
      </c>
      <c r="Q579" s="148"/>
      <c r="R579" s="146" t="s">
        <v>136</v>
      </c>
      <c r="S579" s="146" t="s">
        <v>58</v>
      </c>
      <c r="T579" s="148"/>
      <c r="U579" s="149" t="n">
        <v>0</v>
      </c>
      <c r="V579" s="149" t="n">
        <v>0</v>
      </c>
      <c r="W579" s="149" t="n">
        <v>0</v>
      </c>
      <c r="X579" s="149" t="n">
        <v>0</v>
      </c>
      <c r="Y579" s="149" t="n">
        <v>0</v>
      </c>
      <c r="Z579" s="149" t="n">
        <v>0</v>
      </c>
      <c r="AA579" s="149" t="n">
        <v>1</v>
      </c>
      <c r="AB579" s="149" t="n">
        <v>0</v>
      </c>
      <c r="AC579" s="149" t="n">
        <v>0</v>
      </c>
      <c r="AD579" s="149" t="n">
        <v>0</v>
      </c>
      <c r="AE579" s="149" t="n">
        <v>0</v>
      </c>
      <c r="AF579" s="149" t="n">
        <v>0</v>
      </c>
      <c r="AG579" s="149" t="n">
        <v>0</v>
      </c>
      <c r="AH579" s="149" t="n">
        <v>0</v>
      </c>
      <c r="AI579" s="149" t="n">
        <v>0</v>
      </c>
      <c r="AJ579" s="149" t="n">
        <v>0</v>
      </c>
      <c r="AK579" s="149" t="n">
        <v>0</v>
      </c>
      <c r="AL579" s="149" t="n">
        <v>0</v>
      </c>
      <c r="AM579" s="149" t="n">
        <v>0</v>
      </c>
      <c r="AN579" s="148"/>
      <c r="AO579" s="148"/>
      <c r="AP579" s="146" t="s">
        <v>138</v>
      </c>
      <c r="AQ579" s="146" t="s">
        <v>139</v>
      </c>
      <c r="AR579" s="146" t="s">
        <v>840</v>
      </c>
      <c r="AS579" s="148"/>
      <c r="AT579" s="153"/>
    </row>
    <row r="580" customFormat="false" ht="12.75" hidden="false" customHeight="true" outlineLevel="0" collapsed="false">
      <c r="B580" s="142"/>
      <c r="C580" s="143" t="s">
        <v>168</v>
      </c>
      <c r="D580" s="144" t="n">
        <v>61073</v>
      </c>
      <c r="E580" s="144" t="str">
        <f aca="false">IF(D580="","",IFERROR(VLOOKUP(D580,CCN_Library!$A$4:$B$13,2,FALSE()),"NOT IN LIBRARY"))</f>
        <v>COMPANY/BATTERY HEADQUARTERS, MARINE CORPS</v>
      </c>
      <c r="F580" s="145" t="str">
        <f aca="false">LEFT(H580,6)</f>
        <v>M28262</v>
      </c>
      <c r="G580" s="146" t="s">
        <v>128</v>
      </c>
      <c r="H580" s="146" t="s">
        <v>917</v>
      </c>
      <c r="I580" s="146" t="s">
        <v>159</v>
      </c>
      <c r="J580" s="146" t="s">
        <v>176</v>
      </c>
      <c r="K580" s="147" t="s">
        <v>161</v>
      </c>
      <c r="L580" s="146" t="s">
        <v>161</v>
      </c>
      <c r="M580" s="146" t="s">
        <v>133</v>
      </c>
      <c r="N580" s="146" t="s">
        <v>128</v>
      </c>
      <c r="O580" s="146" t="s">
        <v>135</v>
      </c>
      <c r="P580" s="146" t="s">
        <v>135</v>
      </c>
      <c r="Q580" s="148"/>
      <c r="R580" s="146" t="s">
        <v>136</v>
      </c>
      <c r="S580" s="146" t="s">
        <v>58</v>
      </c>
      <c r="T580" s="148"/>
      <c r="U580" s="149" t="n">
        <v>0</v>
      </c>
      <c r="V580" s="149" t="n">
        <v>0</v>
      </c>
      <c r="W580" s="149" t="n">
        <v>0</v>
      </c>
      <c r="X580" s="149" t="n">
        <v>0</v>
      </c>
      <c r="Y580" s="149" t="n">
        <v>0</v>
      </c>
      <c r="Z580" s="149" t="n">
        <v>0</v>
      </c>
      <c r="AA580" s="149" t="n">
        <v>1</v>
      </c>
      <c r="AB580" s="149" t="n">
        <v>0</v>
      </c>
      <c r="AC580" s="149" t="n">
        <v>0</v>
      </c>
      <c r="AD580" s="149" t="n">
        <v>0</v>
      </c>
      <c r="AE580" s="149" t="n">
        <v>0</v>
      </c>
      <c r="AF580" s="149" t="n">
        <v>0</v>
      </c>
      <c r="AG580" s="149" t="n">
        <v>0</v>
      </c>
      <c r="AH580" s="149" t="n">
        <v>0</v>
      </c>
      <c r="AI580" s="149" t="n">
        <v>0</v>
      </c>
      <c r="AJ580" s="149" t="n">
        <v>0</v>
      </c>
      <c r="AK580" s="149" t="n">
        <v>0</v>
      </c>
      <c r="AL580" s="149" t="n">
        <v>0</v>
      </c>
      <c r="AM580" s="149" t="n">
        <v>0</v>
      </c>
      <c r="AN580" s="148"/>
      <c r="AO580" s="148"/>
      <c r="AP580" s="146" t="s">
        <v>138</v>
      </c>
      <c r="AQ580" s="146" t="s">
        <v>139</v>
      </c>
      <c r="AR580" s="146" t="s">
        <v>840</v>
      </c>
      <c r="AS580" s="148"/>
      <c r="AT580" s="150"/>
    </row>
    <row r="581" customFormat="false" ht="12.75" hidden="false" customHeight="true" outlineLevel="0" collapsed="false">
      <c r="B581" s="142"/>
      <c r="C581" s="143" t="s">
        <v>168</v>
      </c>
      <c r="D581" s="144" t="n">
        <v>61073</v>
      </c>
      <c r="E581" s="144" t="str">
        <f aca="false">IF(D581="","",IFERROR(VLOOKUP(D581,CCN_Library!$A$4:$B$13,2,FALSE()),"NOT IN LIBRARY"))</f>
        <v>COMPANY/BATTERY HEADQUARTERS, MARINE CORPS</v>
      </c>
      <c r="F581" s="145" t="str">
        <f aca="false">LEFT(H581,6)</f>
        <v>M28262</v>
      </c>
      <c r="G581" s="146" t="s">
        <v>128</v>
      </c>
      <c r="H581" s="146" t="s">
        <v>918</v>
      </c>
      <c r="I581" s="146" t="s">
        <v>159</v>
      </c>
      <c r="J581" s="146" t="s">
        <v>176</v>
      </c>
      <c r="K581" s="147" t="s">
        <v>161</v>
      </c>
      <c r="L581" s="146" t="s">
        <v>161</v>
      </c>
      <c r="M581" s="146" t="s">
        <v>133</v>
      </c>
      <c r="N581" s="146" t="s">
        <v>128</v>
      </c>
      <c r="O581" s="146" t="s">
        <v>135</v>
      </c>
      <c r="P581" s="146" t="s">
        <v>135</v>
      </c>
      <c r="Q581" s="148"/>
      <c r="R581" s="146" t="s">
        <v>136</v>
      </c>
      <c r="S581" s="146" t="s">
        <v>58</v>
      </c>
      <c r="T581" s="148"/>
      <c r="U581" s="149" t="n">
        <v>0</v>
      </c>
      <c r="V581" s="149" t="n">
        <v>0</v>
      </c>
      <c r="W581" s="149" t="n">
        <v>0</v>
      </c>
      <c r="X581" s="149" t="n">
        <v>0</v>
      </c>
      <c r="Y581" s="149" t="n">
        <v>0</v>
      </c>
      <c r="Z581" s="149" t="n">
        <v>0</v>
      </c>
      <c r="AA581" s="149" t="n">
        <v>1</v>
      </c>
      <c r="AB581" s="149" t="n">
        <v>0</v>
      </c>
      <c r="AC581" s="149" t="n">
        <v>0</v>
      </c>
      <c r="AD581" s="149" t="n">
        <v>0</v>
      </c>
      <c r="AE581" s="149" t="n">
        <v>0</v>
      </c>
      <c r="AF581" s="149" t="n">
        <v>0</v>
      </c>
      <c r="AG581" s="149" t="n">
        <v>0</v>
      </c>
      <c r="AH581" s="149" t="n">
        <v>0</v>
      </c>
      <c r="AI581" s="149" t="n">
        <v>0</v>
      </c>
      <c r="AJ581" s="149" t="n">
        <v>0</v>
      </c>
      <c r="AK581" s="149" t="n">
        <v>0</v>
      </c>
      <c r="AL581" s="149" t="n">
        <v>0</v>
      </c>
      <c r="AM581" s="149" t="n">
        <v>0</v>
      </c>
      <c r="AN581" s="148"/>
      <c r="AO581" s="148"/>
      <c r="AP581" s="146" t="s">
        <v>138</v>
      </c>
      <c r="AQ581" s="146" t="s">
        <v>139</v>
      </c>
      <c r="AR581" s="146" t="s">
        <v>840</v>
      </c>
      <c r="AS581" s="148"/>
      <c r="AT581" s="150"/>
    </row>
    <row r="582" customFormat="false" ht="12.75" hidden="false" customHeight="true" outlineLevel="0" collapsed="false">
      <c r="B582" s="142"/>
      <c r="C582" s="143" t="s">
        <v>168</v>
      </c>
      <c r="D582" s="144" t="n">
        <v>61073</v>
      </c>
      <c r="E582" s="144" t="str">
        <f aca="false">IF(D582="","",IFERROR(VLOOKUP(D582,CCN_Library!$A$4:$B$13,2,FALSE()),"NOT IN LIBRARY"))</f>
        <v>COMPANY/BATTERY HEADQUARTERS, MARINE CORPS</v>
      </c>
      <c r="F582" s="145" t="str">
        <f aca="false">LEFT(H582,6)</f>
        <v>M28262</v>
      </c>
      <c r="G582" s="146" t="s">
        <v>128</v>
      </c>
      <c r="H582" s="146" t="s">
        <v>919</v>
      </c>
      <c r="I582" s="146" t="s">
        <v>159</v>
      </c>
      <c r="J582" s="146" t="s">
        <v>176</v>
      </c>
      <c r="K582" s="147" t="s">
        <v>161</v>
      </c>
      <c r="L582" s="146" t="s">
        <v>161</v>
      </c>
      <c r="M582" s="146" t="s">
        <v>133</v>
      </c>
      <c r="N582" s="146" t="s">
        <v>128</v>
      </c>
      <c r="O582" s="146" t="s">
        <v>135</v>
      </c>
      <c r="P582" s="146" t="s">
        <v>135</v>
      </c>
      <c r="Q582" s="148"/>
      <c r="R582" s="146" t="s">
        <v>136</v>
      </c>
      <c r="S582" s="146" t="s">
        <v>58</v>
      </c>
      <c r="T582" s="148"/>
      <c r="U582" s="149" t="n">
        <v>0</v>
      </c>
      <c r="V582" s="149" t="n">
        <v>0</v>
      </c>
      <c r="W582" s="149" t="n">
        <v>0</v>
      </c>
      <c r="X582" s="149" t="n">
        <v>0</v>
      </c>
      <c r="Y582" s="149" t="n">
        <v>0</v>
      </c>
      <c r="Z582" s="149" t="n">
        <v>0</v>
      </c>
      <c r="AA582" s="149" t="n">
        <v>1</v>
      </c>
      <c r="AB582" s="149" t="n">
        <v>0</v>
      </c>
      <c r="AC582" s="149" t="n">
        <v>0</v>
      </c>
      <c r="AD582" s="149" t="n">
        <v>0</v>
      </c>
      <c r="AE582" s="149" t="n">
        <v>0</v>
      </c>
      <c r="AF582" s="149" t="n">
        <v>0</v>
      </c>
      <c r="AG582" s="149" t="n">
        <v>0</v>
      </c>
      <c r="AH582" s="149" t="n">
        <v>0</v>
      </c>
      <c r="AI582" s="149" t="n">
        <v>0</v>
      </c>
      <c r="AJ582" s="149" t="n">
        <v>0</v>
      </c>
      <c r="AK582" s="149" t="n">
        <v>0</v>
      </c>
      <c r="AL582" s="149" t="n">
        <v>0</v>
      </c>
      <c r="AM582" s="149" t="n">
        <v>0</v>
      </c>
      <c r="AN582" s="148"/>
      <c r="AO582" s="148"/>
      <c r="AP582" s="146" t="s">
        <v>138</v>
      </c>
      <c r="AQ582" s="146" t="s">
        <v>139</v>
      </c>
      <c r="AR582" s="146" t="s">
        <v>840</v>
      </c>
      <c r="AS582" s="148"/>
      <c r="AT582" s="150"/>
    </row>
    <row r="583" customFormat="false" ht="12.75" hidden="false" customHeight="true" outlineLevel="0" collapsed="false">
      <c r="B583" s="151"/>
      <c r="C583" s="143" t="s">
        <v>162</v>
      </c>
      <c r="D583" s="152" t="n">
        <v>61073</v>
      </c>
      <c r="E583" s="152"/>
      <c r="F583" s="154" t="str">
        <f aca="false">LEFT(H583,6)</f>
        <v>M28262</v>
      </c>
      <c r="G583" s="155" t="s">
        <v>177</v>
      </c>
      <c r="H583" s="155" t="s">
        <v>920</v>
      </c>
      <c r="I583" s="155" t="s">
        <v>509</v>
      </c>
      <c r="J583" s="156"/>
      <c r="K583" s="156"/>
      <c r="L583" s="156"/>
      <c r="M583" s="156"/>
      <c r="N583" s="156"/>
      <c r="O583" s="156"/>
      <c r="P583" s="156"/>
      <c r="Q583" s="156"/>
      <c r="R583" s="156"/>
      <c r="S583" s="156"/>
      <c r="T583" s="156"/>
      <c r="U583" s="157" t="n">
        <v>0</v>
      </c>
      <c r="V583" s="157" t="n">
        <v>0</v>
      </c>
      <c r="W583" s="157" t="n">
        <v>0</v>
      </c>
      <c r="X583" s="157" t="n">
        <v>0</v>
      </c>
      <c r="Y583" s="157" t="n">
        <v>0</v>
      </c>
      <c r="Z583" s="157" t="n">
        <v>0</v>
      </c>
      <c r="AA583" s="157" t="n">
        <v>0</v>
      </c>
      <c r="AB583" s="157" t="n">
        <v>0</v>
      </c>
      <c r="AC583" s="157" t="n">
        <v>0</v>
      </c>
      <c r="AD583" s="157" t="n">
        <v>0</v>
      </c>
      <c r="AE583" s="157" t="n">
        <v>0</v>
      </c>
      <c r="AF583" s="157" t="n">
        <v>0</v>
      </c>
      <c r="AG583" s="157" t="n">
        <v>0</v>
      </c>
      <c r="AH583" s="157" t="n">
        <v>0</v>
      </c>
      <c r="AI583" s="157" t="n">
        <v>0</v>
      </c>
      <c r="AJ583" s="157" t="n">
        <v>0</v>
      </c>
      <c r="AK583" s="157" t="n">
        <v>0</v>
      </c>
      <c r="AL583" s="157" t="n">
        <v>0</v>
      </c>
      <c r="AM583" s="157" t="n">
        <v>0</v>
      </c>
      <c r="AN583" s="156"/>
      <c r="AO583" s="156"/>
      <c r="AP583" s="156"/>
      <c r="AQ583" s="156"/>
      <c r="AR583" s="156"/>
      <c r="AS583" s="156"/>
      <c r="AT583" s="153"/>
    </row>
    <row r="584" customFormat="false" ht="12.75" hidden="false" customHeight="true" outlineLevel="0" collapsed="false">
      <c r="B584" s="142"/>
      <c r="C584" s="143" t="s">
        <v>162</v>
      </c>
      <c r="D584" s="144" t="n">
        <v>61073</v>
      </c>
      <c r="E584" s="144" t="str">
        <f aca="false">IF(D584="","",IFERROR(VLOOKUP(D584,CCN_Library!$A$4:$B$13,2,FALSE()),"NOT IN LIBRARY"))</f>
        <v>COMPANY/BATTERY HEADQUARTERS, MARINE CORPS</v>
      </c>
      <c r="F584" s="145" t="str">
        <f aca="false">LEFT(H584,6)</f>
        <v>M28262</v>
      </c>
      <c r="G584" s="146" t="s">
        <v>128</v>
      </c>
      <c r="H584" s="146" t="s">
        <v>921</v>
      </c>
      <c r="I584" s="146" t="s">
        <v>472</v>
      </c>
      <c r="J584" s="146" t="s">
        <v>182</v>
      </c>
      <c r="K584" s="147" t="s">
        <v>223</v>
      </c>
      <c r="L584" s="146" t="s">
        <v>223</v>
      </c>
      <c r="M584" s="146" t="s">
        <v>133</v>
      </c>
      <c r="N584" s="146" t="s">
        <v>134</v>
      </c>
      <c r="O584" s="146" t="s">
        <v>135</v>
      </c>
      <c r="P584" s="146" t="s">
        <v>135</v>
      </c>
      <c r="Q584" s="148"/>
      <c r="R584" s="146" t="s">
        <v>136</v>
      </c>
      <c r="S584" s="146" t="s">
        <v>137</v>
      </c>
      <c r="T584" s="148"/>
      <c r="U584" s="149" t="n">
        <v>0</v>
      </c>
      <c r="V584" s="149" t="n">
        <v>0</v>
      </c>
      <c r="W584" s="149" t="n">
        <v>0</v>
      </c>
      <c r="X584" s="149" t="n">
        <v>0</v>
      </c>
      <c r="Y584" s="149" t="n">
        <v>0</v>
      </c>
      <c r="Z584" s="149" t="n">
        <v>1</v>
      </c>
      <c r="AA584" s="149" t="n">
        <v>0</v>
      </c>
      <c r="AB584" s="149" t="n">
        <v>0</v>
      </c>
      <c r="AC584" s="149" t="n">
        <v>0</v>
      </c>
      <c r="AD584" s="149" t="n">
        <v>0</v>
      </c>
      <c r="AE584" s="149" t="n">
        <v>0</v>
      </c>
      <c r="AF584" s="149" t="n">
        <v>0</v>
      </c>
      <c r="AG584" s="149" t="n">
        <v>0</v>
      </c>
      <c r="AH584" s="149" t="n">
        <v>0</v>
      </c>
      <c r="AI584" s="149" t="n">
        <v>0</v>
      </c>
      <c r="AJ584" s="149" t="n">
        <v>0</v>
      </c>
      <c r="AK584" s="149" t="n">
        <v>0</v>
      </c>
      <c r="AL584" s="149" t="n">
        <v>0</v>
      </c>
      <c r="AM584" s="149" t="n">
        <v>0</v>
      </c>
      <c r="AN584" s="148"/>
      <c r="AO584" s="148"/>
      <c r="AP584" s="146" t="s">
        <v>138</v>
      </c>
      <c r="AQ584" s="146" t="s">
        <v>139</v>
      </c>
      <c r="AR584" s="146" t="s">
        <v>840</v>
      </c>
      <c r="AS584" s="148"/>
      <c r="AT584" s="150"/>
    </row>
    <row r="585" customFormat="false" ht="12.75" hidden="false" customHeight="true" outlineLevel="0" collapsed="false">
      <c r="B585" s="151"/>
      <c r="C585" s="143" t="s">
        <v>168</v>
      </c>
      <c r="D585" s="152" t="n">
        <v>61073</v>
      </c>
      <c r="E585" s="144" t="str">
        <f aca="false">IF(D585="","",IFERROR(VLOOKUP(D585,CCN_Library!$A$4:$B$13,2,FALSE()),"NOT IN LIBRARY"))</f>
        <v>COMPANY/BATTERY HEADQUARTERS, MARINE CORPS</v>
      </c>
      <c r="F585" s="145" t="str">
        <f aca="false">LEFT(H585,6)</f>
        <v>M28262</v>
      </c>
      <c r="G585" s="146" t="s">
        <v>128</v>
      </c>
      <c r="H585" s="146" t="s">
        <v>922</v>
      </c>
      <c r="I585" s="146" t="s">
        <v>696</v>
      </c>
      <c r="J585" s="146" t="s">
        <v>191</v>
      </c>
      <c r="K585" s="147" t="s">
        <v>697</v>
      </c>
      <c r="L585" s="146" t="s">
        <v>161</v>
      </c>
      <c r="M585" s="146" t="s">
        <v>133</v>
      </c>
      <c r="N585" s="146" t="s">
        <v>128</v>
      </c>
      <c r="O585" s="146" t="s">
        <v>135</v>
      </c>
      <c r="P585" s="146" t="s">
        <v>135</v>
      </c>
      <c r="Q585" s="148"/>
      <c r="R585" s="146" t="s">
        <v>136</v>
      </c>
      <c r="S585" s="146" t="s">
        <v>58</v>
      </c>
      <c r="T585" s="148"/>
      <c r="U585" s="149" t="n">
        <v>0</v>
      </c>
      <c r="V585" s="149" t="n">
        <v>0</v>
      </c>
      <c r="W585" s="149" t="n">
        <v>0</v>
      </c>
      <c r="X585" s="149" t="n">
        <v>0</v>
      </c>
      <c r="Y585" s="149" t="n">
        <v>0</v>
      </c>
      <c r="Z585" s="149" t="n">
        <v>0</v>
      </c>
      <c r="AA585" s="149" t="n">
        <v>1</v>
      </c>
      <c r="AB585" s="149" t="n">
        <v>0</v>
      </c>
      <c r="AC585" s="149" t="n">
        <v>0</v>
      </c>
      <c r="AD585" s="149" t="n">
        <v>0</v>
      </c>
      <c r="AE585" s="149" t="n">
        <v>0</v>
      </c>
      <c r="AF585" s="149" t="n">
        <v>0</v>
      </c>
      <c r="AG585" s="149" t="n">
        <v>0</v>
      </c>
      <c r="AH585" s="149" t="n">
        <v>0</v>
      </c>
      <c r="AI585" s="149" t="n">
        <v>0</v>
      </c>
      <c r="AJ585" s="149" t="n">
        <v>0</v>
      </c>
      <c r="AK585" s="149" t="n">
        <v>0</v>
      </c>
      <c r="AL585" s="149" t="n">
        <v>0</v>
      </c>
      <c r="AM585" s="149" t="n">
        <v>0</v>
      </c>
      <c r="AN585" s="148"/>
      <c r="AO585" s="148"/>
      <c r="AP585" s="146" t="s">
        <v>138</v>
      </c>
      <c r="AQ585" s="146" t="s">
        <v>139</v>
      </c>
      <c r="AR585" s="146" t="s">
        <v>840</v>
      </c>
      <c r="AS585" s="148"/>
      <c r="AT585" s="153"/>
    </row>
    <row r="586" customFormat="false" ht="12.75" hidden="false" customHeight="true" outlineLevel="0" collapsed="false">
      <c r="B586" s="151"/>
      <c r="C586" s="143" t="s">
        <v>162</v>
      </c>
      <c r="D586" s="152" t="n">
        <v>61073</v>
      </c>
      <c r="E586" s="152"/>
      <c r="F586" s="154" t="str">
        <f aca="false">LEFT(H586,6)</f>
        <v>M28262</v>
      </c>
      <c r="G586" s="155" t="s">
        <v>177</v>
      </c>
      <c r="H586" s="155" t="s">
        <v>923</v>
      </c>
      <c r="I586" s="155" t="s">
        <v>513</v>
      </c>
      <c r="J586" s="156"/>
      <c r="K586" s="156"/>
      <c r="L586" s="156"/>
      <c r="M586" s="156"/>
      <c r="N586" s="156"/>
      <c r="O586" s="156"/>
      <c r="P586" s="156"/>
      <c r="Q586" s="156"/>
      <c r="R586" s="156"/>
      <c r="S586" s="156"/>
      <c r="T586" s="156"/>
      <c r="U586" s="157" t="n">
        <v>0</v>
      </c>
      <c r="V586" s="157" t="n">
        <v>0</v>
      </c>
      <c r="W586" s="157" t="n">
        <v>0</v>
      </c>
      <c r="X586" s="157" t="n">
        <v>0</v>
      </c>
      <c r="Y586" s="157" t="n">
        <v>0</v>
      </c>
      <c r="Z586" s="157" t="n">
        <v>0</v>
      </c>
      <c r="AA586" s="157" t="n">
        <v>0</v>
      </c>
      <c r="AB586" s="157" t="n">
        <v>0</v>
      </c>
      <c r="AC586" s="157" t="n">
        <v>0</v>
      </c>
      <c r="AD586" s="157" t="n">
        <v>0</v>
      </c>
      <c r="AE586" s="157" t="n">
        <v>0</v>
      </c>
      <c r="AF586" s="157" t="n">
        <v>0</v>
      </c>
      <c r="AG586" s="157" t="n">
        <v>0</v>
      </c>
      <c r="AH586" s="157" t="n">
        <v>0</v>
      </c>
      <c r="AI586" s="157" t="n">
        <v>0</v>
      </c>
      <c r="AJ586" s="157" t="n">
        <v>0</v>
      </c>
      <c r="AK586" s="157" t="n">
        <v>0</v>
      </c>
      <c r="AL586" s="157" t="n">
        <v>0</v>
      </c>
      <c r="AM586" s="157" t="n">
        <v>0</v>
      </c>
      <c r="AN586" s="156"/>
      <c r="AO586" s="156"/>
      <c r="AP586" s="156"/>
      <c r="AQ586" s="156"/>
      <c r="AR586" s="156"/>
      <c r="AS586" s="156"/>
      <c r="AT586" s="153"/>
    </row>
    <row r="587" customFormat="false" ht="12.75" hidden="false" customHeight="true" outlineLevel="0" collapsed="false">
      <c r="B587" s="142"/>
      <c r="C587" s="143" t="s">
        <v>162</v>
      </c>
      <c r="D587" s="144" t="n">
        <v>61073</v>
      </c>
      <c r="E587" s="144" t="str">
        <f aca="false">IF(D587="","",IFERROR(VLOOKUP(D587,CCN_Library!$A$4:$B$13,2,FALSE()),"NOT IN LIBRARY"))</f>
        <v>COMPANY/BATTERY HEADQUARTERS, MARINE CORPS</v>
      </c>
      <c r="F587" s="145" t="str">
        <f aca="false">LEFT(H587,6)</f>
        <v>M28262</v>
      </c>
      <c r="G587" s="146" t="s">
        <v>128</v>
      </c>
      <c r="H587" s="146" t="s">
        <v>924</v>
      </c>
      <c r="I587" s="146" t="s">
        <v>515</v>
      </c>
      <c r="J587" s="146" t="s">
        <v>189</v>
      </c>
      <c r="K587" s="147" t="s">
        <v>516</v>
      </c>
      <c r="L587" s="146" t="s">
        <v>161</v>
      </c>
      <c r="M587" s="146" t="s">
        <v>133</v>
      </c>
      <c r="N587" s="146" t="s">
        <v>128</v>
      </c>
      <c r="O587" s="146" t="s">
        <v>135</v>
      </c>
      <c r="P587" s="146" t="s">
        <v>135</v>
      </c>
      <c r="Q587" s="148"/>
      <c r="R587" s="146" t="s">
        <v>136</v>
      </c>
      <c r="S587" s="146" t="s">
        <v>137</v>
      </c>
      <c r="T587" s="148"/>
      <c r="U587" s="149" t="n">
        <v>0</v>
      </c>
      <c r="V587" s="149" t="n">
        <v>0</v>
      </c>
      <c r="W587" s="149" t="n">
        <v>0</v>
      </c>
      <c r="X587" s="149" t="n">
        <v>0</v>
      </c>
      <c r="Y587" s="149" t="n">
        <v>0</v>
      </c>
      <c r="Z587" s="149" t="n">
        <v>0</v>
      </c>
      <c r="AA587" s="149" t="n">
        <v>1</v>
      </c>
      <c r="AB587" s="149" t="n">
        <v>0</v>
      </c>
      <c r="AC587" s="149" t="n">
        <v>0</v>
      </c>
      <c r="AD587" s="149" t="n">
        <v>0</v>
      </c>
      <c r="AE587" s="149" t="n">
        <v>0</v>
      </c>
      <c r="AF587" s="149" t="n">
        <v>0</v>
      </c>
      <c r="AG587" s="149" t="n">
        <v>0</v>
      </c>
      <c r="AH587" s="149" t="n">
        <v>0</v>
      </c>
      <c r="AI587" s="149" t="n">
        <v>0</v>
      </c>
      <c r="AJ587" s="149" t="n">
        <v>0</v>
      </c>
      <c r="AK587" s="149" t="n">
        <v>0</v>
      </c>
      <c r="AL587" s="149" t="n">
        <v>0</v>
      </c>
      <c r="AM587" s="149" t="n">
        <v>0</v>
      </c>
      <c r="AN587" s="148"/>
      <c r="AO587" s="148"/>
      <c r="AP587" s="146" t="s">
        <v>138</v>
      </c>
      <c r="AQ587" s="146" t="s">
        <v>139</v>
      </c>
      <c r="AR587" s="146" t="s">
        <v>840</v>
      </c>
      <c r="AS587" s="148"/>
      <c r="AT587" s="150"/>
    </row>
    <row r="588" customFormat="false" ht="12.75" hidden="false" customHeight="true" outlineLevel="0" collapsed="false">
      <c r="B588" s="142"/>
      <c r="C588" s="143" t="s">
        <v>168</v>
      </c>
      <c r="D588" s="144" t="n">
        <v>61073</v>
      </c>
      <c r="E588" s="144" t="str">
        <f aca="false">IF(D588="","",IFERROR(VLOOKUP(D588,CCN_Library!$A$4:$B$13,2,FALSE()),"NOT IN LIBRARY"))</f>
        <v>COMPANY/BATTERY HEADQUARTERS, MARINE CORPS</v>
      </c>
      <c r="F588" s="145" t="str">
        <f aca="false">LEFT(H588,6)</f>
        <v>M28262</v>
      </c>
      <c r="G588" s="146" t="s">
        <v>128</v>
      </c>
      <c r="H588" s="146" t="s">
        <v>925</v>
      </c>
      <c r="I588" s="146" t="s">
        <v>515</v>
      </c>
      <c r="J588" s="146" t="s">
        <v>191</v>
      </c>
      <c r="K588" s="147" t="s">
        <v>516</v>
      </c>
      <c r="L588" s="146" t="s">
        <v>161</v>
      </c>
      <c r="M588" s="146" t="s">
        <v>133</v>
      </c>
      <c r="N588" s="146" t="s">
        <v>128</v>
      </c>
      <c r="O588" s="146" t="s">
        <v>135</v>
      </c>
      <c r="P588" s="146" t="s">
        <v>135</v>
      </c>
      <c r="Q588" s="148"/>
      <c r="R588" s="146" t="s">
        <v>136</v>
      </c>
      <c r="S588" s="146" t="s">
        <v>58</v>
      </c>
      <c r="T588" s="148"/>
      <c r="U588" s="149" t="n">
        <v>0</v>
      </c>
      <c r="V588" s="149" t="n">
        <v>0</v>
      </c>
      <c r="W588" s="149" t="n">
        <v>0</v>
      </c>
      <c r="X588" s="149" t="n">
        <v>0</v>
      </c>
      <c r="Y588" s="149" t="n">
        <v>0</v>
      </c>
      <c r="Z588" s="149" t="n">
        <v>0</v>
      </c>
      <c r="AA588" s="149" t="n">
        <v>1</v>
      </c>
      <c r="AB588" s="149" t="n">
        <v>0</v>
      </c>
      <c r="AC588" s="149" t="n">
        <v>0</v>
      </c>
      <c r="AD588" s="149" t="n">
        <v>0</v>
      </c>
      <c r="AE588" s="149" t="n">
        <v>0</v>
      </c>
      <c r="AF588" s="149" t="n">
        <v>0</v>
      </c>
      <c r="AG588" s="149" t="n">
        <v>0</v>
      </c>
      <c r="AH588" s="149" t="n">
        <v>0</v>
      </c>
      <c r="AI588" s="149" t="n">
        <v>0</v>
      </c>
      <c r="AJ588" s="149" t="n">
        <v>0</v>
      </c>
      <c r="AK588" s="149" t="n">
        <v>0</v>
      </c>
      <c r="AL588" s="149" t="n">
        <v>0</v>
      </c>
      <c r="AM588" s="149" t="n">
        <v>0</v>
      </c>
      <c r="AN588" s="148"/>
      <c r="AO588" s="148"/>
      <c r="AP588" s="146" t="s">
        <v>138</v>
      </c>
      <c r="AQ588" s="146" t="s">
        <v>139</v>
      </c>
      <c r="AR588" s="146" t="s">
        <v>840</v>
      </c>
      <c r="AS588" s="148"/>
      <c r="AT588" s="150"/>
    </row>
    <row r="589" customFormat="false" ht="12.75" hidden="false" customHeight="true" outlineLevel="0" collapsed="false">
      <c r="B589" s="142"/>
      <c r="C589" s="143" t="s">
        <v>168</v>
      </c>
      <c r="D589" s="144" t="n">
        <v>61073</v>
      </c>
      <c r="E589" s="144" t="str">
        <f aca="false">IF(D589="","",IFERROR(VLOOKUP(D589,CCN_Library!$A$4:$B$13,2,FALSE()),"NOT IN LIBRARY"))</f>
        <v>COMPANY/BATTERY HEADQUARTERS, MARINE CORPS</v>
      </c>
      <c r="F589" s="145" t="str">
        <f aca="false">LEFT(H589,6)</f>
        <v>M28262</v>
      </c>
      <c r="G589" s="146" t="s">
        <v>128</v>
      </c>
      <c r="H589" s="146" t="s">
        <v>926</v>
      </c>
      <c r="I589" s="146" t="s">
        <v>515</v>
      </c>
      <c r="J589" s="146" t="s">
        <v>191</v>
      </c>
      <c r="K589" s="147" t="s">
        <v>516</v>
      </c>
      <c r="L589" s="146" t="s">
        <v>161</v>
      </c>
      <c r="M589" s="146" t="s">
        <v>133</v>
      </c>
      <c r="N589" s="146" t="s">
        <v>128</v>
      </c>
      <c r="O589" s="146" t="s">
        <v>135</v>
      </c>
      <c r="P589" s="146" t="s">
        <v>135</v>
      </c>
      <c r="Q589" s="148"/>
      <c r="R589" s="146" t="s">
        <v>136</v>
      </c>
      <c r="S589" s="146" t="s">
        <v>58</v>
      </c>
      <c r="T589" s="148"/>
      <c r="U589" s="149" t="n">
        <v>0</v>
      </c>
      <c r="V589" s="149" t="n">
        <v>0</v>
      </c>
      <c r="W589" s="149" t="n">
        <v>0</v>
      </c>
      <c r="X589" s="149" t="n">
        <v>0</v>
      </c>
      <c r="Y589" s="149" t="n">
        <v>0</v>
      </c>
      <c r="Z589" s="149" t="n">
        <v>0</v>
      </c>
      <c r="AA589" s="149" t="n">
        <v>1</v>
      </c>
      <c r="AB589" s="149" t="n">
        <v>0</v>
      </c>
      <c r="AC589" s="149" t="n">
        <v>0</v>
      </c>
      <c r="AD589" s="149" t="n">
        <v>0</v>
      </c>
      <c r="AE589" s="149" t="n">
        <v>0</v>
      </c>
      <c r="AF589" s="149" t="n">
        <v>0</v>
      </c>
      <c r="AG589" s="149" t="n">
        <v>0</v>
      </c>
      <c r="AH589" s="149" t="n">
        <v>0</v>
      </c>
      <c r="AI589" s="149" t="n">
        <v>0</v>
      </c>
      <c r="AJ589" s="149" t="n">
        <v>0</v>
      </c>
      <c r="AK589" s="149" t="n">
        <v>0</v>
      </c>
      <c r="AL589" s="149" t="n">
        <v>0</v>
      </c>
      <c r="AM589" s="149" t="n">
        <v>0</v>
      </c>
      <c r="AN589" s="148"/>
      <c r="AO589" s="148"/>
      <c r="AP589" s="146" t="s">
        <v>138</v>
      </c>
      <c r="AQ589" s="146" t="s">
        <v>139</v>
      </c>
      <c r="AR589" s="146" t="s">
        <v>840</v>
      </c>
      <c r="AS589" s="148"/>
      <c r="AT589" s="150"/>
    </row>
    <row r="590" customFormat="false" ht="12.75" hidden="false" customHeight="true" outlineLevel="0" collapsed="false">
      <c r="B590" s="151"/>
      <c r="C590" s="143" t="s">
        <v>162</v>
      </c>
      <c r="D590" s="152" t="n">
        <v>61073</v>
      </c>
      <c r="E590" s="152"/>
      <c r="F590" s="154" t="str">
        <f aca="false">LEFT(H590,6)</f>
        <v>M28262</v>
      </c>
      <c r="G590" s="155" t="s">
        <v>177</v>
      </c>
      <c r="H590" s="155" t="s">
        <v>927</v>
      </c>
      <c r="I590" s="155" t="s">
        <v>520</v>
      </c>
      <c r="J590" s="156"/>
      <c r="K590" s="156"/>
      <c r="L590" s="156"/>
      <c r="M590" s="156"/>
      <c r="N590" s="156"/>
      <c r="O590" s="156"/>
      <c r="P590" s="156"/>
      <c r="Q590" s="156"/>
      <c r="R590" s="156"/>
      <c r="S590" s="156"/>
      <c r="T590" s="156"/>
      <c r="U590" s="157" t="n">
        <v>0</v>
      </c>
      <c r="V590" s="157" t="n">
        <v>0</v>
      </c>
      <c r="W590" s="157" t="n">
        <v>0</v>
      </c>
      <c r="X590" s="157" t="n">
        <v>0</v>
      </c>
      <c r="Y590" s="157" t="n">
        <v>0</v>
      </c>
      <c r="Z590" s="157" t="n">
        <v>0</v>
      </c>
      <c r="AA590" s="157" t="n">
        <v>0</v>
      </c>
      <c r="AB590" s="157" t="n">
        <v>0</v>
      </c>
      <c r="AC590" s="157" t="n">
        <v>0</v>
      </c>
      <c r="AD590" s="157" t="n">
        <v>0</v>
      </c>
      <c r="AE590" s="157" t="n">
        <v>0</v>
      </c>
      <c r="AF590" s="157" t="n">
        <v>0</v>
      </c>
      <c r="AG590" s="157" t="n">
        <v>0</v>
      </c>
      <c r="AH590" s="157" t="n">
        <v>0</v>
      </c>
      <c r="AI590" s="157" t="n">
        <v>0</v>
      </c>
      <c r="AJ590" s="157" t="n">
        <v>0</v>
      </c>
      <c r="AK590" s="157" t="n">
        <v>0</v>
      </c>
      <c r="AL590" s="157" t="n">
        <v>0</v>
      </c>
      <c r="AM590" s="157" t="n">
        <v>0</v>
      </c>
      <c r="AN590" s="156"/>
      <c r="AO590" s="156"/>
      <c r="AP590" s="156"/>
      <c r="AQ590" s="156"/>
      <c r="AR590" s="156"/>
      <c r="AS590" s="156"/>
      <c r="AT590" s="153"/>
    </row>
    <row r="591" customFormat="false" ht="12.75" hidden="false" customHeight="true" outlineLevel="0" collapsed="false">
      <c r="B591" s="142"/>
      <c r="C591" s="143" t="s">
        <v>162</v>
      </c>
      <c r="D591" s="144" t="n">
        <v>61073</v>
      </c>
      <c r="E591" s="144" t="str">
        <f aca="false">IF(D591="","",IFERROR(VLOOKUP(D591,CCN_Library!$A$4:$B$13,2,FALSE()),"NOT IN LIBRARY"))</f>
        <v>COMPANY/BATTERY HEADQUARTERS, MARINE CORPS</v>
      </c>
      <c r="F591" s="145" t="str">
        <f aca="false">LEFT(H591,6)</f>
        <v>M28262</v>
      </c>
      <c r="G591" s="146" t="s">
        <v>128</v>
      </c>
      <c r="H591" s="146" t="s">
        <v>928</v>
      </c>
      <c r="I591" s="146" t="s">
        <v>457</v>
      </c>
      <c r="J591" s="146" t="s">
        <v>189</v>
      </c>
      <c r="K591" s="147" t="s">
        <v>458</v>
      </c>
      <c r="L591" s="146" t="s">
        <v>161</v>
      </c>
      <c r="M591" s="146" t="s">
        <v>133</v>
      </c>
      <c r="N591" s="146" t="s">
        <v>128</v>
      </c>
      <c r="O591" s="146" t="s">
        <v>135</v>
      </c>
      <c r="P591" s="146" t="s">
        <v>135</v>
      </c>
      <c r="Q591" s="148"/>
      <c r="R591" s="146" t="s">
        <v>136</v>
      </c>
      <c r="S591" s="146" t="s">
        <v>137</v>
      </c>
      <c r="T591" s="148"/>
      <c r="U591" s="149" t="n">
        <v>0</v>
      </c>
      <c r="V591" s="149" t="n">
        <v>0</v>
      </c>
      <c r="W591" s="149" t="n">
        <v>0</v>
      </c>
      <c r="X591" s="149" t="n">
        <v>0</v>
      </c>
      <c r="Y591" s="149" t="n">
        <v>0</v>
      </c>
      <c r="Z591" s="149" t="n">
        <v>0</v>
      </c>
      <c r="AA591" s="149" t="n">
        <v>1</v>
      </c>
      <c r="AB591" s="149" t="n">
        <v>0</v>
      </c>
      <c r="AC591" s="149" t="n">
        <v>0</v>
      </c>
      <c r="AD591" s="149" t="n">
        <v>0</v>
      </c>
      <c r="AE591" s="149" t="n">
        <v>0</v>
      </c>
      <c r="AF591" s="149" t="n">
        <v>0</v>
      </c>
      <c r="AG591" s="149" t="n">
        <v>0</v>
      </c>
      <c r="AH591" s="149" t="n">
        <v>0</v>
      </c>
      <c r="AI591" s="149" t="n">
        <v>0</v>
      </c>
      <c r="AJ591" s="149" t="n">
        <v>0</v>
      </c>
      <c r="AK591" s="149" t="n">
        <v>0</v>
      </c>
      <c r="AL591" s="149" t="n">
        <v>0</v>
      </c>
      <c r="AM591" s="149" t="n">
        <v>0</v>
      </c>
      <c r="AN591" s="148"/>
      <c r="AO591" s="148"/>
      <c r="AP591" s="146" t="s">
        <v>138</v>
      </c>
      <c r="AQ591" s="146" t="s">
        <v>139</v>
      </c>
      <c r="AR591" s="146" t="s">
        <v>840</v>
      </c>
      <c r="AS591" s="148"/>
      <c r="AT591" s="150"/>
    </row>
    <row r="592" customFormat="false" ht="12.75" hidden="false" customHeight="true" outlineLevel="0" collapsed="false">
      <c r="B592" s="142"/>
      <c r="C592" s="143" t="s">
        <v>168</v>
      </c>
      <c r="D592" s="144" t="n">
        <v>61073</v>
      </c>
      <c r="E592" s="144" t="str">
        <f aca="false">IF(D592="","",IFERROR(VLOOKUP(D592,CCN_Library!$A$4:$B$13,2,FALSE()),"NOT IN LIBRARY"))</f>
        <v>COMPANY/BATTERY HEADQUARTERS, MARINE CORPS</v>
      </c>
      <c r="F592" s="145" t="str">
        <f aca="false">LEFT(H592,6)</f>
        <v>M28262</v>
      </c>
      <c r="G592" s="146" t="s">
        <v>128</v>
      </c>
      <c r="H592" s="146" t="s">
        <v>929</v>
      </c>
      <c r="I592" s="146" t="s">
        <v>457</v>
      </c>
      <c r="J592" s="146" t="s">
        <v>191</v>
      </c>
      <c r="K592" s="147" t="s">
        <v>458</v>
      </c>
      <c r="L592" s="146" t="s">
        <v>161</v>
      </c>
      <c r="M592" s="146" t="s">
        <v>133</v>
      </c>
      <c r="N592" s="146" t="s">
        <v>128</v>
      </c>
      <c r="O592" s="146" t="s">
        <v>135</v>
      </c>
      <c r="P592" s="146" t="s">
        <v>135</v>
      </c>
      <c r="Q592" s="148"/>
      <c r="R592" s="146" t="s">
        <v>136</v>
      </c>
      <c r="S592" s="146" t="s">
        <v>58</v>
      </c>
      <c r="T592" s="148"/>
      <c r="U592" s="149" t="n">
        <v>0</v>
      </c>
      <c r="V592" s="149" t="n">
        <v>0</v>
      </c>
      <c r="W592" s="149" t="n">
        <v>0</v>
      </c>
      <c r="X592" s="149" t="n">
        <v>0</v>
      </c>
      <c r="Y592" s="149" t="n">
        <v>0</v>
      </c>
      <c r="Z592" s="149" t="n">
        <v>0</v>
      </c>
      <c r="AA592" s="149" t="n">
        <v>1</v>
      </c>
      <c r="AB592" s="149" t="n">
        <v>0</v>
      </c>
      <c r="AC592" s="149" t="n">
        <v>0</v>
      </c>
      <c r="AD592" s="149" t="n">
        <v>0</v>
      </c>
      <c r="AE592" s="149" t="n">
        <v>0</v>
      </c>
      <c r="AF592" s="149" t="n">
        <v>0</v>
      </c>
      <c r="AG592" s="149" t="n">
        <v>0</v>
      </c>
      <c r="AH592" s="149" t="n">
        <v>0</v>
      </c>
      <c r="AI592" s="149" t="n">
        <v>0</v>
      </c>
      <c r="AJ592" s="149" t="n">
        <v>0</v>
      </c>
      <c r="AK592" s="149" t="n">
        <v>0</v>
      </c>
      <c r="AL592" s="149" t="n">
        <v>0</v>
      </c>
      <c r="AM592" s="149" t="n">
        <v>0</v>
      </c>
      <c r="AN592" s="148"/>
      <c r="AO592" s="148"/>
      <c r="AP592" s="146" t="s">
        <v>138</v>
      </c>
      <c r="AQ592" s="146" t="s">
        <v>139</v>
      </c>
      <c r="AR592" s="146" t="s">
        <v>840</v>
      </c>
      <c r="AS592" s="148"/>
      <c r="AT592" s="150"/>
    </row>
    <row r="593" customFormat="false" ht="12.75" hidden="false" customHeight="true" outlineLevel="0" collapsed="false">
      <c r="B593" s="142"/>
      <c r="C593" s="143" t="s">
        <v>168</v>
      </c>
      <c r="D593" s="144" t="n">
        <v>61073</v>
      </c>
      <c r="E593" s="144" t="str">
        <f aca="false">IF(D593="","",IFERROR(VLOOKUP(D593,CCN_Library!$A$4:$B$13,2,FALSE()),"NOT IN LIBRARY"))</f>
        <v>COMPANY/BATTERY HEADQUARTERS, MARINE CORPS</v>
      </c>
      <c r="F593" s="145" t="str">
        <f aca="false">LEFT(H593,6)</f>
        <v>M28262</v>
      </c>
      <c r="G593" s="146" t="s">
        <v>128</v>
      </c>
      <c r="H593" s="146" t="s">
        <v>930</v>
      </c>
      <c r="I593" s="146" t="s">
        <v>457</v>
      </c>
      <c r="J593" s="146" t="s">
        <v>176</v>
      </c>
      <c r="K593" s="147" t="s">
        <v>458</v>
      </c>
      <c r="L593" s="146" t="s">
        <v>161</v>
      </c>
      <c r="M593" s="146" t="s">
        <v>133</v>
      </c>
      <c r="N593" s="146" t="s">
        <v>128</v>
      </c>
      <c r="O593" s="146" t="s">
        <v>135</v>
      </c>
      <c r="P593" s="146" t="s">
        <v>135</v>
      </c>
      <c r="Q593" s="148"/>
      <c r="R593" s="146" t="s">
        <v>136</v>
      </c>
      <c r="S593" s="146" t="s">
        <v>58</v>
      </c>
      <c r="T593" s="148"/>
      <c r="U593" s="149" t="n">
        <v>0</v>
      </c>
      <c r="V593" s="149" t="n">
        <v>0</v>
      </c>
      <c r="W593" s="149" t="n">
        <v>0</v>
      </c>
      <c r="X593" s="149" t="n">
        <v>0</v>
      </c>
      <c r="Y593" s="149" t="n">
        <v>0</v>
      </c>
      <c r="Z593" s="149" t="n">
        <v>0</v>
      </c>
      <c r="AA593" s="149" t="n">
        <v>1</v>
      </c>
      <c r="AB593" s="149" t="n">
        <v>0</v>
      </c>
      <c r="AC593" s="149" t="n">
        <v>0</v>
      </c>
      <c r="AD593" s="149" t="n">
        <v>0</v>
      </c>
      <c r="AE593" s="149" t="n">
        <v>0</v>
      </c>
      <c r="AF593" s="149" t="n">
        <v>0</v>
      </c>
      <c r="AG593" s="149" t="n">
        <v>0</v>
      </c>
      <c r="AH593" s="149" t="n">
        <v>0</v>
      </c>
      <c r="AI593" s="149" t="n">
        <v>0</v>
      </c>
      <c r="AJ593" s="149" t="n">
        <v>0</v>
      </c>
      <c r="AK593" s="149" t="n">
        <v>0</v>
      </c>
      <c r="AL593" s="149" t="n">
        <v>0</v>
      </c>
      <c r="AM593" s="149" t="n">
        <v>0</v>
      </c>
      <c r="AN593" s="148"/>
      <c r="AO593" s="148"/>
      <c r="AP593" s="146" t="s">
        <v>138</v>
      </c>
      <c r="AQ593" s="146" t="s">
        <v>139</v>
      </c>
      <c r="AR593" s="146" t="s">
        <v>840</v>
      </c>
      <c r="AS593" s="148"/>
      <c r="AT593" s="150"/>
    </row>
    <row r="594" customFormat="false" ht="12.75" hidden="false" customHeight="true" outlineLevel="0" collapsed="false">
      <c r="B594" s="151"/>
      <c r="C594" s="143" t="s">
        <v>162</v>
      </c>
      <c r="D594" s="152" t="n">
        <v>61073</v>
      </c>
      <c r="E594" s="152"/>
      <c r="F594" s="154" t="str">
        <f aca="false">LEFT(H594,6)</f>
        <v>M28262</v>
      </c>
      <c r="G594" s="155" t="s">
        <v>58</v>
      </c>
      <c r="H594" s="155" t="s">
        <v>931</v>
      </c>
      <c r="I594" s="155" t="s">
        <v>525</v>
      </c>
      <c r="J594" s="156"/>
      <c r="K594" s="156"/>
      <c r="L594" s="156"/>
      <c r="M594" s="156"/>
      <c r="N594" s="156"/>
      <c r="O594" s="156"/>
      <c r="P594" s="156"/>
      <c r="Q594" s="156"/>
      <c r="R594" s="156"/>
      <c r="S594" s="156"/>
      <c r="T594" s="156"/>
      <c r="U594" s="157" t="n">
        <v>0</v>
      </c>
      <c r="V594" s="157" t="n">
        <v>0</v>
      </c>
      <c r="W594" s="157" t="n">
        <v>0</v>
      </c>
      <c r="X594" s="157" t="n">
        <v>0</v>
      </c>
      <c r="Y594" s="157" t="n">
        <v>0</v>
      </c>
      <c r="Z594" s="157" t="n">
        <v>0</v>
      </c>
      <c r="AA594" s="157" t="n">
        <v>0</v>
      </c>
      <c r="AB594" s="157" t="n">
        <v>0</v>
      </c>
      <c r="AC594" s="157" t="n">
        <v>0</v>
      </c>
      <c r="AD594" s="157" t="n">
        <v>0</v>
      </c>
      <c r="AE594" s="157" t="n">
        <v>0</v>
      </c>
      <c r="AF594" s="157" t="n">
        <v>0</v>
      </c>
      <c r="AG594" s="157" t="n">
        <v>0</v>
      </c>
      <c r="AH594" s="157" t="n">
        <v>0</v>
      </c>
      <c r="AI594" s="157" t="n">
        <v>0</v>
      </c>
      <c r="AJ594" s="157" t="n">
        <v>0</v>
      </c>
      <c r="AK594" s="157" t="n">
        <v>0</v>
      </c>
      <c r="AL594" s="157" t="n">
        <v>0</v>
      </c>
      <c r="AM594" s="157" t="n">
        <v>0</v>
      </c>
      <c r="AN594" s="156"/>
      <c r="AO594" s="156"/>
      <c r="AP594" s="156"/>
      <c r="AQ594" s="156"/>
      <c r="AR594" s="156"/>
      <c r="AS594" s="156"/>
      <c r="AT594" s="153"/>
    </row>
    <row r="595" customFormat="false" ht="12.75" hidden="false" customHeight="true" outlineLevel="0" collapsed="false">
      <c r="B595" s="142"/>
      <c r="C595" s="143" t="s">
        <v>162</v>
      </c>
      <c r="D595" s="144" t="n">
        <v>61073</v>
      </c>
      <c r="E595" s="144" t="str">
        <f aca="false">IF(D595="","",IFERROR(VLOOKUP(D595,CCN_Library!$A$4:$B$13,2,FALSE()),"NOT IN LIBRARY"))</f>
        <v>COMPANY/BATTERY HEADQUARTERS, MARINE CORPS</v>
      </c>
      <c r="F595" s="145" t="str">
        <f aca="false">LEFT(H595,6)</f>
        <v>M28262</v>
      </c>
      <c r="G595" s="146" t="s">
        <v>128</v>
      </c>
      <c r="H595" s="146" t="s">
        <v>932</v>
      </c>
      <c r="I595" s="146" t="s">
        <v>527</v>
      </c>
      <c r="J595" s="146" t="s">
        <v>211</v>
      </c>
      <c r="K595" s="147" t="s">
        <v>151</v>
      </c>
      <c r="L595" s="146" t="s">
        <v>151</v>
      </c>
      <c r="M595" s="146" t="s">
        <v>133</v>
      </c>
      <c r="N595" s="146" t="s">
        <v>134</v>
      </c>
      <c r="O595" s="146" t="s">
        <v>135</v>
      </c>
      <c r="P595" s="146" t="s">
        <v>135</v>
      </c>
      <c r="Q595" s="148"/>
      <c r="R595" s="146" t="s">
        <v>136</v>
      </c>
      <c r="S595" s="146" t="s">
        <v>137</v>
      </c>
      <c r="T595" s="148"/>
      <c r="U595" s="149" t="n">
        <v>0</v>
      </c>
      <c r="V595" s="149" t="n">
        <v>0</v>
      </c>
      <c r="W595" s="149" t="n">
        <v>0</v>
      </c>
      <c r="X595" s="149" t="n">
        <v>0</v>
      </c>
      <c r="Y595" s="149" t="n">
        <v>0</v>
      </c>
      <c r="Z595" s="149" t="n">
        <v>1</v>
      </c>
      <c r="AA595" s="149" t="n">
        <v>0</v>
      </c>
      <c r="AB595" s="149" t="n">
        <v>0</v>
      </c>
      <c r="AC595" s="149" t="n">
        <v>0</v>
      </c>
      <c r="AD595" s="149" t="n">
        <v>0</v>
      </c>
      <c r="AE595" s="149" t="n">
        <v>0</v>
      </c>
      <c r="AF595" s="149" t="n">
        <v>0</v>
      </c>
      <c r="AG595" s="149" t="n">
        <v>0</v>
      </c>
      <c r="AH595" s="149" t="n">
        <v>0</v>
      </c>
      <c r="AI595" s="149" t="n">
        <v>0</v>
      </c>
      <c r="AJ595" s="149" t="n">
        <v>0</v>
      </c>
      <c r="AK595" s="149" t="n">
        <v>0</v>
      </c>
      <c r="AL595" s="149" t="n">
        <v>0</v>
      </c>
      <c r="AM595" s="149" t="n">
        <v>0</v>
      </c>
      <c r="AN595" s="148"/>
      <c r="AO595" s="148"/>
      <c r="AP595" s="146" t="s">
        <v>138</v>
      </c>
      <c r="AQ595" s="146" t="s">
        <v>139</v>
      </c>
      <c r="AR595" s="146" t="s">
        <v>840</v>
      </c>
      <c r="AS595" s="148"/>
      <c r="AT595" s="150"/>
    </row>
    <row r="596" customFormat="false" ht="12.75" hidden="false" customHeight="true" outlineLevel="0" collapsed="false">
      <c r="B596" s="142"/>
      <c r="C596" s="143" t="s">
        <v>162</v>
      </c>
      <c r="D596" s="144" t="n">
        <v>61073</v>
      </c>
      <c r="E596" s="144" t="str">
        <f aca="false">IF(D596="","",IFERROR(VLOOKUP(D596,CCN_Library!$A$4:$B$13,2,FALSE()),"NOT IN LIBRARY"))</f>
        <v>COMPANY/BATTERY HEADQUARTERS, MARINE CORPS</v>
      </c>
      <c r="F596" s="145" t="str">
        <f aca="false">LEFT(H596,6)</f>
        <v>M28262</v>
      </c>
      <c r="G596" s="146" t="s">
        <v>128</v>
      </c>
      <c r="H596" s="146" t="s">
        <v>933</v>
      </c>
      <c r="I596" s="146" t="s">
        <v>472</v>
      </c>
      <c r="J596" s="146" t="s">
        <v>211</v>
      </c>
      <c r="K596" s="147" t="s">
        <v>223</v>
      </c>
      <c r="L596" s="146" t="s">
        <v>223</v>
      </c>
      <c r="M596" s="146" t="s">
        <v>133</v>
      </c>
      <c r="N596" s="146" t="s">
        <v>134</v>
      </c>
      <c r="O596" s="146" t="s">
        <v>135</v>
      </c>
      <c r="P596" s="146" t="s">
        <v>135</v>
      </c>
      <c r="Q596" s="148"/>
      <c r="R596" s="146" t="s">
        <v>136</v>
      </c>
      <c r="S596" s="146" t="s">
        <v>137</v>
      </c>
      <c r="T596" s="148"/>
      <c r="U596" s="149" t="n">
        <v>0</v>
      </c>
      <c r="V596" s="149" t="n">
        <v>0</v>
      </c>
      <c r="W596" s="149" t="n">
        <v>0</v>
      </c>
      <c r="X596" s="149" t="n">
        <v>0</v>
      </c>
      <c r="Y596" s="149" t="n">
        <v>0</v>
      </c>
      <c r="Z596" s="149" t="n">
        <v>1</v>
      </c>
      <c r="AA596" s="149" t="n">
        <v>0</v>
      </c>
      <c r="AB596" s="149" t="n">
        <v>0</v>
      </c>
      <c r="AC596" s="149" t="n">
        <v>0</v>
      </c>
      <c r="AD596" s="149" t="n">
        <v>0</v>
      </c>
      <c r="AE596" s="149" t="n">
        <v>0</v>
      </c>
      <c r="AF596" s="149" t="n">
        <v>0</v>
      </c>
      <c r="AG596" s="149" t="n">
        <v>0</v>
      </c>
      <c r="AH596" s="149" t="n">
        <v>0</v>
      </c>
      <c r="AI596" s="149" t="n">
        <v>0</v>
      </c>
      <c r="AJ596" s="149" t="n">
        <v>0</v>
      </c>
      <c r="AK596" s="149" t="n">
        <v>0</v>
      </c>
      <c r="AL596" s="149" t="n">
        <v>0</v>
      </c>
      <c r="AM596" s="149" t="n">
        <v>0</v>
      </c>
      <c r="AN596" s="148"/>
      <c r="AO596" s="148"/>
      <c r="AP596" s="146" t="s">
        <v>138</v>
      </c>
      <c r="AQ596" s="146" t="s">
        <v>139</v>
      </c>
      <c r="AR596" s="146" t="s">
        <v>840</v>
      </c>
      <c r="AS596" s="148"/>
      <c r="AT596" s="150"/>
    </row>
    <row r="597" customFormat="false" ht="12.75" hidden="false" customHeight="true" outlineLevel="0" collapsed="false">
      <c r="B597" s="151"/>
      <c r="C597" s="143" t="s">
        <v>162</v>
      </c>
      <c r="D597" s="152" t="n">
        <v>61073</v>
      </c>
      <c r="E597" s="144" t="str">
        <f aca="false">IF(D597="","",IFERROR(VLOOKUP(D597,CCN_Library!$A$4:$B$13,2,FALSE()),"NOT IN LIBRARY"))</f>
        <v>COMPANY/BATTERY HEADQUARTERS, MARINE CORPS</v>
      </c>
      <c r="F597" s="145" t="str">
        <f aca="false">LEFT(H597,6)</f>
        <v>M28262</v>
      </c>
      <c r="G597" s="146" t="s">
        <v>128</v>
      </c>
      <c r="H597" s="146" t="s">
        <v>934</v>
      </c>
      <c r="I597" s="146" t="s">
        <v>530</v>
      </c>
      <c r="J597" s="146" t="s">
        <v>182</v>
      </c>
      <c r="K597" s="147" t="s">
        <v>223</v>
      </c>
      <c r="L597" s="146" t="s">
        <v>223</v>
      </c>
      <c r="M597" s="146" t="s">
        <v>133</v>
      </c>
      <c r="N597" s="146" t="s">
        <v>134</v>
      </c>
      <c r="O597" s="146" t="s">
        <v>135</v>
      </c>
      <c r="P597" s="146" t="s">
        <v>135</v>
      </c>
      <c r="Q597" s="148"/>
      <c r="R597" s="146" t="s">
        <v>136</v>
      </c>
      <c r="S597" s="146" t="s">
        <v>137</v>
      </c>
      <c r="T597" s="148"/>
      <c r="U597" s="149" t="n">
        <v>0</v>
      </c>
      <c r="V597" s="149" t="n">
        <v>0</v>
      </c>
      <c r="W597" s="149" t="n">
        <v>0</v>
      </c>
      <c r="X597" s="149" t="n">
        <v>0</v>
      </c>
      <c r="Y597" s="149" t="n">
        <v>0</v>
      </c>
      <c r="Z597" s="149" t="n">
        <v>1</v>
      </c>
      <c r="AA597" s="149" t="n">
        <v>0</v>
      </c>
      <c r="AB597" s="149" t="n">
        <v>0</v>
      </c>
      <c r="AC597" s="149" t="n">
        <v>0</v>
      </c>
      <c r="AD597" s="149" t="n">
        <v>0</v>
      </c>
      <c r="AE597" s="149" t="n">
        <v>0</v>
      </c>
      <c r="AF597" s="149" t="n">
        <v>0</v>
      </c>
      <c r="AG597" s="149" t="n">
        <v>0</v>
      </c>
      <c r="AH597" s="149" t="n">
        <v>0</v>
      </c>
      <c r="AI597" s="149" t="n">
        <v>0</v>
      </c>
      <c r="AJ597" s="149" t="n">
        <v>0</v>
      </c>
      <c r="AK597" s="149" t="n">
        <v>0</v>
      </c>
      <c r="AL597" s="149" t="n">
        <v>0</v>
      </c>
      <c r="AM597" s="149" t="n">
        <v>0</v>
      </c>
      <c r="AN597" s="148"/>
      <c r="AO597" s="148"/>
      <c r="AP597" s="146" t="s">
        <v>138</v>
      </c>
      <c r="AQ597" s="146" t="s">
        <v>139</v>
      </c>
      <c r="AR597" s="146" t="s">
        <v>840</v>
      </c>
      <c r="AS597" s="148"/>
      <c r="AT597" s="153"/>
    </row>
    <row r="598" customFormat="false" ht="12.75" hidden="false" customHeight="true" outlineLevel="0" collapsed="false">
      <c r="B598" s="142"/>
      <c r="C598" s="143" t="s">
        <v>162</v>
      </c>
      <c r="D598" s="144" t="n">
        <v>61073</v>
      </c>
      <c r="E598" s="144" t="str">
        <f aca="false">IF(D598="","",IFERROR(VLOOKUP(D598,CCN_Library!$A$4:$B$13,2,FALSE()),"NOT IN LIBRARY"))</f>
        <v>COMPANY/BATTERY HEADQUARTERS, MARINE CORPS</v>
      </c>
      <c r="F598" s="145" t="str">
        <f aca="false">LEFT(H598,6)</f>
        <v>M28262</v>
      </c>
      <c r="G598" s="146" t="s">
        <v>128</v>
      </c>
      <c r="H598" s="146" t="s">
        <v>935</v>
      </c>
      <c r="I598" s="146" t="s">
        <v>159</v>
      </c>
      <c r="J598" s="146" t="s">
        <v>189</v>
      </c>
      <c r="K598" s="147" t="s">
        <v>161</v>
      </c>
      <c r="L598" s="146" t="s">
        <v>161</v>
      </c>
      <c r="M598" s="146" t="s">
        <v>133</v>
      </c>
      <c r="N598" s="146" t="s">
        <v>128</v>
      </c>
      <c r="O598" s="146" t="s">
        <v>135</v>
      </c>
      <c r="P598" s="146" t="s">
        <v>135</v>
      </c>
      <c r="Q598" s="148"/>
      <c r="R598" s="146" t="s">
        <v>136</v>
      </c>
      <c r="S598" s="146" t="s">
        <v>137</v>
      </c>
      <c r="T598" s="148"/>
      <c r="U598" s="149" t="n">
        <v>0</v>
      </c>
      <c r="V598" s="149" t="n">
        <v>0</v>
      </c>
      <c r="W598" s="149" t="n">
        <v>0</v>
      </c>
      <c r="X598" s="149" t="n">
        <v>0</v>
      </c>
      <c r="Y598" s="149" t="n">
        <v>0</v>
      </c>
      <c r="Z598" s="149" t="n">
        <v>0</v>
      </c>
      <c r="AA598" s="149" t="n">
        <v>1</v>
      </c>
      <c r="AB598" s="149" t="n">
        <v>0</v>
      </c>
      <c r="AC598" s="149" t="n">
        <v>0</v>
      </c>
      <c r="AD598" s="149" t="n">
        <v>0</v>
      </c>
      <c r="AE598" s="149" t="n">
        <v>0</v>
      </c>
      <c r="AF598" s="149" t="n">
        <v>0</v>
      </c>
      <c r="AG598" s="149" t="n">
        <v>0</v>
      </c>
      <c r="AH598" s="149" t="n">
        <v>0</v>
      </c>
      <c r="AI598" s="149" t="n">
        <v>0</v>
      </c>
      <c r="AJ598" s="149" t="n">
        <v>0</v>
      </c>
      <c r="AK598" s="149" t="n">
        <v>0</v>
      </c>
      <c r="AL598" s="149" t="n">
        <v>0</v>
      </c>
      <c r="AM598" s="149" t="n">
        <v>0</v>
      </c>
      <c r="AN598" s="148"/>
      <c r="AO598" s="148"/>
      <c r="AP598" s="146" t="s">
        <v>138</v>
      </c>
      <c r="AQ598" s="146" t="s">
        <v>139</v>
      </c>
      <c r="AR598" s="146" t="s">
        <v>840</v>
      </c>
      <c r="AS598" s="148"/>
      <c r="AT598" s="150"/>
    </row>
    <row r="599" customFormat="false" ht="12.75" hidden="false" customHeight="true" outlineLevel="0" collapsed="false">
      <c r="B599" s="142"/>
      <c r="C599" s="143" t="s">
        <v>168</v>
      </c>
      <c r="D599" s="144" t="n">
        <v>61073</v>
      </c>
      <c r="E599" s="144" t="str">
        <f aca="false">IF(D599="","",IFERROR(VLOOKUP(D599,CCN_Library!$A$4:$B$13,2,FALSE()),"NOT IN LIBRARY"))</f>
        <v>COMPANY/BATTERY HEADQUARTERS, MARINE CORPS</v>
      </c>
      <c r="F599" s="145" t="str">
        <f aca="false">LEFT(H599,6)</f>
        <v>M28262</v>
      </c>
      <c r="G599" s="146" t="s">
        <v>128</v>
      </c>
      <c r="H599" s="146" t="s">
        <v>936</v>
      </c>
      <c r="I599" s="146" t="s">
        <v>159</v>
      </c>
      <c r="J599" s="146" t="s">
        <v>191</v>
      </c>
      <c r="K599" s="147" t="s">
        <v>161</v>
      </c>
      <c r="L599" s="146" t="s">
        <v>161</v>
      </c>
      <c r="M599" s="146" t="s">
        <v>133</v>
      </c>
      <c r="N599" s="146" t="s">
        <v>128</v>
      </c>
      <c r="O599" s="146" t="s">
        <v>135</v>
      </c>
      <c r="P599" s="146" t="s">
        <v>135</v>
      </c>
      <c r="Q599" s="148"/>
      <c r="R599" s="146" t="s">
        <v>136</v>
      </c>
      <c r="S599" s="146" t="s">
        <v>58</v>
      </c>
      <c r="T599" s="148"/>
      <c r="U599" s="149" t="n">
        <v>0</v>
      </c>
      <c r="V599" s="149" t="n">
        <v>0</v>
      </c>
      <c r="W599" s="149" t="n">
        <v>0</v>
      </c>
      <c r="X599" s="149" t="n">
        <v>0</v>
      </c>
      <c r="Y599" s="149" t="n">
        <v>0</v>
      </c>
      <c r="Z599" s="149" t="n">
        <v>0</v>
      </c>
      <c r="AA599" s="149" t="n">
        <v>1</v>
      </c>
      <c r="AB599" s="149" t="n">
        <v>0</v>
      </c>
      <c r="AC599" s="149" t="n">
        <v>0</v>
      </c>
      <c r="AD599" s="149" t="n">
        <v>0</v>
      </c>
      <c r="AE599" s="149" t="n">
        <v>0</v>
      </c>
      <c r="AF599" s="149" t="n">
        <v>0</v>
      </c>
      <c r="AG599" s="149" t="n">
        <v>0</v>
      </c>
      <c r="AH599" s="149" t="n">
        <v>0</v>
      </c>
      <c r="AI599" s="149" t="n">
        <v>0</v>
      </c>
      <c r="AJ599" s="149" t="n">
        <v>0</v>
      </c>
      <c r="AK599" s="149" t="n">
        <v>0</v>
      </c>
      <c r="AL599" s="149" t="n">
        <v>0</v>
      </c>
      <c r="AM599" s="149" t="n">
        <v>0</v>
      </c>
      <c r="AN599" s="148"/>
      <c r="AO599" s="148"/>
      <c r="AP599" s="146" t="s">
        <v>138</v>
      </c>
      <c r="AQ599" s="146" t="s">
        <v>139</v>
      </c>
      <c r="AR599" s="146" t="s">
        <v>840</v>
      </c>
      <c r="AS599" s="148"/>
      <c r="AT599" s="150"/>
    </row>
    <row r="600" customFormat="false" ht="12.75" hidden="false" customHeight="true" outlineLevel="0" collapsed="false">
      <c r="B600" s="142"/>
      <c r="C600" s="143" t="s">
        <v>168</v>
      </c>
      <c r="D600" s="144" t="n">
        <v>61073</v>
      </c>
      <c r="E600" s="144" t="str">
        <f aca="false">IF(D600="","",IFERROR(VLOOKUP(D600,CCN_Library!$A$4:$B$13,2,FALSE()),"NOT IN LIBRARY"))</f>
        <v>COMPANY/BATTERY HEADQUARTERS, MARINE CORPS</v>
      </c>
      <c r="F600" s="145" t="str">
        <f aca="false">LEFT(H600,6)</f>
        <v>M28262</v>
      </c>
      <c r="G600" s="146" t="s">
        <v>128</v>
      </c>
      <c r="H600" s="146" t="s">
        <v>937</v>
      </c>
      <c r="I600" s="146" t="s">
        <v>159</v>
      </c>
      <c r="J600" s="146" t="s">
        <v>191</v>
      </c>
      <c r="K600" s="147" t="s">
        <v>161</v>
      </c>
      <c r="L600" s="146" t="s">
        <v>161</v>
      </c>
      <c r="M600" s="146" t="s">
        <v>133</v>
      </c>
      <c r="N600" s="146" t="s">
        <v>128</v>
      </c>
      <c r="O600" s="146" t="s">
        <v>135</v>
      </c>
      <c r="P600" s="146" t="s">
        <v>135</v>
      </c>
      <c r="Q600" s="148"/>
      <c r="R600" s="146" t="s">
        <v>136</v>
      </c>
      <c r="S600" s="146" t="s">
        <v>58</v>
      </c>
      <c r="T600" s="148"/>
      <c r="U600" s="149" t="n">
        <v>0</v>
      </c>
      <c r="V600" s="149" t="n">
        <v>0</v>
      </c>
      <c r="W600" s="149" t="n">
        <v>0</v>
      </c>
      <c r="X600" s="149" t="n">
        <v>0</v>
      </c>
      <c r="Y600" s="149" t="n">
        <v>0</v>
      </c>
      <c r="Z600" s="149" t="n">
        <v>0</v>
      </c>
      <c r="AA600" s="149" t="n">
        <v>1</v>
      </c>
      <c r="AB600" s="149" t="n">
        <v>0</v>
      </c>
      <c r="AC600" s="149" t="n">
        <v>0</v>
      </c>
      <c r="AD600" s="149" t="n">
        <v>0</v>
      </c>
      <c r="AE600" s="149" t="n">
        <v>0</v>
      </c>
      <c r="AF600" s="149" t="n">
        <v>0</v>
      </c>
      <c r="AG600" s="149" t="n">
        <v>0</v>
      </c>
      <c r="AH600" s="149" t="n">
        <v>0</v>
      </c>
      <c r="AI600" s="149" t="n">
        <v>0</v>
      </c>
      <c r="AJ600" s="149" t="n">
        <v>0</v>
      </c>
      <c r="AK600" s="149" t="n">
        <v>0</v>
      </c>
      <c r="AL600" s="149" t="n">
        <v>0</v>
      </c>
      <c r="AM600" s="149" t="n">
        <v>0</v>
      </c>
      <c r="AN600" s="148"/>
      <c r="AO600" s="148"/>
      <c r="AP600" s="146" t="s">
        <v>138</v>
      </c>
      <c r="AQ600" s="146" t="s">
        <v>139</v>
      </c>
      <c r="AR600" s="146" t="s">
        <v>840</v>
      </c>
      <c r="AS600" s="148"/>
      <c r="AT600" s="150"/>
    </row>
    <row r="601" customFormat="false" ht="12.75" hidden="false" customHeight="true" outlineLevel="0" collapsed="false">
      <c r="B601" s="151"/>
      <c r="C601" s="143" t="s">
        <v>168</v>
      </c>
      <c r="D601" s="152" t="n">
        <v>61073</v>
      </c>
      <c r="E601" s="144" t="str">
        <f aca="false">IF(D601="","",IFERROR(VLOOKUP(D601,CCN_Library!$A$4:$B$13,2,FALSE()),"NOT IN LIBRARY"))</f>
        <v>COMPANY/BATTERY HEADQUARTERS, MARINE CORPS</v>
      </c>
      <c r="F601" s="145" t="str">
        <f aca="false">LEFT(H601,6)</f>
        <v>M28262</v>
      </c>
      <c r="G601" s="146" t="s">
        <v>128</v>
      </c>
      <c r="H601" s="146" t="s">
        <v>938</v>
      </c>
      <c r="I601" s="146" t="s">
        <v>159</v>
      </c>
      <c r="J601" s="146" t="s">
        <v>160</v>
      </c>
      <c r="K601" s="147" t="s">
        <v>161</v>
      </c>
      <c r="L601" s="146" t="s">
        <v>161</v>
      </c>
      <c r="M601" s="146" t="s">
        <v>133</v>
      </c>
      <c r="N601" s="146" t="s">
        <v>128</v>
      </c>
      <c r="O601" s="146" t="s">
        <v>135</v>
      </c>
      <c r="P601" s="146" t="s">
        <v>135</v>
      </c>
      <c r="Q601" s="148"/>
      <c r="R601" s="146" t="s">
        <v>136</v>
      </c>
      <c r="S601" s="146" t="s">
        <v>58</v>
      </c>
      <c r="T601" s="148"/>
      <c r="U601" s="149" t="n">
        <v>0</v>
      </c>
      <c r="V601" s="149" t="n">
        <v>0</v>
      </c>
      <c r="W601" s="149" t="n">
        <v>0</v>
      </c>
      <c r="X601" s="149" t="n">
        <v>0</v>
      </c>
      <c r="Y601" s="149" t="n">
        <v>0</v>
      </c>
      <c r="Z601" s="149" t="n">
        <v>0</v>
      </c>
      <c r="AA601" s="149" t="n">
        <v>1</v>
      </c>
      <c r="AB601" s="149" t="n">
        <v>0</v>
      </c>
      <c r="AC601" s="149" t="n">
        <v>0</v>
      </c>
      <c r="AD601" s="149" t="n">
        <v>0</v>
      </c>
      <c r="AE601" s="149" t="n">
        <v>0</v>
      </c>
      <c r="AF601" s="149" t="n">
        <v>0</v>
      </c>
      <c r="AG601" s="149" t="n">
        <v>0</v>
      </c>
      <c r="AH601" s="149" t="n">
        <v>0</v>
      </c>
      <c r="AI601" s="149" t="n">
        <v>0</v>
      </c>
      <c r="AJ601" s="149" t="n">
        <v>0</v>
      </c>
      <c r="AK601" s="149" t="n">
        <v>0</v>
      </c>
      <c r="AL601" s="149" t="n">
        <v>0</v>
      </c>
      <c r="AM601" s="149" t="n">
        <v>0</v>
      </c>
      <c r="AN601" s="148"/>
      <c r="AO601" s="148"/>
      <c r="AP601" s="146" t="s">
        <v>138</v>
      </c>
      <c r="AQ601" s="146" t="s">
        <v>139</v>
      </c>
      <c r="AR601" s="146" t="s">
        <v>840</v>
      </c>
      <c r="AS601" s="148"/>
      <c r="AT601" s="153"/>
    </row>
    <row r="602" customFormat="false" ht="12.75" hidden="false" customHeight="true" outlineLevel="0" collapsed="false">
      <c r="B602" s="142"/>
      <c r="C602" s="143" t="s">
        <v>168</v>
      </c>
      <c r="D602" s="144" t="n">
        <v>61073</v>
      </c>
      <c r="E602" s="144" t="str">
        <f aca="false">IF(D602="","",IFERROR(VLOOKUP(D602,CCN_Library!$A$4:$B$13,2,FALSE()),"NOT IN LIBRARY"))</f>
        <v>COMPANY/BATTERY HEADQUARTERS, MARINE CORPS</v>
      </c>
      <c r="F602" s="145" t="str">
        <f aca="false">LEFT(H602,6)</f>
        <v>M28262</v>
      </c>
      <c r="G602" s="146" t="s">
        <v>128</v>
      </c>
      <c r="H602" s="146" t="s">
        <v>939</v>
      </c>
      <c r="I602" s="146" t="s">
        <v>159</v>
      </c>
      <c r="J602" s="146" t="s">
        <v>160</v>
      </c>
      <c r="K602" s="147" t="s">
        <v>161</v>
      </c>
      <c r="L602" s="146" t="s">
        <v>161</v>
      </c>
      <c r="M602" s="146" t="s">
        <v>133</v>
      </c>
      <c r="N602" s="146" t="s">
        <v>128</v>
      </c>
      <c r="O602" s="146" t="s">
        <v>135</v>
      </c>
      <c r="P602" s="146" t="s">
        <v>135</v>
      </c>
      <c r="Q602" s="148"/>
      <c r="R602" s="146" t="s">
        <v>136</v>
      </c>
      <c r="S602" s="146" t="s">
        <v>58</v>
      </c>
      <c r="T602" s="148"/>
      <c r="U602" s="149" t="n">
        <v>0</v>
      </c>
      <c r="V602" s="149" t="n">
        <v>0</v>
      </c>
      <c r="W602" s="149" t="n">
        <v>0</v>
      </c>
      <c r="X602" s="149" t="n">
        <v>0</v>
      </c>
      <c r="Y602" s="149" t="n">
        <v>0</v>
      </c>
      <c r="Z602" s="149" t="n">
        <v>0</v>
      </c>
      <c r="AA602" s="149" t="n">
        <v>1</v>
      </c>
      <c r="AB602" s="149" t="n">
        <v>0</v>
      </c>
      <c r="AC602" s="149" t="n">
        <v>0</v>
      </c>
      <c r="AD602" s="149" t="n">
        <v>0</v>
      </c>
      <c r="AE602" s="149" t="n">
        <v>0</v>
      </c>
      <c r="AF602" s="149" t="n">
        <v>0</v>
      </c>
      <c r="AG602" s="149" t="n">
        <v>0</v>
      </c>
      <c r="AH602" s="149" t="n">
        <v>0</v>
      </c>
      <c r="AI602" s="149" t="n">
        <v>0</v>
      </c>
      <c r="AJ602" s="149" t="n">
        <v>0</v>
      </c>
      <c r="AK602" s="149" t="n">
        <v>0</v>
      </c>
      <c r="AL602" s="149" t="n">
        <v>0</v>
      </c>
      <c r="AM602" s="149" t="n">
        <v>0</v>
      </c>
      <c r="AN602" s="148"/>
      <c r="AO602" s="148"/>
      <c r="AP602" s="146" t="s">
        <v>138</v>
      </c>
      <c r="AQ602" s="146" t="s">
        <v>139</v>
      </c>
      <c r="AR602" s="146" t="s">
        <v>840</v>
      </c>
      <c r="AS602" s="148"/>
      <c r="AT602" s="150"/>
    </row>
    <row r="603" customFormat="false" ht="12.75" hidden="false" customHeight="true" outlineLevel="0" collapsed="false">
      <c r="B603" s="142"/>
      <c r="C603" s="143" t="s">
        <v>168</v>
      </c>
      <c r="D603" s="144" t="n">
        <v>61073</v>
      </c>
      <c r="E603" s="144" t="str">
        <f aca="false">IF(D603="","",IFERROR(VLOOKUP(D603,CCN_Library!$A$4:$B$13,2,FALSE()),"NOT IN LIBRARY"))</f>
        <v>COMPANY/BATTERY HEADQUARTERS, MARINE CORPS</v>
      </c>
      <c r="F603" s="145" t="str">
        <f aca="false">LEFT(H603,6)</f>
        <v>M28262</v>
      </c>
      <c r="G603" s="146" t="s">
        <v>128</v>
      </c>
      <c r="H603" s="146" t="s">
        <v>940</v>
      </c>
      <c r="I603" s="146" t="s">
        <v>159</v>
      </c>
      <c r="J603" s="146" t="s">
        <v>160</v>
      </c>
      <c r="K603" s="147" t="s">
        <v>161</v>
      </c>
      <c r="L603" s="146" t="s">
        <v>161</v>
      </c>
      <c r="M603" s="146" t="s">
        <v>133</v>
      </c>
      <c r="N603" s="146" t="s">
        <v>128</v>
      </c>
      <c r="O603" s="146" t="s">
        <v>135</v>
      </c>
      <c r="P603" s="146" t="s">
        <v>135</v>
      </c>
      <c r="Q603" s="148"/>
      <c r="R603" s="146" t="s">
        <v>136</v>
      </c>
      <c r="S603" s="146" t="s">
        <v>58</v>
      </c>
      <c r="T603" s="148"/>
      <c r="U603" s="149" t="n">
        <v>0</v>
      </c>
      <c r="V603" s="149" t="n">
        <v>0</v>
      </c>
      <c r="W603" s="149" t="n">
        <v>0</v>
      </c>
      <c r="X603" s="149" t="n">
        <v>0</v>
      </c>
      <c r="Y603" s="149" t="n">
        <v>0</v>
      </c>
      <c r="Z603" s="149" t="n">
        <v>0</v>
      </c>
      <c r="AA603" s="149" t="n">
        <v>1</v>
      </c>
      <c r="AB603" s="149" t="n">
        <v>0</v>
      </c>
      <c r="AC603" s="149" t="n">
        <v>0</v>
      </c>
      <c r="AD603" s="149" t="n">
        <v>0</v>
      </c>
      <c r="AE603" s="149" t="n">
        <v>0</v>
      </c>
      <c r="AF603" s="149" t="n">
        <v>0</v>
      </c>
      <c r="AG603" s="149" t="n">
        <v>0</v>
      </c>
      <c r="AH603" s="149" t="n">
        <v>0</v>
      </c>
      <c r="AI603" s="149" t="n">
        <v>0</v>
      </c>
      <c r="AJ603" s="149" t="n">
        <v>0</v>
      </c>
      <c r="AK603" s="149" t="n">
        <v>0</v>
      </c>
      <c r="AL603" s="149" t="n">
        <v>0</v>
      </c>
      <c r="AM603" s="149" t="n">
        <v>0</v>
      </c>
      <c r="AN603" s="148"/>
      <c r="AO603" s="148"/>
      <c r="AP603" s="146" t="s">
        <v>138</v>
      </c>
      <c r="AQ603" s="146" t="s">
        <v>139</v>
      </c>
      <c r="AR603" s="146" t="s">
        <v>840</v>
      </c>
      <c r="AS603" s="148"/>
      <c r="AT603" s="150"/>
    </row>
    <row r="604" customFormat="false" ht="12.75" hidden="false" customHeight="true" outlineLevel="0" collapsed="false">
      <c r="B604" s="142"/>
      <c r="C604" s="143" t="s">
        <v>168</v>
      </c>
      <c r="D604" s="144" t="n">
        <v>61073</v>
      </c>
      <c r="E604" s="144" t="str">
        <f aca="false">IF(D604="","",IFERROR(VLOOKUP(D604,CCN_Library!$A$4:$B$13,2,FALSE()),"NOT IN LIBRARY"))</f>
        <v>COMPANY/BATTERY HEADQUARTERS, MARINE CORPS</v>
      </c>
      <c r="F604" s="145" t="str">
        <f aca="false">LEFT(H604,6)</f>
        <v>M28262</v>
      </c>
      <c r="G604" s="146" t="s">
        <v>128</v>
      </c>
      <c r="H604" s="146" t="s">
        <v>941</v>
      </c>
      <c r="I604" s="146" t="s">
        <v>159</v>
      </c>
      <c r="J604" s="146" t="s">
        <v>160</v>
      </c>
      <c r="K604" s="147" t="s">
        <v>161</v>
      </c>
      <c r="L604" s="146" t="s">
        <v>161</v>
      </c>
      <c r="M604" s="146" t="s">
        <v>133</v>
      </c>
      <c r="N604" s="146" t="s">
        <v>128</v>
      </c>
      <c r="O604" s="146" t="s">
        <v>135</v>
      </c>
      <c r="P604" s="146" t="s">
        <v>135</v>
      </c>
      <c r="Q604" s="148"/>
      <c r="R604" s="146" t="s">
        <v>136</v>
      </c>
      <c r="S604" s="146" t="s">
        <v>58</v>
      </c>
      <c r="T604" s="148"/>
      <c r="U604" s="149" t="n">
        <v>0</v>
      </c>
      <c r="V604" s="149" t="n">
        <v>0</v>
      </c>
      <c r="W604" s="149" t="n">
        <v>0</v>
      </c>
      <c r="X604" s="149" t="n">
        <v>0</v>
      </c>
      <c r="Y604" s="149" t="n">
        <v>0</v>
      </c>
      <c r="Z604" s="149" t="n">
        <v>0</v>
      </c>
      <c r="AA604" s="149" t="n">
        <v>1</v>
      </c>
      <c r="AB604" s="149" t="n">
        <v>0</v>
      </c>
      <c r="AC604" s="149" t="n">
        <v>0</v>
      </c>
      <c r="AD604" s="149" t="n">
        <v>0</v>
      </c>
      <c r="AE604" s="149" t="n">
        <v>0</v>
      </c>
      <c r="AF604" s="149" t="n">
        <v>0</v>
      </c>
      <c r="AG604" s="149" t="n">
        <v>0</v>
      </c>
      <c r="AH604" s="149" t="n">
        <v>0</v>
      </c>
      <c r="AI604" s="149" t="n">
        <v>0</v>
      </c>
      <c r="AJ604" s="149" t="n">
        <v>0</v>
      </c>
      <c r="AK604" s="149" t="n">
        <v>0</v>
      </c>
      <c r="AL604" s="149" t="n">
        <v>0</v>
      </c>
      <c r="AM604" s="149" t="n">
        <v>0</v>
      </c>
      <c r="AN604" s="148"/>
      <c r="AO604" s="148"/>
      <c r="AP604" s="146" t="s">
        <v>138</v>
      </c>
      <c r="AQ604" s="146" t="s">
        <v>139</v>
      </c>
      <c r="AR604" s="146" t="s">
        <v>840</v>
      </c>
      <c r="AS604" s="148"/>
      <c r="AT604" s="150"/>
    </row>
    <row r="605" customFormat="false" ht="12.75" hidden="false" customHeight="true" outlineLevel="0" collapsed="false">
      <c r="B605" s="151"/>
      <c r="C605" s="143" t="s">
        <v>168</v>
      </c>
      <c r="D605" s="152" t="n">
        <v>61073</v>
      </c>
      <c r="E605" s="144" t="str">
        <f aca="false">IF(D605="","",IFERROR(VLOOKUP(D605,CCN_Library!$A$4:$B$13,2,FALSE()),"NOT IN LIBRARY"))</f>
        <v>COMPANY/BATTERY HEADQUARTERS, MARINE CORPS</v>
      </c>
      <c r="F605" s="145" t="str">
        <f aca="false">LEFT(H605,6)</f>
        <v>M28262</v>
      </c>
      <c r="G605" s="146" t="s">
        <v>128</v>
      </c>
      <c r="H605" s="146" t="s">
        <v>942</v>
      </c>
      <c r="I605" s="146" t="s">
        <v>159</v>
      </c>
      <c r="J605" s="146" t="s">
        <v>160</v>
      </c>
      <c r="K605" s="147" t="s">
        <v>161</v>
      </c>
      <c r="L605" s="146" t="s">
        <v>161</v>
      </c>
      <c r="M605" s="146" t="s">
        <v>133</v>
      </c>
      <c r="N605" s="146" t="s">
        <v>128</v>
      </c>
      <c r="O605" s="146" t="s">
        <v>135</v>
      </c>
      <c r="P605" s="146" t="s">
        <v>135</v>
      </c>
      <c r="Q605" s="148"/>
      <c r="R605" s="146" t="s">
        <v>136</v>
      </c>
      <c r="S605" s="146" t="s">
        <v>58</v>
      </c>
      <c r="T605" s="148"/>
      <c r="U605" s="149" t="n">
        <v>0</v>
      </c>
      <c r="V605" s="149" t="n">
        <v>0</v>
      </c>
      <c r="W605" s="149" t="n">
        <v>0</v>
      </c>
      <c r="X605" s="149" t="n">
        <v>0</v>
      </c>
      <c r="Y605" s="149" t="n">
        <v>0</v>
      </c>
      <c r="Z605" s="149" t="n">
        <v>0</v>
      </c>
      <c r="AA605" s="149" t="n">
        <v>1</v>
      </c>
      <c r="AB605" s="149" t="n">
        <v>0</v>
      </c>
      <c r="AC605" s="149" t="n">
        <v>0</v>
      </c>
      <c r="AD605" s="149" t="n">
        <v>0</v>
      </c>
      <c r="AE605" s="149" t="n">
        <v>0</v>
      </c>
      <c r="AF605" s="149" t="n">
        <v>0</v>
      </c>
      <c r="AG605" s="149" t="n">
        <v>0</v>
      </c>
      <c r="AH605" s="149" t="n">
        <v>0</v>
      </c>
      <c r="AI605" s="149" t="n">
        <v>0</v>
      </c>
      <c r="AJ605" s="149" t="n">
        <v>0</v>
      </c>
      <c r="AK605" s="149" t="n">
        <v>0</v>
      </c>
      <c r="AL605" s="149" t="n">
        <v>0</v>
      </c>
      <c r="AM605" s="149" t="n">
        <v>0</v>
      </c>
      <c r="AN605" s="148"/>
      <c r="AO605" s="148"/>
      <c r="AP605" s="146" t="s">
        <v>138</v>
      </c>
      <c r="AQ605" s="146" t="s">
        <v>139</v>
      </c>
      <c r="AR605" s="146" t="s">
        <v>840</v>
      </c>
      <c r="AS605" s="148"/>
      <c r="AT605" s="153"/>
    </row>
    <row r="606" customFormat="false" ht="12.75" hidden="false" customHeight="true" outlineLevel="0" collapsed="false">
      <c r="B606" s="151"/>
      <c r="C606" s="143" t="s">
        <v>162</v>
      </c>
      <c r="D606" s="152" t="n">
        <v>61073</v>
      </c>
      <c r="E606" s="152"/>
      <c r="F606" s="154" t="str">
        <f aca="false">LEFT(H606,6)</f>
        <v>M28262</v>
      </c>
      <c r="G606" s="155" t="s">
        <v>58</v>
      </c>
      <c r="H606" s="155" t="s">
        <v>943</v>
      </c>
      <c r="I606" s="155" t="s">
        <v>719</v>
      </c>
      <c r="J606" s="156"/>
      <c r="K606" s="156"/>
      <c r="L606" s="156"/>
      <c r="M606" s="156"/>
      <c r="N606" s="156"/>
      <c r="O606" s="156"/>
      <c r="P606" s="156"/>
      <c r="Q606" s="156"/>
      <c r="R606" s="156"/>
      <c r="S606" s="156"/>
      <c r="T606" s="156"/>
      <c r="U606" s="157" t="n">
        <v>0</v>
      </c>
      <c r="V606" s="157" t="n">
        <v>0</v>
      </c>
      <c r="W606" s="157" t="n">
        <v>0</v>
      </c>
      <c r="X606" s="157" t="n">
        <v>0</v>
      </c>
      <c r="Y606" s="157" t="n">
        <v>0</v>
      </c>
      <c r="Z606" s="157" t="n">
        <v>0</v>
      </c>
      <c r="AA606" s="157" t="n">
        <v>0</v>
      </c>
      <c r="AB606" s="157" t="n">
        <v>0</v>
      </c>
      <c r="AC606" s="157" t="n">
        <v>0</v>
      </c>
      <c r="AD606" s="157" t="n">
        <v>0</v>
      </c>
      <c r="AE606" s="157" t="n">
        <v>0</v>
      </c>
      <c r="AF606" s="157" t="n">
        <v>0</v>
      </c>
      <c r="AG606" s="157" t="n">
        <v>0</v>
      </c>
      <c r="AH606" s="157" t="n">
        <v>0</v>
      </c>
      <c r="AI606" s="157" t="n">
        <v>0</v>
      </c>
      <c r="AJ606" s="157" t="n">
        <v>0</v>
      </c>
      <c r="AK606" s="157" t="n">
        <v>0</v>
      </c>
      <c r="AL606" s="157" t="n">
        <v>0</v>
      </c>
      <c r="AM606" s="157" t="n">
        <v>0</v>
      </c>
      <c r="AN606" s="156"/>
      <c r="AO606" s="156"/>
      <c r="AP606" s="156"/>
      <c r="AQ606" s="156"/>
      <c r="AR606" s="156"/>
      <c r="AS606" s="156"/>
      <c r="AT606" s="153"/>
    </row>
    <row r="607" customFormat="false" ht="12.75" hidden="false" customHeight="true" outlineLevel="0" collapsed="false">
      <c r="B607" s="151"/>
      <c r="C607" s="143" t="s">
        <v>162</v>
      </c>
      <c r="D607" s="152" t="n">
        <v>61073</v>
      </c>
      <c r="E607" s="152"/>
      <c r="F607" s="154" t="str">
        <f aca="false">LEFT(H607,6)</f>
        <v>M28262</v>
      </c>
      <c r="G607" s="155" t="s">
        <v>177</v>
      </c>
      <c r="H607" s="155" t="s">
        <v>944</v>
      </c>
      <c r="I607" s="155" t="s">
        <v>721</v>
      </c>
      <c r="J607" s="156"/>
      <c r="K607" s="156"/>
      <c r="L607" s="156"/>
      <c r="M607" s="156"/>
      <c r="N607" s="156"/>
      <c r="O607" s="156"/>
      <c r="P607" s="156"/>
      <c r="Q607" s="156"/>
      <c r="R607" s="156"/>
      <c r="S607" s="156"/>
      <c r="T607" s="156"/>
      <c r="U607" s="157" t="n">
        <v>0</v>
      </c>
      <c r="V607" s="157" t="n">
        <v>0</v>
      </c>
      <c r="W607" s="157" t="n">
        <v>0</v>
      </c>
      <c r="X607" s="157" t="n">
        <v>0</v>
      </c>
      <c r="Y607" s="157" t="n">
        <v>0</v>
      </c>
      <c r="Z607" s="157" t="n">
        <v>0</v>
      </c>
      <c r="AA607" s="157" t="n">
        <v>0</v>
      </c>
      <c r="AB607" s="157" t="n">
        <v>0</v>
      </c>
      <c r="AC607" s="157" t="n">
        <v>0</v>
      </c>
      <c r="AD607" s="157" t="n">
        <v>0</v>
      </c>
      <c r="AE607" s="157" t="n">
        <v>0</v>
      </c>
      <c r="AF607" s="157" t="n">
        <v>0</v>
      </c>
      <c r="AG607" s="157" t="n">
        <v>0</v>
      </c>
      <c r="AH607" s="157" t="n">
        <v>0</v>
      </c>
      <c r="AI607" s="157" t="n">
        <v>0</v>
      </c>
      <c r="AJ607" s="157" t="n">
        <v>0</v>
      </c>
      <c r="AK607" s="157" t="n">
        <v>0</v>
      </c>
      <c r="AL607" s="157" t="n">
        <v>0</v>
      </c>
      <c r="AM607" s="157" t="n">
        <v>0</v>
      </c>
      <c r="AN607" s="156"/>
      <c r="AO607" s="156"/>
      <c r="AP607" s="156"/>
      <c r="AQ607" s="156"/>
      <c r="AR607" s="156"/>
      <c r="AS607" s="156"/>
      <c r="AT607" s="153"/>
    </row>
    <row r="608" customFormat="false" ht="12.75" hidden="false" customHeight="true" outlineLevel="0" collapsed="false">
      <c r="B608" s="142"/>
      <c r="C608" s="143" t="s">
        <v>162</v>
      </c>
      <c r="D608" s="144" t="n">
        <v>61073</v>
      </c>
      <c r="E608" s="144" t="str">
        <f aca="false">IF(D608="","",IFERROR(VLOOKUP(D608,CCN_Library!$A$4:$B$13,2,FALSE()),"NOT IN LIBRARY"))</f>
        <v>COMPANY/BATTERY HEADQUARTERS, MARINE CORPS</v>
      </c>
      <c r="F608" s="145" t="str">
        <f aca="false">LEFT(H608,6)</f>
        <v>M28262</v>
      </c>
      <c r="G608" s="146" t="s">
        <v>128</v>
      </c>
      <c r="H608" s="146" t="s">
        <v>945</v>
      </c>
      <c r="I608" s="146" t="s">
        <v>466</v>
      </c>
      <c r="J608" s="146" t="s">
        <v>211</v>
      </c>
      <c r="K608" s="147" t="s">
        <v>151</v>
      </c>
      <c r="L608" s="146" t="s">
        <v>151</v>
      </c>
      <c r="M608" s="146" t="s">
        <v>133</v>
      </c>
      <c r="N608" s="146" t="s">
        <v>134</v>
      </c>
      <c r="O608" s="146" t="s">
        <v>135</v>
      </c>
      <c r="P608" s="146" t="s">
        <v>135</v>
      </c>
      <c r="Q608" s="148"/>
      <c r="R608" s="146" t="s">
        <v>136</v>
      </c>
      <c r="S608" s="146" t="s">
        <v>137</v>
      </c>
      <c r="T608" s="148"/>
      <c r="U608" s="149" t="n">
        <v>0</v>
      </c>
      <c r="V608" s="149" t="n">
        <v>0</v>
      </c>
      <c r="W608" s="149" t="n">
        <v>0</v>
      </c>
      <c r="X608" s="149" t="n">
        <v>0</v>
      </c>
      <c r="Y608" s="149" t="n">
        <v>0</v>
      </c>
      <c r="Z608" s="149" t="n">
        <v>1</v>
      </c>
      <c r="AA608" s="149" t="n">
        <v>0</v>
      </c>
      <c r="AB608" s="149" t="n">
        <v>0</v>
      </c>
      <c r="AC608" s="149" t="n">
        <v>0</v>
      </c>
      <c r="AD608" s="149" t="n">
        <v>0</v>
      </c>
      <c r="AE608" s="149" t="n">
        <v>0</v>
      </c>
      <c r="AF608" s="149" t="n">
        <v>0</v>
      </c>
      <c r="AG608" s="149" t="n">
        <v>0</v>
      </c>
      <c r="AH608" s="149" t="n">
        <v>0</v>
      </c>
      <c r="AI608" s="149" t="n">
        <v>0</v>
      </c>
      <c r="AJ608" s="149" t="n">
        <v>0</v>
      </c>
      <c r="AK608" s="149" t="n">
        <v>0</v>
      </c>
      <c r="AL608" s="149" t="n">
        <v>0</v>
      </c>
      <c r="AM608" s="149" t="n">
        <v>0</v>
      </c>
      <c r="AN608" s="148"/>
      <c r="AO608" s="148"/>
      <c r="AP608" s="146" t="s">
        <v>138</v>
      </c>
      <c r="AQ608" s="146" t="s">
        <v>139</v>
      </c>
      <c r="AR608" s="146" t="s">
        <v>840</v>
      </c>
      <c r="AS608" s="148"/>
      <c r="AT608" s="150"/>
    </row>
    <row r="609" customFormat="false" ht="12.75" hidden="false" customHeight="true" outlineLevel="0" collapsed="false">
      <c r="B609" s="151"/>
      <c r="C609" s="143" t="s">
        <v>162</v>
      </c>
      <c r="D609" s="152" t="n">
        <v>61073</v>
      </c>
      <c r="E609" s="144" t="str">
        <f aca="false">IF(D609="","",IFERROR(VLOOKUP(D609,CCN_Library!$A$4:$B$13,2,FALSE()),"NOT IN LIBRARY"))</f>
        <v>COMPANY/BATTERY HEADQUARTERS, MARINE CORPS</v>
      </c>
      <c r="F609" s="145" t="str">
        <f aca="false">LEFT(H609,6)</f>
        <v>M28262</v>
      </c>
      <c r="G609" s="146" t="s">
        <v>128</v>
      </c>
      <c r="H609" s="146" t="s">
        <v>946</v>
      </c>
      <c r="I609" s="146" t="s">
        <v>466</v>
      </c>
      <c r="J609" s="146" t="s">
        <v>211</v>
      </c>
      <c r="K609" s="147" t="s">
        <v>151</v>
      </c>
      <c r="L609" s="146" t="s">
        <v>151</v>
      </c>
      <c r="M609" s="146" t="s">
        <v>133</v>
      </c>
      <c r="N609" s="146" t="s">
        <v>134</v>
      </c>
      <c r="O609" s="146" t="s">
        <v>135</v>
      </c>
      <c r="P609" s="146" t="s">
        <v>135</v>
      </c>
      <c r="Q609" s="148"/>
      <c r="R609" s="146" t="s">
        <v>136</v>
      </c>
      <c r="S609" s="146" t="s">
        <v>137</v>
      </c>
      <c r="T609" s="148"/>
      <c r="U609" s="149" t="n">
        <v>0</v>
      </c>
      <c r="V609" s="149" t="n">
        <v>0</v>
      </c>
      <c r="W609" s="149" t="n">
        <v>0</v>
      </c>
      <c r="X609" s="149" t="n">
        <v>0</v>
      </c>
      <c r="Y609" s="149" t="n">
        <v>0</v>
      </c>
      <c r="Z609" s="149" t="n">
        <v>1</v>
      </c>
      <c r="AA609" s="149" t="n">
        <v>0</v>
      </c>
      <c r="AB609" s="149" t="n">
        <v>0</v>
      </c>
      <c r="AC609" s="149" t="n">
        <v>0</v>
      </c>
      <c r="AD609" s="149" t="n">
        <v>0</v>
      </c>
      <c r="AE609" s="149" t="n">
        <v>0</v>
      </c>
      <c r="AF609" s="149" t="n">
        <v>0</v>
      </c>
      <c r="AG609" s="149" t="n">
        <v>0</v>
      </c>
      <c r="AH609" s="149" t="n">
        <v>0</v>
      </c>
      <c r="AI609" s="149" t="n">
        <v>0</v>
      </c>
      <c r="AJ609" s="149" t="n">
        <v>0</v>
      </c>
      <c r="AK609" s="149" t="n">
        <v>0</v>
      </c>
      <c r="AL609" s="149" t="n">
        <v>0</v>
      </c>
      <c r="AM609" s="149" t="n">
        <v>0</v>
      </c>
      <c r="AN609" s="148"/>
      <c r="AO609" s="148"/>
      <c r="AP609" s="146" t="s">
        <v>138</v>
      </c>
      <c r="AQ609" s="146" t="s">
        <v>139</v>
      </c>
      <c r="AR609" s="146" t="s">
        <v>840</v>
      </c>
      <c r="AS609" s="148"/>
      <c r="AT609" s="153"/>
    </row>
    <row r="610" customFormat="false" ht="12.75" hidden="false" customHeight="true" outlineLevel="0" collapsed="false">
      <c r="B610" s="151"/>
      <c r="C610" s="143" t="s">
        <v>162</v>
      </c>
      <c r="D610" s="152" t="n">
        <v>61073</v>
      </c>
      <c r="E610" s="144" t="str">
        <f aca="false">IF(D610="","",IFERROR(VLOOKUP(D610,CCN_Library!$A$4:$B$13,2,FALSE()),"NOT IN LIBRARY"))</f>
        <v>COMPANY/BATTERY HEADQUARTERS, MARINE CORPS</v>
      </c>
      <c r="F610" s="145" t="str">
        <f aca="false">LEFT(H610,6)</f>
        <v>M28262</v>
      </c>
      <c r="G610" s="146" t="s">
        <v>128</v>
      </c>
      <c r="H610" s="146" t="s">
        <v>947</v>
      </c>
      <c r="I610" s="146" t="s">
        <v>470</v>
      </c>
      <c r="J610" s="146" t="s">
        <v>211</v>
      </c>
      <c r="K610" s="147" t="s">
        <v>151</v>
      </c>
      <c r="L610" s="146" t="s">
        <v>151</v>
      </c>
      <c r="M610" s="146" t="s">
        <v>133</v>
      </c>
      <c r="N610" s="146" t="s">
        <v>134</v>
      </c>
      <c r="O610" s="146" t="s">
        <v>135</v>
      </c>
      <c r="P610" s="146" t="s">
        <v>135</v>
      </c>
      <c r="Q610" s="148"/>
      <c r="R610" s="146" t="s">
        <v>136</v>
      </c>
      <c r="S610" s="146" t="s">
        <v>137</v>
      </c>
      <c r="T610" s="148"/>
      <c r="U610" s="149" t="n">
        <v>0</v>
      </c>
      <c r="V610" s="149" t="n">
        <v>0</v>
      </c>
      <c r="W610" s="149" t="n">
        <v>0</v>
      </c>
      <c r="X610" s="149" t="n">
        <v>0</v>
      </c>
      <c r="Y610" s="149" t="n">
        <v>0</v>
      </c>
      <c r="Z610" s="149" t="n">
        <v>1</v>
      </c>
      <c r="AA610" s="149" t="n">
        <v>0</v>
      </c>
      <c r="AB610" s="149" t="n">
        <v>0</v>
      </c>
      <c r="AC610" s="149" t="n">
        <v>0</v>
      </c>
      <c r="AD610" s="149" t="n">
        <v>0</v>
      </c>
      <c r="AE610" s="149" t="n">
        <v>0</v>
      </c>
      <c r="AF610" s="149" t="n">
        <v>0</v>
      </c>
      <c r="AG610" s="149" t="n">
        <v>0</v>
      </c>
      <c r="AH610" s="149" t="n">
        <v>0</v>
      </c>
      <c r="AI610" s="149" t="n">
        <v>0</v>
      </c>
      <c r="AJ610" s="149" t="n">
        <v>0</v>
      </c>
      <c r="AK610" s="149" t="n">
        <v>0</v>
      </c>
      <c r="AL610" s="149" t="n">
        <v>0</v>
      </c>
      <c r="AM610" s="149" t="n">
        <v>0</v>
      </c>
      <c r="AN610" s="148"/>
      <c r="AO610" s="148"/>
      <c r="AP610" s="146" t="s">
        <v>138</v>
      </c>
      <c r="AQ610" s="146" t="s">
        <v>139</v>
      </c>
      <c r="AR610" s="146" t="s">
        <v>840</v>
      </c>
      <c r="AS610" s="148"/>
      <c r="AT610" s="153"/>
    </row>
    <row r="611" customFormat="false" ht="12.75" hidden="false" customHeight="true" outlineLevel="0" collapsed="false">
      <c r="B611" s="142"/>
      <c r="C611" s="143" t="s">
        <v>162</v>
      </c>
      <c r="D611" s="144" t="n">
        <v>61073</v>
      </c>
      <c r="E611" s="144" t="str">
        <f aca="false">IF(D611="","",IFERROR(VLOOKUP(D611,CCN_Library!$A$4:$B$13,2,FALSE()),"NOT IN LIBRARY"))</f>
        <v>COMPANY/BATTERY HEADQUARTERS, MARINE CORPS</v>
      </c>
      <c r="F611" s="145" t="str">
        <f aca="false">LEFT(H611,6)</f>
        <v>M28262</v>
      </c>
      <c r="G611" s="146" t="s">
        <v>128</v>
      </c>
      <c r="H611" s="146" t="s">
        <v>948</v>
      </c>
      <c r="I611" s="146" t="s">
        <v>472</v>
      </c>
      <c r="J611" s="146" t="s">
        <v>182</v>
      </c>
      <c r="K611" s="147" t="s">
        <v>223</v>
      </c>
      <c r="L611" s="146" t="s">
        <v>223</v>
      </c>
      <c r="M611" s="146" t="s">
        <v>133</v>
      </c>
      <c r="N611" s="146" t="s">
        <v>134</v>
      </c>
      <c r="O611" s="146" t="s">
        <v>135</v>
      </c>
      <c r="P611" s="146" t="s">
        <v>135</v>
      </c>
      <c r="Q611" s="148"/>
      <c r="R611" s="146" t="s">
        <v>136</v>
      </c>
      <c r="S611" s="146" t="s">
        <v>137</v>
      </c>
      <c r="T611" s="148"/>
      <c r="U611" s="149" t="n">
        <v>0</v>
      </c>
      <c r="V611" s="149" t="n">
        <v>0</v>
      </c>
      <c r="W611" s="149" t="n">
        <v>0</v>
      </c>
      <c r="X611" s="149" t="n">
        <v>0</v>
      </c>
      <c r="Y611" s="149" t="n">
        <v>0</v>
      </c>
      <c r="Z611" s="149" t="n">
        <v>1</v>
      </c>
      <c r="AA611" s="149" t="n">
        <v>0</v>
      </c>
      <c r="AB611" s="149" t="n">
        <v>0</v>
      </c>
      <c r="AC611" s="149" t="n">
        <v>0</v>
      </c>
      <c r="AD611" s="149" t="n">
        <v>0</v>
      </c>
      <c r="AE611" s="149" t="n">
        <v>0</v>
      </c>
      <c r="AF611" s="149" t="n">
        <v>0</v>
      </c>
      <c r="AG611" s="149" t="n">
        <v>0</v>
      </c>
      <c r="AH611" s="149" t="n">
        <v>0</v>
      </c>
      <c r="AI611" s="149" t="n">
        <v>0</v>
      </c>
      <c r="AJ611" s="149" t="n">
        <v>0</v>
      </c>
      <c r="AK611" s="149" t="n">
        <v>0</v>
      </c>
      <c r="AL611" s="149" t="n">
        <v>0</v>
      </c>
      <c r="AM611" s="149" t="n">
        <v>0</v>
      </c>
      <c r="AN611" s="148"/>
      <c r="AO611" s="148"/>
      <c r="AP611" s="146" t="s">
        <v>138</v>
      </c>
      <c r="AQ611" s="146" t="s">
        <v>139</v>
      </c>
      <c r="AR611" s="146" t="s">
        <v>840</v>
      </c>
      <c r="AS611" s="148"/>
      <c r="AT611" s="150"/>
    </row>
    <row r="612" customFormat="false" ht="12.75" hidden="false" customHeight="true" outlineLevel="0" collapsed="false">
      <c r="B612" s="142"/>
      <c r="C612" s="143" t="s">
        <v>162</v>
      </c>
      <c r="D612" s="144" t="n">
        <v>61073</v>
      </c>
      <c r="E612" s="144" t="str">
        <f aca="false">IF(D612="","",IFERROR(VLOOKUP(D612,CCN_Library!$A$4:$B$13,2,FALSE()),"NOT IN LIBRARY"))</f>
        <v>COMPANY/BATTERY HEADQUARTERS, MARINE CORPS</v>
      </c>
      <c r="F612" s="145" t="str">
        <f aca="false">LEFT(H612,6)</f>
        <v>M28262</v>
      </c>
      <c r="G612" s="146" t="s">
        <v>128</v>
      </c>
      <c r="H612" s="146" t="s">
        <v>949</v>
      </c>
      <c r="I612" s="146" t="s">
        <v>474</v>
      </c>
      <c r="J612" s="146" t="s">
        <v>189</v>
      </c>
      <c r="K612" s="147" t="s">
        <v>475</v>
      </c>
      <c r="L612" s="146" t="s">
        <v>161</v>
      </c>
      <c r="M612" s="146" t="s">
        <v>133</v>
      </c>
      <c r="N612" s="146" t="s">
        <v>128</v>
      </c>
      <c r="O612" s="146" t="s">
        <v>135</v>
      </c>
      <c r="P612" s="146" t="s">
        <v>135</v>
      </c>
      <c r="Q612" s="148"/>
      <c r="R612" s="146" t="s">
        <v>136</v>
      </c>
      <c r="S612" s="146" t="s">
        <v>137</v>
      </c>
      <c r="T612" s="148"/>
      <c r="U612" s="149" t="n">
        <v>0</v>
      </c>
      <c r="V612" s="149" t="n">
        <v>0</v>
      </c>
      <c r="W612" s="149" t="n">
        <v>0</v>
      </c>
      <c r="X612" s="149" t="n">
        <v>0</v>
      </c>
      <c r="Y612" s="149" t="n">
        <v>0</v>
      </c>
      <c r="Z612" s="149" t="n">
        <v>0</v>
      </c>
      <c r="AA612" s="149" t="n">
        <v>1</v>
      </c>
      <c r="AB612" s="149" t="n">
        <v>0</v>
      </c>
      <c r="AC612" s="149" t="n">
        <v>0</v>
      </c>
      <c r="AD612" s="149" t="n">
        <v>0</v>
      </c>
      <c r="AE612" s="149" t="n">
        <v>0</v>
      </c>
      <c r="AF612" s="149" t="n">
        <v>0</v>
      </c>
      <c r="AG612" s="149" t="n">
        <v>0</v>
      </c>
      <c r="AH612" s="149" t="n">
        <v>0</v>
      </c>
      <c r="AI612" s="149" t="n">
        <v>0</v>
      </c>
      <c r="AJ612" s="149" t="n">
        <v>0</v>
      </c>
      <c r="AK612" s="149" t="n">
        <v>0</v>
      </c>
      <c r="AL612" s="149" t="n">
        <v>0</v>
      </c>
      <c r="AM612" s="149" t="n">
        <v>0</v>
      </c>
      <c r="AN612" s="148"/>
      <c r="AO612" s="148"/>
      <c r="AP612" s="146" t="s">
        <v>138</v>
      </c>
      <c r="AQ612" s="146" t="s">
        <v>139</v>
      </c>
      <c r="AR612" s="146" t="s">
        <v>840</v>
      </c>
      <c r="AS612" s="148"/>
      <c r="AT612" s="150"/>
    </row>
    <row r="613" customFormat="false" ht="12.75" hidden="false" customHeight="true" outlineLevel="0" collapsed="false">
      <c r="B613" s="142"/>
      <c r="C613" s="143" t="s">
        <v>168</v>
      </c>
      <c r="D613" s="144" t="n">
        <v>61073</v>
      </c>
      <c r="E613" s="144" t="str">
        <f aca="false">IF(D613="","",IFERROR(VLOOKUP(D613,CCN_Library!$A$4:$B$13,2,FALSE()),"NOT IN LIBRARY"))</f>
        <v>COMPANY/BATTERY HEADQUARTERS, MARINE CORPS</v>
      </c>
      <c r="F613" s="145" t="str">
        <f aca="false">LEFT(H613,6)</f>
        <v>M28262</v>
      </c>
      <c r="G613" s="146" t="s">
        <v>128</v>
      </c>
      <c r="H613" s="146" t="s">
        <v>950</v>
      </c>
      <c r="I613" s="146" t="s">
        <v>477</v>
      </c>
      <c r="J613" s="146" t="s">
        <v>191</v>
      </c>
      <c r="K613" s="147" t="s">
        <v>478</v>
      </c>
      <c r="L613" s="146" t="s">
        <v>161</v>
      </c>
      <c r="M613" s="146" t="s">
        <v>133</v>
      </c>
      <c r="N613" s="146" t="s">
        <v>128</v>
      </c>
      <c r="O613" s="146" t="s">
        <v>135</v>
      </c>
      <c r="P613" s="146" t="s">
        <v>135</v>
      </c>
      <c r="Q613" s="148"/>
      <c r="R613" s="146" t="s">
        <v>136</v>
      </c>
      <c r="S613" s="146" t="s">
        <v>58</v>
      </c>
      <c r="T613" s="148"/>
      <c r="U613" s="149" t="n">
        <v>0</v>
      </c>
      <c r="V613" s="149" t="n">
        <v>0</v>
      </c>
      <c r="W613" s="149" t="n">
        <v>0</v>
      </c>
      <c r="X613" s="149" t="n">
        <v>0</v>
      </c>
      <c r="Y613" s="149" t="n">
        <v>0</v>
      </c>
      <c r="Z613" s="149" t="n">
        <v>0</v>
      </c>
      <c r="AA613" s="149" t="n">
        <v>1</v>
      </c>
      <c r="AB613" s="149" t="n">
        <v>0</v>
      </c>
      <c r="AC613" s="149" t="n">
        <v>0</v>
      </c>
      <c r="AD613" s="149" t="n">
        <v>0</v>
      </c>
      <c r="AE613" s="149" t="n">
        <v>0</v>
      </c>
      <c r="AF613" s="149" t="n">
        <v>0</v>
      </c>
      <c r="AG613" s="149" t="n">
        <v>0</v>
      </c>
      <c r="AH613" s="149" t="n">
        <v>0</v>
      </c>
      <c r="AI613" s="149" t="n">
        <v>0</v>
      </c>
      <c r="AJ613" s="149" t="n">
        <v>0</v>
      </c>
      <c r="AK613" s="149" t="n">
        <v>0</v>
      </c>
      <c r="AL613" s="149" t="n">
        <v>0</v>
      </c>
      <c r="AM613" s="149" t="n">
        <v>0</v>
      </c>
      <c r="AN613" s="148"/>
      <c r="AO613" s="148"/>
      <c r="AP613" s="146" t="s">
        <v>138</v>
      </c>
      <c r="AQ613" s="146" t="s">
        <v>139</v>
      </c>
      <c r="AR613" s="146" t="s">
        <v>840</v>
      </c>
      <c r="AS613" s="148"/>
      <c r="AT613" s="150"/>
    </row>
    <row r="614" customFormat="false" ht="12.75" hidden="false" customHeight="true" outlineLevel="0" collapsed="false">
      <c r="B614" s="151"/>
      <c r="C614" s="143" t="s">
        <v>168</v>
      </c>
      <c r="D614" s="152" t="n">
        <v>61073</v>
      </c>
      <c r="E614" s="144" t="str">
        <f aca="false">IF(D614="","",IFERROR(VLOOKUP(D614,CCN_Library!$A$4:$B$13,2,FALSE()),"NOT IN LIBRARY"))</f>
        <v>COMPANY/BATTERY HEADQUARTERS, MARINE CORPS</v>
      </c>
      <c r="F614" s="145" t="str">
        <f aca="false">LEFT(H614,6)</f>
        <v>M28262</v>
      </c>
      <c r="G614" s="146" t="s">
        <v>128</v>
      </c>
      <c r="H614" s="146" t="s">
        <v>951</v>
      </c>
      <c r="I614" s="146" t="s">
        <v>477</v>
      </c>
      <c r="J614" s="146" t="s">
        <v>176</v>
      </c>
      <c r="K614" s="147" t="s">
        <v>478</v>
      </c>
      <c r="L614" s="146" t="s">
        <v>161</v>
      </c>
      <c r="M614" s="146" t="s">
        <v>133</v>
      </c>
      <c r="N614" s="146" t="s">
        <v>128</v>
      </c>
      <c r="O614" s="146" t="s">
        <v>135</v>
      </c>
      <c r="P614" s="146" t="s">
        <v>135</v>
      </c>
      <c r="Q614" s="148"/>
      <c r="R614" s="146" t="s">
        <v>136</v>
      </c>
      <c r="S614" s="146" t="s">
        <v>58</v>
      </c>
      <c r="T614" s="148"/>
      <c r="U614" s="149" t="n">
        <v>0</v>
      </c>
      <c r="V614" s="149" t="n">
        <v>0</v>
      </c>
      <c r="W614" s="149" t="n">
        <v>0</v>
      </c>
      <c r="X614" s="149" t="n">
        <v>0</v>
      </c>
      <c r="Y614" s="149" t="n">
        <v>0</v>
      </c>
      <c r="Z614" s="149" t="n">
        <v>0</v>
      </c>
      <c r="AA614" s="149" t="n">
        <v>1</v>
      </c>
      <c r="AB614" s="149" t="n">
        <v>0</v>
      </c>
      <c r="AC614" s="149" t="n">
        <v>0</v>
      </c>
      <c r="AD614" s="149" t="n">
        <v>0</v>
      </c>
      <c r="AE614" s="149" t="n">
        <v>0</v>
      </c>
      <c r="AF614" s="149" t="n">
        <v>0</v>
      </c>
      <c r="AG614" s="149" t="n">
        <v>0</v>
      </c>
      <c r="AH614" s="149" t="n">
        <v>0</v>
      </c>
      <c r="AI614" s="149" t="n">
        <v>0</v>
      </c>
      <c r="AJ614" s="149" t="n">
        <v>0</v>
      </c>
      <c r="AK614" s="149" t="n">
        <v>0</v>
      </c>
      <c r="AL614" s="149" t="n">
        <v>0</v>
      </c>
      <c r="AM614" s="149" t="n">
        <v>0</v>
      </c>
      <c r="AN614" s="148"/>
      <c r="AO614" s="148"/>
      <c r="AP614" s="146" t="s">
        <v>138</v>
      </c>
      <c r="AQ614" s="146" t="s">
        <v>139</v>
      </c>
      <c r="AR614" s="146" t="s">
        <v>840</v>
      </c>
      <c r="AS614" s="148"/>
      <c r="AT614" s="153"/>
    </row>
    <row r="615" customFormat="false" ht="12.75" hidden="false" customHeight="true" outlineLevel="0" collapsed="false">
      <c r="B615" s="142"/>
      <c r="C615" s="143" t="s">
        <v>168</v>
      </c>
      <c r="D615" s="144" t="n">
        <v>61073</v>
      </c>
      <c r="E615" s="144" t="str">
        <f aca="false">IF(D615="","",IFERROR(VLOOKUP(D615,CCN_Library!$A$4:$B$13,2,FALSE()),"NOT IN LIBRARY"))</f>
        <v>COMPANY/BATTERY HEADQUARTERS, MARINE CORPS</v>
      </c>
      <c r="F615" s="145" t="str">
        <f aca="false">LEFT(H615,6)</f>
        <v>M28262</v>
      </c>
      <c r="G615" s="146" t="s">
        <v>128</v>
      </c>
      <c r="H615" s="146" t="s">
        <v>952</v>
      </c>
      <c r="I615" s="146" t="s">
        <v>159</v>
      </c>
      <c r="J615" s="146" t="s">
        <v>176</v>
      </c>
      <c r="K615" s="147" t="s">
        <v>161</v>
      </c>
      <c r="L615" s="146" t="s">
        <v>161</v>
      </c>
      <c r="M615" s="146" t="s">
        <v>133</v>
      </c>
      <c r="N615" s="146" t="s">
        <v>128</v>
      </c>
      <c r="O615" s="146" t="s">
        <v>135</v>
      </c>
      <c r="P615" s="146" t="s">
        <v>135</v>
      </c>
      <c r="Q615" s="148"/>
      <c r="R615" s="146" t="s">
        <v>136</v>
      </c>
      <c r="S615" s="146" t="s">
        <v>58</v>
      </c>
      <c r="T615" s="148"/>
      <c r="U615" s="149" t="n">
        <v>0</v>
      </c>
      <c r="V615" s="149" t="n">
        <v>0</v>
      </c>
      <c r="W615" s="149" t="n">
        <v>0</v>
      </c>
      <c r="X615" s="149" t="n">
        <v>0</v>
      </c>
      <c r="Y615" s="149" t="n">
        <v>0</v>
      </c>
      <c r="Z615" s="149" t="n">
        <v>0</v>
      </c>
      <c r="AA615" s="149" t="n">
        <v>1</v>
      </c>
      <c r="AB615" s="149" t="n">
        <v>0</v>
      </c>
      <c r="AC615" s="149" t="n">
        <v>0</v>
      </c>
      <c r="AD615" s="149" t="n">
        <v>0</v>
      </c>
      <c r="AE615" s="149" t="n">
        <v>0</v>
      </c>
      <c r="AF615" s="149" t="n">
        <v>0</v>
      </c>
      <c r="AG615" s="149" t="n">
        <v>0</v>
      </c>
      <c r="AH615" s="149" t="n">
        <v>0</v>
      </c>
      <c r="AI615" s="149" t="n">
        <v>0</v>
      </c>
      <c r="AJ615" s="149" t="n">
        <v>0</v>
      </c>
      <c r="AK615" s="149" t="n">
        <v>0</v>
      </c>
      <c r="AL615" s="149" t="n">
        <v>0</v>
      </c>
      <c r="AM615" s="149" t="n">
        <v>0</v>
      </c>
      <c r="AN615" s="148"/>
      <c r="AO615" s="148"/>
      <c r="AP615" s="146" t="s">
        <v>138</v>
      </c>
      <c r="AQ615" s="146" t="s">
        <v>139</v>
      </c>
      <c r="AR615" s="146" t="s">
        <v>840</v>
      </c>
      <c r="AS615" s="148"/>
      <c r="AT615" s="150"/>
    </row>
    <row r="616" customFormat="false" ht="12.75" hidden="false" customHeight="true" outlineLevel="0" collapsed="false">
      <c r="B616" s="151"/>
      <c r="C616" s="143" t="s">
        <v>162</v>
      </c>
      <c r="D616" s="152" t="n">
        <v>61073</v>
      </c>
      <c r="E616" s="152"/>
      <c r="F616" s="154" t="str">
        <f aca="false">LEFT(H616,6)</f>
        <v>M28262</v>
      </c>
      <c r="G616" s="155" t="s">
        <v>177</v>
      </c>
      <c r="H616" s="155" t="s">
        <v>953</v>
      </c>
      <c r="I616" s="155" t="s">
        <v>552</v>
      </c>
      <c r="J616" s="156"/>
      <c r="K616" s="156"/>
      <c r="L616" s="156"/>
      <c r="M616" s="156"/>
      <c r="N616" s="156"/>
      <c r="O616" s="156"/>
      <c r="P616" s="156"/>
      <c r="Q616" s="156"/>
      <c r="R616" s="156"/>
      <c r="S616" s="156"/>
      <c r="T616" s="156"/>
      <c r="U616" s="157" t="n">
        <v>0</v>
      </c>
      <c r="V616" s="157" t="n">
        <v>0</v>
      </c>
      <c r="W616" s="157" t="n">
        <v>0</v>
      </c>
      <c r="X616" s="157" t="n">
        <v>0</v>
      </c>
      <c r="Y616" s="157" t="n">
        <v>0</v>
      </c>
      <c r="Z616" s="157" t="n">
        <v>0</v>
      </c>
      <c r="AA616" s="157" t="n">
        <v>0</v>
      </c>
      <c r="AB616" s="157" t="n">
        <v>0</v>
      </c>
      <c r="AC616" s="157" t="n">
        <v>0</v>
      </c>
      <c r="AD616" s="157" t="n">
        <v>0</v>
      </c>
      <c r="AE616" s="157" t="n">
        <v>0</v>
      </c>
      <c r="AF616" s="157" t="n">
        <v>0</v>
      </c>
      <c r="AG616" s="157" t="n">
        <v>0</v>
      </c>
      <c r="AH616" s="157" t="n">
        <v>0</v>
      </c>
      <c r="AI616" s="157" t="n">
        <v>0</v>
      </c>
      <c r="AJ616" s="157" t="n">
        <v>0</v>
      </c>
      <c r="AK616" s="157" t="n">
        <v>0</v>
      </c>
      <c r="AL616" s="157" t="n">
        <v>0</v>
      </c>
      <c r="AM616" s="157" t="n">
        <v>0</v>
      </c>
      <c r="AN616" s="156"/>
      <c r="AO616" s="156"/>
      <c r="AP616" s="156"/>
      <c r="AQ616" s="156"/>
      <c r="AR616" s="156"/>
      <c r="AS616" s="156"/>
      <c r="AT616" s="153"/>
    </row>
    <row r="617" customFormat="false" ht="12.75" hidden="false" customHeight="true" outlineLevel="0" collapsed="false">
      <c r="B617" s="151"/>
      <c r="C617" s="143" t="s">
        <v>162</v>
      </c>
      <c r="D617" s="152" t="n">
        <v>61073</v>
      </c>
      <c r="E617" s="152"/>
      <c r="F617" s="154" t="str">
        <f aca="false">LEFT(H617,6)</f>
        <v>M28262</v>
      </c>
      <c r="G617" s="155" t="s">
        <v>177</v>
      </c>
      <c r="H617" s="155" t="s">
        <v>954</v>
      </c>
      <c r="I617" s="155" t="s">
        <v>554</v>
      </c>
      <c r="J617" s="156"/>
      <c r="K617" s="156"/>
      <c r="L617" s="156"/>
      <c r="M617" s="156"/>
      <c r="N617" s="156"/>
      <c r="O617" s="156"/>
      <c r="P617" s="156"/>
      <c r="Q617" s="156"/>
      <c r="R617" s="156"/>
      <c r="S617" s="156"/>
      <c r="T617" s="156"/>
      <c r="U617" s="157" t="n">
        <v>0</v>
      </c>
      <c r="V617" s="157" t="n">
        <v>0</v>
      </c>
      <c r="W617" s="157" t="n">
        <v>0</v>
      </c>
      <c r="X617" s="157" t="n">
        <v>0</v>
      </c>
      <c r="Y617" s="157" t="n">
        <v>0</v>
      </c>
      <c r="Z617" s="157" t="n">
        <v>0</v>
      </c>
      <c r="AA617" s="157" t="n">
        <v>0</v>
      </c>
      <c r="AB617" s="157" t="n">
        <v>0</v>
      </c>
      <c r="AC617" s="157" t="n">
        <v>0</v>
      </c>
      <c r="AD617" s="157" t="n">
        <v>0</v>
      </c>
      <c r="AE617" s="157" t="n">
        <v>0</v>
      </c>
      <c r="AF617" s="157" t="n">
        <v>0</v>
      </c>
      <c r="AG617" s="157" t="n">
        <v>0</v>
      </c>
      <c r="AH617" s="157" t="n">
        <v>0</v>
      </c>
      <c r="AI617" s="157" t="n">
        <v>0</v>
      </c>
      <c r="AJ617" s="157" t="n">
        <v>0</v>
      </c>
      <c r="AK617" s="157" t="n">
        <v>0</v>
      </c>
      <c r="AL617" s="157" t="n">
        <v>0</v>
      </c>
      <c r="AM617" s="157" t="n">
        <v>0</v>
      </c>
      <c r="AN617" s="156"/>
      <c r="AO617" s="156"/>
      <c r="AP617" s="156"/>
      <c r="AQ617" s="156"/>
      <c r="AR617" s="156"/>
      <c r="AS617" s="156"/>
      <c r="AT617" s="153"/>
    </row>
    <row r="618" customFormat="false" ht="12.75" hidden="false" customHeight="true" outlineLevel="0" collapsed="false">
      <c r="B618" s="151"/>
      <c r="C618" s="143" t="s">
        <v>162</v>
      </c>
      <c r="D618" s="152" t="n">
        <v>61073</v>
      </c>
      <c r="E618" s="144" t="str">
        <f aca="false">IF(D618="","",IFERROR(VLOOKUP(D618,CCN_Library!$A$4:$B$13,2,FALSE()),"NOT IN LIBRARY"))</f>
        <v>COMPANY/BATTERY HEADQUARTERS, MARINE CORPS</v>
      </c>
      <c r="F618" s="145" t="str">
        <f aca="false">LEFT(H618,6)</f>
        <v>M28262</v>
      </c>
      <c r="G618" s="146" t="s">
        <v>128</v>
      </c>
      <c r="H618" s="146" t="s">
        <v>955</v>
      </c>
      <c r="I618" s="146" t="s">
        <v>486</v>
      </c>
      <c r="J618" s="146" t="s">
        <v>211</v>
      </c>
      <c r="K618" s="147" t="s">
        <v>151</v>
      </c>
      <c r="L618" s="146" t="s">
        <v>151</v>
      </c>
      <c r="M618" s="146" t="s">
        <v>133</v>
      </c>
      <c r="N618" s="146" t="s">
        <v>134</v>
      </c>
      <c r="O618" s="146" t="s">
        <v>135</v>
      </c>
      <c r="P618" s="146" t="s">
        <v>135</v>
      </c>
      <c r="Q618" s="148"/>
      <c r="R618" s="146" t="s">
        <v>136</v>
      </c>
      <c r="S618" s="146" t="s">
        <v>137</v>
      </c>
      <c r="T618" s="148"/>
      <c r="U618" s="149" t="n">
        <v>0</v>
      </c>
      <c r="V618" s="149" t="n">
        <v>0</v>
      </c>
      <c r="W618" s="149" t="n">
        <v>0</v>
      </c>
      <c r="X618" s="149" t="n">
        <v>0</v>
      </c>
      <c r="Y618" s="149" t="n">
        <v>0</v>
      </c>
      <c r="Z618" s="149" t="n">
        <v>1</v>
      </c>
      <c r="AA618" s="149" t="n">
        <v>0</v>
      </c>
      <c r="AB618" s="149" t="n">
        <v>0</v>
      </c>
      <c r="AC618" s="149" t="n">
        <v>0</v>
      </c>
      <c r="AD618" s="149" t="n">
        <v>0</v>
      </c>
      <c r="AE618" s="149" t="n">
        <v>0</v>
      </c>
      <c r="AF618" s="149" t="n">
        <v>0</v>
      </c>
      <c r="AG618" s="149" t="n">
        <v>0</v>
      </c>
      <c r="AH618" s="149" t="n">
        <v>0</v>
      </c>
      <c r="AI618" s="149" t="n">
        <v>0</v>
      </c>
      <c r="AJ618" s="149" t="n">
        <v>0</v>
      </c>
      <c r="AK618" s="149" t="n">
        <v>0</v>
      </c>
      <c r="AL618" s="149" t="n">
        <v>0</v>
      </c>
      <c r="AM618" s="149" t="n">
        <v>0</v>
      </c>
      <c r="AN618" s="148"/>
      <c r="AO618" s="148"/>
      <c r="AP618" s="146" t="s">
        <v>138</v>
      </c>
      <c r="AQ618" s="146" t="s">
        <v>139</v>
      </c>
      <c r="AR618" s="146" t="s">
        <v>840</v>
      </c>
      <c r="AS618" s="148"/>
      <c r="AT618" s="153"/>
    </row>
    <row r="619" customFormat="false" ht="12.75" hidden="false" customHeight="true" outlineLevel="0" collapsed="false">
      <c r="B619" s="142"/>
      <c r="C619" s="143" t="s">
        <v>162</v>
      </c>
      <c r="D619" s="144" t="n">
        <v>61073</v>
      </c>
      <c r="E619" s="144" t="str">
        <f aca="false">IF(D619="","",IFERROR(VLOOKUP(D619,CCN_Library!$A$4:$B$13,2,FALSE()),"NOT IN LIBRARY"))</f>
        <v>COMPANY/BATTERY HEADQUARTERS, MARINE CORPS</v>
      </c>
      <c r="F619" s="145" t="str">
        <f aca="false">LEFT(H619,6)</f>
        <v>M28262</v>
      </c>
      <c r="G619" s="146" t="s">
        <v>128</v>
      </c>
      <c r="H619" s="146" t="s">
        <v>956</v>
      </c>
      <c r="I619" s="146" t="s">
        <v>486</v>
      </c>
      <c r="J619" s="146" t="s">
        <v>211</v>
      </c>
      <c r="K619" s="147" t="s">
        <v>151</v>
      </c>
      <c r="L619" s="146" t="s">
        <v>151</v>
      </c>
      <c r="M619" s="146" t="s">
        <v>133</v>
      </c>
      <c r="N619" s="146" t="s">
        <v>134</v>
      </c>
      <c r="O619" s="146" t="s">
        <v>135</v>
      </c>
      <c r="P619" s="146" t="s">
        <v>135</v>
      </c>
      <c r="Q619" s="148"/>
      <c r="R619" s="146" t="s">
        <v>136</v>
      </c>
      <c r="S619" s="146" t="s">
        <v>137</v>
      </c>
      <c r="T619" s="148"/>
      <c r="U619" s="149" t="n">
        <v>0</v>
      </c>
      <c r="V619" s="149" t="n">
        <v>0</v>
      </c>
      <c r="W619" s="149" t="n">
        <v>0</v>
      </c>
      <c r="X619" s="149" t="n">
        <v>0</v>
      </c>
      <c r="Y619" s="149" t="n">
        <v>0</v>
      </c>
      <c r="Z619" s="149" t="n">
        <v>1</v>
      </c>
      <c r="AA619" s="149" t="n">
        <v>0</v>
      </c>
      <c r="AB619" s="149" t="n">
        <v>0</v>
      </c>
      <c r="AC619" s="149" t="n">
        <v>0</v>
      </c>
      <c r="AD619" s="149" t="n">
        <v>0</v>
      </c>
      <c r="AE619" s="149" t="n">
        <v>0</v>
      </c>
      <c r="AF619" s="149" t="n">
        <v>0</v>
      </c>
      <c r="AG619" s="149" t="n">
        <v>0</v>
      </c>
      <c r="AH619" s="149" t="n">
        <v>0</v>
      </c>
      <c r="AI619" s="149" t="n">
        <v>0</v>
      </c>
      <c r="AJ619" s="149" t="n">
        <v>0</v>
      </c>
      <c r="AK619" s="149" t="n">
        <v>0</v>
      </c>
      <c r="AL619" s="149" t="n">
        <v>0</v>
      </c>
      <c r="AM619" s="149" t="n">
        <v>0</v>
      </c>
      <c r="AN619" s="148"/>
      <c r="AO619" s="148"/>
      <c r="AP619" s="146" t="s">
        <v>138</v>
      </c>
      <c r="AQ619" s="146" t="s">
        <v>139</v>
      </c>
      <c r="AR619" s="146" t="s">
        <v>840</v>
      </c>
      <c r="AS619" s="148"/>
      <c r="AT619" s="150"/>
    </row>
    <row r="620" customFormat="false" ht="12.75" hidden="false" customHeight="true" outlineLevel="0" collapsed="false">
      <c r="B620" s="142"/>
      <c r="C620" s="143" t="s">
        <v>162</v>
      </c>
      <c r="D620" s="144" t="n">
        <v>61073</v>
      </c>
      <c r="E620" s="144" t="str">
        <f aca="false">IF(D620="","",IFERROR(VLOOKUP(D620,CCN_Library!$A$4:$B$13,2,FALSE()),"NOT IN LIBRARY"))</f>
        <v>COMPANY/BATTERY HEADQUARTERS, MARINE CORPS</v>
      </c>
      <c r="F620" s="145" t="str">
        <f aca="false">LEFT(H620,6)</f>
        <v>M28262</v>
      </c>
      <c r="G620" s="146" t="s">
        <v>128</v>
      </c>
      <c r="H620" s="146" t="s">
        <v>957</v>
      </c>
      <c r="I620" s="146" t="s">
        <v>489</v>
      </c>
      <c r="J620" s="146" t="s">
        <v>182</v>
      </c>
      <c r="K620" s="147" t="s">
        <v>132</v>
      </c>
      <c r="L620" s="146" t="s">
        <v>132</v>
      </c>
      <c r="M620" s="146" t="s">
        <v>133</v>
      </c>
      <c r="N620" s="146" t="s">
        <v>134</v>
      </c>
      <c r="O620" s="146" t="s">
        <v>135</v>
      </c>
      <c r="P620" s="146" t="s">
        <v>135</v>
      </c>
      <c r="Q620" s="148"/>
      <c r="R620" s="146" t="s">
        <v>136</v>
      </c>
      <c r="S620" s="146" t="s">
        <v>137</v>
      </c>
      <c r="T620" s="148"/>
      <c r="U620" s="149" t="n">
        <v>0</v>
      </c>
      <c r="V620" s="149" t="n">
        <v>0</v>
      </c>
      <c r="W620" s="149" t="n">
        <v>0</v>
      </c>
      <c r="X620" s="149" t="n">
        <v>0</v>
      </c>
      <c r="Y620" s="149" t="n">
        <v>0</v>
      </c>
      <c r="Z620" s="149" t="n">
        <v>1</v>
      </c>
      <c r="AA620" s="149" t="n">
        <v>0</v>
      </c>
      <c r="AB620" s="149" t="n">
        <v>0</v>
      </c>
      <c r="AC620" s="149" t="n">
        <v>0</v>
      </c>
      <c r="AD620" s="149" t="n">
        <v>0</v>
      </c>
      <c r="AE620" s="149" t="n">
        <v>0</v>
      </c>
      <c r="AF620" s="149" t="n">
        <v>0</v>
      </c>
      <c r="AG620" s="149" t="n">
        <v>0</v>
      </c>
      <c r="AH620" s="149" t="n">
        <v>0</v>
      </c>
      <c r="AI620" s="149" t="n">
        <v>0</v>
      </c>
      <c r="AJ620" s="149" t="n">
        <v>0</v>
      </c>
      <c r="AK620" s="149" t="n">
        <v>0</v>
      </c>
      <c r="AL620" s="149" t="n">
        <v>0</v>
      </c>
      <c r="AM620" s="149" t="n">
        <v>0</v>
      </c>
      <c r="AN620" s="148"/>
      <c r="AO620" s="148"/>
      <c r="AP620" s="146" t="s">
        <v>138</v>
      </c>
      <c r="AQ620" s="146" t="s">
        <v>139</v>
      </c>
      <c r="AR620" s="146" t="s">
        <v>840</v>
      </c>
      <c r="AS620" s="148"/>
      <c r="AT620" s="150"/>
    </row>
    <row r="621" customFormat="false" ht="12.75" hidden="false" customHeight="true" outlineLevel="0" collapsed="false">
      <c r="B621" s="142"/>
      <c r="C621" s="143" t="s">
        <v>162</v>
      </c>
      <c r="D621" s="144" t="n">
        <v>61073</v>
      </c>
      <c r="E621" s="144" t="str">
        <f aca="false">IF(D621="","",IFERROR(VLOOKUP(D621,CCN_Library!$A$4:$B$13,2,FALSE()),"NOT IN LIBRARY"))</f>
        <v>COMPANY/BATTERY HEADQUARTERS, MARINE CORPS</v>
      </c>
      <c r="F621" s="145" t="str">
        <f aca="false">LEFT(H621,6)</f>
        <v>M28262</v>
      </c>
      <c r="G621" s="146" t="s">
        <v>128</v>
      </c>
      <c r="H621" s="146" t="s">
        <v>958</v>
      </c>
      <c r="I621" s="146" t="s">
        <v>474</v>
      </c>
      <c r="J621" s="146" t="s">
        <v>187</v>
      </c>
      <c r="K621" s="147" t="s">
        <v>475</v>
      </c>
      <c r="L621" s="146" t="s">
        <v>161</v>
      </c>
      <c r="M621" s="146" t="s">
        <v>133</v>
      </c>
      <c r="N621" s="146" t="s">
        <v>128</v>
      </c>
      <c r="O621" s="146" t="s">
        <v>135</v>
      </c>
      <c r="P621" s="146" t="s">
        <v>135</v>
      </c>
      <c r="Q621" s="148"/>
      <c r="R621" s="146" t="s">
        <v>136</v>
      </c>
      <c r="S621" s="146" t="s">
        <v>137</v>
      </c>
      <c r="T621" s="148"/>
      <c r="U621" s="149" t="n">
        <v>0</v>
      </c>
      <c r="V621" s="149" t="n">
        <v>0</v>
      </c>
      <c r="W621" s="149" t="n">
        <v>0</v>
      </c>
      <c r="X621" s="149" t="n">
        <v>0</v>
      </c>
      <c r="Y621" s="149" t="n">
        <v>0</v>
      </c>
      <c r="Z621" s="149" t="n">
        <v>0</v>
      </c>
      <c r="AA621" s="149" t="n">
        <v>1</v>
      </c>
      <c r="AB621" s="149" t="n">
        <v>0</v>
      </c>
      <c r="AC621" s="149" t="n">
        <v>0</v>
      </c>
      <c r="AD621" s="149" t="n">
        <v>0</v>
      </c>
      <c r="AE621" s="149" t="n">
        <v>0</v>
      </c>
      <c r="AF621" s="149" t="n">
        <v>0</v>
      </c>
      <c r="AG621" s="149" t="n">
        <v>0</v>
      </c>
      <c r="AH621" s="149" t="n">
        <v>0</v>
      </c>
      <c r="AI621" s="149" t="n">
        <v>0</v>
      </c>
      <c r="AJ621" s="149" t="n">
        <v>0</v>
      </c>
      <c r="AK621" s="149" t="n">
        <v>0</v>
      </c>
      <c r="AL621" s="149" t="n">
        <v>0</v>
      </c>
      <c r="AM621" s="149" t="n">
        <v>0</v>
      </c>
      <c r="AN621" s="148"/>
      <c r="AO621" s="148"/>
      <c r="AP621" s="146" t="s">
        <v>138</v>
      </c>
      <c r="AQ621" s="146" t="s">
        <v>139</v>
      </c>
      <c r="AR621" s="146" t="s">
        <v>840</v>
      </c>
      <c r="AS621" s="148"/>
      <c r="AT621" s="150"/>
    </row>
    <row r="622" customFormat="false" ht="12.75" hidden="false" customHeight="true" outlineLevel="0" collapsed="false">
      <c r="B622" s="142"/>
      <c r="C622" s="143" t="s">
        <v>168</v>
      </c>
      <c r="D622" s="144" t="n">
        <v>61073</v>
      </c>
      <c r="E622" s="144" t="str">
        <f aca="false">IF(D622="","",IFERROR(VLOOKUP(D622,CCN_Library!$A$4:$B$13,2,FALSE()),"NOT IN LIBRARY"))</f>
        <v>COMPANY/BATTERY HEADQUARTERS, MARINE CORPS</v>
      </c>
      <c r="F622" s="145" t="str">
        <f aca="false">LEFT(H622,6)</f>
        <v>M28262</v>
      </c>
      <c r="G622" s="146" t="s">
        <v>128</v>
      </c>
      <c r="H622" s="146" t="s">
        <v>959</v>
      </c>
      <c r="I622" s="146" t="s">
        <v>159</v>
      </c>
      <c r="J622" s="146" t="s">
        <v>191</v>
      </c>
      <c r="K622" s="147" t="s">
        <v>161</v>
      </c>
      <c r="L622" s="146" t="s">
        <v>161</v>
      </c>
      <c r="M622" s="146" t="s">
        <v>133</v>
      </c>
      <c r="N622" s="146" t="s">
        <v>128</v>
      </c>
      <c r="O622" s="146" t="s">
        <v>135</v>
      </c>
      <c r="P622" s="146" t="s">
        <v>135</v>
      </c>
      <c r="Q622" s="148"/>
      <c r="R622" s="146" t="s">
        <v>136</v>
      </c>
      <c r="S622" s="146" t="s">
        <v>58</v>
      </c>
      <c r="T622" s="148"/>
      <c r="U622" s="149" t="n">
        <v>0</v>
      </c>
      <c r="V622" s="149" t="n">
        <v>0</v>
      </c>
      <c r="W622" s="149" t="n">
        <v>0</v>
      </c>
      <c r="X622" s="149" t="n">
        <v>0</v>
      </c>
      <c r="Y622" s="149" t="n">
        <v>0</v>
      </c>
      <c r="Z622" s="149" t="n">
        <v>0</v>
      </c>
      <c r="AA622" s="149" t="n">
        <v>1</v>
      </c>
      <c r="AB622" s="149" t="n">
        <v>0</v>
      </c>
      <c r="AC622" s="149" t="n">
        <v>0</v>
      </c>
      <c r="AD622" s="149" t="n">
        <v>0</v>
      </c>
      <c r="AE622" s="149" t="n">
        <v>0</v>
      </c>
      <c r="AF622" s="149" t="n">
        <v>0</v>
      </c>
      <c r="AG622" s="149" t="n">
        <v>0</v>
      </c>
      <c r="AH622" s="149" t="n">
        <v>0</v>
      </c>
      <c r="AI622" s="149" t="n">
        <v>0</v>
      </c>
      <c r="AJ622" s="149" t="n">
        <v>0</v>
      </c>
      <c r="AK622" s="149" t="n">
        <v>0</v>
      </c>
      <c r="AL622" s="149" t="n">
        <v>0</v>
      </c>
      <c r="AM622" s="149" t="n">
        <v>0</v>
      </c>
      <c r="AN622" s="148"/>
      <c r="AO622" s="148"/>
      <c r="AP622" s="146" t="s">
        <v>138</v>
      </c>
      <c r="AQ622" s="146" t="s">
        <v>139</v>
      </c>
      <c r="AR622" s="146" t="s">
        <v>840</v>
      </c>
      <c r="AS622" s="148"/>
      <c r="AT622" s="150"/>
    </row>
    <row r="623" customFormat="false" ht="12.75" hidden="false" customHeight="true" outlineLevel="0" collapsed="false">
      <c r="B623" s="151"/>
      <c r="C623" s="143" t="s">
        <v>168</v>
      </c>
      <c r="D623" s="152" t="n">
        <v>61073</v>
      </c>
      <c r="E623" s="144" t="str">
        <f aca="false">IF(D623="","",IFERROR(VLOOKUP(D623,CCN_Library!$A$4:$B$13,2,FALSE()),"NOT IN LIBRARY"))</f>
        <v>COMPANY/BATTERY HEADQUARTERS, MARINE CORPS</v>
      </c>
      <c r="F623" s="145" t="str">
        <f aca="false">LEFT(H623,6)</f>
        <v>M28262</v>
      </c>
      <c r="G623" s="146" t="s">
        <v>128</v>
      </c>
      <c r="H623" s="146" t="s">
        <v>960</v>
      </c>
      <c r="I623" s="146" t="s">
        <v>159</v>
      </c>
      <c r="J623" s="146" t="s">
        <v>191</v>
      </c>
      <c r="K623" s="147" t="s">
        <v>161</v>
      </c>
      <c r="L623" s="146" t="s">
        <v>161</v>
      </c>
      <c r="M623" s="146" t="s">
        <v>133</v>
      </c>
      <c r="N623" s="146" t="s">
        <v>128</v>
      </c>
      <c r="O623" s="146" t="s">
        <v>135</v>
      </c>
      <c r="P623" s="146" t="s">
        <v>135</v>
      </c>
      <c r="Q623" s="148"/>
      <c r="R623" s="146" t="s">
        <v>136</v>
      </c>
      <c r="S623" s="146" t="s">
        <v>58</v>
      </c>
      <c r="T623" s="148"/>
      <c r="U623" s="149" t="n">
        <v>0</v>
      </c>
      <c r="V623" s="149" t="n">
        <v>0</v>
      </c>
      <c r="W623" s="149" t="n">
        <v>0</v>
      </c>
      <c r="X623" s="149" t="n">
        <v>0</v>
      </c>
      <c r="Y623" s="149" t="n">
        <v>0</v>
      </c>
      <c r="Z623" s="149" t="n">
        <v>0</v>
      </c>
      <c r="AA623" s="149" t="n">
        <v>1</v>
      </c>
      <c r="AB623" s="149" t="n">
        <v>0</v>
      </c>
      <c r="AC623" s="149" t="n">
        <v>0</v>
      </c>
      <c r="AD623" s="149" t="n">
        <v>0</v>
      </c>
      <c r="AE623" s="149" t="n">
        <v>0</v>
      </c>
      <c r="AF623" s="149" t="n">
        <v>0</v>
      </c>
      <c r="AG623" s="149" t="n">
        <v>0</v>
      </c>
      <c r="AH623" s="149" t="n">
        <v>0</v>
      </c>
      <c r="AI623" s="149" t="n">
        <v>0</v>
      </c>
      <c r="AJ623" s="149" t="n">
        <v>0</v>
      </c>
      <c r="AK623" s="149" t="n">
        <v>0</v>
      </c>
      <c r="AL623" s="149" t="n">
        <v>0</v>
      </c>
      <c r="AM623" s="149" t="n">
        <v>0</v>
      </c>
      <c r="AN623" s="148"/>
      <c r="AO623" s="148"/>
      <c r="AP623" s="146" t="s">
        <v>138</v>
      </c>
      <c r="AQ623" s="146" t="s">
        <v>139</v>
      </c>
      <c r="AR623" s="146" t="s">
        <v>840</v>
      </c>
      <c r="AS623" s="148"/>
      <c r="AT623" s="153"/>
    </row>
    <row r="624" customFormat="false" ht="12.75" hidden="false" customHeight="true" outlineLevel="0" collapsed="false">
      <c r="B624" s="142"/>
      <c r="C624" s="143" t="s">
        <v>168</v>
      </c>
      <c r="D624" s="144" t="n">
        <v>61073</v>
      </c>
      <c r="E624" s="144" t="str">
        <f aca="false">IF(D624="","",IFERROR(VLOOKUP(D624,CCN_Library!$A$4:$B$13,2,FALSE()),"NOT IN LIBRARY"))</f>
        <v>COMPANY/BATTERY HEADQUARTERS, MARINE CORPS</v>
      </c>
      <c r="F624" s="145" t="str">
        <f aca="false">LEFT(H624,6)</f>
        <v>M28262</v>
      </c>
      <c r="G624" s="146" t="s">
        <v>128</v>
      </c>
      <c r="H624" s="146" t="s">
        <v>961</v>
      </c>
      <c r="I624" s="146" t="s">
        <v>159</v>
      </c>
      <c r="J624" s="146" t="s">
        <v>191</v>
      </c>
      <c r="K624" s="147" t="s">
        <v>161</v>
      </c>
      <c r="L624" s="146" t="s">
        <v>161</v>
      </c>
      <c r="M624" s="146" t="s">
        <v>133</v>
      </c>
      <c r="N624" s="146" t="s">
        <v>128</v>
      </c>
      <c r="O624" s="146" t="s">
        <v>135</v>
      </c>
      <c r="P624" s="146" t="s">
        <v>135</v>
      </c>
      <c r="Q624" s="148"/>
      <c r="R624" s="146" t="s">
        <v>136</v>
      </c>
      <c r="S624" s="146" t="s">
        <v>58</v>
      </c>
      <c r="T624" s="148"/>
      <c r="U624" s="149" t="n">
        <v>0</v>
      </c>
      <c r="V624" s="149" t="n">
        <v>0</v>
      </c>
      <c r="W624" s="149" t="n">
        <v>0</v>
      </c>
      <c r="X624" s="149" t="n">
        <v>0</v>
      </c>
      <c r="Y624" s="149" t="n">
        <v>0</v>
      </c>
      <c r="Z624" s="149" t="n">
        <v>0</v>
      </c>
      <c r="AA624" s="149" t="n">
        <v>1</v>
      </c>
      <c r="AB624" s="149" t="n">
        <v>0</v>
      </c>
      <c r="AC624" s="149" t="n">
        <v>0</v>
      </c>
      <c r="AD624" s="149" t="n">
        <v>0</v>
      </c>
      <c r="AE624" s="149" t="n">
        <v>0</v>
      </c>
      <c r="AF624" s="149" t="n">
        <v>0</v>
      </c>
      <c r="AG624" s="149" t="n">
        <v>0</v>
      </c>
      <c r="AH624" s="149" t="n">
        <v>0</v>
      </c>
      <c r="AI624" s="149" t="n">
        <v>0</v>
      </c>
      <c r="AJ624" s="149" t="n">
        <v>0</v>
      </c>
      <c r="AK624" s="149" t="n">
        <v>0</v>
      </c>
      <c r="AL624" s="149" t="n">
        <v>0</v>
      </c>
      <c r="AM624" s="149" t="n">
        <v>0</v>
      </c>
      <c r="AN624" s="148"/>
      <c r="AO624" s="148"/>
      <c r="AP624" s="146" t="s">
        <v>138</v>
      </c>
      <c r="AQ624" s="146" t="s">
        <v>139</v>
      </c>
      <c r="AR624" s="146" t="s">
        <v>840</v>
      </c>
      <c r="AS624" s="148"/>
      <c r="AT624" s="150"/>
    </row>
    <row r="625" customFormat="false" ht="12.75" hidden="false" customHeight="true" outlineLevel="0" collapsed="false">
      <c r="B625" s="142"/>
      <c r="C625" s="143" t="s">
        <v>168</v>
      </c>
      <c r="D625" s="144" t="n">
        <v>61073</v>
      </c>
      <c r="E625" s="144" t="str">
        <f aca="false">IF(D625="","",IFERROR(VLOOKUP(D625,CCN_Library!$A$4:$B$13,2,FALSE()),"NOT IN LIBRARY"))</f>
        <v>COMPANY/BATTERY HEADQUARTERS, MARINE CORPS</v>
      </c>
      <c r="F625" s="145" t="str">
        <f aca="false">LEFT(H625,6)</f>
        <v>M28262</v>
      </c>
      <c r="G625" s="146" t="s">
        <v>128</v>
      </c>
      <c r="H625" s="146" t="s">
        <v>962</v>
      </c>
      <c r="I625" s="146" t="s">
        <v>159</v>
      </c>
      <c r="J625" s="146" t="s">
        <v>176</v>
      </c>
      <c r="K625" s="147" t="s">
        <v>161</v>
      </c>
      <c r="L625" s="146" t="s">
        <v>161</v>
      </c>
      <c r="M625" s="146" t="s">
        <v>133</v>
      </c>
      <c r="N625" s="146" t="s">
        <v>128</v>
      </c>
      <c r="O625" s="146" t="s">
        <v>135</v>
      </c>
      <c r="P625" s="146" t="s">
        <v>135</v>
      </c>
      <c r="Q625" s="148"/>
      <c r="R625" s="146" t="s">
        <v>136</v>
      </c>
      <c r="S625" s="146" t="s">
        <v>58</v>
      </c>
      <c r="T625" s="148"/>
      <c r="U625" s="149" t="n">
        <v>0</v>
      </c>
      <c r="V625" s="149" t="n">
        <v>0</v>
      </c>
      <c r="W625" s="149" t="n">
        <v>0</v>
      </c>
      <c r="X625" s="149" t="n">
        <v>0</v>
      </c>
      <c r="Y625" s="149" t="n">
        <v>0</v>
      </c>
      <c r="Z625" s="149" t="n">
        <v>0</v>
      </c>
      <c r="AA625" s="149" t="n">
        <v>1</v>
      </c>
      <c r="AB625" s="149" t="n">
        <v>0</v>
      </c>
      <c r="AC625" s="149" t="n">
        <v>0</v>
      </c>
      <c r="AD625" s="149" t="n">
        <v>0</v>
      </c>
      <c r="AE625" s="149" t="n">
        <v>0</v>
      </c>
      <c r="AF625" s="149" t="n">
        <v>0</v>
      </c>
      <c r="AG625" s="149" t="n">
        <v>0</v>
      </c>
      <c r="AH625" s="149" t="n">
        <v>0</v>
      </c>
      <c r="AI625" s="149" t="n">
        <v>0</v>
      </c>
      <c r="AJ625" s="149" t="n">
        <v>0</v>
      </c>
      <c r="AK625" s="149" t="n">
        <v>0</v>
      </c>
      <c r="AL625" s="149" t="n">
        <v>0</v>
      </c>
      <c r="AM625" s="149" t="n">
        <v>0</v>
      </c>
      <c r="AN625" s="148"/>
      <c r="AO625" s="148"/>
      <c r="AP625" s="146" t="s">
        <v>138</v>
      </c>
      <c r="AQ625" s="146" t="s">
        <v>139</v>
      </c>
      <c r="AR625" s="146" t="s">
        <v>840</v>
      </c>
      <c r="AS625" s="148"/>
      <c r="AT625" s="150"/>
    </row>
    <row r="626" customFormat="false" ht="12.75" hidden="false" customHeight="true" outlineLevel="0" collapsed="false">
      <c r="B626" s="142"/>
      <c r="C626" s="143" t="s">
        <v>168</v>
      </c>
      <c r="D626" s="144" t="n">
        <v>61073</v>
      </c>
      <c r="E626" s="144" t="str">
        <f aca="false">IF(D626="","",IFERROR(VLOOKUP(D626,CCN_Library!$A$4:$B$13,2,FALSE()),"NOT IN LIBRARY"))</f>
        <v>COMPANY/BATTERY HEADQUARTERS, MARINE CORPS</v>
      </c>
      <c r="F626" s="145" t="str">
        <f aca="false">LEFT(H626,6)</f>
        <v>M28262</v>
      </c>
      <c r="G626" s="146" t="s">
        <v>128</v>
      </c>
      <c r="H626" s="146" t="s">
        <v>963</v>
      </c>
      <c r="I626" s="146" t="s">
        <v>159</v>
      </c>
      <c r="J626" s="146" t="s">
        <v>176</v>
      </c>
      <c r="K626" s="147" t="s">
        <v>161</v>
      </c>
      <c r="L626" s="146" t="s">
        <v>161</v>
      </c>
      <c r="M626" s="146" t="s">
        <v>133</v>
      </c>
      <c r="N626" s="146" t="s">
        <v>128</v>
      </c>
      <c r="O626" s="146" t="s">
        <v>135</v>
      </c>
      <c r="P626" s="146" t="s">
        <v>135</v>
      </c>
      <c r="Q626" s="148"/>
      <c r="R626" s="146" t="s">
        <v>136</v>
      </c>
      <c r="S626" s="146" t="s">
        <v>58</v>
      </c>
      <c r="T626" s="148"/>
      <c r="U626" s="149" t="n">
        <v>0</v>
      </c>
      <c r="V626" s="149" t="n">
        <v>0</v>
      </c>
      <c r="W626" s="149" t="n">
        <v>0</v>
      </c>
      <c r="X626" s="149" t="n">
        <v>0</v>
      </c>
      <c r="Y626" s="149" t="n">
        <v>0</v>
      </c>
      <c r="Z626" s="149" t="n">
        <v>0</v>
      </c>
      <c r="AA626" s="149" t="n">
        <v>1</v>
      </c>
      <c r="AB626" s="149" t="n">
        <v>0</v>
      </c>
      <c r="AC626" s="149" t="n">
        <v>0</v>
      </c>
      <c r="AD626" s="149" t="n">
        <v>0</v>
      </c>
      <c r="AE626" s="149" t="n">
        <v>0</v>
      </c>
      <c r="AF626" s="149" t="n">
        <v>0</v>
      </c>
      <c r="AG626" s="149" t="n">
        <v>0</v>
      </c>
      <c r="AH626" s="149" t="n">
        <v>0</v>
      </c>
      <c r="AI626" s="149" t="n">
        <v>0</v>
      </c>
      <c r="AJ626" s="149" t="n">
        <v>0</v>
      </c>
      <c r="AK626" s="149" t="n">
        <v>0</v>
      </c>
      <c r="AL626" s="149" t="n">
        <v>0</v>
      </c>
      <c r="AM626" s="149" t="n">
        <v>0</v>
      </c>
      <c r="AN626" s="148"/>
      <c r="AO626" s="148"/>
      <c r="AP626" s="146" t="s">
        <v>138</v>
      </c>
      <c r="AQ626" s="146" t="s">
        <v>139</v>
      </c>
      <c r="AR626" s="146" t="s">
        <v>840</v>
      </c>
      <c r="AS626" s="148"/>
      <c r="AT626" s="150"/>
    </row>
    <row r="627" customFormat="false" ht="12.75" hidden="false" customHeight="true" outlineLevel="0" collapsed="false">
      <c r="B627" s="142"/>
      <c r="C627" s="143" t="s">
        <v>168</v>
      </c>
      <c r="D627" s="144" t="n">
        <v>61073</v>
      </c>
      <c r="E627" s="144" t="str">
        <f aca="false">IF(D627="","",IFERROR(VLOOKUP(D627,CCN_Library!$A$4:$B$13,2,FALSE()),"NOT IN LIBRARY"))</f>
        <v>COMPANY/BATTERY HEADQUARTERS, MARINE CORPS</v>
      </c>
      <c r="F627" s="145" t="str">
        <f aca="false">LEFT(H627,6)</f>
        <v>M28262</v>
      </c>
      <c r="G627" s="146" t="s">
        <v>128</v>
      </c>
      <c r="H627" s="146" t="s">
        <v>964</v>
      </c>
      <c r="I627" s="146" t="s">
        <v>159</v>
      </c>
      <c r="J627" s="146" t="s">
        <v>176</v>
      </c>
      <c r="K627" s="147" t="s">
        <v>161</v>
      </c>
      <c r="L627" s="146" t="s">
        <v>161</v>
      </c>
      <c r="M627" s="146" t="s">
        <v>133</v>
      </c>
      <c r="N627" s="146" t="s">
        <v>128</v>
      </c>
      <c r="O627" s="146" t="s">
        <v>135</v>
      </c>
      <c r="P627" s="146" t="s">
        <v>135</v>
      </c>
      <c r="Q627" s="148"/>
      <c r="R627" s="146" t="s">
        <v>136</v>
      </c>
      <c r="S627" s="146" t="s">
        <v>58</v>
      </c>
      <c r="T627" s="148"/>
      <c r="U627" s="149" t="n">
        <v>0</v>
      </c>
      <c r="V627" s="149" t="n">
        <v>0</v>
      </c>
      <c r="W627" s="149" t="n">
        <v>0</v>
      </c>
      <c r="X627" s="149" t="n">
        <v>0</v>
      </c>
      <c r="Y627" s="149" t="n">
        <v>0</v>
      </c>
      <c r="Z627" s="149" t="n">
        <v>0</v>
      </c>
      <c r="AA627" s="149" t="n">
        <v>1</v>
      </c>
      <c r="AB627" s="149" t="n">
        <v>0</v>
      </c>
      <c r="AC627" s="149" t="n">
        <v>0</v>
      </c>
      <c r="AD627" s="149" t="n">
        <v>0</v>
      </c>
      <c r="AE627" s="149" t="n">
        <v>0</v>
      </c>
      <c r="AF627" s="149" t="n">
        <v>0</v>
      </c>
      <c r="AG627" s="149" t="n">
        <v>0</v>
      </c>
      <c r="AH627" s="149" t="n">
        <v>0</v>
      </c>
      <c r="AI627" s="149" t="n">
        <v>0</v>
      </c>
      <c r="AJ627" s="149" t="n">
        <v>0</v>
      </c>
      <c r="AK627" s="149" t="n">
        <v>0</v>
      </c>
      <c r="AL627" s="149" t="n">
        <v>0</v>
      </c>
      <c r="AM627" s="149" t="n">
        <v>0</v>
      </c>
      <c r="AN627" s="148"/>
      <c r="AO627" s="148"/>
      <c r="AP627" s="146" t="s">
        <v>138</v>
      </c>
      <c r="AQ627" s="146" t="s">
        <v>139</v>
      </c>
      <c r="AR627" s="146" t="s">
        <v>840</v>
      </c>
      <c r="AS627" s="148"/>
      <c r="AT627" s="150"/>
    </row>
    <row r="628" customFormat="false" ht="12.75" hidden="false" customHeight="true" outlineLevel="0" collapsed="false">
      <c r="B628" s="151"/>
      <c r="C628" s="143" t="s">
        <v>162</v>
      </c>
      <c r="D628" s="152" t="n">
        <v>61073</v>
      </c>
      <c r="E628" s="152"/>
      <c r="F628" s="154" t="str">
        <f aca="false">LEFT(H628,6)</f>
        <v>M28262</v>
      </c>
      <c r="G628" s="155" t="s">
        <v>177</v>
      </c>
      <c r="H628" s="155" t="s">
        <v>965</v>
      </c>
      <c r="I628" s="155" t="s">
        <v>566</v>
      </c>
      <c r="J628" s="156"/>
      <c r="K628" s="156"/>
      <c r="L628" s="156"/>
      <c r="M628" s="156"/>
      <c r="N628" s="156"/>
      <c r="O628" s="156"/>
      <c r="P628" s="156"/>
      <c r="Q628" s="156"/>
      <c r="R628" s="156"/>
      <c r="S628" s="156"/>
      <c r="T628" s="156"/>
      <c r="U628" s="157" t="n">
        <v>0</v>
      </c>
      <c r="V628" s="157" t="n">
        <v>0</v>
      </c>
      <c r="W628" s="157" t="n">
        <v>0</v>
      </c>
      <c r="X628" s="157" t="n">
        <v>0</v>
      </c>
      <c r="Y628" s="157" t="n">
        <v>0</v>
      </c>
      <c r="Z628" s="157" t="n">
        <v>0</v>
      </c>
      <c r="AA628" s="157" t="n">
        <v>0</v>
      </c>
      <c r="AB628" s="157" t="n">
        <v>0</v>
      </c>
      <c r="AC628" s="157" t="n">
        <v>0</v>
      </c>
      <c r="AD628" s="157" t="n">
        <v>0</v>
      </c>
      <c r="AE628" s="157" t="n">
        <v>0</v>
      </c>
      <c r="AF628" s="157" t="n">
        <v>0</v>
      </c>
      <c r="AG628" s="157" t="n">
        <v>0</v>
      </c>
      <c r="AH628" s="157" t="n">
        <v>0</v>
      </c>
      <c r="AI628" s="157" t="n">
        <v>0</v>
      </c>
      <c r="AJ628" s="157" t="n">
        <v>0</v>
      </c>
      <c r="AK628" s="157" t="n">
        <v>0</v>
      </c>
      <c r="AL628" s="157" t="n">
        <v>0</v>
      </c>
      <c r="AM628" s="157" t="n">
        <v>0</v>
      </c>
      <c r="AN628" s="156"/>
      <c r="AO628" s="156"/>
      <c r="AP628" s="156"/>
      <c r="AQ628" s="156"/>
      <c r="AR628" s="156"/>
      <c r="AS628" s="156"/>
      <c r="AT628" s="153"/>
    </row>
    <row r="629" customFormat="false" ht="12.75" hidden="false" customHeight="true" outlineLevel="0" collapsed="false">
      <c r="B629" s="142"/>
      <c r="C629" s="143" t="s">
        <v>162</v>
      </c>
      <c r="D629" s="144" t="n">
        <v>61073</v>
      </c>
      <c r="E629" s="144" t="str">
        <f aca="false">IF(D629="","",IFERROR(VLOOKUP(D629,CCN_Library!$A$4:$B$13,2,FALSE()),"NOT IN LIBRARY"))</f>
        <v>COMPANY/BATTERY HEADQUARTERS, MARINE CORPS</v>
      </c>
      <c r="F629" s="145" t="str">
        <f aca="false">LEFT(H629,6)</f>
        <v>M28262</v>
      </c>
      <c r="G629" s="146" t="s">
        <v>128</v>
      </c>
      <c r="H629" s="146" t="s">
        <v>966</v>
      </c>
      <c r="I629" s="146" t="s">
        <v>500</v>
      </c>
      <c r="J629" s="146" t="s">
        <v>182</v>
      </c>
      <c r="K629" s="147" t="s">
        <v>223</v>
      </c>
      <c r="L629" s="146" t="s">
        <v>223</v>
      </c>
      <c r="M629" s="146" t="s">
        <v>133</v>
      </c>
      <c r="N629" s="146" t="s">
        <v>134</v>
      </c>
      <c r="O629" s="146" t="s">
        <v>135</v>
      </c>
      <c r="P629" s="146" t="s">
        <v>135</v>
      </c>
      <c r="Q629" s="148"/>
      <c r="R629" s="146" t="s">
        <v>136</v>
      </c>
      <c r="S629" s="146" t="s">
        <v>137</v>
      </c>
      <c r="T629" s="148"/>
      <c r="U629" s="149" t="n">
        <v>0</v>
      </c>
      <c r="V629" s="149" t="n">
        <v>0</v>
      </c>
      <c r="W629" s="149" t="n">
        <v>0</v>
      </c>
      <c r="X629" s="149" t="n">
        <v>0</v>
      </c>
      <c r="Y629" s="149" t="n">
        <v>0</v>
      </c>
      <c r="Z629" s="149" t="n">
        <v>1</v>
      </c>
      <c r="AA629" s="149" t="n">
        <v>0</v>
      </c>
      <c r="AB629" s="149" t="n">
        <v>0</v>
      </c>
      <c r="AC629" s="149" t="n">
        <v>0</v>
      </c>
      <c r="AD629" s="149" t="n">
        <v>0</v>
      </c>
      <c r="AE629" s="149" t="n">
        <v>0</v>
      </c>
      <c r="AF629" s="149" t="n">
        <v>0</v>
      </c>
      <c r="AG629" s="149" t="n">
        <v>0</v>
      </c>
      <c r="AH629" s="149" t="n">
        <v>0</v>
      </c>
      <c r="AI629" s="149" t="n">
        <v>0</v>
      </c>
      <c r="AJ629" s="149" t="n">
        <v>0</v>
      </c>
      <c r="AK629" s="149" t="n">
        <v>0</v>
      </c>
      <c r="AL629" s="149" t="n">
        <v>0</v>
      </c>
      <c r="AM629" s="149" t="n">
        <v>0</v>
      </c>
      <c r="AN629" s="148"/>
      <c r="AO629" s="148"/>
      <c r="AP629" s="146" t="s">
        <v>138</v>
      </c>
      <c r="AQ629" s="146" t="s">
        <v>139</v>
      </c>
      <c r="AR629" s="146" t="s">
        <v>840</v>
      </c>
      <c r="AS629" s="148"/>
      <c r="AT629" s="150"/>
    </row>
    <row r="630" customFormat="false" ht="12.75" hidden="false" customHeight="true" outlineLevel="0" collapsed="false">
      <c r="B630" s="142"/>
      <c r="C630" s="143" t="s">
        <v>162</v>
      </c>
      <c r="D630" s="144" t="n">
        <v>61073</v>
      </c>
      <c r="E630" s="144" t="str">
        <f aca="false">IF(D630="","",IFERROR(VLOOKUP(D630,CCN_Library!$A$4:$B$13,2,FALSE()),"NOT IN LIBRARY"))</f>
        <v>COMPANY/BATTERY HEADQUARTERS, MARINE CORPS</v>
      </c>
      <c r="F630" s="145" t="str">
        <f aca="false">LEFT(H630,6)</f>
        <v>M28262</v>
      </c>
      <c r="G630" s="146" t="s">
        <v>128</v>
      </c>
      <c r="H630" s="146" t="s">
        <v>967</v>
      </c>
      <c r="I630" s="146" t="s">
        <v>159</v>
      </c>
      <c r="J630" s="146" t="s">
        <v>189</v>
      </c>
      <c r="K630" s="147" t="s">
        <v>161</v>
      </c>
      <c r="L630" s="146" t="s">
        <v>161</v>
      </c>
      <c r="M630" s="146" t="s">
        <v>133</v>
      </c>
      <c r="N630" s="146" t="s">
        <v>128</v>
      </c>
      <c r="O630" s="146" t="s">
        <v>135</v>
      </c>
      <c r="P630" s="146" t="s">
        <v>135</v>
      </c>
      <c r="Q630" s="148"/>
      <c r="R630" s="146" t="s">
        <v>136</v>
      </c>
      <c r="S630" s="146" t="s">
        <v>137</v>
      </c>
      <c r="T630" s="148"/>
      <c r="U630" s="149" t="n">
        <v>0</v>
      </c>
      <c r="V630" s="149" t="n">
        <v>0</v>
      </c>
      <c r="W630" s="149" t="n">
        <v>0</v>
      </c>
      <c r="X630" s="149" t="n">
        <v>0</v>
      </c>
      <c r="Y630" s="149" t="n">
        <v>0</v>
      </c>
      <c r="Z630" s="149" t="n">
        <v>0</v>
      </c>
      <c r="AA630" s="149" t="n">
        <v>1</v>
      </c>
      <c r="AB630" s="149" t="n">
        <v>0</v>
      </c>
      <c r="AC630" s="149" t="n">
        <v>0</v>
      </c>
      <c r="AD630" s="149" t="n">
        <v>0</v>
      </c>
      <c r="AE630" s="149" t="n">
        <v>0</v>
      </c>
      <c r="AF630" s="149" t="n">
        <v>0</v>
      </c>
      <c r="AG630" s="149" t="n">
        <v>0</v>
      </c>
      <c r="AH630" s="149" t="n">
        <v>0</v>
      </c>
      <c r="AI630" s="149" t="n">
        <v>0</v>
      </c>
      <c r="AJ630" s="149" t="n">
        <v>0</v>
      </c>
      <c r="AK630" s="149" t="n">
        <v>0</v>
      </c>
      <c r="AL630" s="149" t="n">
        <v>0</v>
      </c>
      <c r="AM630" s="149" t="n">
        <v>0</v>
      </c>
      <c r="AN630" s="148"/>
      <c r="AO630" s="148"/>
      <c r="AP630" s="146" t="s">
        <v>138</v>
      </c>
      <c r="AQ630" s="146" t="s">
        <v>139</v>
      </c>
      <c r="AR630" s="146" t="s">
        <v>840</v>
      </c>
      <c r="AS630" s="148"/>
      <c r="AT630" s="150"/>
    </row>
    <row r="631" customFormat="false" ht="12.75" hidden="false" customHeight="true" outlineLevel="0" collapsed="false">
      <c r="B631" s="142"/>
      <c r="C631" s="143" t="s">
        <v>168</v>
      </c>
      <c r="D631" s="144" t="n">
        <v>61073</v>
      </c>
      <c r="E631" s="144" t="str">
        <f aca="false">IF(D631="","",IFERROR(VLOOKUP(D631,CCN_Library!$A$4:$B$13,2,FALSE()),"NOT IN LIBRARY"))</f>
        <v>COMPANY/BATTERY HEADQUARTERS, MARINE CORPS</v>
      </c>
      <c r="F631" s="145" t="str">
        <f aca="false">LEFT(H631,6)</f>
        <v>M28262</v>
      </c>
      <c r="G631" s="146" t="s">
        <v>128</v>
      </c>
      <c r="H631" s="146" t="s">
        <v>968</v>
      </c>
      <c r="I631" s="146" t="s">
        <v>159</v>
      </c>
      <c r="J631" s="146" t="s">
        <v>191</v>
      </c>
      <c r="K631" s="147" t="s">
        <v>161</v>
      </c>
      <c r="L631" s="146" t="s">
        <v>161</v>
      </c>
      <c r="M631" s="146" t="s">
        <v>133</v>
      </c>
      <c r="N631" s="146" t="s">
        <v>128</v>
      </c>
      <c r="O631" s="146" t="s">
        <v>135</v>
      </c>
      <c r="P631" s="146" t="s">
        <v>135</v>
      </c>
      <c r="Q631" s="148"/>
      <c r="R631" s="146" t="s">
        <v>136</v>
      </c>
      <c r="S631" s="146" t="s">
        <v>58</v>
      </c>
      <c r="T631" s="148"/>
      <c r="U631" s="149" t="n">
        <v>0</v>
      </c>
      <c r="V631" s="149" t="n">
        <v>0</v>
      </c>
      <c r="W631" s="149" t="n">
        <v>0</v>
      </c>
      <c r="X631" s="149" t="n">
        <v>0</v>
      </c>
      <c r="Y631" s="149" t="n">
        <v>0</v>
      </c>
      <c r="Z631" s="149" t="n">
        <v>0</v>
      </c>
      <c r="AA631" s="149" t="n">
        <v>1</v>
      </c>
      <c r="AB631" s="149" t="n">
        <v>0</v>
      </c>
      <c r="AC631" s="149" t="n">
        <v>0</v>
      </c>
      <c r="AD631" s="149" t="n">
        <v>0</v>
      </c>
      <c r="AE631" s="149" t="n">
        <v>0</v>
      </c>
      <c r="AF631" s="149" t="n">
        <v>0</v>
      </c>
      <c r="AG631" s="149" t="n">
        <v>0</v>
      </c>
      <c r="AH631" s="149" t="n">
        <v>0</v>
      </c>
      <c r="AI631" s="149" t="n">
        <v>0</v>
      </c>
      <c r="AJ631" s="149" t="n">
        <v>0</v>
      </c>
      <c r="AK631" s="149" t="n">
        <v>0</v>
      </c>
      <c r="AL631" s="149" t="n">
        <v>0</v>
      </c>
      <c r="AM631" s="149" t="n">
        <v>0</v>
      </c>
      <c r="AN631" s="148"/>
      <c r="AO631" s="148"/>
      <c r="AP631" s="146" t="s">
        <v>138</v>
      </c>
      <c r="AQ631" s="146" t="s">
        <v>139</v>
      </c>
      <c r="AR631" s="146" t="s">
        <v>840</v>
      </c>
      <c r="AS631" s="148"/>
      <c r="AT631" s="150"/>
    </row>
    <row r="632" customFormat="false" ht="12.75" hidden="false" customHeight="true" outlineLevel="0" collapsed="false">
      <c r="B632" s="142"/>
      <c r="C632" s="143" t="s">
        <v>168</v>
      </c>
      <c r="D632" s="144" t="n">
        <v>61073</v>
      </c>
      <c r="E632" s="144" t="str">
        <f aca="false">IF(D632="","",IFERROR(VLOOKUP(D632,CCN_Library!$A$4:$B$13,2,FALSE()),"NOT IN LIBRARY"))</f>
        <v>COMPANY/BATTERY HEADQUARTERS, MARINE CORPS</v>
      </c>
      <c r="F632" s="145" t="str">
        <f aca="false">LEFT(H632,6)</f>
        <v>M28262</v>
      </c>
      <c r="G632" s="146" t="s">
        <v>128</v>
      </c>
      <c r="H632" s="146" t="s">
        <v>969</v>
      </c>
      <c r="I632" s="146" t="s">
        <v>159</v>
      </c>
      <c r="J632" s="146" t="s">
        <v>191</v>
      </c>
      <c r="K632" s="147" t="s">
        <v>161</v>
      </c>
      <c r="L632" s="146" t="s">
        <v>161</v>
      </c>
      <c r="M632" s="146" t="s">
        <v>133</v>
      </c>
      <c r="N632" s="146" t="s">
        <v>128</v>
      </c>
      <c r="O632" s="146" t="s">
        <v>135</v>
      </c>
      <c r="P632" s="146" t="s">
        <v>135</v>
      </c>
      <c r="Q632" s="148"/>
      <c r="R632" s="146" t="s">
        <v>136</v>
      </c>
      <c r="S632" s="146" t="s">
        <v>58</v>
      </c>
      <c r="T632" s="148"/>
      <c r="U632" s="149" t="n">
        <v>0</v>
      </c>
      <c r="V632" s="149" t="n">
        <v>0</v>
      </c>
      <c r="W632" s="149" t="n">
        <v>0</v>
      </c>
      <c r="X632" s="149" t="n">
        <v>0</v>
      </c>
      <c r="Y632" s="149" t="n">
        <v>0</v>
      </c>
      <c r="Z632" s="149" t="n">
        <v>0</v>
      </c>
      <c r="AA632" s="149" t="n">
        <v>1</v>
      </c>
      <c r="AB632" s="149" t="n">
        <v>0</v>
      </c>
      <c r="AC632" s="149" t="n">
        <v>0</v>
      </c>
      <c r="AD632" s="149" t="n">
        <v>0</v>
      </c>
      <c r="AE632" s="149" t="n">
        <v>0</v>
      </c>
      <c r="AF632" s="149" t="n">
        <v>0</v>
      </c>
      <c r="AG632" s="149" t="n">
        <v>0</v>
      </c>
      <c r="AH632" s="149" t="n">
        <v>0</v>
      </c>
      <c r="AI632" s="149" t="n">
        <v>0</v>
      </c>
      <c r="AJ632" s="149" t="n">
        <v>0</v>
      </c>
      <c r="AK632" s="149" t="n">
        <v>0</v>
      </c>
      <c r="AL632" s="149" t="n">
        <v>0</v>
      </c>
      <c r="AM632" s="149" t="n">
        <v>0</v>
      </c>
      <c r="AN632" s="148"/>
      <c r="AO632" s="148"/>
      <c r="AP632" s="146" t="s">
        <v>138</v>
      </c>
      <c r="AQ632" s="146" t="s">
        <v>139</v>
      </c>
      <c r="AR632" s="146" t="s">
        <v>840</v>
      </c>
      <c r="AS632" s="148"/>
      <c r="AT632" s="150"/>
    </row>
    <row r="633" customFormat="false" ht="12.75" hidden="false" customHeight="true" outlineLevel="0" collapsed="false">
      <c r="B633" s="151"/>
      <c r="C633" s="143" t="s">
        <v>168</v>
      </c>
      <c r="D633" s="152" t="n">
        <v>61073</v>
      </c>
      <c r="E633" s="144" t="str">
        <f aca="false">IF(D633="","",IFERROR(VLOOKUP(D633,CCN_Library!$A$4:$B$13,2,FALSE()),"NOT IN LIBRARY"))</f>
        <v>COMPANY/BATTERY HEADQUARTERS, MARINE CORPS</v>
      </c>
      <c r="F633" s="145" t="str">
        <f aca="false">LEFT(H633,6)</f>
        <v>M28262</v>
      </c>
      <c r="G633" s="146" t="s">
        <v>128</v>
      </c>
      <c r="H633" s="146" t="s">
        <v>970</v>
      </c>
      <c r="I633" s="146" t="s">
        <v>159</v>
      </c>
      <c r="J633" s="146" t="s">
        <v>191</v>
      </c>
      <c r="K633" s="147" t="s">
        <v>161</v>
      </c>
      <c r="L633" s="146" t="s">
        <v>161</v>
      </c>
      <c r="M633" s="146" t="s">
        <v>133</v>
      </c>
      <c r="N633" s="146" t="s">
        <v>128</v>
      </c>
      <c r="O633" s="146" t="s">
        <v>135</v>
      </c>
      <c r="P633" s="146" t="s">
        <v>135</v>
      </c>
      <c r="Q633" s="148"/>
      <c r="R633" s="146" t="s">
        <v>136</v>
      </c>
      <c r="S633" s="146" t="s">
        <v>58</v>
      </c>
      <c r="T633" s="148"/>
      <c r="U633" s="149" t="n">
        <v>0</v>
      </c>
      <c r="V633" s="149" t="n">
        <v>0</v>
      </c>
      <c r="W633" s="149" t="n">
        <v>0</v>
      </c>
      <c r="X633" s="149" t="n">
        <v>0</v>
      </c>
      <c r="Y633" s="149" t="n">
        <v>0</v>
      </c>
      <c r="Z633" s="149" t="n">
        <v>0</v>
      </c>
      <c r="AA633" s="149" t="n">
        <v>1</v>
      </c>
      <c r="AB633" s="149" t="n">
        <v>0</v>
      </c>
      <c r="AC633" s="149" t="n">
        <v>0</v>
      </c>
      <c r="AD633" s="149" t="n">
        <v>0</v>
      </c>
      <c r="AE633" s="149" t="n">
        <v>0</v>
      </c>
      <c r="AF633" s="149" t="n">
        <v>0</v>
      </c>
      <c r="AG633" s="149" t="n">
        <v>0</v>
      </c>
      <c r="AH633" s="149" t="n">
        <v>0</v>
      </c>
      <c r="AI633" s="149" t="n">
        <v>0</v>
      </c>
      <c r="AJ633" s="149" t="n">
        <v>0</v>
      </c>
      <c r="AK633" s="149" t="n">
        <v>0</v>
      </c>
      <c r="AL633" s="149" t="n">
        <v>0</v>
      </c>
      <c r="AM633" s="149" t="n">
        <v>0</v>
      </c>
      <c r="AN633" s="148"/>
      <c r="AO633" s="148"/>
      <c r="AP633" s="146" t="s">
        <v>138</v>
      </c>
      <c r="AQ633" s="146" t="s">
        <v>139</v>
      </c>
      <c r="AR633" s="146" t="s">
        <v>840</v>
      </c>
      <c r="AS633" s="148"/>
      <c r="AT633" s="153"/>
    </row>
    <row r="634" customFormat="false" ht="12.75" hidden="false" customHeight="true" outlineLevel="0" collapsed="false">
      <c r="B634" s="142"/>
      <c r="C634" s="143" t="s">
        <v>168</v>
      </c>
      <c r="D634" s="144" t="n">
        <v>61073</v>
      </c>
      <c r="E634" s="144" t="str">
        <f aca="false">IF(D634="","",IFERROR(VLOOKUP(D634,CCN_Library!$A$4:$B$13,2,FALSE()),"NOT IN LIBRARY"))</f>
        <v>COMPANY/BATTERY HEADQUARTERS, MARINE CORPS</v>
      </c>
      <c r="F634" s="145" t="str">
        <f aca="false">LEFT(H634,6)</f>
        <v>M28262</v>
      </c>
      <c r="G634" s="146" t="s">
        <v>128</v>
      </c>
      <c r="H634" s="146" t="s">
        <v>971</v>
      </c>
      <c r="I634" s="146" t="s">
        <v>159</v>
      </c>
      <c r="J634" s="146" t="s">
        <v>176</v>
      </c>
      <c r="K634" s="147" t="s">
        <v>161</v>
      </c>
      <c r="L634" s="146" t="s">
        <v>161</v>
      </c>
      <c r="M634" s="146" t="s">
        <v>133</v>
      </c>
      <c r="N634" s="146" t="s">
        <v>128</v>
      </c>
      <c r="O634" s="146" t="s">
        <v>135</v>
      </c>
      <c r="P634" s="146" t="s">
        <v>135</v>
      </c>
      <c r="Q634" s="148"/>
      <c r="R634" s="146" t="s">
        <v>136</v>
      </c>
      <c r="S634" s="146" t="s">
        <v>58</v>
      </c>
      <c r="T634" s="148"/>
      <c r="U634" s="149" t="n">
        <v>0</v>
      </c>
      <c r="V634" s="149" t="n">
        <v>0</v>
      </c>
      <c r="W634" s="149" t="n">
        <v>0</v>
      </c>
      <c r="X634" s="149" t="n">
        <v>0</v>
      </c>
      <c r="Y634" s="149" t="n">
        <v>0</v>
      </c>
      <c r="Z634" s="149" t="n">
        <v>0</v>
      </c>
      <c r="AA634" s="149" t="n">
        <v>1</v>
      </c>
      <c r="AB634" s="149" t="n">
        <v>0</v>
      </c>
      <c r="AC634" s="149" t="n">
        <v>0</v>
      </c>
      <c r="AD634" s="149" t="n">
        <v>0</v>
      </c>
      <c r="AE634" s="149" t="n">
        <v>0</v>
      </c>
      <c r="AF634" s="149" t="n">
        <v>0</v>
      </c>
      <c r="AG634" s="149" t="n">
        <v>0</v>
      </c>
      <c r="AH634" s="149" t="n">
        <v>0</v>
      </c>
      <c r="AI634" s="149" t="n">
        <v>0</v>
      </c>
      <c r="AJ634" s="149" t="n">
        <v>0</v>
      </c>
      <c r="AK634" s="149" t="n">
        <v>0</v>
      </c>
      <c r="AL634" s="149" t="n">
        <v>0</v>
      </c>
      <c r="AM634" s="149" t="n">
        <v>0</v>
      </c>
      <c r="AN634" s="148"/>
      <c r="AO634" s="148"/>
      <c r="AP634" s="146" t="s">
        <v>138</v>
      </c>
      <c r="AQ634" s="146" t="s">
        <v>139</v>
      </c>
      <c r="AR634" s="146" t="s">
        <v>840</v>
      </c>
      <c r="AS634" s="148"/>
      <c r="AT634" s="150"/>
    </row>
    <row r="635" customFormat="false" ht="12.75" hidden="false" customHeight="true" outlineLevel="0" collapsed="false">
      <c r="B635" s="142"/>
      <c r="C635" s="143" t="s">
        <v>168</v>
      </c>
      <c r="D635" s="144" t="n">
        <v>61073</v>
      </c>
      <c r="E635" s="144" t="str">
        <f aca="false">IF(D635="","",IFERROR(VLOOKUP(D635,CCN_Library!$A$4:$B$13,2,FALSE()),"NOT IN LIBRARY"))</f>
        <v>COMPANY/BATTERY HEADQUARTERS, MARINE CORPS</v>
      </c>
      <c r="F635" s="145" t="str">
        <f aca="false">LEFT(H635,6)</f>
        <v>M28262</v>
      </c>
      <c r="G635" s="146" t="s">
        <v>128</v>
      </c>
      <c r="H635" s="146" t="s">
        <v>972</v>
      </c>
      <c r="I635" s="146" t="s">
        <v>159</v>
      </c>
      <c r="J635" s="146" t="s">
        <v>176</v>
      </c>
      <c r="K635" s="147" t="s">
        <v>161</v>
      </c>
      <c r="L635" s="146" t="s">
        <v>161</v>
      </c>
      <c r="M635" s="146" t="s">
        <v>133</v>
      </c>
      <c r="N635" s="146" t="s">
        <v>128</v>
      </c>
      <c r="O635" s="146" t="s">
        <v>135</v>
      </c>
      <c r="P635" s="146" t="s">
        <v>135</v>
      </c>
      <c r="Q635" s="148"/>
      <c r="R635" s="146" t="s">
        <v>136</v>
      </c>
      <c r="S635" s="146" t="s">
        <v>58</v>
      </c>
      <c r="T635" s="148"/>
      <c r="U635" s="149" t="n">
        <v>0</v>
      </c>
      <c r="V635" s="149" t="n">
        <v>0</v>
      </c>
      <c r="W635" s="149" t="n">
        <v>0</v>
      </c>
      <c r="X635" s="149" t="n">
        <v>0</v>
      </c>
      <c r="Y635" s="149" t="n">
        <v>0</v>
      </c>
      <c r="Z635" s="149" t="n">
        <v>0</v>
      </c>
      <c r="AA635" s="149" t="n">
        <v>1</v>
      </c>
      <c r="AB635" s="149" t="n">
        <v>0</v>
      </c>
      <c r="AC635" s="149" t="n">
        <v>0</v>
      </c>
      <c r="AD635" s="149" t="n">
        <v>0</v>
      </c>
      <c r="AE635" s="149" t="n">
        <v>0</v>
      </c>
      <c r="AF635" s="149" t="n">
        <v>0</v>
      </c>
      <c r="AG635" s="149" t="n">
        <v>0</v>
      </c>
      <c r="AH635" s="149" t="n">
        <v>0</v>
      </c>
      <c r="AI635" s="149" t="n">
        <v>0</v>
      </c>
      <c r="AJ635" s="149" t="n">
        <v>0</v>
      </c>
      <c r="AK635" s="149" t="n">
        <v>0</v>
      </c>
      <c r="AL635" s="149" t="n">
        <v>0</v>
      </c>
      <c r="AM635" s="149" t="n">
        <v>0</v>
      </c>
      <c r="AN635" s="148"/>
      <c r="AO635" s="148"/>
      <c r="AP635" s="146" t="s">
        <v>138</v>
      </c>
      <c r="AQ635" s="146" t="s">
        <v>139</v>
      </c>
      <c r="AR635" s="146" t="s">
        <v>840</v>
      </c>
      <c r="AS635" s="148"/>
      <c r="AT635" s="150"/>
    </row>
    <row r="636" customFormat="false" ht="12.75" hidden="false" customHeight="true" outlineLevel="0" collapsed="false">
      <c r="B636" s="142"/>
      <c r="C636" s="143" t="s">
        <v>168</v>
      </c>
      <c r="D636" s="144" t="n">
        <v>61073</v>
      </c>
      <c r="E636" s="144" t="str">
        <f aca="false">IF(D636="","",IFERROR(VLOOKUP(D636,CCN_Library!$A$4:$B$13,2,FALSE()),"NOT IN LIBRARY"))</f>
        <v>COMPANY/BATTERY HEADQUARTERS, MARINE CORPS</v>
      </c>
      <c r="F636" s="145" t="str">
        <f aca="false">LEFT(H636,6)</f>
        <v>M28262</v>
      </c>
      <c r="G636" s="146" t="s">
        <v>128</v>
      </c>
      <c r="H636" s="146" t="s">
        <v>973</v>
      </c>
      <c r="I636" s="146" t="s">
        <v>159</v>
      </c>
      <c r="J636" s="146" t="s">
        <v>176</v>
      </c>
      <c r="K636" s="147" t="s">
        <v>161</v>
      </c>
      <c r="L636" s="146" t="s">
        <v>161</v>
      </c>
      <c r="M636" s="146" t="s">
        <v>133</v>
      </c>
      <c r="N636" s="146" t="s">
        <v>128</v>
      </c>
      <c r="O636" s="146" t="s">
        <v>135</v>
      </c>
      <c r="P636" s="146" t="s">
        <v>135</v>
      </c>
      <c r="Q636" s="148"/>
      <c r="R636" s="146" t="s">
        <v>136</v>
      </c>
      <c r="S636" s="146" t="s">
        <v>58</v>
      </c>
      <c r="T636" s="148"/>
      <c r="U636" s="149" t="n">
        <v>0</v>
      </c>
      <c r="V636" s="149" t="n">
        <v>0</v>
      </c>
      <c r="W636" s="149" t="n">
        <v>0</v>
      </c>
      <c r="X636" s="149" t="n">
        <v>0</v>
      </c>
      <c r="Y636" s="149" t="n">
        <v>0</v>
      </c>
      <c r="Z636" s="149" t="n">
        <v>0</v>
      </c>
      <c r="AA636" s="149" t="n">
        <v>1</v>
      </c>
      <c r="AB636" s="149" t="n">
        <v>0</v>
      </c>
      <c r="AC636" s="149" t="n">
        <v>0</v>
      </c>
      <c r="AD636" s="149" t="n">
        <v>0</v>
      </c>
      <c r="AE636" s="149" t="n">
        <v>0</v>
      </c>
      <c r="AF636" s="149" t="n">
        <v>0</v>
      </c>
      <c r="AG636" s="149" t="n">
        <v>0</v>
      </c>
      <c r="AH636" s="149" t="n">
        <v>0</v>
      </c>
      <c r="AI636" s="149" t="n">
        <v>0</v>
      </c>
      <c r="AJ636" s="149" t="n">
        <v>0</v>
      </c>
      <c r="AK636" s="149" t="n">
        <v>0</v>
      </c>
      <c r="AL636" s="149" t="n">
        <v>0</v>
      </c>
      <c r="AM636" s="149" t="n">
        <v>0</v>
      </c>
      <c r="AN636" s="148"/>
      <c r="AO636" s="148"/>
      <c r="AP636" s="146" t="s">
        <v>138</v>
      </c>
      <c r="AQ636" s="146" t="s">
        <v>139</v>
      </c>
      <c r="AR636" s="146" t="s">
        <v>840</v>
      </c>
      <c r="AS636" s="148"/>
      <c r="AT636" s="150"/>
    </row>
    <row r="637" customFormat="false" ht="12.75" hidden="false" customHeight="true" outlineLevel="0" collapsed="false">
      <c r="B637" s="151"/>
      <c r="C637" s="143" t="s">
        <v>162</v>
      </c>
      <c r="D637" s="152" t="n">
        <v>61073</v>
      </c>
      <c r="E637" s="152"/>
      <c r="F637" s="154" t="str">
        <f aca="false">LEFT(H637,6)</f>
        <v>M28262</v>
      </c>
      <c r="G637" s="155" t="s">
        <v>177</v>
      </c>
      <c r="H637" s="155" t="s">
        <v>974</v>
      </c>
      <c r="I637" s="155" t="s">
        <v>576</v>
      </c>
      <c r="J637" s="156"/>
      <c r="K637" s="156"/>
      <c r="L637" s="156"/>
      <c r="M637" s="156"/>
      <c r="N637" s="156"/>
      <c r="O637" s="156"/>
      <c r="P637" s="156"/>
      <c r="Q637" s="156"/>
      <c r="R637" s="156"/>
      <c r="S637" s="156"/>
      <c r="T637" s="156"/>
      <c r="U637" s="157" t="n">
        <v>0</v>
      </c>
      <c r="V637" s="157" t="n">
        <v>0</v>
      </c>
      <c r="W637" s="157" t="n">
        <v>0</v>
      </c>
      <c r="X637" s="157" t="n">
        <v>0</v>
      </c>
      <c r="Y637" s="157" t="n">
        <v>0</v>
      </c>
      <c r="Z637" s="157" t="n">
        <v>0</v>
      </c>
      <c r="AA637" s="157" t="n">
        <v>0</v>
      </c>
      <c r="AB637" s="157" t="n">
        <v>0</v>
      </c>
      <c r="AC637" s="157" t="n">
        <v>0</v>
      </c>
      <c r="AD637" s="157" t="n">
        <v>0</v>
      </c>
      <c r="AE637" s="157" t="n">
        <v>0</v>
      </c>
      <c r="AF637" s="157" t="n">
        <v>0</v>
      </c>
      <c r="AG637" s="157" t="n">
        <v>0</v>
      </c>
      <c r="AH637" s="157" t="n">
        <v>0</v>
      </c>
      <c r="AI637" s="157" t="n">
        <v>0</v>
      </c>
      <c r="AJ637" s="157" t="n">
        <v>0</v>
      </c>
      <c r="AK637" s="157" t="n">
        <v>0</v>
      </c>
      <c r="AL637" s="157" t="n">
        <v>0</v>
      </c>
      <c r="AM637" s="157" t="n">
        <v>0</v>
      </c>
      <c r="AN637" s="156"/>
      <c r="AO637" s="156"/>
      <c r="AP637" s="156"/>
      <c r="AQ637" s="156"/>
      <c r="AR637" s="156"/>
      <c r="AS637" s="156"/>
      <c r="AT637" s="153"/>
    </row>
    <row r="638" customFormat="false" ht="12.75" hidden="false" customHeight="true" outlineLevel="0" collapsed="false">
      <c r="B638" s="142"/>
      <c r="C638" s="143" t="s">
        <v>162</v>
      </c>
      <c r="D638" s="144" t="n">
        <v>61073</v>
      </c>
      <c r="E638" s="144" t="str">
        <f aca="false">IF(D638="","",IFERROR(VLOOKUP(D638,CCN_Library!$A$4:$B$13,2,FALSE()),"NOT IN LIBRARY"))</f>
        <v>COMPANY/BATTERY HEADQUARTERS, MARINE CORPS</v>
      </c>
      <c r="F638" s="145" t="str">
        <f aca="false">LEFT(H638,6)</f>
        <v>M28262</v>
      </c>
      <c r="G638" s="146" t="s">
        <v>128</v>
      </c>
      <c r="H638" s="146" t="s">
        <v>975</v>
      </c>
      <c r="I638" s="146" t="s">
        <v>472</v>
      </c>
      <c r="J638" s="146" t="s">
        <v>182</v>
      </c>
      <c r="K638" s="147" t="s">
        <v>223</v>
      </c>
      <c r="L638" s="146" t="s">
        <v>223</v>
      </c>
      <c r="M638" s="146" t="s">
        <v>133</v>
      </c>
      <c r="N638" s="146" t="s">
        <v>134</v>
      </c>
      <c r="O638" s="146" t="s">
        <v>135</v>
      </c>
      <c r="P638" s="146" t="s">
        <v>135</v>
      </c>
      <c r="Q638" s="148"/>
      <c r="R638" s="146" t="s">
        <v>136</v>
      </c>
      <c r="S638" s="146" t="s">
        <v>137</v>
      </c>
      <c r="T638" s="148"/>
      <c r="U638" s="149" t="n">
        <v>0</v>
      </c>
      <c r="V638" s="149" t="n">
        <v>0</v>
      </c>
      <c r="W638" s="149" t="n">
        <v>0</v>
      </c>
      <c r="X638" s="149" t="n">
        <v>0</v>
      </c>
      <c r="Y638" s="149" t="n">
        <v>0</v>
      </c>
      <c r="Z638" s="149" t="n">
        <v>1</v>
      </c>
      <c r="AA638" s="149" t="n">
        <v>0</v>
      </c>
      <c r="AB638" s="149" t="n">
        <v>0</v>
      </c>
      <c r="AC638" s="149" t="n">
        <v>0</v>
      </c>
      <c r="AD638" s="149" t="n">
        <v>0</v>
      </c>
      <c r="AE638" s="149" t="n">
        <v>0</v>
      </c>
      <c r="AF638" s="149" t="n">
        <v>0</v>
      </c>
      <c r="AG638" s="149" t="n">
        <v>0</v>
      </c>
      <c r="AH638" s="149" t="n">
        <v>0</v>
      </c>
      <c r="AI638" s="149" t="n">
        <v>0</v>
      </c>
      <c r="AJ638" s="149" t="n">
        <v>0</v>
      </c>
      <c r="AK638" s="149" t="n">
        <v>0</v>
      </c>
      <c r="AL638" s="149" t="n">
        <v>0</v>
      </c>
      <c r="AM638" s="149" t="n">
        <v>0</v>
      </c>
      <c r="AN638" s="148"/>
      <c r="AO638" s="148"/>
      <c r="AP638" s="146" t="s">
        <v>138</v>
      </c>
      <c r="AQ638" s="146" t="s">
        <v>139</v>
      </c>
      <c r="AR638" s="146" t="s">
        <v>840</v>
      </c>
      <c r="AS638" s="148"/>
      <c r="AT638" s="150"/>
    </row>
    <row r="639" customFormat="false" ht="12.75" hidden="false" customHeight="true" outlineLevel="0" collapsed="false">
      <c r="B639" s="142"/>
      <c r="C639" s="143" t="s">
        <v>168</v>
      </c>
      <c r="D639" s="144" t="n">
        <v>61073</v>
      </c>
      <c r="E639" s="144" t="str">
        <f aca="false">IF(D639="","",IFERROR(VLOOKUP(D639,CCN_Library!$A$4:$B$13,2,FALSE()),"NOT IN LIBRARY"))</f>
        <v>COMPANY/BATTERY HEADQUARTERS, MARINE CORPS</v>
      </c>
      <c r="F639" s="145" t="str">
        <f aca="false">LEFT(H639,6)</f>
        <v>M28262</v>
      </c>
      <c r="G639" s="146" t="s">
        <v>128</v>
      </c>
      <c r="H639" s="146" t="s">
        <v>976</v>
      </c>
      <c r="I639" s="146" t="s">
        <v>696</v>
      </c>
      <c r="J639" s="146" t="s">
        <v>191</v>
      </c>
      <c r="K639" s="147" t="s">
        <v>697</v>
      </c>
      <c r="L639" s="146" t="s">
        <v>161</v>
      </c>
      <c r="M639" s="146" t="s">
        <v>133</v>
      </c>
      <c r="N639" s="146" t="s">
        <v>128</v>
      </c>
      <c r="O639" s="146" t="s">
        <v>135</v>
      </c>
      <c r="P639" s="146" t="s">
        <v>135</v>
      </c>
      <c r="Q639" s="148"/>
      <c r="R639" s="146" t="s">
        <v>136</v>
      </c>
      <c r="S639" s="146" t="s">
        <v>58</v>
      </c>
      <c r="T639" s="148"/>
      <c r="U639" s="149" t="n">
        <v>0</v>
      </c>
      <c r="V639" s="149" t="n">
        <v>0</v>
      </c>
      <c r="W639" s="149" t="n">
        <v>0</v>
      </c>
      <c r="X639" s="149" t="n">
        <v>0</v>
      </c>
      <c r="Y639" s="149" t="n">
        <v>0</v>
      </c>
      <c r="Z639" s="149" t="n">
        <v>0</v>
      </c>
      <c r="AA639" s="149" t="n">
        <v>1</v>
      </c>
      <c r="AB639" s="149" t="n">
        <v>0</v>
      </c>
      <c r="AC639" s="149" t="n">
        <v>0</v>
      </c>
      <c r="AD639" s="149" t="n">
        <v>0</v>
      </c>
      <c r="AE639" s="149" t="n">
        <v>0</v>
      </c>
      <c r="AF639" s="149" t="n">
        <v>0</v>
      </c>
      <c r="AG639" s="149" t="n">
        <v>0</v>
      </c>
      <c r="AH639" s="149" t="n">
        <v>0</v>
      </c>
      <c r="AI639" s="149" t="n">
        <v>0</v>
      </c>
      <c r="AJ639" s="149" t="n">
        <v>0</v>
      </c>
      <c r="AK639" s="149" t="n">
        <v>0</v>
      </c>
      <c r="AL639" s="149" t="n">
        <v>0</v>
      </c>
      <c r="AM639" s="149" t="n">
        <v>0</v>
      </c>
      <c r="AN639" s="148"/>
      <c r="AO639" s="148"/>
      <c r="AP639" s="146" t="s">
        <v>138</v>
      </c>
      <c r="AQ639" s="146" t="s">
        <v>139</v>
      </c>
      <c r="AR639" s="146" t="s">
        <v>840</v>
      </c>
      <c r="AS639" s="148"/>
      <c r="AT639" s="150"/>
    </row>
    <row r="640" customFormat="false" ht="12.75" hidden="false" customHeight="true" outlineLevel="0" collapsed="false">
      <c r="B640" s="151"/>
      <c r="C640" s="143" t="s">
        <v>162</v>
      </c>
      <c r="D640" s="152" t="n">
        <v>61073</v>
      </c>
      <c r="E640" s="152"/>
      <c r="F640" s="154" t="str">
        <f aca="false">LEFT(H640,6)</f>
        <v>M28262</v>
      </c>
      <c r="G640" s="155" t="s">
        <v>177</v>
      </c>
      <c r="H640" s="155" t="s">
        <v>977</v>
      </c>
      <c r="I640" s="155" t="s">
        <v>580</v>
      </c>
      <c r="J640" s="156"/>
      <c r="K640" s="156"/>
      <c r="L640" s="156"/>
      <c r="M640" s="156"/>
      <c r="N640" s="156"/>
      <c r="O640" s="156"/>
      <c r="P640" s="156"/>
      <c r="Q640" s="156"/>
      <c r="R640" s="156"/>
      <c r="S640" s="156"/>
      <c r="T640" s="156"/>
      <c r="U640" s="157" t="n">
        <v>0</v>
      </c>
      <c r="V640" s="157" t="n">
        <v>0</v>
      </c>
      <c r="W640" s="157" t="n">
        <v>0</v>
      </c>
      <c r="X640" s="157" t="n">
        <v>0</v>
      </c>
      <c r="Y640" s="157" t="n">
        <v>0</v>
      </c>
      <c r="Z640" s="157" t="n">
        <v>0</v>
      </c>
      <c r="AA640" s="157" t="n">
        <v>0</v>
      </c>
      <c r="AB640" s="157" t="n">
        <v>0</v>
      </c>
      <c r="AC640" s="157" t="n">
        <v>0</v>
      </c>
      <c r="AD640" s="157" t="n">
        <v>0</v>
      </c>
      <c r="AE640" s="157" t="n">
        <v>0</v>
      </c>
      <c r="AF640" s="157" t="n">
        <v>0</v>
      </c>
      <c r="AG640" s="157" t="n">
        <v>0</v>
      </c>
      <c r="AH640" s="157" t="n">
        <v>0</v>
      </c>
      <c r="AI640" s="157" t="n">
        <v>0</v>
      </c>
      <c r="AJ640" s="157" t="n">
        <v>0</v>
      </c>
      <c r="AK640" s="157" t="n">
        <v>0</v>
      </c>
      <c r="AL640" s="157" t="n">
        <v>0</v>
      </c>
      <c r="AM640" s="157" t="n">
        <v>0</v>
      </c>
      <c r="AN640" s="156"/>
      <c r="AO640" s="156"/>
      <c r="AP640" s="156"/>
      <c r="AQ640" s="156"/>
      <c r="AR640" s="156"/>
      <c r="AS640" s="156"/>
      <c r="AT640" s="153"/>
    </row>
    <row r="641" customFormat="false" ht="12.75" hidden="false" customHeight="true" outlineLevel="0" collapsed="false">
      <c r="B641" s="142"/>
      <c r="C641" s="143" t="s">
        <v>162</v>
      </c>
      <c r="D641" s="144" t="n">
        <v>61073</v>
      </c>
      <c r="E641" s="144" t="str">
        <f aca="false">IF(D641="","",IFERROR(VLOOKUP(D641,CCN_Library!$A$4:$B$13,2,FALSE()),"NOT IN LIBRARY"))</f>
        <v>COMPANY/BATTERY HEADQUARTERS, MARINE CORPS</v>
      </c>
      <c r="F641" s="145" t="str">
        <f aca="false">LEFT(H641,6)</f>
        <v>M28262</v>
      </c>
      <c r="G641" s="146" t="s">
        <v>128</v>
      </c>
      <c r="H641" s="146" t="s">
        <v>978</v>
      </c>
      <c r="I641" s="146" t="s">
        <v>515</v>
      </c>
      <c r="J641" s="146" t="s">
        <v>189</v>
      </c>
      <c r="K641" s="147" t="s">
        <v>516</v>
      </c>
      <c r="L641" s="146" t="s">
        <v>161</v>
      </c>
      <c r="M641" s="146" t="s">
        <v>133</v>
      </c>
      <c r="N641" s="146" t="s">
        <v>128</v>
      </c>
      <c r="O641" s="146" t="s">
        <v>135</v>
      </c>
      <c r="P641" s="146" t="s">
        <v>135</v>
      </c>
      <c r="Q641" s="148"/>
      <c r="R641" s="146" t="s">
        <v>136</v>
      </c>
      <c r="S641" s="146" t="s">
        <v>137</v>
      </c>
      <c r="T641" s="148"/>
      <c r="U641" s="149" t="n">
        <v>0</v>
      </c>
      <c r="V641" s="149" t="n">
        <v>0</v>
      </c>
      <c r="W641" s="149" t="n">
        <v>0</v>
      </c>
      <c r="X641" s="149" t="n">
        <v>0</v>
      </c>
      <c r="Y641" s="149" t="n">
        <v>0</v>
      </c>
      <c r="Z641" s="149" t="n">
        <v>0</v>
      </c>
      <c r="AA641" s="149" t="n">
        <v>1</v>
      </c>
      <c r="AB641" s="149" t="n">
        <v>0</v>
      </c>
      <c r="AC641" s="149" t="n">
        <v>0</v>
      </c>
      <c r="AD641" s="149" t="n">
        <v>0</v>
      </c>
      <c r="AE641" s="149" t="n">
        <v>0</v>
      </c>
      <c r="AF641" s="149" t="n">
        <v>0</v>
      </c>
      <c r="AG641" s="149" t="n">
        <v>0</v>
      </c>
      <c r="AH641" s="149" t="n">
        <v>0</v>
      </c>
      <c r="AI641" s="149" t="n">
        <v>0</v>
      </c>
      <c r="AJ641" s="149" t="n">
        <v>0</v>
      </c>
      <c r="AK641" s="149" t="n">
        <v>0</v>
      </c>
      <c r="AL641" s="149" t="n">
        <v>0</v>
      </c>
      <c r="AM641" s="149" t="n">
        <v>0</v>
      </c>
      <c r="AN641" s="148"/>
      <c r="AO641" s="148"/>
      <c r="AP641" s="146" t="s">
        <v>138</v>
      </c>
      <c r="AQ641" s="146" t="s">
        <v>139</v>
      </c>
      <c r="AR641" s="146" t="s">
        <v>840</v>
      </c>
      <c r="AS641" s="148"/>
      <c r="AT641" s="150"/>
    </row>
    <row r="642" customFormat="false" ht="12.75" hidden="false" customHeight="true" outlineLevel="0" collapsed="false">
      <c r="B642" s="151"/>
      <c r="C642" s="143" t="s">
        <v>168</v>
      </c>
      <c r="D642" s="152" t="n">
        <v>61073</v>
      </c>
      <c r="E642" s="144" t="str">
        <f aca="false">IF(D642="","",IFERROR(VLOOKUP(D642,CCN_Library!$A$4:$B$13,2,FALSE()),"NOT IN LIBRARY"))</f>
        <v>COMPANY/BATTERY HEADQUARTERS, MARINE CORPS</v>
      </c>
      <c r="F642" s="145" t="str">
        <f aca="false">LEFT(H642,6)</f>
        <v>M28262</v>
      </c>
      <c r="G642" s="146" t="s">
        <v>128</v>
      </c>
      <c r="H642" s="146" t="s">
        <v>979</v>
      </c>
      <c r="I642" s="146" t="s">
        <v>515</v>
      </c>
      <c r="J642" s="146" t="s">
        <v>191</v>
      </c>
      <c r="K642" s="147" t="s">
        <v>516</v>
      </c>
      <c r="L642" s="146" t="s">
        <v>161</v>
      </c>
      <c r="M642" s="146" t="s">
        <v>133</v>
      </c>
      <c r="N642" s="146" t="s">
        <v>128</v>
      </c>
      <c r="O642" s="146" t="s">
        <v>135</v>
      </c>
      <c r="P642" s="146" t="s">
        <v>135</v>
      </c>
      <c r="Q642" s="148"/>
      <c r="R642" s="146" t="s">
        <v>136</v>
      </c>
      <c r="S642" s="146" t="s">
        <v>58</v>
      </c>
      <c r="T642" s="148"/>
      <c r="U642" s="149" t="n">
        <v>0</v>
      </c>
      <c r="V642" s="149" t="n">
        <v>0</v>
      </c>
      <c r="W642" s="149" t="n">
        <v>0</v>
      </c>
      <c r="X642" s="149" t="n">
        <v>0</v>
      </c>
      <c r="Y642" s="149" t="n">
        <v>0</v>
      </c>
      <c r="Z642" s="149" t="n">
        <v>0</v>
      </c>
      <c r="AA642" s="149" t="n">
        <v>1</v>
      </c>
      <c r="AB642" s="149" t="n">
        <v>0</v>
      </c>
      <c r="AC642" s="149" t="n">
        <v>0</v>
      </c>
      <c r="AD642" s="149" t="n">
        <v>0</v>
      </c>
      <c r="AE642" s="149" t="n">
        <v>0</v>
      </c>
      <c r="AF642" s="149" t="n">
        <v>0</v>
      </c>
      <c r="AG642" s="149" t="n">
        <v>0</v>
      </c>
      <c r="AH642" s="149" t="n">
        <v>0</v>
      </c>
      <c r="AI642" s="149" t="n">
        <v>0</v>
      </c>
      <c r="AJ642" s="149" t="n">
        <v>0</v>
      </c>
      <c r="AK642" s="149" t="n">
        <v>0</v>
      </c>
      <c r="AL642" s="149" t="n">
        <v>0</v>
      </c>
      <c r="AM642" s="149" t="n">
        <v>0</v>
      </c>
      <c r="AN642" s="148"/>
      <c r="AO642" s="148"/>
      <c r="AP642" s="146" t="s">
        <v>138</v>
      </c>
      <c r="AQ642" s="146" t="s">
        <v>139</v>
      </c>
      <c r="AR642" s="146" t="s">
        <v>840</v>
      </c>
      <c r="AS642" s="148"/>
      <c r="AT642" s="153"/>
    </row>
    <row r="643" customFormat="false" ht="12.75" hidden="false" customHeight="true" outlineLevel="0" collapsed="false">
      <c r="B643" s="142"/>
      <c r="C643" s="143" t="s">
        <v>168</v>
      </c>
      <c r="D643" s="144" t="n">
        <v>61073</v>
      </c>
      <c r="E643" s="144" t="str">
        <f aca="false">IF(D643="","",IFERROR(VLOOKUP(D643,CCN_Library!$A$4:$B$13,2,FALSE()),"NOT IN LIBRARY"))</f>
        <v>COMPANY/BATTERY HEADQUARTERS, MARINE CORPS</v>
      </c>
      <c r="F643" s="145" t="str">
        <f aca="false">LEFT(H643,6)</f>
        <v>M28262</v>
      </c>
      <c r="G643" s="146" t="s">
        <v>128</v>
      </c>
      <c r="H643" s="146" t="s">
        <v>980</v>
      </c>
      <c r="I643" s="146" t="s">
        <v>515</v>
      </c>
      <c r="J643" s="146" t="s">
        <v>191</v>
      </c>
      <c r="K643" s="147" t="s">
        <v>516</v>
      </c>
      <c r="L643" s="146" t="s">
        <v>161</v>
      </c>
      <c r="M643" s="146" t="s">
        <v>133</v>
      </c>
      <c r="N643" s="146" t="s">
        <v>128</v>
      </c>
      <c r="O643" s="146" t="s">
        <v>135</v>
      </c>
      <c r="P643" s="146" t="s">
        <v>135</v>
      </c>
      <c r="Q643" s="148"/>
      <c r="R643" s="146" t="s">
        <v>136</v>
      </c>
      <c r="S643" s="146" t="s">
        <v>58</v>
      </c>
      <c r="T643" s="148"/>
      <c r="U643" s="149" t="n">
        <v>0</v>
      </c>
      <c r="V643" s="149" t="n">
        <v>0</v>
      </c>
      <c r="W643" s="149" t="n">
        <v>0</v>
      </c>
      <c r="X643" s="149" t="n">
        <v>0</v>
      </c>
      <c r="Y643" s="149" t="n">
        <v>0</v>
      </c>
      <c r="Z643" s="149" t="n">
        <v>0</v>
      </c>
      <c r="AA643" s="149" t="n">
        <v>1</v>
      </c>
      <c r="AB643" s="149" t="n">
        <v>0</v>
      </c>
      <c r="AC643" s="149" t="n">
        <v>0</v>
      </c>
      <c r="AD643" s="149" t="n">
        <v>0</v>
      </c>
      <c r="AE643" s="149" t="n">
        <v>0</v>
      </c>
      <c r="AF643" s="149" t="n">
        <v>0</v>
      </c>
      <c r="AG643" s="149" t="n">
        <v>0</v>
      </c>
      <c r="AH643" s="149" t="n">
        <v>0</v>
      </c>
      <c r="AI643" s="149" t="n">
        <v>0</v>
      </c>
      <c r="AJ643" s="149" t="n">
        <v>0</v>
      </c>
      <c r="AK643" s="149" t="n">
        <v>0</v>
      </c>
      <c r="AL643" s="149" t="n">
        <v>0</v>
      </c>
      <c r="AM643" s="149" t="n">
        <v>0</v>
      </c>
      <c r="AN643" s="148"/>
      <c r="AO643" s="148"/>
      <c r="AP643" s="146" t="s">
        <v>138</v>
      </c>
      <c r="AQ643" s="146" t="s">
        <v>139</v>
      </c>
      <c r="AR643" s="146" t="s">
        <v>840</v>
      </c>
      <c r="AS643" s="148"/>
      <c r="AT643" s="150"/>
    </row>
    <row r="644" customFormat="false" ht="12.75" hidden="false" customHeight="true" outlineLevel="0" collapsed="false">
      <c r="B644" s="151"/>
      <c r="C644" s="143" t="s">
        <v>162</v>
      </c>
      <c r="D644" s="152" t="n">
        <v>61073</v>
      </c>
      <c r="E644" s="152"/>
      <c r="F644" s="154" t="str">
        <f aca="false">LEFT(H644,6)</f>
        <v>M28262</v>
      </c>
      <c r="G644" s="155" t="s">
        <v>177</v>
      </c>
      <c r="H644" s="155" t="s">
        <v>981</v>
      </c>
      <c r="I644" s="155" t="s">
        <v>759</v>
      </c>
      <c r="J644" s="156"/>
      <c r="K644" s="156"/>
      <c r="L644" s="156"/>
      <c r="M644" s="156"/>
      <c r="N644" s="156"/>
      <c r="O644" s="156"/>
      <c r="P644" s="156"/>
      <c r="Q644" s="156"/>
      <c r="R644" s="156"/>
      <c r="S644" s="156"/>
      <c r="T644" s="156"/>
      <c r="U644" s="157" t="n">
        <v>0</v>
      </c>
      <c r="V644" s="157" t="n">
        <v>0</v>
      </c>
      <c r="W644" s="157" t="n">
        <v>0</v>
      </c>
      <c r="X644" s="157" t="n">
        <v>0</v>
      </c>
      <c r="Y644" s="157" t="n">
        <v>0</v>
      </c>
      <c r="Z644" s="157" t="n">
        <v>0</v>
      </c>
      <c r="AA644" s="157" t="n">
        <v>0</v>
      </c>
      <c r="AB644" s="157" t="n">
        <v>0</v>
      </c>
      <c r="AC644" s="157" t="n">
        <v>0</v>
      </c>
      <c r="AD644" s="157" t="n">
        <v>0</v>
      </c>
      <c r="AE644" s="157" t="n">
        <v>0</v>
      </c>
      <c r="AF644" s="157" t="n">
        <v>0</v>
      </c>
      <c r="AG644" s="157" t="n">
        <v>0</v>
      </c>
      <c r="AH644" s="157" t="n">
        <v>0</v>
      </c>
      <c r="AI644" s="157" t="n">
        <v>0</v>
      </c>
      <c r="AJ644" s="157" t="n">
        <v>0</v>
      </c>
      <c r="AK644" s="157" t="n">
        <v>0</v>
      </c>
      <c r="AL644" s="157" t="n">
        <v>0</v>
      </c>
      <c r="AM644" s="157" t="n">
        <v>0</v>
      </c>
      <c r="AN644" s="156"/>
      <c r="AO644" s="156"/>
      <c r="AP644" s="156"/>
      <c r="AQ644" s="156"/>
      <c r="AR644" s="156"/>
      <c r="AS644" s="156"/>
      <c r="AT644" s="153"/>
    </row>
    <row r="645" customFormat="false" ht="12.75" hidden="false" customHeight="true" outlineLevel="0" collapsed="false">
      <c r="B645" s="142"/>
      <c r="C645" s="143" t="s">
        <v>162</v>
      </c>
      <c r="D645" s="144" t="n">
        <v>61073</v>
      </c>
      <c r="E645" s="144" t="str">
        <f aca="false">IF(D645="","",IFERROR(VLOOKUP(D645,CCN_Library!$A$4:$B$13,2,FALSE()),"NOT IN LIBRARY"))</f>
        <v>COMPANY/BATTERY HEADQUARTERS, MARINE CORPS</v>
      </c>
      <c r="F645" s="145" t="str">
        <f aca="false">LEFT(H645,6)</f>
        <v>M28262</v>
      </c>
      <c r="G645" s="146" t="s">
        <v>128</v>
      </c>
      <c r="H645" s="146" t="s">
        <v>982</v>
      </c>
      <c r="I645" s="146" t="s">
        <v>457</v>
      </c>
      <c r="J645" s="146" t="s">
        <v>189</v>
      </c>
      <c r="K645" s="147" t="s">
        <v>458</v>
      </c>
      <c r="L645" s="146" t="s">
        <v>161</v>
      </c>
      <c r="M645" s="146" t="s">
        <v>133</v>
      </c>
      <c r="N645" s="146" t="s">
        <v>128</v>
      </c>
      <c r="O645" s="146" t="s">
        <v>135</v>
      </c>
      <c r="P645" s="146" t="s">
        <v>135</v>
      </c>
      <c r="Q645" s="148"/>
      <c r="R645" s="146" t="s">
        <v>136</v>
      </c>
      <c r="S645" s="146" t="s">
        <v>137</v>
      </c>
      <c r="T645" s="148"/>
      <c r="U645" s="149" t="n">
        <v>0</v>
      </c>
      <c r="V645" s="149" t="n">
        <v>0</v>
      </c>
      <c r="W645" s="149" t="n">
        <v>0</v>
      </c>
      <c r="X645" s="149" t="n">
        <v>0</v>
      </c>
      <c r="Y645" s="149" t="n">
        <v>0</v>
      </c>
      <c r="Z645" s="149" t="n">
        <v>0</v>
      </c>
      <c r="AA645" s="149" t="n">
        <v>1</v>
      </c>
      <c r="AB645" s="149" t="n">
        <v>0</v>
      </c>
      <c r="AC645" s="149" t="n">
        <v>0</v>
      </c>
      <c r="AD645" s="149" t="n">
        <v>0</v>
      </c>
      <c r="AE645" s="149" t="n">
        <v>0</v>
      </c>
      <c r="AF645" s="149" t="n">
        <v>0</v>
      </c>
      <c r="AG645" s="149" t="n">
        <v>0</v>
      </c>
      <c r="AH645" s="149" t="n">
        <v>0</v>
      </c>
      <c r="AI645" s="149" t="n">
        <v>0</v>
      </c>
      <c r="AJ645" s="149" t="n">
        <v>0</v>
      </c>
      <c r="AK645" s="149" t="n">
        <v>0</v>
      </c>
      <c r="AL645" s="149" t="n">
        <v>0</v>
      </c>
      <c r="AM645" s="149" t="n">
        <v>0</v>
      </c>
      <c r="AN645" s="148"/>
      <c r="AO645" s="148"/>
      <c r="AP645" s="146" t="s">
        <v>138</v>
      </c>
      <c r="AQ645" s="146" t="s">
        <v>139</v>
      </c>
      <c r="AR645" s="146" t="s">
        <v>840</v>
      </c>
      <c r="AS645" s="148"/>
      <c r="AT645" s="150"/>
    </row>
    <row r="646" customFormat="false" ht="12.75" hidden="false" customHeight="true" outlineLevel="0" collapsed="false">
      <c r="B646" s="142"/>
      <c r="C646" s="143" t="s">
        <v>168</v>
      </c>
      <c r="D646" s="144" t="n">
        <v>61073</v>
      </c>
      <c r="E646" s="144" t="str">
        <f aca="false">IF(D646="","",IFERROR(VLOOKUP(D646,CCN_Library!$A$4:$B$13,2,FALSE()),"NOT IN LIBRARY"))</f>
        <v>COMPANY/BATTERY HEADQUARTERS, MARINE CORPS</v>
      </c>
      <c r="F646" s="145" t="str">
        <f aca="false">LEFT(H646,6)</f>
        <v>M28262</v>
      </c>
      <c r="G646" s="146" t="s">
        <v>128</v>
      </c>
      <c r="H646" s="146" t="s">
        <v>983</v>
      </c>
      <c r="I646" s="146" t="s">
        <v>457</v>
      </c>
      <c r="J646" s="146" t="s">
        <v>191</v>
      </c>
      <c r="K646" s="147" t="s">
        <v>458</v>
      </c>
      <c r="L646" s="146" t="s">
        <v>161</v>
      </c>
      <c r="M646" s="146" t="s">
        <v>133</v>
      </c>
      <c r="N646" s="146" t="s">
        <v>128</v>
      </c>
      <c r="O646" s="146" t="s">
        <v>135</v>
      </c>
      <c r="P646" s="146" t="s">
        <v>135</v>
      </c>
      <c r="Q646" s="148"/>
      <c r="R646" s="146" t="s">
        <v>136</v>
      </c>
      <c r="S646" s="146" t="s">
        <v>58</v>
      </c>
      <c r="T646" s="148"/>
      <c r="U646" s="149" t="n">
        <v>0</v>
      </c>
      <c r="V646" s="149" t="n">
        <v>0</v>
      </c>
      <c r="W646" s="149" t="n">
        <v>0</v>
      </c>
      <c r="X646" s="149" t="n">
        <v>0</v>
      </c>
      <c r="Y646" s="149" t="n">
        <v>0</v>
      </c>
      <c r="Z646" s="149" t="n">
        <v>0</v>
      </c>
      <c r="AA646" s="149" t="n">
        <v>1</v>
      </c>
      <c r="AB646" s="149" t="n">
        <v>0</v>
      </c>
      <c r="AC646" s="149" t="n">
        <v>0</v>
      </c>
      <c r="AD646" s="149" t="n">
        <v>0</v>
      </c>
      <c r="AE646" s="149" t="n">
        <v>0</v>
      </c>
      <c r="AF646" s="149" t="n">
        <v>0</v>
      </c>
      <c r="AG646" s="149" t="n">
        <v>0</v>
      </c>
      <c r="AH646" s="149" t="n">
        <v>0</v>
      </c>
      <c r="AI646" s="149" t="n">
        <v>0</v>
      </c>
      <c r="AJ646" s="149" t="n">
        <v>0</v>
      </c>
      <c r="AK646" s="149" t="n">
        <v>0</v>
      </c>
      <c r="AL646" s="149" t="n">
        <v>0</v>
      </c>
      <c r="AM646" s="149" t="n">
        <v>0</v>
      </c>
      <c r="AN646" s="148"/>
      <c r="AO646" s="148"/>
      <c r="AP646" s="146" t="s">
        <v>138</v>
      </c>
      <c r="AQ646" s="146" t="s">
        <v>139</v>
      </c>
      <c r="AR646" s="146" t="s">
        <v>840</v>
      </c>
      <c r="AS646" s="148"/>
      <c r="AT646" s="150"/>
    </row>
    <row r="647" customFormat="false" ht="12.75" hidden="false" customHeight="true" outlineLevel="0" collapsed="false">
      <c r="B647" s="151"/>
      <c r="C647" s="143" t="s">
        <v>168</v>
      </c>
      <c r="D647" s="152" t="n">
        <v>61073</v>
      </c>
      <c r="E647" s="144" t="str">
        <f aca="false">IF(D647="","",IFERROR(VLOOKUP(D647,CCN_Library!$A$4:$B$13,2,FALSE()),"NOT IN LIBRARY"))</f>
        <v>COMPANY/BATTERY HEADQUARTERS, MARINE CORPS</v>
      </c>
      <c r="F647" s="145" t="str">
        <f aca="false">LEFT(H647,6)</f>
        <v>M28262</v>
      </c>
      <c r="G647" s="146" t="s">
        <v>128</v>
      </c>
      <c r="H647" s="146" t="s">
        <v>984</v>
      </c>
      <c r="I647" s="146" t="s">
        <v>457</v>
      </c>
      <c r="J647" s="146" t="s">
        <v>176</v>
      </c>
      <c r="K647" s="147" t="s">
        <v>458</v>
      </c>
      <c r="L647" s="146" t="s">
        <v>161</v>
      </c>
      <c r="M647" s="146" t="s">
        <v>133</v>
      </c>
      <c r="N647" s="146" t="s">
        <v>128</v>
      </c>
      <c r="O647" s="146" t="s">
        <v>135</v>
      </c>
      <c r="P647" s="146" t="s">
        <v>135</v>
      </c>
      <c r="Q647" s="148"/>
      <c r="R647" s="146" t="s">
        <v>136</v>
      </c>
      <c r="S647" s="146" t="s">
        <v>58</v>
      </c>
      <c r="T647" s="148"/>
      <c r="U647" s="149" t="n">
        <v>0</v>
      </c>
      <c r="V647" s="149" t="n">
        <v>0</v>
      </c>
      <c r="W647" s="149" t="n">
        <v>0</v>
      </c>
      <c r="X647" s="149" t="n">
        <v>0</v>
      </c>
      <c r="Y647" s="149" t="n">
        <v>0</v>
      </c>
      <c r="Z647" s="149" t="n">
        <v>0</v>
      </c>
      <c r="AA647" s="149" t="n">
        <v>1</v>
      </c>
      <c r="AB647" s="149" t="n">
        <v>0</v>
      </c>
      <c r="AC647" s="149" t="n">
        <v>0</v>
      </c>
      <c r="AD647" s="149" t="n">
        <v>0</v>
      </c>
      <c r="AE647" s="149" t="n">
        <v>0</v>
      </c>
      <c r="AF647" s="149" t="n">
        <v>0</v>
      </c>
      <c r="AG647" s="149" t="n">
        <v>0</v>
      </c>
      <c r="AH647" s="149" t="n">
        <v>0</v>
      </c>
      <c r="AI647" s="149" t="n">
        <v>0</v>
      </c>
      <c r="AJ647" s="149" t="n">
        <v>0</v>
      </c>
      <c r="AK647" s="149" t="n">
        <v>0</v>
      </c>
      <c r="AL647" s="149" t="n">
        <v>0</v>
      </c>
      <c r="AM647" s="149" t="n">
        <v>0</v>
      </c>
      <c r="AN647" s="148"/>
      <c r="AO647" s="148"/>
      <c r="AP647" s="146" t="s">
        <v>138</v>
      </c>
      <c r="AQ647" s="146" t="s">
        <v>139</v>
      </c>
      <c r="AR647" s="146" t="s">
        <v>840</v>
      </c>
      <c r="AS647" s="148"/>
      <c r="AT647" s="153"/>
    </row>
    <row r="648" customFormat="false" ht="12.75" hidden="false" customHeight="true" outlineLevel="0" collapsed="false">
      <c r="B648" s="151"/>
      <c r="C648" s="143" t="s">
        <v>162</v>
      </c>
      <c r="D648" s="152" t="n">
        <v>61073</v>
      </c>
      <c r="E648" s="152"/>
      <c r="F648" s="154" t="str">
        <f aca="false">LEFT(H648,6)</f>
        <v>M28262</v>
      </c>
      <c r="G648" s="155" t="s">
        <v>58</v>
      </c>
      <c r="H648" s="155" t="s">
        <v>985</v>
      </c>
      <c r="I648" s="155" t="s">
        <v>764</v>
      </c>
      <c r="J648" s="156"/>
      <c r="K648" s="156"/>
      <c r="L648" s="156"/>
      <c r="M648" s="156"/>
      <c r="N648" s="156"/>
      <c r="O648" s="156"/>
      <c r="P648" s="156"/>
      <c r="Q648" s="156"/>
      <c r="R648" s="156"/>
      <c r="S648" s="156"/>
      <c r="T648" s="156"/>
      <c r="U648" s="157" t="n">
        <v>0</v>
      </c>
      <c r="V648" s="157" t="n">
        <v>0</v>
      </c>
      <c r="W648" s="157" t="n">
        <v>0</v>
      </c>
      <c r="X648" s="157" t="n">
        <v>0</v>
      </c>
      <c r="Y648" s="157" t="n">
        <v>0</v>
      </c>
      <c r="Z648" s="157" t="n">
        <v>0</v>
      </c>
      <c r="AA648" s="157" t="n">
        <v>0</v>
      </c>
      <c r="AB648" s="157" t="n">
        <v>0</v>
      </c>
      <c r="AC648" s="157" t="n">
        <v>0</v>
      </c>
      <c r="AD648" s="157" t="n">
        <v>0</v>
      </c>
      <c r="AE648" s="157" t="n">
        <v>0</v>
      </c>
      <c r="AF648" s="157" t="n">
        <v>0</v>
      </c>
      <c r="AG648" s="157" t="n">
        <v>0</v>
      </c>
      <c r="AH648" s="157" t="n">
        <v>0</v>
      </c>
      <c r="AI648" s="157" t="n">
        <v>0</v>
      </c>
      <c r="AJ648" s="157" t="n">
        <v>0</v>
      </c>
      <c r="AK648" s="157" t="n">
        <v>0</v>
      </c>
      <c r="AL648" s="157" t="n">
        <v>0</v>
      </c>
      <c r="AM648" s="157" t="n">
        <v>0</v>
      </c>
      <c r="AN648" s="156"/>
      <c r="AO648" s="156"/>
      <c r="AP648" s="156"/>
      <c r="AQ648" s="156"/>
      <c r="AR648" s="156"/>
      <c r="AS648" s="156"/>
      <c r="AT648" s="153"/>
    </row>
    <row r="649" customFormat="false" ht="12.75" hidden="false" customHeight="true" outlineLevel="0" collapsed="false">
      <c r="B649" s="142"/>
      <c r="C649" s="143" t="s">
        <v>162</v>
      </c>
      <c r="D649" s="144" t="n">
        <v>61073</v>
      </c>
      <c r="E649" s="144" t="str">
        <f aca="false">IF(D649="","",IFERROR(VLOOKUP(D649,CCN_Library!$A$4:$B$13,2,FALSE()),"NOT IN LIBRARY"))</f>
        <v>COMPANY/BATTERY HEADQUARTERS, MARINE CORPS</v>
      </c>
      <c r="F649" s="145" t="str">
        <f aca="false">LEFT(H649,6)</f>
        <v>M28262</v>
      </c>
      <c r="G649" s="146" t="s">
        <v>128</v>
      </c>
      <c r="H649" s="146" t="s">
        <v>986</v>
      </c>
      <c r="I649" s="146" t="s">
        <v>527</v>
      </c>
      <c r="J649" s="146" t="s">
        <v>211</v>
      </c>
      <c r="K649" s="147" t="s">
        <v>151</v>
      </c>
      <c r="L649" s="146" t="s">
        <v>151</v>
      </c>
      <c r="M649" s="146" t="s">
        <v>133</v>
      </c>
      <c r="N649" s="146" t="s">
        <v>134</v>
      </c>
      <c r="O649" s="146" t="s">
        <v>135</v>
      </c>
      <c r="P649" s="146" t="s">
        <v>135</v>
      </c>
      <c r="Q649" s="148"/>
      <c r="R649" s="146" t="s">
        <v>136</v>
      </c>
      <c r="S649" s="146" t="s">
        <v>137</v>
      </c>
      <c r="T649" s="148"/>
      <c r="U649" s="149" t="n">
        <v>0</v>
      </c>
      <c r="V649" s="149" t="n">
        <v>0</v>
      </c>
      <c r="W649" s="149" t="n">
        <v>0</v>
      </c>
      <c r="X649" s="149" t="n">
        <v>0</v>
      </c>
      <c r="Y649" s="149" t="n">
        <v>0</v>
      </c>
      <c r="Z649" s="149" t="n">
        <v>1</v>
      </c>
      <c r="AA649" s="149" t="n">
        <v>0</v>
      </c>
      <c r="AB649" s="149" t="n">
        <v>0</v>
      </c>
      <c r="AC649" s="149" t="n">
        <v>0</v>
      </c>
      <c r="AD649" s="149" t="n">
        <v>0</v>
      </c>
      <c r="AE649" s="149" t="n">
        <v>0</v>
      </c>
      <c r="AF649" s="149" t="n">
        <v>0</v>
      </c>
      <c r="AG649" s="149" t="n">
        <v>0</v>
      </c>
      <c r="AH649" s="149" t="n">
        <v>0</v>
      </c>
      <c r="AI649" s="149" t="n">
        <v>0</v>
      </c>
      <c r="AJ649" s="149" t="n">
        <v>0</v>
      </c>
      <c r="AK649" s="149" t="n">
        <v>0</v>
      </c>
      <c r="AL649" s="149" t="n">
        <v>0</v>
      </c>
      <c r="AM649" s="149" t="n">
        <v>0</v>
      </c>
      <c r="AN649" s="148"/>
      <c r="AO649" s="148"/>
      <c r="AP649" s="146" t="s">
        <v>138</v>
      </c>
      <c r="AQ649" s="146" t="s">
        <v>139</v>
      </c>
      <c r="AR649" s="146" t="s">
        <v>840</v>
      </c>
      <c r="AS649" s="148"/>
      <c r="AT649" s="150"/>
    </row>
    <row r="650" customFormat="false" ht="12.75" hidden="false" customHeight="true" outlineLevel="0" collapsed="false">
      <c r="B650" s="142"/>
      <c r="C650" s="143" t="s">
        <v>162</v>
      </c>
      <c r="D650" s="144" t="n">
        <v>61073</v>
      </c>
      <c r="E650" s="144" t="str">
        <f aca="false">IF(D650="","",IFERROR(VLOOKUP(D650,CCN_Library!$A$4:$B$13,2,FALSE()),"NOT IN LIBRARY"))</f>
        <v>COMPANY/BATTERY HEADQUARTERS, MARINE CORPS</v>
      </c>
      <c r="F650" s="145" t="str">
        <f aca="false">LEFT(H650,6)</f>
        <v>M28262</v>
      </c>
      <c r="G650" s="146" t="s">
        <v>128</v>
      </c>
      <c r="H650" s="146" t="s">
        <v>987</v>
      </c>
      <c r="I650" s="146" t="s">
        <v>472</v>
      </c>
      <c r="J650" s="146" t="s">
        <v>211</v>
      </c>
      <c r="K650" s="147" t="s">
        <v>223</v>
      </c>
      <c r="L650" s="146" t="s">
        <v>223</v>
      </c>
      <c r="M650" s="146" t="s">
        <v>133</v>
      </c>
      <c r="N650" s="146" t="s">
        <v>134</v>
      </c>
      <c r="O650" s="146" t="s">
        <v>135</v>
      </c>
      <c r="P650" s="146" t="s">
        <v>135</v>
      </c>
      <c r="Q650" s="148"/>
      <c r="R650" s="146" t="s">
        <v>136</v>
      </c>
      <c r="S650" s="146" t="s">
        <v>137</v>
      </c>
      <c r="T650" s="148"/>
      <c r="U650" s="149" t="n">
        <v>0</v>
      </c>
      <c r="V650" s="149" t="n">
        <v>0</v>
      </c>
      <c r="W650" s="149" t="n">
        <v>0</v>
      </c>
      <c r="X650" s="149" t="n">
        <v>0</v>
      </c>
      <c r="Y650" s="149" t="n">
        <v>0</v>
      </c>
      <c r="Z650" s="149" t="n">
        <v>1</v>
      </c>
      <c r="AA650" s="149" t="n">
        <v>0</v>
      </c>
      <c r="AB650" s="149" t="n">
        <v>0</v>
      </c>
      <c r="AC650" s="149" t="n">
        <v>0</v>
      </c>
      <c r="AD650" s="149" t="n">
        <v>0</v>
      </c>
      <c r="AE650" s="149" t="n">
        <v>0</v>
      </c>
      <c r="AF650" s="149" t="n">
        <v>0</v>
      </c>
      <c r="AG650" s="149" t="n">
        <v>0</v>
      </c>
      <c r="AH650" s="149" t="n">
        <v>0</v>
      </c>
      <c r="AI650" s="149" t="n">
        <v>0</v>
      </c>
      <c r="AJ650" s="149" t="n">
        <v>0</v>
      </c>
      <c r="AK650" s="149" t="n">
        <v>0</v>
      </c>
      <c r="AL650" s="149" t="n">
        <v>0</v>
      </c>
      <c r="AM650" s="149" t="n">
        <v>0</v>
      </c>
      <c r="AN650" s="148"/>
      <c r="AO650" s="148"/>
      <c r="AP650" s="146" t="s">
        <v>138</v>
      </c>
      <c r="AQ650" s="146" t="s">
        <v>139</v>
      </c>
      <c r="AR650" s="146" t="s">
        <v>840</v>
      </c>
      <c r="AS650" s="148"/>
      <c r="AT650" s="150"/>
    </row>
    <row r="651" customFormat="false" ht="12.75" hidden="false" customHeight="true" outlineLevel="0" collapsed="false">
      <c r="B651" s="142"/>
      <c r="C651" s="143" t="s">
        <v>162</v>
      </c>
      <c r="D651" s="144" t="n">
        <v>61073</v>
      </c>
      <c r="E651" s="144" t="str">
        <f aca="false">IF(D651="","",IFERROR(VLOOKUP(D651,CCN_Library!$A$4:$B$13,2,FALSE()),"NOT IN LIBRARY"))</f>
        <v>COMPANY/BATTERY HEADQUARTERS, MARINE CORPS</v>
      </c>
      <c r="F651" s="145" t="str">
        <f aca="false">LEFT(H651,6)</f>
        <v>M28262</v>
      </c>
      <c r="G651" s="146" t="s">
        <v>128</v>
      </c>
      <c r="H651" s="146" t="s">
        <v>988</v>
      </c>
      <c r="I651" s="146" t="s">
        <v>530</v>
      </c>
      <c r="J651" s="146" t="s">
        <v>182</v>
      </c>
      <c r="K651" s="147" t="s">
        <v>223</v>
      </c>
      <c r="L651" s="146" t="s">
        <v>223</v>
      </c>
      <c r="M651" s="146" t="s">
        <v>133</v>
      </c>
      <c r="N651" s="146" t="s">
        <v>134</v>
      </c>
      <c r="O651" s="146" t="s">
        <v>135</v>
      </c>
      <c r="P651" s="146" t="s">
        <v>135</v>
      </c>
      <c r="Q651" s="148"/>
      <c r="R651" s="146" t="s">
        <v>136</v>
      </c>
      <c r="S651" s="146" t="s">
        <v>137</v>
      </c>
      <c r="T651" s="148"/>
      <c r="U651" s="149" t="n">
        <v>0</v>
      </c>
      <c r="V651" s="149" t="n">
        <v>0</v>
      </c>
      <c r="W651" s="149" t="n">
        <v>0</v>
      </c>
      <c r="X651" s="149" t="n">
        <v>0</v>
      </c>
      <c r="Y651" s="149" t="n">
        <v>0</v>
      </c>
      <c r="Z651" s="149" t="n">
        <v>1</v>
      </c>
      <c r="AA651" s="149" t="n">
        <v>0</v>
      </c>
      <c r="AB651" s="149" t="n">
        <v>0</v>
      </c>
      <c r="AC651" s="149" t="n">
        <v>0</v>
      </c>
      <c r="AD651" s="149" t="n">
        <v>0</v>
      </c>
      <c r="AE651" s="149" t="n">
        <v>0</v>
      </c>
      <c r="AF651" s="149" t="n">
        <v>0</v>
      </c>
      <c r="AG651" s="149" t="n">
        <v>0</v>
      </c>
      <c r="AH651" s="149" t="n">
        <v>0</v>
      </c>
      <c r="AI651" s="149" t="n">
        <v>0</v>
      </c>
      <c r="AJ651" s="149" t="n">
        <v>0</v>
      </c>
      <c r="AK651" s="149" t="n">
        <v>0</v>
      </c>
      <c r="AL651" s="149" t="n">
        <v>0</v>
      </c>
      <c r="AM651" s="149" t="n">
        <v>0</v>
      </c>
      <c r="AN651" s="148"/>
      <c r="AO651" s="148"/>
      <c r="AP651" s="146" t="s">
        <v>138</v>
      </c>
      <c r="AQ651" s="146" t="s">
        <v>139</v>
      </c>
      <c r="AR651" s="146" t="s">
        <v>840</v>
      </c>
      <c r="AS651" s="148"/>
      <c r="AT651" s="150"/>
    </row>
    <row r="652" customFormat="false" ht="12.75" hidden="false" customHeight="true" outlineLevel="0" collapsed="false">
      <c r="B652" s="151"/>
      <c r="C652" s="143" t="s">
        <v>162</v>
      </c>
      <c r="D652" s="152" t="n">
        <v>61073</v>
      </c>
      <c r="E652" s="144" t="str">
        <f aca="false">IF(D652="","",IFERROR(VLOOKUP(D652,CCN_Library!$A$4:$B$13,2,FALSE()),"NOT IN LIBRARY"))</f>
        <v>COMPANY/BATTERY HEADQUARTERS, MARINE CORPS</v>
      </c>
      <c r="F652" s="145" t="str">
        <f aca="false">LEFT(H652,6)</f>
        <v>M28262</v>
      </c>
      <c r="G652" s="146" t="s">
        <v>128</v>
      </c>
      <c r="H652" s="146" t="s">
        <v>989</v>
      </c>
      <c r="I652" s="146" t="s">
        <v>159</v>
      </c>
      <c r="J652" s="146" t="s">
        <v>189</v>
      </c>
      <c r="K652" s="147" t="s">
        <v>161</v>
      </c>
      <c r="L652" s="146" t="s">
        <v>161</v>
      </c>
      <c r="M652" s="146" t="s">
        <v>133</v>
      </c>
      <c r="N652" s="146" t="s">
        <v>128</v>
      </c>
      <c r="O652" s="146" t="s">
        <v>135</v>
      </c>
      <c r="P652" s="146" t="s">
        <v>135</v>
      </c>
      <c r="Q652" s="148"/>
      <c r="R652" s="146" t="s">
        <v>136</v>
      </c>
      <c r="S652" s="146" t="s">
        <v>137</v>
      </c>
      <c r="T652" s="148"/>
      <c r="U652" s="149" t="n">
        <v>0</v>
      </c>
      <c r="V652" s="149" t="n">
        <v>0</v>
      </c>
      <c r="W652" s="149" t="n">
        <v>0</v>
      </c>
      <c r="X652" s="149" t="n">
        <v>0</v>
      </c>
      <c r="Y652" s="149" t="n">
        <v>0</v>
      </c>
      <c r="Z652" s="149" t="n">
        <v>0</v>
      </c>
      <c r="AA652" s="149" t="n">
        <v>1</v>
      </c>
      <c r="AB652" s="149" t="n">
        <v>0</v>
      </c>
      <c r="AC652" s="149" t="n">
        <v>0</v>
      </c>
      <c r="AD652" s="149" t="n">
        <v>0</v>
      </c>
      <c r="AE652" s="149" t="n">
        <v>0</v>
      </c>
      <c r="AF652" s="149" t="n">
        <v>0</v>
      </c>
      <c r="AG652" s="149" t="n">
        <v>0</v>
      </c>
      <c r="AH652" s="149" t="n">
        <v>0</v>
      </c>
      <c r="AI652" s="149" t="n">
        <v>0</v>
      </c>
      <c r="AJ652" s="149" t="n">
        <v>0</v>
      </c>
      <c r="AK652" s="149" t="n">
        <v>0</v>
      </c>
      <c r="AL652" s="149" t="n">
        <v>0</v>
      </c>
      <c r="AM652" s="149" t="n">
        <v>0</v>
      </c>
      <c r="AN652" s="148"/>
      <c r="AO652" s="148"/>
      <c r="AP652" s="146" t="s">
        <v>138</v>
      </c>
      <c r="AQ652" s="146" t="s">
        <v>139</v>
      </c>
      <c r="AR652" s="146" t="s">
        <v>840</v>
      </c>
      <c r="AS652" s="148"/>
      <c r="AT652" s="153"/>
    </row>
    <row r="653" customFormat="false" ht="12.75" hidden="false" customHeight="true" outlineLevel="0" collapsed="false">
      <c r="B653" s="142"/>
      <c r="C653" s="143" t="s">
        <v>168</v>
      </c>
      <c r="D653" s="144" t="n">
        <v>61073</v>
      </c>
      <c r="E653" s="144" t="str">
        <f aca="false">IF(D653="","",IFERROR(VLOOKUP(D653,CCN_Library!$A$4:$B$13,2,FALSE()),"NOT IN LIBRARY"))</f>
        <v>COMPANY/BATTERY HEADQUARTERS, MARINE CORPS</v>
      </c>
      <c r="F653" s="145" t="str">
        <f aca="false">LEFT(H653,6)</f>
        <v>M28262</v>
      </c>
      <c r="G653" s="146" t="s">
        <v>128</v>
      </c>
      <c r="H653" s="146" t="s">
        <v>990</v>
      </c>
      <c r="I653" s="146" t="s">
        <v>159</v>
      </c>
      <c r="J653" s="146" t="s">
        <v>191</v>
      </c>
      <c r="K653" s="147" t="s">
        <v>161</v>
      </c>
      <c r="L653" s="146" t="s">
        <v>161</v>
      </c>
      <c r="M653" s="146" t="s">
        <v>133</v>
      </c>
      <c r="N653" s="146" t="s">
        <v>128</v>
      </c>
      <c r="O653" s="146" t="s">
        <v>135</v>
      </c>
      <c r="P653" s="146" t="s">
        <v>135</v>
      </c>
      <c r="Q653" s="148"/>
      <c r="R653" s="146" t="s">
        <v>136</v>
      </c>
      <c r="S653" s="146" t="s">
        <v>58</v>
      </c>
      <c r="T653" s="148"/>
      <c r="U653" s="149" t="n">
        <v>0</v>
      </c>
      <c r="V653" s="149" t="n">
        <v>0</v>
      </c>
      <c r="W653" s="149" t="n">
        <v>0</v>
      </c>
      <c r="X653" s="149" t="n">
        <v>0</v>
      </c>
      <c r="Y653" s="149" t="n">
        <v>0</v>
      </c>
      <c r="Z653" s="149" t="n">
        <v>0</v>
      </c>
      <c r="AA653" s="149" t="n">
        <v>1</v>
      </c>
      <c r="AB653" s="149" t="n">
        <v>0</v>
      </c>
      <c r="AC653" s="149" t="n">
        <v>0</v>
      </c>
      <c r="AD653" s="149" t="n">
        <v>0</v>
      </c>
      <c r="AE653" s="149" t="n">
        <v>0</v>
      </c>
      <c r="AF653" s="149" t="n">
        <v>0</v>
      </c>
      <c r="AG653" s="149" t="n">
        <v>0</v>
      </c>
      <c r="AH653" s="149" t="n">
        <v>0</v>
      </c>
      <c r="AI653" s="149" t="n">
        <v>0</v>
      </c>
      <c r="AJ653" s="149" t="n">
        <v>0</v>
      </c>
      <c r="AK653" s="149" t="n">
        <v>0</v>
      </c>
      <c r="AL653" s="149" t="n">
        <v>0</v>
      </c>
      <c r="AM653" s="149" t="n">
        <v>0</v>
      </c>
      <c r="AN653" s="148"/>
      <c r="AO653" s="148"/>
      <c r="AP653" s="146" t="s">
        <v>138</v>
      </c>
      <c r="AQ653" s="146" t="s">
        <v>139</v>
      </c>
      <c r="AR653" s="146" t="s">
        <v>840</v>
      </c>
      <c r="AS653" s="148"/>
      <c r="AT653" s="150"/>
    </row>
    <row r="654" customFormat="false" ht="12.75" hidden="false" customHeight="true" outlineLevel="0" collapsed="false">
      <c r="B654" s="142"/>
      <c r="C654" s="143" t="s">
        <v>168</v>
      </c>
      <c r="D654" s="144" t="n">
        <v>61073</v>
      </c>
      <c r="E654" s="144" t="str">
        <f aca="false">IF(D654="","",IFERROR(VLOOKUP(D654,CCN_Library!$A$4:$B$13,2,FALSE()),"NOT IN LIBRARY"))</f>
        <v>COMPANY/BATTERY HEADQUARTERS, MARINE CORPS</v>
      </c>
      <c r="F654" s="145" t="str">
        <f aca="false">LEFT(H654,6)</f>
        <v>M28262</v>
      </c>
      <c r="G654" s="146" t="s">
        <v>128</v>
      </c>
      <c r="H654" s="146" t="s">
        <v>991</v>
      </c>
      <c r="I654" s="146" t="s">
        <v>159</v>
      </c>
      <c r="J654" s="146" t="s">
        <v>191</v>
      </c>
      <c r="K654" s="147" t="s">
        <v>161</v>
      </c>
      <c r="L654" s="146" t="s">
        <v>161</v>
      </c>
      <c r="M654" s="146" t="s">
        <v>133</v>
      </c>
      <c r="N654" s="146" t="s">
        <v>128</v>
      </c>
      <c r="O654" s="146" t="s">
        <v>135</v>
      </c>
      <c r="P654" s="146" t="s">
        <v>135</v>
      </c>
      <c r="Q654" s="148"/>
      <c r="R654" s="146" t="s">
        <v>136</v>
      </c>
      <c r="S654" s="146" t="s">
        <v>58</v>
      </c>
      <c r="T654" s="148"/>
      <c r="U654" s="149" t="n">
        <v>0</v>
      </c>
      <c r="V654" s="149" t="n">
        <v>0</v>
      </c>
      <c r="W654" s="149" t="n">
        <v>0</v>
      </c>
      <c r="X654" s="149" t="n">
        <v>0</v>
      </c>
      <c r="Y654" s="149" t="n">
        <v>0</v>
      </c>
      <c r="Z654" s="149" t="n">
        <v>0</v>
      </c>
      <c r="AA654" s="149" t="n">
        <v>1</v>
      </c>
      <c r="AB654" s="149" t="n">
        <v>0</v>
      </c>
      <c r="AC654" s="149" t="n">
        <v>0</v>
      </c>
      <c r="AD654" s="149" t="n">
        <v>0</v>
      </c>
      <c r="AE654" s="149" t="n">
        <v>0</v>
      </c>
      <c r="AF654" s="149" t="n">
        <v>0</v>
      </c>
      <c r="AG654" s="149" t="n">
        <v>0</v>
      </c>
      <c r="AH654" s="149" t="n">
        <v>0</v>
      </c>
      <c r="AI654" s="149" t="n">
        <v>0</v>
      </c>
      <c r="AJ654" s="149" t="n">
        <v>0</v>
      </c>
      <c r="AK654" s="149" t="n">
        <v>0</v>
      </c>
      <c r="AL654" s="149" t="n">
        <v>0</v>
      </c>
      <c r="AM654" s="149" t="n">
        <v>0</v>
      </c>
      <c r="AN654" s="148"/>
      <c r="AO654" s="148"/>
      <c r="AP654" s="146" t="s">
        <v>138</v>
      </c>
      <c r="AQ654" s="146" t="s">
        <v>139</v>
      </c>
      <c r="AR654" s="146" t="s">
        <v>840</v>
      </c>
      <c r="AS654" s="148"/>
      <c r="AT654" s="150"/>
    </row>
    <row r="655" customFormat="false" ht="12.75" hidden="false" customHeight="true" outlineLevel="0" collapsed="false">
      <c r="B655" s="142"/>
      <c r="C655" s="143" t="s">
        <v>168</v>
      </c>
      <c r="D655" s="144" t="n">
        <v>61073</v>
      </c>
      <c r="E655" s="144" t="str">
        <f aca="false">IF(D655="","",IFERROR(VLOOKUP(D655,CCN_Library!$A$4:$B$13,2,FALSE()),"NOT IN LIBRARY"))</f>
        <v>COMPANY/BATTERY HEADQUARTERS, MARINE CORPS</v>
      </c>
      <c r="F655" s="145" t="str">
        <f aca="false">LEFT(H655,6)</f>
        <v>M28262</v>
      </c>
      <c r="G655" s="146" t="s">
        <v>128</v>
      </c>
      <c r="H655" s="146" t="s">
        <v>992</v>
      </c>
      <c r="I655" s="146" t="s">
        <v>159</v>
      </c>
      <c r="J655" s="146" t="s">
        <v>160</v>
      </c>
      <c r="K655" s="147" t="s">
        <v>161</v>
      </c>
      <c r="L655" s="146" t="s">
        <v>161</v>
      </c>
      <c r="M655" s="146" t="s">
        <v>133</v>
      </c>
      <c r="N655" s="146" t="s">
        <v>128</v>
      </c>
      <c r="O655" s="146" t="s">
        <v>135</v>
      </c>
      <c r="P655" s="146" t="s">
        <v>135</v>
      </c>
      <c r="Q655" s="148"/>
      <c r="R655" s="146" t="s">
        <v>136</v>
      </c>
      <c r="S655" s="146" t="s">
        <v>58</v>
      </c>
      <c r="T655" s="148"/>
      <c r="U655" s="149" t="n">
        <v>0</v>
      </c>
      <c r="V655" s="149" t="n">
        <v>0</v>
      </c>
      <c r="W655" s="149" t="n">
        <v>0</v>
      </c>
      <c r="X655" s="149" t="n">
        <v>0</v>
      </c>
      <c r="Y655" s="149" t="n">
        <v>0</v>
      </c>
      <c r="Z655" s="149" t="n">
        <v>0</v>
      </c>
      <c r="AA655" s="149" t="n">
        <v>1</v>
      </c>
      <c r="AB655" s="149" t="n">
        <v>0</v>
      </c>
      <c r="AC655" s="149" t="n">
        <v>0</v>
      </c>
      <c r="AD655" s="149" t="n">
        <v>0</v>
      </c>
      <c r="AE655" s="149" t="n">
        <v>0</v>
      </c>
      <c r="AF655" s="149" t="n">
        <v>0</v>
      </c>
      <c r="AG655" s="149" t="n">
        <v>0</v>
      </c>
      <c r="AH655" s="149" t="n">
        <v>0</v>
      </c>
      <c r="AI655" s="149" t="n">
        <v>0</v>
      </c>
      <c r="AJ655" s="149" t="n">
        <v>0</v>
      </c>
      <c r="AK655" s="149" t="n">
        <v>0</v>
      </c>
      <c r="AL655" s="149" t="n">
        <v>0</v>
      </c>
      <c r="AM655" s="149" t="n">
        <v>0</v>
      </c>
      <c r="AN655" s="148"/>
      <c r="AO655" s="148"/>
      <c r="AP655" s="146" t="s">
        <v>138</v>
      </c>
      <c r="AQ655" s="146" t="s">
        <v>139</v>
      </c>
      <c r="AR655" s="146" t="s">
        <v>840</v>
      </c>
      <c r="AS655" s="148"/>
      <c r="AT655" s="150"/>
    </row>
    <row r="656" customFormat="false" ht="12.75" hidden="false" customHeight="true" outlineLevel="0" collapsed="false">
      <c r="B656" s="151"/>
      <c r="C656" s="143" t="s">
        <v>168</v>
      </c>
      <c r="D656" s="152" t="n">
        <v>61073</v>
      </c>
      <c r="E656" s="144" t="str">
        <f aca="false">IF(D656="","",IFERROR(VLOOKUP(D656,CCN_Library!$A$4:$B$13,2,FALSE()),"NOT IN LIBRARY"))</f>
        <v>COMPANY/BATTERY HEADQUARTERS, MARINE CORPS</v>
      </c>
      <c r="F656" s="145" t="str">
        <f aca="false">LEFT(H656,6)</f>
        <v>M28262</v>
      </c>
      <c r="G656" s="146" t="s">
        <v>128</v>
      </c>
      <c r="H656" s="146" t="s">
        <v>993</v>
      </c>
      <c r="I656" s="146" t="s">
        <v>159</v>
      </c>
      <c r="J656" s="146" t="s">
        <v>160</v>
      </c>
      <c r="K656" s="147" t="s">
        <v>161</v>
      </c>
      <c r="L656" s="146" t="s">
        <v>161</v>
      </c>
      <c r="M656" s="146" t="s">
        <v>133</v>
      </c>
      <c r="N656" s="146" t="s">
        <v>128</v>
      </c>
      <c r="O656" s="146" t="s">
        <v>135</v>
      </c>
      <c r="P656" s="146" t="s">
        <v>135</v>
      </c>
      <c r="Q656" s="148"/>
      <c r="R656" s="146" t="s">
        <v>136</v>
      </c>
      <c r="S656" s="146" t="s">
        <v>58</v>
      </c>
      <c r="T656" s="148"/>
      <c r="U656" s="149" t="n">
        <v>0</v>
      </c>
      <c r="V656" s="149" t="n">
        <v>0</v>
      </c>
      <c r="W656" s="149" t="n">
        <v>0</v>
      </c>
      <c r="X656" s="149" t="n">
        <v>0</v>
      </c>
      <c r="Y656" s="149" t="n">
        <v>0</v>
      </c>
      <c r="Z656" s="149" t="n">
        <v>0</v>
      </c>
      <c r="AA656" s="149" t="n">
        <v>1</v>
      </c>
      <c r="AB656" s="149" t="n">
        <v>0</v>
      </c>
      <c r="AC656" s="149" t="n">
        <v>0</v>
      </c>
      <c r="AD656" s="149" t="n">
        <v>0</v>
      </c>
      <c r="AE656" s="149" t="n">
        <v>0</v>
      </c>
      <c r="AF656" s="149" t="n">
        <v>0</v>
      </c>
      <c r="AG656" s="149" t="n">
        <v>0</v>
      </c>
      <c r="AH656" s="149" t="n">
        <v>0</v>
      </c>
      <c r="AI656" s="149" t="n">
        <v>0</v>
      </c>
      <c r="AJ656" s="149" t="n">
        <v>0</v>
      </c>
      <c r="AK656" s="149" t="n">
        <v>0</v>
      </c>
      <c r="AL656" s="149" t="n">
        <v>0</v>
      </c>
      <c r="AM656" s="149" t="n">
        <v>0</v>
      </c>
      <c r="AN656" s="148"/>
      <c r="AO656" s="148"/>
      <c r="AP656" s="146" t="s">
        <v>138</v>
      </c>
      <c r="AQ656" s="146" t="s">
        <v>139</v>
      </c>
      <c r="AR656" s="146" t="s">
        <v>840</v>
      </c>
      <c r="AS656" s="148"/>
      <c r="AT656" s="153"/>
    </row>
    <row r="657" customFormat="false" ht="12.75" hidden="false" customHeight="true" outlineLevel="0" collapsed="false">
      <c r="B657" s="142"/>
      <c r="C657" s="143" t="s">
        <v>168</v>
      </c>
      <c r="D657" s="144" t="n">
        <v>61073</v>
      </c>
      <c r="E657" s="144" t="str">
        <f aca="false">IF(D657="","",IFERROR(VLOOKUP(D657,CCN_Library!$A$4:$B$13,2,FALSE()),"NOT IN LIBRARY"))</f>
        <v>COMPANY/BATTERY HEADQUARTERS, MARINE CORPS</v>
      </c>
      <c r="F657" s="145" t="str">
        <f aca="false">LEFT(H657,6)</f>
        <v>M28262</v>
      </c>
      <c r="G657" s="146" t="s">
        <v>128</v>
      </c>
      <c r="H657" s="146" t="s">
        <v>994</v>
      </c>
      <c r="I657" s="146" t="s">
        <v>159</v>
      </c>
      <c r="J657" s="146" t="s">
        <v>160</v>
      </c>
      <c r="K657" s="147" t="s">
        <v>161</v>
      </c>
      <c r="L657" s="146" t="s">
        <v>161</v>
      </c>
      <c r="M657" s="146" t="s">
        <v>133</v>
      </c>
      <c r="N657" s="146" t="s">
        <v>128</v>
      </c>
      <c r="O657" s="146" t="s">
        <v>135</v>
      </c>
      <c r="P657" s="146" t="s">
        <v>135</v>
      </c>
      <c r="Q657" s="148"/>
      <c r="R657" s="146" t="s">
        <v>136</v>
      </c>
      <c r="S657" s="146" t="s">
        <v>58</v>
      </c>
      <c r="T657" s="148"/>
      <c r="U657" s="149" t="n">
        <v>0</v>
      </c>
      <c r="V657" s="149" t="n">
        <v>0</v>
      </c>
      <c r="W657" s="149" t="n">
        <v>0</v>
      </c>
      <c r="X657" s="149" t="n">
        <v>0</v>
      </c>
      <c r="Y657" s="149" t="n">
        <v>0</v>
      </c>
      <c r="Z657" s="149" t="n">
        <v>0</v>
      </c>
      <c r="AA657" s="149" t="n">
        <v>1</v>
      </c>
      <c r="AB657" s="149" t="n">
        <v>0</v>
      </c>
      <c r="AC657" s="149" t="n">
        <v>0</v>
      </c>
      <c r="AD657" s="149" t="n">
        <v>0</v>
      </c>
      <c r="AE657" s="149" t="n">
        <v>0</v>
      </c>
      <c r="AF657" s="149" t="n">
        <v>0</v>
      </c>
      <c r="AG657" s="149" t="n">
        <v>0</v>
      </c>
      <c r="AH657" s="149" t="n">
        <v>0</v>
      </c>
      <c r="AI657" s="149" t="n">
        <v>0</v>
      </c>
      <c r="AJ657" s="149" t="n">
        <v>0</v>
      </c>
      <c r="AK657" s="149" t="n">
        <v>0</v>
      </c>
      <c r="AL657" s="149" t="n">
        <v>0</v>
      </c>
      <c r="AM657" s="149" t="n">
        <v>0</v>
      </c>
      <c r="AN657" s="148"/>
      <c r="AO657" s="148"/>
      <c r="AP657" s="146" t="s">
        <v>138</v>
      </c>
      <c r="AQ657" s="146" t="s">
        <v>139</v>
      </c>
      <c r="AR657" s="146" t="s">
        <v>840</v>
      </c>
      <c r="AS657" s="148"/>
      <c r="AT657" s="150"/>
    </row>
    <row r="658" customFormat="false" ht="12.75" hidden="false" customHeight="true" outlineLevel="0" collapsed="false">
      <c r="B658" s="142"/>
      <c r="C658" s="143" t="s">
        <v>168</v>
      </c>
      <c r="D658" s="144" t="n">
        <v>61073</v>
      </c>
      <c r="E658" s="144" t="str">
        <f aca="false">IF(D658="","",IFERROR(VLOOKUP(D658,CCN_Library!$A$4:$B$13,2,FALSE()),"NOT IN LIBRARY"))</f>
        <v>COMPANY/BATTERY HEADQUARTERS, MARINE CORPS</v>
      </c>
      <c r="F658" s="145" t="str">
        <f aca="false">LEFT(H658,6)</f>
        <v>M28262</v>
      </c>
      <c r="G658" s="146" t="s">
        <v>128</v>
      </c>
      <c r="H658" s="146" t="s">
        <v>995</v>
      </c>
      <c r="I658" s="146" t="s">
        <v>159</v>
      </c>
      <c r="J658" s="146" t="s">
        <v>160</v>
      </c>
      <c r="K658" s="147" t="s">
        <v>161</v>
      </c>
      <c r="L658" s="146" t="s">
        <v>161</v>
      </c>
      <c r="M658" s="146" t="s">
        <v>133</v>
      </c>
      <c r="N658" s="146" t="s">
        <v>128</v>
      </c>
      <c r="O658" s="146" t="s">
        <v>135</v>
      </c>
      <c r="P658" s="146" t="s">
        <v>135</v>
      </c>
      <c r="Q658" s="148"/>
      <c r="R658" s="146" t="s">
        <v>136</v>
      </c>
      <c r="S658" s="146" t="s">
        <v>58</v>
      </c>
      <c r="T658" s="148"/>
      <c r="U658" s="149" t="n">
        <v>0</v>
      </c>
      <c r="V658" s="149" t="n">
        <v>0</v>
      </c>
      <c r="W658" s="149" t="n">
        <v>0</v>
      </c>
      <c r="X658" s="149" t="n">
        <v>0</v>
      </c>
      <c r="Y658" s="149" t="n">
        <v>0</v>
      </c>
      <c r="Z658" s="149" t="n">
        <v>0</v>
      </c>
      <c r="AA658" s="149" t="n">
        <v>1</v>
      </c>
      <c r="AB658" s="149" t="n">
        <v>0</v>
      </c>
      <c r="AC658" s="149" t="n">
        <v>0</v>
      </c>
      <c r="AD658" s="149" t="n">
        <v>0</v>
      </c>
      <c r="AE658" s="149" t="n">
        <v>0</v>
      </c>
      <c r="AF658" s="149" t="n">
        <v>0</v>
      </c>
      <c r="AG658" s="149" t="n">
        <v>0</v>
      </c>
      <c r="AH658" s="149" t="n">
        <v>0</v>
      </c>
      <c r="AI658" s="149" t="n">
        <v>0</v>
      </c>
      <c r="AJ658" s="149" t="n">
        <v>0</v>
      </c>
      <c r="AK658" s="149" t="n">
        <v>0</v>
      </c>
      <c r="AL658" s="149" t="n">
        <v>0</v>
      </c>
      <c r="AM658" s="149" t="n">
        <v>0</v>
      </c>
      <c r="AN658" s="148"/>
      <c r="AO658" s="148"/>
      <c r="AP658" s="146" t="s">
        <v>138</v>
      </c>
      <c r="AQ658" s="146" t="s">
        <v>139</v>
      </c>
      <c r="AR658" s="146" t="s">
        <v>840</v>
      </c>
      <c r="AS658" s="148"/>
      <c r="AT658" s="150"/>
    </row>
    <row r="659" customFormat="false" ht="12.75" hidden="false" customHeight="true" outlineLevel="0" collapsed="false">
      <c r="B659" s="142"/>
      <c r="C659" s="143" t="s">
        <v>168</v>
      </c>
      <c r="D659" s="144" t="n">
        <v>61073</v>
      </c>
      <c r="E659" s="144" t="str">
        <f aca="false">IF(D659="","",IFERROR(VLOOKUP(D659,CCN_Library!$A$4:$B$13,2,FALSE()),"NOT IN LIBRARY"))</f>
        <v>COMPANY/BATTERY HEADQUARTERS, MARINE CORPS</v>
      </c>
      <c r="F659" s="145" t="str">
        <f aca="false">LEFT(H659,6)</f>
        <v>M28262</v>
      </c>
      <c r="G659" s="146" t="s">
        <v>128</v>
      </c>
      <c r="H659" s="146" t="s">
        <v>996</v>
      </c>
      <c r="I659" s="146" t="s">
        <v>159</v>
      </c>
      <c r="J659" s="146" t="s">
        <v>160</v>
      </c>
      <c r="K659" s="147" t="s">
        <v>161</v>
      </c>
      <c r="L659" s="146" t="s">
        <v>161</v>
      </c>
      <c r="M659" s="146" t="s">
        <v>133</v>
      </c>
      <c r="N659" s="146" t="s">
        <v>128</v>
      </c>
      <c r="O659" s="146" t="s">
        <v>135</v>
      </c>
      <c r="P659" s="146" t="s">
        <v>135</v>
      </c>
      <c r="Q659" s="148"/>
      <c r="R659" s="146" t="s">
        <v>136</v>
      </c>
      <c r="S659" s="146" t="s">
        <v>58</v>
      </c>
      <c r="T659" s="148"/>
      <c r="U659" s="149" t="n">
        <v>0</v>
      </c>
      <c r="V659" s="149" t="n">
        <v>0</v>
      </c>
      <c r="W659" s="149" t="n">
        <v>0</v>
      </c>
      <c r="X659" s="149" t="n">
        <v>0</v>
      </c>
      <c r="Y659" s="149" t="n">
        <v>0</v>
      </c>
      <c r="Z659" s="149" t="n">
        <v>0</v>
      </c>
      <c r="AA659" s="149" t="n">
        <v>1</v>
      </c>
      <c r="AB659" s="149" t="n">
        <v>0</v>
      </c>
      <c r="AC659" s="149" t="n">
        <v>0</v>
      </c>
      <c r="AD659" s="149" t="n">
        <v>0</v>
      </c>
      <c r="AE659" s="149" t="n">
        <v>0</v>
      </c>
      <c r="AF659" s="149" t="n">
        <v>0</v>
      </c>
      <c r="AG659" s="149" t="n">
        <v>0</v>
      </c>
      <c r="AH659" s="149" t="n">
        <v>0</v>
      </c>
      <c r="AI659" s="149" t="n">
        <v>0</v>
      </c>
      <c r="AJ659" s="149" t="n">
        <v>0</v>
      </c>
      <c r="AK659" s="149" t="n">
        <v>0</v>
      </c>
      <c r="AL659" s="149" t="n">
        <v>0</v>
      </c>
      <c r="AM659" s="149" t="n">
        <v>0</v>
      </c>
      <c r="AN659" s="148"/>
      <c r="AO659" s="148"/>
      <c r="AP659" s="146" t="s">
        <v>138</v>
      </c>
      <c r="AQ659" s="146" t="s">
        <v>139</v>
      </c>
      <c r="AR659" s="146" t="s">
        <v>840</v>
      </c>
      <c r="AS659" s="148"/>
      <c r="AT659" s="150"/>
    </row>
    <row r="660" customFormat="false" ht="12.75" hidden="false" customHeight="true" outlineLevel="0" collapsed="false">
      <c r="B660" s="151"/>
      <c r="C660" s="143" t="s">
        <v>162</v>
      </c>
      <c r="D660" s="152" t="n">
        <v>61073</v>
      </c>
      <c r="E660" s="152"/>
      <c r="F660" s="154" t="str">
        <f aca="false">LEFT(H660,6)</f>
        <v>M28262</v>
      </c>
      <c r="G660" s="155" t="s">
        <v>58</v>
      </c>
      <c r="H660" s="155" t="s">
        <v>997</v>
      </c>
      <c r="I660" s="155" t="s">
        <v>777</v>
      </c>
      <c r="J660" s="156"/>
      <c r="K660" s="156"/>
      <c r="L660" s="156"/>
      <c r="M660" s="156"/>
      <c r="N660" s="156"/>
      <c r="O660" s="156"/>
      <c r="P660" s="156"/>
      <c r="Q660" s="156"/>
      <c r="R660" s="156"/>
      <c r="S660" s="156"/>
      <c r="T660" s="156"/>
      <c r="U660" s="157" t="n">
        <v>0</v>
      </c>
      <c r="V660" s="157" t="n">
        <v>0</v>
      </c>
      <c r="W660" s="157" t="n">
        <v>0</v>
      </c>
      <c r="X660" s="157" t="n">
        <v>0</v>
      </c>
      <c r="Y660" s="157" t="n">
        <v>0</v>
      </c>
      <c r="Z660" s="157" t="n">
        <v>0</v>
      </c>
      <c r="AA660" s="157" t="n">
        <v>0</v>
      </c>
      <c r="AB660" s="157" t="n">
        <v>0</v>
      </c>
      <c r="AC660" s="157" t="n">
        <v>0</v>
      </c>
      <c r="AD660" s="157" t="n">
        <v>0</v>
      </c>
      <c r="AE660" s="157" t="n">
        <v>0</v>
      </c>
      <c r="AF660" s="157" t="n">
        <v>0</v>
      </c>
      <c r="AG660" s="157" t="n">
        <v>0</v>
      </c>
      <c r="AH660" s="157" t="n">
        <v>0</v>
      </c>
      <c r="AI660" s="157" t="n">
        <v>0</v>
      </c>
      <c r="AJ660" s="157" t="n">
        <v>0</v>
      </c>
      <c r="AK660" s="157" t="n">
        <v>0</v>
      </c>
      <c r="AL660" s="157" t="n">
        <v>0</v>
      </c>
      <c r="AM660" s="157" t="n">
        <v>0</v>
      </c>
      <c r="AN660" s="156"/>
      <c r="AO660" s="156"/>
      <c r="AP660" s="156"/>
      <c r="AQ660" s="156"/>
      <c r="AR660" s="156"/>
      <c r="AS660" s="156"/>
      <c r="AT660" s="153"/>
    </row>
    <row r="661" customFormat="false" ht="12.75" hidden="false" customHeight="true" outlineLevel="0" collapsed="false">
      <c r="B661" s="151"/>
      <c r="C661" s="143" t="s">
        <v>162</v>
      </c>
      <c r="D661" s="152" t="n">
        <v>61073</v>
      </c>
      <c r="E661" s="152"/>
      <c r="F661" s="154" t="str">
        <f aca="false">LEFT(H661,6)</f>
        <v>M28262</v>
      </c>
      <c r="G661" s="155" t="s">
        <v>177</v>
      </c>
      <c r="H661" s="155" t="s">
        <v>998</v>
      </c>
      <c r="I661" s="155" t="s">
        <v>779</v>
      </c>
      <c r="J661" s="156"/>
      <c r="K661" s="156"/>
      <c r="L661" s="156"/>
      <c r="M661" s="156"/>
      <c r="N661" s="156"/>
      <c r="O661" s="156"/>
      <c r="P661" s="156"/>
      <c r="Q661" s="156"/>
      <c r="R661" s="156"/>
      <c r="S661" s="156"/>
      <c r="T661" s="156"/>
      <c r="U661" s="157" t="n">
        <v>0</v>
      </c>
      <c r="V661" s="157" t="n">
        <v>0</v>
      </c>
      <c r="W661" s="157" t="n">
        <v>0</v>
      </c>
      <c r="X661" s="157" t="n">
        <v>0</v>
      </c>
      <c r="Y661" s="157" t="n">
        <v>0</v>
      </c>
      <c r="Z661" s="157" t="n">
        <v>0</v>
      </c>
      <c r="AA661" s="157" t="n">
        <v>0</v>
      </c>
      <c r="AB661" s="157" t="n">
        <v>0</v>
      </c>
      <c r="AC661" s="157" t="n">
        <v>0</v>
      </c>
      <c r="AD661" s="157" t="n">
        <v>0</v>
      </c>
      <c r="AE661" s="157" t="n">
        <v>0</v>
      </c>
      <c r="AF661" s="157" t="n">
        <v>0</v>
      </c>
      <c r="AG661" s="157" t="n">
        <v>0</v>
      </c>
      <c r="AH661" s="157" t="n">
        <v>0</v>
      </c>
      <c r="AI661" s="157" t="n">
        <v>0</v>
      </c>
      <c r="AJ661" s="157" t="n">
        <v>0</v>
      </c>
      <c r="AK661" s="157" t="n">
        <v>0</v>
      </c>
      <c r="AL661" s="157" t="n">
        <v>0</v>
      </c>
      <c r="AM661" s="157" t="n">
        <v>0</v>
      </c>
      <c r="AN661" s="156"/>
      <c r="AO661" s="156"/>
      <c r="AP661" s="156"/>
      <c r="AQ661" s="156"/>
      <c r="AR661" s="156"/>
      <c r="AS661" s="156"/>
      <c r="AT661" s="153"/>
    </row>
    <row r="662" customFormat="false" ht="12.75" hidden="false" customHeight="true" outlineLevel="0" collapsed="false">
      <c r="B662" s="142"/>
      <c r="C662" s="143" t="s">
        <v>162</v>
      </c>
      <c r="D662" s="144" t="n">
        <v>61073</v>
      </c>
      <c r="E662" s="144" t="str">
        <f aca="false">IF(D662="","",IFERROR(VLOOKUP(D662,CCN_Library!$A$4:$B$13,2,FALSE()),"NOT IN LIBRARY"))</f>
        <v>COMPANY/BATTERY HEADQUARTERS, MARINE CORPS</v>
      </c>
      <c r="F662" s="145" t="str">
        <f aca="false">LEFT(H662,6)</f>
        <v>M28262</v>
      </c>
      <c r="G662" s="146" t="s">
        <v>128</v>
      </c>
      <c r="H662" s="146" t="s">
        <v>999</v>
      </c>
      <c r="I662" s="146" t="s">
        <v>466</v>
      </c>
      <c r="J662" s="146" t="s">
        <v>211</v>
      </c>
      <c r="K662" s="147" t="s">
        <v>151</v>
      </c>
      <c r="L662" s="146" t="s">
        <v>151</v>
      </c>
      <c r="M662" s="146" t="s">
        <v>133</v>
      </c>
      <c r="N662" s="146" t="s">
        <v>134</v>
      </c>
      <c r="O662" s="146" t="s">
        <v>135</v>
      </c>
      <c r="P662" s="146" t="s">
        <v>135</v>
      </c>
      <c r="Q662" s="148"/>
      <c r="R662" s="146" t="s">
        <v>136</v>
      </c>
      <c r="S662" s="146" t="s">
        <v>137</v>
      </c>
      <c r="T662" s="148"/>
      <c r="U662" s="149" t="n">
        <v>0</v>
      </c>
      <c r="V662" s="149" t="n">
        <v>0</v>
      </c>
      <c r="W662" s="149" t="n">
        <v>0</v>
      </c>
      <c r="X662" s="149" t="n">
        <v>0</v>
      </c>
      <c r="Y662" s="149" t="n">
        <v>0</v>
      </c>
      <c r="Z662" s="149" t="n">
        <v>1</v>
      </c>
      <c r="AA662" s="149" t="n">
        <v>0</v>
      </c>
      <c r="AB662" s="149" t="n">
        <v>0</v>
      </c>
      <c r="AC662" s="149" t="n">
        <v>0</v>
      </c>
      <c r="AD662" s="149" t="n">
        <v>0</v>
      </c>
      <c r="AE662" s="149" t="n">
        <v>0</v>
      </c>
      <c r="AF662" s="149" t="n">
        <v>0</v>
      </c>
      <c r="AG662" s="149" t="n">
        <v>0</v>
      </c>
      <c r="AH662" s="149" t="n">
        <v>0</v>
      </c>
      <c r="AI662" s="149" t="n">
        <v>0</v>
      </c>
      <c r="AJ662" s="149" t="n">
        <v>0</v>
      </c>
      <c r="AK662" s="149" t="n">
        <v>0</v>
      </c>
      <c r="AL662" s="149" t="n">
        <v>0</v>
      </c>
      <c r="AM662" s="149" t="n">
        <v>0</v>
      </c>
      <c r="AN662" s="148"/>
      <c r="AO662" s="148"/>
      <c r="AP662" s="146" t="s">
        <v>138</v>
      </c>
      <c r="AQ662" s="146" t="s">
        <v>139</v>
      </c>
      <c r="AR662" s="146" t="s">
        <v>840</v>
      </c>
      <c r="AS662" s="148"/>
      <c r="AT662" s="150"/>
    </row>
    <row r="663" customFormat="false" ht="12.75" hidden="false" customHeight="true" outlineLevel="0" collapsed="false">
      <c r="B663" s="142"/>
      <c r="C663" s="143" t="s">
        <v>162</v>
      </c>
      <c r="D663" s="144" t="n">
        <v>61073</v>
      </c>
      <c r="E663" s="144" t="str">
        <f aca="false">IF(D663="","",IFERROR(VLOOKUP(D663,CCN_Library!$A$4:$B$13,2,FALSE()),"NOT IN LIBRARY"))</f>
        <v>COMPANY/BATTERY HEADQUARTERS, MARINE CORPS</v>
      </c>
      <c r="F663" s="145" t="str">
        <f aca="false">LEFT(H663,6)</f>
        <v>M28262</v>
      </c>
      <c r="G663" s="146" t="s">
        <v>128</v>
      </c>
      <c r="H663" s="146" t="s">
        <v>1000</v>
      </c>
      <c r="I663" s="146" t="s">
        <v>466</v>
      </c>
      <c r="J663" s="146" t="s">
        <v>211</v>
      </c>
      <c r="K663" s="147" t="s">
        <v>151</v>
      </c>
      <c r="L663" s="146" t="s">
        <v>151</v>
      </c>
      <c r="M663" s="146" t="s">
        <v>133</v>
      </c>
      <c r="N663" s="146" t="s">
        <v>134</v>
      </c>
      <c r="O663" s="146" t="s">
        <v>135</v>
      </c>
      <c r="P663" s="146" t="s">
        <v>135</v>
      </c>
      <c r="Q663" s="148"/>
      <c r="R663" s="146" t="s">
        <v>136</v>
      </c>
      <c r="S663" s="146" t="s">
        <v>137</v>
      </c>
      <c r="T663" s="148"/>
      <c r="U663" s="149" t="n">
        <v>0</v>
      </c>
      <c r="V663" s="149" t="n">
        <v>0</v>
      </c>
      <c r="W663" s="149" t="n">
        <v>0</v>
      </c>
      <c r="X663" s="149" t="n">
        <v>0</v>
      </c>
      <c r="Y663" s="149" t="n">
        <v>0</v>
      </c>
      <c r="Z663" s="149" t="n">
        <v>1</v>
      </c>
      <c r="AA663" s="149" t="n">
        <v>0</v>
      </c>
      <c r="AB663" s="149" t="n">
        <v>0</v>
      </c>
      <c r="AC663" s="149" t="n">
        <v>0</v>
      </c>
      <c r="AD663" s="149" t="n">
        <v>0</v>
      </c>
      <c r="AE663" s="149" t="n">
        <v>0</v>
      </c>
      <c r="AF663" s="149" t="n">
        <v>0</v>
      </c>
      <c r="AG663" s="149" t="n">
        <v>0</v>
      </c>
      <c r="AH663" s="149" t="n">
        <v>0</v>
      </c>
      <c r="AI663" s="149" t="n">
        <v>0</v>
      </c>
      <c r="AJ663" s="149" t="n">
        <v>0</v>
      </c>
      <c r="AK663" s="149" t="n">
        <v>0</v>
      </c>
      <c r="AL663" s="149" t="n">
        <v>0</v>
      </c>
      <c r="AM663" s="149" t="n">
        <v>0</v>
      </c>
      <c r="AN663" s="148"/>
      <c r="AO663" s="148"/>
      <c r="AP663" s="146" t="s">
        <v>138</v>
      </c>
      <c r="AQ663" s="146" t="s">
        <v>139</v>
      </c>
      <c r="AR663" s="146" t="s">
        <v>840</v>
      </c>
      <c r="AS663" s="148"/>
      <c r="AT663" s="150"/>
    </row>
    <row r="664" customFormat="false" ht="12.75" hidden="false" customHeight="true" outlineLevel="0" collapsed="false">
      <c r="B664" s="142"/>
      <c r="C664" s="143" t="s">
        <v>162</v>
      </c>
      <c r="D664" s="144" t="n">
        <v>61073</v>
      </c>
      <c r="E664" s="144" t="str">
        <f aca="false">IF(D664="","",IFERROR(VLOOKUP(D664,CCN_Library!$A$4:$B$13,2,FALSE()),"NOT IN LIBRARY"))</f>
        <v>COMPANY/BATTERY HEADQUARTERS, MARINE CORPS</v>
      </c>
      <c r="F664" s="145" t="str">
        <f aca="false">LEFT(H664,6)</f>
        <v>M28262</v>
      </c>
      <c r="G664" s="146" t="s">
        <v>128</v>
      </c>
      <c r="H664" s="146" t="s">
        <v>1001</v>
      </c>
      <c r="I664" s="146" t="s">
        <v>470</v>
      </c>
      <c r="J664" s="146" t="s">
        <v>211</v>
      </c>
      <c r="K664" s="147" t="s">
        <v>151</v>
      </c>
      <c r="L664" s="146" t="s">
        <v>151</v>
      </c>
      <c r="M664" s="146" t="s">
        <v>133</v>
      </c>
      <c r="N664" s="146" t="s">
        <v>134</v>
      </c>
      <c r="O664" s="146" t="s">
        <v>135</v>
      </c>
      <c r="P664" s="146" t="s">
        <v>135</v>
      </c>
      <c r="Q664" s="148"/>
      <c r="R664" s="146" t="s">
        <v>136</v>
      </c>
      <c r="S664" s="146" t="s">
        <v>137</v>
      </c>
      <c r="T664" s="148"/>
      <c r="U664" s="149" t="n">
        <v>0</v>
      </c>
      <c r="V664" s="149" t="n">
        <v>0</v>
      </c>
      <c r="W664" s="149" t="n">
        <v>0</v>
      </c>
      <c r="X664" s="149" t="n">
        <v>0</v>
      </c>
      <c r="Y664" s="149" t="n">
        <v>0</v>
      </c>
      <c r="Z664" s="149" t="n">
        <v>1</v>
      </c>
      <c r="AA664" s="149" t="n">
        <v>0</v>
      </c>
      <c r="AB664" s="149" t="n">
        <v>0</v>
      </c>
      <c r="AC664" s="149" t="n">
        <v>0</v>
      </c>
      <c r="AD664" s="149" t="n">
        <v>0</v>
      </c>
      <c r="AE664" s="149" t="n">
        <v>0</v>
      </c>
      <c r="AF664" s="149" t="n">
        <v>0</v>
      </c>
      <c r="AG664" s="149" t="n">
        <v>0</v>
      </c>
      <c r="AH664" s="149" t="n">
        <v>0</v>
      </c>
      <c r="AI664" s="149" t="n">
        <v>0</v>
      </c>
      <c r="AJ664" s="149" t="n">
        <v>0</v>
      </c>
      <c r="AK664" s="149" t="n">
        <v>0</v>
      </c>
      <c r="AL664" s="149" t="n">
        <v>0</v>
      </c>
      <c r="AM664" s="149" t="n">
        <v>0</v>
      </c>
      <c r="AN664" s="148"/>
      <c r="AO664" s="148"/>
      <c r="AP664" s="146" t="s">
        <v>138</v>
      </c>
      <c r="AQ664" s="146" t="s">
        <v>139</v>
      </c>
      <c r="AR664" s="146" t="s">
        <v>840</v>
      </c>
      <c r="AS664" s="148"/>
      <c r="AT664" s="150"/>
    </row>
    <row r="665" customFormat="false" ht="12.75" hidden="false" customHeight="true" outlineLevel="0" collapsed="false">
      <c r="B665" s="142"/>
      <c r="C665" s="143" t="s">
        <v>162</v>
      </c>
      <c r="D665" s="144" t="n">
        <v>61073</v>
      </c>
      <c r="E665" s="144" t="str">
        <f aca="false">IF(D665="","",IFERROR(VLOOKUP(D665,CCN_Library!$A$4:$B$13,2,FALSE()),"NOT IN LIBRARY"))</f>
        <v>COMPANY/BATTERY HEADQUARTERS, MARINE CORPS</v>
      </c>
      <c r="F665" s="145" t="str">
        <f aca="false">LEFT(H665,6)</f>
        <v>M28262</v>
      </c>
      <c r="G665" s="146" t="s">
        <v>128</v>
      </c>
      <c r="H665" s="146" t="s">
        <v>1002</v>
      </c>
      <c r="I665" s="146" t="s">
        <v>472</v>
      </c>
      <c r="J665" s="146" t="s">
        <v>182</v>
      </c>
      <c r="K665" s="147" t="s">
        <v>223</v>
      </c>
      <c r="L665" s="146" t="s">
        <v>223</v>
      </c>
      <c r="M665" s="146" t="s">
        <v>133</v>
      </c>
      <c r="N665" s="146" t="s">
        <v>134</v>
      </c>
      <c r="O665" s="146" t="s">
        <v>135</v>
      </c>
      <c r="P665" s="146" t="s">
        <v>135</v>
      </c>
      <c r="Q665" s="148"/>
      <c r="R665" s="146" t="s">
        <v>136</v>
      </c>
      <c r="S665" s="146" t="s">
        <v>137</v>
      </c>
      <c r="T665" s="148"/>
      <c r="U665" s="149" t="n">
        <v>0</v>
      </c>
      <c r="V665" s="149" t="n">
        <v>0</v>
      </c>
      <c r="W665" s="149" t="n">
        <v>0</v>
      </c>
      <c r="X665" s="149" t="n">
        <v>0</v>
      </c>
      <c r="Y665" s="149" t="n">
        <v>0</v>
      </c>
      <c r="Z665" s="149" t="n">
        <v>1</v>
      </c>
      <c r="AA665" s="149" t="n">
        <v>0</v>
      </c>
      <c r="AB665" s="149" t="n">
        <v>0</v>
      </c>
      <c r="AC665" s="149" t="n">
        <v>0</v>
      </c>
      <c r="AD665" s="149" t="n">
        <v>0</v>
      </c>
      <c r="AE665" s="149" t="n">
        <v>0</v>
      </c>
      <c r="AF665" s="149" t="n">
        <v>0</v>
      </c>
      <c r="AG665" s="149" t="n">
        <v>0</v>
      </c>
      <c r="AH665" s="149" t="n">
        <v>0</v>
      </c>
      <c r="AI665" s="149" t="n">
        <v>0</v>
      </c>
      <c r="AJ665" s="149" t="n">
        <v>0</v>
      </c>
      <c r="AK665" s="149" t="n">
        <v>0</v>
      </c>
      <c r="AL665" s="149" t="n">
        <v>0</v>
      </c>
      <c r="AM665" s="149" t="n">
        <v>0</v>
      </c>
      <c r="AN665" s="148"/>
      <c r="AO665" s="148"/>
      <c r="AP665" s="146" t="s">
        <v>138</v>
      </c>
      <c r="AQ665" s="146" t="s">
        <v>139</v>
      </c>
      <c r="AR665" s="146" t="s">
        <v>840</v>
      </c>
      <c r="AS665" s="148"/>
      <c r="AT665" s="150"/>
    </row>
    <row r="666" customFormat="false" ht="12.75" hidden="false" customHeight="true" outlineLevel="0" collapsed="false">
      <c r="B666" s="151"/>
      <c r="C666" s="143" t="s">
        <v>162</v>
      </c>
      <c r="D666" s="152" t="n">
        <v>61073</v>
      </c>
      <c r="E666" s="144" t="str">
        <f aca="false">IF(D666="","",IFERROR(VLOOKUP(D666,CCN_Library!$A$4:$B$13,2,FALSE()),"NOT IN LIBRARY"))</f>
        <v>COMPANY/BATTERY HEADQUARTERS, MARINE CORPS</v>
      </c>
      <c r="F666" s="145" t="str">
        <f aca="false">LEFT(H666,6)</f>
        <v>M28262</v>
      </c>
      <c r="G666" s="146" t="s">
        <v>128</v>
      </c>
      <c r="H666" s="146" t="s">
        <v>1003</v>
      </c>
      <c r="I666" s="146" t="s">
        <v>474</v>
      </c>
      <c r="J666" s="146" t="s">
        <v>189</v>
      </c>
      <c r="K666" s="147" t="s">
        <v>475</v>
      </c>
      <c r="L666" s="146" t="s">
        <v>161</v>
      </c>
      <c r="M666" s="146" t="s">
        <v>133</v>
      </c>
      <c r="N666" s="146" t="s">
        <v>128</v>
      </c>
      <c r="O666" s="146" t="s">
        <v>135</v>
      </c>
      <c r="P666" s="146" t="s">
        <v>135</v>
      </c>
      <c r="Q666" s="148"/>
      <c r="R666" s="146" t="s">
        <v>136</v>
      </c>
      <c r="S666" s="146" t="s">
        <v>137</v>
      </c>
      <c r="T666" s="148"/>
      <c r="U666" s="149" t="n">
        <v>0</v>
      </c>
      <c r="V666" s="149" t="n">
        <v>0</v>
      </c>
      <c r="W666" s="149" t="n">
        <v>0</v>
      </c>
      <c r="X666" s="149" t="n">
        <v>0</v>
      </c>
      <c r="Y666" s="149" t="n">
        <v>0</v>
      </c>
      <c r="Z666" s="149" t="n">
        <v>0</v>
      </c>
      <c r="AA666" s="149" t="n">
        <v>1</v>
      </c>
      <c r="AB666" s="149" t="n">
        <v>0</v>
      </c>
      <c r="AC666" s="149" t="n">
        <v>0</v>
      </c>
      <c r="AD666" s="149" t="n">
        <v>0</v>
      </c>
      <c r="AE666" s="149" t="n">
        <v>0</v>
      </c>
      <c r="AF666" s="149" t="n">
        <v>0</v>
      </c>
      <c r="AG666" s="149" t="n">
        <v>0</v>
      </c>
      <c r="AH666" s="149" t="n">
        <v>0</v>
      </c>
      <c r="AI666" s="149" t="n">
        <v>0</v>
      </c>
      <c r="AJ666" s="149" t="n">
        <v>0</v>
      </c>
      <c r="AK666" s="149" t="n">
        <v>0</v>
      </c>
      <c r="AL666" s="149" t="n">
        <v>0</v>
      </c>
      <c r="AM666" s="149" t="n">
        <v>0</v>
      </c>
      <c r="AN666" s="148"/>
      <c r="AO666" s="148"/>
      <c r="AP666" s="146" t="s">
        <v>138</v>
      </c>
      <c r="AQ666" s="146" t="s">
        <v>139</v>
      </c>
      <c r="AR666" s="146" t="s">
        <v>840</v>
      </c>
      <c r="AS666" s="148"/>
      <c r="AT666" s="153"/>
    </row>
    <row r="667" customFormat="false" ht="12.75" hidden="false" customHeight="true" outlineLevel="0" collapsed="false">
      <c r="B667" s="142"/>
      <c r="C667" s="143" t="s">
        <v>168</v>
      </c>
      <c r="D667" s="144" t="n">
        <v>61073</v>
      </c>
      <c r="E667" s="144" t="str">
        <f aca="false">IF(D667="","",IFERROR(VLOOKUP(D667,CCN_Library!$A$4:$B$13,2,FALSE()),"NOT IN LIBRARY"))</f>
        <v>COMPANY/BATTERY HEADQUARTERS, MARINE CORPS</v>
      </c>
      <c r="F667" s="145" t="str">
        <f aca="false">LEFT(H667,6)</f>
        <v>M28262</v>
      </c>
      <c r="G667" s="146" t="s">
        <v>128</v>
      </c>
      <c r="H667" s="146" t="s">
        <v>1004</v>
      </c>
      <c r="I667" s="146" t="s">
        <v>477</v>
      </c>
      <c r="J667" s="146" t="s">
        <v>191</v>
      </c>
      <c r="K667" s="147" t="s">
        <v>478</v>
      </c>
      <c r="L667" s="146" t="s">
        <v>161</v>
      </c>
      <c r="M667" s="146" t="s">
        <v>133</v>
      </c>
      <c r="N667" s="146" t="s">
        <v>128</v>
      </c>
      <c r="O667" s="146" t="s">
        <v>135</v>
      </c>
      <c r="P667" s="146" t="s">
        <v>135</v>
      </c>
      <c r="Q667" s="148"/>
      <c r="R667" s="146" t="s">
        <v>136</v>
      </c>
      <c r="S667" s="146" t="s">
        <v>58</v>
      </c>
      <c r="T667" s="148"/>
      <c r="U667" s="149" t="n">
        <v>0</v>
      </c>
      <c r="V667" s="149" t="n">
        <v>0</v>
      </c>
      <c r="W667" s="149" t="n">
        <v>0</v>
      </c>
      <c r="X667" s="149" t="n">
        <v>0</v>
      </c>
      <c r="Y667" s="149" t="n">
        <v>0</v>
      </c>
      <c r="Z667" s="149" t="n">
        <v>0</v>
      </c>
      <c r="AA667" s="149" t="n">
        <v>1</v>
      </c>
      <c r="AB667" s="149" t="n">
        <v>0</v>
      </c>
      <c r="AC667" s="149" t="n">
        <v>0</v>
      </c>
      <c r="AD667" s="149" t="n">
        <v>0</v>
      </c>
      <c r="AE667" s="149" t="n">
        <v>0</v>
      </c>
      <c r="AF667" s="149" t="n">
        <v>0</v>
      </c>
      <c r="AG667" s="149" t="n">
        <v>0</v>
      </c>
      <c r="AH667" s="149" t="n">
        <v>0</v>
      </c>
      <c r="AI667" s="149" t="n">
        <v>0</v>
      </c>
      <c r="AJ667" s="149" t="n">
        <v>0</v>
      </c>
      <c r="AK667" s="149" t="n">
        <v>0</v>
      </c>
      <c r="AL667" s="149" t="n">
        <v>0</v>
      </c>
      <c r="AM667" s="149" t="n">
        <v>0</v>
      </c>
      <c r="AN667" s="148"/>
      <c r="AO667" s="148"/>
      <c r="AP667" s="146" t="s">
        <v>138</v>
      </c>
      <c r="AQ667" s="146" t="s">
        <v>139</v>
      </c>
      <c r="AR667" s="146" t="s">
        <v>840</v>
      </c>
      <c r="AS667" s="148"/>
      <c r="AT667" s="150"/>
    </row>
    <row r="668" customFormat="false" ht="12.75" hidden="false" customHeight="true" outlineLevel="0" collapsed="false">
      <c r="B668" s="142"/>
      <c r="C668" s="143" t="s">
        <v>168</v>
      </c>
      <c r="D668" s="144" t="n">
        <v>61073</v>
      </c>
      <c r="E668" s="144" t="str">
        <f aca="false">IF(D668="","",IFERROR(VLOOKUP(D668,CCN_Library!$A$4:$B$13,2,FALSE()),"NOT IN LIBRARY"))</f>
        <v>COMPANY/BATTERY HEADQUARTERS, MARINE CORPS</v>
      </c>
      <c r="F668" s="145" t="str">
        <f aca="false">LEFT(H668,6)</f>
        <v>M28262</v>
      </c>
      <c r="G668" s="146" t="s">
        <v>128</v>
      </c>
      <c r="H668" s="146" t="s">
        <v>1005</v>
      </c>
      <c r="I668" s="146" t="s">
        <v>477</v>
      </c>
      <c r="J668" s="146" t="s">
        <v>176</v>
      </c>
      <c r="K668" s="147" t="s">
        <v>478</v>
      </c>
      <c r="L668" s="146" t="s">
        <v>161</v>
      </c>
      <c r="M668" s="146" t="s">
        <v>133</v>
      </c>
      <c r="N668" s="146" t="s">
        <v>128</v>
      </c>
      <c r="O668" s="146" t="s">
        <v>135</v>
      </c>
      <c r="P668" s="146" t="s">
        <v>135</v>
      </c>
      <c r="Q668" s="148"/>
      <c r="R668" s="146" t="s">
        <v>136</v>
      </c>
      <c r="S668" s="146" t="s">
        <v>58</v>
      </c>
      <c r="T668" s="148"/>
      <c r="U668" s="149" t="n">
        <v>0</v>
      </c>
      <c r="V668" s="149" t="n">
        <v>0</v>
      </c>
      <c r="W668" s="149" t="n">
        <v>0</v>
      </c>
      <c r="X668" s="149" t="n">
        <v>0</v>
      </c>
      <c r="Y668" s="149" t="n">
        <v>0</v>
      </c>
      <c r="Z668" s="149" t="n">
        <v>0</v>
      </c>
      <c r="AA668" s="149" t="n">
        <v>1</v>
      </c>
      <c r="AB668" s="149" t="n">
        <v>0</v>
      </c>
      <c r="AC668" s="149" t="n">
        <v>0</v>
      </c>
      <c r="AD668" s="149" t="n">
        <v>0</v>
      </c>
      <c r="AE668" s="149" t="n">
        <v>0</v>
      </c>
      <c r="AF668" s="149" t="n">
        <v>0</v>
      </c>
      <c r="AG668" s="149" t="n">
        <v>0</v>
      </c>
      <c r="AH668" s="149" t="n">
        <v>0</v>
      </c>
      <c r="AI668" s="149" t="n">
        <v>0</v>
      </c>
      <c r="AJ668" s="149" t="n">
        <v>0</v>
      </c>
      <c r="AK668" s="149" t="n">
        <v>0</v>
      </c>
      <c r="AL668" s="149" t="n">
        <v>0</v>
      </c>
      <c r="AM668" s="149" t="n">
        <v>0</v>
      </c>
      <c r="AN668" s="148"/>
      <c r="AO668" s="148"/>
      <c r="AP668" s="146" t="s">
        <v>138</v>
      </c>
      <c r="AQ668" s="146" t="s">
        <v>139</v>
      </c>
      <c r="AR668" s="146" t="s">
        <v>840</v>
      </c>
      <c r="AS668" s="148"/>
      <c r="AT668" s="150"/>
    </row>
    <row r="669" customFormat="false" ht="12.75" hidden="false" customHeight="true" outlineLevel="0" collapsed="false">
      <c r="B669" s="142"/>
      <c r="C669" s="143" t="s">
        <v>168</v>
      </c>
      <c r="D669" s="144" t="n">
        <v>61073</v>
      </c>
      <c r="E669" s="144" t="str">
        <f aca="false">IF(D669="","",IFERROR(VLOOKUP(D669,CCN_Library!$A$4:$B$13,2,FALSE()),"NOT IN LIBRARY"))</f>
        <v>COMPANY/BATTERY HEADQUARTERS, MARINE CORPS</v>
      </c>
      <c r="F669" s="145" t="str">
        <f aca="false">LEFT(H669,6)</f>
        <v>M28262</v>
      </c>
      <c r="G669" s="146" t="s">
        <v>128</v>
      </c>
      <c r="H669" s="146" t="s">
        <v>1006</v>
      </c>
      <c r="I669" s="146" t="s">
        <v>159</v>
      </c>
      <c r="J669" s="146" t="s">
        <v>176</v>
      </c>
      <c r="K669" s="147" t="s">
        <v>161</v>
      </c>
      <c r="L669" s="146" t="s">
        <v>161</v>
      </c>
      <c r="M669" s="146" t="s">
        <v>133</v>
      </c>
      <c r="N669" s="146" t="s">
        <v>128</v>
      </c>
      <c r="O669" s="146" t="s">
        <v>135</v>
      </c>
      <c r="P669" s="146" t="s">
        <v>135</v>
      </c>
      <c r="Q669" s="148"/>
      <c r="R669" s="146" t="s">
        <v>136</v>
      </c>
      <c r="S669" s="146" t="s">
        <v>58</v>
      </c>
      <c r="T669" s="148"/>
      <c r="U669" s="149" t="n">
        <v>0</v>
      </c>
      <c r="V669" s="149" t="n">
        <v>0</v>
      </c>
      <c r="W669" s="149" t="n">
        <v>0</v>
      </c>
      <c r="X669" s="149" t="n">
        <v>0</v>
      </c>
      <c r="Y669" s="149" t="n">
        <v>0</v>
      </c>
      <c r="Z669" s="149" t="n">
        <v>0</v>
      </c>
      <c r="AA669" s="149" t="n">
        <v>1</v>
      </c>
      <c r="AB669" s="149" t="n">
        <v>0</v>
      </c>
      <c r="AC669" s="149" t="n">
        <v>0</v>
      </c>
      <c r="AD669" s="149" t="n">
        <v>0</v>
      </c>
      <c r="AE669" s="149" t="n">
        <v>0</v>
      </c>
      <c r="AF669" s="149" t="n">
        <v>0</v>
      </c>
      <c r="AG669" s="149" t="n">
        <v>0</v>
      </c>
      <c r="AH669" s="149" t="n">
        <v>0</v>
      </c>
      <c r="AI669" s="149" t="n">
        <v>0</v>
      </c>
      <c r="AJ669" s="149" t="n">
        <v>0</v>
      </c>
      <c r="AK669" s="149" t="n">
        <v>0</v>
      </c>
      <c r="AL669" s="149" t="n">
        <v>0</v>
      </c>
      <c r="AM669" s="149" t="n">
        <v>0</v>
      </c>
      <c r="AN669" s="148"/>
      <c r="AO669" s="148"/>
      <c r="AP669" s="146" t="s">
        <v>138</v>
      </c>
      <c r="AQ669" s="146" t="s">
        <v>139</v>
      </c>
      <c r="AR669" s="146" t="s">
        <v>840</v>
      </c>
      <c r="AS669" s="148"/>
      <c r="AT669" s="150"/>
    </row>
    <row r="670" customFormat="false" ht="12.75" hidden="false" customHeight="true" outlineLevel="0" collapsed="false">
      <c r="B670" s="151"/>
      <c r="C670" s="143" t="s">
        <v>162</v>
      </c>
      <c r="D670" s="152" t="n">
        <v>61073</v>
      </c>
      <c r="E670" s="152"/>
      <c r="F670" s="154" t="str">
        <f aca="false">LEFT(H670,6)</f>
        <v>M28262</v>
      </c>
      <c r="G670" s="155" t="s">
        <v>177</v>
      </c>
      <c r="H670" s="155" t="s">
        <v>1007</v>
      </c>
      <c r="I670" s="155" t="s">
        <v>789</v>
      </c>
      <c r="J670" s="156"/>
      <c r="K670" s="156"/>
      <c r="L670" s="156"/>
      <c r="M670" s="156"/>
      <c r="N670" s="156"/>
      <c r="O670" s="156"/>
      <c r="P670" s="156"/>
      <c r="Q670" s="156"/>
      <c r="R670" s="156"/>
      <c r="S670" s="156"/>
      <c r="T670" s="156"/>
      <c r="U670" s="157" t="n">
        <v>0</v>
      </c>
      <c r="V670" s="157" t="n">
        <v>0</v>
      </c>
      <c r="W670" s="157" t="n">
        <v>0</v>
      </c>
      <c r="X670" s="157" t="n">
        <v>0</v>
      </c>
      <c r="Y670" s="157" t="n">
        <v>0</v>
      </c>
      <c r="Z670" s="157" t="n">
        <v>0</v>
      </c>
      <c r="AA670" s="157" t="n">
        <v>0</v>
      </c>
      <c r="AB670" s="157" t="n">
        <v>0</v>
      </c>
      <c r="AC670" s="157" t="n">
        <v>0</v>
      </c>
      <c r="AD670" s="157" t="n">
        <v>0</v>
      </c>
      <c r="AE670" s="157" t="n">
        <v>0</v>
      </c>
      <c r="AF670" s="157" t="n">
        <v>0</v>
      </c>
      <c r="AG670" s="157" t="n">
        <v>0</v>
      </c>
      <c r="AH670" s="157" t="n">
        <v>0</v>
      </c>
      <c r="AI670" s="157" t="n">
        <v>0</v>
      </c>
      <c r="AJ670" s="157" t="n">
        <v>0</v>
      </c>
      <c r="AK670" s="157" t="n">
        <v>0</v>
      </c>
      <c r="AL670" s="157" t="n">
        <v>0</v>
      </c>
      <c r="AM670" s="157" t="n">
        <v>0</v>
      </c>
      <c r="AN670" s="156"/>
      <c r="AO670" s="156"/>
      <c r="AP670" s="156"/>
      <c r="AQ670" s="156"/>
      <c r="AR670" s="156"/>
      <c r="AS670" s="156"/>
      <c r="AT670" s="153"/>
    </row>
    <row r="671" customFormat="false" ht="12.75" hidden="false" customHeight="true" outlineLevel="0" collapsed="false">
      <c r="B671" s="151"/>
      <c r="C671" s="143" t="s">
        <v>162</v>
      </c>
      <c r="D671" s="152" t="n">
        <v>61073</v>
      </c>
      <c r="E671" s="152"/>
      <c r="F671" s="154" t="str">
        <f aca="false">LEFT(H671,6)</f>
        <v>M28262</v>
      </c>
      <c r="G671" s="155" t="s">
        <v>177</v>
      </c>
      <c r="H671" s="155" t="s">
        <v>1008</v>
      </c>
      <c r="I671" s="155" t="s">
        <v>791</v>
      </c>
      <c r="J671" s="156"/>
      <c r="K671" s="156"/>
      <c r="L671" s="156"/>
      <c r="M671" s="156"/>
      <c r="N671" s="156"/>
      <c r="O671" s="156"/>
      <c r="P671" s="156"/>
      <c r="Q671" s="156"/>
      <c r="R671" s="156"/>
      <c r="S671" s="156"/>
      <c r="T671" s="156"/>
      <c r="U671" s="157" t="n">
        <v>0</v>
      </c>
      <c r="V671" s="157" t="n">
        <v>0</v>
      </c>
      <c r="W671" s="157" t="n">
        <v>0</v>
      </c>
      <c r="X671" s="157" t="n">
        <v>0</v>
      </c>
      <c r="Y671" s="157" t="n">
        <v>0</v>
      </c>
      <c r="Z671" s="157" t="n">
        <v>0</v>
      </c>
      <c r="AA671" s="157" t="n">
        <v>0</v>
      </c>
      <c r="AB671" s="157" t="n">
        <v>0</v>
      </c>
      <c r="AC671" s="157" t="n">
        <v>0</v>
      </c>
      <c r="AD671" s="157" t="n">
        <v>0</v>
      </c>
      <c r="AE671" s="157" t="n">
        <v>0</v>
      </c>
      <c r="AF671" s="157" t="n">
        <v>0</v>
      </c>
      <c r="AG671" s="157" t="n">
        <v>0</v>
      </c>
      <c r="AH671" s="157" t="n">
        <v>0</v>
      </c>
      <c r="AI671" s="157" t="n">
        <v>0</v>
      </c>
      <c r="AJ671" s="157" t="n">
        <v>0</v>
      </c>
      <c r="AK671" s="157" t="n">
        <v>0</v>
      </c>
      <c r="AL671" s="157" t="n">
        <v>0</v>
      </c>
      <c r="AM671" s="157" t="n">
        <v>0</v>
      </c>
      <c r="AN671" s="156"/>
      <c r="AO671" s="156"/>
      <c r="AP671" s="156"/>
      <c r="AQ671" s="156"/>
      <c r="AR671" s="156"/>
      <c r="AS671" s="156"/>
      <c r="AT671" s="153"/>
    </row>
    <row r="672" customFormat="false" ht="12.75" hidden="false" customHeight="true" outlineLevel="0" collapsed="false">
      <c r="B672" s="151"/>
      <c r="C672" s="143" t="s">
        <v>162</v>
      </c>
      <c r="D672" s="152" t="n">
        <v>61073</v>
      </c>
      <c r="E672" s="144" t="str">
        <f aca="false">IF(D672="","",IFERROR(VLOOKUP(D672,CCN_Library!$A$4:$B$13,2,FALSE()),"NOT IN LIBRARY"))</f>
        <v>COMPANY/BATTERY HEADQUARTERS, MARINE CORPS</v>
      </c>
      <c r="F672" s="145" t="str">
        <f aca="false">LEFT(H672,6)</f>
        <v>M28262</v>
      </c>
      <c r="G672" s="146" t="s">
        <v>128</v>
      </c>
      <c r="H672" s="146" t="s">
        <v>1009</v>
      </c>
      <c r="I672" s="146" t="s">
        <v>486</v>
      </c>
      <c r="J672" s="146" t="s">
        <v>211</v>
      </c>
      <c r="K672" s="147" t="s">
        <v>151</v>
      </c>
      <c r="L672" s="146" t="s">
        <v>151</v>
      </c>
      <c r="M672" s="146" t="s">
        <v>133</v>
      </c>
      <c r="N672" s="146" t="s">
        <v>134</v>
      </c>
      <c r="O672" s="146" t="s">
        <v>135</v>
      </c>
      <c r="P672" s="146" t="s">
        <v>135</v>
      </c>
      <c r="Q672" s="148"/>
      <c r="R672" s="146" t="s">
        <v>136</v>
      </c>
      <c r="S672" s="146" t="s">
        <v>137</v>
      </c>
      <c r="T672" s="148"/>
      <c r="U672" s="149" t="n">
        <v>0</v>
      </c>
      <c r="V672" s="149" t="n">
        <v>0</v>
      </c>
      <c r="W672" s="149" t="n">
        <v>0</v>
      </c>
      <c r="X672" s="149" t="n">
        <v>0</v>
      </c>
      <c r="Y672" s="149" t="n">
        <v>0</v>
      </c>
      <c r="Z672" s="149" t="n">
        <v>1</v>
      </c>
      <c r="AA672" s="149" t="n">
        <v>0</v>
      </c>
      <c r="AB672" s="149" t="n">
        <v>0</v>
      </c>
      <c r="AC672" s="149" t="n">
        <v>0</v>
      </c>
      <c r="AD672" s="149" t="n">
        <v>0</v>
      </c>
      <c r="AE672" s="149" t="n">
        <v>0</v>
      </c>
      <c r="AF672" s="149" t="n">
        <v>0</v>
      </c>
      <c r="AG672" s="149" t="n">
        <v>0</v>
      </c>
      <c r="AH672" s="149" t="n">
        <v>0</v>
      </c>
      <c r="AI672" s="149" t="n">
        <v>0</v>
      </c>
      <c r="AJ672" s="149" t="n">
        <v>0</v>
      </c>
      <c r="AK672" s="149" t="n">
        <v>0</v>
      </c>
      <c r="AL672" s="149" t="n">
        <v>0</v>
      </c>
      <c r="AM672" s="149" t="n">
        <v>0</v>
      </c>
      <c r="AN672" s="148"/>
      <c r="AO672" s="148"/>
      <c r="AP672" s="146" t="s">
        <v>138</v>
      </c>
      <c r="AQ672" s="146" t="s">
        <v>139</v>
      </c>
      <c r="AR672" s="146" t="s">
        <v>840</v>
      </c>
      <c r="AS672" s="148"/>
      <c r="AT672" s="153"/>
    </row>
    <row r="673" customFormat="false" ht="12.75" hidden="false" customHeight="true" outlineLevel="0" collapsed="false">
      <c r="B673" s="142"/>
      <c r="C673" s="143" t="s">
        <v>162</v>
      </c>
      <c r="D673" s="144" t="n">
        <v>61073</v>
      </c>
      <c r="E673" s="144" t="str">
        <f aca="false">IF(D673="","",IFERROR(VLOOKUP(D673,CCN_Library!$A$4:$B$13,2,FALSE()),"NOT IN LIBRARY"))</f>
        <v>COMPANY/BATTERY HEADQUARTERS, MARINE CORPS</v>
      </c>
      <c r="F673" s="145" t="str">
        <f aca="false">LEFT(H673,6)</f>
        <v>M28262</v>
      </c>
      <c r="G673" s="146" t="s">
        <v>128</v>
      </c>
      <c r="H673" s="146" t="s">
        <v>1010</v>
      </c>
      <c r="I673" s="146" t="s">
        <v>486</v>
      </c>
      <c r="J673" s="146" t="s">
        <v>211</v>
      </c>
      <c r="K673" s="147" t="s">
        <v>151</v>
      </c>
      <c r="L673" s="146" t="s">
        <v>151</v>
      </c>
      <c r="M673" s="146" t="s">
        <v>133</v>
      </c>
      <c r="N673" s="146" t="s">
        <v>134</v>
      </c>
      <c r="O673" s="146" t="s">
        <v>135</v>
      </c>
      <c r="P673" s="146" t="s">
        <v>135</v>
      </c>
      <c r="Q673" s="148"/>
      <c r="R673" s="146" t="s">
        <v>136</v>
      </c>
      <c r="S673" s="146" t="s">
        <v>137</v>
      </c>
      <c r="T673" s="148"/>
      <c r="U673" s="149" t="n">
        <v>0</v>
      </c>
      <c r="V673" s="149" t="n">
        <v>0</v>
      </c>
      <c r="W673" s="149" t="n">
        <v>0</v>
      </c>
      <c r="X673" s="149" t="n">
        <v>0</v>
      </c>
      <c r="Y673" s="149" t="n">
        <v>0</v>
      </c>
      <c r="Z673" s="149" t="n">
        <v>1</v>
      </c>
      <c r="AA673" s="149" t="n">
        <v>0</v>
      </c>
      <c r="AB673" s="149" t="n">
        <v>0</v>
      </c>
      <c r="AC673" s="149" t="n">
        <v>0</v>
      </c>
      <c r="AD673" s="149" t="n">
        <v>0</v>
      </c>
      <c r="AE673" s="149" t="n">
        <v>0</v>
      </c>
      <c r="AF673" s="149" t="n">
        <v>0</v>
      </c>
      <c r="AG673" s="149" t="n">
        <v>0</v>
      </c>
      <c r="AH673" s="149" t="n">
        <v>0</v>
      </c>
      <c r="AI673" s="149" t="n">
        <v>0</v>
      </c>
      <c r="AJ673" s="149" t="n">
        <v>0</v>
      </c>
      <c r="AK673" s="149" t="n">
        <v>0</v>
      </c>
      <c r="AL673" s="149" t="n">
        <v>0</v>
      </c>
      <c r="AM673" s="149" t="n">
        <v>0</v>
      </c>
      <c r="AN673" s="148"/>
      <c r="AO673" s="148"/>
      <c r="AP673" s="146" t="s">
        <v>138</v>
      </c>
      <c r="AQ673" s="146" t="s">
        <v>139</v>
      </c>
      <c r="AR673" s="146" t="s">
        <v>840</v>
      </c>
      <c r="AS673" s="148"/>
      <c r="AT673" s="150"/>
    </row>
    <row r="674" customFormat="false" ht="12.75" hidden="false" customHeight="true" outlineLevel="0" collapsed="false">
      <c r="B674" s="142"/>
      <c r="C674" s="143" t="s">
        <v>162</v>
      </c>
      <c r="D674" s="144" t="n">
        <v>61073</v>
      </c>
      <c r="E674" s="144" t="str">
        <f aca="false">IF(D674="","",IFERROR(VLOOKUP(D674,CCN_Library!$A$4:$B$13,2,FALSE()),"NOT IN LIBRARY"))</f>
        <v>COMPANY/BATTERY HEADQUARTERS, MARINE CORPS</v>
      </c>
      <c r="F674" s="145" t="str">
        <f aca="false">LEFT(H674,6)</f>
        <v>M28262</v>
      </c>
      <c r="G674" s="146" t="s">
        <v>128</v>
      </c>
      <c r="H674" s="146" t="s">
        <v>1011</v>
      </c>
      <c r="I674" s="146" t="s">
        <v>489</v>
      </c>
      <c r="J674" s="146" t="s">
        <v>182</v>
      </c>
      <c r="K674" s="147" t="s">
        <v>132</v>
      </c>
      <c r="L674" s="146" t="s">
        <v>132</v>
      </c>
      <c r="M674" s="146" t="s">
        <v>133</v>
      </c>
      <c r="N674" s="146" t="s">
        <v>134</v>
      </c>
      <c r="O674" s="146" t="s">
        <v>135</v>
      </c>
      <c r="P674" s="146" t="s">
        <v>135</v>
      </c>
      <c r="Q674" s="148"/>
      <c r="R674" s="146" t="s">
        <v>136</v>
      </c>
      <c r="S674" s="146" t="s">
        <v>137</v>
      </c>
      <c r="T674" s="148"/>
      <c r="U674" s="149" t="n">
        <v>0</v>
      </c>
      <c r="V674" s="149" t="n">
        <v>0</v>
      </c>
      <c r="W674" s="149" t="n">
        <v>0</v>
      </c>
      <c r="X674" s="149" t="n">
        <v>0</v>
      </c>
      <c r="Y674" s="149" t="n">
        <v>0</v>
      </c>
      <c r="Z674" s="149" t="n">
        <v>1</v>
      </c>
      <c r="AA674" s="149" t="n">
        <v>0</v>
      </c>
      <c r="AB674" s="149" t="n">
        <v>0</v>
      </c>
      <c r="AC674" s="149" t="n">
        <v>0</v>
      </c>
      <c r="AD674" s="149" t="n">
        <v>0</v>
      </c>
      <c r="AE674" s="149" t="n">
        <v>0</v>
      </c>
      <c r="AF674" s="149" t="n">
        <v>0</v>
      </c>
      <c r="AG674" s="149" t="n">
        <v>0</v>
      </c>
      <c r="AH674" s="149" t="n">
        <v>0</v>
      </c>
      <c r="AI674" s="149" t="n">
        <v>0</v>
      </c>
      <c r="AJ674" s="149" t="n">
        <v>0</v>
      </c>
      <c r="AK674" s="149" t="n">
        <v>0</v>
      </c>
      <c r="AL674" s="149" t="n">
        <v>0</v>
      </c>
      <c r="AM674" s="149" t="n">
        <v>0</v>
      </c>
      <c r="AN674" s="148"/>
      <c r="AO674" s="148"/>
      <c r="AP674" s="146" t="s">
        <v>138</v>
      </c>
      <c r="AQ674" s="146" t="s">
        <v>139</v>
      </c>
      <c r="AR674" s="146" t="s">
        <v>840</v>
      </c>
      <c r="AS674" s="148"/>
      <c r="AT674" s="150"/>
    </row>
    <row r="675" customFormat="false" ht="12.75" hidden="false" customHeight="true" outlineLevel="0" collapsed="false">
      <c r="B675" s="142"/>
      <c r="C675" s="143" t="s">
        <v>162</v>
      </c>
      <c r="D675" s="144" t="n">
        <v>61073</v>
      </c>
      <c r="E675" s="144" t="str">
        <f aca="false">IF(D675="","",IFERROR(VLOOKUP(D675,CCN_Library!$A$4:$B$13,2,FALSE()),"NOT IN LIBRARY"))</f>
        <v>COMPANY/BATTERY HEADQUARTERS, MARINE CORPS</v>
      </c>
      <c r="F675" s="145" t="str">
        <f aca="false">LEFT(H675,6)</f>
        <v>M28262</v>
      </c>
      <c r="G675" s="146" t="s">
        <v>128</v>
      </c>
      <c r="H675" s="146" t="s">
        <v>1012</v>
      </c>
      <c r="I675" s="146" t="s">
        <v>474</v>
      </c>
      <c r="J675" s="146" t="s">
        <v>187</v>
      </c>
      <c r="K675" s="147" t="s">
        <v>475</v>
      </c>
      <c r="L675" s="146" t="s">
        <v>161</v>
      </c>
      <c r="M675" s="146" t="s">
        <v>133</v>
      </c>
      <c r="N675" s="146" t="s">
        <v>128</v>
      </c>
      <c r="O675" s="146" t="s">
        <v>135</v>
      </c>
      <c r="P675" s="146" t="s">
        <v>135</v>
      </c>
      <c r="Q675" s="148"/>
      <c r="R675" s="146" t="s">
        <v>136</v>
      </c>
      <c r="S675" s="146" t="s">
        <v>137</v>
      </c>
      <c r="T675" s="148"/>
      <c r="U675" s="149" t="n">
        <v>0</v>
      </c>
      <c r="V675" s="149" t="n">
        <v>0</v>
      </c>
      <c r="W675" s="149" t="n">
        <v>0</v>
      </c>
      <c r="X675" s="149" t="n">
        <v>0</v>
      </c>
      <c r="Y675" s="149" t="n">
        <v>0</v>
      </c>
      <c r="Z675" s="149" t="n">
        <v>0</v>
      </c>
      <c r="AA675" s="149" t="n">
        <v>1</v>
      </c>
      <c r="AB675" s="149" t="n">
        <v>0</v>
      </c>
      <c r="AC675" s="149" t="n">
        <v>0</v>
      </c>
      <c r="AD675" s="149" t="n">
        <v>0</v>
      </c>
      <c r="AE675" s="149" t="n">
        <v>0</v>
      </c>
      <c r="AF675" s="149" t="n">
        <v>0</v>
      </c>
      <c r="AG675" s="149" t="n">
        <v>0</v>
      </c>
      <c r="AH675" s="149" t="n">
        <v>0</v>
      </c>
      <c r="AI675" s="149" t="n">
        <v>0</v>
      </c>
      <c r="AJ675" s="149" t="n">
        <v>0</v>
      </c>
      <c r="AK675" s="149" t="n">
        <v>0</v>
      </c>
      <c r="AL675" s="149" t="n">
        <v>0</v>
      </c>
      <c r="AM675" s="149" t="n">
        <v>0</v>
      </c>
      <c r="AN675" s="148"/>
      <c r="AO675" s="148"/>
      <c r="AP675" s="146" t="s">
        <v>138</v>
      </c>
      <c r="AQ675" s="146" t="s">
        <v>139</v>
      </c>
      <c r="AR675" s="146" t="s">
        <v>840</v>
      </c>
      <c r="AS675" s="148"/>
      <c r="AT675" s="150"/>
    </row>
    <row r="676" customFormat="false" ht="12.75" hidden="false" customHeight="true" outlineLevel="0" collapsed="false">
      <c r="B676" s="151"/>
      <c r="C676" s="143" t="s">
        <v>168</v>
      </c>
      <c r="D676" s="152" t="n">
        <v>61073</v>
      </c>
      <c r="E676" s="144" t="str">
        <f aca="false">IF(D676="","",IFERROR(VLOOKUP(D676,CCN_Library!$A$4:$B$13,2,FALSE()),"NOT IN LIBRARY"))</f>
        <v>COMPANY/BATTERY HEADQUARTERS, MARINE CORPS</v>
      </c>
      <c r="F676" s="145" t="str">
        <f aca="false">LEFT(H676,6)</f>
        <v>M28262</v>
      </c>
      <c r="G676" s="146" t="s">
        <v>128</v>
      </c>
      <c r="H676" s="146" t="s">
        <v>1013</v>
      </c>
      <c r="I676" s="146" t="s">
        <v>159</v>
      </c>
      <c r="J676" s="146" t="s">
        <v>191</v>
      </c>
      <c r="K676" s="147" t="s">
        <v>161</v>
      </c>
      <c r="L676" s="146" t="s">
        <v>161</v>
      </c>
      <c r="M676" s="146" t="s">
        <v>133</v>
      </c>
      <c r="N676" s="146" t="s">
        <v>128</v>
      </c>
      <c r="O676" s="146" t="s">
        <v>135</v>
      </c>
      <c r="P676" s="146" t="s">
        <v>135</v>
      </c>
      <c r="Q676" s="148"/>
      <c r="R676" s="146" t="s">
        <v>136</v>
      </c>
      <c r="S676" s="146" t="s">
        <v>58</v>
      </c>
      <c r="T676" s="148"/>
      <c r="U676" s="149" t="n">
        <v>0</v>
      </c>
      <c r="V676" s="149" t="n">
        <v>0</v>
      </c>
      <c r="W676" s="149" t="n">
        <v>0</v>
      </c>
      <c r="X676" s="149" t="n">
        <v>0</v>
      </c>
      <c r="Y676" s="149" t="n">
        <v>0</v>
      </c>
      <c r="Z676" s="149" t="n">
        <v>0</v>
      </c>
      <c r="AA676" s="149" t="n">
        <v>1</v>
      </c>
      <c r="AB676" s="149" t="n">
        <v>0</v>
      </c>
      <c r="AC676" s="149" t="n">
        <v>0</v>
      </c>
      <c r="AD676" s="149" t="n">
        <v>0</v>
      </c>
      <c r="AE676" s="149" t="n">
        <v>0</v>
      </c>
      <c r="AF676" s="149" t="n">
        <v>0</v>
      </c>
      <c r="AG676" s="149" t="n">
        <v>0</v>
      </c>
      <c r="AH676" s="149" t="n">
        <v>0</v>
      </c>
      <c r="AI676" s="149" t="n">
        <v>0</v>
      </c>
      <c r="AJ676" s="149" t="n">
        <v>0</v>
      </c>
      <c r="AK676" s="149" t="n">
        <v>0</v>
      </c>
      <c r="AL676" s="149" t="n">
        <v>0</v>
      </c>
      <c r="AM676" s="149" t="n">
        <v>0</v>
      </c>
      <c r="AN676" s="148"/>
      <c r="AO676" s="148"/>
      <c r="AP676" s="146" t="s">
        <v>138</v>
      </c>
      <c r="AQ676" s="146" t="s">
        <v>139</v>
      </c>
      <c r="AR676" s="146" t="s">
        <v>840</v>
      </c>
      <c r="AS676" s="148"/>
      <c r="AT676" s="153"/>
    </row>
    <row r="677" customFormat="false" ht="12.75" hidden="false" customHeight="true" outlineLevel="0" collapsed="false">
      <c r="B677" s="142"/>
      <c r="C677" s="143" t="s">
        <v>168</v>
      </c>
      <c r="D677" s="144" t="n">
        <v>61073</v>
      </c>
      <c r="E677" s="144" t="str">
        <f aca="false">IF(D677="","",IFERROR(VLOOKUP(D677,CCN_Library!$A$4:$B$13,2,FALSE()),"NOT IN LIBRARY"))</f>
        <v>COMPANY/BATTERY HEADQUARTERS, MARINE CORPS</v>
      </c>
      <c r="F677" s="145" t="str">
        <f aca="false">LEFT(H677,6)</f>
        <v>M28262</v>
      </c>
      <c r="G677" s="146" t="s">
        <v>128</v>
      </c>
      <c r="H677" s="146" t="s">
        <v>1014</v>
      </c>
      <c r="I677" s="146" t="s">
        <v>159</v>
      </c>
      <c r="J677" s="146" t="s">
        <v>191</v>
      </c>
      <c r="K677" s="147" t="s">
        <v>161</v>
      </c>
      <c r="L677" s="146" t="s">
        <v>161</v>
      </c>
      <c r="M677" s="146" t="s">
        <v>133</v>
      </c>
      <c r="N677" s="146" t="s">
        <v>128</v>
      </c>
      <c r="O677" s="146" t="s">
        <v>135</v>
      </c>
      <c r="P677" s="146" t="s">
        <v>135</v>
      </c>
      <c r="Q677" s="148"/>
      <c r="R677" s="146" t="s">
        <v>136</v>
      </c>
      <c r="S677" s="146" t="s">
        <v>58</v>
      </c>
      <c r="T677" s="148"/>
      <c r="U677" s="149" t="n">
        <v>0</v>
      </c>
      <c r="V677" s="149" t="n">
        <v>0</v>
      </c>
      <c r="W677" s="149" t="n">
        <v>0</v>
      </c>
      <c r="X677" s="149" t="n">
        <v>0</v>
      </c>
      <c r="Y677" s="149" t="n">
        <v>0</v>
      </c>
      <c r="Z677" s="149" t="n">
        <v>0</v>
      </c>
      <c r="AA677" s="149" t="n">
        <v>1</v>
      </c>
      <c r="AB677" s="149" t="n">
        <v>0</v>
      </c>
      <c r="AC677" s="149" t="n">
        <v>0</v>
      </c>
      <c r="AD677" s="149" t="n">
        <v>0</v>
      </c>
      <c r="AE677" s="149" t="n">
        <v>0</v>
      </c>
      <c r="AF677" s="149" t="n">
        <v>0</v>
      </c>
      <c r="AG677" s="149" t="n">
        <v>0</v>
      </c>
      <c r="AH677" s="149" t="n">
        <v>0</v>
      </c>
      <c r="AI677" s="149" t="n">
        <v>0</v>
      </c>
      <c r="AJ677" s="149" t="n">
        <v>0</v>
      </c>
      <c r="AK677" s="149" t="n">
        <v>0</v>
      </c>
      <c r="AL677" s="149" t="n">
        <v>0</v>
      </c>
      <c r="AM677" s="149" t="n">
        <v>0</v>
      </c>
      <c r="AN677" s="148"/>
      <c r="AO677" s="148"/>
      <c r="AP677" s="146" t="s">
        <v>138</v>
      </c>
      <c r="AQ677" s="146" t="s">
        <v>139</v>
      </c>
      <c r="AR677" s="146" t="s">
        <v>840</v>
      </c>
      <c r="AS677" s="148"/>
      <c r="AT677" s="150"/>
    </row>
    <row r="678" customFormat="false" ht="12.75" hidden="false" customHeight="true" outlineLevel="0" collapsed="false">
      <c r="B678" s="142"/>
      <c r="C678" s="143" t="s">
        <v>168</v>
      </c>
      <c r="D678" s="144" t="n">
        <v>61073</v>
      </c>
      <c r="E678" s="144" t="str">
        <f aca="false">IF(D678="","",IFERROR(VLOOKUP(D678,CCN_Library!$A$4:$B$13,2,FALSE()),"NOT IN LIBRARY"))</f>
        <v>COMPANY/BATTERY HEADQUARTERS, MARINE CORPS</v>
      </c>
      <c r="F678" s="145" t="str">
        <f aca="false">LEFT(H678,6)</f>
        <v>M28262</v>
      </c>
      <c r="G678" s="146" t="s">
        <v>128</v>
      </c>
      <c r="H678" s="146" t="s">
        <v>1015</v>
      </c>
      <c r="I678" s="146" t="s">
        <v>159</v>
      </c>
      <c r="J678" s="146" t="s">
        <v>191</v>
      </c>
      <c r="K678" s="147" t="s">
        <v>161</v>
      </c>
      <c r="L678" s="146" t="s">
        <v>161</v>
      </c>
      <c r="M678" s="146" t="s">
        <v>133</v>
      </c>
      <c r="N678" s="146" t="s">
        <v>128</v>
      </c>
      <c r="O678" s="146" t="s">
        <v>135</v>
      </c>
      <c r="P678" s="146" t="s">
        <v>135</v>
      </c>
      <c r="Q678" s="148"/>
      <c r="R678" s="146" t="s">
        <v>136</v>
      </c>
      <c r="S678" s="146" t="s">
        <v>58</v>
      </c>
      <c r="T678" s="148"/>
      <c r="U678" s="149" t="n">
        <v>0</v>
      </c>
      <c r="V678" s="149" t="n">
        <v>0</v>
      </c>
      <c r="W678" s="149" t="n">
        <v>0</v>
      </c>
      <c r="X678" s="149" t="n">
        <v>0</v>
      </c>
      <c r="Y678" s="149" t="n">
        <v>0</v>
      </c>
      <c r="Z678" s="149" t="n">
        <v>0</v>
      </c>
      <c r="AA678" s="149" t="n">
        <v>1</v>
      </c>
      <c r="AB678" s="149" t="n">
        <v>0</v>
      </c>
      <c r="AC678" s="149" t="n">
        <v>0</v>
      </c>
      <c r="AD678" s="149" t="n">
        <v>0</v>
      </c>
      <c r="AE678" s="149" t="n">
        <v>0</v>
      </c>
      <c r="AF678" s="149" t="n">
        <v>0</v>
      </c>
      <c r="AG678" s="149" t="n">
        <v>0</v>
      </c>
      <c r="AH678" s="149" t="n">
        <v>0</v>
      </c>
      <c r="AI678" s="149" t="n">
        <v>0</v>
      </c>
      <c r="AJ678" s="149" t="n">
        <v>0</v>
      </c>
      <c r="AK678" s="149" t="n">
        <v>0</v>
      </c>
      <c r="AL678" s="149" t="n">
        <v>0</v>
      </c>
      <c r="AM678" s="149" t="n">
        <v>0</v>
      </c>
      <c r="AN678" s="148"/>
      <c r="AO678" s="148"/>
      <c r="AP678" s="146" t="s">
        <v>138</v>
      </c>
      <c r="AQ678" s="146" t="s">
        <v>139</v>
      </c>
      <c r="AR678" s="146" t="s">
        <v>840</v>
      </c>
      <c r="AS678" s="148"/>
      <c r="AT678" s="150"/>
    </row>
    <row r="679" customFormat="false" ht="12.75" hidden="false" customHeight="true" outlineLevel="0" collapsed="false">
      <c r="B679" s="142"/>
      <c r="C679" s="143" t="s">
        <v>168</v>
      </c>
      <c r="D679" s="144" t="n">
        <v>61073</v>
      </c>
      <c r="E679" s="144" t="str">
        <f aca="false">IF(D679="","",IFERROR(VLOOKUP(D679,CCN_Library!$A$4:$B$13,2,FALSE()),"NOT IN LIBRARY"))</f>
        <v>COMPANY/BATTERY HEADQUARTERS, MARINE CORPS</v>
      </c>
      <c r="F679" s="145" t="str">
        <f aca="false">LEFT(H679,6)</f>
        <v>M28262</v>
      </c>
      <c r="G679" s="146" t="s">
        <v>128</v>
      </c>
      <c r="H679" s="146" t="s">
        <v>1016</v>
      </c>
      <c r="I679" s="146" t="s">
        <v>159</v>
      </c>
      <c r="J679" s="146" t="s">
        <v>176</v>
      </c>
      <c r="K679" s="147" t="s">
        <v>161</v>
      </c>
      <c r="L679" s="146" t="s">
        <v>161</v>
      </c>
      <c r="M679" s="146" t="s">
        <v>133</v>
      </c>
      <c r="N679" s="146" t="s">
        <v>128</v>
      </c>
      <c r="O679" s="146" t="s">
        <v>135</v>
      </c>
      <c r="P679" s="146" t="s">
        <v>135</v>
      </c>
      <c r="Q679" s="148"/>
      <c r="R679" s="146" t="s">
        <v>136</v>
      </c>
      <c r="S679" s="146" t="s">
        <v>58</v>
      </c>
      <c r="T679" s="148"/>
      <c r="U679" s="149" t="n">
        <v>0</v>
      </c>
      <c r="V679" s="149" t="n">
        <v>0</v>
      </c>
      <c r="W679" s="149" t="n">
        <v>0</v>
      </c>
      <c r="X679" s="149" t="n">
        <v>0</v>
      </c>
      <c r="Y679" s="149" t="n">
        <v>0</v>
      </c>
      <c r="Z679" s="149" t="n">
        <v>0</v>
      </c>
      <c r="AA679" s="149" t="n">
        <v>1</v>
      </c>
      <c r="AB679" s="149" t="n">
        <v>0</v>
      </c>
      <c r="AC679" s="149" t="n">
        <v>0</v>
      </c>
      <c r="AD679" s="149" t="n">
        <v>0</v>
      </c>
      <c r="AE679" s="149" t="n">
        <v>0</v>
      </c>
      <c r="AF679" s="149" t="n">
        <v>0</v>
      </c>
      <c r="AG679" s="149" t="n">
        <v>0</v>
      </c>
      <c r="AH679" s="149" t="n">
        <v>0</v>
      </c>
      <c r="AI679" s="149" t="n">
        <v>0</v>
      </c>
      <c r="AJ679" s="149" t="n">
        <v>0</v>
      </c>
      <c r="AK679" s="149" t="n">
        <v>0</v>
      </c>
      <c r="AL679" s="149" t="n">
        <v>0</v>
      </c>
      <c r="AM679" s="149" t="n">
        <v>0</v>
      </c>
      <c r="AN679" s="148"/>
      <c r="AO679" s="148"/>
      <c r="AP679" s="146" t="s">
        <v>138</v>
      </c>
      <c r="AQ679" s="146" t="s">
        <v>139</v>
      </c>
      <c r="AR679" s="146" t="s">
        <v>840</v>
      </c>
      <c r="AS679" s="148"/>
      <c r="AT679" s="150"/>
    </row>
    <row r="680" customFormat="false" ht="12.75" hidden="false" customHeight="true" outlineLevel="0" collapsed="false">
      <c r="B680" s="151"/>
      <c r="C680" s="143" t="s">
        <v>168</v>
      </c>
      <c r="D680" s="152" t="n">
        <v>61073</v>
      </c>
      <c r="E680" s="144" t="str">
        <f aca="false">IF(D680="","",IFERROR(VLOOKUP(D680,CCN_Library!$A$4:$B$13,2,FALSE()),"NOT IN LIBRARY"))</f>
        <v>COMPANY/BATTERY HEADQUARTERS, MARINE CORPS</v>
      </c>
      <c r="F680" s="145" t="str">
        <f aca="false">LEFT(H680,6)</f>
        <v>M28262</v>
      </c>
      <c r="G680" s="146" t="s">
        <v>128</v>
      </c>
      <c r="H680" s="146" t="s">
        <v>1017</v>
      </c>
      <c r="I680" s="146" t="s">
        <v>159</v>
      </c>
      <c r="J680" s="146" t="s">
        <v>176</v>
      </c>
      <c r="K680" s="147" t="s">
        <v>161</v>
      </c>
      <c r="L680" s="146" t="s">
        <v>161</v>
      </c>
      <c r="M680" s="146" t="s">
        <v>133</v>
      </c>
      <c r="N680" s="146" t="s">
        <v>128</v>
      </c>
      <c r="O680" s="146" t="s">
        <v>135</v>
      </c>
      <c r="P680" s="146" t="s">
        <v>135</v>
      </c>
      <c r="Q680" s="148"/>
      <c r="R680" s="146" t="s">
        <v>136</v>
      </c>
      <c r="S680" s="146" t="s">
        <v>58</v>
      </c>
      <c r="T680" s="148"/>
      <c r="U680" s="149" t="n">
        <v>0</v>
      </c>
      <c r="V680" s="149" t="n">
        <v>0</v>
      </c>
      <c r="W680" s="149" t="n">
        <v>0</v>
      </c>
      <c r="X680" s="149" t="n">
        <v>0</v>
      </c>
      <c r="Y680" s="149" t="n">
        <v>0</v>
      </c>
      <c r="Z680" s="149" t="n">
        <v>0</v>
      </c>
      <c r="AA680" s="149" t="n">
        <v>1</v>
      </c>
      <c r="AB680" s="149" t="n">
        <v>0</v>
      </c>
      <c r="AC680" s="149" t="n">
        <v>0</v>
      </c>
      <c r="AD680" s="149" t="n">
        <v>0</v>
      </c>
      <c r="AE680" s="149" t="n">
        <v>0</v>
      </c>
      <c r="AF680" s="149" t="n">
        <v>0</v>
      </c>
      <c r="AG680" s="149" t="n">
        <v>0</v>
      </c>
      <c r="AH680" s="149" t="n">
        <v>0</v>
      </c>
      <c r="AI680" s="149" t="n">
        <v>0</v>
      </c>
      <c r="AJ680" s="149" t="n">
        <v>0</v>
      </c>
      <c r="AK680" s="149" t="n">
        <v>0</v>
      </c>
      <c r="AL680" s="149" t="n">
        <v>0</v>
      </c>
      <c r="AM680" s="149" t="n">
        <v>0</v>
      </c>
      <c r="AN680" s="148"/>
      <c r="AO680" s="148"/>
      <c r="AP680" s="146" t="s">
        <v>138</v>
      </c>
      <c r="AQ680" s="146" t="s">
        <v>139</v>
      </c>
      <c r="AR680" s="146" t="s">
        <v>840</v>
      </c>
      <c r="AS680" s="148"/>
      <c r="AT680" s="153"/>
    </row>
    <row r="681" customFormat="false" ht="12.75" hidden="false" customHeight="true" outlineLevel="0" collapsed="false">
      <c r="B681" s="142"/>
      <c r="C681" s="143" t="s">
        <v>168</v>
      </c>
      <c r="D681" s="144" t="n">
        <v>61073</v>
      </c>
      <c r="E681" s="144" t="str">
        <f aca="false">IF(D681="","",IFERROR(VLOOKUP(D681,CCN_Library!$A$4:$B$13,2,FALSE()),"NOT IN LIBRARY"))</f>
        <v>COMPANY/BATTERY HEADQUARTERS, MARINE CORPS</v>
      </c>
      <c r="F681" s="145" t="str">
        <f aca="false">LEFT(H681,6)</f>
        <v>M28262</v>
      </c>
      <c r="G681" s="146" t="s">
        <v>128</v>
      </c>
      <c r="H681" s="146" t="s">
        <v>1018</v>
      </c>
      <c r="I681" s="146" t="s">
        <v>159</v>
      </c>
      <c r="J681" s="146" t="s">
        <v>176</v>
      </c>
      <c r="K681" s="147" t="s">
        <v>161</v>
      </c>
      <c r="L681" s="146" t="s">
        <v>161</v>
      </c>
      <c r="M681" s="146" t="s">
        <v>133</v>
      </c>
      <c r="N681" s="146" t="s">
        <v>128</v>
      </c>
      <c r="O681" s="146" t="s">
        <v>135</v>
      </c>
      <c r="P681" s="146" t="s">
        <v>135</v>
      </c>
      <c r="Q681" s="148"/>
      <c r="R681" s="146" t="s">
        <v>136</v>
      </c>
      <c r="S681" s="146" t="s">
        <v>58</v>
      </c>
      <c r="T681" s="148"/>
      <c r="U681" s="149" t="n">
        <v>0</v>
      </c>
      <c r="V681" s="149" t="n">
        <v>0</v>
      </c>
      <c r="W681" s="149" t="n">
        <v>0</v>
      </c>
      <c r="X681" s="149" t="n">
        <v>0</v>
      </c>
      <c r="Y681" s="149" t="n">
        <v>0</v>
      </c>
      <c r="Z681" s="149" t="n">
        <v>0</v>
      </c>
      <c r="AA681" s="149" t="n">
        <v>1</v>
      </c>
      <c r="AB681" s="149" t="n">
        <v>0</v>
      </c>
      <c r="AC681" s="149" t="n">
        <v>0</v>
      </c>
      <c r="AD681" s="149" t="n">
        <v>0</v>
      </c>
      <c r="AE681" s="149" t="n">
        <v>0</v>
      </c>
      <c r="AF681" s="149" t="n">
        <v>0</v>
      </c>
      <c r="AG681" s="149" t="n">
        <v>0</v>
      </c>
      <c r="AH681" s="149" t="n">
        <v>0</v>
      </c>
      <c r="AI681" s="149" t="n">
        <v>0</v>
      </c>
      <c r="AJ681" s="149" t="n">
        <v>0</v>
      </c>
      <c r="AK681" s="149" t="n">
        <v>0</v>
      </c>
      <c r="AL681" s="149" t="n">
        <v>0</v>
      </c>
      <c r="AM681" s="149" t="n">
        <v>0</v>
      </c>
      <c r="AN681" s="148"/>
      <c r="AO681" s="148"/>
      <c r="AP681" s="146" t="s">
        <v>138</v>
      </c>
      <c r="AQ681" s="146" t="s">
        <v>139</v>
      </c>
      <c r="AR681" s="146" t="s">
        <v>840</v>
      </c>
      <c r="AS681" s="148"/>
      <c r="AT681" s="150"/>
    </row>
    <row r="682" customFormat="false" ht="12.75" hidden="false" customHeight="true" outlineLevel="0" collapsed="false">
      <c r="B682" s="151"/>
      <c r="C682" s="143" t="s">
        <v>162</v>
      </c>
      <c r="D682" s="152" t="n">
        <v>61073</v>
      </c>
      <c r="E682" s="152"/>
      <c r="F682" s="154" t="str">
        <f aca="false">LEFT(H682,6)</f>
        <v>M28262</v>
      </c>
      <c r="G682" s="155" t="s">
        <v>177</v>
      </c>
      <c r="H682" s="155" t="s">
        <v>1019</v>
      </c>
      <c r="I682" s="155" t="s">
        <v>803</v>
      </c>
      <c r="J682" s="156"/>
      <c r="K682" s="156"/>
      <c r="L682" s="156"/>
      <c r="M682" s="156"/>
      <c r="N682" s="156"/>
      <c r="O682" s="156"/>
      <c r="P682" s="156"/>
      <c r="Q682" s="156"/>
      <c r="R682" s="156"/>
      <c r="S682" s="156"/>
      <c r="T682" s="156"/>
      <c r="U682" s="157" t="n">
        <v>0</v>
      </c>
      <c r="V682" s="157" t="n">
        <v>0</v>
      </c>
      <c r="W682" s="157" t="n">
        <v>0</v>
      </c>
      <c r="X682" s="157" t="n">
        <v>0</v>
      </c>
      <c r="Y682" s="157" t="n">
        <v>0</v>
      </c>
      <c r="Z682" s="157" t="n">
        <v>0</v>
      </c>
      <c r="AA682" s="157" t="n">
        <v>0</v>
      </c>
      <c r="AB682" s="157" t="n">
        <v>0</v>
      </c>
      <c r="AC682" s="157" t="n">
        <v>0</v>
      </c>
      <c r="AD682" s="157" t="n">
        <v>0</v>
      </c>
      <c r="AE682" s="157" t="n">
        <v>0</v>
      </c>
      <c r="AF682" s="157" t="n">
        <v>0</v>
      </c>
      <c r="AG682" s="157" t="n">
        <v>0</v>
      </c>
      <c r="AH682" s="157" t="n">
        <v>0</v>
      </c>
      <c r="AI682" s="157" t="n">
        <v>0</v>
      </c>
      <c r="AJ682" s="157" t="n">
        <v>0</v>
      </c>
      <c r="AK682" s="157" t="n">
        <v>0</v>
      </c>
      <c r="AL682" s="157" t="n">
        <v>0</v>
      </c>
      <c r="AM682" s="157" t="n">
        <v>0</v>
      </c>
      <c r="AN682" s="156"/>
      <c r="AO682" s="156"/>
      <c r="AP682" s="156"/>
      <c r="AQ682" s="156"/>
      <c r="AR682" s="156"/>
      <c r="AS682" s="156"/>
      <c r="AT682" s="153"/>
    </row>
    <row r="683" customFormat="false" ht="12.75" hidden="false" customHeight="true" outlineLevel="0" collapsed="false">
      <c r="B683" s="142"/>
      <c r="C683" s="143" t="s">
        <v>162</v>
      </c>
      <c r="D683" s="144" t="n">
        <v>61073</v>
      </c>
      <c r="E683" s="144" t="str">
        <f aca="false">IF(D683="","",IFERROR(VLOOKUP(D683,CCN_Library!$A$4:$B$13,2,FALSE()),"NOT IN LIBRARY"))</f>
        <v>COMPANY/BATTERY HEADQUARTERS, MARINE CORPS</v>
      </c>
      <c r="F683" s="145" t="str">
        <f aca="false">LEFT(H683,6)</f>
        <v>M28262</v>
      </c>
      <c r="G683" s="146" t="s">
        <v>128</v>
      </c>
      <c r="H683" s="146" t="s">
        <v>1020</v>
      </c>
      <c r="I683" s="146" t="s">
        <v>500</v>
      </c>
      <c r="J683" s="146" t="s">
        <v>182</v>
      </c>
      <c r="K683" s="147" t="s">
        <v>223</v>
      </c>
      <c r="L683" s="146" t="s">
        <v>223</v>
      </c>
      <c r="M683" s="146" t="s">
        <v>133</v>
      </c>
      <c r="N683" s="146" t="s">
        <v>134</v>
      </c>
      <c r="O683" s="146" t="s">
        <v>135</v>
      </c>
      <c r="P683" s="146" t="s">
        <v>135</v>
      </c>
      <c r="Q683" s="148"/>
      <c r="R683" s="146" t="s">
        <v>136</v>
      </c>
      <c r="S683" s="146" t="s">
        <v>137</v>
      </c>
      <c r="T683" s="148"/>
      <c r="U683" s="149" t="n">
        <v>0</v>
      </c>
      <c r="V683" s="149" t="n">
        <v>0</v>
      </c>
      <c r="W683" s="149" t="n">
        <v>0</v>
      </c>
      <c r="X683" s="149" t="n">
        <v>0</v>
      </c>
      <c r="Y683" s="149" t="n">
        <v>0</v>
      </c>
      <c r="Z683" s="149" t="n">
        <v>1</v>
      </c>
      <c r="AA683" s="149" t="n">
        <v>0</v>
      </c>
      <c r="AB683" s="149" t="n">
        <v>0</v>
      </c>
      <c r="AC683" s="149" t="n">
        <v>0</v>
      </c>
      <c r="AD683" s="149" t="n">
        <v>0</v>
      </c>
      <c r="AE683" s="149" t="n">
        <v>0</v>
      </c>
      <c r="AF683" s="149" t="n">
        <v>0</v>
      </c>
      <c r="AG683" s="149" t="n">
        <v>0</v>
      </c>
      <c r="AH683" s="149" t="n">
        <v>0</v>
      </c>
      <c r="AI683" s="149" t="n">
        <v>0</v>
      </c>
      <c r="AJ683" s="149" t="n">
        <v>0</v>
      </c>
      <c r="AK683" s="149" t="n">
        <v>0</v>
      </c>
      <c r="AL683" s="149" t="n">
        <v>0</v>
      </c>
      <c r="AM683" s="149" t="n">
        <v>0</v>
      </c>
      <c r="AN683" s="148"/>
      <c r="AO683" s="148"/>
      <c r="AP683" s="146" t="s">
        <v>138</v>
      </c>
      <c r="AQ683" s="146" t="s">
        <v>139</v>
      </c>
      <c r="AR683" s="146" t="s">
        <v>840</v>
      </c>
      <c r="AS683" s="148"/>
      <c r="AT683" s="150"/>
    </row>
    <row r="684" customFormat="false" ht="12.75" hidden="false" customHeight="true" outlineLevel="0" collapsed="false">
      <c r="B684" s="142"/>
      <c r="C684" s="143" t="s">
        <v>162</v>
      </c>
      <c r="D684" s="144" t="n">
        <v>61073</v>
      </c>
      <c r="E684" s="144" t="str">
        <f aca="false">IF(D684="","",IFERROR(VLOOKUP(D684,CCN_Library!$A$4:$B$13,2,FALSE()),"NOT IN LIBRARY"))</f>
        <v>COMPANY/BATTERY HEADQUARTERS, MARINE CORPS</v>
      </c>
      <c r="F684" s="145" t="str">
        <f aca="false">LEFT(H684,6)</f>
        <v>M28262</v>
      </c>
      <c r="G684" s="146" t="s">
        <v>128</v>
      </c>
      <c r="H684" s="146" t="s">
        <v>1021</v>
      </c>
      <c r="I684" s="146" t="s">
        <v>159</v>
      </c>
      <c r="J684" s="146" t="s">
        <v>189</v>
      </c>
      <c r="K684" s="147" t="s">
        <v>161</v>
      </c>
      <c r="L684" s="146" t="s">
        <v>161</v>
      </c>
      <c r="M684" s="146" t="s">
        <v>133</v>
      </c>
      <c r="N684" s="146" t="s">
        <v>128</v>
      </c>
      <c r="O684" s="146" t="s">
        <v>135</v>
      </c>
      <c r="P684" s="146" t="s">
        <v>135</v>
      </c>
      <c r="Q684" s="148"/>
      <c r="R684" s="146" t="s">
        <v>136</v>
      </c>
      <c r="S684" s="146" t="s">
        <v>137</v>
      </c>
      <c r="T684" s="148"/>
      <c r="U684" s="149" t="n">
        <v>0</v>
      </c>
      <c r="V684" s="149" t="n">
        <v>0</v>
      </c>
      <c r="W684" s="149" t="n">
        <v>0</v>
      </c>
      <c r="X684" s="149" t="n">
        <v>0</v>
      </c>
      <c r="Y684" s="149" t="n">
        <v>0</v>
      </c>
      <c r="Z684" s="149" t="n">
        <v>0</v>
      </c>
      <c r="AA684" s="149" t="n">
        <v>1</v>
      </c>
      <c r="AB684" s="149" t="n">
        <v>0</v>
      </c>
      <c r="AC684" s="149" t="n">
        <v>0</v>
      </c>
      <c r="AD684" s="149" t="n">
        <v>0</v>
      </c>
      <c r="AE684" s="149" t="n">
        <v>0</v>
      </c>
      <c r="AF684" s="149" t="n">
        <v>0</v>
      </c>
      <c r="AG684" s="149" t="n">
        <v>0</v>
      </c>
      <c r="AH684" s="149" t="n">
        <v>0</v>
      </c>
      <c r="AI684" s="149" t="n">
        <v>0</v>
      </c>
      <c r="AJ684" s="149" t="n">
        <v>0</v>
      </c>
      <c r="AK684" s="149" t="n">
        <v>0</v>
      </c>
      <c r="AL684" s="149" t="n">
        <v>0</v>
      </c>
      <c r="AM684" s="149" t="n">
        <v>0</v>
      </c>
      <c r="AN684" s="148"/>
      <c r="AO684" s="148"/>
      <c r="AP684" s="146" t="s">
        <v>138</v>
      </c>
      <c r="AQ684" s="146" t="s">
        <v>139</v>
      </c>
      <c r="AR684" s="146" t="s">
        <v>840</v>
      </c>
      <c r="AS684" s="148"/>
      <c r="AT684" s="150"/>
    </row>
    <row r="685" customFormat="false" ht="12.75" hidden="false" customHeight="true" outlineLevel="0" collapsed="false">
      <c r="B685" s="151"/>
      <c r="C685" s="143" t="s">
        <v>168</v>
      </c>
      <c r="D685" s="152" t="n">
        <v>61073</v>
      </c>
      <c r="E685" s="144" t="str">
        <f aca="false">IF(D685="","",IFERROR(VLOOKUP(D685,CCN_Library!$A$4:$B$13,2,FALSE()),"NOT IN LIBRARY"))</f>
        <v>COMPANY/BATTERY HEADQUARTERS, MARINE CORPS</v>
      </c>
      <c r="F685" s="145" t="str">
        <f aca="false">LEFT(H685,6)</f>
        <v>M28262</v>
      </c>
      <c r="G685" s="146" t="s">
        <v>128</v>
      </c>
      <c r="H685" s="146" t="s">
        <v>1022</v>
      </c>
      <c r="I685" s="146" t="s">
        <v>159</v>
      </c>
      <c r="J685" s="146" t="s">
        <v>191</v>
      </c>
      <c r="K685" s="147" t="s">
        <v>161</v>
      </c>
      <c r="L685" s="146" t="s">
        <v>161</v>
      </c>
      <c r="M685" s="146" t="s">
        <v>133</v>
      </c>
      <c r="N685" s="146" t="s">
        <v>128</v>
      </c>
      <c r="O685" s="146" t="s">
        <v>135</v>
      </c>
      <c r="P685" s="146" t="s">
        <v>135</v>
      </c>
      <c r="Q685" s="148"/>
      <c r="R685" s="146" t="s">
        <v>136</v>
      </c>
      <c r="S685" s="146" t="s">
        <v>58</v>
      </c>
      <c r="T685" s="148"/>
      <c r="U685" s="149" t="n">
        <v>0</v>
      </c>
      <c r="V685" s="149" t="n">
        <v>0</v>
      </c>
      <c r="W685" s="149" t="n">
        <v>0</v>
      </c>
      <c r="X685" s="149" t="n">
        <v>0</v>
      </c>
      <c r="Y685" s="149" t="n">
        <v>0</v>
      </c>
      <c r="Z685" s="149" t="n">
        <v>0</v>
      </c>
      <c r="AA685" s="149" t="n">
        <v>1</v>
      </c>
      <c r="AB685" s="149" t="n">
        <v>0</v>
      </c>
      <c r="AC685" s="149" t="n">
        <v>0</v>
      </c>
      <c r="AD685" s="149" t="n">
        <v>0</v>
      </c>
      <c r="AE685" s="149" t="n">
        <v>0</v>
      </c>
      <c r="AF685" s="149" t="n">
        <v>0</v>
      </c>
      <c r="AG685" s="149" t="n">
        <v>0</v>
      </c>
      <c r="AH685" s="149" t="n">
        <v>0</v>
      </c>
      <c r="AI685" s="149" t="n">
        <v>0</v>
      </c>
      <c r="AJ685" s="149" t="n">
        <v>0</v>
      </c>
      <c r="AK685" s="149" t="n">
        <v>0</v>
      </c>
      <c r="AL685" s="149" t="n">
        <v>0</v>
      </c>
      <c r="AM685" s="149" t="n">
        <v>0</v>
      </c>
      <c r="AN685" s="148"/>
      <c r="AO685" s="148"/>
      <c r="AP685" s="146" t="s">
        <v>138</v>
      </c>
      <c r="AQ685" s="146" t="s">
        <v>139</v>
      </c>
      <c r="AR685" s="146" t="s">
        <v>840</v>
      </c>
      <c r="AS685" s="148"/>
      <c r="AT685" s="153"/>
    </row>
    <row r="686" customFormat="false" ht="12.75" hidden="false" customHeight="true" outlineLevel="0" collapsed="false">
      <c r="B686" s="142"/>
      <c r="C686" s="143" t="s">
        <v>168</v>
      </c>
      <c r="D686" s="144" t="n">
        <v>61073</v>
      </c>
      <c r="E686" s="144" t="str">
        <f aca="false">IF(D686="","",IFERROR(VLOOKUP(D686,CCN_Library!$A$4:$B$13,2,FALSE()),"NOT IN LIBRARY"))</f>
        <v>COMPANY/BATTERY HEADQUARTERS, MARINE CORPS</v>
      </c>
      <c r="F686" s="145" t="str">
        <f aca="false">LEFT(H686,6)</f>
        <v>M28262</v>
      </c>
      <c r="G686" s="146" t="s">
        <v>128</v>
      </c>
      <c r="H686" s="146" t="s">
        <v>1023</v>
      </c>
      <c r="I686" s="146" t="s">
        <v>159</v>
      </c>
      <c r="J686" s="146" t="s">
        <v>191</v>
      </c>
      <c r="K686" s="147" t="s">
        <v>161</v>
      </c>
      <c r="L686" s="146" t="s">
        <v>161</v>
      </c>
      <c r="M686" s="146" t="s">
        <v>133</v>
      </c>
      <c r="N686" s="146" t="s">
        <v>128</v>
      </c>
      <c r="O686" s="146" t="s">
        <v>135</v>
      </c>
      <c r="P686" s="146" t="s">
        <v>135</v>
      </c>
      <c r="Q686" s="148"/>
      <c r="R686" s="146" t="s">
        <v>136</v>
      </c>
      <c r="S686" s="146" t="s">
        <v>58</v>
      </c>
      <c r="T686" s="148"/>
      <c r="U686" s="149" t="n">
        <v>0</v>
      </c>
      <c r="V686" s="149" t="n">
        <v>0</v>
      </c>
      <c r="W686" s="149" t="n">
        <v>0</v>
      </c>
      <c r="X686" s="149" t="n">
        <v>0</v>
      </c>
      <c r="Y686" s="149" t="n">
        <v>0</v>
      </c>
      <c r="Z686" s="149" t="n">
        <v>0</v>
      </c>
      <c r="AA686" s="149" t="n">
        <v>1</v>
      </c>
      <c r="AB686" s="149" t="n">
        <v>0</v>
      </c>
      <c r="AC686" s="149" t="n">
        <v>0</v>
      </c>
      <c r="AD686" s="149" t="n">
        <v>0</v>
      </c>
      <c r="AE686" s="149" t="n">
        <v>0</v>
      </c>
      <c r="AF686" s="149" t="n">
        <v>0</v>
      </c>
      <c r="AG686" s="149" t="n">
        <v>0</v>
      </c>
      <c r="AH686" s="149" t="n">
        <v>0</v>
      </c>
      <c r="AI686" s="149" t="n">
        <v>0</v>
      </c>
      <c r="AJ686" s="149" t="n">
        <v>0</v>
      </c>
      <c r="AK686" s="149" t="n">
        <v>0</v>
      </c>
      <c r="AL686" s="149" t="n">
        <v>0</v>
      </c>
      <c r="AM686" s="149" t="n">
        <v>0</v>
      </c>
      <c r="AN686" s="148"/>
      <c r="AO686" s="148"/>
      <c r="AP686" s="146" t="s">
        <v>138</v>
      </c>
      <c r="AQ686" s="146" t="s">
        <v>139</v>
      </c>
      <c r="AR686" s="146" t="s">
        <v>840</v>
      </c>
      <c r="AS686" s="148"/>
      <c r="AT686" s="150"/>
    </row>
    <row r="687" customFormat="false" ht="12.75" hidden="false" customHeight="true" outlineLevel="0" collapsed="false">
      <c r="B687" s="142"/>
      <c r="C687" s="143" t="s">
        <v>168</v>
      </c>
      <c r="D687" s="144" t="n">
        <v>61073</v>
      </c>
      <c r="E687" s="144" t="str">
        <f aca="false">IF(D687="","",IFERROR(VLOOKUP(D687,CCN_Library!$A$4:$B$13,2,FALSE()),"NOT IN LIBRARY"))</f>
        <v>COMPANY/BATTERY HEADQUARTERS, MARINE CORPS</v>
      </c>
      <c r="F687" s="145" t="str">
        <f aca="false">LEFT(H687,6)</f>
        <v>M28262</v>
      </c>
      <c r="G687" s="146" t="s">
        <v>128</v>
      </c>
      <c r="H687" s="146" t="s">
        <v>1024</v>
      </c>
      <c r="I687" s="146" t="s">
        <v>159</v>
      </c>
      <c r="J687" s="146" t="s">
        <v>191</v>
      </c>
      <c r="K687" s="147" t="s">
        <v>161</v>
      </c>
      <c r="L687" s="146" t="s">
        <v>161</v>
      </c>
      <c r="M687" s="146" t="s">
        <v>133</v>
      </c>
      <c r="N687" s="146" t="s">
        <v>128</v>
      </c>
      <c r="O687" s="146" t="s">
        <v>135</v>
      </c>
      <c r="P687" s="146" t="s">
        <v>135</v>
      </c>
      <c r="Q687" s="148"/>
      <c r="R687" s="146" t="s">
        <v>136</v>
      </c>
      <c r="S687" s="146" t="s">
        <v>58</v>
      </c>
      <c r="T687" s="148"/>
      <c r="U687" s="149" t="n">
        <v>0</v>
      </c>
      <c r="V687" s="149" t="n">
        <v>0</v>
      </c>
      <c r="W687" s="149" t="n">
        <v>0</v>
      </c>
      <c r="X687" s="149" t="n">
        <v>0</v>
      </c>
      <c r="Y687" s="149" t="n">
        <v>0</v>
      </c>
      <c r="Z687" s="149" t="n">
        <v>0</v>
      </c>
      <c r="AA687" s="149" t="n">
        <v>1</v>
      </c>
      <c r="AB687" s="149" t="n">
        <v>0</v>
      </c>
      <c r="AC687" s="149" t="n">
        <v>0</v>
      </c>
      <c r="AD687" s="149" t="n">
        <v>0</v>
      </c>
      <c r="AE687" s="149" t="n">
        <v>0</v>
      </c>
      <c r="AF687" s="149" t="n">
        <v>0</v>
      </c>
      <c r="AG687" s="149" t="n">
        <v>0</v>
      </c>
      <c r="AH687" s="149" t="n">
        <v>0</v>
      </c>
      <c r="AI687" s="149" t="n">
        <v>0</v>
      </c>
      <c r="AJ687" s="149" t="n">
        <v>0</v>
      </c>
      <c r="AK687" s="149" t="n">
        <v>0</v>
      </c>
      <c r="AL687" s="149" t="n">
        <v>0</v>
      </c>
      <c r="AM687" s="149" t="n">
        <v>0</v>
      </c>
      <c r="AN687" s="148"/>
      <c r="AO687" s="148"/>
      <c r="AP687" s="146" t="s">
        <v>138</v>
      </c>
      <c r="AQ687" s="146" t="s">
        <v>139</v>
      </c>
      <c r="AR687" s="146" t="s">
        <v>840</v>
      </c>
      <c r="AS687" s="148"/>
      <c r="AT687" s="150"/>
    </row>
    <row r="688" customFormat="false" ht="12.75" hidden="false" customHeight="true" outlineLevel="0" collapsed="false">
      <c r="B688" s="142"/>
      <c r="C688" s="143" t="s">
        <v>168</v>
      </c>
      <c r="D688" s="144" t="n">
        <v>61073</v>
      </c>
      <c r="E688" s="144" t="str">
        <f aca="false">IF(D688="","",IFERROR(VLOOKUP(D688,CCN_Library!$A$4:$B$13,2,FALSE()),"NOT IN LIBRARY"))</f>
        <v>COMPANY/BATTERY HEADQUARTERS, MARINE CORPS</v>
      </c>
      <c r="F688" s="145" t="str">
        <f aca="false">LEFT(H688,6)</f>
        <v>M28262</v>
      </c>
      <c r="G688" s="146" t="s">
        <v>128</v>
      </c>
      <c r="H688" s="146" t="s">
        <v>1025</v>
      </c>
      <c r="I688" s="146" t="s">
        <v>159</v>
      </c>
      <c r="J688" s="146" t="s">
        <v>176</v>
      </c>
      <c r="K688" s="147" t="s">
        <v>161</v>
      </c>
      <c r="L688" s="146" t="s">
        <v>161</v>
      </c>
      <c r="M688" s="146" t="s">
        <v>133</v>
      </c>
      <c r="N688" s="146" t="s">
        <v>128</v>
      </c>
      <c r="O688" s="146" t="s">
        <v>135</v>
      </c>
      <c r="P688" s="146" t="s">
        <v>135</v>
      </c>
      <c r="Q688" s="148"/>
      <c r="R688" s="146" t="s">
        <v>136</v>
      </c>
      <c r="S688" s="146" t="s">
        <v>58</v>
      </c>
      <c r="T688" s="148"/>
      <c r="U688" s="149" t="n">
        <v>0</v>
      </c>
      <c r="V688" s="149" t="n">
        <v>0</v>
      </c>
      <c r="W688" s="149" t="n">
        <v>0</v>
      </c>
      <c r="X688" s="149" t="n">
        <v>0</v>
      </c>
      <c r="Y688" s="149" t="n">
        <v>0</v>
      </c>
      <c r="Z688" s="149" t="n">
        <v>0</v>
      </c>
      <c r="AA688" s="149" t="n">
        <v>1</v>
      </c>
      <c r="AB688" s="149" t="n">
        <v>0</v>
      </c>
      <c r="AC688" s="149" t="n">
        <v>0</v>
      </c>
      <c r="AD688" s="149" t="n">
        <v>0</v>
      </c>
      <c r="AE688" s="149" t="n">
        <v>0</v>
      </c>
      <c r="AF688" s="149" t="n">
        <v>0</v>
      </c>
      <c r="AG688" s="149" t="n">
        <v>0</v>
      </c>
      <c r="AH688" s="149" t="n">
        <v>0</v>
      </c>
      <c r="AI688" s="149" t="n">
        <v>0</v>
      </c>
      <c r="AJ688" s="149" t="n">
        <v>0</v>
      </c>
      <c r="AK688" s="149" t="n">
        <v>0</v>
      </c>
      <c r="AL688" s="149" t="n">
        <v>0</v>
      </c>
      <c r="AM688" s="149" t="n">
        <v>0</v>
      </c>
      <c r="AN688" s="148"/>
      <c r="AO688" s="148"/>
      <c r="AP688" s="146" t="s">
        <v>138</v>
      </c>
      <c r="AQ688" s="146" t="s">
        <v>139</v>
      </c>
      <c r="AR688" s="146" t="s">
        <v>840</v>
      </c>
      <c r="AS688" s="148"/>
      <c r="AT688" s="150"/>
    </row>
    <row r="689" customFormat="false" ht="12.75" hidden="false" customHeight="true" outlineLevel="0" collapsed="false">
      <c r="B689" s="142"/>
      <c r="C689" s="143" t="s">
        <v>168</v>
      </c>
      <c r="D689" s="144" t="n">
        <v>61073</v>
      </c>
      <c r="E689" s="144" t="str">
        <f aca="false">IF(D689="","",IFERROR(VLOOKUP(D689,CCN_Library!$A$4:$B$13,2,FALSE()),"NOT IN LIBRARY"))</f>
        <v>COMPANY/BATTERY HEADQUARTERS, MARINE CORPS</v>
      </c>
      <c r="F689" s="145" t="str">
        <f aca="false">LEFT(H689,6)</f>
        <v>M28262</v>
      </c>
      <c r="G689" s="146" t="s">
        <v>128</v>
      </c>
      <c r="H689" s="146" t="s">
        <v>1026</v>
      </c>
      <c r="I689" s="146" t="s">
        <v>159</v>
      </c>
      <c r="J689" s="146" t="s">
        <v>176</v>
      </c>
      <c r="K689" s="147" t="s">
        <v>161</v>
      </c>
      <c r="L689" s="146" t="s">
        <v>161</v>
      </c>
      <c r="M689" s="146" t="s">
        <v>133</v>
      </c>
      <c r="N689" s="146" t="s">
        <v>128</v>
      </c>
      <c r="O689" s="146" t="s">
        <v>135</v>
      </c>
      <c r="P689" s="146" t="s">
        <v>135</v>
      </c>
      <c r="Q689" s="148"/>
      <c r="R689" s="146" t="s">
        <v>136</v>
      </c>
      <c r="S689" s="146" t="s">
        <v>58</v>
      </c>
      <c r="T689" s="148"/>
      <c r="U689" s="149" t="n">
        <v>0</v>
      </c>
      <c r="V689" s="149" t="n">
        <v>0</v>
      </c>
      <c r="W689" s="149" t="n">
        <v>0</v>
      </c>
      <c r="X689" s="149" t="n">
        <v>0</v>
      </c>
      <c r="Y689" s="149" t="n">
        <v>0</v>
      </c>
      <c r="Z689" s="149" t="n">
        <v>0</v>
      </c>
      <c r="AA689" s="149" t="n">
        <v>1</v>
      </c>
      <c r="AB689" s="149" t="n">
        <v>0</v>
      </c>
      <c r="AC689" s="149" t="n">
        <v>0</v>
      </c>
      <c r="AD689" s="149" t="n">
        <v>0</v>
      </c>
      <c r="AE689" s="149" t="n">
        <v>0</v>
      </c>
      <c r="AF689" s="149" t="n">
        <v>0</v>
      </c>
      <c r="AG689" s="149" t="n">
        <v>0</v>
      </c>
      <c r="AH689" s="149" t="n">
        <v>0</v>
      </c>
      <c r="AI689" s="149" t="n">
        <v>0</v>
      </c>
      <c r="AJ689" s="149" t="n">
        <v>0</v>
      </c>
      <c r="AK689" s="149" t="n">
        <v>0</v>
      </c>
      <c r="AL689" s="149" t="n">
        <v>0</v>
      </c>
      <c r="AM689" s="149" t="n">
        <v>0</v>
      </c>
      <c r="AN689" s="148"/>
      <c r="AO689" s="148"/>
      <c r="AP689" s="146" t="s">
        <v>138</v>
      </c>
      <c r="AQ689" s="146" t="s">
        <v>139</v>
      </c>
      <c r="AR689" s="146" t="s">
        <v>840</v>
      </c>
      <c r="AS689" s="148"/>
      <c r="AT689" s="150"/>
    </row>
    <row r="690" customFormat="false" ht="12.75" hidden="false" customHeight="true" outlineLevel="0" collapsed="false">
      <c r="B690" s="151"/>
      <c r="C690" s="143" t="s">
        <v>168</v>
      </c>
      <c r="D690" s="152" t="n">
        <v>61073</v>
      </c>
      <c r="E690" s="144" t="str">
        <f aca="false">IF(D690="","",IFERROR(VLOOKUP(D690,CCN_Library!$A$4:$B$13,2,FALSE()),"NOT IN LIBRARY"))</f>
        <v>COMPANY/BATTERY HEADQUARTERS, MARINE CORPS</v>
      </c>
      <c r="F690" s="145" t="str">
        <f aca="false">LEFT(H690,6)</f>
        <v>M28262</v>
      </c>
      <c r="G690" s="146" t="s">
        <v>128</v>
      </c>
      <c r="H690" s="146" t="s">
        <v>1027</v>
      </c>
      <c r="I690" s="146" t="s">
        <v>159</v>
      </c>
      <c r="J690" s="146" t="s">
        <v>176</v>
      </c>
      <c r="K690" s="147" t="s">
        <v>161</v>
      </c>
      <c r="L690" s="146" t="s">
        <v>161</v>
      </c>
      <c r="M690" s="146" t="s">
        <v>133</v>
      </c>
      <c r="N690" s="146" t="s">
        <v>128</v>
      </c>
      <c r="O690" s="146" t="s">
        <v>135</v>
      </c>
      <c r="P690" s="146" t="s">
        <v>135</v>
      </c>
      <c r="Q690" s="148"/>
      <c r="R690" s="146" t="s">
        <v>136</v>
      </c>
      <c r="S690" s="146" t="s">
        <v>58</v>
      </c>
      <c r="T690" s="148"/>
      <c r="U690" s="149" t="n">
        <v>0</v>
      </c>
      <c r="V690" s="149" t="n">
        <v>0</v>
      </c>
      <c r="W690" s="149" t="n">
        <v>0</v>
      </c>
      <c r="X690" s="149" t="n">
        <v>0</v>
      </c>
      <c r="Y690" s="149" t="n">
        <v>0</v>
      </c>
      <c r="Z690" s="149" t="n">
        <v>0</v>
      </c>
      <c r="AA690" s="149" t="n">
        <v>1</v>
      </c>
      <c r="AB690" s="149" t="n">
        <v>0</v>
      </c>
      <c r="AC690" s="149" t="n">
        <v>0</v>
      </c>
      <c r="AD690" s="149" t="n">
        <v>0</v>
      </c>
      <c r="AE690" s="149" t="n">
        <v>0</v>
      </c>
      <c r="AF690" s="149" t="n">
        <v>0</v>
      </c>
      <c r="AG690" s="149" t="n">
        <v>0</v>
      </c>
      <c r="AH690" s="149" t="n">
        <v>0</v>
      </c>
      <c r="AI690" s="149" t="n">
        <v>0</v>
      </c>
      <c r="AJ690" s="149" t="n">
        <v>0</v>
      </c>
      <c r="AK690" s="149" t="n">
        <v>0</v>
      </c>
      <c r="AL690" s="149" t="n">
        <v>0</v>
      </c>
      <c r="AM690" s="149" t="n">
        <v>0</v>
      </c>
      <c r="AN690" s="148"/>
      <c r="AO690" s="148"/>
      <c r="AP690" s="146" t="s">
        <v>138</v>
      </c>
      <c r="AQ690" s="146" t="s">
        <v>139</v>
      </c>
      <c r="AR690" s="146" t="s">
        <v>840</v>
      </c>
      <c r="AS690" s="148"/>
      <c r="AT690" s="153"/>
    </row>
    <row r="691" customFormat="false" ht="12.75" hidden="false" customHeight="true" outlineLevel="0" collapsed="false">
      <c r="B691" s="151"/>
      <c r="C691" s="143" t="s">
        <v>162</v>
      </c>
      <c r="D691" s="152" t="n">
        <v>61073</v>
      </c>
      <c r="E691" s="152"/>
      <c r="F691" s="154" t="str">
        <f aca="false">LEFT(H691,6)</f>
        <v>M28262</v>
      </c>
      <c r="G691" s="155" t="s">
        <v>177</v>
      </c>
      <c r="H691" s="155" t="s">
        <v>1028</v>
      </c>
      <c r="I691" s="155" t="s">
        <v>813</v>
      </c>
      <c r="J691" s="156"/>
      <c r="K691" s="156"/>
      <c r="L691" s="156"/>
      <c r="M691" s="156"/>
      <c r="N691" s="156"/>
      <c r="O691" s="156"/>
      <c r="P691" s="156"/>
      <c r="Q691" s="156"/>
      <c r="R691" s="156"/>
      <c r="S691" s="156"/>
      <c r="T691" s="156"/>
      <c r="U691" s="157" t="n">
        <v>0</v>
      </c>
      <c r="V691" s="157" t="n">
        <v>0</v>
      </c>
      <c r="W691" s="157" t="n">
        <v>0</v>
      </c>
      <c r="X691" s="157" t="n">
        <v>0</v>
      </c>
      <c r="Y691" s="157" t="n">
        <v>0</v>
      </c>
      <c r="Z691" s="157" t="n">
        <v>0</v>
      </c>
      <c r="AA691" s="157" t="n">
        <v>0</v>
      </c>
      <c r="AB691" s="157" t="n">
        <v>0</v>
      </c>
      <c r="AC691" s="157" t="n">
        <v>0</v>
      </c>
      <c r="AD691" s="157" t="n">
        <v>0</v>
      </c>
      <c r="AE691" s="157" t="n">
        <v>0</v>
      </c>
      <c r="AF691" s="157" t="n">
        <v>0</v>
      </c>
      <c r="AG691" s="157" t="n">
        <v>0</v>
      </c>
      <c r="AH691" s="157" t="n">
        <v>0</v>
      </c>
      <c r="AI691" s="157" t="n">
        <v>0</v>
      </c>
      <c r="AJ691" s="157" t="n">
        <v>0</v>
      </c>
      <c r="AK691" s="157" t="n">
        <v>0</v>
      </c>
      <c r="AL691" s="157" t="n">
        <v>0</v>
      </c>
      <c r="AM691" s="157" t="n">
        <v>0</v>
      </c>
      <c r="AN691" s="156"/>
      <c r="AO691" s="156"/>
      <c r="AP691" s="156"/>
      <c r="AQ691" s="156"/>
      <c r="AR691" s="156"/>
      <c r="AS691" s="156"/>
      <c r="AT691" s="153"/>
    </row>
    <row r="692" customFormat="false" ht="12.75" hidden="false" customHeight="true" outlineLevel="0" collapsed="false">
      <c r="B692" s="142"/>
      <c r="C692" s="143" t="s">
        <v>162</v>
      </c>
      <c r="D692" s="144" t="n">
        <v>61073</v>
      </c>
      <c r="E692" s="144" t="str">
        <f aca="false">IF(D692="","",IFERROR(VLOOKUP(D692,CCN_Library!$A$4:$B$13,2,FALSE()),"NOT IN LIBRARY"))</f>
        <v>COMPANY/BATTERY HEADQUARTERS, MARINE CORPS</v>
      </c>
      <c r="F692" s="145" t="str">
        <f aca="false">LEFT(H692,6)</f>
        <v>M28262</v>
      </c>
      <c r="G692" s="146" t="s">
        <v>128</v>
      </c>
      <c r="H692" s="146" t="s">
        <v>1029</v>
      </c>
      <c r="I692" s="146" t="s">
        <v>472</v>
      </c>
      <c r="J692" s="146" t="s">
        <v>182</v>
      </c>
      <c r="K692" s="147" t="s">
        <v>223</v>
      </c>
      <c r="L692" s="146" t="s">
        <v>223</v>
      </c>
      <c r="M692" s="146" t="s">
        <v>133</v>
      </c>
      <c r="N692" s="146" t="s">
        <v>134</v>
      </c>
      <c r="O692" s="146" t="s">
        <v>135</v>
      </c>
      <c r="P692" s="146" t="s">
        <v>135</v>
      </c>
      <c r="Q692" s="148"/>
      <c r="R692" s="146" t="s">
        <v>136</v>
      </c>
      <c r="S692" s="146" t="s">
        <v>137</v>
      </c>
      <c r="T692" s="148"/>
      <c r="U692" s="149" t="n">
        <v>0</v>
      </c>
      <c r="V692" s="149" t="n">
        <v>0</v>
      </c>
      <c r="W692" s="149" t="n">
        <v>0</v>
      </c>
      <c r="X692" s="149" t="n">
        <v>0</v>
      </c>
      <c r="Y692" s="149" t="n">
        <v>0</v>
      </c>
      <c r="Z692" s="149" t="n">
        <v>1</v>
      </c>
      <c r="AA692" s="149" t="n">
        <v>0</v>
      </c>
      <c r="AB692" s="149" t="n">
        <v>0</v>
      </c>
      <c r="AC692" s="149" t="n">
        <v>0</v>
      </c>
      <c r="AD692" s="149" t="n">
        <v>0</v>
      </c>
      <c r="AE692" s="149" t="n">
        <v>0</v>
      </c>
      <c r="AF692" s="149" t="n">
        <v>0</v>
      </c>
      <c r="AG692" s="149" t="n">
        <v>0</v>
      </c>
      <c r="AH692" s="149" t="n">
        <v>0</v>
      </c>
      <c r="AI692" s="149" t="n">
        <v>0</v>
      </c>
      <c r="AJ692" s="149" t="n">
        <v>0</v>
      </c>
      <c r="AK692" s="149" t="n">
        <v>0</v>
      </c>
      <c r="AL692" s="149" t="n">
        <v>0</v>
      </c>
      <c r="AM692" s="149" t="n">
        <v>0</v>
      </c>
      <c r="AN692" s="148"/>
      <c r="AO692" s="148"/>
      <c r="AP692" s="146" t="s">
        <v>138</v>
      </c>
      <c r="AQ692" s="146" t="s">
        <v>139</v>
      </c>
      <c r="AR692" s="146" t="s">
        <v>840</v>
      </c>
      <c r="AS692" s="148"/>
      <c r="AT692" s="150"/>
    </row>
    <row r="693" customFormat="false" ht="12.75" hidden="false" customHeight="true" outlineLevel="0" collapsed="false">
      <c r="B693" s="142"/>
      <c r="C693" s="143" t="s">
        <v>168</v>
      </c>
      <c r="D693" s="144" t="n">
        <v>61073</v>
      </c>
      <c r="E693" s="144" t="str">
        <f aca="false">IF(D693="","",IFERROR(VLOOKUP(D693,CCN_Library!$A$4:$B$13,2,FALSE()),"NOT IN LIBRARY"))</f>
        <v>COMPANY/BATTERY HEADQUARTERS, MARINE CORPS</v>
      </c>
      <c r="F693" s="145" t="str">
        <f aca="false">LEFT(H693,6)</f>
        <v>M28262</v>
      </c>
      <c r="G693" s="146" t="s">
        <v>128</v>
      </c>
      <c r="H693" s="146" t="s">
        <v>1030</v>
      </c>
      <c r="I693" s="146" t="s">
        <v>696</v>
      </c>
      <c r="J693" s="146" t="s">
        <v>191</v>
      </c>
      <c r="K693" s="147" t="s">
        <v>697</v>
      </c>
      <c r="L693" s="146" t="s">
        <v>161</v>
      </c>
      <c r="M693" s="146" t="s">
        <v>133</v>
      </c>
      <c r="N693" s="146" t="s">
        <v>128</v>
      </c>
      <c r="O693" s="146" t="s">
        <v>135</v>
      </c>
      <c r="P693" s="146" t="s">
        <v>135</v>
      </c>
      <c r="Q693" s="148"/>
      <c r="R693" s="146" t="s">
        <v>136</v>
      </c>
      <c r="S693" s="146" t="s">
        <v>58</v>
      </c>
      <c r="T693" s="148"/>
      <c r="U693" s="149" t="n">
        <v>0</v>
      </c>
      <c r="V693" s="149" t="n">
        <v>0</v>
      </c>
      <c r="W693" s="149" t="n">
        <v>0</v>
      </c>
      <c r="X693" s="149" t="n">
        <v>0</v>
      </c>
      <c r="Y693" s="149" t="n">
        <v>0</v>
      </c>
      <c r="Z693" s="149" t="n">
        <v>0</v>
      </c>
      <c r="AA693" s="149" t="n">
        <v>1</v>
      </c>
      <c r="AB693" s="149" t="n">
        <v>0</v>
      </c>
      <c r="AC693" s="149" t="n">
        <v>0</v>
      </c>
      <c r="AD693" s="149" t="n">
        <v>0</v>
      </c>
      <c r="AE693" s="149" t="n">
        <v>0</v>
      </c>
      <c r="AF693" s="149" t="n">
        <v>0</v>
      </c>
      <c r="AG693" s="149" t="n">
        <v>0</v>
      </c>
      <c r="AH693" s="149" t="n">
        <v>0</v>
      </c>
      <c r="AI693" s="149" t="n">
        <v>0</v>
      </c>
      <c r="AJ693" s="149" t="n">
        <v>0</v>
      </c>
      <c r="AK693" s="149" t="n">
        <v>0</v>
      </c>
      <c r="AL693" s="149" t="n">
        <v>0</v>
      </c>
      <c r="AM693" s="149" t="n">
        <v>0</v>
      </c>
      <c r="AN693" s="148"/>
      <c r="AO693" s="148"/>
      <c r="AP693" s="146" t="s">
        <v>138</v>
      </c>
      <c r="AQ693" s="146" t="s">
        <v>139</v>
      </c>
      <c r="AR693" s="146" t="s">
        <v>840</v>
      </c>
      <c r="AS693" s="148"/>
      <c r="AT693" s="150"/>
    </row>
    <row r="694" customFormat="false" ht="12.75" hidden="false" customHeight="true" outlineLevel="0" collapsed="false">
      <c r="B694" s="151"/>
      <c r="C694" s="143" t="s">
        <v>162</v>
      </c>
      <c r="D694" s="152" t="n">
        <v>61073</v>
      </c>
      <c r="E694" s="152"/>
      <c r="F694" s="154" t="str">
        <f aca="false">LEFT(H694,6)</f>
        <v>M28262</v>
      </c>
      <c r="G694" s="155" t="s">
        <v>177</v>
      </c>
      <c r="H694" s="155" t="s">
        <v>1031</v>
      </c>
      <c r="I694" s="155" t="s">
        <v>580</v>
      </c>
      <c r="J694" s="156"/>
      <c r="K694" s="156"/>
      <c r="L694" s="156"/>
      <c r="M694" s="156"/>
      <c r="N694" s="156"/>
      <c r="O694" s="156"/>
      <c r="P694" s="156"/>
      <c r="Q694" s="156"/>
      <c r="R694" s="156"/>
      <c r="S694" s="156"/>
      <c r="T694" s="156"/>
      <c r="U694" s="157" t="n">
        <v>0</v>
      </c>
      <c r="V694" s="157" t="n">
        <v>0</v>
      </c>
      <c r="W694" s="157" t="n">
        <v>0</v>
      </c>
      <c r="X694" s="157" t="n">
        <v>0</v>
      </c>
      <c r="Y694" s="157" t="n">
        <v>0</v>
      </c>
      <c r="Z694" s="157" t="n">
        <v>0</v>
      </c>
      <c r="AA694" s="157" t="n">
        <v>0</v>
      </c>
      <c r="AB694" s="157" t="n">
        <v>0</v>
      </c>
      <c r="AC694" s="157" t="n">
        <v>0</v>
      </c>
      <c r="AD694" s="157" t="n">
        <v>0</v>
      </c>
      <c r="AE694" s="157" t="n">
        <v>0</v>
      </c>
      <c r="AF694" s="157" t="n">
        <v>0</v>
      </c>
      <c r="AG694" s="157" t="n">
        <v>0</v>
      </c>
      <c r="AH694" s="157" t="n">
        <v>0</v>
      </c>
      <c r="AI694" s="157" t="n">
        <v>0</v>
      </c>
      <c r="AJ694" s="157" t="n">
        <v>0</v>
      </c>
      <c r="AK694" s="157" t="n">
        <v>0</v>
      </c>
      <c r="AL694" s="157" t="n">
        <v>0</v>
      </c>
      <c r="AM694" s="157" t="n">
        <v>0</v>
      </c>
      <c r="AN694" s="156"/>
      <c r="AO694" s="156"/>
      <c r="AP694" s="156"/>
      <c r="AQ694" s="156"/>
      <c r="AR694" s="156"/>
      <c r="AS694" s="156"/>
      <c r="AT694" s="153"/>
    </row>
    <row r="695" customFormat="false" ht="12.75" hidden="false" customHeight="true" outlineLevel="0" collapsed="false">
      <c r="B695" s="151"/>
      <c r="C695" s="143" t="s">
        <v>162</v>
      </c>
      <c r="D695" s="152" t="n">
        <v>61073</v>
      </c>
      <c r="E695" s="144" t="str">
        <f aca="false">IF(D695="","",IFERROR(VLOOKUP(D695,CCN_Library!$A$4:$B$13,2,FALSE()),"NOT IN LIBRARY"))</f>
        <v>COMPANY/BATTERY HEADQUARTERS, MARINE CORPS</v>
      </c>
      <c r="F695" s="145" t="str">
        <f aca="false">LEFT(H695,6)</f>
        <v>M28262</v>
      </c>
      <c r="G695" s="146" t="s">
        <v>128</v>
      </c>
      <c r="H695" s="146" t="s">
        <v>1032</v>
      </c>
      <c r="I695" s="146" t="s">
        <v>515</v>
      </c>
      <c r="J695" s="146" t="s">
        <v>189</v>
      </c>
      <c r="K695" s="147" t="s">
        <v>516</v>
      </c>
      <c r="L695" s="146" t="s">
        <v>161</v>
      </c>
      <c r="M695" s="146" t="s">
        <v>133</v>
      </c>
      <c r="N695" s="146" t="s">
        <v>128</v>
      </c>
      <c r="O695" s="146" t="s">
        <v>135</v>
      </c>
      <c r="P695" s="146" t="s">
        <v>135</v>
      </c>
      <c r="Q695" s="148"/>
      <c r="R695" s="146" t="s">
        <v>136</v>
      </c>
      <c r="S695" s="146" t="s">
        <v>137</v>
      </c>
      <c r="T695" s="148"/>
      <c r="U695" s="149" t="n">
        <v>0</v>
      </c>
      <c r="V695" s="149" t="n">
        <v>0</v>
      </c>
      <c r="W695" s="149" t="n">
        <v>0</v>
      </c>
      <c r="X695" s="149" t="n">
        <v>0</v>
      </c>
      <c r="Y695" s="149" t="n">
        <v>0</v>
      </c>
      <c r="Z695" s="149" t="n">
        <v>0</v>
      </c>
      <c r="AA695" s="149" t="n">
        <v>1</v>
      </c>
      <c r="AB695" s="149" t="n">
        <v>0</v>
      </c>
      <c r="AC695" s="149" t="n">
        <v>0</v>
      </c>
      <c r="AD695" s="149" t="n">
        <v>0</v>
      </c>
      <c r="AE695" s="149" t="n">
        <v>0</v>
      </c>
      <c r="AF695" s="149" t="n">
        <v>0</v>
      </c>
      <c r="AG695" s="149" t="n">
        <v>0</v>
      </c>
      <c r="AH695" s="149" t="n">
        <v>0</v>
      </c>
      <c r="AI695" s="149" t="n">
        <v>0</v>
      </c>
      <c r="AJ695" s="149" t="n">
        <v>0</v>
      </c>
      <c r="AK695" s="149" t="n">
        <v>0</v>
      </c>
      <c r="AL695" s="149" t="n">
        <v>0</v>
      </c>
      <c r="AM695" s="149" t="n">
        <v>0</v>
      </c>
      <c r="AN695" s="148"/>
      <c r="AO695" s="148"/>
      <c r="AP695" s="146" t="s">
        <v>138</v>
      </c>
      <c r="AQ695" s="146" t="s">
        <v>139</v>
      </c>
      <c r="AR695" s="146" t="s">
        <v>840</v>
      </c>
      <c r="AS695" s="148"/>
      <c r="AT695" s="153"/>
    </row>
    <row r="696" customFormat="false" ht="12.75" hidden="false" customHeight="true" outlineLevel="0" collapsed="false">
      <c r="B696" s="142"/>
      <c r="C696" s="143" t="s">
        <v>168</v>
      </c>
      <c r="D696" s="144" t="n">
        <v>61073</v>
      </c>
      <c r="E696" s="144" t="str">
        <f aca="false">IF(D696="","",IFERROR(VLOOKUP(D696,CCN_Library!$A$4:$B$13,2,FALSE()),"NOT IN LIBRARY"))</f>
        <v>COMPANY/BATTERY HEADQUARTERS, MARINE CORPS</v>
      </c>
      <c r="F696" s="145" t="str">
        <f aca="false">LEFT(H696,6)</f>
        <v>M28262</v>
      </c>
      <c r="G696" s="146" t="s">
        <v>128</v>
      </c>
      <c r="H696" s="146" t="s">
        <v>1033</v>
      </c>
      <c r="I696" s="146" t="s">
        <v>515</v>
      </c>
      <c r="J696" s="146" t="s">
        <v>191</v>
      </c>
      <c r="K696" s="147" t="s">
        <v>516</v>
      </c>
      <c r="L696" s="146" t="s">
        <v>161</v>
      </c>
      <c r="M696" s="146" t="s">
        <v>133</v>
      </c>
      <c r="N696" s="146" t="s">
        <v>128</v>
      </c>
      <c r="O696" s="146" t="s">
        <v>135</v>
      </c>
      <c r="P696" s="146" t="s">
        <v>135</v>
      </c>
      <c r="Q696" s="148"/>
      <c r="R696" s="146" t="s">
        <v>136</v>
      </c>
      <c r="S696" s="146" t="s">
        <v>58</v>
      </c>
      <c r="T696" s="148"/>
      <c r="U696" s="149" t="n">
        <v>0</v>
      </c>
      <c r="V696" s="149" t="n">
        <v>0</v>
      </c>
      <c r="W696" s="149" t="n">
        <v>0</v>
      </c>
      <c r="X696" s="149" t="n">
        <v>0</v>
      </c>
      <c r="Y696" s="149" t="n">
        <v>0</v>
      </c>
      <c r="Z696" s="149" t="n">
        <v>0</v>
      </c>
      <c r="AA696" s="149" t="n">
        <v>1</v>
      </c>
      <c r="AB696" s="149" t="n">
        <v>0</v>
      </c>
      <c r="AC696" s="149" t="n">
        <v>0</v>
      </c>
      <c r="AD696" s="149" t="n">
        <v>0</v>
      </c>
      <c r="AE696" s="149" t="n">
        <v>0</v>
      </c>
      <c r="AF696" s="149" t="n">
        <v>0</v>
      </c>
      <c r="AG696" s="149" t="n">
        <v>0</v>
      </c>
      <c r="AH696" s="149" t="n">
        <v>0</v>
      </c>
      <c r="AI696" s="149" t="n">
        <v>0</v>
      </c>
      <c r="AJ696" s="149" t="n">
        <v>0</v>
      </c>
      <c r="AK696" s="149" t="n">
        <v>0</v>
      </c>
      <c r="AL696" s="149" t="n">
        <v>0</v>
      </c>
      <c r="AM696" s="149" t="n">
        <v>0</v>
      </c>
      <c r="AN696" s="148"/>
      <c r="AO696" s="148"/>
      <c r="AP696" s="146" t="s">
        <v>138</v>
      </c>
      <c r="AQ696" s="146" t="s">
        <v>139</v>
      </c>
      <c r="AR696" s="146" t="s">
        <v>840</v>
      </c>
      <c r="AS696" s="148"/>
      <c r="AT696" s="150"/>
    </row>
    <row r="697" customFormat="false" ht="12.75" hidden="false" customHeight="true" outlineLevel="0" collapsed="false">
      <c r="B697" s="142"/>
      <c r="C697" s="143" t="s">
        <v>168</v>
      </c>
      <c r="D697" s="144" t="n">
        <v>61073</v>
      </c>
      <c r="E697" s="144" t="str">
        <f aca="false">IF(D697="","",IFERROR(VLOOKUP(D697,CCN_Library!$A$4:$B$13,2,FALSE()),"NOT IN LIBRARY"))</f>
        <v>COMPANY/BATTERY HEADQUARTERS, MARINE CORPS</v>
      </c>
      <c r="F697" s="145" t="str">
        <f aca="false">LEFT(H697,6)</f>
        <v>M28262</v>
      </c>
      <c r="G697" s="146" t="s">
        <v>128</v>
      </c>
      <c r="H697" s="146" t="s">
        <v>1034</v>
      </c>
      <c r="I697" s="146" t="s">
        <v>515</v>
      </c>
      <c r="J697" s="146" t="s">
        <v>191</v>
      </c>
      <c r="K697" s="147" t="s">
        <v>516</v>
      </c>
      <c r="L697" s="146" t="s">
        <v>161</v>
      </c>
      <c r="M697" s="146" t="s">
        <v>133</v>
      </c>
      <c r="N697" s="146" t="s">
        <v>128</v>
      </c>
      <c r="O697" s="146" t="s">
        <v>135</v>
      </c>
      <c r="P697" s="146" t="s">
        <v>135</v>
      </c>
      <c r="Q697" s="148"/>
      <c r="R697" s="146" t="s">
        <v>136</v>
      </c>
      <c r="S697" s="146" t="s">
        <v>58</v>
      </c>
      <c r="T697" s="148"/>
      <c r="U697" s="149" t="n">
        <v>0</v>
      </c>
      <c r="V697" s="149" t="n">
        <v>0</v>
      </c>
      <c r="W697" s="149" t="n">
        <v>0</v>
      </c>
      <c r="X697" s="149" t="n">
        <v>0</v>
      </c>
      <c r="Y697" s="149" t="n">
        <v>0</v>
      </c>
      <c r="Z697" s="149" t="n">
        <v>0</v>
      </c>
      <c r="AA697" s="149" t="n">
        <v>1</v>
      </c>
      <c r="AB697" s="149" t="n">
        <v>0</v>
      </c>
      <c r="AC697" s="149" t="n">
        <v>0</v>
      </c>
      <c r="AD697" s="149" t="n">
        <v>0</v>
      </c>
      <c r="AE697" s="149" t="n">
        <v>0</v>
      </c>
      <c r="AF697" s="149" t="n">
        <v>0</v>
      </c>
      <c r="AG697" s="149" t="n">
        <v>0</v>
      </c>
      <c r="AH697" s="149" t="n">
        <v>0</v>
      </c>
      <c r="AI697" s="149" t="n">
        <v>0</v>
      </c>
      <c r="AJ697" s="149" t="n">
        <v>0</v>
      </c>
      <c r="AK697" s="149" t="n">
        <v>0</v>
      </c>
      <c r="AL697" s="149" t="n">
        <v>0</v>
      </c>
      <c r="AM697" s="149" t="n">
        <v>0</v>
      </c>
      <c r="AN697" s="148"/>
      <c r="AO697" s="148"/>
      <c r="AP697" s="146" t="s">
        <v>138</v>
      </c>
      <c r="AQ697" s="146" t="s">
        <v>139</v>
      </c>
      <c r="AR697" s="146" t="s">
        <v>840</v>
      </c>
      <c r="AS697" s="148"/>
      <c r="AT697" s="150"/>
    </row>
    <row r="698" customFormat="false" ht="12.75" hidden="false" customHeight="true" outlineLevel="0" collapsed="false">
      <c r="B698" s="151"/>
      <c r="C698" s="143" t="s">
        <v>162</v>
      </c>
      <c r="D698" s="152" t="n">
        <v>61073</v>
      </c>
      <c r="E698" s="152"/>
      <c r="F698" s="154" t="str">
        <f aca="false">LEFT(H698,6)</f>
        <v>M28262</v>
      </c>
      <c r="G698" s="155" t="s">
        <v>177</v>
      </c>
      <c r="H698" s="155" t="s">
        <v>1035</v>
      </c>
      <c r="I698" s="155" t="s">
        <v>821</v>
      </c>
      <c r="J698" s="156"/>
      <c r="K698" s="156"/>
      <c r="L698" s="156"/>
      <c r="M698" s="156"/>
      <c r="N698" s="156"/>
      <c r="O698" s="156"/>
      <c r="P698" s="156"/>
      <c r="Q698" s="156"/>
      <c r="R698" s="156"/>
      <c r="S698" s="156"/>
      <c r="T698" s="156"/>
      <c r="U698" s="157" t="n">
        <v>0</v>
      </c>
      <c r="V698" s="157" t="n">
        <v>0</v>
      </c>
      <c r="W698" s="157" t="n">
        <v>0</v>
      </c>
      <c r="X698" s="157" t="n">
        <v>0</v>
      </c>
      <c r="Y698" s="157" t="n">
        <v>0</v>
      </c>
      <c r="Z698" s="157" t="n">
        <v>0</v>
      </c>
      <c r="AA698" s="157" t="n">
        <v>0</v>
      </c>
      <c r="AB698" s="157" t="n">
        <v>0</v>
      </c>
      <c r="AC698" s="157" t="n">
        <v>0</v>
      </c>
      <c r="AD698" s="157" t="n">
        <v>0</v>
      </c>
      <c r="AE698" s="157" t="n">
        <v>0</v>
      </c>
      <c r="AF698" s="157" t="n">
        <v>0</v>
      </c>
      <c r="AG698" s="157" t="n">
        <v>0</v>
      </c>
      <c r="AH698" s="157" t="n">
        <v>0</v>
      </c>
      <c r="AI698" s="157" t="n">
        <v>0</v>
      </c>
      <c r="AJ698" s="157" t="n">
        <v>0</v>
      </c>
      <c r="AK698" s="157" t="n">
        <v>0</v>
      </c>
      <c r="AL698" s="157" t="n">
        <v>0</v>
      </c>
      <c r="AM698" s="157" t="n">
        <v>0</v>
      </c>
      <c r="AN698" s="156"/>
      <c r="AO698" s="156"/>
      <c r="AP698" s="156"/>
      <c r="AQ698" s="156"/>
      <c r="AR698" s="156"/>
      <c r="AS698" s="156"/>
      <c r="AT698" s="153"/>
    </row>
    <row r="699" customFormat="false" ht="12.75" hidden="false" customHeight="true" outlineLevel="0" collapsed="false">
      <c r="B699" s="151"/>
      <c r="C699" s="143" t="s">
        <v>162</v>
      </c>
      <c r="D699" s="152" t="n">
        <v>61073</v>
      </c>
      <c r="E699" s="144" t="str">
        <f aca="false">IF(D699="","",IFERROR(VLOOKUP(D699,CCN_Library!$A$4:$B$13,2,FALSE()),"NOT IN LIBRARY"))</f>
        <v>COMPANY/BATTERY HEADQUARTERS, MARINE CORPS</v>
      </c>
      <c r="F699" s="145" t="str">
        <f aca="false">LEFT(H699,6)</f>
        <v>M28262</v>
      </c>
      <c r="G699" s="146" t="s">
        <v>128</v>
      </c>
      <c r="H699" s="146" t="s">
        <v>1036</v>
      </c>
      <c r="I699" s="146" t="s">
        <v>457</v>
      </c>
      <c r="J699" s="146" t="s">
        <v>189</v>
      </c>
      <c r="K699" s="147" t="s">
        <v>458</v>
      </c>
      <c r="L699" s="146" t="s">
        <v>161</v>
      </c>
      <c r="M699" s="146" t="s">
        <v>133</v>
      </c>
      <c r="N699" s="146" t="s">
        <v>128</v>
      </c>
      <c r="O699" s="146" t="s">
        <v>135</v>
      </c>
      <c r="P699" s="146" t="s">
        <v>135</v>
      </c>
      <c r="Q699" s="148"/>
      <c r="R699" s="146" t="s">
        <v>136</v>
      </c>
      <c r="S699" s="146" t="s">
        <v>137</v>
      </c>
      <c r="T699" s="148"/>
      <c r="U699" s="149" t="n">
        <v>0</v>
      </c>
      <c r="V699" s="149" t="n">
        <v>0</v>
      </c>
      <c r="W699" s="149" t="n">
        <v>0</v>
      </c>
      <c r="X699" s="149" t="n">
        <v>0</v>
      </c>
      <c r="Y699" s="149" t="n">
        <v>0</v>
      </c>
      <c r="Z699" s="149" t="n">
        <v>0</v>
      </c>
      <c r="AA699" s="149" t="n">
        <v>1</v>
      </c>
      <c r="AB699" s="149" t="n">
        <v>0</v>
      </c>
      <c r="AC699" s="149" t="n">
        <v>0</v>
      </c>
      <c r="AD699" s="149" t="n">
        <v>0</v>
      </c>
      <c r="AE699" s="149" t="n">
        <v>0</v>
      </c>
      <c r="AF699" s="149" t="n">
        <v>0</v>
      </c>
      <c r="AG699" s="149" t="n">
        <v>0</v>
      </c>
      <c r="AH699" s="149" t="n">
        <v>0</v>
      </c>
      <c r="AI699" s="149" t="n">
        <v>0</v>
      </c>
      <c r="AJ699" s="149" t="n">
        <v>0</v>
      </c>
      <c r="AK699" s="149" t="n">
        <v>0</v>
      </c>
      <c r="AL699" s="149" t="n">
        <v>0</v>
      </c>
      <c r="AM699" s="149" t="n">
        <v>0</v>
      </c>
      <c r="AN699" s="148"/>
      <c r="AO699" s="148"/>
      <c r="AP699" s="146" t="s">
        <v>138</v>
      </c>
      <c r="AQ699" s="146" t="s">
        <v>139</v>
      </c>
      <c r="AR699" s="146" t="s">
        <v>840</v>
      </c>
      <c r="AS699" s="148"/>
      <c r="AT699" s="153"/>
    </row>
    <row r="700" customFormat="false" ht="12.75" hidden="false" customHeight="true" outlineLevel="0" collapsed="false">
      <c r="B700" s="142"/>
      <c r="C700" s="143" t="s">
        <v>168</v>
      </c>
      <c r="D700" s="144" t="n">
        <v>61073</v>
      </c>
      <c r="E700" s="144" t="str">
        <f aca="false">IF(D700="","",IFERROR(VLOOKUP(D700,CCN_Library!$A$4:$B$13,2,FALSE()),"NOT IN LIBRARY"))</f>
        <v>COMPANY/BATTERY HEADQUARTERS, MARINE CORPS</v>
      </c>
      <c r="F700" s="145" t="str">
        <f aca="false">LEFT(H700,6)</f>
        <v>M28262</v>
      </c>
      <c r="G700" s="146" t="s">
        <v>128</v>
      </c>
      <c r="H700" s="146" t="s">
        <v>1037</v>
      </c>
      <c r="I700" s="146" t="s">
        <v>457</v>
      </c>
      <c r="J700" s="146" t="s">
        <v>191</v>
      </c>
      <c r="K700" s="147" t="s">
        <v>458</v>
      </c>
      <c r="L700" s="146" t="s">
        <v>161</v>
      </c>
      <c r="M700" s="146" t="s">
        <v>133</v>
      </c>
      <c r="N700" s="146" t="s">
        <v>128</v>
      </c>
      <c r="O700" s="146" t="s">
        <v>135</v>
      </c>
      <c r="P700" s="146" t="s">
        <v>135</v>
      </c>
      <c r="Q700" s="148"/>
      <c r="R700" s="146" t="s">
        <v>136</v>
      </c>
      <c r="S700" s="146" t="s">
        <v>58</v>
      </c>
      <c r="T700" s="148"/>
      <c r="U700" s="149" t="n">
        <v>0</v>
      </c>
      <c r="V700" s="149" t="n">
        <v>0</v>
      </c>
      <c r="W700" s="149" t="n">
        <v>0</v>
      </c>
      <c r="X700" s="149" t="n">
        <v>0</v>
      </c>
      <c r="Y700" s="149" t="n">
        <v>0</v>
      </c>
      <c r="Z700" s="149" t="n">
        <v>0</v>
      </c>
      <c r="AA700" s="149" t="n">
        <v>1</v>
      </c>
      <c r="AB700" s="149" t="n">
        <v>0</v>
      </c>
      <c r="AC700" s="149" t="n">
        <v>0</v>
      </c>
      <c r="AD700" s="149" t="n">
        <v>0</v>
      </c>
      <c r="AE700" s="149" t="n">
        <v>0</v>
      </c>
      <c r="AF700" s="149" t="n">
        <v>0</v>
      </c>
      <c r="AG700" s="149" t="n">
        <v>0</v>
      </c>
      <c r="AH700" s="149" t="n">
        <v>0</v>
      </c>
      <c r="AI700" s="149" t="n">
        <v>0</v>
      </c>
      <c r="AJ700" s="149" t="n">
        <v>0</v>
      </c>
      <c r="AK700" s="149" t="n">
        <v>0</v>
      </c>
      <c r="AL700" s="149" t="n">
        <v>0</v>
      </c>
      <c r="AM700" s="149" t="n">
        <v>0</v>
      </c>
      <c r="AN700" s="148"/>
      <c r="AO700" s="148"/>
      <c r="AP700" s="146" t="s">
        <v>138</v>
      </c>
      <c r="AQ700" s="146" t="s">
        <v>139</v>
      </c>
      <c r="AR700" s="146" t="s">
        <v>840</v>
      </c>
      <c r="AS700" s="148"/>
      <c r="AT700" s="150"/>
    </row>
    <row r="701" customFormat="false" ht="12.75" hidden="false" customHeight="true" outlineLevel="0" collapsed="false">
      <c r="B701" s="142"/>
      <c r="C701" s="143" t="s">
        <v>168</v>
      </c>
      <c r="D701" s="144" t="n">
        <v>61073</v>
      </c>
      <c r="E701" s="144" t="str">
        <f aca="false">IF(D701="","",IFERROR(VLOOKUP(D701,CCN_Library!$A$4:$B$13,2,FALSE()),"NOT IN LIBRARY"))</f>
        <v>COMPANY/BATTERY HEADQUARTERS, MARINE CORPS</v>
      </c>
      <c r="F701" s="145" t="str">
        <f aca="false">LEFT(H701,6)</f>
        <v>M28262</v>
      </c>
      <c r="G701" s="146" t="s">
        <v>128</v>
      </c>
      <c r="H701" s="146" t="s">
        <v>1038</v>
      </c>
      <c r="I701" s="146" t="s">
        <v>457</v>
      </c>
      <c r="J701" s="146" t="s">
        <v>176</v>
      </c>
      <c r="K701" s="147" t="s">
        <v>458</v>
      </c>
      <c r="L701" s="146" t="s">
        <v>161</v>
      </c>
      <c r="M701" s="146" t="s">
        <v>133</v>
      </c>
      <c r="N701" s="146" t="s">
        <v>128</v>
      </c>
      <c r="O701" s="146" t="s">
        <v>135</v>
      </c>
      <c r="P701" s="146" t="s">
        <v>135</v>
      </c>
      <c r="Q701" s="148"/>
      <c r="R701" s="146" t="s">
        <v>136</v>
      </c>
      <c r="S701" s="146" t="s">
        <v>58</v>
      </c>
      <c r="T701" s="148"/>
      <c r="U701" s="149" t="n">
        <v>0</v>
      </c>
      <c r="V701" s="149" t="n">
        <v>0</v>
      </c>
      <c r="W701" s="149" t="n">
        <v>0</v>
      </c>
      <c r="X701" s="149" t="n">
        <v>0</v>
      </c>
      <c r="Y701" s="149" t="n">
        <v>0</v>
      </c>
      <c r="Z701" s="149" t="n">
        <v>0</v>
      </c>
      <c r="AA701" s="149" t="n">
        <v>1</v>
      </c>
      <c r="AB701" s="149" t="n">
        <v>0</v>
      </c>
      <c r="AC701" s="149" t="n">
        <v>0</v>
      </c>
      <c r="AD701" s="149" t="n">
        <v>0</v>
      </c>
      <c r="AE701" s="149" t="n">
        <v>0</v>
      </c>
      <c r="AF701" s="149" t="n">
        <v>0</v>
      </c>
      <c r="AG701" s="149" t="n">
        <v>0</v>
      </c>
      <c r="AH701" s="149" t="n">
        <v>0</v>
      </c>
      <c r="AI701" s="149" t="n">
        <v>0</v>
      </c>
      <c r="AJ701" s="149" t="n">
        <v>0</v>
      </c>
      <c r="AK701" s="149" t="n">
        <v>0</v>
      </c>
      <c r="AL701" s="149" t="n">
        <v>0</v>
      </c>
      <c r="AM701" s="149" t="n">
        <v>0</v>
      </c>
      <c r="AN701" s="148"/>
      <c r="AO701" s="148"/>
      <c r="AP701" s="146" t="s">
        <v>138</v>
      </c>
      <c r="AQ701" s="146" t="s">
        <v>139</v>
      </c>
      <c r="AR701" s="146" t="s">
        <v>840</v>
      </c>
      <c r="AS701" s="148"/>
      <c r="AT701" s="150"/>
    </row>
    <row r="702" customFormat="false" ht="12.75" hidden="false" customHeight="true" outlineLevel="0" collapsed="false">
      <c r="B702" s="151"/>
      <c r="C702" s="143" t="s">
        <v>162</v>
      </c>
      <c r="D702" s="152" t="n">
        <v>61073</v>
      </c>
      <c r="E702" s="152"/>
      <c r="F702" s="154" t="str">
        <f aca="false">LEFT(H702,6)</f>
        <v>M28262</v>
      </c>
      <c r="G702" s="155" t="s">
        <v>58</v>
      </c>
      <c r="H702" s="155" t="s">
        <v>1039</v>
      </c>
      <c r="I702" s="155" t="s">
        <v>826</v>
      </c>
      <c r="J702" s="156"/>
      <c r="K702" s="156"/>
      <c r="L702" s="156"/>
      <c r="M702" s="156"/>
      <c r="N702" s="156"/>
      <c r="O702" s="156"/>
      <c r="P702" s="156"/>
      <c r="Q702" s="156"/>
      <c r="R702" s="156"/>
      <c r="S702" s="156"/>
      <c r="T702" s="156"/>
      <c r="U702" s="157" t="n">
        <v>0</v>
      </c>
      <c r="V702" s="157" t="n">
        <v>0</v>
      </c>
      <c r="W702" s="157" t="n">
        <v>0</v>
      </c>
      <c r="X702" s="157" t="n">
        <v>0</v>
      </c>
      <c r="Y702" s="157" t="n">
        <v>0</v>
      </c>
      <c r="Z702" s="157" t="n">
        <v>0</v>
      </c>
      <c r="AA702" s="157" t="n">
        <v>0</v>
      </c>
      <c r="AB702" s="157" t="n">
        <v>0</v>
      </c>
      <c r="AC702" s="157" t="n">
        <v>0</v>
      </c>
      <c r="AD702" s="157" t="n">
        <v>0</v>
      </c>
      <c r="AE702" s="157" t="n">
        <v>0</v>
      </c>
      <c r="AF702" s="157" t="n">
        <v>0</v>
      </c>
      <c r="AG702" s="157" t="n">
        <v>0</v>
      </c>
      <c r="AH702" s="157" t="n">
        <v>0</v>
      </c>
      <c r="AI702" s="157" t="n">
        <v>0</v>
      </c>
      <c r="AJ702" s="157" t="n">
        <v>0</v>
      </c>
      <c r="AK702" s="157" t="n">
        <v>0</v>
      </c>
      <c r="AL702" s="157" t="n">
        <v>0</v>
      </c>
      <c r="AM702" s="157" t="n">
        <v>0</v>
      </c>
      <c r="AN702" s="156"/>
      <c r="AO702" s="156"/>
      <c r="AP702" s="156"/>
      <c r="AQ702" s="156"/>
      <c r="AR702" s="156"/>
      <c r="AS702" s="156"/>
      <c r="AT702" s="153"/>
    </row>
    <row r="703" customFormat="false" ht="12.75" hidden="false" customHeight="true" outlineLevel="0" collapsed="false">
      <c r="B703" s="142"/>
      <c r="C703" s="143" t="s">
        <v>162</v>
      </c>
      <c r="D703" s="144" t="n">
        <v>61073</v>
      </c>
      <c r="E703" s="144" t="str">
        <f aca="false">IF(D703="","",IFERROR(VLOOKUP(D703,CCN_Library!$A$4:$B$13,2,FALSE()),"NOT IN LIBRARY"))</f>
        <v>COMPANY/BATTERY HEADQUARTERS, MARINE CORPS</v>
      </c>
      <c r="F703" s="145" t="str">
        <f aca="false">LEFT(H703,6)</f>
        <v>M28262</v>
      </c>
      <c r="G703" s="146" t="s">
        <v>128</v>
      </c>
      <c r="H703" s="146" t="s">
        <v>1040</v>
      </c>
      <c r="I703" s="146" t="s">
        <v>527</v>
      </c>
      <c r="J703" s="146" t="s">
        <v>211</v>
      </c>
      <c r="K703" s="147" t="s">
        <v>151</v>
      </c>
      <c r="L703" s="146" t="s">
        <v>151</v>
      </c>
      <c r="M703" s="146" t="s">
        <v>133</v>
      </c>
      <c r="N703" s="146" t="s">
        <v>134</v>
      </c>
      <c r="O703" s="146" t="s">
        <v>135</v>
      </c>
      <c r="P703" s="146" t="s">
        <v>135</v>
      </c>
      <c r="Q703" s="148"/>
      <c r="R703" s="146" t="s">
        <v>136</v>
      </c>
      <c r="S703" s="146" t="s">
        <v>137</v>
      </c>
      <c r="T703" s="148"/>
      <c r="U703" s="149" t="n">
        <v>0</v>
      </c>
      <c r="V703" s="149" t="n">
        <v>0</v>
      </c>
      <c r="W703" s="149" t="n">
        <v>0</v>
      </c>
      <c r="X703" s="149" t="n">
        <v>0</v>
      </c>
      <c r="Y703" s="149" t="n">
        <v>0</v>
      </c>
      <c r="Z703" s="149" t="n">
        <v>1</v>
      </c>
      <c r="AA703" s="149" t="n">
        <v>0</v>
      </c>
      <c r="AB703" s="149" t="n">
        <v>0</v>
      </c>
      <c r="AC703" s="149" t="n">
        <v>0</v>
      </c>
      <c r="AD703" s="149" t="n">
        <v>0</v>
      </c>
      <c r="AE703" s="149" t="n">
        <v>0</v>
      </c>
      <c r="AF703" s="149" t="n">
        <v>0</v>
      </c>
      <c r="AG703" s="149" t="n">
        <v>0</v>
      </c>
      <c r="AH703" s="149" t="n">
        <v>0</v>
      </c>
      <c r="AI703" s="149" t="n">
        <v>0</v>
      </c>
      <c r="AJ703" s="149" t="n">
        <v>0</v>
      </c>
      <c r="AK703" s="149" t="n">
        <v>0</v>
      </c>
      <c r="AL703" s="149" t="n">
        <v>0</v>
      </c>
      <c r="AM703" s="149" t="n">
        <v>0</v>
      </c>
      <c r="AN703" s="148"/>
      <c r="AO703" s="148"/>
      <c r="AP703" s="146" t="s">
        <v>138</v>
      </c>
      <c r="AQ703" s="146" t="s">
        <v>139</v>
      </c>
      <c r="AR703" s="146" t="s">
        <v>840</v>
      </c>
      <c r="AS703" s="148"/>
      <c r="AT703" s="150"/>
    </row>
    <row r="704" customFormat="false" ht="12.75" hidden="false" customHeight="true" outlineLevel="0" collapsed="false">
      <c r="B704" s="151"/>
      <c r="C704" s="143" t="s">
        <v>162</v>
      </c>
      <c r="D704" s="152" t="n">
        <v>61073</v>
      </c>
      <c r="E704" s="144" t="str">
        <f aca="false">IF(D704="","",IFERROR(VLOOKUP(D704,CCN_Library!$A$4:$B$13,2,FALSE()),"NOT IN LIBRARY"))</f>
        <v>COMPANY/BATTERY HEADQUARTERS, MARINE CORPS</v>
      </c>
      <c r="F704" s="145" t="str">
        <f aca="false">LEFT(H704,6)</f>
        <v>M28262</v>
      </c>
      <c r="G704" s="146" t="s">
        <v>128</v>
      </c>
      <c r="H704" s="146" t="s">
        <v>1041</v>
      </c>
      <c r="I704" s="146" t="s">
        <v>472</v>
      </c>
      <c r="J704" s="146" t="s">
        <v>211</v>
      </c>
      <c r="K704" s="147" t="s">
        <v>223</v>
      </c>
      <c r="L704" s="146" t="s">
        <v>223</v>
      </c>
      <c r="M704" s="146" t="s">
        <v>133</v>
      </c>
      <c r="N704" s="146" t="s">
        <v>134</v>
      </c>
      <c r="O704" s="146" t="s">
        <v>135</v>
      </c>
      <c r="P704" s="146" t="s">
        <v>135</v>
      </c>
      <c r="Q704" s="148"/>
      <c r="R704" s="146" t="s">
        <v>136</v>
      </c>
      <c r="S704" s="146" t="s">
        <v>137</v>
      </c>
      <c r="T704" s="148"/>
      <c r="U704" s="149" t="n">
        <v>0</v>
      </c>
      <c r="V704" s="149" t="n">
        <v>0</v>
      </c>
      <c r="W704" s="149" t="n">
        <v>0</v>
      </c>
      <c r="X704" s="149" t="n">
        <v>0</v>
      </c>
      <c r="Y704" s="149" t="n">
        <v>0</v>
      </c>
      <c r="Z704" s="149" t="n">
        <v>1</v>
      </c>
      <c r="AA704" s="149" t="n">
        <v>0</v>
      </c>
      <c r="AB704" s="149" t="n">
        <v>0</v>
      </c>
      <c r="AC704" s="149" t="n">
        <v>0</v>
      </c>
      <c r="AD704" s="149" t="n">
        <v>0</v>
      </c>
      <c r="AE704" s="149" t="n">
        <v>0</v>
      </c>
      <c r="AF704" s="149" t="n">
        <v>0</v>
      </c>
      <c r="AG704" s="149" t="n">
        <v>0</v>
      </c>
      <c r="AH704" s="149" t="n">
        <v>0</v>
      </c>
      <c r="AI704" s="149" t="n">
        <v>0</v>
      </c>
      <c r="AJ704" s="149" t="n">
        <v>0</v>
      </c>
      <c r="AK704" s="149" t="n">
        <v>0</v>
      </c>
      <c r="AL704" s="149" t="n">
        <v>0</v>
      </c>
      <c r="AM704" s="149" t="n">
        <v>0</v>
      </c>
      <c r="AN704" s="148"/>
      <c r="AO704" s="148"/>
      <c r="AP704" s="146" t="s">
        <v>138</v>
      </c>
      <c r="AQ704" s="146" t="s">
        <v>139</v>
      </c>
      <c r="AR704" s="146" t="s">
        <v>840</v>
      </c>
      <c r="AS704" s="148"/>
      <c r="AT704" s="153"/>
    </row>
    <row r="705" customFormat="false" ht="12.75" hidden="false" customHeight="true" outlineLevel="0" collapsed="false">
      <c r="B705" s="142"/>
      <c r="C705" s="143" t="s">
        <v>162</v>
      </c>
      <c r="D705" s="144" t="n">
        <v>61073</v>
      </c>
      <c r="E705" s="144" t="str">
        <f aca="false">IF(D705="","",IFERROR(VLOOKUP(D705,CCN_Library!$A$4:$B$13,2,FALSE()),"NOT IN LIBRARY"))</f>
        <v>COMPANY/BATTERY HEADQUARTERS, MARINE CORPS</v>
      </c>
      <c r="F705" s="145" t="str">
        <f aca="false">LEFT(H705,6)</f>
        <v>M28262</v>
      </c>
      <c r="G705" s="146" t="s">
        <v>128</v>
      </c>
      <c r="H705" s="146" t="s">
        <v>1042</v>
      </c>
      <c r="I705" s="146" t="s">
        <v>530</v>
      </c>
      <c r="J705" s="146" t="s">
        <v>182</v>
      </c>
      <c r="K705" s="147" t="s">
        <v>223</v>
      </c>
      <c r="L705" s="146" t="s">
        <v>223</v>
      </c>
      <c r="M705" s="146" t="s">
        <v>133</v>
      </c>
      <c r="N705" s="146" t="s">
        <v>134</v>
      </c>
      <c r="O705" s="146" t="s">
        <v>135</v>
      </c>
      <c r="P705" s="146" t="s">
        <v>135</v>
      </c>
      <c r="Q705" s="148"/>
      <c r="R705" s="146" t="s">
        <v>136</v>
      </c>
      <c r="S705" s="146" t="s">
        <v>137</v>
      </c>
      <c r="T705" s="148"/>
      <c r="U705" s="149" t="n">
        <v>0</v>
      </c>
      <c r="V705" s="149" t="n">
        <v>0</v>
      </c>
      <c r="W705" s="149" t="n">
        <v>0</v>
      </c>
      <c r="X705" s="149" t="n">
        <v>0</v>
      </c>
      <c r="Y705" s="149" t="n">
        <v>0</v>
      </c>
      <c r="Z705" s="149" t="n">
        <v>1</v>
      </c>
      <c r="AA705" s="149" t="n">
        <v>0</v>
      </c>
      <c r="AB705" s="149" t="n">
        <v>0</v>
      </c>
      <c r="AC705" s="149" t="n">
        <v>0</v>
      </c>
      <c r="AD705" s="149" t="n">
        <v>0</v>
      </c>
      <c r="AE705" s="149" t="n">
        <v>0</v>
      </c>
      <c r="AF705" s="149" t="n">
        <v>0</v>
      </c>
      <c r="AG705" s="149" t="n">
        <v>0</v>
      </c>
      <c r="AH705" s="149" t="n">
        <v>0</v>
      </c>
      <c r="AI705" s="149" t="n">
        <v>0</v>
      </c>
      <c r="AJ705" s="149" t="n">
        <v>0</v>
      </c>
      <c r="AK705" s="149" t="n">
        <v>0</v>
      </c>
      <c r="AL705" s="149" t="n">
        <v>0</v>
      </c>
      <c r="AM705" s="149" t="n">
        <v>0</v>
      </c>
      <c r="AN705" s="148"/>
      <c r="AO705" s="148"/>
      <c r="AP705" s="146" t="s">
        <v>138</v>
      </c>
      <c r="AQ705" s="146" t="s">
        <v>139</v>
      </c>
      <c r="AR705" s="146" t="s">
        <v>840</v>
      </c>
      <c r="AS705" s="148"/>
      <c r="AT705" s="150"/>
    </row>
    <row r="706" customFormat="false" ht="12.75" hidden="false" customHeight="true" outlineLevel="0" collapsed="false">
      <c r="B706" s="142"/>
      <c r="C706" s="143" t="s">
        <v>162</v>
      </c>
      <c r="D706" s="144" t="n">
        <v>61073</v>
      </c>
      <c r="E706" s="144" t="str">
        <f aca="false">IF(D706="","",IFERROR(VLOOKUP(D706,CCN_Library!$A$4:$B$13,2,FALSE()),"NOT IN LIBRARY"))</f>
        <v>COMPANY/BATTERY HEADQUARTERS, MARINE CORPS</v>
      </c>
      <c r="F706" s="145" t="str">
        <f aca="false">LEFT(H706,6)</f>
        <v>M28262</v>
      </c>
      <c r="G706" s="146" t="s">
        <v>128</v>
      </c>
      <c r="H706" s="146" t="s">
        <v>1043</v>
      </c>
      <c r="I706" s="146" t="s">
        <v>159</v>
      </c>
      <c r="J706" s="146" t="s">
        <v>189</v>
      </c>
      <c r="K706" s="147" t="s">
        <v>161</v>
      </c>
      <c r="L706" s="146" t="s">
        <v>161</v>
      </c>
      <c r="M706" s="146" t="s">
        <v>133</v>
      </c>
      <c r="N706" s="146" t="s">
        <v>128</v>
      </c>
      <c r="O706" s="146" t="s">
        <v>135</v>
      </c>
      <c r="P706" s="146" t="s">
        <v>135</v>
      </c>
      <c r="Q706" s="148"/>
      <c r="R706" s="146" t="s">
        <v>136</v>
      </c>
      <c r="S706" s="146" t="s">
        <v>137</v>
      </c>
      <c r="T706" s="148"/>
      <c r="U706" s="149" t="n">
        <v>0</v>
      </c>
      <c r="V706" s="149" t="n">
        <v>0</v>
      </c>
      <c r="W706" s="149" t="n">
        <v>0</v>
      </c>
      <c r="X706" s="149" t="n">
        <v>0</v>
      </c>
      <c r="Y706" s="149" t="n">
        <v>0</v>
      </c>
      <c r="Z706" s="149" t="n">
        <v>0</v>
      </c>
      <c r="AA706" s="149" t="n">
        <v>1</v>
      </c>
      <c r="AB706" s="149" t="n">
        <v>0</v>
      </c>
      <c r="AC706" s="149" t="n">
        <v>0</v>
      </c>
      <c r="AD706" s="149" t="n">
        <v>0</v>
      </c>
      <c r="AE706" s="149" t="n">
        <v>0</v>
      </c>
      <c r="AF706" s="149" t="n">
        <v>0</v>
      </c>
      <c r="AG706" s="149" t="n">
        <v>0</v>
      </c>
      <c r="AH706" s="149" t="n">
        <v>0</v>
      </c>
      <c r="AI706" s="149" t="n">
        <v>0</v>
      </c>
      <c r="AJ706" s="149" t="n">
        <v>0</v>
      </c>
      <c r="AK706" s="149" t="n">
        <v>0</v>
      </c>
      <c r="AL706" s="149" t="n">
        <v>0</v>
      </c>
      <c r="AM706" s="149" t="n">
        <v>0</v>
      </c>
      <c r="AN706" s="148"/>
      <c r="AO706" s="148"/>
      <c r="AP706" s="146" t="s">
        <v>138</v>
      </c>
      <c r="AQ706" s="146" t="s">
        <v>139</v>
      </c>
      <c r="AR706" s="146" t="s">
        <v>840</v>
      </c>
      <c r="AS706" s="148"/>
      <c r="AT706" s="150"/>
    </row>
    <row r="707" customFormat="false" ht="12.75" hidden="false" customHeight="true" outlineLevel="0" collapsed="false">
      <c r="B707" s="142"/>
      <c r="C707" s="143" t="s">
        <v>168</v>
      </c>
      <c r="D707" s="144" t="n">
        <v>61073</v>
      </c>
      <c r="E707" s="144" t="str">
        <f aca="false">IF(D707="","",IFERROR(VLOOKUP(D707,CCN_Library!$A$4:$B$13,2,FALSE()),"NOT IN LIBRARY"))</f>
        <v>COMPANY/BATTERY HEADQUARTERS, MARINE CORPS</v>
      </c>
      <c r="F707" s="145" t="str">
        <f aca="false">LEFT(H707,6)</f>
        <v>M28262</v>
      </c>
      <c r="G707" s="146" t="s">
        <v>128</v>
      </c>
      <c r="H707" s="146" t="s">
        <v>1044</v>
      </c>
      <c r="I707" s="146" t="s">
        <v>159</v>
      </c>
      <c r="J707" s="146" t="s">
        <v>191</v>
      </c>
      <c r="K707" s="147" t="s">
        <v>161</v>
      </c>
      <c r="L707" s="146" t="s">
        <v>161</v>
      </c>
      <c r="M707" s="146" t="s">
        <v>133</v>
      </c>
      <c r="N707" s="146" t="s">
        <v>128</v>
      </c>
      <c r="O707" s="146" t="s">
        <v>135</v>
      </c>
      <c r="P707" s="146" t="s">
        <v>135</v>
      </c>
      <c r="Q707" s="148"/>
      <c r="R707" s="146" t="s">
        <v>136</v>
      </c>
      <c r="S707" s="146" t="s">
        <v>58</v>
      </c>
      <c r="T707" s="148"/>
      <c r="U707" s="149" t="n">
        <v>0</v>
      </c>
      <c r="V707" s="149" t="n">
        <v>0</v>
      </c>
      <c r="W707" s="149" t="n">
        <v>0</v>
      </c>
      <c r="X707" s="149" t="n">
        <v>0</v>
      </c>
      <c r="Y707" s="149" t="n">
        <v>0</v>
      </c>
      <c r="Z707" s="149" t="n">
        <v>0</v>
      </c>
      <c r="AA707" s="149" t="n">
        <v>1</v>
      </c>
      <c r="AB707" s="149" t="n">
        <v>0</v>
      </c>
      <c r="AC707" s="149" t="n">
        <v>0</v>
      </c>
      <c r="AD707" s="149" t="n">
        <v>0</v>
      </c>
      <c r="AE707" s="149" t="n">
        <v>0</v>
      </c>
      <c r="AF707" s="149" t="n">
        <v>0</v>
      </c>
      <c r="AG707" s="149" t="n">
        <v>0</v>
      </c>
      <c r="AH707" s="149" t="n">
        <v>0</v>
      </c>
      <c r="AI707" s="149" t="n">
        <v>0</v>
      </c>
      <c r="AJ707" s="149" t="n">
        <v>0</v>
      </c>
      <c r="AK707" s="149" t="n">
        <v>0</v>
      </c>
      <c r="AL707" s="149" t="n">
        <v>0</v>
      </c>
      <c r="AM707" s="149" t="n">
        <v>0</v>
      </c>
      <c r="AN707" s="148"/>
      <c r="AO707" s="148"/>
      <c r="AP707" s="146" t="s">
        <v>138</v>
      </c>
      <c r="AQ707" s="146" t="s">
        <v>139</v>
      </c>
      <c r="AR707" s="146" t="s">
        <v>840</v>
      </c>
      <c r="AS707" s="148"/>
      <c r="AT707" s="150"/>
    </row>
    <row r="708" customFormat="false" ht="12.75" hidden="false" customHeight="true" outlineLevel="0" collapsed="false">
      <c r="B708" s="142"/>
      <c r="C708" s="143" t="s">
        <v>168</v>
      </c>
      <c r="D708" s="144" t="n">
        <v>61073</v>
      </c>
      <c r="E708" s="144" t="str">
        <f aca="false">IF(D708="","",IFERROR(VLOOKUP(D708,CCN_Library!$A$4:$B$13,2,FALSE()),"NOT IN LIBRARY"))</f>
        <v>COMPANY/BATTERY HEADQUARTERS, MARINE CORPS</v>
      </c>
      <c r="F708" s="145" t="str">
        <f aca="false">LEFT(H708,6)</f>
        <v>M28262</v>
      </c>
      <c r="G708" s="146" t="s">
        <v>128</v>
      </c>
      <c r="H708" s="146" t="s">
        <v>1045</v>
      </c>
      <c r="I708" s="146" t="s">
        <v>159</v>
      </c>
      <c r="J708" s="146" t="s">
        <v>191</v>
      </c>
      <c r="K708" s="147" t="s">
        <v>161</v>
      </c>
      <c r="L708" s="146" t="s">
        <v>161</v>
      </c>
      <c r="M708" s="146" t="s">
        <v>133</v>
      </c>
      <c r="N708" s="146" t="s">
        <v>128</v>
      </c>
      <c r="O708" s="146" t="s">
        <v>135</v>
      </c>
      <c r="P708" s="146" t="s">
        <v>135</v>
      </c>
      <c r="Q708" s="148"/>
      <c r="R708" s="146" t="s">
        <v>136</v>
      </c>
      <c r="S708" s="146" t="s">
        <v>58</v>
      </c>
      <c r="T708" s="148"/>
      <c r="U708" s="149" t="n">
        <v>0</v>
      </c>
      <c r="V708" s="149" t="n">
        <v>0</v>
      </c>
      <c r="W708" s="149" t="n">
        <v>0</v>
      </c>
      <c r="X708" s="149" t="n">
        <v>0</v>
      </c>
      <c r="Y708" s="149" t="n">
        <v>0</v>
      </c>
      <c r="Z708" s="149" t="n">
        <v>0</v>
      </c>
      <c r="AA708" s="149" t="n">
        <v>1</v>
      </c>
      <c r="AB708" s="149" t="n">
        <v>0</v>
      </c>
      <c r="AC708" s="149" t="n">
        <v>0</v>
      </c>
      <c r="AD708" s="149" t="n">
        <v>0</v>
      </c>
      <c r="AE708" s="149" t="n">
        <v>0</v>
      </c>
      <c r="AF708" s="149" t="n">
        <v>0</v>
      </c>
      <c r="AG708" s="149" t="n">
        <v>0</v>
      </c>
      <c r="AH708" s="149" t="n">
        <v>0</v>
      </c>
      <c r="AI708" s="149" t="n">
        <v>0</v>
      </c>
      <c r="AJ708" s="149" t="n">
        <v>0</v>
      </c>
      <c r="AK708" s="149" t="n">
        <v>0</v>
      </c>
      <c r="AL708" s="149" t="n">
        <v>0</v>
      </c>
      <c r="AM708" s="149" t="n">
        <v>0</v>
      </c>
      <c r="AN708" s="148"/>
      <c r="AO708" s="148"/>
      <c r="AP708" s="146" t="s">
        <v>138</v>
      </c>
      <c r="AQ708" s="146" t="s">
        <v>139</v>
      </c>
      <c r="AR708" s="146" t="s">
        <v>840</v>
      </c>
      <c r="AS708" s="148"/>
      <c r="AT708" s="150"/>
    </row>
    <row r="709" customFormat="false" ht="12.75" hidden="false" customHeight="true" outlineLevel="0" collapsed="false">
      <c r="B709" s="151"/>
      <c r="C709" s="143" t="s">
        <v>168</v>
      </c>
      <c r="D709" s="152" t="n">
        <v>61073</v>
      </c>
      <c r="E709" s="144" t="str">
        <f aca="false">IF(D709="","",IFERROR(VLOOKUP(D709,CCN_Library!$A$4:$B$13,2,FALSE()),"NOT IN LIBRARY"))</f>
        <v>COMPANY/BATTERY HEADQUARTERS, MARINE CORPS</v>
      </c>
      <c r="F709" s="145" t="str">
        <f aca="false">LEFT(H709,6)</f>
        <v>M28262</v>
      </c>
      <c r="G709" s="146" t="s">
        <v>128</v>
      </c>
      <c r="H709" s="146" t="s">
        <v>1046</v>
      </c>
      <c r="I709" s="146" t="s">
        <v>159</v>
      </c>
      <c r="J709" s="146" t="s">
        <v>160</v>
      </c>
      <c r="K709" s="147" t="s">
        <v>161</v>
      </c>
      <c r="L709" s="146" t="s">
        <v>161</v>
      </c>
      <c r="M709" s="146" t="s">
        <v>133</v>
      </c>
      <c r="N709" s="146" t="s">
        <v>128</v>
      </c>
      <c r="O709" s="146" t="s">
        <v>135</v>
      </c>
      <c r="P709" s="146" t="s">
        <v>135</v>
      </c>
      <c r="Q709" s="148"/>
      <c r="R709" s="146" t="s">
        <v>136</v>
      </c>
      <c r="S709" s="146" t="s">
        <v>58</v>
      </c>
      <c r="T709" s="148"/>
      <c r="U709" s="149" t="n">
        <v>0</v>
      </c>
      <c r="V709" s="149" t="n">
        <v>0</v>
      </c>
      <c r="W709" s="149" t="n">
        <v>0</v>
      </c>
      <c r="X709" s="149" t="n">
        <v>0</v>
      </c>
      <c r="Y709" s="149" t="n">
        <v>0</v>
      </c>
      <c r="Z709" s="149" t="n">
        <v>0</v>
      </c>
      <c r="AA709" s="149" t="n">
        <v>1</v>
      </c>
      <c r="AB709" s="149" t="n">
        <v>0</v>
      </c>
      <c r="AC709" s="149" t="n">
        <v>0</v>
      </c>
      <c r="AD709" s="149" t="n">
        <v>0</v>
      </c>
      <c r="AE709" s="149" t="n">
        <v>0</v>
      </c>
      <c r="AF709" s="149" t="n">
        <v>0</v>
      </c>
      <c r="AG709" s="149" t="n">
        <v>0</v>
      </c>
      <c r="AH709" s="149" t="n">
        <v>0</v>
      </c>
      <c r="AI709" s="149" t="n">
        <v>0</v>
      </c>
      <c r="AJ709" s="149" t="n">
        <v>0</v>
      </c>
      <c r="AK709" s="149" t="n">
        <v>0</v>
      </c>
      <c r="AL709" s="149" t="n">
        <v>0</v>
      </c>
      <c r="AM709" s="149" t="n">
        <v>0</v>
      </c>
      <c r="AN709" s="148"/>
      <c r="AO709" s="148"/>
      <c r="AP709" s="146" t="s">
        <v>138</v>
      </c>
      <c r="AQ709" s="146" t="s">
        <v>139</v>
      </c>
      <c r="AR709" s="146" t="s">
        <v>840</v>
      </c>
      <c r="AS709" s="148"/>
      <c r="AT709" s="153"/>
    </row>
    <row r="710" customFormat="false" ht="12.75" hidden="false" customHeight="true" outlineLevel="0" collapsed="false">
      <c r="B710" s="142"/>
      <c r="C710" s="143" t="s">
        <v>168</v>
      </c>
      <c r="D710" s="144" t="n">
        <v>61073</v>
      </c>
      <c r="E710" s="144" t="str">
        <f aca="false">IF(D710="","",IFERROR(VLOOKUP(D710,CCN_Library!$A$4:$B$13,2,FALSE()),"NOT IN LIBRARY"))</f>
        <v>COMPANY/BATTERY HEADQUARTERS, MARINE CORPS</v>
      </c>
      <c r="F710" s="145" t="str">
        <f aca="false">LEFT(H710,6)</f>
        <v>M28262</v>
      </c>
      <c r="G710" s="146" t="s">
        <v>128</v>
      </c>
      <c r="H710" s="146" t="s">
        <v>1047</v>
      </c>
      <c r="I710" s="146" t="s">
        <v>159</v>
      </c>
      <c r="J710" s="146" t="s">
        <v>160</v>
      </c>
      <c r="K710" s="147" t="s">
        <v>161</v>
      </c>
      <c r="L710" s="146" t="s">
        <v>161</v>
      </c>
      <c r="M710" s="146" t="s">
        <v>133</v>
      </c>
      <c r="N710" s="146" t="s">
        <v>128</v>
      </c>
      <c r="O710" s="146" t="s">
        <v>135</v>
      </c>
      <c r="P710" s="146" t="s">
        <v>135</v>
      </c>
      <c r="Q710" s="148"/>
      <c r="R710" s="146" t="s">
        <v>136</v>
      </c>
      <c r="S710" s="146" t="s">
        <v>58</v>
      </c>
      <c r="T710" s="148"/>
      <c r="U710" s="149" t="n">
        <v>0</v>
      </c>
      <c r="V710" s="149" t="n">
        <v>0</v>
      </c>
      <c r="W710" s="149" t="n">
        <v>0</v>
      </c>
      <c r="X710" s="149" t="n">
        <v>0</v>
      </c>
      <c r="Y710" s="149" t="n">
        <v>0</v>
      </c>
      <c r="Z710" s="149" t="n">
        <v>0</v>
      </c>
      <c r="AA710" s="149" t="n">
        <v>1</v>
      </c>
      <c r="AB710" s="149" t="n">
        <v>0</v>
      </c>
      <c r="AC710" s="149" t="n">
        <v>0</v>
      </c>
      <c r="AD710" s="149" t="n">
        <v>0</v>
      </c>
      <c r="AE710" s="149" t="n">
        <v>0</v>
      </c>
      <c r="AF710" s="149" t="n">
        <v>0</v>
      </c>
      <c r="AG710" s="149" t="n">
        <v>0</v>
      </c>
      <c r="AH710" s="149" t="n">
        <v>0</v>
      </c>
      <c r="AI710" s="149" t="n">
        <v>0</v>
      </c>
      <c r="AJ710" s="149" t="n">
        <v>0</v>
      </c>
      <c r="AK710" s="149" t="n">
        <v>0</v>
      </c>
      <c r="AL710" s="149" t="n">
        <v>0</v>
      </c>
      <c r="AM710" s="149" t="n">
        <v>0</v>
      </c>
      <c r="AN710" s="148"/>
      <c r="AO710" s="148"/>
      <c r="AP710" s="146" t="s">
        <v>138</v>
      </c>
      <c r="AQ710" s="146" t="s">
        <v>139</v>
      </c>
      <c r="AR710" s="146" t="s">
        <v>840</v>
      </c>
      <c r="AS710" s="148"/>
      <c r="AT710" s="150"/>
    </row>
    <row r="711" customFormat="false" ht="12.75" hidden="false" customHeight="true" outlineLevel="0" collapsed="false">
      <c r="B711" s="142"/>
      <c r="C711" s="143" t="s">
        <v>168</v>
      </c>
      <c r="D711" s="144" t="n">
        <v>61073</v>
      </c>
      <c r="E711" s="144" t="str">
        <f aca="false">IF(D711="","",IFERROR(VLOOKUP(D711,CCN_Library!$A$4:$B$13,2,FALSE()),"NOT IN LIBRARY"))</f>
        <v>COMPANY/BATTERY HEADQUARTERS, MARINE CORPS</v>
      </c>
      <c r="F711" s="145" t="str">
        <f aca="false">LEFT(H711,6)</f>
        <v>M28262</v>
      </c>
      <c r="G711" s="146" t="s">
        <v>128</v>
      </c>
      <c r="H711" s="146" t="s">
        <v>1048</v>
      </c>
      <c r="I711" s="146" t="s">
        <v>159</v>
      </c>
      <c r="J711" s="146" t="s">
        <v>160</v>
      </c>
      <c r="K711" s="147" t="s">
        <v>161</v>
      </c>
      <c r="L711" s="146" t="s">
        <v>161</v>
      </c>
      <c r="M711" s="146" t="s">
        <v>133</v>
      </c>
      <c r="N711" s="146" t="s">
        <v>128</v>
      </c>
      <c r="O711" s="146" t="s">
        <v>135</v>
      </c>
      <c r="P711" s="146" t="s">
        <v>135</v>
      </c>
      <c r="Q711" s="148"/>
      <c r="R711" s="146" t="s">
        <v>136</v>
      </c>
      <c r="S711" s="146" t="s">
        <v>58</v>
      </c>
      <c r="T711" s="148"/>
      <c r="U711" s="149" t="n">
        <v>0</v>
      </c>
      <c r="V711" s="149" t="n">
        <v>0</v>
      </c>
      <c r="W711" s="149" t="n">
        <v>0</v>
      </c>
      <c r="X711" s="149" t="n">
        <v>0</v>
      </c>
      <c r="Y711" s="149" t="n">
        <v>0</v>
      </c>
      <c r="Z711" s="149" t="n">
        <v>0</v>
      </c>
      <c r="AA711" s="149" t="n">
        <v>1</v>
      </c>
      <c r="AB711" s="149" t="n">
        <v>0</v>
      </c>
      <c r="AC711" s="149" t="n">
        <v>0</v>
      </c>
      <c r="AD711" s="149" t="n">
        <v>0</v>
      </c>
      <c r="AE711" s="149" t="n">
        <v>0</v>
      </c>
      <c r="AF711" s="149" t="n">
        <v>0</v>
      </c>
      <c r="AG711" s="149" t="n">
        <v>0</v>
      </c>
      <c r="AH711" s="149" t="n">
        <v>0</v>
      </c>
      <c r="AI711" s="149" t="n">
        <v>0</v>
      </c>
      <c r="AJ711" s="149" t="n">
        <v>0</v>
      </c>
      <c r="AK711" s="149" t="n">
        <v>0</v>
      </c>
      <c r="AL711" s="149" t="n">
        <v>0</v>
      </c>
      <c r="AM711" s="149" t="n">
        <v>0</v>
      </c>
      <c r="AN711" s="148"/>
      <c r="AO711" s="148"/>
      <c r="AP711" s="146" t="s">
        <v>138</v>
      </c>
      <c r="AQ711" s="146" t="s">
        <v>139</v>
      </c>
      <c r="AR711" s="146" t="s">
        <v>840</v>
      </c>
      <c r="AS711" s="148"/>
      <c r="AT711" s="150"/>
    </row>
    <row r="712" customFormat="false" ht="12.75" hidden="false" customHeight="true" outlineLevel="0" collapsed="false">
      <c r="B712" s="142"/>
      <c r="C712" s="143" t="s">
        <v>168</v>
      </c>
      <c r="D712" s="144" t="n">
        <v>61073</v>
      </c>
      <c r="E712" s="144" t="str">
        <f aca="false">IF(D712="","",IFERROR(VLOOKUP(D712,CCN_Library!$A$4:$B$13,2,FALSE()),"NOT IN LIBRARY"))</f>
        <v>COMPANY/BATTERY HEADQUARTERS, MARINE CORPS</v>
      </c>
      <c r="F712" s="145" t="str">
        <f aca="false">LEFT(H712,6)</f>
        <v>M28262</v>
      </c>
      <c r="G712" s="146" t="s">
        <v>128</v>
      </c>
      <c r="H712" s="146" t="s">
        <v>1049</v>
      </c>
      <c r="I712" s="146" t="s">
        <v>159</v>
      </c>
      <c r="J712" s="146" t="s">
        <v>160</v>
      </c>
      <c r="K712" s="147" t="s">
        <v>161</v>
      </c>
      <c r="L712" s="146" t="s">
        <v>161</v>
      </c>
      <c r="M712" s="146" t="s">
        <v>133</v>
      </c>
      <c r="N712" s="146" t="s">
        <v>128</v>
      </c>
      <c r="O712" s="146" t="s">
        <v>135</v>
      </c>
      <c r="P712" s="146" t="s">
        <v>135</v>
      </c>
      <c r="Q712" s="148"/>
      <c r="R712" s="146" t="s">
        <v>136</v>
      </c>
      <c r="S712" s="146" t="s">
        <v>58</v>
      </c>
      <c r="T712" s="148"/>
      <c r="U712" s="149" t="n">
        <v>0</v>
      </c>
      <c r="V712" s="149" t="n">
        <v>0</v>
      </c>
      <c r="W712" s="149" t="n">
        <v>0</v>
      </c>
      <c r="X712" s="149" t="n">
        <v>0</v>
      </c>
      <c r="Y712" s="149" t="n">
        <v>0</v>
      </c>
      <c r="Z712" s="149" t="n">
        <v>0</v>
      </c>
      <c r="AA712" s="149" t="n">
        <v>1</v>
      </c>
      <c r="AB712" s="149" t="n">
        <v>0</v>
      </c>
      <c r="AC712" s="149" t="n">
        <v>0</v>
      </c>
      <c r="AD712" s="149" t="n">
        <v>0</v>
      </c>
      <c r="AE712" s="149" t="n">
        <v>0</v>
      </c>
      <c r="AF712" s="149" t="n">
        <v>0</v>
      </c>
      <c r="AG712" s="149" t="n">
        <v>0</v>
      </c>
      <c r="AH712" s="149" t="n">
        <v>0</v>
      </c>
      <c r="AI712" s="149" t="n">
        <v>0</v>
      </c>
      <c r="AJ712" s="149" t="n">
        <v>0</v>
      </c>
      <c r="AK712" s="149" t="n">
        <v>0</v>
      </c>
      <c r="AL712" s="149" t="n">
        <v>0</v>
      </c>
      <c r="AM712" s="149" t="n">
        <v>0</v>
      </c>
      <c r="AN712" s="148"/>
      <c r="AO712" s="148"/>
      <c r="AP712" s="146" t="s">
        <v>138</v>
      </c>
      <c r="AQ712" s="146" t="s">
        <v>139</v>
      </c>
      <c r="AR712" s="146" t="s">
        <v>840</v>
      </c>
      <c r="AS712" s="148"/>
      <c r="AT712" s="150"/>
    </row>
    <row r="713" customFormat="false" ht="12.75" hidden="false" customHeight="true" outlineLevel="0" collapsed="false">
      <c r="B713" s="142"/>
      <c r="C713" s="143" t="s">
        <v>168</v>
      </c>
      <c r="D713" s="144" t="n">
        <v>61073</v>
      </c>
      <c r="E713" s="144" t="str">
        <f aca="false">IF(D713="","",IFERROR(VLOOKUP(D713,CCN_Library!$A$4:$B$13,2,FALSE()),"NOT IN LIBRARY"))</f>
        <v>COMPANY/BATTERY HEADQUARTERS, MARINE CORPS</v>
      </c>
      <c r="F713" s="145" t="str">
        <f aca="false">LEFT(H713,6)</f>
        <v>M28262</v>
      </c>
      <c r="G713" s="146" t="s">
        <v>128</v>
      </c>
      <c r="H713" s="146" t="s">
        <v>1050</v>
      </c>
      <c r="I713" s="146" t="s">
        <v>159</v>
      </c>
      <c r="J713" s="146" t="s">
        <v>160</v>
      </c>
      <c r="K713" s="147" t="s">
        <v>161</v>
      </c>
      <c r="L713" s="146" t="s">
        <v>161</v>
      </c>
      <c r="M713" s="146" t="s">
        <v>133</v>
      </c>
      <c r="N713" s="146" t="s">
        <v>128</v>
      </c>
      <c r="O713" s="146" t="s">
        <v>135</v>
      </c>
      <c r="P713" s="146" t="s">
        <v>135</v>
      </c>
      <c r="Q713" s="148"/>
      <c r="R713" s="146" t="s">
        <v>136</v>
      </c>
      <c r="S713" s="146" t="s">
        <v>58</v>
      </c>
      <c r="T713" s="148"/>
      <c r="U713" s="149" t="n">
        <v>0</v>
      </c>
      <c r="V713" s="149" t="n">
        <v>0</v>
      </c>
      <c r="W713" s="149" t="n">
        <v>0</v>
      </c>
      <c r="X713" s="149" t="n">
        <v>0</v>
      </c>
      <c r="Y713" s="149" t="n">
        <v>0</v>
      </c>
      <c r="Z713" s="149" t="n">
        <v>0</v>
      </c>
      <c r="AA713" s="149" t="n">
        <v>1</v>
      </c>
      <c r="AB713" s="149" t="n">
        <v>0</v>
      </c>
      <c r="AC713" s="149" t="n">
        <v>0</v>
      </c>
      <c r="AD713" s="149" t="n">
        <v>0</v>
      </c>
      <c r="AE713" s="149" t="n">
        <v>0</v>
      </c>
      <c r="AF713" s="149" t="n">
        <v>0</v>
      </c>
      <c r="AG713" s="149" t="n">
        <v>0</v>
      </c>
      <c r="AH713" s="149" t="n">
        <v>0</v>
      </c>
      <c r="AI713" s="149" t="n">
        <v>0</v>
      </c>
      <c r="AJ713" s="149" t="n">
        <v>0</v>
      </c>
      <c r="AK713" s="149" t="n">
        <v>0</v>
      </c>
      <c r="AL713" s="149" t="n">
        <v>0</v>
      </c>
      <c r="AM713" s="149" t="n">
        <v>0</v>
      </c>
      <c r="AN713" s="148"/>
      <c r="AO713" s="148"/>
      <c r="AP713" s="146" t="s">
        <v>138</v>
      </c>
      <c r="AQ713" s="146" t="s">
        <v>139</v>
      </c>
      <c r="AR713" s="146" t="s">
        <v>840</v>
      </c>
      <c r="AS713" s="148"/>
      <c r="AT713" s="150"/>
    </row>
    <row r="714" customFormat="false" ht="12.75" hidden="false" customHeight="true" outlineLevel="0" collapsed="false">
      <c r="B714" s="158"/>
      <c r="C714" s="159"/>
      <c r="D714" s="160"/>
      <c r="E714" s="160"/>
      <c r="F714" s="161"/>
      <c r="G714" s="162"/>
      <c r="H714" s="162"/>
      <c r="I714" s="163"/>
      <c r="J714" s="162"/>
      <c r="K714" s="162"/>
      <c r="L714" s="162"/>
      <c r="M714" s="162"/>
      <c r="N714" s="162"/>
      <c r="O714" s="162"/>
      <c r="P714" s="162"/>
      <c r="Q714" s="162"/>
      <c r="R714" s="162"/>
      <c r="S714" s="162"/>
      <c r="T714" s="164"/>
      <c r="U714" s="165"/>
      <c r="V714" s="166"/>
      <c r="W714" s="166"/>
      <c r="X714" s="166"/>
      <c r="Y714" s="166"/>
      <c r="Z714" s="166"/>
      <c r="AA714" s="166"/>
      <c r="AB714" s="166"/>
      <c r="AC714" s="166"/>
      <c r="AD714" s="166"/>
      <c r="AE714" s="166"/>
      <c r="AF714" s="166"/>
      <c r="AG714" s="166"/>
      <c r="AH714" s="166"/>
      <c r="AI714" s="166"/>
      <c r="AJ714" s="166"/>
      <c r="AK714" s="166"/>
      <c r="AL714" s="166"/>
      <c r="AM714" s="166"/>
      <c r="AN714" s="166"/>
      <c r="AO714" s="167"/>
      <c r="AP714" s="168"/>
      <c r="AQ714" s="166"/>
      <c r="AR714" s="166"/>
      <c r="AS714" s="169"/>
      <c r="AT714" s="170"/>
    </row>
    <row r="715" customFormat="false" ht="12.75" hidden="false" customHeight="true" outlineLevel="0" collapsed="false">
      <c r="B715" s="122"/>
      <c r="C715" s="123"/>
      <c r="D715" s="124"/>
      <c r="E715" s="124"/>
      <c r="F715" s="125"/>
      <c r="G715" s="171"/>
      <c r="H715" s="171"/>
      <c r="I715" s="172"/>
      <c r="J715" s="171"/>
      <c r="K715" s="171"/>
      <c r="L715" s="171"/>
      <c r="M715" s="171"/>
      <c r="N715" s="171"/>
      <c r="O715" s="171"/>
      <c r="P715" s="171"/>
      <c r="Q715" s="171"/>
      <c r="R715" s="171"/>
      <c r="S715" s="171"/>
      <c r="T715" s="173"/>
      <c r="U715" s="174"/>
      <c r="V715" s="175"/>
      <c r="W715" s="175"/>
      <c r="X715" s="175"/>
      <c r="Y715" s="175"/>
      <c r="Z715" s="175"/>
      <c r="AA715" s="175"/>
      <c r="AB715" s="175"/>
      <c r="AC715" s="175"/>
      <c r="AD715" s="175"/>
      <c r="AE715" s="175"/>
      <c r="AF715" s="175"/>
      <c r="AG715" s="175"/>
      <c r="AH715" s="175"/>
      <c r="AI715" s="175"/>
      <c r="AJ715" s="175"/>
      <c r="AK715" s="175"/>
      <c r="AL715" s="175"/>
      <c r="AM715" s="175"/>
      <c r="AN715" s="175"/>
      <c r="AO715" s="176"/>
      <c r="AP715" s="177"/>
      <c r="AQ715" s="175"/>
      <c r="AR715" s="175"/>
      <c r="AS715" s="178"/>
      <c r="AT715" s="179"/>
    </row>
    <row r="716" customFormat="false" ht="12.75" hidden="false" customHeight="true" outlineLevel="0" collapsed="false">
      <c r="B716" s="122"/>
      <c r="C716" s="123"/>
      <c r="D716" s="124"/>
      <c r="E716" s="124"/>
      <c r="F716" s="125"/>
      <c r="G716" s="171"/>
      <c r="H716" s="171"/>
      <c r="I716" s="172"/>
      <c r="J716" s="171"/>
      <c r="K716" s="171"/>
      <c r="L716" s="171"/>
      <c r="M716" s="171"/>
      <c r="N716" s="171"/>
      <c r="O716" s="171"/>
      <c r="P716" s="171"/>
      <c r="Q716" s="171"/>
      <c r="R716" s="171"/>
      <c r="S716" s="171"/>
      <c r="T716" s="173"/>
      <c r="U716" s="174"/>
      <c r="V716" s="175"/>
      <c r="W716" s="175"/>
      <c r="X716" s="175"/>
      <c r="Y716" s="175"/>
      <c r="Z716" s="175"/>
      <c r="AA716" s="175"/>
      <c r="AB716" s="175"/>
      <c r="AC716" s="175"/>
      <c r="AD716" s="175"/>
      <c r="AE716" s="175"/>
      <c r="AF716" s="175"/>
      <c r="AG716" s="175"/>
      <c r="AH716" s="175"/>
      <c r="AI716" s="175"/>
      <c r="AJ716" s="175"/>
      <c r="AK716" s="175"/>
      <c r="AL716" s="175"/>
      <c r="AM716" s="175"/>
      <c r="AN716" s="175"/>
      <c r="AO716" s="176"/>
      <c r="AP716" s="177"/>
      <c r="AQ716" s="175"/>
      <c r="AR716" s="175"/>
      <c r="AS716" s="178"/>
      <c r="AT716" s="179"/>
    </row>
    <row r="717" customFormat="false" ht="12.75" hidden="false" customHeight="true" outlineLevel="0" collapsed="false">
      <c r="B717" s="122"/>
      <c r="C717" s="123"/>
      <c r="D717" s="124"/>
      <c r="E717" s="124"/>
      <c r="F717" s="125"/>
      <c r="G717" s="171"/>
      <c r="H717" s="171"/>
      <c r="I717" s="172"/>
      <c r="J717" s="171"/>
      <c r="K717" s="171"/>
      <c r="L717" s="171"/>
      <c r="M717" s="171"/>
      <c r="N717" s="171"/>
      <c r="O717" s="171"/>
      <c r="P717" s="171"/>
      <c r="Q717" s="171"/>
      <c r="R717" s="171"/>
      <c r="S717" s="171"/>
      <c r="T717" s="173"/>
      <c r="U717" s="174"/>
      <c r="V717" s="175"/>
      <c r="W717" s="175"/>
      <c r="X717" s="175"/>
      <c r="Y717" s="175"/>
      <c r="Z717" s="175"/>
      <c r="AA717" s="175"/>
      <c r="AB717" s="175"/>
      <c r="AC717" s="175"/>
      <c r="AD717" s="175"/>
      <c r="AE717" s="175"/>
      <c r="AF717" s="175"/>
      <c r="AG717" s="175"/>
      <c r="AH717" s="175"/>
      <c r="AI717" s="175"/>
      <c r="AJ717" s="175"/>
      <c r="AK717" s="175"/>
      <c r="AL717" s="175"/>
      <c r="AM717" s="175"/>
      <c r="AN717" s="175"/>
      <c r="AO717" s="176"/>
      <c r="AP717" s="177"/>
      <c r="AQ717" s="175"/>
      <c r="AR717" s="175"/>
      <c r="AS717" s="178"/>
      <c r="AT717" s="179"/>
    </row>
    <row r="718" customFormat="false" ht="12.75" hidden="false" customHeight="true" outlineLevel="0" collapsed="false">
      <c r="B718" s="141"/>
      <c r="C718" s="132"/>
      <c r="D718" s="133"/>
      <c r="E718" s="133"/>
      <c r="F718" s="134"/>
      <c r="G718" s="180"/>
      <c r="H718" s="180"/>
      <c r="I718" s="181"/>
      <c r="J718" s="180"/>
      <c r="K718" s="180"/>
      <c r="L718" s="180"/>
      <c r="M718" s="180"/>
      <c r="N718" s="180"/>
      <c r="O718" s="180"/>
      <c r="P718" s="180"/>
      <c r="Q718" s="180"/>
      <c r="R718" s="180"/>
      <c r="S718" s="180"/>
      <c r="T718" s="182"/>
      <c r="U718" s="183"/>
      <c r="V718" s="184"/>
      <c r="W718" s="184"/>
      <c r="X718" s="184"/>
      <c r="Y718" s="184"/>
      <c r="Z718" s="184"/>
      <c r="AA718" s="184"/>
      <c r="AB718" s="184"/>
      <c r="AC718" s="184"/>
      <c r="AD718" s="184"/>
      <c r="AE718" s="184"/>
      <c r="AF718" s="184"/>
      <c r="AG718" s="184"/>
      <c r="AH718" s="184"/>
      <c r="AI718" s="184"/>
      <c r="AJ718" s="184"/>
      <c r="AK718" s="184"/>
      <c r="AL718" s="184"/>
      <c r="AM718" s="184"/>
      <c r="AN718" s="184"/>
      <c r="AO718" s="185"/>
      <c r="AP718" s="186"/>
      <c r="AQ718" s="184"/>
      <c r="AR718" s="184"/>
      <c r="AS718" s="187"/>
      <c r="AT718" s="188"/>
    </row>
    <row r="719" customFormat="false" ht="12.75" hidden="false" customHeight="true" outlineLevel="0" collapsed="false">
      <c r="B719" s="122"/>
      <c r="C719" s="123"/>
      <c r="D719" s="124"/>
      <c r="E719" s="124"/>
      <c r="F719" s="125"/>
      <c r="G719" s="171"/>
      <c r="H719" s="171"/>
      <c r="I719" s="172"/>
      <c r="J719" s="171"/>
      <c r="K719" s="171"/>
      <c r="L719" s="171"/>
      <c r="M719" s="171"/>
      <c r="N719" s="171"/>
      <c r="O719" s="171"/>
      <c r="P719" s="171"/>
      <c r="Q719" s="171"/>
      <c r="R719" s="171"/>
      <c r="S719" s="171"/>
      <c r="T719" s="173"/>
      <c r="U719" s="174"/>
      <c r="V719" s="175"/>
      <c r="W719" s="175"/>
      <c r="X719" s="175"/>
      <c r="Y719" s="175"/>
      <c r="Z719" s="175"/>
      <c r="AA719" s="175"/>
      <c r="AB719" s="175"/>
      <c r="AC719" s="175"/>
      <c r="AD719" s="175"/>
      <c r="AE719" s="175"/>
      <c r="AF719" s="175"/>
      <c r="AG719" s="175"/>
      <c r="AH719" s="175"/>
      <c r="AI719" s="175"/>
      <c r="AJ719" s="175"/>
      <c r="AK719" s="175"/>
      <c r="AL719" s="175"/>
      <c r="AM719" s="175"/>
      <c r="AN719" s="175"/>
      <c r="AO719" s="176"/>
      <c r="AP719" s="177"/>
      <c r="AQ719" s="175"/>
      <c r="AR719" s="175"/>
      <c r="AS719" s="178"/>
      <c r="AT719" s="179"/>
    </row>
    <row r="720" customFormat="false" ht="12.75" hidden="false" customHeight="true" outlineLevel="0" collapsed="false">
      <c r="B720" s="122"/>
      <c r="C720" s="123"/>
      <c r="D720" s="124"/>
      <c r="E720" s="124"/>
      <c r="F720" s="125"/>
      <c r="G720" s="171"/>
      <c r="H720" s="171"/>
      <c r="I720" s="172"/>
      <c r="J720" s="171"/>
      <c r="K720" s="171"/>
      <c r="L720" s="171"/>
      <c r="M720" s="171"/>
      <c r="N720" s="171"/>
      <c r="O720" s="171"/>
      <c r="P720" s="171"/>
      <c r="Q720" s="171"/>
      <c r="R720" s="171"/>
      <c r="S720" s="171"/>
      <c r="T720" s="173"/>
      <c r="U720" s="174"/>
      <c r="V720" s="175"/>
      <c r="W720" s="175"/>
      <c r="X720" s="175"/>
      <c r="Y720" s="175"/>
      <c r="Z720" s="175"/>
      <c r="AA720" s="175"/>
      <c r="AB720" s="175"/>
      <c r="AC720" s="175"/>
      <c r="AD720" s="175"/>
      <c r="AE720" s="175"/>
      <c r="AF720" s="175"/>
      <c r="AG720" s="175"/>
      <c r="AH720" s="175"/>
      <c r="AI720" s="175"/>
      <c r="AJ720" s="175"/>
      <c r="AK720" s="175"/>
      <c r="AL720" s="175"/>
      <c r="AM720" s="175"/>
      <c r="AN720" s="175"/>
      <c r="AO720" s="176"/>
      <c r="AP720" s="177"/>
      <c r="AQ720" s="175"/>
      <c r="AR720" s="175"/>
      <c r="AS720" s="178"/>
      <c r="AT720" s="179"/>
    </row>
    <row r="721" customFormat="false" ht="12.75" hidden="false" customHeight="true" outlineLevel="0" collapsed="false">
      <c r="B721" s="122"/>
      <c r="C721" s="123"/>
      <c r="D721" s="124"/>
      <c r="E721" s="124"/>
      <c r="F721" s="125"/>
      <c r="G721" s="171"/>
      <c r="H721" s="171"/>
      <c r="I721" s="172"/>
      <c r="J721" s="171"/>
      <c r="K721" s="171"/>
      <c r="L721" s="171"/>
      <c r="M721" s="171"/>
      <c r="N721" s="171"/>
      <c r="O721" s="171"/>
      <c r="P721" s="171"/>
      <c r="Q721" s="171"/>
      <c r="R721" s="171"/>
      <c r="S721" s="171"/>
      <c r="T721" s="173"/>
      <c r="U721" s="174"/>
      <c r="V721" s="175"/>
      <c r="W721" s="175"/>
      <c r="X721" s="175"/>
      <c r="Y721" s="175"/>
      <c r="Z721" s="175"/>
      <c r="AA721" s="175"/>
      <c r="AB721" s="175"/>
      <c r="AC721" s="175"/>
      <c r="AD721" s="175"/>
      <c r="AE721" s="175"/>
      <c r="AF721" s="175"/>
      <c r="AG721" s="175"/>
      <c r="AH721" s="175"/>
      <c r="AI721" s="175"/>
      <c r="AJ721" s="175"/>
      <c r="AK721" s="175"/>
      <c r="AL721" s="175"/>
      <c r="AM721" s="175"/>
      <c r="AN721" s="175"/>
      <c r="AO721" s="176"/>
      <c r="AP721" s="177"/>
      <c r="AQ721" s="175"/>
      <c r="AR721" s="175"/>
      <c r="AS721" s="178"/>
      <c r="AT721" s="179"/>
    </row>
    <row r="722" customFormat="false" ht="12.75" hidden="false" customHeight="true" outlineLevel="0" collapsed="false">
      <c r="B722" s="122"/>
      <c r="C722" s="123"/>
      <c r="D722" s="124"/>
      <c r="E722" s="124"/>
      <c r="F722" s="125"/>
      <c r="G722" s="171"/>
      <c r="H722" s="171"/>
      <c r="I722" s="172"/>
      <c r="J722" s="171"/>
      <c r="K722" s="171"/>
      <c r="L722" s="171"/>
      <c r="M722" s="171"/>
      <c r="N722" s="171"/>
      <c r="O722" s="171"/>
      <c r="P722" s="171"/>
      <c r="Q722" s="171"/>
      <c r="R722" s="171"/>
      <c r="S722" s="171"/>
      <c r="T722" s="173"/>
      <c r="U722" s="174"/>
      <c r="V722" s="175"/>
      <c r="W722" s="175"/>
      <c r="X722" s="175"/>
      <c r="Y722" s="175"/>
      <c r="Z722" s="175"/>
      <c r="AA722" s="175"/>
      <c r="AB722" s="175"/>
      <c r="AC722" s="175"/>
      <c r="AD722" s="175"/>
      <c r="AE722" s="175"/>
      <c r="AF722" s="175"/>
      <c r="AG722" s="175"/>
      <c r="AH722" s="175"/>
      <c r="AI722" s="175"/>
      <c r="AJ722" s="175"/>
      <c r="AK722" s="175"/>
      <c r="AL722" s="175"/>
      <c r="AM722" s="175"/>
      <c r="AN722" s="175"/>
      <c r="AO722" s="176"/>
      <c r="AP722" s="177"/>
      <c r="AQ722" s="175"/>
      <c r="AR722" s="175"/>
      <c r="AS722" s="178"/>
      <c r="AT722" s="179"/>
    </row>
    <row r="723" customFormat="false" ht="12.75" hidden="false" customHeight="true" outlineLevel="0" collapsed="false">
      <c r="B723" s="141"/>
      <c r="C723" s="132"/>
      <c r="D723" s="133"/>
      <c r="E723" s="133"/>
      <c r="F723" s="134"/>
      <c r="G723" s="180"/>
      <c r="H723" s="180"/>
      <c r="I723" s="181"/>
      <c r="J723" s="180"/>
      <c r="K723" s="180"/>
      <c r="L723" s="180"/>
      <c r="M723" s="180"/>
      <c r="N723" s="180"/>
      <c r="O723" s="180"/>
      <c r="P723" s="180"/>
      <c r="Q723" s="180"/>
      <c r="R723" s="180"/>
      <c r="S723" s="180"/>
      <c r="T723" s="182"/>
      <c r="U723" s="183"/>
      <c r="V723" s="184"/>
      <c r="W723" s="184"/>
      <c r="X723" s="184"/>
      <c r="Y723" s="184"/>
      <c r="Z723" s="184"/>
      <c r="AA723" s="184"/>
      <c r="AB723" s="184"/>
      <c r="AC723" s="184"/>
      <c r="AD723" s="184"/>
      <c r="AE723" s="184"/>
      <c r="AF723" s="184"/>
      <c r="AG723" s="184"/>
      <c r="AH723" s="184"/>
      <c r="AI723" s="184"/>
      <c r="AJ723" s="184"/>
      <c r="AK723" s="184"/>
      <c r="AL723" s="184"/>
      <c r="AM723" s="184"/>
      <c r="AN723" s="184"/>
      <c r="AO723" s="185"/>
      <c r="AP723" s="186"/>
      <c r="AQ723" s="184"/>
      <c r="AR723" s="184"/>
      <c r="AS723" s="187"/>
      <c r="AT723" s="188"/>
    </row>
    <row r="724" customFormat="false" ht="12.75" hidden="false" customHeight="true" outlineLevel="0" collapsed="false">
      <c r="B724" s="122"/>
      <c r="C724" s="123"/>
      <c r="D724" s="124"/>
      <c r="E724" s="124"/>
      <c r="F724" s="125"/>
      <c r="G724" s="171"/>
      <c r="H724" s="171"/>
      <c r="I724" s="172"/>
      <c r="J724" s="171"/>
      <c r="K724" s="171"/>
      <c r="L724" s="171"/>
      <c r="M724" s="171"/>
      <c r="N724" s="171"/>
      <c r="O724" s="171"/>
      <c r="P724" s="171"/>
      <c r="Q724" s="171"/>
      <c r="R724" s="171"/>
      <c r="S724" s="171"/>
      <c r="T724" s="173"/>
      <c r="U724" s="174"/>
      <c r="V724" s="175"/>
      <c r="W724" s="175"/>
      <c r="X724" s="175"/>
      <c r="Y724" s="175"/>
      <c r="Z724" s="175"/>
      <c r="AA724" s="175"/>
      <c r="AB724" s="175"/>
      <c r="AC724" s="175"/>
      <c r="AD724" s="175"/>
      <c r="AE724" s="175"/>
      <c r="AF724" s="175"/>
      <c r="AG724" s="175"/>
      <c r="AH724" s="175"/>
      <c r="AI724" s="175"/>
      <c r="AJ724" s="175"/>
      <c r="AK724" s="175"/>
      <c r="AL724" s="175"/>
      <c r="AM724" s="175"/>
      <c r="AN724" s="175"/>
      <c r="AO724" s="176"/>
      <c r="AP724" s="177"/>
      <c r="AQ724" s="175"/>
      <c r="AR724" s="175"/>
      <c r="AS724" s="178"/>
      <c r="AT724" s="179"/>
    </row>
    <row r="725" customFormat="false" ht="12.75" hidden="false" customHeight="true" outlineLevel="0" collapsed="false">
      <c r="B725" s="122"/>
      <c r="C725" s="123"/>
      <c r="D725" s="124"/>
      <c r="E725" s="124"/>
      <c r="F725" s="125"/>
      <c r="G725" s="171"/>
      <c r="H725" s="171"/>
      <c r="I725" s="172"/>
      <c r="J725" s="171"/>
      <c r="K725" s="171"/>
      <c r="L725" s="171"/>
      <c r="M725" s="171"/>
      <c r="N725" s="171"/>
      <c r="O725" s="171"/>
      <c r="P725" s="171"/>
      <c r="Q725" s="171"/>
      <c r="R725" s="171"/>
      <c r="S725" s="171"/>
      <c r="T725" s="173"/>
      <c r="U725" s="174"/>
      <c r="V725" s="175"/>
      <c r="W725" s="175"/>
      <c r="X725" s="175"/>
      <c r="Y725" s="175"/>
      <c r="Z725" s="175"/>
      <c r="AA725" s="175"/>
      <c r="AB725" s="175"/>
      <c r="AC725" s="175"/>
      <c r="AD725" s="175"/>
      <c r="AE725" s="175"/>
      <c r="AF725" s="175"/>
      <c r="AG725" s="175"/>
      <c r="AH725" s="175"/>
      <c r="AI725" s="175"/>
      <c r="AJ725" s="175"/>
      <c r="AK725" s="175"/>
      <c r="AL725" s="175"/>
      <c r="AM725" s="175"/>
      <c r="AN725" s="175"/>
      <c r="AO725" s="176"/>
      <c r="AP725" s="177"/>
      <c r="AQ725" s="175"/>
      <c r="AR725" s="175"/>
      <c r="AS725" s="178"/>
      <c r="AT725" s="179"/>
    </row>
    <row r="726" customFormat="false" ht="12.75" hidden="false" customHeight="true" outlineLevel="0" collapsed="false">
      <c r="B726" s="122"/>
      <c r="C726" s="123"/>
      <c r="D726" s="124"/>
      <c r="E726" s="124"/>
      <c r="F726" s="125"/>
      <c r="G726" s="171"/>
      <c r="H726" s="171"/>
      <c r="I726" s="172"/>
      <c r="J726" s="171"/>
      <c r="K726" s="171"/>
      <c r="L726" s="171"/>
      <c r="M726" s="171"/>
      <c r="N726" s="171"/>
      <c r="O726" s="171"/>
      <c r="P726" s="171"/>
      <c r="Q726" s="171"/>
      <c r="R726" s="171"/>
      <c r="S726" s="171"/>
      <c r="T726" s="173"/>
      <c r="U726" s="174"/>
      <c r="V726" s="175"/>
      <c r="W726" s="175"/>
      <c r="X726" s="175"/>
      <c r="Y726" s="175"/>
      <c r="Z726" s="175"/>
      <c r="AA726" s="175"/>
      <c r="AB726" s="175"/>
      <c r="AC726" s="175"/>
      <c r="AD726" s="175"/>
      <c r="AE726" s="175"/>
      <c r="AF726" s="175"/>
      <c r="AG726" s="175"/>
      <c r="AH726" s="175"/>
      <c r="AI726" s="175"/>
      <c r="AJ726" s="175"/>
      <c r="AK726" s="175"/>
      <c r="AL726" s="175"/>
      <c r="AM726" s="175"/>
      <c r="AN726" s="175"/>
      <c r="AO726" s="176"/>
      <c r="AP726" s="177"/>
      <c r="AQ726" s="175"/>
      <c r="AR726" s="175"/>
      <c r="AS726" s="178"/>
      <c r="AT726" s="179"/>
    </row>
    <row r="727" customFormat="false" ht="12.75" hidden="false" customHeight="true" outlineLevel="0" collapsed="false">
      <c r="B727" s="122"/>
      <c r="C727" s="123"/>
      <c r="D727" s="124"/>
      <c r="E727" s="124"/>
      <c r="F727" s="125"/>
      <c r="G727" s="171"/>
      <c r="H727" s="171"/>
      <c r="I727" s="172"/>
      <c r="J727" s="171"/>
      <c r="K727" s="171"/>
      <c r="L727" s="171"/>
      <c r="M727" s="171"/>
      <c r="N727" s="171"/>
      <c r="O727" s="171"/>
      <c r="P727" s="171"/>
      <c r="Q727" s="171"/>
      <c r="R727" s="171"/>
      <c r="S727" s="171"/>
      <c r="T727" s="173"/>
      <c r="U727" s="174"/>
      <c r="V727" s="175"/>
      <c r="W727" s="175"/>
      <c r="X727" s="175"/>
      <c r="Y727" s="175"/>
      <c r="Z727" s="175"/>
      <c r="AA727" s="175"/>
      <c r="AB727" s="175"/>
      <c r="AC727" s="175"/>
      <c r="AD727" s="175"/>
      <c r="AE727" s="175"/>
      <c r="AF727" s="175"/>
      <c r="AG727" s="175"/>
      <c r="AH727" s="175"/>
      <c r="AI727" s="175"/>
      <c r="AJ727" s="175"/>
      <c r="AK727" s="175"/>
      <c r="AL727" s="175"/>
      <c r="AM727" s="175"/>
      <c r="AN727" s="175"/>
      <c r="AO727" s="176"/>
      <c r="AP727" s="177"/>
      <c r="AQ727" s="175"/>
      <c r="AR727" s="175"/>
      <c r="AS727" s="178"/>
      <c r="AT727" s="179"/>
    </row>
    <row r="728" customFormat="false" ht="12.75" hidden="false" customHeight="true" outlineLevel="0" collapsed="false">
      <c r="B728" s="141"/>
      <c r="C728" s="132"/>
      <c r="D728" s="133"/>
      <c r="E728" s="133"/>
      <c r="F728" s="134"/>
      <c r="G728" s="180"/>
      <c r="H728" s="180"/>
      <c r="I728" s="181"/>
      <c r="J728" s="180"/>
      <c r="K728" s="180"/>
      <c r="L728" s="180"/>
      <c r="M728" s="180"/>
      <c r="N728" s="180"/>
      <c r="O728" s="180"/>
      <c r="P728" s="180"/>
      <c r="Q728" s="180"/>
      <c r="R728" s="180"/>
      <c r="S728" s="180"/>
      <c r="T728" s="182"/>
      <c r="U728" s="183"/>
      <c r="V728" s="184"/>
      <c r="W728" s="184"/>
      <c r="X728" s="184"/>
      <c r="Y728" s="184"/>
      <c r="Z728" s="184"/>
      <c r="AA728" s="184"/>
      <c r="AB728" s="184"/>
      <c r="AC728" s="184"/>
      <c r="AD728" s="184"/>
      <c r="AE728" s="184"/>
      <c r="AF728" s="184"/>
      <c r="AG728" s="184"/>
      <c r="AH728" s="184"/>
      <c r="AI728" s="184"/>
      <c r="AJ728" s="184"/>
      <c r="AK728" s="184"/>
      <c r="AL728" s="184"/>
      <c r="AM728" s="184"/>
      <c r="AN728" s="184"/>
      <c r="AO728" s="185"/>
      <c r="AP728" s="186"/>
      <c r="AQ728" s="184"/>
      <c r="AR728" s="184"/>
      <c r="AS728" s="187"/>
      <c r="AT728" s="188"/>
    </row>
    <row r="729" customFormat="false" ht="12.75" hidden="false" customHeight="true" outlineLevel="0" collapsed="false">
      <c r="B729" s="122"/>
      <c r="C729" s="123"/>
      <c r="D729" s="124"/>
      <c r="E729" s="124"/>
      <c r="F729" s="125"/>
      <c r="G729" s="171"/>
      <c r="H729" s="171"/>
      <c r="I729" s="172"/>
      <c r="J729" s="171"/>
      <c r="K729" s="171"/>
      <c r="L729" s="171"/>
      <c r="M729" s="171"/>
      <c r="N729" s="171"/>
      <c r="O729" s="171"/>
      <c r="P729" s="171"/>
      <c r="Q729" s="171"/>
      <c r="R729" s="171"/>
      <c r="S729" s="171"/>
      <c r="T729" s="173"/>
      <c r="U729" s="174"/>
      <c r="V729" s="175"/>
      <c r="W729" s="175"/>
      <c r="X729" s="175"/>
      <c r="Y729" s="175"/>
      <c r="Z729" s="175"/>
      <c r="AA729" s="175"/>
      <c r="AB729" s="175"/>
      <c r="AC729" s="175"/>
      <c r="AD729" s="175"/>
      <c r="AE729" s="175"/>
      <c r="AF729" s="175"/>
      <c r="AG729" s="175"/>
      <c r="AH729" s="175"/>
      <c r="AI729" s="175"/>
      <c r="AJ729" s="175"/>
      <c r="AK729" s="175"/>
      <c r="AL729" s="175"/>
      <c r="AM729" s="175"/>
      <c r="AN729" s="175"/>
      <c r="AO729" s="176"/>
      <c r="AP729" s="177"/>
      <c r="AQ729" s="175"/>
      <c r="AR729" s="175"/>
      <c r="AS729" s="178"/>
      <c r="AT729" s="179"/>
    </row>
    <row r="730" customFormat="false" ht="12.75" hidden="false" customHeight="true" outlineLevel="0" collapsed="false">
      <c r="B730" s="122"/>
      <c r="C730" s="123"/>
      <c r="D730" s="124"/>
      <c r="E730" s="124"/>
      <c r="F730" s="125"/>
      <c r="G730" s="171"/>
      <c r="H730" s="171"/>
      <c r="I730" s="172"/>
      <c r="J730" s="171"/>
      <c r="K730" s="171"/>
      <c r="L730" s="171"/>
      <c r="M730" s="171"/>
      <c r="N730" s="171"/>
      <c r="O730" s="171"/>
      <c r="P730" s="171"/>
      <c r="Q730" s="171"/>
      <c r="R730" s="171"/>
      <c r="S730" s="171"/>
      <c r="T730" s="173"/>
      <c r="U730" s="174"/>
      <c r="V730" s="175"/>
      <c r="W730" s="175"/>
      <c r="X730" s="175"/>
      <c r="Y730" s="175"/>
      <c r="Z730" s="175"/>
      <c r="AA730" s="175"/>
      <c r="AB730" s="175"/>
      <c r="AC730" s="175"/>
      <c r="AD730" s="175"/>
      <c r="AE730" s="175"/>
      <c r="AF730" s="175"/>
      <c r="AG730" s="175"/>
      <c r="AH730" s="175"/>
      <c r="AI730" s="175"/>
      <c r="AJ730" s="175"/>
      <c r="AK730" s="175"/>
      <c r="AL730" s="175"/>
      <c r="AM730" s="175"/>
      <c r="AN730" s="175"/>
      <c r="AO730" s="176"/>
      <c r="AP730" s="177"/>
      <c r="AQ730" s="175"/>
      <c r="AR730" s="175"/>
      <c r="AS730" s="178"/>
      <c r="AT730" s="179"/>
    </row>
    <row r="731" customFormat="false" ht="12.75" hidden="false" customHeight="true" outlineLevel="0" collapsed="false">
      <c r="B731" s="122"/>
      <c r="C731" s="123"/>
      <c r="D731" s="124"/>
      <c r="E731" s="124"/>
      <c r="F731" s="125"/>
      <c r="G731" s="171"/>
      <c r="H731" s="171"/>
      <c r="I731" s="172"/>
      <c r="J731" s="171"/>
      <c r="K731" s="171"/>
      <c r="L731" s="171"/>
      <c r="M731" s="171"/>
      <c r="N731" s="171"/>
      <c r="O731" s="171"/>
      <c r="P731" s="171"/>
      <c r="Q731" s="171"/>
      <c r="R731" s="171"/>
      <c r="S731" s="171"/>
      <c r="T731" s="173"/>
      <c r="U731" s="174"/>
      <c r="V731" s="175"/>
      <c r="W731" s="175"/>
      <c r="X731" s="175"/>
      <c r="Y731" s="175"/>
      <c r="Z731" s="175"/>
      <c r="AA731" s="175"/>
      <c r="AB731" s="175"/>
      <c r="AC731" s="175"/>
      <c r="AD731" s="175"/>
      <c r="AE731" s="175"/>
      <c r="AF731" s="175"/>
      <c r="AG731" s="175"/>
      <c r="AH731" s="175"/>
      <c r="AI731" s="175"/>
      <c r="AJ731" s="175"/>
      <c r="AK731" s="175"/>
      <c r="AL731" s="175"/>
      <c r="AM731" s="175"/>
      <c r="AN731" s="175"/>
      <c r="AO731" s="176"/>
      <c r="AP731" s="177"/>
      <c r="AQ731" s="175"/>
      <c r="AR731" s="175"/>
      <c r="AS731" s="178"/>
      <c r="AT731" s="179"/>
    </row>
    <row r="732" customFormat="false" ht="12.75" hidden="false" customHeight="true" outlineLevel="0" collapsed="false">
      <c r="B732" s="122"/>
      <c r="C732" s="123"/>
      <c r="D732" s="124"/>
      <c r="E732" s="124"/>
      <c r="F732" s="125"/>
      <c r="G732" s="171"/>
      <c r="H732" s="171"/>
      <c r="I732" s="172"/>
      <c r="J732" s="171"/>
      <c r="K732" s="171"/>
      <c r="L732" s="171"/>
      <c r="M732" s="171"/>
      <c r="N732" s="171"/>
      <c r="O732" s="171"/>
      <c r="P732" s="171"/>
      <c r="Q732" s="171"/>
      <c r="R732" s="171"/>
      <c r="S732" s="171"/>
      <c r="T732" s="173"/>
      <c r="U732" s="174"/>
      <c r="V732" s="175"/>
      <c r="W732" s="175"/>
      <c r="X732" s="175"/>
      <c r="Y732" s="175"/>
      <c r="Z732" s="175"/>
      <c r="AA732" s="175"/>
      <c r="AB732" s="175"/>
      <c r="AC732" s="175"/>
      <c r="AD732" s="175"/>
      <c r="AE732" s="175"/>
      <c r="AF732" s="175"/>
      <c r="AG732" s="175"/>
      <c r="AH732" s="175"/>
      <c r="AI732" s="175"/>
      <c r="AJ732" s="175"/>
      <c r="AK732" s="175"/>
      <c r="AL732" s="175"/>
      <c r="AM732" s="175"/>
      <c r="AN732" s="175"/>
      <c r="AO732" s="176"/>
      <c r="AP732" s="177"/>
      <c r="AQ732" s="175"/>
      <c r="AR732" s="175"/>
      <c r="AS732" s="178"/>
      <c r="AT732" s="179"/>
    </row>
    <row r="733" customFormat="false" ht="12.75" hidden="false" customHeight="true" outlineLevel="0" collapsed="false">
      <c r="B733" s="141"/>
      <c r="C733" s="132"/>
      <c r="D733" s="133"/>
      <c r="E733" s="133"/>
      <c r="F733" s="134"/>
      <c r="G733" s="180"/>
      <c r="H733" s="180"/>
      <c r="I733" s="181"/>
      <c r="J733" s="180"/>
      <c r="K733" s="180"/>
      <c r="L733" s="180"/>
      <c r="M733" s="180"/>
      <c r="N733" s="180"/>
      <c r="O733" s="180"/>
      <c r="P733" s="180"/>
      <c r="Q733" s="180"/>
      <c r="R733" s="180"/>
      <c r="S733" s="180"/>
      <c r="T733" s="182"/>
      <c r="U733" s="183"/>
      <c r="V733" s="184"/>
      <c r="W733" s="184"/>
      <c r="X733" s="184"/>
      <c r="Y733" s="184"/>
      <c r="Z733" s="184"/>
      <c r="AA733" s="184"/>
      <c r="AB733" s="184"/>
      <c r="AC733" s="184"/>
      <c r="AD733" s="184"/>
      <c r="AE733" s="184"/>
      <c r="AF733" s="184"/>
      <c r="AG733" s="184"/>
      <c r="AH733" s="184"/>
      <c r="AI733" s="184"/>
      <c r="AJ733" s="184"/>
      <c r="AK733" s="184"/>
      <c r="AL733" s="184"/>
      <c r="AM733" s="184"/>
      <c r="AN733" s="184"/>
      <c r="AO733" s="185"/>
      <c r="AP733" s="186"/>
      <c r="AQ733" s="184"/>
      <c r="AR733" s="184"/>
      <c r="AS733" s="187"/>
      <c r="AT733" s="188"/>
    </row>
    <row r="734" customFormat="false" ht="12.75" hidden="false" customHeight="true" outlineLevel="0" collapsed="false">
      <c r="B734" s="141"/>
      <c r="C734" s="132"/>
      <c r="D734" s="133"/>
      <c r="E734" s="133"/>
      <c r="F734" s="134"/>
      <c r="G734" s="180"/>
      <c r="H734" s="180"/>
      <c r="I734" s="181"/>
      <c r="J734" s="180"/>
      <c r="K734" s="180"/>
      <c r="L734" s="180"/>
      <c r="M734" s="180"/>
      <c r="N734" s="180"/>
      <c r="O734" s="180"/>
      <c r="P734" s="180"/>
      <c r="Q734" s="180"/>
      <c r="R734" s="180"/>
      <c r="S734" s="180"/>
      <c r="T734" s="182"/>
      <c r="U734" s="183"/>
      <c r="V734" s="184"/>
      <c r="W734" s="184"/>
      <c r="X734" s="184"/>
      <c r="Y734" s="184"/>
      <c r="Z734" s="184"/>
      <c r="AA734" s="184"/>
      <c r="AB734" s="184"/>
      <c r="AC734" s="184"/>
      <c r="AD734" s="184"/>
      <c r="AE734" s="184"/>
      <c r="AF734" s="184"/>
      <c r="AG734" s="184"/>
      <c r="AH734" s="184"/>
      <c r="AI734" s="184"/>
      <c r="AJ734" s="184"/>
      <c r="AK734" s="184"/>
      <c r="AL734" s="184"/>
      <c r="AM734" s="184"/>
      <c r="AN734" s="184"/>
      <c r="AO734" s="185"/>
      <c r="AP734" s="186"/>
      <c r="AQ734" s="184"/>
      <c r="AR734" s="184"/>
      <c r="AS734" s="187"/>
      <c r="AT734" s="188"/>
    </row>
    <row r="735" customFormat="false" ht="12.75" hidden="false" customHeight="true" outlineLevel="0" collapsed="false">
      <c r="B735" s="122"/>
      <c r="C735" s="123"/>
      <c r="D735" s="124"/>
      <c r="E735" s="124"/>
      <c r="F735" s="125"/>
      <c r="G735" s="171"/>
      <c r="H735" s="171"/>
      <c r="I735" s="172"/>
      <c r="J735" s="171"/>
      <c r="K735" s="171"/>
      <c r="L735" s="171"/>
      <c r="M735" s="171"/>
      <c r="N735" s="171"/>
      <c r="O735" s="171"/>
      <c r="P735" s="171"/>
      <c r="Q735" s="171"/>
      <c r="R735" s="171"/>
      <c r="S735" s="171"/>
      <c r="T735" s="173"/>
      <c r="U735" s="174"/>
      <c r="V735" s="175"/>
      <c r="W735" s="175"/>
      <c r="X735" s="175"/>
      <c r="Y735" s="175"/>
      <c r="Z735" s="175"/>
      <c r="AA735" s="175"/>
      <c r="AB735" s="175"/>
      <c r="AC735" s="175"/>
      <c r="AD735" s="175"/>
      <c r="AE735" s="175"/>
      <c r="AF735" s="175"/>
      <c r="AG735" s="175"/>
      <c r="AH735" s="175"/>
      <c r="AI735" s="175"/>
      <c r="AJ735" s="175"/>
      <c r="AK735" s="175"/>
      <c r="AL735" s="175"/>
      <c r="AM735" s="175"/>
      <c r="AN735" s="175"/>
      <c r="AO735" s="176"/>
      <c r="AP735" s="177"/>
      <c r="AQ735" s="175"/>
      <c r="AR735" s="175"/>
      <c r="AS735" s="178"/>
      <c r="AT735" s="179"/>
    </row>
    <row r="736" customFormat="false" ht="12.75" hidden="false" customHeight="true" outlineLevel="0" collapsed="false">
      <c r="B736" s="122"/>
      <c r="C736" s="123"/>
      <c r="D736" s="124"/>
      <c r="E736" s="124"/>
      <c r="F736" s="125"/>
      <c r="G736" s="171"/>
      <c r="H736" s="171"/>
      <c r="I736" s="172"/>
      <c r="J736" s="171"/>
      <c r="K736" s="171"/>
      <c r="L736" s="171"/>
      <c r="M736" s="171"/>
      <c r="N736" s="171"/>
      <c r="O736" s="171"/>
      <c r="P736" s="171"/>
      <c r="Q736" s="171"/>
      <c r="R736" s="171"/>
      <c r="S736" s="171"/>
      <c r="T736" s="173"/>
      <c r="U736" s="174"/>
      <c r="V736" s="175"/>
      <c r="W736" s="175"/>
      <c r="X736" s="175"/>
      <c r="Y736" s="175"/>
      <c r="Z736" s="175"/>
      <c r="AA736" s="175"/>
      <c r="AB736" s="175"/>
      <c r="AC736" s="175"/>
      <c r="AD736" s="175"/>
      <c r="AE736" s="175"/>
      <c r="AF736" s="175"/>
      <c r="AG736" s="175"/>
      <c r="AH736" s="175"/>
      <c r="AI736" s="175"/>
      <c r="AJ736" s="175"/>
      <c r="AK736" s="175"/>
      <c r="AL736" s="175"/>
      <c r="AM736" s="175"/>
      <c r="AN736" s="175"/>
      <c r="AO736" s="176"/>
      <c r="AP736" s="177"/>
      <c r="AQ736" s="175"/>
      <c r="AR736" s="175"/>
      <c r="AS736" s="178"/>
      <c r="AT736" s="179"/>
    </row>
    <row r="737" customFormat="false" ht="12.75" hidden="false" customHeight="true" outlineLevel="0" collapsed="false">
      <c r="B737" s="122"/>
      <c r="C737" s="123"/>
      <c r="D737" s="124"/>
      <c r="E737" s="124"/>
      <c r="F737" s="125"/>
      <c r="G737" s="171"/>
      <c r="H737" s="171"/>
      <c r="I737" s="172"/>
      <c r="J737" s="171"/>
      <c r="K737" s="171"/>
      <c r="L737" s="171"/>
      <c r="M737" s="171"/>
      <c r="N737" s="171"/>
      <c r="O737" s="171"/>
      <c r="P737" s="171"/>
      <c r="Q737" s="171"/>
      <c r="R737" s="171"/>
      <c r="S737" s="171"/>
      <c r="T737" s="173"/>
      <c r="U737" s="174"/>
      <c r="V737" s="175"/>
      <c r="W737" s="175"/>
      <c r="X737" s="175"/>
      <c r="Y737" s="175"/>
      <c r="Z737" s="175"/>
      <c r="AA737" s="175"/>
      <c r="AB737" s="175"/>
      <c r="AC737" s="175"/>
      <c r="AD737" s="175"/>
      <c r="AE737" s="175"/>
      <c r="AF737" s="175"/>
      <c r="AG737" s="175"/>
      <c r="AH737" s="175"/>
      <c r="AI737" s="175"/>
      <c r="AJ737" s="175"/>
      <c r="AK737" s="175"/>
      <c r="AL737" s="175"/>
      <c r="AM737" s="175"/>
      <c r="AN737" s="175"/>
      <c r="AO737" s="176"/>
      <c r="AP737" s="177"/>
      <c r="AQ737" s="175"/>
      <c r="AR737" s="175"/>
      <c r="AS737" s="178"/>
      <c r="AT737" s="179"/>
    </row>
    <row r="738" customFormat="false" ht="12.75" hidden="false" customHeight="true" outlineLevel="0" collapsed="false">
      <c r="B738" s="141"/>
      <c r="C738" s="132"/>
      <c r="D738" s="133"/>
      <c r="E738" s="133"/>
      <c r="F738" s="134"/>
      <c r="G738" s="180"/>
      <c r="H738" s="180"/>
      <c r="I738" s="181"/>
      <c r="J738" s="180"/>
      <c r="K738" s="180"/>
      <c r="L738" s="180"/>
      <c r="M738" s="180"/>
      <c r="N738" s="180"/>
      <c r="O738" s="180"/>
      <c r="P738" s="180"/>
      <c r="Q738" s="180"/>
      <c r="R738" s="180"/>
      <c r="S738" s="180"/>
      <c r="T738" s="182"/>
      <c r="U738" s="183"/>
      <c r="V738" s="184"/>
      <c r="W738" s="184"/>
      <c r="X738" s="184"/>
      <c r="Y738" s="184"/>
      <c r="Z738" s="184"/>
      <c r="AA738" s="184"/>
      <c r="AB738" s="184"/>
      <c r="AC738" s="184"/>
      <c r="AD738" s="184"/>
      <c r="AE738" s="184"/>
      <c r="AF738" s="184"/>
      <c r="AG738" s="184"/>
      <c r="AH738" s="184"/>
      <c r="AI738" s="184"/>
      <c r="AJ738" s="184"/>
      <c r="AK738" s="184"/>
      <c r="AL738" s="184"/>
      <c r="AM738" s="184"/>
      <c r="AN738" s="184"/>
      <c r="AO738" s="185"/>
      <c r="AP738" s="186"/>
      <c r="AQ738" s="184"/>
      <c r="AR738" s="184"/>
      <c r="AS738" s="187"/>
      <c r="AT738" s="188"/>
    </row>
    <row r="739" customFormat="false" ht="12.75" hidden="false" customHeight="true" outlineLevel="0" collapsed="false">
      <c r="B739" s="122"/>
      <c r="C739" s="123"/>
      <c r="D739" s="124"/>
      <c r="E739" s="124"/>
      <c r="F739" s="125"/>
      <c r="G739" s="171"/>
      <c r="H739" s="171"/>
      <c r="I739" s="172"/>
      <c r="J739" s="171"/>
      <c r="K739" s="171"/>
      <c r="L739" s="171"/>
      <c r="M739" s="171"/>
      <c r="N739" s="171"/>
      <c r="O739" s="171"/>
      <c r="P739" s="171"/>
      <c r="Q739" s="171"/>
      <c r="R739" s="171"/>
      <c r="S739" s="171"/>
      <c r="T739" s="173"/>
      <c r="U739" s="174"/>
      <c r="V739" s="175"/>
      <c r="W739" s="175"/>
      <c r="X739" s="175"/>
      <c r="Y739" s="175"/>
      <c r="Z739" s="175"/>
      <c r="AA739" s="175"/>
      <c r="AB739" s="175"/>
      <c r="AC739" s="175"/>
      <c r="AD739" s="175"/>
      <c r="AE739" s="175"/>
      <c r="AF739" s="175"/>
      <c r="AG739" s="175"/>
      <c r="AH739" s="175"/>
      <c r="AI739" s="175"/>
      <c r="AJ739" s="175"/>
      <c r="AK739" s="175"/>
      <c r="AL739" s="175"/>
      <c r="AM739" s="175"/>
      <c r="AN739" s="175"/>
      <c r="AO739" s="176"/>
      <c r="AP739" s="177"/>
      <c r="AQ739" s="175"/>
      <c r="AR739" s="175"/>
      <c r="AS739" s="178"/>
      <c r="AT739" s="179"/>
    </row>
    <row r="740" customFormat="false" ht="12.75" hidden="false" customHeight="true" outlineLevel="0" collapsed="false">
      <c r="B740" s="122"/>
      <c r="C740" s="123"/>
      <c r="D740" s="124"/>
      <c r="E740" s="124"/>
      <c r="F740" s="125"/>
      <c r="G740" s="171"/>
      <c r="H740" s="171"/>
      <c r="I740" s="172"/>
      <c r="J740" s="171"/>
      <c r="K740" s="171"/>
      <c r="L740" s="171"/>
      <c r="M740" s="171"/>
      <c r="N740" s="171"/>
      <c r="O740" s="171"/>
      <c r="P740" s="171"/>
      <c r="Q740" s="171"/>
      <c r="R740" s="171"/>
      <c r="S740" s="171"/>
      <c r="T740" s="173"/>
      <c r="U740" s="174"/>
      <c r="V740" s="175"/>
      <c r="W740" s="175"/>
      <c r="X740" s="175"/>
      <c r="Y740" s="175"/>
      <c r="Z740" s="175"/>
      <c r="AA740" s="175"/>
      <c r="AB740" s="175"/>
      <c r="AC740" s="175"/>
      <c r="AD740" s="175"/>
      <c r="AE740" s="175"/>
      <c r="AF740" s="175"/>
      <c r="AG740" s="175"/>
      <c r="AH740" s="175"/>
      <c r="AI740" s="175"/>
      <c r="AJ740" s="175"/>
      <c r="AK740" s="175"/>
      <c r="AL740" s="175"/>
      <c r="AM740" s="175"/>
      <c r="AN740" s="175"/>
      <c r="AO740" s="176"/>
      <c r="AP740" s="177"/>
      <c r="AQ740" s="175"/>
      <c r="AR740" s="175"/>
      <c r="AS740" s="178"/>
      <c r="AT740" s="179"/>
    </row>
    <row r="741" customFormat="false" ht="12.75" hidden="false" customHeight="true" outlineLevel="0" collapsed="false">
      <c r="B741" s="122"/>
      <c r="C741" s="123"/>
      <c r="D741" s="124"/>
      <c r="E741" s="124"/>
      <c r="F741" s="125"/>
      <c r="G741" s="171"/>
      <c r="H741" s="171"/>
      <c r="I741" s="172"/>
      <c r="J741" s="171"/>
      <c r="K741" s="171"/>
      <c r="L741" s="171"/>
      <c r="M741" s="171"/>
      <c r="N741" s="171"/>
      <c r="O741" s="171"/>
      <c r="P741" s="171"/>
      <c r="Q741" s="171"/>
      <c r="R741" s="171"/>
      <c r="S741" s="171"/>
      <c r="T741" s="173"/>
      <c r="U741" s="174"/>
      <c r="V741" s="175"/>
      <c r="W741" s="175"/>
      <c r="X741" s="175"/>
      <c r="Y741" s="175"/>
      <c r="Z741" s="175"/>
      <c r="AA741" s="175"/>
      <c r="AB741" s="175"/>
      <c r="AC741" s="175"/>
      <c r="AD741" s="175"/>
      <c r="AE741" s="175"/>
      <c r="AF741" s="175"/>
      <c r="AG741" s="175"/>
      <c r="AH741" s="175"/>
      <c r="AI741" s="175"/>
      <c r="AJ741" s="175"/>
      <c r="AK741" s="175"/>
      <c r="AL741" s="175"/>
      <c r="AM741" s="175"/>
      <c r="AN741" s="175"/>
      <c r="AO741" s="176"/>
      <c r="AP741" s="177"/>
      <c r="AQ741" s="175"/>
      <c r="AR741" s="175"/>
      <c r="AS741" s="178"/>
      <c r="AT741" s="179"/>
    </row>
    <row r="742" customFormat="false" ht="12.75" hidden="false" customHeight="true" outlineLevel="0" collapsed="false">
      <c r="B742" s="141"/>
      <c r="C742" s="132"/>
      <c r="D742" s="133"/>
      <c r="E742" s="133"/>
      <c r="F742" s="134"/>
      <c r="G742" s="180"/>
      <c r="H742" s="180"/>
      <c r="I742" s="181"/>
      <c r="J742" s="180"/>
      <c r="K742" s="180"/>
      <c r="L742" s="180"/>
      <c r="M742" s="180"/>
      <c r="N742" s="180"/>
      <c r="O742" s="180"/>
      <c r="P742" s="180"/>
      <c r="Q742" s="180"/>
      <c r="R742" s="180"/>
      <c r="S742" s="180"/>
      <c r="T742" s="182"/>
      <c r="U742" s="183"/>
      <c r="V742" s="184"/>
      <c r="W742" s="184"/>
      <c r="X742" s="184"/>
      <c r="Y742" s="184"/>
      <c r="Z742" s="184"/>
      <c r="AA742" s="184"/>
      <c r="AB742" s="184"/>
      <c r="AC742" s="184"/>
      <c r="AD742" s="184"/>
      <c r="AE742" s="184"/>
      <c r="AF742" s="184"/>
      <c r="AG742" s="184"/>
      <c r="AH742" s="184"/>
      <c r="AI742" s="184"/>
      <c r="AJ742" s="184"/>
      <c r="AK742" s="184"/>
      <c r="AL742" s="184"/>
      <c r="AM742" s="184"/>
      <c r="AN742" s="184"/>
      <c r="AO742" s="185"/>
      <c r="AP742" s="186"/>
      <c r="AQ742" s="184"/>
      <c r="AR742" s="184"/>
      <c r="AS742" s="187"/>
      <c r="AT742" s="188"/>
    </row>
    <row r="743" customFormat="false" ht="12.75" hidden="false" customHeight="true" outlineLevel="0" collapsed="false">
      <c r="B743" s="122"/>
      <c r="C743" s="123"/>
      <c r="D743" s="124"/>
      <c r="E743" s="124"/>
      <c r="F743" s="125"/>
      <c r="G743" s="171"/>
      <c r="H743" s="171"/>
      <c r="I743" s="172"/>
      <c r="J743" s="171"/>
      <c r="K743" s="171"/>
      <c r="L743" s="171"/>
      <c r="M743" s="171"/>
      <c r="N743" s="171"/>
      <c r="O743" s="171"/>
      <c r="P743" s="171"/>
      <c r="Q743" s="171"/>
      <c r="R743" s="171"/>
      <c r="S743" s="171"/>
      <c r="T743" s="173"/>
      <c r="U743" s="174"/>
      <c r="V743" s="175"/>
      <c r="W743" s="175"/>
      <c r="X743" s="175"/>
      <c r="Y743" s="175"/>
      <c r="Z743" s="175"/>
      <c r="AA743" s="175"/>
      <c r="AB743" s="175"/>
      <c r="AC743" s="175"/>
      <c r="AD743" s="175"/>
      <c r="AE743" s="175"/>
      <c r="AF743" s="175"/>
      <c r="AG743" s="175"/>
      <c r="AH743" s="175"/>
      <c r="AI743" s="175"/>
      <c r="AJ743" s="175"/>
      <c r="AK743" s="175"/>
      <c r="AL743" s="175"/>
      <c r="AM743" s="175"/>
      <c r="AN743" s="175"/>
      <c r="AO743" s="176"/>
      <c r="AP743" s="177"/>
      <c r="AQ743" s="175"/>
      <c r="AR743" s="175"/>
      <c r="AS743" s="178"/>
      <c r="AT743" s="179"/>
    </row>
    <row r="744" customFormat="false" ht="12.75" hidden="false" customHeight="true" outlineLevel="0" collapsed="false">
      <c r="B744" s="122"/>
      <c r="C744" s="123"/>
      <c r="D744" s="124"/>
      <c r="E744" s="124"/>
      <c r="F744" s="125"/>
      <c r="G744" s="171"/>
      <c r="H744" s="171"/>
      <c r="I744" s="172"/>
      <c r="J744" s="171"/>
      <c r="K744" s="171"/>
      <c r="L744" s="171"/>
      <c r="M744" s="171"/>
      <c r="N744" s="171"/>
      <c r="O744" s="171"/>
      <c r="P744" s="171"/>
      <c r="Q744" s="171"/>
      <c r="R744" s="171"/>
      <c r="S744" s="171"/>
      <c r="T744" s="173"/>
      <c r="U744" s="174"/>
      <c r="V744" s="175"/>
      <c r="W744" s="175"/>
      <c r="X744" s="175"/>
      <c r="Y744" s="175"/>
      <c r="Z744" s="175"/>
      <c r="AA744" s="175"/>
      <c r="AB744" s="175"/>
      <c r="AC744" s="175"/>
      <c r="AD744" s="175"/>
      <c r="AE744" s="175"/>
      <c r="AF744" s="175"/>
      <c r="AG744" s="175"/>
      <c r="AH744" s="175"/>
      <c r="AI744" s="175"/>
      <c r="AJ744" s="175"/>
      <c r="AK744" s="175"/>
      <c r="AL744" s="175"/>
      <c r="AM744" s="175"/>
      <c r="AN744" s="175"/>
      <c r="AO744" s="176"/>
      <c r="AP744" s="177"/>
      <c r="AQ744" s="175"/>
      <c r="AR744" s="175"/>
      <c r="AS744" s="178"/>
      <c r="AT744" s="179"/>
    </row>
    <row r="745" customFormat="false" ht="12.75" hidden="false" customHeight="true" outlineLevel="0" collapsed="false">
      <c r="B745" s="122"/>
      <c r="C745" s="123"/>
      <c r="D745" s="124"/>
      <c r="E745" s="124"/>
      <c r="F745" s="125"/>
      <c r="G745" s="171"/>
      <c r="H745" s="171"/>
      <c r="I745" s="172"/>
      <c r="J745" s="171"/>
      <c r="K745" s="171"/>
      <c r="L745" s="171"/>
      <c r="M745" s="171"/>
      <c r="N745" s="171"/>
      <c r="O745" s="171"/>
      <c r="P745" s="171"/>
      <c r="Q745" s="171"/>
      <c r="R745" s="171"/>
      <c r="S745" s="171"/>
      <c r="T745" s="173"/>
      <c r="U745" s="174"/>
      <c r="V745" s="175"/>
      <c r="W745" s="175"/>
      <c r="X745" s="175"/>
      <c r="Y745" s="175"/>
      <c r="Z745" s="175"/>
      <c r="AA745" s="175"/>
      <c r="AB745" s="175"/>
      <c r="AC745" s="175"/>
      <c r="AD745" s="175"/>
      <c r="AE745" s="175"/>
      <c r="AF745" s="175"/>
      <c r="AG745" s="175"/>
      <c r="AH745" s="175"/>
      <c r="AI745" s="175"/>
      <c r="AJ745" s="175"/>
      <c r="AK745" s="175"/>
      <c r="AL745" s="175"/>
      <c r="AM745" s="175"/>
      <c r="AN745" s="175"/>
      <c r="AO745" s="176"/>
      <c r="AP745" s="177"/>
      <c r="AQ745" s="175"/>
      <c r="AR745" s="175"/>
      <c r="AS745" s="178"/>
      <c r="AT745" s="179"/>
    </row>
    <row r="746" customFormat="false" ht="12.75" hidden="false" customHeight="true" outlineLevel="0" collapsed="false">
      <c r="B746" s="122"/>
      <c r="C746" s="123"/>
      <c r="D746" s="124"/>
      <c r="E746" s="124"/>
      <c r="F746" s="125"/>
      <c r="G746" s="171"/>
      <c r="H746" s="171"/>
      <c r="I746" s="172"/>
      <c r="J746" s="171"/>
      <c r="K746" s="171"/>
      <c r="L746" s="171"/>
      <c r="M746" s="171"/>
      <c r="N746" s="171"/>
      <c r="O746" s="171"/>
      <c r="P746" s="171"/>
      <c r="Q746" s="171"/>
      <c r="R746" s="171"/>
      <c r="S746" s="171"/>
      <c r="T746" s="173"/>
      <c r="U746" s="174"/>
      <c r="V746" s="175"/>
      <c r="W746" s="175"/>
      <c r="X746" s="175"/>
      <c r="Y746" s="175"/>
      <c r="Z746" s="175"/>
      <c r="AA746" s="175"/>
      <c r="AB746" s="175"/>
      <c r="AC746" s="175"/>
      <c r="AD746" s="175"/>
      <c r="AE746" s="175"/>
      <c r="AF746" s="175"/>
      <c r="AG746" s="175"/>
      <c r="AH746" s="175"/>
      <c r="AI746" s="175"/>
      <c r="AJ746" s="175"/>
      <c r="AK746" s="175"/>
      <c r="AL746" s="175"/>
      <c r="AM746" s="175"/>
      <c r="AN746" s="175"/>
      <c r="AO746" s="176"/>
      <c r="AP746" s="177"/>
      <c r="AQ746" s="175"/>
      <c r="AR746" s="175"/>
      <c r="AS746" s="178"/>
      <c r="AT746" s="179"/>
    </row>
    <row r="747" customFormat="false" ht="12.75" hidden="false" customHeight="true" outlineLevel="0" collapsed="false">
      <c r="B747" s="141"/>
      <c r="C747" s="132"/>
      <c r="D747" s="133"/>
      <c r="E747" s="133"/>
      <c r="F747" s="134"/>
      <c r="G747" s="180"/>
      <c r="H747" s="180"/>
      <c r="I747" s="181"/>
      <c r="J747" s="180"/>
      <c r="K747" s="180"/>
      <c r="L747" s="180"/>
      <c r="M747" s="180"/>
      <c r="N747" s="180"/>
      <c r="O747" s="180"/>
      <c r="P747" s="180"/>
      <c r="Q747" s="180"/>
      <c r="R747" s="180"/>
      <c r="S747" s="180"/>
      <c r="T747" s="182"/>
      <c r="U747" s="183"/>
      <c r="V747" s="184"/>
      <c r="W747" s="184"/>
      <c r="X747" s="184"/>
      <c r="Y747" s="184"/>
      <c r="Z747" s="184"/>
      <c r="AA747" s="184"/>
      <c r="AB747" s="184"/>
      <c r="AC747" s="184"/>
      <c r="AD747" s="184"/>
      <c r="AE747" s="184"/>
      <c r="AF747" s="184"/>
      <c r="AG747" s="184"/>
      <c r="AH747" s="184"/>
      <c r="AI747" s="184"/>
      <c r="AJ747" s="184"/>
      <c r="AK747" s="184"/>
      <c r="AL747" s="184"/>
      <c r="AM747" s="184"/>
      <c r="AN747" s="184"/>
      <c r="AO747" s="185"/>
      <c r="AP747" s="186"/>
      <c r="AQ747" s="184"/>
      <c r="AR747" s="184"/>
      <c r="AS747" s="187"/>
      <c r="AT747" s="188"/>
    </row>
    <row r="748" customFormat="false" ht="12.75" hidden="false" customHeight="true" outlineLevel="0" collapsed="false">
      <c r="B748" s="122"/>
      <c r="C748" s="123"/>
      <c r="D748" s="124"/>
      <c r="E748" s="124"/>
      <c r="F748" s="125"/>
      <c r="G748" s="171"/>
      <c r="H748" s="171"/>
      <c r="I748" s="172"/>
      <c r="J748" s="171"/>
      <c r="K748" s="171"/>
      <c r="L748" s="171"/>
      <c r="M748" s="171"/>
      <c r="N748" s="171"/>
      <c r="O748" s="171"/>
      <c r="P748" s="171"/>
      <c r="Q748" s="171"/>
      <c r="R748" s="171"/>
      <c r="S748" s="171"/>
      <c r="T748" s="173"/>
      <c r="U748" s="174"/>
      <c r="V748" s="175"/>
      <c r="W748" s="175"/>
      <c r="X748" s="175"/>
      <c r="Y748" s="175"/>
      <c r="Z748" s="175"/>
      <c r="AA748" s="175"/>
      <c r="AB748" s="175"/>
      <c r="AC748" s="175"/>
      <c r="AD748" s="175"/>
      <c r="AE748" s="175"/>
      <c r="AF748" s="175"/>
      <c r="AG748" s="175"/>
      <c r="AH748" s="175"/>
      <c r="AI748" s="175"/>
      <c r="AJ748" s="175"/>
      <c r="AK748" s="175"/>
      <c r="AL748" s="175"/>
      <c r="AM748" s="175"/>
      <c r="AN748" s="175"/>
      <c r="AO748" s="176"/>
      <c r="AP748" s="177"/>
      <c r="AQ748" s="175"/>
      <c r="AR748" s="175"/>
      <c r="AS748" s="178"/>
      <c r="AT748" s="179"/>
    </row>
    <row r="749" customFormat="false" ht="12.75" hidden="false" customHeight="true" outlineLevel="0" collapsed="false">
      <c r="B749" s="122"/>
      <c r="C749" s="123"/>
      <c r="D749" s="124"/>
      <c r="E749" s="124"/>
      <c r="F749" s="125"/>
      <c r="G749" s="171"/>
      <c r="H749" s="171"/>
      <c r="I749" s="172"/>
      <c r="J749" s="171"/>
      <c r="K749" s="171"/>
      <c r="L749" s="171"/>
      <c r="M749" s="171"/>
      <c r="N749" s="171"/>
      <c r="O749" s="171"/>
      <c r="P749" s="171"/>
      <c r="Q749" s="171"/>
      <c r="R749" s="171"/>
      <c r="S749" s="171"/>
      <c r="T749" s="173"/>
      <c r="U749" s="174"/>
      <c r="V749" s="175"/>
      <c r="W749" s="175"/>
      <c r="X749" s="175"/>
      <c r="Y749" s="175"/>
      <c r="Z749" s="175"/>
      <c r="AA749" s="175"/>
      <c r="AB749" s="175"/>
      <c r="AC749" s="175"/>
      <c r="AD749" s="175"/>
      <c r="AE749" s="175"/>
      <c r="AF749" s="175"/>
      <c r="AG749" s="175"/>
      <c r="AH749" s="175"/>
      <c r="AI749" s="175"/>
      <c r="AJ749" s="175"/>
      <c r="AK749" s="175"/>
      <c r="AL749" s="175"/>
      <c r="AM749" s="175"/>
      <c r="AN749" s="175"/>
      <c r="AO749" s="176"/>
      <c r="AP749" s="177"/>
      <c r="AQ749" s="175"/>
      <c r="AR749" s="175"/>
      <c r="AS749" s="178"/>
      <c r="AT749" s="179"/>
    </row>
    <row r="750" customFormat="false" ht="12.75" hidden="false" customHeight="true" outlineLevel="0" collapsed="false">
      <c r="B750" s="122"/>
      <c r="C750" s="123"/>
      <c r="D750" s="124"/>
      <c r="E750" s="124"/>
      <c r="F750" s="125"/>
      <c r="G750" s="171"/>
      <c r="H750" s="171"/>
      <c r="I750" s="172"/>
      <c r="J750" s="171"/>
      <c r="K750" s="171"/>
      <c r="L750" s="171"/>
      <c r="M750" s="171"/>
      <c r="N750" s="171"/>
      <c r="O750" s="171"/>
      <c r="P750" s="171"/>
      <c r="Q750" s="171"/>
      <c r="R750" s="171"/>
      <c r="S750" s="171"/>
      <c r="T750" s="173"/>
      <c r="U750" s="174"/>
      <c r="V750" s="175"/>
      <c r="W750" s="175"/>
      <c r="X750" s="175"/>
      <c r="Y750" s="175"/>
      <c r="Z750" s="175"/>
      <c r="AA750" s="175"/>
      <c r="AB750" s="175"/>
      <c r="AC750" s="175"/>
      <c r="AD750" s="175"/>
      <c r="AE750" s="175"/>
      <c r="AF750" s="175"/>
      <c r="AG750" s="175"/>
      <c r="AH750" s="175"/>
      <c r="AI750" s="175"/>
      <c r="AJ750" s="175"/>
      <c r="AK750" s="175"/>
      <c r="AL750" s="175"/>
      <c r="AM750" s="175"/>
      <c r="AN750" s="175"/>
      <c r="AO750" s="176"/>
      <c r="AP750" s="177"/>
      <c r="AQ750" s="175"/>
      <c r="AR750" s="175"/>
      <c r="AS750" s="178"/>
      <c r="AT750" s="179"/>
    </row>
    <row r="751" customFormat="false" ht="12.75" hidden="false" customHeight="true" outlineLevel="0" collapsed="false">
      <c r="B751" s="122"/>
      <c r="C751" s="123"/>
      <c r="D751" s="124"/>
      <c r="E751" s="124"/>
      <c r="F751" s="125"/>
      <c r="G751" s="171"/>
      <c r="H751" s="171"/>
      <c r="I751" s="172"/>
      <c r="J751" s="171"/>
      <c r="K751" s="171"/>
      <c r="L751" s="171"/>
      <c r="M751" s="171"/>
      <c r="N751" s="171"/>
      <c r="O751" s="171"/>
      <c r="P751" s="171"/>
      <c r="Q751" s="171"/>
      <c r="R751" s="171"/>
      <c r="S751" s="171"/>
      <c r="T751" s="173"/>
      <c r="U751" s="174"/>
      <c r="V751" s="175"/>
      <c r="W751" s="175"/>
      <c r="X751" s="175"/>
      <c r="Y751" s="175"/>
      <c r="Z751" s="175"/>
      <c r="AA751" s="175"/>
      <c r="AB751" s="175"/>
      <c r="AC751" s="175"/>
      <c r="AD751" s="175"/>
      <c r="AE751" s="175"/>
      <c r="AF751" s="175"/>
      <c r="AG751" s="175"/>
      <c r="AH751" s="175"/>
      <c r="AI751" s="175"/>
      <c r="AJ751" s="175"/>
      <c r="AK751" s="175"/>
      <c r="AL751" s="175"/>
      <c r="AM751" s="175"/>
      <c r="AN751" s="175"/>
      <c r="AO751" s="176"/>
      <c r="AP751" s="177"/>
      <c r="AQ751" s="175"/>
      <c r="AR751" s="175"/>
      <c r="AS751" s="178"/>
      <c r="AT751" s="179"/>
    </row>
    <row r="752" customFormat="false" ht="12.75" hidden="false" customHeight="true" outlineLevel="0" collapsed="false">
      <c r="B752" s="141"/>
      <c r="C752" s="132"/>
      <c r="D752" s="133"/>
      <c r="E752" s="133"/>
      <c r="F752" s="134"/>
      <c r="G752" s="180"/>
      <c r="H752" s="180"/>
      <c r="I752" s="181"/>
      <c r="J752" s="180"/>
      <c r="K752" s="180"/>
      <c r="L752" s="180"/>
      <c r="M752" s="180"/>
      <c r="N752" s="180"/>
      <c r="O752" s="180"/>
      <c r="P752" s="180"/>
      <c r="Q752" s="180"/>
      <c r="R752" s="180"/>
      <c r="S752" s="180"/>
      <c r="T752" s="182"/>
      <c r="U752" s="183"/>
      <c r="V752" s="184"/>
      <c r="W752" s="184"/>
      <c r="X752" s="184"/>
      <c r="Y752" s="184"/>
      <c r="Z752" s="184"/>
      <c r="AA752" s="184"/>
      <c r="AB752" s="184"/>
      <c r="AC752" s="184"/>
      <c r="AD752" s="184"/>
      <c r="AE752" s="184"/>
      <c r="AF752" s="184"/>
      <c r="AG752" s="184"/>
      <c r="AH752" s="184"/>
      <c r="AI752" s="184"/>
      <c r="AJ752" s="184"/>
      <c r="AK752" s="184"/>
      <c r="AL752" s="184"/>
      <c r="AM752" s="184"/>
      <c r="AN752" s="184"/>
      <c r="AO752" s="185"/>
      <c r="AP752" s="186"/>
      <c r="AQ752" s="184"/>
      <c r="AR752" s="184"/>
      <c r="AS752" s="187"/>
      <c r="AT752" s="188"/>
    </row>
    <row r="753" customFormat="false" ht="12.75" hidden="false" customHeight="true" outlineLevel="0" collapsed="false">
      <c r="B753" s="122"/>
      <c r="C753" s="123"/>
      <c r="D753" s="124"/>
      <c r="E753" s="124"/>
      <c r="F753" s="125"/>
      <c r="G753" s="171"/>
      <c r="H753" s="171"/>
      <c r="I753" s="172"/>
      <c r="J753" s="171"/>
      <c r="K753" s="171"/>
      <c r="L753" s="171"/>
      <c r="M753" s="171"/>
      <c r="N753" s="171"/>
      <c r="O753" s="171"/>
      <c r="P753" s="171"/>
      <c r="Q753" s="171"/>
      <c r="R753" s="171"/>
      <c r="S753" s="171"/>
      <c r="T753" s="173"/>
      <c r="U753" s="174"/>
      <c r="V753" s="175"/>
      <c r="W753" s="175"/>
      <c r="X753" s="175"/>
      <c r="Y753" s="175"/>
      <c r="Z753" s="175"/>
      <c r="AA753" s="175"/>
      <c r="AB753" s="175"/>
      <c r="AC753" s="175"/>
      <c r="AD753" s="175"/>
      <c r="AE753" s="175"/>
      <c r="AF753" s="175"/>
      <c r="AG753" s="175"/>
      <c r="AH753" s="175"/>
      <c r="AI753" s="175"/>
      <c r="AJ753" s="175"/>
      <c r="AK753" s="175"/>
      <c r="AL753" s="175"/>
      <c r="AM753" s="175"/>
      <c r="AN753" s="175"/>
      <c r="AO753" s="176"/>
      <c r="AP753" s="177"/>
      <c r="AQ753" s="175"/>
      <c r="AR753" s="175"/>
      <c r="AS753" s="178"/>
      <c r="AT753" s="179"/>
    </row>
    <row r="754" customFormat="false" ht="12.75" hidden="false" customHeight="true" outlineLevel="0" collapsed="false">
      <c r="B754" s="122"/>
      <c r="C754" s="123"/>
      <c r="D754" s="124"/>
      <c r="E754" s="124"/>
      <c r="F754" s="125"/>
      <c r="G754" s="171"/>
      <c r="H754" s="171"/>
      <c r="I754" s="172"/>
      <c r="J754" s="171"/>
      <c r="K754" s="171"/>
      <c r="L754" s="171"/>
      <c r="M754" s="171"/>
      <c r="N754" s="171"/>
      <c r="O754" s="171"/>
      <c r="P754" s="171"/>
      <c r="Q754" s="171"/>
      <c r="R754" s="171"/>
      <c r="S754" s="171"/>
      <c r="T754" s="173"/>
      <c r="U754" s="174"/>
      <c r="V754" s="175"/>
      <c r="W754" s="175"/>
      <c r="X754" s="175"/>
      <c r="Y754" s="175"/>
      <c r="Z754" s="175"/>
      <c r="AA754" s="175"/>
      <c r="AB754" s="175"/>
      <c r="AC754" s="175"/>
      <c r="AD754" s="175"/>
      <c r="AE754" s="175"/>
      <c r="AF754" s="175"/>
      <c r="AG754" s="175"/>
      <c r="AH754" s="175"/>
      <c r="AI754" s="175"/>
      <c r="AJ754" s="175"/>
      <c r="AK754" s="175"/>
      <c r="AL754" s="175"/>
      <c r="AM754" s="175"/>
      <c r="AN754" s="175"/>
      <c r="AO754" s="176"/>
      <c r="AP754" s="177"/>
      <c r="AQ754" s="175"/>
      <c r="AR754" s="175"/>
      <c r="AS754" s="178"/>
      <c r="AT754" s="179"/>
    </row>
    <row r="755" customFormat="false" ht="12.75" hidden="false" customHeight="true" outlineLevel="0" collapsed="false">
      <c r="B755" s="122"/>
      <c r="C755" s="123"/>
      <c r="D755" s="124"/>
      <c r="E755" s="124"/>
      <c r="F755" s="125"/>
      <c r="G755" s="171"/>
      <c r="H755" s="171"/>
      <c r="I755" s="172"/>
      <c r="J755" s="171"/>
      <c r="K755" s="171"/>
      <c r="L755" s="171"/>
      <c r="M755" s="171"/>
      <c r="N755" s="171"/>
      <c r="O755" s="171"/>
      <c r="P755" s="171"/>
      <c r="Q755" s="171"/>
      <c r="R755" s="171"/>
      <c r="S755" s="171"/>
      <c r="T755" s="173"/>
      <c r="U755" s="174"/>
      <c r="V755" s="175"/>
      <c r="W755" s="175"/>
      <c r="X755" s="175"/>
      <c r="Y755" s="175"/>
      <c r="Z755" s="175"/>
      <c r="AA755" s="175"/>
      <c r="AB755" s="175"/>
      <c r="AC755" s="175"/>
      <c r="AD755" s="175"/>
      <c r="AE755" s="175"/>
      <c r="AF755" s="175"/>
      <c r="AG755" s="175"/>
      <c r="AH755" s="175"/>
      <c r="AI755" s="175"/>
      <c r="AJ755" s="175"/>
      <c r="AK755" s="175"/>
      <c r="AL755" s="175"/>
      <c r="AM755" s="175"/>
      <c r="AN755" s="175"/>
      <c r="AO755" s="176"/>
      <c r="AP755" s="177"/>
      <c r="AQ755" s="175"/>
      <c r="AR755" s="175"/>
      <c r="AS755" s="178"/>
      <c r="AT755" s="179"/>
    </row>
    <row r="756" customFormat="false" ht="12.75" hidden="false" customHeight="true" outlineLevel="0" collapsed="false">
      <c r="B756" s="122"/>
      <c r="C756" s="123"/>
      <c r="D756" s="124"/>
      <c r="E756" s="124"/>
      <c r="F756" s="125"/>
      <c r="G756" s="171"/>
      <c r="H756" s="171"/>
      <c r="I756" s="172"/>
      <c r="J756" s="171"/>
      <c r="K756" s="171"/>
      <c r="L756" s="171"/>
      <c r="M756" s="171"/>
      <c r="N756" s="171"/>
      <c r="O756" s="171"/>
      <c r="P756" s="171"/>
      <c r="Q756" s="171"/>
      <c r="R756" s="171"/>
      <c r="S756" s="171"/>
      <c r="T756" s="173"/>
      <c r="U756" s="174"/>
      <c r="V756" s="175"/>
      <c r="W756" s="175"/>
      <c r="X756" s="175"/>
      <c r="Y756" s="175"/>
      <c r="Z756" s="175"/>
      <c r="AA756" s="175"/>
      <c r="AB756" s="175"/>
      <c r="AC756" s="175"/>
      <c r="AD756" s="175"/>
      <c r="AE756" s="175"/>
      <c r="AF756" s="175"/>
      <c r="AG756" s="175"/>
      <c r="AH756" s="175"/>
      <c r="AI756" s="175"/>
      <c r="AJ756" s="175"/>
      <c r="AK756" s="175"/>
      <c r="AL756" s="175"/>
      <c r="AM756" s="175"/>
      <c r="AN756" s="175"/>
      <c r="AO756" s="176"/>
      <c r="AP756" s="177"/>
      <c r="AQ756" s="175"/>
      <c r="AR756" s="175"/>
      <c r="AS756" s="178"/>
      <c r="AT756" s="179"/>
    </row>
    <row r="757" customFormat="false" ht="12.75" hidden="false" customHeight="true" outlineLevel="0" collapsed="false">
      <c r="B757" s="141"/>
      <c r="C757" s="132"/>
      <c r="D757" s="133"/>
      <c r="E757" s="133"/>
      <c r="F757" s="134"/>
      <c r="G757" s="180"/>
      <c r="H757" s="180"/>
      <c r="I757" s="181"/>
      <c r="J757" s="180"/>
      <c r="K757" s="180"/>
      <c r="L757" s="180"/>
      <c r="M757" s="180"/>
      <c r="N757" s="180"/>
      <c r="O757" s="180"/>
      <c r="P757" s="180"/>
      <c r="Q757" s="180"/>
      <c r="R757" s="180"/>
      <c r="S757" s="180"/>
      <c r="T757" s="182"/>
      <c r="U757" s="183"/>
      <c r="V757" s="184"/>
      <c r="W757" s="184"/>
      <c r="X757" s="184"/>
      <c r="Y757" s="184"/>
      <c r="Z757" s="184"/>
      <c r="AA757" s="184"/>
      <c r="AB757" s="184"/>
      <c r="AC757" s="184"/>
      <c r="AD757" s="184"/>
      <c r="AE757" s="184"/>
      <c r="AF757" s="184"/>
      <c r="AG757" s="184"/>
      <c r="AH757" s="184"/>
      <c r="AI757" s="184"/>
      <c r="AJ757" s="184"/>
      <c r="AK757" s="184"/>
      <c r="AL757" s="184"/>
      <c r="AM757" s="184"/>
      <c r="AN757" s="184"/>
      <c r="AO757" s="185"/>
      <c r="AP757" s="186"/>
      <c r="AQ757" s="184"/>
      <c r="AR757" s="184"/>
      <c r="AS757" s="187"/>
      <c r="AT757" s="188"/>
    </row>
    <row r="758" customFormat="false" ht="12.75" hidden="false" customHeight="true" outlineLevel="0" collapsed="false">
      <c r="B758" s="122"/>
      <c r="C758" s="123"/>
      <c r="D758" s="124"/>
      <c r="E758" s="124"/>
      <c r="F758" s="125"/>
      <c r="G758" s="171"/>
      <c r="H758" s="171"/>
      <c r="I758" s="172"/>
      <c r="J758" s="171"/>
      <c r="K758" s="171"/>
      <c r="L758" s="171"/>
      <c r="M758" s="171"/>
      <c r="N758" s="171"/>
      <c r="O758" s="171"/>
      <c r="P758" s="171"/>
      <c r="Q758" s="171"/>
      <c r="R758" s="171"/>
      <c r="S758" s="171"/>
      <c r="T758" s="173"/>
      <c r="U758" s="174"/>
      <c r="V758" s="175"/>
      <c r="W758" s="175"/>
      <c r="X758" s="175"/>
      <c r="Y758" s="175"/>
      <c r="Z758" s="175"/>
      <c r="AA758" s="175"/>
      <c r="AB758" s="175"/>
      <c r="AC758" s="175"/>
      <c r="AD758" s="175"/>
      <c r="AE758" s="175"/>
      <c r="AF758" s="175"/>
      <c r="AG758" s="175"/>
      <c r="AH758" s="175"/>
      <c r="AI758" s="175"/>
      <c r="AJ758" s="175"/>
      <c r="AK758" s="175"/>
      <c r="AL758" s="175"/>
      <c r="AM758" s="175"/>
      <c r="AN758" s="175"/>
      <c r="AO758" s="176"/>
      <c r="AP758" s="177"/>
      <c r="AQ758" s="175"/>
      <c r="AR758" s="175"/>
      <c r="AS758" s="178"/>
      <c r="AT758" s="179"/>
    </row>
    <row r="759" customFormat="false" ht="12.75" hidden="false" customHeight="true" outlineLevel="0" collapsed="false">
      <c r="B759" s="122"/>
      <c r="C759" s="123"/>
      <c r="D759" s="124"/>
      <c r="E759" s="124"/>
      <c r="F759" s="125"/>
      <c r="G759" s="171"/>
      <c r="H759" s="171"/>
      <c r="I759" s="172"/>
      <c r="J759" s="171"/>
      <c r="K759" s="171"/>
      <c r="L759" s="171"/>
      <c r="M759" s="171"/>
      <c r="N759" s="171"/>
      <c r="O759" s="171"/>
      <c r="P759" s="171"/>
      <c r="Q759" s="171"/>
      <c r="R759" s="171"/>
      <c r="S759" s="171"/>
      <c r="T759" s="173"/>
      <c r="U759" s="174"/>
      <c r="V759" s="175"/>
      <c r="W759" s="175"/>
      <c r="X759" s="175"/>
      <c r="Y759" s="175"/>
      <c r="Z759" s="175"/>
      <c r="AA759" s="175"/>
      <c r="AB759" s="175"/>
      <c r="AC759" s="175"/>
      <c r="AD759" s="175"/>
      <c r="AE759" s="175"/>
      <c r="AF759" s="175"/>
      <c r="AG759" s="175"/>
      <c r="AH759" s="175"/>
      <c r="AI759" s="175"/>
      <c r="AJ759" s="175"/>
      <c r="AK759" s="175"/>
      <c r="AL759" s="175"/>
      <c r="AM759" s="175"/>
      <c r="AN759" s="175"/>
      <c r="AO759" s="176"/>
      <c r="AP759" s="177"/>
      <c r="AQ759" s="175"/>
      <c r="AR759" s="175"/>
      <c r="AS759" s="178"/>
      <c r="AT759" s="179"/>
    </row>
    <row r="760" customFormat="false" ht="12.75" hidden="false" customHeight="true" outlineLevel="0" collapsed="false">
      <c r="B760" s="122"/>
      <c r="C760" s="123"/>
      <c r="D760" s="124"/>
      <c r="E760" s="124"/>
      <c r="F760" s="125"/>
      <c r="G760" s="171"/>
      <c r="H760" s="171"/>
      <c r="I760" s="172"/>
      <c r="J760" s="171"/>
      <c r="K760" s="171"/>
      <c r="L760" s="171"/>
      <c r="M760" s="171"/>
      <c r="N760" s="171"/>
      <c r="O760" s="171"/>
      <c r="P760" s="171"/>
      <c r="Q760" s="171"/>
      <c r="R760" s="171"/>
      <c r="S760" s="171"/>
      <c r="T760" s="173"/>
      <c r="U760" s="174"/>
      <c r="V760" s="175"/>
      <c r="W760" s="175"/>
      <c r="X760" s="175"/>
      <c r="Y760" s="175"/>
      <c r="Z760" s="175"/>
      <c r="AA760" s="175"/>
      <c r="AB760" s="175"/>
      <c r="AC760" s="175"/>
      <c r="AD760" s="175"/>
      <c r="AE760" s="175"/>
      <c r="AF760" s="175"/>
      <c r="AG760" s="175"/>
      <c r="AH760" s="175"/>
      <c r="AI760" s="175"/>
      <c r="AJ760" s="175"/>
      <c r="AK760" s="175"/>
      <c r="AL760" s="175"/>
      <c r="AM760" s="175"/>
      <c r="AN760" s="175"/>
      <c r="AO760" s="176"/>
      <c r="AP760" s="177"/>
      <c r="AQ760" s="175"/>
      <c r="AR760" s="175"/>
      <c r="AS760" s="178"/>
      <c r="AT760" s="179"/>
    </row>
    <row r="761" customFormat="false" ht="12.75" hidden="false" customHeight="true" outlineLevel="0" collapsed="false">
      <c r="B761" s="141"/>
      <c r="C761" s="132"/>
      <c r="D761" s="133"/>
      <c r="E761" s="133"/>
      <c r="F761" s="134"/>
      <c r="G761" s="180"/>
      <c r="H761" s="180"/>
      <c r="I761" s="181"/>
      <c r="J761" s="180"/>
      <c r="K761" s="180"/>
      <c r="L761" s="180"/>
      <c r="M761" s="180"/>
      <c r="N761" s="180"/>
      <c r="O761" s="180"/>
      <c r="P761" s="180"/>
      <c r="Q761" s="180"/>
      <c r="R761" s="180"/>
      <c r="S761" s="180"/>
      <c r="T761" s="182"/>
      <c r="U761" s="183"/>
      <c r="V761" s="184"/>
      <c r="W761" s="184"/>
      <c r="X761" s="184"/>
      <c r="Y761" s="184"/>
      <c r="Z761" s="184"/>
      <c r="AA761" s="184"/>
      <c r="AB761" s="184"/>
      <c r="AC761" s="184"/>
      <c r="AD761" s="184"/>
      <c r="AE761" s="184"/>
      <c r="AF761" s="184"/>
      <c r="AG761" s="184"/>
      <c r="AH761" s="184"/>
      <c r="AI761" s="184"/>
      <c r="AJ761" s="184"/>
      <c r="AK761" s="184"/>
      <c r="AL761" s="184"/>
      <c r="AM761" s="184"/>
      <c r="AN761" s="184"/>
      <c r="AO761" s="185"/>
      <c r="AP761" s="186"/>
      <c r="AQ761" s="184"/>
      <c r="AR761" s="184"/>
      <c r="AS761" s="187"/>
      <c r="AT761" s="188"/>
    </row>
    <row r="762" customFormat="false" ht="12.75" hidden="false" customHeight="true" outlineLevel="0" collapsed="false">
      <c r="B762" s="122"/>
      <c r="C762" s="123"/>
      <c r="D762" s="124"/>
      <c r="E762" s="124"/>
      <c r="F762" s="125"/>
      <c r="G762" s="171"/>
      <c r="H762" s="171"/>
      <c r="I762" s="172"/>
      <c r="J762" s="171"/>
      <c r="K762" s="171"/>
      <c r="L762" s="171"/>
      <c r="M762" s="171"/>
      <c r="N762" s="171"/>
      <c r="O762" s="171"/>
      <c r="P762" s="171"/>
      <c r="Q762" s="171"/>
      <c r="R762" s="171"/>
      <c r="S762" s="171"/>
      <c r="T762" s="173"/>
      <c r="U762" s="174"/>
      <c r="V762" s="175"/>
      <c r="W762" s="175"/>
      <c r="X762" s="175"/>
      <c r="Y762" s="175"/>
      <c r="Z762" s="175"/>
      <c r="AA762" s="175"/>
      <c r="AB762" s="175"/>
      <c r="AC762" s="175"/>
      <c r="AD762" s="175"/>
      <c r="AE762" s="175"/>
      <c r="AF762" s="175"/>
      <c r="AG762" s="175"/>
      <c r="AH762" s="175"/>
      <c r="AI762" s="175"/>
      <c r="AJ762" s="175"/>
      <c r="AK762" s="175"/>
      <c r="AL762" s="175"/>
      <c r="AM762" s="175"/>
      <c r="AN762" s="175"/>
      <c r="AO762" s="176"/>
      <c r="AP762" s="177"/>
      <c r="AQ762" s="175"/>
      <c r="AR762" s="175"/>
      <c r="AS762" s="178"/>
      <c r="AT762" s="179"/>
    </row>
    <row r="763" customFormat="false" ht="12.75" hidden="false" customHeight="true" outlineLevel="0" collapsed="false">
      <c r="B763" s="122"/>
      <c r="C763" s="123"/>
      <c r="D763" s="124"/>
      <c r="E763" s="124"/>
      <c r="F763" s="125"/>
      <c r="G763" s="171"/>
      <c r="H763" s="171"/>
      <c r="I763" s="172"/>
      <c r="J763" s="171"/>
      <c r="K763" s="171"/>
      <c r="L763" s="171"/>
      <c r="M763" s="171"/>
      <c r="N763" s="171"/>
      <c r="O763" s="171"/>
      <c r="P763" s="171"/>
      <c r="Q763" s="171"/>
      <c r="R763" s="171"/>
      <c r="S763" s="171"/>
      <c r="T763" s="173"/>
      <c r="U763" s="174"/>
      <c r="V763" s="175"/>
      <c r="W763" s="175"/>
      <c r="X763" s="175"/>
      <c r="Y763" s="175"/>
      <c r="Z763" s="175"/>
      <c r="AA763" s="175"/>
      <c r="AB763" s="175"/>
      <c r="AC763" s="175"/>
      <c r="AD763" s="175"/>
      <c r="AE763" s="175"/>
      <c r="AF763" s="175"/>
      <c r="AG763" s="175"/>
      <c r="AH763" s="175"/>
      <c r="AI763" s="175"/>
      <c r="AJ763" s="175"/>
      <c r="AK763" s="175"/>
      <c r="AL763" s="175"/>
      <c r="AM763" s="175"/>
      <c r="AN763" s="175"/>
      <c r="AO763" s="176"/>
      <c r="AP763" s="177"/>
      <c r="AQ763" s="175"/>
      <c r="AR763" s="175"/>
      <c r="AS763" s="178"/>
      <c r="AT763" s="179"/>
    </row>
    <row r="764" customFormat="false" ht="12.75" hidden="false" customHeight="true" outlineLevel="0" collapsed="false">
      <c r="B764" s="122"/>
      <c r="C764" s="123"/>
      <c r="D764" s="124"/>
      <c r="E764" s="124"/>
      <c r="F764" s="125"/>
      <c r="G764" s="171"/>
      <c r="H764" s="171"/>
      <c r="I764" s="172"/>
      <c r="J764" s="171"/>
      <c r="K764" s="171"/>
      <c r="L764" s="171"/>
      <c r="M764" s="171"/>
      <c r="N764" s="171"/>
      <c r="O764" s="171"/>
      <c r="P764" s="171"/>
      <c r="Q764" s="171"/>
      <c r="R764" s="171"/>
      <c r="S764" s="171"/>
      <c r="T764" s="173"/>
      <c r="U764" s="174"/>
      <c r="V764" s="175"/>
      <c r="W764" s="175"/>
      <c r="X764" s="175"/>
      <c r="Y764" s="175"/>
      <c r="Z764" s="175"/>
      <c r="AA764" s="175"/>
      <c r="AB764" s="175"/>
      <c r="AC764" s="175"/>
      <c r="AD764" s="175"/>
      <c r="AE764" s="175"/>
      <c r="AF764" s="175"/>
      <c r="AG764" s="175"/>
      <c r="AH764" s="175"/>
      <c r="AI764" s="175"/>
      <c r="AJ764" s="175"/>
      <c r="AK764" s="175"/>
      <c r="AL764" s="175"/>
      <c r="AM764" s="175"/>
      <c r="AN764" s="175"/>
      <c r="AO764" s="176"/>
      <c r="AP764" s="177"/>
      <c r="AQ764" s="175"/>
      <c r="AR764" s="175"/>
      <c r="AS764" s="178"/>
      <c r="AT764" s="179"/>
    </row>
    <row r="765" customFormat="false" ht="12.75" hidden="false" customHeight="true" outlineLevel="0" collapsed="false">
      <c r="B765" s="122"/>
      <c r="C765" s="123"/>
      <c r="D765" s="124"/>
      <c r="E765" s="124"/>
      <c r="F765" s="125"/>
      <c r="G765" s="171"/>
      <c r="H765" s="171"/>
      <c r="I765" s="172"/>
      <c r="J765" s="171"/>
      <c r="K765" s="171"/>
      <c r="L765" s="171"/>
      <c r="M765" s="171"/>
      <c r="N765" s="171"/>
      <c r="O765" s="171"/>
      <c r="P765" s="171"/>
      <c r="Q765" s="171"/>
      <c r="R765" s="171"/>
      <c r="S765" s="171"/>
      <c r="T765" s="173"/>
      <c r="U765" s="174"/>
      <c r="V765" s="175"/>
      <c r="W765" s="175"/>
      <c r="X765" s="175"/>
      <c r="Y765" s="175"/>
      <c r="Z765" s="175"/>
      <c r="AA765" s="175"/>
      <c r="AB765" s="175"/>
      <c r="AC765" s="175"/>
      <c r="AD765" s="175"/>
      <c r="AE765" s="175"/>
      <c r="AF765" s="175"/>
      <c r="AG765" s="175"/>
      <c r="AH765" s="175"/>
      <c r="AI765" s="175"/>
      <c r="AJ765" s="175"/>
      <c r="AK765" s="175"/>
      <c r="AL765" s="175"/>
      <c r="AM765" s="175"/>
      <c r="AN765" s="175"/>
      <c r="AO765" s="176"/>
      <c r="AP765" s="177"/>
      <c r="AQ765" s="175"/>
      <c r="AR765" s="175"/>
      <c r="AS765" s="178"/>
      <c r="AT765" s="179"/>
    </row>
    <row r="766" customFormat="false" ht="12.75" hidden="false" customHeight="true" outlineLevel="0" collapsed="false">
      <c r="B766" s="141"/>
      <c r="C766" s="132"/>
      <c r="D766" s="133"/>
      <c r="E766" s="133"/>
      <c r="F766" s="134"/>
      <c r="G766" s="180"/>
      <c r="H766" s="180"/>
      <c r="I766" s="181"/>
      <c r="J766" s="180"/>
      <c r="K766" s="180"/>
      <c r="L766" s="180"/>
      <c r="M766" s="180"/>
      <c r="N766" s="180"/>
      <c r="O766" s="180"/>
      <c r="P766" s="180"/>
      <c r="Q766" s="180"/>
      <c r="R766" s="180"/>
      <c r="S766" s="180"/>
      <c r="T766" s="182"/>
      <c r="U766" s="183"/>
      <c r="V766" s="184"/>
      <c r="W766" s="184"/>
      <c r="X766" s="184"/>
      <c r="Y766" s="184"/>
      <c r="Z766" s="184"/>
      <c r="AA766" s="184"/>
      <c r="AB766" s="184"/>
      <c r="AC766" s="184"/>
      <c r="AD766" s="184"/>
      <c r="AE766" s="184"/>
      <c r="AF766" s="184"/>
      <c r="AG766" s="184"/>
      <c r="AH766" s="184"/>
      <c r="AI766" s="184"/>
      <c r="AJ766" s="184"/>
      <c r="AK766" s="184"/>
      <c r="AL766" s="184"/>
      <c r="AM766" s="184"/>
      <c r="AN766" s="184"/>
      <c r="AO766" s="185"/>
      <c r="AP766" s="186"/>
      <c r="AQ766" s="184"/>
      <c r="AR766" s="184"/>
      <c r="AS766" s="187"/>
      <c r="AT766" s="188"/>
    </row>
    <row r="767" customFormat="false" ht="12.75" hidden="false" customHeight="true" outlineLevel="0" collapsed="false">
      <c r="B767" s="122"/>
      <c r="C767" s="123"/>
      <c r="D767" s="124"/>
      <c r="E767" s="124"/>
      <c r="F767" s="125"/>
      <c r="G767" s="171"/>
      <c r="H767" s="171"/>
      <c r="I767" s="172"/>
      <c r="J767" s="171"/>
      <c r="K767" s="171"/>
      <c r="L767" s="171"/>
      <c r="M767" s="171"/>
      <c r="N767" s="171"/>
      <c r="O767" s="171"/>
      <c r="P767" s="171"/>
      <c r="Q767" s="171"/>
      <c r="R767" s="171"/>
      <c r="S767" s="171"/>
      <c r="T767" s="173"/>
      <c r="U767" s="174"/>
      <c r="V767" s="175"/>
      <c r="W767" s="175"/>
      <c r="X767" s="175"/>
      <c r="Y767" s="175"/>
      <c r="Z767" s="175"/>
      <c r="AA767" s="175"/>
      <c r="AB767" s="175"/>
      <c r="AC767" s="175"/>
      <c r="AD767" s="175"/>
      <c r="AE767" s="175"/>
      <c r="AF767" s="175"/>
      <c r="AG767" s="175"/>
      <c r="AH767" s="175"/>
      <c r="AI767" s="175"/>
      <c r="AJ767" s="175"/>
      <c r="AK767" s="175"/>
      <c r="AL767" s="175"/>
      <c r="AM767" s="175"/>
      <c r="AN767" s="175"/>
      <c r="AO767" s="176"/>
      <c r="AP767" s="177"/>
      <c r="AQ767" s="175"/>
      <c r="AR767" s="175"/>
      <c r="AS767" s="178"/>
      <c r="AT767" s="179"/>
    </row>
    <row r="768" customFormat="false" ht="12.75" hidden="false" customHeight="true" outlineLevel="0" collapsed="false">
      <c r="B768" s="122"/>
      <c r="C768" s="123"/>
      <c r="D768" s="124"/>
      <c r="E768" s="124"/>
      <c r="F768" s="125"/>
      <c r="G768" s="171"/>
      <c r="H768" s="171"/>
      <c r="I768" s="172"/>
      <c r="J768" s="171"/>
      <c r="K768" s="171"/>
      <c r="L768" s="171"/>
      <c r="M768" s="171"/>
      <c r="N768" s="171"/>
      <c r="O768" s="171"/>
      <c r="P768" s="171"/>
      <c r="Q768" s="171"/>
      <c r="R768" s="171"/>
      <c r="S768" s="171"/>
      <c r="T768" s="173"/>
      <c r="U768" s="174"/>
      <c r="V768" s="175"/>
      <c r="W768" s="175"/>
      <c r="X768" s="175"/>
      <c r="Y768" s="175"/>
      <c r="Z768" s="175"/>
      <c r="AA768" s="175"/>
      <c r="AB768" s="175"/>
      <c r="AC768" s="175"/>
      <c r="AD768" s="175"/>
      <c r="AE768" s="175"/>
      <c r="AF768" s="175"/>
      <c r="AG768" s="175"/>
      <c r="AH768" s="175"/>
      <c r="AI768" s="175"/>
      <c r="AJ768" s="175"/>
      <c r="AK768" s="175"/>
      <c r="AL768" s="175"/>
      <c r="AM768" s="175"/>
      <c r="AN768" s="175"/>
      <c r="AO768" s="176"/>
      <c r="AP768" s="177"/>
      <c r="AQ768" s="175"/>
      <c r="AR768" s="175"/>
      <c r="AS768" s="178"/>
      <c r="AT768" s="179"/>
    </row>
    <row r="769" customFormat="false" ht="12.75" hidden="false" customHeight="true" outlineLevel="0" collapsed="false">
      <c r="B769" s="122"/>
      <c r="C769" s="123"/>
      <c r="D769" s="124"/>
      <c r="E769" s="124"/>
      <c r="F769" s="125"/>
      <c r="G769" s="171"/>
      <c r="H769" s="171"/>
      <c r="I769" s="172"/>
      <c r="J769" s="171"/>
      <c r="K769" s="171"/>
      <c r="L769" s="171"/>
      <c r="M769" s="171"/>
      <c r="N769" s="171"/>
      <c r="O769" s="171"/>
      <c r="P769" s="171"/>
      <c r="Q769" s="171"/>
      <c r="R769" s="171"/>
      <c r="S769" s="171"/>
      <c r="T769" s="173"/>
      <c r="U769" s="174"/>
      <c r="V769" s="175"/>
      <c r="W769" s="175"/>
      <c r="X769" s="175"/>
      <c r="Y769" s="175"/>
      <c r="Z769" s="175"/>
      <c r="AA769" s="175"/>
      <c r="AB769" s="175"/>
      <c r="AC769" s="175"/>
      <c r="AD769" s="175"/>
      <c r="AE769" s="175"/>
      <c r="AF769" s="175"/>
      <c r="AG769" s="175"/>
      <c r="AH769" s="175"/>
      <c r="AI769" s="175"/>
      <c r="AJ769" s="175"/>
      <c r="AK769" s="175"/>
      <c r="AL769" s="175"/>
      <c r="AM769" s="175"/>
      <c r="AN769" s="175"/>
      <c r="AO769" s="176"/>
      <c r="AP769" s="177"/>
      <c r="AQ769" s="175"/>
      <c r="AR769" s="175"/>
      <c r="AS769" s="178"/>
      <c r="AT769" s="179"/>
    </row>
    <row r="770" customFormat="false" ht="12.75" hidden="false" customHeight="true" outlineLevel="0" collapsed="false">
      <c r="B770" s="122"/>
      <c r="C770" s="123"/>
      <c r="D770" s="124"/>
      <c r="E770" s="124"/>
      <c r="F770" s="125"/>
      <c r="G770" s="171"/>
      <c r="H770" s="171"/>
      <c r="I770" s="172"/>
      <c r="J770" s="171"/>
      <c r="K770" s="171"/>
      <c r="L770" s="171"/>
      <c r="M770" s="171"/>
      <c r="N770" s="171"/>
      <c r="O770" s="171"/>
      <c r="P770" s="171"/>
      <c r="Q770" s="171"/>
      <c r="R770" s="171"/>
      <c r="S770" s="171"/>
      <c r="T770" s="173"/>
      <c r="U770" s="174"/>
      <c r="V770" s="175"/>
      <c r="W770" s="175"/>
      <c r="X770" s="175"/>
      <c r="Y770" s="175"/>
      <c r="Z770" s="175"/>
      <c r="AA770" s="175"/>
      <c r="AB770" s="175"/>
      <c r="AC770" s="175"/>
      <c r="AD770" s="175"/>
      <c r="AE770" s="175"/>
      <c r="AF770" s="175"/>
      <c r="AG770" s="175"/>
      <c r="AH770" s="175"/>
      <c r="AI770" s="175"/>
      <c r="AJ770" s="175"/>
      <c r="AK770" s="175"/>
      <c r="AL770" s="175"/>
      <c r="AM770" s="175"/>
      <c r="AN770" s="175"/>
      <c r="AO770" s="176"/>
      <c r="AP770" s="177"/>
      <c r="AQ770" s="175"/>
      <c r="AR770" s="175"/>
      <c r="AS770" s="178"/>
      <c r="AT770" s="179"/>
    </row>
    <row r="771" customFormat="false" ht="12.75" hidden="false" customHeight="true" outlineLevel="0" collapsed="false">
      <c r="B771" s="141"/>
      <c r="C771" s="132"/>
      <c r="D771" s="133"/>
      <c r="E771" s="133"/>
      <c r="F771" s="134"/>
      <c r="G771" s="180"/>
      <c r="H771" s="180"/>
      <c r="I771" s="181"/>
      <c r="J771" s="180"/>
      <c r="K771" s="180"/>
      <c r="L771" s="180"/>
      <c r="M771" s="180"/>
      <c r="N771" s="180"/>
      <c r="O771" s="180"/>
      <c r="P771" s="180"/>
      <c r="Q771" s="180"/>
      <c r="R771" s="180"/>
      <c r="S771" s="180"/>
      <c r="T771" s="182"/>
      <c r="U771" s="183"/>
      <c r="V771" s="184"/>
      <c r="W771" s="184"/>
      <c r="X771" s="184"/>
      <c r="Y771" s="184"/>
      <c r="Z771" s="184"/>
      <c r="AA771" s="184"/>
      <c r="AB771" s="184"/>
      <c r="AC771" s="184"/>
      <c r="AD771" s="184"/>
      <c r="AE771" s="184"/>
      <c r="AF771" s="184"/>
      <c r="AG771" s="184"/>
      <c r="AH771" s="184"/>
      <c r="AI771" s="184"/>
      <c r="AJ771" s="184"/>
      <c r="AK771" s="184"/>
      <c r="AL771" s="184"/>
      <c r="AM771" s="184"/>
      <c r="AN771" s="184"/>
      <c r="AO771" s="185"/>
      <c r="AP771" s="186"/>
      <c r="AQ771" s="184"/>
      <c r="AR771" s="184"/>
      <c r="AS771" s="187"/>
      <c r="AT771" s="188"/>
    </row>
    <row r="772" customFormat="false" ht="12.75" hidden="false" customHeight="true" outlineLevel="0" collapsed="false">
      <c r="B772" s="122"/>
      <c r="C772" s="123"/>
      <c r="D772" s="124"/>
      <c r="E772" s="124"/>
      <c r="F772" s="125"/>
      <c r="G772" s="171"/>
      <c r="H772" s="171"/>
      <c r="I772" s="172"/>
      <c r="J772" s="171"/>
      <c r="K772" s="171"/>
      <c r="L772" s="171"/>
      <c r="M772" s="171"/>
      <c r="N772" s="171"/>
      <c r="O772" s="171"/>
      <c r="P772" s="171"/>
      <c r="Q772" s="171"/>
      <c r="R772" s="171"/>
      <c r="S772" s="171"/>
      <c r="T772" s="173"/>
      <c r="U772" s="174"/>
      <c r="V772" s="175"/>
      <c r="W772" s="175"/>
      <c r="X772" s="175"/>
      <c r="Y772" s="175"/>
      <c r="Z772" s="175"/>
      <c r="AA772" s="175"/>
      <c r="AB772" s="175"/>
      <c r="AC772" s="175"/>
      <c r="AD772" s="175"/>
      <c r="AE772" s="175"/>
      <c r="AF772" s="175"/>
      <c r="AG772" s="175"/>
      <c r="AH772" s="175"/>
      <c r="AI772" s="175"/>
      <c r="AJ772" s="175"/>
      <c r="AK772" s="175"/>
      <c r="AL772" s="175"/>
      <c r="AM772" s="175"/>
      <c r="AN772" s="175"/>
      <c r="AO772" s="176"/>
      <c r="AP772" s="177"/>
      <c r="AQ772" s="175"/>
      <c r="AR772" s="175"/>
      <c r="AS772" s="178"/>
      <c r="AT772" s="179"/>
    </row>
    <row r="773" customFormat="false" ht="12.75" hidden="false" customHeight="true" outlineLevel="0" collapsed="false">
      <c r="B773" s="122"/>
      <c r="C773" s="123"/>
      <c r="D773" s="124"/>
      <c r="E773" s="124"/>
      <c r="F773" s="125"/>
      <c r="G773" s="171"/>
      <c r="H773" s="171"/>
      <c r="I773" s="172"/>
      <c r="J773" s="171"/>
      <c r="K773" s="171"/>
      <c r="L773" s="171"/>
      <c r="M773" s="171"/>
      <c r="N773" s="171"/>
      <c r="O773" s="171"/>
      <c r="P773" s="171"/>
      <c r="Q773" s="171"/>
      <c r="R773" s="171"/>
      <c r="S773" s="171"/>
      <c r="T773" s="173"/>
      <c r="U773" s="174"/>
      <c r="V773" s="175"/>
      <c r="W773" s="175"/>
      <c r="X773" s="175"/>
      <c r="Y773" s="175"/>
      <c r="Z773" s="175"/>
      <c r="AA773" s="175"/>
      <c r="AB773" s="175"/>
      <c r="AC773" s="175"/>
      <c r="AD773" s="175"/>
      <c r="AE773" s="175"/>
      <c r="AF773" s="175"/>
      <c r="AG773" s="175"/>
      <c r="AH773" s="175"/>
      <c r="AI773" s="175"/>
      <c r="AJ773" s="175"/>
      <c r="AK773" s="175"/>
      <c r="AL773" s="175"/>
      <c r="AM773" s="175"/>
      <c r="AN773" s="175"/>
      <c r="AO773" s="176"/>
      <c r="AP773" s="177"/>
      <c r="AQ773" s="175"/>
      <c r="AR773" s="175"/>
      <c r="AS773" s="178"/>
      <c r="AT773" s="179"/>
    </row>
    <row r="774" customFormat="false" ht="12.75" hidden="false" customHeight="true" outlineLevel="0" collapsed="false">
      <c r="B774" s="122"/>
      <c r="C774" s="123"/>
      <c r="D774" s="124"/>
      <c r="E774" s="124"/>
      <c r="F774" s="125"/>
      <c r="G774" s="171"/>
      <c r="H774" s="171"/>
      <c r="I774" s="172"/>
      <c r="J774" s="171"/>
      <c r="K774" s="171"/>
      <c r="L774" s="171"/>
      <c r="M774" s="171"/>
      <c r="N774" s="171"/>
      <c r="O774" s="171"/>
      <c r="P774" s="171"/>
      <c r="Q774" s="171"/>
      <c r="R774" s="171"/>
      <c r="S774" s="171"/>
      <c r="T774" s="173"/>
      <c r="U774" s="174"/>
      <c r="V774" s="175"/>
      <c r="W774" s="175"/>
      <c r="X774" s="175"/>
      <c r="Y774" s="175"/>
      <c r="Z774" s="175"/>
      <c r="AA774" s="175"/>
      <c r="AB774" s="175"/>
      <c r="AC774" s="175"/>
      <c r="AD774" s="175"/>
      <c r="AE774" s="175"/>
      <c r="AF774" s="175"/>
      <c r="AG774" s="175"/>
      <c r="AH774" s="175"/>
      <c r="AI774" s="175"/>
      <c r="AJ774" s="175"/>
      <c r="AK774" s="175"/>
      <c r="AL774" s="175"/>
      <c r="AM774" s="175"/>
      <c r="AN774" s="175"/>
      <c r="AO774" s="176"/>
      <c r="AP774" s="177"/>
      <c r="AQ774" s="175"/>
      <c r="AR774" s="175"/>
      <c r="AS774" s="178"/>
      <c r="AT774" s="179"/>
    </row>
    <row r="775" customFormat="false" ht="12.75" hidden="false" customHeight="true" outlineLevel="0" collapsed="false">
      <c r="B775" s="122"/>
      <c r="C775" s="123"/>
      <c r="D775" s="124"/>
      <c r="E775" s="124"/>
      <c r="F775" s="125"/>
      <c r="G775" s="171"/>
      <c r="H775" s="171"/>
      <c r="I775" s="172"/>
      <c r="J775" s="171"/>
      <c r="K775" s="171"/>
      <c r="L775" s="171"/>
      <c r="M775" s="171"/>
      <c r="N775" s="171"/>
      <c r="O775" s="171"/>
      <c r="P775" s="171"/>
      <c r="Q775" s="171"/>
      <c r="R775" s="171"/>
      <c r="S775" s="171"/>
      <c r="T775" s="173"/>
      <c r="U775" s="174"/>
      <c r="V775" s="175"/>
      <c r="W775" s="175"/>
      <c r="X775" s="175"/>
      <c r="Y775" s="175"/>
      <c r="Z775" s="175"/>
      <c r="AA775" s="175"/>
      <c r="AB775" s="175"/>
      <c r="AC775" s="175"/>
      <c r="AD775" s="175"/>
      <c r="AE775" s="175"/>
      <c r="AF775" s="175"/>
      <c r="AG775" s="175"/>
      <c r="AH775" s="175"/>
      <c r="AI775" s="175"/>
      <c r="AJ775" s="175"/>
      <c r="AK775" s="175"/>
      <c r="AL775" s="175"/>
      <c r="AM775" s="175"/>
      <c r="AN775" s="175"/>
      <c r="AO775" s="176"/>
      <c r="AP775" s="177"/>
      <c r="AQ775" s="175"/>
      <c r="AR775" s="175"/>
      <c r="AS775" s="178"/>
      <c r="AT775" s="179"/>
    </row>
    <row r="776" customFormat="false" ht="12.75" hidden="false" customHeight="true" outlineLevel="0" collapsed="false">
      <c r="B776" s="141"/>
      <c r="C776" s="132"/>
      <c r="D776" s="133"/>
      <c r="E776" s="133"/>
      <c r="F776" s="134"/>
      <c r="G776" s="180"/>
      <c r="H776" s="180"/>
      <c r="I776" s="181"/>
      <c r="J776" s="180"/>
      <c r="K776" s="180"/>
      <c r="L776" s="180"/>
      <c r="M776" s="180"/>
      <c r="N776" s="180"/>
      <c r="O776" s="180"/>
      <c r="P776" s="180"/>
      <c r="Q776" s="180"/>
      <c r="R776" s="180"/>
      <c r="S776" s="180"/>
      <c r="T776" s="182"/>
      <c r="U776" s="183"/>
      <c r="V776" s="184"/>
      <c r="W776" s="184"/>
      <c r="X776" s="184"/>
      <c r="Y776" s="184"/>
      <c r="Z776" s="184"/>
      <c r="AA776" s="184"/>
      <c r="AB776" s="184"/>
      <c r="AC776" s="184"/>
      <c r="AD776" s="184"/>
      <c r="AE776" s="184"/>
      <c r="AF776" s="184"/>
      <c r="AG776" s="184"/>
      <c r="AH776" s="184"/>
      <c r="AI776" s="184"/>
      <c r="AJ776" s="184"/>
      <c r="AK776" s="184"/>
      <c r="AL776" s="184"/>
      <c r="AM776" s="184"/>
      <c r="AN776" s="184"/>
      <c r="AO776" s="185"/>
      <c r="AP776" s="186"/>
      <c r="AQ776" s="184"/>
      <c r="AR776" s="184"/>
      <c r="AS776" s="187"/>
      <c r="AT776" s="188"/>
    </row>
    <row r="777" customFormat="false" ht="12.75" hidden="false" customHeight="true" outlineLevel="0" collapsed="false">
      <c r="B777" s="122"/>
      <c r="C777" s="123"/>
      <c r="D777" s="124"/>
      <c r="E777" s="124"/>
      <c r="F777" s="125"/>
      <c r="G777" s="171"/>
      <c r="H777" s="171"/>
      <c r="I777" s="172"/>
      <c r="J777" s="171"/>
      <c r="K777" s="171"/>
      <c r="L777" s="171"/>
      <c r="M777" s="171"/>
      <c r="N777" s="171"/>
      <c r="O777" s="171"/>
      <c r="P777" s="171"/>
      <c r="Q777" s="171"/>
      <c r="R777" s="171"/>
      <c r="S777" s="171"/>
      <c r="T777" s="173"/>
      <c r="U777" s="174"/>
      <c r="V777" s="175"/>
      <c r="W777" s="175"/>
      <c r="X777" s="175"/>
      <c r="Y777" s="175"/>
      <c r="Z777" s="175"/>
      <c r="AA777" s="175"/>
      <c r="AB777" s="175"/>
      <c r="AC777" s="175"/>
      <c r="AD777" s="175"/>
      <c r="AE777" s="175"/>
      <c r="AF777" s="175"/>
      <c r="AG777" s="175"/>
      <c r="AH777" s="175"/>
      <c r="AI777" s="175"/>
      <c r="AJ777" s="175"/>
      <c r="AK777" s="175"/>
      <c r="AL777" s="175"/>
      <c r="AM777" s="175"/>
      <c r="AN777" s="175"/>
      <c r="AO777" s="176"/>
      <c r="AP777" s="177"/>
      <c r="AQ777" s="175"/>
      <c r="AR777" s="175"/>
      <c r="AS777" s="178"/>
      <c r="AT777" s="179"/>
    </row>
    <row r="778" customFormat="false" ht="12.75" hidden="false" customHeight="true" outlineLevel="0" collapsed="false">
      <c r="B778" s="122"/>
      <c r="C778" s="123"/>
      <c r="D778" s="124"/>
      <c r="E778" s="124"/>
      <c r="F778" s="125"/>
      <c r="G778" s="171"/>
      <c r="H778" s="171"/>
      <c r="I778" s="172"/>
      <c r="J778" s="171"/>
      <c r="K778" s="171"/>
      <c r="L778" s="171"/>
      <c r="M778" s="171"/>
      <c r="N778" s="171"/>
      <c r="O778" s="171"/>
      <c r="P778" s="171"/>
      <c r="Q778" s="171"/>
      <c r="R778" s="171"/>
      <c r="S778" s="171"/>
      <c r="T778" s="173"/>
      <c r="U778" s="174"/>
      <c r="V778" s="175"/>
      <c r="W778" s="175"/>
      <c r="X778" s="175"/>
      <c r="Y778" s="175"/>
      <c r="Z778" s="175"/>
      <c r="AA778" s="175"/>
      <c r="AB778" s="175"/>
      <c r="AC778" s="175"/>
      <c r="AD778" s="175"/>
      <c r="AE778" s="175"/>
      <c r="AF778" s="175"/>
      <c r="AG778" s="175"/>
      <c r="AH778" s="175"/>
      <c r="AI778" s="175"/>
      <c r="AJ778" s="175"/>
      <c r="AK778" s="175"/>
      <c r="AL778" s="175"/>
      <c r="AM778" s="175"/>
      <c r="AN778" s="175"/>
      <c r="AO778" s="176"/>
      <c r="AP778" s="177"/>
      <c r="AQ778" s="175"/>
      <c r="AR778" s="175"/>
      <c r="AS778" s="178"/>
      <c r="AT778" s="179"/>
    </row>
    <row r="779" customFormat="false" ht="12.75" hidden="false" customHeight="true" outlineLevel="0" collapsed="false">
      <c r="B779" s="122"/>
      <c r="C779" s="123"/>
      <c r="D779" s="124"/>
      <c r="E779" s="124"/>
      <c r="F779" s="125"/>
      <c r="G779" s="171"/>
      <c r="H779" s="171"/>
      <c r="I779" s="172"/>
      <c r="J779" s="171"/>
      <c r="K779" s="171"/>
      <c r="L779" s="171"/>
      <c r="M779" s="171"/>
      <c r="N779" s="171"/>
      <c r="O779" s="171"/>
      <c r="P779" s="171"/>
      <c r="Q779" s="171"/>
      <c r="R779" s="171"/>
      <c r="S779" s="171"/>
      <c r="T779" s="173"/>
      <c r="U779" s="174"/>
      <c r="V779" s="175"/>
      <c r="W779" s="175"/>
      <c r="X779" s="175"/>
      <c r="Y779" s="175"/>
      <c r="Z779" s="175"/>
      <c r="AA779" s="175"/>
      <c r="AB779" s="175"/>
      <c r="AC779" s="175"/>
      <c r="AD779" s="175"/>
      <c r="AE779" s="175"/>
      <c r="AF779" s="175"/>
      <c r="AG779" s="175"/>
      <c r="AH779" s="175"/>
      <c r="AI779" s="175"/>
      <c r="AJ779" s="175"/>
      <c r="AK779" s="175"/>
      <c r="AL779" s="175"/>
      <c r="AM779" s="175"/>
      <c r="AN779" s="175"/>
      <c r="AO779" s="176"/>
      <c r="AP779" s="177"/>
      <c r="AQ779" s="175"/>
      <c r="AR779" s="175"/>
      <c r="AS779" s="178"/>
      <c r="AT779" s="179"/>
    </row>
    <row r="780" customFormat="false" ht="12.75" hidden="false" customHeight="true" outlineLevel="0" collapsed="false">
      <c r="B780" s="141"/>
      <c r="C780" s="132"/>
      <c r="D780" s="133"/>
      <c r="E780" s="133"/>
      <c r="F780" s="134"/>
      <c r="G780" s="180"/>
      <c r="H780" s="180"/>
      <c r="I780" s="181"/>
      <c r="J780" s="180"/>
      <c r="K780" s="180"/>
      <c r="L780" s="180"/>
      <c r="M780" s="180"/>
      <c r="N780" s="180"/>
      <c r="O780" s="180"/>
      <c r="P780" s="180"/>
      <c r="Q780" s="180"/>
      <c r="R780" s="180"/>
      <c r="S780" s="180"/>
      <c r="T780" s="182"/>
      <c r="U780" s="183"/>
      <c r="V780" s="184"/>
      <c r="W780" s="184"/>
      <c r="X780" s="184"/>
      <c r="Y780" s="184"/>
      <c r="Z780" s="184"/>
      <c r="AA780" s="184"/>
      <c r="AB780" s="184"/>
      <c r="AC780" s="184"/>
      <c r="AD780" s="184"/>
      <c r="AE780" s="184"/>
      <c r="AF780" s="184"/>
      <c r="AG780" s="184"/>
      <c r="AH780" s="184"/>
      <c r="AI780" s="184"/>
      <c r="AJ780" s="184"/>
      <c r="AK780" s="184"/>
      <c r="AL780" s="184"/>
      <c r="AM780" s="184"/>
      <c r="AN780" s="184"/>
      <c r="AO780" s="185"/>
      <c r="AP780" s="186"/>
      <c r="AQ780" s="184"/>
      <c r="AR780" s="184"/>
      <c r="AS780" s="187"/>
      <c r="AT780" s="188"/>
    </row>
    <row r="781" customFormat="false" ht="12.75" hidden="false" customHeight="true" outlineLevel="0" collapsed="false">
      <c r="B781" s="122"/>
      <c r="C781" s="123"/>
      <c r="D781" s="124"/>
      <c r="E781" s="124"/>
      <c r="F781" s="125"/>
      <c r="G781" s="171"/>
      <c r="H781" s="171"/>
      <c r="I781" s="172"/>
      <c r="J781" s="171"/>
      <c r="K781" s="171"/>
      <c r="L781" s="171"/>
      <c r="M781" s="171"/>
      <c r="N781" s="171"/>
      <c r="O781" s="171"/>
      <c r="P781" s="171"/>
      <c r="Q781" s="171"/>
      <c r="R781" s="171"/>
      <c r="S781" s="171"/>
      <c r="T781" s="173"/>
      <c r="U781" s="174"/>
      <c r="V781" s="175"/>
      <c r="W781" s="175"/>
      <c r="X781" s="175"/>
      <c r="Y781" s="175"/>
      <c r="Z781" s="175"/>
      <c r="AA781" s="175"/>
      <c r="AB781" s="175"/>
      <c r="AC781" s="175"/>
      <c r="AD781" s="175"/>
      <c r="AE781" s="175"/>
      <c r="AF781" s="175"/>
      <c r="AG781" s="175"/>
      <c r="AH781" s="175"/>
      <c r="AI781" s="175"/>
      <c r="AJ781" s="175"/>
      <c r="AK781" s="175"/>
      <c r="AL781" s="175"/>
      <c r="AM781" s="175"/>
      <c r="AN781" s="175"/>
      <c r="AO781" s="176"/>
      <c r="AP781" s="177"/>
      <c r="AQ781" s="175"/>
      <c r="AR781" s="175"/>
      <c r="AS781" s="178"/>
      <c r="AT781" s="179"/>
    </row>
    <row r="782" customFormat="false" ht="12.75" hidden="false" customHeight="true" outlineLevel="0" collapsed="false">
      <c r="B782" s="122"/>
      <c r="C782" s="123"/>
      <c r="D782" s="124"/>
      <c r="E782" s="124"/>
      <c r="F782" s="125"/>
      <c r="G782" s="171"/>
      <c r="H782" s="171"/>
      <c r="I782" s="172"/>
      <c r="J782" s="171"/>
      <c r="K782" s="171"/>
      <c r="L782" s="171"/>
      <c r="M782" s="171"/>
      <c r="N782" s="171"/>
      <c r="O782" s="171"/>
      <c r="P782" s="171"/>
      <c r="Q782" s="171"/>
      <c r="R782" s="171"/>
      <c r="S782" s="171"/>
      <c r="T782" s="173"/>
      <c r="U782" s="174"/>
      <c r="V782" s="175"/>
      <c r="W782" s="175"/>
      <c r="X782" s="175"/>
      <c r="Y782" s="175"/>
      <c r="Z782" s="175"/>
      <c r="AA782" s="175"/>
      <c r="AB782" s="175"/>
      <c r="AC782" s="175"/>
      <c r="AD782" s="175"/>
      <c r="AE782" s="175"/>
      <c r="AF782" s="175"/>
      <c r="AG782" s="175"/>
      <c r="AH782" s="175"/>
      <c r="AI782" s="175"/>
      <c r="AJ782" s="175"/>
      <c r="AK782" s="175"/>
      <c r="AL782" s="175"/>
      <c r="AM782" s="175"/>
      <c r="AN782" s="175"/>
      <c r="AO782" s="176"/>
      <c r="AP782" s="177"/>
      <c r="AQ782" s="175"/>
      <c r="AR782" s="175"/>
      <c r="AS782" s="178"/>
      <c r="AT782" s="179"/>
    </row>
    <row r="783" customFormat="false" ht="12.75" hidden="false" customHeight="true" outlineLevel="0" collapsed="false">
      <c r="B783" s="122"/>
      <c r="C783" s="123"/>
      <c r="D783" s="124"/>
      <c r="E783" s="124"/>
      <c r="F783" s="125"/>
      <c r="G783" s="171"/>
      <c r="H783" s="171"/>
      <c r="I783" s="172"/>
      <c r="J783" s="171"/>
      <c r="K783" s="171"/>
      <c r="L783" s="171"/>
      <c r="M783" s="171"/>
      <c r="N783" s="171"/>
      <c r="O783" s="171"/>
      <c r="P783" s="171"/>
      <c r="Q783" s="171"/>
      <c r="R783" s="171"/>
      <c r="S783" s="171"/>
      <c r="T783" s="173"/>
      <c r="U783" s="174"/>
      <c r="V783" s="175"/>
      <c r="W783" s="175"/>
      <c r="X783" s="175"/>
      <c r="Y783" s="175"/>
      <c r="Z783" s="175"/>
      <c r="AA783" s="175"/>
      <c r="AB783" s="175"/>
      <c r="AC783" s="175"/>
      <c r="AD783" s="175"/>
      <c r="AE783" s="175"/>
      <c r="AF783" s="175"/>
      <c r="AG783" s="175"/>
      <c r="AH783" s="175"/>
      <c r="AI783" s="175"/>
      <c r="AJ783" s="175"/>
      <c r="AK783" s="175"/>
      <c r="AL783" s="175"/>
      <c r="AM783" s="175"/>
      <c r="AN783" s="175"/>
      <c r="AO783" s="176"/>
      <c r="AP783" s="177"/>
      <c r="AQ783" s="175"/>
      <c r="AR783" s="175"/>
      <c r="AS783" s="178"/>
      <c r="AT783" s="179"/>
    </row>
    <row r="784" customFormat="false" ht="12.75" hidden="false" customHeight="true" outlineLevel="0" collapsed="false">
      <c r="B784" s="122"/>
      <c r="C784" s="123"/>
      <c r="D784" s="124"/>
      <c r="E784" s="124"/>
      <c r="F784" s="125"/>
      <c r="G784" s="171"/>
      <c r="H784" s="171"/>
      <c r="I784" s="172"/>
      <c r="J784" s="171"/>
      <c r="K784" s="171"/>
      <c r="L784" s="171"/>
      <c r="M784" s="171"/>
      <c r="N784" s="171"/>
      <c r="O784" s="171"/>
      <c r="P784" s="171"/>
      <c r="Q784" s="171"/>
      <c r="R784" s="171"/>
      <c r="S784" s="171"/>
      <c r="T784" s="173"/>
      <c r="U784" s="174"/>
      <c r="V784" s="175"/>
      <c r="W784" s="175"/>
      <c r="X784" s="175"/>
      <c r="Y784" s="175"/>
      <c r="Z784" s="175"/>
      <c r="AA784" s="175"/>
      <c r="AB784" s="175"/>
      <c r="AC784" s="175"/>
      <c r="AD784" s="175"/>
      <c r="AE784" s="175"/>
      <c r="AF784" s="175"/>
      <c r="AG784" s="175"/>
      <c r="AH784" s="175"/>
      <c r="AI784" s="175"/>
      <c r="AJ784" s="175"/>
      <c r="AK784" s="175"/>
      <c r="AL784" s="175"/>
      <c r="AM784" s="175"/>
      <c r="AN784" s="175"/>
      <c r="AO784" s="176"/>
      <c r="AP784" s="177"/>
      <c r="AQ784" s="175"/>
      <c r="AR784" s="175"/>
      <c r="AS784" s="178"/>
      <c r="AT784" s="179"/>
    </row>
    <row r="785" customFormat="false" ht="12.75" hidden="false" customHeight="true" outlineLevel="0" collapsed="false">
      <c r="B785" s="141"/>
      <c r="C785" s="132"/>
      <c r="D785" s="133"/>
      <c r="E785" s="133"/>
      <c r="F785" s="134"/>
      <c r="G785" s="180"/>
      <c r="H785" s="180"/>
      <c r="I785" s="181"/>
      <c r="J785" s="180"/>
      <c r="K785" s="180"/>
      <c r="L785" s="180"/>
      <c r="M785" s="180"/>
      <c r="N785" s="180"/>
      <c r="O785" s="180"/>
      <c r="P785" s="180"/>
      <c r="Q785" s="180"/>
      <c r="R785" s="180"/>
      <c r="S785" s="180"/>
      <c r="T785" s="182"/>
      <c r="U785" s="183"/>
      <c r="V785" s="184"/>
      <c r="W785" s="184"/>
      <c r="X785" s="184"/>
      <c r="Y785" s="184"/>
      <c r="Z785" s="184"/>
      <c r="AA785" s="184"/>
      <c r="AB785" s="184"/>
      <c r="AC785" s="184"/>
      <c r="AD785" s="184"/>
      <c r="AE785" s="184"/>
      <c r="AF785" s="184"/>
      <c r="AG785" s="184"/>
      <c r="AH785" s="184"/>
      <c r="AI785" s="184"/>
      <c r="AJ785" s="184"/>
      <c r="AK785" s="184"/>
      <c r="AL785" s="184"/>
      <c r="AM785" s="184"/>
      <c r="AN785" s="184"/>
      <c r="AO785" s="185"/>
      <c r="AP785" s="186"/>
      <c r="AQ785" s="184"/>
      <c r="AR785" s="184"/>
      <c r="AS785" s="187"/>
      <c r="AT785" s="188"/>
    </row>
    <row r="786" customFormat="false" ht="12.75" hidden="false" customHeight="true" outlineLevel="0" collapsed="false">
      <c r="B786" s="122"/>
      <c r="C786" s="123"/>
      <c r="D786" s="124"/>
      <c r="E786" s="124"/>
      <c r="F786" s="125"/>
      <c r="G786" s="171"/>
      <c r="H786" s="171"/>
      <c r="I786" s="172"/>
      <c r="J786" s="171"/>
      <c r="K786" s="171"/>
      <c r="L786" s="171"/>
      <c r="M786" s="171"/>
      <c r="N786" s="171"/>
      <c r="O786" s="171"/>
      <c r="P786" s="171"/>
      <c r="Q786" s="171"/>
      <c r="R786" s="171"/>
      <c r="S786" s="171"/>
      <c r="T786" s="173"/>
      <c r="U786" s="174"/>
      <c r="V786" s="175"/>
      <c r="W786" s="175"/>
      <c r="X786" s="175"/>
      <c r="Y786" s="175"/>
      <c r="Z786" s="175"/>
      <c r="AA786" s="175"/>
      <c r="AB786" s="175"/>
      <c r="AC786" s="175"/>
      <c r="AD786" s="175"/>
      <c r="AE786" s="175"/>
      <c r="AF786" s="175"/>
      <c r="AG786" s="175"/>
      <c r="AH786" s="175"/>
      <c r="AI786" s="175"/>
      <c r="AJ786" s="175"/>
      <c r="AK786" s="175"/>
      <c r="AL786" s="175"/>
      <c r="AM786" s="175"/>
      <c r="AN786" s="175"/>
      <c r="AO786" s="176"/>
      <c r="AP786" s="177"/>
      <c r="AQ786" s="175"/>
      <c r="AR786" s="175"/>
      <c r="AS786" s="178"/>
      <c r="AT786" s="179"/>
    </row>
    <row r="787" customFormat="false" ht="12.75" hidden="false" customHeight="true" outlineLevel="0" collapsed="false">
      <c r="B787" s="122"/>
      <c r="C787" s="123"/>
      <c r="D787" s="124"/>
      <c r="E787" s="124"/>
      <c r="F787" s="125"/>
      <c r="G787" s="171"/>
      <c r="H787" s="171"/>
      <c r="I787" s="172"/>
      <c r="J787" s="171"/>
      <c r="K787" s="171"/>
      <c r="L787" s="171"/>
      <c r="M787" s="171"/>
      <c r="N787" s="171"/>
      <c r="O787" s="171"/>
      <c r="P787" s="171"/>
      <c r="Q787" s="171"/>
      <c r="R787" s="171"/>
      <c r="S787" s="171"/>
      <c r="T787" s="173"/>
      <c r="U787" s="174"/>
      <c r="V787" s="175"/>
      <c r="W787" s="175"/>
      <c r="X787" s="175"/>
      <c r="Y787" s="175"/>
      <c r="Z787" s="175"/>
      <c r="AA787" s="175"/>
      <c r="AB787" s="175"/>
      <c r="AC787" s="175"/>
      <c r="AD787" s="175"/>
      <c r="AE787" s="175"/>
      <c r="AF787" s="175"/>
      <c r="AG787" s="175"/>
      <c r="AH787" s="175"/>
      <c r="AI787" s="175"/>
      <c r="AJ787" s="175"/>
      <c r="AK787" s="175"/>
      <c r="AL787" s="175"/>
      <c r="AM787" s="175"/>
      <c r="AN787" s="175"/>
      <c r="AO787" s="176"/>
      <c r="AP787" s="177"/>
      <c r="AQ787" s="175"/>
      <c r="AR787" s="175"/>
      <c r="AS787" s="178"/>
      <c r="AT787" s="179"/>
    </row>
    <row r="788" customFormat="false" ht="12.75" hidden="false" customHeight="true" outlineLevel="0" collapsed="false">
      <c r="B788" s="122"/>
      <c r="C788" s="123"/>
      <c r="D788" s="124"/>
      <c r="E788" s="124"/>
      <c r="F788" s="125"/>
      <c r="G788" s="171"/>
      <c r="H788" s="171"/>
      <c r="I788" s="172"/>
      <c r="J788" s="171"/>
      <c r="K788" s="171"/>
      <c r="L788" s="171"/>
      <c r="M788" s="171"/>
      <c r="N788" s="171"/>
      <c r="O788" s="171"/>
      <c r="P788" s="171"/>
      <c r="Q788" s="171"/>
      <c r="R788" s="171"/>
      <c r="S788" s="171"/>
      <c r="T788" s="173"/>
      <c r="U788" s="174"/>
      <c r="V788" s="175"/>
      <c r="W788" s="175"/>
      <c r="X788" s="175"/>
      <c r="Y788" s="175"/>
      <c r="Z788" s="175"/>
      <c r="AA788" s="175"/>
      <c r="AB788" s="175"/>
      <c r="AC788" s="175"/>
      <c r="AD788" s="175"/>
      <c r="AE788" s="175"/>
      <c r="AF788" s="175"/>
      <c r="AG788" s="175"/>
      <c r="AH788" s="175"/>
      <c r="AI788" s="175"/>
      <c r="AJ788" s="175"/>
      <c r="AK788" s="175"/>
      <c r="AL788" s="175"/>
      <c r="AM788" s="175"/>
      <c r="AN788" s="175"/>
      <c r="AO788" s="176"/>
      <c r="AP788" s="177"/>
      <c r="AQ788" s="175"/>
      <c r="AR788" s="175"/>
      <c r="AS788" s="178"/>
      <c r="AT788" s="179"/>
    </row>
    <row r="789" customFormat="false" ht="12.75" hidden="false" customHeight="true" outlineLevel="0" collapsed="false">
      <c r="B789" s="122"/>
      <c r="C789" s="123"/>
      <c r="D789" s="124"/>
      <c r="E789" s="124"/>
      <c r="F789" s="125"/>
      <c r="G789" s="171"/>
      <c r="H789" s="171"/>
      <c r="I789" s="172"/>
      <c r="J789" s="171"/>
      <c r="K789" s="171"/>
      <c r="L789" s="171"/>
      <c r="M789" s="171"/>
      <c r="N789" s="171"/>
      <c r="O789" s="171"/>
      <c r="P789" s="171"/>
      <c r="Q789" s="171"/>
      <c r="R789" s="171"/>
      <c r="S789" s="171"/>
      <c r="T789" s="173"/>
      <c r="U789" s="174"/>
      <c r="V789" s="175"/>
      <c r="W789" s="175"/>
      <c r="X789" s="175"/>
      <c r="Y789" s="175"/>
      <c r="Z789" s="175"/>
      <c r="AA789" s="175"/>
      <c r="AB789" s="175"/>
      <c r="AC789" s="175"/>
      <c r="AD789" s="175"/>
      <c r="AE789" s="175"/>
      <c r="AF789" s="175"/>
      <c r="AG789" s="175"/>
      <c r="AH789" s="175"/>
      <c r="AI789" s="175"/>
      <c r="AJ789" s="175"/>
      <c r="AK789" s="175"/>
      <c r="AL789" s="175"/>
      <c r="AM789" s="175"/>
      <c r="AN789" s="175"/>
      <c r="AO789" s="176"/>
      <c r="AP789" s="177"/>
      <c r="AQ789" s="175"/>
      <c r="AR789" s="175"/>
      <c r="AS789" s="178"/>
      <c r="AT789" s="179"/>
    </row>
    <row r="790" customFormat="false" ht="12.75" hidden="false" customHeight="true" outlineLevel="0" collapsed="false">
      <c r="B790" s="141"/>
      <c r="C790" s="132"/>
      <c r="D790" s="133"/>
      <c r="E790" s="133"/>
      <c r="F790" s="134"/>
      <c r="G790" s="180"/>
      <c r="H790" s="180"/>
      <c r="I790" s="181"/>
      <c r="J790" s="180"/>
      <c r="K790" s="180"/>
      <c r="L790" s="180"/>
      <c r="M790" s="180"/>
      <c r="N790" s="180"/>
      <c r="O790" s="180"/>
      <c r="P790" s="180"/>
      <c r="Q790" s="180"/>
      <c r="R790" s="180"/>
      <c r="S790" s="180"/>
      <c r="T790" s="182"/>
      <c r="U790" s="183"/>
      <c r="V790" s="184"/>
      <c r="W790" s="184"/>
      <c r="X790" s="184"/>
      <c r="Y790" s="184"/>
      <c r="Z790" s="184"/>
      <c r="AA790" s="184"/>
      <c r="AB790" s="184"/>
      <c r="AC790" s="184"/>
      <c r="AD790" s="184"/>
      <c r="AE790" s="184"/>
      <c r="AF790" s="184"/>
      <c r="AG790" s="184"/>
      <c r="AH790" s="184"/>
      <c r="AI790" s="184"/>
      <c r="AJ790" s="184"/>
      <c r="AK790" s="184"/>
      <c r="AL790" s="184"/>
      <c r="AM790" s="184"/>
      <c r="AN790" s="184"/>
      <c r="AO790" s="185"/>
      <c r="AP790" s="186"/>
      <c r="AQ790" s="184"/>
      <c r="AR790" s="184"/>
      <c r="AS790" s="187"/>
      <c r="AT790" s="188"/>
    </row>
    <row r="791" customFormat="false" ht="12.75" hidden="false" customHeight="true" outlineLevel="0" collapsed="false">
      <c r="B791" s="122"/>
      <c r="C791" s="123"/>
      <c r="D791" s="124"/>
      <c r="E791" s="124"/>
      <c r="F791" s="125"/>
      <c r="G791" s="171"/>
      <c r="H791" s="171"/>
      <c r="I791" s="172"/>
      <c r="J791" s="171"/>
      <c r="K791" s="171"/>
      <c r="L791" s="171"/>
      <c r="M791" s="171"/>
      <c r="N791" s="171"/>
      <c r="O791" s="171"/>
      <c r="P791" s="171"/>
      <c r="Q791" s="171"/>
      <c r="R791" s="171"/>
      <c r="S791" s="171"/>
      <c r="T791" s="173"/>
      <c r="U791" s="174"/>
      <c r="V791" s="175"/>
      <c r="W791" s="175"/>
      <c r="X791" s="175"/>
      <c r="Y791" s="175"/>
      <c r="Z791" s="175"/>
      <c r="AA791" s="175"/>
      <c r="AB791" s="175"/>
      <c r="AC791" s="175"/>
      <c r="AD791" s="175"/>
      <c r="AE791" s="175"/>
      <c r="AF791" s="175"/>
      <c r="AG791" s="175"/>
      <c r="AH791" s="175"/>
      <c r="AI791" s="175"/>
      <c r="AJ791" s="175"/>
      <c r="AK791" s="175"/>
      <c r="AL791" s="175"/>
      <c r="AM791" s="175"/>
      <c r="AN791" s="175"/>
      <c r="AO791" s="176"/>
      <c r="AP791" s="177"/>
      <c r="AQ791" s="175"/>
      <c r="AR791" s="175"/>
      <c r="AS791" s="178"/>
      <c r="AT791" s="179"/>
    </row>
    <row r="792" customFormat="false" ht="12.75" hidden="false" customHeight="true" outlineLevel="0" collapsed="false">
      <c r="B792" s="122"/>
      <c r="C792" s="123"/>
      <c r="D792" s="124"/>
      <c r="E792" s="124"/>
      <c r="F792" s="125"/>
      <c r="G792" s="171"/>
      <c r="H792" s="171"/>
      <c r="I792" s="172"/>
      <c r="J792" s="171"/>
      <c r="K792" s="171"/>
      <c r="L792" s="171"/>
      <c r="M792" s="171"/>
      <c r="N792" s="171"/>
      <c r="O792" s="171"/>
      <c r="P792" s="171"/>
      <c r="Q792" s="171"/>
      <c r="R792" s="171"/>
      <c r="S792" s="171"/>
      <c r="T792" s="173"/>
      <c r="U792" s="174"/>
      <c r="V792" s="175"/>
      <c r="W792" s="175"/>
      <c r="X792" s="175"/>
      <c r="Y792" s="175"/>
      <c r="Z792" s="175"/>
      <c r="AA792" s="175"/>
      <c r="AB792" s="175"/>
      <c r="AC792" s="175"/>
      <c r="AD792" s="175"/>
      <c r="AE792" s="175"/>
      <c r="AF792" s="175"/>
      <c r="AG792" s="175"/>
      <c r="AH792" s="175"/>
      <c r="AI792" s="175"/>
      <c r="AJ792" s="175"/>
      <c r="AK792" s="175"/>
      <c r="AL792" s="175"/>
      <c r="AM792" s="175"/>
      <c r="AN792" s="175"/>
      <c r="AO792" s="176"/>
      <c r="AP792" s="177"/>
      <c r="AQ792" s="175"/>
      <c r="AR792" s="175"/>
      <c r="AS792" s="178"/>
      <c r="AT792" s="179"/>
    </row>
    <row r="793" customFormat="false" ht="12.75" hidden="false" customHeight="true" outlineLevel="0" collapsed="false">
      <c r="B793" s="122"/>
      <c r="C793" s="123"/>
      <c r="D793" s="124"/>
      <c r="E793" s="124"/>
      <c r="F793" s="125"/>
      <c r="G793" s="171"/>
      <c r="H793" s="171"/>
      <c r="I793" s="172"/>
      <c r="J793" s="171"/>
      <c r="K793" s="171"/>
      <c r="L793" s="171"/>
      <c r="M793" s="171"/>
      <c r="N793" s="171"/>
      <c r="O793" s="171"/>
      <c r="P793" s="171"/>
      <c r="Q793" s="171"/>
      <c r="R793" s="171"/>
      <c r="S793" s="171"/>
      <c r="T793" s="173"/>
      <c r="U793" s="174"/>
      <c r="V793" s="175"/>
      <c r="W793" s="175"/>
      <c r="X793" s="175"/>
      <c r="Y793" s="175"/>
      <c r="Z793" s="175"/>
      <c r="AA793" s="175"/>
      <c r="AB793" s="175"/>
      <c r="AC793" s="175"/>
      <c r="AD793" s="175"/>
      <c r="AE793" s="175"/>
      <c r="AF793" s="175"/>
      <c r="AG793" s="175"/>
      <c r="AH793" s="175"/>
      <c r="AI793" s="175"/>
      <c r="AJ793" s="175"/>
      <c r="AK793" s="175"/>
      <c r="AL793" s="175"/>
      <c r="AM793" s="175"/>
      <c r="AN793" s="175"/>
      <c r="AO793" s="176"/>
      <c r="AP793" s="177"/>
      <c r="AQ793" s="175"/>
      <c r="AR793" s="175"/>
      <c r="AS793" s="178"/>
      <c r="AT793" s="179"/>
    </row>
    <row r="794" customFormat="false" ht="12.75" hidden="false" customHeight="true" outlineLevel="0" collapsed="false">
      <c r="B794" s="122"/>
      <c r="C794" s="123"/>
      <c r="D794" s="124"/>
      <c r="E794" s="124"/>
      <c r="F794" s="125"/>
      <c r="G794" s="171"/>
      <c r="H794" s="171"/>
      <c r="I794" s="172"/>
      <c r="J794" s="171"/>
      <c r="K794" s="171"/>
      <c r="L794" s="171"/>
      <c r="M794" s="171"/>
      <c r="N794" s="171"/>
      <c r="O794" s="171"/>
      <c r="P794" s="171"/>
      <c r="Q794" s="171"/>
      <c r="R794" s="171"/>
      <c r="S794" s="171"/>
      <c r="T794" s="173"/>
      <c r="U794" s="174"/>
      <c r="V794" s="175"/>
      <c r="W794" s="175"/>
      <c r="X794" s="175"/>
      <c r="Y794" s="175"/>
      <c r="Z794" s="175"/>
      <c r="AA794" s="175"/>
      <c r="AB794" s="175"/>
      <c r="AC794" s="175"/>
      <c r="AD794" s="175"/>
      <c r="AE794" s="175"/>
      <c r="AF794" s="175"/>
      <c r="AG794" s="175"/>
      <c r="AH794" s="175"/>
      <c r="AI794" s="175"/>
      <c r="AJ794" s="175"/>
      <c r="AK794" s="175"/>
      <c r="AL794" s="175"/>
      <c r="AM794" s="175"/>
      <c r="AN794" s="175"/>
      <c r="AO794" s="176"/>
      <c r="AP794" s="177"/>
      <c r="AQ794" s="175"/>
      <c r="AR794" s="175"/>
      <c r="AS794" s="178"/>
      <c r="AT794" s="179"/>
    </row>
    <row r="795" customFormat="false" ht="12.75" hidden="false" customHeight="true" outlineLevel="0" collapsed="false">
      <c r="B795" s="141"/>
      <c r="C795" s="132"/>
      <c r="D795" s="133"/>
      <c r="E795" s="133"/>
      <c r="F795" s="134"/>
      <c r="G795" s="180"/>
      <c r="H795" s="180"/>
      <c r="I795" s="181"/>
      <c r="J795" s="180"/>
      <c r="K795" s="180"/>
      <c r="L795" s="180"/>
      <c r="M795" s="180"/>
      <c r="N795" s="180"/>
      <c r="O795" s="180"/>
      <c r="P795" s="180"/>
      <c r="Q795" s="180"/>
      <c r="R795" s="180"/>
      <c r="S795" s="180"/>
      <c r="T795" s="182"/>
      <c r="U795" s="183"/>
      <c r="V795" s="184"/>
      <c r="W795" s="184"/>
      <c r="X795" s="184"/>
      <c r="Y795" s="184"/>
      <c r="Z795" s="184"/>
      <c r="AA795" s="184"/>
      <c r="AB795" s="184"/>
      <c r="AC795" s="184"/>
      <c r="AD795" s="184"/>
      <c r="AE795" s="184"/>
      <c r="AF795" s="184"/>
      <c r="AG795" s="184"/>
      <c r="AH795" s="184"/>
      <c r="AI795" s="184"/>
      <c r="AJ795" s="184"/>
      <c r="AK795" s="184"/>
      <c r="AL795" s="184"/>
      <c r="AM795" s="184"/>
      <c r="AN795" s="184"/>
      <c r="AO795" s="185"/>
      <c r="AP795" s="186"/>
      <c r="AQ795" s="184"/>
      <c r="AR795" s="184"/>
      <c r="AS795" s="187"/>
      <c r="AT795" s="188"/>
    </row>
    <row r="796" customFormat="false" ht="12.75" hidden="false" customHeight="true" outlineLevel="0" collapsed="false">
      <c r="B796" s="122"/>
      <c r="C796" s="123"/>
      <c r="D796" s="124"/>
      <c r="E796" s="124"/>
      <c r="F796" s="125"/>
      <c r="G796" s="171"/>
      <c r="H796" s="171"/>
      <c r="I796" s="172"/>
      <c r="J796" s="171"/>
      <c r="K796" s="171"/>
      <c r="L796" s="171"/>
      <c r="M796" s="171"/>
      <c r="N796" s="171"/>
      <c r="O796" s="171"/>
      <c r="P796" s="171"/>
      <c r="Q796" s="171"/>
      <c r="R796" s="171"/>
      <c r="S796" s="171"/>
      <c r="T796" s="173"/>
      <c r="U796" s="174"/>
      <c r="V796" s="175"/>
      <c r="W796" s="175"/>
      <c r="X796" s="175"/>
      <c r="Y796" s="175"/>
      <c r="Z796" s="175"/>
      <c r="AA796" s="175"/>
      <c r="AB796" s="175"/>
      <c r="AC796" s="175"/>
      <c r="AD796" s="175"/>
      <c r="AE796" s="175"/>
      <c r="AF796" s="175"/>
      <c r="AG796" s="175"/>
      <c r="AH796" s="175"/>
      <c r="AI796" s="175"/>
      <c r="AJ796" s="175"/>
      <c r="AK796" s="175"/>
      <c r="AL796" s="175"/>
      <c r="AM796" s="175"/>
      <c r="AN796" s="175"/>
      <c r="AO796" s="176"/>
      <c r="AP796" s="177"/>
      <c r="AQ796" s="175"/>
      <c r="AR796" s="175"/>
      <c r="AS796" s="178"/>
      <c r="AT796" s="179"/>
    </row>
    <row r="797" customFormat="false" ht="12.75" hidden="false" customHeight="true" outlineLevel="0" collapsed="false">
      <c r="B797" s="122"/>
      <c r="C797" s="123"/>
      <c r="D797" s="124"/>
      <c r="E797" s="124"/>
      <c r="F797" s="125"/>
      <c r="G797" s="171"/>
      <c r="H797" s="171"/>
      <c r="I797" s="172"/>
      <c r="J797" s="171"/>
      <c r="K797" s="171"/>
      <c r="L797" s="171"/>
      <c r="M797" s="171"/>
      <c r="N797" s="171"/>
      <c r="O797" s="171"/>
      <c r="P797" s="171"/>
      <c r="Q797" s="171"/>
      <c r="R797" s="171"/>
      <c r="S797" s="171"/>
      <c r="T797" s="173"/>
      <c r="U797" s="174"/>
      <c r="V797" s="175"/>
      <c r="W797" s="175"/>
      <c r="X797" s="175"/>
      <c r="Y797" s="175"/>
      <c r="Z797" s="175"/>
      <c r="AA797" s="175"/>
      <c r="AB797" s="175"/>
      <c r="AC797" s="175"/>
      <c r="AD797" s="175"/>
      <c r="AE797" s="175"/>
      <c r="AF797" s="175"/>
      <c r="AG797" s="175"/>
      <c r="AH797" s="175"/>
      <c r="AI797" s="175"/>
      <c r="AJ797" s="175"/>
      <c r="AK797" s="175"/>
      <c r="AL797" s="175"/>
      <c r="AM797" s="175"/>
      <c r="AN797" s="175"/>
      <c r="AO797" s="176"/>
      <c r="AP797" s="177"/>
      <c r="AQ797" s="175"/>
      <c r="AR797" s="175"/>
      <c r="AS797" s="178"/>
      <c r="AT797" s="179"/>
    </row>
    <row r="798" customFormat="false" ht="12.75" hidden="false" customHeight="true" outlineLevel="0" collapsed="false">
      <c r="B798" s="122"/>
      <c r="C798" s="123"/>
      <c r="D798" s="124"/>
      <c r="E798" s="124"/>
      <c r="F798" s="125"/>
      <c r="G798" s="171"/>
      <c r="H798" s="171"/>
      <c r="I798" s="172"/>
      <c r="J798" s="171"/>
      <c r="K798" s="171"/>
      <c r="L798" s="171"/>
      <c r="M798" s="171"/>
      <c r="N798" s="171"/>
      <c r="O798" s="171"/>
      <c r="P798" s="171"/>
      <c r="Q798" s="171"/>
      <c r="R798" s="171"/>
      <c r="S798" s="171"/>
      <c r="T798" s="173"/>
      <c r="U798" s="174"/>
      <c r="V798" s="175"/>
      <c r="W798" s="175"/>
      <c r="X798" s="175"/>
      <c r="Y798" s="175"/>
      <c r="Z798" s="175"/>
      <c r="AA798" s="175"/>
      <c r="AB798" s="175"/>
      <c r="AC798" s="175"/>
      <c r="AD798" s="175"/>
      <c r="AE798" s="175"/>
      <c r="AF798" s="175"/>
      <c r="AG798" s="175"/>
      <c r="AH798" s="175"/>
      <c r="AI798" s="175"/>
      <c r="AJ798" s="175"/>
      <c r="AK798" s="175"/>
      <c r="AL798" s="175"/>
      <c r="AM798" s="175"/>
      <c r="AN798" s="175"/>
      <c r="AO798" s="176"/>
      <c r="AP798" s="177"/>
      <c r="AQ798" s="175"/>
      <c r="AR798" s="175"/>
      <c r="AS798" s="178"/>
      <c r="AT798" s="179"/>
    </row>
    <row r="799" customFormat="false" ht="12.75" hidden="false" customHeight="true" outlineLevel="0" collapsed="false">
      <c r="B799" s="122"/>
      <c r="C799" s="123"/>
      <c r="D799" s="124"/>
      <c r="E799" s="124"/>
      <c r="F799" s="125"/>
      <c r="G799" s="171"/>
      <c r="H799" s="171"/>
      <c r="I799" s="172"/>
      <c r="J799" s="171"/>
      <c r="K799" s="171"/>
      <c r="L799" s="171"/>
      <c r="M799" s="171"/>
      <c r="N799" s="171"/>
      <c r="O799" s="171"/>
      <c r="P799" s="171"/>
      <c r="Q799" s="171"/>
      <c r="R799" s="171"/>
      <c r="S799" s="171"/>
      <c r="T799" s="173"/>
      <c r="U799" s="174"/>
      <c r="V799" s="175"/>
      <c r="W799" s="175"/>
      <c r="X799" s="175"/>
      <c r="Y799" s="175"/>
      <c r="Z799" s="175"/>
      <c r="AA799" s="175"/>
      <c r="AB799" s="175"/>
      <c r="AC799" s="175"/>
      <c r="AD799" s="175"/>
      <c r="AE799" s="175"/>
      <c r="AF799" s="175"/>
      <c r="AG799" s="175"/>
      <c r="AH799" s="175"/>
      <c r="AI799" s="175"/>
      <c r="AJ799" s="175"/>
      <c r="AK799" s="175"/>
      <c r="AL799" s="175"/>
      <c r="AM799" s="175"/>
      <c r="AN799" s="175"/>
      <c r="AO799" s="176"/>
      <c r="AP799" s="177"/>
      <c r="AQ799" s="175"/>
      <c r="AR799" s="175"/>
      <c r="AS799" s="178"/>
      <c r="AT799" s="179"/>
    </row>
    <row r="800" customFormat="false" ht="12.75" hidden="false" customHeight="true" outlineLevel="0" collapsed="false">
      <c r="B800" s="122"/>
      <c r="C800" s="123"/>
      <c r="D800" s="124"/>
      <c r="E800" s="124"/>
      <c r="F800" s="125"/>
      <c r="G800" s="171"/>
      <c r="H800" s="171"/>
      <c r="I800" s="172"/>
      <c r="J800" s="171"/>
      <c r="K800" s="171"/>
      <c r="L800" s="171"/>
      <c r="M800" s="171"/>
      <c r="N800" s="171"/>
      <c r="O800" s="171"/>
      <c r="P800" s="171"/>
      <c r="Q800" s="171"/>
      <c r="R800" s="171"/>
      <c r="S800" s="171"/>
      <c r="T800" s="173"/>
      <c r="U800" s="174"/>
      <c r="V800" s="175"/>
      <c r="W800" s="175"/>
      <c r="X800" s="175"/>
      <c r="Y800" s="175"/>
      <c r="Z800" s="175"/>
      <c r="AA800" s="175"/>
      <c r="AB800" s="175"/>
      <c r="AC800" s="175"/>
      <c r="AD800" s="175"/>
      <c r="AE800" s="175"/>
      <c r="AF800" s="175"/>
      <c r="AG800" s="175"/>
      <c r="AH800" s="175"/>
      <c r="AI800" s="175"/>
      <c r="AJ800" s="175"/>
      <c r="AK800" s="175"/>
      <c r="AL800" s="175"/>
      <c r="AM800" s="175"/>
      <c r="AN800" s="175"/>
      <c r="AO800" s="176"/>
      <c r="AP800" s="177"/>
      <c r="AQ800" s="175"/>
      <c r="AR800" s="175"/>
      <c r="AS800" s="178"/>
      <c r="AT800" s="179"/>
    </row>
    <row r="801" customFormat="false" ht="12.75" hidden="false" customHeight="true" outlineLevel="0" collapsed="false">
      <c r="B801" s="122"/>
      <c r="C801" s="123"/>
      <c r="D801" s="124"/>
      <c r="E801" s="124"/>
      <c r="F801" s="125"/>
      <c r="G801" s="171"/>
      <c r="H801" s="171"/>
      <c r="I801" s="172"/>
      <c r="J801" s="171"/>
      <c r="K801" s="171"/>
      <c r="L801" s="171"/>
      <c r="M801" s="171"/>
      <c r="N801" s="171"/>
      <c r="O801" s="171"/>
      <c r="P801" s="171"/>
      <c r="Q801" s="171"/>
      <c r="R801" s="171"/>
      <c r="S801" s="171"/>
      <c r="T801" s="173"/>
      <c r="U801" s="174"/>
      <c r="V801" s="175"/>
      <c r="W801" s="175"/>
      <c r="X801" s="175"/>
      <c r="Y801" s="175"/>
      <c r="Z801" s="175"/>
      <c r="AA801" s="175"/>
      <c r="AB801" s="175"/>
      <c r="AC801" s="175"/>
      <c r="AD801" s="175"/>
      <c r="AE801" s="175"/>
      <c r="AF801" s="175"/>
      <c r="AG801" s="175"/>
      <c r="AH801" s="175"/>
      <c r="AI801" s="175"/>
      <c r="AJ801" s="175"/>
      <c r="AK801" s="175"/>
      <c r="AL801" s="175"/>
      <c r="AM801" s="175"/>
      <c r="AN801" s="175"/>
      <c r="AO801" s="176"/>
      <c r="AP801" s="177"/>
      <c r="AQ801" s="175"/>
      <c r="AR801" s="175"/>
      <c r="AS801" s="178"/>
      <c r="AT801" s="179"/>
    </row>
    <row r="802" customFormat="false" ht="12.75" hidden="false" customHeight="true" outlineLevel="0" collapsed="false">
      <c r="B802" s="122"/>
      <c r="C802" s="123"/>
      <c r="D802" s="124"/>
      <c r="E802" s="124"/>
      <c r="F802" s="125"/>
      <c r="G802" s="171"/>
      <c r="H802" s="171"/>
      <c r="I802" s="172"/>
      <c r="J802" s="171"/>
      <c r="K802" s="171"/>
      <c r="L802" s="171"/>
      <c r="M802" s="171"/>
      <c r="N802" s="171"/>
      <c r="O802" s="171"/>
      <c r="P802" s="171"/>
      <c r="Q802" s="171"/>
      <c r="R802" s="171"/>
      <c r="S802" s="171"/>
      <c r="T802" s="173"/>
      <c r="U802" s="174"/>
      <c r="V802" s="175"/>
      <c r="W802" s="175"/>
      <c r="X802" s="175"/>
      <c r="Y802" s="175"/>
      <c r="Z802" s="175"/>
      <c r="AA802" s="175"/>
      <c r="AB802" s="175"/>
      <c r="AC802" s="175"/>
      <c r="AD802" s="175"/>
      <c r="AE802" s="175"/>
      <c r="AF802" s="175"/>
      <c r="AG802" s="175"/>
      <c r="AH802" s="175"/>
      <c r="AI802" s="175"/>
      <c r="AJ802" s="175"/>
      <c r="AK802" s="175"/>
      <c r="AL802" s="175"/>
      <c r="AM802" s="175"/>
      <c r="AN802" s="175"/>
      <c r="AO802" s="176"/>
      <c r="AP802" s="177"/>
      <c r="AQ802" s="175"/>
      <c r="AR802" s="175"/>
      <c r="AS802" s="178"/>
      <c r="AT802" s="179"/>
    </row>
    <row r="803" customFormat="false" ht="12.75" hidden="false" customHeight="true" outlineLevel="0" collapsed="false">
      <c r="B803" s="122"/>
      <c r="C803" s="123"/>
      <c r="D803" s="124"/>
      <c r="E803" s="124"/>
      <c r="F803" s="125"/>
      <c r="G803" s="171"/>
      <c r="H803" s="171"/>
      <c r="I803" s="172"/>
      <c r="J803" s="171"/>
      <c r="K803" s="171"/>
      <c r="L803" s="171"/>
      <c r="M803" s="171"/>
      <c r="N803" s="171"/>
      <c r="O803" s="171"/>
      <c r="P803" s="171"/>
      <c r="Q803" s="171"/>
      <c r="R803" s="171"/>
      <c r="S803" s="171"/>
      <c r="T803" s="173"/>
      <c r="U803" s="174"/>
      <c r="V803" s="175"/>
      <c r="W803" s="175"/>
      <c r="X803" s="175"/>
      <c r="Y803" s="175"/>
      <c r="Z803" s="175"/>
      <c r="AA803" s="175"/>
      <c r="AB803" s="175"/>
      <c r="AC803" s="175"/>
      <c r="AD803" s="175"/>
      <c r="AE803" s="175"/>
      <c r="AF803" s="175"/>
      <c r="AG803" s="175"/>
      <c r="AH803" s="175"/>
      <c r="AI803" s="175"/>
      <c r="AJ803" s="175"/>
      <c r="AK803" s="175"/>
      <c r="AL803" s="175"/>
      <c r="AM803" s="175"/>
      <c r="AN803" s="175"/>
      <c r="AO803" s="176"/>
      <c r="AP803" s="177"/>
      <c r="AQ803" s="175"/>
      <c r="AR803" s="175"/>
      <c r="AS803" s="178"/>
      <c r="AT803" s="179"/>
    </row>
    <row r="804" customFormat="false" ht="12.75" hidden="false" customHeight="true" outlineLevel="0" collapsed="false">
      <c r="B804" s="122"/>
      <c r="C804" s="123"/>
      <c r="D804" s="124"/>
      <c r="E804" s="124"/>
      <c r="F804" s="125"/>
      <c r="G804" s="171"/>
      <c r="H804" s="171"/>
      <c r="I804" s="172"/>
      <c r="J804" s="171"/>
      <c r="K804" s="171"/>
      <c r="L804" s="171"/>
      <c r="M804" s="171"/>
      <c r="N804" s="171"/>
      <c r="O804" s="171"/>
      <c r="P804" s="171"/>
      <c r="Q804" s="171"/>
      <c r="R804" s="171"/>
      <c r="S804" s="171"/>
      <c r="T804" s="173"/>
      <c r="U804" s="174"/>
      <c r="V804" s="175"/>
      <c r="W804" s="175"/>
      <c r="X804" s="175"/>
      <c r="Y804" s="175"/>
      <c r="Z804" s="175"/>
      <c r="AA804" s="175"/>
      <c r="AB804" s="175"/>
      <c r="AC804" s="175"/>
      <c r="AD804" s="175"/>
      <c r="AE804" s="175"/>
      <c r="AF804" s="175"/>
      <c r="AG804" s="175"/>
      <c r="AH804" s="175"/>
      <c r="AI804" s="175"/>
      <c r="AJ804" s="175"/>
      <c r="AK804" s="175"/>
      <c r="AL804" s="175"/>
      <c r="AM804" s="175"/>
      <c r="AN804" s="175"/>
      <c r="AO804" s="176"/>
      <c r="AP804" s="177"/>
      <c r="AQ804" s="175"/>
      <c r="AR804" s="175"/>
      <c r="AS804" s="178"/>
      <c r="AT804" s="179"/>
    </row>
    <row r="805" customFormat="false" ht="12.75" hidden="false" customHeight="true" outlineLevel="0" collapsed="false">
      <c r="B805" s="122"/>
      <c r="C805" s="123"/>
      <c r="D805" s="124"/>
      <c r="E805" s="124"/>
      <c r="F805" s="125"/>
      <c r="G805" s="171"/>
      <c r="H805" s="171"/>
      <c r="I805" s="172"/>
      <c r="J805" s="171"/>
      <c r="K805" s="171"/>
      <c r="L805" s="171"/>
      <c r="M805" s="171"/>
      <c r="N805" s="171"/>
      <c r="O805" s="171"/>
      <c r="P805" s="171"/>
      <c r="Q805" s="171"/>
      <c r="R805" s="171"/>
      <c r="S805" s="171"/>
      <c r="T805" s="173"/>
      <c r="U805" s="174"/>
      <c r="V805" s="175"/>
      <c r="W805" s="175"/>
      <c r="X805" s="175"/>
      <c r="Y805" s="175"/>
      <c r="Z805" s="175"/>
      <c r="AA805" s="175"/>
      <c r="AB805" s="175"/>
      <c r="AC805" s="175"/>
      <c r="AD805" s="175"/>
      <c r="AE805" s="175"/>
      <c r="AF805" s="175"/>
      <c r="AG805" s="175"/>
      <c r="AH805" s="175"/>
      <c r="AI805" s="175"/>
      <c r="AJ805" s="175"/>
      <c r="AK805" s="175"/>
      <c r="AL805" s="175"/>
      <c r="AM805" s="175"/>
      <c r="AN805" s="175"/>
      <c r="AO805" s="176"/>
      <c r="AP805" s="177"/>
      <c r="AQ805" s="175"/>
      <c r="AR805" s="175"/>
      <c r="AS805" s="178"/>
      <c r="AT805" s="179"/>
    </row>
    <row r="806" customFormat="false" ht="12.75" hidden="false" customHeight="true" outlineLevel="0" collapsed="false">
      <c r="B806" s="141"/>
      <c r="C806" s="132"/>
      <c r="D806" s="133"/>
      <c r="E806" s="133"/>
      <c r="F806" s="134"/>
      <c r="G806" s="180"/>
      <c r="H806" s="180"/>
      <c r="I806" s="181"/>
      <c r="J806" s="180"/>
      <c r="K806" s="180"/>
      <c r="L806" s="180"/>
      <c r="M806" s="180"/>
      <c r="N806" s="180"/>
      <c r="O806" s="180"/>
      <c r="P806" s="180"/>
      <c r="Q806" s="180"/>
      <c r="R806" s="180"/>
      <c r="S806" s="180"/>
      <c r="T806" s="182"/>
      <c r="U806" s="183"/>
      <c r="V806" s="184"/>
      <c r="W806" s="184"/>
      <c r="X806" s="184"/>
      <c r="Y806" s="184"/>
      <c r="Z806" s="184"/>
      <c r="AA806" s="184"/>
      <c r="AB806" s="184"/>
      <c r="AC806" s="184"/>
      <c r="AD806" s="184"/>
      <c r="AE806" s="184"/>
      <c r="AF806" s="184"/>
      <c r="AG806" s="184"/>
      <c r="AH806" s="184"/>
      <c r="AI806" s="184"/>
      <c r="AJ806" s="184"/>
      <c r="AK806" s="184"/>
      <c r="AL806" s="184"/>
      <c r="AM806" s="184"/>
      <c r="AN806" s="184"/>
      <c r="AO806" s="185"/>
      <c r="AP806" s="186"/>
      <c r="AQ806" s="184"/>
      <c r="AR806" s="184"/>
      <c r="AS806" s="187"/>
      <c r="AT806" s="188"/>
    </row>
    <row r="807" customFormat="false" ht="12.75" hidden="false" customHeight="true" outlineLevel="0" collapsed="false">
      <c r="B807" s="122"/>
      <c r="C807" s="123"/>
      <c r="D807" s="124"/>
      <c r="E807" s="124"/>
      <c r="F807" s="125"/>
      <c r="G807" s="171"/>
      <c r="H807" s="171"/>
      <c r="I807" s="172"/>
      <c r="J807" s="171"/>
      <c r="K807" s="171"/>
      <c r="L807" s="171"/>
      <c r="M807" s="171"/>
      <c r="N807" s="171"/>
      <c r="O807" s="171"/>
      <c r="P807" s="171"/>
      <c r="Q807" s="171"/>
      <c r="R807" s="171"/>
      <c r="S807" s="171"/>
      <c r="T807" s="173"/>
      <c r="U807" s="174"/>
      <c r="V807" s="175"/>
      <c r="W807" s="175"/>
      <c r="X807" s="175"/>
      <c r="Y807" s="175"/>
      <c r="Z807" s="175"/>
      <c r="AA807" s="175"/>
      <c r="AB807" s="175"/>
      <c r="AC807" s="175"/>
      <c r="AD807" s="175"/>
      <c r="AE807" s="175"/>
      <c r="AF807" s="175"/>
      <c r="AG807" s="175"/>
      <c r="AH807" s="175"/>
      <c r="AI807" s="175"/>
      <c r="AJ807" s="175"/>
      <c r="AK807" s="175"/>
      <c r="AL807" s="175"/>
      <c r="AM807" s="175"/>
      <c r="AN807" s="175"/>
      <c r="AO807" s="176"/>
      <c r="AP807" s="177"/>
      <c r="AQ807" s="175"/>
      <c r="AR807" s="175"/>
      <c r="AS807" s="178"/>
      <c r="AT807" s="179"/>
    </row>
    <row r="808" customFormat="false" ht="12.75" hidden="false" customHeight="true" outlineLevel="0" collapsed="false">
      <c r="B808" s="122"/>
      <c r="C808" s="123"/>
      <c r="D808" s="124"/>
      <c r="E808" s="124"/>
      <c r="F808" s="125"/>
      <c r="G808" s="171"/>
      <c r="H808" s="171"/>
      <c r="I808" s="172"/>
      <c r="J808" s="171"/>
      <c r="K808" s="171"/>
      <c r="L808" s="171"/>
      <c r="M808" s="171"/>
      <c r="N808" s="171"/>
      <c r="O808" s="171"/>
      <c r="P808" s="171"/>
      <c r="Q808" s="171"/>
      <c r="R808" s="171"/>
      <c r="S808" s="171"/>
      <c r="T808" s="173"/>
      <c r="U808" s="174"/>
      <c r="V808" s="175"/>
      <c r="W808" s="175"/>
      <c r="X808" s="175"/>
      <c r="Y808" s="175"/>
      <c r="Z808" s="175"/>
      <c r="AA808" s="175"/>
      <c r="AB808" s="175"/>
      <c r="AC808" s="175"/>
      <c r="AD808" s="175"/>
      <c r="AE808" s="175"/>
      <c r="AF808" s="175"/>
      <c r="AG808" s="175"/>
      <c r="AH808" s="175"/>
      <c r="AI808" s="175"/>
      <c r="AJ808" s="175"/>
      <c r="AK808" s="175"/>
      <c r="AL808" s="175"/>
      <c r="AM808" s="175"/>
      <c r="AN808" s="175"/>
      <c r="AO808" s="176"/>
      <c r="AP808" s="177"/>
      <c r="AQ808" s="175"/>
      <c r="AR808" s="175"/>
      <c r="AS808" s="178"/>
      <c r="AT808" s="179"/>
    </row>
    <row r="809" customFormat="false" ht="12.75" hidden="false" customHeight="true" outlineLevel="0" collapsed="false">
      <c r="B809" s="122"/>
      <c r="C809" s="123"/>
      <c r="D809" s="124"/>
      <c r="E809" s="124"/>
      <c r="F809" s="125"/>
      <c r="G809" s="171"/>
      <c r="H809" s="171"/>
      <c r="I809" s="172"/>
      <c r="J809" s="171"/>
      <c r="K809" s="171"/>
      <c r="L809" s="171"/>
      <c r="M809" s="171"/>
      <c r="N809" s="171"/>
      <c r="O809" s="171"/>
      <c r="P809" s="171"/>
      <c r="Q809" s="171"/>
      <c r="R809" s="171"/>
      <c r="S809" s="171"/>
      <c r="T809" s="173"/>
      <c r="U809" s="174"/>
      <c r="V809" s="175"/>
      <c r="W809" s="175"/>
      <c r="X809" s="175"/>
      <c r="Y809" s="175"/>
      <c r="Z809" s="175"/>
      <c r="AA809" s="175"/>
      <c r="AB809" s="175"/>
      <c r="AC809" s="175"/>
      <c r="AD809" s="175"/>
      <c r="AE809" s="175"/>
      <c r="AF809" s="175"/>
      <c r="AG809" s="175"/>
      <c r="AH809" s="175"/>
      <c r="AI809" s="175"/>
      <c r="AJ809" s="175"/>
      <c r="AK809" s="175"/>
      <c r="AL809" s="175"/>
      <c r="AM809" s="175"/>
      <c r="AN809" s="175"/>
      <c r="AO809" s="176"/>
      <c r="AP809" s="177"/>
      <c r="AQ809" s="175"/>
      <c r="AR809" s="175"/>
      <c r="AS809" s="178"/>
      <c r="AT809" s="179"/>
    </row>
    <row r="810" customFormat="false" ht="12.75" hidden="false" customHeight="true" outlineLevel="0" collapsed="false">
      <c r="B810" s="122"/>
      <c r="C810" s="123"/>
      <c r="D810" s="124"/>
      <c r="E810" s="124"/>
      <c r="F810" s="125"/>
      <c r="G810" s="171"/>
      <c r="H810" s="171"/>
      <c r="I810" s="172"/>
      <c r="J810" s="171"/>
      <c r="K810" s="171"/>
      <c r="L810" s="171"/>
      <c r="M810" s="171"/>
      <c r="N810" s="171"/>
      <c r="O810" s="171"/>
      <c r="P810" s="171"/>
      <c r="Q810" s="171"/>
      <c r="R810" s="171"/>
      <c r="S810" s="171"/>
      <c r="T810" s="173"/>
      <c r="U810" s="174"/>
      <c r="V810" s="175"/>
      <c r="W810" s="175"/>
      <c r="X810" s="175"/>
      <c r="Y810" s="175"/>
      <c r="Z810" s="175"/>
      <c r="AA810" s="175"/>
      <c r="AB810" s="175"/>
      <c r="AC810" s="175"/>
      <c r="AD810" s="175"/>
      <c r="AE810" s="175"/>
      <c r="AF810" s="175"/>
      <c r="AG810" s="175"/>
      <c r="AH810" s="175"/>
      <c r="AI810" s="175"/>
      <c r="AJ810" s="175"/>
      <c r="AK810" s="175"/>
      <c r="AL810" s="175"/>
      <c r="AM810" s="175"/>
      <c r="AN810" s="175"/>
      <c r="AO810" s="176"/>
      <c r="AP810" s="177"/>
      <c r="AQ810" s="175"/>
      <c r="AR810" s="175"/>
      <c r="AS810" s="178"/>
      <c r="AT810" s="179"/>
    </row>
    <row r="811" customFormat="false" ht="12.75" hidden="false" customHeight="true" outlineLevel="0" collapsed="false">
      <c r="B811" s="122"/>
      <c r="C811" s="123"/>
      <c r="D811" s="124"/>
      <c r="E811" s="124"/>
      <c r="F811" s="125"/>
      <c r="G811" s="171"/>
      <c r="H811" s="171"/>
      <c r="I811" s="172"/>
      <c r="J811" s="171"/>
      <c r="K811" s="171"/>
      <c r="L811" s="171"/>
      <c r="M811" s="171"/>
      <c r="N811" s="171"/>
      <c r="O811" s="171"/>
      <c r="P811" s="171"/>
      <c r="Q811" s="171"/>
      <c r="R811" s="171"/>
      <c r="S811" s="171"/>
      <c r="T811" s="173"/>
      <c r="U811" s="174"/>
      <c r="V811" s="175"/>
      <c r="W811" s="175"/>
      <c r="X811" s="175"/>
      <c r="Y811" s="175"/>
      <c r="Z811" s="175"/>
      <c r="AA811" s="175"/>
      <c r="AB811" s="175"/>
      <c r="AC811" s="175"/>
      <c r="AD811" s="175"/>
      <c r="AE811" s="175"/>
      <c r="AF811" s="175"/>
      <c r="AG811" s="175"/>
      <c r="AH811" s="175"/>
      <c r="AI811" s="175"/>
      <c r="AJ811" s="175"/>
      <c r="AK811" s="175"/>
      <c r="AL811" s="175"/>
      <c r="AM811" s="175"/>
      <c r="AN811" s="175"/>
      <c r="AO811" s="176"/>
      <c r="AP811" s="177"/>
      <c r="AQ811" s="175"/>
      <c r="AR811" s="175"/>
      <c r="AS811" s="178"/>
      <c r="AT811" s="179"/>
    </row>
    <row r="812" customFormat="false" ht="12.75" hidden="false" customHeight="true" outlineLevel="0" collapsed="false">
      <c r="B812" s="122"/>
      <c r="C812" s="123"/>
      <c r="D812" s="124"/>
      <c r="E812" s="124"/>
      <c r="F812" s="125"/>
      <c r="G812" s="171"/>
      <c r="H812" s="171"/>
      <c r="I812" s="172"/>
      <c r="J812" s="171"/>
      <c r="K812" s="171"/>
      <c r="L812" s="171"/>
      <c r="M812" s="171"/>
      <c r="N812" s="171"/>
      <c r="O812" s="171"/>
      <c r="P812" s="171"/>
      <c r="Q812" s="171"/>
      <c r="R812" s="171"/>
      <c r="S812" s="171"/>
      <c r="T812" s="173"/>
      <c r="U812" s="174"/>
      <c r="V812" s="175"/>
      <c r="W812" s="175"/>
      <c r="X812" s="175"/>
      <c r="Y812" s="175"/>
      <c r="Z812" s="175"/>
      <c r="AA812" s="175"/>
      <c r="AB812" s="175"/>
      <c r="AC812" s="175"/>
      <c r="AD812" s="175"/>
      <c r="AE812" s="175"/>
      <c r="AF812" s="175"/>
      <c r="AG812" s="175"/>
      <c r="AH812" s="175"/>
      <c r="AI812" s="175"/>
      <c r="AJ812" s="175"/>
      <c r="AK812" s="175"/>
      <c r="AL812" s="175"/>
      <c r="AM812" s="175"/>
      <c r="AN812" s="175"/>
      <c r="AO812" s="176"/>
      <c r="AP812" s="177"/>
      <c r="AQ812" s="175"/>
      <c r="AR812" s="175"/>
      <c r="AS812" s="178"/>
      <c r="AT812" s="179"/>
    </row>
    <row r="813" customFormat="false" ht="12.75" hidden="false" customHeight="true" outlineLevel="0" collapsed="false">
      <c r="B813" s="122"/>
      <c r="C813" s="123"/>
      <c r="D813" s="124"/>
      <c r="E813" s="124"/>
      <c r="F813" s="125"/>
      <c r="G813" s="171"/>
      <c r="H813" s="171"/>
      <c r="I813" s="172"/>
      <c r="J813" s="171"/>
      <c r="K813" s="171"/>
      <c r="L813" s="171"/>
      <c r="M813" s="171"/>
      <c r="N813" s="171"/>
      <c r="O813" s="171"/>
      <c r="P813" s="171"/>
      <c r="Q813" s="171"/>
      <c r="R813" s="171"/>
      <c r="S813" s="171"/>
      <c r="T813" s="173"/>
      <c r="U813" s="174"/>
      <c r="V813" s="175"/>
      <c r="W813" s="175"/>
      <c r="X813" s="175"/>
      <c r="Y813" s="175"/>
      <c r="Z813" s="175"/>
      <c r="AA813" s="175"/>
      <c r="AB813" s="175"/>
      <c r="AC813" s="175"/>
      <c r="AD813" s="175"/>
      <c r="AE813" s="175"/>
      <c r="AF813" s="175"/>
      <c r="AG813" s="175"/>
      <c r="AH813" s="175"/>
      <c r="AI813" s="175"/>
      <c r="AJ813" s="175"/>
      <c r="AK813" s="175"/>
      <c r="AL813" s="175"/>
      <c r="AM813" s="175"/>
      <c r="AN813" s="175"/>
      <c r="AO813" s="176"/>
      <c r="AP813" s="177"/>
      <c r="AQ813" s="175"/>
      <c r="AR813" s="175"/>
      <c r="AS813" s="178"/>
      <c r="AT813" s="179"/>
    </row>
    <row r="814" customFormat="false" ht="12.75" hidden="false" customHeight="true" outlineLevel="0" collapsed="false">
      <c r="B814" s="122"/>
      <c r="C814" s="123"/>
      <c r="D814" s="124"/>
      <c r="E814" s="124"/>
      <c r="F814" s="125"/>
      <c r="G814" s="171"/>
      <c r="H814" s="171"/>
      <c r="I814" s="172"/>
      <c r="J814" s="171"/>
      <c r="K814" s="171"/>
      <c r="L814" s="171"/>
      <c r="M814" s="171"/>
      <c r="N814" s="171"/>
      <c r="O814" s="171"/>
      <c r="P814" s="171"/>
      <c r="Q814" s="171"/>
      <c r="R814" s="171"/>
      <c r="S814" s="171"/>
      <c r="T814" s="173"/>
      <c r="U814" s="174"/>
      <c r="V814" s="175"/>
      <c r="W814" s="175"/>
      <c r="X814" s="175"/>
      <c r="Y814" s="175"/>
      <c r="Z814" s="175"/>
      <c r="AA814" s="175"/>
      <c r="AB814" s="175"/>
      <c r="AC814" s="175"/>
      <c r="AD814" s="175"/>
      <c r="AE814" s="175"/>
      <c r="AF814" s="175"/>
      <c r="AG814" s="175"/>
      <c r="AH814" s="175"/>
      <c r="AI814" s="175"/>
      <c r="AJ814" s="175"/>
      <c r="AK814" s="175"/>
      <c r="AL814" s="175"/>
      <c r="AM814" s="175"/>
      <c r="AN814" s="175"/>
      <c r="AO814" s="176"/>
      <c r="AP814" s="177"/>
      <c r="AQ814" s="175"/>
      <c r="AR814" s="175"/>
      <c r="AS814" s="178"/>
      <c r="AT814" s="179"/>
    </row>
    <row r="815" customFormat="false" ht="12.75" hidden="false" customHeight="true" outlineLevel="0" collapsed="false">
      <c r="B815" s="141"/>
      <c r="C815" s="132"/>
      <c r="D815" s="133"/>
      <c r="E815" s="133"/>
      <c r="F815" s="134"/>
      <c r="G815" s="180"/>
      <c r="H815" s="180"/>
      <c r="I815" s="181"/>
      <c r="J815" s="180"/>
      <c r="K815" s="180"/>
      <c r="L815" s="180"/>
      <c r="M815" s="180"/>
      <c r="N815" s="180"/>
      <c r="O815" s="180"/>
      <c r="P815" s="180"/>
      <c r="Q815" s="180"/>
      <c r="R815" s="180"/>
      <c r="S815" s="180"/>
      <c r="T815" s="182"/>
      <c r="U815" s="183"/>
      <c r="V815" s="184"/>
      <c r="W815" s="184"/>
      <c r="X815" s="184"/>
      <c r="Y815" s="184"/>
      <c r="Z815" s="184"/>
      <c r="AA815" s="184"/>
      <c r="AB815" s="184"/>
      <c r="AC815" s="184"/>
      <c r="AD815" s="184"/>
      <c r="AE815" s="184"/>
      <c r="AF815" s="184"/>
      <c r="AG815" s="184"/>
      <c r="AH815" s="184"/>
      <c r="AI815" s="184"/>
      <c r="AJ815" s="184"/>
      <c r="AK815" s="184"/>
      <c r="AL815" s="184"/>
      <c r="AM815" s="184"/>
      <c r="AN815" s="184"/>
      <c r="AO815" s="185"/>
      <c r="AP815" s="186"/>
      <c r="AQ815" s="184"/>
      <c r="AR815" s="184"/>
      <c r="AS815" s="187"/>
      <c r="AT815" s="188"/>
    </row>
    <row r="816" customFormat="false" ht="12.75" hidden="false" customHeight="true" outlineLevel="0" collapsed="false">
      <c r="B816" s="141"/>
      <c r="C816" s="132"/>
      <c r="D816" s="133"/>
      <c r="E816" s="133"/>
      <c r="F816" s="134"/>
      <c r="G816" s="180"/>
      <c r="H816" s="180"/>
      <c r="I816" s="181"/>
      <c r="J816" s="180"/>
      <c r="K816" s="180"/>
      <c r="L816" s="180"/>
      <c r="M816" s="180"/>
      <c r="N816" s="180"/>
      <c r="O816" s="180"/>
      <c r="P816" s="180"/>
      <c r="Q816" s="180"/>
      <c r="R816" s="180"/>
      <c r="S816" s="180"/>
      <c r="T816" s="182"/>
      <c r="U816" s="183"/>
      <c r="V816" s="184"/>
      <c r="W816" s="184"/>
      <c r="X816" s="184"/>
      <c r="Y816" s="184"/>
      <c r="Z816" s="184"/>
      <c r="AA816" s="184"/>
      <c r="AB816" s="184"/>
      <c r="AC816" s="184"/>
      <c r="AD816" s="184"/>
      <c r="AE816" s="184"/>
      <c r="AF816" s="184"/>
      <c r="AG816" s="184"/>
      <c r="AH816" s="184"/>
      <c r="AI816" s="184"/>
      <c r="AJ816" s="184"/>
      <c r="AK816" s="184"/>
      <c r="AL816" s="184"/>
      <c r="AM816" s="184"/>
      <c r="AN816" s="184"/>
      <c r="AO816" s="185"/>
      <c r="AP816" s="186"/>
      <c r="AQ816" s="184"/>
      <c r="AR816" s="184"/>
      <c r="AS816" s="187"/>
      <c r="AT816" s="188"/>
    </row>
    <row r="817" customFormat="false" ht="12.75" hidden="false" customHeight="true" outlineLevel="0" collapsed="false">
      <c r="B817" s="122"/>
      <c r="C817" s="123"/>
      <c r="D817" s="124"/>
      <c r="E817" s="124"/>
      <c r="F817" s="125"/>
      <c r="G817" s="171"/>
      <c r="H817" s="171"/>
      <c r="I817" s="172"/>
      <c r="J817" s="171"/>
      <c r="K817" s="171"/>
      <c r="L817" s="171"/>
      <c r="M817" s="171"/>
      <c r="N817" s="171"/>
      <c r="O817" s="171"/>
      <c r="P817" s="171"/>
      <c r="Q817" s="171"/>
      <c r="R817" s="171"/>
      <c r="S817" s="171"/>
      <c r="T817" s="173"/>
      <c r="U817" s="174"/>
      <c r="V817" s="175"/>
      <c r="W817" s="175"/>
      <c r="X817" s="175"/>
      <c r="Y817" s="175"/>
      <c r="Z817" s="175"/>
      <c r="AA817" s="175"/>
      <c r="AB817" s="175"/>
      <c r="AC817" s="175"/>
      <c r="AD817" s="175"/>
      <c r="AE817" s="175"/>
      <c r="AF817" s="175"/>
      <c r="AG817" s="175"/>
      <c r="AH817" s="175"/>
      <c r="AI817" s="175"/>
      <c r="AJ817" s="175"/>
      <c r="AK817" s="175"/>
      <c r="AL817" s="175"/>
      <c r="AM817" s="175"/>
      <c r="AN817" s="175"/>
      <c r="AO817" s="176"/>
      <c r="AP817" s="177"/>
      <c r="AQ817" s="175"/>
      <c r="AR817" s="175"/>
      <c r="AS817" s="178"/>
      <c r="AT817" s="179"/>
    </row>
    <row r="818" customFormat="false" ht="12.75" hidden="false" customHeight="true" outlineLevel="0" collapsed="false">
      <c r="B818" s="122"/>
      <c r="C818" s="123"/>
      <c r="D818" s="124"/>
      <c r="E818" s="124"/>
      <c r="F818" s="125"/>
      <c r="G818" s="171"/>
      <c r="H818" s="171"/>
      <c r="I818" s="172"/>
      <c r="J818" s="171"/>
      <c r="K818" s="171"/>
      <c r="L818" s="171"/>
      <c r="M818" s="171"/>
      <c r="N818" s="171"/>
      <c r="O818" s="171"/>
      <c r="P818" s="171"/>
      <c r="Q818" s="171"/>
      <c r="R818" s="171"/>
      <c r="S818" s="171"/>
      <c r="T818" s="173"/>
      <c r="U818" s="174"/>
      <c r="V818" s="175"/>
      <c r="W818" s="175"/>
      <c r="X818" s="175"/>
      <c r="Y818" s="175"/>
      <c r="Z818" s="175"/>
      <c r="AA818" s="175"/>
      <c r="AB818" s="175"/>
      <c r="AC818" s="175"/>
      <c r="AD818" s="175"/>
      <c r="AE818" s="175"/>
      <c r="AF818" s="175"/>
      <c r="AG818" s="175"/>
      <c r="AH818" s="175"/>
      <c r="AI818" s="175"/>
      <c r="AJ818" s="175"/>
      <c r="AK818" s="175"/>
      <c r="AL818" s="175"/>
      <c r="AM818" s="175"/>
      <c r="AN818" s="175"/>
      <c r="AO818" s="176"/>
      <c r="AP818" s="177"/>
      <c r="AQ818" s="175"/>
      <c r="AR818" s="175"/>
      <c r="AS818" s="178"/>
      <c r="AT818" s="179"/>
    </row>
    <row r="819" customFormat="false" ht="12.75" hidden="false" customHeight="true" outlineLevel="0" collapsed="false">
      <c r="B819" s="122"/>
      <c r="C819" s="123"/>
      <c r="D819" s="124"/>
      <c r="E819" s="124"/>
      <c r="F819" s="125"/>
      <c r="G819" s="171"/>
      <c r="H819" s="171"/>
      <c r="I819" s="172"/>
      <c r="J819" s="171"/>
      <c r="K819" s="171"/>
      <c r="L819" s="171"/>
      <c r="M819" s="171"/>
      <c r="N819" s="171"/>
      <c r="O819" s="171"/>
      <c r="P819" s="171"/>
      <c r="Q819" s="171"/>
      <c r="R819" s="171"/>
      <c r="S819" s="171"/>
      <c r="T819" s="173"/>
      <c r="U819" s="174"/>
      <c r="V819" s="175"/>
      <c r="W819" s="175"/>
      <c r="X819" s="175"/>
      <c r="Y819" s="175"/>
      <c r="Z819" s="175"/>
      <c r="AA819" s="175"/>
      <c r="AB819" s="175"/>
      <c r="AC819" s="175"/>
      <c r="AD819" s="175"/>
      <c r="AE819" s="175"/>
      <c r="AF819" s="175"/>
      <c r="AG819" s="175"/>
      <c r="AH819" s="175"/>
      <c r="AI819" s="175"/>
      <c r="AJ819" s="175"/>
      <c r="AK819" s="175"/>
      <c r="AL819" s="175"/>
      <c r="AM819" s="175"/>
      <c r="AN819" s="175"/>
      <c r="AO819" s="176"/>
      <c r="AP819" s="177"/>
      <c r="AQ819" s="175"/>
      <c r="AR819" s="175"/>
      <c r="AS819" s="178"/>
      <c r="AT819" s="179"/>
    </row>
    <row r="820" customFormat="false" ht="12.75" hidden="false" customHeight="true" outlineLevel="0" collapsed="false">
      <c r="B820" s="122"/>
      <c r="C820" s="123"/>
      <c r="D820" s="124"/>
      <c r="E820" s="124"/>
      <c r="F820" s="125"/>
      <c r="G820" s="171"/>
      <c r="H820" s="171"/>
      <c r="I820" s="172"/>
      <c r="J820" s="171"/>
      <c r="K820" s="171"/>
      <c r="L820" s="171"/>
      <c r="M820" s="171"/>
      <c r="N820" s="171"/>
      <c r="O820" s="171"/>
      <c r="P820" s="171"/>
      <c r="Q820" s="171"/>
      <c r="R820" s="171"/>
      <c r="S820" s="171"/>
      <c r="T820" s="173"/>
      <c r="U820" s="174"/>
      <c r="V820" s="175"/>
      <c r="W820" s="175"/>
      <c r="X820" s="175"/>
      <c r="Y820" s="175"/>
      <c r="Z820" s="175"/>
      <c r="AA820" s="175"/>
      <c r="AB820" s="175"/>
      <c r="AC820" s="175"/>
      <c r="AD820" s="175"/>
      <c r="AE820" s="175"/>
      <c r="AF820" s="175"/>
      <c r="AG820" s="175"/>
      <c r="AH820" s="175"/>
      <c r="AI820" s="175"/>
      <c r="AJ820" s="175"/>
      <c r="AK820" s="175"/>
      <c r="AL820" s="175"/>
      <c r="AM820" s="175"/>
      <c r="AN820" s="175"/>
      <c r="AO820" s="176"/>
      <c r="AP820" s="177"/>
      <c r="AQ820" s="175"/>
      <c r="AR820" s="175"/>
      <c r="AS820" s="178"/>
      <c r="AT820" s="179"/>
    </row>
    <row r="821" customFormat="false" ht="12.75" hidden="false" customHeight="true" outlineLevel="0" collapsed="false">
      <c r="B821" s="122"/>
      <c r="C821" s="123"/>
      <c r="D821" s="124"/>
      <c r="E821" s="124"/>
      <c r="F821" s="125"/>
      <c r="G821" s="171"/>
      <c r="H821" s="171"/>
      <c r="I821" s="172"/>
      <c r="J821" s="171"/>
      <c r="K821" s="171"/>
      <c r="L821" s="171"/>
      <c r="M821" s="171"/>
      <c r="N821" s="171"/>
      <c r="O821" s="171"/>
      <c r="P821" s="171"/>
      <c r="Q821" s="171"/>
      <c r="R821" s="171"/>
      <c r="S821" s="171"/>
      <c r="T821" s="173"/>
      <c r="U821" s="174"/>
      <c r="V821" s="175"/>
      <c r="W821" s="175"/>
      <c r="X821" s="175"/>
      <c r="Y821" s="175"/>
      <c r="Z821" s="175"/>
      <c r="AA821" s="175"/>
      <c r="AB821" s="175"/>
      <c r="AC821" s="175"/>
      <c r="AD821" s="175"/>
      <c r="AE821" s="175"/>
      <c r="AF821" s="175"/>
      <c r="AG821" s="175"/>
      <c r="AH821" s="175"/>
      <c r="AI821" s="175"/>
      <c r="AJ821" s="175"/>
      <c r="AK821" s="175"/>
      <c r="AL821" s="175"/>
      <c r="AM821" s="175"/>
      <c r="AN821" s="175"/>
      <c r="AO821" s="176"/>
      <c r="AP821" s="177"/>
      <c r="AQ821" s="175"/>
      <c r="AR821" s="175"/>
      <c r="AS821" s="178"/>
      <c r="AT821" s="179"/>
    </row>
    <row r="822" customFormat="false" ht="12.75" hidden="false" customHeight="true" outlineLevel="0" collapsed="false">
      <c r="B822" s="122"/>
      <c r="C822" s="123"/>
      <c r="D822" s="124"/>
      <c r="E822" s="124"/>
      <c r="F822" s="125"/>
      <c r="G822" s="171"/>
      <c r="H822" s="171"/>
      <c r="I822" s="172"/>
      <c r="J822" s="171"/>
      <c r="K822" s="171"/>
      <c r="L822" s="171"/>
      <c r="M822" s="171"/>
      <c r="N822" s="171"/>
      <c r="O822" s="171"/>
      <c r="P822" s="171"/>
      <c r="Q822" s="171"/>
      <c r="R822" s="171"/>
      <c r="S822" s="171"/>
      <c r="T822" s="173"/>
      <c r="U822" s="174"/>
      <c r="V822" s="175"/>
      <c r="W822" s="175"/>
      <c r="X822" s="175"/>
      <c r="Y822" s="175"/>
      <c r="Z822" s="175"/>
      <c r="AA822" s="175"/>
      <c r="AB822" s="175"/>
      <c r="AC822" s="175"/>
      <c r="AD822" s="175"/>
      <c r="AE822" s="175"/>
      <c r="AF822" s="175"/>
      <c r="AG822" s="175"/>
      <c r="AH822" s="175"/>
      <c r="AI822" s="175"/>
      <c r="AJ822" s="175"/>
      <c r="AK822" s="175"/>
      <c r="AL822" s="175"/>
      <c r="AM822" s="175"/>
      <c r="AN822" s="175"/>
      <c r="AO822" s="176"/>
      <c r="AP822" s="177"/>
      <c r="AQ822" s="175"/>
      <c r="AR822" s="175"/>
      <c r="AS822" s="178"/>
      <c r="AT822" s="179"/>
    </row>
    <row r="823" customFormat="false" ht="12.75" hidden="false" customHeight="true" outlineLevel="0" collapsed="false">
      <c r="B823" s="122"/>
      <c r="C823" s="123"/>
      <c r="D823" s="124"/>
      <c r="E823" s="124"/>
      <c r="F823" s="125"/>
      <c r="G823" s="171"/>
      <c r="H823" s="171"/>
      <c r="I823" s="172"/>
      <c r="J823" s="171"/>
      <c r="K823" s="171"/>
      <c r="L823" s="171"/>
      <c r="M823" s="171"/>
      <c r="N823" s="171"/>
      <c r="O823" s="171"/>
      <c r="P823" s="171"/>
      <c r="Q823" s="171"/>
      <c r="R823" s="171"/>
      <c r="S823" s="171"/>
      <c r="T823" s="173"/>
      <c r="U823" s="174"/>
      <c r="V823" s="175"/>
      <c r="W823" s="175"/>
      <c r="X823" s="175"/>
      <c r="Y823" s="175"/>
      <c r="Z823" s="175"/>
      <c r="AA823" s="175"/>
      <c r="AB823" s="175"/>
      <c r="AC823" s="175"/>
      <c r="AD823" s="175"/>
      <c r="AE823" s="175"/>
      <c r="AF823" s="175"/>
      <c r="AG823" s="175"/>
      <c r="AH823" s="175"/>
      <c r="AI823" s="175"/>
      <c r="AJ823" s="175"/>
      <c r="AK823" s="175"/>
      <c r="AL823" s="175"/>
      <c r="AM823" s="175"/>
      <c r="AN823" s="175"/>
      <c r="AO823" s="176"/>
      <c r="AP823" s="177"/>
      <c r="AQ823" s="175"/>
      <c r="AR823" s="175"/>
      <c r="AS823" s="178"/>
      <c r="AT823" s="179"/>
    </row>
    <row r="824" customFormat="false" ht="12.75" hidden="false" customHeight="true" outlineLevel="0" collapsed="false">
      <c r="B824" s="141"/>
      <c r="C824" s="132"/>
      <c r="D824" s="133"/>
      <c r="E824" s="133"/>
      <c r="F824" s="134"/>
      <c r="G824" s="180"/>
      <c r="H824" s="180"/>
      <c r="I824" s="181"/>
      <c r="J824" s="180"/>
      <c r="K824" s="180"/>
      <c r="L824" s="180"/>
      <c r="M824" s="180"/>
      <c r="N824" s="180"/>
      <c r="O824" s="180"/>
      <c r="P824" s="180"/>
      <c r="Q824" s="180"/>
      <c r="R824" s="180"/>
      <c r="S824" s="180"/>
      <c r="T824" s="182"/>
      <c r="U824" s="183"/>
      <c r="V824" s="184"/>
      <c r="W824" s="184"/>
      <c r="X824" s="184"/>
      <c r="Y824" s="184"/>
      <c r="Z824" s="184"/>
      <c r="AA824" s="184"/>
      <c r="AB824" s="184"/>
      <c r="AC824" s="184"/>
      <c r="AD824" s="184"/>
      <c r="AE824" s="184"/>
      <c r="AF824" s="184"/>
      <c r="AG824" s="184"/>
      <c r="AH824" s="184"/>
      <c r="AI824" s="184"/>
      <c r="AJ824" s="184"/>
      <c r="AK824" s="184"/>
      <c r="AL824" s="184"/>
      <c r="AM824" s="184"/>
      <c r="AN824" s="184"/>
      <c r="AO824" s="185"/>
      <c r="AP824" s="186"/>
      <c r="AQ824" s="184"/>
      <c r="AR824" s="184"/>
      <c r="AS824" s="187"/>
      <c r="AT824" s="188"/>
    </row>
    <row r="825" customFormat="false" ht="12.75" hidden="false" customHeight="true" outlineLevel="0" collapsed="false">
      <c r="B825" s="122"/>
      <c r="C825" s="123"/>
      <c r="D825" s="124"/>
      <c r="E825" s="124"/>
      <c r="F825" s="125"/>
      <c r="G825" s="171"/>
      <c r="H825" s="171"/>
      <c r="I825" s="172"/>
      <c r="J825" s="171"/>
      <c r="K825" s="171"/>
      <c r="L825" s="171"/>
      <c r="M825" s="171"/>
      <c r="N825" s="171"/>
      <c r="O825" s="171"/>
      <c r="P825" s="171"/>
      <c r="Q825" s="171"/>
      <c r="R825" s="171"/>
      <c r="S825" s="171"/>
      <c r="T825" s="173"/>
      <c r="U825" s="174"/>
      <c r="V825" s="175"/>
      <c r="W825" s="175"/>
      <c r="X825" s="175"/>
      <c r="Y825" s="175"/>
      <c r="Z825" s="175"/>
      <c r="AA825" s="175"/>
      <c r="AB825" s="175"/>
      <c r="AC825" s="175"/>
      <c r="AD825" s="175"/>
      <c r="AE825" s="175"/>
      <c r="AF825" s="175"/>
      <c r="AG825" s="175"/>
      <c r="AH825" s="175"/>
      <c r="AI825" s="175"/>
      <c r="AJ825" s="175"/>
      <c r="AK825" s="175"/>
      <c r="AL825" s="175"/>
      <c r="AM825" s="175"/>
      <c r="AN825" s="175"/>
      <c r="AO825" s="176"/>
      <c r="AP825" s="177"/>
      <c r="AQ825" s="175"/>
      <c r="AR825" s="175"/>
      <c r="AS825" s="178"/>
      <c r="AT825" s="179"/>
    </row>
    <row r="826" customFormat="false" ht="12.75" hidden="false" customHeight="true" outlineLevel="0" collapsed="false">
      <c r="B826" s="141"/>
      <c r="C826" s="132"/>
      <c r="D826" s="133"/>
      <c r="E826" s="133"/>
      <c r="F826" s="134"/>
      <c r="G826" s="180"/>
      <c r="H826" s="180"/>
      <c r="I826" s="181"/>
      <c r="J826" s="180"/>
      <c r="K826" s="180"/>
      <c r="L826" s="180"/>
      <c r="M826" s="180"/>
      <c r="N826" s="180"/>
      <c r="O826" s="180"/>
      <c r="P826" s="180"/>
      <c r="Q826" s="180"/>
      <c r="R826" s="180"/>
      <c r="S826" s="180"/>
      <c r="T826" s="182"/>
      <c r="U826" s="183"/>
      <c r="V826" s="184"/>
      <c r="W826" s="184"/>
      <c r="X826" s="184"/>
      <c r="Y826" s="184"/>
      <c r="Z826" s="184"/>
      <c r="AA826" s="184"/>
      <c r="AB826" s="184"/>
      <c r="AC826" s="184"/>
      <c r="AD826" s="184"/>
      <c r="AE826" s="184"/>
      <c r="AF826" s="184"/>
      <c r="AG826" s="184"/>
      <c r="AH826" s="184"/>
      <c r="AI826" s="184"/>
      <c r="AJ826" s="184"/>
      <c r="AK826" s="184"/>
      <c r="AL826" s="184"/>
      <c r="AM826" s="184"/>
      <c r="AN826" s="184"/>
      <c r="AO826" s="185"/>
      <c r="AP826" s="186"/>
      <c r="AQ826" s="184"/>
      <c r="AR826" s="184"/>
      <c r="AS826" s="187"/>
      <c r="AT826" s="188"/>
    </row>
    <row r="827" customFormat="false" ht="12.75" hidden="false" customHeight="true" outlineLevel="0" collapsed="false">
      <c r="B827" s="122"/>
      <c r="C827" s="123"/>
      <c r="D827" s="124"/>
      <c r="E827" s="124"/>
      <c r="F827" s="125"/>
      <c r="G827" s="171"/>
      <c r="H827" s="171"/>
      <c r="I827" s="172"/>
      <c r="J827" s="171"/>
      <c r="K827" s="171"/>
      <c r="L827" s="171"/>
      <c r="M827" s="171"/>
      <c r="N827" s="171"/>
      <c r="O827" s="171"/>
      <c r="P827" s="171"/>
      <c r="Q827" s="171"/>
      <c r="R827" s="171"/>
      <c r="S827" s="171"/>
      <c r="T827" s="173"/>
      <c r="U827" s="174"/>
      <c r="V827" s="175"/>
      <c r="W827" s="175"/>
      <c r="X827" s="175"/>
      <c r="Y827" s="175"/>
      <c r="Z827" s="175"/>
      <c r="AA827" s="175"/>
      <c r="AB827" s="175"/>
      <c r="AC827" s="175"/>
      <c r="AD827" s="175"/>
      <c r="AE827" s="175"/>
      <c r="AF827" s="175"/>
      <c r="AG827" s="175"/>
      <c r="AH827" s="175"/>
      <c r="AI827" s="175"/>
      <c r="AJ827" s="175"/>
      <c r="AK827" s="175"/>
      <c r="AL827" s="175"/>
      <c r="AM827" s="175"/>
      <c r="AN827" s="175"/>
      <c r="AO827" s="176"/>
      <c r="AP827" s="177"/>
      <c r="AQ827" s="175"/>
      <c r="AR827" s="175"/>
      <c r="AS827" s="178"/>
      <c r="AT827" s="179"/>
    </row>
    <row r="828" customFormat="false" ht="12.75" hidden="false" customHeight="true" outlineLevel="0" collapsed="false">
      <c r="B828" s="141"/>
      <c r="C828" s="132"/>
      <c r="D828" s="133"/>
      <c r="E828" s="133"/>
      <c r="F828" s="134"/>
      <c r="G828" s="180"/>
      <c r="H828" s="180"/>
      <c r="I828" s="181"/>
      <c r="J828" s="180"/>
      <c r="K828" s="180"/>
      <c r="L828" s="180"/>
      <c r="M828" s="180"/>
      <c r="N828" s="180"/>
      <c r="O828" s="180"/>
      <c r="P828" s="180"/>
      <c r="Q828" s="180"/>
      <c r="R828" s="180"/>
      <c r="S828" s="180"/>
      <c r="T828" s="182"/>
      <c r="U828" s="183"/>
      <c r="V828" s="184"/>
      <c r="W828" s="184"/>
      <c r="X828" s="184"/>
      <c r="Y828" s="184"/>
      <c r="Z828" s="184"/>
      <c r="AA828" s="184"/>
      <c r="AB828" s="184"/>
      <c r="AC828" s="184"/>
      <c r="AD828" s="184"/>
      <c r="AE828" s="184"/>
      <c r="AF828" s="184"/>
      <c r="AG828" s="184"/>
      <c r="AH828" s="184"/>
      <c r="AI828" s="184"/>
      <c r="AJ828" s="184"/>
      <c r="AK828" s="184"/>
      <c r="AL828" s="184"/>
      <c r="AM828" s="184"/>
      <c r="AN828" s="184"/>
      <c r="AO828" s="185"/>
      <c r="AP828" s="186"/>
      <c r="AQ828" s="184"/>
      <c r="AR828" s="184"/>
      <c r="AS828" s="187"/>
      <c r="AT828" s="188"/>
    </row>
    <row r="829" customFormat="false" ht="12.75" hidden="false" customHeight="true" outlineLevel="0" collapsed="false">
      <c r="B829" s="122"/>
      <c r="C829" s="123"/>
      <c r="D829" s="124"/>
      <c r="E829" s="124"/>
      <c r="F829" s="125"/>
      <c r="G829" s="171"/>
      <c r="H829" s="171"/>
      <c r="I829" s="172"/>
      <c r="J829" s="171"/>
      <c r="K829" s="171"/>
      <c r="L829" s="171"/>
      <c r="M829" s="171"/>
      <c r="N829" s="171"/>
      <c r="O829" s="171"/>
      <c r="P829" s="171"/>
      <c r="Q829" s="171"/>
      <c r="R829" s="171"/>
      <c r="S829" s="171"/>
      <c r="T829" s="173"/>
      <c r="U829" s="174"/>
      <c r="V829" s="175"/>
      <c r="W829" s="175"/>
      <c r="X829" s="175"/>
      <c r="Y829" s="175"/>
      <c r="Z829" s="175"/>
      <c r="AA829" s="175"/>
      <c r="AB829" s="175"/>
      <c r="AC829" s="175"/>
      <c r="AD829" s="175"/>
      <c r="AE829" s="175"/>
      <c r="AF829" s="175"/>
      <c r="AG829" s="175"/>
      <c r="AH829" s="175"/>
      <c r="AI829" s="175"/>
      <c r="AJ829" s="175"/>
      <c r="AK829" s="175"/>
      <c r="AL829" s="175"/>
      <c r="AM829" s="175"/>
      <c r="AN829" s="175"/>
      <c r="AO829" s="176"/>
      <c r="AP829" s="177"/>
      <c r="AQ829" s="175"/>
      <c r="AR829" s="175"/>
      <c r="AS829" s="178"/>
      <c r="AT829" s="179"/>
    </row>
    <row r="830" customFormat="false" ht="12.75" hidden="false" customHeight="true" outlineLevel="0" collapsed="false">
      <c r="B830" s="122"/>
      <c r="C830" s="123"/>
      <c r="D830" s="124"/>
      <c r="E830" s="124"/>
      <c r="F830" s="125"/>
      <c r="G830" s="171"/>
      <c r="H830" s="171"/>
      <c r="I830" s="172"/>
      <c r="J830" s="171"/>
      <c r="K830" s="171"/>
      <c r="L830" s="171"/>
      <c r="M830" s="171"/>
      <c r="N830" s="171"/>
      <c r="O830" s="171"/>
      <c r="P830" s="171"/>
      <c r="Q830" s="171"/>
      <c r="R830" s="171"/>
      <c r="S830" s="171"/>
      <c r="T830" s="173"/>
      <c r="U830" s="174"/>
      <c r="V830" s="175"/>
      <c r="W830" s="175"/>
      <c r="X830" s="175"/>
      <c r="Y830" s="175"/>
      <c r="Z830" s="175"/>
      <c r="AA830" s="175"/>
      <c r="AB830" s="175"/>
      <c r="AC830" s="175"/>
      <c r="AD830" s="175"/>
      <c r="AE830" s="175"/>
      <c r="AF830" s="175"/>
      <c r="AG830" s="175"/>
      <c r="AH830" s="175"/>
      <c r="AI830" s="175"/>
      <c r="AJ830" s="175"/>
      <c r="AK830" s="175"/>
      <c r="AL830" s="175"/>
      <c r="AM830" s="175"/>
      <c r="AN830" s="175"/>
      <c r="AO830" s="176"/>
      <c r="AP830" s="177"/>
      <c r="AQ830" s="175"/>
      <c r="AR830" s="175"/>
      <c r="AS830" s="178"/>
      <c r="AT830" s="179"/>
    </row>
    <row r="831" customFormat="false" ht="12.75" hidden="false" customHeight="true" outlineLevel="0" collapsed="false">
      <c r="B831" s="122"/>
      <c r="C831" s="123"/>
      <c r="D831" s="124"/>
      <c r="E831" s="124"/>
      <c r="F831" s="125"/>
      <c r="G831" s="171"/>
      <c r="H831" s="171"/>
      <c r="I831" s="172"/>
      <c r="J831" s="171"/>
      <c r="K831" s="171"/>
      <c r="L831" s="171"/>
      <c r="M831" s="171"/>
      <c r="N831" s="171"/>
      <c r="O831" s="171"/>
      <c r="P831" s="171"/>
      <c r="Q831" s="171"/>
      <c r="R831" s="171"/>
      <c r="S831" s="171"/>
      <c r="T831" s="173"/>
      <c r="U831" s="174"/>
      <c r="V831" s="175"/>
      <c r="W831" s="175"/>
      <c r="X831" s="175"/>
      <c r="Y831" s="175"/>
      <c r="Z831" s="175"/>
      <c r="AA831" s="175"/>
      <c r="AB831" s="175"/>
      <c r="AC831" s="175"/>
      <c r="AD831" s="175"/>
      <c r="AE831" s="175"/>
      <c r="AF831" s="175"/>
      <c r="AG831" s="175"/>
      <c r="AH831" s="175"/>
      <c r="AI831" s="175"/>
      <c r="AJ831" s="175"/>
      <c r="AK831" s="175"/>
      <c r="AL831" s="175"/>
      <c r="AM831" s="175"/>
      <c r="AN831" s="175"/>
      <c r="AO831" s="176"/>
      <c r="AP831" s="177"/>
      <c r="AQ831" s="175"/>
      <c r="AR831" s="175"/>
      <c r="AS831" s="178"/>
      <c r="AT831" s="179"/>
    </row>
    <row r="832" customFormat="false" ht="12.75" hidden="false" customHeight="true" outlineLevel="0" collapsed="false">
      <c r="B832" s="122"/>
      <c r="C832" s="123"/>
      <c r="D832" s="124"/>
      <c r="E832" s="124"/>
      <c r="F832" s="125"/>
      <c r="G832" s="171"/>
      <c r="H832" s="171"/>
      <c r="I832" s="172"/>
      <c r="J832" s="171"/>
      <c r="K832" s="171"/>
      <c r="L832" s="171"/>
      <c r="M832" s="171"/>
      <c r="N832" s="171"/>
      <c r="O832" s="171"/>
      <c r="P832" s="171"/>
      <c r="Q832" s="171"/>
      <c r="R832" s="171"/>
      <c r="S832" s="171"/>
      <c r="T832" s="173"/>
      <c r="U832" s="174"/>
      <c r="V832" s="175"/>
      <c r="W832" s="175"/>
      <c r="X832" s="175"/>
      <c r="Y832" s="175"/>
      <c r="Z832" s="175"/>
      <c r="AA832" s="175"/>
      <c r="AB832" s="175"/>
      <c r="AC832" s="175"/>
      <c r="AD832" s="175"/>
      <c r="AE832" s="175"/>
      <c r="AF832" s="175"/>
      <c r="AG832" s="175"/>
      <c r="AH832" s="175"/>
      <c r="AI832" s="175"/>
      <c r="AJ832" s="175"/>
      <c r="AK832" s="175"/>
      <c r="AL832" s="175"/>
      <c r="AM832" s="175"/>
      <c r="AN832" s="175"/>
      <c r="AO832" s="176"/>
      <c r="AP832" s="177"/>
      <c r="AQ832" s="175"/>
      <c r="AR832" s="175"/>
      <c r="AS832" s="178"/>
      <c r="AT832" s="179"/>
    </row>
    <row r="833" customFormat="false" ht="12.75" hidden="false" customHeight="true" outlineLevel="0" collapsed="false">
      <c r="B833" s="141"/>
      <c r="C833" s="132"/>
      <c r="D833" s="133"/>
      <c r="E833" s="133"/>
      <c r="F833" s="134"/>
      <c r="G833" s="180"/>
      <c r="H833" s="180"/>
      <c r="I833" s="181"/>
      <c r="J833" s="180"/>
      <c r="K833" s="180"/>
      <c r="L833" s="180"/>
      <c r="M833" s="180"/>
      <c r="N833" s="180"/>
      <c r="O833" s="180"/>
      <c r="P833" s="180"/>
      <c r="Q833" s="180"/>
      <c r="R833" s="180"/>
      <c r="S833" s="180"/>
      <c r="T833" s="182"/>
      <c r="U833" s="183"/>
      <c r="V833" s="184"/>
      <c r="W833" s="184"/>
      <c r="X833" s="184"/>
      <c r="Y833" s="184"/>
      <c r="Z833" s="184"/>
      <c r="AA833" s="184"/>
      <c r="AB833" s="184"/>
      <c r="AC833" s="184"/>
      <c r="AD833" s="184"/>
      <c r="AE833" s="184"/>
      <c r="AF833" s="184"/>
      <c r="AG833" s="184"/>
      <c r="AH833" s="184"/>
      <c r="AI833" s="184"/>
      <c r="AJ833" s="184"/>
      <c r="AK833" s="184"/>
      <c r="AL833" s="184"/>
      <c r="AM833" s="184"/>
      <c r="AN833" s="184"/>
      <c r="AO833" s="185"/>
      <c r="AP833" s="186"/>
      <c r="AQ833" s="184"/>
      <c r="AR833" s="184"/>
      <c r="AS833" s="187"/>
      <c r="AT833" s="188"/>
    </row>
    <row r="834" customFormat="false" ht="12.75" hidden="false" customHeight="true" outlineLevel="0" collapsed="false">
      <c r="B834" s="122"/>
      <c r="C834" s="123"/>
      <c r="D834" s="124"/>
      <c r="E834" s="124"/>
      <c r="F834" s="125"/>
      <c r="G834" s="171"/>
      <c r="H834" s="171"/>
      <c r="I834" s="172"/>
      <c r="J834" s="171"/>
      <c r="K834" s="171"/>
      <c r="L834" s="171"/>
      <c r="M834" s="171"/>
      <c r="N834" s="171"/>
      <c r="O834" s="171"/>
      <c r="P834" s="171"/>
      <c r="Q834" s="171"/>
      <c r="R834" s="171"/>
      <c r="S834" s="171"/>
      <c r="T834" s="173"/>
      <c r="U834" s="174"/>
      <c r="V834" s="175"/>
      <c r="W834" s="175"/>
      <c r="X834" s="175"/>
      <c r="Y834" s="175"/>
      <c r="Z834" s="175"/>
      <c r="AA834" s="175"/>
      <c r="AB834" s="175"/>
      <c r="AC834" s="175"/>
      <c r="AD834" s="175"/>
      <c r="AE834" s="175"/>
      <c r="AF834" s="175"/>
      <c r="AG834" s="175"/>
      <c r="AH834" s="175"/>
      <c r="AI834" s="175"/>
      <c r="AJ834" s="175"/>
      <c r="AK834" s="175"/>
      <c r="AL834" s="175"/>
      <c r="AM834" s="175"/>
      <c r="AN834" s="175"/>
      <c r="AO834" s="176"/>
      <c r="AP834" s="177"/>
      <c r="AQ834" s="175"/>
      <c r="AR834" s="175"/>
      <c r="AS834" s="178"/>
      <c r="AT834" s="179"/>
    </row>
    <row r="835" customFormat="false" ht="12.75" hidden="false" customHeight="true" outlineLevel="0" collapsed="false">
      <c r="B835" s="122"/>
      <c r="C835" s="123"/>
      <c r="D835" s="124"/>
      <c r="E835" s="124"/>
      <c r="F835" s="125"/>
      <c r="G835" s="171"/>
      <c r="H835" s="171"/>
      <c r="I835" s="172"/>
      <c r="J835" s="171"/>
      <c r="K835" s="171"/>
      <c r="L835" s="171"/>
      <c r="M835" s="171"/>
      <c r="N835" s="171"/>
      <c r="O835" s="171"/>
      <c r="P835" s="171"/>
      <c r="Q835" s="171"/>
      <c r="R835" s="171"/>
      <c r="S835" s="171"/>
      <c r="T835" s="173"/>
      <c r="U835" s="174"/>
      <c r="V835" s="175"/>
      <c r="W835" s="175"/>
      <c r="X835" s="175"/>
      <c r="Y835" s="175"/>
      <c r="Z835" s="175"/>
      <c r="AA835" s="175"/>
      <c r="AB835" s="175"/>
      <c r="AC835" s="175"/>
      <c r="AD835" s="175"/>
      <c r="AE835" s="175"/>
      <c r="AF835" s="175"/>
      <c r="AG835" s="175"/>
      <c r="AH835" s="175"/>
      <c r="AI835" s="175"/>
      <c r="AJ835" s="175"/>
      <c r="AK835" s="175"/>
      <c r="AL835" s="175"/>
      <c r="AM835" s="175"/>
      <c r="AN835" s="175"/>
      <c r="AO835" s="176"/>
      <c r="AP835" s="177"/>
      <c r="AQ835" s="175"/>
      <c r="AR835" s="175"/>
      <c r="AS835" s="178"/>
      <c r="AT835" s="179"/>
    </row>
    <row r="836" customFormat="false" ht="12.75" hidden="false" customHeight="true" outlineLevel="0" collapsed="false">
      <c r="B836" s="122"/>
      <c r="C836" s="123"/>
      <c r="D836" s="124"/>
      <c r="E836" s="124"/>
      <c r="F836" s="125"/>
      <c r="G836" s="171"/>
      <c r="H836" s="171"/>
      <c r="I836" s="172"/>
      <c r="J836" s="171"/>
      <c r="K836" s="171"/>
      <c r="L836" s="171"/>
      <c r="M836" s="171"/>
      <c r="N836" s="171"/>
      <c r="O836" s="171"/>
      <c r="P836" s="171"/>
      <c r="Q836" s="171"/>
      <c r="R836" s="171"/>
      <c r="S836" s="171"/>
      <c r="T836" s="173"/>
      <c r="U836" s="174"/>
      <c r="V836" s="175"/>
      <c r="W836" s="175"/>
      <c r="X836" s="175"/>
      <c r="Y836" s="175"/>
      <c r="Z836" s="175"/>
      <c r="AA836" s="175"/>
      <c r="AB836" s="175"/>
      <c r="AC836" s="175"/>
      <c r="AD836" s="175"/>
      <c r="AE836" s="175"/>
      <c r="AF836" s="175"/>
      <c r="AG836" s="175"/>
      <c r="AH836" s="175"/>
      <c r="AI836" s="175"/>
      <c r="AJ836" s="175"/>
      <c r="AK836" s="175"/>
      <c r="AL836" s="175"/>
      <c r="AM836" s="175"/>
      <c r="AN836" s="175"/>
      <c r="AO836" s="176"/>
      <c r="AP836" s="177"/>
      <c r="AQ836" s="175"/>
      <c r="AR836" s="175"/>
      <c r="AS836" s="178"/>
      <c r="AT836" s="179"/>
    </row>
    <row r="837" customFormat="false" ht="12.75" hidden="false" customHeight="true" outlineLevel="0" collapsed="false">
      <c r="B837" s="141"/>
      <c r="C837" s="132"/>
      <c r="D837" s="133"/>
      <c r="E837" s="133"/>
      <c r="F837" s="134"/>
      <c r="G837" s="180"/>
      <c r="H837" s="180"/>
      <c r="I837" s="181"/>
      <c r="J837" s="180"/>
      <c r="K837" s="180"/>
      <c r="L837" s="180"/>
      <c r="M837" s="180"/>
      <c r="N837" s="180"/>
      <c r="O837" s="180"/>
      <c r="P837" s="180"/>
      <c r="Q837" s="180"/>
      <c r="R837" s="180"/>
      <c r="S837" s="180"/>
      <c r="T837" s="182"/>
      <c r="U837" s="183"/>
      <c r="V837" s="184"/>
      <c r="W837" s="184"/>
      <c r="X837" s="184"/>
      <c r="Y837" s="184"/>
      <c r="Z837" s="184"/>
      <c r="AA837" s="184"/>
      <c r="AB837" s="184"/>
      <c r="AC837" s="184"/>
      <c r="AD837" s="184"/>
      <c r="AE837" s="184"/>
      <c r="AF837" s="184"/>
      <c r="AG837" s="184"/>
      <c r="AH837" s="184"/>
      <c r="AI837" s="184"/>
      <c r="AJ837" s="184"/>
      <c r="AK837" s="184"/>
      <c r="AL837" s="184"/>
      <c r="AM837" s="184"/>
      <c r="AN837" s="184"/>
      <c r="AO837" s="185"/>
      <c r="AP837" s="186"/>
      <c r="AQ837" s="184"/>
      <c r="AR837" s="184"/>
      <c r="AS837" s="187"/>
      <c r="AT837" s="188"/>
    </row>
    <row r="838" customFormat="false" ht="12.75" hidden="false" customHeight="true" outlineLevel="0" collapsed="false">
      <c r="B838" s="122"/>
      <c r="C838" s="123"/>
      <c r="D838" s="124"/>
      <c r="E838" s="124"/>
      <c r="F838" s="125"/>
      <c r="G838" s="171"/>
      <c r="H838" s="171"/>
      <c r="I838" s="172"/>
      <c r="J838" s="171"/>
      <c r="K838" s="171"/>
      <c r="L838" s="171"/>
      <c r="M838" s="171"/>
      <c r="N838" s="171"/>
      <c r="O838" s="171"/>
      <c r="P838" s="171"/>
      <c r="Q838" s="171"/>
      <c r="R838" s="171"/>
      <c r="S838" s="171"/>
      <c r="T838" s="173"/>
      <c r="U838" s="174"/>
      <c r="V838" s="175"/>
      <c r="W838" s="175"/>
      <c r="X838" s="175"/>
      <c r="Y838" s="175"/>
      <c r="Z838" s="175"/>
      <c r="AA838" s="175"/>
      <c r="AB838" s="175"/>
      <c r="AC838" s="175"/>
      <c r="AD838" s="175"/>
      <c r="AE838" s="175"/>
      <c r="AF838" s="175"/>
      <c r="AG838" s="175"/>
      <c r="AH838" s="175"/>
      <c r="AI838" s="175"/>
      <c r="AJ838" s="175"/>
      <c r="AK838" s="175"/>
      <c r="AL838" s="175"/>
      <c r="AM838" s="175"/>
      <c r="AN838" s="175"/>
      <c r="AO838" s="176"/>
      <c r="AP838" s="177"/>
      <c r="AQ838" s="175"/>
      <c r="AR838" s="175"/>
      <c r="AS838" s="178"/>
      <c r="AT838" s="179"/>
    </row>
    <row r="839" customFormat="false" ht="12.75" hidden="false" customHeight="true" outlineLevel="0" collapsed="false">
      <c r="B839" s="141"/>
      <c r="C839" s="132"/>
      <c r="D839" s="133"/>
      <c r="E839" s="133"/>
      <c r="F839" s="134"/>
      <c r="G839" s="180"/>
      <c r="H839" s="180"/>
      <c r="I839" s="181"/>
      <c r="J839" s="180"/>
      <c r="K839" s="180"/>
      <c r="L839" s="180"/>
      <c r="M839" s="180"/>
      <c r="N839" s="180"/>
      <c r="O839" s="180"/>
      <c r="P839" s="180"/>
      <c r="Q839" s="180"/>
      <c r="R839" s="180"/>
      <c r="S839" s="180"/>
      <c r="T839" s="182"/>
      <c r="U839" s="183"/>
      <c r="V839" s="184"/>
      <c r="W839" s="184"/>
      <c r="X839" s="184"/>
      <c r="Y839" s="184"/>
      <c r="Z839" s="184"/>
      <c r="AA839" s="184"/>
      <c r="AB839" s="184"/>
      <c r="AC839" s="184"/>
      <c r="AD839" s="184"/>
      <c r="AE839" s="184"/>
      <c r="AF839" s="184"/>
      <c r="AG839" s="184"/>
      <c r="AH839" s="184"/>
      <c r="AI839" s="184"/>
      <c r="AJ839" s="184"/>
      <c r="AK839" s="184"/>
      <c r="AL839" s="184"/>
      <c r="AM839" s="184"/>
      <c r="AN839" s="184"/>
      <c r="AO839" s="185"/>
      <c r="AP839" s="186"/>
      <c r="AQ839" s="184"/>
      <c r="AR839" s="184"/>
      <c r="AS839" s="187"/>
      <c r="AT839" s="188"/>
    </row>
    <row r="840" customFormat="false" ht="12.75" hidden="false" customHeight="true" outlineLevel="0" collapsed="false">
      <c r="B840" s="122"/>
      <c r="C840" s="123"/>
      <c r="D840" s="124"/>
      <c r="E840" s="124"/>
      <c r="F840" s="125"/>
      <c r="G840" s="171"/>
      <c r="H840" s="171"/>
      <c r="I840" s="172"/>
      <c r="J840" s="171"/>
      <c r="K840" s="171"/>
      <c r="L840" s="171"/>
      <c r="M840" s="171"/>
      <c r="N840" s="171"/>
      <c r="O840" s="171"/>
      <c r="P840" s="171"/>
      <c r="Q840" s="171"/>
      <c r="R840" s="171"/>
      <c r="S840" s="171"/>
      <c r="T840" s="173"/>
      <c r="U840" s="174"/>
      <c r="V840" s="175"/>
      <c r="W840" s="175"/>
      <c r="X840" s="175"/>
      <c r="Y840" s="175"/>
      <c r="Z840" s="175"/>
      <c r="AA840" s="175"/>
      <c r="AB840" s="175"/>
      <c r="AC840" s="175"/>
      <c r="AD840" s="175"/>
      <c r="AE840" s="175"/>
      <c r="AF840" s="175"/>
      <c r="AG840" s="175"/>
      <c r="AH840" s="175"/>
      <c r="AI840" s="175"/>
      <c r="AJ840" s="175"/>
      <c r="AK840" s="175"/>
      <c r="AL840" s="175"/>
      <c r="AM840" s="175"/>
      <c r="AN840" s="175"/>
      <c r="AO840" s="176"/>
      <c r="AP840" s="177"/>
      <c r="AQ840" s="175"/>
      <c r="AR840" s="175"/>
      <c r="AS840" s="178"/>
      <c r="AT840" s="179"/>
    </row>
    <row r="841" customFormat="false" ht="12.75" hidden="false" customHeight="true" outlineLevel="0" collapsed="false">
      <c r="B841" s="122"/>
      <c r="C841" s="123"/>
      <c r="D841" s="124"/>
      <c r="E841" s="124"/>
      <c r="F841" s="125"/>
      <c r="G841" s="171"/>
      <c r="H841" s="171"/>
      <c r="I841" s="172"/>
      <c r="J841" s="171"/>
      <c r="K841" s="171"/>
      <c r="L841" s="171"/>
      <c r="M841" s="171"/>
      <c r="N841" s="171"/>
      <c r="O841" s="171"/>
      <c r="P841" s="171"/>
      <c r="Q841" s="171"/>
      <c r="R841" s="171"/>
      <c r="S841" s="171"/>
      <c r="T841" s="173"/>
      <c r="U841" s="174"/>
      <c r="V841" s="175"/>
      <c r="W841" s="175"/>
      <c r="X841" s="175"/>
      <c r="Y841" s="175"/>
      <c r="Z841" s="175"/>
      <c r="AA841" s="175"/>
      <c r="AB841" s="175"/>
      <c r="AC841" s="175"/>
      <c r="AD841" s="175"/>
      <c r="AE841" s="175"/>
      <c r="AF841" s="175"/>
      <c r="AG841" s="175"/>
      <c r="AH841" s="175"/>
      <c r="AI841" s="175"/>
      <c r="AJ841" s="175"/>
      <c r="AK841" s="175"/>
      <c r="AL841" s="175"/>
      <c r="AM841" s="175"/>
      <c r="AN841" s="175"/>
      <c r="AO841" s="176"/>
      <c r="AP841" s="177"/>
      <c r="AQ841" s="175"/>
      <c r="AR841" s="175"/>
      <c r="AS841" s="178"/>
      <c r="AT841" s="179"/>
    </row>
    <row r="842" customFormat="false" ht="12.75" hidden="false" customHeight="true" outlineLevel="0" collapsed="false">
      <c r="B842" s="122"/>
      <c r="C842" s="123"/>
      <c r="D842" s="124"/>
      <c r="E842" s="124"/>
      <c r="F842" s="125"/>
      <c r="G842" s="171"/>
      <c r="H842" s="171"/>
      <c r="I842" s="172"/>
      <c r="J842" s="171"/>
      <c r="K842" s="171"/>
      <c r="L842" s="171"/>
      <c r="M842" s="171"/>
      <c r="N842" s="171"/>
      <c r="O842" s="171"/>
      <c r="P842" s="171"/>
      <c r="Q842" s="171"/>
      <c r="R842" s="171"/>
      <c r="S842" s="171"/>
      <c r="T842" s="173"/>
      <c r="U842" s="174"/>
      <c r="V842" s="175"/>
      <c r="W842" s="175"/>
      <c r="X842" s="175"/>
      <c r="Y842" s="175"/>
      <c r="Z842" s="175"/>
      <c r="AA842" s="175"/>
      <c r="AB842" s="175"/>
      <c r="AC842" s="175"/>
      <c r="AD842" s="175"/>
      <c r="AE842" s="175"/>
      <c r="AF842" s="175"/>
      <c r="AG842" s="175"/>
      <c r="AH842" s="175"/>
      <c r="AI842" s="175"/>
      <c r="AJ842" s="175"/>
      <c r="AK842" s="175"/>
      <c r="AL842" s="175"/>
      <c r="AM842" s="175"/>
      <c r="AN842" s="175"/>
      <c r="AO842" s="176"/>
      <c r="AP842" s="177"/>
      <c r="AQ842" s="175"/>
      <c r="AR842" s="175"/>
      <c r="AS842" s="178"/>
      <c r="AT842" s="179"/>
    </row>
    <row r="843" customFormat="false" ht="12.75" hidden="false" customHeight="true" outlineLevel="0" collapsed="false">
      <c r="B843" s="122"/>
      <c r="C843" s="123"/>
      <c r="D843" s="124"/>
      <c r="E843" s="124"/>
      <c r="F843" s="125"/>
      <c r="G843" s="171"/>
      <c r="H843" s="171"/>
      <c r="I843" s="172"/>
      <c r="J843" s="171"/>
      <c r="K843" s="171"/>
      <c r="L843" s="171"/>
      <c r="M843" s="171"/>
      <c r="N843" s="171"/>
      <c r="O843" s="171"/>
      <c r="P843" s="171"/>
      <c r="Q843" s="171"/>
      <c r="R843" s="171"/>
      <c r="S843" s="171"/>
      <c r="T843" s="173"/>
      <c r="U843" s="174"/>
      <c r="V843" s="175"/>
      <c r="W843" s="175"/>
      <c r="X843" s="175"/>
      <c r="Y843" s="175"/>
      <c r="Z843" s="175"/>
      <c r="AA843" s="175"/>
      <c r="AB843" s="175"/>
      <c r="AC843" s="175"/>
      <c r="AD843" s="175"/>
      <c r="AE843" s="175"/>
      <c r="AF843" s="175"/>
      <c r="AG843" s="175"/>
      <c r="AH843" s="175"/>
      <c r="AI843" s="175"/>
      <c r="AJ843" s="175"/>
      <c r="AK843" s="175"/>
      <c r="AL843" s="175"/>
      <c r="AM843" s="175"/>
      <c r="AN843" s="175"/>
      <c r="AO843" s="176"/>
      <c r="AP843" s="177"/>
      <c r="AQ843" s="175"/>
      <c r="AR843" s="175"/>
      <c r="AS843" s="178"/>
      <c r="AT843" s="179"/>
    </row>
    <row r="844" customFormat="false" ht="12.75" hidden="false" customHeight="true" outlineLevel="0" collapsed="false">
      <c r="B844" s="141"/>
      <c r="C844" s="132"/>
      <c r="D844" s="133"/>
      <c r="E844" s="133"/>
      <c r="F844" s="134"/>
      <c r="G844" s="180"/>
      <c r="H844" s="180"/>
      <c r="I844" s="181"/>
      <c r="J844" s="180"/>
      <c r="K844" s="180"/>
      <c r="L844" s="180"/>
      <c r="M844" s="180"/>
      <c r="N844" s="180"/>
      <c r="O844" s="180"/>
      <c r="P844" s="180"/>
      <c r="Q844" s="180"/>
      <c r="R844" s="180"/>
      <c r="S844" s="180"/>
      <c r="T844" s="182"/>
      <c r="U844" s="183"/>
      <c r="V844" s="184"/>
      <c r="W844" s="184"/>
      <c r="X844" s="184"/>
      <c r="Y844" s="184"/>
      <c r="Z844" s="184"/>
      <c r="AA844" s="184"/>
      <c r="AB844" s="184"/>
      <c r="AC844" s="184"/>
      <c r="AD844" s="184"/>
      <c r="AE844" s="184"/>
      <c r="AF844" s="184"/>
      <c r="AG844" s="184"/>
      <c r="AH844" s="184"/>
      <c r="AI844" s="184"/>
      <c r="AJ844" s="184"/>
      <c r="AK844" s="184"/>
      <c r="AL844" s="184"/>
      <c r="AM844" s="184"/>
      <c r="AN844" s="184"/>
      <c r="AO844" s="185"/>
      <c r="AP844" s="186"/>
      <c r="AQ844" s="184"/>
      <c r="AR844" s="184"/>
      <c r="AS844" s="187"/>
      <c r="AT844" s="188"/>
    </row>
    <row r="845" customFormat="false" ht="12.75" hidden="false" customHeight="true" outlineLevel="0" collapsed="false">
      <c r="B845" s="122"/>
      <c r="C845" s="123"/>
      <c r="D845" s="124"/>
      <c r="E845" s="124"/>
      <c r="F845" s="125"/>
      <c r="G845" s="171"/>
      <c r="H845" s="171"/>
      <c r="I845" s="172"/>
      <c r="J845" s="171"/>
      <c r="K845" s="171"/>
      <c r="L845" s="171"/>
      <c r="M845" s="171"/>
      <c r="N845" s="171"/>
      <c r="O845" s="171"/>
      <c r="P845" s="171"/>
      <c r="Q845" s="171"/>
      <c r="R845" s="171"/>
      <c r="S845" s="171"/>
      <c r="T845" s="173"/>
      <c r="U845" s="174"/>
      <c r="V845" s="175"/>
      <c r="W845" s="175"/>
      <c r="X845" s="175"/>
      <c r="Y845" s="175"/>
      <c r="Z845" s="175"/>
      <c r="AA845" s="175"/>
      <c r="AB845" s="175"/>
      <c r="AC845" s="175"/>
      <c r="AD845" s="175"/>
      <c r="AE845" s="175"/>
      <c r="AF845" s="175"/>
      <c r="AG845" s="175"/>
      <c r="AH845" s="175"/>
      <c r="AI845" s="175"/>
      <c r="AJ845" s="175"/>
      <c r="AK845" s="175"/>
      <c r="AL845" s="175"/>
      <c r="AM845" s="175"/>
      <c r="AN845" s="175"/>
      <c r="AO845" s="176"/>
      <c r="AP845" s="177"/>
      <c r="AQ845" s="175"/>
      <c r="AR845" s="175"/>
      <c r="AS845" s="178"/>
      <c r="AT845" s="179"/>
    </row>
    <row r="846" customFormat="false" ht="12.75" hidden="false" customHeight="true" outlineLevel="0" collapsed="false">
      <c r="B846" s="122"/>
      <c r="C846" s="123"/>
      <c r="D846" s="124"/>
      <c r="E846" s="124"/>
      <c r="F846" s="125"/>
      <c r="G846" s="171"/>
      <c r="H846" s="171"/>
      <c r="I846" s="172"/>
      <c r="J846" s="171"/>
      <c r="K846" s="171"/>
      <c r="L846" s="171"/>
      <c r="M846" s="171"/>
      <c r="N846" s="171"/>
      <c r="O846" s="171"/>
      <c r="P846" s="171"/>
      <c r="Q846" s="171"/>
      <c r="R846" s="171"/>
      <c r="S846" s="171"/>
      <c r="T846" s="173"/>
      <c r="U846" s="174"/>
      <c r="V846" s="175"/>
      <c r="W846" s="175"/>
      <c r="X846" s="175"/>
      <c r="Y846" s="175"/>
      <c r="Z846" s="175"/>
      <c r="AA846" s="175"/>
      <c r="AB846" s="175"/>
      <c r="AC846" s="175"/>
      <c r="AD846" s="175"/>
      <c r="AE846" s="175"/>
      <c r="AF846" s="175"/>
      <c r="AG846" s="175"/>
      <c r="AH846" s="175"/>
      <c r="AI846" s="175"/>
      <c r="AJ846" s="175"/>
      <c r="AK846" s="175"/>
      <c r="AL846" s="175"/>
      <c r="AM846" s="175"/>
      <c r="AN846" s="175"/>
      <c r="AO846" s="176"/>
      <c r="AP846" s="177"/>
      <c r="AQ846" s="175"/>
      <c r="AR846" s="175"/>
      <c r="AS846" s="178"/>
      <c r="AT846" s="179"/>
    </row>
    <row r="847" customFormat="false" ht="12.75" hidden="false" customHeight="true" outlineLevel="0" collapsed="false">
      <c r="B847" s="122"/>
      <c r="C847" s="123"/>
      <c r="D847" s="124"/>
      <c r="E847" s="124"/>
      <c r="F847" s="125"/>
      <c r="G847" s="171"/>
      <c r="H847" s="171"/>
      <c r="I847" s="172"/>
      <c r="J847" s="171"/>
      <c r="K847" s="171"/>
      <c r="L847" s="171"/>
      <c r="M847" s="171"/>
      <c r="N847" s="171"/>
      <c r="O847" s="171"/>
      <c r="P847" s="171"/>
      <c r="Q847" s="171"/>
      <c r="R847" s="171"/>
      <c r="S847" s="171"/>
      <c r="T847" s="173"/>
      <c r="U847" s="174"/>
      <c r="V847" s="175"/>
      <c r="W847" s="175"/>
      <c r="X847" s="175"/>
      <c r="Y847" s="175"/>
      <c r="Z847" s="175"/>
      <c r="AA847" s="175"/>
      <c r="AB847" s="175"/>
      <c r="AC847" s="175"/>
      <c r="AD847" s="175"/>
      <c r="AE847" s="175"/>
      <c r="AF847" s="175"/>
      <c r="AG847" s="175"/>
      <c r="AH847" s="175"/>
      <c r="AI847" s="175"/>
      <c r="AJ847" s="175"/>
      <c r="AK847" s="175"/>
      <c r="AL847" s="175"/>
      <c r="AM847" s="175"/>
      <c r="AN847" s="175"/>
      <c r="AO847" s="176"/>
      <c r="AP847" s="177"/>
      <c r="AQ847" s="175"/>
      <c r="AR847" s="175"/>
      <c r="AS847" s="178"/>
      <c r="AT847" s="179"/>
    </row>
    <row r="848" customFormat="false" ht="12.75" hidden="false" customHeight="true" outlineLevel="0" collapsed="false">
      <c r="B848" s="141"/>
      <c r="C848" s="132"/>
      <c r="D848" s="133"/>
      <c r="E848" s="133"/>
      <c r="F848" s="134"/>
      <c r="G848" s="180"/>
      <c r="H848" s="180"/>
      <c r="I848" s="181"/>
      <c r="J848" s="180"/>
      <c r="K848" s="180"/>
      <c r="L848" s="180"/>
      <c r="M848" s="180"/>
      <c r="N848" s="180"/>
      <c r="O848" s="180"/>
      <c r="P848" s="180"/>
      <c r="Q848" s="180"/>
      <c r="R848" s="180"/>
      <c r="S848" s="180"/>
      <c r="T848" s="182"/>
      <c r="U848" s="183"/>
      <c r="V848" s="184"/>
      <c r="W848" s="184"/>
      <c r="X848" s="184"/>
      <c r="Y848" s="184"/>
      <c r="Z848" s="184"/>
      <c r="AA848" s="184"/>
      <c r="AB848" s="184"/>
      <c r="AC848" s="184"/>
      <c r="AD848" s="184"/>
      <c r="AE848" s="184"/>
      <c r="AF848" s="184"/>
      <c r="AG848" s="184"/>
      <c r="AH848" s="184"/>
      <c r="AI848" s="184"/>
      <c r="AJ848" s="184"/>
      <c r="AK848" s="184"/>
      <c r="AL848" s="184"/>
      <c r="AM848" s="184"/>
      <c r="AN848" s="184"/>
      <c r="AO848" s="185"/>
      <c r="AP848" s="186"/>
      <c r="AQ848" s="184"/>
      <c r="AR848" s="184"/>
      <c r="AS848" s="187"/>
      <c r="AT848" s="188"/>
    </row>
    <row r="849" customFormat="false" ht="12.75" hidden="false" customHeight="true" outlineLevel="0" collapsed="false">
      <c r="B849" s="122"/>
      <c r="C849" s="123"/>
      <c r="D849" s="124"/>
      <c r="E849" s="124"/>
      <c r="F849" s="125"/>
      <c r="G849" s="171"/>
      <c r="H849" s="171"/>
      <c r="I849" s="172"/>
      <c r="J849" s="171"/>
      <c r="K849" s="171"/>
      <c r="L849" s="171"/>
      <c r="M849" s="171"/>
      <c r="N849" s="171"/>
      <c r="O849" s="171"/>
      <c r="P849" s="171"/>
      <c r="Q849" s="171"/>
      <c r="R849" s="171"/>
      <c r="S849" s="171"/>
      <c r="T849" s="173"/>
      <c r="U849" s="174"/>
      <c r="V849" s="175"/>
      <c r="W849" s="175"/>
      <c r="X849" s="175"/>
      <c r="Y849" s="175"/>
      <c r="Z849" s="175"/>
      <c r="AA849" s="175"/>
      <c r="AB849" s="175"/>
      <c r="AC849" s="175"/>
      <c r="AD849" s="175"/>
      <c r="AE849" s="175"/>
      <c r="AF849" s="175"/>
      <c r="AG849" s="175"/>
      <c r="AH849" s="175"/>
      <c r="AI849" s="175"/>
      <c r="AJ849" s="175"/>
      <c r="AK849" s="175"/>
      <c r="AL849" s="175"/>
      <c r="AM849" s="175"/>
      <c r="AN849" s="175"/>
      <c r="AO849" s="176"/>
      <c r="AP849" s="177"/>
      <c r="AQ849" s="175"/>
      <c r="AR849" s="175"/>
      <c r="AS849" s="178"/>
      <c r="AT849" s="179"/>
    </row>
    <row r="850" customFormat="false" ht="12.75" hidden="false" customHeight="true" outlineLevel="0" collapsed="false">
      <c r="B850" s="141"/>
      <c r="C850" s="132"/>
      <c r="D850" s="133"/>
      <c r="E850" s="133"/>
      <c r="F850" s="134"/>
      <c r="G850" s="180"/>
      <c r="H850" s="180"/>
      <c r="I850" s="181"/>
      <c r="J850" s="180"/>
      <c r="K850" s="180"/>
      <c r="L850" s="180"/>
      <c r="M850" s="180"/>
      <c r="N850" s="180"/>
      <c r="O850" s="180"/>
      <c r="P850" s="180"/>
      <c r="Q850" s="180"/>
      <c r="R850" s="180"/>
      <c r="S850" s="180"/>
      <c r="T850" s="182"/>
      <c r="U850" s="183"/>
      <c r="V850" s="184"/>
      <c r="W850" s="184"/>
      <c r="X850" s="184"/>
      <c r="Y850" s="184"/>
      <c r="Z850" s="184"/>
      <c r="AA850" s="184"/>
      <c r="AB850" s="184"/>
      <c r="AC850" s="184"/>
      <c r="AD850" s="184"/>
      <c r="AE850" s="184"/>
      <c r="AF850" s="184"/>
      <c r="AG850" s="184"/>
      <c r="AH850" s="184"/>
      <c r="AI850" s="184"/>
      <c r="AJ850" s="184"/>
      <c r="AK850" s="184"/>
      <c r="AL850" s="184"/>
      <c r="AM850" s="184"/>
      <c r="AN850" s="184"/>
      <c r="AO850" s="185"/>
      <c r="AP850" s="186"/>
      <c r="AQ850" s="184"/>
      <c r="AR850" s="184"/>
      <c r="AS850" s="187"/>
      <c r="AT850" s="188"/>
    </row>
    <row r="851" customFormat="false" ht="12.75" hidden="false" customHeight="true" outlineLevel="0" collapsed="false">
      <c r="B851" s="122"/>
      <c r="C851" s="123"/>
      <c r="D851" s="124"/>
      <c r="E851" s="124"/>
      <c r="F851" s="125"/>
      <c r="G851" s="171"/>
      <c r="H851" s="171"/>
      <c r="I851" s="172"/>
      <c r="J851" s="171"/>
      <c r="K851" s="171"/>
      <c r="L851" s="171"/>
      <c r="M851" s="171"/>
      <c r="N851" s="171"/>
      <c r="O851" s="171"/>
      <c r="P851" s="171"/>
      <c r="Q851" s="171"/>
      <c r="R851" s="171"/>
      <c r="S851" s="171"/>
      <c r="T851" s="173"/>
      <c r="U851" s="174"/>
      <c r="V851" s="175"/>
      <c r="W851" s="175"/>
      <c r="X851" s="175"/>
      <c r="Y851" s="175"/>
      <c r="Z851" s="175"/>
      <c r="AA851" s="175"/>
      <c r="AB851" s="175"/>
      <c r="AC851" s="175"/>
      <c r="AD851" s="175"/>
      <c r="AE851" s="175"/>
      <c r="AF851" s="175"/>
      <c r="AG851" s="175"/>
      <c r="AH851" s="175"/>
      <c r="AI851" s="175"/>
      <c r="AJ851" s="175"/>
      <c r="AK851" s="175"/>
      <c r="AL851" s="175"/>
      <c r="AM851" s="175"/>
      <c r="AN851" s="175"/>
      <c r="AO851" s="176"/>
      <c r="AP851" s="177"/>
      <c r="AQ851" s="175"/>
      <c r="AR851" s="175"/>
      <c r="AS851" s="178"/>
      <c r="AT851" s="179"/>
    </row>
    <row r="852" customFormat="false" ht="12.75" hidden="false" customHeight="true" outlineLevel="0" collapsed="false">
      <c r="B852" s="122"/>
      <c r="C852" s="123"/>
      <c r="D852" s="124"/>
      <c r="E852" s="124"/>
      <c r="F852" s="125"/>
      <c r="G852" s="171"/>
      <c r="H852" s="171"/>
      <c r="I852" s="172"/>
      <c r="J852" s="171"/>
      <c r="K852" s="171"/>
      <c r="L852" s="171"/>
      <c r="M852" s="171"/>
      <c r="N852" s="171"/>
      <c r="O852" s="171"/>
      <c r="P852" s="171"/>
      <c r="Q852" s="171"/>
      <c r="R852" s="171"/>
      <c r="S852" s="171"/>
      <c r="T852" s="173"/>
      <c r="U852" s="174"/>
      <c r="V852" s="175"/>
      <c r="W852" s="175"/>
      <c r="X852" s="175"/>
      <c r="Y852" s="175"/>
      <c r="Z852" s="175"/>
      <c r="AA852" s="175"/>
      <c r="AB852" s="175"/>
      <c r="AC852" s="175"/>
      <c r="AD852" s="175"/>
      <c r="AE852" s="175"/>
      <c r="AF852" s="175"/>
      <c r="AG852" s="175"/>
      <c r="AH852" s="175"/>
      <c r="AI852" s="175"/>
      <c r="AJ852" s="175"/>
      <c r="AK852" s="175"/>
      <c r="AL852" s="175"/>
      <c r="AM852" s="175"/>
      <c r="AN852" s="175"/>
      <c r="AO852" s="176"/>
      <c r="AP852" s="177"/>
      <c r="AQ852" s="175"/>
      <c r="AR852" s="175"/>
      <c r="AS852" s="178"/>
      <c r="AT852" s="179"/>
    </row>
    <row r="853" customFormat="false" ht="12.75" hidden="false" customHeight="true" outlineLevel="0" collapsed="false">
      <c r="B853" s="122"/>
      <c r="C853" s="123"/>
      <c r="D853" s="124"/>
      <c r="E853" s="124"/>
      <c r="F853" s="125"/>
      <c r="G853" s="171"/>
      <c r="H853" s="171"/>
      <c r="I853" s="172"/>
      <c r="J853" s="171"/>
      <c r="K853" s="171"/>
      <c r="L853" s="171"/>
      <c r="M853" s="171"/>
      <c r="N853" s="171"/>
      <c r="O853" s="171"/>
      <c r="P853" s="171"/>
      <c r="Q853" s="171"/>
      <c r="R853" s="171"/>
      <c r="S853" s="171"/>
      <c r="T853" s="173"/>
      <c r="U853" s="174"/>
      <c r="V853" s="175"/>
      <c r="W853" s="175"/>
      <c r="X853" s="175"/>
      <c r="Y853" s="175"/>
      <c r="Z853" s="175"/>
      <c r="AA853" s="175"/>
      <c r="AB853" s="175"/>
      <c r="AC853" s="175"/>
      <c r="AD853" s="175"/>
      <c r="AE853" s="175"/>
      <c r="AF853" s="175"/>
      <c r="AG853" s="175"/>
      <c r="AH853" s="175"/>
      <c r="AI853" s="175"/>
      <c r="AJ853" s="175"/>
      <c r="AK853" s="175"/>
      <c r="AL853" s="175"/>
      <c r="AM853" s="175"/>
      <c r="AN853" s="175"/>
      <c r="AO853" s="176"/>
      <c r="AP853" s="177"/>
      <c r="AQ853" s="175"/>
      <c r="AR853" s="175"/>
      <c r="AS853" s="178"/>
      <c r="AT853" s="179"/>
    </row>
    <row r="854" customFormat="false" ht="12.75" hidden="false" customHeight="true" outlineLevel="0" collapsed="false">
      <c r="B854" s="122"/>
      <c r="C854" s="123"/>
      <c r="D854" s="124"/>
      <c r="E854" s="124"/>
      <c r="F854" s="125"/>
      <c r="G854" s="171"/>
      <c r="H854" s="171"/>
      <c r="I854" s="172"/>
      <c r="J854" s="171"/>
      <c r="K854" s="171"/>
      <c r="L854" s="171"/>
      <c r="M854" s="171"/>
      <c r="N854" s="171"/>
      <c r="O854" s="171"/>
      <c r="P854" s="171"/>
      <c r="Q854" s="171"/>
      <c r="R854" s="171"/>
      <c r="S854" s="171"/>
      <c r="T854" s="173"/>
      <c r="U854" s="174"/>
      <c r="V854" s="175"/>
      <c r="W854" s="175"/>
      <c r="X854" s="175"/>
      <c r="Y854" s="175"/>
      <c r="Z854" s="175"/>
      <c r="AA854" s="175"/>
      <c r="AB854" s="175"/>
      <c r="AC854" s="175"/>
      <c r="AD854" s="175"/>
      <c r="AE854" s="175"/>
      <c r="AF854" s="175"/>
      <c r="AG854" s="175"/>
      <c r="AH854" s="175"/>
      <c r="AI854" s="175"/>
      <c r="AJ854" s="175"/>
      <c r="AK854" s="175"/>
      <c r="AL854" s="175"/>
      <c r="AM854" s="175"/>
      <c r="AN854" s="175"/>
      <c r="AO854" s="176"/>
      <c r="AP854" s="177"/>
      <c r="AQ854" s="175"/>
      <c r="AR854" s="175"/>
      <c r="AS854" s="178"/>
      <c r="AT854" s="179"/>
    </row>
    <row r="855" customFormat="false" ht="12.75" hidden="false" customHeight="true" outlineLevel="0" collapsed="false">
      <c r="B855" s="141"/>
      <c r="C855" s="132"/>
      <c r="D855" s="133"/>
      <c r="E855" s="133"/>
      <c r="F855" s="134"/>
      <c r="G855" s="180"/>
      <c r="H855" s="180"/>
      <c r="I855" s="181"/>
      <c r="J855" s="180"/>
      <c r="K855" s="180"/>
      <c r="L855" s="180"/>
      <c r="M855" s="180"/>
      <c r="N855" s="180"/>
      <c r="O855" s="180"/>
      <c r="P855" s="180"/>
      <c r="Q855" s="180"/>
      <c r="R855" s="180"/>
      <c r="S855" s="180"/>
      <c r="T855" s="182"/>
      <c r="U855" s="183"/>
      <c r="V855" s="184"/>
      <c r="W855" s="184"/>
      <c r="X855" s="184"/>
      <c r="Y855" s="184"/>
      <c r="Z855" s="184"/>
      <c r="AA855" s="184"/>
      <c r="AB855" s="184"/>
      <c r="AC855" s="184"/>
      <c r="AD855" s="184"/>
      <c r="AE855" s="184"/>
      <c r="AF855" s="184"/>
      <c r="AG855" s="184"/>
      <c r="AH855" s="184"/>
      <c r="AI855" s="184"/>
      <c r="AJ855" s="184"/>
      <c r="AK855" s="184"/>
      <c r="AL855" s="184"/>
      <c r="AM855" s="184"/>
      <c r="AN855" s="184"/>
      <c r="AO855" s="185"/>
      <c r="AP855" s="186"/>
      <c r="AQ855" s="184"/>
      <c r="AR855" s="184"/>
      <c r="AS855" s="187"/>
      <c r="AT855" s="188"/>
    </row>
    <row r="856" customFormat="false" ht="12.75" hidden="false" customHeight="true" outlineLevel="0" collapsed="false">
      <c r="B856" s="122"/>
      <c r="C856" s="123"/>
      <c r="D856" s="124"/>
      <c r="E856" s="124"/>
      <c r="F856" s="125"/>
      <c r="G856" s="171"/>
      <c r="H856" s="171"/>
      <c r="I856" s="172"/>
      <c r="J856" s="171"/>
      <c r="K856" s="171"/>
      <c r="L856" s="171"/>
      <c r="M856" s="171"/>
      <c r="N856" s="171"/>
      <c r="O856" s="171"/>
      <c r="P856" s="171"/>
      <c r="Q856" s="171"/>
      <c r="R856" s="171"/>
      <c r="S856" s="171"/>
      <c r="T856" s="173"/>
      <c r="U856" s="174"/>
      <c r="V856" s="175"/>
      <c r="W856" s="175"/>
      <c r="X856" s="175"/>
      <c r="Y856" s="175"/>
      <c r="Z856" s="175"/>
      <c r="AA856" s="175"/>
      <c r="AB856" s="175"/>
      <c r="AC856" s="175"/>
      <c r="AD856" s="175"/>
      <c r="AE856" s="175"/>
      <c r="AF856" s="175"/>
      <c r="AG856" s="175"/>
      <c r="AH856" s="175"/>
      <c r="AI856" s="175"/>
      <c r="AJ856" s="175"/>
      <c r="AK856" s="175"/>
      <c r="AL856" s="175"/>
      <c r="AM856" s="175"/>
      <c r="AN856" s="175"/>
      <c r="AO856" s="176"/>
      <c r="AP856" s="177"/>
      <c r="AQ856" s="175"/>
      <c r="AR856" s="175"/>
      <c r="AS856" s="178"/>
      <c r="AT856" s="179"/>
    </row>
    <row r="857" customFormat="false" ht="12.75" hidden="false" customHeight="true" outlineLevel="0" collapsed="false">
      <c r="B857" s="122"/>
      <c r="C857" s="123"/>
      <c r="D857" s="124"/>
      <c r="E857" s="124"/>
      <c r="F857" s="125"/>
      <c r="G857" s="171"/>
      <c r="H857" s="171"/>
      <c r="I857" s="172"/>
      <c r="J857" s="171"/>
      <c r="K857" s="171"/>
      <c r="L857" s="171"/>
      <c r="M857" s="171"/>
      <c r="N857" s="171"/>
      <c r="O857" s="171"/>
      <c r="P857" s="171"/>
      <c r="Q857" s="171"/>
      <c r="R857" s="171"/>
      <c r="S857" s="171"/>
      <c r="T857" s="173"/>
      <c r="U857" s="174"/>
      <c r="V857" s="175"/>
      <c r="W857" s="175"/>
      <c r="X857" s="175"/>
      <c r="Y857" s="175"/>
      <c r="Z857" s="175"/>
      <c r="AA857" s="175"/>
      <c r="AB857" s="175"/>
      <c r="AC857" s="175"/>
      <c r="AD857" s="175"/>
      <c r="AE857" s="175"/>
      <c r="AF857" s="175"/>
      <c r="AG857" s="175"/>
      <c r="AH857" s="175"/>
      <c r="AI857" s="175"/>
      <c r="AJ857" s="175"/>
      <c r="AK857" s="175"/>
      <c r="AL857" s="175"/>
      <c r="AM857" s="175"/>
      <c r="AN857" s="175"/>
      <c r="AO857" s="176"/>
      <c r="AP857" s="177"/>
      <c r="AQ857" s="175"/>
      <c r="AR857" s="175"/>
      <c r="AS857" s="178"/>
      <c r="AT857" s="179"/>
    </row>
    <row r="858" customFormat="false" ht="12.75" hidden="false" customHeight="true" outlineLevel="0" collapsed="false">
      <c r="B858" s="122"/>
      <c r="C858" s="123"/>
      <c r="D858" s="124"/>
      <c r="E858" s="124"/>
      <c r="F858" s="125"/>
      <c r="G858" s="171"/>
      <c r="H858" s="171"/>
      <c r="I858" s="172"/>
      <c r="J858" s="171"/>
      <c r="K858" s="171"/>
      <c r="L858" s="171"/>
      <c r="M858" s="171"/>
      <c r="N858" s="171"/>
      <c r="O858" s="171"/>
      <c r="P858" s="171"/>
      <c r="Q858" s="171"/>
      <c r="R858" s="171"/>
      <c r="S858" s="171"/>
      <c r="T858" s="173"/>
      <c r="U858" s="174"/>
      <c r="V858" s="175"/>
      <c r="W858" s="175"/>
      <c r="X858" s="175"/>
      <c r="Y858" s="175"/>
      <c r="Z858" s="175"/>
      <c r="AA858" s="175"/>
      <c r="AB858" s="175"/>
      <c r="AC858" s="175"/>
      <c r="AD858" s="175"/>
      <c r="AE858" s="175"/>
      <c r="AF858" s="175"/>
      <c r="AG858" s="175"/>
      <c r="AH858" s="175"/>
      <c r="AI858" s="175"/>
      <c r="AJ858" s="175"/>
      <c r="AK858" s="175"/>
      <c r="AL858" s="175"/>
      <c r="AM858" s="175"/>
      <c r="AN858" s="175"/>
      <c r="AO858" s="176"/>
      <c r="AP858" s="177"/>
      <c r="AQ858" s="175"/>
      <c r="AR858" s="175"/>
      <c r="AS858" s="178"/>
      <c r="AT858" s="179"/>
    </row>
    <row r="859" customFormat="false" ht="12.75" hidden="false" customHeight="true" outlineLevel="0" collapsed="false">
      <c r="B859" s="141"/>
      <c r="C859" s="132"/>
      <c r="D859" s="133"/>
      <c r="E859" s="133"/>
      <c r="F859" s="134"/>
      <c r="G859" s="180"/>
      <c r="H859" s="180"/>
      <c r="I859" s="181"/>
      <c r="J859" s="180"/>
      <c r="K859" s="180"/>
      <c r="L859" s="180"/>
      <c r="M859" s="180"/>
      <c r="N859" s="180"/>
      <c r="O859" s="180"/>
      <c r="P859" s="180"/>
      <c r="Q859" s="180"/>
      <c r="R859" s="180"/>
      <c r="S859" s="180"/>
      <c r="T859" s="182"/>
      <c r="U859" s="183"/>
      <c r="V859" s="184"/>
      <c r="W859" s="184"/>
      <c r="X859" s="184"/>
      <c r="Y859" s="184"/>
      <c r="Z859" s="184"/>
      <c r="AA859" s="184"/>
      <c r="AB859" s="184"/>
      <c r="AC859" s="184"/>
      <c r="AD859" s="184"/>
      <c r="AE859" s="184"/>
      <c r="AF859" s="184"/>
      <c r="AG859" s="184"/>
      <c r="AH859" s="184"/>
      <c r="AI859" s="184"/>
      <c r="AJ859" s="184"/>
      <c r="AK859" s="184"/>
      <c r="AL859" s="184"/>
      <c r="AM859" s="184"/>
      <c r="AN859" s="184"/>
      <c r="AO859" s="185"/>
      <c r="AP859" s="186"/>
      <c r="AQ859" s="184"/>
      <c r="AR859" s="184"/>
      <c r="AS859" s="187"/>
      <c r="AT859" s="188"/>
    </row>
    <row r="860" customFormat="false" ht="12.75" hidden="false" customHeight="true" outlineLevel="0" collapsed="false">
      <c r="B860" s="122"/>
      <c r="C860" s="123"/>
      <c r="D860" s="124"/>
      <c r="E860" s="124"/>
      <c r="F860" s="125"/>
      <c r="G860" s="171"/>
      <c r="H860" s="171"/>
      <c r="I860" s="172"/>
      <c r="J860" s="171"/>
      <c r="K860" s="171"/>
      <c r="L860" s="171"/>
      <c r="M860" s="171"/>
      <c r="N860" s="171"/>
      <c r="O860" s="171"/>
      <c r="P860" s="171"/>
      <c r="Q860" s="171"/>
      <c r="R860" s="171"/>
      <c r="S860" s="171"/>
      <c r="T860" s="173"/>
      <c r="U860" s="174"/>
      <c r="V860" s="175"/>
      <c r="W860" s="175"/>
      <c r="X860" s="175"/>
      <c r="Y860" s="175"/>
      <c r="Z860" s="175"/>
      <c r="AA860" s="175"/>
      <c r="AB860" s="175"/>
      <c r="AC860" s="175"/>
      <c r="AD860" s="175"/>
      <c r="AE860" s="175"/>
      <c r="AF860" s="175"/>
      <c r="AG860" s="175"/>
      <c r="AH860" s="175"/>
      <c r="AI860" s="175"/>
      <c r="AJ860" s="175"/>
      <c r="AK860" s="175"/>
      <c r="AL860" s="175"/>
      <c r="AM860" s="175"/>
      <c r="AN860" s="175"/>
      <c r="AO860" s="176"/>
      <c r="AP860" s="177"/>
      <c r="AQ860" s="175"/>
      <c r="AR860" s="175"/>
      <c r="AS860" s="178"/>
      <c r="AT860" s="179"/>
    </row>
    <row r="861" customFormat="false" ht="12.75" hidden="false" customHeight="true" outlineLevel="0" collapsed="false">
      <c r="B861" s="122"/>
      <c r="C861" s="123"/>
      <c r="D861" s="124"/>
      <c r="E861" s="124"/>
      <c r="F861" s="125"/>
      <c r="G861" s="171"/>
      <c r="H861" s="171"/>
      <c r="I861" s="172"/>
      <c r="J861" s="171"/>
      <c r="K861" s="171"/>
      <c r="L861" s="171"/>
      <c r="M861" s="171"/>
      <c r="N861" s="171"/>
      <c r="O861" s="171"/>
      <c r="P861" s="171"/>
      <c r="Q861" s="171"/>
      <c r="R861" s="171"/>
      <c r="S861" s="171"/>
      <c r="T861" s="173"/>
      <c r="U861" s="174"/>
      <c r="V861" s="175"/>
      <c r="W861" s="175"/>
      <c r="X861" s="175"/>
      <c r="Y861" s="175"/>
      <c r="Z861" s="175"/>
      <c r="AA861" s="175"/>
      <c r="AB861" s="175"/>
      <c r="AC861" s="175"/>
      <c r="AD861" s="175"/>
      <c r="AE861" s="175"/>
      <c r="AF861" s="175"/>
      <c r="AG861" s="175"/>
      <c r="AH861" s="175"/>
      <c r="AI861" s="175"/>
      <c r="AJ861" s="175"/>
      <c r="AK861" s="175"/>
      <c r="AL861" s="175"/>
      <c r="AM861" s="175"/>
      <c r="AN861" s="175"/>
      <c r="AO861" s="176"/>
      <c r="AP861" s="177"/>
      <c r="AQ861" s="175"/>
      <c r="AR861" s="175"/>
      <c r="AS861" s="178"/>
      <c r="AT861" s="179"/>
    </row>
    <row r="862" customFormat="false" ht="12.75" hidden="false" customHeight="true" outlineLevel="0" collapsed="false">
      <c r="B862" s="141"/>
      <c r="C862" s="132"/>
      <c r="D862" s="133"/>
      <c r="E862" s="133"/>
      <c r="F862" s="134"/>
      <c r="G862" s="180"/>
      <c r="H862" s="180"/>
      <c r="I862" s="181"/>
      <c r="J862" s="180"/>
      <c r="K862" s="180"/>
      <c r="L862" s="180"/>
      <c r="M862" s="180"/>
      <c r="N862" s="180"/>
      <c r="O862" s="180"/>
      <c r="P862" s="180"/>
      <c r="Q862" s="180"/>
      <c r="R862" s="180"/>
      <c r="S862" s="180"/>
      <c r="T862" s="182"/>
      <c r="U862" s="183"/>
      <c r="V862" s="184"/>
      <c r="W862" s="184"/>
      <c r="X862" s="184"/>
      <c r="Y862" s="184"/>
      <c r="Z862" s="184"/>
      <c r="AA862" s="184"/>
      <c r="AB862" s="184"/>
      <c r="AC862" s="184"/>
      <c r="AD862" s="184"/>
      <c r="AE862" s="184"/>
      <c r="AF862" s="184"/>
      <c r="AG862" s="184"/>
      <c r="AH862" s="184"/>
      <c r="AI862" s="184"/>
      <c r="AJ862" s="184"/>
      <c r="AK862" s="184"/>
      <c r="AL862" s="184"/>
      <c r="AM862" s="184"/>
      <c r="AN862" s="184"/>
      <c r="AO862" s="185"/>
      <c r="AP862" s="186"/>
      <c r="AQ862" s="184"/>
      <c r="AR862" s="184"/>
      <c r="AS862" s="187"/>
      <c r="AT862" s="188"/>
    </row>
    <row r="863" customFormat="false" ht="12.75" hidden="false" customHeight="true" outlineLevel="0" collapsed="false">
      <c r="B863" s="122"/>
      <c r="C863" s="123"/>
      <c r="D863" s="124"/>
      <c r="E863" s="124"/>
      <c r="F863" s="125"/>
      <c r="G863" s="171"/>
      <c r="H863" s="171"/>
      <c r="I863" s="172"/>
      <c r="J863" s="171"/>
      <c r="K863" s="171"/>
      <c r="L863" s="171"/>
      <c r="M863" s="171"/>
      <c r="N863" s="171"/>
      <c r="O863" s="171"/>
      <c r="P863" s="171"/>
      <c r="Q863" s="171"/>
      <c r="R863" s="171"/>
      <c r="S863" s="171"/>
      <c r="T863" s="173"/>
      <c r="U863" s="174"/>
      <c r="V863" s="175"/>
      <c r="W863" s="175"/>
      <c r="X863" s="175"/>
      <c r="Y863" s="175"/>
      <c r="Z863" s="175"/>
      <c r="AA863" s="175"/>
      <c r="AB863" s="175"/>
      <c r="AC863" s="175"/>
      <c r="AD863" s="175"/>
      <c r="AE863" s="175"/>
      <c r="AF863" s="175"/>
      <c r="AG863" s="175"/>
      <c r="AH863" s="175"/>
      <c r="AI863" s="175"/>
      <c r="AJ863" s="175"/>
      <c r="AK863" s="175"/>
      <c r="AL863" s="175"/>
      <c r="AM863" s="175"/>
      <c r="AN863" s="175"/>
      <c r="AO863" s="176"/>
      <c r="AP863" s="177"/>
      <c r="AQ863" s="175"/>
      <c r="AR863" s="175"/>
      <c r="AS863" s="178"/>
      <c r="AT863" s="179"/>
    </row>
    <row r="864" customFormat="false" ht="12.75" hidden="false" customHeight="true" outlineLevel="0" collapsed="false">
      <c r="B864" s="122"/>
      <c r="C864" s="123"/>
      <c r="D864" s="124"/>
      <c r="E864" s="124"/>
      <c r="F864" s="125"/>
      <c r="G864" s="171"/>
      <c r="H864" s="171"/>
      <c r="I864" s="172"/>
      <c r="J864" s="171"/>
      <c r="K864" s="171"/>
      <c r="L864" s="171"/>
      <c r="M864" s="171"/>
      <c r="N864" s="171"/>
      <c r="O864" s="171"/>
      <c r="P864" s="171"/>
      <c r="Q864" s="171"/>
      <c r="R864" s="171"/>
      <c r="S864" s="171"/>
      <c r="T864" s="173"/>
      <c r="U864" s="174"/>
      <c r="V864" s="175"/>
      <c r="W864" s="175"/>
      <c r="X864" s="175"/>
      <c r="Y864" s="175"/>
      <c r="Z864" s="175"/>
      <c r="AA864" s="175"/>
      <c r="AB864" s="175"/>
      <c r="AC864" s="175"/>
      <c r="AD864" s="175"/>
      <c r="AE864" s="175"/>
      <c r="AF864" s="175"/>
      <c r="AG864" s="175"/>
      <c r="AH864" s="175"/>
      <c r="AI864" s="175"/>
      <c r="AJ864" s="175"/>
      <c r="AK864" s="175"/>
      <c r="AL864" s="175"/>
      <c r="AM864" s="175"/>
      <c r="AN864" s="175"/>
      <c r="AO864" s="176"/>
      <c r="AP864" s="177"/>
      <c r="AQ864" s="175"/>
      <c r="AR864" s="175"/>
      <c r="AS864" s="178"/>
      <c r="AT864" s="179"/>
    </row>
    <row r="865" customFormat="false" ht="12.75" hidden="false" customHeight="true" outlineLevel="0" collapsed="false">
      <c r="B865" s="122"/>
      <c r="C865" s="123"/>
      <c r="D865" s="124"/>
      <c r="E865" s="124"/>
      <c r="F865" s="125"/>
      <c r="G865" s="171"/>
      <c r="H865" s="171"/>
      <c r="I865" s="172"/>
      <c r="J865" s="171"/>
      <c r="K865" s="171"/>
      <c r="L865" s="171"/>
      <c r="M865" s="171"/>
      <c r="N865" s="171"/>
      <c r="O865" s="171"/>
      <c r="P865" s="171"/>
      <c r="Q865" s="171"/>
      <c r="R865" s="171"/>
      <c r="S865" s="171"/>
      <c r="T865" s="173"/>
      <c r="U865" s="174"/>
      <c r="V865" s="175"/>
      <c r="W865" s="175"/>
      <c r="X865" s="175"/>
      <c r="Y865" s="175"/>
      <c r="Z865" s="175"/>
      <c r="AA865" s="175"/>
      <c r="AB865" s="175"/>
      <c r="AC865" s="175"/>
      <c r="AD865" s="175"/>
      <c r="AE865" s="175"/>
      <c r="AF865" s="175"/>
      <c r="AG865" s="175"/>
      <c r="AH865" s="175"/>
      <c r="AI865" s="175"/>
      <c r="AJ865" s="175"/>
      <c r="AK865" s="175"/>
      <c r="AL865" s="175"/>
      <c r="AM865" s="175"/>
      <c r="AN865" s="175"/>
      <c r="AO865" s="176"/>
      <c r="AP865" s="177"/>
      <c r="AQ865" s="175"/>
      <c r="AR865" s="175"/>
      <c r="AS865" s="178"/>
      <c r="AT865" s="179"/>
    </row>
    <row r="866" customFormat="false" ht="12.75" hidden="false" customHeight="true" outlineLevel="0" collapsed="false">
      <c r="B866" s="141"/>
      <c r="C866" s="132"/>
      <c r="D866" s="133"/>
      <c r="E866" s="133"/>
      <c r="F866" s="134"/>
      <c r="G866" s="180"/>
      <c r="H866" s="180"/>
      <c r="I866" s="181"/>
      <c r="J866" s="180"/>
      <c r="K866" s="180"/>
      <c r="L866" s="180"/>
      <c r="M866" s="180"/>
      <c r="N866" s="180"/>
      <c r="O866" s="180"/>
      <c r="P866" s="180"/>
      <c r="Q866" s="180"/>
      <c r="R866" s="180"/>
      <c r="S866" s="180"/>
      <c r="T866" s="182"/>
      <c r="U866" s="183"/>
      <c r="V866" s="184"/>
      <c r="W866" s="184"/>
      <c r="X866" s="184"/>
      <c r="Y866" s="184"/>
      <c r="Z866" s="184"/>
      <c r="AA866" s="184"/>
      <c r="AB866" s="184"/>
      <c r="AC866" s="184"/>
      <c r="AD866" s="184"/>
      <c r="AE866" s="184"/>
      <c r="AF866" s="184"/>
      <c r="AG866" s="184"/>
      <c r="AH866" s="184"/>
      <c r="AI866" s="184"/>
      <c r="AJ866" s="184"/>
      <c r="AK866" s="184"/>
      <c r="AL866" s="184"/>
      <c r="AM866" s="184"/>
      <c r="AN866" s="184"/>
      <c r="AO866" s="185"/>
      <c r="AP866" s="186"/>
      <c r="AQ866" s="184"/>
      <c r="AR866" s="184"/>
      <c r="AS866" s="187"/>
      <c r="AT866" s="188"/>
    </row>
    <row r="867" customFormat="false" ht="12.75" hidden="false" customHeight="true" outlineLevel="0" collapsed="false">
      <c r="B867" s="122"/>
      <c r="C867" s="123"/>
      <c r="D867" s="124"/>
      <c r="E867" s="124"/>
      <c r="F867" s="125"/>
      <c r="G867" s="171"/>
      <c r="H867" s="171"/>
      <c r="I867" s="172"/>
      <c r="J867" s="171"/>
      <c r="K867" s="171"/>
      <c r="L867" s="171"/>
      <c r="M867" s="171"/>
      <c r="N867" s="171"/>
      <c r="O867" s="171"/>
      <c r="P867" s="171"/>
      <c r="Q867" s="171"/>
      <c r="R867" s="171"/>
      <c r="S867" s="171"/>
      <c r="T867" s="173"/>
      <c r="U867" s="174"/>
      <c r="V867" s="175"/>
      <c r="W867" s="175"/>
      <c r="X867" s="175"/>
      <c r="Y867" s="175"/>
      <c r="Z867" s="175"/>
      <c r="AA867" s="175"/>
      <c r="AB867" s="175"/>
      <c r="AC867" s="175"/>
      <c r="AD867" s="175"/>
      <c r="AE867" s="175"/>
      <c r="AF867" s="175"/>
      <c r="AG867" s="175"/>
      <c r="AH867" s="175"/>
      <c r="AI867" s="175"/>
      <c r="AJ867" s="175"/>
      <c r="AK867" s="175"/>
      <c r="AL867" s="175"/>
      <c r="AM867" s="175"/>
      <c r="AN867" s="175"/>
      <c r="AO867" s="176"/>
      <c r="AP867" s="177"/>
      <c r="AQ867" s="175"/>
      <c r="AR867" s="175"/>
      <c r="AS867" s="178"/>
      <c r="AT867" s="179"/>
    </row>
    <row r="868" customFormat="false" ht="12.75" hidden="false" customHeight="true" outlineLevel="0" collapsed="false">
      <c r="B868" s="122"/>
      <c r="C868" s="123"/>
      <c r="D868" s="124"/>
      <c r="E868" s="124"/>
      <c r="F868" s="125"/>
      <c r="G868" s="171"/>
      <c r="H868" s="171"/>
      <c r="I868" s="172"/>
      <c r="J868" s="171"/>
      <c r="K868" s="171"/>
      <c r="L868" s="171"/>
      <c r="M868" s="171"/>
      <c r="N868" s="171"/>
      <c r="O868" s="171"/>
      <c r="P868" s="171"/>
      <c r="Q868" s="171"/>
      <c r="R868" s="171"/>
      <c r="S868" s="171"/>
      <c r="T868" s="173"/>
      <c r="U868" s="174"/>
      <c r="V868" s="175"/>
      <c r="W868" s="175"/>
      <c r="X868" s="175"/>
      <c r="Y868" s="175"/>
      <c r="Z868" s="175"/>
      <c r="AA868" s="175"/>
      <c r="AB868" s="175"/>
      <c r="AC868" s="175"/>
      <c r="AD868" s="175"/>
      <c r="AE868" s="175"/>
      <c r="AF868" s="175"/>
      <c r="AG868" s="175"/>
      <c r="AH868" s="175"/>
      <c r="AI868" s="175"/>
      <c r="AJ868" s="175"/>
      <c r="AK868" s="175"/>
      <c r="AL868" s="175"/>
      <c r="AM868" s="175"/>
      <c r="AN868" s="175"/>
      <c r="AO868" s="176"/>
      <c r="AP868" s="177"/>
      <c r="AQ868" s="175"/>
      <c r="AR868" s="175"/>
      <c r="AS868" s="178"/>
      <c r="AT868" s="179"/>
    </row>
    <row r="869" customFormat="false" ht="12.75" hidden="false" customHeight="true" outlineLevel="0" collapsed="false">
      <c r="B869" s="122"/>
      <c r="C869" s="123"/>
      <c r="D869" s="124"/>
      <c r="E869" s="124"/>
      <c r="F869" s="125"/>
      <c r="G869" s="171"/>
      <c r="H869" s="171"/>
      <c r="I869" s="172"/>
      <c r="J869" s="171"/>
      <c r="K869" s="171"/>
      <c r="L869" s="171"/>
      <c r="M869" s="171"/>
      <c r="N869" s="171"/>
      <c r="O869" s="171"/>
      <c r="P869" s="171"/>
      <c r="Q869" s="171"/>
      <c r="R869" s="171"/>
      <c r="S869" s="171"/>
      <c r="T869" s="173"/>
      <c r="U869" s="174"/>
      <c r="V869" s="175"/>
      <c r="W869" s="175"/>
      <c r="X869" s="175"/>
      <c r="Y869" s="175"/>
      <c r="Z869" s="175"/>
      <c r="AA869" s="175"/>
      <c r="AB869" s="175"/>
      <c r="AC869" s="175"/>
      <c r="AD869" s="175"/>
      <c r="AE869" s="175"/>
      <c r="AF869" s="175"/>
      <c r="AG869" s="175"/>
      <c r="AH869" s="175"/>
      <c r="AI869" s="175"/>
      <c r="AJ869" s="175"/>
      <c r="AK869" s="175"/>
      <c r="AL869" s="175"/>
      <c r="AM869" s="175"/>
      <c r="AN869" s="175"/>
      <c r="AO869" s="176"/>
      <c r="AP869" s="177"/>
      <c r="AQ869" s="175"/>
      <c r="AR869" s="175"/>
      <c r="AS869" s="178"/>
      <c r="AT869" s="179"/>
    </row>
    <row r="870" customFormat="false" ht="12.75" hidden="false" customHeight="true" outlineLevel="0" collapsed="false">
      <c r="B870" s="141"/>
      <c r="C870" s="132"/>
      <c r="D870" s="133"/>
      <c r="E870" s="133"/>
      <c r="F870" s="134"/>
      <c r="G870" s="180"/>
      <c r="H870" s="180"/>
      <c r="I870" s="181"/>
      <c r="J870" s="180"/>
      <c r="K870" s="180"/>
      <c r="L870" s="180"/>
      <c r="M870" s="180"/>
      <c r="N870" s="180"/>
      <c r="O870" s="180"/>
      <c r="P870" s="180"/>
      <c r="Q870" s="180"/>
      <c r="R870" s="180"/>
      <c r="S870" s="180"/>
      <c r="T870" s="182"/>
      <c r="U870" s="183"/>
      <c r="V870" s="184"/>
      <c r="W870" s="184"/>
      <c r="X870" s="184"/>
      <c r="Y870" s="184"/>
      <c r="Z870" s="184"/>
      <c r="AA870" s="184"/>
      <c r="AB870" s="184"/>
      <c r="AC870" s="184"/>
      <c r="AD870" s="184"/>
      <c r="AE870" s="184"/>
      <c r="AF870" s="184"/>
      <c r="AG870" s="184"/>
      <c r="AH870" s="184"/>
      <c r="AI870" s="184"/>
      <c r="AJ870" s="184"/>
      <c r="AK870" s="184"/>
      <c r="AL870" s="184"/>
      <c r="AM870" s="184"/>
      <c r="AN870" s="184"/>
      <c r="AO870" s="185"/>
      <c r="AP870" s="186"/>
      <c r="AQ870" s="184"/>
      <c r="AR870" s="184"/>
      <c r="AS870" s="187"/>
      <c r="AT870" s="188"/>
    </row>
    <row r="871" customFormat="false" ht="12.75" hidden="false" customHeight="true" outlineLevel="0" collapsed="false">
      <c r="B871" s="122"/>
      <c r="C871" s="123"/>
      <c r="D871" s="124"/>
      <c r="E871" s="124"/>
      <c r="F871" s="125"/>
      <c r="G871" s="171"/>
      <c r="H871" s="171"/>
      <c r="I871" s="172"/>
      <c r="J871" s="171"/>
      <c r="K871" s="171"/>
      <c r="L871" s="171"/>
      <c r="M871" s="171"/>
      <c r="N871" s="171"/>
      <c r="O871" s="171"/>
      <c r="P871" s="171"/>
      <c r="Q871" s="171"/>
      <c r="R871" s="171"/>
      <c r="S871" s="171"/>
      <c r="T871" s="173"/>
      <c r="U871" s="174"/>
      <c r="V871" s="175"/>
      <c r="W871" s="175"/>
      <c r="X871" s="175"/>
      <c r="Y871" s="175"/>
      <c r="Z871" s="175"/>
      <c r="AA871" s="175"/>
      <c r="AB871" s="175"/>
      <c r="AC871" s="175"/>
      <c r="AD871" s="175"/>
      <c r="AE871" s="175"/>
      <c r="AF871" s="175"/>
      <c r="AG871" s="175"/>
      <c r="AH871" s="175"/>
      <c r="AI871" s="175"/>
      <c r="AJ871" s="175"/>
      <c r="AK871" s="175"/>
      <c r="AL871" s="175"/>
      <c r="AM871" s="175"/>
      <c r="AN871" s="175"/>
      <c r="AO871" s="176"/>
      <c r="AP871" s="177"/>
      <c r="AQ871" s="175"/>
      <c r="AR871" s="175"/>
      <c r="AS871" s="178"/>
      <c r="AT871" s="179"/>
    </row>
    <row r="872" customFormat="false" ht="12.75" hidden="false" customHeight="true" outlineLevel="0" collapsed="false">
      <c r="B872" s="122"/>
      <c r="C872" s="123"/>
      <c r="D872" s="124"/>
      <c r="E872" s="124"/>
      <c r="F872" s="125"/>
      <c r="G872" s="171"/>
      <c r="H872" s="171"/>
      <c r="I872" s="172"/>
      <c r="J872" s="171"/>
      <c r="K872" s="171"/>
      <c r="L872" s="171"/>
      <c r="M872" s="171"/>
      <c r="N872" s="171"/>
      <c r="O872" s="171"/>
      <c r="P872" s="171"/>
      <c r="Q872" s="171"/>
      <c r="R872" s="171"/>
      <c r="S872" s="171"/>
      <c r="T872" s="173"/>
      <c r="U872" s="174"/>
      <c r="V872" s="175"/>
      <c r="W872" s="175"/>
      <c r="X872" s="175"/>
      <c r="Y872" s="175"/>
      <c r="Z872" s="175"/>
      <c r="AA872" s="175"/>
      <c r="AB872" s="175"/>
      <c r="AC872" s="175"/>
      <c r="AD872" s="175"/>
      <c r="AE872" s="175"/>
      <c r="AF872" s="175"/>
      <c r="AG872" s="175"/>
      <c r="AH872" s="175"/>
      <c r="AI872" s="175"/>
      <c r="AJ872" s="175"/>
      <c r="AK872" s="175"/>
      <c r="AL872" s="175"/>
      <c r="AM872" s="175"/>
      <c r="AN872" s="175"/>
      <c r="AO872" s="176"/>
      <c r="AP872" s="177"/>
      <c r="AQ872" s="175"/>
      <c r="AR872" s="175"/>
      <c r="AS872" s="178"/>
      <c r="AT872" s="179"/>
    </row>
    <row r="873" customFormat="false" ht="12.75" hidden="false" customHeight="true" outlineLevel="0" collapsed="false">
      <c r="B873" s="122"/>
      <c r="C873" s="123"/>
      <c r="D873" s="124"/>
      <c r="E873" s="124"/>
      <c r="F873" s="125"/>
      <c r="G873" s="171"/>
      <c r="H873" s="171"/>
      <c r="I873" s="172"/>
      <c r="J873" s="171"/>
      <c r="K873" s="171"/>
      <c r="L873" s="171"/>
      <c r="M873" s="171"/>
      <c r="N873" s="171"/>
      <c r="O873" s="171"/>
      <c r="P873" s="171"/>
      <c r="Q873" s="171"/>
      <c r="R873" s="171"/>
      <c r="S873" s="171"/>
      <c r="T873" s="173"/>
      <c r="U873" s="174"/>
      <c r="V873" s="175"/>
      <c r="W873" s="175"/>
      <c r="X873" s="175"/>
      <c r="Y873" s="175"/>
      <c r="Z873" s="175"/>
      <c r="AA873" s="175"/>
      <c r="AB873" s="175"/>
      <c r="AC873" s="175"/>
      <c r="AD873" s="175"/>
      <c r="AE873" s="175"/>
      <c r="AF873" s="175"/>
      <c r="AG873" s="175"/>
      <c r="AH873" s="175"/>
      <c r="AI873" s="175"/>
      <c r="AJ873" s="175"/>
      <c r="AK873" s="175"/>
      <c r="AL873" s="175"/>
      <c r="AM873" s="175"/>
      <c r="AN873" s="175"/>
      <c r="AO873" s="176"/>
      <c r="AP873" s="177"/>
      <c r="AQ873" s="175"/>
      <c r="AR873" s="175"/>
      <c r="AS873" s="178"/>
      <c r="AT873" s="179"/>
    </row>
    <row r="874" customFormat="false" ht="12.75" hidden="false" customHeight="true" outlineLevel="0" collapsed="false">
      <c r="B874" s="141"/>
      <c r="C874" s="132"/>
      <c r="D874" s="133"/>
      <c r="E874" s="133"/>
      <c r="F874" s="134"/>
      <c r="G874" s="180"/>
      <c r="H874" s="180"/>
      <c r="I874" s="181"/>
      <c r="J874" s="180"/>
      <c r="K874" s="180"/>
      <c r="L874" s="180"/>
      <c r="M874" s="180"/>
      <c r="N874" s="180"/>
      <c r="O874" s="180"/>
      <c r="P874" s="180"/>
      <c r="Q874" s="180"/>
      <c r="R874" s="180"/>
      <c r="S874" s="180"/>
      <c r="T874" s="182"/>
      <c r="U874" s="183"/>
      <c r="V874" s="184"/>
      <c r="W874" s="184"/>
      <c r="X874" s="184"/>
      <c r="Y874" s="184"/>
      <c r="Z874" s="184"/>
      <c r="AA874" s="184"/>
      <c r="AB874" s="184"/>
      <c r="AC874" s="184"/>
      <c r="AD874" s="184"/>
      <c r="AE874" s="184"/>
      <c r="AF874" s="184"/>
      <c r="AG874" s="184"/>
      <c r="AH874" s="184"/>
      <c r="AI874" s="184"/>
      <c r="AJ874" s="184"/>
      <c r="AK874" s="184"/>
      <c r="AL874" s="184"/>
      <c r="AM874" s="184"/>
      <c r="AN874" s="184"/>
      <c r="AO874" s="185"/>
      <c r="AP874" s="186"/>
      <c r="AQ874" s="184"/>
      <c r="AR874" s="184"/>
      <c r="AS874" s="187"/>
      <c r="AT874" s="188"/>
    </row>
    <row r="875" customFormat="false" ht="12.75" hidden="false" customHeight="true" outlineLevel="0" collapsed="false">
      <c r="B875" s="141"/>
      <c r="C875" s="132"/>
      <c r="D875" s="133"/>
      <c r="E875" s="133"/>
      <c r="F875" s="134"/>
      <c r="G875" s="180"/>
      <c r="H875" s="180"/>
      <c r="I875" s="181"/>
      <c r="J875" s="180"/>
      <c r="K875" s="180"/>
      <c r="L875" s="180"/>
      <c r="M875" s="180"/>
      <c r="N875" s="180"/>
      <c r="O875" s="180"/>
      <c r="P875" s="180"/>
      <c r="Q875" s="180"/>
      <c r="R875" s="180"/>
      <c r="S875" s="180"/>
      <c r="T875" s="182"/>
      <c r="U875" s="183"/>
      <c r="V875" s="184"/>
      <c r="W875" s="184"/>
      <c r="X875" s="184"/>
      <c r="Y875" s="184"/>
      <c r="Z875" s="184"/>
      <c r="AA875" s="184"/>
      <c r="AB875" s="184"/>
      <c r="AC875" s="184"/>
      <c r="AD875" s="184"/>
      <c r="AE875" s="184"/>
      <c r="AF875" s="184"/>
      <c r="AG875" s="184"/>
      <c r="AH875" s="184"/>
      <c r="AI875" s="184"/>
      <c r="AJ875" s="184"/>
      <c r="AK875" s="184"/>
      <c r="AL875" s="184"/>
      <c r="AM875" s="184"/>
      <c r="AN875" s="184"/>
      <c r="AO875" s="185"/>
      <c r="AP875" s="186"/>
      <c r="AQ875" s="184"/>
      <c r="AR875" s="184"/>
      <c r="AS875" s="187"/>
      <c r="AT875" s="188"/>
    </row>
    <row r="876" customFormat="false" ht="12.75" hidden="false" customHeight="true" outlineLevel="0" collapsed="false">
      <c r="B876" s="122"/>
      <c r="C876" s="123"/>
      <c r="D876" s="124"/>
      <c r="E876" s="124"/>
      <c r="F876" s="125"/>
      <c r="G876" s="171"/>
      <c r="H876" s="171"/>
      <c r="I876" s="172"/>
      <c r="J876" s="171"/>
      <c r="K876" s="171"/>
      <c r="L876" s="171"/>
      <c r="M876" s="171"/>
      <c r="N876" s="171"/>
      <c r="O876" s="171"/>
      <c r="P876" s="171"/>
      <c r="Q876" s="171"/>
      <c r="R876" s="171"/>
      <c r="S876" s="171"/>
      <c r="T876" s="173"/>
      <c r="U876" s="174"/>
      <c r="V876" s="175"/>
      <c r="W876" s="175"/>
      <c r="X876" s="175"/>
      <c r="Y876" s="175"/>
      <c r="Z876" s="175"/>
      <c r="AA876" s="175"/>
      <c r="AB876" s="175"/>
      <c r="AC876" s="175"/>
      <c r="AD876" s="175"/>
      <c r="AE876" s="175"/>
      <c r="AF876" s="175"/>
      <c r="AG876" s="175"/>
      <c r="AH876" s="175"/>
      <c r="AI876" s="175"/>
      <c r="AJ876" s="175"/>
      <c r="AK876" s="175"/>
      <c r="AL876" s="175"/>
      <c r="AM876" s="175"/>
      <c r="AN876" s="175"/>
      <c r="AO876" s="176"/>
      <c r="AP876" s="177"/>
      <c r="AQ876" s="175"/>
      <c r="AR876" s="175"/>
      <c r="AS876" s="178"/>
      <c r="AT876" s="179"/>
    </row>
    <row r="877" customFormat="false" ht="12.75" hidden="false" customHeight="true" outlineLevel="0" collapsed="false">
      <c r="B877" s="122"/>
      <c r="C877" s="123"/>
      <c r="D877" s="124"/>
      <c r="E877" s="124"/>
      <c r="F877" s="125"/>
      <c r="G877" s="171"/>
      <c r="H877" s="171"/>
      <c r="I877" s="172"/>
      <c r="J877" s="171"/>
      <c r="K877" s="171"/>
      <c r="L877" s="171"/>
      <c r="M877" s="171"/>
      <c r="N877" s="171"/>
      <c r="O877" s="171"/>
      <c r="P877" s="171"/>
      <c r="Q877" s="171"/>
      <c r="R877" s="171"/>
      <c r="S877" s="171"/>
      <c r="T877" s="173"/>
      <c r="U877" s="174"/>
      <c r="V877" s="175"/>
      <c r="W877" s="175"/>
      <c r="X877" s="175"/>
      <c r="Y877" s="175"/>
      <c r="Z877" s="175"/>
      <c r="AA877" s="175"/>
      <c r="AB877" s="175"/>
      <c r="AC877" s="175"/>
      <c r="AD877" s="175"/>
      <c r="AE877" s="175"/>
      <c r="AF877" s="175"/>
      <c r="AG877" s="175"/>
      <c r="AH877" s="175"/>
      <c r="AI877" s="175"/>
      <c r="AJ877" s="175"/>
      <c r="AK877" s="175"/>
      <c r="AL877" s="175"/>
      <c r="AM877" s="175"/>
      <c r="AN877" s="175"/>
      <c r="AO877" s="176"/>
      <c r="AP877" s="177"/>
      <c r="AQ877" s="175"/>
      <c r="AR877" s="175"/>
      <c r="AS877" s="178"/>
      <c r="AT877" s="179"/>
    </row>
    <row r="878" customFormat="false" ht="12.75" hidden="false" customHeight="true" outlineLevel="0" collapsed="false">
      <c r="B878" s="122"/>
      <c r="C878" s="123"/>
      <c r="D878" s="124"/>
      <c r="E878" s="124"/>
      <c r="F878" s="125"/>
      <c r="G878" s="171"/>
      <c r="H878" s="171"/>
      <c r="I878" s="172"/>
      <c r="J878" s="171"/>
      <c r="K878" s="171"/>
      <c r="L878" s="171"/>
      <c r="M878" s="171"/>
      <c r="N878" s="171"/>
      <c r="O878" s="171"/>
      <c r="P878" s="171"/>
      <c r="Q878" s="171"/>
      <c r="R878" s="171"/>
      <c r="S878" s="171"/>
      <c r="T878" s="173"/>
      <c r="U878" s="174"/>
      <c r="V878" s="175"/>
      <c r="W878" s="175"/>
      <c r="X878" s="175"/>
      <c r="Y878" s="175"/>
      <c r="Z878" s="175"/>
      <c r="AA878" s="175"/>
      <c r="AB878" s="175"/>
      <c r="AC878" s="175"/>
      <c r="AD878" s="175"/>
      <c r="AE878" s="175"/>
      <c r="AF878" s="175"/>
      <c r="AG878" s="175"/>
      <c r="AH878" s="175"/>
      <c r="AI878" s="175"/>
      <c r="AJ878" s="175"/>
      <c r="AK878" s="175"/>
      <c r="AL878" s="175"/>
      <c r="AM878" s="175"/>
      <c r="AN878" s="175"/>
      <c r="AO878" s="176"/>
      <c r="AP878" s="177"/>
      <c r="AQ878" s="175"/>
      <c r="AR878" s="175"/>
      <c r="AS878" s="178"/>
      <c r="AT878" s="179"/>
    </row>
    <row r="879" customFormat="false" ht="12.75" hidden="false" customHeight="true" outlineLevel="0" collapsed="false">
      <c r="B879" s="141"/>
      <c r="C879" s="132"/>
      <c r="D879" s="133"/>
      <c r="E879" s="133"/>
      <c r="F879" s="134"/>
      <c r="G879" s="180"/>
      <c r="H879" s="180"/>
      <c r="I879" s="181"/>
      <c r="J879" s="180"/>
      <c r="K879" s="180"/>
      <c r="L879" s="180"/>
      <c r="M879" s="180"/>
      <c r="N879" s="180"/>
      <c r="O879" s="180"/>
      <c r="P879" s="180"/>
      <c r="Q879" s="180"/>
      <c r="R879" s="180"/>
      <c r="S879" s="180"/>
      <c r="T879" s="182"/>
      <c r="U879" s="183"/>
      <c r="V879" s="184"/>
      <c r="W879" s="184"/>
      <c r="X879" s="184"/>
      <c r="Y879" s="184"/>
      <c r="Z879" s="184"/>
      <c r="AA879" s="184"/>
      <c r="AB879" s="184"/>
      <c r="AC879" s="184"/>
      <c r="AD879" s="184"/>
      <c r="AE879" s="184"/>
      <c r="AF879" s="184"/>
      <c r="AG879" s="184"/>
      <c r="AH879" s="184"/>
      <c r="AI879" s="184"/>
      <c r="AJ879" s="184"/>
      <c r="AK879" s="184"/>
      <c r="AL879" s="184"/>
      <c r="AM879" s="184"/>
      <c r="AN879" s="184"/>
      <c r="AO879" s="185"/>
      <c r="AP879" s="186"/>
      <c r="AQ879" s="184"/>
      <c r="AR879" s="184"/>
      <c r="AS879" s="187"/>
      <c r="AT879" s="188"/>
    </row>
    <row r="880" customFormat="false" ht="12.75" hidden="false" customHeight="true" outlineLevel="0" collapsed="false">
      <c r="B880" s="122"/>
      <c r="C880" s="123"/>
      <c r="D880" s="124"/>
      <c r="E880" s="124"/>
      <c r="F880" s="125"/>
      <c r="G880" s="171"/>
      <c r="H880" s="171"/>
      <c r="I880" s="172"/>
      <c r="J880" s="171"/>
      <c r="K880" s="171"/>
      <c r="L880" s="171"/>
      <c r="M880" s="171"/>
      <c r="N880" s="171"/>
      <c r="O880" s="171"/>
      <c r="P880" s="171"/>
      <c r="Q880" s="171"/>
      <c r="R880" s="171"/>
      <c r="S880" s="171"/>
      <c r="T880" s="173"/>
      <c r="U880" s="174"/>
      <c r="V880" s="175"/>
      <c r="W880" s="175"/>
      <c r="X880" s="175"/>
      <c r="Y880" s="175"/>
      <c r="Z880" s="175"/>
      <c r="AA880" s="175"/>
      <c r="AB880" s="175"/>
      <c r="AC880" s="175"/>
      <c r="AD880" s="175"/>
      <c r="AE880" s="175"/>
      <c r="AF880" s="175"/>
      <c r="AG880" s="175"/>
      <c r="AH880" s="175"/>
      <c r="AI880" s="175"/>
      <c r="AJ880" s="175"/>
      <c r="AK880" s="175"/>
      <c r="AL880" s="175"/>
      <c r="AM880" s="175"/>
      <c r="AN880" s="175"/>
      <c r="AO880" s="176"/>
      <c r="AP880" s="177"/>
      <c r="AQ880" s="175"/>
      <c r="AR880" s="175"/>
      <c r="AS880" s="178"/>
      <c r="AT880" s="179"/>
    </row>
    <row r="881" customFormat="false" ht="12.75" hidden="false" customHeight="true" outlineLevel="0" collapsed="false">
      <c r="B881" s="122"/>
      <c r="C881" s="123"/>
      <c r="D881" s="124"/>
      <c r="E881" s="124"/>
      <c r="F881" s="125"/>
      <c r="G881" s="171"/>
      <c r="H881" s="171"/>
      <c r="I881" s="172"/>
      <c r="J881" s="171"/>
      <c r="K881" s="171"/>
      <c r="L881" s="171"/>
      <c r="M881" s="171"/>
      <c r="N881" s="171"/>
      <c r="O881" s="171"/>
      <c r="P881" s="171"/>
      <c r="Q881" s="171"/>
      <c r="R881" s="171"/>
      <c r="S881" s="171"/>
      <c r="T881" s="173"/>
      <c r="U881" s="174"/>
      <c r="V881" s="175"/>
      <c r="W881" s="175"/>
      <c r="X881" s="175"/>
      <c r="Y881" s="175"/>
      <c r="Z881" s="175"/>
      <c r="AA881" s="175"/>
      <c r="AB881" s="175"/>
      <c r="AC881" s="175"/>
      <c r="AD881" s="175"/>
      <c r="AE881" s="175"/>
      <c r="AF881" s="175"/>
      <c r="AG881" s="175"/>
      <c r="AH881" s="175"/>
      <c r="AI881" s="175"/>
      <c r="AJ881" s="175"/>
      <c r="AK881" s="175"/>
      <c r="AL881" s="175"/>
      <c r="AM881" s="175"/>
      <c r="AN881" s="175"/>
      <c r="AO881" s="176"/>
      <c r="AP881" s="177"/>
      <c r="AQ881" s="175"/>
      <c r="AR881" s="175"/>
      <c r="AS881" s="178"/>
      <c r="AT881" s="179"/>
    </row>
    <row r="882" customFormat="false" ht="12.75" hidden="false" customHeight="true" outlineLevel="0" collapsed="false">
      <c r="B882" s="122"/>
      <c r="C882" s="123"/>
      <c r="D882" s="124"/>
      <c r="E882" s="124"/>
      <c r="F882" s="125"/>
      <c r="G882" s="171"/>
      <c r="H882" s="171"/>
      <c r="I882" s="172"/>
      <c r="J882" s="171"/>
      <c r="K882" s="171"/>
      <c r="L882" s="171"/>
      <c r="M882" s="171"/>
      <c r="N882" s="171"/>
      <c r="O882" s="171"/>
      <c r="P882" s="171"/>
      <c r="Q882" s="171"/>
      <c r="R882" s="171"/>
      <c r="S882" s="171"/>
      <c r="T882" s="173"/>
      <c r="U882" s="174"/>
      <c r="V882" s="175"/>
      <c r="W882" s="175"/>
      <c r="X882" s="175"/>
      <c r="Y882" s="175"/>
      <c r="Z882" s="175"/>
      <c r="AA882" s="175"/>
      <c r="AB882" s="175"/>
      <c r="AC882" s="175"/>
      <c r="AD882" s="175"/>
      <c r="AE882" s="175"/>
      <c r="AF882" s="175"/>
      <c r="AG882" s="175"/>
      <c r="AH882" s="175"/>
      <c r="AI882" s="175"/>
      <c r="AJ882" s="175"/>
      <c r="AK882" s="175"/>
      <c r="AL882" s="175"/>
      <c r="AM882" s="175"/>
      <c r="AN882" s="175"/>
      <c r="AO882" s="176"/>
      <c r="AP882" s="177"/>
      <c r="AQ882" s="175"/>
      <c r="AR882" s="175"/>
      <c r="AS882" s="178"/>
      <c r="AT882" s="179"/>
    </row>
    <row r="883" customFormat="false" ht="12.75" hidden="false" customHeight="true" outlineLevel="0" collapsed="false">
      <c r="B883" s="141"/>
      <c r="C883" s="132"/>
      <c r="D883" s="133"/>
      <c r="E883" s="133"/>
      <c r="F883" s="134"/>
      <c r="G883" s="180"/>
      <c r="H883" s="180"/>
      <c r="I883" s="181"/>
      <c r="J883" s="180"/>
      <c r="K883" s="180"/>
      <c r="L883" s="180"/>
      <c r="M883" s="180"/>
      <c r="N883" s="180"/>
      <c r="O883" s="180"/>
      <c r="P883" s="180"/>
      <c r="Q883" s="180"/>
      <c r="R883" s="180"/>
      <c r="S883" s="180"/>
      <c r="T883" s="182"/>
      <c r="U883" s="183"/>
      <c r="V883" s="184"/>
      <c r="W883" s="184"/>
      <c r="X883" s="184"/>
      <c r="Y883" s="184"/>
      <c r="Z883" s="184"/>
      <c r="AA883" s="184"/>
      <c r="AB883" s="184"/>
      <c r="AC883" s="184"/>
      <c r="AD883" s="184"/>
      <c r="AE883" s="184"/>
      <c r="AF883" s="184"/>
      <c r="AG883" s="184"/>
      <c r="AH883" s="184"/>
      <c r="AI883" s="184"/>
      <c r="AJ883" s="184"/>
      <c r="AK883" s="184"/>
      <c r="AL883" s="184"/>
      <c r="AM883" s="184"/>
      <c r="AN883" s="184"/>
      <c r="AO883" s="185"/>
      <c r="AP883" s="186"/>
      <c r="AQ883" s="184"/>
      <c r="AR883" s="184"/>
      <c r="AS883" s="187"/>
      <c r="AT883" s="188"/>
    </row>
    <row r="884" customFormat="false" ht="12.75" hidden="false" customHeight="true" outlineLevel="0" collapsed="false">
      <c r="B884" s="122"/>
      <c r="C884" s="123"/>
      <c r="D884" s="124"/>
      <c r="E884" s="124"/>
      <c r="F884" s="125"/>
      <c r="G884" s="171"/>
      <c r="H884" s="171"/>
      <c r="I884" s="172"/>
      <c r="J884" s="171"/>
      <c r="K884" s="171"/>
      <c r="L884" s="171"/>
      <c r="M884" s="171"/>
      <c r="N884" s="171"/>
      <c r="O884" s="171"/>
      <c r="P884" s="171"/>
      <c r="Q884" s="171"/>
      <c r="R884" s="171"/>
      <c r="S884" s="171"/>
      <c r="T884" s="173"/>
      <c r="U884" s="174"/>
      <c r="V884" s="175"/>
      <c r="W884" s="175"/>
      <c r="X884" s="175"/>
      <c r="Y884" s="175"/>
      <c r="Z884" s="175"/>
      <c r="AA884" s="175"/>
      <c r="AB884" s="175"/>
      <c r="AC884" s="175"/>
      <c r="AD884" s="175"/>
      <c r="AE884" s="175"/>
      <c r="AF884" s="175"/>
      <c r="AG884" s="175"/>
      <c r="AH884" s="175"/>
      <c r="AI884" s="175"/>
      <c r="AJ884" s="175"/>
      <c r="AK884" s="175"/>
      <c r="AL884" s="175"/>
      <c r="AM884" s="175"/>
      <c r="AN884" s="175"/>
      <c r="AO884" s="176"/>
      <c r="AP884" s="177"/>
      <c r="AQ884" s="175"/>
      <c r="AR884" s="175"/>
      <c r="AS884" s="178"/>
      <c r="AT884" s="179"/>
    </row>
    <row r="885" customFormat="false" ht="12.75" hidden="false" customHeight="true" outlineLevel="0" collapsed="false">
      <c r="B885" s="122"/>
      <c r="C885" s="123"/>
      <c r="D885" s="124"/>
      <c r="E885" s="124"/>
      <c r="F885" s="125"/>
      <c r="G885" s="171"/>
      <c r="H885" s="171"/>
      <c r="I885" s="172"/>
      <c r="J885" s="171"/>
      <c r="K885" s="171"/>
      <c r="L885" s="171"/>
      <c r="M885" s="171"/>
      <c r="N885" s="171"/>
      <c r="O885" s="171"/>
      <c r="P885" s="171"/>
      <c r="Q885" s="171"/>
      <c r="R885" s="171"/>
      <c r="S885" s="171"/>
      <c r="T885" s="173"/>
      <c r="U885" s="174"/>
      <c r="V885" s="175"/>
      <c r="W885" s="175"/>
      <c r="X885" s="175"/>
      <c r="Y885" s="175"/>
      <c r="Z885" s="175"/>
      <c r="AA885" s="175"/>
      <c r="AB885" s="175"/>
      <c r="AC885" s="175"/>
      <c r="AD885" s="175"/>
      <c r="AE885" s="175"/>
      <c r="AF885" s="175"/>
      <c r="AG885" s="175"/>
      <c r="AH885" s="175"/>
      <c r="AI885" s="175"/>
      <c r="AJ885" s="175"/>
      <c r="AK885" s="175"/>
      <c r="AL885" s="175"/>
      <c r="AM885" s="175"/>
      <c r="AN885" s="175"/>
      <c r="AO885" s="176"/>
      <c r="AP885" s="177"/>
      <c r="AQ885" s="175"/>
      <c r="AR885" s="175"/>
      <c r="AS885" s="178"/>
      <c r="AT885" s="179"/>
    </row>
    <row r="886" customFormat="false" ht="12.75" hidden="false" customHeight="true" outlineLevel="0" collapsed="false">
      <c r="B886" s="122"/>
      <c r="C886" s="123"/>
      <c r="D886" s="124"/>
      <c r="E886" s="124"/>
      <c r="F886" s="125"/>
      <c r="G886" s="171"/>
      <c r="H886" s="171"/>
      <c r="I886" s="172"/>
      <c r="J886" s="171"/>
      <c r="K886" s="171"/>
      <c r="L886" s="171"/>
      <c r="M886" s="171"/>
      <c r="N886" s="171"/>
      <c r="O886" s="171"/>
      <c r="P886" s="171"/>
      <c r="Q886" s="171"/>
      <c r="R886" s="171"/>
      <c r="S886" s="171"/>
      <c r="T886" s="173"/>
      <c r="U886" s="174"/>
      <c r="V886" s="175"/>
      <c r="W886" s="175"/>
      <c r="X886" s="175"/>
      <c r="Y886" s="175"/>
      <c r="Z886" s="175"/>
      <c r="AA886" s="175"/>
      <c r="AB886" s="175"/>
      <c r="AC886" s="175"/>
      <c r="AD886" s="175"/>
      <c r="AE886" s="175"/>
      <c r="AF886" s="175"/>
      <c r="AG886" s="175"/>
      <c r="AH886" s="175"/>
      <c r="AI886" s="175"/>
      <c r="AJ886" s="175"/>
      <c r="AK886" s="175"/>
      <c r="AL886" s="175"/>
      <c r="AM886" s="175"/>
      <c r="AN886" s="175"/>
      <c r="AO886" s="176"/>
      <c r="AP886" s="177"/>
      <c r="AQ886" s="175"/>
      <c r="AR886" s="175"/>
      <c r="AS886" s="178"/>
      <c r="AT886" s="179"/>
    </row>
    <row r="887" customFormat="false" ht="12.75" hidden="false" customHeight="true" outlineLevel="0" collapsed="false">
      <c r="B887" s="122"/>
      <c r="C887" s="123"/>
      <c r="D887" s="124"/>
      <c r="E887" s="124"/>
      <c r="F887" s="125"/>
      <c r="G887" s="171"/>
      <c r="H887" s="171"/>
      <c r="I887" s="172"/>
      <c r="J887" s="171"/>
      <c r="K887" s="171"/>
      <c r="L887" s="171"/>
      <c r="M887" s="171"/>
      <c r="N887" s="171"/>
      <c r="O887" s="171"/>
      <c r="P887" s="171"/>
      <c r="Q887" s="171"/>
      <c r="R887" s="171"/>
      <c r="S887" s="171"/>
      <c r="T887" s="173"/>
      <c r="U887" s="174"/>
      <c r="V887" s="175"/>
      <c r="W887" s="175"/>
      <c r="X887" s="175"/>
      <c r="Y887" s="175"/>
      <c r="Z887" s="175"/>
      <c r="AA887" s="175"/>
      <c r="AB887" s="175"/>
      <c r="AC887" s="175"/>
      <c r="AD887" s="175"/>
      <c r="AE887" s="175"/>
      <c r="AF887" s="175"/>
      <c r="AG887" s="175"/>
      <c r="AH887" s="175"/>
      <c r="AI887" s="175"/>
      <c r="AJ887" s="175"/>
      <c r="AK887" s="175"/>
      <c r="AL887" s="175"/>
      <c r="AM887" s="175"/>
      <c r="AN887" s="175"/>
      <c r="AO887" s="176"/>
      <c r="AP887" s="177"/>
      <c r="AQ887" s="175"/>
      <c r="AR887" s="175"/>
      <c r="AS887" s="178"/>
      <c r="AT887" s="179"/>
    </row>
    <row r="888" customFormat="false" ht="12.75" hidden="false" customHeight="true" outlineLevel="0" collapsed="false">
      <c r="B888" s="141"/>
      <c r="C888" s="132"/>
      <c r="D888" s="133"/>
      <c r="E888" s="133"/>
      <c r="F888" s="134"/>
      <c r="G888" s="180"/>
      <c r="H888" s="180"/>
      <c r="I888" s="181"/>
      <c r="J888" s="180"/>
      <c r="K888" s="180"/>
      <c r="L888" s="180"/>
      <c r="M888" s="180"/>
      <c r="N888" s="180"/>
      <c r="O888" s="180"/>
      <c r="P888" s="180"/>
      <c r="Q888" s="180"/>
      <c r="R888" s="180"/>
      <c r="S888" s="180"/>
      <c r="T888" s="182"/>
      <c r="U888" s="183"/>
      <c r="V888" s="184"/>
      <c r="W888" s="184"/>
      <c r="X888" s="184"/>
      <c r="Y888" s="184"/>
      <c r="Z888" s="184"/>
      <c r="AA888" s="184"/>
      <c r="AB888" s="184"/>
      <c r="AC888" s="184"/>
      <c r="AD888" s="184"/>
      <c r="AE888" s="184"/>
      <c r="AF888" s="184"/>
      <c r="AG888" s="184"/>
      <c r="AH888" s="184"/>
      <c r="AI888" s="184"/>
      <c r="AJ888" s="184"/>
      <c r="AK888" s="184"/>
      <c r="AL888" s="184"/>
      <c r="AM888" s="184"/>
      <c r="AN888" s="184"/>
      <c r="AO888" s="185"/>
      <c r="AP888" s="186"/>
      <c r="AQ888" s="184"/>
      <c r="AR888" s="184"/>
      <c r="AS888" s="187"/>
      <c r="AT888" s="188"/>
    </row>
    <row r="889" customFormat="false" ht="12.75" hidden="false" customHeight="true" outlineLevel="0" collapsed="false">
      <c r="B889" s="122"/>
      <c r="C889" s="123"/>
      <c r="D889" s="124"/>
      <c r="E889" s="124"/>
      <c r="F889" s="125"/>
      <c r="G889" s="171"/>
      <c r="H889" s="171"/>
      <c r="I889" s="172"/>
      <c r="J889" s="171"/>
      <c r="K889" s="171"/>
      <c r="L889" s="171"/>
      <c r="M889" s="171"/>
      <c r="N889" s="171"/>
      <c r="O889" s="171"/>
      <c r="P889" s="171"/>
      <c r="Q889" s="171"/>
      <c r="R889" s="171"/>
      <c r="S889" s="171"/>
      <c r="T889" s="173"/>
      <c r="U889" s="174"/>
      <c r="V889" s="175"/>
      <c r="W889" s="175"/>
      <c r="X889" s="175"/>
      <c r="Y889" s="175"/>
      <c r="Z889" s="175"/>
      <c r="AA889" s="175"/>
      <c r="AB889" s="175"/>
      <c r="AC889" s="175"/>
      <c r="AD889" s="175"/>
      <c r="AE889" s="175"/>
      <c r="AF889" s="175"/>
      <c r="AG889" s="175"/>
      <c r="AH889" s="175"/>
      <c r="AI889" s="175"/>
      <c r="AJ889" s="175"/>
      <c r="AK889" s="175"/>
      <c r="AL889" s="175"/>
      <c r="AM889" s="175"/>
      <c r="AN889" s="175"/>
      <c r="AO889" s="176"/>
      <c r="AP889" s="177"/>
      <c r="AQ889" s="175"/>
      <c r="AR889" s="175"/>
      <c r="AS889" s="178"/>
      <c r="AT889" s="179"/>
    </row>
    <row r="890" customFormat="false" ht="12.75" hidden="false" customHeight="true" outlineLevel="0" collapsed="false">
      <c r="B890" s="122"/>
      <c r="C890" s="123"/>
      <c r="D890" s="124"/>
      <c r="E890" s="124"/>
      <c r="F890" s="125"/>
      <c r="G890" s="171"/>
      <c r="H890" s="171"/>
      <c r="I890" s="172"/>
      <c r="J890" s="171"/>
      <c r="K890" s="171"/>
      <c r="L890" s="171"/>
      <c r="M890" s="171"/>
      <c r="N890" s="171"/>
      <c r="O890" s="171"/>
      <c r="P890" s="171"/>
      <c r="Q890" s="171"/>
      <c r="R890" s="171"/>
      <c r="S890" s="171"/>
      <c r="T890" s="173"/>
      <c r="U890" s="174"/>
      <c r="V890" s="175"/>
      <c r="W890" s="175"/>
      <c r="X890" s="175"/>
      <c r="Y890" s="175"/>
      <c r="Z890" s="175"/>
      <c r="AA890" s="175"/>
      <c r="AB890" s="175"/>
      <c r="AC890" s="175"/>
      <c r="AD890" s="175"/>
      <c r="AE890" s="175"/>
      <c r="AF890" s="175"/>
      <c r="AG890" s="175"/>
      <c r="AH890" s="175"/>
      <c r="AI890" s="175"/>
      <c r="AJ890" s="175"/>
      <c r="AK890" s="175"/>
      <c r="AL890" s="175"/>
      <c r="AM890" s="175"/>
      <c r="AN890" s="175"/>
      <c r="AO890" s="176"/>
      <c r="AP890" s="177"/>
      <c r="AQ890" s="175"/>
      <c r="AR890" s="175"/>
      <c r="AS890" s="178"/>
      <c r="AT890" s="179"/>
    </row>
    <row r="891" customFormat="false" ht="12.75" hidden="false" customHeight="true" outlineLevel="0" collapsed="false">
      <c r="B891" s="122"/>
      <c r="C891" s="123"/>
      <c r="D891" s="124"/>
      <c r="E891" s="124"/>
      <c r="F891" s="125"/>
      <c r="G891" s="171"/>
      <c r="H891" s="171"/>
      <c r="I891" s="172"/>
      <c r="J891" s="171"/>
      <c r="K891" s="171"/>
      <c r="L891" s="171"/>
      <c r="M891" s="171"/>
      <c r="N891" s="171"/>
      <c r="O891" s="171"/>
      <c r="P891" s="171"/>
      <c r="Q891" s="171"/>
      <c r="R891" s="171"/>
      <c r="S891" s="171"/>
      <c r="T891" s="173"/>
      <c r="U891" s="174"/>
      <c r="V891" s="175"/>
      <c r="W891" s="175"/>
      <c r="X891" s="175"/>
      <c r="Y891" s="175"/>
      <c r="Z891" s="175"/>
      <c r="AA891" s="175"/>
      <c r="AB891" s="175"/>
      <c r="AC891" s="175"/>
      <c r="AD891" s="175"/>
      <c r="AE891" s="175"/>
      <c r="AF891" s="175"/>
      <c r="AG891" s="175"/>
      <c r="AH891" s="175"/>
      <c r="AI891" s="175"/>
      <c r="AJ891" s="175"/>
      <c r="AK891" s="175"/>
      <c r="AL891" s="175"/>
      <c r="AM891" s="175"/>
      <c r="AN891" s="175"/>
      <c r="AO891" s="176"/>
      <c r="AP891" s="177"/>
      <c r="AQ891" s="175"/>
      <c r="AR891" s="175"/>
      <c r="AS891" s="178"/>
      <c r="AT891" s="179"/>
    </row>
    <row r="892" customFormat="false" ht="12.75" hidden="false" customHeight="true" outlineLevel="0" collapsed="false">
      <c r="B892" s="122"/>
      <c r="C892" s="123"/>
      <c r="D892" s="124"/>
      <c r="E892" s="124"/>
      <c r="F892" s="125"/>
      <c r="G892" s="171"/>
      <c r="H892" s="171"/>
      <c r="I892" s="172"/>
      <c r="J892" s="171"/>
      <c r="K892" s="171"/>
      <c r="L892" s="171"/>
      <c r="M892" s="171"/>
      <c r="N892" s="171"/>
      <c r="O892" s="171"/>
      <c r="P892" s="171"/>
      <c r="Q892" s="171"/>
      <c r="R892" s="171"/>
      <c r="S892" s="171"/>
      <c r="T892" s="173"/>
      <c r="U892" s="174"/>
      <c r="V892" s="175"/>
      <c r="W892" s="175"/>
      <c r="X892" s="175"/>
      <c r="Y892" s="175"/>
      <c r="Z892" s="175"/>
      <c r="AA892" s="175"/>
      <c r="AB892" s="175"/>
      <c r="AC892" s="175"/>
      <c r="AD892" s="175"/>
      <c r="AE892" s="175"/>
      <c r="AF892" s="175"/>
      <c r="AG892" s="175"/>
      <c r="AH892" s="175"/>
      <c r="AI892" s="175"/>
      <c r="AJ892" s="175"/>
      <c r="AK892" s="175"/>
      <c r="AL892" s="175"/>
      <c r="AM892" s="175"/>
      <c r="AN892" s="175"/>
      <c r="AO892" s="176"/>
      <c r="AP892" s="177"/>
      <c r="AQ892" s="175"/>
      <c r="AR892" s="175"/>
      <c r="AS892" s="178"/>
      <c r="AT892" s="179"/>
    </row>
    <row r="893" customFormat="false" ht="12.75" hidden="false" customHeight="true" outlineLevel="0" collapsed="false">
      <c r="B893" s="141"/>
      <c r="C893" s="132"/>
      <c r="D893" s="133"/>
      <c r="E893" s="133"/>
      <c r="F893" s="134"/>
      <c r="G893" s="180"/>
      <c r="H893" s="180"/>
      <c r="I893" s="181"/>
      <c r="J893" s="180"/>
      <c r="K893" s="180"/>
      <c r="L893" s="180"/>
      <c r="M893" s="180"/>
      <c r="N893" s="180"/>
      <c r="O893" s="180"/>
      <c r="P893" s="180"/>
      <c r="Q893" s="180"/>
      <c r="R893" s="180"/>
      <c r="S893" s="180"/>
      <c r="T893" s="182"/>
      <c r="U893" s="183"/>
      <c r="V893" s="184"/>
      <c r="W893" s="184"/>
      <c r="X893" s="184"/>
      <c r="Y893" s="184"/>
      <c r="Z893" s="184"/>
      <c r="AA893" s="184"/>
      <c r="AB893" s="184"/>
      <c r="AC893" s="184"/>
      <c r="AD893" s="184"/>
      <c r="AE893" s="184"/>
      <c r="AF893" s="184"/>
      <c r="AG893" s="184"/>
      <c r="AH893" s="184"/>
      <c r="AI893" s="184"/>
      <c r="AJ893" s="184"/>
      <c r="AK893" s="184"/>
      <c r="AL893" s="184"/>
      <c r="AM893" s="184"/>
      <c r="AN893" s="184"/>
      <c r="AO893" s="185"/>
      <c r="AP893" s="186"/>
      <c r="AQ893" s="184"/>
      <c r="AR893" s="184"/>
      <c r="AS893" s="187"/>
      <c r="AT893" s="188"/>
    </row>
    <row r="894" customFormat="false" ht="12.75" hidden="false" customHeight="true" outlineLevel="0" collapsed="false">
      <c r="B894" s="122"/>
      <c r="C894" s="123"/>
      <c r="D894" s="124"/>
      <c r="E894" s="124"/>
      <c r="F894" s="125"/>
      <c r="G894" s="171"/>
      <c r="H894" s="171"/>
      <c r="I894" s="172"/>
      <c r="J894" s="171"/>
      <c r="K894" s="171"/>
      <c r="L894" s="171"/>
      <c r="M894" s="171"/>
      <c r="N894" s="171"/>
      <c r="O894" s="171"/>
      <c r="P894" s="171"/>
      <c r="Q894" s="171"/>
      <c r="R894" s="171"/>
      <c r="S894" s="171"/>
      <c r="T894" s="173"/>
      <c r="U894" s="174"/>
      <c r="V894" s="175"/>
      <c r="W894" s="175"/>
      <c r="X894" s="175"/>
      <c r="Y894" s="175"/>
      <c r="Z894" s="175"/>
      <c r="AA894" s="175"/>
      <c r="AB894" s="175"/>
      <c r="AC894" s="175"/>
      <c r="AD894" s="175"/>
      <c r="AE894" s="175"/>
      <c r="AF894" s="175"/>
      <c r="AG894" s="175"/>
      <c r="AH894" s="175"/>
      <c r="AI894" s="175"/>
      <c r="AJ894" s="175"/>
      <c r="AK894" s="175"/>
      <c r="AL894" s="175"/>
      <c r="AM894" s="175"/>
      <c r="AN894" s="175"/>
      <c r="AO894" s="176"/>
      <c r="AP894" s="177"/>
      <c r="AQ894" s="175"/>
      <c r="AR894" s="175"/>
      <c r="AS894" s="178"/>
      <c r="AT894" s="179"/>
    </row>
    <row r="895" customFormat="false" ht="12.75" hidden="false" customHeight="true" outlineLevel="0" collapsed="false">
      <c r="B895" s="122"/>
      <c r="C895" s="123"/>
      <c r="D895" s="124"/>
      <c r="E895" s="124"/>
      <c r="F895" s="125"/>
      <c r="G895" s="171"/>
      <c r="H895" s="171"/>
      <c r="I895" s="172"/>
      <c r="J895" s="171"/>
      <c r="K895" s="171"/>
      <c r="L895" s="171"/>
      <c r="M895" s="171"/>
      <c r="N895" s="171"/>
      <c r="O895" s="171"/>
      <c r="P895" s="171"/>
      <c r="Q895" s="171"/>
      <c r="R895" s="171"/>
      <c r="S895" s="171"/>
      <c r="T895" s="173"/>
      <c r="U895" s="174"/>
      <c r="V895" s="175"/>
      <c r="W895" s="175"/>
      <c r="X895" s="175"/>
      <c r="Y895" s="175"/>
      <c r="Z895" s="175"/>
      <c r="AA895" s="175"/>
      <c r="AB895" s="175"/>
      <c r="AC895" s="175"/>
      <c r="AD895" s="175"/>
      <c r="AE895" s="175"/>
      <c r="AF895" s="175"/>
      <c r="AG895" s="175"/>
      <c r="AH895" s="175"/>
      <c r="AI895" s="175"/>
      <c r="AJ895" s="175"/>
      <c r="AK895" s="175"/>
      <c r="AL895" s="175"/>
      <c r="AM895" s="175"/>
      <c r="AN895" s="175"/>
      <c r="AO895" s="176"/>
      <c r="AP895" s="177"/>
      <c r="AQ895" s="175"/>
      <c r="AR895" s="175"/>
      <c r="AS895" s="178"/>
      <c r="AT895" s="179"/>
    </row>
    <row r="896" customFormat="false" ht="12.75" hidden="false" customHeight="true" outlineLevel="0" collapsed="false">
      <c r="B896" s="122"/>
      <c r="C896" s="123"/>
      <c r="D896" s="124"/>
      <c r="E896" s="124"/>
      <c r="F896" s="125"/>
      <c r="G896" s="171"/>
      <c r="H896" s="171"/>
      <c r="I896" s="172"/>
      <c r="J896" s="171"/>
      <c r="K896" s="171"/>
      <c r="L896" s="171"/>
      <c r="M896" s="171"/>
      <c r="N896" s="171"/>
      <c r="O896" s="171"/>
      <c r="P896" s="171"/>
      <c r="Q896" s="171"/>
      <c r="R896" s="171"/>
      <c r="S896" s="171"/>
      <c r="T896" s="173"/>
      <c r="U896" s="174"/>
      <c r="V896" s="175"/>
      <c r="W896" s="175"/>
      <c r="X896" s="175"/>
      <c r="Y896" s="175"/>
      <c r="Z896" s="175"/>
      <c r="AA896" s="175"/>
      <c r="AB896" s="175"/>
      <c r="AC896" s="175"/>
      <c r="AD896" s="175"/>
      <c r="AE896" s="175"/>
      <c r="AF896" s="175"/>
      <c r="AG896" s="175"/>
      <c r="AH896" s="175"/>
      <c r="AI896" s="175"/>
      <c r="AJ896" s="175"/>
      <c r="AK896" s="175"/>
      <c r="AL896" s="175"/>
      <c r="AM896" s="175"/>
      <c r="AN896" s="175"/>
      <c r="AO896" s="176"/>
      <c r="AP896" s="177"/>
      <c r="AQ896" s="175"/>
      <c r="AR896" s="175"/>
      <c r="AS896" s="178"/>
      <c r="AT896" s="179"/>
    </row>
    <row r="897" customFormat="false" ht="12.75" hidden="false" customHeight="true" outlineLevel="0" collapsed="false">
      <c r="B897" s="122"/>
      <c r="C897" s="123"/>
      <c r="D897" s="124"/>
      <c r="E897" s="124"/>
      <c r="F897" s="125"/>
      <c r="G897" s="171"/>
      <c r="H897" s="171"/>
      <c r="I897" s="172"/>
      <c r="J897" s="171"/>
      <c r="K897" s="171"/>
      <c r="L897" s="171"/>
      <c r="M897" s="171"/>
      <c r="N897" s="171"/>
      <c r="O897" s="171"/>
      <c r="P897" s="171"/>
      <c r="Q897" s="171"/>
      <c r="R897" s="171"/>
      <c r="S897" s="171"/>
      <c r="T897" s="173"/>
      <c r="U897" s="174"/>
      <c r="V897" s="175"/>
      <c r="W897" s="175"/>
      <c r="X897" s="175"/>
      <c r="Y897" s="175"/>
      <c r="Z897" s="175"/>
      <c r="AA897" s="175"/>
      <c r="AB897" s="175"/>
      <c r="AC897" s="175"/>
      <c r="AD897" s="175"/>
      <c r="AE897" s="175"/>
      <c r="AF897" s="175"/>
      <c r="AG897" s="175"/>
      <c r="AH897" s="175"/>
      <c r="AI897" s="175"/>
      <c r="AJ897" s="175"/>
      <c r="AK897" s="175"/>
      <c r="AL897" s="175"/>
      <c r="AM897" s="175"/>
      <c r="AN897" s="175"/>
      <c r="AO897" s="176"/>
      <c r="AP897" s="177"/>
      <c r="AQ897" s="175"/>
      <c r="AR897" s="175"/>
      <c r="AS897" s="178"/>
      <c r="AT897" s="179"/>
    </row>
    <row r="898" customFormat="false" ht="12.75" hidden="false" customHeight="true" outlineLevel="0" collapsed="false">
      <c r="B898" s="141"/>
      <c r="C898" s="132"/>
      <c r="D898" s="133"/>
      <c r="E898" s="133"/>
      <c r="F898" s="134"/>
      <c r="G898" s="180"/>
      <c r="H898" s="180"/>
      <c r="I898" s="181"/>
      <c r="J898" s="180"/>
      <c r="K898" s="180"/>
      <c r="L898" s="180"/>
      <c r="M898" s="180"/>
      <c r="N898" s="180"/>
      <c r="O898" s="180"/>
      <c r="P898" s="180"/>
      <c r="Q898" s="180"/>
      <c r="R898" s="180"/>
      <c r="S898" s="180"/>
      <c r="T898" s="182"/>
      <c r="U898" s="183"/>
      <c r="V898" s="184"/>
      <c r="W898" s="184"/>
      <c r="X898" s="184"/>
      <c r="Y898" s="184"/>
      <c r="Z898" s="184"/>
      <c r="AA898" s="184"/>
      <c r="AB898" s="184"/>
      <c r="AC898" s="184"/>
      <c r="AD898" s="184"/>
      <c r="AE898" s="184"/>
      <c r="AF898" s="184"/>
      <c r="AG898" s="184"/>
      <c r="AH898" s="184"/>
      <c r="AI898" s="184"/>
      <c r="AJ898" s="184"/>
      <c r="AK898" s="184"/>
      <c r="AL898" s="184"/>
      <c r="AM898" s="184"/>
      <c r="AN898" s="184"/>
      <c r="AO898" s="185"/>
      <c r="AP898" s="186"/>
      <c r="AQ898" s="184"/>
      <c r="AR898" s="184"/>
      <c r="AS898" s="187"/>
      <c r="AT898" s="188"/>
    </row>
    <row r="899" customFormat="false" ht="12.75" hidden="false" customHeight="true" outlineLevel="0" collapsed="false">
      <c r="B899" s="122"/>
      <c r="C899" s="123"/>
      <c r="D899" s="124"/>
      <c r="E899" s="124"/>
      <c r="F899" s="125"/>
      <c r="G899" s="171"/>
      <c r="H899" s="171"/>
      <c r="I899" s="172"/>
      <c r="J899" s="171"/>
      <c r="K899" s="171"/>
      <c r="L899" s="171"/>
      <c r="M899" s="171"/>
      <c r="N899" s="171"/>
      <c r="O899" s="171"/>
      <c r="P899" s="171"/>
      <c r="Q899" s="171"/>
      <c r="R899" s="171"/>
      <c r="S899" s="171"/>
      <c r="T899" s="173"/>
      <c r="U899" s="174"/>
      <c r="V899" s="175"/>
      <c r="W899" s="175"/>
      <c r="X899" s="175"/>
      <c r="Y899" s="175"/>
      <c r="Z899" s="175"/>
      <c r="AA899" s="175"/>
      <c r="AB899" s="175"/>
      <c r="AC899" s="175"/>
      <c r="AD899" s="175"/>
      <c r="AE899" s="175"/>
      <c r="AF899" s="175"/>
      <c r="AG899" s="175"/>
      <c r="AH899" s="175"/>
      <c r="AI899" s="175"/>
      <c r="AJ899" s="175"/>
      <c r="AK899" s="175"/>
      <c r="AL899" s="175"/>
      <c r="AM899" s="175"/>
      <c r="AN899" s="175"/>
      <c r="AO899" s="176"/>
      <c r="AP899" s="177"/>
      <c r="AQ899" s="175"/>
      <c r="AR899" s="175"/>
      <c r="AS899" s="178"/>
      <c r="AT899" s="179"/>
    </row>
    <row r="900" customFormat="false" ht="12.75" hidden="false" customHeight="true" outlineLevel="0" collapsed="false">
      <c r="B900" s="122"/>
      <c r="C900" s="123"/>
      <c r="D900" s="124"/>
      <c r="E900" s="124"/>
      <c r="F900" s="125"/>
      <c r="G900" s="171"/>
      <c r="H900" s="171"/>
      <c r="I900" s="172"/>
      <c r="J900" s="171"/>
      <c r="K900" s="171"/>
      <c r="L900" s="171"/>
      <c r="M900" s="171"/>
      <c r="N900" s="171"/>
      <c r="O900" s="171"/>
      <c r="P900" s="171"/>
      <c r="Q900" s="171"/>
      <c r="R900" s="171"/>
      <c r="S900" s="171"/>
      <c r="T900" s="173"/>
      <c r="U900" s="174"/>
      <c r="V900" s="175"/>
      <c r="W900" s="175"/>
      <c r="X900" s="175"/>
      <c r="Y900" s="175"/>
      <c r="Z900" s="175"/>
      <c r="AA900" s="175"/>
      <c r="AB900" s="175"/>
      <c r="AC900" s="175"/>
      <c r="AD900" s="175"/>
      <c r="AE900" s="175"/>
      <c r="AF900" s="175"/>
      <c r="AG900" s="175"/>
      <c r="AH900" s="175"/>
      <c r="AI900" s="175"/>
      <c r="AJ900" s="175"/>
      <c r="AK900" s="175"/>
      <c r="AL900" s="175"/>
      <c r="AM900" s="175"/>
      <c r="AN900" s="175"/>
      <c r="AO900" s="176"/>
      <c r="AP900" s="177"/>
      <c r="AQ900" s="175"/>
      <c r="AR900" s="175"/>
      <c r="AS900" s="178"/>
      <c r="AT900" s="179"/>
    </row>
    <row r="901" customFormat="false" ht="12.75" hidden="false" customHeight="true" outlineLevel="0" collapsed="false">
      <c r="B901" s="122"/>
      <c r="C901" s="123"/>
      <c r="D901" s="124"/>
      <c r="E901" s="124"/>
      <c r="F901" s="125"/>
      <c r="G901" s="171"/>
      <c r="H901" s="171"/>
      <c r="I901" s="172"/>
      <c r="J901" s="171"/>
      <c r="K901" s="171"/>
      <c r="L901" s="171"/>
      <c r="M901" s="171"/>
      <c r="N901" s="171"/>
      <c r="O901" s="171"/>
      <c r="P901" s="171"/>
      <c r="Q901" s="171"/>
      <c r="R901" s="171"/>
      <c r="S901" s="171"/>
      <c r="T901" s="173"/>
      <c r="U901" s="174"/>
      <c r="V901" s="175"/>
      <c r="W901" s="175"/>
      <c r="X901" s="175"/>
      <c r="Y901" s="175"/>
      <c r="Z901" s="175"/>
      <c r="AA901" s="175"/>
      <c r="AB901" s="175"/>
      <c r="AC901" s="175"/>
      <c r="AD901" s="175"/>
      <c r="AE901" s="175"/>
      <c r="AF901" s="175"/>
      <c r="AG901" s="175"/>
      <c r="AH901" s="175"/>
      <c r="AI901" s="175"/>
      <c r="AJ901" s="175"/>
      <c r="AK901" s="175"/>
      <c r="AL901" s="175"/>
      <c r="AM901" s="175"/>
      <c r="AN901" s="175"/>
      <c r="AO901" s="176"/>
      <c r="AP901" s="177"/>
      <c r="AQ901" s="175"/>
      <c r="AR901" s="175"/>
      <c r="AS901" s="178"/>
      <c r="AT901" s="179"/>
    </row>
    <row r="902" customFormat="false" ht="12.75" hidden="false" customHeight="true" outlineLevel="0" collapsed="false">
      <c r="B902" s="141"/>
      <c r="C902" s="132"/>
      <c r="D902" s="133"/>
      <c r="E902" s="133"/>
      <c r="F902" s="134"/>
      <c r="G902" s="180"/>
      <c r="H902" s="180"/>
      <c r="I902" s="181"/>
      <c r="J902" s="180"/>
      <c r="K902" s="180"/>
      <c r="L902" s="180"/>
      <c r="M902" s="180"/>
      <c r="N902" s="180"/>
      <c r="O902" s="180"/>
      <c r="P902" s="180"/>
      <c r="Q902" s="180"/>
      <c r="R902" s="180"/>
      <c r="S902" s="180"/>
      <c r="T902" s="182"/>
      <c r="U902" s="183"/>
      <c r="V902" s="184"/>
      <c r="W902" s="184"/>
      <c r="X902" s="184"/>
      <c r="Y902" s="184"/>
      <c r="Z902" s="184"/>
      <c r="AA902" s="184"/>
      <c r="AB902" s="184"/>
      <c r="AC902" s="184"/>
      <c r="AD902" s="184"/>
      <c r="AE902" s="184"/>
      <c r="AF902" s="184"/>
      <c r="AG902" s="184"/>
      <c r="AH902" s="184"/>
      <c r="AI902" s="184"/>
      <c r="AJ902" s="184"/>
      <c r="AK902" s="184"/>
      <c r="AL902" s="184"/>
      <c r="AM902" s="184"/>
      <c r="AN902" s="184"/>
      <c r="AO902" s="185"/>
      <c r="AP902" s="186"/>
      <c r="AQ902" s="184"/>
      <c r="AR902" s="184"/>
      <c r="AS902" s="187"/>
      <c r="AT902" s="188"/>
    </row>
    <row r="903" customFormat="false" ht="12.75" hidden="false" customHeight="true" outlineLevel="0" collapsed="false">
      <c r="B903" s="122"/>
      <c r="C903" s="123"/>
      <c r="D903" s="124"/>
      <c r="E903" s="124"/>
      <c r="F903" s="125"/>
      <c r="G903" s="171"/>
      <c r="H903" s="171"/>
      <c r="I903" s="172"/>
      <c r="J903" s="171"/>
      <c r="K903" s="171"/>
      <c r="L903" s="171"/>
      <c r="M903" s="171"/>
      <c r="N903" s="171"/>
      <c r="O903" s="171"/>
      <c r="P903" s="171"/>
      <c r="Q903" s="171"/>
      <c r="R903" s="171"/>
      <c r="S903" s="171"/>
      <c r="T903" s="173"/>
      <c r="U903" s="174"/>
      <c r="V903" s="175"/>
      <c r="W903" s="175"/>
      <c r="X903" s="175"/>
      <c r="Y903" s="175"/>
      <c r="Z903" s="175"/>
      <c r="AA903" s="175"/>
      <c r="AB903" s="175"/>
      <c r="AC903" s="175"/>
      <c r="AD903" s="175"/>
      <c r="AE903" s="175"/>
      <c r="AF903" s="175"/>
      <c r="AG903" s="175"/>
      <c r="AH903" s="175"/>
      <c r="AI903" s="175"/>
      <c r="AJ903" s="175"/>
      <c r="AK903" s="175"/>
      <c r="AL903" s="175"/>
      <c r="AM903" s="175"/>
      <c r="AN903" s="175"/>
      <c r="AO903" s="176"/>
      <c r="AP903" s="177"/>
      <c r="AQ903" s="175"/>
      <c r="AR903" s="175"/>
      <c r="AS903" s="178"/>
      <c r="AT903" s="179"/>
    </row>
    <row r="904" customFormat="false" ht="12.75" hidden="false" customHeight="true" outlineLevel="0" collapsed="false">
      <c r="B904" s="122"/>
      <c r="C904" s="123"/>
      <c r="D904" s="124"/>
      <c r="E904" s="124"/>
      <c r="F904" s="125"/>
      <c r="G904" s="171"/>
      <c r="H904" s="171"/>
      <c r="I904" s="172"/>
      <c r="J904" s="171"/>
      <c r="K904" s="171"/>
      <c r="L904" s="171"/>
      <c r="M904" s="171"/>
      <c r="N904" s="171"/>
      <c r="O904" s="171"/>
      <c r="P904" s="171"/>
      <c r="Q904" s="171"/>
      <c r="R904" s="171"/>
      <c r="S904" s="171"/>
      <c r="T904" s="173"/>
      <c r="U904" s="174"/>
      <c r="V904" s="175"/>
      <c r="W904" s="175"/>
      <c r="X904" s="175"/>
      <c r="Y904" s="175"/>
      <c r="Z904" s="175"/>
      <c r="AA904" s="175"/>
      <c r="AB904" s="175"/>
      <c r="AC904" s="175"/>
      <c r="AD904" s="175"/>
      <c r="AE904" s="175"/>
      <c r="AF904" s="175"/>
      <c r="AG904" s="175"/>
      <c r="AH904" s="175"/>
      <c r="AI904" s="175"/>
      <c r="AJ904" s="175"/>
      <c r="AK904" s="175"/>
      <c r="AL904" s="175"/>
      <c r="AM904" s="175"/>
      <c r="AN904" s="175"/>
      <c r="AO904" s="176"/>
      <c r="AP904" s="177"/>
      <c r="AQ904" s="175"/>
      <c r="AR904" s="175"/>
      <c r="AS904" s="178"/>
      <c r="AT904" s="179"/>
    </row>
    <row r="905" customFormat="false" ht="12.75" hidden="false" customHeight="true" outlineLevel="0" collapsed="false">
      <c r="B905" s="122"/>
      <c r="C905" s="123"/>
      <c r="D905" s="124"/>
      <c r="E905" s="124"/>
      <c r="F905" s="125"/>
      <c r="G905" s="171"/>
      <c r="H905" s="171"/>
      <c r="I905" s="172"/>
      <c r="J905" s="171"/>
      <c r="K905" s="171"/>
      <c r="L905" s="171"/>
      <c r="M905" s="171"/>
      <c r="N905" s="171"/>
      <c r="O905" s="171"/>
      <c r="P905" s="171"/>
      <c r="Q905" s="171"/>
      <c r="R905" s="171"/>
      <c r="S905" s="171"/>
      <c r="T905" s="173"/>
      <c r="U905" s="174"/>
      <c r="V905" s="175"/>
      <c r="W905" s="175"/>
      <c r="X905" s="175"/>
      <c r="Y905" s="175"/>
      <c r="Z905" s="175"/>
      <c r="AA905" s="175"/>
      <c r="AB905" s="175"/>
      <c r="AC905" s="175"/>
      <c r="AD905" s="175"/>
      <c r="AE905" s="175"/>
      <c r="AF905" s="175"/>
      <c r="AG905" s="175"/>
      <c r="AH905" s="175"/>
      <c r="AI905" s="175"/>
      <c r="AJ905" s="175"/>
      <c r="AK905" s="175"/>
      <c r="AL905" s="175"/>
      <c r="AM905" s="175"/>
      <c r="AN905" s="175"/>
      <c r="AO905" s="176"/>
      <c r="AP905" s="177"/>
      <c r="AQ905" s="175"/>
      <c r="AR905" s="175"/>
      <c r="AS905" s="178"/>
      <c r="AT905" s="179"/>
    </row>
    <row r="906" customFormat="false" ht="12.75" hidden="false" customHeight="true" outlineLevel="0" collapsed="false">
      <c r="B906" s="122"/>
      <c r="C906" s="123"/>
      <c r="D906" s="124"/>
      <c r="E906" s="124"/>
      <c r="F906" s="125"/>
      <c r="G906" s="171"/>
      <c r="H906" s="171"/>
      <c r="I906" s="172"/>
      <c r="J906" s="171"/>
      <c r="K906" s="171"/>
      <c r="L906" s="171"/>
      <c r="M906" s="171"/>
      <c r="N906" s="171"/>
      <c r="O906" s="171"/>
      <c r="P906" s="171"/>
      <c r="Q906" s="171"/>
      <c r="R906" s="171"/>
      <c r="S906" s="171"/>
      <c r="T906" s="173"/>
      <c r="U906" s="174"/>
      <c r="V906" s="175"/>
      <c r="W906" s="175"/>
      <c r="X906" s="175"/>
      <c r="Y906" s="175"/>
      <c r="Z906" s="175"/>
      <c r="AA906" s="175"/>
      <c r="AB906" s="175"/>
      <c r="AC906" s="175"/>
      <c r="AD906" s="175"/>
      <c r="AE906" s="175"/>
      <c r="AF906" s="175"/>
      <c r="AG906" s="175"/>
      <c r="AH906" s="175"/>
      <c r="AI906" s="175"/>
      <c r="AJ906" s="175"/>
      <c r="AK906" s="175"/>
      <c r="AL906" s="175"/>
      <c r="AM906" s="175"/>
      <c r="AN906" s="175"/>
      <c r="AO906" s="176"/>
      <c r="AP906" s="177"/>
      <c r="AQ906" s="175"/>
      <c r="AR906" s="175"/>
      <c r="AS906" s="178"/>
      <c r="AT906" s="179"/>
    </row>
    <row r="907" customFormat="false" ht="12.75" hidden="false" customHeight="true" outlineLevel="0" collapsed="false">
      <c r="B907" s="141"/>
      <c r="C907" s="132"/>
      <c r="D907" s="133"/>
      <c r="E907" s="133"/>
      <c r="F907" s="134"/>
      <c r="G907" s="180"/>
      <c r="H907" s="180"/>
      <c r="I907" s="181"/>
      <c r="J907" s="180"/>
      <c r="K907" s="180"/>
      <c r="L907" s="180"/>
      <c r="M907" s="180"/>
      <c r="N907" s="180"/>
      <c r="O907" s="180"/>
      <c r="P907" s="180"/>
      <c r="Q907" s="180"/>
      <c r="R907" s="180"/>
      <c r="S907" s="180"/>
      <c r="T907" s="182"/>
      <c r="U907" s="183"/>
      <c r="V907" s="184"/>
      <c r="W907" s="184"/>
      <c r="X907" s="184"/>
      <c r="Y907" s="184"/>
      <c r="Z907" s="184"/>
      <c r="AA907" s="184"/>
      <c r="AB907" s="184"/>
      <c r="AC907" s="184"/>
      <c r="AD907" s="184"/>
      <c r="AE907" s="184"/>
      <c r="AF907" s="184"/>
      <c r="AG907" s="184"/>
      <c r="AH907" s="184"/>
      <c r="AI907" s="184"/>
      <c r="AJ907" s="184"/>
      <c r="AK907" s="184"/>
      <c r="AL907" s="184"/>
      <c r="AM907" s="184"/>
      <c r="AN907" s="184"/>
      <c r="AO907" s="185"/>
      <c r="AP907" s="186"/>
      <c r="AQ907" s="184"/>
      <c r="AR907" s="184"/>
      <c r="AS907" s="187"/>
      <c r="AT907" s="188"/>
    </row>
    <row r="908" customFormat="false" ht="12.75" hidden="false" customHeight="true" outlineLevel="0" collapsed="false">
      <c r="B908" s="122"/>
      <c r="C908" s="123"/>
      <c r="D908" s="124"/>
      <c r="E908" s="124"/>
      <c r="F908" s="125"/>
      <c r="G908" s="171"/>
      <c r="H908" s="171"/>
      <c r="I908" s="172"/>
      <c r="J908" s="171"/>
      <c r="K908" s="171"/>
      <c r="L908" s="171"/>
      <c r="M908" s="171"/>
      <c r="N908" s="171"/>
      <c r="O908" s="171"/>
      <c r="P908" s="171"/>
      <c r="Q908" s="171"/>
      <c r="R908" s="171"/>
      <c r="S908" s="171"/>
      <c r="T908" s="173"/>
      <c r="U908" s="174"/>
      <c r="V908" s="175"/>
      <c r="W908" s="175"/>
      <c r="X908" s="175"/>
      <c r="Y908" s="175"/>
      <c r="Z908" s="175"/>
      <c r="AA908" s="175"/>
      <c r="AB908" s="175"/>
      <c r="AC908" s="175"/>
      <c r="AD908" s="175"/>
      <c r="AE908" s="175"/>
      <c r="AF908" s="175"/>
      <c r="AG908" s="175"/>
      <c r="AH908" s="175"/>
      <c r="AI908" s="175"/>
      <c r="AJ908" s="175"/>
      <c r="AK908" s="175"/>
      <c r="AL908" s="175"/>
      <c r="AM908" s="175"/>
      <c r="AN908" s="175"/>
      <c r="AO908" s="176"/>
      <c r="AP908" s="177"/>
      <c r="AQ908" s="175"/>
      <c r="AR908" s="175"/>
      <c r="AS908" s="178"/>
      <c r="AT908" s="179"/>
    </row>
    <row r="909" customFormat="false" ht="12.75" hidden="false" customHeight="true" outlineLevel="0" collapsed="false">
      <c r="B909" s="122"/>
      <c r="C909" s="123"/>
      <c r="D909" s="124"/>
      <c r="E909" s="124"/>
      <c r="F909" s="125"/>
      <c r="G909" s="171"/>
      <c r="H909" s="171"/>
      <c r="I909" s="172"/>
      <c r="J909" s="171"/>
      <c r="K909" s="171"/>
      <c r="L909" s="171"/>
      <c r="M909" s="171"/>
      <c r="N909" s="171"/>
      <c r="O909" s="171"/>
      <c r="P909" s="171"/>
      <c r="Q909" s="171"/>
      <c r="R909" s="171"/>
      <c r="S909" s="171"/>
      <c r="T909" s="173"/>
      <c r="U909" s="174"/>
      <c r="V909" s="175"/>
      <c r="W909" s="175"/>
      <c r="X909" s="175"/>
      <c r="Y909" s="175"/>
      <c r="Z909" s="175"/>
      <c r="AA909" s="175"/>
      <c r="AB909" s="175"/>
      <c r="AC909" s="175"/>
      <c r="AD909" s="175"/>
      <c r="AE909" s="175"/>
      <c r="AF909" s="175"/>
      <c r="AG909" s="175"/>
      <c r="AH909" s="175"/>
      <c r="AI909" s="175"/>
      <c r="AJ909" s="175"/>
      <c r="AK909" s="175"/>
      <c r="AL909" s="175"/>
      <c r="AM909" s="175"/>
      <c r="AN909" s="175"/>
      <c r="AO909" s="176"/>
      <c r="AP909" s="177"/>
      <c r="AQ909" s="175"/>
      <c r="AR909" s="175"/>
      <c r="AS909" s="178"/>
      <c r="AT909" s="179"/>
    </row>
    <row r="910" customFormat="false" ht="12.75" hidden="false" customHeight="true" outlineLevel="0" collapsed="false">
      <c r="B910" s="122"/>
      <c r="C910" s="123"/>
      <c r="D910" s="124"/>
      <c r="E910" s="124"/>
      <c r="F910" s="125"/>
      <c r="G910" s="171"/>
      <c r="H910" s="171"/>
      <c r="I910" s="172"/>
      <c r="J910" s="171"/>
      <c r="K910" s="171"/>
      <c r="L910" s="171"/>
      <c r="M910" s="171"/>
      <c r="N910" s="171"/>
      <c r="O910" s="171"/>
      <c r="P910" s="171"/>
      <c r="Q910" s="171"/>
      <c r="R910" s="171"/>
      <c r="S910" s="171"/>
      <c r="T910" s="173"/>
      <c r="U910" s="174"/>
      <c r="V910" s="175"/>
      <c r="W910" s="175"/>
      <c r="X910" s="175"/>
      <c r="Y910" s="175"/>
      <c r="Z910" s="175"/>
      <c r="AA910" s="175"/>
      <c r="AB910" s="175"/>
      <c r="AC910" s="175"/>
      <c r="AD910" s="175"/>
      <c r="AE910" s="175"/>
      <c r="AF910" s="175"/>
      <c r="AG910" s="175"/>
      <c r="AH910" s="175"/>
      <c r="AI910" s="175"/>
      <c r="AJ910" s="175"/>
      <c r="AK910" s="175"/>
      <c r="AL910" s="175"/>
      <c r="AM910" s="175"/>
      <c r="AN910" s="175"/>
      <c r="AO910" s="176"/>
      <c r="AP910" s="177"/>
      <c r="AQ910" s="175"/>
      <c r="AR910" s="175"/>
      <c r="AS910" s="178"/>
      <c r="AT910" s="179"/>
    </row>
    <row r="911" customFormat="false" ht="12.75" hidden="false" customHeight="true" outlineLevel="0" collapsed="false">
      <c r="B911" s="122"/>
      <c r="C911" s="123"/>
      <c r="D911" s="124"/>
      <c r="E911" s="124"/>
      <c r="F911" s="125"/>
      <c r="G911" s="171"/>
      <c r="H911" s="171"/>
      <c r="I911" s="172"/>
      <c r="J911" s="171"/>
      <c r="K911" s="171"/>
      <c r="L911" s="171"/>
      <c r="M911" s="171"/>
      <c r="N911" s="171"/>
      <c r="O911" s="171"/>
      <c r="P911" s="171"/>
      <c r="Q911" s="171"/>
      <c r="R911" s="171"/>
      <c r="S911" s="171"/>
      <c r="T911" s="173"/>
      <c r="U911" s="174"/>
      <c r="V911" s="175"/>
      <c r="W911" s="175"/>
      <c r="X911" s="175"/>
      <c r="Y911" s="175"/>
      <c r="Z911" s="175"/>
      <c r="AA911" s="175"/>
      <c r="AB911" s="175"/>
      <c r="AC911" s="175"/>
      <c r="AD911" s="175"/>
      <c r="AE911" s="175"/>
      <c r="AF911" s="175"/>
      <c r="AG911" s="175"/>
      <c r="AH911" s="175"/>
      <c r="AI911" s="175"/>
      <c r="AJ911" s="175"/>
      <c r="AK911" s="175"/>
      <c r="AL911" s="175"/>
      <c r="AM911" s="175"/>
      <c r="AN911" s="175"/>
      <c r="AO911" s="176"/>
      <c r="AP911" s="177"/>
      <c r="AQ911" s="175"/>
      <c r="AR911" s="175"/>
      <c r="AS911" s="178"/>
      <c r="AT911" s="179"/>
    </row>
    <row r="912" customFormat="false" ht="12.75" hidden="false" customHeight="true" outlineLevel="0" collapsed="false">
      <c r="B912" s="141"/>
      <c r="C912" s="132"/>
      <c r="D912" s="133"/>
      <c r="E912" s="133"/>
      <c r="F912" s="134"/>
      <c r="G912" s="180"/>
      <c r="H912" s="180"/>
      <c r="I912" s="181"/>
      <c r="J912" s="180"/>
      <c r="K912" s="180"/>
      <c r="L912" s="180"/>
      <c r="M912" s="180"/>
      <c r="N912" s="180"/>
      <c r="O912" s="180"/>
      <c r="P912" s="180"/>
      <c r="Q912" s="180"/>
      <c r="R912" s="180"/>
      <c r="S912" s="180"/>
      <c r="T912" s="182"/>
      <c r="U912" s="183"/>
      <c r="V912" s="184"/>
      <c r="W912" s="184"/>
      <c r="X912" s="184"/>
      <c r="Y912" s="184"/>
      <c r="Z912" s="184"/>
      <c r="AA912" s="184"/>
      <c r="AB912" s="184"/>
      <c r="AC912" s="184"/>
      <c r="AD912" s="184"/>
      <c r="AE912" s="184"/>
      <c r="AF912" s="184"/>
      <c r="AG912" s="184"/>
      <c r="AH912" s="184"/>
      <c r="AI912" s="184"/>
      <c r="AJ912" s="184"/>
      <c r="AK912" s="184"/>
      <c r="AL912" s="184"/>
      <c r="AM912" s="184"/>
      <c r="AN912" s="184"/>
      <c r="AO912" s="185"/>
      <c r="AP912" s="186"/>
      <c r="AQ912" s="184"/>
      <c r="AR912" s="184"/>
      <c r="AS912" s="187"/>
      <c r="AT912" s="188"/>
    </row>
    <row r="913" customFormat="false" ht="12.75" hidden="false" customHeight="true" outlineLevel="0" collapsed="false">
      <c r="B913" s="122"/>
      <c r="C913" s="123"/>
      <c r="D913" s="124"/>
      <c r="E913" s="124"/>
      <c r="F913" s="125"/>
      <c r="G913" s="171"/>
      <c r="H913" s="171"/>
      <c r="I913" s="172"/>
      <c r="J913" s="171"/>
      <c r="K913" s="171"/>
      <c r="L913" s="171"/>
      <c r="M913" s="171"/>
      <c r="N913" s="171"/>
      <c r="O913" s="171"/>
      <c r="P913" s="171"/>
      <c r="Q913" s="171"/>
      <c r="R913" s="171"/>
      <c r="S913" s="171"/>
      <c r="T913" s="173"/>
      <c r="U913" s="174"/>
      <c r="V913" s="175"/>
      <c r="W913" s="175"/>
      <c r="X913" s="175"/>
      <c r="Y913" s="175"/>
      <c r="Z913" s="175"/>
      <c r="AA913" s="175"/>
      <c r="AB913" s="175"/>
      <c r="AC913" s="175"/>
      <c r="AD913" s="175"/>
      <c r="AE913" s="175"/>
      <c r="AF913" s="175"/>
      <c r="AG913" s="175"/>
      <c r="AH913" s="175"/>
      <c r="AI913" s="175"/>
      <c r="AJ913" s="175"/>
      <c r="AK913" s="175"/>
      <c r="AL913" s="175"/>
      <c r="AM913" s="175"/>
      <c r="AN913" s="175"/>
      <c r="AO913" s="176"/>
      <c r="AP913" s="177"/>
      <c r="AQ913" s="175"/>
      <c r="AR913" s="175"/>
      <c r="AS913" s="178"/>
      <c r="AT913" s="179"/>
    </row>
    <row r="914" customFormat="false" ht="12.75" hidden="false" customHeight="true" outlineLevel="0" collapsed="false">
      <c r="B914" s="122"/>
      <c r="C914" s="123"/>
      <c r="D914" s="124"/>
      <c r="E914" s="124"/>
      <c r="F914" s="125"/>
      <c r="G914" s="171"/>
      <c r="H914" s="171"/>
      <c r="I914" s="172"/>
      <c r="J914" s="171"/>
      <c r="K914" s="171"/>
      <c r="L914" s="171"/>
      <c r="M914" s="171"/>
      <c r="N914" s="171"/>
      <c r="O914" s="171"/>
      <c r="P914" s="171"/>
      <c r="Q914" s="171"/>
      <c r="R914" s="171"/>
      <c r="S914" s="171"/>
      <c r="T914" s="173"/>
      <c r="U914" s="174"/>
      <c r="V914" s="175"/>
      <c r="W914" s="175"/>
      <c r="X914" s="175"/>
      <c r="Y914" s="175"/>
      <c r="Z914" s="175"/>
      <c r="AA914" s="175"/>
      <c r="AB914" s="175"/>
      <c r="AC914" s="175"/>
      <c r="AD914" s="175"/>
      <c r="AE914" s="175"/>
      <c r="AF914" s="175"/>
      <c r="AG914" s="175"/>
      <c r="AH914" s="175"/>
      <c r="AI914" s="175"/>
      <c r="AJ914" s="175"/>
      <c r="AK914" s="175"/>
      <c r="AL914" s="175"/>
      <c r="AM914" s="175"/>
      <c r="AN914" s="175"/>
      <c r="AO914" s="176"/>
      <c r="AP914" s="177"/>
      <c r="AQ914" s="175"/>
      <c r="AR914" s="175"/>
      <c r="AS914" s="178"/>
      <c r="AT914" s="179"/>
    </row>
    <row r="915" customFormat="false" ht="12.75" hidden="false" customHeight="true" outlineLevel="0" collapsed="false">
      <c r="B915" s="122"/>
      <c r="C915" s="123"/>
      <c r="D915" s="124"/>
      <c r="E915" s="124"/>
      <c r="F915" s="125"/>
      <c r="G915" s="171"/>
      <c r="H915" s="171"/>
      <c r="I915" s="172"/>
      <c r="J915" s="171"/>
      <c r="K915" s="171"/>
      <c r="L915" s="171"/>
      <c r="M915" s="171"/>
      <c r="N915" s="171"/>
      <c r="O915" s="171"/>
      <c r="P915" s="171"/>
      <c r="Q915" s="171"/>
      <c r="R915" s="171"/>
      <c r="S915" s="171"/>
      <c r="T915" s="173"/>
      <c r="U915" s="174"/>
      <c r="V915" s="175"/>
      <c r="W915" s="175"/>
      <c r="X915" s="175"/>
      <c r="Y915" s="175"/>
      <c r="Z915" s="175"/>
      <c r="AA915" s="175"/>
      <c r="AB915" s="175"/>
      <c r="AC915" s="175"/>
      <c r="AD915" s="175"/>
      <c r="AE915" s="175"/>
      <c r="AF915" s="175"/>
      <c r="AG915" s="175"/>
      <c r="AH915" s="175"/>
      <c r="AI915" s="175"/>
      <c r="AJ915" s="175"/>
      <c r="AK915" s="175"/>
      <c r="AL915" s="175"/>
      <c r="AM915" s="175"/>
      <c r="AN915" s="175"/>
      <c r="AO915" s="176"/>
      <c r="AP915" s="177"/>
      <c r="AQ915" s="175"/>
      <c r="AR915" s="175"/>
      <c r="AS915" s="178"/>
      <c r="AT915" s="179"/>
    </row>
    <row r="916" customFormat="false" ht="12.75" hidden="false" customHeight="true" outlineLevel="0" collapsed="false">
      <c r="B916" s="122"/>
      <c r="C916" s="123"/>
      <c r="D916" s="124"/>
      <c r="E916" s="124"/>
      <c r="F916" s="125"/>
      <c r="G916" s="171"/>
      <c r="H916" s="171"/>
      <c r="I916" s="172"/>
      <c r="J916" s="171"/>
      <c r="K916" s="171"/>
      <c r="L916" s="171"/>
      <c r="M916" s="171"/>
      <c r="N916" s="171"/>
      <c r="O916" s="171"/>
      <c r="P916" s="171"/>
      <c r="Q916" s="171"/>
      <c r="R916" s="171"/>
      <c r="S916" s="171"/>
      <c r="T916" s="173"/>
      <c r="U916" s="174"/>
      <c r="V916" s="175"/>
      <c r="W916" s="175"/>
      <c r="X916" s="175"/>
      <c r="Y916" s="175"/>
      <c r="Z916" s="175"/>
      <c r="AA916" s="175"/>
      <c r="AB916" s="175"/>
      <c r="AC916" s="175"/>
      <c r="AD916" s="175"/>
      <c r="AE916" s="175"/>
      <c r="AF916" s="175"/>
      <c r="AG916" s="175"/>
      <c r="AH916" s="175"/>
      <c r="AI916" s="175"/>
      <c r="AJ916" s="175"/>
      <c r="AK916" s="175"/>
      <c r="AL916" s="175"/>
      <c r="AM916" s="175"/>
      <c r="AN916" s="175"/>
      <c r="AO916" s="176"/>
      <c r="AP916" s="177"/>
      <c r="AQ916" s="175"/>
      <c r="AR916" s="175"/>
      <c r="AS916" s="178"/>
      <c r="AT916" s="179"/>
    </row>
    <row r="917" customFormat="false" ht="12.75" hidden="false" customHeight="true" outlineLevel="0" collapsed="false">
      <c r="B917" s="141"/>
      <c r="C917" s="132"/>
      <c r="D917" s="133"/>
      <c r="E917" s="133"/>
      <c r="F917" s="134"/>
      <c r="G917" s="180"/>
      <c r="H917" s="180"/>
      <c r="I917" s="181"/>
      <c r="J917" s="180"/>
      <c r="K917" s="180"/>
      <c r="L917" s="180"/>
      <c r="M917" s="180"/>
      <c r="N917" s="180"/>
      <c r="O917" s="180"/>
      <c r="P917" s="180"/>
      <c r="Q917" s="180"/>
      <c r="R917" s="180"/>
      <c r="S917" s="180"/>
      <c r="T917" s="182"/>
      <c r="U917" s="183"/>
      <c r="V917" s="184"/>
      <c r="W917" s="184"/>
      <c r="X917" s="184"/>
      <c r="Y917" s="184"/>
      <c r="Z917" s="184"/>
      <c r="AA917" s="184"/>
      <c r="AB917" s="184"/>
      <c r="AC917" s="184"/>
      <c r="AD917" s="184"/>
      <c r="AE917" s="184"/>
      <c r="AF917" s="184"/>
      <c r="AG917" s="184"/>
      <c r="AH917" s="184"/>
      <c r="AI917" s="184"/>
      <c r="AJ917" s="184"/>
      <c r="AK917" s="184"/>
      <c r="AL917" s="184"/>
      <c r="AM917" s="184"/>
      <c r="AN917" s="184"/>
      <c r="AO917" s="185"/>
      <c r="AP917" s="186"/>
      <c r="AQ917" s="184"/>
      <c r="AR917" s="184"/>
      <c r="AS917" s="187"/>
      <c r="AT917" s="188"/>
    </row>
    <row r="918" customFormat="false" ht="12.75" hidden="false" customHeight="true" outlineLevel="0" collapsed="false">
      <c r="B918" s="122"/>
      <c r="C918" s="123"/>
      <c r="D918" s="124"/>
      <c r="E918" s="124"/>
      <c r="F918" s="125"/>
      <c r="G918" s="171"/>
      <c r="H918" s="171"/>
      <c r="I918" s="172"/>
      <c r="J918" s="171"/>
      <c r="K918" s="171"/>
      <c r="L918" s="171"/>
      <c r="M918" s="171"/>
      <c r="N918" s="171"/>
      <c r="O918" s="171"/>
      <c r="P918" s="171"/>
      <c r="Q918" s="171"/>
      <c r="R918" s="171"/>
      <c r="S918" s="171"/>
      <c r="T918" s="173"/>
      <c r="U918" s="174"/>
      <c r="V918" s="175"/>
      <c r="W918" s="175"/>
      <c r="X918" s="175"/>
      <c r="Y918" s="175"/>
      <c r="Z918" s="175"/>
      <c r="AA918" s="175"/>
      <c r="AB918" s="175"/>
      <c r="AC918" s="175"/>
      <c r="AD918" s="175"/>
      <c r="AE918" s="175"/>
      <c r="AF918" s="175"/>
      <c r="AG918" s="175"/>
      <c r="AH918" s="175"/>
      <c r="AI918" s="175"/>
      <c r="AJ918" s="175"/>
      <c r="AK918" s="175"/>
      <c r="AL918" s="175"/>
      <c r="AM918" s="175"/>
      <c r="AN918" s="175"/>
      <c r="AO918" s="176"/>
      <c r="AP918" s="177"/>
      <c r="AQ918" s="175"/>
      <c r="AR918" s="175"/>
      <c r="AS918" s="178"/>
      <c r="AT918" s="179"/>
    </row>
    <row r="919" customFormat="false" ht="12.75" hidden="false" customHeight="true" outlineLevel="0" collapsed="false">
      <c r="B919" s="122"/>
      <c r="C919" s="123"/>
      <c r="D919" s="124"/>
      <c r="E919" s="124"/>
      <c r="F919" s="125"/>
      <c r="G919" s="171"/>
      <c r="H919" s="171"/>
      <c r="I919" s="172"/>
      <c r="J919" s="171"/>
      <c r="K919" s="171"/>
      <c r="L919" s="171"/>
      <c r="M919" s="171"/>
      <c r="N919" s="171"/>
      <c r="O919" s="171"/>
      <c r="P919" s="171"/>
      <c r="Q919" s="171"/>
      <c r="R919" s="171"/>
      <c r="S919" s="171"/>
      <c r="T919" s="173"/>
      <c r="U919" s="174"/>
      <c r="V919" s="175"/>
      <c r="W919" s="175"/>
      <c r="X919" s="175"/>
      <c r="Y919" s="175"/>
      <c r="Z919" s="175"/>
      <c r="AA919" s="175"/>
      <c r="AB919" s="175"/>
      <c r="AC919" s="175"/>
      <c r="AD919" s="175"/>
      <c r="AE919" s="175"/>
      <c r="AF919" s="175"/>
      <c r="AG919" s="175"/>
      <c r="AH919" s="175"/>
      <c r="AI919" s="175"/>
      <c r="AJ919" s="175"/>
      <c r="AK919" s="175"/>
      <c r="AL919" s="175"/>
      <c r="AM919" s="175"/>
      <c r="AN919" s="175"/>
      <c r="AO919" s="176"/>
      <c r="AP919" s="177"/>
      <c r="AQ919" s="175"/>
      <c r="AR919" s="175"/>
      <c r="AS919" s="178"/>
      <c r="AT919" s="179"/>
    </row>
    <row r="920" customFormat="false" ht="12.75" hidden="false" customHeight="true" outlineLevel="0" collapsed="false">
      <c r="B920" s="122"/>
      <c r="C920" s="123"/>
      <c r="D920" s="124"/>
      <c r="E920" s="124"/>
      <c r="F920" s="125"/>
      <c r="G920" s="171"/>
      <c r="H920" s="171"/>
      <c r="I920" s="172"/>
      <c r="J920" s="171"/>
      <c r="K920" s="171"/>
      <c r="L920" s="171"/>
      <c r="M920" s="171"/>
      <c r="N920" s="171"/>
      <c r="O920" s="171"/>
      <c r="P920" s="171"/>
      <c r="Q920" s="171"/>
      <c r="R920" s="171"/>
      <c r="S920" s="171"/>
      <c r="T920" s="173"/>
      <c r="U920" s="174"/>
      <c r="V920" s="175"/>
      <c r="W920" s="175"/>
      <c r="X920" s="175"/>
      <c r="Y920" s="175"/>
      <c r="Z920" s="175"/>
      <c r="AA920" s="175"/>
      <c r="AB920" s="175"/>
      <c r="AC920" s="175"/>
      <c r="AD920" s="175"/>
      <c r="AE920" s="175"/>
      <c r="AF920" s="175"/>
      <c r="AG920" s="175"/>
      <c r="AH920" s="175"/>
      <c r="AI920" s="175"/>
      <c r="AJ920" s="175"/>
      <c r="AK920" s="175"/>
      <c r="AL920" s="175"/>
      <c r="AM920" s="175"/>
      <c r="AN920" s="175"/>
      <c r="AO920" s="176"/>
      <c r="AP920" s="177"/>
      <c r="AQ920" s="175"/>
      <c r="AR920" s="175"/>
      <c r="AS920" s="178"/>
      <c r="AT920" s="179"/>
    </row>
    <row r="921" customFormat="false" ht="12.75" hidden="false" customHeight="true" outlineLevel="0" collapsed="false">
      <c r="B921" s="141"/>
      <c r="C921" s="132"/>
      <c r="D921" s="133"/>
      <c r="E921" s="133"/>
      <c r="F921" s="134"/>
      <c r="G921" s="180"/>
      <c r="H921" s="180"/>
      <c r="I921" s="181"/>
      <c r="J921" s="180"/>
      <c r="K921" s="180"/>
      <c r="L921" s="180"/>
      <c r="M921" s="180"/>
      <c r="N921" s="180"/>
      <c r="O921" s="180"/>
      <c r="P921" s="180"/>
      <c r="Q921" s="180"/>
      <c r="R921" s="180"/>
      <c r="S921" s="180"/>
      <c r="T921" s="182"/>
      <c r="U921" s="183"/>
      <c r="V921" s="184"/>
      <c r="W921" s="184"/>
      <c r="X921" s="184"/>
      <c r="Y921" s="184"/>
      <c r="Z921" s="184"/>
      <c r="AA921" s="184"/>
      <c r="AB921" s="184"/>
      <c r="AC921" s="184"/>
      <c r="AD921" s="184"/>
      <c r="AE921" s="184"/>
      <c r="AF921" s="184"/>
      <c r="AG921" s="184"/>
      <c r="AH921" s="184"/>
      <c r="AI921" s="184"/>
      <c r="AJ921" s="184"/>
      <c r="AK921" s="184"/>
      <c r="AL921" s="184"/>
      <c r="AM921" s="184"/>
      <c r="AN921" s="184"/>
      <c r="AO921" s="185"/>
      <c r="AP921" s="186"/>
      <c r="AQ921" s="184"/>
      <c r="AR921" s="184"/>
      <c r="AS921" s="187"/>
      <c r="AT921" s="188"/>
    </row>
    <row r="922" customFormat="false" ht="12.75" hidden="false" customHeight="true" outlineLevel="0" collapsed="false">
      <c r="B922" s="122"/>
      <c r="C922" s="123"/>
      <c r="D922" s="124"/>
      <c r="E922" s="124"/>
      <c r="F922" s="125"/>
      <c r="G922" s="171"/>
      <c r="H922" s="171"/>
      <c r="I922" s="172"/>
      <c r="J922" s="171"/>
      <c r="K922" s="171"/>
      <c r="L922" s="171"/>
      <c r="M922" s="171"/>
      <c r="N922" s="171"/>
      <c r="O922" s="171"/>
      <c r="P922" s="171"/>
      <c r="Q922" s="171"/>
      <c r="R922" s="171"/>
      <c r="S922" s="171"/>
      <c r="T922" s="173"/>
      <c r="U922" s="174"/>
      <c r="V922" s="175"/>
      <c r="W922" s="175"/>
      <c r="X922" s="175"/>
      <c r="Y922" s="175"/>
      <c r="Z922" s="175"/>
      <c r="AA922" s="175"/>
      <c r="AB922" s="175"/>
      <c r="AC922" s="175"/>
      <c r="AD922" s="175"/>
      <c r="AE922" s="175"/>
      <c r="AF922" s="175"/>
      <c r="AG922" s="175"/>
      <c r="AH922" s="175"/>
      <c r="AI922" s="175"/>
      <c r="AJ922" s="175"/>
      <c r="AK922" s="175"/>
      <c r="AL922" s="175"/>
      <c r="AM922" s="175"/>
      <c r="AN922" s="175"/>
      <c r="AO922" s="176"/>
      <c r="AP922" s="177"/>
      <c r="AQ922" s="175"/>
      <c r="AR922" s="175"/>
      <c r="AS922" s="178"/>
      <c r="AT922" s="179"/>
    </row>
    <row r="923" customFormat="false" ht="12.75" hidden="false" customHeight="true" outlineLevel="0" collapsed="false">
      <c r="B923" s="122"/>
      <c r="C923" s="123"/>
      <c r="D923" s="124"/>
      <c r="E923" s="124"/>
      <c r="F923" s="125"/>
      <c r="G923" s="171"/>
      <c r="H923" s="171"/>
      <c r="I923" s="172"/>
      <c r="J923" s="171"/>
      <c r="K923" s="171"/>
      <c r="L923" s="171"/>
      <c r="M923" s="171"/>
      <c r="N923" s="171"/>
      <c r="O923" s="171"/>
      <c r="P923" s="171"/>
      <c r="Q923" s="171"/>
      <c r="R923" s="171"/>
      <c r="S923" s="171"/>
      <c r="T923" s="173"/>
      <c r="U923" s="174"/>
      <c r="V923" s="175"/>
      <c r="W923" s="175"/>
      <c r="X923" s="175"/>
      <c r="Y923" s="175"/>
      <c r="Z923" s="175"/>
      <c r="AA923" s="175"/>
      <c r="AB923" s="175"/>
      <c r="AC923" s="175"/>
      <c r="AD923" s="175"/>
      <c r="AE923" s="175"/>
      <c r="AF923" s="175"/>
      <c r="AG923" s="175"/>
      <c r="AH923" s="175"/>
      <c r="AI923" s="175"/>
      <c r="AJ923" s="175"/>
      <c r="AK923" s="175"/>
      <c r="AL923" s="175"/>
      <c r="AM923" s="175"/>
      <c r="AN923" s="175"/>
      <c r="AO923" s="176"/>
      <c r="AP923" s="177"/>
      <c r="AQ923" s="175"/>
      <c r="AR923" s="175"/>
      <c r="AS923" s="178"/>
      <c r="AT923" s="179"/>
    </row>
    <row r="924" customFormat="false" ht="12.75" hidden="false" customHeight="true" outlineLevel="0" collapsed="false">
      <c r="B924" s="122"/>
      <c r="C924" s="123"/>
      <c r="D924" s="124"/>
      <c r="E924" s="124"/>
      <c r="F924" s="125"/>
      <c r="G924" s="171"/>
      <c r="H924" s="171"/>
      <c r="I924" s="172"/>
      <c r="J924" s="171"/>
      <c r="K924" s="171"/>
      <c r="L924" s="171"/>
      <c r="M924" s="171"/>
      <c r="N924" s="171"/>
      <c r="O924" s="171"/>
      <c r="P924" s="171"/>
      <c r="Q924" s="171"/>
      <c r="R924" s="171"/>
      <c r="S924" s="171"/>
      <c r="T924" s="173"/>
      <c r="U924" s="174"/>
      <c r="V924" s="175"/>
      <c r="W924" s="175"/>
      <c r="X924" s="175"/>
      <c r="Y924" s="175"/>
      <c r="Z924" s="175"/>
      <c r="AA924" s="175"/>
      <c r="AB924" s="175"/>
      <c r="AC924" s="175"/>
      <c r="AD924" s="175"/>
      <c r="AE924" s="175"/>
      <c r="AF924" s="175"/>
      <c r="AG924" s="175"/>
      <c r="AH924" s="175"/>
      <c r="AI924" s="175"/>
      <c r="AJ924" s="175"/>
      <c r="AK924" s="175"/>
      <c r="AL924" s="175"/>
      <c r="AM924" s="175"/>
      <c r="AN924" s="175"/>
      <c r="AO924" s="176"/>
      <c r="AP924" s="177"/>
      <c r="AQ924" s="175"/>
      <c r="AR924" s="175"/>
      <c r="AS924" s="178"/>
      <c r="AT924" s="179"/>
    </row>
    <row r="925" customFormat="false" ht="12.75" hidden="false" customHeight="true" outlineLevel="0" collapsed="false">
      <c r="B925" s="122"/>
      <c r="C925" s="123"/>
      <c r="D925" s="124"/>
      <c r="E925" s="124"/>
      <c r="F925" s="125"/>
      <c r="G925" s="171"/>
      <c r="H925" s="171"/>
      <c r="I925" s="172"/>
      <c r="J925" s="171"/>
      <c r="K925" s="171"/>
      <c r="L925" s="171"/>
      <c r="M925" s="171"/>
      <c r="N925" s="171"/>
      <c r="O925" s="171"/>
      <c r="P925" s="171"/>
      <c r="Q925" s="171"/>
      <c r="R925" s="171"/>
      <c r="S925" s="171"/>
      <c r="T925" s="173"/>
      <c r="U925" s="174"/>
      <c r="V925" s="175"/>
      <c r="W925" s="175"/>
      <c r="X925" s="175"/>
      <c r="Y925" s="175"/>
      <c r="Z925" s="175"/>
      <c r="AA925" s="175"/>
      <c r="AB925" s="175"/>
      <c r="AC925" s="175"/>
      <c r="AD925" s="175"/>
      <c r="AE925" s="175"/>
      <c r="AF925" s="175"/>
      <c r="AG925" s="175"/>
      <c r="AH925" s="175"/>
      <c r="AI925" s="175"/>
      <c r="AJ925" s="175"/>
      <c r="AK925" s="175"/>
      <c r="AL925" s="175"/>
      <c r="AM925" s="175"/>
      <c r="AN925" s="175"/>
      <c r="AO925" s="176"/>
      <c r="AP925" s="177"/>
      <c r="AQ925" s="175"/>
      <c r="AR925" s="175"/>
      <c r="AS925" s="178"/>
      <c r="AT925" s="179"/>
    </row>
    <row r="926" customFormat="false" ht="12.75" hidden="false" customHeight="true" outlineLevel="0" collapsed="false">
      <c r="B926" s="141"/>
      <c r="C926" s="132"/>
      <c r="D926" s="133"/>
      <c r="E926" s="133"/>
      <c r="F926" s="134"/>
      <c r="G926" s="180"/>
      <c r="H926" s="180"/>
      <c r="I926" s="181"/>
      <c r="J926" s="180"/>
      <c r="K926" s="180"/>
      <c r="L926" s="180"/>
      <c r="M926" s="180"/>
      <c r="N926" s="180"/>
      <c r="O926" s="180"/>
      <c r="P926" s="180"/>
      <c r="Q926" s="180"/>
      <c r="R926" s="180"/>
      <c r="S926" s="180"/>
      <c r="T926" s="182"/>
      <c r="U926" s="183"/>
      <c r="V926" s="184"/>
      <c r="W926" s="184"/>
      <c r="X926" s="184"/>
      <c r="Y926" s="184"/>
      <c r="Z926" s="184"/>
      <c r="AA926" s="184"/>
      <c r="AB926" s="184"/>
      <c r="AC926" s="184"/>
      <c r="AD926" s="184"/>
      <c r="AE926" s="184"/>
      <c r="AF926" s="184"/>
      <c r="AG926" s="184"/>
      <c r="AH926" s="184"/>
      <c r="AI926" s="184"/>
      <c r="AJ926" s="184"/>
      <c r="AK926" s="184"/>
      <c r="AL926" s="184"/>
      <c r="AM926" s="184"/>
      <c r="AN926" s="184"/>
      <c r="AO926" s="185"/>
      <c r="AP926" s="186"/>
      <c r="AQ926" s="184"/>
      <c r="AR926" s="184"/>
      <c r="AS926" s="187"/>
      <c r="AT926" s="188"/>
    </row>
    <row r="927" customFormat="false" ht="12.75" hidden="false" customHeight="true" outlineLevel="0" collapsed="false">
      <c r="B927" s="122"/>
      <c r="C927" s="123"/>
      <c r="D927" s="124"/>
      <c r="E927" s="124"/>
      <c r="F927" s="125"/>
      <c r="G927" s="171"/>
      <c r="H927" s="171"/>
      <c r="I927" s="172"/>
      <c r="J927" s="171"/>
      <c r="K927" s="171"/>
      <c r="L927" s="171"/>
      <c r="M927" s="171"/>
      <c r="N927" s="171"/>
      <c r="O927" s="171"/>
      <c r="P927" s="171"/>
      <c r="Q927" s="171"/>
      <c r="R927" s="171"/>
      <c r="S927" s="171"/>
      <c r="T927" s="173"/>
      <c r="U927" s="174"/>
      <c r="V927" s="175"/>
      <c r="W927" s="175"/>
      <c r="X927" s="175"/>
      <c r="Y927" s="175"/>
      <c r="Z927" s="175"/>
      <c r="AA927" s="175"/>
      <c r="AB927" s="175"/>
      <c r="AC927" s="175"/>
      <c r="AD927" s="175"/>
      <c r="AE927" s="175"/>
      <c r="AF927" s="175"/>
      <c r="AG927" s="175"/>
      <c r="AH927" s="175"/>
      <c r="AI927" s="175"/>
      <c r="AJ927" s="175"/>
      <c r="AK927" s="175"/>
      <c r="AL927" s="175"/>
      <c r="AM927" s="175"/>
      <c r="AN927" s="175"/>
      <c r="AO927" s="176"/>
      <c r="AP927" s="177"/>
      <c r="AQ927" s="175"/>
      <c r="AR927" s="175"/>
      <c r="AS927" s="178"/>
      <c r="AT927" s="179"/>
    </row>
    <row r="928" customFormat="false" ht="12.75" hidden="false" customHeight="true" outlineLevel="0" collapsed="false">
      <c r="B928" s="122"/>
      <c r="C928" s="123"/>
      <c r="D928" s="124"/>
      <c r="E928" s="124"/>
      <c r="F928" s="125"/>
      <c r="G928" s="171"/>
      <c r="H928" s="171"/>
      <c r="I928" s="172"/>
      <c r="J928" s="171"/>
      <c r="K928" s="171"/>
      <c r="L928" s="171"/>
      <c r="M928" s="171"/>
      <c r="N928" s="171"/>
      <c r="O928" s="171"/>
      <c r="P928" s="171"/>
      <c r="Q928" s="171"/>
      <c r="R928" s="171"/>
      <c r="S928" s="171"/>
      <c r="T928" s="173"/>
      <c r="U928" s="174"/>
      <c r="V928" s="175"/>
      <c r="W928" s="175"/>
      <c r="X928" s="175"/>
      <c r="Y928" s="175"/>
      <c r="Z928" s="175"/>
      <c r="AA928" s="175"/>
      <c r="AB928" s="175"/>
      <c r="AC928" s="175"/>
      <c r="AD928" s="175"/>
      <c r="AE928" s="175"/>
      <c r="AF928" s="175"/>
      <c r="AG928" s="175"/>
      <c r="AH928" s="175"/>
      <c r="AI928" s="175"/>
      <c r="AJ928" s="175"/>
      <c r="AK928" s="175"/>
      <c r="AL928" s="175"/>
      <c r="AM928" s="175"/>
      <c r="AN928" s="175"/>
      <c r="AO928" s="176"/>
      <c r="AP928" s="177"/>
      <c r="AQ928" s="175"/>
      <c r="AR928" s="175"/>
      <c r="AS928" s="178"/>
      <c r="AT928" s="179"/>
    </row>
    <row r="929" customFormat="false" ht="12.75" hidden="false" customHeight="true" outlineLevel="0" collapsed="false">
      <c r="B929" s="122"/>
      <c r="C929" s="123"/>
      <c r="D929" s="124"/>
      <c r="E929" s="124"/>
      <c r="F929" s="125"/>
      <c r="G929" s="171"/>
      <c r="H929" s="171"/>
      <c r="I929" s="172"/>
      <c r="J929" s="171"/>
      <c r="K929" s="171"/>
      <c r="L929" s="171"/>
      <c r="M929" s="171"/>
      <c r="N929" s="171"/>
      <c r="O929" s="171"/>
      <c r="P929" s="171"/>
      <c r="Q929" s="171"/>
      <c r="R929" s="171"/>
      <c r="S929" s="171"/>
      <c r="T929" s="173"/>
      <c r="U929" s="174"/>
      <c r="V929" s="175"/>
      <c r="W929" s="175"/>
      <c r="X929" s="175"/>
      <c r="Y929" s="175"/>
      <c r="Z929" s="175"/>
      <c r="AA929" s="175"/>
      <c r="AB929" s="175"/>
      <c r="AC929" s="175"/>
      <c r="AD929" s="175"/>
      <c r="AE929" s="175"/>
      <c r="AF929" s="175"/>
      <c r="AG929" s="175"/>
      <c r="AH929" s="175"/>
      <c r="AI929" s="175"/>
      <c r="AJ929" s="175"/>
      <c r="AK929" s="175"/>
      <c r="AL929" s="175"/>
      <c r="AM929" s="175"/>
      <c r="AN929" s="175"/>
      <c r="AO929" s="176"/>
      <c r="AP929" s="177"/>
      <c r="AQ929" s="175"/>
      <c r="AR929" s="175"/>
      <c r="AS929" s="178"/>
      <c r="AT929" s="179"/>
    </row>
    <row r="930" customFormat="false" ht="12.75" hidden="false" customHeight="true" outlineLevel="0" collapsed="false">
      <c r="B930" s="122"/>
      <c r="C930" s="123"/>
      <c r="D930" s="124"/>
      <c r="E930" s="124"/>
      <c r="F930" s="125"/>
      <c r="G930" s="171"/>
      <c r="H930" s="171"/>
      <c r="I930" s="172"/>
      <c r="J930" s="171"/>
      <c r="K930" s="171"/>
      <c r="L930" s="171"/>
      <c r="M930" s="171"/>
      <c r="N930" s="171"/>
      <c r="O930" s="171"/>
      <c r="P930" s="171"/>
      <c r="Q930" s="171"/>
      <c r="R930" s="171"/>
      <c r="S930" s="171"/>
      <c r="T930" s="173"/>
      <c r="U930" s="174"/>
      <c r="V930" s="175"/>
      <c r="W930" s="175"/>
      <c r="X930" s="175"/>
      <c r="Y930" s="175"/>
      <c r="Z930" s="175"/>
      <c r="AA930" s="175"/>
      <c r="AB930" s="175"/>
      <c r="AC930" s="175"/>
      <c r="AD930" s="175"/>
      <c r="AE930" s="175"/>
      <c r="AF930" s="175"/>
      <c r="AG930" s="175"/>
      <c r="AH930" s="175"/>
      <c r="AI930" s="175"/>
      <c r="AJ930" s="175"/>
      <c r="AK930" s="175"/>
      <c r="AL930" s="175"/>
      <c r="AM930" s="175"/>
      <c r="AN930" s="175"/>
      <c r="AO930" s="176"/>
      <c r="AP930" s="177"/>
      <c r="AQ930" s="175"/>
      <c r="AR930" s="175"/>
      <c r="AS930" s="178"/>
      <c r="AT930" s="179"/>
    </row>
    <row r="931" customFormat="false" ht="12.75" hidden="false" customHeight="true" outlineLevel="0" collapsed="false">
      <c r="B931" s="141"/>
      <c r="C931" s="132"/>
      <c r="D931" s="133"/>
      <c r="E931" s="133"/>
      <c r="F931" s="134"/>
      <c r="G931" s="180"/>
      <c r="H931" s="180"/>
      <c r="I931" s="181"/>
      <c r="J931" s="180"/>
      <c r="K931" s="180"/>
      <c r="L931" s="180"/>
      <c r="M931" s="180"/>
      <c r="N931" s="180"/>
      <c r="O931" s="180"/>
      <c r="P931" s="180"/>
      <c r="Q931" s="180"/>
      <c r="R931" s="180"/>
      <c r="S931" s="180"/>
      <c r="T931" s="182"/>
      <c r="U931" s="183"/>
      <c r="V931" s="184"/>
      <c r="W931" s="184"/>
      <c r="X931" s="184"/>
      <c r="Y931" s="184"/>
      <c r="Z931" s="184"/>
      <c r="AA931" s="184"/>
      <c r="AB931" s="184"/>
      <c r="AC931" s="184"/>
      <c r="AD931" s="184"/>
      <c r="AE931" s="184"/>
      <c r="AF931" s="184"/>
      <c r="AG931" s="184"/>
      <c r="AH931" s="184"/>
      <c r="AI931" s="184"/>
      <c r="AJ931" s="184"/>
      <c r="AK931" s="184"/>
      <c r="AL931" s="184"/>
      <c r="AM931" s="184"/>
      <c r="AN931" s="184"/>
      <c r="AO931" s="185"/>
      <c r="AP931" s="186"/>
      <c r="AQ931" s="184"/>
      <c r="AR931" s="184"/>
      <c r="AS931" s="187"/>
      <c r="AT931" s="188"/>
    </row>
    <row r="932" customFormat="false" ht="12.75" hidden="false" customHeight="true" outlineLevel="0" collapsed="false">
      <c r="B932" s="122"/>
      <c r="C932" s="123"/>
      <c r="D932" s="124"/>
      <c r="E932" s="124"/>
      <c r="F932" s="125"/>
      <c r="G932" s="171"/>
      <c r="H932" s="171"/>
      <c r="I932" s="172"/>
      <c r="J932" s="171"/>
      <c r="K932" s="171"/>
      <c r="L932" s="171"/>
      <c r="M932" s="171"/>
      <c r="N932" s="171"/>
      <c r="O932" s="171"/>
      <c r="P932" s="171"/>
      <c r="Q932" s="171"/>
      <c r="R932" s="171"/>
      <c r="S932" s="171"/>
      <c r="T932" s="173"/>
      <c r="U932" s="174"/>
      <c r="V932" s="175"/>
      <c r="W932" s="175"/>
      <c r="X932" s="175"/>
      <c r="Y932" s="175"/>
      <c r="Z932" s="175"/>
      <c r="AA932" s="175"/>
      <c r="AB932" s="175"/>
      <c r="AC932" s="175"/>
      <c r="AD932" s="175"/>
      <c r="AE932" s="175"/>
      <c r="AF932" s="175"/>
      <c r="AG932" s="175"/>
      <c r="AH932" s="175"/>
      <c r="AI932" s="175"/>
      <c r="AJ932" s="175"/>
      <c r="AK932" s="175"/>
      <c r="AL932" s="175"/>
      <c r="AM932" s="175"/>
      <c r="AN932" s="175"/>
      <c r="AO932" s="176"/>
      <c r="AP932" s="177"/>
      <c r="AQ932" s="175"/>
      <c r="AR932" s="175"/>
      <c r="AS932" s="178"/>
      <c r="AT932" s="179"/>
    </row>
    <row r="933" customFormat="false" ht="12.75" hidden="false" customHeight="true" outlineLevel="0" collapsed="false">
      <c r="B933" s="122"/>
      <c r="C933" s="123"/>
      <c r="D933" s="124"/>
      <c r="E933" s="124"/>
      <c r="F933" s="125"/>
      <c r="G933" s="171"/>
      <c r="H933" s="171"/>
      <c r="I933" s="172"/>
      <c r="J933" s="171"/>
      <c r="K933" s="171"/>
      <c r="L933" s="171"/>
      <c r="M933" s="171"/>
      <c r="N933" s="171"/>
      <c r="O933" s="171"/>
      <c r="P933" s="171"/>
      <c r="Q933" s="171"/>
      <c r="R933" s="171"/>
      <c r="S933" s="171"/>
      <c r="T933" s="173"/>
      <c r="U933" s="174"/>
      <c r="V933" s="175"/>
      <c r="W933" s="175"/>
      <c r="X933" s="175"/>
      <c r="Y933" s="175"/>
      <c r="Z933" s="175"/>
      <c r="AA933" s="175"/>
      <c r="AB933" s="175"/>
      <c r="AC933" s="175"/>
      <c r="AD933" s="175"/>
      <c r="AE933" s="175"/>
      <c r="AF933" s="175"/>
      <c r="AG933" s="175"/>
      <c r="AH933" s="175"/>
      <c r="AI933" s="175"/>
      <c r="AJ933" s="175"/>
      <c r="AK933" s="175"/>
      <c r="AL933" s="175"/>
      <c r="AM933" s="175"/>
      <c r="AN933" s="175"/>
      <c r="AO933" s="176"/>
      <c r="AP933" s="177"/>
      <c r="AQ933" s="175"/>
      <c r="AR933" s="175"/>
      <c r="AS933" s="178"/>
      <c r="AT933" s="179"/>
    </row>
    <row r="934" customFormat="false" ht="12.75" hidden="false" customHeight="true" outlineLevel="0" collapsed="false">
      <c r="B934" s="122"/>
      <c r="C934" s="123"/>
      <c r="D934" s="124"/>
      <c r="E934" s="124"/>
      <c r="F934" s="125"/>
      <c r="G934" s="171"/>
      <c r="H934" s="171"/>
      <c r="I934" s="172"/>
      <c r="J934" s="171"/>
      <c r="K934" s="171"/>
      <c r="L934" s="171"/>
      <c r="M934" s="171"/>
      <c r="N934" s="171"/>
      <c r="O934" s="171"/>
      <c r="P934" s="171"/>
      <c r="Q934" s="171"/>
      <c r="R934" s="171"/>
      <c r="S934" s="171"/>
      <c r="T934" s="173"/>
      <c r="U934" s="174"/>
      <c r="V934" s="175"/>
      <c r="W934" s="175"/>
      <c r="X934" s="175"/>
      <c r="Y934" s="175"/>
      <c r="Z934" s="175"/>
      <c r="AA934" s="175"/>
      <c r="AB934" s="175"/>
      <c r="AC934" s="175"/>
      <c r="AD934" s="175"/>
      <c r="AE934" s="175"/>
      <c r="AF934" s="175"/>
      <c r="AG934" s="175"/>
      <c r="AH934" s="175"/>
      <c r="AI934" s="175"/>
      <c r="AJ934" s="175"/>
      <c r="AK934" s="175"/>
      <c r="AL934" s="175"/>
      <c r="AM934" s="175"/>
      <c r="AN934" s="175"/>
      <c r="AO934" s="176"/>
      <c r="AP934" s="177"/>
      <c r="AQ934" s="175"/>
      <c r="AR934" s="175"/>
      <c r="AS934" s="178"/>
      <c r="AT934" s="179"/>
    </row>
    <row r="935" customFormat="false" ht="12.75" hidden="false" customHeight="true" outlineLevel="0" collapsed="false">
      <c r="B935" s="122"/>
      <c r="C935" s="123"/>
      <c r="D935" s="124"/>
      <c r="E935" s="124"/>
      <c r="F935" s="125"/>
      <c r="G935" s="171"/>
      <c r="H935" s="171"/>
      <c r="I935" s="172"/>
      <c r="J935" s="171"/>
      <c r="K935" s="171"/>
      <c r="L935" s="171"/>
      <c r="M935" s="171"/>
      <c r="N935" s="171"/>
      <c r="O935" s="171"/>
      <c r="P935" s="171"/>
      <c r="Q935" s="171"/>
      <c r="R935" s="171"/>
      <c r="S935" s="171"/>
      <c r="T935" s="173"/>
      <c r="U935" s="174"/>
      <c r="V935" s="175"/>
      <c r="W935" s="175"/>
      <c r="X935" s="175"/>
      <c r="Y935" s="175"/>
      <c r="Z935" s="175"/>
      <c r="AA935" s="175"/>
      <c r="AB935" s="175"/>
      <c r="AC935" s="175"/>
      <c r="AD935" s="175"/>
      <c r="AE935" s="175"/>
      <c r="AF935" s="175"/>
      <c r="AG935" s="175"/>
      <c r="AH935" s="175"/>
      <c r="AI935" s="175"/>
      <c r="AJ935" s="175"/>
      <c r="AK935" s="175"/>
      <c r="AL935" s="175"/>
      <c r="AM935" s="175"/>
      <c r="AN935" s="175"/>
      <c r="AO935" s="176"/>
      <c r="AP935" s="177"/>
      <c r="AQ935" s="175"/>
      <c r="AR935" s="175"/>
      <c r="AS935" s="178"/>
      <c r="AT935" s="179"/>
    </row>
    <row r="936" customFormat="false" ht="12.75" hidden="false" customHeight="true" outlineLevel="0" collapsed="false">
      <c r="B936" s="141"/>
      <c r="C936" s="132"/>
      <c r="D936" s="133"/>
      <c r="E936" s="133"/>
      <c r="F936" s="134"/>
      <c r="G936" s="180"/>
      <c r="H936" s="180"/>
      <c r="I936" s="181"/>
      <c r="J936" s="180"/>
      <c r="K936" s="180"/>
      <c r="L936" s="180"/>
      <c r="M936" s="180"/>
      <c r="N936" s="180"/>
      <c r="O936" s="180"/>
      <c r="P936" s="180"/>
      <c r="Q936" s="180"/>
      <c r="R936" s="180"/>
      <c r="S936" s="180"/>
      <c r="T936" s="182"/>
      <c r="U936" s="183"/>
      <c r="V936" s="184"/>
      <c r="W936" s="184"/>
      <c r="X936" s="184"/>
      <c r="Y936" s="184"/>
      <c r="Z936" s="184"/>
      <c r="AA936" s="184"/>
      <c r="AB936" s="184"/>
      <c r="AC936" s="184"/>
      <c r="AD936" s="184"/>
      <c r="AE936" s="184"/>
      <c r="AF936" s="184"/>
      <c r="AG936" s="184"/>
      <c r="AH936" s="184"/>
      <c r="AI936" s="184"/>
      <c r="AJ936" s="184"/>
      <c r="AK936" s="184"/>
      <c r="AL936" s="184"/>
      <c r="AM936" s="184"/>
      <c r="AN936" s="184"/>
      <c r="AO936" s="185"/>
      <c r="AP936" s="186"/>
      <c r="AQ936" s="184"/>
      <c r="AR936" s="184"/>
      <c r="AS936" s="187"/>
      <c r="AT936" s="188"/>
    </row>
    <row r="937" customFormat="false" ht="12.75" hidden="false" customHeight="true" outlineLevel="0" collapsed="false">
      <c r="B937" s="141"/>
      <c r="C937" s="132"/>
      <c r="D937" s="133"/>
      <c r="E937" s="133"/>
      <c r="F937" s="134"/>
      <c r="G937" s="180"/>
      <c r="H937" s="180"/>
      <c r="I937" s="181"/>
      <c r="J937" s="180"/>
      <c r="K937" s="180"/>
      <c r="L937" s="180"/>
      <c r="M937" s="180"/>
      <c r="N937" s="180"/>
      <c r="O937" s="180"/>
      <c r="P937" s="180"/>
      <c r="Q937" s="180"/>
      <c r="R937" s="180"/>
      <c r="S937" s="180"/>
      <c r="T937" s="182"/>
      <c r="U937" s="183"/>
      <c r="V937" s="184"/>
      <c r="W937" s="184"/>
      <c r="X937" s="184"/>
      <c r="Y937" s="184"/>
      <c r="Z937" s="184"/>
      <c r="AA937" s="184"/>
      <c r="AB937" s="184"/>
      <c r="AC937" s="184"/>
      <c r="AD937" s="184"/>
      <c r="AE937" s="184"/>
      <c r="AF937" s="184"/>
      <c r="AG937" s="184"/>
      <c r="AH937" s="184"/>
      <c r="AI937" s="184"/>
      <c r="AJ937" s="184"/>
      <c r="AK937" s="184"/>
      <c r="AL937" s="184"/>
      <c r="AM937" s="184"/>
      <c r="AN937" s="184"/>
      <c r="AO937" s="185"/>
      <c r="AP937" s="186"/>
      <c r="AQ937" s="184"/>
      <c r="AR937" s="184"/>
      <c r="AS937" s="187"/>
      <c r="AT937" s="188"/>
    </row>
    <row r="938" customFormat="false" ht="12.75" hidden="false" customHeight="true" outlineLevel="0" collapsed="false">
      <c r="B938" s="122"/>
      <c r="C938" s="123"/>
      <c r="D938" s="124"/>
      <c r="E938" s="124"/>
      <c r="F938" s="125"/>
      <c r="G938" s="171"/>
      <c r="H938" s="171"/>
      <c r="I938" s="172"/>
      <c r="J938" s="171"/>
      <c r="K938" s="171"/>
      <c r="L938" s="171"/>
      <c r="M938" s="171"/>
      <c r="N938" s="171"/>
      <c r="O938" s="171"/>
      <c r="P938" s="171"/>
      <c r="Q938" s="171"/>
      <c r="R938" s="171"/>
      <c r="S938" s="171"/>
      <c r="T938" s="173"/>
      <c r="U938" s="174"/>
      <c r="V938" s="175"/>
      <c r="W938" s="175"/>
      <c r="X938" s="175"/>
      <c r="Y938" s="175"/>
      <c r="Z938" s="175"/>
      <c r="AA938" s="175"/>
      <c r="AB938" s="175"/>
      <c r="AC938" s="175"/>
      <c r="AD938" s="175"/>
      <c r="AE938" s="175"/>
      <c r="AF938" s="175"/>
      <c r="AG938" s="175"/>
      <c r="AH938" s="175"/>
      <c r="AI938" s="175"/>
      <c r="AJ938" s="175"/>
      <c r="AK938" s="175"/>
      <c r="AL938" s="175"/>
      <c r="AM938" s="175"/>
      <c r="AN938" s="175"/>
      <c r="AO938" s="176"/>
      <c r="AP938" s="177"/>
      <c r="AQ938" s="175"/>
      <c r="AR938" s="175"/>
      <c r="AS938" s="178"/>
      <c r="AT938" s="179"/>
    </row>
    <row r="939" customFormat="false" ht="12.75" hidden="false" customHeight="true" outlineLevel="0" collapsed="false">
      <c r="B939" s="122"/>
      <c r="C939" s="123"/>
      <c r="D939" s="124"/>
      <c r="E939" s="124"/>
      <c r="F939" s="125"/>
      <c r="G939" s="171"/>
      <c r="H939" s="171"/>
      <c r="I939" s="172"/>
      <c r="J939" s="171"/>
      <c r="K939" s="171"/>
      <c r="L939" s="171"/>
      <c r="M939" s="171"/>
      <c r="N939" s="171"/>
      <c r="O939" s="171"/>
      <c r="P939" s="171"/>
      <c r="Q939" s="171"/>
      <c r="R939" s="171"/>
      <c r="S939" s="171"/>
      <c r="T939" s="173"/>
      <c r="U939" s="174"/>
      <c r="V939" s="175"/>
      <c r="W939" s="175"/>
      <c r="X939" s="175"/>
      <c r="Y939" s="175"/>
      <c r="Z939" s="175"/>
      <c r="AA939" s="175"/>
      <c r="AB939" s="175"/>
      <c r="AC939" s="175"/>
      <c r="AD939" s="175"/>
      <c r="AE939" s="175"/>
      <c r="AF939" s="175"/>
      <c r="AG939" s="175"/>
      <c r="AH939" s="175"/>
      <c r="AI939" s="175"/>
      <c r="AJ939" s="175"/>
      <c r="AK939" s="175"/>
      <c r="AL939" s="175"/>
      <c r="AM939" s="175"/>
      <c r="AN939" s="175"/>
      <c r="AO939" s="176"/>
      <c r="AP939" s="177"/>
      <c r="AQ939" s="175"/>
      <c r="AR939" s="175"/>
      <c r="AS939" s="178"/>
      <c r="AT939" s="179"/>
    </row>
    <row r="940" customFormat="false" ht="12.75" hidden="false" customHeight="true" outlineLevel="0" collapsed="false">
      <c r="B940" s="122"/>
      <c r="C940" s="123"/>
      <c r="D940" s="124"/>
      <c r="E940" s="124"/>
      <c r="F940" s="125"/>
      <c r="G940" s="171"/>
      <c r="H940" s="171"/>
      <c r="I940" s="172"/>
      <c r="J940" s="171"/>
      <c r="K940" s="171"/>
      <c r="L940" s="171"/>
      <c r="M940" s="171"/>
      <c r="N940" s="171"/>
      <c r="O940" s="171"/>
      <c r="P940" s="171"/>
      <c r="Q940" s="171"/>
      <c r="R940" s="171"/>
      <c r="S940" s="171"/>
      <c r="T940" s="173"/>
      <c r="U940" s="174"/>
      <c r="V940" s="175"/>
      <c r="W940" s="175"/>
      <c r="X940" s="175"/>
      <c r="Y940" s="175"/>
      <c r="Z940" s="175"/>
      <c r="AA940" s="175"/>
      <c r="AB940" s="175"/>
      <c r="AC940" s="175"/>
      <c r="AD940" s="175"/>
      <c r="AE940" s="175"/>
      <c r="AF940" s="175"/>
      <c r="AG940" s="175"/>
      <c r="AH940" s="175"/>
      <c r="AI940" s="175"/>
      <c r="AJ940" s="175"/>
      <c r="AK940" s="175"/>
      <c r="AL940" s="175"/>
      <c r="AM940" s="175"/>
      <c r="AN940" s="175"/>
      <c r="AO940" s="176"/>
      <c r="AP940" s="177"/>
      <c r="AQ940" s="175"/>
      <c r="AR940" s="175"/>
      <c r="AS940" s="178"/>
      <c r="AT940" s="179"/>
    </row>
    <row r="941" customFormat="false" ht="12.75" hidden="false" customHeight="true" outlineLevel="0" collapsed="false">
      <c r="B941" s="141"/>
      <c r="C941" s="132"/>
      <c r="D941" s="133"/>
      <c r="E941" s="133"/>
      <c r="F941" s="134"/>
      <c r="G941" s="180"/>
      <c r="H941" s="180"/>
      <c r="I941" s="181"/>
      <c r="J941" s="180"/>
      <c r="K941" s="180"/>
      <c r="L941" s="180"/>
      <c r="M941" s="180"/>
      <c r="N941" s="180"/>
      <c r="O941" s="180"/>
      <c r="P941" s="180"/>
      <c r="Q941" s="180"/>
      <c r="R941" s="180"/>
      <c r="S941" s="180"/>
      <c r="T941" s="182"/>
      <c r="U941" s="183"/>
      <c r="V941" s="184"/>
      <c r="W941" s="184"/>
      <c r="X941" s="184"/>
      <c r="Y941" s="184"/>
      <c r="Z941" s="184"/>
      <c r="AA941" s="184"/>
      <c r="AB941" s="184"/>
      <c r="AC941" s="184"/>
      <c r="AD941" s="184"/>
      <c r="AE941" s="184"/>
      <c r="AF941" s="184"/>
      <c r="AG941" s="184"/>
      <c r="AH941" s="184"/>
      <c r="AI941" s="184"/>
      <c r="AJ941" s="184"/>
      <c r="AK941" s="184"/>
      <c r="AL941" s="184"/>
      <c r="AM941" s="184"/>
      <c r="AN941" s="184"/>
      <c r="AO941" s="185"/>
      <c r="AP941" s="186"/>
      <c r="AQ941" s="184"/>
      <c r="AR941" s="184"/>
      <c r="AS941" s="187"/>
      <c r="AT941" s="188"/>
    </row>
    <row r="942" customFormat="false" ht="12.75" hidden="false" customHeight="true" outlineLevel="0" collapsed="false">
      <c r="B942" s="122"/>
      <c r="C942" s="123"/>
      <c r="D942" s="124"/>
      <c r="E942" s="124"/>
      <c r="F942" s="125"/>
      <c r="G942" s="171"/>
      <c r="H942" s="171"/>
      <c r="I942" s="172"/>
      <c r="J942" s="171"/>
      <c r="K942" s="171"/>
      <c r="L942" s="171"/>
      <c r="M942" s="171"/>
      <c r="N942" s="171"/>
      <c r="O942" s="171"/>
      <c r="P942" s="171"/>
      <c r="Q942" s="171"/>
      <c r="R942" s="171"/>
      <c r="S942" s="171"/>
      <c r="T942" s="173"/>
      <c r="U942" s="174"/>
      <c r="V942" s="175"/>
      <c r="W942" s="175"/>
      <c r="X942" s="175"/>
      <c r="Y942" s="175"/>
      <c r="Z942" s="175"/>
      <c r="AA942" s="175"/>
      <c r="AB942" s="175"/>
      <c r="AC942" s="175"/>
      <c r="AD942" s="175"/>
      <c r="AE942" s="175"/>
      <c r="AF942" s="175"/>
      <c r="AG942" s="175"/>
      <c r="AH942" s="175"/>
      <c r="AI942" s="175"/>
      <c r="AJ942" s="175"/>
      <c r="AK942" s="175"/>
      <c r="AL942" s="175"/>
      <c r="AM942" s="175"/>
      <c r="AN942" s="175"/>
      <c r="AO942" s="176"/>
      <c r="AP942" s="177"/>
      <c r="AQ942" s="175"/>
      <c r="AR942" s="175"/>
      <c r="AS942" s="178"/>
      <c r="AT942" s="179"/>
    </row>
    <row r="943" customFormat="false" ht="12.75" hidden="false" customHeight="true" outlineLevel="0" collapsed="false">
      <c r="B943" s="122"/>
      <c r="C943" s="123"/>
      <c r="D943" s="124"/>
      <c r="E943" s="124"/>
      <c r="F943" s="125"/>
      <c r="G943" s="171"/>
      <c r="H943" s="171"/>
      <c r="I943" s="172"/>
      <c r="J943" s="171"/>
      <c r="K943" s="171"/>
      <c r="L943" s="171"/>
      <c r="M943" s="171"/>
      <c r="N943" s="171"/>
      <c r="O943" s="171"/>
      <c r="P943" s="171"/>
      <c r="Q943" s="171"/>
      <c r="R943" s="171"/>
      <c r="S943" s="171"/>
      <c r="T943" s="173"/>
      <c r="U943" s="174"/>
      <c r="V943" s="175"/>
      <c r="W943" s="175"/>
      <c r="X943" s="175"/>
      <c r="Y943" s="175"/>
      <c r="Z943" s="175"/>
      <c r="AA943" s="175"/>
      <c r="AB943" s="175"/>
      <c r="AC943" s="175"/>
      <c r="AD943" s="175"/>
      <c r="AE943" s="175"/>
      <c r="AF943" s="175"/>
      <c r="AG943" s="175"/>
      <c r="AH943" s="175"/>
      <c r="AI943" s="175"/>
      <c r="AJ943" s="175"/>
      <c r="AK943" s="175"/>
      <c r="AL943" s="175"/>
      <c r="AM943" s="175"/>
      <c r="AN943" s="175"/>
      <c r="AO943" s="176"/>
      <c r="AP943" s="177"/>
      <c r="AQ943" s="175"/>
      <c r="AR943" s="175"/>
      <c r="AS943" s="178"/>
      <c r="AT943" s="179"/>
    </row>
    <row r="944" customFormat="false" ht="12.75" hidden="false" customHeight="true" outlineLevel="0" collapsed="false">
      <c r="B944" s="122"/>
      <c r="C944" s="123"/>
      <c r="D944" s="124"/>
      <c r="E944" s="124"/>
      <c r="F944" s="125"/>
      <c r="G944" s="171"/>
      <c r="H944" s="171"/>
      <c r="I944" s="172"/>
      <c r="J944" s="171"/>
      <c r="K944" s="171"/>
      <c r="L944" s="171"/>
      <c r="M944" s="171"/>
      <c r="N944" s="171"/>
      <c r="O944" s="171"/>
      <c r="P944" s="171"/>
      <c r="Q944" s="171"/>
      <c r="R944" s="171"/>
      <c r="S944" s="171"/>
      <c r="T944" s="173"/>
      <c r="U944" s="174"/>
      <c r="V944" s="175"/>
      <c r="W944" s="175"/>
      <c r="X944" s="175"/>
      <c r="Y944" s="175"/>
      <c r="Z944" s="175"/>
      <c r="AA944" s="175"/>
      <c r="AB944" s="175"/>
      <c r="AC944" s="175"/>
      <c r="AD944" s="175"/>
      <c r="AE944" s="175"/>
      <c r="AF944" s="175"/>
      <c r="AG944" s="175"/>
      <c r="AH944" s="175"/>
      <c r="AI944" s="175"/>
      <c r="AJ944" s="175"/>
      <c r="AK944" s="175"/>
      <c r="AL944" s="175"/>
      <c r="AM944" s="175"/>
      <c r="AN944" s="175"/>
      <c r="AO944" s="176"/>
      <c r="AP944" s="177"/>
      <c r="AQ944" s="175"/>
      <c r="AR944" s="175"/>
      <c r="AS944" s="178"/>
      <c r="AT944" s="179"/>
    </row>
    <row r="945" customFormat="false" ht="12.75" hidden="false" customHeight="true" outlineLevel="0" collapsed="false">
      <c r="B945" s="141"/>
      <c r="C945" s="132"/>
      <c r="D945" s="133"/>
      <c r="E945" s="133"/>
      <c r="F945" s="134"/>
      <c r="G945" s="180"/>
      <c r="H945" s="180"/>
      <c r="I945" s="181"/>
      <c r="J945" s="180"/>
      <c r="K945" s="180"/>
      <c r="L945" s="180"/>
      <c r="M945" s="180"/>
      <c r="N945" s="180"/>
      <c r="O945" s="180"/>
      <c r="P945" s="180"/>
      <c r="Q945" s="180"/>
      <c r="R945" s="180"/>
      <c r="S945" s="180"/>
      <c r="T945" s="182"/>
      <c r="U945" s="183"/>
      <c r="V945" s="184"/>
      <c r="W945" s="184"/>
      <c r="X945" s="184"/>
      <c r="Y945" s="184"/>
      <c r="Z945" s="184"/>
      <c r="AA945" s="184"/>
      <c r="AB945" s="184"/>
      <c r="AC945" s="184"/>
      <c r="AD945" s="184"/>
      <c r="AE945" s="184"/>
      <c r="AF945" s="184"/>
      <c r="AG945" s="184"/>
      <c r="AH945" s="184"/>
      <c r="AI945" s="184"/>
      <c r="AJ945" s="184"/>
      <c r="AK945" s="184"/>
      <c r="AL945" s="184"/>
      <c r="AM945" s="184"/>
      <c r="AN945" s="184"/>
      <c r="AO945" s="185"/>
      <c r="AP945" s="186"/>
      <c r="AQ945" s="184"/>
      <c r="AR945" s="184"/>
      <c r="AS945" s="187"/>
      <c r="AT945" s="188"/>
    </row>
    <row r="946" customFormat="false" ht="12.75" hidden="false" customHeight="true" outlineLevel="0" collapsed="false">
      <c r="B946" s="122"/>
      <c r="C946" s="123"/>
      <c r="D946" s="124"/>
      <c r="E946" s="124"/>
      <c r="F946" s="125"/>
      <c r="G946" s="171"/>
      <c r="H946" s="171"/>
      <c r="I946" s="172"/>
      <c r="J946" s="171"/>
      <c r="K946" s="171"/>
      <c r="L946" s="171"/>
      <c r="M946" s="171"/>
      <c r="N946" s="171"/>
      <c r="O946" s="171"/>
      <c r="P946" s="171"/>
      <c r="Q946" s="171"/>
      <c r="R946" s="171"/>
      <c r="S946" s="171"/>
      <c r="T946" s="173"/>
      <c r="U946" s="174"/>
      <c r="V946" s="175"/>
      <c r="W946" s="175"/>
      <c r="X946" s="175"/>
      <c r="Y946" s="175"/>
      <c r="Z946" s="175"/>
      <c r="AA946" s="175"/>
      <c r="AB946" s="175"/>
      <c r="AC946" s="175"/>
      <c r="AD946" s="175"/>
      <c r="AE946" s="175"/>
      <c r="AF946" s="175"/>
      <c r="AG946" s="175"/>
      <c r="AH946" s="175"/>
      <c r="AI946" s="175"/>
      <c r="AJ946" s="175"/>
      <c r="AK946" s="175"/>
      <c r="AL946" s="175"/>
      <c r="AM946" s="175"/>
      <c r="AN946" s="175"/>
      <c r="AO946" s="176"/>
      <c r="AP946" s="177"/>
      <c r="AQ946" s="175"/>
      <c r="AR946" s="175"/>
      <c r="AS946" s="178"/>
      <c r="AT946" s="179"/>
    </row>
    <row r="947" customFormat="false" ht="12.75" hidden="false" customHeight="true" outlineLevel="0" collapsed="false">
      <c r="B947" s="122"/>
      <c r="C947" s="123"/>
      <c r="D947" s="124"/>
      <c r="E947" s="124"/>
      <c r="F947" s="125"/>
      <c r="G947" s="171"/>
      <c r="H947" s="171"/>
      <c r="I947" s="172"/>
      <c r="J947" s="171"/>
      <c r="K947" s="171"/>
      <c r="L947" s="171"/>
      <c r="M947" s="171"/>
      <c r="N947" s="171"/>
      <c r="O947" s="171"/>
      <c r="P947" s="171"/>
      <c r="Q947" s="171"/>
      <c r="R947" s="171"/>
      <c r="S947" s="171"/>
      <c r="T947" s="173"/>
      <c r="U947" s="174"/>
      <c r="V947" s="175"/>
      <c r="W947" s="175"/>
      <c r="X947" s="175"/>
      <c r="Y947" s="175"/>
      <c r="Z947" s="175"/>
      <c r="AA947" s="175"/>
      <c r="AB947" s="175"/>
      <c r="AC947" s="175"/>
      <c r="AD947" s="175"/>
      <c r="AE947" s="175"/>
      <c r="AF947" s="175"/>
      <c r="AG947" s="175"/>
      <c r="AH947" s="175"/>
      <c r="AI947" s="175"/>
      <c r="AJ947" s="175"/>
      <c r="AK947" s="175"/>
      <c r="AL947" s="175"/>
      <c r="AM947" s="175"/>
      <c r="AN947" s="175"/>
      <c r="AO947" s="176"/>
      <c r="AP947" s="177"/>
      <c r="AQ947" s="175"/>
      <c r="AR947" s="175"/>
      <c r="AS947" s="178"/>
      <c r="AT947" s="179"/>
    </row>
    <row r="948" customFormat="false" ht="12.75" hidden="false" customHeight="true" outlineLevel="0" collapsed="false">
      <c r="B948" s="122"/>
      <c r="C948" s="123"/>
      <c r="D948" s="124"/>
      <c r="E948" s="124"/>
      <c r="F948" s="125"/>
      <c r="G948" s="171"/>
      <c r="H948" s="171"/>
      <c r="I948" s="172"/>
      <c r="J948" s="171"/>
      <c r="K948" s="171"/>
      <c r="L948" s="171"/>
      <c r="M948" s="171"/>
      <c r="N948" s="171"/>
      <c r="O948" s="171"/>
      <c r="P948" s="171"/>
      <c r="Q948" s="171"/>
      <c r="R948" s="171"/>
      <c r="S948" s="171"/>
      <c r="T948" s="173"/>
      <c r="U948" s="174"/>
      <c r="V948" s="175"/>
      <c r="W948" s="175"/>
      <c r="X948" s="175"/>
      <c r="Y948" s="175"/>
      <c r="Z948" s="175"/>
      <c r="AA948" s="175"/>
      <c r="AB948" s="175"/>
      <c r="AC948" s="175"/>
      <c r="AD948" s="175"/>
      <c r="AE948" s="175"/>
      <c r="AF948" s="175"/>
      <c r="AG948" s="175"/>
      <c r="AH948" s="175"/>
      <c r="AI948" s="175"/>
      <c r="AJ948" s="175"/>
      <c r="AK948" s="175"/>
      <c r="AL948" s="175"/>
      <c r="AM948" s="175"/>
      <c r="AN948" s="175"/>
      <c r="AO948" s="176"/>
      <c r="AP948" s="177"/>
      <c r="AQ948" s="175"/>
      <c r="AR948" s="175"/>
      <c r="AS948" s="178"/>
      <c r="AT948" s="179"/>
    </row>
    <row r="949" customFormat="false" ht="12.75" hidden="false" customHeight="true" outlineLevel="0" collapsed="false">
      <c r="B949" s="122"/>
      <c r="C949" s="123"/>
      <c r="D949" s="124"/>
      <c r="E949" s="124"/>
      <c r="F949" s="125"/>
      <c r="G949" s="171"/>
      <c r="H949" s="171"/>
      <c r="I949" s="172"/>
      <c r="J949" s="171"/>
      <c r="K949" s="171"/>
      <c r="L949" s="171"/>
      <c r="M949" s="171"/>
      <c r="N949" s="171"/>
      <c r="O949" s="171"/>
      <c r="P949" s="171"/>
      <c r="Q949" s="171"/>
      <c r="R949" s="171"/>
      <c r="S949" s="171"/>
      <c r="T949" s="173"/>
      <c r="U949" s="174"/>
      <c r="V949" s="175"/>
      <c r="W949" s="175"/>
      <c r="X949" s="175"/>
      <c r="Y949" s="175"/>
      <c r="Z949" s="175"/>
      <c r="AA949" s="175"/>
      <c r="AB949" s="175"/>
      <c r="AC949" s="175"/>
      <c r="AD949" s="175"/>
      <c r="AE949" s="175"/>
      <c r="AF949" s="175"/>
      <c r="AG949" s="175"/>
      <c r="AH949" s="175"/>
      <c r="AI949" s="175"/>
      <c r="AJ949" s="175"/>
      <c r="AK949" s="175"/>
      <c r="AL949" s="175"/>
      <c r="AM949" s="175"/>
      <c r="AN949" s="175"/>
      <c r="AO949" s="176"/>
      <c r="AP949" s="177"/>
      <c r="AQ949" s="175"/>
      <c r="AR949" s="175"/>
      <c r="AS949" s="178"/>
      <c r="AT949" s="179"/>
    </row>
    <row r="950" customFormat="false" ht="12.75" hidden="false" customHeight="true" outlineLevel="0" collapsed="false">
      <c r="B950" s="141"/>
      <c r="C950" s="132"/>
      <c r="D950" s="133"/>
      <c r="E950" s="133"/>
      <c r="F950" s="134"/>
      <c r="G950" s="180"/>
      <c r="H950" s="180"/>
      <c r="I950" s="181"/>
      <c r="J950" s="180"/>
      <c r="K950" s="180"/>
      <c r="L950" s="180"/>
      <c r="M950" s="180"/>
      <c r="N950" s="180"/>
      <c r="O950" s="180"/>
      <c r="P950" s="180"/>
      <c r="Q950" s="180"/>
      <c r="R950" s="180"/>
      <c r="S950" s="180"/>
      <c r="T950" s="182"/>
      <c r="U950" s="183"/>
      <c r="V950" s="184"/>
      <c r="W950" s="184"/>
      <c r="X950" s="184"/>
      <c r="Y950" s="184"/>
      <c r="Z950" s="184"/>
      <c r="AA950" s="184"/>
      <c r="AB950" s="184"/>
      <c r="AC950" s="184"/>
      <c r="AD950" s="184"/>
      <c r="AE950" s="184"/>
      <c r="AF950" s="184"/>
      <c r="AG950" s="184"/>
      <c r="AH950" s="184"/>
      <c r="AI950" s="184"/>
      <c r="AJ950" s="184"/>
      <c r="AK950" s="184"/>
      <c r="AL950" s="184"/>
      <c r="AM950" s="184"/>
      <c r="AN950" s="184"/>
      <c r="AO950" s="185"/>
      <c r="AP950" s="186"/>
      <c r="AQ950" s="184"/>
      <c r="AR950" s="184"/>
      <c r="AS950" s="187"/>
      <c r="AT950" s="188"/>
    </row>
    <row r="951" customFormat="false" ht="12.75" hidden="false" customHeight="true" outlineLevel="0" collapsed="false">
      <c r="B951" s="122"/>
      <c r="C951" s="123"/>
      <c r="D951" s="124"/>
      <c r="E951" s="124"/>
      <c r="F951" s="125"/>
      <c r="G951" s="171"/>
      <c r="H951" s="171"/>
      <c r="I951" s="172"/>
      <c r="J951" s="171"/>
      <c r="K951" s="171"/>
      <c r="L951" s="171"/>
      <c r="M951" s="171"/>
      <c r="N951" s="171"/>
      <c r="O951" s="171"/>
      <c r="P951" s="171"/>
      <c r="Q951" s="171"/>
      <c r="R951" s="171"/>
      <c r="S951" s="171"/>
      <c r="T951" s="173"/>
      <c r="U951" s="174"/>
      <c r="V951" s="175"/>
      <c r="W951" s="175"/>
      <c r="X951" s="175"/>
      <c r="Y951" s="175"/>
      <c r="Z951" s="175"/>
      <c r="AA951" s="175"/>
      <c r="AB951" s="175"/>
      <c r="AC951" s="175"/>
      <c r="AD951" s="175"/>
      <c r="AE951" s="175"/>
      <c r="AF951" s="175"/>
      <c r="AG951" s="175"/>
      <c r="AH951" s="175"/>
      <c r="AI951" s="175"/>
      <c r="AJ951" s="175"/>
      <c r="AK951" s="175"/>
      <c r="AL951" s="175"/>
      <c r="AM951" s="175"/>
      <c r="AN951" s="175"/>
      <c r="AO951" s="176"/>
      <c r="AP951" s="177"/>
      <c r="AQ951" s="175"/>
      <c r="AR951" s="175"/>
      <c r="AS951" s="178"/>
      <c r="AT951" s="179"/>
    </row>
    <row r="952" customFormat="false" ht="12.75" hidden="false" customHeight="true" outlineLevel="0" collapsed="false">
      <c r="B952" s="122"/>
      <c r="C952" s="123"/>
      <c r="D952" s="124"/>
      <c r="E952" s="124"/>
      <c r="F952" s="125"/>
      <c r="G952" s="171"/>
      <c r="H952" s="171"/>
      <c r="I952" s="172"/>
      <c r="J952" s="171"/>
      <c r="K952" s="171"/>
      <c r="L952" s="171"/>
      <c r="M952" s="171"/>
      <c r="N952" s="171"/>
      <c r="O952" s="171"/>
      <c r="P952" s="171"/>
      <c r="Q952" s="171"/>
      <c r="R952" s="171"/>
      <c r="S952" s="171"/>
      <c r="T952" s="173"/>
      <c r="U952" s="174"/>
      <c r="V952" s="175"/>
      <c r="W952" s="175"/>
      <c r="X952" s="175"/>
      <c r="Y952" s="175"/>
      <c r="Z952" s="175"/>
      <c r="AA952" s="175"/>
      <c r="AB952" s="175"/>
      <c r="AC952" s="175"/>
      <c r="AD952" s="175"/>
      <c r="AE952" s="175"/>
      <c r="AF952" s="175"/>
      <c r="AG952" s="175"/>
      <c r="AH952" s="175"/>
      <c r="AI952" s="175"/>
      <c r="AJ952" s="175"/>
      <c r="AK952" s="175"/>
      <c r="AL952" s="175"/>
      <c r="AM952" s="175"/>
      <c r="AN952" s="175"/>
      <c r="AO952" s="176"/>
      <c r="AP952" s="177"/>
      <c r="AQ952" s="175"/>
      <c r="AR952" s="175"/>
      <c r="AS952" s="178"/>
      <c r="AT952" s="179"/>
    </row>
    <row r="953" customFormat="false" ht="12.75" hidden="false" customHeight="true" outlineLevel="0" collapsed="false">
      <c r="B953" s="122"/>
      <c r="C953" s="123"/>
      <c r="D953" s="124"/>
      <c r="E953" s="124"/>
      <c r="F953" s="125"/>
      <c r="G953" s="171"/>
      <c r="H953" s="171"/>
      <c r="I953" s="172"/>
      <c r="J953" s="171"/>
      <c r="K953" s="171"/>
      <c r="L953" s="171"/>
      <c r="M953" s="171"/>
      <c r="N953" s="171"/>
      <c r="O953" s="171"/>
      <c r="P953" s="171"/>
      <c r="Q953" s="171"/>
      <c r="R953" s="171"/>
      <c r="S953" s="171"/>
      <c r="T953" s="173"/>
      <c r="U953" s="174"/>
      <c r="V953" s="175"/>
      <c r="W953" s="175"/>
      <c r="X953" s="175"/>
      <c r="Y953" s="175"/>
      <c r="Z953" s="175"/>
      <c r="AA953" s="175"/>
      <c r="AB953" s="175"/>
      <c r="AC953" s="175"/>
      <c r="AD953" s="175"/>
      <c r="AE953" s="175"/>
      <c r="AF953" s="175"/>
      <c r="AG953" s="175"/>
      <c r="AH953" s="175"/>
      <c r="AI953" s="175"/>
      <c r="AJ953" s="175"/>
      <c r="AK953" s="175"/>
      <c r="AL953" s="175"/>
      <c r="AM953" s="175"/>
      <c r="AN953" s="175"/>
      <c r="AO953" s="176"/>
      <c r="AP953" s="177"/>
      <c r="AQ953" s="175"/>
      <c r="AR953" s="175"/>
      <c r="AS953" s="178"/>
      <c r="AT953" s="179"/>
    </row>
    <row r="954" customFormat="false" ht="12.75" hidden="false" customHeight="true" outlineLevel="0" collapsed="false">
      <c r="B954" s="122"/>
      <c r="C954" s="123"/>
      <c r="D954" s="124"/>
      <c r="E954" s="124"/>
      <c r="F954" s="125"/>
      <c r="G954" s="171"/>
      <c r="H954" s="171"/>
      <c r="I954" s="172"/>
      <c r="J954" s="171"/>
      <c r="K954" s="171"/>
      <c r="L954" s="171"/>
      <c r="M954" s="171"/>
      <c r="N954" s="171"/>
      <c r="O954" s="171"/>
      <c r="P954" s="171"/>
      <c r="Q954" s="171"/>
      <c r="R954" s="171"/>
      <c r="S954" s="171"/>
      <c r="T954" s="173"/>
      <c r="U954" s="174"/>
      <c r="V954" s="175"/>
      <c r="W954" s="175"/>
      <c r="X954" s="175"/>
      <c r="Y954" s="175"/>
      <c r="Z954" s="175"/>
      <c r="AA954" s="175"/>
      <c r="AB954" s="175"/>
      <c r="AC954" s="175"/>
      <c r="AD954" s="175"/>
      <c r="AE954" s="175"/>
      <c r="AF954" s="175"/>
      <c r="AG954" s="175"/>
      <c r="AH954" s="175"/>
      <c r="AI954" s="175"/>
      <c r="AJ954" s="175"/>
      <c r="AK954" s="175"/>
      <c r="AL954" s="175"/>
      <c r="AM954" s="175"/>
      <c r="AN954" s="175"/>
      <c r="AO954" s="176"/>
      <c r="AP954" s="177"/>
      <c r="AQ954" s="175"/>
      <c r="AR954" s="175"/>
      <c r="AS954" s="178"/>
      <c r="AT954" s="179"/>
    </row>
    <row r="955" customFormat="false" ht="12.75" hidden="false" customHeight="true" outlineLevel="0" collapsed="false">
      <c r="B955" s="141"/>
      <c r="C955" s="132"/>
      <c r="D955" s="133"/>
      <c r="E955" s="133"/>
      <c r="F955" s="134"/>
      <c r="G955" s="180"/>
      <c r="H955" s="180"/>
      <c r="I955" s="181"/>
      <c r="J955" s="180"/>
      <c r="K955" s="180"/>
      <c r="L955" s="180"/>
      <c r="M955" s="180"/>
      <c r="N955" s="180"/>
      <c r="O955" s="180"/>
      <c r="P955" s="180"/>
      <c r="Q955" s="180"/>
      <c r="R955" s="180"/>
      <c r="S955" s="180"/>
      <c r="T955" s="182"/>
      <c r="U955" s="183"/>
      <c r="V955" s="184"/>
      <c r="W955" s="184"/>
      <c r="X955" s="184"/>
      <c r="Y955" s="184"/>
      <c r="Z955" s="184"/>
      <c r="AA955" s="184"/>
      <c r="AB955" s="184"/>
      <c r="AC955" s="184"/>
      <c r="AD955" s="184"/>
      <c r="AE955" s="184"/>
      <c r="AF955" s="184"/>
      <c r="AG955" s="184"/>
      <c r="AH955" s="184"/>
      <c r="AI955" s="184"/>
      <c r="AJ955" s="184"/>
      <c r="AK955" s="184"/>
      <c r="AL955" s="184"/>
      <c r="AM955" s="184"/>
      <c r="AN955" s="184"/>
      <c r="AO955" s="185"/>
      <c r="AP955" s="186"/>
      <c r="AQ955" s="184"/>
      <c r="AR955" s="184"/>
      <c r="AS955" s="187"/>
      <c r="AT955" s="188"/>
    </row>
    <row r="956" customFormat="false" ht="12.75" hidden="false" customHeight="true" outlineLevel="0" collapsed="false">
      <c r="B956" s="122"/>
      <c r="C956" s="123"/>
      <c r="D956" s="124"/>
      <c r="E956" s="124"/>
      <c r="F956" s="125"/>
      <c r="G956" s="171"/>
      <c r="H956" s="171"/>
      <c r="I956" s="172"/>
      <c r="J956" s="171"/>
      <c r="K956" s="171"/>
      <c r="L956" s="171"/>
      <c r="M956" s="171"/>
      <c r="N956" s="171"/>
      <c r="O956" s="171"/>
      <c r="P956" s="171"/>
      <c r="Q956" s="171"/>
      <c r="R956" s="171"/>
      <c r="S956" s="171"/>
      <c r="T956" s="173"/>
      <c r="U956" s="174"/>
      <c r="V956" s="175"/>
      <c r="W956" s="175"/>
      <c r="X956" s="175"/>
      <c r="Y956" s="175"/>
      <c r="Z956" s="175"/>
      <c r="AA956" s="175"/>
      <c r="AB956" s="175"/>
      <c r="AC956" s="175"/>
      <c r="AD956" s="175"/>
      <c r="AE956" s="175"/>
      <c r="AF956" s="175"/>
      <c r="AG956" s="175"/>
      <c r="AH956" s="175"/>
      <c r="AI956" s="175"/>
      <c r="AJ956" s="175"/>
      <c r="AK956" s="175"/>
      <c r="AL956" s="175"/>
      <c r="AM956" s="175"/>
      <c r="AN956" s="175"/>
      <c r="AO956" s="176"/>
      <c r="AP956" s="177"/>
      <c r="AQ956" s="175"/>
      <c r="AR956" s="175"/>
      <c r="AS956" s="178"/>
      <c r="AT956" s="179"/>
    </row>
    <row r="957" customFormat="false" ht="12.75" hidden="false" customHeight="true" outlineLevel="0" collapsed="false">
      <c r="B957" s="122"/>
      <c r="C957" s="123"/>
      <c r="D957" s="124"/>
      <c r="E957" s="124"/>
      <c r="F957" s="125"/>
      <c r="G957" s="171"/>
      <c r="H957" s="171"/>
      <c r="I957" s="172"/>
      <c r="J957" s="171"/>
      <c r="K957" s="171"/>
      <c r="L957" s="171"/>
      <c r="M957" s="171"/>
      <c r="N957" s="171"/>
      <c r="O957" s="171"/>
      <c r="P957" s="171"/>
      <c r="Q957" s="171"/>
      <c r="R957" s="171"/>
      <c r="S957" s="171"/>
      <c r="T957" s="173"/>
      <c r="U957" s="174"/>
      <c r="V957" s="175"/>
      <c r="W957" s="175"/>
      <c r="X957" s="175"/>
      <c r="Y957" s="175"/>
      <c r="Z957" s="175"/>
      <c r="AA957" s="175"/>
      <c r="AB957" s="175"/>
      <c r="AC957" s="175"/>
      <c r="AD957" s="175"/>
      <c r="AE957" s="175"/>
      <c r="AF957" s="175"/>
      <c r="AG957" s="175"/>
      <c r="AH957" s="175"/>
      <c r="AI957" s="175"/>
      <c r="AJ957" s="175"/>
      <c r="AK957" s="175"/>
      <c r="AL957" s="175"/>
      <c r="AM957" s="175"/>
      <c r="AN957" s="175"/>
      <c r="AO957" s="176"/>
      <c r="AP957" s="177"/>
      <c r="AQ957" s="175"/>
      <c r="AR957" s="175"/>
      <c r="AS957" s="178"/>
      <c r="AT957" s="179"/>
    </row>
    <row r="958" customFormat="false" ht="12.75" hidden="false" customHeight="true" outlineLevel="0" collapsed="false">
      <c r="B958" s="122"/>
      <c r="C958" s="123"/>
      <c r="D958" s="124"/>
      <c r="E958" s="124"/>
      <c r="F958" s="125"/>
      <c r="G958" s="171"/>
      <c r="H958" s="171"/>
      <c r="I958" s="172"/>
      <c r="J958" s="171"/>
      <c r="K958" s="171"/>
      <c r="L958" s="171"/>
      <c r="M958" s="171"/>
      <c r="N958" s="171"/>
      <c r="O958" s="171"/>
      <c r="P958" s="171"/>
      <c r="Q958" s="171"/>
      <c r="R958" s="171"/>
      <c r="S958" s="171"/>
      <c r="T958" s="173"/>
      <c r="U958" s="174"/>
      <c r="V958" s="175"/>
      <c r="W958" s="175"/>
      <c r="X958" s="175"/>
      <c r="Y958" s="175"/>
      <c r="Z958" s="175"/>
      <c r="AA958" s="175"/>
      <c r="AB958" s="175"/>
      <c r="AC958" s="175"/>
      <c r="AD958" s="175"/>
      <c r="AE958" s="175"/>
      <c r="AF958" s="175"/>
      <c r="AG958" s="175"/>
      <c r="AH958" s="175"/>
      <c r="AI958" s="175"/>
      <c r="AJ958" s="175"/>
      <c r="AK958" s="175"/>
      <c r="AL958" s="175"/>
      <c r="AM958" s="175"/>
      <c r="AN958" s="175"/>
      <c r="AO958" s="176"/>
      <c r="AP958" s="177"/>
      <c r="AQ958" s="175"/>
      <c r="AR958" s="175"/>
      <c r="AS958" s="178"/>
      <c r="AT958" s="179"/>
    </row>
    <row r="959" customFormat="false" ht="12.75" hidden="false" customHeight="true" outlineLevel="0" collapsed="false">
      <c r="B959" s="122"/>
      <c r="C959" s="123"/>
      <c r="D959" s="124"/>
      <c r="E959" s="124"/>
      <c r="F959" s="125"/>
      <c r="G959" s="171"/>
      <c r="H959" s="171"/>
      <c r="I959" s="172"/>
      <c r="J959" s="171"/>
      <c r="K959" s="171"/>
      <c r="L959" s="171"/>
      <c r="M959" s="171"/>
      <c r="N959" s="171"/>
      <c r="O959" s="171"/>
      <c r="P959" s="171"/>
      <c r="Q959" s="171"/>
      <c r="R959" s="171"/>
      <c r="S959" s="171"/>
      <c r="T959" s="173"/>
      <c r="U959" s="174"/>
      <c r="V959" s="175"/>
      <c r="W959" s="175"/>
      <c r="X959" s="175"/>
      <c r="Y959" s="175"/>
      <c r="Z959" s="175"/>
      <c r="AA959" s="175"/>
      <c r="AB959" s="175"/>
      <c r="AC959" s="175"/>
      <c r="AD959" s="175"/>
      <c r="AE959" s="175"/>
      <c r="AF959" s="175"/>
      <c r="AG959" s="175"/>
      <c r="AH959" s="175"/>
      <c r="AI959" s="175"/>
      <c r="AJ959" s="175"/>
      <c r="AK959" s="175"/>
      <c r="AL959" s="175"/>
      <c r="AM959" s="175"/>
      <c r="AN959" s="175"/>
      <c r="AO959" s="176"/>
      <c r="AP959" s="177"/>
      <c r="AQ959" s="175"/>
      <c r="AR959" s="175"/>
      <c r="AS959" s="178"/>
      <c r="AT959" s="179"/>
    </row>
    <row r="960" customFormat="false" ht="12.75" hidden="false" customHeight="true" outlineLevel="0" collapsed="false">
      <c r="B960" s="141"/>
      <c r="C960" s="132"/>
      <c r="D960" s="133"/>
      <c r="E960" s="133"/>
      <c r="F960" s="134"/>
      <c r="G960" s="180"/>
      <c r="H960" s="180"/>
      <c r="I960" s="181"/>
      <c r="J960" s="180"/>
      <c r="K960" s="180"/>
      <c r="L960" s="180"/>
      <c r="M960" s="180"/>
      <c r="N960" s="180"/>
      <c r="O960" s="180"/>
      <c r="P960" s="180"/>
      <c r="Q960" s="180"/>
      <c r="R960" s="180"/>
      <c r="S960" s="180"/>
      <c r="T960" s="182"/>
      <c r="U960" s="183"/>
      <c r="V960" s="184"/>
      <c r="W960" s="184"/>
      <c r="X960" s="184"/>
      <c r="Y960" s="184"/>
      <c r="Z960" s="184"/>
      <c r="AA960" s="184"/>
      <c r="AB960" s="184"/>
      <c r="AC960" s="184"/>
      <c r="AD960" s="184"/>
      <c r="AE960" s="184"/>
      <c r="AF960" s="184"/>
      <c r="AG960" s="184"/>
      <c r="AH960" s="184"/>
      <c r="AI960" s="184"/>
      <c r="AJ960" s="184"/>
      <c r="AK960" s="184"/>
      <c r="AL960" s="184"/>
      <c r="AM960" s="184"/>
      <c r="AN960" s="184"/>
      <c r="AO960" s="185"/>
      <c r="AP960" s="186"/>
      <c r="AQ960" s="184"/>
      <c r="AR960" s="184"/>
      <c r="AS960" s="187"/>
      <c r="AT960" s="188"/>
    </row>
    <row r="961" customFormat="false" ht="12.75" hidden="false" customHeight="true" outlineLevel="0" collapsed="false">
      <c r="B961" s="122"/>
      <c r="C961" s="123"/>
      <c r="D961" s="124"/>
      <c r="E961" s="124"/>
      <c r="F961" s="125"/>
      <c r="G961" s="171"/>
      <c r="H961" s="171"/>
      <c r="I961" s="172"/>
      <c r="J961" s="171"/>
      <c r="K961" s="171"/>
      <c r="L961" s="171"/>
      <c r="M961" s="171"/>
      <c r="N961" s="171"/>
      <c r="O961" s="171"/>
      <c r="P961" s="171"/>
      <c r="Q961" s="171"/>
      <c r="R961" s="171"/>
      <c r="S961" s="171"/>
      <c r="T961" s="173"/>
      <c r="U961" s="174"/>
      <c r="V961" s="175"/>
      <c r="W961" s="175"/>
      <c r="X961" s="175"/>
      <c r="Y961" s="175"/>
      <c r="Z961" s="175"/>
      <c r="AA961" s="175"/>
      <c r="AB961" s="175"/>
      <c r="AC961" s="175"/>
      <c r="AD961" s="175"/>
      <c r="AE961" s="175"/>
      <c r="AF961" s="175"/>
      <c r="AG961" s="175"/>
      <c r="AH961" s="175"/>
      <c r="AI961" s="175"/>
      <c r="AJ961" s="175"/>
      <c r="AK961" s="175"/>
      <c r="AL961" s="175"/>
      <c r="AM961" s="175"/>
      <c r="AN961" s="175"/>
      <c r="AO961" s="176"/>
      <c r="AP961" s="177"/>
      <c r="AQ961" s="175"/>
      <c r="AR961" s="175"/>
      <c r="AS961" s="178"/>
      <c r="AT961" s="179"/>
    </row>
    <row r="962" customFormat="false" ht="12.75" hidden="false" customHeight="true" outlineLevel="0" collapsed="false">
      <c r="B962" s="122"/>
      <c r="C962" s="123"/>
      <c r="D962" s="124"/>
      <c r="E962" s="124"/>
      <c r="F962" s="125"/>
      <c r="G962" s="171"/>
      <c r="H962" s="171"/>
      <c r="I962" s="172"/>
      <c r="J962" s="171"/>
      <c r="K962" s="171"/>
      <c r="L962" s="171"/>
      <c r="M962" s="171"/>
      <c r="N962" s="171"/>
      <c r="O962" s="171"/>
      <c r="P962" s="171"/>
      <c r="Q962" s="171"/>
      <c r="R962" s="171"/>
      <c r="S962" s="171"/>
      <c r="T962" s="173"/>
      <c r="U962" s="174"/>
      <c r="V962" s="175"/>
      <c r="W962" s="175"/>
      <c r="X962" s="175"/>
      <c r="Y962" s="175"/>
      <c r="Z962" s="175"/>
      <c r="AA962" s="175"/>
      <c r="AB962" s="175"/>
      <c r="AC962" s="175"/>
      <c r="AD962" s="175"/>
      <c r="AE962" s="175"/>
      <c r="AF962" s="175"/>
      <c r="AG962" s="175"/>
      <c r="AH962" s="175"/>
      <c r="AI962" s="175"/>
      <c r="AJ962" s="175"/>
      <c r="AK962" s="175"/>
      <c r="AL962" s="175"/>
      <c r="AM962" s="175"/>
      <c r="AN962" s="175"/>
      <c r="AO962" s="176"/>
      <c r="AP962" s="177"/>
      <c r="AQ962" s="175"/>
      <c r="AR962" s="175"/>
      <c r="AS962" s="178"/>
      <c r="AT962" s="179"/>
    </row>
    <row r="963" customFormat="false" ht="12.75" hidden="false" customHeight="true" outlineLevel="0" collapsed="false">
      <c r="B963" s="122"/>
      <c r="C963" s="123"/>
      <c r="D963" s="124"/>
      <c r="E963" s="124"/>
      <c r="F963" s="125"/>
      <c r="G963" s="171"/>
      <c r="H963" s="171"/>
      <c r="I963" s="172"/>
      <c r="J963" s="171"/>
      <c r="K963" s="171"/>
      <c r="L963" s="171"/>
      <c r="M963" s="171"/>
      <c r="N963" s="171"/>
      <c r="O963" s="171"/>
      <c r="P963" s="171"/>
      <c r="Q963" s="171"/>
      <c r="R963" s="171"/>
      <c r="S963" s="171"/>
      <c r="T963" s="173"/>
      <c r="U963" s="174"/>
      <c r="V963" s="175"/>
      <c r="W963" s="175"/>
      <c r="X963" s="175"/>
      <c r="Y963" s="175"/>
      <c r="Z963" s="175"/>
      <c r="AA963" s="175"/>
      <c r="AB963" s="175"/>
      <c r="AC963" s="175"/>
      <c r="AD963" s="175"/>
      <c r="AE963" s="175"/>
      <c r="AF963" s="175"/>
      <c r="AG963" s="175"/>
      <c r="AH963" s="175"/>
      <c r="AI963" s="175"/>
      <c r="AJ963" s="175"/>
      <c r="AK963" s="175"/>
      <c r="AL963" s="175"/>
      <c r="AM963" s="175"/>
      <c r="AN963" s="175"/>
      <c r="AO963" s="176"/>
      <c r="AP963" s="177"/>
      <c r="AQ963" s="175"/>
      <c r="AR963" s="175"/>
      <c r="AS963" s="178"/>
      <c r="AT963" s="179"/>
    </row>
    <row r="964" customFormat="false" ht="12.75" hidden="false" customHeight="true" outlineLevel="0" collapsed="false">
      <c r="B964" s="141"/>
      <c r="C964" s="132"/>
      <c r="D964" s="133"/>
      <c r="E964" s="133"/>
      <c r="F964" s="134"/>
      <c r="G964" s="180"/>
      <c r="H964" s="180"/>
      <c r="I964" s="181"/>
      <c r="J964" s="180"/>
      <c r="K964" s="180"/>
      <c r="L964" s="180"/>
      <c r="M964" s="180"/>
      <c r="N964" s="180"/>
      <c r="O964" s="180"/>
      <c r="P964" s="180"/>
      <c r="Q964" s="180"/>
      <c r="R964" s="180"/>
      <c r="S964" s="180"/>
      <c r="T964" s="182"/>
      <c r="U964" s="183"/>
      <c r="V964" s="184"/>
      <c r="W964" s="184"/>
      <c r="X964" s="184"/>
      <c r="Y964" s="184"/>
      <c r="Z964" s="184"/>
      <c r="AA964" s="184"/>
      <c r="AB964" s="184"/>
      <c r="AC964" s="184"/>
      <c r="AD964" s="184"/>
      <c r="AE964" s="184"/>
      <c r="AF964" s="184"/>
      <c r="AG964" s="184"/>
      <c r="AH964" s="184"/>
      <c r="AI964" s="184"/>
      <c r="AJ964" s="184"/>
      <c r="AK964" s="184"/>
      <c r="AL964" s="184"/>
      <c r="AM964" s="184"/>
      <c r="AN964" s="184"/>
      <c r="AO964" s="185"/>
      <c r="AP964" s="186"/>
      <c r="AQ964" s="184"/>
      <c r="AR964" s="184"/>
      <c r="AS964" s="187"/>
      <c r="AT964" s="188"/>
    </row>
    <row r="965" customFormat="false" ht="12.75" hidden="false" customHeight="true" outlineLevel="0" collapsed="false">
      <c r="B965" s="122"/>
      <c r="C965" s="123"/>
      <c r="D965" s="124"/>
      <c r="E965" s="124"/>
      <c r="F965" s="125"/>
      <c r="G965" s="171"/>
      <c r="H965" s="171"/>
      <c r="I965" s="172"/>
      <c r="J965" s="171"/>
      <c r="K965" s="171"/>
      <c r="L965" s="171"/>
      <c r="M965" s="171"/>
      <c r="N965" s="171"/>
      <c r="O965" s="171"/>
      <c r="P965" s="171"/>
      <c r="Q965" s="171"/>
      <c r="R965" s="171"/>
      <c r="S965" s="171"/>
      <c r="T965" s="173"/>
      <c r="U965" s="174"/>
      <c r="V965" s="175"/>
      <c r="W965" s="175"/>
      <c r="X965" s="175"/>
      <c r="Y965" s="175"/>
      <c r="Z965" s="175"/>
      <c r="AA965" s="175"/>
      <c r="AB965" s="175"/>
      <c r="AC965" s="175"/>
      <c r="AD965" s="175"/>
      <c r="AE965" s="175"/>
      <c r="AF965" s="175"/>
      <c r="AG965" s="175"/>
      <c r="AH965" s="175"/>
      <c r="AI965" s="175"/>
      <c r="AJ965" s="175"/>
      <c r="AK965" s="175"/>
      <c r="AL965" s="175"/>
      <c r="AM965" s="175"/>
      <c r="AN965" s="175"/>
      <c r="AO965" s="176"/>
      <c r="AP965" s="177"/>
      <c r="AQ965" s="175"/>
      <c r="AR965" s="175"/>
      <c r="AS965" s="178"/>
      <c r="AT965" s="179"/>
    </row>
    <row r="966" customFormat="false" ht="12.75" hidden="false" customHeight="true" outlineLevel="0" collapsed="false">
      <c r="B966" s="122"/>
      <c r="C966" s="123"/>
      <c r="D966" s="124"/>
      <c r="E966" s="124"/>
      <c r="F966" s="125"/>
      <c r="G966" s="171"/>
      <c r="H966" s="171"/>
      <c r="I966" s="172"/>
      <c r="J966" s="171"/>
      <c r="K966" s="171"/>
      <c r="L966" s="171"/>
      <c r="M966" s="171"/>
      <c r="N966" s="171"/>
      <c r="O966" s="171"/>
      <c r="P966" s="171"/>
      <c r="Q966" s="171"/>
      <c r="R966" s="171"/>
      <c r="S966" s="171"/>
      <c r="T966" s="173"/>
      <c r="U966" s="174"/>
      <c r="V966" s="175"/>
      <c r="W966" s="175"/>
      <c r="X966" s="175"/>
      <c r="Y966" s="175"/>
      <c r="Z966" s="175"/>
      <c r="AA966" s="175"/>
      <c r="AB966" s="175"/>
      <c r="AC966" s="175"/>
      <c r="AD966" s="175"/>
      <c r="AE966" s="175"/>
      <c r="AF966" s="175"/>
      <c r="AG966" s="175"/>
      <c r="AH966" s="175"/>
      <c r="AI966" s="175"/>
      <c r="AJ966" s="175"/>
      <c r="AK966" s="175"/>
      <c r="AL966" s="175"/>
      <c r="AM966" s="175"/>
      <c r="AN966" s="175"/>
      <c r="AO966" s="176"/>
      <c r="AP966" s="177"/>
      <c r="AQ966" s="175"/>
      <c r="AR966" s="175"/>
      <c r="AS966" s="178"/>
      <c r="AT966" s="179"/>
    </row>
    <row r="967" customFormat="false" ht="12.75" hidden="false" customHeight="true" outlineLevel="0" collapsed="false">
      <c r="B967" s="122"/>
      <c r="C967" s="123"/>
      <c r="D967" s="124"/>
      <c r="E967" s="124"/>
      <c r="F967" s="125"/>
      <c r="G967" s="171"/>
      <c r="H967" s="171"/>
      <c r="I967" s="172"/>
      <c r="J967" s="171"/>
      <c r="K967" s="171"/>
      <c r="L967" s="171"/>
      <c r="M967" s="171"/>
      <c r="N967" s="171"/>
      <c r="O967" s="171"/>
      <c r="P967" s="171"/>
      <c r="Q967" s="171"/>
      <c r="R967" s="171"/>
      <c r="S967" s="171"/>
      <c r="T967" s="173"/>
      <c r="U967" s="174"/>
      <c r="V967" s="175"/>
      <c r="W967" s="175"/>
      <c r="X967" s="175"/>
      <c r="Y967" s="175"/>
      <c r="Z967" s="175"/>
      <c r="AA967" s="175"/>
      <c r="AB967" s="175"/>
      <c r="AC967" s="175"/>
      <c r="AD967" s="175"/>
      <c r="AE967" s="175"/>
      <c r="AF967" s="175"/>
      <c r="AG967" s="175"/>
      <c r="AH967" s="175"/>
      <c r="AI967" s="175"/>
      <c r="AJ967" s="175"/>
      <c r="AK967" s="175"/>
      <c r="AL967" s="175"/>
      <c r="AM967" s="175"/>
      <c r="AN967" s="175"/>
      <c r="AO967" s="176"/>
      <c r="AP967" s="177"/>
      <c r="AQ967" s="175"/>
      <c r="AR967" s="175"/>
      <c r="AS967" s="178"/>
      <c r="AT967" s="179"/>
    </row>
    <row r="968" customFormat="false" ht="12.75" hidden="false" customHeight="true" outlineLevel="0" collapsed="false">
      <c r="B968" s="122"/>
      <c r="C968" s="123"/>
      <c r="D968" s="124"/>
      <c r="E968" s="124"/>
      <c r="F968" s="125"/>
      <c r="G968" s="171"/>
      <c r="H968" s="171"/>
      <c r="I968" s="172"/>
      <c r="J968" s="171"/>
      <c r="K968" s="171"/>
      <c r="L968" s="171"/>
      <c r="M968" s="171"/>
      <c r="N968" s="171"/>
      <c r="O968" s="171"/>
      <c r="P968" s="171"/>
      <c r="Q968" s="171"/>
      <c r="R968" s="171"/>
      <c r="S968" s="171"/>
      <c r="T968" s="173"/>
      <c r="U968" s="174"/>
      <c r="V968" s="175"/>
      <c r="W968" s="175"/>
      <c r="X968" s="175"/>
      <c r="Y968" s="175"/>
      <c r="Z968" s="175"/>
      <c r="AA968" s="175"/>
      <c r="AB968" s="175"/>
      <c r="AC968" s="175"/>
      <c r="AD968" s="175"/>
      <c r="AE968" s="175"/>
      <c r="AF968" s="175"/>
      <c r="AG968" s="175"/>
      <c r="AH968" s="175"/>
      <c r="AI968" s="175"/>
      <c r="AJ968" s="175"/>
      <c r="AK968" s="175"/>
      <c r="AL968" s="175"/>
      <c r="AM968" s="175"/>
      <c r="AN968" s="175"/>
      <c r="AO968" s="176"/>
      <c r="AP968" s="177"/>
      <c r="AQ968" s="175"/>
      <c r="AR968" s="175"/>
      <c r="AS968" s="178"/>
      <c r="AT968" s="179"/>
    </row>
    <row r="969" customFormat="false" ht="12.75" hidden="false" customHeight="true" outlineLevel="0" collapsed="false">
      <c r="B969" s="141"/>
      <c r="C969" s="132"/>
      <c r="D969" s="133"/>
      <c r="E969" s="133"/>
      <c r="F969" s="134"/>
      <c r="G969" s="180"/>
      <c r="H969" s="180"/>
      <c r="I969" s="181"/>
      <c r="J969" s="180"/>
      <c r="K969" s="180"/>
      <c r="L969" s="180"/>
      <c r="M969" s="180"/>
      <c r="N969" s="180"/>
      <c r="O969" s="180"/>
      <c r="P969" s="180"/>
      <c r="Q969" s="180"/>
      <c r="R969" s="180"/>
      <c r="S969" s="180"/>
      <c r="T969" s="182"/>
      <c r="U969" s="183"/>
      <c r="V969" s="184"/>
      <c r="W969" s="184"/>
      <c r="X969" s="184"/>
      <c r="Y969" s="184"/>
      <c r="Z969" s="184"/>
      <c r="AA969" s="184"/>
      <c r="AB969" s="184"/>
      <c r="AC969" s="184"/>
      <c r="AD969" s="184"/>
      <c r="AE969" s="184"/>
      <c r="AF969" s="184"/>
      <c r="AG969" s="184"/>
      <c r="AH969" s="184"/>
      <c r="AI969" s="184"/>
      <c r="AJ969" s="184"/>
      <c r="AK969" s="184"/>
      <c r="AL969" s="184"/>
      <c r="AM969" s="184"/>
      <c r="AN969" s="184"/>
      <c r="AO969" s="185"/>
      <c r="AP969" s="186"/>
      <c r="AQ969" s="184"/>
      <c r="AR969" s="184"/>
      <c r="AS969" s="187"/>
      <c r="AT969" s="188"/>
    </row>
    <row r="970" customFormat="false" ht="12.75" hidden="false" customHeight="true" outlineLevel="0" collapsed="false">
      <c r="B970" s="122"/>
      <c r="C970" s="123"/>
      <c r="D970" s="124"/>
      <c r="E970" s="124"/>
      <c r="F970" s="125"/>
      <c r="G970" s="171"/>
      <c r="H970" s="171"/>
      <c r="I970" s="172"/>
      <c r="J970" s="171"/>
      <c r="K970" s="171"/>
      <c r="L970" s="171"/>
      <c r="M970" s="171"/>
      <c r="N970" s="171"/>
      <c r="O970" s="171"/>
      <c r="P970" s="171"/>
      <c r="Q970" s="171"/>
      <c r="R970" s="171"/>
      <c r="S970" s="171"/>
      <c r="T970" s="173"/>
      <c r="U970" s="174"/>
      <c r="V970" s="175"/>
      <c r="W970" s="175"/>
      <c r="X970" s="175"/>
      <c r="Y970" s="175"/>
      <c r="Z970" s="175"/>
      <c r="AA970" s="175"/>
      <c r="AB970" s="175"/>
      <c r="AC970" s="175"/>
      <c r="AD970" s="175"/>
      <c r="AE970" s="175"/>
      <c r="AF970" s="175"/>
      <c r="AG970" s="175"/>
      <c r="AH970" s="175"/>
      <c r="AI970" s="175"/>
      <c r="AJ970" s="175"/>
      <c r="AK970" s="175"/>
      <c r="AL970" s="175"/>
      <c r="AM970" s="175"/>
      <c r="AN970" s="175"/>
      <c r="AO970" s="176"/>
      <c r="AP970" s="177"/>
      <c r="AQ970" s="175"/>
      <c r="AR970" s="175"/>
      <c r="AS970" s="178"/>
      <c r="AT970" s="179"/>
    </row>
    <row r="971" customFormat="false" ht="12.75" hidden="false" customHeight="true" outlineLevel="0" collapsed="false">
      <c r="B971" s="122"/>
      <c r="C971" s="123"/>
      <c r="D971" s="124"/>
      <c r="E971" s="124"/>
      <c r="F971" s="125"/>
      <c r="G971" s="171"/>
      <c r="H971" s="171"/>
      <c r="I971" s="172"/>
      <c r="J971" s="171"/>
      <c r="K971" s="171"/>
      <c r="L971" s="171"/>
      <c r="M971" s="171"/>
      <c r="N971" s="171"/>
      <c r="O971" s="171"/>
      <c r="P971" s="171"/>
      <c r="Q971" s="171"/>
      <c r="R971" s="171"/>
      <c r="S971" s="171"/>
      <c r="T971" s="173"/>
      <c r="U971" s="174"/>
      <c r="V971" s="175"/>
      <c r="W971" s="175"/>
      <c r="X971" s="175"/>
      <c r="Y971" s="175"/>
      <c r="Z971" s="175"/>
      <c r="AA971" s="175"/>
      <c r="AB971" s="175"/>
      <c r="AC971" s="175"/>
      <c r="AD971" s="175"/>
      <c r="AE971" s="175"/>
      <c r="AF971" s="175"/>
      <c r="AG971" s="175"/>
      <c r="AH971" s="175"/>
      <c r="AI971" s="175"/>
      <c r="AJ971" s="175"/>
      <c r="AK971" s="175"/>
      <c r="AL971" s="175"/>
      <c r="AM971" s="175"/>
      <c r="AN971" s="175"/>
      <c r="AO971" s="176"/>
      <c r="AP971" s="177"/>
      <c r="AQ971" s="175"/>
      <c r="AR971" s="175"/>
      <c r="AS971" s="178"/>
      <c r="AT971" s="179"/>
    </row>
    <row r="972" customFormat="false" ht="12.75" hidden="false" customHeight="true" outlineLevel="0" collapsed="false">
      <c r="B972" s="122"/>
      <c r="C972" s="123"/>
      <c r="D972" s="124"/>
      <c r="E972" s="124"/>
      <c r="F972" s="125"/>
      <c r="G972" s="171"/>
      <c r="H972" s="171"/>
      <c r="I972" s="172"/>
      <c r="J972" s="171"/>
      <c r="K972" s="171"/>
      <c r="L972" s="171"/>
      <c r="M972" s="171"/>
      <c r="N972" s="171"/>
      <c r="O972" s="171"/>
      <c r="P972" s="171"/>
      <c r="Q972" s="171"/>
      <c r="R972" s="171"/>
      <c r="S972" s="171"/>
      <c r="T972" s="173"/>
      <c r="U972" s="174"/>
      <c r="V972" s="175"/>
      <c r="W972" s="175"/>
      <c r="X972" s="175"/>
      <c r="Y972" s="175"/>
      <c r="Z972" s="175"/>
      <c r="AA972" s="175"/>
      <c r="AB972" s="175"/>
      <c r="AC972" s="175"/>
      <c r="AD972" s="175"/>
      <c r="AE972" s="175"/>
      <c r="AF972" s="175"/>
      <c r="AG972" s="175"/>
      <c r="AH972" s="175"/>
      <c r="AI972" s="175"/>
      <c r="AJ972" s="175"/>
      <c r="AK972" s="175"/>
      <c r="AL972" s="175"/>
      <c r="AM972" s="175"/>
      <c r="AN972" s="175"/>
      <c r="AO972" s="176"/>
      <c r="AP972" s="177"/>
      <c r="AQ972" s="175"/>
      <c r="AR972" s="175"/>
      <c r="AS972" s="178"/>
      <c r="AT972" s="179"/>
    </row>
    <row r="973" customFormat="false" ht="12.75" hidden="false" customHeight="true" outlineLevel="0" collapsed="false">
      <c r="B973" s="122"/>
      <c r="C973" s="123"/>
      <c r="D973" s="124"/>
      <c r="E973" s="124"/>
      <c r="F973" s="125"/>
      <c r="G973" s="171"/>
      <c r="H973" s="171"/>
      <c r="I973" s="172"/>
      <c r="J973" s="171"/>
      <c r="K973" s="171"/>
      <c r="L973" s="171"/>
      <c r="M973" s="171"/>
      <c r="N973" s="171"/>
      <c r="O973" s="171"/>
      <c r="P973" s="171"/>
      <c r="Q973" s="171"/>
      <c r="R973" s="171"/>
      <c r="S973" s="171"/>
      <c r="T973" s="173"/>
      <c r="U973" s="174"/>
      <c r="V973" s="175"/>
      <c r="W973" s="175"/>
      <c r="X973" s="175"/>
      <c r="Y973" s="175"/>
      <c r="Z973" s="175"/>
      <c r="AA973" s="175"/>
      <c r="AB973" s="175"/>
      <c r="AC973" s="175"/>
      <c r="AD973" s="175"/>
      <c r="AE973" s="175"/>
      <c r="AF973" s="175"/>
      <c r="AG973" s="175"/>
      <c r="AH973" s="175"/>
      <c r="AI973" s="175"/>
      <c r="AJ973" s="175"/>
      <c r="AK973" s="175"/>
      <c r="AL973" s="175"/>
      <c r="AM973" s="175"/>
      <c r="AN973" s="175"/>
      <c r="AO973" s="176"/>
      <c r="AP973" s="177"/>
      <c r="AQ973" s="175"/>
      <c r="AR973" s="175"/>
      <c r="AS973" s="178"/>
      <c r="AT973" s="179"/>
    </row>
    <row r="974" customFormat="false" ht="12.75" hidden="false" customHeight="true" outlineLevel="0" collapsed="false">
      <c r="B974" s="141"/>
      <c r="C974" s="132"/>
      <c r="D974" s="133"/>
      <c r="E974" s="133"/>
      <c r="F974" s="134"/>
      <c r="G974" s="180"/>
      <c r="H974" s="180"/>
      <c r="I974" s="181"/>
      <c r="J974" s="180"/>
      <c r="K974" s="180"/>
      <c r="L974" s="180"/>
      <c r="M974" s="180"/>
      <c r="N974" s="180"/>
      <c r="O974" s="180"/>
      <c r="P974" s="180"/>
      <c r="Q974" s="180"/>
      <c r="R974" s="180"/>
      <c r="S974" s="180"/>
      <c r="T974" s="182"/>
      <c r="U974" s="183"/>
      <c r="V974" s="184"/>
      <c r="W974" s="184"/>
      <c r="X974" s="184"/>
      <c r="Y974" s="184"/>
      <c r="Z974" s="184"/>
      <c r="AA974" s="184"/>
      <c r="AB974" s="184"/>
      <c r="AC974" s="184"/>
      <c r="AD974" s="184"/>
      <c r="AE974" s="184"/>
      <c r="AF974" s="184"/>
      <c r="AG974" s="184"/>
      <c r="AH974" s="184"/>
      <c r="AI974" s="184"/>
      <c r="AJ974" s="184"/>
      <c r="AK974" s="184"/>
      <c r="AL974" s="184"/>
      <c r="AM974" s="184"/>
      <c r="AN974" s="184"/>
      <c r="AO974" s="185"/>
      <c r="AP974" s="186"/>
      <c r="AQ974" s="184"/>
      <c r="AR974" s="184"/>
      <c r="AS974" s="187"/>
      <c r="AT974" s="188"/>
    </row>
    <row r="975" customFormat="false" ht="12.75" hidden="false" customHeight="true" outlineLevel="0" collapsed="false">
      <c r="B975" s="122"/>
      <c r="C975" s="123"/>
      <c r="D975" s="124"/>
      <c r="E975" s="124"/>
      <c r="F975" s="125"/>
      <c r="G975" s="171"/>
      <c r="H975" s="171"/>
      <c r="I975" s="172"/>
      <c r="J975" s="171"/>
      <c r="K975" s="171"/>
      <c r="L975" s="171"/>
      <c r="M975" s="171"/>
      <c r="N975" s="171"/>
      <c r="O975" s="171"/>
      <c r="P975" s="171"/>
      <c r="Q975" s="171"/>
      <c r="R975" s="171"/>
      <c r="S975" s="171"/>
      <c r="T975" s="173"/>
      <c r="U975" s="174"/>
      <c r="V975" s="175"/>
      <c r="W975" s="175"/>
      <c r="X975" s="175"/>
      <c r="Y975" s="175"/>
      <c r="Z975" s="175"/>
      <c r="AA975" s="175"/>
      <c r="AB975" s="175"/>
      <c r="AC975" s="175"/>
      <c r="AD975" s="175"/>
      <c r="AE975" s="175"/>
      <c r="AF975" s="175"/>
      <c r="AG975" s="175"/>
      <c r="AH975" s="175"/>
      <c r="AI975" s="175"/>
      <c r="AJ975" s="175"/>
      <c r="AK975" s="175"/>
      <c r="AL975" s="175"/>
      <c r="AM975" s="175"/>
      <c r="AN975" s="175"/>
      <c r="AO975" s="176"/>
      <c r="AP975" s="177"/>
      <c r="AQ975" s="175"/>
      <c r="AR975" s="175"/>
      <c r="AS975" s="178"/>
      <c r="AT975" s="179"/>
    </row>
    <row r="976" customFormat="false" ht="12.75" hidden="false" customHeight="true" outlineLevel="0" collapsed="false">
      <c r="B976" s="122"/>
      <c r="C976" s="123"/>
      <c r="D976" s="124"/>
      <c r="E976" s="124"/>
      <c r="F976" s="125"/>
      <c r="G976" s="171"/>
      <c r="H976" s="171"/>
      <c r="I976" s="172"/>
      <c r="J976" s="171"/>
      <c r="K976" s="171"/>
      <c r="L976" s="171"/>
      <c r="M976" s="171"/>
      <c r="N976" s="171"/>
      <c r="O976" s="171"/>
      <c r="P976" s="171"/>
      <c r="Q976" s="171"/>
      <c r="R976" s="171"/>
      <c r="S976" s="171"/>
      <c r="T976" s="173"/>
      <c r="U976" s="174"/>
      <c r="V976" s="175"/>
      <c r="W976" s="175"/>
      <c r="X976" s="175"/>
      <c r="Y976" s="175"/>
      <c r="Z976" s="175"/>
      <c r="AA976" s="175"/>
      <c r="AB976" s="175"/>
      <c r="AC976" s="175"/>
      <c r="AD976" s="175"/>
      <c r="AE976" s="175"/>
      <c r="AF976" s="175"/>
      <c r="AG976" s="175"/>
      <c r="AH976" s="175"/>
      <c r="AI976" s="175"/>
      <c r="AJ976" s="175"/>
      <c r="AK976" s="175"/>
      <c r="AL976" s="175"/>
      <c r="AM976" s="175"/>
      <c r="AN976" s="175"/>
      <c r="AO976" s="176"/>
      <c r="AP976" s="177"/>
      <c r="AQ976" s="175"/>
      <c r="AR976" s="175"/>
      <c r="AS976" s="178"/>
      <c r="AT976" s="179"/>
    </row>
    <row r="977" customFormat="false" ht="12.75" hidden="false" customHeight="true" outlineLevel="0" collapsed="false">
      <c r="B977" s="122"/>
      <c r="C977" s="123"/>
      <c r="D977" s="124"/>
      <c r="E977" s="124"/>
      <c r="F977" s="125"/>
      <c r="G977" s="171"/>
      <c r="H977" s="171"/>
      <c r="I977" s="172"/>
      <c r="J977" s="171"/>
      <c r="K977" s="171"/>
      <c r="L977" s="171"/>
      <c r="M977" s="171"/>
      <c r="N977" s="171"/>
      <c r="O977" s="171"/>
      <c r="P977" s="171"/>
      <c r="Q977" s="171"/>
      <c r="R977" s="171"/>
      <c r="S977" s="171"/>
      <c r="T977" s="173"/>
      <c r="U977" s="174"/>
      <c r="V977" s="175"/>
      <c r="W977" s="175"/>
      <c r="X977" s="175"/>
      <c r="Y977" s="175"/>
      <c r="Z977" s="175"/>
      <c r="AA977" s="175"/>
      <c r="AB977" s="175"/>
      <c r="AC977" s="175"/>
      <c r="AD977" s="175"/>
      <c r="AE977" s="175"/>
      <c r="AF977" s="175"/>
      <c r="AG977" s="175"/>
      <c r="AH977" s="175"/>
      <c r="AI977" s="175"/>
      <c r="AJ977" s="175"/>
      <c r="AK977" s="175"/>
      <c r="AL977" s="175"/>
      <c r="AM977" s="175"/>
      <c r="AN977" s="175"/>
      <c r="AO977" s="176"/>
      <c r="AP977" s="177"/>
      <c r="AQ977" s="175"/>
      <c r="AR977" s="175"/>
      <c r="AS977" s="178"/>
      <c r="AT977" s="179"/>
    </row>
    <row r="978" customFormat="false" ht="12.75" hidden="false" customHeight="true" outlineLevel="0" collapsed="false">
      <c r="B978" s="122"/>
      <c r="C978" s="123"/>
      <c r="D978" s="124"/>
      <c r="E978" s="124"/>
      <c r="F978" s="125"/>
      <c r="G978" s="171"/>
      <c r="H978" s="171"/>
      <c r="I978" s="172"/>
      <c r="J978" s="171"/>
      <c r="K978" s="171"/>
      <c r="L978" s="171"/>
      <c r="M978" s="171"/>
      <c r="N978" s="171"/>
      <c r="O978" s="171"/>
      <c r="P978" s="171"/>
      <c r="Q978" s="171"/>
      <c r="R978" s="171"/>
      <c r="S978" s="171"/>
      <c r="T978" s="173"/>
      <c r="U978" s="174"/>
      <c r="V978" s="175"/>
      <c r="W978" s="175"/>
      <c r="X978" s="175"/>
      <c r="Y978" s="175"/>
      <c r="Z978" s="175"/>
      <c r="AA978" s="175"/>
      <c r="AB978" s="175"/>
      <c r="AC978" s="175"/>
      <c r="AD978" s="175"/>
      <c r="AE978" s="175"/>
      <c r="AF978" s="175"/>
      <c r="AG978" s="175"/>
      <c r="AH978" s="175"/>
      <c r="AI978" s="175"/>
      <c r="AJ978" s="175"/>
      <c r="AK978" s="175"/>
      <c r="AL978" s="175"/>
      <c r="AM978" s="175"/>
      <c r="AN978" s="175"/>
      <c r="AO978" s="176"/>
      <c r="AP978" s="177"/>
      <c r="AQ978" s="175"/>
      <c r="AR978" s="175"/>
      <c r="AS978" s="178"/>
      <c r="AT978" s="179"/>
    </row>
    <row r="979" customFormat="false" ht="12.75" hidden="false" customHeight="true" outlineLevel="0" collapsed="false">
      <c r="B979" s="141"/>
      <c r="C979" s="132"/>
      <c r="D979" s="133"/>
      <c r="E979" s="133"/>
      <c r="F979" s="134"/>
      <c r="G979" s="180"/>
      <c r="H979" s="180"/>
      <c r="I979" s="181"/>
      <c r="J979" s="180"/>
      <c r="K979" s="180"/>
      <c r="L979" s="180"/>
      <c r="M979" s="180"/>
      <c r="N979" s="180"/>
      <c r="O979" s="180"/>
      <c r="P979" s="180"/>
      <c r="Q979" s="180"/>
      <c r="R979" s="180"/>
      <c r="S979" s="180"/>
      <c r="T979" s="182"/>
      <c r="U979" s="183"/>
      <c r="V979" s="184"/>
      <c r="W979" s="184"/>
      <c r="X979" s="184"/>
      <c r="Y979" s="184"/>
      <c r="Z979" s="184"/>
      <c r="AA979" s="184"/>
      <c r="AB979" s="184"/>
      <c r="AC979" s="184"/>
      <c r="AD979" s="184"/>
      <c r="AE979" s="184"/>
      <c r="AF979" s="184"/>
      <c r="AG979" s="184"/>
      <c r="AH979" s="184"/>
      <c r="AI979" s="184"/>
      <c r="AJ979" s="184"/>
      <c r="AK979" s="184"/>
      <c r="AL979" s="184"/>
      <c r="AM979" s="184"/>
      <c r="AN979" s="184"/>
      <c r="AO979" s="185"/>
      <c r="AP979" s="186"/>
      <c r="AQ979" s="184"/>
      <c r="AR979" s="184"/>
      <c r="AS979" s="187"/>
      <c r="AT979" s="188"/>
    </row>
    <row r="980" customFormat="false" ht="12.75" hidden="false" customHeight="true" outlineLevel="0" collapsed="false">
      <c r="B980" s="122"/>
      <c r="C980" s="123"/>
      <c r="D980" s="124"/>
      <c r="E980" s="124"/>
      <c r="F980" s="125"/>
      <c r="G980" s="171"/>
      <c r="H980" s="171"/>
      <c r="I980" s="172"/>
      <c r="J980" s="171"/>
      <c r="K980" s="171"/>
      <c r="L980" s="171"/>
      <c r="M980" s="171"/>
      <c r="N980" s="171"/>
      <c r="O980" s="171"/>
      <c r="P980" s="171"/>
      <c r="Q980" s="171"/>
      <c r="R980" s="171"/>
      <c r="S980" s="171"/>
      <c r="T980" s="173"/>
      <c r="U980" s="174"/>
      <c r="V980" s="175"/>
      <c r="W980" s="175"/>
      <c r="X980" s="175"/>
      <c r="Y980" s="175"/>
      <c r="Z980" s="175"/>
      <c r="AA980" s="175"/>
      <c r="AB980" s="175"/>
      <c r="AC980" s="175"/>
      <c r="AD980" s="175"/>
      <c r="AE980" s="175"/>
      <c r="AF980" s="175"/>
      <c r="AG980" s="175"/>
      <c r="AH980" s="175"/>
      <c r="AI980" s="175"/>
      <c r="AJ980" s="175"/>
      <c r="AK980" s="175"/>
      <c r="AL980" s="175"/>
      <c r="AM980" s="175"/>
      <c r="AN980" s="175"/>
      <c r="AO980" s="176"/>
      <c r="AP980" s="177"/>
      <c r="AQ980" s="175"/>
      <c r="AR980" s="175"/>
      <c r="AS980" s="178"/>
      <c r="AT980" s="179"/>
    </row>
    <row r="981" customFormat="false" ht="12.75" hidden="false" customHeight="true" outlineLevel="0" collapsed="false">
      <c r="B981" s="122"/>
      <c r="C981" s="123"/>
      <c r="D981" s="124"/>
      <c r="E981" s="124"/>
      <c r="F981" s="125"/>
      <c r="G981" s="171"/>
      <c r="H981" s="171"/>
      <c r="I981" s="172"/>
      <c r="J981" s="171"/>
      <c r="K981" s="171"/>
      <c r="L981" s="171"/>
      <c r="M981" s="171"/>
      <c r="N981" s="171"/>
      <c r="O981" s="171"/>
      <c r="P981" s="171"/>
      <c r="Q981" s="171"/>
      <c r="R981" s="171"/>
      <c r="S981" s="171"/>
      <c r="T981" s="173"/>
      <c r="U981" s="174"/>
      <c r="V981" s="175"/>
      <c r="W981" s="175"/>
      <c r="X981" s="175"/>
      <c r="Y981" s="175"/>
      <c r="Z981" s="175"/>
      <c r="AA981" s="175"/>
      <c r="AB981" s="175"/>
      <c r="AC981" s="175"/>
      <c r="AD981" s="175"/>
      <c r="AE981" s="175"/>
      <c r="AF981" s="175"/>
      <c r="AG981" s="175"/>
      <c r="AH981" s="175"/>
      <c r="AI981" s="175"/>
      <c r="AJ981" s="175"/>
      <c r="AK981" s="175"/>
      <c r="AL981" s="175"/>
      <c r="AM981" s="175"/>
      <c r="AN981" s="175"/>
      <c r="AO981" s="176"/>
      <c r="AP981" s="177"/>
      <c r="AQ981" s="175"/>
      <c r="AR981" s="175"/>
      <c r="AS981" s="178"/>
      <c r="AT981" s="179"/>
    </row>
    <row r="982" customFormat="false" ht="12.75" hidden="false" customHeight="true" outlineLevel="0" collapsed="false">
      <c r="B982" s="122"/>
      <c r="C982" s="123"/>
      <c r="D982" s="124"/>
      <c r="E982" s="124"/>
      <c r="F982" s="125"/>
      <c r="G982" s="171"/>
      <c r="H982" s="171"/>
      <c r="I982" s="172"/>
      <c r="J982" s="171"/>
      <c r="K982" s="171"/>
      <c r="L982" s="171"/>
      <c r="M982" s="171"/>
      <c r="N982" s="171"/>
      <c r="O982" s="171"/>
      <c r="P982" s="171"/>
      <c r="Q982" s="171"/>
      <c r="R982" s="171"/>
      <c r="S982" s="171"/>
      <c r="T982" s="173"/>
      <c r="U982" s="174"/>
      <c r="V982" s="175"/>
      <c r="W982" s="175"/>
      <c r="X982" s="175"/>
      <c r="Y982" s="175"/>
      <c r="Z982" s="175"/>
      <c r="AA982" s="175"/>
      <c r="AB982" s="175"/>
      <c r="AC982" s="175"/>
      <c r="AD982" s="175"/>
      <c r="AE982" s="175"/>
      <c r="AF982" s="175"/>
      <c r="AG982" s="175"/>
      <c r="AH982" s="175"/>
      <c r="AI982" s="175"/>
      <c r="AJ982" s="175"/>
      <c r="AK982" s="175"/>
      <c r="AL982" s="175"/>
      <c r="AM982" s="175"/>
      <c r="AN982" s="175"/>
      <c r="AO982" s="176"/>
      <c r="AP982" s="177"/>
      <c r="AQ982" s="175"/>
      <c r="AR982" s="175"/>
      <c r="AS982" s="178"/>
      <c r="AT982" s="179"/>
    </row>
    <row r="983" customFormat="false" ht="12.75" hidden="false" customHeight="true" outlineLevel="0" collapsed="false">
      <c r="B983" s="141"/>
      <c r="C983" s="132"/>
      <c r="D983" s="133"/>
      <c r="E983" s="133"/>
      <c r="F983" s="134"/>
      <c r="G983" s="180"/>
      <c r="H983" s="180"/>
      <c r="I983" s="181"/>
      <c r="J983" s="180"/>
      <c r="K983" s="180"/>
      <c r="L983" s="180"/>
      <c r="M983" s="180"/>
      <c r="N983" s="180"/>
      <c r="O983" s="180"/>
      <c r="P983" s="180"/>
      <c r="Q983" s="180"/>
      <c r="R983" s="180"/>
      <c r="S983" s="180"/>
      <c r="T983" s="182"/>
      <c r="U983" s="183"/>
      <c r="V983" s="184"/>
      <c r="W983" s="184"/>
      <c r="X983" s="184"/>
      <c r="Y983" s="184"/>
      <c r="Z983" s="184"/>
      <c r="AA983" s="184"/>
      <c r="AB983" s="184"/>
      <c r="AC983" s="184"/>
      <c r="AD983" s="184"/>
      <c r="AE983" s="184"/>
      <c r="AF983" s="184"/>
      <c r="AG983" s="184"/>
      <c r="AH983" s="184"/>
      <c r="AI983" s="184"/>
      <c r="AJ983" s="184"/>
      <c r="AK983" s="184"/>
      <c r="AL983" s="184"/>
      <c r="AM983" s="184"/>
      <c r="AN983" s="184"/>
      <c r="AO983" s="185"/>
      <c r="AP983" s="186"/>
      <c r="AQ983" s="184"/>
      <c r="AR983" s="184"/>
      <c r="AS983" s="187"/>
      <c r="AT983" s="188"/>
    </row>
    <row r="984" customFormat="false" ht="12.75" hidden="false" customHeight="true" outlineLevel="0" collapsed="false">
      <c r="B984" s="122"/>
      <c r="C984" s="123"/>
      <c r="D984" s="124"/>
      <c r="E984" s="124"/>
      <c r="F984" s="125"/>
      <c r="G984" s="171"/>
      <c r="H984" s="171"/>
      <c r="I984" s="172"/>
      <c r="J984" s="171"/>
      <c r="K984" s="171"/>
      <c r="L984" s="171"/>
      <c r="M984" s="171"/>
      <c r="N984" s="171"/>
      <c r="O984" s="171"/>
      <c r="P984" s="171"/>
      <c r="Q984" s="171"/>
      <c r="R984" s="171"/>
      <c r="S984" s="171"/>
      <c r="T984" s="173"/>
      <c r="U984" s="174"/>
      <c r="V984" s="175"/>
      <c r="W984" s="175"/>
      <c r="X984" s="175"/>
      <c r="Y984" s="175"/>
      <c r="Z984" s="175"/>
      <c r="AA984" s="175"/>
      <c r="AB984" s="175"/>
      <c r="AC984" s="175"/>
      <c r="AD984" s="175"/>
      <c r="AE984" s="175"/>
      <c r="AF984" s="175"/>
      <c r="AG984" s="175"/>
      <c r="AH984" s="175"/>
      <c r="AI984" s="175"/>
      <c r="AJ984" s="175"/>
      <c r="AK984" s="175"/>
      <c r="AL984" s="175"/>
      <c r="AM984" s="175"/>
      <c r="AN984" s="175"/>
      <c r="AO984" s="176"/>
      <c r="AP984" s="177"/>
      <c r="AQ984" s="175"/>
      <c r="AR984" s="175"/>
      <c r="AS984" s="178"/>
      <c r="AT984" s="179"/>
    </row>
    <row r="985" customFormat="false" ht="12.75" hidden="false" customHeight="true" outlineLevel="0" collapsed="false">
      <c r="B985" s="122"/>
      <c r="C985" s="123"/>
      <c r="D985" s="124"/>
      <c r="E985" s="124"/>
      <c r="F985" s="125"/>
      <c r="G985" s="171"/>
      <c r="H985" s="171"/>
      <c r="I985" s="172"/>
      <c r="J985" s="171"/>
      <c r="K985" s="171"/>
      <c r="L985" s="171"/>
      <c r="M985" s="171"/>
      <c r="N985" s="171"/>
      <c r="O985" s="171"/>
      <c r="P985" s="171"/>
      <c r="Q985" s="171"/>
      <c r="R985" s="171"/>
      <c r="S985" s="171"/>
      <c r="T985" s="173"/>
      <c r="U985" s="174"/>
      <c r="V985" s="175"/>
      <c r="W985" s="175"/>
      <c r="X985" s="175"/>
      <c r="Y985" s="175"/>
      <c r="Z985" s="175"/>
      <c r="AA985" s="175"/>
      <c r="AB985" s="175"/>
      <c r="AC985" s="175"/>
      <c r="AD985" s="175"/>
      <c r="AE985" s="175"/>
      <c r="AF985" s="175"/>
      <c r="AG985" s="175"/>
      <c r="AH985" s="175"/>
      <c r="AI985" s="175"/>
      <c r="AJ985" s="175"/>
      <c r="AK985" s="175"/>
      <c r="AL985" s="175"/>
      <c r="AM985" s="175"/>
      <c r="AN985" s="175"/>
      <c r="AO985" s="176"/>
      <c r="AP985" s="177"/>
      <c r="AQ985" s="175"/>
      <c r="AR985" s="175"/>
      <c r="AS985" s="178"/>
      <c r="AT985" s="179"/>
    </row>
    <row r="986" customFormat="false" ht="12.75" hidden="false" customHeight="true" outlineLevel="0" collapsed="false">
      <c r="B986" s="122"/>
      <c r="C986" s="123"/>
      <c r="D986" s="124"/>
      <c r="E986" s="124"/>
      <c r="F986" s="125"/>
      <c r="G986" s="171"/>
      <c r="H986" s="171"/>
      <c r="I986" s="172"/>
      <c r="J986" s="171"/>
      <c r="K986" s="171"/>
      <c r="L986" s="171"/>
      <c r="M986" s="171"/>
      <c r="N986" s="171"/>
      <c r="O986" s="171"/>
      <c r="P986" s="171"/>
      <c r="Q986" s="171"/>
      <c r="R986" s="171"/>
      <c r="S986" s="171"/>
      <c r="T986" s="173"/>
      <c r="U986" s="174"/>
      <c r="V986" s="175"/>
      <c r="W986" s="175"/>
      <c r="X986" s="175"/>
      <c r="Y986" s="175"/>
      <c r="Z986" s="175"/>
      <c r="AA986" s="175"/>
      <c r="AB986" s="175"/>
      <c r="AC986" s="175"/>
      <c r="AD986" s="175"/>
      <c r="AE986" s="175"/>
      <c r="AF986" s="175"/>
      <c r="AG986" s="175"/>
      <c r="AH986" s="175"/>
      <c r="AI986" s="175"/>
      <c r="AJ986" s="175"/>
      <c r="AK986" s="175"/>
      <c r="AL986" s="175"/>
      <c r="AM986" s="175"/>
      <c r="AN986" s="175"/>
      <c r="AO986" s="176"/>
      <c r="AP986" s="177"/>
      <c r="AQ986" s="175"/>
      <c r="AR986" s="175"/>
      <c r="AS986" s="178"/>
      <c r="AT986" s="179"/>
    </row>
    <row r="987" customFormat="false" ht="12.75" hidden="false" customHeight="true" outlineLevel="0" collapsed="false">
      <c r="B987" s="122"/>
      <c r="C987" s="123"/>
      <c r="D987" s="124"/>
      <c r="E987" s="124"/>
      <c r="F987" s="125"/>
      <c r="G987" s="171"/>
      <c r="H987" s="171"/>
      <c r="I987" s="172"/>
      <c r="J987" s="171"/>
      <c r="K987" s="171"/>
      <c r="L987" s="171"/>
      <c r="M987" s="171"/>
      <c r="N987" s="171"/>
      <c r="O987" s="171"/>
      <c r="P987" s="171"/>
      <c r="Q987" s="171"/>
      <c r="R987" s="171"/>
      <c r="S987" s="171"/>
      <c r="T987" s="173"/>
      <c r="U987" s="174"/>
      <c r="V987" s="175"/>
      <c r="W987" s="175"/>
      <c r="X987" s="175"/>
      <c r="Y987" s="175"/>
      <c r="Z987" s="175"/>
      <c r="AA987" s="175"/>
      <c r="AB987" s="175"/>
      <c r="AC987" s="175"/>
      <c r="AD987" s="175"/>
      <c r="AE987" s="175"/>
      <c r="AF987" s="175"/>
      <c r="AG987" s="175"/>
      <c r="AH987" s="175"/>
      <c r="AI987" s="175"/>
      <c r="AJ987" s="175"/>
      <c r="AK987" s="175"/>
      <c r="AL987" s="175"/>
      <c r="AM987" s="175"/>
      <c r="AN987" s="175"/>
      <c r="AO987" s="176"/>
      <c r="AP987" s="177"/>
      <c r="AQ987" s="175"/>
      <c r="AR987" s="175"/>
      <c r="AS987" s="178"/>
      <c r="AT987" s="179"/>
    </row>
    <row r="988" customFormat="false" ht="12.75" hidden="false" customHeight="true" outlineLevel="0" collapsed="false">
      <c r="B988" s="141"/>
      <c r="C988" s="132"/>
      <c r="D988" s="133"/>
      <c r="E988" s="133"/>
      <c r="F988" s="134"/>
      <c r="G988" s="180"/>
      <c r="H988" s="180"/>
      <c r="I988" s="181"/>
      <c r="J988" s="180"/>
      <c r="K988" s="180"/>
      <c r="L988" s="180"/>
      <c r="M988" s="180"/>
      <c r="N988" s="180"/>
      <c r="O988" s="180"/>
      <c r="P988" s="180"/>
      <c r="Q988" s="180"/>
      <c r="R988" s="180"/>
      <c r="S988" s="180"/>
      <c r="T988" s="182"/>
      <c r="U988" s="183"/>
      <c r="V988" s="184"/>
      <c r="W988" s="184"/>
      <c r="X988" s="184"/>
      <c r="Y988" s="184"/>
      <c r="Z988" s="184"/>
      <c r="AA988" s="184"/>
      <c r="AB988" s="184"/>
      <c r="AC988" s="184"/>
      <c r="AD988" s="184"/>
      <c r="AE988" s="184"/>
      <c r="AF988" s="184"/>
      <c r="AG988" s="184"/>
      <c r="AH988" s="184"/>
      <c r="AI988" s="184"/>
      <c r="AJ988" s="184"/>
      <c r="AK988" s="184"/>
      <c r="AL988" s="184"/>
      <c r="AM988" s="184"/>
      <c r="AN988" s="184"/>
      <c r="AO988" s="185"/>
      <c r="AP988" s="186"/>
      <c r="AQ988" s="184"/>
      <c r="AR988" s="184"/>
      <c r="AS988" s="187"/>
      <c r="AT988" s="188"/>
    </row>
    <row r="989" customFormat="false" ht="12.75" hidden="false" customHeight="true" outlineLevel="0" collapsed="false">
      <c r="B989" s="122"/>
      <c r="C989" s="123"/>
      <c r="D989" s="124"/>
      <c r="E989" s="124"/>
      <c r="F989" s="125"/>
      <c r="G989" s="171"/>
      <c r="H989" s="171"/>
      <c r="I989" s="172"/>
      <c r="J989" s="171"/>
      <c r="K989" s="171"/>
      <c r="L989" s="171"/>
      <c r="M989" s="171"/>
      <c r="N989" s="171"/>
      <c r="O989" s="171"/>
      <c r="P989" s="171"/>
      <c r="Q989" s="171"/>
      <c r="R989" s="171"/>
      <c r="S989" s="171"/>
      <c r="T989" s="173"/>
      <c r="U989" s="174"/>
      <c r="V989" s="175"/>
      <c r="W989" s="175"/>
      <c r="X989" s="175"/>
      <c r="Y989" s="175"/>
      <c r="Z989" s="175"/>
      <c r="AA989" s="175"/>
      <c r="AB989" s="175"/>
      <c r="AC989" s="175"/>
      <c r="AD989" s="175"/>
      <c r="AE989" s="175"/>
      <c r="AF989" s="175"/>
      <c r="AG989" s="175"/>
      <c r="AH989" s="175"/>
      <c r="AI989" s="175"/>
      <c r="AJ989" s="175"/>
      <c r="AK989" s="175"/>
      <c r="AL989" s="175"/>
      <c r="AM989" s="175"/>
      <c r="AN989" s="175"/>
      <c r="AO989" s="176"/>
      <c r="AP989" s="177"/>
      <c r="AQ989" s="175"/>
      <c r="AR989" s="175"/>
      <c r="AS989" s="178"/>
      <c r="AT989" s="179"/>
    </row>
    <row r="990" customFormat="false" ht="12.75" hidden="false" customHeight="true" outlineLevel="0" collapsed="false">
      <c r="B990" s="122"/>
      <c r="C990" s="123"/>
      <c r="D990" s="124"/>
      <c r="E990" s="124"/>
      <c r="F990" s="125"/>
      <c r="G990" s="171"/>
      <c r="H990" s="171"/>
      <c r="I990" s="172"/>
      <c r="J990" s="171"/>
      <c r="K990" s="171"/>
      <c r="L990" s="171"/>
      <c r="M990" s="171"/>
      <c r="N990" s="171"/>
      <c r="O990" s="171"/>
      <c r="P990" s="171"/>
      <c r="Q990" s="171"/>
      <c r="R990" s="171"/>
      <c r="S990" s="171"/>
      <c r="T990" s="173"/>
      <c r="U990" s="174"/>
      <c r="V990" s="175"/>
      <c r="W990" s="175"/>
      <c r="X990" s="175"/>
      <c r="Y990" s="175"/>
      <c r="Z990" s="175"/>
      <c r="AA990" s="175"/>
      <c r="AB990" s="175"/>
      <c r="AC990" s="175"/>
      <c r="AD990" s="175"/>
      <c r="AE990" s="175"/>
      <c r="AF990" s="175"/>
      <c r="AG990" s="175"/>
      <c r="AH990" s="175"/>
      <c r="AI990" s="175"/>
      <c r="AJ990" s="175"/>
      <c r="AK990" s="175"/>
      <c r="AL990" s="175"/>
      <c r="AM990" s="175"/>
      <c r="AN990" s="175"/>
      <c r="AO990" s="176"/>
      <c r="AP990" s="177"/>
      <c r="AQ990" s="175"/>
      <c r="AR990" s="175"/>
      <c r="AS990" s="178"/>
      <c r="AT990" s="179"/>
    </row>
    <row r="991" customFormat="false" ht="12.75" hidden="false" customHeight="true" outlineLevel="0" collapsed="false">
      <c r="B991" s="122"/>
      <c r="C991" s="123"/>
      <c r="D991" s="124"/>
      <c r="E991" s="124"/>
      <c r="F991" s="125"/>
      <c r="G991" s="171"/>
      <c r="H991" s="171"/>
      <c r="I991" s="172"/>
      <c r="J991" s="171"/>
      <c r="K991" s="171"/>
      <c r="L991" s="171"/>
      <c r="M991" s="171"/>
      <c r="N991" s="171"/>
      <c r="O991" s="171"/>
      <c r="P991" s="171"/>
      <c r="Q991" s="171"/>
      <c r="R991" s="171"/>
      <c r="S991" s="171"/>
      <c r="T991" s="173"/>
      <c r="U991" s="174"/>
      <c r="V991" s="175"/>
      <c r="W991" s="175"/>
      <c r="X991" s="175"/>
      <c r="Y991" s="175"/>
      <c r="Z991" s="175"/>
      <c r="AA991" s="175"/>
      <c r="AB991" s="175"/>
      <c r="AC991" s="175"/>
      <c r="AD991" s="175"/>
      <c r="AE991" s="175"/>
      <c r="AF991" s="175"/>
      <c r="AG991" s="175"/>
      <c r="AH991" s="175"/>
      <c r="AI991" s="175"/>
      <c r="AJ991" s="175"/>
      <c r="AK991" s="175"/>
      <c r="AL991" s="175"/>
      <c r="AM991" s="175"/>
      <c r="AN991" s="175"/>
      <c r="AO991" s="176"/>
      <c r="AP991" s="177"/>
      <c r="AQ991" s="175"/>
      <c r="AR991" s="175"/>
      <c r="AS991" s="178"/>
      <c r="AT991" s="179"/>
    </row>
    <row r="992" customFormat="false" ht="12.75" hidden="false" customHeight="true" outlineLevel="0" collapsed="false">
      <c r="B992" s="122"/>
      <c r="C992" s="123"/>
      <c r="D992" s="124"/>
      <c r="E992" s="124"/>
      <c r="F992" s="125"/>
      <c r="G992" s="171"/>
      <c r="H992" s="171"/>
      <c r="I992" s="172"/>
      <c r="J992" s="171"/>
      <c r="K992" s="171"/>
      <c r="L992" s="171"/>
      <c r="M992" s="171"/>
      <c r="N992" s="171"/>
      <c r="O992" s="171"/>
      <c r="P992" s="171"/>
      <c r="Q992" s="171"/>
      <c r="R992" s="171"/>
      <c r="S992" s="171"/>
      <c r="T992" s="173"/>
      <c r="U992" s="174"/>
      <c r="V992" s="175"/>
      <c r="W992" s="175"/>
      <c r="X992" s="175"/>
      <c r="Y992" s="175"/>
      <c r="Z992" s="175"/>
      <c r="AA992" s="175"/>
      <c r="AB992" s="175"/>
      <c r="AC992" s="175"/>
      <c r="AD992" s="175"/>
      <c r="AE992" s="175"/>
      <c r="AF992" s="175"/>
      <c r="AG992" s="175"/>
      <c r="AH992" s="175"/>
      <c r="AI992" s="175"/>
      <c r="AJ992" s="175"/>
      <c r="AK992" s="175"/>
      <c r="AL992" s="175"/>
      <c r="AM992" s="175"/>
      <c r="AN992" s="175"/>
      <c r="AO992" s="176"/>
      <c r="AP992" s="177"/>
      <c r="AQ992" s="175"/>
      <c r="AR992" s="175"/>
      <c r="AS992" s="178"/>
      <c r="AT992" s="179"/>
    </row>
    <row r="993" customFormat="false" ht="12.75" hidden="false" customHeight="true" outlineLevel="0" collapsed="false">
      <c r="B993" s="141"/>
      <c r="C993" s="132"/>
      <c r="D993" s="133"/>
      <c r="E993" s="133"/>
      <c r="F993" s="134"/>
      <c r="G993" s="180"/>
      <c r="H993" s="180"/>
      <c r="I993" s="181"/>
      <c r="J993" s="180"/>
      <c r="K993" s="180"/>
      <c r="L993" s="180"/>
      <c r="M993" s="180"/>
      <c r="N993" s="180"/>
      <c r="O993" s="180"/>
      <c r="P993" s="180"/>
      <c r="Q993" s="180"/>
      <c r="R993" s="180"/>
      <c r="S993" s="180"/>
      <c r="T993" s="182"/>
      <c r="U993" s="183"/>
      <c r="V993" s="184"/>
      <c r="W993" s="184"/>
      <c r="X993" s="184"/>
      <c r="Y993" s="184"/>
      <c r="Z993" s="184"/>
      <c r="AA993" s="184"/>
      <c r="AB993" s="184"/>
      <c r="AC993" s="184"/>
      <c r="AD993" s="184"/>
      <c r="AE993" s="184"/>
      <c r="AF993" s="184"/>
      <c r="AG993" s="184"/>
      <c r="AH993" s="184"/>
      <c r="AI993" s="184"/>
      <c r="AJ993" s="184"/>
      <c r="AK993" s="184"/>
      <c r="AL993" s="184"/>
      <c r="AM993" s="184"/>
      <c r="AN993" s="184"/>
      <c r="AO993" s="185"/>
      <c r="AP993" s="186"/>
      <c r="AQ993" s="184"/>
      <c r="AR993" s="184"/>
      <c r="AS993" s="187"/>
      <c r="AT993" s="188"/>
    </row>
    <row r="994" customFormat="false" ht="12.75" hidden="false" customHeight="true" outlineLevel="0" collapsed="false">
      <c r="B994" s="122"/>
      <c r="C994" s="123"/>
      <c r="D994" s="124"/>
      <c r="E994" s="124"/>
      <c r="F994" s="125"/>
      <c r="G994" s="171"/>
      <c r="H994" s="171"/>
      <c r="I994" s="172"/>
      <c r="J994" s="171"/>
      <c r="K994" s="171"/>
      <c r="L994" s="171"/>
      <c r="M994" s="171"/>
      <c r="N994" s="171"/>
      <c r="O994" s="171"/>
      <c r="P994" s="171"/>
      <c r="Q994" s="171"/>
      <c r="R994" s="171"/>
      <c r="S994" s="171"/>
      <c r="T994" s="173"/>
      <c r="U994" s="174"/>
      <c r="V994" s="175"/>
      <c r="W994" s="175"/>
      <c r="X994" s="175"/>
      <c r="Y994" s="175"/>
      <c r="Z994" s="175"/>
      <c r="AA994" s="175"/>
      <c r="AB994" s="175"/>
      <c r="AC994" s="175"/>
      <c r="AD994" s="175"/>
      <c r="AE994" s="175"/>
      <c r="AF994" s="175"/>
      <c r="AG994" s="175"/>
      <c r="AH994" s="175"/>
      <c r="AI994" s="175"/>
      <c r="AJ994" s="175"/>
      <c r="AK994" s="175"/>
      <c r="AL994" s="175"/>
      <c r="AM994" s="175"/>
      <c r="AN994" s="175"/>
      <c r="AO994" s="176"/>
      <c r="AP994" s="177"/>
      <c r="AQ994" s="175"/>
      <c r="AR994" s="175"/>
      <c r="AS994" s="178"/>
      <c r="AT994" s="179"/>
    </row>
    <row r="995" customFormat="false" ht="12.75" hidden="false" customHeight="true" outlineLevel="0" collapsed="false">
      <c r="B995" s="122"/>
      <c r="C995" s="123"/>
      <c r="D995" s="124"/>
      <c r="E995" s="124"/>
      <c r="F995" s="125"/>
      <c r="G995" s="171"/>
      <c r="H995" s="171"/>
      <c r="I995" s="172"/>
      <c r="J995" s="171"/>
      <c r="K995" s="171"/>
      <c r="L995" s="171"/>
      <c r="M995" s="171"/>
      <c r="N995" s="171"/>
      <c r="O995" s="171"/>
      <c r="P995" s="171"/>
      <c r="Q995" s="171"/>
      <c r="R995" s="171"/>
      <c r="S995" s="171"/>
      <c r="T995" s="173"/>
      <c r="U995" s="174"/>
      <c r="V995" s="175"/>
      <c r="W995" s="175"/>
      <c r="X995" s="175"/>
      <c r="Y995" s="175"/>
      <c r="Z995" s="175"/>
      <c r="AA995" s="175"/>
      <c r="AB995" s="175"/>
      <c r="AC995" s="175"/>
      <c r="AD995" s="175"/>
      <c r="AE995" s="175"/>
      <c r="AF995" s="175"/>
      <c r="AG995" s="175"/>
      <c r="AH995" s="175"/>
      <c r="AI995" s="175"/>
      <c r="AJ995" s="175"/>
      <c r="AK995" s="175"/>
      <c r="AL995" s="175"/>
      <c r="AM995" s="175"/>
      <c r="AN995" s="175"/>
      <c r="AO995" s="176"/>
      <c r="AP995" s="177"/>
      <c r="AQ995" s="175"/>
      <c r="AR995" s="175"/>
      <c r="AS995" s="178"/>
      <c r="AT995" s="179"/>
    </row>
    <row r="996" customFormat="false" ht="12.75" hidden="false" customHeight="true" outlineLevel="0" collapsed="false">
      <c r="B996" s="122"/>
      <c r="C996" s="123"/>
      <c r="D996" s="124"/>
      <c r="E996" s="124"/>
      <c r="F996" s="125"/>
      <c r="G996" s="171"/>
      <c r="H996" s="171"/>
      <c r="I996" s="172"/>
      <c r="J996" s="171"/>
      <c r="K996" s="171"/>
      <c r="L996" s="171"/>
      <c r="M996" s="171"/>
      <c r="N996" s="171"/>
      <c r="O996" s="171"/>
      <c r="P996" s="171"/>
      <c r="Q996" s="171"/>
      <c r="R996" s="171"/>
      <c r="S996" s="171"/>
      <c r="T996" s="173"/>
      <c r="U996" s="174"/>
      <c r="V996" s="175"/>
      <c r="W996" s="175"/>
      <c r="X996" s="175"/>
      <c r="Y996" s="175"/>
      <c r="Z996" s="175"/>
      <c r="AA996" s="175"/>
      <c r="AB996" s="175"/>
      <c r="AC996" s="175"/>
      <c r="AD996" s="175"/>
      <c r="AE996" s="175"/>
      <c r="AF996" s="175"/>
      <c r="AG996" s="175"/>
      <c r="AH996" s="175"/>
      <c r="AI996" s="175"/>
      <c r="AJ996" s="175"/>
      <c r="AK996" s="175"/>
      <c r="AL996" s="175"/>
      <c r="AM996" s="175"/>
      <c r="AN996" s="175"/>
      <c r="AO996" s="176"/>
      <c r="AP996" s="177"/>
      <c r="AQ996" s="175"/>
      <c r="AR996" s="175"/>
      <c r="AS996" s="178"/>
      <c r="AT996" s="179"/>
    </row>
    <row r="997" customFormat="false" ht="12.75" hidden="false" customHeight="true" outlineLevel="0" collapsed="false">
      <c r="B997" s="122"/>
      <c r="C997" s="123"/>
      <c r="D997" s="124"/>
      <c r="E997" s="124"/>
      <c r="F997" s="125"/>
      <c r="G997" s="171"/>
      <c r="H997" s="171"/>
      <c r="I997" s="172"/>
      <c r="J997" s="171"/>
      <c r="K997" s="171"/>
      <c r="L997" s="171"/>
      <c r="M997" s="171"/>
      <c r="N997" s="171"/>
      <c r="O997" s="171"/>
      <c r="P997" s="171"/>
      <c r="Q997" s="171"/>
      <c r="R997" s="171"/>
      <c r="S997" s="171"/>
      <c r="T997" s="173"/>
      <c r="U997" s="174"/>
      <c r="V997" s="175"/>
      <c r="W997" s="175"/>
      <c r="X997" s="175"/>
      <c r="Y997" s="175"/>
      <c r="Z997" s="175"/>
      <c r="AA997" s="175"/>
      <c r="AB997" s="175"/>
      <c r="AC997" s="175"/>
      <c r="AD997" s="175"/>
      <c r="AE997" s="175"/>
      <c r="AF997" s="175"/>
      <c r="AG997" s="175"/>
      <c r="AH997" s="175"/>
      <c r="AI997" s="175"/>
      <c r="AJ997" s="175"/>
      <c r="AK997" s="175"/>
      <c r="AL997" s="175"/>
      <c r="AM997" s="175"/>
      <c r="AN997" s="175"/>
      <c r="AO997" s="176"/>
      <c r="AP997" s="177"/>
      <c r="AQ997" s="175"/>
      <c r="AR997" s="175"/>
      <c r="AS997" s="178"/>
      <c r="AT997" s="179"/>
    </row>
    <row r="998" customFormat="false" ht="12.75" hidden="false" customHeight="true" outlineLevel="0" collapsed="false">
      <c r="B998" s="141"/>
      <c r="C998" s="132"/>
      <c r="D998" s="133"/>
      <c r="E998" s="133"/>
      <c r="F998" s="134"/>
      <c r="G998" s="180"/>
      <c r="H998" s="180"/>
      <c r="I998" s="181"/>
      <c r="J998" s="180"/>
      <c r="K998" s="180"/>
      <c r="L998" s="180"/>
      <c r="M998" s="180"/>
      <c r="N998" s="180"/>
      <c r="O998" s="180"/>
      <c r="P998" s="180"/>
      <c r="Q998" s="180"/>
      <c r="R998" s="180"/>
      <c r="S998" s="180"/>
      <c r="T998" s="182"/>
      <c r="U998" s="183"/>
      <c r="V998" s="184"/>
      <c r="W998" s="184"/>
      <c r="X998" s="184"/>
      <c r="Y998" s="184"/>
      <c r="Z998" s="184"/>
      <c r="AA998" s="184"/>
      <c r="AB998" s="184"/>
      <c r="AC998" s="184"/>
      <c r="AD998" s="184"/>
      <c r="AE998" s="184"/>
      <c r="AF998" s="184"/>
      <c r="AG998" s="184"/>
      <c r="AH998" s="184"/>
      <c r="AI998" s="184"/>
      <c r="AJ998" s="184"/>
      <c r="AK998" s="184"/>
      <c r="AL998" s="184"/>
      <c r="AM998" s="184"/>
      <c r="AN998" s="184"/>
      <c r="AO998" s="185"/>
      <c r="AP998" s="186"/>
      <c r="AQ998" s="184"/>
      <c r="AR998" s="184"/>
      <c r="AS998" s="187"/>
      <c r="AT998" s="188"/>
    </row>
    <row r="999" customFormat="false" ht="12.75" hidden="false" customHeight="true" outlineLevel="0" collapsed="false">
      <c r="B999" s="141"/>
      <c r="C999" s="132"/>
      <c r="D999" s="133"/>
      <c r="E999" s="133"/>
      <c r="F999" s="134"/>
      <c r="G999" s="180"/>
      <c r="H999" s="180"/>
      <c r="I999" s="181"/>
      <c r="J999" s="180"/>
      <c r="K999" s="180"/>
      <c r="L999" s="180"/>
      <c r="M999" s="180"/>
      <c r="N999" s="180"/>
      <c r="O999" s="180"/>
      <c r="P999" s="180"/>
      <c r="Q999" s="180"/>
      <c r="R999" s="180"/>
      <c r="S999" s="180"/>
      <c r="T999" s="182"/>
      <c r="U999" s="183"/>
      <c r="V999" s="184"/>
      <c r="W999" s="184"/>
      <c r="X999" s="184"/>
      <c r="Y999" s="184"/>
      <c r="Z999" s="184"/>
      <c r="AA999" s="184"/>
      <c r="AB999" s="184"/>
      <c r="AC999" s="184"/>
      <c r="AD999" s="184"/>
      <c r="AE999" s="184"/>
      <c r="AF999" s="184"/>
      <c r="AG999" s="184"/>
      <c r="AH999" s="184"/>
      <c r="AI999" s="184"/>
      <c r="AJ999" s="184"/>
      <c r="AK999" s="184"/>
      <c r="AL999" s="184"/>
      <c r="AM999" s="184"/>
      <c r="AN999" s="184"/>
      <c r="AO999" s="185"/>
      <c r="AP999" s="186"/>
      <c r="AQ999" s="184"/>
      <c r="AR999" s="184"/>
      <c r="AS999" s="187"/>
      <c r="AT999" s="188"/>
    </row>
    <row r="1000" customFormat="false" ht="12.75" hidden="false" customHeight="true" outlineLevel="0" collapsed="false">
      <c r="B1000" s="122"/>
      <c r="C1000" s="123"/>
      <c r="D1000" s="124"/>
      <c r="E1000" s="124"/>
      <c r="F1000" s="125"/>
      <c r="G1000" s="171"/>
      <c r="H1000" s="171"/>
      <c r="I1000" s="172"/>
      <c r="J1000" s="171"/>
      <c r="K1000" s="171"/>
      <c r="L1000" s="171"/>
      <c r="M1000" s="171"/>
      <c r="N1000" s="171"/>
      <c r="O1000" s="171"/>
      <c r="P1000" s="171"/>
      <c r="Q1000" s="171"/>
      <c r="R1000" s="171"/>
      <c r="S1000" s="171"/>
      <c r="T1000" s="173"/>
      <c r="U1000" s="174"/>
      <c r="V1000" s="175"/>
      <c r="W1000" s="175"/>
      <c r="X1000" s="175"/>
      <c r="Y1000" s="175"/>
      <c r="Z1000" s="175"/>
      <c r="AA1000" s="175"/>
      <c r="AB1000" s="175"/>
      <c r="AC1000" s="175"/>
      <c r="AD1000" s="175"/>
      <c r="AE1000" s="175"/>
      <c r="AF1000" s="175"/>
      <c r="AG1000" s="175"/>
      <c r="AH1000" s="175"/>
      <c r="AI1000" s="175"/>
      <c r="AJ1000" s="175"/>
      <c r="AK1000" s="175"/>
      <c r="AL1000" s="175"/>
      <c r="AM1000" s="175"/>
      <c r="AN1000" s="175"/>
      <c r="AO1000" s="176"/>
      <c r="AP1000" s="177"/>
      <c r="AQ1000" s="175"/>
      <c r="AR1000" s="175"/>
      <c r="AS1000" s="178"/>
      <c r="AT1000" s="179"/>
    </row>
    <row r="1001" customFormat="false" ht="12.75" hidden="false" customHeight="true" outlineLevel="0" collapsed="false">
      <c r="B1001" s="122"/>
      <c r="C1001" s="123"/>
      <c r="D1001" s="124"/>
      <c r="E1001" s="124"/>
      <c r="F1001" s="125"/>
      <c r="G1001" s="171"/>
      <c r="H1001" s="171"/>
      <c r="I1001" s="172"/>
      <c r="J1001" s="171"/>
      <c r="K1001" s="171"/>
      <c r="L1001" s="171"/>
      <c r="M1001" s="171"/>
      <c r="N1001" s="171"/>
      <c r="O1001" s="171"/>
      <c r="P1001" s="171"/>
      <c r="Q1001" s="171"/>
      <c r="R1001" s="171"/>
      <c r="S1001" s="171"/>
      <c r="T1001" s="173"/>
      <c r="U1001" s="174"/>
      <c r="V1001" s="175"/>
      <c r="W1001" s="175"/>
      <c r="X1001" s="175"/>
      <c r="Y1001" s="175"/>
      <c r="Z1001" s="175"/>
      <c r="AA1001" s="175"/>
      <c r="AB1001" s="175"/>
      <c r="AC1001" s="175"/>
      <c r="AD1001" s="175"/>
      <c r="AE1001" s="175"/>
      <c r="AF1001" s="175"/>
      <c r="AG1001" s="175"/>
      <c r="AH1001" s="175"/>
      <c r="AI1001" s="175"/>
      <c r="AJ1001" s="175"/>
      <c r="AK1001" s="175"/>
      <c r="AL1001" s="175"/>
      <c r="AM1001" s="175"/>
      <c r="AN1001" s="175"/>
      <c r="AO1001" s="176"/>
      <c r="AP1001" s="177"/>
      <c r="AQ1001" s="175"/>
      <c r="AR1001" s="175"/>
      <c r="AS1001" s="178"/>
      <c r="AT1001" s="179"/>
    </row>
    <row r="1002" customFormat="false" ht="12.75" hidden="false" customHeight="true" outlineLevel="0" collapsed="false">
      <c r="B1002" s="122"/>
      <c r="C1002" s="123"/>
      <c r="D1002" s="124"/>
      <c r="E1002" s="124"/>
      <c r="F1002" s="125"/>
      <c r="G1002" s="171"/>
      <c r="H1002" s="171"/>
      <c r="I1002" s="172"/>
      <c r="J1002" s="171"/>
      <c r="K1002" s="171"/>
      <c r="L1002" s="171"/>
      <c r="M1002" s="171"/>
      <c r="N1002" s="171"/>
      <c r="O1002" s="171"/>
      <c r="P1002" s="171"/>
      <c r="Q1002" s="171"/>
      <c r="R1002" s="171"/>
      <c r="S1002" s="171"/>
      <c r="T1002" s="173"/>
      <c r="U1002" s="174"/>
      <c r="V1002" s="175"/>
      <c r="W1002" s="175"/>
      <c r="X1002" s="175"/>
      <c r="Y1002" s="175"/>
      <c r="Z1002" s="175"/>
      <c r="AA1002" s="175"/>
      <c r="AB1002" s="175"/>
      <c r="AC1002" s="175"/>
      <c r="AD1002" s="175"/>
      <c r="AE1002" s="175"/>
      <c r="AF1002" s="175"/>
      <c r="AG1002" s="175"/>
      <c r="AH1002" s="175"/>
      <c r="AI1002" s="175"/>
      <c r="AJ1002" s="175"/>
      <c r="AK1002" s="175"/>
      <c r="AL1002" s="175"/>
      <c r="AM1002" s="175"/>
      <c r="AN1002" s="175"/>
      <c r="AO1002" s="176"/>
      <c r="AP1002" s="177"/>
      <c r="AQ1002" s="175"/>
      <c r="AR1002" s="175"/>
      <c r="AS1002" s="178"/>
      <c r="AT1002" s="179"/>
    </row>
    <row r="1003" customFormat="false" ht="12.75" hidden="false" customHeight="true" outlineLevel="0" collapsed="false">
      <c r="B1003" s="141"/>
      <c r="C1003" s="132"/>
      <c r="D1003" s="133"/>
      <c r="E1003" s="133"/>
      <c r="F1003" s="134"/>
      <c r="G1003" s="180"/>
      <c r="H1003" s="180"/>
      <c r="I1003" s="181"/>
      <c r="J1003" s="180"/>
      <c r="K1003" s="180"/>
      <c r="L1003" s="180"/>
      <c r="M1003" s="180"/>
      <c r="N1003" s="180"/>
      <c r="O1003" s="180"/>
      <c r="P1003" s="180"/>
      <c r="Q1003" s="180"/>
      <c r="R1003" s="180"/>
      <c r="S1003" s="180"/>
      <c r="T1003" s="182"/>
      <c r="U1003" s="183"/>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5"/>
      <c r="AP1003" s="186"/>
      <c r="AQ1003" s="184"/>
      <c r="AR1003" s="184"/>
      <c r="AS1003" s="187"/>
      <c r="AT1003" s="188"/>
    </row>
    <row r="1004" customFormat="false" ht="12.75" hidden="false" customHeight="true" outlineLevel="0" collapsed="false">
      <c r="B1004" s="122"/>
      <c r="C1004" s="123"/>
      <c r="D1004" s="124"/>
      <c r="E1004" s="124"/>
      <c r="F1004" s="125"/>
      <c r="G1004" s="171"/>
      <c r="H1004" s="171"/>
      <c r="I1004" s="172"/>
      <c r="J1004" s="171"/>
      <c r="K1004" s="171"/>
      <c r="L1004" s="171"/>
      <c r="M1004" s="171"/>
      <c r="N1004" s="171"/>
      <c r="O1004" s="171"/>
      <c r="P1004" s="171"/>
      <c r="Q1004" s="171"/>
      <c r="R1004" s="171"/>
      <c r="S1004" s="171"/>
      <c r="T1004" s="173"/>
      <c r="U1004" s="174"/>
      <c r="V1004" s="175"/>
      <c r="W1004" s="175"/>
      <c r="X1004" s="175"/>
      <c r="Y1004" s="175"/>
      <c r="Z1004" s="175"/>
      <c r="AA1004" s="175"/>
      <c r="AB1004" s="175"/>
      <c r="AC1004" s="175"/>
      <c r="AD1004" s="175"/>
      <c r="AE1004" s="175"/>
      <c r="AF1004" s="175"/>
      <c r="AG1004" s="175"/>
      <c r="AH1004" s="175"/>
      <c r="AI1004" s="175"/>
      <c r="AJ1004" s="175"/>
      <c r="AK1004" s="175"/>
      <c r="AL1004" s="175"/>
      <c r="AM1004" s="175"/>
      <c r="AN1004" s="175"/>
      <c r="AO1004" s="176"/>
      <c r="AP1004" s="177"/>
      <c r="AQ1004" s="175"/>
      <c r="AR1004" s="175"/>
      <c r="AS1004" s="178"/>
      <c r="AT1004" s="179"/>
    </row>
    <row r="1005" customFormat="false" ht="12.75" hidden="false" customHeight="true" outlineLevel="0" collapsed="false">
      <c r="B1005" s="122"/>
      <c r="C1005" s="123"/>
      <c r="D1005" s="124"/>
      <c r="E1005" s="124"/>
      <c r="F1005" s="125"/>
      <c r="G1005" s="171"/>
      <c r="H1005" s="171"/>
      <c r="I1005" s="172"/>
      <c r="J1005" s="171"/>
      <c r="K1005" s="171"/>
      <c r="L1005" s="171"/>
      <c r="M1005" s="171"/>
      <c r="N1005" s="171"/>
      <c r="O1005" s="171"/>
      <c r="P1005" s="171"/>
      <c r="Q1005" s="171"/>
      <c r="R1005" s="171"/>
      <c r="S1005" s="171"/>
      <c r="T1005" s="173"/>
      <c r="U1005" s="174"/>
      <c r="V1005" s="175"/>
      <c r="W1005" s="175"/>
      <c r="X1005" s="175"/>
      <c r="Y1005" s="175"/>
      <c r="Z1005" s="175"/>
      <c r="AA1005" s="175"/>
      <c r="AB1005" s="175"/>
      <c r="AC1005" s="175"/>
      <c r="AD1005" s="175"/>
      <c r="AE1005" s="175"/>
      <c r="AF1005" s="175"/>
      <c r="AG1005" s="175"/>
      <c r="AH1005" s="175"/>
      <c r="AI1005" s="175"/>
      <c r="AJ1005" s="175"/>
      <c r="AK1005" s="175"/>
      <c r="AL1005" s="175"/>
      <c r="AM1005" s="175"/>
      <c r="AN1005" s="175"/>
      <c r="AO1005" s="176"/>
      <c r="AP1005" s="177"/>
      <c r="AQ1005" s="175"/>
      <c r="AR1005" s="175"/>
      <c r="AS1005" s="178"/>
      <c r="AT1005" s="179"/>
    </row>
    <row r="1006" customFormat="false" ht="12.75" hidden="false" customHeight="true" outlineLevel="0" collapsed="false">
      <c r="B1006" s="122"/>
      <c r="C1006" s="123"/>
      <c r="D1006" s="124"/>
      <c r="E1006" s="124"/>
      <c r="F1006" s="125"/>
      <c r="G1006" s="171"/>
      <c r="H1006" s="171"/>
      <c r="I1006" s="172"/>
      <c r="J1006" s="171"/>
      <c r="K1006" s="171"/>
      <c r="L1006" s="171"/>
      <c r="M1006" s="171"/>
      <c r="N1006" s="171"/>
      <c r="O1006" s="171"/>
      <c r="P1006" s="171"/>
      <c r="Q1006" s="171"/>
      <c r="R1006" s="171"/>
      <c r="S1006" s="171"/>
      <c r="T1006" s="173"/>
      <c r="U1006" s="174"/>
      <c r="V1006" s="175"/>
      <c r="W1006" s="175"/>
      <c r="X1006" s="175"/>
      <c r="Y1006" s="175"/>
      <c r="Z1006" s="175"/>
      <c r="AA1006" s="175"/>
      <c r="AB1006" s="175"/>
      <c r="AC1006" s="175"/>
      <c r="AD1006" s="175"/>
      <c r="AE1006" s="175"/>
      <c r="AF1006" s="175"/>
      <c r="AG1006" s="175"/>
      <c r="AH1006" s="175"/>
      <c r="AI1006" s="175"/>
      <c r="AJ1006" s="175"/>
      <c r="AK1006" s="175"/>
      <c r="AL1006" s="175"/>
      <c r="AM1006" s="175"/>
      <c r="AN1006" s="175"/>
      <c r="AO1006" s="176"/>
      <c r="AP1006" s="177"/>
      <c r="AQ1006" s="175"/>
      <c r="AR1006" s="175"/>
      <c r="AS1006" s="178"/>
      <c r="AT1006" s="179"/>
    </row>
    <row r="1007" customFormat="false" ht="12.75" hidden="false" customHeight="true" outlineLevel="0" collapsed="false">
      <c r="B1007" s="141"/>
      <c r="C1007" s="132"/>
      <c r="D1007" s="133"/>
      <c r="E1007" s="133"/>
      <c r="F1007" s="134"/>
      <c r="G1007" s="180"/>
      <c r="H1007" s="180"/>
      <c r="I1007" s="181"/>
      <c r="J1007" s="180"/>
      <c r="K1007" s="180"/>
      <c r="L1007" s="180"/>
      <c r="M1007" s="180"/>
      <c r="N1007" s="180"/>
      <c r="O1007" s="180"/>
      <c r="P1007" s="180"/>
      <c r="Q1007" s="180"/>
      <c r="R1007" s="180"/>
      <c r="S1007" s="180"/>
      <c r="T1007" s="182"/>
      <c r="U1007" s="183"/>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5"/>
      <c r="AP1007" s="186"/>
      <c r="AQ1007" s="184"/>
      <c r="AR1007" s="184"/>
      <c r="AS1007" s="187"/>
      <c r="AT1007" s="188"/>
    </row>
    <row r="1008" customFormat="false" ht="12.75" hidden="false" customHeight="true" outlineLevel="0" collapsed="false">
      <c r="B1008" s="122"/>
      <c r="C1008" s="123"/>
      <c r="D1008" s="124"/>
      <c r="E1008" s="124"/>
      <c r="F1008" s="125"/>
      <c r="G1008" s="171"/>
      <c r="H1008" s="171"/>
      <c r="I1008" s="172"/>
      <c r="J1008" s="171"/>
      <c r="K1008" s="171"/>
      <c r="L1008" s="171"/>
      <c r="M1008" s="171"/>
      <c r="N1008" s="171"/>
      <c r="O1008" s="171"/>
      <c r="P1008" s="171"/>
      <c r="Q1008" s="171"/>
      <c r="R1008" s="171"/>
      <c r="S1008" s="171"/>
      <c r="T1008" s="173"/>
      <c r="U1008" s="174"/>
      <c r="V1008" s="175"/>
      <c r="W1008" s="175"/>
      <c r="X1008" s="175"/>
      <c r="Y1008" s="175"/>
      <c r="Z1008" s="175"/>
      <c r="AA1008" s="175"/>
      <c r="AB1008" s="175"/>
      <c r="AC1008" s="175"/>
      <c r="AD1008" s="175"/>
      <c r="AE1008" s="175"/>
      <c r="AF1008" s="175"/>
      <c r="AG1008" s="175"/>
      <c r="AH1008" s="175"/>
      <c r="AI1008" s="175"/>
      <c r="AJ1008" s="175"/>
      <c r="AK1008" s="175"/>
      <c r="AL1008" s="175"/>
      <c r="AM1008" s="175"/>
      <c r="AN1008" s="175"/>
      <c r="AO1008" s="176"/>
      <c r="AP1008" s="177"/>
      <c r="AQ1008" s="175"/>
      <c r="AR1008" s="175"/>
      <c r="AS1008" s="178"/>
      <c r="AT1008" s="179"/>
    </row>
    <row r="1009" customFormat="false" ht="12.75" hidden="false" customHeight="true" outlineLevel="0" collapsed="false">
      <c r="B1009" s="122"/>
      <c r="C1009" s="123"/>
      <c r="D1009" s="124"/>
      <c r="E1009" s="124"/>
      <c r="F1009" s="125"/>
      <c r="G1009" s="171"/>
      <c r="H1009" s="171"/>
      <c r="I1009" s="172"/>
      <c r="J1009" s="171"/>
      <c r="K1009" s="171"/>
      <c r="L1009" s="171"/>
      <c r="M1009" s="171"/>
      <c r="N1009" s="171"/>
      <c r="O1009" s="171"/>
      <c r="P1009" s="171"/>
      <c r="Q1009" s="171"/>
      <c r="R1009" s="171"/>
      <c r="S1009" s="171"/>
      <c r="T1009" s="173"/>
      <c r="U1009" s="174"/>
      <c r="V1009" s="175"/>
      <c r="W1009" s="175"/>
      <c r="X1009" s="175"/>
      <c r="Y1009" s="175"/>
      <c r="Z1009" s="175"/>
      <c r="AA1009" s="175"/>
      <c r="AB1009" s="175"/>
      <c r="AC1009" s="175"/>
      <c r="AD1009" s="175"/>
      <c r="AE1009" s="175"/>
      <c r="AF1009" s="175"/>
      <c r="AG1009" s="175"/>
      <c r="AH1009" s="175"/>
      <c r="AI1009" s="175"/>
      <c r="AJ1009" s="175"/>
      <c r="AK1009" s="175"/>
      <c r="AL1009" s="175"/>
      <c r="AM1009" s="175"/>
      <c r="AN1009" s="175"/>
      <c r="AO1009" s="176"/>
      <c r="AP1009" s="177"/>
      <c r="AQ1009" s="175"/>
      <c r="AR1009" s="175"/>
      <c r="AS1009" s="178"/>
      <c r="AT1009" s="179"/>
    </row>
    <row r="1010" customFormat="false" ht="12.75" hidden="false" customHeight="true" outlineLevel="0" collapsed="false">
      <c r="B1010" s="122"/>
      <c r="C1010" s="123"/>
      <c r="D1010" s="124"/>
      <c r="E1010" s="124"/>
      <c r="F1010" s="125"/>
      <c r="G1010" s="171"/>
      <c r="H1010" s="171"/>
      <c r="I1010" s="172"/>
      <c r="J1010" s="171"/>
      <c r="K1010" s="171"/>
      <c r="L1010" s="171"/>
      <c r="M1010" s="171"/>
      <c r="N1010" s="171"/>
      <c r="O1010" s="171"/>
      <c r="P1010" s="171"/>
      <c r="Q1010" s="171"/>
      <c r="R1010" s="171"/>
      <c r="S1010" s="171"/>
      <c r="T1010" s="173"/>
      <c r="U1010" s="174"/>
      <c r="V1010" s="175"/>
      <c r="W1010" s="175"/>
      <c r="X1010" s="175"/>
      <c r="Y1010" s="175"/>
      <c r="Z1010" s="175"/>
      <c r="AA1010" s="175"/>
      <c r="AB1010" s="175"/>
      <c r="AC1010" s="175"/>
      <c r="AD1010" s="175"/>
      <c r="AE1010" s="175"/>
      <c r="AF1010" s="175"/>
      <c r="AG1010" s="175"/>
      <c r="AH1010" s="175"/>
      <c r="AI1010" s="175"/>
      <c r="AJ1010" s="175"/>
      <c r="AK1010" s="175"/>
      <c r="AL1010" s="175"/>
      <c r="AM1010" s="175"/>
      <c r="AN1010" s="175"/>
      <c r="AO1010" s="176"/>
      <c r="AP1010" s="177"/>
      <c r="AQ1010" s="175"/>
      <c r="AR1010" s="175"/>
      <c r="AS1010" s="178"/>
      <c r="AT1010" s="179"/>
    </row>
    <row r="1011" customFormat="false" ht="12.75" hidden="false" customHeight="true" outlineLevel="0" collapsed="false">
      <c r="B1011" s="122"/>
      <c r="C1011" s="123"/>
      <c r="D1011" s="124"/>
      <c r="E1011" s="124"/>
      <c r="F1011" s="125"/>
      <c r="G1011" s="171"/>
      <c r="H1011" s="171"/>
      <c r="I1011" s="172"/>
      <c r="J1011" s="171"/>
      <c r="K1011" s="171"/>
      <c r="L1011" s="171"/>
      <c r="M1011" s="171"/>
      <c r="N1011" s="171"/>
      <c r="O1011" s="171"/>
      <c r="P1011" s="171"/>
      <c r="Q1011" s="171"/>
      <c r="R1011" s="171"/>
      <c r="S1011" s="171"/>
      <c r="T1011" s="173"/>
      <c r="U1011" s="174"/>
      <c r="V1011" s="175"/>
      <c r="W1011" s="175"/>
      <c r="X1011" s="175"/>
      <c r="Y1011" s="175"/>
      <c r="Z1011" s="175"/>
      <c r="AA1011" s="175"/>
      <c r="AB1011" s="175"/>
      <c r="AC1011" s="175"/>
      <c r="AD1011" s="175"/>
      <c r="AE1011" s="175"/>
      <c r="AF1011" s="175"/>
      <c r="AG1011" s="175"/>
      <c r="AH1011" s="175"/>
      <c r="AI1011" s="175"/>
      <c r="AJ1011" s="175"/>
      <c r="AK1011" s="175"/>
      <c r="AL1011" s="175"/>
      <c r="AM1011" s="175"/>
      <c r="AN1011" s="175"/>
      <c r="AO1011" s="176"/>
      <c r="AP1011" s="177"/>
      <c r="AQ1011" s="175"/>
      <c r="AR1011" s="175"/>
      <c r="AS1011" s="178"/>
      <c r="AT1011" s="179"/>
    </row>
    <row r="1012" customFormat="false" ht="12.75" hidden="false" customHeight="true" outlineLevel="0" collapsed="false">
      <c r="B1012" s="141"/>
      <c r="C1012" s="132"/>
      <c r="D1012" s="133"/>
      <c r="E1012" s="133"/>
      <c r="F1012" s="134"/>
      <c r="G1012" s="180"/>
      <c r="H1012" s="180"/>
      <c r="I1012" s="181"/>
      <c r="J1012" s="180"/>
      <c r="K1012" s="180"/>
      <c r="L1012" s="180"/>
      <c r="M1012" s="180"/>
      <c r="N1012" s="180"/>
      <c r="O1012" s="180"/>
      <c r="P1012" s="180"/>
      <c r="Q1012" s="180"/>
      <c r="R1012" s="180"/>
      <c r="S1012" s="180"/>
      <c r="T1012" s="182"/>
      <c r="U1012" s="183"/>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5"/>
      <c r="AP1012" s="186"/>
      <c r="AQ1012" s="184"/>
      <c r="AR1012" s="184"/>
      <c r="AS1012" s="187"/>
      <c r="AT1012" s="188"/>
    </row>
    <row r="1013" customFormat="false" ht="12.75" hidden="false" customHeight="true" outlineLevel="0" collapsed="false">
      <c r="B1013" s="122"/>
      <c r="C1013" s="123"/>
      <c r="D1013" s="124"/>
      <c r="E1013" s="124"/>
      <c r="F1013" s="125"/>
      <c r="G1013" s="171"/>
      <c r="H1013" s="171"/>
      <c r="I1013" s="172"/>
      <c r="J1013" s="171"/>
      <c r="K1013" s="171"/>
      <c r="L1013" s="171"/>
      <c r="M1013" s="171"/>
      <c r="N1013" s="171"/>
      <c r="O1013" s="171"/>
      <c r="P1013" s="171"/>
      <c r="Q1013" s="171"/>
      <c r="R1013" s="171"/>
      <c r="S1013" s="171"/>
      <c r="T1013" s="173"/>
      <c r="U1013" s="174"/>
      <c r="V1013" s="175"/>
      <c r="W1013" s="175"/>
      <c r="X1013" s="175"/>
      <c r="Y1013" s="175"/>
      <c r="Z1013" s="175"/>
      <c r="AA1013" s="175"/>
      <c r="AB1013" s="175"/>
      <c r="AC1013" s="175"/>
      <c r="AD1013" s="175"/>
      <c r="AE1013" s="175"/>
      <c r="AF1013" s="175"/>
      <c r="AG1013" s="175"/>
      <c r="AH1013" s="175"/>
      <c r="AI1013" s="175"/>
      <c r="AJ1013" s="175"/>
      <c r="AK1013" s="175"/>
      <c r="AL1013" s="175"/>
      <c r="AM1013" s="175"/>
      <c r="AN1013" s="175"/>
      <c r="AO1013" s="176"/>
      <c r="AP1013" s="177"/>
      <c r="AQ1013" s="175"/>
      <c r="AR1013" s="175"/>
      <c r="AS1013" s="178"/>
      <c r="AT1013" s="179"/>
    </row>
    <row r="1014" customFormat="false" ht="12.75" hidden="false" customHeight="true" outlineLevel="0" collapsed="false">
      <c r="B1014" s="122"/>
      <c r="C1014" s="123"/>
      <c r="D1014" s="124"/>
      <c r="E1014" s="124"/>
      <c r="F1014" s="125"/>
      <c r="G1014" s="171"/>
      <c r="H1014" s="171"/>
      <c r="I1014" s="172"/>
      <c r="J1014" s="171"/>
      <c r="K1014" s="171"/>
      <c r="L1014" s="171"/>
      <c r="M1014" s="171"/>
      <c r="N1014" s="171"/>
      <c r="O1014" s="171"/>
      <c r="P1014" s="171"/>
      <c r="Q1014" s="171"/>
      <c r="R1014" s="171"/>
      <c r="S1014" s="171"/>
      <c r="T1014" s="173"/>
      <c r="U1014" s="174"/>
      <c r="V1014" s="175"/>
      <c r="W1014" s="175"/>
      <c r="X1014" s="175"/>
      <c r="Y1014" s="175"/>
      <c r="Z1014" s="175"/>
      <c r="AA1014" s="175"/>
      <c r="AB1014" s="175"/>
      <c r="AC1014" s="175"/>
      <c r="AD1014" s="175"/>
      <c r="AE1014" s="175"/>
      <c r="AF1014" s="175"/>
      <c r="AG1014" s="175"/>
      <c r="AH1014" s="175"/>
      <c r="AI1014" s="175"/>
      <c r="AJ1014" s="175"/>
      <c r="AK1014" s="175"/>
      <c r="AL1014" s="175"/>
      <c r="AM1014" s="175"/>
      <c r="AN1014" s="175"/>
      <c r="AO1014" s="176"/>
      <c r="AP1014" s="177"/>
      <c r="AQ1014" s="175"/>
      <c r="AR1014" s="175"/>
      <c r="AS1014" s="178"/>
      <c r="AT1014" s="179"/>
    </row>
    <row r="1015" customFormat="false" ht="12.75" hidden="false" customHeight="true" outlineLevel="0" collapsed="false">
      <c r="B1015" s="122"/>
      <c r="C1015" s="123"/>
      <c r="D1015" s="124"/>
      <c r="E1015" s="124"/>
      <c r="F1015" s="125"/>
      <c r="G1015" s="171"/>
      <c r="H1015" s="171"/>
      <c r="I1015" s="172"/>
      <c r="J1015" s="171"/>
      <c r="K1015" s="171"/>
      <c r="L1015" s="171"/>
      <c r="M1015" s="171"/>
      <c r="N1015" s="171"/>
      <c r="O1015" s="171"/>
      <c r="P1015" s="171"/>
      <c r="Q1015" s="171"/>
      <c r="R1015" s="171"/>
      <c r="S1015" s="171"/>
      <c r="T1015" s="173"/>
      <c r="U1015" s="174"/>
      <c r="V1015" s="175"/>
      <c r="W1015" s="175"/>
      <c r="X1015" s="175"/>
      <c r="Y1015" s="175"/>
      <c r="Z1015" s="175"/>
      <c r="AA1015" s="175"/>
      <c r="AB1015" s="175"/>
      <c r="AC1015" s="175"/>
      <c r="AD1015" s="175"/>
      <c r="AE1015" s="175"/>
      <c r="AF1015" s="175"/>
      <c r="AG1015" s="175"/>
      <c r="AH1015" s="175"/>
      <c r="AI1015" s="175"/>
      <c r="AJ1015" s="175"/>
      <c r="AK1015" s="175"/>
      <c r="AL1015" s="175"/>
      <c r="AM1015" s="175"/>
      <c r="AN1015" s="175"/>
      <c r="AO1015" s="176"/>
      <c r="AP1015" s="177"/>
      <c r="AQ1015" s="175"/>
      <c r="AR1015" s="175"/>
      <c r="AS1015" s="178"/>
      <c r="AT1015" s="179"/>
    </row>
    <row r="1016" customFormat="false" ht="12.75" hidden="false" customHeight="true" outlineLevel="0" collapsed="false">
      <c r="B1016" s="122"/>
      <c r="C1016" s="123"/>
      <c r="D1016" s="124"/>
      <c r="E1016" s="124"/>
      <c r="F1016" s="125"/>
      <c r="G1016" s="171"/>
      <c r="H1016" s="171"/>
      <c r="I1016" s="172"/>
      <c r="J1016" s="171"/>
      <c r="K1016" s="171"/>
      <c r="L1016" s="171"/>
      <c r="M1016" s="171"/>
      <c r="N1016" s="171"/>
      <c r="O1016" s="171"/>
      <c r="P1016" s="171"/>
      <c r="Q1016" s="171"/>
      <c r="R1016" s="171"/>
      <c r="S1016" s="171"/>
      <c r="T1016" s="173"/>
      <c r="U1016" s="174"/>
      <c r="V1016" s="175"/>
      <c r="W1016" s="175"/>
      <c r="X1016" s="175"/>
      <c r="Y1016" s="175"/>
      <c r="Z1016" s="175"/>
      <c r="AA1016" s="175"/>
      <c r="AB1016" s="175"/>
      <c r="AC1016" s="175"/>
      <c r="AD1016" s="175"/>
      <c r="AE1016" s="175"/>
      <c r="AF1016" s="175"/>
      <c r="AG1016" s="175"/>
      <c r="AH1016" s="175"/>
      <c r="AI1016" s="175"/>
      <c r="AJ1016" s="175"/>
      <c r="AK1016" s="175"/>
      <c r="AL1016" s="175"/>
      <c r="AM1016" s="175"/>
      <c r="AN1016" s="175"/>
      <c r="AO1016" s="176"/>
      <c r="AP1016" s="177"/>
      <c r="AQ1016" s="175"/>
      <c r="AR1016" s="175"/>
      <c r="AS1016" s="178"/>
      <c r="AT1016" s="179"/>
    </row>
    <row r="1017" customFormat="false" ht="12.75" hidden="false" customHeight="true" outlineLevel="0" collapsed="false">
      <c r="B1017" s="141"/>
      <c r="C1017" s="132"/>
      <c r="D1017" s="133"/>
      <c r="E1017" s="133"/>
      <c r="F1017" s="134"/>
      <c r="G1017" s="180"/>
      <c r="H1017" s="180"/>
      <c r="I1017" s="181"/>
      <c r="J1017" s="180"/>
      <c r="K1017" s="180"/>
      <c r="L1017" s="180"/>
      <c r="M1017" s="180"/>
      <c r="N1017" s="180"/>
      <c r="O1017" s="180"/>
      <c r="P1017" s="180"/>
      <c r="Q1017" s="180"/>
      <c r="R1017" s="180"/>
      <c r="S1017" s="180"/>
      <c r="T1017" s="182"/>
      <c r="U1017" s="183"/>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5"/>
      <c r="AP1017" s="186"/>
      <c r="AQ1017" s="184"/>
      <c r="AR1017" s="184"/>
      <c r="AS1017" s="187"/>
      <c r="AT1017" s="188"/>
    </row>
    <row r="1018" customFormat="false" ht="12.75" hidden="false" customHeight="true" outlineLevel="0" collapsed="false">
      <c r="B1018" s="122"/>
      <c r="C1018" s="123"/>
      <c r="D1018" s="124"/>
      <c r="E1018" s="124"/>
      <c r="F1018" s="125"/>
      <c r="G1018" s="171"/>
      <c r="H1018" s="171"/>
      <c r="I1018" s="172"/>
      <c r="J1018" s="171"/>
      <c r="K1018" s="171"/>
      <c r="L1018" s="171"/>
      <c r="M1018" s="171"/>
      <c r="N1018" s="171"/>
      <c r="O1018" s="171"/>
      <c r="P1018" s="171"/>
      <c r="Q1018" s="171"/>
      <c r="R1018" s="171"/>
      <c r="S1018" s="171"/>
      <c r="T1018" s="173"/>
      <c r="U1018" s="174"/>
      <c r="V1018" s="175"/>
      <c r="W1018" s="175"/>
      <c r="X1018" s="175"/>
      <c r="Y1018" s="175"/>
      <c r="Z1018" s="175"/>
      <c r="AA1018" s="175"/>
      <c r="AB1018" s="175"/>
      <c r="AC1018" s="175"/>
      <c r="AD1018" s="175"/>
      <c r="AE1018" s="175"/>
      <c r="AF1018" s="175"/>
      <c r="AG1018" s="175"/>
      <c r="AH1018" s="175"/>
      <c r="AI1018" s="175"/>
      <c r="AJ1018" s="175"/>
      <c r="AK1018" s="175"/>
      <c r="AL1018" s="175"/>
      <c r="AM1018" s="175"/>
      <c r="AN1018" s="175"/>
      <c r="AO1018" s="176"/>
      <c r="AP1018" s="177"/>
      <c r="AQ1018" s="175"/>
      <c r="AR1018" s="175"/>
      <c r="AS1018" s="178"/>
      <c r="AT1018" s="179"/>
    </row>
    <row r="1019" customFormat="false" ht="12.75" hidden="false" customHeight="true" outlineLevel="0" collapsed="false">
      <c r="B1019" s="122"/>
      <c r="C1019" s="123"/>
      <c r="D1019" s="124"/>
      <c r="E1019" s="124"/>
      <c r="F1019" s="125"/>
      <c r="G1019" s="171"/>
      <c r="H1019" s="171"/>
      <c r="I1019" s="172"/>
      <c r="J1019" s="171"/>
      <c r="K1019" s="171"/>
      <c r="L1019" s="171"/>
      <c r="M1019" s="171"/>
      <c r="N1019" s="171"/>
      <c r="O1019" s="171"/>
      <c r="P1019" s="171"/>
      <c r="Q1019" s="171"/>
      <c r="R1019" s="171"/>
      <c r="S1019" s="171"/>
      <c r="T1019" s="173"/>
      <c r="U1019" s="174"/>
      <c r="V1019" s="175"/>
      <c r="W1019" s="175"/>
      <c r="X1019" s="175"/>
      <c r="Y1019" s="175"/>
      <c r="Z1019" s="175"/>
      <c r="AA1019" s="175"/>
      <c r="AB1019" s="175"/>
      <c r="AC1019" s="175"/>
      <c r="AD1019" s="175"/>
      <c r="AE1019" s="175"/>
      <c r="AF1019" s="175"/>
      <c r="AG1019" s="175"/>
      <c r="AH1019" s="175"/>
      <c r="AI1019" s="175"/>
      <c r="AJ1019" s="175"/>
      <c r="AK1019" s="175"/>
      <c r="AL1019" s="175"/>
      <c r="AM1019" s="175"/>
      <c r="AN1019" s="175"/>
      <c r="AO1019" s="176"/>
      <c r="AP1019" s="177"/>
      <c r="AQ1019" s="175"/>
      <c r="AR1019" s="175"/>
      <c r="AS1019" s="178"/>
      <c r="AT1019" s="179"/>
    </row>
    <row r="1020" customFormat="false" ht="12.75" hidden="false" customHeight="true" outlineLevel="0" collapsed="false">
      <c r="B1020" s="122"/>
      <c r="C1020" s="123"/>
      <c r="D1020" s="124"/>
      <c r="E1020" s="124"/>
      <c r="F1020" s="125"/>
      <c r="G1020" s="171"/>
      <c r="H1020" s="171"/>
      <c r="I1020" s="172"/>
      <c r="J1020" s="171"/>
      <c r="K1020" s="171"/>
      <c r="L1020" s="171"/>
      <c r="M1020" s="171"/>
      <c r="N1020" s="171"/>
      <c r="O1020" s="171"/>
      <c r="P1020" s="171"/>
      <c r="Q1020" s="171"/>
      <c r="R1020" s="171"/>
      <c r="S1020" s="171"/>
      <c r="T1020" s="173"/>
      <c r="U1020" s="174"/>
      <c r="V1020" s="175"/>
      <c r="W1020" s="175"/>
      <c r="X1020" s="175"/>
      <c r="Y1020" s="175"/>
      <c r="Z1020" s="175"/>
      <c r="AA1020" s="175"/>
      <c r="AB1020" s="175"/>
      <c r="AC1020" s="175"/>
      <c r="AD1020" s="175"/>
      <c r="AE1020" s="175"/>
      <c r="AF1020" s="175"/>
      <c r="AG1020" s="175"/>
      <c r="AH1020" s="175"/>
      <c r="AI1020" s="175"/>
      <c r="AJ1020" s="175"/>
      <c r="AK1020" s="175"/>
      <c r="AL1020" s="175"/>
      <c r="AM1020" s="175"/>
      <c r="AN1020" s="175"/>
      <c r="AO1020" s="176"/>
      <c r="AP1020" s="177"/>
      <c r="AQ1020" s="175"/>
      <c r="AR1020" s="175"/>
      <c r="AS1020" s="178"/>
      <c r="AT1020" s="179"/>
    </row>
    <row r="1021" customFormat="false" ht="12.75" hidden="false" customHeight="true" outlineLevel="0" collapsed="false">
      <c r="B1021" s="122"/>
      <c r="C1021" s="123"/>
      <c r="D1021" s="124"/>
      <c r="E1021" s="124"/>
      <c r="F1021" s="125"/>
      <c r="G1021" s="171"/>
      <c r="H1021" s="171"/>
      <c r="I1021" s="172"/>
      <c r="J1021" s="171"/>
      <c r="K1021" s="171"/>
      <c r="L1021" s="171"/>
      <c r="M1021" s="171"/>
      <c r="N1021" s="171"/>
      <c r="O1021" s="171"/>
      <c r="P1021" s="171"/>
      <c r="Q1021" s="171"/>
      <c r="R1021" s="171"/>
      <c r="S1021" s="171"/>
      <c r="T1021" s="173"/>
      <c r="U1021" s="174"/>
      <c r="V1021" s="175"/>
      <c r="W1021" s="175"/>
      <c r="X1021" s="175"/>
      <c r="Y1021" s="175"/>
      <c r="Z1021" s="175"/>
      <c r="AA1021" s="175"/>
      <c r="AB1021" s="175"/>
      <c r="AC1021" s="175"/>
      <c r="AD1021" s="175"/>
      <c r="AE1021" s="175"/>
      <c r="AF1021" s="175"/>
      <c r="AG1021" s="175"/>
      <c r="AH1021" s="175"/>
      <c r="AI1021" s="175"/>
      <c r="AJ1021" s="175"/>
      <c r="AK1021" s="175"/>
      <c r="AL1021" s="175"/>
      <c r="AM1021" s="175"/>
      <c r="AN1021" s="175"/>
      <c r="AO1021" s="176"/>
      <c r="AP1021" s="177"/>
      <c r="AQ1021" s="175"/>
      <c r="AR1021" s="175"/>
      <c r="AS1021" s="178"/>
      <c r="AT1021" s="179"/>
    </row>
    <row r="1022" customFormat="false" ht="12.75" hidden="false" customHeight="true" outlineLevel="0" collapsed="false">
      <c r="B1022" s="141"/>
      <c r="C1022" s="132"/>
      <c r="D1022" s="133"/>
      <c r="E1022" s="133"/>
      <c r="F1022" s="134"/>
      <c r="G1022" s="180"/>
      <c r="H1022" s="180"/>
      <c r="I1022" s="181"/>
      <c r="J1022" s="180"/>
      <c r="K1022" s="180"/>
      <c r="L1022" s="180"/>
      <c r="M1022" s="180"/>
      <c r="N1022" s="180"/>
      <c r="O1022" s="180"/>
      <c r="P1022" s="180"/>
      <c r="Q1022" s="180"/>
      <c r="R1022" s="180"/>
      <c r="S1022" s="180"/>
      <c r="T1022" s="182"/>
      <c r="U1022" s="183"/>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5"/>
      <c r="AP1022" s="186"/>
      <c r="AQ1022" s="184"/>
      <c r="AR1022" s="184"/>
      <c r="AS1022" s="187"/>
      <c r="AT1022" s="188"/>
    </row>
    <row r="1023" customFormat="false" ht="12.75" hidden="false" customHeight="true" outlineLevel="0" collapsed="false">
      <c r="B1023" s="122"/>
      <c r="C1023" s="123"/>
      <c r="D1023" s="124"/>
      <c r="E1023" s="124"/>
      <c r="F1023" s="125"/>
      <c r="G1023" s="171"/>
      <c r="H1023" s="171"/>
      <c r="I1023" s="172"/>
      <c r="J1023" s="171"/>
      <c r="K1023" s="171"/>
      <c r="L1023" s="171"/>
      <c r="M1023" s="171"/>
      <c r="N1023" s="171"/>
      <c r="O1023" s="171"/>
      <c r="P1023" s="171"/>
      <c r="Q1023" s="171"/>
      <c r="R1023" s="171"/>
      <c r="S1023" s="171"/>
      <c r="T1023" s="173"/>
      <c r="U1023" s="174"/>
      <c r="V1023" s="175"/>
      <c r="W1023" s="175"/>
      <c r="X1023" s="175"/>
      <c r="Y1023" s="175"/>
      <c r="Z1023" s="175"/>
      <c r="AA1023" s="175"/>
      <c r="AB1023" s="175"/>
      <c r="AC1023" s="175"/>
      <c r="AD1023" s="175"/>
      <c r="AE1023" s="175"/>
      <c r="AF1023" s="175"/>
      <c r="AG1023" s="175"/>
      <c r="AH1023" s="175"/>
      <c r="AI1023" s="175"/>
      <c r="AJ1023" s="175"/>
      <c r="AK1023" s="175"/>
      <c r="AL1023" s="175"/>
      <c r="AM1023" s="175"/>
      <c r="AN1023" s="175"/>
      <c r="AO1023" s="176"/>
      <c r="AP1023" s="177"/>
      <c r="AQ1023" s="175"/>
      <c r="AR1023" s="175"/>
      <c r="AS1023" s="178"/>
      <c r="AT1023" s="179"/>
    </row>
    <row r="1024" customFormat="false" ht="12.75" hidden="false" customHeight="true" outlineLevel="0" collapsed="false">
      <c r="B1024" s="122"/>
      <c r="C1024" s="123"/>
      <c r="D1024" s="124"/>
      <c r="E1024" s="124"/>
      <c r="F1024" s="125"/>
      <c r="G1024" s="171"/>
      <c r="H1024" s="171"/>
      <c r="I1024" s="172"/>
      <c r="J1024" s="171"/>
      <c r="K1024" s="171"/>
      <c r="L1024" s="171"/>
      <c r="M1024" s="171"/>
      <c r="N1024" s="171"/>
      <c r="O1024" s="171"/>
      <c r="P1024" s="171"/>
      <c r="Q1024" s="171"/>
      <c r="R1024" s="171"/>
      <c r="S1024" s="171"/>
      <c r="T1024" s="173"/>
      <c r="U1024" s="174"/>
      <c r="V1024" s="175"/>
      <c r="W1024" s="175"/>
      <c r="X1024" s="175"/>
      <c r="Y1024" s="175"/>
      <c r="Z1024" s="175"/>
      <c r="AA1024" s="175"/>
      <c r="AB1024" s="175"/>
      <c r="AC1024" s="175"/>
      <c r="AD1024" s="175"/>
      <c r="AE1024" s="175"/>
      <c r="AF1024" s="175"/>
      <c r="AG1024" s="175"/>
      <c r="AH1024" s="175"/>
      <c r="AI1024" s="175"/>
      <c r="AJ1024" s="175"/>
      <c r="AK1024" s="175"/>
      <c r="AL1024" s="175"/>
      <c r="AM1024" s="175"/>
      <c r="AN1024" s="175"/>
      <c r="AO1024" s="176"/>
      <c r="AP1024" s="177"/>
      <c r="AQ1024" s="175"/>
      <c r="AR1024" s="175"/>
      <c r="AS1024" s="178"/>
      <c r="AT1024" s="179"/>
    </row>
    <row r="1025" customFormat="false" ht="12.75" hidden="false" customHeight="true" outlineLevel="0" collapsed="false">
      <c r="B1025" s="122"/>
      <c r="C1025" s="123"/>
      <c r="D1025" s="124"/>
      <c r="E1025" s="124"/>
      <c r="F1025" s="125"/>
      <c r="G1025" s="171"/>
      <c r="H1025" s="171"/>
      <c r="I1025" s="172"/>
      <c r="J1025" s="171"/>
      <c r="K1025" s="171"/>
      <c r="L1025" s="171"/>
      <c r="M1025" s="171"/>
      <c r="N1025" s="171"/>
      <c r="O1025" s="171"/>
      <c r="P1025" s="171"/>
      <c r="Q1025" s="171"/>
      <c r="R1025" s="171"/>
      <c r="S1025" s="171"/>
      <c r="T1025" s="173"/>
      <c r="U1025" s="174"/>
      <c r="V1025" s="175"/>
      <c r="W1025" s="175"/>
      <c r="X1025" s="175"/>
      <c r="Y1025" s="175"/>
      <c r="Z1025" s="175"/>
      <c r="AA1025" s="175"/>
      <c r="AB1025" s="175"/>
      <c r="AC1025" s="175"/>
      <c r="AD1025" s="175"/>
      <c r="AE1025" s="175"/>
      <c r="AF1025" s="175"/>
      <c r="AG1025" s="175"/>
      <c r="AH1025" s="175"/>
      <c r="AI1025" s="175"/>
      <c r="AJ1025" s="175"/>
      <c r="AK1025" s="175"/>
      <c r="AL1025" s="175"/>
      <c r="AM1025" s="175"/>
      <c r="AN1025" s="175"/>
      <c r="AO1025" s="176"/>
      <c r="AP1025" s="177"/>
      <c r="AQ1025" s="175"/>
      <c r="AR1025" s="175"/>
      <c r="AS1025" s="178"/>
      <c r="AT1025" s="179"/>
    </row>
    <row r="1026" customFormat="false" ht="12.75" hidden="false" customHeight="true" outlineLevel="0" collapsed="false">
      <c r="B1026" s="141"/>
      <c r="C1026" s="132"/>
      <c r="D1026" s="133"/>
      <c r="E1026" s="133"/>
      <c r="F1026" s="134"/>
      <c r="G1026" s="180"/>
      <c r="H1026" s="180"/>
      <c r="I1026" s="181"/>
      <c r="J1026" s="180"/>
      <c r="K1026" s="180"/>
      <c r="L1026" s="180"/>
      <c r="M1026" s="180"/>
      <c r="N1026" s="180"/>
      <c r="O1026" s="180"/>
      <c r="P1026" s="180"/>
      <c r="Q1026" s="180"/>
      <c r="R1026" s="180"/>
      <c r="S1026" s="180"/>
      <c r="T1026" s="182"/>
      <c r="U1026" s="183"/>
      <c r="V1026" s="184"/>
      <c r="W1026" s="184"/>
      <c r="X1026" s="184"/>
      <c r="Y1026" s="184"/>
      <c r="Z1026" s="184"/>
      <c r="AA1026" s="184"/>
      <c r="AB1026" s="184"/>
      <c r="AC1026" s="184"/>
      <c r="AD1026" s="184"/>
      <c r="AE1026" s="184"/>
      <c r="AF1026" s="184"/>
      <c r="AG1026" s="184"/>
      <c r="AH1026" s="184"/>
      <c r="AI1026" s="184"/>
      <c r="AJ1026" s="184"/>
      <c r="AK1026" s="184"/>
      <c r="AL1026" s="184"/>
      <c r="AM1026" s="184"/>
      <c r="AN1026" s="184"/>
      <c r="AO1026" s="185"/>
      <c r="AP1026" s="186"/>
      <c r="AQ1026" s="184"/>
      <c r="AR1026" s="184"/>
      <c r="AS1026" s="187"/>
      <c r="AT1026" s="188"/>
    </row>
    <row r="1027" customFormat="false" ht="12.75" hidden="false" customHeight="true" outlineLevel="0" collapsed="false">
      <c r="B1027" s="122"/>
      <c r="C1027" s="123"/>
      <c r="D1027" s="124"/>
      <c r="E1027" s="124"/>
      <c r="F1027" s="125"/>
      <c r="G1027" s="171"/>
      <c r="H1027" s="171"/>
      <c r="I1027" s="172"/>
      <c r="J1027" s="171"/>
      <c r="K1027" s="171"/>
      <c r="L1027" s="171"/>
      <c r="M1027" s="171"/>
      <c r="N1027" s="171"/>
      <c r="O1027" s="171"/>
      <c r="P1027" s="171"/>
      <c r="Q1027" s="171"/>
      <c r="R1027" s="171"/>
      <c r="S1027" s="171"/>
      <c r="T1027" s="173"/>
      <c r="U1027" s="174"/>
      <c r="V1027" s="175"/>
      <c r="W1027" s="175"/>
      <c r="X1027" s="175"/>
      <c r="Y1027" s="175"/>
      <c r="Z1027" s="175"/>
      <c r="AA1027" s="175"/>
      <c r="AB1027" s="175"/>
      <c r="AC1027" s="175"/>
      <c r="AD1027" s="175"/>
      <c r="AE1027" s="175"/>
      <c r="AF1027" s="175"/>
      <c r="AG1027" s="175"/>
      <c r="AH1027" s="175"/>
      <c r="AI1027" s="175"/>
      <c r="AJ1027" s="175"/>
      <c r="AK1027" s="175"/>
      <c r="AL1027" s="175"/>
      <c r="AM1027" s="175"/>
      <c r="AN1027" s="175"/>
      <c r="AO1027" s="176"/>
      <c r="AP1027" s="177"/>
      <c r="AQ1027" s="175"/>
      <c r="AR1027" s="175"/>
      <c r="AS1027" s="178"/>
      <c r="AT1027" s="179"/>
    </row>
    <row r="1028" customFormat="false" ht="12.75" hidden="false" customHeight="true" outlineLevel="0" collapsed="false">
      <c r="B1028" s="122"/>
      <c r="C1028" s="123"/>
      <c r="D1028" s="124"/>
      <c r="E1028" s="124"/>
      <c r="F1028" s="125"/>
      <c r="G1028" s="171"/>
      <c r="H1028" s="171"/>
      <c r="I1028" s="172"/>
      <c r="J1028" s="171"/>
      <c r="K1028" s="171"/>
      <c r="L1028" s="171"/>
      <c r="M1028" s="171"/>
      <c r="N1028" s="171"/>
      <c r="O1028" s="171"/>
      <c r="P1028" s="171"/>
      <c r="Q1028" s="171"/>
      <c r="R1028" s="171"/>
      <c r="S1028" s="171"/>
      <c r="T1028" s="173"/>
      <c r="U1028" s="174"/>
      <c r="V1028" s="175"/>
      <c r="W1028" s="175"/>
      <c r="X1028" s="175"/>
      <c r="Y1028" s="175"/>
      <c r="Z1028" s="175"/>
      <c r="AA1028" s="175"/>
      <c r="AB1028" s="175"/>
      <c r="AC1028" s="175"/>
      <c r="AD1028" s="175"/>
      <c r="AE1028" s="175"/>
      <c r="AF1028" s="175"/>
      <c r="AG1028" s="175"/>
      <c r="AH1028" s="175"/>
      <c r="AI1028" s="175"/>
      <c r="AJ1028" s="175"/>
      <c r="AK1028" s="175"/>
      <c r="AL1028" s="175"/>
      <c r="AM1028" s="175"/>
      <c r="AN1028" s="175"/>
      <c r="AO1028" s="176"/>
      <c r="AP1028" s="177"/>
      <c r="AQ1028" s="175"/>
      <c r="AR1028" s="175"/>
      <c r="AS1028" s="178"/>
      <c r="AT1028" s="179"/>
    </row>
    <row r="1029" customFormat="false" ht="12.75" hidden="false" customHeight="true" outlineLevel="0" collapsed="false">
      <c r="B1029" s="122"/>
      <c r="C1029" s="123"/>
      <c r="D1029" s="124"/>
      <c r="E1029" s="124"/>
      <c r="F1029" s="125"/>
      <c r="G1029" s="171"/>
      <c r="H1029" s="171"/>
      <c r="I1029" s="172"/>
      <c r="J1029" s="171"/>
      <c r="K1029" s="171"/>
      <c r="L1029" s="171"/>
      <c r="M1029" s="171"/>
      <c r="N1029" s="171"/>
      <c r="O1029" s="171"/>
      <c r="P1029" s="171"/>
      <c r="Q1029" s="171"/>
      <c r="R1029" s="171"/>
      <c r="S1029" s="171"/>
      <c r="T1029" s="173"/>
      <c r="U1029" s="174"/>
      <c r="V1029" s="175"/>
      <c r="W1029" s="175"/>
      <c r="X1029" s="175"/>
      <c r="Y1029" s="175"/>
      <c r="Z1029" s="175"/>
      <c r="AA1029" s="175"/>
      <c r="AB1029" s="175"/>
      <c r="AC1029" s="175"/>
      <c r="AD1029" s="175"/>
      <c r="AE1029" s="175"/>
      <c r="AF1029" s="175"/>
      <c r="AG1029" s="175"/>
      <c r="AH1029" s="175"/>
      <c r="AI1029" s="175"/>
      <c r="AJ1029" s="175"/>
      <c r="AK1029" s="175"/>
      <c r="AL1029" s="175"/>
      <c r="AM1029" s="175"/>
      <c r="AN1029" s="175"/>
      <c r="AO1029" s="176"/>
      <c r="AP1029" s="177"/>
      <c r="AQ1029" s="175"/>
      <c r="AR1029" s="175"/>
      <c r="AS1029" s="178"/>
      <c r="AT1029" s="179"/>
    </row>
    <row r="1030" customFormat="false" ht="12.75" hidden="false" customHeight="true" outlineLevel="0" collapsed="false">
      <c r="B1030" s="122"/>
      <c r="C1030" s="123"/>
      <c r="D1030" s="124"/>
      <c r="E1030" s="124"/>
      <c r="F1030" s="125"/>
      <c r="G1030" s="171"/>
      <c r="H1030" s="171"/>
      <c r="I1030" s="172"/>
      <c r="J1030" s="171"/>
      <c r="K1030" s="171"/>
      <c r="L1030" s="171"/>
      <c r="M1030" s="171"/>
      <c r="N1030" s="171"/>
      <c r="O1030" s="171"/>
      <c r="P1030" s="171"/>
      <c r="Q1030" s="171"/>
      <c r="R1030" s="171"/>
      <c r="S1030" s="171"/>
      <c r="T1030" s="173"/>
      <c r="U1030" s="174"/>
      <c r="V1030" s="175"/>
      <c r="W1030" s="175"/>
      <c r="X1030" s="175"/>
      <c r="Y1030" s="175"/>
      <c r="Z1030" s="175"/>
      <c r="AA1030" s="175"/>
      <c r="AB1030" s="175"/>
      <c r="AC1030" s="175"/>
      <c r="AD1030" s="175"/>
      <c r="AE1030" s="175"/>
      <c r="AF1030" s="175"/>
      <c r="AG1030" s="175"/>
      <c r="AH1030" s="175"/>
      <c r="AI1030" s="175"/>
      <c r="AJ1030" s="175"/>
      <c r="AK1030" s="175"/>
      <c r="AL1030" s="175"/>
      <c r="AM1030" s="175"/>
      <c r="AN1030" s="175"/>
      <c r="AO1030" s="176"/>
      <c r="AP1030" s="177"/>
      <c r="AQ1030" s="175"/>
      <c r="AR1030" s="175"/>
      <c r="AS1030" s="178"/>
      <c r="AT1030" s="179"/>
    </row>
    <row r="1031" customFormat="false" ht="12.75" hidden="false" customHeight="true" outlineLevel="0" collapsed="false">
      <c r="B1031" s="141"/>
      <c r="C1031" s="132"/>
      <c r="D1031" s="133"/>
      <c r="E1031" s="133"/>
      <c r="F1031" s="134"/>
      <c r="G1031" s="180"/>
      <c r="H1031" s="180"/>
      <c r="I1031" s="181"/>
      <c r="J1031" s="180"/>
      <c r="K1031" s="180"/>
      <c r="L1031" s="180"/>
      <c r="M1031" s="180"/>
      <c r="N1031" s="180"/>
      <c r="O1031" s="180"/>
      <c r="P1031" s="180"/>
      <c r="Q1031" s="180"/>
      <c r="R1031" s="180"/>
      <c r="S1031" s="180"/>
      <c r="T1031" s="182"/>
      <c r="U1031" s="183"/>
      <c r="V1031" s="184"/>
      <c r="W1031" s="184"/>
      <c r="X1031" s="184"/>
      <c r="Y1031" s="184"/>
      <c r="Z1031" s="184"/>
      <c r="AA1031" s="184"/>
      <c r="AB1031" s="184"/>
      <c r="AC1031" s="184"/>
      <c r="AD1031" s="184"/>
      <c r="AE1031" s="184"/>
      <c r="AF1031" s="184"/>
      <c r="AG1031" s="184"/>
      <c r="AH1031" s="184"/>
      <c r="AI1031" s="184"/>
      <c r="AJ1031" s="184"/>
      <c r="AK1031" s="184"/>
      <c r="AL1031" s="184"/>
      <c r="AM1031" s="184"/>
      <c r="AN1031" s="184"/>
      <c r="AO1031" s="185"/>
      <c r="AP1031" s="186"/>
      <c r="AQ1031" s="184"/>
      <c r="AR1031" s="184"/>
      <c r="AS1031" s="187"/>
      <c r="AT1031" s="188"/>
    </row>
    <row r="1032" customFormat="false" ht="12.75" hidden="false" customHeight="true" outlineLevel="0" collapsed="false">
      <c r="B1032" s="122"/>
      <c r="C1032" s="123"/>
      <c r="D1032" s="124"/>
      <c r="E1032" s="124"/>
      <c r="F1032" s="125"/>
      <c r="G1032" s="171"/>
      <c r="H1032" s="171"/>
      <c r="I1032" s="172"/>
      <c r="J1032" s="171"/>
      <c r="K1032" s="171"/>
      <c r="L1032" s="171"/>
      <c r="M1032" s="171"/>
      <c r="N1032" s="171"/>
      <c r="O1032" s="171"/>
      <c r="P1032" s="171"/>
      <c r="Q1032" s="171"/>
      <c r="R1032" s="171"/>
      <c r="S1032" s="171"/>
      <c r="T1032" s="173"/>
      <c r="U1032" s="174"/>
      <c r="V1032" s="175"/>
      <c r="W1032" s="175"/>
      <c r="X1032" s="175"/>
      <c r="Y1032" s="175"/>
      <c r="Z1032" s="175"/>
      <c r="AA1032" s="175"/>
      <c r="AB1032" s="175"/>
      <c r="AC1032" s="175"/>
      <c r="AD1032" s="175"/>
      <c r="AE1032" s="175"/>
      <c r="AF1032" s="175"/>
      <c r="AG1032" s="175"/>
      <c r="AH1032" s="175"/>
      <c r="AI1032" s="175"/>
      <c r="AJ1032" s="175"/>
      <c r="AK1032" s="175"/>
      <c r="AL1032" s="175"/>
      <c r="AM1032" s="175"/>
      <c r="AN1032" s="175"/>
      <c r="AO1032" s="176"/>
      <c r="AP1032" s="177"/>
      <c r="AQ1032" s="175"/>
      <c r="AR1032" s="175"/>
      <c r="AS1032" s="178"/>
      <c r="AT1032" s="179"/>
    </row>
    <row r="1033" customFormat="false" ht="12.75" hidden="false" customHeight="true" outlineLevel="0" collapsed="false">
      <c r="B1033" s="122"/>
      <c r="C1033" s="123"/>
      <c r="D1033" s="124"/>
      <c r="E1033" s="124"/>
      <c r="F1033" s="125"/>
      <c r="G1033" s="171"/>
      <c r="H1033" s="171"/>
      <c r="I1033" s="172"/>
      <c r="J1033" s="171"/>
      <c r="K1033" s="171"/>
      <c r="L1033" s="171"/>
      <c r="M1033" s="171"/>
      <c r="N1033" s="171"/>
      <c r="O1033" s="171"/>
      <c r="P1033" s="171"/>
      <c r="Q1033" s="171"/>
      <c r="R1033" s="171"/>
      <c r="S1033" s="171"/>
      <c r="T1033" s="173"/>
      <c r="U1033" s="174"/>
      <c r="V1033" s="175"/>
      <c r="W1033" s="175"/>
      <c r="X1033" s="175"/>
      <c r="Y1033" s="175"/>
      <c r="Z1033" s="175"/>
      <c r="AA1033" s="175"/>
      <c r="AB1033" s="175"/>
      <c r="AC1033" s="175"/>
      <c r="AD1033" s="175"/>
      <c r="AE1033" s="175"/>
      <c r="AF1033" s="175"/>
      <c r="AG1033" s="175"/>
      <c r="AH1033" s="175"/>
      <c r="AI1033" s="175"/>
      <c r="AJ1033" s="175"/>
      <c r="AK1033" s="175"/>
      <c r="AL1033" s="175"/>
      <c r="AM1033" s="175"/>
      <c r="AN1033" s="175"/>
      <c r="AO1033" s="176"/>
      <c r="AP1033" s="177"/>
      <c r="AQ1033" s="175"/>
      <c r="AR1033" s="175"/>
      <c r="AS1033" s="178"/>
      <c r="AT1033" s="179"/>
    </row>
    <row r="1034" customFormat="false" ht="12.75" hidden="false" customHeight="true" outlineLevel="0" collapsed="false">
      <c r="B1034" s="122"/>
      <c r="C1034" s="123"/>
      <c r="D1034" s="124"/>
      <c r="E1034" s="124"/>
      <c r="F1034" s="125"/>
      <c r="G1034" s="171"/>
      <c r="H1034" s="171"/>
      <c r="I1034" s="172"/>
      <c r="J1034" s="171"/>
      <c r="K1034" s="171"/>
      <c r="L1034" s="171"/>
      <c r="M1034" s="171"/>
      <c r="N1034" s="171"/>
      <c r="O1034" s="171"/>
      <c r="P1034" s="171"/>
      <c r="Q1034" s="171"/>
      <c r="R1034" s="171"/>
      <c r="S1034" s="171"/>
      <c r="T1034" s="173"/>
      <c r="U1034" s="174"/>
      <c r="V1034" s="175"/>
      <c r="W1034" s="175"/>
      <c r="X1034" s="175"/>
      <c r="Y1034" s="175"/>
      <c r="Z1034" s="175"/>
      <c r="AA1034" s="175"/>
      <c r="AB1034" s="175"/>
      <c r="AC1034" s="175"/>
      <c r="AD1034" s="175"/>
      <c r="AE1034" s="175"/>
      <c r="AF1034" s="175"/>
      <c r="AG1034" s="175"/>
      <c r="AH1034" s="175"/>
      <c r="AI1034" s="175"/>
      <c r="AJ1034" s="175"/>
      <c r="AK1034" s="175"/>
      <c r="AL1034" s="175"/>
      <c r="AM1034" s="175"/>
      <c r="AN1034" s="175"/>
      <c r="AO1034" s="176"/>
      <c r="AP1034" s="177"/>
      <c r="AQ1034" s="175"/>
      <c r="AR1034" s="175"/>
      <c r="AS1034" s="178"/>
      <c r="AT1034" s="179"/>
    </row>
    <row r="1035" customFormat="false" ht="12.75" hidden="false" customHeight="true" outlineLevel="0" collapsed="false">
      <c r="B1035" s="122"/>
      <c r="C1035" s="123"/>
      <c r="D1035" s="124"/>
      <c r="E1035" s="124"/>
      <c r="F1035" s="125"/>
      <c r="G1035" s="171"/>
      <c r="H1035" s="171"/>
      <c r="I1035" s="172"/>
      <c r="J1035" s="171"/>
      <c r="K1035" s="171"/>
      <c r="L1035" s="171"/>
      <c r="M1035" s="171"/>
      <c r="N1035" s="171"/>
      <c r="O1035" s="171"/>
      <c r="P1035" s="171"/>
      <c r="Q1035" s="171"/>
      <c r="R1035" s="171"/>
      <c r="S1035" s="171"/>
      <c r="T1035" s="173"/>
      <c r="U1035" s="174"/>
      <c r="V1035" s="175"/>
      <c r="W1035" s="175"/>
      <c r="X1035" s="175"/>
      <c r="Y1035" s="175"/>
      <c r="Z1035" s="175"/>
      <c r="AA1035" s="175"/>
      <c r="AB1035" s="175"/>
      <c r="AC1035" s="175"/>
      <c r="AD1035" s="175"/>
      <c r="AE1035" s="175"/>
      <c r="AF1035" s="175"/>
      <c r="AG1035" s="175"/>
      <c r="AH1035" s="175"/>
      <c r="AI1035" s="175"/>
      <c r="AJ1035" s="175"/>
      <c r="AK1035" s="175"/>
      <c r="AL1035" s="175"/>
      <c r="AM1035" s="175"/>
      <c r="AN1035" s="175"/>
      <c r="AO1035" s="176"/>
      <c r="AP1035" s="177"/>
      <c r="AQ1035" s="175"/>
      <c r="AR1035" s="175"/>
      <c r="AS1035" s="178"/>
      <c r="AT1035" s="179"/>
    </row>
    <row r="1036" customFormat="false" ht="12.75" hidden="false" customHeight="true" outlineLevel="0" collapsed="false">
      <c r="B1036" s="141"/>
      <c r="C1036" s="132"/>
      <c r="D1036" s="133"/>
      <c r="E1036" s="133"/>
      <c r="F1036" s="134"/>
      <c r="G1036" s="180"/>
      <c r="H1036" s="180"/>
      <c r="I1036" s="181"/>
      <c r="J1036" s="180"/>
      <c r="K1036" s="180"/>
      <c r="L1036" s="180"/>
      <c r="M1036" s="180"/>
      <c r="N1036" s="180"/>
      <c r="O1036" s="180"/>
      <c r="P1036" s="180"/>
      <c r="Q1036" s="180"/>
      <c r="R1036" s="180"/>
      <c r="S1036" s="180"/>
      <c r="T1036" s="182"/>
      <c r="U1036" s="183"/>
      <c r="V1036" s="184"/>
      <c r="W1036" s="184"/>
      <c r="X1036" s="184"/>
      <c r="Y1036" s="184"/>
      <c r="Z1036" s="184"/>
      <c r="AA1036" s="184"/>
      <c r="AB1036" s="184"/>
      <c r="AC1036" s="184"/>
      <c r="AD1036" s="184"/>
      <c r="AE1036" s="184"/>
      <c r="AF1036" s="184"/>
      <c r="AG1036" s="184"/>
      <c r="AH1036" s="184"/>
      <c r="AI1036" s="184"/>
      <c r="AJ1036" s="184"/>
      <c r="AK1036" s="184"/>
      <c r="AL1036" s="184"/>
      <c r="AM1036" s="184"/>
      <c r="AN1036" s="184"/>
      <c r="AO1036" s="185"/>
      <c r="AP1036" s="186"/>
      <c r="AQ1036" s="184"/>
      <c r="AR1036" s="184"/>
      <c r="AS1036" s="187"/>
      <c r="AT1036" s="188"/>
    </row>
    <row r="1037" customFormat="false" ht="12.75" hidden="false" customHeight="true" outlineLevel="0" collapsed="false">
      <c r="B1037" s="122"/>
      <c r="C1037" s="123"/>
      <c r="D1037" s="124"/>
      <c r="E1037" s="124"/>
      <c r="F1037" s="125"/>
      <c r="G1037" s="171"/>
      <c r="H1037" s="171"/>
      <c r="I1037" s="172"/>
      <c r="J1037" s="171"/>
      <c r="K1037" s="171"/>
      <c r="L1037" s="171"/>
      <c r="M1037" s="171"/>
      <c r="N1037" s="171"/>
      <c r="O1037" s="171"/>
      <c r="P1037" s="171"/>
      <c r="Q1037" s="171"/>
      <c r="R1037" s="171"/>
      <c r="S1037" s="171"/>
      <c r="T1037" s="173"/>
      <c r="U1037" s="174"/>
      <c r="V1037" s="175"/>
      <c r="W1037" s="175"/>
      <c r="X1037" s="175"/>
      <c r="Y1037" s="175"/>
      <c r="Z1037" s="175"/>
      <c r="AA1037" s="175"/>
      <c r="AB1037" s="175"/>
      <c r="AC1037" s="175"/>
      <c r="AD1037" s="175"/>
      <c r="AE1037" s="175"/>
      <c r="AF1037" s="175"/>
      <c r="AG1037" s="175"/>
      <c r="AH1037" s="175"/>
      <c r="AI1037" s="175"/>
      <c r="AJ1037" s="175"/>
      <c r="AK1037" s="175"/>
      <c r="AL1037" s="175"/>
      <c r="AM1037" s="175"/>
      <c r="AN1037" s="175"/>
      <c r="AO1037" s="176"/>
      <c r="AP1037" s="177"/>
      <c r="AQ1037" s="175"/>
      <c r="AR1037" s="175"/>
      <c r="AS1037" s="178"/>
      <c r="AT1037" s="179"/>
    </row>
    <row r="1038" customFormat="false" ht="12.75" hidden="false" customHeight="true" outlineLevel="0" collapsed="false">
      <c r="B1038" s="122"/>
      <c r="C1038" s="123"/>
      <c r="D1038" s="124"/>
      <c r="E1038" s="124"/>
      <c r="F1038" s="125"/>
      <c r="G1038" s="171"/>
      <c r="H1038" s="171"/>
      <c r="I1038" s="172"/>
      <c r="J1038" s="171"/>
      <c r="K1038" s="171"/>
      <c r="L1038" s="171"/>
      <c r="M1038" s="171"/>
      <c r="N1038" s="171"/>
      <c r="O1038" s="171"/>
      <c r="P1038" s="171"/>
      <c r="Q1038" s="171"/>
      <c r="R1038" s="171"/>
      <c r="S1038" s="171"/>
      <c r="T1038" s="173"/>
      <c r="U1038" s="174"/>
      <c r="V1038" s="175"/>
      <c r="W1038" s="175"/>
      <c r="X1038" s="175"/>
      <c r="Y1038" s="175"/>
      <c r="Z1038" s="175"/>
      <c r="AA1038" s="175"/>
      <c r="AB1038" s="175"/>
      <c r="AC1038" s="175"/>
      <c r="AD1038" s="175"/>
      <c r="AE1038" s="175"/>
      <c r="AF1038" s="175"/>
      <c r="AG1038" s="175"/>
      <c r="AH1038" s="175"/>
      <c r="AI1038" s="175"/>
      <c r="AJ1038" s="175"/>
      <c r="AK1038" s="175"/>
      <c r="AL1038" s="175"/>
      <c r="AM1038" s="175"/>
      <c r="AN1038" s="175"/>
      <c r="AO1038" s="176"/>
      <c r="AP1038" s="177"/>
      <c r="AQ1038" s="175"/>
      <c r="AR1038" s="175"/>
      <c r="AS1038" s="178"/>
      <c r="AT1038" s="179"/>
    </row>
    <row r="1039" customFormat="false" ht="12.75" hidden="false" customHeight="true" outlineLevel="0" collapsed="false">
      <c r="B1039" s="122"/>
      <c r="C1039" s="123"/>
      <c r="D1039" s="124"/>
      <c r="E1039" s="124"/>
      <c r="F1039" s="125"/>
      <c r="G1039" s="171"/>
      <c r="H1039" s="171"/>
      <c r="I1039" s="172"/>
      <c r="J1039" s="171"/>
      <c r="K1039" s="171"/>
      <c r="L1039" s="171"/>
      <c r="M1039" s="171"/>
      <c r="N1039" s="171"/>
      <c r="O1039" s="171"/>
      <c r="P1039" s="171"/>
      <c r="Q1039" s="171"/>
      <c r="R1039" s="171"/>
      <c r="S1039" s="171"/>
      <c r="T1039" s="173"/>
      <c r="U1039" s="174"/>
      <c r="V1039" s="175"/>
      <c r="W1039" s="175"/>
      <c r="X1039" s="175"/>
      <c r="Y1039" s="175"/>
      <c r="Z1039" s="175"/>
      <c r="AA1039" s="175"/>
      <c r="AB1039" s="175"/>
      <c r="AC1039" s="175"/>
      <c r="AD1039" s="175"/>
      <c r="AE1039" s="175"/>
      <c r="AF1039" s="175"/>
      <c r="AG1039" s="175"/>
      <c r="AH1039" s="175"/>
      <c r="AI1039" s="175"/>
      <c r="AJ1039" s="175"/>
      <c r="AK1039" s="175"/>
      <c r="AL1039" s="175"/>
      <c r="AM1039" s="175"/>
      <c r="AN1039" s="175"/>
      <c r="AO1039" s="176"/>
      <c r="AP1039" s="177"/>
      <c r="AQ1039" s="175"/>
      <c r="AR1039" s="175"/>
      <c r="AS1039" s="178"/>
      <c r="AT1039" s="179"/>
    </row>
    <row r="1040" customFormat="false" ht="12.75" hidden="false" customHeight="true" outlineLevel="0" collapsed="false">
      <c r="B1040" s="122"/>
      <c r="C1040" s="123"/>
      <c r="D1040" s="124"/>
      <c r="E1040" s="124"/>
      <c r="F1040" s="125"/>
      <c r="G1040" s="171"/>
      <c r="H1040" s="171"/>
      <c r="I1040" s="172"/>
      <c r="J1040" s="171"/>
      <c r="K1040" s="171"/>
      <c r="L1040" s="171"/>
      <c r="M1040" s="171"/>
      <c r="N1040" s="171"/>
      <c r="O1040" s="171"/>
      <c r="P1040" s="171"/>
      <c r="Q1040" s="171"/>
      <c r="R1040" s="171"/>
      <c r="S1040" s="171"/>
      <c r="T1040" s="173"/>
      <c r="U1040" s="174"/>
      <c r="V1040" s="175"/>
      <c r="W1040" s="175"/>
      <c r="X1040" s="175"/>
      <c r="Y1040" s="175"/>
      <c r="Z1040" s="175"/>
      <c r="AA1040" s="175"/>
      <c r="AB1040" s="175"/>
      <c r="AC1040" s="175"/>
      <c r="AD1040" s="175"/>
      <c r="AE1040" s="175"/>
      <c r="AF1040" s="175"/>
      <c r="AG1040" s="175"/>
      <c r="AH1040" s="175"/>
      <c r="AI1040" s="175"/>
      <c r="AJ1040" s="175"/>
      <c r="AK1040" s="175"/>
      <c r="AL1040" s="175"/>
      <c r="AM1040" s="175"/>
      <c r="AN1040" s="175"/>
      <c r="AO1040" s="176"/>
      <c r="AP1040" s="177"/>
      <c r="AQ1040" s="175"/>
      <c r="AR1040" s="175"/>
      <c r="AS1040" s="178"/>
      <c r="AT1040" s="179"/>
    </row>
    <row r="1041" customFormat="false" ht="12.75" hidden="false" customHeight="true" outlineLevel="0" collapsed="false">
      <c r="B1041" s="141"/>
      <c r="C1041" s="132"/>
      <c r="D1041" s="133"/>
      <c r="E1041" s="133"/>
      <c r="F1041" s="134"/>
      <c r="G1041" s="180"/>
      <c r="H1041" s="180"/>
      <c r="I1041" s="181"/>
      <c r="J1041" s="180"/>
      <c r="K1041" s="180"/>
      <c r="L1041" s="180"/>
      <c r="M1041" s="180"/>
      <c r="N1041" s="180"/>
      <c r="O1041" s="180"/>
      <c r="P1041" s="180"/>
      <c r="Q1041" s="180"/>
      <c r="R1041" s="180"/>
      <c r="S1041" s="180"/>
      <c r="T1041" s="182"/>
      <c r="U1041" s="183"/>
      <c r="V1041" s="184"/>
      <c r="W1041" s="184"/>
      <c r="X1041" s="184"/>
      <c r="Y1041" s="184"/>
      <c r="Z1041" s="184"/>
      <c r="AA1041" s="184"/>
      <c r="AB1041" s="184"/>
      <c r="AC1041" s="184"/>
      <c r="AD1041" s="184"/>
      <c r="AE1041" s="184"/>
      <c r="AF1041" s="184"/>
      <c r="AG1041" s="184"/>
      <c r="AH1041" s="184"/>
      <c r="AI1041" s="184"/>
      <c r="AJ1041" s="184"/>
      <c r="AK1041" s="184"/>
      <c r="AL1041" s="184"/>
      <c r="AM1041" s="184"/>
      <c r="AN1041" s="184"/>
      <c r="AO1041" s="185"/>
      <c r="AP1041" s="186"/>
      <c r="AQ1041" s="184"/>
      <c r="AR1041" s="184"/>
      <c r="AS1041" s="187"/>
      <c r="AT1041" s="188"/>
    </row>
    <row r="1042" customFormat="false" ht="12.75" hidden="false" customHeight="true" outlineLevel="0" collapsed="false">
      <c r="B1042" s="122"/>
      <c r="C1042" s="123"/>
      <c r="D1042" s="124"/>
      <c r="E1042" s="124"/>
      <c r="F1042" s="125"/>
      <c r="G1042" s="171"/>
      <c r="H1042" s="171"/>
      <c r="I1042" s="172"/>
      <c r="J1042" s="171"/>
      <c r="K1042" s="171"/>
      <c r="L1042" s="171"/>
      <c r="M1042" s="171"/>
      <c r="N1042" s="171"/>
      <c r="O1042" s="171"/>
      <c r="P1042" s="171"/>
      <c r="Q1042" s="171"/>
      <c r="R1042" s="171"/>
      <c r="S1042" s="171"/>
      <c r="T1042" s="173"/>
      <c r="U1042" s="174"/>
      <c r="V1042" s="175"/>
      <c r="W1042" s="175"/>
      <c r="X1042" s="175"/>
      <c r="Y1042" s="175"/>
      <c r="Z1042" s="175"/>
      <c r="AA1042" s="175"/>
      <c r="AB1042" s="175"/>
      <c r="AC1042" s="175"/>
      <c r="AD1042" s="175"/>
      <c r="AE1042" s="175"/>
      <c r="AF1042" s="175"/>
      <c r="AG1042" s="175"/>
      <c r="AH1042" s="175"/>
      <c r="AI1042" s="175"/>
      <c r="AJ1042" s="175"/>
      <c r="AK1042" s="175"/>
      <c r="AL1042" s="175"/>
      <c r="AM1042" s="175"/>
      <c r="AN1042" s="175"/>
      <c r="AO1042" s="176"/>
      <c r="AP1042" s="177"/>
      <c r="AQ1042" s="175"/>
      <c r="AR1042" s="175"/>
      <c r="AS1042" s="178"/>
      <c r="AT1042" s="179"/>
    </row>
    <row r="1043" customFormat="false" ht="12.75" hidden="false" customHeight="true" outlineLevel="0" collapsed="false">
      <c r="B1043" s="122"/>
      <c r="C1043" s="123"/>
      <c r="D1043" s="124"/>
      <c r="E1043" s="124"/>
      <c r="F1043" s="125"/>
      <c r="G1043" s="171"/>
      <c r="H1043" s="171"/>
      <c r="I1043" s="172"/>
      <c r="J1043" s="171"/>
      <c r="K1043" s="171"/>
      <c r="L1043" s="171"/>
      <c r="M1043" s="171"/>
      <c r="N1043" s="171"/>
      <c r="O1043" s="171"/>
      <c r="P1043" s="171"/>
      <c r="Q1043" s="171"/>
      <c r="R1043" s="171"/>
      <c r="S1043" s="171"/>
      <c r="T1043" s="173"/>
      <c r="U1043" s="174"/>
      <c r="V1043" s="175"/>
      <c r="W1043" s="175"/>
      <c r="X1043" s="175"/>
      <c r="Y1043" s="175"/>
      <c r="Z1043" s="175"/>
      <c r="AA1043" s="175"/>
      <c r="AB1043" s="175"/>
      <c r="AC1043" s="175"/>
      <c r="AD1043" s="175"/>
      <c r="AE1043" s="175"/>
      <c r="AF1043" s="175"/>
      <c r="AG1043" s="175"/>
      <c r="AH1043" s="175"/>
      <c r="AI1043" s="175"/>
      <c r="AJ1043" s="175"/>
      <c r="AK1043" s="175"/>
      <c r="AL1043" s="175"/>
      <c r="AM1043" s="175"/>
      <c r="AN1043" s="175"/>
      <c r="AO1043" s="176"/>
      <c r="AP1043" s="177"/>
      <c r="AQ1043" s="175"/>
      <c r="AR1043" s="175"/>
      <c r="AS1043" s="178"/>
      <c r="AT1043" s="179"/>
    </row>
    <row r="1044" customFormat="false" ht="12.75" hidden="false" customHeight="true" outlineLevel="0" collapsed="false">
      <c r="B1044" s="122"/>
      <c r="C1044" s="123"/>
      <c r="D1044" s="124"/>
      <c r="E1044" s="124"/>
      <c r="F1044" s="125"/>
      <c r="G1044" s="171"/>
      <c r="H1044" s="171"/>
      <c r="I1044" s="172"/>
      <c r="J1044" s="171"/>
      <c r="K1044" s="171"/>
      <c r="L1044" s="171"/>
      <c r="M1044" s="171"/>
      <c r="N1044" s="171"/>
      <c r="O1044" s="171"/>
      <c r="P1044" s="171"/>
      <c r="Q1044" s="171"/>
      <c r="R1044" s="171"/>
      <c r="S1044" s="171"/>
      <c r="T1044" s="173"/>
      <c r="U1044" s="174"/>
      <c r="V1044" s="175"/>
      <c r="W1044" s="175"/>
      <c r="X1044" s="175"/>
      <c r="Y1044" s="175"/>
      <c r="Z1044" s="175"/>
      <c r="AA1044" s="175"/>
      <c r="AB1044" s="175"/>
      <c r="AC1044" s="175"/>
      <c r="AD1044" s="175"/>
      <c r="AE1044" s="175"/>
      <c r="AF1044" s="175"/>
      <c r="AG1044" s="175"/>
      <c r="AH1044" s="175"/>
      <c r="AI1044" s="175"/>
      <c r="AJ1044" s="175"/>
      <c r="AK1044" s="175"/>
      <c r="AL1044" s="175"/>
      <c r="AM1044" s="175"/>
      <c r="AN1044" s="175"/>
      <c r="AO1044" s="176"/>
      <c r="AP1044" s="177"/>
      <c r="AQ1044" s="175"/>
      <c r="AR1044" s="175"/>
      <c r="AS1044" s="178"/>
      <c r="AT1044" s="179"/>
    </row>
    <row r="1045" customFormat="false" ht="12.75" hidden="false" customHeight="true" outlineLevel="0" collapsed="false">
      <c r="B1045" s="141"/>
      <c r="C1045" s="132"/>
      <c r="D1045" s="133"/>
      <c r="E1045" s="133"/>
      <c r="F1045" s="134"/>
      <c r="G1045" s="180"/>
      <c r="H1045" s="180"/>
      <c r="I1045" s="181"/>
      <c r="J1045" s="180"/>
      <c r="K1045" s="180"/>
      <c r="L1045" s="180"/>
      <c r="M1045" s="180"/>
      <c r="N1045" s="180"/>
      <c r="O1045" s="180"/>
      <c r="P1045" s="180"/>
      <c r="Q1045" s="180"/>
      <c r="R1045" s="180"/>
      <c r="S1045" s="180"/>
      <c r="T1045" s="182"/>
      <c r="U1045" s="183"/>
      <c r="V1045" s="184"/>
      <c r="W1045" s="184"/>
      <c r="X1045" s="184"/>
      <c r="Y1045" s="184"/>
      <c r="Z1045" s="184"/>
      <c r="AA1045" s="184"/>
      <c r="AB1045" s="184"/>
      <c r="AC1045" s="184"/>
      <c r="AD1045" s="184"/>
      <c r="AE1045" s="184"/>
      <c r="AF1045" s="184"/>
      <c r="AG1045" s="184"/>
      <c r="AH1045" s="184"/>
      <c r="AI1045" s="184"/>
      <c r="AJ1045" s="184"/>
      <c r="AK1045" s="184"/>
      <c r="AL1045" s="184"/>
      <c r="AM1045" s="184"/>
      <c r="AN1045" s="184"/>
      <c r="AO1045" s="185"/>
      <c r="AP1045" s="186"/>
      <c r="AQ1045" s="184"/>
      <c r="AR1045" s="184"/>
      <c r="AS1045" s="187"/>
      <c r="AT1045" s="188"/>
    </row>
    <row r="1046" customFormat="false" ht="12.75" hidden="false" customHeight="true" outlineLevel="0" collapsed="false">
      <c r="B1046" s="122"/>
      <c r="C1046" s="123"/>
      <c r="D1046" s="124"/>
      <c r="E1046" s="124"/>
      <c r="F1046" s="125"/>
      <c r="G1046" s="171"/>
      <c r="H1046" s="171"/>
      <c r="I1046" s="172"/>
      <c r="J1046" s="171"/>
      <c r="K1046" s="171"/>
      <c r="L1046" s="171"/>
      <c r="M1046" s="171"/>
      <c r="N1046" s="171"/>
      <c r="O1046" s="171"/>
      <c r="P1046" s="171"/>
      <c r="Q1046" s="171"/>
      <c r="R1046" s="171"/>
      <c r="S1046" s="171"/>
      <c r="T1046" s="173"/>
      <c r="U1046" s="174"/>
      <c r="V1046" s="175"/>
      <c r="W1046" s="175"/>
      <c r="X1046" s="175"/>
      <c r="Y1046" s="175"/>
      <c r="Z1046" s="175"/>
      <c r="AA1046" s="175"/>
      <c r="AB1046" s="175"/>
      <c r="AC1046" s="175"/>
      <c r="AD1046" s="175"/>
      <c r="AE1046" s="175"/>
      <c r="AF1046" s="175"/>
      <c r="AG1046" s="175"/>
      <c r="AH1046" s="175"/>
      <c r="AI1046" s="175"/>
      <c r="AJ1046" s="175"/>
      <c r="AK1046" s="175"/>
      <c r="AL1046" s="175"/>
      <c r="AM1046" s="175"/>
      <c r="AN1046" s="175"/>
      <c r="AO1046" s="176"/>
      <c r="AP1046" s="177"/>
      <c r="AQ1046" s="175"/>
      <c r="AR1046" s="175"/>
      <c r="AS1046" s="178"/>
      <c r="AT1046" s="179"/>
    </row>
    <row r="1047" customFormat="false" ht="12.75" hidden="false" customHeight="true" outlineLevel="0" collapsed="false">
      <c r="B1047" s="122"/>
      <c r="C1047" s="123"/>
      <c r="D1047" s="124"/>
      <c r="E1047" s="124"/>
      <c r="F1047" s="125"/>
      <c r="G1047" s="171"/>
      <c r="H1047" s="171"/>
      <c r="I1047" s="172"/>
      <c r="J1047" s="171"/>
      <c r="K1047" s="171"/>
      <c r="L1047" s="171"/>
      <c r="M1047" s="171"/>
      <c r="N1047" s="171"/>
      <c r="O1047" s="171"/>
      <c r="P1047" s="171"/>
      <c r="Q1047" s="171"/>
      <c r="R1047" s="171"/>
      <c r="S1047" s="171"/>
      <c r="T1047" s="173"/>
      <c r="U1047" s="174"/>
      <c r="V1047" s="175"/>
      <c r="W1047" s="175"/>
      <c r="X1047" s="175"/>
      <c r="Y1047" s="175"/>
      <c r="Z1047" s="175"/>
      <c r="AA1047" s="175"/>
      <c r="AB1047" s="175"/>
      <c r="AC1047" s="175"/>
      <c r="AD1047" s="175"/>
      <c r="AE1047" s="175"/>
      <c r="AF1047" s="175"/>
      <c r="AG1047" s="175"/>
      <c r="AH1047" s="175"/>
      <c r="AI1047" s="175"/>
      <c r="AJ1047" s="175"/>
      <c r="AK1047" s="175"/>
      <c r="AL1047" s="175"/>
      <c r="AM1047" s="175"/>
      <c r="AN1047" s="175"/>
      <c r="AO1047" s="176"/>
      <c r="AP1047" s="177"/>
      <c r="AQ1047" s="175"/>
      <c r="AR1047" s="175"/>
      <c r="AS1047" s="178"/>
      <c r="AT1047" s="179"/>
    </row>
    <row r="1048" customFormat="false" ht="12.75" hidden="false" customHeight="true" outlineLevel="0" collapsed="false">
      <c r="B1048" s="122"/>
      <c r="C1048" s="123"/>
      <c r="D1048" s="124"/>
      <c r="E1048" s="124"/>
      <c r="F1048" s="125"/>
      <c r="G1048" s="171"/>
      <c r="H1048" s="171"/>
      <c r="I1048" s="172"/>
      <c r="J1048" s="171"/>
      <c r="K1048" s="171"/>
      <c r="L1048" s="171"/>
      <c r="M1048" s="171"/>
      <c r="N1048" s="171"/>
      <c r="O1048" s="171"/>
      <c r="P1048" s="171"/>
      <c r="Q1048" s="171"/>
      <c r="R1048" s="171"/>
      <c r="S1048" s="171"/>
      <c r="T1048" s="173"/>
      <c r="U1048" s="174"/>
      <c r="V1048" s="175"/>
      <c r="W1048" s="175"/>
      <c r="X1048" s="175"/>
      <c r="Y1048" s="175"/>
      <c r="Z1048" s="175"/>
      <c r="AA1048" s="175"/>
      <c r="AB1048" s="175"/>
      <c r="AC1048" s="175"/>
      <c r="AD1048" s="175"/>
      <c r="AE1048" s="175"/>
      <c r="AF1048" s="175"/>
      <c r="AG1048" s="175"/>
      <c r="AH1048" s="175"/>
      <c r="AI1048" s="175"/>
      <c r="AJ1048" s="175"/>
      <c r="AK1048" s="175"/>
      <c r="AL1048" s="175"/>
      <c r="AM1048" s="175"/>
      <c r="AN1048" s="175"/>
      <c r="AO1048" s="176"/>
      <c r="AP1048" s="177"/>
      <c r="AQ1048" s="175"/>
      <c r="AR1048" s="175"/>
      <c r="AS1048" s="178"/>
      <c r="AT1048" s="179"/>
    </row>
    <row r="1049" customFormat="false" ht="12.75" hidden="false" customHeight="true" outlineLevel="0" collapsed="false">
      <c r="B1049" s="122"/>
      <c r="C1049" s="123"/>
      <c r="D1049" s="124"/>
      <c r="E1049" s="124"/>
      <c r="F1049" s="125"/>
      <c r="G1049" s="171"/>
      <c r="H1049" s="171"/>
      <c r="I1049" s="172"/>
      <c r="J1049" s="171"/>
      <c r="K1049" s="171"/>
      <c r="L1049" s="171"/>
      <c r="M1049" s="171"/>
      <c r="N1049" s="171"/>
      <c r="O1049" s="171"/>
      <c r="P1049" s="171"/>
      <c r="Q1049" s="171"/>
      <c r="R1049" s="171"/>
      <c r="S1049" s="171"/>
      <c r="T1049" s="173"/>
      <c r="U1049" s="174"/>
      <c r="V1049" s="175"/>
      <c r="W1049" s="175"/>
      <c r="X1049" s="175"/>
      <c r="Y1049" s="175"/>
      <c r="Z1049" s="175"/>
      <c r="AA1049" s="175"/>
      <c r="AB1049" s="175"/>
      <c r="AC1049" s="175"/>
      <c r="AD1049" s="175"/>
      <c r="AE1049" s="175"/>
      <c r="AF1049" s="175"/>
      <c r="AG1049" s="175"/>
      <c r="AH1049" s="175"/>
      <c r="AI1049" s="175"/>
      <c r="AJ1049" s="175"/>
      <c r="AK1049" s="175"/>
      <c r="AL1049" s="175"/>
      <c r="AM1049" s="175"/>
      <c r="AN1049" s="175"/>
      <c r="AO1049" s="176"/>
      <c r="AP1049" s="177"/>
      <c r="AQ1049" s="175"/>
      <c r="AR1049" s="175"/>
      <c r="AS1049" s="178"/>
      <c r="AT1049" s="179"/>
    </row>
    <row r="1050" customFormat="false" ht="12.75" hidden="false" customHeight="true" outlineLevel="0" collapsed="false">
      <c r="B1050" s="141"/>
      <c r="C1050" s="132"/>
      <c r="D1050" s="133"/>
      <c r="E1050" s="133"/>
      <c r="F1050" s="134"/>
      <c r="G1050" s="180"/>
      <c r="H1050" s="180"/>
      <c r="I1050" s="181"/>
      <c r="J1050" s="180"/>
      <c r="K1050" s="180"/>
      <c r="L1050" s="180"/>
      <c r="M1050" s="180"/>
      <c r="N1050" s="180"/>
      <c r="O1050" s="180"/>
      <c r="P1050" s="180"/>
      <c r="Q1050" s="180"/>
      <c r="R1050" s="180"/>
      <c r="S1050" s="180"/>
      <c r="T1050" s="182"/>
      <c r="U1050" s="183"/>
      <c r="V1050" s="184"/>
      <c r="W1050" s="184"/>
      <c r="X1050" s="184"/>
      <c r="Y1050" s="184"/>
      <c r="Z1050" s="184"/>
      <c r="AA1050" s="184"/>
      <c r="AB1050" s="184"/>
      <c r="AC1050" s="184"/>
      <c r="AD1050" s="184"/>
      <c r="AE1050" s="184"/>
      <c r="AF1050" s="184"/>
      <c r="AG1050" s="184"/>
      <c r="AH1050" s="184"/>
      <c r="AI1050" s="184"/>
      <c r="AJ1050" s="184"/>
      <c r="AK1050" s="184"/>
      <c r="AL1050" s="184"/>
      <c r="AM1050" s="184"/>
      <c r="AN1050" s="184"/>
      <c r="AO1050" s="185"/>
      <c r="AP1050" s="186"/>
      <c r="AQ1050" s="184"/>
      <c r="AR1050" s="184"/>
      <c r="AS1050" s="187"/>
      <c r="AT1050" s="188"/>
    </row>
    <row r="1051" customFormat="false" ht="12.75" hidden="false" customHeight="true" outlineLevel="0" collapsed="false">
      <c r="B1051" s="122"/>
      <c r="C1051" s="123"/>
      <c r="D1051" s="124"/>
      <c r="E1051" s="124"/>
      <c r="F1051" s="125"/>
      <c r="G1051" s="171"/>
      <c r="H1051" s="171"/>
      <c r="I1051" s="172"/>
      <c r="J1051" s="171"/>
      <c r="K1051" s="171"/>
      <c r="L1051" s="171"/>
      <c r="M1051" s="171"/>
      <c r="N1051" s="171"/>
      <c r="O1051" s="171"/>
      <c r="P1051" s="171"/>
      <c r="Q1051" s="171"/>
      <c r="R1051" s="171"/>
      <c r="S1051" s="171"/>
      <c r="T1051" s="173"/>
      <c r="U1051" s="174"/>
      <c r="V1051" s="175"/>
      <c r="W1051" s="175"/>
      <c r="X1051" s="175"/>
      <c r="Y1051" s="175"/>
      <c r="Z1051" s="175"/>
      <c r="AA1051" s="175"/>
      <c r="AB1051" s="175"/>
      <c r="AC1051" s="175"/>
      <c r="AD1051" s="175"/>
      <c r="AE1051" s="175"/>
      <c r="AF1051" s="175"/>
      <c r="AG1051" s="175"/>
      <c r="AH1051" s="175"/>
      <c r="AI1051" s="175"/>
      <c r="AJ1051" s="175"/>
      <c r="AK1051" s="175"/>
      <c r="AL1051" s="175"/>
      <c r="AM1051" s="175"/>
      <c r="AN1051" s="175"/>
      <c r="AO1051" s="176"/>
      <c r="AP1051" s="177"/>
      <c r="AQ1051" s="175"/>
      <c r="AR1051" s="175"/>
      <c r="AS1051" s="178"/>
      <c r="AT1051" s="179"/>
    </row>
    <row r="1052" customFormat="false" ht="12.75" hidden="false" customHeight="true" outlineLevel="0" collapsed="false">
      <c r="B1052" s="122"/>
      <c r="C1052" s="123"/>
      <c r="D1052" s="124"/>
      <c r="E1052" s="124"/>
      <c r="F1052" s="125"/>
      <c r="G1052" s="171"/>
      <c r="H1052" s="171"/>
      <c r="I1052" s="172"/>
      <c r="J1052" s="171"/>
      <c r="K1052" s="171"/>
      <c r="L1052" s="171"/>
      <c r="M1052" s="171"/>
      <c r="N1052" s="171"/>
      <c r="O1052" s="171"/>
      <c r="P1052" s="171"/>
      <c r="Q1052" s="171"/>
      <c r="R1052" s="171"/>
      <c r="S1052" s="171"/>
      <c r="T1052" s="173"/>
      <c r="U1052" s="174"/>
      <c r="V1052" s="175"/>
      <c r="W1052" s="175"/>
      <c r="X1052" s="175"/>
      <c r="Y1052" s="175"/>
      <c r="Z1052" s="175"/>
      <c r="AA1052" s="175"/>
      <c r="AB1052" s="175"/>
      <c r="AC1052" s="175"/>
      <c r="AD1052" s="175"/>
      <c r="AE1052" s="175"/>
      <c r="AF1052" s="175"/>
      <c r="AG1052" s="175"/>
      <c r="AH1052" s="175"/>
      <c r="AI1052" s="175"/>
      <c r="AJ1052" s="175"/>
      <c r="AK1052" s="175"/>
      <c r="AL1052" s="175"/>
      <c r="AM1052" s="175"/>
      <c r="AN1052" s="175"/>
      <c r="AO1052" s="176"/>
      <c r="AP1052" s="177"/>
      <c r="AQ1052" s="175"/>
      <c r="AR1052" s="175"/>
      <c r="AS1052" s="178"/>
      <c r="AT1052" s="179"/>
    </row>
    <row r="1053" customFormat="false" ht="12.75" hidden="false" customHeight="true" outlineLevel="0" collapsed="false">
      <c r="B1053" s="122"/>
      <c r="C1053" s="123"/>
      <c r="D1053" s="124"/>
      <c r="E1053" s="124"/>
      <c r="F1053" s="125"/>
      <c r="G1053" s="171"/>
      <c r="H1053" s="171"/>
      <c r="I1053" s="172"/>
      <c r="J1053" s="171"/>
      <c r="K1053" s="171"/>
      <c r="L1053" s="171"/>
      <c r="M1053" s="171"/>
      <c r="N1053" s="171"/>
      <c r="O1053" s="171"/>
      <c r="P1053" s="171"/>
      <c r="Q1053" s="171"/>
      <c r="R1053" s="171"/>
      <c r="S1053" s="171"/>
      <c r="T1053" s="173"/>
      <c r="U1053" s="174"/>
      <c r="V1053" s="175"/>
      <c r="W1053" s="175"/>
      <c r="X1053" s="175"/>
      <c r="Y1053" s="175"/>
      <c r="Z1053" s="175"/>
      <c r="AA1053" s="175"/>
      <c r="AB1053" s="175"/>
      <c r="AC1053" s="175"/>
      <c r="AD1053" s="175"/>
      <c r="AE1053" s="175"/>
      <c r="AF1053" s="175"/>
      <c r="AG1053" s="175"/>
      <c r="AH1053" s="175"/>
      <c r="AI1053" s="175"/>
      <c r="AJ1053" s="175"/>
      <c r="AK1053" s="175"/>
      <c r="AL1053" s="175"/>
      <c r="AM1053" s="175"/>
      <c r="AN1053" s="175"/>
      <c r="AO1053" s="176"/>
      <c r="AP1053" s="177"/>
      <c r="AQ1053" s="175"/>
      <c r="AR1053" s="175"/>
      <c r="AS1053" s="178"/>
      <c r="AT1053" s="179"/>
    </row>
    <row r="1054" customFormat="false" ht="12.75" hidden="false" customHeight="true" outlineLevel="0" collapsed="false">
      <c r="B1054" s="122"/>
      <c r="C1054" s="123"/>
      <c r="D1054" s="124"/>
      <c r="E1054" s="124"/>
      <c r="F1054" s="125"/>
      <c r="G1054" s="171"/>
      <c r="H1054" s="171"/>
      <c r="I1054" s="172"/>
      <c r="J1054" s="171"/>
      <c r="K1054" s="171"/>
      <c r="L1054" s="171"/>
      <c r="M1054" s="171"/>
      <c r="N1054" s="171"/>
      <c r="O1054" s="171"/>
      <c r="P1054" s="171"/>
      <c r="Q1054" s="171"/>
      <c r="R1054" s="171"/>
      <c r="S1054" s="171"/>
      <c r="T1054" s="173"/>
      <c r="U1054" s="174"/>
      <c r="V1054" s="175"/>
      <c r="W1054" s="175"/>
      <c r="X1054" s="175"/>
      <c r="Y1054" s="175"/>
      <c r="Z1054" s="175"/>
      <c r="AA1054" s="175"/>
      <c r="AB1054" s="175"/>
      <c r="AC1054" s="175"/>
      <c r="AD1054" s="175"/>
      <c r="AE1054" s="175"/>
      <c r="AF1054" s="175"/>
      <c r="AG1054" s="175"/>
      <c r="AH1054" s="175"/>
      <c r="AI1054" s="175"/>
      <c r="AJ1054" s="175"/>
      <c r="AK1054" s="175"/>
      <c r="AL1054" s="175"/>
      <c r="AM1054" s="175"/>
      <c r="AN1054" s="175"/>
      <c r="AO1054" s="176"/>
      <c r="AP1054" s="177"/>
      <c r="AQ1054" s="175"/>
      <c r="AR1054" s="175"/>
      <c r="AS1054" s="178"/>
      <c r="AT1054" s="179"/>
    </row>
    <row r="1055" customFormat="false" ht="12.75" hidden="false" customHeight="true" outlineLevel="0" collapsed="false">
      <c r="B1055" s="141"/>
      <c r="C1055" s="132"/>
      <c r="D1055" s="133"/>
      <c r="E1055" s="133"/>
      <c r="F1055" s="134"/>
      <c r="G1055" s="180"/>
      <c r="H1055" s="180"/>
      <c r="I1055" s="181"/>
      <c r="J1055" s="180"/>
      <c r="K1055" s="180"/>
      <c r="L1055" s="180"/>
      <c r="M1055" s="180"/>
      <c r="N1055" s="180"/>
      <c r="O1055" s="180"/>
      <c r="P1055" s="180"/>
      <c r="Q1055" s="180"/>
      <c r="R1055" s="180"/>
      <c r="S1055" s="180"/>
      <c r="T1055" s="182"/>
      <c r="U1055" s="183"/>
      <c r="V1055" s="184"/>
      <c r="W1055" s="184"/>
      <c r="X1055" s="184"/>
      <c r="Y1055" s="184"/>
      <c r="Z1055" s="184"/>
      <c r="AA1055" s="184"/>
      <c r="AB1055" s="184"/>
      <c r="AC1055" s="184"/>
      <c r="AD1055" s="184"/>
      <c r="AE1055" s="184"/>
      <c r="AF1055" s="184"/>
      <c r="AG1055" s="184"/>
      <c r="AH1055" s="184"/>
      <c r="AI1055" s="184"/>
      <c r="AJ1055" s="184"/>
      <c r="AK1055" s="184"/>
      <c r="AL1055" s="184"/>
      <c r="AM1055" s="184"/>
      <c r="AN1055" s="184"/>
      <c r="AO1055" s="185"/>
      <c r="AP1055" s="186"/>
      <c r="AQ1055" s="184"/>
      <c r="AR1055" s="184"/>
      <c r="AS1055" s="187"/>
      <c r="AT1055" s="188"/>
    </row>
    <row r="1056" customFormat="false" ht="12.75" hidden="false" customHeight="true" outlineLevel="0" collapsed="false">
      <c r="B1056" s="122"/>
      <c r="C1056" s="123"/>
      <c r="D1056" s="124"/>
      <c r="E1056" s="124"/>
      <c r="F1056" s="125"/>
      <c r="G1056" s="171"/>
      <c r="H1056" s="171"/>
      <c r="I1056" s="172"/>
      <c r="J1056" s="171"/>
      <c r="K1056" s="171"/>
      <c r="L1056" s="171"/>
      <c r="M1056" s="171"/>
      <c r="N1056" s="171"/>
      <c r="O1056" s="171"/>
      <c r="P1056" s="171"/>
      <c r="Q1056" s="171"/>
      <c r="R1056" s="171"/>
      <c r="S1056" s="171"/>
      <c r="T1056" s="173"/>
      <c r="U1056" s="174"/>
      <c r="V1056" s="175"/>
      <c r="W1056" s="175"/>
      <c r="X1056" s="175"/>
      <c r="Y1056" s="175"/>
      <c r="Z1056" s="175"/>
      <c r="AA1056" s="175"/>
      <c r="AB1056" s="175"/>
      <c r="AC1056" s="175"/>
      <c r="AD1056" s="175"/>
      <c r="AE1056" s="175"/>
      <c r="AF1056" s="175"/>
      <c r="AG1056" s="175"/>
      <c r="AH1056" s="175"/>
      <c r="AI1056" s="175"/>
      <c r="AJ1056" s="175"/>
      <c r="AK1056" s="175"/>
      <c r="AL1056" s="175"/>
      <c r="AM1056" s="175"/>
      <c r="AN1056" s="175"/>
      <c r="AO1056" s="176"/>
      <c r="AP1056" s="177"/>
      <c r="AQ1056" s="175"/>
      <c r="AR1056" s="175"/>
      <c r="AS1056" s="178"/>
      <c r="AT1056" s="179"/>
    </row>
    <row r="1057" customFormat="false" ht="12.75" hidden="false" customHeight="true" outlineLevel="0" collapsed="false">
      <c r="B1057" s="122"/>
      <c r="C1057" s="123"/>
      <c r="D1057" s="124"/>
      <c r="E1057" s="124"/>
      <c r="F1057" s="125"/>
      <c r="G1057" s="171"/>
      <c r="H1057" s="171"/>
      <c r="I1057" s="172"/>
      <c r="J1057" s="171"/>
      <c r="K1057" s="171"/>
      <c r="L1057" s="171"/>
      <c r="M1057" s="171"/>
      <c r="N1057" s="171"/>
      <c r="O1057" s="171"/>
      <c r="P1057" s="171"/>
      <c r="Q1057" s="171"/>
      <c r="R1057" s="171"/>
      <c r="S1057" s="171"/>
      <c r="T1057" s="173"/>
      <c r="U1057" s="174"/>
      <c r="V1057" s="175"/>
      <c r="W1057" s="175"/>
      <c r="X1057" s="175"/>
      <c r="Y1057" s="175"/>
      <c r="Z1057" s="175"/>
      <c r="AA1057" s="175"/>
      <c r="AB1057" s="175"/>
      <c r="AC1057" s="175"/>
      <c r="AD1057" s="175"/>
      <c r="AE1057" s="175"/>
      <c r="AF1057" s="175"/>
      <c r="AG1057" s="175"/>
      <c r="AH1057" s="175"/>
      <c r="AI1057" s="175"/>
      <c r="AJ1057" s="175"/>
      <c r="AK1057" s="175"/>
      <c r="AL1057" s="175"/>
      <c r="AM1057" s="175"/>
      <c r="AN1057" s="175"/>
      <c r="AO1057" s="176"/>
      <c r="AP1057" s="177"/>
      <c r="AQ1057" s="175"/>
      <c r="AR1057" s="175"/>
      <c r="AS1057" s="178"/>
      <c r="AT1057" s="179"/>
    </row>
    <row r="1058" customFormat="false" ht="12.75" hidden="false" customHeight="true" outlineLevel="0" collapsed="false">
      <c r="B1058" s="122"/>
      <c r="C1058" s="123"/>
      <c r="D1058" s="124"/>
      <c r="E1058" s="124"/>
      <c r="F1058" s="125"/>
      <c r="G1058" s="171"/>
      <c r="H1058" s="171"/>
      <c r="I1058" s="172"/>
      <c r="J1058" s="171"/>
      <c r="K1058" s="171"/>
      <c r="L1058" s="171"/>
      <c r="M1058" s="171"/>
      <c r="N1058" s="171"/>
      <c r="O1058" s="171"/>
      <c r="P1058" s="171"/>
      <c r="Q1058" s="171"/>
      <c r="R1058" s="171"/>
      <c r="S1058" s="171"/>
      <c r="T1058" s="173"/>
      <c r="U1058" s="174"/>
      <c r="V1058" s="175"/>
      <c r="W1058" s="175"/>
      <c r="X1058" s="175"/>
      <c r="Y1058" s="175"/>
      <c r="Z1058" s="175"/>
      <c r="AA1058" s="175"/>
      <c r="AB1058" s="175"/>
      <c r="AC1058" s="175"/>
      <c r="AD1058" s="175"/>
      <c r="AE1058" s="175"/>
      <c r="AF1058" s="175"/>
      <c r="AG1058" s="175"/>
      <c r="AH1058" s="175"/>
      <c r="AI1058" s="175"/>
      <c r="AJ1058" s="175"/>
      <c r="AK1058" s="175"/>
      <c r="AL1058" s="175"/>
      <c r="AM1058" s="175"/>
      <c r="AN1058" s="175"/>
      <c r="AO1058" s="176"/>
      <c r="AP1058" s="177"/>
      <c r="AQ1058" s="175"/>
      <c r="AR1058" s="175"/>
      <c r="AS1058" s="178"/>
      <c r="AT1058" s="179"/>
    </row>
    <row r="1059" customFormat="false" ht="12.75" hidden="false" customHeight="true" outlineLevel="0" collapsed="false">
      <c r="B1059" s="122"/>
      <c r="C1059" s="123"/>
      <c r="D1059" s="124"/>
      <c r="E1059" s="124"/>
      <c r="F1059" s="125"/>
      <c r="G1059" s="171"/>
      <c r="H1059" s="171"/>
      <c r="I1059" s="172"/>
      <c r="J1059" s="171"/>
      <c r="K1059" s="171"/>
      <c r="L1059" s="171"/>
      <c r="M1059" s="171"/>
      <c r="N1059" s="171"/>
      <c r="O1059" s="171"/>
      <c r="P1059" s="171"/>
      <c r="Q1059" s="171"/>
      <c r="R1059" s="171"/>
      <c r="S1059" s="171"/>
      <c r="T1059" s="173"/>
      <c r="U1059" s="174"/>
      <c r="V1059" s="175"/>
      <c r="W1059" s="175"/>
      <c r="X1059" s="175"/>
      <c r="Y1059" s="175"/>
      <c r="Z1059" s="175"/>
      <c r="AA1059" s="175"/>
      <c r="AB1059" s="175"/>
      <c r="AC1059" s="175"/>
      <c r="AD1059" s="175"/>
      <c r="AE1059" s="175"/>
      <c r="AF1059" s="175"/>
      <c r="AG1059" s="175"/>
      <c r="AH1059" s="175"/>
      <c r="AI1059" s="175"/>
      <c r="AJ1059" s="175"/>
      <c r="AK1059" s="175"/>
      <c r="AL1059" s="175"/>
      <c r="AM1059" s="175"/>
      <c r="AN1059" s="175"/>
      <c r="AO1059" s="176"/>
      <c r="AP1059" s="177"/>
      <c r="AQ1059" s="175"/>
      <c r="AR1059" s="175"/>
      <c r="AS1059" s="178"/>
      <c r="AT1059" s="179"/>
    </row>
    <row r="1060" customFormat="false" ht="12.75" hidden="false" customHeight="true" outlineLevel="0" collapsed="false">
      <c r="B1060" s="141"/>
      <c r="C1060" s="132"/>
      <c r="D1060" s="133"/>
      <c r="E1060" s="133"/>
      <c r="F1060" s="134"/>
      <c r="G1060" s="180"/>
      <c r="H1060" s="180"/>
      <c r="I1060" s="181"/>
      <c r="J1060" s="180"/>
      <c r="K1060" s="180"/>
      <c r="L1060" s="180"/>
      <c r="M1060" s="180"/>
      <c r="N1060" s="180"/>
      <c r="O1060" s="180"/>
      <c r="P1060" s="180"/>
      <c r="Q1060" s="180"/>
      <c r="R1060" s="180"/>
      <c r="S1060" s="180"/>
      <c r="T1060" s="182"/>
      <c r="U1060" s="183"/>
      <c r="V1060" s="184"/>
      <c r="W1060" s="184"/>
      <c r="X1060" s="184"/>
      <c r="Y1060" s="184"/>
      <c r="Z1060" s="184"/>
      <c r="AA1060" s="184"/>
      <c r="AB1060" s="184"/>
      <c r="AC1060" s="184"/>
      <c r="AD1060" s="184"/>
      <c r="AE1060" s="184"/>
      <c r="AF1060" s="184"/>
      <c r="AG1060" s="184"/>
      <c r="AH1060" s="184"/>
      <c r="AI1060" s="184"/>
      <c r="AJ1060" s="184"/>
      <c r="AK1060" s="184"/>
      <c r="AL1060" s="184"/>
      <c r="AM1060" s="184"/>
      <c r="AN1060" s="184"/>
      <c r="AO1060" s="185"/>
      <c r="AP1060" s="186"/>
      <c r="AQ1060" s="184"/>
      <c r="AR1060" s="184"/>
      <c r="AS1060" s="187"/>
      <c r="AT1060" s="188"/>
    </row>
    <row r="1061" customFormat="false" ht="12.75" hidden="false" customHeight="true" outlineLevel="0" collapsed="false">
      <c r="B1061" s="122"/>
      <c r="C1061" s="123"/>
      <c r="D1061" s="124"/>
      <c r="E1061" s="124"/>
      <c r="F1061" s="125"/>
      <c r="G1061" s="171"/>
      <c r="H1061" s="171"/>
      <c r="I1061" s="172"/>
      <c r="J1061" s="171"/>
      <c r="K1061" s="171"/>
      <c r="L1061" s="171"/>
      <c r="M1061" s="171"/>
      <c r="N1061" s="171"/>
      <c r="O1061" s="171"/>
      <c r="P1061" s="171"/>
      <c r="Q1061" s="171"/>
      <c r="R1061" s="171"/>
      <c r="S1061" s="171"/>
      <c r="T1061" s="173"/>
      <c r="U1061" s="174"/>
      <c r="V1061" s="175"/>
      <c r="W1061" s="175"/>
      <c r="X1061" s="175"/>
      <c r="Y1061" s="175"/>
      <c r="Z1061" s="175"/>
      <c r="AA1061" s="175"/>
      <c r="AB1061" s="175"/>
      <c r="AC1061" s="175"/>
      <c r="AD1061" s="175"/>
      <c r="AE1061" s="175"/>
      <c r="AF1061" s="175"/>
      <c r="AG1061" s="175"/>
      <c r="AH1061" s="175"/>
      <c r="AI1061" s="175"/>
      <c r="AJ1061" s="175"/>
      <c r="AK1061" s="175"/>
      <c r="AL1061" s="175"/>
      <c r="AM1061" s="175"/>
      <c r="AN1061" s="175"/>
      <c r="AO1061" s="176"/>
      <c r="AP1061" s="177"/>
      <c r="AQ1061" s="175"/>
      <c r="AR1061" s="175"/>
      <c r="AS1061" s="178"/>
      <c r="AT1061" s="179"/>
    </row>
    <row r="1062" customFormat="false" ht="12.75" hidden="false" customHeight="true" outlineLevel="0" collapsed="false">
      <c r="B1062" s="122"/>
      <c r="C1062" s="123"/>
      <c r="D1062" s="124"/>
      <c r="E1062" s="124"/>
      <c r="F1062" s="125"/>
      <c r="G1062" s="171"/>
      <c r="H1062" s="171"/>
      <c r="I1062" s="172"/>
      <c r="J1062" s="171"/>
      <c r="K1062" s="171"/>
      <c r="L1062" s="171"/>
      <c r="M1062" s="171"/>
      <c r="N1062" s="171"/>
      <c r="O1062" s="171"/>
      <c r="P1062" s="171"/>
      <c r="Q1062" s="171"/>
      <c r="R1062" s="171"/>
      <c r="S1062" s="171"/>
      <c r="T1062" s="173"/>
      <c r="U1062" s="174"/>
      <c r="V1062" s="175"/>
      <c r="W1062" s="175"/>
      <c r="X1062" s="175"/>
      <c r="Y1062" s="175"/>
      <c r="Z1062" s="175"/>
      <c r="AA1062" s="175"/>
      <c r="AB1062" s="175"/>
      <c r="AC1062" s="175"/>
      <c r="AD1062" s="175"/>
      <c r="AE1062" s="175"/>
      <c r="AF1062" s="175"/>
      <c r="AG1062" s="175"/>
      <c r="AH1062" s="175"/>
      <c r="AI1062" s="175"/>
      <c r="AJ1062" s="175"/>
      <c r="AK1062" s="175"/>
      <c r="AL1062" s="175"/>
      <c r="AM1062" s="175"/>
      <c r="AN1062" s="175"/>
      <c r="AO1062" s="176"/>
      <c r="AP1062" s="177"/>
      <c r="AQ1062" s="175"/>
      <c r="AR1062" s="175"/>
      <c r="AS1062" s="178"/>
      <c r="AT1062" s="179"/>
    </row>
    <row r="1063" customFormat="false" ht="12.75" hidden="false" customHeight="true" outlineLevel="0" collapsed="false">
      <c r="B1063" s="122"/>
      <c r="C1063" s="123"/>
      <c r="D1063" s="124"/>
      <c r="E1063" s="124"/>
      <c r="F1063" s="125"/>
      <c r="G1063" s="171"/>
      <c r="H1063" s="171"/>
      <c r="I1063" s="172"/>
      <c r="J1063" s="171"/>
      <c r="K1063" s="171"/>
      <c r="L1063" s="171"/>
      <c r="M1063" s="171"/>
      <c r="N1063" s="171"/>
      <c r="O1063" s="171"/>
      <c r="P1063" s="171"/>
      <c r="Q1063" s="171"/>
      <c r="R1063" s="171"/>
      <c r="S1063" s="171"/>
      <c r="T1063" s="173"/>
      <c r="U1063" s="174"/>
      <c r="V1063" s="175"/>
      <c r="W1063" s="175"/>
      <c r="X1063" s="175"/>
      <c r="Y1063" s="175"/>
      <c r="Z1063" s="175"/>
      <c r="AA1063" s="175"/>
      <c r="AB1063" s="175"/>
      <c r="AC1063" s="175"/>
      <c r="AD1063" s="175"/>
      <c r="AE1063" s="175"/>
      <c r="AF1063" s="175"/>
      <c r="AG1063" s="175"/>
      <c r="AH1063" s="175"/>
      <c r="AI1063" s="175"/>
      <c r="AJ1063" s="175"/>
      <c r="AK1063" s="175"/>
      <c r="AL1063" s="175"/>
      <c r="AM1063" s="175"/>
      <c r="AN1063" s="175"/>
      <c r="AO1063" s="176"/>
      <c r="AP1063" s="177"/>
      <c r="AQ1063" s="175"/>
      <c r="AR1063" s="175"/>
      <c r="AS1063" s="178"/>
      <c r="AT1063" s="179"/>
    </row>
    <row r="1064" customFormat="false" ht="12.75" hidden="false" customHeight="true" outlineLevel="0" collapsed="false">
      <c r="B1064" s="122"/>
      <c r="C1064" s="123"/>
      <c r="D1064" s="124"/>
      <c r="E1064" s="124"/>
      <c r="F1064" s="125"/>
      <c r="G1064" s="171"/>
      <c r="H1064" s="171"/>
      <c r="I1064" s="172"/>
      <c r="J1064" s="171"/>
      <c r="K1064" s="171"/>
      <c r="L1064" s="171"/>
      <c r="M1064" s="171"/>
      <c r="N1064" s="171"/>
      <c r="O1064" s="171"/>
      <c r="P1064" s="171"/>
      <c r="Q1064" s="171"/>
      <c r="R1064" s="171"/>
      <c r="S1064" s="171"/>
      <c r="T1064" s="173"/>
      <c r="U1064" s="174"/>
      <c r="V1064" s="175"/>
      <c r="W1064" s="175"/>
      <c r="X1064" s="175"/>
      <c r="Y1064" s="175"/>
      <c r="Z1064" s="175"/>
      <c r="AA1064" s="175"/>
      <c r="AB1064" s="175"/>
      <c r="AC1064" s="175"/>
      <c r="AD1064" s="175"/>
      <c r="AE1064" s="175"/>
      <c r="AF1064" s="175"/>
      <c r="AG1064" s="175"/>
      <c r="AH1064" s="175"/>
      <c r="AI1064" s="175"/>
      <c r="AJ1064" s="175"/>
      <c r="AK1064" s="175"/>
      <c r="AL1064" s="175"/>
      <c r="AM1064" s="175"/>
      <c r="AN1064" s="175"/>
      <c r="AO1064" s="176"/>
      <c r="AP1064" s="177"/>
      <c r="AQ1064" s="175"/>
      <c r="AR1064" s="175"/>
      <c r="AS1064" s="178"/>
      <c r="AT1064" s="179"/>
    </row>
    <row r="1065" customFormat="false" ht="12.75" hidden="false" customHeight="true" outlineLevel="0" collapsed="false">
      <c r="B1065" s="122"/>
      <c r="C1065" s="123"/>
      <c r="D1065" s="124"/>
      <c r="E1065" s="124"/>
      <c r="F1065" s="125"/>
      <c r="G1065" s="171"/>
      <c r="H1065" s="171"/>
      <c r="I1065" s="172"/>
      <c r="J1065" s="171"/>
      <c r="K1065" s="171"/>
      <c r="L1065" s="171"/>
      <c r="M1065" s="171"/>
      <c r="N1065" s="171"/>
      <c r="O1065" s="171"/>
      <c r="P1065" s="171"/>
      <c r="Q1065" s="171"/>
      <c r="R1065" s="171"/>
      <c r="S1065" s="171"/>
      <c r="T1065" s="173"/>
      <c r="U1065" s="174"/>
      <c r="V1065" s="175"/>
      <c r="W1065" s="175"/>
      <c r="X1065" s="175"/>
      <c r="Y1065" s="175"/>
      <c r="Z1065" s="175"/>
      <c r="AA1065" s="175"/>
      <c r="AB1065" s="175"/>
      <c r="AC1065" s="175"/>
      <c r="AD1065" s="175"/>
      <c r="AE1065" s="175"/>
      <c r="AF1065" s="175"/>
      <c r="AG1065" s="175"/>
      <c r="AH1065" s="175"/>
      <c r="AI1065" s="175"/>
      <c r="AJ1065" s="175"/>
      <c r="AK1065" s="175"/>
      <c r="AL1065" s="175"/>
      <c r="AM1065" s="175"/>
      <c r="AN1065" s="175"/>
      <c r="AO1065" s="176"/>
      <c r="AP1065" s="177"/>
      <c r="AQ1065" s="175"/>
      <c r="AR1065" s="175"/>
      <c r="AS1065" s="178"/>
      <c r="AT1065" s="179"/>
    </row>
    <row r="1066" customFormat="false" ht="12.75" hidden="false" customHeight="true" outlineLevel="0" collapsed="false">
      <c r="B1066" s="122"/>
      <c r="C1066" s="123"/>
      <c r="D1066" s="124"/>
      <c r="E1066" s="124"/>
      <c r="F1066" s="125"/>
      <c r="G1066" s="171"/>
      <c r="H1066" s="171"/>
      <c r="I1066" s="172"/>
      <c r="J1066" s="171"/>
      <c r="K1066" s="171"/>
      <c r="L1066" s="171"/>
      <c r="M1066" s="171"/>
      <c r="N1066" s="171"/>
      <c r="O1066" s="171"/>
      <c r="P1066" s="171"/>
      <c r="Q1066" s="171"/>
      <c r="R1066" s="171"/>
      <c r="S1066" s="171"/>
      <c r="T1066" s="173"/>
      <c r="U1066" s="174"/>
      <c r="V1066" s="175"/>
      <c r="W1066" s="175"/>
      <c r="X1066" s="175"/>
      <c r="Y1066" s="175"/>
      <c r="Z1066" s="175"/>
      <c r="AA1066" s="175"/>
      <c r="AB1066" s="175"/>
      <c r="AC1066" s="175"/>
      <c r="AD1066" s="175"/>
      <c r="AE1066" s="175"/>
      <c r="AF1066" s="175"/>
      <c r="AG1066" s="175"/>
      <c r="AH1066" s="175"/>
      <c r="AI1066" s="175"/>
      <c r="AJ1066" s="175"/>
      <c r="AK1066" s="175"/>
      <c r="AL1066" s="175"/>
      <c r="AM1066" s="175"/>
      <c r="AN1066" s="175"/>
      <c r="AO1066" s="176"/>
      <c r="AP1066" s="177"/>
      <c r="AQ1066" s="175"/>
      <c r="AR1066" s="175"/>
      <c r="AS1066" s="178"/>
      <c r="AT1066" s="179"/>
    </row>
    <row r="1067" customFormat="false" ht="12.75" hidden="false" customHeight="true" outlineLevel="0" collapsed="false">
      <c r="B1067" s="122"/>
      <c r="C1067" s="123"/>
      <c r="D1067" s="124"/>
      <c r="E1067" s="124"/>
      <c r="F1067" s="125"/>
      <c r="G1067" s="171"/>
      <c r="H1067" s="171"/>
      <c r="I1067" s="172"/>
      <c r="J1067" s="171"/>
      <c r="K1067" s="171"/>
      <c r="L1067" s="171"/>
      <c r="M1067" s="171"/>
      <c r="N1067" s="171"/>
      <c r="O1067" s="171"/>
      <c r="P1067" s="171"/>
      <c r="Q1067" s="171"/>
      <c r="R1067" s="171"/>
      <c r="S1067" s="171"/>
      <c r="T1067" s="173"/>
      <c r="U1067" s="174"/>
      <c r="V1067" s="175"/>
      <c r="W1067" s="175"/>
      <c r="X1067" s="175"/>
      <c r="Y1067" s="175"/>
      <c r="Z1067" s="175"/>
      <c r="AA1067" s="175"/>
      <c r="AB1067" s="175"/>
      <c r="AC1067" s="175"/>
      <c r="AD1067" s="175"/>
      <c r="AE1067" s="175"/>
      <c r="AF1067" s="175"/>
      <c r="AG1067" s="175"/>
      <c r="AH1067" s="175"/>
      <c r="AI1067" s="175"/>
      <c r="AJ1067" s="175"/>
      <c r="AK1067" s="175"/>
      <c r="AL1067" s="175"/>
      <c r="AM1067" s="175"/>
      <c r="AN1067" s="175"/>
      <c r="AO1067" s="176"/>
      <c r="AP1067" s="177"/>
      <c r="AQ1067" s="175"/>
      <c r="AR1067" s="175"/>
      <c r="AS1067" s="178"/>
      <c r="AT1067" s="179"/>
    </row>
    <row r="1068" customFormat="false" ht="12.75" hidden="false" customHeight="true" outlineLevel="0" collapsed="false">
      <c r="B1068" s="122"/>
      <c r="C1068" s="123"/>
      <c r="D1068" s="124"/>
      <c r="E1068" s="124"/>
      <c r="F1068" s="125"/>
      <c r="G1068" s="171"/>
      <c r="H1068" s="171"/>
      <c r="I1068" s="172"/>
      <c r="J1068" s="171"/>
      <c r="K1068" s="171"/>
      <c r="L1068" s="171"/>
      <c r="M1068" s="171"/>
      <c r="N1068" s="171"/>
      <c r="O1068" s="171"/>
      <c r="P1068" s="171"/>
      <c r="Q1068" s="171"/>
      <c r="R1068" s="171"/>
      <c r="S1068" s="171"/>
      <c r="T1068" s="173"/>
      <c r="U1068" s="174"/>
      <c r="V1068" s="175"/>
      <c r="W1068" s="175"/>
      <c r="X1068" s="175"/>
      <c r="Y1068" s="175"/>
      <c r="Z1068" s="175"/>
      <c r="AA1068" s="175"/>
      <c r="AB1068" s="175"/>
      <c r="AC1068" s="175"/>
      <c r="AD1068" s="175"/>
      <c r="AE1068" s="175"/>
      <c r="AF1068" s="175"/>
      <c r="AG1068" s="175"/>
      <c r="AH1068" s="175"/>
      <c r="AI1068" s="175"/>
      <c r="AJ1068" s="175"/>
      <c r="AK1068" s="175"/>
      <c r="AL1068" s="175"/>
      <c r="AM1068" s="175"/>
      <c r="AN1068" s="175"/>
      <c r="AO1068" s="176"/>
      <c r="AP1068" s="177"/>
      <c r="AQ1068" s="175"/>
      <c r="AR1068" s="175"/>
      <c r="AS1068" s="178"/>
      <c r="AT1068" s="179"/>
    </row>
    <row r="1069" customFormat="false" ht="12.75" hidden="false" customHeight="true" outlineLevel="0" collapsed="false">
      <c r="B1069" s="122"/>
      <c r="C1069" s="123"/>
      <c r="D1069" s="124"/>
      <c r="E1069" s="124"/>
      <c r="F1069" s="125"/>
      <c r="G1069" s="171"/>
      <c r="H1069" s="171"/>
      <c r="I1069" s="172"/>
      <c r="J1069" s="171"/>
      <c r="K1069" s="171"/>
      <c r="L1069" s="171"/>
      <c r="M1069" s="171"/>
      <c r="N1069" s="171"/>
      <c r="O1069" s="171"/>
      <c r="P1069" s="171"/>
      <c r="Q1069" s="171"/>
      <c r="R1069" s="171"/>
      <c r="S1069" s="171"/>
      <c r="T1069" s="173"/>
      <c r="U1069" s="174"/>
      <c r="V1069" s="175"/>
      <c r="W1069" s="175"/>
      <c r="X1069" s="175"/>
      <c r="Y1069" s="175"/>
      <c r="Z1069" s="175"/>
      <c r="AA1069" s="175"/>
      <c r="AB1069" s="175"/>
      <c r="AC1069" s="175"/>
      <c r="AD1069" s="175"/>
      <c r="AE1069" s="175"/>
      <c r="AF1069" s="175"/>
      <c r="AG1069" s="175"/>
      <c r="AH1069" s="175"/>
      <c r="AI1069" s="175"/>
      <c r="AJ1069" s="175"/>
      <c r="AK1069" s="175"/>
      <c r="AL1069" s="175"/>
      <c r="AM1069" s="175"/>
      <c r="AN1069" s="175"/>
      <c r="AO1069" s="176"/>
      <c r="AP1069" s="177"/>
      <c r="AQ1069" s="175"/>
      <c r="AR1069" s="175"/>
      <c r="AS1069" s="178"/>
      <c r="AT1069" s="179"/>
    </row>
    <row r="1070" customFormat="false" ht="12.75" hidden="false" customHeight="true" outlineLevel="0" collapsed="false">
      <c r="B1070" s="122"/>
      <c r="C1070" s="123"/>
      <c r="D1070" s="124"/>
      <c r="E1070" s="124"/>
      <c r="F1070" s="125"/>
      <c r="G1070" s="171"/>
      <c r="H1070" s="171"/>
      <c r="I1070" s="172"/>
      <c r="J1070" s="171"/>
      <c r="K1070" s="171"/>
      <c r="L1070" s="171"/>
      <c r="M1070" s="171"/>
      <c r="N1070" s="171"/>
      <c r="O1070" s="171"/>
      <c r="P1070" s="171"/>
      <c r="Q1070" s="171"/>
      <c r="R1070" s="171"/>
      <c r="S1070" s="171"/>
      <c r="T1070" s="173"/>
      <c r="U1070" s="174"/>
      <c r="V1070" s="175"/>
      <c r="W1070" s="175"/>
      <c r="X1070" s="175"/>
      <c r="Y1070" s="175"/>
      <c r="Z1070" s="175"/>
      <c r="AA1070" s="175"/>
      <c r="AB1070" s="175"/>
      <c r="AC1070" s="175"/>
      <c r="AD1070" s="175"/>
      <c r="AE1070" s="175"/>
      <c r="AF1070" s="175"/>
      <c r="AG1070" s="175"/>
      <c r="AH1070" s="175"/>
      <c r="AI1070" s="175"/>
      <c r="AJ1070" s="175"/>
      <c r="AK1070" s="175"/>
      <c r="AL1070" s="175"/>
      <c r="AM1070" s="175"/>
      <c r="AN1070" s="175"/>
      <c r="AO1070" s="176"/>
      <c r="AP1070" s="177"/>
      <c r="AQ1070" s="175"/>
      <c r="AR1070" s="175"/>
      <c r="AS1070" s="178"/>
      <c r="AT1070" s="179"/>
    </row>
    <row r="1071" customFormat="false" ht="12.75" hidden="false" customHeight="true" outlineLevel="0" collapsed="false">
      <c r="B1071" s="141"/>
      <c r="C1071" s="132"/>
      <c r="D1071" s="133"/>
      <c r="E1071" s="133"/>
      <c r="F1071" s="134"/>
      <c r="G1071" s="180"/>
      <c r="H1071" s="180"/>
      <c r="I1071" s="181"/>
      <c r="J1071" s="180"/>
      <c r="K1071" s="180"/>
      <c r="L1071" s="180"/>
      <c r="M1071" s="180"/>
      <c r="N1071" s="180"/>
      <c r="O1071" s="180"/>
      <c r="P1071" s="180"/>
      <c r="Q1071" s="180"/>
      <c r="R1071" s="180"/>
      <c r="S1071" s="180"/>
      <c r="T1071" s="182"/>
      <c r="U1071" s="183"/>
      <c r="V1071" s="184"/>
      <c r="W1071" s="184"/>
      <c r="X1071" s="184"/>
      <c r="Y1071" s="184"/>
      <c r="Z1071" s="184"/>
      <c r="AA1071" s="184"/>
      <c r="AB1071" s="184"/>
      <c r="AC1071" s="184"/>
      <c r="AD1071" s="184"/>
      <c r="AE1071" s="184"/>
      <c r="AF1071" s="184"/>
      <c r="AG1071" s="184"/>
      <c r="AH1071" s="184"/>
      <c r="AI1071" s="184"/>
      <c r="AJ1071" s="184"/>
      <c r="AK1071" s="184"/>
      <c r="AL1071" s="184"/>
      <c r="AM1071" s="184"/>
      <c r="AN1071" s="184"/>
      <c r="AO1071" s="185"/>
      <c r="AP1071" s="186"/>
      <c r="AQ1071" s="184"/>
      <c r="AR1071" s="184"/>
      <c r="AS1071" s="187"/>
      <c r="AT1071" s="188"/>
    </row>
    <row r="1072" customFormat="false" ht="12.75" hidden="false" customHeight="true" outlineLevel="0" collapsed="false">
      <c r="B1072" s="122"/>
      <c r="C1072" s="123"/>
      <c r="D1072" s="124"/>
      <c r="E1072" s="124"/>
      <c r="F1072" s="125"/>
      <c r="G1072" s="171"/>
      <c r="H1072" s="171"/>
      <c r="I1072" s="172"/>
      <c r="J1072" s="171"/>
      <c r="K1072" s="171"/>
      <c r="L1072" s="171"/>
      <c r="M1072" s="171"/>
      <c r="N1072" s="171"/>
      <c r="O1072" s="171"/>
      <c r="P1072" s="171"/>
      <c r="Q1072" s="171"/>
      <c r="R1072" s="171"/>
      <c r="S1072" s="171"/>
      <c r="T1072" s="173"/>
      <c r="U1072" s="174"/>
      <c r="V1072" s="175"/>
      <c r="W1072" s="175"/>
      <c r="X1072" s="175"/>
      <c r="Y1072" s="175"/>
      <c r="Z1072" s="175"/>
      <c r="AA1072" s="175"/>
      <c r="AB1072" s="175"/>
      <c r="AC1072" s="175"/>
      <c r="AD1072" s="175"/>
      <c r="AE1072" s="175"/>
      <c r="AF1072" s="175"/>
      <c r="AG1072" s="175"/>
      <c r="AH1072" s="175"/>
      <c r="AI1072" s="175"/>
      <c r="AJ1072" s="175"/>
      <c r="AK1072" s="175"/>
      <c r="AL1072" s="175"/>
      <c r="AM1072" s="175"/>
      <c r="AN1072" s="175"/>
      <c r="AO1072" s="176"/>
      <c r="AP1072" s="177"/>
      <c r="AQ1072" s="175"/>
      <c r="AR1072" s="175"/>
      <c r="AS1072" s="178"/>
      <c r="AT1072" s="179"/>
    </row>
    <row r="1073" customFormat="false" ht="12.75" hidden="false" customHeight="true" outlineLevel="0" collapsed="false">
      <c r="B1073" s="122"/>
      <c r="C1073" s="123"/>
      <c r="D1073" s="124"/>
      <c r="E1073" s="124"/>
      <c r="F1073" s="125"/>
      <c r="G1073" s="171"/>
      <c r="H1073" s="171"/>
      <c r="I1073" s="172"/>
      <c r="J1073" s="171"/>
      <c r="K1073" s="171"/>
      <c r="L1073" s="171"/>
      <c r="M1073" s="171"/>
      <c r="N1073" s="171"/>
      <c r="O1073" s="171"/>
      <c r="P1073" s="171"/>
      <c r="Q1073" s="171"/>
      <c r="R1073" s="171"/>
      <c r="S1073" s="171"/>
      <c r="T1073" s="173"/>
      <c r="U1073" s="174"/>
      <c r="V1073" s="175"/>
      <c r="W1073" s="175"/>
      <c r="X1073" s="175"/>
      <c r="Y1073" s="175"/>
      <c r="Z1073" s="175"/>
      <c r="AA1073" s="175"/>
      <c r="AB1073" s="175"/>
      <c r="AC1073" s="175"/>
      <c r="AD1073" s="175"/>
      <c r="AE1073" s="175"/>
      <c r="AF1073" s="175"/>
      <c r="AG1073" s="175"/>
      <c r="AH1073" s="175"/>
      <c r="AI1073" s="175"/>
      <c r="AJ1073" s="175"/>
      <c r="AK1073" s="175"/>
      <c r="AL1073" s="175"/>
      <c r="AM1073" s="175"/>
      <c r="AN1073" s="175"/>
      <c r="AO1073" s="176"/>
      <c r="AP1073" s="177"/>
      <c r="AQ1073" s="175"/>
      <c r="AR1073" s="175"/>
      <c r="AS1073" s="178"/>
      <c r="AT1073" s="179"/>
    </row>
    <row r="1074" customFormat="false" ht="12.75" hidden="false" customHeight="true" outlineLevel="0" collapsed="false">
      <c r="B1074" s="122"/>
      <c r="C1074" s="123"/>
      <c r="D1074" s="124"/>
      <c r="E1074" s="124"/>
      <c r="F1074" s="125"/>
      <c r="G1074" s="171"/>
      <c r="H1074" s="171"/>
      <c r="I1074" s="172"/>
      <c r="J1074" s="171"/>
      <c r="K1074" s="171"/>
      <c r="L1074" s="171"/>
      <c r="M1074" s="171"/>
      <c r="N1074" s="171"/>
      <c r="O1074" s="171"/>
      <c r="P1074" s="171"/>
      <c r="Q1074" s="171"/>
      <c r="R1074" s="171"/>
      <c r="S1074" s="171"/>
      <c r="T1074" s="173"/>
      <c r="U1074" s="174"/>
      <c r="V1074" s="175"/>
      <c r="W1074" s="175"/>
      <c r="X1074" s="175"/>
      <c r="Y1074" s="175"/>
      <c r="Z1074" s="175"/>
      <c r="AA1074" s="175"/>
      <c r="AB1074" s="175"/>
      <c r="AC1074" s="175"/>
      <c r="AD1074" s="175"/>
      <c r="AE1074" s="175"/>
      <c r="AF1074" s="175"/>
      <c r="AG1074" s="175"/>
      <c r="AH1074" s="175"/>
      <c r="AI1074" s="175"/>
      <c r="AJ1074" s="175"/>
      <c r="AK1074" s="175"/>
      <c r="AL1074" s="175"/>
      <c r="AM1074" s="175"/>
      <c r="AN1074" s="175"/>
      <c r="AO1074" s="176"/>
      <c r="AP1074" s="177"/>
      <c r="AQ1074" s="175"/>
      <c r="AR1074" s="175"/>
      <c r="AS1074" s="178"/>
      <c r="AT1074" s="179"/>
    </row>
    <row r="1075" customFormat="false" ht="12.75" hidden="false" customHeight="true" outlineLevel="0" collapsed="false">
      <c r="B1075" s="122"/>
      <c r="C1075" s="123"/>
      <c r="D1075" s="124"/>
      <c r="E1075" s="124"/>
      <c r="F1075" s="125"/>
      <c r="G1075" s="171"/>
      <c r="H1075" s="171"/>
      <c r="I1075" s="172"/>
      <c r="J1075" s="171"/>
      <c r="K1075" s="171"/>
      <c r="L1075" s="171"/>
      <c r="M1075" s="171"/>
      <c r="N1075" s="171"/>
      <c r="O1075" s="171"/>
      <c r="P1075" s="171"/>
      <c r="Q1075" s="171"/>
      <c r="R1075" s="171"/>
      <c r="S1075" s="171"/>
      <c r="T1075" s="173"/>
      <c r="U1075" s="174"/>
      <c r="V1075" s="175"/>
      <c r="W1075" s="175"/>
      <c r="X1075" s="175"/>
      <c r="Y1075" s="175"/>
      <c r="Z1075" s="175"/>
      <c r="AA1075" s="175"/>
      <c r="AB1075" s="175"/>
      <c r="AC1075" s="175"/>
      <c r="AD1075" s="175"/>
      <c r="AE1075" s="175"/>
      <c r="AF1075" s="175"/>
      <c r="AG1075" s="175"/>
      <c r="AH1075" s="175"/>
      <c r="AI1075" s="175"/>
      <c r="AJ1075" s="175"/>
      <c r="AK1075" s="175"/>
      <c r="AL1075" s="175"/>
      <c r="AM1075" s="175"/>
      <c r="AN1075" s="175"/>
      <c r="AO1075" s="176"/>
      <c r="AP1075" s="177"/>
      <c r="AQ1075" s="175"/>
      <c r="AR1075" s="175"/>
      <c r="AS1075" s="178"/>
      <c r="AT1075" s="179"/>
    </row>
    <row r="1076" customFormat="false" ht="12.75" hidden="false" customHeight="true" outlineLevel="0" collapsed="false">
      <c r="B1076" s="122"/>
      <c r="C1076" s="123"/>
      <c r="D1076" s="124"/>
      <c r="E1076" s="124"/>
      <c r="F1076" s="125"/>
      <c r="G1076" s="171"/>
      <c r="H1076" s="171"/>
      <c r="I1076" s="172"/>
      <c r="J1076" s="171"/>
      <c r="K1076" s="171"/>
      <c r="L1076" s="171"/>
      <c r="M1076" s="171"/>
      <c r="N1076" s="171"/>
      <c r="O1076" s="171"/>
      <c r="P1076" s="171"/>
      <c r="Q1076" s="171"/>
      <c r="R1076" s="171"/>
      <c r="S1076" s="171"/>
      <c r="T1076" s="173"/>
      <c r="U1076" s="174"/>
      <c r="V1076" s="175"/>
      <c r="W1076" s="175"/>
      <c r="X1076" s="175"/>
      <c r="Y1076" s="175"/>
      <c r="Z1076" s="175"/>
      <c r="AA1076" s="175"/>
      <c r="AB1076" s="175"/>
      <c r="AC1076" s="175"/>
      <c r="AD1076" s="175"/>
      <c r="AE1076" s="175"/>
      <c r="AF1076" s="175"/>
      <c r="AG1076" s="175"/>
      <c r="AH1076" s="175"/>
      <c r="AI1076" s="175"/>
      <c r="AJ1076" s="175"/>
      <c r="AK1076" s="175"/>
      <c r="AL1076" s="175"/>
      <c r="AM1076" s="175"/>
      <c r="AN1076" s="175"/>
      <c r="AO1076" s="176"/>
      <c r="AP1076" s="177"/>
      <c r="AQ1076" s="175"/>
      <c r="AR1076" s="175"/>
      <c r="AS1076" s="178"/>
      <c r="AT1076" s="179"/>
    </row>
    <row r="1077" customFormat="false" ht="12.75" hidden="false" customHeight="true" outlineLevel="0" collapsed="false">
      <c r="B1077" s="122"/>
      <c r="C1077" s="123"/>
      <c r="D1077" s="124"/>
      <c r="E1077" s="124"/>
      <c r="F1077" s="125"/>
      <c r="G1077" s="171"/>
      <c r="H1077" s="171"/>
      <c r="I1077" s="172"/>
      <c r="J1077" s="171"/>
      <c r="K1077" s="171"/>
      <c r="L1077" s="171"/>
      <c r="M1077" s="171"/>
      <c r="N1077" s="171"/>
      <c r="O1077" s="171"/>
      <c r="P1077" s="171"/>
      <c r="Q1077" s="171"/>
      <c r="R1077" s="171"/>
      <c r="S1077" s="171"/>
      <c r="T1077" s="173"/>
      <c r="U1077" s="174"/>
      <c r="V1077" s="175"/>
      <c r="W1077" s="175"/>
      <c r="X1077" s="175"/>
      <c r="Y1077" s="175"/>
      <c r="Z1077" s="175"/>
      <c r="AA1077" s="175"/>
      <c r="AB1077" s="175"/>
      <c r="AC1077" s="175"/>
      <c r="AD1077" s="175"/>
      <c r="AE1077" s="175"/>
      <c r="AF1077" s="175"/>
      <c r="AG1077" s="175"/>
      <c r="AH1077" s="175"/>
      <c r="AI1077" s="175"/>
      <c r="AJ1077" s="175"/>
      <c r="AK1077" s="175"/>
      <c r="AL1077" s="175"/>
      <c r="AM1077" s="175"/>
      <c r="AN1077" s="175"/>
      <c r="AO1077" s="176"/>
      <c r="AP1077" s="177"/>
      <c r="AQ1077" s="175"/>
      <c r="AR1077" s="175"/>
      <c r="AS1077" s="178"/>
      <c r="AT1077" s="179"/>
    </row>
    <row r="1078" customFormat="false" ht="12.75" hidden="false" customHeight="true" outlineLevel="0" collapsed="false">
      <c r="B1078" s="122"/>
      <c r="C1078" s="123"/>
      <c r="D1078" s="124"/>
      <c r="E1078" s="124"/>
      <c r="F1078" s="125"/>
      <c r="G1078" s="171"/>
      <c r="H1078" s="171"/>
      <c r="I1078" s="172"/>
      <c r="J1078" s="171"/>
      <c r="K1078" s="171"/>
      <c r="L1078" s="171"/>
      <c r="M1078" s="171"/>
      <c r="N1078" s="171"/>
      <c r="O1078" s="171"/>
      <c r="P1078" s="171"/>
      <c r="Q1078" s="171"/>
      <c r="R1078" s="171"/>
      <c r="S1078" s="171"/>
      <c r="T1078" s="173"/>
      <c r="U1078" s="174"/>
      <c r="V1078" s="175"/>
      <c r="W1078" s="175"/>
      <c r="X1078" s="175"/>
      <c r="Y1078" s="175"/>
      <c r="Z1078" s="175"/>
      <c r="AA1078" s="175"/>
      <c r="AB1078" s="175"/>
      <c r="AC1078" s="175"/>
      <c r="AD1078" s="175"/>
      <c r="AE1078" s="175"/>
      <c r="AF1078" s="175"/>
      <c r="AG1078" s="175"/>
      <c r="AH1078" s="175"/>
      <c r="AI1078" s="175"/>
      <c r="AJ1078" s="175"/>
      <c r="AK1078" s="175"/>
      <c r="AL1078" s="175"/>
      <c r="AM1078" s="175"/>
      <c r="AN1078" s="175"/>
      <c r="AO1078" s="176"/>
      <c r="AP1078" s="177"/>
      <c r="AQ1078" s="175"/>
      <c r="AR1078" s="175"/>
      <c r="AS1078" s="178"/>
      <c r="AT1078" s="179"/>
    </row>
    <row r="1079" customFormat="false" ht="12.75" hidden="false" customHeight="true" outlineLevel="0" collapsed="false">
      <c r="B1079" s="122"/>
      <c r="C1079" s="123"/>
      <c r="D1079" s="124"/>
      <c r="E1079" s="124"/>
      <c r="F1079" s="125"/>
      <c r="G1079" s="171"/>
      <c r="H1079" s="171"/>
      <c r="I1079" s="172"/>
      <c r="J1079" s="171"/>
      <c r="K1079" s="171"/>
      <c r="L1079" s="171"/>
      <c r="M1079" s="171"/>
      <c r="N1079" s="171"/>
      <c r="O1079" s="171"/>
      <c r="P1079" s="171"/>
      <c r="Q1079" s="171"/>
      <c r="R1079" s="171"/>
      <c r="S1079" s="171"/>
      <c r="T1079" s="173"/>
      <c r="U1079" s="174"/>
      <c r="V1079" s="175"/>
      <c r="W1079" s="175"/>
      <c r="X1079" s="175"/>
      <c r="Y1079" s="175"/>
      <c r="Z1079" s="175"/>
      <c r="AA1079" s="175"/>
      <c r="AB1079" s="175"/>
      <c r="AC1079" s="175"/>
      <c r="AD1079" s="175"/>
      <c r="AE1079" s="175"/>
      <c r="AF1079" s="175"/>
      <c r="AG1079" s="175"/>
      <c r="AH1079" s="175"/>
      <c r="AI1079" s="175"/>
      <c r="AJ1079" s="175"/>
      <c r="AK1079" s="175"/>
      <c r="AL1079" s="175"/>
      <c r="AM1079" s="175"/>
      <c r="AN1079" s="175"/>
      <c r="AO1079" s="176"/>
      <c r="AP1079" s="177"/>
      <c r="AQ1079" s="175"/>
      <c r="AR1079" s="175"/>
      <c r="AS1079" s="178"/>
      <c r="AT1079" s="179"/>
    </row>
    <row r="1080" customFormat="false" ht="12.75" hidden="false" customHeight="true" outlineLevel="0" collapsed="false">
      <c r="B1080" s="141"/>
      <c r="C1080" s="132"/>
      <c r="D1080" s="133"/>
      <c r="E1080" s="133"/>
      <c r="F1080" s="134"/>
      <c r="G1080" s="180"/>
      <c r="H1080" s="180"/>
      <c r="I1080" s="181"/>
      <c r="J1080" s="180"/>
      <c r="K1080" s="180"/>
      <c r="L1080" s="180"/>
      <c r="M1080" s="180"/>
      <c r="N1080" s="180"/>
      <c r="O1080" s="180"/>
      <c r="P1080" s="180"/>
      <c r="Q1080" s="180"/>
      <c r="R1080" s="180"/>
      <c r="S1080" s="180"/>
      <c r="T1080" s="182"/>
      <c r="U1080" s="183"/>
      <c r="V1080" s="184"/>
      <c r="W1080" s="184"/>
      <c r="X1080" s="184"/>
      <c r="Y1080" s="184"/>
      <c r="Z1080" s="184"/>
      <c r="AA1080" s="184"/>
      <c r="AB1080" s="184"/>
      <c r="AC1080" s="184"/>
      <c r="AD1080" s="184"/>
      <c r="AE1080" s="184"/>
      <c r="AF1080" s="184"/>
      <c r="AG1080" s="184"/>
      <c r="AH1080" s="184"/>
      <c r="AI1080" s="184"/>
      <c r="AJ1080" s="184"/>
      <c r="AK1080" s="184"/>
      <c r="AL1080" s="184"/>
      <c r="AM1080" s="184"/>
      <c r="AN1080" s="184"/>
      <c r="AO1080" s="185"/>
      <c r="AP1080" s="186"/>
      <c r="AQ1080" s="184"/>
      <c r="AR1080" s="184"/>
      <c r="AS1080" s="187"/>
      <c r="AT1080" s="188"/>
    </row>
    <row r="1081" customFormat="false" ht="12.75" hidden="false" customHeight="true" outlineLevel="0" collapsed="false">
      <c r="B1081" s="141"/>
      <c r="C1081" s="132"/>
      <c r="D1081" s="133"/>
      <c r="E1081" s="133"/>
      <c r="F1081" s="134"/>
      <c r="G1081" s="180"/>
      <c r="H1081" s="180"/>
      <c r="I1081" s="181"/>
      <c r="J1081" s="180"/>
      <c r="K1081" s="180"/>
      <c r="L1081" s="180"/>
      <c r="M1081" s="180"/>
      <c r="N1081" s="180"/>
      <c r="O1081" s="180"/>
      <c r="P1081" s="180"/>
      <c r="Q1081" s="180"/>
      <c r="R1081" s="180"/>
      <c r="S1081" s="180"/>
      <c r="T1081" s="182"/>
      <c r="U1081" s="183"/>
      <c r="V1081" s="184"/>
      <c r="W1081" s="184"/>
      <c r="X1081" s="184"/>
      <c r="Y1081" s="184"/>
      <c r="Z1081" s="184"/>
      <c r="AA1081" s="184"/>
      <c r="AB1081" s="184"/>
      <c r="AC1081" s="184"/>
      <c r="AD1081" s="184"/>
      <c r="AE1081" s="184"/>
      <c r="AF1081" s="184"/>
      <c r="AG1081" s="184"/>
      <c r="AH1081" s="184"/>
      <c r="AI1081" s="184"/>
      <c r="AJ1081" s="184"/>
      <c r="AK1081" s="184"/>
      <c r="AL1081" s="184"/>
      <c r="AM1081" s="184"/>
      <c r="AN1081" s="184"/>
      <c r="AO1081" s="185"/>
      <c r="AP1081" s="186"/>
      <c r="AQ1081" s="184"/>
      <c r="AR1081" s="184"/>
      <c r="AS1081" s="187"/>
      <c r="AT1081" s="188"/>
    </row>
    <row r="1082" customFormat="false" ht="12.75" hidden="false" customHeight="true" outlineLevel="0" collapsed="false">
      <c r="B1082" s="122"/>
      <c r="C1082" s="123"/>
      <c r="D1082" s="124"/>
      <c r="E1082" s="124"/>
      <c r="F1082" s="125"/>
      <c r="G1082" s="171"/>
      <c r="H1082" s="171"/>
      <c r="I1082" s="172"/>
      <c r="J1082" s="171"/>
      <c r="K1082" s="171"/>
      <c r="L1082" s="171"/>
      <c r="M1082" s="171"/>
      <c r="N1082" s="171"/>
      <c r="O1082" s="171"/>
      <c r="P1082" s="171"/>
      <c r="Q1082" s="171"/>
      <c r="R1082" s="171"/>
      <c r="S1082" s="171"/>
      <c r="T1082" s="173"/>
      <c r="U1082" s="174"/>
      <c r="V1082" s="175"/>
      <c r="W1082" s="175"/>
      <c r="X1082" s="175"/>
      <c r="Y1082" s="175"/>
      <c r="Z1082" s="175"/>
      <c r="AA1082" s="175"/>
      <c r="AB1082" s="175"/>
      <c r="AC1082" s="175"/>
      <c r="AD1082" s="175"/>
      <c r="AE1082" s="175"/>
      <c r="AF1082" s="175"/>
      <c r="AG1082" s="175"/>
      <c r="AH1082" s="175"/>
      <c r="AI1082" s="175"/>
      <c r="AJ1082" s="175"/>
      <c r="AK1082" s="175"/>
      <c r="AL1082" s="175"/>
      <c r="AM1082" s="175"/>
      <c r="AN1082" s="175"/>
      <c r="AO1082" s="176"/>
      <c r="AP1082" s="177"/>
      <c r="AQ1082" s="175"/>
      <c r="AR1082" s="175"/>
      <c r="AS1082" s="178"/>
      <c r="AT1082" s="179"/>
    </row>
    <row r="1083" customFormat="false" ht="12.75" hidden="false" customHeight="true" outlineLevel="0" collapsed="false">
      <c r="B1083" s="122"/>
      <c r="C1083" s="123"/>
      <c r="D1083" s="124"/>
      <c r="E1083" s="124"/>
      <c r="F1083" s="125"/>
      <c r="G1083" s="171"/>
      <c r="H1083" s="171"/>
      <c r="I1083" s="172"/>
      <c r="J1083" s="171"/>
      <c r="K1083" s="171"/>
      <c r="L1083" s="171"/>
      <c r="M1083" s="171"/>
      <c r="N1083" s="171"/>
      <c r="O1083" s="171"/>
      <c r="P1083" s="171"/>
      <c r="Q1083" s="171"/>
      <c r="R1083" s="171"/>
      <c r="S1083" s="171"/>
      <c r="T1083" s="173"/>
      <c r="U1083" s="174"/>
      <c r="V1083" s="175"/>
      <c r="W1083" s="175"/>
      <c r="X1083" s="175"/>
      <c r="Y1083" s="175"/>
      <c r="Z1083" s="175"/>
      <c r="AA1083" s="175"/>
      <c r="AB1083" s="175"/>
      <c r="AC1083" s="175"/>
      <c r="AD1083" s="175"/>
      <c r="AE1083" s="175"/>
      <c r="AF1083" s="175"/>
      <c r="AG1083" s="175"/>
      <c r="AH1083" s="175"/>
      <c r="AI1083" s="175"/>
      <c r="AJ1083" s="175"/>
      <c r="AK1083" s="175"/>
      <c r="AL1083" s="175"/>
      <c r="AM1083" s="175"/>
      <c r="AN1083" s="175"/>
      <c r="AO1083" s="176"/>
      <c r="AP1083" s="177"/>
      <c r="AQ1083" s="175"/>
      <c r="AR1083" s="175"/>
      <c r="AS1083" s="178"/>
      <c r="AT1083" s="179"/>
    </row>
    <row r="1084" customFormat="false" ht="12.75" hidden="false" customHeight="true" outlineLevel="0" collapsed="false">
      <c r="B1084" s="122"/>
      <c r="C1084" s="123"/>
      <c r="D1084" s="124"/>
      <c r="E1084" s="124"/>
      <c r="F1084" s="125"/>
      <c r="G1084" s="171"/>
      <c r="H1084" s="171"/>
      <c r="I1084" s="172"/>
      <c r="J1084" s="171"/>
      <c r="K1084" s="171"/>
      <c r="L1084" s="171"/>
      <c r="M1084" s="171"/>
      <c r="N1084" s="171"/>
      <c r="O1084" s="171"/>
      <c r="P1084" s="171"/>
      <c r="Q1084" s="171"/>
      <c r="R1084" s="171"/>
      <c r="S1084" s="171"/>
      <c r="T1084" s="173"/>
      <c r="U1084" s="174"/>
      <c r="V1084" s="175"/>
      <c r="W1084" s="175"/>
      <c r="X1084" s="175"/>
      <c r="Y1084" s="175"/>
      <c r="Z1084" s="175"/>
      <c r="AA1084" s="175"/>
      <c r="AB1084" s="175"/>
      <c r="AC1084" s="175"/>
      <c r="AD1084" s="175"/>
      <c r="AE1084" s="175"/>
      <c r="AF1084" s="175"/>
      <c r="AG1084" s="175"/>
      <c r="AH1084" s="175"/>
      <c r="AI1084" s="175"/>
      <c r="AJ1084" s="175"/>
      <c r="AK1084" s="175"/>
      <c r="AL1084" s="175"/>
      <c r="AM1084" s="175"/>
      <c r="AN1084" s="175"/>
      <c r="AO1084" s="176"/>
      <c r="AP1084" s="177"/>
      <c r="AQ1084" s="175"/>
      <c r="AR1084" s="175"/>
      <c r="AS1084" s="178"/>
      <c r="AT1084" s="179"/>
    </row>
    <row r="1085" customFormat="false" ht="12.75" hidden="false" customHeight="true" outlineLevel="0" collapsed="false">
      <c r="B1085" s="122"/>
      <c r="C1085" s="123"/>
      <c r="D1085" s="124"/>
      <c r="E1085" s="124"/>
      <c r="F1085" s="125"/>
      <c r="G1085" s="171"/>
      <c r="H1085" s="171"/>
      <c r="I1085" s="172"/>
      <c r="J1085" s="171"/>
      <c r="K1085" s="171"/>
      <c r="L1085" s="171"/>
      <c r="M1085" s="171"/>
      <c r="N1085" s="171"/>
      <c r="O1085" s="171"/>
      <c r="P1085" s="171"/>
      <c r="Q1085" s="171"/>
      <c r="R1085" s="171"/>
      <c r="S1085" s="171"/>
      <c r="T1085" s="173"/>
      <c r="U1085" s="174"/>
      <c r="V1085" s="175"/>
      <c r="W1085" s="175"/>
      <c r="X1085" s="175"/>
      <c r="Y1085" s="175"/>
      <c r="Z1085" s="175"/>
      <c r="AA1085" s="175"/>
      <c r="AB1085" s="175"/>
      <c r="AC1085" s="175"/>
      <c r="AD1085" s="175"/>
      <c r="AE1085" s="175"/>
      <c r="AF1085" s="175"/>
      <c r="AG1085" s="175"/>
      <c r="AH1085" s="175"/>
      <c r="AI1085" s="175"/>
      <c r="AJ1085" s="175"/>
      <c r="AK1085" s="175"/>
      <c r="AL1085" s="175"/>
      <c r="AM1085" s="175"/>
      <c r="AN1085" s="175"/>
      <c r="AO1085" s="176"/>
      <c r="AP1085" s="177"/>
      <c r="AQ1085" s="175"/>
      <c r="AR1085" s="175"/>
      <c r="AS1085" s="178"/>
      <c r="AT1085" s="179"/>
    </row>
    <row r="1086" customFormat="false" ht="12.75" hidden="false" customHeight="true" outlineLevel="0" collapsed="false">
      <c r="B1086" s="122"/>
      <c r="C1086" s="123"/>
      <c r="D1086" s="124"/>
      <c r="E1086" s="124"/>
      <c r="F1086" s="125"/>
      <c r="G1086" s="171"/>
      <c r="H1086" s="171"/>
      <c r="I1086" s="172"/>
      <c r="J1086" s="171"/>
      <c r="K1086" s="171"/>
      <c r="L1086" s="171"/>
      <c r="M1086" s="171"/>
      <c r="N1086" s="171"/>
      <c r="O1086" s="171"/>
      <c r="P1086" s="171"/>
      <c r="Q1086" s="171"/>
      <c r="R1086" s="171"/>
      <c r="S1086" s="171"/>
      <c r="T1086" s="173"/>
      <c r="U1086" s="174"/>
      <c r="V1086" s="175"/>
      <c r="W1086" s="175"/>
      <c r="X1086" s="175"/>
      <c r="Y1086" s="175"/>
      <c r="Z1086" s="175"/>
      <c r="AA1086" s="175"/>
      <c r="AB1086" s="175"/>
      <c r="AC1086" s="175"/>
      <c r="AD1086" s="175"/>
      <c r="AE1086" s="175"/>
      <c r="AF1086" s="175"/>
      <c r="AG1086" s="175"/>
      <c r="AH1086" s="175"/>
      <c r="AI1086" s="175"/>
      <c r="AJ1086" s="175"/>
      <c r="AK1086" s="175"/>
      <c r="AL1086" s="175"/>
      <c r="AM1086" s="175"/>
      <c r="AN1086" s="175"/>
      <c r="AO1086" s="176"/>
      <c r="AP1086" s="177"/>
      <c r="AQ1086" s="175"/>
      <c r="AR1086" s="175"/>
      <c r="AS1086" s="178"/>
      <c r="AT1086" s="179"/>
    </row>
    <row r="1087" customFormat="false" ht="12.75" hidden="false" customHeight="true" outlineLevel="0" collapsed="false">
      <c r="B1087" s="122"/>
      <c r="C1087" s="123"/>
      <c r="D1087" s="124"/>
      <c r="E1087" s="124"/>
      <c r="F1087" s="125"/>
      <c r="G1087" s="171"/>
      <c r="H1087" s="171"/>
      <c r="I1087" s="172"/>
      <c r="J1087" s="171"/>
      <c r="K1087" s="171"/>
      <c r="L1087" s="171"/>
      <c r="M1087" s="171"/>
      <c r="N1087" s="171"/>
      <c r="O1087" s="171"/>
      <c r="P1087" s="171"/>
      <c r="Q1087" s="171"/>
      <c r="R1087" s="171"/>
      <c r="S1087" s="171"/>
      <c r="T1087" s="173"/>
      <c r="U1087" s="174"/>
      <c r="V1087" s="175"/>
      <c r="W1087" s="175"/>
      <c r="X1087" s="175"/>
      <c r="Y1087" s="175"/>
      <c r="Z1087" s="175"/>
      <c r="AA1087" s="175"/>
      <c r="AB1087" s="175"/>
      <c r="AC1087" s="175"/>
      <c r="AD1087" s="175"/>
      <c r="AE1087" s="175"/>
      <c r="AF1087" s="175"/>
      <c r="AG1087" s="175"/>
      <c r="AH1087" s="175"/>
      <c r="AI1087" s="175"/>
      <c r="AJ1087" s="175"/>
      <c r="AK1087" s="175"/>
      <c r="AL1087" s="175"/>
      <c r="AM1087" s="175"/>
      <c r="AN1087" s="175"/>
      <c r="AO1087" s="176"/>
      <c r="AP1087" s="177"/>
      <c r="AQ1087" s="175"/>
      <c r="AR1087" s="175"/>
      <c r="AS1087" s="178"/>
      <c r="AT1087" s="179"/>
    </row>
    <row r="1088" customFormat="false" ht="12.75" hidden="false" customHeight="true" outlineLevel="0" collapsed="false">
      <c r="B1088" s="122"/>
      <c r="C1088" s="123"/>
      <c r="D1088" s="124"/>
      <c r="E1088" s="124"/>
      <c r="F1088" s="125"/>
      <c r="G1088" s="171"/>
      <c r="H1088" s="171"/>
      <c r="I1088" s="172"/>
      <c r="J1088" s="171"/>
      <c r="K1088" s="171"/>
      <c r="L1088" s="171"/>
      <c r="M1088" s="171"/>
      <c r="N1088" s="171"/>
      <c r="O1088" s="171"/>
      <c r="P1088" s="171"/>
      <c r="Q1088" s="171"/>
      <c r="R1088" s="171"/>
      <c r="S1088" s="171"/>
      <c r="T1088" s="173"/>
      <c r="U1088" s="174"/>
      <c r="V1088" s="175"/>
      <c r="W1088" s="175"/>
      <c r="X1088" s="175"/>
      <c r="Y1088" s="175"/>
      <c r="Z1088" s="175"/>
      <c r="AA1088" s="175"/>
      <c r="AB1088" s="175"/>
      <c r="AC1088" s="175"/>
      <c r="AD1088" s="175"/>
      <c r="AE1088" s="175"/>
      <c r="AF1088" s="175"/>
      <c r="AG1088" s="175"/>
      <c r="AH1088" s="175"/>
      <c r="AI1088" s="175"/>
      <c r="AJ1088" s="175"/>
      <c r="AK1088" s="175"/>
      <c r="AL1088" s="175"/>
      <c r="AM1088" s="175"/>
      <c r="AN1088" s="175"/>
      <c r="AO1088" s="176"/>
      <c r="AP1088" s="177"/>
      <c r="AQ1088" s="175"/>
      <c r="AR1088" s="175"/>
      <c r="AS1088" s="178"/>
      <c r="AT1088" s="179"/>
    </row>
    <row r="1089" customFormat="false" ht="12.75" hidden="false" customHeight="true" outlineLevel="0" collapsed="false">
      <c r="B1089" s="141"/>
      <c r="C1089" s="132"/>
      <c r="D1089" s="133"/>
      <c r="E1089" s="133"/>
      <c r="F1089" s="134"/>
      <c r="G1089" s="180"/>
      <c r="H1089" s="180"/>
      <c r="I1089" s="181"/>
      <c r="J1089" s="180"/>
      <c r="K1089" s="180"/>
      <c r="L1089" s="180"/>
      <c r="M1089" s="180"/>
      <c r="N1089" s="180"/>
      <c r="O1089" s="180"/>
      <c r="P1089" s="180"/>
      <c r="Q1089" s="180"/>
      <c r="R1089" s="180"/>
      <c r="S1089" s="180"/>
      <c r="T1089" s="182"/>
      <c r="U1089" s="183"/>
      <c r="V1089" s="184"/>
      <c r="W1089" s="184"/>
      <c r="X1089" s="184"/>
      <c r="Y1089" s="184"/>
      <c r="Z1089" s="184"/>
      <c r="AA1089" s="184"/>
      <c r="AB1089" s="184"/>
      <c r="AC1089" s="184"/>
      <c r="AD1089" s="184"/>
      <c r="AE1089" s="184"/>
      <c r="AF1089" s="184"/>
      <c r="AG1089" s="184"/>
      <c r="AH1089" s="184"/>
      <c r="AI1089" s="184"/>
      <c r="AJ1089" s="184"/>
      <c r="AK1089" s="184"/>
      <c r="AL1089" s="184"/>
      <c r="AM1089" s="184"/>
      <c r="AN1089" s="184"/>
      <c r="AO1089" s="185"/>
      <c r="AP1089" s="186"/>
      <c r="AQ1089" s="184"/>
      <c r="AR1089" s="184"/>
      <c r="AS1089" s="187"/>
      <c r="AT1089" s="188"/>
    </row>
    <row r="1090" customFormat="false" ht="12.75" hidden="false" customHeight="true" outlineLevel="0" collapsed="false">
      <c r="B1090" s="122"/>
      <c r="C1090" s="123"/>
      <c r="D1090" s="124"/>
      <c r="E1090" s="124"/>
      <c r="F1090" s="125"/>
      <c r="G1090" s="171"/>
      <c r="H1090" s="171"/>
      <c r="I1090" s="172"/>
      <c r="J1090" s="171"/>
      <c r="K1090" s="171"/>
      <c r="L1090" s="171"/>
      <c r="M1090" s="171"/>
      <c r="N1090" s="171"/>
      <c r="O1090" s="171"/>
      <c r="P1090" s="171"/>
      <c r="Q1090" s="171"/>
      <c r="R1090" s="171"/>
      <c r="S1090" s="171"/>
      <c r="T1090" s="173"/>
      <c r="U1090" s="174"/>
      <c r="V1090" s="175"/>
      <c r="W1090" s="175"/>
      <c r="X1090" s="175"/>
      <c r="Y1090" s="175"/>
      <c r="Z1090" s="175"/>
      <c r="AA1090" s="175"/>
      <c r="AB1090" s="175"/>
      <c r="AC1090" s="175"/>
      <c r="AD1090" s="175"/>
      <c r="AE1090" s="175"/>
      <c r="AF1090" s="175"/>
      <c r="AG1090" s="175"/>
      <c r="AH1090" s="175"/>
      <c r="AI1090" s="175"/>
      <c r="AJ1090" s="175"/>
      <c r="AK1090" s="175"/>
      <c r="AL1090" s="175"/>
      <c r="AM1090" s="175"/>
      <c r="AN1090" s="175"/>
      <c r="AO1090" s="176"/>
      <c r="AP1090" s="177"/>
      <c r="AQ1090" s="175"/>
      <c r="AR1090" s="175"/>
      <c r="AS1090" s="178"/>
      <c r="AT1090" s="179"/>
    </row>
    <row r="1091" customFormat="false" ht="12.75" hidden="false" customHeight="true" outlineLevel="0" collapsed="false">
      <c r="B1091" s="141"/>
      <c r="C1091" s="132"/>
      <c r="D1091" s="133"/>
      <c r="E1091" s="133"/>
      <c r="F1091" s="134"/>
      <c r="G1091" s="180"/>
      <c r="H1091" s="180"/>
      <c r="I1091" s="181"/>
      <c r="J1091" s="180"/>
      <c r="K1091" s="180"/>
      <c r="L1091" s="180"/>
      <c r="M1091" s="180"/>
      <c r="N1091" s="180"/>
      <c r="O1091" s="180"/>
      <c r="P1091" s="180"/>
      <c r="Q1091" s="180"/>
      <c r="R1091" s="180"/>
      <c r="S1091" s="180"/>
      <c r="T1091" s="182"/>
      <c r="U1091" s="183"/>
      <c r="V1091" s="184"/>
      <c r="W1091" s="184"/>
      <c r="X1091" s="184"/>
      <c r="Y1091" s="184"/>
      <c r="Z1091" s="184"/>
      <c r="AA1091" s="184"/>
      <c r="AB1091" s="184"/>
      <c r="AC1091" s="184"/>
      <c r="AD1091" s="184"/>
      <c r="AE1091" s="184"/>
      <c r="AF1091" s="184"/>
      <c r="AG1091" s="184"/>
      <c r="AH1091" s="184"/>
      <c r="AI1091" s="184"/>
      <c r="AJ1091" s="184"/>
      <c r="AK1091" s="184"/>
      <c r="AL1091" s="184"/>
      <c r="AM1091" s="184"/>
      <c r="AN1091" s="184"/>
      <c r="AO1091" s="185"/>
      <c r="AP1091" s="186"/>
      <c r="AQ1091" s="184"/>
      <c r="AR1091" s="184"/>
      <c r="AS1091" s="187"/>
      <c r="AT1091" s="188"/>
    </row>
    <row r="1092" customFormat="false" ht="12.75" hidden="false" customHeight="true" outlineLevel="0" collapsed="false">
      <c r="B1092" s="122"/>
      <c r="C1092" s="123"/>
      <c r="D1092" s="124"/>
      <c r="E1092" s="124"/>
      <c r="F1092" s="125"/>
      <c r="G1092" s="171"/>
      <c r="H1092" s="171"/>
      <c r="I1092" s="172"/>
      <c r="J1092" s="171"/>
      <c r="K1092" s="171"/>
      <c r="L1092" s="171"/>
      <c r="M1092" s="171"/>
      <c r="N1092" s="171"/>
      <c r="O1092" s="171"/>
      <c r="P1092" s="171"/>
      <c r="Q1092" s="171"/>
      <c r="R1092" s="171"/>
      <c r="S1092" s="171"/>
      <c r="T1092" s="173"/>
      <c r="U1092" s="174"/>
      <c r="V1092" s="175"/>
      <c r="W1092" s="175"/>
      <c r="X1092" s="175"/>
      <c r="Y1092" s="175"/>
      <c r="Z1092" s="175"/>
      <c r="AA1092" s="175"/>
      <c r="AB1092" s="175"/>
      <c r="AC1092" s="175"/>
      <c r="AD1092" s="175"/>
      <c r="AE1092" s="175"/>
      <c r="AF1092" s="175"/>
      <c r="AG1092" s="175"/>
      <c r="AH1092" s="175"/>
      <c r="AI1092" s="175"/>
      <c r="AJ1092" s="175"/>
      <c r="AK1092" s="175"/>
      <c r="AL1092" s="175"/>
      <c r="AM1092" s="175"/>
      <c r="AN1092" s="175"/>
      <c r="AO1092" s="176"/>
      <c r="AP1092" s="177"/>
      <c r="AQ1092" s="175"/>
      <c r="AR1092" s="175"/>
      <c r="AS1092" s="178"/>
      <c r="AT1092" s="179"/>
    </row>
    <row r="1093" customFormat="false" ht="12.75" hidden="false" customHeight="true" outlineLevel="0" collapsed="false">
      <c r="B1093" s="141"/>
      <c r="C1093" s="132"/>
      <c r="D1093" s="133"/>
      <c r="E1093" s="133"/>
      <c r="F1093" s="134"/>
      <c r="G1093" s="180"/>
      <c r="H1093" s="180"/>
      <c r="I1093" s="181"/>
      <c r="J1093" s="180"/>
      <c r="K1093" s="180"/>
      <c r="L1093" s="180"/>
      <c r="M1093" s="180"/>
      <c r="N1093" s="180"/>
      <c r="O1093" s="180"/>
      <c r="P1093" s="180"/>
      <c r="Q1093" s="180"/>
      <c r="R1093" s="180"/>
      <c r="S1093" s="180"/>
      <c r="T1093" s="182"/>
      <c r="U1093" s="183"/>
      <c r="V1093" s="184"/>
      <c r="W1093" s="184"/>
      <c r="X1093" s="184"/>
      <c r="Y1093" s="184"/>
      <c r="Z1093" s="184"/>
      <c r="AA1093" s="184"/>
      <c r="AB1093" s="184"/>
      <c r="AC1093" s="184"/>
      <c r="AD1093" s="184"/>
      <c r="AE1093" s="184"/>
      <c r="AF1093" s="184"/>
      <c r="AG1093" s="184"/>
      <c r="AH1093" s="184"/>
      <c r="AI1093" s="184"/>
      <c r="AJ1093" s="184"/>
      <c r="AK1093" s="184"/>
      <c r="AL1093" s="184"/>
      <c r="AM1093" s="184"/>
      <c r="AN1093" s="184"/>
      <c r="AO1093" s="185"/>
      <c r="AP1093" s="186"/>
      <c r="AQ1093" s="184"/>
      <c r="AR1093" s="184"/>
      <c r="AS1093" s="187"/>
      <c r="AT1093" s="188"/>
    </row>
    <row r="1094" customFormat="false" ht="12.75" hidden="false" customHeight="true" outlineLevel="0" collapsed="false">
      <c r="B1094" s="122"/>
      <c r="C1094" s="123"/>
      <c r="D1094" s="124"/>
      <c r="E1094" s="124"/>
      <c r="F1094" s="125"/>
      <c r="G1094" s="171"/>
      <c r="H1094" s="171"/>
      <c r="I1094" s="172"/>
      <c r="J1094" s="171"/>
      <c r="K1094" s="171"/>
      <c r="L1094" s="171"/>
      <c r="M1094" s="171"/>
      <c r="N1094" s="171"/>
      <c r="O1094" s="171"/>
      <c r="P1094" s="171"/>
      <c r="Q1094" s="171"/>
      <c r="R1094" s="171"/>
      <c r="S1094" s="171"/>
      <c r="T1094" s="173"/>
      <c r="U1094" s="174"/>
      <c r="V1094" s="175"/>
      <c r="W1094" s="175"/>
      <c r="X1094" s="175"/>
      <c r="Y1094" s="175"/>
      <c r="Z1094" s="175"/>
      <c r="AA1094" s="175"/>
      <c r="AB1094" s="175"/>
      <c r="AC1094" s="175"/>
      <c r="AD1094" s="175"/>
      <c r="AE1094" s="175"/>
      <c r="AF1094" s="175"/>
      <c r="AG1094" s="175"/>
      <c r="AH1094" s="175"/>
      <c r="AI1094" s="175"/>
      <c r="AJ1094" s="175"/>
      <c r="AK1094" s="175"/>
      <c r="AL1094" s="175"/>
      <c r="AM1094" s="175"/>
      <c r="AN1094" s="175"/>
      <c r="AO1094" s="176"/>
      <c r="AP1094" s="177"/>
      <c r="AQ1094" s="175"/>
      <c r="AR1094" s="175"/>
      <c r="AS1094" s="178"/>
      <c r="AT1094" s="179"/>
    </row>
    <row r="1095" customFormat="false" ht="12.75" hidden="false" customHeight="true" outlineLevel="0" collapsed="false">
      <c r="B1095" s="122"/>
      <c r="C1095" s="123"/>
      <c r="D1095" s="124"/>
      <c r="E1095" s="124"/>
      <c r="F1095" s="125"/>
      <c r="G1095" s="171"/>
      <c r="H1095" s="171"/>
      <c r="I1095" s="172"/>
      <c r="J1095" s="171"/>
      <c r="K1095" s="171"/>
      <c r="L1095" s="171"/>
      <c r="M1095" s="171"/>
      <c r="N1095" s="171"/>
      <c r="O1095" s="171"/>
      <c r="P1095" s="171"/>
      <c r="Q1095" s="171"/>
      <c r="R1095" s="171"/>
      <c r="S1095" s="171"/>
      <c r="T1095" s="173"/>
      <c r="U1095" s="174"/>
      <c r="V1095" s="175"/>
      <c r="W1095" s="175"/>
      <c r="X1095" s="175"/>
      <c r="Y1095" s="175"/>
      <c r="Z1095" s="175"/>
      <c r="AA1095" s="175"/>
      <c r="AB1095" s="175"/>
      <c r="AC1095" s="175"/>
      <c r="AD1095" s="175"/>
      <c r="AE1095" s="175"/>
      <c r="AF1095" s="175"/>
      <c r="AG1095" s="175"/>
      <c r="AH1095" s="175"/>
      <c r="AI1095" s="175"/>
      <c r="AJ1095" s="175"/>
      <c r="AK1095" s="175"/>
      <c r="AL1095" s="175"/>
      <c r="AM1095" s="175"/>
      <c r="AN1095" s="175"/>
      <c r="AO1095" s="176"/>
      <c r="AP1095" s="177"/>
      <c r="AQ1095" s="175"/>
      <c r="AR1095" s="175"/>
      <c r="AS1095" s="178"/>
      <c r="AT1095" s="179"/>
    </row>
    <row r="1096" customFormat="false" ht="12.75" hidden="false" customHeight="true" outlineLevel="0" collapsed="false">
      <c r="B1096" s="122"/>
      <c r="C1096" s="123"/>
      <c r="D1096" s="124"/>
      <c r="E1096" s="124"/>
      <c r="F1096" s="125"/>
      <c r="G1096" s="171"/>
      <c r="H1096" s="171"/>
      <c r="I1096" s="172"/>
      <c r="J1096" s="171"/>
      <c r="K1096" s="171"/>
      <c r="L1096" s="171"/>
      <c r="M1096" s="171"/>
      <c r="N1096" s="171"/>
      <c r="O1096" s="171"/>
      <c r="P1096" s="171"/>
      <c r="Q1096" s="171"/>
      <c r="R1096" s="171"/>
      <c r="S1096" s="171"/>
      <c r="T1096" s="173"/>
      <c r="U1096" s="174"/>
      <c r="V1096" s="175"/>
      <c r="W1096" s="175"/>
      <c r="X1096" s="175"/>
      <c r="Y1096" s="175"/>
      <c r="Z1096" s="175"/>
      <c r="AA1096" s="175"/>
      <c r="AB1096" s="175"/>
      <c r="AC1096" s="175"/>
      <c r="AD1096" s="175"/>
      <c r="AE1096" s="175"/>
      <c r="AF1096" s="175"/>
      <c r="AG1096" s="175"/>
      <c r="AH1096" s="175"/>
      <c r="AI1096" s="175"/>
      <c r="AJ1096" s="175"/>
      <c r="AK1096" s="175"/>
      <c r="AL1096" s="175"/>
      <c r="AM1096" s="175"/>
      <c r="AN1096" s="175"/>
      <c r="AO1096" s="176"/>
      <c r="AP1096" s="177"/>
      <c r="AQ1096" s="175"/>
      <c r="AR1096" s="175"/>
      <c r="AS1096" s="178"/>
      <c r="AT1096" s="179"/>
    </row>
    <row r="1097" customFormat="false" ht="12.75" hidden="false" customHeight="true" outlineLevel="0" collapsed="false">
      <c r="B1097" s="122"/>
      <c r="C1097" s="123"/>
      <c r="D1097" s="124"/>
      <c r="E1097" s="124"/>
      <c r="F1097" s="125"/>
      <c r="G1097" s="171"/>
      <c r="H1097" s="171"/>
      <c r="I1097" s="172"/>
      <c r="J1097" s="171"/>
      <c r="K1097" s="171"/>
      <c r="L1097" s="171"/>
      <c r="M1097" s="171"/>
      <c r="N1097" s="171"/>
      <c r="O1097" s="171"/>
      <c r="P1097" s="171"/>
      <c r="Q1097" s="171"/>
      <c r="R1097" s="171"/>
      <c r="S1097" s="171"/>
      <c r="T1097" s="173"/>
      <c r="U1097" s="174"/>
      <c r="V1097" s="175"/>
      <c r="W1097" s="175"/>
      <c r="X1097" s="175"/>
      <c r="Y1097" s="175"/>
      <c r="Z1097" s="175"/>
      <c r="AA1097" s="175"/>
      <c r="AB1097" s="175"/>
      <c r="AC1097" s="175"/>
      <c r="AD1097" s="175"/>
      <c r="AE1097" s="175"/>
      <c r="AF1097" s="175"/>
      <c r="AG1097" s="175"/>
      <c r="AH1097" s="175"/>
      <c r="AI1097" s="175"/>
      <c r="AJ1097" s="175"/>
      <c r="AK1097" s="175"/>
      <c r="AL1097" s="175"/>
      <c r="AM1097" s="175"/>
      <c r="AN1097" s="175"/>
      <c r="AO1097" s="176"/>
      <c r="AP1097" s="177"/>
      <c r="AQ1097" s="175"/>
      <c r="AR1097" s="175"/>
      <c r="AS1097" s="178"/>
      <c r="AT1097" s="179"/>
    </row>
    <row r="1098" customFormat="false" ht="12.75" hidden="false" customHeight="true" outlineLevel="0" collapsed="false">
      <c r="B1098" s="141"/>
      <c r="C1098" s="132"/>
      <c r="D1098" s="133"/>
      <c r="E1098" s="133"/>
      <c r="F1098" s="134"/>
      <c r="G1098" s="180"/>
      <c r="H1098" s="180"/>
      <c r="I1098" s="181"/>
      <c r="J1098" s="180"/>
      <c r="K1098" s="180"/>
      <c r="L1098" s="180"/>
      <c r="M1098" s="180"/>
      <c r="N1098" s="180"/>
      <c r="O1098" s="180"/>
      <c r="P1098" s="180"/>
      <c r="Q1098" s="180"/>
      <c r="R1098" s="180"/>
      <c r="S1098" s="180"/>
      <c r="T1098" s="182"/>
      <c r="U1098" s="183"/>
      <c r="V1098" s="184"/>
      <c r="W1098" s="184"/>
      <c r="X1098" s="184"/>
      <c r="Y1098" s="184"/>
      <c r="Z1098" s="184"/>
      <c r="AA1098" s="184"/>
      <c r="AB1098" s="184"/>
      <c r="AC1098" s="184"/>
      <c r="AD1098" s="184"/>
      <c r="AE1098" s="184"/>
      <c r="AF1098" s="184"/>
      <c r="AG1098" s="184"/>
      <c r="AH1098" s="184"/>
      <c r="AI1098" s="184"/>
      <c r="AJ1098" s="184"/>
      <c r="AK1098" s="184"/>
      <c r="AL1098" s="184"/>
      <c r="AM1098" s="184"/>
      <c r="AN1098" s="184"/>
      <c r="AO1098" s="185"/>
      <c r="AP1098" s="186"/>
      <c r="AQ1098" s="184"/>
      <c r="AR1098" s="184"/>
      <c r="AS1098" s="187"/>
      <c r="AT1098" s="188"/>
    </row>
    <row r="1099" customFormat="false" ht="12.75" hidden="false" customHeight="true" outlineLevel="0" collapsed="false">
      <c r="B1099" s="122"/>
      <c r="C1099" s="123"/>
      <c r="D1099" s="124"/>
      <c r="E1099" s="124"/>
      <c r="F1099" s="125"/>
      <c r="G1099" s="171"/>
      <c r="H1099" s="171"/>
      <c r="I1099" s="172"/>
      <c r="J1099" s="171"/>
      <c r="K1099" s="171"/>
      <c r="L1099" s="171"/>
      <c r="M1099" s="171"/>
      <c r="N1099" s="171"/>
      <c r="O1099" s="171"/>
      <c r="P1099" s="171"/>
      <c r="Q1099" s="171"/>
      <c r="R1099" s="171"/>
      <c r="S1099" s="171"/>
      <c r="T1099" s="173"/>
      <c r="U1099" s="174"/>
      <c r="V1099" s="175"/>
      <c r="W1099" s="175"/>
      <c r="X1099" s="175"/>
      <c r="Y1099" s="175"/>
      <c r="Z1099" s="175"/>
      <c r="AA1099" s="175"/>
      <c r="AB1099" s="175"/>
      <c r="AC1099" s="175"/>
      <c r="AD1099" s="175"/>
      <c r="AE1099" s="175"/>
      <c r="AF1099" s="175"/>
      <c r="AG1099" s="175"/>
      <c r="AH1099" s="175"/>
      <c r="AI1099" s="175"/>
      <c r="AJ1099" s="175"/>
      <c r="AK1099" s="175"/>
      <c r="AL1099" s="175"/>
      <c r="AM1099" s="175"/>
      <c r="AN1099" s="175"/>
      <c r="AO1099" s="176"/>
      <c r="AP1099" s="177"/>
      <c r="AQ1099" s="175"/>
      <c r="AR1099" s="175"/>
      <c r="AS1099" s="178"/>
      <c r="AT1099" s="179"/>
    </row>
    <row r="1100" customFormat="false" ht="12.75" hidden="false" customHeight="true" outlineLevel="0" collapsed="false">
      <c r="B1100" s="122"/>
      <c r="C1100" s="123"/>
      <c r="D1100" s="124"/>
      <c r="E1100" s="124"/>
      <c r="F1100" s="125"/>
      <c r="G1100" s="171"/>
      <c r="H1100" s="171"/>
      <c r="I1100" s="172"/>
      <c r="J1100" s="171"/>
      <c r="K1100" s="171"/>
      <c r="L1100" s="171"/>
      <c r="M1100" s="171"/>
      <c r="N1100" s="171"/>
      <c r="O1100" s="171"/>
      <c r="P1100" s="171"/>
      <c r="Q1100" s="171"/>
      <c r="R1100" s="171"/>
      <c r="S1100" s="171"/>
      <c r="T1100" s="173"/>
      <c r="U1100" s="174"/>
      <c r="V1100" s="175"/>
      <c r="W1100" s="175"/>
      <c r="X1100" s="175"/>
      <c r="Y1100" s="175"/>
      <c r="Z1100" s="175"/>
      <c r="AA1100" s="175"/>
      <c r="AB1100" s="175"/>
      <c r="AC1100" s="175"/>
      <c r="AD1100" s="175"/>
      <c r="AE1100" s="175"/>
      <c r="AF1100" s="175"/>
      <c r="AG1100" s="175"/>
      <c r="AH1100" s="175"/>
      <c r="AI1100" s="175"/>
      <c r="AJ1100" s="175"/>
      <c r="AK1100" s="175"/>
      <c r="AL1100" s="175"/>
      <c r="AM1100" s="175"/>
      <c r="AN1100" s="175"/>
      <c r="AO1100" s="176"/>
      <c r="AP1100" s="177"/>
      <c r="AQ1100" s="175"/>
      <c r="AR1100" s="175"/>
      <c r="AS1100" s="178"/>
      <c r="AT1100" s="179"/>
    </row>
    <row r="1101" customFormat="false" ht="12.75" hidden="false" customHeight="true" outlineLevel="0" collapsed="false">
      <c r="B1101" s="122"/>
      <c r="C1101" s="123"/>
      <c r="D1101" s="124"/>
      <c r="E1101" s="124"/>
      <c r="F1101" s="125"/>
      <c r="G1101" s="171"/>
      <c r="H1101" s="171"/>
      <c r="I1101" s="172"/>
      <c r="J1101" s="171"/>
      <c r="K1101" s="171"/>
      <c r="L1101" s="171"/>
      <c r="M1101" s="171"/>
      <c r="N1101" s="171"/>
      <c r="O1101" s="171"/>
      <c r="P1101" s="171"/>
      <c r="Q1101" s="171"/>
      <c r="R1101" s="171"/>
      <c r="S1101" s="171"/>
      <c r="T1101" s="173"/>
      <c r="U1101" s="174"/>
      <c r="V1101" s="175"/>
      <c r="W1101" s="175"/>
      <c r="X1101" s="175"/>
      <c r="Y1101" s="175"/>
      <c r="Z1101" s="175"/>
      <c r="AA1101" s="175"/>
      <c r="AB1101" s="175"/>
      <c r="AC1101" s="175"/>
      <c r="AD1101" s="175"/>
      <c r="AE1101" s="175"/>
      <c r="AF1101" s="175"/>
      <c r="AG1101" s="175"/>
      <c r="AH1101" s="175"/>
      <c r="AI1101" s="175"/>
      <c r="AJ1101" s="175"/>
      <c r="AK1101" s="175"/>
      <c r="AL1101" s="175"/>
      <c r="AM1101" s="175"/>
      <c r="AN1101" s="175"/>
      <c r="AO1101" s="176"/>
      <c r="AP1101" s="177"/>
      <c r="AQ1101" s="175"/>
      <c r="AR1101" s="175"/>
      <c r="AS1101" s="178"/>
      <c r="AT1101" s="179"/>
    </row>
    <row r="1102" customFormat="false" ht="12.75" hidden="false" customHeight="true" outlineLevel="0" collapsed="false">
      <c r="B1102" s="141"/>
      <c r="C1102" s="132"/>
      <c r="D1102" s="133"/>
      <c r="E1102" s="133"/>
      <c r="F1102" s="134"/>
      <c r="G1102" s="180"/>
      <c r="H1102" s="180"/>
      <c r="I1102" s="181"/>
      <c r="J1102" s="180"/>
      <c r="K1102" s="180"/>
      <c r="L1102" s="180"/>
      <c r="M1102" s="180"/>
      <c r="N1102" s="180"/>
      <c r="O1102" s="180"/>
      <c r="P1102" s="180"/>
      <c r="Q1102" s="180"/>
      <c r="R1102" s="180"/>
      <c r="S1102" s="180"/>
      <c r="T1102" s="182"/>
      <c r="U1102" s="183"/>
      <c r="V1102" s="184"/>
      <c r="W1102" s="184"/>
      <c r="X1102" s="184"/>
      <c r="Y1102" s="184"/>
      <c r="Z1102" s="184"/>
      <c r="AA1102" s="184"/>
      <c r="AB1102" s="184"/>
      <c r="AC1102" s="184"/>
      <c r="AD1102" s="184"/>
      <c r="AE1102" s="184"/>
      <c r="AF1102" s="184"/>
      <c r="AG1102" s="184"/>
      <c r="AH1102" s="184"/>
      <c r="AI1102" s="184"/>
      <c r="AJ1102" s="184"/>
      <c r="AK1102" s="184"/>
      <c r="AL1102" s="184"/>
      <c r="AM1102" s="184"/>
      <c r="AN1102" s="184"/>
      <c r="AO1102" s="185"/>
      <c r="AP1102" s="186"/>
      <c r="AQ1102" s="184"/>
      <c r="AR1102" s="184"/>
      <c r="AS1102" s="187"/>
      <c r="AT1102" s="188"/>
    </row>
    <row r="1103" customFormat="false" ht="12.75" hidden="false" customHeight="true" outlineLevel="0" collapsed="false">
      <c r="B1103" s="122"/>
      <c r="C1103" s="123"/>
      <c r="D1103" s="124"/>
      <c r="E1103" s="124"/>
      <c r="F1103" s="125"/>
      <c r="G1103" s="171"/>
      <c r="H1103" s="171"/>
      <c r="I1103" s="172"/>
      <c r="J1103" s="171"/>
      <c r="K1103" s="171"/>
      <c r="L1103" s="171"/>
      <c r="M1103" s="171"/>
      <c r="N1103" s="171"/>
      <c r="O1103" s="171"/>
      <c r="P1103" s="171"/>
      <c r="Q1103" s="171"/>
      <c r="R1103" s="171"/>
      <c r="S1103" s="171"/>
      <c r="T1103" s="173"/>
      <c r="U1103" s="174"/>
      <c r="V1103" s="175"/>
      <c r="W1103" s="175"/>
      <c r="X1103" s="175"/>
      <c r="Y1103" s="175"/>
      <c r="Z1103" s="175"/>
      <c r="AA1103" s="175"/>
      <c r="AB1103" s="175"/>
      <c r="AC1103" s="175"/>
      <c r="AD1103" s="175"/>
      <c r="AE1103" s="175"/>
      <c r="AF1103" s="175"/>
      <c r="AG1103" s="175"/>
      <c r="AH1103" s="175"/>
      <c r="AI1103" s="175"/>
      <c r="AJ1103" s="175"/>
      <c r="AK1103" s="175"/>
      <c r="AL1103" s="175"/>
      <c r="AM1103" s="175"/>
      <c r="AN1103" s="175"/>
      <c r="AO1103" s="176"/>
      <c r="AP1103" s="177"/>
      <c r="AQ1103" s="175"/>
      <c r="AR1103" s="175"/>
      <c r="AS1103" s="178"/>
      <c r="AT1103" s="179"/>
    </row>
    <row r="1104" customFormat="false" ht="12.75" hidden="false" customHeight="true" outlineLevel="0" collapsed="false">
      <c r="B1104" s="141"/>
      <c r="C1104" s="132"/>
      <c r="D1104" s="133"/>
      <c r="E1104" s="133"/>
      <c r="F1104" s="134"/>
      <c r="G1104" s="180"/>
      <c r="H1104" s="180"/>
      <c r="I1104" s="181"/>
      <c r="J1104" s="180"/>
      <c r="K1104" s="180"/>
      <c r="L1104" s="180"/>
      <c r="M1104" s="180"/>
      <c r="N1104" s="180"/>
      <c r="O1104" s="180"/>
      <c r="P1104" s="180"/>
      <c r="Q1104" s="180"/>
      <c r="R1104" s="180"/>
      <c r="S1104" s="180"/>
      <c r="T1104" s="182"/>
      <c r="U1104" s="183"/>
      <c r="V1104" s="184"/>
      <c r="W1104" s="184"/>
      <c r="X1104" s="184"/>
      <c r="Y1104" s="184"/>
      <c r="Z1104" s="184"/>
      <c r="AA1104" s="184"/>
      <c r="AB1104" s="184"/>
      <c r="AC1104" s="184"/>
      <c r="AD1104" s="184"/>
      <c r="AE1104" s="184"/>
      <c r="AF1104" s="184"/>
      <c r="AG1104" s="184"/>
      <c r="AH1104" s="184"/>
      <c r="AI1104" s="184"/>
      <c r="AJ1104" s="184"/>
      <c r="AK1104" s="184"/>
      <c r="AL1104" s="184"/>
      <c r="AM1104" s="184"/>
      <c r="AN1104" s="184"/>
      <c r="AO1104" s="185"/>
      <c r="AP1104" s="186"/>
      <c r="AQ1104" s="184"/>
      <c r="AR1104" s="184"/>
      <c r="AS1104" s="187"/>
      <c r="AT1104" s="188"/>
    </row>
    <row r="1105" customFormat="false" ht="12.75" hidden="false" customHeight="true" outlineLevel="0" collapsed="false">
      <c r="B1105" s="122"/>
      <c r="C1105" s="123"/>
      <c r="D1105" s="124"/>
      <c r="E1105" s="124"/>
      <c r="F1105" s="125"/>
      <c r="G1105" s="171"/>
      <c r="H1105" s="171"/>
      <c r="I1105" s="172"/>
      <c r="J1105" s="171"/>
      <c r="K1105" s="171"/>
      <c r="L1105" s="171"/>
      <c r="M1105" s="171"/>
      <c r="N1105" s="171"/>
      <c r="O1105" s="171"/>
      <c r="P1105" s="171"/>
      <c r="Q1105" s="171"/>
      <c r="R1105" s="171"/>
      <c r="S1105" s="171"/>
      <c r="T1105" s="173"/>
      <c r="U1105" s="174"/>
      <c r="V1105" s="175"/>
      <c r="W1105" s="175"/>
      <c r="X1105" s="175"/>
      <c r="Y1105" s="175"/>
      <c r="Z1105" s="175"/>
      <c r="AA1105" s="175"/>
      <c r="AB1105" s="175"/>
      <c r="AC1105" s="175"/>
      <c r="AD1105" s="175"/>
      <c r="AE1105" s="175"/>
      <c r="AF1105" s="175"/>
      <c r="AG1105" s="175"/>
      <c r="AH1105" s="175"/>
      <c r="AI1105" s="175"/>
      <c r="AJ1105" s="175"/>
      <c r="AK1105" s="175"/>
      <c r="AL1105" s="175"/>
      <c r="AM1105" s="175"/>
      <c r="AN1105" s="175"/>
      <c r="AO1105" s="176"/>
      <c r="AP1105" s="177"/>
      <c r="AQ1105" s="175"/>
      <c r="AR1105" s="175"/>
      <c r="AS1105" s="178"/>
      <c r="AT1105" s="179"/>
    </row>
    <row r="1106" customFormat="false" ht="12.75" hidden="false" customHeight="true" outlineLevel="0" collapsed="false">
      <c r="B1106" s="122"/>
      <c r="C1106" s="123"/>
      <c r="D1106" s="124"/>
      <c r="E1106" s="124"/>
      <c r="F1106" s="125"/>
      <c r="G1106" s="171"/>
      <c r="H1106" s="171"/>
      <c r="I1106" s="172"/>
      <c r="J1106" s="171"/>
      <c r="K1106" s="171"/>
      <c r="L1106" s="171"/>
      <c r="M1106" s="171"/>
      <c r="N1106" s="171"/>
      <c r="O1106" s="171"/>
      <c r="P1106" s="171"/>
      <c r="Q1106" s="171"/>
      <c r="R1106" s="171"/>
      <c r="S1106" s="171"/>
      <c r="T1106" s="173"/>
      <c r="U1106" s="174"/>
      <c r="V1106" s="175"/>
      <c r="W1106" s="175"/>
      <c r="X1106" s="175"/>
      <c r="Y1106" s="175"/>
      <c r="Z1106" s="175"/>
      <c r="AA1106" s="175"/>
      <c r="AB1106" s="175"/>
      <c r="AC1106" s="175"/>
      <c r="AD1106" s="175"/>
      <c r="AE1106" s="175"/>
      <c r="AF1106" s="175"/>
      <c r="AG1106" s="175"/>
      <c r="AH1106" s="175"/>
      <c r="AI1106" s="175"/>
      <c r="AJ1106" s="175"/>
      <c r="AK1106" s="175"/>
      <c r="AL1106" s="175"/>
      <c r="AM1106" s="175"/>
      <c r="AN1106" s="175"/>
      <c r="AO1106" s="176"/>
      <c r="AP1106" s="177"/>
      <c r="AQ1106" s="175"/>
      <c r="AR1106" s="175"/>
      <c r="AS1106" s="178"/>
      <c r="AT1106" s="179"/>
    </row>
    <row r="1107" customFormat="false" ht="12.75" hidden="false" customHeight="true" outlineLevel="0" collapsed="false">
      <c r="B1107" s="122"/>
      <c r="C1107" s="123"/>
      <c r="D1107" s="124"/>
      <c r="E1107" s="124"/>
      <c r="F1107" s="125"/>
      <c r="G1107" s="171"/>
      <c r="H1107" s="171"/>
      <c r="I1107" s="172"/>
      <c r="J1107" s="171"/>
      <c r="K1107" s="171"/>
      <c r="L1107" s="171"/>
      <c r="M1107" s="171"/>
      <c r="N1107" s="171"/>
      <c r="O1107" s="171"/>
      <c r="P1107" s="171"/>
      <c r="Q1107" s="171"/>
      <c r="R1107" s="171"/>
      <c r="S1107" s="171"/>
      <c r="T1107" s="173"/>
      <c r="U1107" s="174"/>
      <c r="V1107" s="175"/>
      <c r="W1107" s="175"/>
      <c r="X1107" s="175"/>
      <c r="Y1107" s="175"/>
      <c r="Z1107" s="175"/>
      <c r="AA1107" s="175"/>
      <c r="AB1107" s="175"/>
      <c r="AC1107" s="175"/>
      <c r="AD1107" s="175"/>
      <c r="AE1107" s="175"/>
      <c r="AF1107" s="175"/>
      <c r="AG1107" s="175"/>
      <c r="AH1107" s="175"/>
      <c r="AI1107" s="175"/>
      <c r="AJ1107" s="175"/>
      <c r="AK1107" s="175"/>
      <c r="AL1107" s="175"/>
      <c r="AM1107" s="175"/>
      <c r="AN1107" s="175"/>
      <c r="AO1107" s="176"/>
      <c r="AP1107" s="177"/>
      <c r="AQ1107" s="175"/>
      <c r="AR1107" s="175"/>
      <c r="AS1107" s="178"/>
      <c r="AT1107" s="179"/>
    </row>
    <row r="1108" customFormat="false" ht="12.75" hidden="false" customHeight="true" outlineLevel="0" collapsed="false">
      <c r="B1108" s="122"/>
      <c r="C1108" s="123"/>
      <c r="D1108" s="124"/>
      <c r="E1108" s="124"/>
      <c r="F1108" s="125"/>
      <c r="G1108" s="171"/>
      <c r="H1108" s="171"/>
      <c r="I1108" s="172"/>
      <c r="J1108" s="171"/>
      <c r="K1108" s="171"/>
      <c r="L1108" s="171"/>
      <c r="M1108" s="171"/>
      <c r="N1108" s="171"/>
      <c r="O1108" s="171"/>
      <c r="P1108" s="171"/>
      <c r="Q1108" s="171"/>
      <c r="R1108" s="171"/>
      <c r="S1108" s="171"/>
      <c r="T1108" s="173"/>
      <c r="U1108" s="174"/>
      <c r="V1108" s="175"/>
      <c r="W1108" s="175"/>
      <c r="X1108" s="175"/>
      <c r="Y1108" s="175"/>
      <c r="Z1108" s="175"/>
      <c r="AA1108" s="175"/>
      <c r="AB1108" s="175"/>
      <c r="AC1108" s="175"/>
      <c r="AD1108" s="175"/>
      <c r="AE1108" s="175"/>
      <c r="AF1108" s="175"/>
      <c r="AG1108" s="175"/>
      <c r="AH1108" s="175"/>
      <c r="AI1108" s="175"/>
      <c r="AJ1108" s="175"/>
      <c r="AK1108" s="175"/>
      <c r="AL1108" s="175"/>
      <c r="AM1108" s="175"/>
      <c r="AN1108" s="175"/>
      <c r="AO1108" s="176"/>
      <c r="AP1108" s="177"/>
      <c r="AQ1108" s="175"/>
      <c r="AR1108" s="175"/>
      <c r="AS1108" s="178"/>
      <c r="AT1108" s="179"/>
    </row>
    <row r="1109" customFormat="false" ht="12.75" hidden="false" customHeight="true" outlineLevel="0" collapsed="false">
      <c r="B1109" s="141"/>
      <c r="C1109" s="132"/>
      <c r="D1109" s="133"/>
      <c r="E1109" s="133"/>
      <c r="F1109" s="134"/>
      <c r="G1109" s="180"/>
      <c r="H1109" s="180"/>
      <c r="I1109" s="181"/>
      <c r="J1109" s="180"/>
      <c r="K1109" s="180"/>
      <c r="L1109" s="180"/>
      <c r="M1109" s="180"/>
      <c r="N1109" s="180"/>
      <c r="O1109" s="180"/>
      <c r="P1109" s="180"/>
      <c r="Q1109" s="180"/>
      <c r="R1109" s="180"/>
      <c r="S1109" s="180"/>
      <c r="T1109" s="182"/>
      <c r="U1109" s="183"/>
      <c r="V1109" s="184"/>
      <c r="W1109" s="184"/>
      <c r="X1109" s="184"/>
      <c r="Y1109" s="184"/>
      <c r="Z1109" s="184"/>
      <c r="AA1109" s="184"/>
      <c r="AB1109" s="184"/>
      <c r="AC1109" s="184"/>
      <c r="AD1109" s="184"/>
      <c r="AE1109" s="184"/>
      <c r="AF1109" s="184"/>
      <c r="AG1109" s="184"/>
      <c r="AH1109" s="184"/>
      <c r="AI1109" s="184"/>
      <c r="AJ1109" s="184"/>
      <c r="AK1109" s="184"/>
      <c r="AL1109" s="184"/>
      <c r="AM1109" s="184"/>
      <c r="AN1109" s="184"/>
      <c r="AO1109" s="185"/>
      <c r="AP1109" s="186"/>
      <c r="AQ1109" s="184"/>
      <c r="AR1109" s="184"/>
      <c r="AS1109" s="187"/>
      <c r="AT1109" s="188"/>
    </row>
    <row r="1110" customFormat="false" ht="12.75" hidden="false" customHeight="true" outlineLevel="0" collapsed="false">
      <c r="B1110" s="122"/>
      <c r="C1110" s="123"/>
      <c r="D1110" s="124"/>
      <c r="E1110" s="124"/>
      <c r="F1110" s="125"/>
      <c r="G1110" s="171"/>
      <c r="H1110" s="171"/>
      <c r="I1110" s="172"/>
      <c r="J1110" s="171"/>
      <c r="K1110" s="171"/>
      <c r="L1110" s="171"/>
      <c r="M1110" s="171"/>
      <c r="N1110" s="171"/>
      <c r="O1110" s="171"/>
      <c r="P1110" s="171"/>
      <c r="Q1110" s="171"/>
      <c r="R1110" s="171"/>
      <c r="S1110" s="171"/>
      <c r="T1110" s="173"/>
      <c r="U1110" s="174"/>
      <c r="V1110" s="175"/>
      <c r="W1110" s="175"/>
      <c r="X1110" s="175"/>
      <c r="Y1110" s="175"/>
      <c r="Z1110" s="175"/>
      <c r="AA1110" s="175"/>
      <c r="AB1110" s="175"/>
      <c r="AC1110" s="175"/>
      <c r="AD1110" s="175"/>
      <c r="AE1110" s="175"/>
      <c r="AF1110" s="175"/>
      <c r="AG1110" s="175"/>
      <c r="AH1110" s="175"/>
      <c r="AI1110" s="175"/>
      <c r="AJ1110" s="175"/>
      <c r="AK1110" s="175"/>
      <c r="AL1110" s="175"/>
      <c r="AM1110" s="175"/>
      <c r="AN1110" s="175"/>
      <c r="AO1110" s="176"/>
      <c r="AP1110" s="177"/>
      <c r="AQ1110" s="175"/>
      <c r="AR1110" s="175"/>
      <c r="AS1110" s="178"/>
      <c r="AT1110" s="179"/>
    </row>
    <row r="1111" customFormat="false" ht="12.75" hidden="false" customHeight="true" outlineLevel="0" collapsed="false">
      <c r="B1111" s="122"/>
      <c r="C1111" s="123"/>
      <c r="D1111" s="124"/>
      <c r="E1111" s="124"/>
      <c r="F1111" s="125"/>
      <c r="G1111" s="171"/>
      <c r="H1111" s="171"/>
      <c r="I1111" s="172"/>
      <c r="J1111" s="171"/>
      <c r="K1111" s="171"/>
      <c r="L1111" s="171"/>
      <c r="M1111" s="171"/>
      <c r="N1111" s="171"/>
      <c r="O1111" s="171"/>
      <c r="P1111" s="171"/>
      <c r="Q1111" s="171"/>
      <c r="R1111" s="171"/>
      <c r="S1111" s="171"/>
      <c r="T1111" s="173"/>
      <c r="U1111" s="174"/>
      <c r="V1111" s="175"/>
      <c r="W1111" s="175"/>
      <c r="X1111" s="175"/>
      <c r="Y1111" s="175"/>
      <c r="Z1111" s="175"/>
      <c r="AA1111" s="175"/>
      <c r="AB1111" s="175"/>
      <c r="AC1111" s="175"/>
      <c r="AD1111" s="175"/>
      <c r="AE1111" s="175"/>
      <c r="AF1111" s="175"/>
      <c r="AG1111" s="175"/>
      <c r="AH1111" s="175"/>
      <c r="AI1111" s="175"/>
      <c r="AJ1111" s="175"/>
      <c r="AK1111" s="175"/>
      <c r="AL1111" s="175"/>
      <c r="AM1111" s="175"/>
      <c r="AN1111" s="175"/>
      <c r="AO1111" s="176"/>
      <c r="AP1111" s="177"/>
      <c r="AQ1111" s="175"/>
      <c r="AR1111" s="175"/>
      <c r="AS1111" s="178"/>
      <c r="AT1111" s="179"/>
    </row>
    <row r="1112" customFormat="false" ht="12.75" hidden="false" customHeight="true" outlineLevel="0" collapsed="false">
      <c r="B1112" s="122"/>
      <c r="C1112" s="123"/>
      <c r="D1112" s="124"/>
      <c r="E1112" s="124"/>
      <c r="F1112" s="125"/>
      <c r="G1112" s="171"/>
      <c r="H1112" s="171"/>
      <c r="I1112" s="172"/>
      <c r="J1112" s="171"/>
      <c r="K1112" s="171"/>
      <c r="L1112" s="171"/>
      <c r="M1112" s="171"/>
      <c r="N1112" s="171"/>
      <c r="O1112" s="171"/>
      <c r="P1112" s="171"/>
      <c r="Q1112" s="171"/>
      <c r="R1112" s="171"/>
      <c r="S1112" s="171"/>
      <c r="T1112" s="173"/>
      <c r="U1112" s="174"/>
      <c r="V1112" s="175"/>
      <c r="W1112" s="175"/>
      <c r="X1112" s="175"/>
      <c r="Y1112" s="175"/>
      <c r="Z1112" s="175"/>
      <c r="AA1112" s="175"/>
      <c r="AB1112" s="175"/>
      <c r="AC1112" s="175"/>
      <c r="AD1112" s="175"/>
      <c r="AE1112" s="175"/>
      <c r="AF1112" s="175"/>
      <c r="AG1112" s="175"/>
      <c r="AH1112" s="175"/>
      <c r="AI1112" s="175"/>
      <c r="AJ1112" s="175"/>
      <c r="AK1112" s="175"/>
      <c r="AL1112" s="175"/>
      <c r="AM1112" s="175"/>
      <c r="AN1112" s="175"/>
      <c r="AO1112" s="176"/>
      <c r="AP1112" s="177"/>
      <c r="AQ1112" s="175"/>
      <c r="AR1112" s="175"/>
      <c r="AS1112" s="178"/>
      <c r="AT1112" s="179"/>
    </row>
    <row r="1113" customFormat="false" ht="12.75" hidden="false" customHeight="true" outlineLevel="0" collapsed="false">
      <c r="B1113" s="141"/>
      <c r="C1113" s="132"/>
      <c r="D1113" s="133"/>
      <c r="E1113" s="133"/>
      <c r="F1113" s="134"/>
      <c r="G1113" s="180"/>
      <c r="H1113" s="180"/>
      <c r="I1113" s="181"/>
      <c r="J1113" s="180"/>
      <c r="K1113" s="180"/>
      <c r="L1113" s="180"/>
      <c r="M1113" s="180"/>
      <c r="N1113" s="180"/>
      <c r="O1113" s="180"/>
      <c r="P1113" s="180"/>
      <c r="Q1113" s="180"/>
      <c r="R1113" s="180"/>
      <c r="S1113" s="180"/>
      <c r="T1113" s="182"/>
      <c r="U1113" s="183"/>
      <c r="V1113" s="184"/>
      <c r="W1113" s="184"/>
      <c r="X1113" s="184"/>
      <c r="Y1113" s="184"/>
      <c r="Z1113" s="184"/>
      <c r="AA1113" s="184"/>
      <c r="AB1113" s="184"/>
      <c r="AC1113" s="184"/>
      <c r="AD1113" s="184"/>
      <c r="AE1113" s="184"/>
      <c r="AF1113" s="184"/>
      <c r="AG1113" s="184"/>
      <c r="AH1113" s="184"/>
      <c r="AI1113" s="184"/>
      <c r="AJ1113" s="184"/>
      <c r="AK1113" s="184"/>
      <c r="AL1113" s="184"/>
      <c r="AM1113" s="184"/>
      <c r="AN1113" s="184"/>
      <c r="AO1113" s="185"/>
      <c r="AP1113" s="186"/>
      <c r="AQ1113" s="184"/>
      <c r="AR1113" s="184"/>
      <c r="AS1113" s="187"/>
      <c r="AT1113" s="188"/>
    </row>
    <row r="1114" customFormat="false" ht="12.75" hidden="false" customHeight="true" outlineLevel="0" collapsed="false">
      <c r="B1114" s="122"/>
      <c r="C1114" s="123"/>
      <c r="D1114" s="124"/>
      <c r="E1114" s="124"/>
      <c r="F1114" s="125"/>
      <c r="G1114" s="171"/>
      <c r="H1114" s="171"/>
      <c r="I1114" s="172"/>
      <c r="J1114" s="171"/>
      <c r="K1114" s="171"/>
      <c r="L1114" s="171"/>
      <c r="M1114" s="171"/>
      <c r="N1114" s="171"/>
      <c r="O1114" s="171"/>
      <c r="P1114" s="171"/>
      <c r="Q1114" s="171"/>
      <c r="R1114" s="171"/>
      <c r="S1114" s="171"/>
      <c r="T1114" s="173"/>
      <c r="U1114" s="174"/>
      <c r="V1114" s="175"/>
      <c r="W1114" s="175"/>
      <c r="X1114" s="175"/>
      <c r="Y1114" s="175"/>
      <c r="Z1114" s="175"/>
      <c r="AA1114" s="175"/>
      <c r="AB1114" s="175"/>
      <c r="AC1114" s="175"/>
      <c r="AD1114" s="175"/>
      <c r="AE1114" s="175"/>
      <c r="AF1114" s="175"/>
      <c r="AG1114" s="175"/>
      <c r="AH1114" s="175"/>
      <c r="AI1114" s="175"/>
      <c r="AJ1114" s="175"/>
      <c r="AK1114" s="175"/>
      <c r="AL1114" s="175"/>
      <c r="AM1114" s="175"/>
      <c r="AN1114" s="175"/>
      <c r="AO1114" s="176"/>
      <c r="AP1114" s="177"/>
      <c r="AQ1114" s="175"/>
      <c r="AR1114" s="175"/>
      <c r="AS1114" s="178"/>
      <c r="AT1114" s="179"/>
    </row>
    <row r="1115" customFormat="false" ht="12.75" hidden="false" customHeight="true" outlineLevel="0" collapsed="false">
      <c r="B1115" s="141"/>
      <c r="C1115" s="132"/>
      <c r="D1115" s="133"/>
      <c r="E1115" s="133"/>
      <c r="F1115" s="134"/>
      <c r="G1115" s="180"/>
      <c r="H1115" s="180"/>
      <c r="I1115" s="181"/>
      <c r="J1115" s="180"/>
      <c r="K1115" s="180"/>
      <c r="L1115" s="180"/>
      <c r="M1115" s="180"/>
      <c r="N1115" s="180"/>
      <c r="O1115" s="180"/>
      <c r="P1115" s="180"/>
      <c r="Q1115" s="180"/>
      <c r="R1115" s="180"/>
      <c r="S1115" s="180"/>
      <c r="T1115" s="182"/>
      <c r="U1115" s="183"/>
      <c r="V1115" s="184"/>
      <c r="W1115" s="184"/>
      <c r="X1115" s="184"/>
      <c r="Y1115" s="184"/>
      <c r="Z1115" s="184"/>
      <c r="AA1115" s="184"/>
      <c r="AB1115" s="184"/>
      <c r="AC1115" s="184"/>
      <c r="AD1115" s="184"/>
      <c r="AE1115" s="184"/>
      <c r="AF1115" s="184"/>
      <c r="AG1115" s="184"/>
      <c r="AH1115" s="184"/>
      <c r="AI1115" s="184"/>
      <c r="AJ1115" s="184"/>
      <c r="AK1115" s="184"/>
      <c r="AL1115" s="184"/>
      <c r="AM1115" s="184"/>
      <c r="AN1115" s="184"/>
      <c r="AO1115" s="185"/>
      <c r="AP1115" s="186"/>
      <c r="AQ1115" s="184"/>
      <c r="AR1115" s="184"/>
      <c r="AS1115" s="187"/>
      <c r="AT1115" s="188"/>
    </row>
    <row r="1116" customFormat="false" ht="12.75" hidden="false" customHeight="true" outlineLevel="0" collapsed="false">
      <c r="B1116" s="122"/>
      <c r="C1116" s="123"/>
      <c r="D1116" s="124"/>
      <c r="E1116" s="124"/>
      <c r="F1116" s="125"/>
      <c r="G1116" s="171"/>
      <c r="H1116" s="171"/>
      <c r="I1116" s="172"/>
      <c r="J1116" s="171"/>
      <c r="K1116" s="171"/>
      <c r="L1116" s="171"/>
      <c r="M1116" s="171"/>
      <c r="N1116" s="171"/>
      <c r="O1116" s="171"/>
      <c r="P1116" s="171"/>
      <c r="Q1116" s="171"/>
      <c r="R1116" s="171"/>
      <c r="S1116" s="171"/>
      <c r="T1116" s="173"/>
      <c r="U1116" s="174"/>
      <c r="V1116" s="175"/>
      <c r="W1116" s="175"/>
      <c r="X1116" s="175"/>
      <c r="Y1116" s="175"/>
      <c r="Z1116" s="175"/>
      <c r="AA1116" s="175"/>
      <c r="AB1116" s="175"/>
      <c r="AC1116" s="175"/>
      <c r="AD1116" s="175"/>
      <c r="AE1116" s="175"/>
      <c r="AF1116" s="175"/>
      <c r="AG1116" s="175"/>
      <c r="AH1116" s="175"/>
      <c r="AI1116" s="175"/>
      <c r="AJ1116" s="175"/>
      <c r="AK1116" s="175"/>
      <c r="AL1116" s="175"/>
      <c r="AM1116" s="175"/>
      <c r="AN1116" s="175"/>
      <c r="AO1116" s="176"/>
      <c r="AP1116" s="177"/>
      <c r="AQ1116" s="175"/>
      <c r="AR1116" s="175"/>
      <c r="AS1116" s="178"/>
      <c r="AT1116" s="179"/>
    </row>
    <row r="1117" customFormat="false" ht="12.75" hidden="false" customHeight="true" outlineLevel="0" collapsed="false">
      <c r="B1117" s="122"/>
      <c r="C1117" s="123"/>
      <c r="D1117" s="124"/>
      <c r="E1117" s="124"/>
      <c r="F1117" s="125"/>
      <c r="G1117" s="171"/>
      <c r="H1117" s="171"/>
      <c r="I1117" s="172"/>
      <c r="J1117" s="171"/>
      <c r="K1117" s="171"/>
      <c r="L1117" s="171"/>
      <c r="M1117" s="171"/>
      <c r="N1117" s="171"/>
      <c r="O1117" s="171"/>
      <c r="P1117" s="171"/>
      <c r="Q1117" s="171"/>
      <c r="R1117" s="171"/>
      <c r="S1117" s="171"/>
      <c r="T1117" s="173"/>
      <c r="U1117" s="174"/>
      <c r="V1117" s="175"/>
      <c r="W1117" s="175"/>
      <c r="X1117" s="175"/>
      <c r="Y1117" s="175"/>
      <c r="Z1117" s="175"/>
      <c r="AA1117" s="175"/>
      <c r="AB1117" s="175"/>
      <c r="AC1117" s="175"/>
      <c r="AD1117" s="175"/>
      <c r="AE1117" s="175"/>
      <c r="AF1117" s="175"/>
      <c r="AG1117" s="175"/>
      <c r="AH1117" s="175"/>
      <c r="AI1117" s="175"/>
      <c r="AJ1117" s="175"/>
      <c r="AK1117" s="175"/>
      <c r="AL1117" s="175"/>
      <c r="AM1117" s="175"/>
      <c r="AN1117" s="175"/>
      <c r="AO1117" s="176"/>
      <c r="AP1117" s="177"/>
      <c r="AQ1117" s="175"/>
      <c r="AR1117" s="175"/>
      <c r="AS1117" s="178"/>
      <c r="AT1117" s="179"/>
    </row>
    <row r="1118" customFormat="false" ht="12.75" hidden="false" customHeight="true" outlineLevel="0" collapsed="false">
      <c r="B1118" s="122"/>
      <c r="C1118" s="123"/>
      <c r="D1118" s="124"/>
      <c r="E1118" s="124"/>
      <c r="F1118" s="125"/>
      <c r="G1118" s="171"/>
      <c r="H1118" s="171"/>
      <c r="I1118" s="172"/>
      <c r="J1118" s="171"/>
      <c r="K1118" s="171"/>
      <c r="L1118" s="171"/>
      <c r="M1118" s="171"/>
      <c r="N1118" s="171"/>
      <c r="O1118" s="171"/>
      <c r="P1118" s="171"/>
      <c r="Q1118" s="171"/>
      <c r="R1118" s="171"/>
      <c r="S1118" s="171"/>
      <c r="T1118" s="173"/>
      <c r="U1118" s="174"/>
      <c r="V1118" s="175"/>
      <c r="W1118" s="175"/>
      <c r="X1118" s="175"/>
      <c r="Y1118" s="175"/>
      <c r="Z1118" s="175"/>
      <c r="AA1118" s="175"/>
      <c r="AB1118" s="175"/>
      <c r="AC1118" s="175"/>
      <c r="AD1118" s="175"/>
      <c r="AE1118" s="175"/>
      <c r="AF1118" s="175"/>
      <c r="AG1118" s="175"/>
      <c r="AH1118" s="175"/>
      <c r="AI1118" s="175"/>
      <c r="AJ1118" s="175"/>
      <c r="AK1118" s="175"/>
      <c r="AL1118" s="175"/>
      <c r="AM1118" s="175"/>
      <c r="AN1118" s="175"/>
      <c r="AO1118" s="176"/>
      <c r="AP1118" s="177"/>
      <c r="AQ1118" s="175"/>
      <c r="AR1118" s="175"/>
      <c r="AS1118" s="178"/>
      <c r="AT1118" s="179"/>
    </row>
    <row r="1119" customFormat="false" ht="12.75" hidden="false" customHeight="true" outlineLevel="0" collapsed="false">
      <c r="B1119" s="122"/>
      <c r="C1119" s="123"/>
      <c r="D1119" s="124"/>
      <c r="E1119" s="124"/>
      <c r="F1119" s="125"/>
      <c r="G1119" s="171"/>
      <c r="H1119" s="171"/>
      <c r="I1119" s="172"/>
      <c r="J1119" s="171"/>
      <c r="K1119" s="171"/>
      <c r="L1119" s="171"/>
      <c r="M1119" s="171"/>
      <c r="N1119" s="171"/>
      <c r="O1119" s="171"/>
      <c r="P1119" s="171"/>
      <c r="Q1119" s="171"/>
      <c r="R1119" s="171"/>
      <c r="S1119" s="171"/>
      <c r="T1119" s="173"/>
      <c r="U1119" s="174"/>
      <c r="V1119" s="175"/>
      <c r="W1119" s="175"/>
      <c r="X1119" s="175"/>
      <c r="Y1119" s="175"/>
      <c r="Z1119" s="175"/>
      <c r="AA1119" s="175"/>
      <c r="AB1119" s="175"/>
      <c r="AC1119" s="175"/>
      <c r="AD1119" s="175"/>
      <c r="AE1119" s="175"/>
      <c r="AF1119" s="175"/>
      <c r="AG1119" s="175"/>
      <c r="AH1119" s="175"/>
      <c r="AI1119" s="175"/>
      <c r="AJ1119" s="175"/>
      <c r="AK1119" s="175"/>
      <c r="AL1119" s="175"/>
      <c r="AM1119" s="175"/>
      <c r="AN1119" s="175"/>
      <c r="AO1119" s="176"/>
      <c r="AP1119" s="177"/>
      <c r="AQ1119" s="175"/>
      <c r="AR1119" s="175"/>
      <c r="AS1119" s="178"/>
      <c r="AT1119" s="179"/>
    </row>
    <row r="1120" customFormat="false" ht="12.75" hidden="false" customHeight="true" outlineLevel="0" collapsed="false">
      <c r="B1120" s="141"/>
      <c r="C1120" s="132"/>
      <c r="D1120" s="133"/>
      <c r="E1120" s="133"/>
      <c r="F1120" s="134"/>
      <c r="G1120" s="180"/>
      <c r="H1120" s="180"/>
      <c r="I1120" s="181"/>
      <c r="J1120" s="180"/>
      <c r="K1120" s="180"/>
      <c r="L1120" s="180"/>
      <c r="M1120" s="180"/>
      <c r="N1120" s="180"/>
      <c r="O1120" s="180"/>
      <c r="P1120" s="180"/>
      <c r="Q1120" s="180"/>
      <c r="R1120" s="180"/>
      <c r="S1120" s="180"/>
      <c r="T1120" s="182"/>
      <c r="U1120" s="183"/>
      <c r="V1120" s="184"/>
      <c r="W1120" s="184"/>
      <c r="X1120" s="184"/>
      <c r="Y1120" s="184"/>
      <c r="Z1120" s="184"/>
      <c r="AA1120" s="184"/>
      <c r="AB1120" s="184"/>
      <c r="AC1120" s="184"/>
      <c r="AD1120" s="184"/>
      <c r="AE1120" s="184"/>
      <c r="AF1120" s="184"/>
      <c r="AG1120" s="184"/>
      <c r="AH1120" s="184"/>
      <c r="AI1120" s="184"/>
      <c r="AJ1120" s="184"/>
      <c r="AK1120" s="184"/>
      <c r="AL1120" s="184"/>
      <c r="AM1120" s="184"/>
      <c r="AN1120" s="184"/>
      <c r="AO1120" s="185"/>
      <c r="AP1120" s="186"/>
      <c r="AQ1120" s="184"/>
      <c r="AR1120" s="184"/>
      <c r="AS1120" s="187"/>
      <c r="AT1120" s="188"/>
    </row>
    <row r="1121" customFormat="false" ht="12.75" hidden="false" customHeight="true" outlineLevel="0" collapsed="false">
      <c r="B1121" s="122"/>
      <c r="C1121" s="123"/>
      <c r="D1121" s="124"/>
      <c r="E1121" s="124"/>
      <c r="F1121" s="125"/>
      <c r="G1121" s="171"/>
      <c r="H1121" s="171"/>
      <c r="I1121" s="172"/>
      <c r="J1121" s="171"/>
      <c r="K1121" s="171"/>
      <c r="L1121" s="171"/>
      <c r="M1121" s="171"/>
      <c r="N1121" s="171"/>
      <c r="O1121" s="171"/>
      <c r="P1121" s="171"/>
      <c r="Q1121" s="171"/>
      <c r="R1121" s="171"/>
      <c r="S1121" s="171"/>
      <c r="T1121" s="173"/>
      <c r="U1121" s="174"/>
      <c r="V1121" s="175"/>
      <c r="W1121" s="175"/>
      <c r="X1121" s="175"/>
      <c r="Y1121" s="175"/>
      <c r="Z1121" s="175"/>
      <c r="AA1121" s="175"/>
      <c r="AB1121" s="175"/>
      <c r="AC1121" s="175"/>
      <c r="AD1121" s="175"/>
      <c r="AE1121" s="175"/>
      <c r="AF1121" s="175"/>
      <c r="AG1121" s="175"/>
      <c r="AH1121" s="175"/>
      <c r="AI1121" s="175"/>
      <c r="AJ1121" s="175"/>
      <c r="AK1121" s="175"/>
      <c r="AL1121" s="175"/>
      <c r="AM1121" s="175"/>
      <c r="AN1121" s="175"/>
      <c r="AO1121" s="176"/>
      <c r="AP1121" s="177"/>
      <c r="AQ1121" s="175"/>
      <c r="AR1121" s="175"/>
      <c r="AS1121" s="178"/>
      <c r="AT1121" s="179"/>
    </row>
    <row r="1122" customFormat="false" ht="12.75" hidden="false" customHeight="true" outlineLevel="0" collapsed="false">
      <c r="B1122" s="122"/>
      <c r="C1122" s="123"/>
      <c r="D1122" s="124"/>
      <c r="E1122" s="124"/>
      <c r="F1122" s="125"/>
      <c r="G1122" s="171"/>
      <c r="H1122" s="171"/>
      <c r="I1122" s="172"/>
      <c r="J1122" s="171"/>
      <c r="K1122" s="171"/>
      <c r="L1122" s="171"/>
      <c r="M1122" s="171"/>
      <c r="N1122" s="171"/>
      <c r="O1122" s="171"/>
      <c r="P1122" s="171"/>
      <c r="Q1122" s="171"/>
      <c r="R1122" s="171"/>
      <c r="S1122" s="171"/>
      <c r="T1122" s="173"/>
      <c r="U1122" s="174"/>
      <c r="V1122" s="175"/>
      <c r="W1122" s="175"/>
      <c r="X1122" s="175"/>
      <c r="Y1122" s="175"/>
      <c r="Z1122" s="175"/>
      <c r="AA1122" s="175"/>
      <c r="AB1122" s="175"/>
      <c r="AC1122" s="175"/>
      <c r="AD1122" s="175"/>
      <c r="AE1122" s="175"/>
      <c r="AF1122" s="175"/>
      <c r="AG1122" s="175"/>
      <c r="AH1122" s="175"/>
      <c r="AI1122" s="175"/>
      <c r="AJ1122" s="175"/>
      <c r="AK1122" s="175"/>
      <c r="AL1122" s="175"/>
      <c r="AM1122" s="175"/>
      <c r="AN1122" s="175"/>
      <c r="AO1122" s="176"/>
      <c r="AP1122" s="177"/>
      <c r="AQ1122" s="175"/>
      <c r="AR1122" s="175"/>
      <c r="AS1122" s="178"/>
      <c r="AT1122" s="179"/>
    </row>
    <row r="1123" customFormat="false" ht="12.75" hidden="false" customHeight="true" outlineLevel="0" collapsed="false">
      <c r="B1123" s="122"/>
      <c r="C1123" s="123"/>
      <c r="D1123" s="124"/>
      <c r="E1123" s="124"/>
      <c r="F1123" s="125"/>
      <c r="G1123" s="171"/>
      <c r="H1123" s="171"/>
      <c r="I1123" s="172"/>
      <c r="J1123" s="171"/>
      <c r="K1123" s="171"/>
      <c r="L1123" s="171"/>
      <c r="M1123" s="171"/>
      <c r="N1123" s="171"/>
      <c r="O1123" s="171"/>
      <c r="P1123" s="171"/>
      <c r="Q1123" s="171"/>
      <c r="R1123" s="171"/>
      <c r="S1123" s="171"/>
      <c r="T1123" s="173"/>
      <c r="U1123" s="174"/>
      <c r="V1123" s="175"/>
      <c r="W1123" s="175"/>
      <c r="X1123" s="175"/>
      <c r="Y1123" s="175"/>
      <c r="Z1123" s="175"/>
      <c r="AA1123" s="175"/>
      <c r="AB1123" s="175"/>
      <c r="AC1123" s="175"/>
      <c r="AD1123" s="175"/>
      <c r="AE1123" s="175"/>
      <c r="AF1123" s="175"/>
      <c r="AG1123" s="175"/>
      <c r="AH1123" s="175"/>
      <c r="AI1123" s="175"/>
      <c r="AJ1123" s="175"/>
      <c r="AK1123" s="175"/>
      <c r="AL1123" s="175"/>
      <c r="AM1123" s="175"/>
      <c r="AN1123" s="175"/>
      <c r="AO1123" s="176"/>
      <c r="AP1123" s="177"/>
      <c r="AQ1123" s="175"/>
      <c r="AR1123" s="175"/>
      <c r="AS1123" s="178"/>
      <c r="AT1123" s="179"/>
    </row>
    <row r="1124" customFormat="false" ht="12.75" hidden="false" customHeight="true" outlineLevel="0" collapsed="false">
      <c r="B1124" s="141"/>
      <c r="C1124" s="132"/>
      <c r="D1124" s="133"/>
      <c r="E1124" s="133"/>
      <c r="F1124" s="134"/>
      <c r="G1124" s="180"/>
      <c r="H1124" s="180"/>
      <c r="I1124" s="181"/>
      <c r="J1124" s="180"/>
      <c r="K1124" s="180"/>
      <c r="L1124" s="180"/>
      <c r="M1124" s="180"/>
      <c r="N1124" s="180"/>
      <c r="O1124" s="180"/>
      <c r="P1124" s="180"/>
      <c r="Q1124" s="180"/>
      <c r="R1124" s="180"/>
      <c r="S1124" s="180"/>
      <c r="T1124" s="182"/>
      <c r="U1124" s="183"/>
      <c r="V1124" s="184"/>
      <c r="W1124" s="184"/>
      <c r="X1124" s="184"/>
      <c r="Y1124" s="184"/>
      <c r="Z1124" s="184"/>
      <c r="AA1124" s="184"/>
      <c r="AB1124" s="184"/>
      <c r="AC1124" s="184"/>
      <c r="AD1124" s="184"/>
      <c r="AE1124" s="184"/>
      <c r="AF1124" s="184"/>
      <c r="AG1124" s="184"/>
      <c r="AH1124" s="184"/>
      <c r="AI1124" s="184"/>
      <c r="AJ1124" s="184"/>
      <c r="AK1124" s="184"/>
      <c r="AL1124" s="184"/>
      <c r="AM1124" s="184"/>
      <c r="AN1124" s="184"/>
      <c r="AO1124" s="185"/>
      <c r="AP1124" s="186"/>
      <c r="AQ1124" s="184"/>
      <c r="AR1124" s="184"/>
      <c r="AS1124" s="187"/>
      <c r="AT1124" s="188"/>
    </row>
    <row r="1125" customFormat="false" ht="12.75" hidden="false" customHeight="true" outlineLevel="0" collapsed="false">
      <c r="B1125" s="122"/>
      <c r="C1125" s="123"/>
      <c r="D1125" s="124"/>
      <c r="E1125" s="124"/>
      <c r="F1125" s="125"/>
      <c r="G1125" s="171"/>
      <c r="H1125" s="171"/>
      <c r="I1125" s="172"/>
      <c r="J1125" s="171"/>
      <c r="K1125" s="171"/>
      <c r="L1125" s="171"/>
      <c r="M1125" s="171"/>
      <c r="N1125" s="171"/>
      <c r="O1125" s="171"/>
      <c r="P1125" s="171"/>
      <c r="Q1125" s="171"/>
      <c r="R1125" s="171"/>
      <c r="S1125" s="171"/>
      <c r="T1125" s="173"/>
      <c r="U1125" s="174"/>
      <c r="V1125" s="175"/>
      <c r="W1125" s="175"/>
      <c r="X1125" s="175"/>
      <c r="Y1125" s="175"/>
      <c r="Z1125" s="175"/>
      <c r="AA1125" s="175"/>
      <c r="AB1125" s="175"/>
      <c r="AC1125" s="175"/>
      <c r="AD1125" s="175"/>
      <c r="AE1125" s="175"/>
      <c r="AF1125" s="175"/>
      <c r="AG1125" s="175"/>
      <c r="AH1125" s="175"/>
      <c r="AI1125" s="175"/>
      <c r="AJ1125" s="175"/>
      <c r="AK1125" s="175"/>
      <c r="AL1125" s="175"/>
      <c r="AM1125" s="175"/>
      <c r="AN1125" s="175"/>
      <c r="AO1125" s="176"/>
      <c r="AP1125" s="177"/>
      <c r="AQ1125" s="175"/>
      <c r="AR1125" s="175"/>
      <c r="AS1125" s="178"/>
      <c r="AT1125" s="179"/>
    </row>
    <row r="1126" customFormat="false" ht="12.75" hidden="false" customHeight="true" outlineLevel="0" collapsed="false">
      <c r="B1126" s="122"/>
      <c r="C1126" s="123"/>
      <c r="D1126" s="124"/>
      <c r="E1126" s="124"/>
      <c r="F1126" s="125"/>
      <c r="G1126" s="171"/>
      <c r="H1126" s="171"/>
      <c r="I1126" s="172"/>
      <c r="J1126" s="171"/>
      <c r="K1126" s="171"/>
      <c r="L1126" s="171"/>
      <c r="M1126" s="171"/>
      <c r="N1126" s="171"/>
      <c r="O1126" s="171"/>
      <c r="P1126" s="171"/>
      <c r="Q1126" s="171"/>
      <c r="R1126" s="171"/>
      <c r="S1126" s="171"/>
      <c r="T1126" s="173"/>
      <c r="U1126" s="174"/>
      <c r="V1126" s="175"/>
      <c r="W1126" s="175"/>
      <c r="X1126" s="175"/>
      <c r="Y1126" s="175"/>
      <c r="Z1126" s="175"/>
      <c r="AA1126" s="175"/>
      <c r="AB1126" s="175"/>
      <c r="AC1126" s="175"/>
      <c r="AD1126" s="175"/>
      <c r="AE1126" s="175"/>
      <c r="AF1126" s="175"/>
      <c r="AG1126" s="175"/>
      <c r="AH1126" s="175"/>
      <c r="AI1126" s="175"/>
      <c r="AJ1126" s="175"/>
      <c r="AK1126" s="175"/>
      <c r="AL1126" s="175"/>
      <c r="AM1126" s="175"/>
      <c r="AN1126" s="175"/>
      <c r="AO1126" s="176"/>
      <c r="AP1126" s="177"/>
      <c r="AQ1126" s="175"/>
      <c r="AR1126" s="175"/>
      <c r="AS1126" s="178"/>
      <c r="AT1126" s="179"/>
    </row>
    <row r="1127" customFormat="false" ht="12.75" hidden="false" customHeight="true" outlineLevel="0" collapsed="false">
      <c r="B1127" s="141"/>
      <c r="C1127" s="132"/>
      <c r="D1127" s="133"/>
      <c r="E1127" s="133"/>
      <c r="F1127" s="134"/>
      <c r="G1127" s="180"/>
      <c r="H1127" s="180"/>
      <c r="I1127" s="181"/>
      <c r="J1127" s="180"/>
      <c r="K1127" s="180"/>
      <c r="L1127" s="180"/>
      <c r="M1127" s="180"/>
      <c r="N1127" s="180"/>
      <c r="O1127" s="180"/>
      <c r="P1127" s="180"/>
      <c r="Q1127" s="180"/>
      <c r="R1127" s="180"/>
      <c r="S1127" s="180"/>
      <c r="T1127" s="182"/>
      <c r="U1127" s="183"/>
      <c r="V1127" s="184"/>
      <c r="W1127" s="184"/>
      <c r="X1127" s="184"/>
      <c r="Y1127" s="184"/>
      <c r="Z1127" s="184"/>
      <c r="AA1127" s="184"/>
      <c r="AB1127" s="184"/>
      <c r="AC1127" s="184"/>
      <c r="AD1127" s="184"/>
      <c r="AE1127" s="184"/>
      <c r="AF1127" s="184"/>
      <c r="AG1127" s="184"/>
      <c r="AH1127" s="184"/>
      <c r="AI1127" s="184"/>
      <c r="AJ1127" s="184"/>
      <c r="AK1127" s="184"/>
      <c r="AL1127" s="184"/>
      <c r="AM1127" s="184"/>
      <c r="AN1127" s="184"/>
      <c r="AO1127" s="185"/>
      <c r="AP1127" s="186"/>
      <c r="AQ1127" s="184"/>
      <c r="AR1127" s="184"/>
      <c r="AS1127" s="187"/>
      <c r="AT1127" s="188"/>
    </row>
    <row r="1128" customFormat="false" ht="12.75" hidden="false" customHeight="true" outlineLevel="0" collapsed="false">
      <c r="B1128" s="122"/>
      <c r="C1128" s="123"/>
      <c r="D1128" s="124"/>
      <c r="E1128" s="124"/>
      <c r="F1128" s="125"/>
      <c r="G1128" s="171"/>
      <c r="H1128" s="171"/>
      <c r="I1128" s="172"/>
      <c r="J1128" s="171"/>
      <c r="K1128" s="171"/>
      <c r="L1128" s="171"/>
      <c r="M1128" s="171"/>
      <c r="N1128" s="171"/>
      <c r="O1128" s="171"/>
      <c r="P1128" s="171"/>
      <c r="Q1128" s="171"/>
      <c r="R1128" s="171"/>
      <c r="S1128" s="171"/>
      <c r="T1128" s="173"/>
      <c r="U1128" s="174"/>
      <c r="V1128" s="175"/>
      <c r="W1128" s="175"/>
      <c r="X1128" s="175"/>
      <c r="Y1128" s="175"/>
      <c r="Z1128" s="175"/>
      <c r="AA1128" s="175"/>
      <c r="AB1128" s="175"/>
      <c r="AC1128" s="175"/>
      <c r="AD1128" s="175"/>
      <c r="AE1128" s="175"/>
      <c r="AF1128" s="175"/>
      <c r="AG1128" s="175"/>
      <c r="AH1128" s="175"/>
      <c r="AI1128" s="175"/>
      <c r="AJ1128" s="175"/>
      <c r="AK1128" s="175"/>
      <c r="AL1128" s="175"/>
      <c r="AM1128" s="175"/>
      <c r="AN1128" s="175"/>
      <c r="AO1128" s="176"/>
      <c r="AP1128" s="177"/>
      <c r="AQ1128" s="175"/>
      <c r="AR1128" s="175"/>
      <c r="AS1128" s="178"/>
      <c r="AT1128" s="179"/>
    </row>
    <row r="1129" customFormat="false" ht="12.75" hidden="false" customHeight="true" outlineLevel="0" collapsed="false">
      <c r="B1129" s="122"/>
      <c r="C1129" s="123"/>
      <c r="D1129" s="124"/>
      <c r="E1129" s="124"/>
      <c r="F1129" s="125"/>
      <c r="G1129" s="171"/>
      <c r="H1129" s="171"/>
      <c r="I1129" s="172"/>
      <c r="J1129" s="171"/>
      <c r="K1129" s="171"/>
      <c r="L1129" s="171"/>
      <c r="M1129" s="171"/>
      <c r="N1129" s="171"/>
      <c r="O1129" s="171"/>
      <c r="P1129" s="171"/>
      <c r="Q1129" s="171"/>
      <c r="R1129" s="171"/>
      <c r="S1129" s="171"/>
      <c r="T1129" s="173"/>
      <c r="U1129" s="174"/>
      <c r="V1129" s="175"/>
      <c r="W1129" s="175"/>
      <c r="X1129" s="175"/>
      <c r="Y1129" s="175"/>
      <c r="Z1129" s="175"/>
      <c r="AA1129" s="175"/>
      <c r="AB1129" s="175"/>
      <c r="AC1129" s="175"/>
      <c r="AD1129" s="175"/>
      <c r="AE1129" s="175"/>
      <c r="AF1129" s="175"/>
      <c r="AG1129" s="175"/>
      <c r="AH1129" s="175"/>
      <c r="AI1129" s="175"/>
      <c r="AJ1129" s="175"/>
      <c r="AK1129" s="175"/>
      <c r="AL1129" s="175"/>
      <c r="AM1129" s="175"/>
      <c r="AN1129" s="175"/>
      <c r="AO1129" s="176"/>
      <c r="AP1129" s="177"/>
      <c r="AQ1129" s="175"/>
      <c r="AR1129" s="175"/>
      <c r="AS1129" s="178"/>
      <c r="AT1129" s="179"/>
    </row>
    <row r="1130" customFormat="false" ht="12.75" hidden="false" customHeight="true" outlineLevel="0" collapsed="false">
      <c r="B1130" s="122"/>
      <c r="C1130" s="123"/>
      <c r="D1130" s="124"/>
      <c r="E1130" s="124"/>
      <c r="F1130" s="125"/>
      <c r="G1130" s="171"/>
      <c r="H1130" s="171"/>
      <c r="I1130" s="172"/>
      <c r="J1130" s="171"/>
      <c r="K1130" s="171"/>
      <c r="L1130" s="171"/>
      <c r="M1130" s="171"/>
      <c r="N1130" s="171"/>
      <c r="O1130" s="171"/>
      <c r="P1130" s="171"/>
      <c r="Q1130" s="171"/>
      <c r="R1130" s="171"/>
      <c r="S1130" s="171"/>
      <c r="T1130" s="173"/>
      <c r="U1130" s="174"/>
      <c r="V1130" s="175"/>
      <c r="W1130" s="175"/>
      <c r="X1130" s="175"/>
      <c r="Y1130" s="175"/>
      <c r="Z1130" s="175"/>
      <c r="AA1130" s="175"/>
      <c r="AB1130" s="175"/>
      <c r="AC1130" s="175"/>
      <c r="AD1130" s="175"/>
      <c r="AE1130" s="175"/>
      <c r="AF1130" s="175"/>
      <c r="AG1130" s="175"/>
      <c r="AH1130" s="175"/>
      <c r="AI1130" s="175"/>
      <c r="AJ1130" s="175"/>
      <c r="AK1130" s="175"/>
      <c r="AL1130" s="175"/>
      <c r="AM1130" s="175"/>
      <c r="AN1130" s="175"/>
      <c r="AO1130" s="176"/>
      <c r="AP1130" s="177"/>
      <c r="AQ1130" s="175"/>
      <c r="AR1130" s="175"/>
      <c r="AS1130" s="178"/>
      <c r="AT1130" s="179"/>
    </row>
    <row r="1131" customFormat="false" ht="12.75" hidden="false" customHeight="true" outlineLevel="0" collapsed="false">
      <c r="B1131" s="141"/>
      <c r="C1131" s="132"/>
      <c r="D1131" s="133"/>
      <c r="E1131" s="133"/>
      <c r="F1131" s="134"/>
      <c r="G1131" s="180"/>
      <c r="H1131" s="180"/>
      <c r="I1131" s="181"/>
      <c r="J1131" s="180"/>
      <c r="K1131" s="180"/>
      <c r="L1131" s="180"/>
      <c r="M1131" s="180"/>
      <c r="N1131" s="180"/>
      <c r="O1131" s="180"/>
      <c r="P1131" s="180"/>
      <c r="Q1131" s="180"/>
      <c r="R1131" s="180"/>
      <c r="S1131" s="180"/>
      <c r="T1131" s="182"/>
      <c r="U1131" s="183"/>
      <c r="V1131" s="184"/>
      <c r="W1131" s="184"/>
      <c r="X1131" s="184"/>
      <c r="Y1131" s="184"/>
      <c r="Z1131" s="184"/>
      <c r="AA1131" s="184"/>
      <c r="AB1131" s="184"/>
      <c r="AC1131" s="184"/>
      <c r="AD1131" s="184"/>
      <c r="AE1131" s="184"/>
      <c r="AF1131" s="184"/>
      <c r="AG1131" s="184"/>
      <c r="AH1131" s="184"/>
      <c r="AI1131" s="184"/>
      <c r="AJ1131" s="184"/>
      <c r="AK1131" s="184"/>
      <c r="AL1131" s="184"/>
      <c r="AM1131" s="184"/>
      <c r="AN1131" s="184"/>
      <c r="AO1131" s="185"/>
      <c r="AP1131" s="186"/>
      <c r="AQ1131" s="184"/>
      <c r="AR1131" s="184"/>
      <c r="AS1131" s="187"/>
      <c r="AT1131" s="188"/>
    </row>
    <row r="1132" customFormat="false" ht="12.75" hidden="false" customHeight="true" outlineLevel="0" collapsed="false">
      <c r="B1132" s="122"/>
      <c r="C1132" s="123"/>
      <c r="D1132" s="124"/>
      <c r="E1132" s="124"/>
      <c r="F1132" s="125"/>
      <c r="G1132" s="171"/>
      <c r="H1132" s="171"/>
      <c r="I1132" s="172"/>
      <c r="J1132" s="171"/>
      <c r="K1132" s="171"/>
      <c r="L1132" s="171"/>
      <c r="M1132" s="171"/>
      <c r="N1132" s="171"/>
      <c r="O1132" s="171"/>
      <c r="P1132" s="171"/>
      <c r="Q1132" s="171"/>
      <c r="R1132" s="171"/>
      <c r="S1132" s="171"/>
      <c r="T1132" s="173"/>
      <c r="U1132" s="174"/>
      <c r="V1132" s="175"/>
      <c r="W1132" s="175"/>
      <c r="X1132" s="175"/>
      <c r="Y1132" s="175"/>
      <c r="Z1132" s="175"/>
      <c r="AA1132" s="175"/>
      <c r="AB1132" s="175"/>
      <c r="AC1132" s="175"/>
      <c r="AD1132" s="175"/>
      <c r="AE1132" s="175"/>
      <c r="AF1132" s="175"/>
      <c r="AG1132" s="175"/>
      <c r="AH1132" s="175"/>
      <c r="AI1132" s="175"/>
      <c r="AJ1132" s="175"/>
      <c r="AK1132" s="175"/>
      <c r="AL1132" s="175"/>
      <c r="AM1132" s="175"/>
      <c r="AN1132" s="175"/>
      <c r="AO1132" s="176"/>
      <c r="AP1132" s="177"/>
      <c r="AQ1132" s="175"/>
      <c r="AR1132" s="175"/>
      <c r="AS1132" s="178"/>
      <c r="AT1132" s="179"/>
    </row>
    <row r="1133" customFormat="false" ht="12.75" hidden="false" customHeight="true" outlineLevel="0" collapsed="false">
      <c r="B1133" s="122"/>
      <c r="C1133" s="123"/>
      <c r="D1133" s="124"/>
      <c r="E1133" s="124"/>
      <c r="F1133" s="125"/>
      <c r="G1133" s="171"/>
      <c r="H1133" s="171"/>
      <c r="I1133" s="172"/>
      <c r="J1133" s="171"/>
      <c r="K1133" s="171"/>
      <c r="L1133" s="171"/>
      <c r="M1133" s="171"/>
      <c r="N1133" s="171"/>
      <c r="O1133" s="171"/>
      <c r="P1133" s="171"/>
      <c r="Q1133" s="171"/>
      <c r="R1133" s="171"/>
      <c r="S1133" s="171"/>
      <c r="T1133" s="173"/>
      <c r="U1133" s="174"/>
      <c r="V1133" s="175"/>
      <c r="W1133" s="175"/>
      <c r="X1133" s="175"/>
      <c r="Y1133" s="175"/>
      <c r="Z1133" s="175"/>
      <c r="AA1133" s="175"/>
      <c r="AB1133" s="175"/>
      <c r="AC1133" s="175"/>
      <c r="AD1133" s="175"/>
      <c r="AE1133" s="175"/>
      <c r="AF1133" s="175"/>
      <c r="AG1133" s="175"/>
      <c r="AH1133" s="175"/>
      <c r="AI1133" s="175"/>
      <c r="AJ1133" s="175"/>
      <c r="AK1133" s="175"/>
      <c r="AL1133" s="175"/>
      <c r="AM1133" s="175"/>
      <c r="AN1133" s="175"/>
      <c r="AO1133" s="176"/>
      <c r="AP1133" s="177"/>
      <c r="AQ1133" s="175"/>
      <c r="AR1133" s="175"/>
      <c r="AS1133" s="178"/>
      <c r="AT1133" s="179"/>
    </row>
    <row r="1134" customFormat="false" ht="12.75" hidden="false" customHeight="true" outlineLevel="0" collapsed="false">
      <c r="B1134" s="122"/>
      <c r="C1134" s="123"/>
      <c r="D1134" s="124"/>
      <c r="E1134" s="124"/>
      <c r="F1134" s="125"/>
      <c r="G1134" s="171"/>
      <c r="H1134" s="171"/>
      <c r="I1134" s="172"/>
      <c r="J1134" s="171"/>
      <c r="K1134" s="171"/>
      <c r="L1134" s="171"/>
      <c r="M1134" s="171"/>
      <c r="N1134" s="171"/>
      <c r="O1134" s="171"/>
      <c r="P1134" s="171"/>
      <c r="Q1134" s="171"/>
      <c r="R1134" s="171"/>
      <c r="S1134" s="171"/>
      <c r="T1134" s="173"/>
      <c r="U1134" s="174"/>
      <c r="V1134" s="175"/>
      <c r="W1134" s="175"/>
      <c r="X1134" s="175"/>
      <c r="Y1134" s="175"/>
      <c r="Z1134" s="175"/>
      <c r="AA1134" s="175"/>
      <c r="AB1134" s="175"/>
      <c r="AC1134" s="175"/>
      <c r="AD1134" s="175"/>
      <c r="AE1134" s="175"/>
      <c r="AF1134" s="175"/>
      <c r="AG1134" s="175"/>
      <c r="AH1134" s="175"/>
      <c r="AI1134" s="175"/>
      <c r="AJ1134" s="175"/>
      <c r="AK1134" s="175"/>
      <c r="AL1134" s="175"/>
      <c r="AM1134" s="175"/>
      <c r="AN1134" s="175"/>
      <c r="AO1134" s="176"/>
      <c r="AP1134" s="177"/>
      <c r="AQ1134" s="175"/>
      <c r="AR1134" s="175"/>
      <c r="AS1134" s="178"/>
      <c r="AT1134" s="179"/>
    </row>
    <row r="1135" customFormat="false" ht="12.75" hidden="false" customHeight="true" outlineLevel="0" collapsed="false">
      <c r="B1135" s="141"/>
      <c r="C1135" s="132"/>
      <c r="D1135" s="133"/>
      <c r="E1135" s="133"/>
      <c r="F1135" s="134"/>
      <c r="G1135" s="180"/>
      <c r="H1135" s="180"/>
      <c r="I1135" s="181"/>
      <c r="J1135" s="180"/>
      <c r="K1135" s="180"/>
      <c r="L1135" s="180"/>
      <c r="M1135" s="180"/>
      <c r="N1135" s="180"/>
      <c r="O1135" s="180"/>
      <c r="P1135" s="180"/>
      <c r="Q1135" s="180"/>
      <c r="R1135" s="180"/>
      <c r="S1135" s="180"/>
      <c r="T1135" s="182"/>
      <c r="U1135" s="183"/>
      <c r="V1135" s="184"/>
      <c r="W1135" s="184"/>
      <c r="X1135" s="184"/>
      <c r="Y1135" s="184"/>
      <c r="Z1135" s="184"/>
      <c r="AA1135" s="184"/>
      <c r="AB1135" s="184"/>
      <c r="AC1135" s="184"/>
      <c r="AD1135" s="184"/>
      <c r="AE1135" s="184"/>
      <c r="AF1135" s="184"/>
      <c r="AG1135" s="184"/>
      <c r="AH1135" s="184"/>
      <c r="AI1135" s="184"/>
      <c r="AJ1135" s="184"/>
      <c r="AK1135" s="184"/>
      <c r="AL1135" s="184"/>
      <c r="AM1135" s="184"/>
      <c r="AN1135" s="184"/>
      <c r="AO1135" s="185"/>
      <c r="AP1135" s="186"/>
      <c r="AQ1135" s="184"/>
      <c r="AR1135" s="184"/>
      <c r="AS1135" s="187"/>
      <c r="AT1135" s="188"/>
    </row>
    <row r="1136" customFormat="false" ht="12.75" hidden="false" customHeight="true" outlineLevel="0" collapsed="false">
      <c r="B1136" s="122"/>
      <c r="C1136" s="123"/>
      <c r="D1136" s="124"/>
      <c r="E1136" s="124"/>
      <c r="F1136" s="125"/>
      <c r="G1136" s="171"/>
      <c r="H1136" s="171"/>
      <c r="I1136" s="172"/>
      <c r="J1136" s="171"/>
      <c r="K1136" s="171"/>
      <c r="L1136" s="171"/>
      <c r="M1136" s="171"/>
      <c r="N1136" s="171"/>
      <c r="O1136" s="171"/>
      <c r="P1136" s="171"/>
      <c r="Q1136" s="171"/>
      <c r="R1136" s="171"/>
      <c r="S1136" s="171"/>
      <c r="T1136" s="173"/>
      <c r="U1136" s="174"/>
      <c r="V1136" s="175"/>
      <c r="W1136" s="175"/>
      <c r="X1136" s="175"/>
      <c r="Y1136" s="175"/>
      <c r="Z1136" s="175"/>
      <c r="AA1136" s="175"/>
      <c r="AB1136" s="175"/>
      <c r="AC1136" s="175"/>
      <c r="AD1136" s="175"/>
      <c r="AE1136" s="175"/>
      <c r="AF1136" s="175"/>
      <c r="AG1136" s="175"/>
      <c r="AH1136" s="175"/>
      <c r="AI1136" s="175"/>
      <c r="AJ1136" s="175"/>
      <c r="AK1136" s="175"/>
      <c r="AL1136" s="175"/>
      <c r="AM1136" s="175"/>
      <c r="AN1136" s="175"/>
      <c r="AO1136" s="176"/>
      <c r="AP1136" s="177"/>
      <c r="AQ1136" s="175"/>
      <c r="AR1136" s="175"/>
      <c r="AS1136" s="178"/>
      <c r="AT1136" s="179"/>
    </row>
    <row r="1137" customFormat="false" ht="12.75" hidden="false" customHeight="true" outlineLevel="0" collapsed="false">
      <c r="B1137" s="122"/>
      <c r="C1137" s="123"/>
      <c r="D1137" s="124"/>
      <c r="E1137" s="124"/>
      <c r="F1137" s="125"/>
      <c r="G1137" s="171"/>
      <c r="H1137" s="171"/>
      <c r="I1137" s="172"/>
      <c r="J1137" s="171"/>
      <c r="K1137" s="171"/>
      <c r="L1137" s="171"/>
      <c r="M1137" s="171"/>
      <c r="N1137" s="171"/>
      <c r="O1137" s="171"/>
      <c r="P1137" s="171"/>
      <c r="Q1137" s="171"/>
      <c r="R1137" s="171"/>
      <c r="S1137" s="171"/>
      <c r="T1137" s="173"/>
      <c r="U1137" s="174"/>
      <c r="V1137" s="175"/>
      <c r="W1137" s="175"/>
      <c r="X1137" s="175"/>
      <c r="Y1137" s="175"/>
      <c r="Z1137" s="175"/>
      <c r="AA1137" s="175"/>
      <c r="AB1137" s="175"/>
      <c r="AC1137" s="175"/>
      <c r="AD1137" s="175"/>
      <c r="AE1137" s="175"/>
      <c r="AF1137" s="175"/>
      <c r="AG1137" s="175"/>
      <c r="AH1137" s="175"/>
      <c r="AI1137" s="175"/>
      <c r="AJ1137" s="175"/>
      <c r="AK1137" s="175"/>
      <c r="AL1137" s="175"/>
      <c r="AM1137" s="175"/>
      <c r="AN1137" s="175"/>
      <c r="AO1137" s="176"/>
      <c r="AP1137" s="177"/>
      <c r="AQ1137" s="175"/>
      <c r="AR1137" s="175"/>
      <c r="AS1137" s="178"/>
      <c r="AT1137" s="179"/>
    </row>
    <row r="1138" customFormat="false" ht="12.75" hidden="false" customHeight="true" outlineLevel="0" collapsed="false">
      <c r="B1138" s="122"/>
      <c r="C1138" s="123"/>
      <c r="D1138" s="124"/>
      <c r="E1138" s="124"/>
      <c r="F1138" s="125"/>
      <c r="G1138" s="171"/>
      <c r="H1138" s="171"/>
      <c r="I1138" s="172"/>
      <c r="J1138" s="171"/>
      <c r="K1138" s="171"/>
      <c r="L1138" s="171"/>
      <c r="M1138" s="171"/>
      <c r="N1138" s="171"/>
      <c r="O1138" s="171"/>
      <c r="P1138" s="171"/>
      <c r="Q1138" s="171"/>
      <c r="R1138" s="171"/>
      <c r="S1138" s="171"/>
      <c r="T1138" s="173"/>
      <c r="U1138" s="174"/>
      <c r="V1138" s="175"/>
      <c r="W1138" s="175"/>
      <c r="X1138" s="175"/>
      <c r="Y1138" s="175"/>
      <c r="Z1138" s="175"/>
      <c r="AA1138" s="175"/>
      <c r="AB1138" s="175"/>
      <c r="AC1138" s="175"/>
      <c r="AD1138" s="175"/>
      <c r="AE1138" s="175"/>
      <c r="AF1138" s="175"/>
      <c r="AG1138" s="175"/>
      <c r="AH1138" s="175"/>
      <c r="AI1138" s="175"/>
      <c r="AJ1138" s="175"/>
      <c r="AK1138" s="175"/>
      <c r="AL1138" s="175"/>
      <c r="AM1138" s="175"/>
      <c r="AN1138" s="175"/>
      <c r="AO1138" s="176"/>
      <c r="AP1138" s="177"/>
      <c r="AQ1138" s="175"/>
      <c r="AR1138" s="175"/>
      <c r="AS1138" s="178"/>
      <c r="AT1138" s="179"/>
    </row>
    <row r="1139" customFormat="false" ht="12.75" hidden="false" customHeight="true" outlineLevel="0" collapsed="false">
      <c r="B1139" s="141"/>
      <c r="C1139" s="132"/>
      <c r="D1139" s="133"/>
      <c r="E1139" s="133"/>
      <c r="F1139" s="134"/>
      <c r="G1139" s="180"/>
      <c r="H1139" s="180"/>
      <c r="I1139" s="181"/>
      <c r="J1139" s="180"/>
      <c r="K1139" s="180"/>
      <c r="L1139" s="180"/>
      <c r="M1139" s="180"/>
      <c r="N1139" s="180"/>
      <c r="O1139" s="180"/>
      <c r="P1139" s="180"/>
      <c r="Q1139" s="180"/>
      <c r="R1139" s="180"/>
      <c r="S1139" s="180"/>
      <c r="T1139" s="182"/>
      <c r="U1139" s="183"/>
      <c r="V1139" s="184"/>
      <c r="W1139" s="184"/>
      <c r="X1139" s="184"/>
      <c r="Y1139" s="184"/>
      <c r="Z1139" s="184"/>
      <c r="AA1139" s="184"/>
      <c r="AB1139" s="184"/>
      <c r="AC1139" s="184"/>
      <c r="AD1139" s="184"/>
      <c r="AE1139" s="184"/>
      <c r="AF1139" s="184"/>
      <c r="AG1139" s="184"/>
      <c r="AH1139" s="184"/>
      <c r="AI1139" s="184"/>
      <c r="AJ1139" s="184"/>
      <c r="AK1139" s="184"/>
      <c r="AL1139" s="184"/>
      <c r="AM1139" s="184"/>
      <c r="AN1139" s="184"/>
      <c r="AO1139" s="185"/>
      <c r="AP1139" s="186"/>
      <c r="AQ1139" s="184"/>
      <c r="AR1139" s="184"/>
      <c r="AS1139" s="187"/>
      <c r="AT1139" s="188"/>
    </row>
    <row r="1140" customFormat="false" ht="12.75" hidden="false" customHeight="true" outlineLevel="0" collapsed="false">
      <c r="B1140" s="141"/>
      <c r="C1140" s="132"/>
      <c r="D1140" s="133"/>
      <c r="E1140" s="133"/>
      <c r="F1140" s="134"/>
      <c r="G1140" s="180"/>
      <c r="H1140" s="180"/>
      <c r="I1140" s="181"/>
      <c r="J1140" s="180"/>
      <c r="K1140" s="180"/>
      <c r="L1140" s="180"/>
      <c r="M1140" s="180"/>
      <c r="N1140" s="180"/>
      <c r="O1140" s="180"/>
      <c r="P1140" s="180"/>
      <c r="Q1140" s="180"/>
      <c r="R1140" s="180"/>
      <c r="S1140" s="180"/>
      <c r="T1140" s="182"/>
      <c r="U1140" s="183"/>
      <c r="V1140" s="184"/>
      <c r="W1140" s="184"/>
      <c r="X1140" s="184"/>
      <c r="Y1140" s="184"/>
      <c r="Z1140" s="184"/>
      <c r="AA1140" s="184"/>
      <c r="AB1140" s="184"/>
      <c r="AC1140" s="184"/>
      <c r="AD1140" s="184"/>
      <c r="AE1140" s="184"/>
      <c r="AF1140" s="184"/>
      <c r="AG1140" s="184"/>
      <c r="AH1140" s="184"/>
      <c r="AI1140" s="184"/>
      <c r="AJ1140" s="184"/>
      <c r="AK1140" s="184"/>
      <c r="AL1140" s="184"/>
      <c r="AM1140" s="184"/>
      <c r="AN1140" s="184"/>
      <c r="AO1140" s="185"/>
      <c r="AP1140" s="186"/>
      <c r="AQ1140" s="184"/>
      <c r="AR1140" s="184"/>
      <c r="AS1140" s="187"/>
      <c r="AT1140" s="188"/>
    </row>
    <row r="1141" customFormat="false" ht="12.75" hidden="false" customHeight="true" outlineLevel="0" collapsed="false">
      <c r="B1141" s="122"/>
      <c r="C1141" s="123"/>
      <c r="D1141" s="124"/>
      <c r="E1141" s="124"/>
      <c r="F1141" s="125"/>
      <c r="G1141" s="171"/>
      <c r="H1141" s="171"/>
      <c r="I1141" s="172"/>
      <c r="J1141" s="171"/>
      <c r="K1141" s="171"/>
      <c r="L1141" s="171"/>
      <c r="M1141" s="171"/>
      <c r="N1141" s="171"/>
      <c r="O1141" s="171"/>
      <c r="P1141" s="171"/>
      <c r="Q1141" s="171"/>
      <c r="R1141" s="171"/>
      <c r="S1141" s="171"/>
      <c r="T1141" s="173"/>
      <c r="U1141" s="174"/>
      <c r="V1141" s="175"/>
      <c r="W1141" s="175"/>
      <c r="X1141" s="175"/>
      <c r="Y1141" s="175"/>
      <c r="Z1141" s="175"/>
      <c r="AA1141" s="175"/>
      <c r="AB1141" s="175"/>
      <c r="AC1141" s="175"/>
      <c r="AD1141" s="175"/>
      <c r="AE1141" s="175"/>
      <c r="AF1141" s="175"/>
      <c r="AG1141" s="175"/>
      <c r="AH1141" s="175"/>
      <c r="AI1141" s="175"/>
      <c r="AJ1141" s="175"/>
      <c r="AK1141" s="175"/>
      <c r="AL1141" s="175"/>
      <c r="AM1141" s="175"/>
      <c r="AN1141" s="175"/>
      <c r="AO1141" s="176"/>
      <c r="AP1141" s="177"/>
      <c r="AQ1141" s="175"/>
      <c r="AR1141" s="175"/>
      <c r="AS1141" s="178"/>
      <c r="AT1141" s="179"/>
    </row>
    <row r="1142" customFormat="false" ht="12.75" hidden="false" customHeight="true" outlineLevel="0" collapsed="false">
      <c r="B1142" s="122"/>
      <c r="C1142" s="123"/>
      <c r="D1142" s="124"/>
      <c r="E1142" s="124"/>
      <c r="F1142" s="125"/>
      <c r="G1142" s="171"/>
      <c r="H1142" s="171"/>
      <c r="I1142" s="172"/>
      <c r="J1142" s="171"/>
      <c r="K1142" s="171"/>
      <c r="L1142" s="171"/>
      <c r="M1142" s="171"/>
      <c r="N1142" s="171"/>
      <c r="O1142" s="171"/>
      <c r="P1142" s="171"/>
      <c r="Q1142" s="171"/>
      <c r="R1142" s="171"/>
      <c r="S1142" s="171"/>
      <c r="T1142" s="173"/>
      <c r="U1142" s="174"/>
      <c r="V1142" s="175"/>
      <c r="W1142" s="175"/>
      <c r="X1142" s="175"/>
      <c r="Y1142" s="175"/>
      <c r="Z1142" s="175"/>
      <c r="AA1142" s="175"/>
      <c r="AB1142" s="175"/>
      <c r="AC1142" s="175"/>
      <c r="AD1142" s="175"/>
      <c r="AE1142" s="175"/>
      <c r="AF1142" s="175"/>
      <c r="AG1142" s="175"/>
      <c r="AH1142" s="175"/>
      <c r="AI1142" s="175"/>
      <c r="AJ1142" s="175"/>
      <c r="AK1142" s="175"/>
      <c r="AL1142" s="175"/>
      <c r="AM1142" s="175"/>
      <c r="AN1142" s="175"/>
      <c r="AO1142" s="176"/>
      <c r="AP1142" s="177"/>
      <c r="AQ1142" s="175"/>
      <c r="AR1142" s="175"/>
      <c r="AS1142" s="178"/>
      <c r="AT1142" s="179"/>
    </row>
    <row r="1143" customFormat="false" ht="12.75" hidden="false" customHeight="true" outlineLevel="0" collapsed="false">
      <c r="B1143" s="122"/>
      <c r="C1143" s="123"/>
      <c r="D1143" s="124"/>
      <c r="E1143" s="124"/>
      <c r="F1143" s="125"/>
      <c r="G1143" s="171"/>
      <c r="H1143" s="171"/>
      <c r="I1143" s="172"/>
      <c r="J1143" s="171"/>
      <c r="K1143" s="171"/>
      <c r="L1143" s="171"/>
      <c r="M1143" s="171"/>
      <c r="N1143" s="171"/>
      <c r="O1143" s="171"/>
      <c r="P1143" s="171"/>
      <c r="Q1143" s="171"/>
      <c r="R1143" s="171"/>
      <c r="S1143" s="171"/>
      <c r="T1143" s="173"/>
      <c r="U1143" s="174"/>
      <c r="V1143" s="175"/>
      <c r="W1143" s="175"/>
      <c r="X1143" s="175"/>
      <c r="Y1143" s="175"/>
      <c r="Z1143" s="175"/>
      <c r="AA1143" s="175"/>
      <c r="AB1143" s="175"/>
      <c r="AC1143" s="175"/>
      <c r="AD1143" s="175"/>
      <c r="AE1143" s="175"/>
      <c r="AF1143" s="175"/>
      <c r="AG1143" s="175"/>
      <c r="AH1143" s="175"/>
      <c r="AI1143" s="175"/>
      <c r="AJ1143" s="175"/>
      <c r="AK1143" s="175"/>
      <c r="AL1143" s="175"/>
      <c r="AM1143" s="175"/>
      <c r="AN1143" s="175"/>
      <c r="AO1143" s="176"/>
      <c r="AP1143" s="177"/>
      <c r="AQ1143" s="175"/>
      <c r="AR1143" s="175"/>
      <c r="AS1143" s="178"/>
      <c r="AT1143" s="179"/>
    </row>
    <row r="1144" customFormat="false" ht="12.75" hidden="false" customHeight="true" outlineLevel="0" collapsed="false">
      <c r="B1144" s="141"/>
      <c r="C1144" s="132"/>
      <c r="D1144" s="133"/>
      <c r="E1144" s="133"/>
      <c r="F1144" s="134"/>
      <c r="G1144" s="180"/>
      <c r="H1144" s="180"/>
      <c r="I1144" s="181"/>
      <c r="J1144" s="180"/>
      <c r="K1144" s="180"/>
      <c r="L1144" s="180"/>
      <c r="M1144" s="180"/>
      <c r="N1144" s="180"/>
      <c r="O1144" s="180"/>
      <c r="P1144" s="180"/>
      <c r="Q1144" s="180"/>
      <c r="R1144" s="180"/>
      <c r="S1144" s="180"/>
      <c r="T1144" s="182"/>
      <c r="U1144" s="183"/>
      <c r="V1144" s="184"/>
      <c r="W1144" s="184"/>
      <c r="X1144" s="184"/>
      <c r="Y1144" s="184"/>
      <c r="Z1144" s="184"/>
      <c r="AA1144" s="184"/>
      <c r="AB1144" s="184"/>
      <c r="AC1144" s="184"/>
      <c r="AD1144" s="184"/>
      <c r="AE1144" s="184"/>
      <c r="AF1144" s="184"/>
      <c r="AG1144" s="184"/>
      <c r="AH1144" s="184"/>
      <c r="AI1144" s="184"/>
      <c r="AJ1144" s="184"/>
      <c r="AK1144" s="184"/>
      <c r="AL1144" s="184"/>
      <c r="AM1144" s="184"/>
      <c r="AN1144" s="184"/>
      <c r="AO1144" s="185"/>
      <c r="AP1144" s="186"/>
      <c r="AQ1144" s="184"/>
      <c r="AR1144" s="184"/>
      <c r="AS1144" s="187"/>
      <c r="AT1144" s="188"/>
    </row>
    <row r="1145" customFormat="false" ht="12.75" hidden="false" customHeight="true" outlineLevel="0" collapsed="false">
      <c r="B1145" s="122"/>
      <c r="C1145" s="123"/>
      <c r="D1145" s="124"/>
      <c r="E1145" s="124"/>
      <c r="F1145" s="125"/>
      <c r="G1145" s="171"/>
      <c r="H1145" s="171"/>
      <c r="I1145" s="172"/>
      <c r="J1145" s="171"/>
      <c r="K1145" s="171"/>
      <c r="L1145" s="171"/>
      <c r="M1145" s="171"/>
      <c r="N1145" s="171"/>
      <c r="O1145" s="171"/>
      <c r="P1145" s="171"/>
      <c r="Q1145" s="171"/>
      <c r="R1145" s="171"/>
      <c r="S1145" s="171"/>
      <c r="T1145" s="173"/>
      <c r="U1145" s="174"/>
      <c r="V1145" s="175"/>
      <c r="W1145" s="175"/>
      <c r="X1145" s="175"/>
      <c r="Y1145" s="175"/>
      <c r="Z1145" s="175"/>
      <c r="AA1145" s="175"/>
      <c r="AB1145" s="175"/>
      <c r="AC1145" s="175"/>
      <c r="AD1145" s="175"/>
      <c r="AE1145" s="175"/>
      <c r="AF1145" s="175"/>
      <c r="AG1145" s="175"/>
      <c r="AH1145" s="175"/>
      <c r="AI1145" s="175"/>
      <c r="AJ1145" s="175"/>
      <c r="AK1145" s="175"/>
      <c r="AL1145" s="175"/>
      <c r="AM1145" s="175"/>
      <c r="AN1145" s="175"/>
      <c r="AO1145" s="176"/>
      <c r="AP1145" s="177"/>
      <c r="AQ1145" s="175"/>
      <c r="AR1145" s="175"/>
      <c r="AS1145" s="178"/>
      <c r="AT1145" s="179"/>
    </row>
    <row r="1146" customFormat="false" ht="12.75" hidden="false" customHeight="true" outlineLevel="0" collapsed="false">
      <c r="B1146" s="122"/>
      <c r="C1146" s="123"/>
      <c r="D1146" s="124"/>
      <c r="E1146" s="124"/>
      <c r="F1146" s="125"/>
      <c r="G1146" s="171"/>
      <c r="H1146" s="171"/>
      <c r="I1146" s="172"/>
      <c r="J1146" s="171"/>
      <c r="K1146" s="171"/>
      <c r="L1146" s="171"/>
      <c r="M1146" s="171"/>
      <c r="N1146" s="171"/>
      <c r="O1146" s="171"/>
      <c r="P1146" s="171"/>
      <c r="Q1146" s="171"/>
      <c r="R1146" s="171"/>
      <c r="S1146" s="171"/>
      <c r="T1146" s="173"/>
      <c r="U1146" s="174"/>
      <c r="V1146" s="175"/>
      <c r="W1146" s="175"/>
      <c r="X1146" s="175"/>
      <c r="Y1146" s="175"/>
      <c r="Z1146" s="175"/>
      <c r="AA1146" s="175"/>
      <c r="AB1146" s="175"/>
      <c r="AC1146" s="175"/>
      <c r="AD1146" s="175"/>
      <c r="AE1146" s="175"/>
      <c r="AF1146" s="175"/>
      <c r="AG1146" s="175"/>
      <c r="AH1146" s="175"/>
      <c r="AI1146" s="175"/>
      <c r="AJ1146" s="175"/>
      <c r="AK1146" s="175"/>
      <c r="AL1146" s="175"/>
      <c r="AM1146" s="175"/>
      <c r="AN1146" s="175"/>
      <c r="AO1146" s="176"/>
      <c r="AP1146" s="177"/>
      <c r="AQ1146" s="175"/>
      <c r="AR1146" s="175"/>
      <c r="AS1146" s="178"/>
      <c r="AT1146" s="179"/>
    </row>
    <row r="1147" customFormat="false" ht="12.75" hidden="false" customHeight="true" outlineLevel="0" collapsed="false">
      <c r="B1147" s="122"/>
      <c r="C1147" s="123"/>
      <c r="D1147" s="124"/>
      <c r="E1147" s="124"/>
      <c r="F1147" s="125"/>
      <c r="G1147" s="171"/>
      <c r="H1147" s="171"/>
      <c r="I1147" s="172"/>
      <c r="J1147" s="171"/>
      <c r="K1147" s="171"/>
      <c r="L1147" s="171"/>
      <c r="M1147" s="171"/>
      <c r="N1147" s="171"/>
      <c r="O1147" s="171"/>
      <c r="P1147" s="171"/>
      <c r="Q1147" s="171"/>
      <c r="R1147" s="171"/>
      <c r="S1147" s="171"/>
      <c r="T1147" s="173"/>
      <c r="U1147" s="174"/>
      <c r="V1147" s="175"/>
      <c r="W1147" s="175"/>
      <c r="X1147" s="175"/>
      <c r="Y1147" s="175"/>
      <c r="Z1147" s="175"/>
      <c r="AA1147" s="175"/>
      <c r="AB1147" s="175"/>
      <c r="AC1147" s="175"/>
      <c r="AD1147" s="175"/>
      <c r="AE1147" s="175"/>
      <c r="AF1147" s="175"/>
      <c r="AG1147" s="175"/>
      <c r="AH1147" s="175"/>
      <c r="AI1147" s="175"/>
      <c r="AJ1147" s="175"/>
      <c r="AK1147" s="175"/>
      <c r="AL1147" s="175"/>
      <c r="AM1147" s="175"/>
      <c r="AN1147" s="175"/>
      <c r="AO1147" s="176"/>
      <c r="AP1147" s="177"/>
      <c r="AQ1147" s="175"/>
      <c r="AR1147" s="175"/>
      <c r="AS1147" s="178"/>
      <c r="AT1147" s="179"/>
    </row>
    <row r="1148" customFormat="false" ht="12.75" hidden="false" customHeight="true" outlineLevel="0" collapsed="false">
      <c r="B1148" s="141"/>
      <c r="C1148" s="132"/>
      <c r="D1148" s="133"/>
      <c r="E1148" s="133"/>
      <c r="F1148" s="134"/>
      <c r="G1148" s="180"/>
      <c r="H1148" s="180"/>
      <c r="I1148" s="181"/>
      <c r="J1148" s="180"/>
      <c r="K1148" s="180"/>
      <c r="L1148" s="180"/>
      <c r="M1148" s="180"/>
      <c r="N1148" s="180"/>
      <c r="O1148" s="180"/>
      <c r="P1148" s="180"/>
      <c r="Q1148" s="180"/>
      <c r="R1148" s="180"/>
      <c r="S1148" s="180"/>
      <c r="T1148" s="182"/>
      <c r="U1148" s="183"/>
      <c r="V1148" s="184"/>
      <c r="W1148" s="184"/>
      <c r="X1148" s="184"/>
      <c r="Y1148" s="184"/>
      <c r="Z1148" s="184"/>
      <c r="AA1148" s="184"/>
      <c r="AB1148" s="184"/>
      <c r="AC1148" s="184"/>
      <c r="AD1148" s="184"/>
      <c r="AE1148" s="184"/>
      <c r="AF1148" s="184"/>
      <c r="AG1148" s="184"/>
      <c r="AH1148" s="184"/>
      <c r="AI1148" s="184"/>
      <c r="AJ1148" s="184"/>
      <c r="AK1148" s="184"/>
      <c r="AL1148" s="184"/>
      <c r="AM1148" s="184"/>
      <c r="AN1148" s="184"/>
      <c r="AO1148" s="185"/>
      <c r="AP1148" s="186"/>
      <c r="AQ1148" s="184"/>
      <c r="AR1148" s="184"/>
      <c r="AS1148" s="187"/>
      <c r="AT1148" s="188"/>
    </row>
    <row r="1149" customFormat="false" ht="12.75" hidden="false" customHeight="true" outlineLevel="0" collapsed="false">
      <c r="B1149" s="122"/>
      <c r="C1149" s="123"/>
      <c r="D1149" s="124"/>
      <c r="E1149" s="124"/>
      <c r="F1149" s="125"/>
      <c r="G1149" s="171"/>
      <c r="H1149" s="171"/>
      <c r="I1149" s="172"/>
      <c r="J1149" s="171"/>
      <c r="K1149" s="171"/>
      <c r="L1149" s="171"/>
      <c r="M1149" s="171"/>
      <c r="N1149" s="171"/>
      <c r="O1149" s="171"/>
      <c r="P1149" s="171"/>
      <c r="Q1149" s="171"/>
      <c r="R1149" s="171"/>
      <c r="S1149" s="171"/>
      <c r="T1149" s="173"/>
      <c r="U1149" s="174"/>
      <c r="V1149" s="175"/>
      <c r="W1149" s="175"/>
      <c r="X1149" s="175"/>
      <c r="Y1149" s="175"/>
      <c r="Z1149" s="175"/>
      <c r="AA1149" s="175"/>
      <c r="AB1149" s="175"/>
      <c r="AC1149" s="175"/>
      <c r="AD1149" s="175"/>
      <c r="AE1149" s="175"/>
      <c r="AF1149" s="175"/>
      <c r="AG1149" s="175"/>
      <c r="AH1149" s="175"/>
      <c r="AI1149" s="175"/>
      <c r="AJ1149" s="175"/>
      <c r="AK1149" s="175"/>
      <c r="AL1149" s="175"/>
      <c r="AM1149" s="175"/>
      <c r="AN1149" s="175"/>
      <c r="AO1149" s="176"/>
      <c r="AP1149" s="177"/>
      <c r="AQ1149" s="175"/>
      <c r="AR1149" s="175"/>
      <c r="AS1149" s="178"/>
      <c r="AT1149" s="179"/>
    </row>
    <row r="1150" customFormat="false" ht="12.75" hidden="false" customHeight="true" outlineLevel="0" collapsed="false">
      <c r="B1150" s="122"/>
      <c r="C1150" s="123"/>
      <c r="D1150" s="124"/>
      <c r="E1150" s="124"/>
      <c r="F1150" s="125"/>
      <c r="G1150" s="171"/>
      <c r="H1150" s="171"/>
      <c r="I1150" s="172"/>
      <c r="J1150" s="171"/>
      <c r="K1150" s="171"/>
      <c r="L1150" s="171"/>
      <c r="M1150" s="171"/>
      <c r="N1150" s="171"/>
      <c r="O1150" s="171"/>
      <c r="P1150" s="171"/>
      <c r="Q1150" s="171"/>
      <c r="R1150" s="171"/>
      <c r="S1150" s="171"/>
      <c r="T1150" s="173"/>
      <c r="U1150" s="174"/>
      <c r="V1150" s="175"/>
      <c r="W1150" s="175"/>
      <c r="X1150" s="175"/>
      <c r="Y1150" s="175"/>
      <c r="Z1150" s="175"/>
      <c r="AA1150" s="175"/>
      <c r="AB1150" s="175"/>
      <c r="AC1150" s="175"/>
      <c r="AD1150" s="175"/>
      <c r="AE1150" s="175"/>
      <c r="AF1150" s="175"/>
      <c r="AG1150" s="175"/>
      <c r="AH1150" s="175"/>
      <c r="AI1150" s="175"/>
      <c r="AJ1150" s="175"/>
      <c r="AK1150" s="175"/>
      <c r="AL1150" s="175"/>
      <c r="AM1150" s="175"/>
      <c r="AN1150" s="175"/>
      <c r="AO1150" s="176"/>
      <c r="AP1150" s="177"/>
      <c r="AQ1150" s="175"/>
      <c r="AR1150" s="175"/>
      <c r="AS1150" s="178"/>
      <c r="AT1150" s="179"/>
    </row>
    <row r="1151" customFormat="false" ht="12.75" hidden="false" customHeight="true" outlineLevel="0" collapsed="false">
      <c r="B1151" s="122"/>
      <c r="C1151" s="123"/>
      <c r="D1151" s="124"/>
      <c r="E1151" s="124"/>
      <c r="F1151" s="125"/>
      <c r="G1151" s="171"/>
      <c r="H1151" s="171"/>
      <c r="I1151" s="172"/>
      <c r="J1151" s="171"/>
      <c r="K1151" s="171"/>
      <c r="L1151" s="171"/>
      <c r="M1151" s="171"/>
      <c r="N1151" s="171"/>
      <c r="O1151" s="171"/>
      <c r="P1151" s="171"/>
      <c r="Q1151" s="171"/>
      <c r="R1151" s="171"/>
      <c r="S1151" s="171"/>
      <c r="T1151" s="173"/>
      <c r="U1151" s="174"/>
      <c r="V1151" s="175"/>
      <c r="W1151" s="175"/>
      <c r="X1151" s="175"/>
      <c r="Y1151" s="175"/>
      <c r="Z1151" s="175"/>
      <c r="AA1151" s="175"/>
      <c r="AB1151" s="175"/>
      <c r="AC1151" s="175"/>
      <c r="AD1151" s="175"/>
      <c r="AE1151" s="175"/>
      <c r="AF1151" s="175"/>
      <c r="AG1151" s="175"/>
      <c r="AH1151" s="175"/>
      <c r="AI1151" s="175"/>
      <c r="AJ1151" s="175"/>
      <c r="AK1151" s="175"/>
      <c r="AL1151" s="175"/>
      <c r="AM1151" s="175"/>
      <c r="AN1151" s="175"/>
      <c r="AO1151" s="176"/>
      <c r="AP1151" s="177"/>
      <c r="AQ1151" s="175"/>
      <c r="AR1151" s="175"/>
      <c r="AS1151" s="178"/>
      <c r="AT1151" s="179"/>
    </row>
    <row r="1152" customFormat="false" ht="12.75" hidden="false" customHeight="true" outlineLevel="0" collapsed="false">
      <c r="B1152" s="122"/>
      <c r="C1152" s="123"/>
      <c r="D1152" s="124"/>
      <c r="E1152" s="124"/>
      <c r="F1152" s="125"/>
      <c r="G1152" s="171"/>
      <c r="H1152" s="171"/>
      <c r="I1152" s="172"/>
      <c r="J1152" s="171"/>
      <c r="K1152" s="171"/>
      <c r="L1152" s="171"/>
      <c r="M1152" s="171"/>
      <c r="N1152" s="171"/>
      <c r="O1152" s="171"/>
      <c r="P1152" s="171"/>
      <c r="Q1152" s="171"/>
      <c r="R1152" s="171"/>
      <c r="S1152" s="171"/>
      <c r="T1152" s="173"/>
      <c r="U1152" s="174"/>
      <c r="V1152" s="175"/>
      <c r="W1152" s="175"/>
      <c r="X1152" s="175"/>
      <c r="Y1152" s="175"/>
      <c r="Z1152" s="175"/>
      <c r="AA1152" s="175"/>
      <c r="AB1152" s="175"/>
      <c r="AC1152" s="175"/>
      <c r="AD1152" s="175"/>
      <c r="AE1152" s="175"/>
      <c r="AF1152" s="175"/>
      <c r="AG1152" s="175"/>
      <c r="AH1152" s="175"/>
      <c r="AI1152" s="175"/>
      <c r="AJ1152" s="175"/>
      <c r="AK1152" s="175"/>
      <c r="AL1152" s="175"/>
      <c r="AM1152" s="175"/>
      <c r="AN1152" s="175"/>
      <c r="AO1152" s="176"/>
      <c r="AP1152" s="177"/>
      <c r="AQ1152" s="175"/>
      <c r="AR1152" s="175"/>
      <c r="AS1152" s="178"/>
      <c r="AT1152" s="179"/>
    </row>
    <row r="1153" customFormat="false" ht="12.75" hidden="false" customHeight="true" outlineLevel="0" collapsed="false">
      <c r="B1153" s="141"/>
      <c r="C1153" s="132"/>
      <c r="D1153" s="133"/>
      <c r="E1153" s="133"/>
      <c r="F1153" s="134"/>
      <c r="G1153" s="180"/>
      <c r="H1153" s="180"/>
      <c r="I1153" s="181"/>
      <c r="J1153" s="180"/>
      <c r="K1153" s="180"/>
      <c r="L1153" s="180"/>
      <c r="M1153" s="180"/>
      <c r="N1153" s="180"/>
      <c r="O1153" s="180"/>
      <c r="P1153" s="180"/>
      <c r="Q1153" s="180"/>
      <c r="R1153" s="180"/>
      <c r="S1153" s="180"/>
      <c r="T1153" s="182"/>
      <c r="U1153" s="183"/>
      <c r="V1153" s="184"/>
      <c r="W1153" s="184"/>
      <c r="X1153" s="184"/>
      <c r="Y1153" s="184"/>
      <c r="Z1153" s="184"/>
      <c r="AA1153" s="184"/>
      <c r="AB1153" s="184"/>
      <c r="AC1153" s="184"/>
      <c r="AD1153" s="184"/>
      <c r="AE1153" s="184"/>
      <c r="AF1153" s="184"/>
      <c r="AG1153" s="184"/>
      <c r="AH1153" s="184"/>
      <c r="AI1153" s="184"/>
      <c r="AJ1153" s="184"/>
      <c r="AK1153" s="184"/>
      <c r="AL1153" s="184"/>
      <c r="AM1153" s="184"/>
      <c r="AN1153" s="184"/>
      <c r="AO1153" s="185"/>
      <c r="AP1153" s="186"/>
      <c r="AQ1153" s="184"/>
      <c r="AR1153" s="184"/>
      <c r="AS1153" s="187"/>
      <c r="AT1153" s="188"/>
    </row>
    <row r="1154" customFormat="false" ht="12.75" hidden="false" customHeight="true" outlineLevel="0" collapsed="false">
      <c r="B1154" s="122"/>
      <c r="C1154" s="123"/>
      <c r="D1154" s="124"/>
      <c r="E1154" s="124"/>
      <c r="F1154" s="125"/>
      <c r="G1154" s="171"/>
      <c r="H1154" s="171"/>
      <c r="I1154" s="172"/>
      <c r="J1154" s="171"/>
      <c r="K1154" s="171"/>
      <c r="L1154" s="171"/>
      <c r="M1154" s="171"/>
      <c r="N1154" s="171"/>
      <c r="O1154" s="171"/>
      <c r="P1154" s="171"/>
      <c r="Q1154" s="171"/>
      <c r="R1154" s="171"/>
      <c r="S1154" s="171"/>
      <c r="T1154" s="173"/>
      <c r="U1154" s="174"/>
      <c r="V1154" s="175"/>
      <c r="W1154" s="175"/>
      <c r="X1154" s="175"/>
      <c r="Y1154" s="175"/>
      <c r="Z1154" s="175"/>
      <c r="AA1154" s="175"/>
      <c r="AB1154" s="175"/>
      <c r="AC1154" s="175"/>
      <c r="AD1154" s="175"/>
      <c r="AE1154" s="175"/>
      <c r="AF1154" s="175"/>
      <c r="AG1154" s="175"/>
      <c r="AH1154" s="175"/>
      <c r="AI1154" s="175"/>
      <c r="AJ1154" s="175"/>
      <c r="AK1154" s="175"/>
      <c r="AL1154" s="175"/>
      <c r="AM1154" s="175"/>
      <c r="AN1154" s="175"/>
      <c r="AO1154" s="176"/>
      <c r="AP1154" s="177"/>
      <c r="AQ1154" s="175"/>
      <c r="AR1154" s="175"/>
      <c r="AS1154" s="178"/>
      <c r="AT1154" s="179"/>
    </row>
    <row r="1155" customFormat="false" ht="12.75" hidden="false" customHeight="true" outlineLevel="0" collapsed="false">
      <c r="B1155" s="122"/>
      <c r="C1155" s="123"/>
      <c r="D1155" s="124"/>
      <c r="E1155" s="124"/>
      <c r="F1155" s="125"/>
      <c r="G1155" s="171"/>
      <c r="H1155" s="171"/>
      <c r="I1155" s="172"/>
      <c r="J1155" s="171"/>
      <c r="K1155" s="171"/>
      <c r="L1155" s="171"/>
      <c r="M1155" s="171"/>
      <c r="N1155" s="171"/>
      <c r="O1155" s="171"/>
      <c r="P1155" s="171"/>
      <c r="Q1155" s="171"/>
      <c r="R1155" s="171"/>
      <c r="S1155" s="171"/>
      <c r="T1155" s="173"/>
      <c r="U1155" s="174"/>
      <c r="V1155" s="175"/>
      <c r="W1155" s="175"/>
      <c r="X1155" s="175"/>
      <c r="Y1155" s="175"/>
      <c r="Z1155" s="175"/>
      <c r="AA1155" s="175"/>
      <c r="AB1155" s="175"/>
      <c r="AC1155" s="175"/>
      <c r="AD1155" s="175"/>
      <c r="AE1155" s="175"/>
      <c r="AF1155" s="175"/>
      <c r="AG1155" s="175"/>
      <c r="AH1155" s="175"/>
      <c r="AI1155" s="175"/>
      <c r="AJ1155" s="175"/>
      <c r="AK1155" s="175"/>
      <c r="AL1155" s="175"/>
      <c r="AM1155" s="175"/>
      <c r="AN1155" s="175"/>
      <c r="AO1155" s="176"/>
      <c r="AP1155" s="177"/>
      <c r="AQ1155" s="175"/>
      <c r="AR1155" s="175"/>
      <c r="AS1155" s="178"/>
      <c r="AT1155" s="179"/>
    </row>
    <row r="1156" customFormat="false" ht="12.75" hidden="false" customHeight="true" outlineLevel="0" collapsed="false">
      <c r="B1156" s="122"/>
      <c r="C1156" s="123"/>
      <c r="D1156" s="124"/>
      <c r="E1156" s="124"/>
      <c r="F1156" s="125"/>
      <c r="G1156" s="171"/>
      <c r="H1156" s="171"/>
      <c r="I1156" s="172"/>
      <c r="J1156" s="171"/>
      <c r="K1156" s="171"/>
      <c r="L1156" s="171"/>
      <c r="M1156" s="171"/>
      <c r="N1156" s="171"/>
      <c r="O1156" s="171"/>
      <c r="P1156" s="171"/>
      <c r="Q1156" s="171"/>
      <c r="R1156" s="171"/>
      <c r="S1156" s="171"/>
      <c r="T1156" s="173"/>
      <c r="U1156" s="174"/>
      <c r="V1156" s="175"/>
      <c r="W1156" s="175"/>
      <c r="X1156" s="175"/>
      <c r="Y1156" s="175"/>
      <c r="Z1156" s="175"/>
      <c r="AA1156" s="175"/>
      <c r="AB1156" s="175"/>
      <c r="AC1156" s="175"/>
      <c r="AD1156" s="175"/>
      <c r="AE1156" s="175"/>
      <c r="AF1156" s="175"/>
      <c r="AG1156" s="175"/>
      <c r="AH1156" s="175"/>
      <c r="AI1156" s="175"/>
      <c r="AJ1156" s="175"/>
      <c r="AK1156" s="175"/>
      <c r="AL1156" s="175"/>
      <c r="AM1156" s="175"/>
      <c r="AN1156" s="175"/>
      <c r="AO1156" s="176"/>
      <c r="AP1156" s="177"/>
      <c r="AQ1156" s="175"/>
      <c r="AR1156" s="175"/>
      <c r="AS1156" s="178"/>
      <c r="AT1156" s="179"/>
    </row>
    <row r="1157" customFormat="false" ht="12.75" hidden="false" customHeight="true" outlineLevel="0" collapsed="false">
      <c r="B1157" s="122"/>
      <c r="C1157" s="123"/>
      <c r="D1157" s="124"/>
      <c r="E1157" s="124"/>
      <c r="F1157" s="125"/>
      <c r="G1157" s="171"/>
      <c r="H1157" s="171"/>
      <c r="I1157" s="172"/>
      <c r="J1157" s="171"/>
      <c r="K1157" s="171"/>
      <c r="L1157" s="171"/>
      <c r="M1157" s="171"/>
      <c r="N1157" s="171"/>
      <c r="O1157" s="171"/>
      <c r="P1157" s="171"/>
      <c r="Q1157" s="171"/>
      <c r="R1157" s="171"/>
      <c r="S1157" s="171"/>
      <c r="T1157" s="173"/>
      <c r="U1157" s="174"/>
      <c r="V1157" s="175"/>
      <c r="W1157" s="175"/>
      <c r="X1157" s="175"/>
      <c r="Y1157" s="175"/>
      <c r="Z1157" s="175"/>
      <c r="AA1157" s="175"/>
      <c r="AB1157" s="175"/>
      <c r="AC1157" s="175"/>
      <c r="AD1157" s="175"/>
      <c r="AE1157" s="175"/>
      <c r="AF1157" s="175"/>
      <c r="AG1157" s="175"/>
      <c r="AH1157" s="175"/>
      <c r="AI1157" s="175"/>
      <c r="AJ1157" s="175"/>
      <c r="AK1157" s="175"/>
      <c r="AL1157" s="175"/>
      <c r="AM1157" s="175"/>
      <c r="AN1157" s="175"/>
      <c r="AO1157" s="176"/>
      <c r="AP1157" s="177"/>
      <c r="AQ1157" s="175"/>
      <c r="AR1157" s="175"/>
      <c r="AS1157" s="178"/>
      <c r="AT1157" s="179"/>
    </row>
    <row r="1158" customFormat="false" ht="12.75" hidden="false" customHeight="true" outlineLevel="0" collapsed="false">
      <c r="B1158" s="141"/>
      <c r="C1158" s="132"/>
      <c r="D1158" s="133"/>
      <c r="E1158" s="133"/>
      <c r="F1158" s="134"/>
      <c r="G1158" s="180"/>
      <c r="H1158" s="180"/>
      <c r="I1158" s="181"/>
      <c r="J1158" s="180"/>
      <c r="K1158" s="180"/>
      <c r="L1158" s="180"/>
      <c r="M1158" s="180"/>
      <c r="N1158" s="180"/>
      <c r="O1158" s="180"/>
      <c r="P1158" s="180"/>
      <c r="Q1158" s="180"/>
      <c r="R1158" s="180"/>
      <c r="S1158" s="180"/>
      <c r="T1158" s="182"/>
      <c r="U1158" s="183"/>
      <c r="V1158" s="184"/>
      <c r="W1158" s="184"/>
      <c r="X1158" s="184"/>
      <c r="Y1158" s="184"/>
      <c r="Z1158" s="184"/>
      <c r="AA1158" s="184"/>
      <c r="AB1158" s="184"/>
      <c r="AC1158" s="184"/>
      <c r="AD1158" s="184"/>
      <c r="AE1158" s="184"/>
      <c r="AF1158" s="184"/>
      <c r="AG1158" s="184"/>
      <c r="AH1158" s="184"/>
      <c r="AI1158" s="184"/>
      <c r="AJ1158" s="184"/>
      <c r="AK1158" s="184"/>
      <c r="AL1158" s="184"/>
      <c r="AM1158" s="184"/>
      <c r="AN1158" s="184"/>
      <c r="AO1158" s="185"/>
      <c r="AP1158" s="186"/>
      <c r="AQ1158" s="184"/>
      <c r="AR1158" s="184"/>
      <c r="AS1158" s="187"/>
      <c r="AT1158" s="188"/>
    </row>
    <row r="1159" customFormat="false" ht="12.75" hidden="false" customHeight="true" outlineLevel="0" collapsed="false">
      <c r="B1159" s="122"/>
      <c r="C1159" s="123"/>
      <c r="D1159" s="124"/>
      <c r="E1159" s="124"/>
      <c r="F1159" s="125"/>
      <c r="G1159" s="171"/>
      <c r="H1159" s="171"/>
      <c r="I1159" s="172"/>
      <c r="J1159" s="171"/>
      <c r="K1159" s="171"/>
      <c r="L1159" s="171"/>
      <c r="M1159" s="171"/>
      <c r="N1159" s="171"/>
      <c r="O1159" s="171"/>
      <c r="P1159" s="171"/>
      <c r="Q1159" s="171"/>
      <c r="R1159" s="171"/>
      <c r="S1159" s="171"/>
      <c r="T1159" s="173"/>
      <c r="U1159" s="174"/>
      <c r="V1159" s="175"/>
      <c r="W1159" s="175"/>
      <c r="X1159" s="175"/>
      <c r="Y1159" s="175"/>
      <c r="Z1159" s="175"/>
      <c r="AA1159" s="175"/>
      <c r="AB1159" s="175"/>
      <c r="AC1159" s="175"/>
      <c r="AD1159" s="175"/>
      <c r="AE1159" s="175"/>
      <c r="AF1159" s="175"/>
      <c r="AG1159" s="175"/>
      <c r="AH1159" s="175"/>
      <c r="AI1159" s="175"/>
      <c r="AJ1159" s="175"/>
      <c r="AK1159" s="175"/>
      <c r="AL1159" s="175"/>
      <c r="AM1159" s="175"/>
      <c r="AN1159" s="175"/>
      <c r="AO1159" s="176"/>
      <c r="AP1159" s="177"/>
      <c r="AQ1159" s="175"/>
      <c r="AR1159" s="175"/>
      <c r="AS1159" s="178"/>
      <c r="AT1159" s="179"/>
    </row>
    <row r="1160" customFormat="false" ht="12.75" hidden="false" customHeight="true" outlineLevel="0" collapsed="false">
      <c r="B1160" s="122"/>
      <c r="C1160" s="123"/>
      <c r="D1160" s="124"/>
      <c r="E1160" s="124"/>
      <c r="F1160" s="125"/>
      <c r="G1160" s="171"/>
      <c r="H1160" s="171"/>
      <c r="I1160" s="172"/>
      <c r="J1160" s="171"/>
      <c r="K1160" s="171"/>
      <c r="L1160" s="171"/>
      <c r="M1160" s="171"/>
      <c r="N1160" s="171"/>
      <c r="O1160" s="171"/>
      <c r="P1160" s="171"/>
      <c r="Q1160" s="171"/>
      <c r="R1160" s="171"/>
      <c r="S1160" s="171"/>
      <c r="T1160" s="173"/>
      <c r="U1160" s="174"/>
      <c r="V1160" s="175"/>
      <c r="W1160" s="175"/>
      <c r="X1160" s="175"/>
      <c r="Y1160" s="175"/>
      <c r="Z1160" s="175"/>
      <c r="AA1160" s="175"/>
      <c r="AB1160" s="175"/>
      <c r="AC1160" s="175"/>
      <c r="AD1160" s="175"/>
      <c r="AE1160" s="175"/>
      <c r="AF1160" s="175"/>
      <c r="AG1160" s="175"/>
      <c r="AH1160" s="175"/>
      <c r="AI1160" s="175"/>
      <c r="AJ1160" s="175"/>
      <c r="AK1160" s="175"/>
      <c r="AL1160" s="175"/>
      <c r="AM1160" s="175"/>
      <c r="AN1160" s="175"/>
      <c r="AO1160" s="176"/>
      <c r="AP1160" s="177"/>
      <c r="AQ1160" s="175"/>
      <c r="AR1160" s="175"/>
      <c r="AS1160" s="178"/>
      <c r="AT1160" s="179"/>
    </row>
    <row r="1161" customFormat="false" ht="12.75" hidden="false" customHeight="true" outlineLevel="0" collapsed="false">
      <c r="B1161" s="122"/>
      <c r="C1161" s="123"/>
      <c r="D1161" s="124"/>
      <c r="E1161" s="124"/>
      <c r="F1161" s="125"/>
      <c r="G1161" s="171"/>
      <c r="H1161" s="171"/>
      <c r="I1161" s="172"/>
      <c r="J1161" s="171"/>
      <c r="K1161" s="171"/>
      <c r="L1161" s="171"/>
      <c r="M1161" s="171"/>
      <c r="N1161" s="171"/>
      <c r="O1161" s="171"/>
      <c r="P1161" s="171"/>
      <c r="Q1161" s="171"/>
      <c r="R1161" s="171"/>
      <c r="S1161" s="171"/>
      <c r="T1161" s="173"/>
      <c r="U1161" s="174"/>
      <c r="V1161" s="175"/>
      <c r="W1161" s="175"/>
      <c r="X1161" s="175"/>
      <c r="Y1161" s="175"/>
      <c r="Z1161" s="175"/>
      <c r="AA1161" s="175"/>
      <c r="AB1161" s="175"/>
      <c r="AC1161" s="175"/>
      <c r="AD1161" s="175"/>
      <c r="AE1161" s="175"/>
      <c r="AF1161" s="175"/>
      <c r="AG1161" s="175"/>
      <c r="AH1161" s="175"/>
      <c r="AI1161" s="175"/>
      <c r="AJ1161" s="175"/>
      <c r="AK1161" s="175"/>
      <c r="AL1161" s="175"/>
      <c r="AM1161" s="175"/>
      <c r="AN1161" s="175"/>
      <c r="AO1161" s="176"/>
      <c r="AP1161" s="177"/>
      <c r="AQ1161" s="175"/>
      <c r="AR1161" s="175"/>
      <c r="AS1161" s="178"/>
      <c r="AT1161" s="179"/>
    </row>
    <row r="1162" customFormat="false" ht="12.75" hidden="false" customHeight="true" outlineLevel="0" collapsed="false">
      <c r="B1162" s="122"/>
      <c r="C1162" s="123"/>
      <c r="D1162" s="124"/>
      <c r="E1162" s="124"/>
      <c r="F1162" s="125"/>
      <c r="G1162" s="171"/>
      <c r="H1162" s="171"/>
      <c r="I1162" s="172"/>
      <c r="J1162" s="171"/>
      <c r="K1162" s="171"/>
      <c r="L1162" s="171"/>
      <c r="M1162" s="171"/>
      <c r="N1162" s="171"/>
      <c r="O1162" s="171"/>
      <c r="P1162" s="171"/>
      <c r="Q1162" s="171"/>
      <c r="R1162" s="171"/>
      <c r="S1162" s="171"/>
      <c r="T1162" s="173"/>
      <c r="U1162" s="174"/>
      <c r="V1162" s="175"/>
      <c r="W1162" s="175"/>
      <c r="X1162" s="175"/>
      <c r="Y1162" s="175"/>
      <c r="Z1162" s="175"/>
      <c r="AA1162" s="175"/>
      <c r="AB1162" s="175"/>
      <c r="AC1162" s="175"/>
      <c r="AD1162" s="175"/>
      <c r="AE1162" s="175"/>
      <c r="AF1162" s="175"/>
      <c r="AG1162" s="175"/>
      <c r="AH1162" s="175"/>
      <c r="AI1162" s="175"/>
      <c r="AJ1162" s="175"/>
      <c r="AK1162" s="175"/>
      <c r="AL1162" s="175"/>
      <c r="AM1162" s="175"/>
      <c r="AN1162" s="175"/>
      <c r="AO1162" s="176"/>
      <c r="AP1162" s="177"/>
      <c r="AQ1162" s="175"/>
      <c r="AR1162" s="175"/>
      <c r="AS1162" s="178"/>
      <c r="AT1162" s="179"/>
    </row>
    <row r="1163" customFormat="false" ht="12.75" hidden="false" customHeight="true" outlineLevel="0" collapsed="false">
      <c r="B1163" s="141"/>
      <c r="C1163" s="132"/>
      <c r="D1163" s="133"/>
      <c r="E1163" s="133"/>
      <c r="F1163" s="134"/>
      <c r="G1163" s="180"/>
      <c r="H1163" s="180"/>
      <c r="I1163" s="181"/>
      <c r="J1163" s="180"/>
      <c r="K1163" s="180"/>
      <c r="L1163" s="180"/>
      <c r="M1163" s="180"/>
      <c r="N1163" s="180"/>
      <c r="O1163" s="180"/>
      <c r="P1163" s="180"/>
      <c r="Q1163" s="180"/>
      <c r="R1163" s="180"/>
      <c r="S1163" s="180"/>
      <c r="T1163" s="182"/>
      <c r="U1163" s="183"/>
      <c r="V1163" s="184"/>
      <c r="W1163" s="184"/>
      <c r="X1163" s="184"/>
      <c r="Y1163" s="184"/>
      <c r="Z1163" s="184"/>
      <c r="AA1163" s="184"/>
      <c r="AB1163" s="184"/>
      <c r="AC1163" s="184"/>
      <c r="AD1163" s="184"/>
      <c r="AE1163" s="184"/>
      <c r="AF1163" s="184"/>
      <c r="AG1163" s="184"/>
      <c r="AH1163" s="184"/>
      <c r="AI1163" s="184"/>
      <c r="AJ1163" s="184"/>
      <c r="AK1163" s="184"/>
      <c r="AL1163" s="184"/>
      <c r="AM1163" s="184"/>
      <c r="AN1163" s="184"/>
      <c r="AO1163" s="185"/>
      <c r="AP1163" s="186"/>
      <c r="AQ1163" s="184"/>
      <c r="AR1163" s="184"/>
      <c r="AS1163" s="187"/>
      <c r="AT1163" s="188"/>
    </row>
    <row r="1164" customFormat="false" ht="12.75" hidden="false" customHeight="true" outlineLevel="0" collapsed="false">
      <c r="B1164" s="122"/>
      <c r="C1164" s="123"/>
      <c r="D1164" s="124"/>
      <c r="E1164" s="124"/>
      <c r="F1164" s="125"/>
      <c r="G1164" s="171"/>
      <c r="H1164" s="171"/>
      <c r="I1164" s="172"/>
      <c r="J1164" s="171"/>
      <c r="K1164" s="171"/>
      <c r="L1164" s="171"/>
      <c r="M1164" s="171"/>
      <c r="N1164" s="171"/>
      <c r="O1164" s="171"/>
      <c r="P1164" s="171"/>
      <c r="Q1164" s="171"/>
      <c r="R1164" s="171"/>
      <c r="S1164" s="171"/>
      <c r="T1164" s="173"/>
      <c r="U1164" s="174"/>
      <c r="V1164" s="175"/>
      <c r="W1164" s="175"/>
      <c r="X1164" s="175"/>
      <c r="Y1164" s="175"/>
      <c r="Z1164" s="175"/>
      <c r="AA1164" s="175"/>
      <c r="AB1164" s="175"/>
      <c r="AC1164" s="175"/>
      <c r="AD1164" s="175"/>
      <c r="AE1164" s="175"/>
      <c r="AF1164" s="175"/>
      <c r="AG1164" s="175"/>
      <c r="AH1164" s="175"/>
      <c r="AI1164" s="175"/>
      <c r="AJ1164" s="175"/>
      <c r="AK1164" s="175"/>
      <c r="AL1164" s="175"/>
      <c r="AM1164" s="175"/>
      <c r="AN1164" s="175"/>
      <c r="AO1164" s="176"/>
      <c r="AP1164" s="177"/>
      <c r="AQ1164" s="175"/>
      <c r="AR1164" s="175"/>
      <c r="AS1164" s="178"/>
      <c r="AT1164" s="179"/>
    </row>
    <row r="1165" customFormat="false" ht="12.75" hidden="false" customHeight="true" outlineLevel="0" collapsed="false">
      <c r="B1165" s="122"/>
      <c r="C1165" s="123"/>
      <c r="D1165" s="124"/>
      <c r="E1165" s="124"/>
      <c r="F1165" s="125"/>
      <c r="G1165" s="171"/>
      <c r="H1165" s="171"/>
      <c r="I1165" s="172"/>
      <c r="J1165" s="171"/>
      <c r="K1165" s="171"/>
      <c r="L1165" s="171"/>
      <c r="M1165" s="171"/>
      <c r="N1165" s="171"/>
      <c r="O1165" s="171"/>
      <c r="P1165" s="171"/>
      <c r="Q1165" s="171"/>
      <c r="R1165" s="171"/>
      <c r="S1165" s="171"/>
      <c r="T1165" s="173"/>
      <c r="U1165" s="174"/>
      <c r="V1165" s="175"/>
      <c r="W1165" s="175"/>
      <c r="X1165" s="175"/>
      <c r="Y1165" s="175"/>
      <c r="Z1165" s="175"/>
      <c r="AA1165" s="175"/>
      <c r="AB1165" s="175"/>
      <c r="AC1165" s="175"/>
      <c r="AD1165" s="175"/>
      <c r="AE1165" s="175"/>
      <c r="AF1165" s="175"/>
      <c r="AG1165" s="175"/>
      <c r="AH1165" s="175"/>
      <c r="AI1165" s="175"/>
      <c r="AJ1165" s="175"/>
      <c r="AK1165" s="175"/>
      <c r="AL1165" s="175"/>
      <c r="AM1165" s="175"/>
      <c r="AN1165" s="175"/>
      <c r="AO1165" s="176"/>
      <c r="AP1165" s="177"/>
      <c r="AQ1165" s="175"/>
      <c r="AR1165" s="175"/>
      <c r="AS1165" s="178"/>
      <c r="AT1165" s="179"/>
    </row>
    <row r="1166" customFormat="false" ht="12.75" hidden="false" customHeight="true" outlineLevel="0" collapsed="false">
      <c r="B1166" s="122"/>
      <c r="C1166" s="123"/>
      <c r="D1166" s="124"/>
      <c r="E1166" s="124"/>
      <c r="F1166" s="125"/>
      <c r="G1166" s="171"/>
      <c r="H1166" s="171"/>
      <c r="I1166" s="172"/>
      <c r="J1166" s="171"/>
      <c r="K1166" s="171"/>
      <c r="L1166" s="171"/>
      <c r="M1166" s="171"/>
      <c r="N1166" s="171"/>
      <c r="O1166" s="171"/>
      <c r="P1166" s="171"/>
      <c r="Q1166" s="171"/>
      <c r="R1166" s="171"/>
      <c r="S1166" s="171"/>
      <c r="T1166" s="173"/>
      <c r="U1166" s="174"/>
      <c r="V1166" s="175"/>
      <c r="W1166" s="175"/>
      <c r="X1166" s="175"/>
      <c r="Y1166" s="175"/>
      <c r="Z1166" s="175"/>
      <c r="AA1166" s="175"/>
      <c r="AB1166" s="175"/>
      <c r="AC1166" s="175"/>
      <c r="AD1166" s="175"/>
      <c r="AE1166" s="175"/>
      <c r="AF1166" s="175"/>
      <c r="AG1166" s="175"/>
      <c r="AH1166" s="175"/>
      <c r="AI1166" s="175"/>
      <c r="AJ1166" s="175"/>
      <c r="AK1166" s="175"/>
      <c r="AL1166" s="175"/>
      <c r="AM1166" s="175"/>
      <c r="AN1166" s="175"/>
      <c r="AO1166" s="176"/>
      <c r="AP1166" s="177"/>
      <c r="AQ1166" s="175"/>
      <c r="AR1166" s="175"/>
      <c r="AS1166" s="178"/>
      <c r="AT1166" s="179"/>
    </row>
    <row r="1167" customFormat="false" ht="12.75" hidden="false" customHeight="true" outlineLevel="0" collapsed="false">
      <c r="B1167" s="141"/>
      <c r="C1167" s="132"/>
      <c r="D1167" s="133"/>
      <c r="E1167" s="133"/>
      <c r="F1167" s="134"/>
      <c r="G1167" s="180"/>
      <c r="H1167" s="180"/>
      <c r="I1167" s="181"/>
      <c r="J1167" s="180"/>
      <c r="K1167" s="180"/>
      <c r="L1167" s="180"/>
      <c r="M1167" s="180"/>
      <c r="N1167" s="180"/>
      <c r="O1167" s="180"/>
      <c r="P1167" s="180"/>
      <c r="Q1167" s="180"/>
      <c r="R1167" s="180"/>
      <c r="S1167" s="180"/>
      <c r="T1167" s="182"/>
      <c r="U1167" s="183"/>
      <c r="V1167" s="184"/>
      <c r="W1167" s="184"/>
      <c r="X1167" s="184"/>
      <c r="Y1167" s="184"/>
      <c r="Z1167" s="184"/>
      <c r="AA1167" s="184"/>
      <c r="AB1167" s="184"/>
      <c r="AC1167" s="184"/>
      <c r="AD1167" s="184"/>
      <c r="AE1167" s="184"/>
      <c r="AF1167" s="184"/>
      <c r="AG1167" s="184"/>
      <c r="AH1167" s="184"/>
      <c r="AI1167" s="184"/>
      <c r="AJ1167" s="184"/>
      <c r="AK1167" s="184"/>
      <c r="AL1167" s="184"/>
      <c r="AM1167" s="184"/>
      <c r="AN1167" s="184"/>
      <c r="AO1167" s="185"/>
      <c r="AP1167" s="186"/>
      <c r="AQ1167" s="184"/>
      <c r="AR1167" s="184"/>
      <c r="AS1167" s="187"/>
      <c r="AT1167" s="188"/>
    </row>
    <row r="1168" customFormat="false" ht="12.75" hidden="false" customHeight="true" outlineLevel="0" collapsed="false">
      <c r="B1168" s="122"/>
      <c r="C1168" s="123"/>
      <c r="D1168" s="124"/>
      <c r="E1168" s="124"/>
      <c r="F1168" s="125"/>
      <c r="G1168" s="171"/>
      <c r="H1168" s="171"/>
      <c r="I1168" s="172"/>
      <c r="J1168" s="171"/>
      <c r="K1168" s="171"/>
      <c r="L1168" s="171"/>
      <c r="M1168" s="171"/>
      <c r="N1168" s="171"/>
      <c r="O1168" s="171"/>
      <c r="P1168" s="171"/>
      <c r="Q1168" s="171"/>
      <c r="R1168" s="171"/>
      <c r="S1168" s="171"/>
      <c r="T1168" s="173"/>
      <c r="U1168" s="174"/>
      <c r="V1168" s="175"/>
      <c r="W1168" s="175"/>
      <c r="X1168" s="175"/>
      <c r="Y1168" s="175"/>
      <c r="Z1168" s="175"/>
      <c r="AA1168" s="175"/>
      <c r="AB1168" s="175"/>
      <c r="AC1168" s="175"/>
      <c r="AD1168" s="175"/>
      <c r="AE1168" s="175"/>
      <c r="AF1168" s="175"/>
      <c r="AG1168" s="175"/>
      <c r="AH1168" s="175"/>
      <c r="AI1168" s="175"/>
      <c r="AJ1168" s="175"/>
      <c r="AK1168" s="175"/>
      <c r="AL1168" s="175"/>
      <c r="AM1168" s="175"/>
      <c r="AN1168" s="175"/>
      <c r="AO1168" s="176"/>
      <c r="AP1168" s="177"/>
      <c r="AQ1168" s="175"/>
      <c r="AR1168" s="175"/>
      <c r="AS1168" s="178"/>
      <c r="AT1168" s="179"/>
    </row>
    <row r="1169" customFormat="false" ht="12.75" hidden="false" customHeight="true" outlineLevel="0" collapsed="false">
      <c r="B1169" s="122"/>
      <c r="C1169" s="123"/>
      <c r="D1169" s="124"/>
      <c r="E1169" s="124"/>
      <c r="F1169" s="125"/>
      <c r="G1169" s="171"/>
      <c r="H1169" s="171"/>
      <c r="I1169" s="172"/>
      <c r="J1169" s="171"/>
      <c r="K1169" s="171"/>
      <c r="L1169" s="171"/>
      <c r="M1169" s="171"/>
      <c r="N1169" s="171"/>
      <c r="O1169" s="171"/>
      <c r="P1169" s="171"/>
      <c r="Q1169" s="171"/>
      <c r="R1169" s="171"/>
      <c r="S1169" s="171"/>
      <c r="T1169" s="173"/>
      <c r="U1169" s="174"/>
      <c r="V1169" s="175"/>
      <c r="W1169" s="175"/>
      <c r="X1169" s="175"/>
      <c r="Y1169" s="175"/>
      <c r="Z1169" s="175"/>
      <c r="AA1169" s="175"/>
      <c r="AB1169" s="175"/>
      <c r="AC1169" s="175"/>
      <c r="AD1169" s="175"/>
      <c r="AE1169" s="175"/>
      <c r="AF1169" s="175"/>
      <c r="AG1169" s="175"/>
      <c r="AH1169" s="175"/>
      <c r="AI1169" s="175"/>
      <c r="AJ1169" s="175"/>
      <c r="AK1169" s="175"/>
      <c r="AL1169" s="175"/>
      <c r="AM1169" s="175"/>
      <c r="AN1169" s="175"/>
      <c r="AO1169" s="176"/>
      <c r="AP1169" s="177"/>
      <c r="AQ1169" s="175"/>
      <c r="AR1169" s="175"/>
      <c r="AS1169" s="178"/>
      <c r="AT1169" s="179"/>
    </row>
    <row r="1170" customFormat="false" ht="12.75" hidden="false" customHeight="true" outlineLevel="0" collapsed="false">
      <c r="B1170" s="122"/>
      <c r="C1170" s="123"/>
      <c r="D1170" s="124"/>
      <c r="E1170" s="124"/>
      <c r="F1170" s="125"/>
      <c r="G1170" s="171"/>
      <c r="H1170" s="171"/>
      <c r="I1170" s="172"/>
      <c r="J1170" s="171"/>
      <c r="K1170" s="171"/>
      <c r="L1170" s="171"/>
      <c r="M1170" s="171"/>
      <c r="N1170" s="171"/>
      <c r="O1170" s="171"/>
      <c r="P1170" s="171"/>
      <c r="Q1170" s="171"/>
      <c r="R1170" s="171"/>
      <c r="S1170" s="171"/>
      <c r="T1170" s="173"/>
      <c r="U1170" s="174"/>
      <c r="V1170" s="175"/>
      <c r="W1170" s="175"/>
      <c r="X1170" s="175"/>
      <c r="Y1170" s="175"/>
      <c r="Z1170" s="175"/>
      <c r="AA1170" s="175"/>
      <c r="AB1170" s="175"/>
      <c r="AC1170" s="175"/>
      <c r="AD1170" s="175"/>
      <c r="AE1170" s="175"/>
      <c r="AF1170" s="175"/>
      <c r="AG1170" s="175"/>
      <c r="AH1170" s="175"/>
      <c r="AI1170" s="175"/>
      <c r="AJ1170" s="175"/>
      <c r="AK1170" s="175"/>
      <c r="AL1170" s="175"/>
      <c r="AM1170" s="175"/>
      <c r="AN1170" s="175"/>
      <c r="AO1170" s="176"/>
      <c r="AP1170" s="177"/>
      <c r="AQ1170" s="175"/>
      <c r="AR1170" s="175"/>
      <c r="AS1170" s="178"/>
      <c r="AT1170" s="179"/>
    </row>
    <row r="1171" customFormat="false" ht="12.75" hidden="false" customHeight="true" outlineLevel="0" collapsed="false">
      <c r="B1171" s="122"/>
      <c r="C1171" s="123"/>
      <c r="D1171" s="124"/>
      <c r="E1171" s="124"/>
      <c r="F1171" s="125"/>
      <c r="G1171" s="171"/>
      <c r="H1171" s="171"/>
      <c r="I1171" s="172"/>
      <c r="J1171" s="171"/>
      <c r="K1171" s="171"/>
      <c r="L1171" s="171"/>
      <c r="M1171" s="171"/>
      <c r="N1171" s="171"/>
      <c r="O1171" s="171"/>
      <c r="P1171" s="171"/>
      <c r="Q1171" s="171"/>
      <c r="R1171" s="171"/>
      <c r="S1171" s="171"/>
      <c r="T1171" s="173"/>
      <c r="U1171" s="174"/>
      <c r="V1171" s="175"/>
      <c r="W1171" s="175"/>
      <c r="X1171" s="175"/>
      <c r="Y1171" s="175"/>
      <c r="Z1171" s="175"/>
      <c r="AA1171" s="175"/>
      <c r="AB1171" s="175"/>
      <c r="AC1171" s="175"/>
      <c r="AD1171" s="175"/>
      <c r="AE1171" s="175"/>
      <c r="AF1171" s="175"/>
      <c r="AG1171" s="175"/>
      <c r="AH1171" s="175"/>
      <c r="AI1171" s="175"/>
      <c r="AJ1171" s="175"/>
      <c r="AK1171" s="175"/>
      <c r="AL1171" s="175"/>
      <c r="AM1171" s="175"/>
      <c r="AN1171" s="175"/>
      <c r="AO1171" s="176"/>
      <c r="AP1171" s="177"/>
      <c r="AQ1171" s="175"/>
      <c r="AR1171" s="175"/>
      <c r="AS1171" s="178"/>
      <c r="AT1171" s="179"/>
    </row>
    <row r="1172" customFormat="false" ht="12.75" hidden="false" customHeight="true" outlineLevel="0" collapsed="false">
      <c r="B1172" s="141"/>
      <c r="C1172" s="132"/>
      <c r="D1172" s="133"/>
      <c r="E1172" s="133"/>
      <c r="F1172" s="134"/>
      <c r="G1172" s="180"/>
      <c r="H1172" s="180"/>
      <c r="I1172" s="181"/>
      <c r="J1172" s="180"/>
      <c r="K1172" s="180"/>
      <c r="L1172" s="180"/>
      <c r="M1172" s="180"/>
      <c r="N1172" s="180"/>
      <c r="O1172" s="180"/>
      <c r="P1172" s="180"/>
      <c r="Q1172" s="180"/>
      <c r="R1172" s="180"/>
      <c r="S1172" s="180"/>
      <c r="T1172" s="182"/>
      <c r="U1172" s="183"/>
      <c r="V1172" s="184"/>
      <c r="W1172" s="184"/>
      <c r="X1172" s="184"/>
      <c r="Y1172" s="184"/>
      <c r="Z1172" s="184"/>
      <c r="AA1172" s="184"/>
      <c r="AB1172" s="184"/>
      <c r="AC1172" s="184"/>
      <c r="AD1172" s="184"/>
      <c r="AE1172" s="184"/>
      <c r="AF1172" s="184"/>
      <c r="AG1172" s="184"/>
      <c r="AH1172" s="184"/>
      <c r="AI1172" s="184"/>
      <c r="AJ1172" s="184"/>
      <c r="AK1172" s="184"/>
      <c r="AL1172" s="184"/>
      <c r="AM1172" s="184"/>
      <c r="AN1172" s="184"/>
      <c r="AO1172" s="185"/>
      <c r="AP1172" s="186"/>
      <c r="AQ1172" s="184"/>
      <c r="AR1172" s="184"/>
      <c r="AS1172" s="187"/>
      <c r="AT1172" s="188"/>
    </row>
    <row r="1173" customFormat="false" ht="12.75" hidden="false" customHeight="true" outlineLevel="0" collapsed="false">
      <c r="B1173" s="122"/>
      <c r="C1173" s="123"/>
      <c r="D1173" s="124"/>
      <c r="E1173" s="124"/>
      <c r="F1173" s="125"/>
      <c r="G1173" s="171"/>
      <c r="H1173" s="171"/>
      <c r="I1173" s="172"/>
      <c r="J1173" s="171"/>
      <c r="K1173" s="171"/>
      <c r="L1173" s="171"/>
      <c r="M1173" s="171"/>
      <c r="N1173" s="171"/>
      <c r="O1173" s="171"/>
      <c r="P1173" s="171"/>
      <c r="Q1173" s="171"/>
      <c r="R1173" s="171"/>
      <c r="S1173" s="171"/>
      <c r="T1173" s="173"/>
      <c r="U1173" s="174"/>
      <c r="V1173" s="175"/>
      <c r="W1173" s="175"/>
      <c r="X1173" s="175"/>
      <c r="Y1173" s="175"/>
      <c r="Z1173" s="175"/>
      <c r="AA1173" s="175"/>
      <c r="AB1173" s="175"/>
      <c r="AC1173" s="175"/>
      <c r="AD1173" s="175"/>
      <c r="AE1173" s="175"/>
      <c r="AF1173" s="175"/>
      <c r="AG1173" s="175"/>
      <c r="AH1173" s="175"/>
      <c r="AI1173" s="175"/>
      <c r="AJ1173" s="175"/>
      <c r="AK1173" s="175"/>
      <c r="AL1173" s="175"/>
      <c r="AM1173" s="175"/>
      <c r="AN1173" s="175"/>
      <c r="AO1173" s="176"/>
      <c r="AP1173" s="177"/>
      <c r="AQ1173" s="175"/>
      <c r="AR1173" s="175"/>
      <c r="AS1173" s="178"/>
      <c r="AT1173" s="179"/>
    </row>
    <row r="1174" customFormat="false" ht="12.75" hidden="false" customHeight="true" outlineLevel="0" collapsed="false">
      <c r="B1174" s="122"/>
      <c r="C1174" s="123"/>
      <c r="D1174" s="124"/>
      <c r="E1174" s="124"/>
      <c r="F1174" s="125"/>
      <c r="G1174" s="171"/>
      <c r="H1174" s="171"/>
      <c r="I1174" s="172"/>
      <c r="J1174" s="171"/>
      <c r="K1174" s="171"/>
      <c r="L1174" s="171"/>
      <c r="M1174" s="171"/>
      <c r="N1174" s="171"/>
      <c r="O1174" s="171"/>
      <c r="P1174" s="171"/>
      <c r="Q1174" s="171"/>
      <c r="R1174" s="171"/>
      <c r="S1174" s="171"/>
      <c r="T1174" s="173"/>
      <c r="U1174" s="174"/>
      <c r="V1174" s="175"/>
      <c r="W1174" s="175"/>
      <c r="X1174" s="175"/>
      <c r="Y1174" s="175"/>
      <c r="Z1174" s="175"/>
      <c r="AA1174" s="175"/>
      <c r="AB1174" s="175"/>
      <c r="AC1174" s="175"/>
      <c r="AD1174" s="175"/>
      <c r="AE1174" s="175"/>
      <c r="AF1174" s="175"/>
      <c r="AG1174" s="175"/>
      <c r="AH1174" s="175"/>
      <c r="AI1174" s="175"/>
      <c r="AJ1174" s="175"/>
      <c r="AK1174" s="175"/>
      <c r="AL1174" s="175"/>
      <c r="AM1174" s="175"/>
      <c r="AN1174" s="175"/>
      <c r="AO1174" s="176"/>
      <c r="AP1174" s="177"/>
      <c r="AQ1174" s="175"/>
      <c r="AR1174" s="175"/>
      <c r="AS1174" s="178"/>
      <c r="AT1174" s="179"/>
    </row>
    <row r="1175" customFormat="false" ht="12.75" hidden="false" customHeight="true" outlineLevel="0" collapsed="false">
      <c r="B1175" s="122"/>
      <c r="C1175" s="123"/>
      <c r="D1175" s="124"/>
      <c r="E1175" s="124"/>
      <c r="F1175" s="125"/>
      <c r="G1175" s="171"/>
      <c r="H1175" s="171"/>
      <c r="I1175" s="172"/>
      <c r="J1175" s="171"/>
      <c r="K1175" s="171"/>
      <c r="L1175" s="171"/>
      <c r="M1175" s="171"/>
      <c r="N1175" s="171"/>
      <c r="O1175" s="171"/>
      <c r="P1175" s="171"/>
      <c r="Q1175" s="171"/>
      <c r="R1175" s="171"/>
      <c r="S1175" s="171"/>
      <c r="T1175" s="173"/>
      <c r="U1175" s="174"/>
      <c r="V1175" s="175"/>
      <c r="W1175" s="175"/>
      <c r="X1175" s="175"/>
      <c r="Y1175" s="175"/>
      <c r="Z1175" s="175"/>
      <c r="AA1175" s="175"/>
      <c r="AB1175" s="175"/>
      <c r="AC1175" s="175"/>
      <c r="AD1175" s="175"/>
      <c r="AE1175" s="175"/>
      <c r="AF1175" s="175"/>
      <c r="AG1175" s="175"/>
      <c r="AH1175" s="175"/>
      <c r="AI1175" s="175"/>
      <c r="AJ1175" s="175"/>
      <c r="AK1175" s="175"/>
      <c r="AL1175" s="175"/>
      <c r="AM1175" s="175"/>
      <c r="AN1175" s="175"/>
      <c r="AO1175" s="176"/>
      <c r="AP1175" s="177"/>
      <c r="AQ1175" s="175"/>
      <c r="AR1175" s="175"/>
      <c r="AS1175" s="178"/>
      <c r="AT1175" s="179"/>
    </row>
    <row r="1176" customFormat="false" ht="12.75" hidden="false" customHeight="true" outlineLevel="0" collapsed="false">
      <c r="B1176" s="122"/>
      <c r="C1176" s="123"/>
      <c r="D1176" s="124"/>
      <c r="E1176" s="124"/>
      <c r="F1176" s="125"/>
      <c r="G1176" s="171"/>
      <c r="H1176" s="171"/>
      <c r="I1176" s="172"/>
      <c r="J1176" s="171"/>
      <c r="K1176" s="171"/>
      <c r="L1176" s="171"/>
      <c r="M1176" s="171"/>
      <c r="N1176" s="171"/>
      <c r="O1176" s="171"/>
      <c r="P1176" s="171"/>
      <c r="Q1176" s="171"/>
      <c r="R1176" s="171"/>
      <c r="S1176" s="171"/>
      <c r="T1176" s="173"/>
      <c r="U1176" s="174"/>
      <c r="V1176" s="175"/>
      <c r="W1176" s="175"/>
      <c r="X1176" s="175"/>
      <c r="Y1176" s="175"/>
      <c r="Z1176" s="175"/>
      <c r="AA1176" s="175"/>
      <c r="AB1176" s="175"/>
      <c r="AC1176" s="175"/>
      <c r="AD1176" s="175"/>
      <c r="AE1176" s="175"/>
      <c r="AF1176" s="175"/>
      <c r="AG1176" s="175"/>
      <c r="AH1176" s="175"/>
      <c r="AI1176" s="175"/>
      <c r="AJ1176" s="175"/>
      <c r="AK1176" s="175"/>
      <c r="AL1176" s="175"/>
      <c r="AM1176" s="175"/>
      <c r="AN1176" s="175"/>
      <c r="AO1176" s="176"/>
      <c r="AP1176" s="177"/>
      <c r="AQ1176" s="175"/>
      <c r="AR1176" s="175"/>
      <c r="AS1176" s="178"/>
      <c r="AT1176" s="179"/>
    </row>
    <row r="1177" customFormat="false" ht="12.75" hidden="false" customHeight="true" outlineLevel="0" collapsed="false">
      <c r="B1177" s="141"/>
      <c r="C1177" s="132"/>
      <c r="D1177" s="133"/>
      <c r="E1177" s="133"/>
      <c r="F1177" s="134"/>
      <c r="G1177" s="180"/>
      <c r="H1177" s="180"/>
      <c r="I1177" s="181"/>
      <c r="J1177" s="180"/>
      <c r="K1177" s="180"/>
      <c r="L1177" s="180"/>
      <c r="M1177" s="180"/>
      <c r="N1177" s="180"/>
      <c r="O1177" s="180"/>
      <c r="P1177" s="180"/>
      <c r="Q1177" s="180"/>
      <c r="R1177" s="180"/>
      <c r="S1177" s="180"/>
      <c r="T1177" s="182"/>
      <c r="U1177" s="183"/>
      <c r="V1177" s="184"/>
      <c r="W1177" s="184"/>
      <c r="X1177" s="184"/>
      <c r="Y1177" s="184"/>
      <c r="Z1177" s="184"/>
      <c r="AA1177" s="184"/>
      <c r="AB1177" s="184"/>
      <c r="AC1177" s="184"/>
      <c r="AD1177" s="184"/>
      <c r="AE1177" s="184"/>
      <c r="AF1177" s="184"/>
      <c r="AG1177" s="184"/>
      <c r="AH1177" s="184"/>
      <c r="AI1177" s="184"/>
      <c r="AJ1177" s="184"/>
      <c r="AK1177" s="184"/>
      <c r="AL1177" s="184"/>
      <c r="AM1177" s="184"/>
      <c r="AN1177" s="184"/>
      <c r="AO1177" s="185"/>
      <c r="AP1177" s="186"/>
      <c r="AQ1177" s="184"/>
      <c r="AR1177" s="184"/>
      <c r="AS1177" s="187"/>
      <c r="AT1177" s="188"/>
    </row>
    <row r="1178" customFormat="false" ht="12.75" hidden="false" customHeight="true" outlineLevel="0" collapsed="false">
      <c r="B1178" s="122"/>
      <c r="C1178" s="123"/>
      <c r="D1178" s="124"/>
      <c r="E1178" s="124"/>
      <c r="F1178" s="125"/>
      <c r="G1178" s="171"/>
      <c r="H1178" s="171"/>
      <c r="I1178" s="172"/>
      <c r="J1178" s="171"/>
      <c r="K1178" s="171"/>
      <c r="L1178" s="171"/>
      <c r="M1178" s="171"/>
      <c r="N1178" s="171"/>
      <c r="O1178" s="171"/>
      <c r="P1178" s="171"/>
      <c r="Q1178" s="171"/>
      <c r="R1178" s="171"/>
      <c r="S1178" s="171"/>
      <c r="T1178" s="173"/>
      <c r="U1178" s="174"/>
      <c r="V1178" s="175"/>
      <c r="W1178" s="175"/>
      <c r="X1178" s="175"/>
      <c r="Y1178" s="175"/>
      <c r="Z1178" s="175"/>
      <c r="AA1178" s="175"/>
      <c r="AB1178" s="175"/>
      <c r="AC1178" s="175"/>
      <c r="AD1178" s="175"/>
      <c r="AE1178" s="175"/>
      <c r="AF1178" s="175"/>
      <c r="AG1178" s="175"/>
      <c r="AH1178" s="175"/>
      <c r="AI1178" s="175"/>
      <c r="AJ1178" s="175"/>
      <c r="AK1178" s="175"/>
      <c r="AL1178" s="175"/>
      <c r="AM1178" s="175"/>
      <c r="AN1178" s="175"/>
      <c r="AO1178" s="176"/>
      <c r="AP1178" s="177"/>
      <c r="AQ1178" s="175"/>
      <c r="AR1178" s="175"/>
      <c r="AS1178" s="178"/>
      <c r="AT1178" s="179"/>
    </row>
    <row r="1179" customFormat="false" ht="12.75" hidden="false" customHeight="true" outlineLevel="0" collapsed="false">
      <c r="B1179" s="122"/>
      <c r="C1179" s="123"/>
      <c r="D1179" s="124"/>
      <c r="E1179" s="124"/>
      <c r="F1179" s="125"/>
      <c r="G1179" s="171"/>
      <c r="H1179" s="171"/>
      <c r="I1179" s="172"/>
      <c r="J1179" s="171"/>
      <c r="K1179" s="171"/>
      <c r="L1179" s="171"/>
      <c r="M1179" s="171"/>
      <c r="N1179" s="171"/>
      <c r="O1179" s="171"/>
      <c r="P1179" s="171"/>
      <c r="Q1179" s="171"/>
      <c r="R1179" s="171"/>
      <c r="S1179" s="171"/>
      <c r="T1179" s="173"/>
      <c r="U1179" s="174"/>
      <c r="V1179" s="175"/>
      <c r="W1179" s="175"/>
      <c r="X1179" s="175"/>
      <c r="Y1179" s="175"/>
      <c r="Z1179" s="175"/>
      <c r="AA1179" s="175"/>
      <c r="AB1179" s="175"/>
      <c r="AC1179" s="175"/>
      <c r="AD1179" s="175"/>
      <c r="AE1179" s="175"/>
      <c r="AF1179" s="175"/>
      <c r="AG1179" s="175"/>
      <c r="AH1179" s="175"/>
      <c r="AI1179" s="175"/>
      <c r="AJ1179" s="175"/>
      <c r="AK1179" s="175"/>
      <c r="AL1179" s="175"/>
      <c r="AM1179" s="175"/>
      <c r="AN1179" s="175"/>
      <c r="AO1179" s="176"/>
      <c r="AP1179" s="177"/>
      <c r="AQ1179" s="175"/>
      <c r="AR1179" s="175"/>
      <c r="AS1179" s="178"/>
      <c r="AT1179" s="179"/>
    </row>
    <row r="1180" customFormat="false" ht="12.75" hidden="false" customHeight="true" outlineLevel="0" collapsed="false">
      <c r="B1180" s="122"/>
      <c r="C1180" s="123"/>
      <c r="D1180" s="124"/>
      <c r="E1180" s="124"/>
      <c r="F1180" s="125"/>
      <c r="G1180" s="171"/>
      <c r="H1180" s="171"/>
      <c r="I1180" s="172"/>
      <c r="J1180" s="171"/>
      <c r="K1180" s="171"/>
      <c r="L1180" s="171"/>
      <c r="M1180" s="171"/>
      <c r="N1180" s="171"/>
      <c r="O1180" s="171"/>
      <c r="P1180" s="171"/>
      <c r="Q1180" s="171"/>
      <c r="R1180" s="171"/>
      <c r="S1180" s="171"/>
      <c r="T1180" s="173"/>
      <c r="U1180" s="174"/>
      <c r="V1180" s="175"/>
      <c r="W1180" s="175"/>
      <c r="X1180" s="175"/>
      <c r="Y1180" s="175"/>
      <c r="Z1180" s="175"/>
      <c r="AA1180" s="175"/>
      <c r="AB1180" s="175"/>
      <c r="AC1180" s="175"/>
      <c r="AD1180" s="175"/>
      <c r="AE1180" s="175"/>
      <c r="AF1180" s="175"/>
      <c r="AG1180" s="175"/>
      <c r="AH1180" s="175"/>
      <c r="AI1180" s="175"/>
      <c r="AJ1180" s="175"/>
      <c r="AK1180" s="175"/>
      <c r="AL1180" s="175"/>
      <c r="AM1180" s="175"/>
      <c r="AN1180" s="175"/>
      <c r="AO1180" s="176"/>
      <c r="AP1180" s="177"/>
      <c r="AQ1180" s="175"/>
      <c r="AR1180" s="175"/>
      <c r="AS1180" s="178"/>
      <c r="AT1180" s="179"/>
    </row>
    <row r="1181" customFormat="false" ht="12.75" hidden="false" customHeight="true" outlineLevel="0" collapsed="false">
      <c r="B1181" s="122"/>
      <c r="C1181" s="123"/>
      <c r="D1181" s="124"/>
      <c r="E1181" s="124"/>
      <c r="F1181" s="125"/>
      <c r="G1181" s="171"/>
      <c r="H1181" s="171"/>
      <c r="I1181" s="172"/>
      <c r="J1181" s="171"/>
      <c r="K1181" s="171"/>
      <c r="L1181" s="171"/>
      <c r="M1181" s="171"/>
      <c r="N1181" s="171"/>
      <c r="O1181" s="171"/>
      <c r="P1181" s="171"/>
      <c r="Q1181" s="171"/>
      <c r="R1181" s="171"/>
      <c r="S1181" s="171"/>
      <c r="T1181" s="173"/>
      <c r="U1181" s="174"/>
      <c r="V1181" s="175"/>
      <c r="W1181" s="175"/>
      <c r="X1181" s="175"/>
      <c r="Y1181" s="175"/>
      <c r="Z1181" s="175"/>
      <c r="AA1181" s="175"/>
      <c r="AB1181" s="175"/>
      <c r="AC1181" s="175"/>
      <c r="AD1181" s="175"/>
      <c r="AE1181" s="175"/>
      <c r="AF1181" s="175"/>
      <c r="AG1181" s="175"/>
      <c r="AH1181" s="175"/>
      <c r="AI1181" s="175"/>
      <c r="AJ1181" s="175"/>
      <c r="AK1181" s="175"/>
      <c r="AL1181" s="175"/>
      <c r="AM1181" s="175"/>
      <c r="AN1181" s="175"/>
      <c r="AO1181" s="176"/>
      <c r="AP1181" s="177"/>
      <c r="AQ1181" s="175"/>
      <c r="AR1181" s="175"/>
      <c r="AS1181" s="178"/>
      <c r="AT1181" s="179"/>
    </row>
    <row r="1182" customFormat="false" ht="12.75" hidden="false" customHeight="true" outlineLevel="0" collapsed="false">
      <c r="B1182" s="141"/>
      <c r="C1182" s="132"/>
      <c r="D1182" s="133"/>
      <c r="E1182" s="133"/>
      <c r="F1182" s="134"/>
      <c r="G1182" s="180"/>
      <c r="H1182" s="180"/>
      <c r="I1182" s="181"/>
      <c r="J1182" s="180"/>
      <c r="K1182" s="180"/>
      <c r="L1182" s="180"/>
      <c r="M1182" s="180"/>
      <c r="N1182" s="180"/>
      <c r="O1182" s="180"/>
      <c r="P1182" s="180"/>
      <c r="Q1182" s="180"/>
      <c r="R1182" s="180"/>
      <c r="S1182" s="180"/>
      <c r="T1182" s="182"/>
      <c r="U1182" s="183"/>
      <c r="V1182" s="184"/>
      <c r="W1182" s="184"/>
      <c r="X1182" s="184"/>
      <c r="Y1182" s="184"/>
      <c r="Z1182" s="184"/>
      <c r="AA1182" s="184"/>
      <c r="AB1182" s="184"/>
      <c r="AC1182" s="184"/>
      <c r="AD1182" s="184"/>
      <c r="AE1182" s="184"/>
      <c r="AF1182" s="184"/>
      <c r="AG1182" s="184"/>
      <c r="AH1182" s="184"/>
      <c r="AI1182" s="184"/>
      <c r="AJ1182" s="184"/>
      <c r="AK1182" s="184"/>
      <c r="AL1182" s="184"/>
      <c r="AM1182" s="184"/>
      <c r="AN1182" s="184"/>
      <c r="AO1182" s="185"/>
      <c r="AP1182" s="186"/>
      <c r="AQ1182" s="184"/>
      <c r="AR1182" s="184"/>
      <c r="AS1182" s="187"/>
      <c r="AT1182" s="188"/>
    </row>
    <row r="1183" customFormat="false" ht="12.75" hidden="false" customHeight="true" outlineLevel="0" collapsed="false">
      <c r="B1183" s="122"/>
      <c r="C1183" s="123"/>
      <c r="D1183" s="124"/>
      <c r="E1183" s="124"/>
      <c r="F1183" s="125"/>
      <c r="G1183" s="171"/>
      <c r="H1183" s="171"/>
      <c r="I1183" s="172"/>
      <c r="J1183" s="171"/>
      <c r="K1183" s="171"/>
      <c r="L1183" s="171"/>
      <c r="M1183" s="171"/>
      <c r="N1183" s="171"/>
      <c r="O1183" s="171"/>
      <c r="P1183" s="171"/>
      <c r="Q1183" s="171"/>
      <c r="R1183" s="171"/>
      <c r="S1183" s="171"/>
      <c r="T1183" s="173"/>
      <c r="U1183" s="174"/>
      <c r="V1183" s="175"/>
      <c r="W1183" s="175"/>
      <c r="X1183" s="175"/>
      <c r="Y1183" s="175"/>
      <c r="Z1183" s="175"/>
      <c r="AA1183" s="175"/>
      <c r="AB1183" s="175"/>
      <c r="AC1183" s="175"/>
      <c r="AD1183" s="175"/>
      <c r="AE1183" s="175"/>
      <c r="AF1183" s="175"/>
      <c r="AG1183" s="175"/>
      <c r="AH1183" s="175"/>
      <c r="AI1183" s="175"/>
      <c r="AJ1183" s="175"/>
      <c r="AK1183" s="175"/>
      <c r="AL1183" s="175"/>
      <c r="AM1183" s="175"/>
      <c r="AN1183" s="175"/>
      <c r="AO1183" s="176"/>
      <c r="AP1183" s="177"/>
      <c r="AQ1183" s="175"/>
      <c r="AR1183" s="175"/>
      <c r="AS1183" s="178"/>
      <c r="AT1183" s="179"/>
    </row>
    <row r="1184" customFormat="false" ht="12.75" hidden="false" customHeight="true" outlineLevel="0" collapsed="false">
      <c r="B1184" s="122"/>
      <c r="C1184" s="123"/>
      <c r="D1184" s="124"/>
      <c r="E1184" s="124"/>
      <c r="F1184" s="125"/>
      <c r="G1184" s="171"/>
      <c r="H1184" s="171"/>
      <c r="I1184" s="172"/>
      <c r="J1184" s="171"/>
      <c r="K1184" s="171"/>
      <c r="L1184" s="171"/>
      <c r="M1184" s="171"/>
      <c r="N1184" s="171"/>
      <c r="O1184" s="171"/>
      <c r="P1184" s="171"/>
      <c r="Q1184" s="171"/>
      <c r="R1184" s="171"/>
      <c r="S1184" s="171"/>
      <c r="T1184" s="173"/>
      <c r="U1184" s="174"/>
      <c r="V1184" s="175"/>
      <c r="W1184" s="175"/>
      <c r="X1184" s="175"/>
      <c r="Y1184" s="175"/>
      <c r="Z1184" s="175"/>
      <c r="AA1184" s="175"/>
      <c r="AB1184" s="175"/>
      <c r="AC1184" s="175"/>
      <c r="AD1184" s="175"/>
      <c r="AE1184" s="175"/>
      <c r="AF1184" s="175"/>
      <c r="AG1184" s="175"/>
      <c r="AH1184" s="175"/>
      <c r="AI1184" s="175"/>
      <c r="AJ1184" s="175"/>
      <c r="AK1184" s="175"/>
      <c r="AL1184" s="175"/>
      <c r="AM1184" s="175"/>
      <c r="AN1184" s="175"/>
      <c r="AO1184" s="176"/>
      <c r="AP1184" s="177"/>
      <c r="AQ1184" s="175"/>
      <c r="AR1184" s="175"/>
      <c r="AS1184" s="178"/>
      <c r="AT1184" s="179"/>
    </row>
    <row r="1185" customFormat="false" ht="12.75" hidden="false" customHeight="true" outlineLevel="0" collapsed="false">
      <c r="B1185" s="122"/>
      <c r="C1185" s="123"/>
      <c r="D1185" s="124"/>
      <c r="E1185" s="124"/>
      <c r="F1185" s="125"/>
      <c r="G1185" s="171"/>
      <c r="H1185" s="171"/>
      <c r="I1185" s="172"/>
      <c r="J1185" s="171"/>
      <c r="K1185" s="171"/>
      <c r="L1185" s="171"/>
      <c r="M1185" s="171"/>
      <c r="N1185" s="171"/>
      <c r="O1185" s="171"/>
      <c r="P1185" s="171"/>
      <c r="Q1185" s="171"/>
      <c r="R1185" s="171"/>
      <c r="S1185" s="171"/>
      <c r="T1185" s="173"/>
      <c r="U1185" s="174"/>
      <c r="V1185" s="175"/>
      <c r="W1185" s="175"/>
      <c r="X1185" s="175"/>
      <c r="Y1185" s="175"/>
      <c r="Z1185" s="175"/>
      <c r="AA1185" s="175"/>
      <c r="AB1185" s="175"/>
      <c r="AC1185" s="175"/>
      <c r="AD1185" s="175"/>
      <c r="AE1185" s="175"/>
      <c r="AF1185" s="175"/>
      <c r="AG1185" s="175"/>
      <c r="AH1185" s="175"/>
      <c r="AI1185" s="175"/>
      <c r="AJ1185" s="175"/>
      <c r="AK1185" s="175"/>
      <c r="AL1185" s="175"/>
      <c r="AM1185" s="175"/>
      <c r="AN1185" s="175"/>
      <c r="AO1185" s="176"/>
      <c r="AP1185" s="177"/>
      <c r="AQ1185" s="175"/>
      <c r="AR1185" s="175"/>
      <c r="AS1185" s="178"/>
      <c r="AT1185" s="179"/>
    </row>
    <row r="1186" customFormat="false" ht="12.75" hidden="false" customHeight="true" outlineLevel="0" collapsed="false">
      <c r="B1186" s="141"/>
      <c r="C1186" s="132"/>
      <c r="D1186" s="133"/>
      <c r="E1186" s="133"/>
      <c r="F1186" s="134"/>
      <c r="G1186" s="180"/>
      <c r="H1186" s="180"/>
      <c r="I1186" s="181"/>
      <c r="J1186" s="180"/>
      <c r="K1186" s="180"/>
      <c r="L1186" s="180"/>
      <c r="M1186" s="180"/>
      <c r="N1186" s="180"/>
      <c r="O1186" s="180"/>
      <c r="P1186" s="180"/>
      <c r="Q1186" s="180"/>
      <c r="R1186" s="180"/>
      <c r="S1186" s="180"/>
      <c r="T1186" s="182"/>
      <c r="U1186" s="183"/>
      <c r="V1186" s="184"/>
      <c r="W1186" s="184"/>
      <c r="X1186" s="184"/>
      <c r="Y1186" s="184"/>
      <c r="Z1186" s="184"/>
      <c r="AA1186" s="184"/>
      <c r="AB1186" s="184"/>
      <c r="AC1186" s="184"/>
      <c r="AD1186" s="184"/>
      <c r="AE1186" s="184"/>
      <c r="AF1186" s="184"/>
      <c r="AG1186" s="184"/>
      <c r="AH1186" s="184"/>
      <c r="AI1186" s="184"/>
      <c r="AJ1186" s="184"/>
      <c r="AK1186" s="184"/>
      <c r="AL1186" s="184"/>
      <c r="AM1186" s="184"/>
      <c r="AN1186" s="184"/>
      <c r="AO1186" s="185"/>
      <c r="AP1186" s="186"/>
      <c r="AQ1186" s="184"/>
      <c r="AR1186" s="184"/>
      <c r="AS1186" s="187"/>
      <c r="AT1186" s="188"/>
    </row>
    <row r="1187" customFormat="false" ht="12.75" hidden="false" customHeight="true" outlineLevel="0" collapsed="false">
      <c r="B1187" s="122"/>
      <c r="C1187" s="123"/>
      <c r="D1187" s="124"/>
      <c r="E1187" s="124"/>
      <c r="F1187" s="125"/>
      <c r="G1187" s="171"/>
      <c r="H1187" s="171"/>
      <c r="I1187" s="172"/>
      <c r="J1187" s="171"/>
      <c r="K1187" s="171"/>
      <c r="L1187" s="171"/>
      <c r="M1187" s="171"/>
      <c r="N1187" s="171"/>
      <c r="O1187" s="171"/>
      <c r="P1187" s="171"/>
      <c r="Q1187" s="171"/>
      <c r="R1187" s="171"/>
      <c r="S1187" s="171"/>
      <c r="T1187" s="173"/>
      <c r="U1187" s="174"/>
      <c r="V1187" s="175"/>
      <c r="W1187" s="175"/>
      <c r="X1187" s="175"/>
      <c r="Y1187" s="175"/>
      <c r="Z1187" s="175"/>
      <c r="AA1187" s="175"/>
      <c r="AB1187" s="175"/>
      <c r="AC1187" s="175"/>
      <c r="AD1187" s="175"/>
      <c r="AE1187" s="175"/>
      <c r="AF1187" s="175"/>
      <c r="AG1187" s="175"/>
      <c r="AH1187" s="175"/>
      <c r="AI1187" s="175"/>
      <c r="AJ1187" s="175"/>
      <c r="AK1187" s="175"/>
      <c r="AL1187" s="175"/>
      <c r="AM1187" s="175"/>
      <c r="AN1187" s="175"/>
      <c r="AO1187" s="176"/>
      <c r="AP1187" s="177"/>
      <c r="AQ1187" s="175"/>
      <c r="AR1187" s="175"/>
      <c r="AS1187" s="178"/>
      <c r="AT1187" s="179"/>
    </row>
    <row r="1188" customFormat="false" ht="12.75" hidden="false" customHeight="true" outlineLevel="0" collapsed="false">
      <c r="B1188" s="122"/>
      <c r="C1188" s="123"/>
      <c r="D1188" s="124"/>
      <c r="E1188" s="124"/>
      <c r="F1188" s="125"/>
      <c r="G1188" s="171"/>
      <c r="H1188" s="171"/>
      <c r="I1188" s="172"/>
      <c r="J1188" s="171"/>
      <c r="K1188" s="171"/>
      <c r="L1188" s="171"/>
      <c r="M1188" s="171"/>
      <c r="N1188" s="171"/>
      <c r="O1188" s="171"/>
      <c r="P1188" s="171"/>
      <c r="Q1188" s="171"/>
      <c r="R1188" s="171"/>
      <c r="S1188" s="171"/>
      <c r="T1188" s="173"/>
      <c r="U1188" s="174"/>
      <c r="V1188" s="175"/>
      <c r="W1188" s="175"/>
      <c r="X1188" s="175"/>
      <c r="Y1188" s="175"/>
      <c r="Z1188" s="175"/>
      <c r="AA1188" s="175"/>
      <c r="AB1188" s="175"/>
      <c r="AC1188" s="175"/>
      <c r="AD1188" s="175"/>
      <c r="AE1188" s="175"/>
      <c r="AF1188" s="175"/>
      <c r="AG1188" s="175"/>
      <c r="AH1188" s="175"/>
      <c r="AI1188" s="175"/>
      <c r="AJ1188" s="175"/>
      <c r="AK1188" s="175"/>
      <c r="AL1188" s="175"/>
      <c r="AM1188" s="175"/>
      <c r="AN1188" s="175"/>
      <c r="AO1188" s="176"/>
      <c r="AP1188" s="177"/>
      <c r="AQ1188" s="175"/>
      <c r="AR1188" s="175"/>
      <c r="AS1188" s="178"/>
      <c r="AT1188" s="179"/>
    </row>
    <row r="1189" customFormat="false" ht="12.75" hidden="false" customHeight="true" outlineLevel="0" collapsed="false">
      <c r="B1189" s="122"/>
      <c r="C1189" s="123"/>
      <c r="D1189" s="124"/>
      <c r="E1189" s="124"/>
      <c r="F1189" s="125"/>
      <c r="G1189" s="171"/>
      <c r="H1189" s="171"/>
      <c r="I1189" s="172"/>
      <c r="J1189" s="171"/>
      <c r="K1189" s="171"/>
      <c r="L1189" s="171"/>
      <c r="M1189" s="171"/>
      <c r="N1189" s="171"/>
      <c r="O1189" s="171"/>
      <c r="P1189" s="171"/>
      <c r="Q1189" s="171"/>
      <c r="R1189" s="171"/>
      <c r="S1189" s="171"/>
      <c r="T1189" s="173"/>
      <c r="U1189" s="174"/>
      <c r="V1189" s="175"/>
      <c r="W1189" s="175"/>
      <c r="X1189" s="175"/>
      <c r="Y1189" s="175"/>
      <c r="Z1189" s="175"/>
      <c r="AA1189" s="175"/>
      <c r="AB1189" s="175"/>
      <c r="AC1189" s="175"/>
      <c r="AD1189" s="175"/>
      <c r="AE1189" s="175"/>
      <c r="AF1189" s="175"/>
      <c r="AG1189" s="175"/>
      <c r="AH1189" s="175"/>
      <c r="AI1189" s="175"/>
      <c r="AJ1189" s="175"/>
      <c r="AK1189" s="175"/>
      <c r="AL1189" s="175"/>
      <c r="AM1189" s="175"/>
      <c r="AN1189" s="175"/>
      <c r="AO1189" s="176"/>
      <c r="AP1189" s="177"/>
      <c r="AQ1189" s="175"/>
      <c r="AR1189" s="175"/>
      <c r="AS1189" s="178"/>
      <c r="AT1189" s="179"/>
    </row>
    <row r="1190" customFormat="false" ht="12.75" hidden="false" customHeight="true" outlineLevel="0" collapsed="false">
      <c r="B1190" s="122"/>
      <c r="C1190" s="123"/>
      <c r="D1190" s="124"/>
      <c r="E1190" s="124"/>
      <c r="F1190" s="125"/>
      <c r="G1190" s="171"/>
      <c r="H1190" s="171"/>
      <c r="I1190" s="172"/>
      <c r="J1190" s="171"/>
      <c r="K1190" s="171"/>
      <c r="L1190" s="171"/>
      <c r="M1190" s="171"/>
      <c r="N1190" s="171"/>
      <c r="O1190" s="171"/>
      <c r="P1190" s="171"/>
      <c r="Q1190" s="171"/>
      <c r="R1190" s="171"/>
      <c r="S1190" s="171"/>
      <c r="T1190" s="173"/>
      <c r="U1190" s="174"/>
      <c r="V1190" s="175"/>
      <c r="W1190" s="175"/>
      <c r="X1190" s="175"/>
      <c r="Y1190" s="175"/>
      <c r="Z1190" s="175"/>
      <c r="AA1190" s="175"/>
      <c r="AB1190" s="175"/>
      <c r="AC1190" s="175"/>
      <c r="AD1190" s="175"/>
      <c r="AE1190" s="175"/>
      <c r="AF1190" s="175"/>
      <c r="AG1190" s="175"/>
      <c r="AH1190" s="175"/>
      <c r="AI1190" s="175"/>
      <c r="AJ1190" s="175"/>
      <c r="AK1190" s="175"/>
      <c r="AL1190" s="175"/>
      <c r="AM1190" s="175"/>
      <c r="AN1190" s="175"/>
      <c r="AO1190" s="176"/>
      <c r="AP1190" s="177"/>
      <c r="AQ1190" s="175"/>
      <c r="AR1190" s="175"/>
      <c r="AS1190" s="178"/>
      <c r="AT1190" s="179"/>
    </row>
    <row r="1191" customFormat="false" ht="12.75" hidden="false" customHeight="true" outlineLevel="0" collapsed="false">
      <c r="B1191" s="141"/>
      <c r="C1191" s="132"/>
      <c r="D1191" s="133"/>
      <c r="E1191" s="133"/>
      <c r="F1191" s="134"/>
      <c r="G1191" s="180"/>
      <c r="H1191" s="180"/>
      <c r="I1191" s="181"/>
      <c r="J1191" s="180"/>
      <c r="K1191" s="180"/>
      <c r="L1191" s="180"/>
      <c r="M1191" s="180"/>
      <c r="N1191" s="180"/>
      <c r="O1191" s="180"/>
      <c r="P1191" s="180"/>
      <c r="Q1191" s="180"/>
      <c r="R1191" s="180"/>
      <c r="S1191" s="180"/>
      <c r="T1191" s="182"/>
      <c r="U1191" s="183"/>
      <c r="V1191" s="184"/>
      <c r="W1191" s="184"/>
      <c r="X1191" s="184"/>
      <c r="Y1191" s="184"/>
      <c r="Z1191" s="184"/>
      <c r="AA1191" s="184"/>
      <c r="AB1191" s="184"/>
      <c r="AC1191" s="184"/>
      <c r="AD1191" s="184"/>
      <c r="AE1191" s="184"/>
      <c r="AF1191" s="184"/>
      <c r="AG1191" s="184"/>
      <c r="AH1191" s="184"/>
      <c r="AI1191" s="184"/>
      <c r="AJ1191" s="184"/>
      <c r="AK1191" s="184"/>
      <c r="AL1191" s="184"/>
      <c r="AM1191" s="184"/>
      <c r="AN1191" s="184"/>
      <c r="AO1191" s="185"/>
      <c r="AP1191" s="186"/>
      <c r="AQ1191" s="184"/>
      <c r="AR1191" s="184"/>
      <c r="AS1191" s="187"/>
      <c r="AT1191" s="188"/>
    </row>
    <row r="1192" customFormat="false" ht="12.75" hidden="false" customHeight="true" outlineLevel="0" collapsed="false">
      <c r="B1192" s="122"/>
      <c r="C1192" s="123"/>
      <c r="D1192" s="124"/>
      <c r="E1192" s="124"/>
      <c r="F1192" s="125"/>
      <c r="G1192" s="171"/>
      <c r="H1192" s="171"/>
      <c r="I1192" s="172"/>
      <c r="J1192" s="171"/>
      <c r="K1192" s="171"/>
      <c r="L1192" s="171"/>
      <c r="M1192" s="171"/>
      <c r="N1192" s="171"/>
      <c r="O1192" s="171"/>
      <c r="P1192" s="171"/>
      <c r="Q1192" s="171"/>
      <c r="R1192" s="171"/>
      <c r="S1192" s="171"/>
      <c r="T1192" s="173"/>
      <c r="U1192" s="174"/>
      <c r="V1192" s="175"/>
      <c r="W1192" s="175"/>
      <c r="X1192" s="175"/>
      <c r="Y1192" s="175"/>
      <c r="Z1192" s="175"/>
      <c r="AA1192" s="175"/>
      <c r="AB1192" s="175"/>
      <c r="AC1192" s="175"/>
      <c r="AD1192" s="175"/>
      <c r="AE1192" s="175"/>
      <c r="AF1192" s="175"/>
      <c r="AG1192" s="175"/>
      <c r="AH1192" s="175"/>
      <c r="AI1192" s="175"/>
      <c r="AJ1192" s="175"/>
      <c r="AK1192" s="175"/>
      <c r="AL1192" s="175"/>
      <c r="AM1192" s="175"/>
      <c r="AN1192" s="175"/>
      <c r="AO1192" s="176"/>
      <c r="AP1192" s="177"/>
      <c r="AQ1192" s="175"/>
      <c r="AR1192" s="175"/>
      <c r="AS1192" s="178"/>
      <c r="AT1192" s="179"/>
    </row>
    <row r="1193" customFormat="false" ht="12.75" hidden="false" customHeight="true" outlineLevel="0" collapsed="false">
      <c r="B1193" s="122"/>
      <c r="C1193" s="123"/>
      <c r="D1193" s="124"/>
      <c r="E1193" s="124"/>
      <c r="F1193" s="125"/>
      <c r="G1193" s="171"/>
      <c r="H1193" s="171"/>
      <c r="I1193" s="172"/>
      <c r="J1193" s="171"/>
      <c r="K1193" s="171"/>
      <c r="L1193" s="171"/>
      <c r="M1193" s="171"/>
      <c r="N1193" s="171"/>
      <c r="O1193" s="171"/>
      <c r="P1193" s="171"/>
      <c r="Q1193" s="171"/>
      <c r="R1193" s="171"/>
      <c r="S1193" s="171"/>
      <c r="T1193" s="173"/>
      <c r="U1193" s="174"/>
      <c r="V1193" s="175"/>
      <c r="W1193" s="175"/>
      <c r="X1193" s="175"/>
      <c r="Y1193" s="175"/>
      <c r="Z1193" s="175"/>
      <c r="AA1193" s="175"/>
      <c r="AB1193" s="175"/>
      <c r="AC1193" s="175"/>
      <c r="AD1193" s="175"/>
      <c r="AE1193" s="175"/>
      <c r="AF1193" s="175"/>
      <c r="AG1193" s="175"/>
      <c r="AH1193" s="175"/>
      <c r="AI1193" s="175"/>
      <c r="AJ1193" s="175"/>
      <c r="AK1193" s="175"/>
      <c r="AL1193" s="175"/>
      <c r="AM1193" s="175"/>
      <c r="AN1193" s="175"/>
      <c r="AO1193" s="176"/>
      <c r="AP1193" s="177"/>
      <c r="AQ1193" s="175"/>
      <c r="AR1193" s="175"/>
      <c r="AS1193" s="178"/>
      <c r="AT1193" s="179"/>
    </row>
    <row r="1194" customFormat="false" ht="12.75" hidden="false" customHeight="true" outlineLevel="0" collapsed="false">
      <c r="B1194" s="122"/>
      <c r="C1194" s="123"/>
      <c r="D1194" s="124"/>
      <c r="E1194" s="124"/>
      <c r="F1194" s="125"/>
      <c r="G1194" s="171"/>
      <c r="H1194" s="171"/>
      <c r="I1194" s="172"/>
      <c r="J1194" s="171"/>
      <c r="K1194" s="171"/>
      <c r="L1194" s="171"/>
      <c r="M1194" s="171"/>
      <c r="N1194" s="171"/>
      <c r="O1194" s="171"/>
      <c r="P1194" s="171"/>
      <c r="Q1194" s="171"/>
      <c r="R1194" s="171"/>
      <c r="S1194" s="171"/>
      <c r="T1194" s="173"/>
      <c r="U1194" s="174"/>
      <c r="V1194" s="175"/>
      <c r="W1194" s="175"/>
      <c r="X1194" s="175"/>
      <c r="Y1194" s="175"/>
      <c r="Z1194" s="175"/>
      <c r="AA1194" s="175"/>
      <c r="AB1194" s="175"/>
      <c r="AC1194" s="175"/>
      <c r="AD1194" s="175"/>
      <c r="AE1194" s="175"/>
      <c r="AF1194" s="175"/>
      <c r="AG1194" s="175"/>
      <c r="AH1194" s="175"/>
      <c r="AI1194" s="175"/>
      <c r="AJ1194" s="175"/>
      <c r="AK1194" s="175"/>
      <c r="AL1194" s="175"/>
      <c r="AM1194" s="175"/>
      <c r="AN1194" s="175"/>
      <c r="AO1194" s="176"/>
      <c r="AP1194" s="177"/>
      <c r="AQ1194" s="175"/>
      <c r="AR1194" s="175"/>
      <c r="AS1194" s="178"/>
      <c r="AT1194" s="179"/>
    </row>
    <row r="1195" customFormat="false" ht="12.75" hidden="false" customHeight="true" outlineLevel="0" collapsed="false">
      <c r="B1195" s="122"/>
      <c r="C1195" s="123"/>
      <c r="D1195" s="124"/>
      <c r="E1195" s="124"/>
      <c r="F1195" s="125"/>
      <c r="G1195" s="171"/>
      <c r="H1195" s="171"/>
      <c r="I1195" s="172"/>
      <c r="J1195" s="171"/>
      <c r="K1195" s="171"/>
      <c r="L1195" s="171"/>
      <c r="M1195" s="171"/>
      <c r="N1195" s="171"/>
      <c r="O1195" s="171"/>
      <c r="P1195" s="171"/>
      <c r="Q1195" s="171"/>
      <c r="R1195" s="171"/>
      <c r="S1195" s="171"/>
      <c r="T1195" s="173"/>
      <c r="U1195" s="174"/>
      <c r="V1195" s="175"/>
      <c r="W1195" s="175"/>
      <c r="X1195" s="175"/>
      <c r="Y1195" s="175"/>
      <c r="Z1195" s="175"/>
      <c r="AA1195" s="175"/>
      <c r="AB1195" s="175"/>
      <c r="AC1195" s="175"/>
      <c r="AD1195" s="175"/>
      <c r="AE1195" s="175"/>
      <c r="AF1195" s="175"/>
      <c r="AG1195" s="175"/>
      <c r="AH1195" s="175"/>
      <c r="AI1195" s="175"/>
      <c r="AJ1195" s="175"/>
      <c r="AK1195" s="175"/>
      <c r="AL1195" s="175"/>
      <c r="AM1195" s="175"/>
      <c r="AN1195" s="175"/>
      <c r="AO1195" s="176"/>
      <c r="AP1195" s="177"/>
      <c r="AQ1195" s="175"/>
      <c r="AR1195" s="175"/>
      <c r="AS1195" s="178"/>
      <c r="AT1195" s="179"/>
    </row>
    <row r="1196" customFormat="false" ht="12.75" hidden="false" customHeight="true" outlineLevel="0" collapsed="false">
      <c r="B1196" s="141"/>
      <c r="C1196" s="132"/>
      <c r="D1196" s="133"/>
      <c r="E1196" s="133"/>
      <c r="F1196" s="134"/>
      <c r="G1196" s="180"/>
      <c r="H1196" s="180"/>
      <c r="I1196" s="181"/>
      <c r="J1196" s="180"/>
      <c r="K1196" s="180"/>
      <c r="L1196" s="180"/>
      <c r="M1196" s="180"/>
      <c r="N1196" s="180"/>
      <c r="O1196" s="180"/>
      <c r="P1196" s="180"/>
      <c r="Q1196" s="180"/>
      <c r="R1196" s="180"/>
      <c r="S1196" s="180"/>
      <c r="T1196" s="182"/>
      <c r="U1196" s="183"/>
      <c r="V1196" s="184"/>
      <c r="W1196" s="184"/>
      <c r="X1196" s="184"/>
      <c r="Y1196" s="184"/>
      <c r="Z1196" s="184"/>
      <c r="AA1196" s="184"/>
      <c r="AB1196" s="184"/>
      <c r="AC1196" s="184"/>
      <c r="AD1196" s="184"/>
      <c r="AE1196" s="184"/>
      <c r="AF1196" s="184"/>
      <c r="AG1196" s="184"/>
      <c r="AH1196" s="184"/>
      <c r="AI1196" s="184"/>
      <c r="AJ1196" s="184"/>
      <c r="AK1196" s="184"/>
      <c r="AL1196" s="184"/>
      <c r="AM1196" s="184"/>
      <c r="AN1196" s="184"/>
      <c r="AO1196" s="185"/>
      <c r="AP1196" s="186"/>
      <c r="AQ1196" s="184"/>
      <c r="AR1196" s="184"/>
      <c r="AS1196" s="187"/>
      <c r="AT1196" s="188"/>
    </row>
    <row r="1197" customFormat="false" ht="12.75" hidden="false" customHeight="true" outlineLevel="0" collapsed="false">
      <c r="B1197" s="122"/>
      <c r="C1197" s="123"/>
      <c r="D1197" s="124"/>
      <c r="E1197" s="124"/>
      <c r="F1197" s="125"/>
      <c r="G1197" s="171"/>
      <c r="H1197" s="171"/>
      <c r="I1197" s="172"/>
      <c r="J1197" s="171"/>
      <c r="K1197" s="171"/>
      <c r="L1197" s="171"/>
      <c r="M1197" s="171"/>
      <c r="N1197" s="171"/>
      <c r="O1197" s="171"/>
      <c r="P1197" s="171"/>
      <c r="Q1197" s="171"/>
      <c r="R1197" s="171"/>
      <c r="S1197" s="171"/>
      <c r="T1197" s="173"/>
      <c r="U1197" s="174"/>
      <c r="V1197" s="175"/>
      <c r="W1197" s="175"/>
      <c r="X1197" s="175"/>
      <c r="Y1197" s="175"/>
      <c r="Z1197" s="175"/>
      <c r="AA1197" s="175"/>
      <c r="AB1197" s="175"/>
      <c r="AC1197" s="175"/>
      <c r="AD1197" s="175"/>
      <c r="AE1197" s="175"/>
      <c r="AF1197" s="175"/>
      <c r="AG1197" s="175"/>
      <c r="AH1197" s="175"/>
      <c r="AI1197" s="175"/>
      <c r="AJ1197" s="175"/>
      <c r="AK1197" s="175"/>
      <c r="AL1197" s="175"/>
      <c r="AM1197" s="175"/>
      <c r="AN1197" s="175"/>
      <c r="AO1197" s="176"/>
      <c r="AP1197" s="177"/>
      <c r="AQ1197" s="175"/>
      <c r="AR1197" s="175"/>
      <c r="AS1197" s="178"/>
      <c r="AT1197" s="179"/>
    </row>
    <row r="1198" customFormat="false" ht="12.75" hidden="false" customHeight="true" outlineLevel="0" collapsed="false">
      <c r="B1198" s="122"/>
      <c r="C1198" s="123"/>
      <c r="D1198" s="124"/>
      <c r="E1198" s="124"/>
      <c r="F1198" s="125"/>
      <c r="G1198" s="171"/>
      <c r="H1198" s="171"/>
      <c r="I1198" s="172"/>
      <c r="J1198" s="171"/>
      <c r="K1198" s="171"/>
      <c r="L1198" s="171"/>
      <c r="M1198" s="171"/>
      <c r="N1198" s="171"/>
      <c r="O1198" s="171"/>
      <c r="P1198" s="171"/>
      <c r="Q1198" s="171"/>
      <c r="R1198" s="171"/>
      <c r="S1198" s="171"/>
      <c r="T1198" s="173"/>
      <c r="U1198" s="174"/>
      <c r="V1198" s="175"/>
      <c r="W1198" s="175"/>
      <c r="X1198" s="175"/>
      <c r="Y1198" s="175"/>
      <c r="Z1198" s="175"/>
      <c r="AA1198" s="175"/>
      <c r="AB1198" s="175"/>
      <c r="AC1198" s="175"/>
      <c r="AD1198" s="175"/>
      <c r="AE1198" s="175"/>
      <c r="AF1198" s="175"/>
      <c r="AG1198" s="175"/>
      <c r="AH1198" s="175"/>
      <c r="AI1198" s="175"/>
      <c r="AJ1198" s="175"/>
      <c r="AK1198" s="175"/>
      <c r="AL1198" s="175"/>
      <c r="AM1198" s="175"/>
      <c r="AN1198" s="175"/>
      <c r="AO1198" s="176"/>
      <c r="AP1198" s="177"/>
      <c r="AQ1198" s="175"/>
      <c r="AR1198" s="175"/>
      <c r="AS1198" s="178"/>
      <c r="AT1198" s="179"/>
    </row>
    <row r="1199" customFormat="false" ht="12.75" hidden="false" customHeight="true" outlineLevel="0" collapsed="false">
      <c r="B1199" s="122"/>
      <c r="C1199" s="123"/>
      <c r="D1199" s="124"/>
      <c r="E1199" s="124"/>
      <c r="F1199" s="125"/>
      <c r="G1199" s="171"/>
      <c r="H1199" s="171"/>
      <c r="I1199" s="172"/>
      <c r="J1199" s="171"/>
      <c r="K1199" s="171"/>
      <c r="L1199" s="171"/>
      <c r="M1199" s="171"/>
      <c r="N1199" s="171"/>
      <c r="O1199" s="171"/>
      <c r="P1199" s="171"/>
      <c r="Q1199" s="171"/>
      <c r="R1199" s="171"/>
      <c r="S1199" s="171"/>
      <c r="T1199" s="173"/>
      <c r="U1199" s="174"/>
      <c r="V1199" s="175"/>
      <c r="W1199" s="175"/>
      <c r="X1199" s="175"/>
      <c r="Y1199" s="175"/>
      <c r="Z1199" s="175"/>
      <c r="AA1199" s="175"/>
      <c r="AB1199" s="175"/>
      <c r="AC1199" s="175"/>
      <c r="AD1199" s="175"/>
      <c r="AE1199" s="175"/>
      <c r="AF1199" s="175"/>
      <c r="AG1199" s="175"/>
      <c r="AH1199" s="175"/>
      <c r="AI1199" s="175"/>
      <c r="AJ1199" s="175"/>
      <c r="AK1199" s="175"/>
      <c r="AL1199" s="175"/>
      <c r="AM1199" s="175"/>
      <c r="AN1199" s="175"/>
      <c r="AO1199" s="176"/>
      <c r="AP1199" s="177"/>
      <c r="AQ1199" s="175"/>
      <c r="AR1199" s="175"/>
      <c r="AS1199" s="178"/>
      <c r="AT1199" s="179"/>
    </row>
    <row r="1200" customFormat="false" ht="12.75" hidden="false" customHeight="true" outlineLevel="0" collapsed="false">
      <c r="B1200" s="122"/>
      <c r="C1200" s="123"/>
      <c r="D1200" s="124"/>
      <c r="E1200" s="124"/>
      <c r="F1200" s="125"/>
      <c r="G1200" s="171"/>
      <c r="H1200" s="171"/>
      <c r="I1200" s="172"/>
      <c r="J1200" s="171"/>
      <c r="K1200" s="171"/>
      <c r="L1200" s="171"/>
      <c r="M1200" s="171"/>
      <c r="N1200" s="171"/>
      <c r="O1200" s="171"/>
      <c r="P1200" s="171"/>
      <c r="Q1200" s="171"/>
      <c r="R1200" s="171"/>
      <c r="S1200" s="171"/>
      <c r="T1200" s="173"/>
      <c r="U1200" s="174"/>
      <c r="V1200" s="175"/>
      <c r="W1200" s="175"/>
      <c r="X1200" s="175"/>
      <c r="Y1200" s="175"/>
      <c r="Z1200" s="175"/>
      <c r="AA1200" s="175"/>
      <c r="AB1200" s="175"/>
      <c r="AC1200" s="175"/>
      <c r="AD1200" s="175"/>
      <c r="AE1200" s="175"/>
      <c r="AF1200" s="175"/>
      <c r="AG1200" s="175"/>
      <c r="AH1200" s="175"/>
      <c r="AI1200" s="175"/>
      <c r="AJ1200" s="175"/>
      <c r="AK1200" s="175"/>
      <c r="AL1200" s="175"/>
      <c r="AM1200" s="175"/>
      <c r="AN1200" s="175"/>
      <c r="AO1200" s="176"/>
      <c r="AP1200" s="177"/>
      <c r="AQ1200" s="175"/>
      <c r="AR1200" s="175"/>
      <c r="AS1200" s="178"/>
      <c r="AT1200" s="179"/>
    </row>
    <row r="1201" customFormat="false" ht="12.75" hidden="false" customHeight="true" outlineLevel="0" collapsed="false">
      <c r="B1201" s="141"/>
      <c r="C1201" s="132"/>
      <c r="D1201" s="133"/>
      <c r="E1201" s="133"/>
      <c r="F1201" s="134"/>
      <c r="G1201" s="180"/>
      <c r="H1201" s="180"/>
      <c r="I1201" s="181"/>
      <c r="J1201" s="180"/>
      <c r="K1201" s="180"/>
      <c r="L1201" s="180"/>
      <c r="M1201" s="180"/>
      <c r="N1201" s="180"/>
      <c r="O1201" s="180"/>
      <c r="P1201" s="180"/>
      <c r="Q1201" s="180"/>
      <c r="R1201" s="180"/>
      <c r="S1201" s="180"/>
      <c r="T1201" s="182"/>
      <c r="U1201" s="183"/>
      <c r="V1201" s="184"/>
      <c r="W1201" s="184"/>
      <c r="X1201" s="184"/>
      <c r="Y1201" s="184"/>
      <c r="Z1201" s="184"/>
      <c r="AA1201" s="184"/>
      <c r="AB1201" s="184"/>
      <c r="AC1201" s="184"/>
      <c r="AD1201" s="184"/>
      <c r="AE1201" s="184"/>
      <c r="AF1201" s="184"/>
      <c r="AG1201" s="184"/>
      <c r="AH1201" s="184"/>
      <c r="AI1201" s="184"/>
      <c r="AJ1201" s="184"/>
      <c r="AK1201" s="184"/>
      <c r="AL1201" s="184"/>
      <c r="AM1201" s="184"/>
      <c r="AN1201" s="184"/>
      <c r="AO1201" s="185"/>
      <c r="AP1201" s="186"/>
      <c r="AQ1201" s="184"/>
      <c r="AR1201" s="184"/>
      <c r="AS1201" s="187"/>
      <c r="AT1201" s="188"/>
    </row>
    <row r="1202" customFormat="false" ht="12.75" hidden="false" customHeight="true" outlineLevel="0" collapsed="false">
      <c r="B1202" s="141"/>
      <c r="C1202" s="132"/>
      <c r="D1202" s="133"/>
      <c r="E1202" s="133"/>
      <c r="F1202" s="134"/>
      <c r="G1202" s="180"/>
      <c r="H1202" s="180"/>
      <c r="I1202" s="181"/>
      <c r="J1202" s="180"/>
      <c r="K1202" s="180"/>
      <c r="L1202" s="180"/>
      <c r="M1202" s="180"/>
      <c r="N1202" s="180"/>
      <c r="O1202" s="180"/>
      <c r="P1202" s="180"/>
      <c r="Q1202" s="180"/>
      <c r="R1202" s="180"/>
      <c r="S1202" s="180"/>
      <c r="T1202" s="182"/>
      <c r="U1202" s="183"/>
      <c r="V1202" s="184"/>
      <c r="W1202" s="184"/>
      <c r="X1202" s="184"/>
      <c r="Y1202" s="184"/>
      <c r="Z1202" s="184"/>
      <c r="AA1202" s="184"/>
      <c r="AB1202" s="184"/>
      <c r="AC1202" s="184"/>
      <c r="AD1202" s="184"/>
      <c r="AE1202" s="184"/>
      <c r="AF1202" s="184"/>
      <c r="AG1202" s="184"/>
      <c r="AH1202" s="184"/>
      <c r="AI1202" s="184"/>
      <c r="AJ1202" s="184"/>
      <c r="AK1202" s="184"/>
      <c r="AL1202" s="184"/>
      <c r="AM1202" s="184"/>
      <c r="AN1202" s="184"/>
      <c r="AO1202" s="185"/>
      <c r="AP1202" s="186"/>
      <c r="AQ1202" s="184"/>
      <c r="AR1202" s="184"/>
      <c r="AS1202" s="187"/>
      <c r="AT1202" s="188"/>
    </row>
    <row r="1203" customFormat="false" ht="12.75" hidden="false" customHeight="true" outlineLevel="0" collapsed="false">
      <c r="B1203" s="122"/>
      <c r="C1203" s="123"/>
      <c r="D1203" s="124"/>
      <c r="E1203" s="124"/>
      <c r="F1203" s="125"/>
      <c r="G1203" s="171"/>
      <c r="H1203" s="171"/>
      <c r="I1203" s="172"/>
      <c r="J1203" s="171"/>
      <c r="K1203" s="171"/>
      <c r="L1203" s="171"/>
      <c r="M1203" s="171"/>
      <c r="N1203" s="171"/>
      <c r="O1203" s="171"/>
      <c r="P1203" s="171"/>
      <c r="Q1203" s="171"/>
      <c r="R1203" s="171"/>
      <c r="S1203" s="171"/>
      <c r="T1203" s="173"/>
      <c r="U1203" s="174"/>
      <c r="V1203" s="175"/>
      <c r="W1203" s="175"/>
      <c r="X1203" s="175"/>
      <c r="Y1203" s="175"/>
      <c r="Z1203" s="175"/>
      <c r="AA1203" s="175"/>
      <c r="AB1203" s="175"/>
      <c r="AC1203" s="175"/>
      <c r="AD1203" s="175"/>
      <c r="AE1203" s="175"/>
      <c r="AF1203" s="175"/>
      <c r="AG1203" s="175"/>
      <c r="AH1203" s="175"/>
      <c r="AI1203" s="175"/>
      <c r="AJ1203" s="175"/>
      <c r="AK1203" s="175"/>
      <c r="AL1203" s="175"/>
      <c r="AM1203" s="175"/>
      <c r="AN1203" s="175"/>
      <c r="AO1203" s="176"/>
      <c r="AP1203" s="177"/>
      <c r="AQ1203" s="175"/>
      <c r="AR1203" s="175"/>
      <c r="AS1203" s="178"/>
      <c r="AT1203" s="179"/>
    </row>
    <row r="1204" customFormat="false" ht="12.75" hidden="false" customHeight="true" outlineLevel="0" collapsed="false">
      <c r="B1204" s="122"/>
      <c r="C1204" s="123"/>
      <c r="D1204" s="124"/>
      <c r="E1204" s="124"/>
      <c r="F1204" s="125"/>
      <c r="G1204" s="171"/>
      <c r="H1204" s="171"/>
      <c r="I1204" s="172"/>
      <c r="J1204" s="171"/>
      <c r="K1204" s="171"/>
      <c r="L1204" s="171"/>
      <c r="M1204" s="171"/>
      <c r="N1204" s="171"/>
      <c r="O1204" s="171"/>
      <c r="P1204" s="171"/>
      <c r="Q1204" s="171"/>
      <c r="R1204" s="171"/>
      <c r="S1204" s="171"/>
      <c r="T1204" s="173"/>
      <c r="U1204" s="174"/>
      <c r="V1204" s="175"/>
      <c r="W1204" s="175"/>
      <c r="X1204" s="175"/>
      <c r="Y1204" s="175"/>
      <c r="Z1204" s="175"/>
      <c r="AA1204" s="175"/>
      <c r="AB1204" s="175"/>
      <c r="AC1204" s="175"/>
      <c r="AD1204" s="175"/>
      <c r="AE1204" s="175"/>
      <c r="AF1204" s="175"/>
      <c r="AG1204" s="175"/>
      <c r="AH1204" s="175"/>
      <c r="AI1204" s="175"/>
      <c r="AJ1204" s="175"/>
      <c r="AK1204" s="175"/>
      <c r="AL1204" s="175"/>
      <c r="AM1204" s="175"/>
      <c r="AN1204" s="175"/>
      <c r="AO1204" s="176"/>
      <c r="AP1204" s="177"/>
      <c r="AQ1204" s="175"/>
      <c r="AR1204" s="175"/>
      <c r="AS1204" s="178"/>
      <c r="AT1204" s="179"/>
    </row>
    <row r="1205" customFormat="false" ht="12.75" hidden="false" customHeight="true" outlineLevel="0" collapsed="false">
      <c r="B1205" s="122"/>
      <c r="C1205" s="123"/>
      <c r="D1205" s="124"/>
      <c r="E1205" s="124"/>
      <c r="F1205" s="125"/>
      <c r="G1205" s="171"/>
      <c r="H1205" s="171"/>
      <c r="I1205" s="172"/>
      <c r="J1205" s="171"/>
      <c r="K1205" s="171"/>
      <c r="L1205" s="171"/>
      <c r="M1205" s="171"/>
      <c r="N1205" s="171"/>
      <c r="O1205" s="171"/>
      <c r="P1205" s="171"/>
      <c r="Q1205" s="171"/>
      <c r="R1205" s="171"/>
      <c r="S1205" s="171"/>
      <c r="T1205" s="173"/>
      <c r="U1205" s="174"/>
      <c r="V1205" s="175"/>
      <c r="W1205" s="175"/>
      <c r="X1205" s="175"/>
      <c r="Y1205" s="175"/>
      <c r="Z1205" s="175"/>
      <c r="AA1205" s="175"/>
      <c r="AB1205" s="175"/>
      <c r="AC1205" s="175"/>
      <c r="AD1205" s="175"/>
      <c r="AE1205" s="175"/>
      <c r="AF1205" s="175"/>
      <c r="AG1205" s="175"/>
      <c r="AH1205" s="175"/>
      <c r="AI1205" s="175"/>
      <c r="AJ1205" s="175"/>
      <c r="AK1205" s="175"/>
      <c r="AL1205" s="175"/>
      <c r="AM1205" s="175"/>
      <c r="AN1205" s="175"/>
      <c r="AO1205" s="176"/>
      <c r="AP1205" s="177"/>
      <c r="AQ1205" s="175"/>
      <c r="AR1205" s="175"/>
      <c r="AS1205" s="178"/>
      <c r="AT1205" s="179"/>
    </row>
    <row r="1206" customFormat="false" ht="12.75" hidden="false" customHeight="true" outlineLevel="0" collapsed="false">
      <c r="B1206" s="141"/>
      <c r="C1206" s="132"/>
      <c r="D1206" s="133"/>
      <c r="E1206" s="133"/>
      <c r="F1206" s="134"/>
      <c r="G1206" s="180"/>
      <c r="H1206" s="180"/>
      <c r="I1206" s="181"/>
      <c r="J1206" s="180"/>
      <c r="K1206" s="180"/>
      <c r="L1206" s="180"/>
      <c r="M1206" s="180"/>
      <c r="N1206" s="180"/>
      <c r="O1206" s="180"/>
      <c r="P1206" s="180"/>
      <c r="Q1206" s="180"/>
      <c r="R1206" s="180"/>
      <c r="S1206" s="180"/>
      <c r="T1206" s="182"/>
      <c r="U1206" s="183"/>
      <c r="V1206" s="184"/>
      <c r="W1206" s="184"/>
      <c r="X1206" s="184"/>
      <c r="Y1206" s="184"/>
      <c r="Z1206" s="184"/>
      <c r="AA1206" s="184"/>
      <c r="AB1206" s="184"/>
      <c r="AC1206" s="184"/>
      <c r="AD1206" s="184"/>
      <c r="AE1206" s="184"/>
      <c r="AF1206" s="184"/>
      <c r="AG1206" s="184"/>
      <c r="AH1206" s="184"/>
      <c r="AI1206" s="184"/>
      <c r="AJ1206" s="184"/>
      <c r="AK1206" s="184"/>
      <c r="AL1206" s="184"/>
      <c r="AM1206" s="184"/>
      <c r="AN1206" s="184"/>
      <c r="AO1206" s="185"/>
      <c r="AP1206" s="186"/>
      <c r="AQ1206" s="184"/>
      <c r="AR1206" s="184"/>
      <c r="AS1206" s="187"/>
      <c r="AT1206" s="188"/>
    </row>
    <row r="1207" customFormat="false" ht="12.75" hidden="false" customHeight="true" outlineLevel="0" collapsed="false">
      <c r="B1207" s="122"/>
      <c r="C1207" s="123"/>
      <c r="D1207" s="124"/>
      <c r="E1207" s="124"/>
      <c r="F1207" s="125"/>
      <c r="G1207" s="171"/>
      <c r="H1207" s="171"/>
      <c r="I1207" s="172"/>
      <c r="J1207" s="171"/>
      <c r="K1207" s="171"/>
      <c r="L1207" s="171"/>
      <c r="M1207" s="171"/>
      <c r="N1207" s="171"/>
      <c r="O1207" s="171"/>
      <c r="P1207" s="171"/>
      <c r="Q1207" s="171"/>
      <c r="R1207" s="171"/>
      <c r="S1207" s="171"/>
      <c r="T1207" s="173"/>
      <c r="U1207" s="174"/>
      <c r="V1207" s="175"/>
      <c r="W1207" s="175"/>
      <c r="X1207" s="175"/>
      <c r="Y1207" s="175"/>
      <c r="Z1207" s="175"/>
      <c r="AA1207" s="175"/>
      <c r="AB1207" s="175"/>
      <c r="AC1207" s="175"/>
      <c r="AD1207" s="175"/>
      <c r="AE1207" s="175"/>
      <c r="AF1207" s="175"/>
      <c r="AG1207" s="175"/>
      <c r="AH1207" s="175"/>
      <c r="AI1207" s="175"/>
      <c r="AJ1207" s="175"/>
      <c r="AK1207" s="175"/>
      <c r="AL1207" s="175"/>
      <c r="AM1207" s="175"/>
      <c r="AN1207" s="175"/>
      <c r="AO1207" s="176"/>
      <c r="AP1207" s="177"/>
      <c r="AQ1207" s="175"/>
      <c r="AR1207" s="175"/>
      <c r="AS1207" s="178"/>
      <c r="AT1207" s="179"/>
    </row>
    <row r="1208" customFormat="false" ht="12.75" hidden="false" customHeight="true" outlineLevel="0" collapsed="false">
      <c r="B1208" s="122"/>
      <c r="C1208" s="123"/>
      <c r="D1208" s="124"/>
      <c r="E1208" s="124"/>
      <c r="F1208" s="125"/>
      <c r="G1208" s="171"/>
      <c r="H1208" s="171"/>
      <c r="I1208" s="172"/>
      <c r="J1208" s="171"/>
      <c r="K1208" s="171"/>
      <c r="L1208" s="171"/>
      <c r="M1208" s="171"/>
      <c r="N1208" s="171"/>
      <c r="O1208" s="171"/>
      <c r="P1208" s="171"/>
      <c r="Q1208" s="171"/>
      <c r="R1208" s="171"/>
      <c r="S1208" s="171"/>
      <c r="T1208" s="173"/>
      <c r="U1208" s="174"/>
      <c r="V1208" s="175"/>
      <c r="W1208" s="175"/>
      <c r="X1208" s="175"/>
      <c r="Y1208" s="175"/>
      <c r="Z1208" s="175"/>
      <c r="AA1208" s="175"/>
      <c r="AB1208" s="175"/>
      <c r="AC1208" s="175"/>
      <c r="AD1208" s="175"/>
      <c r="AE1208" s="175"/>
      <c r="AF1208" s="175"/>
      <c r="AG1208" s="175"/>
      <c r="AH1208" s="175"/>
      <c r="AI1208" s="175"/>
      <c r="AJ1208" s="175"/>
      <c r="AK1208" s="175"/>
      <c r="AL1208" s="175"/>
      <c r="AM1208" s="175"/>
      <c r="AN1208" s="175"/>
      <c r="AO1208" s="176"/>
      <c r="AP1208" s="177"/>
      <c r="AQ1208" s="175"/>
      <c r="AR1208" s="175"/>
      <c r="AS1208" s="178"/>
      <c r="AT1208" s="179"/>
    </row>
    <row r="1209" customFormat="false" ht="12.75" hidden="false" customHeight="true" outlineLevel="0" collapsed="false">
      <c r="B1209" s="122"/>
      <c r="C1209" s="123"/>
      <c r="D1209" s="124"/>
      <c r="E1209" s="124"/>
      <c r="F1209" s="125"/>
      <c r="G1209" s="171"/>
      <c r="H1209" s="171"/>
      <c r="I1209" s="172"/>
      <c r="J1209" s="171"/>
      <c r="K1209" s="171"/>
      <c r="L1209" s="171"/>
      <c r="M1209" s="171"/>
      <c r="N1209" s="171"/>
      <c r="O1209" s="171"/>
      <c r="P1209" s="171"/>
      <c r="Q1209" s="171"/>
      <c r="R1209" s="171"/>
      <c r="S1209" s="171"/>
      <c r="T1209" s="173"/>
      <c r="U1209" s="174"/>
      <c r="V1209" s="175"/>
      <c r="W1209" s="175"/>
      <c r="X1209" s="175"/>
      <c r="Y1209" s="175"/>
      <c r="Z1209" s="175"/>
      <c r="AA1209" s="175"/>
      <c r="AB1209" s="175"/>
      <c r="AC1209" s="175"/>
      <c r="AD1209" s="175"/>
      <c r="AE1209" s="175"/>
      <c r="AF1209" s="175"/>
      <c r="AG1209" s="175"/>
      <c r="AH1209" s="175"/>
      <c r="AI1209" s="175"/>
      <c r="AJ1209" s="175"/>
      <c r="AK1209" s="175"/>
      <c r="AL1209" s="175"/>
      <c r="AM1209" s="175"/>
      <c r="AN1209" s="175"/>
      <c r="AO1209" s="176"/>
      <c r="AP1209" s="177"/>
      <c r="AQ1209" s="175"/>
      <c r="AR1209" s="175"/>
      <c r="AS1209" s="178"/>
      <c r="AT1209" s="179"/>
    </row>
    <row r="1210" customFormat="false" ht="12.75" hidden="false" customHeight="true" outlineLevel="0" collapsed="false">
      <c r="B1210" s="141"/>
      <c r="C1210" s="132"/>
      <c r="D1210" s="133"/>
      <c r="E1210" s="133"/>
      <c r="F1210" s="134"/>
      <c r="G1210" s="180"/>
      <c r="H1210" s="180"/>
      <c r="I1210" s="181"/>
      <c r="J1210" s="180"/>
      <c r="K1210" s="180"/>
      <c r="L1210" s="180"/>
      <c r="M1210" s="180"/>
      <c r="N1210" s="180"/>
      <c r="O1210" s="180"/>
      <c r="P1210" s="180"/>
      <c r="Q1210" s="180"/>
      <c r="R1210" s="180"/>
      <c r="S1210" s="180"/>
      <c r="T1210" s="182"/>
      <c r="U1210" s="183"/>
      <c r="V1210" s="184"/>
      <c r="W1210" s="184"/>
      <c r="X1210" s="184"/>
      <c r="Y1210" s="184"/>
      <c r="Z1210" s="184"/>
      <c r="AA1210" s="184"/>
      <c r="AB1210" s="184"/>
      <c r="AC1210" s="184"/>
      <c r="AD1210" s="184"/>
      <c r="AE1210" s="184"/>
      <c r="AF1210" s="184"/>
      <c r="AG1210" s="184"/>
      <c r="AH1210" s="184"/>
      <c r="AI1210" s="184"/>
      <c r="AJ1210" s="184"/>
      <c r="AK1210" s="184"/>
      <c r="AL1210" s="184"/>
      <c r="AM1210" s="184"/>
      <c r="AN1210" s="184"/>
      <c r="AO1210" s="185"/>
      <c r="AP1210" s="186"/>
      <c r="AQ1210" s="184"/>
      <c r="AR1210" s="184"/>
      <c r="AS1210" s="187"/>
      <c r="AT1210" s="188"/>
    </row>
    <row r="1211" customFormat="false" ht="12.75" hidden="false" customHeight="true" outlineLevel="0" collapsed="false">
      <c r="B1211" s="122"/>
      <c r="C1211" s="123"/>
      <c r="D1211" s="124"/>
      <c r="E1211" s="124"/>
      <c r="F1211" s="125"/>
      <c r="G1211" s="171"/>
      <c r="H1211" s="171"/>
      <c r="I1211" s="172"/>
      <c r="J1211" s="171"/>
      <c r="K1211" s="171"/>
      <c r="L1211" s="171"/>
      <c r="M1211" s="171"/>
      <c r="N1211" s="171"/>
      <c r="O1211" s="171"/>
      <c r="P1211" s="171"/>
      <c r="Q1211" s="171"/>
      <c r="R1211" s="171"/>
      <c r="S1211" s="171"/>
      <c r="T1211" s="173"/>
      <c r="U1211" s="174"/>
      <c r="V1211" s="175"/>
      <c r="W1211" s="175"/>
      <c r="X1211" s="175"/>
      <c r="Y1211" s="175"/>
      <c r="Z1211" s="175"/>
      <c r="AA1211" s="175"/>
      <c r="AB1211" s="175"/>
      <c r="AC1211" s="175"/>
      <c r="AD1211" s="175"/>
      <c r="AE1211" s="175"/>
      <c r="AF1211" s="175"/>
      <c r="AG1211" s="175"/>
      <c r="AH1211" s="175"/>
      <c r="AI1211" s="175"/>
      <c r="AJ1211" s="175"/>
      <c r="AK1211" s="175"/>
      <c r="AL1211" s="175"/>
      <c r="AM1211" s="175"/>
      <c r="AN1211" s="175"/>
      <c r="AO1211" s="176"/>
      <c r="AP1211" s="177"/>
      <c r="AQ1211" s="175"/>
      <c r="AR1211" s="175"/>
      <c r="AS1211" s="178"/>
      <c r="AT1211" s="179"/>
    </row>
    <row r="1212" customFormat="false" ht="12.75" hidden="false" customHeight="true" outlineLevel="0" collapsed="false">
      <c r="B1212" s="122"/>
      <c r="C1212" s="123"/>
      <c r="D1212" s="124"/>
      <c r="E1212" s="124"/>
      <c r="F1212" s="125"/>
      <c r="G1212" s="171"/>
      <c r="H1212" s="171"/>
      <c r="I1212" s="172"/>
      <c r="J1212" s="171"/>
      <c r="K1212" s="171"/>
      <c r="L1212" s="171"/>
      <c r="M1212" s="171"/>
      <c r="N1212" s="171"/>
      <c r="O1212" s="171"/>
      <c r="P1212" s="171"/>
      <c r="Q1212" s="171"/>
      <c r="R1212" s="171"/>
      <c r="S1212" s="171"/>
      <c r="T1212" s="173"/>
      <c r="U1212" s="174"/>
      <c r="V1212" s="175"/>
      <c r="W1212" s="175"/>
      <c r="X1212" s="175"/>
      <c r="Y1212" s="175"/>
      <c r="Z1212" s="175"/>
      <c r="AA1212" s="175"/>
      <c r="AB1212" s="175"/>
      <c r="AC1212" s="175"/>
      <c r="AD1212" s="175"/>
      <c r="AE1212" s="175"/>
      <c r="AF1212" s="175"/>
      <c r="AG1212" s="175"/>
      <c r="AH1212" s="175"/>
      <c r="AI1212" s="175"/>
      <c r="AJ1212" s="175"/>
      <c r="AK1212" s="175"/>
      <c r="AL1212" s="175"/>
      <c r="AM1212" s="175"/>
      <c r="AN1212" s="175"/>
      <c r="AO1212" s="176"/>
      <c r="AP1212" s="177"/>
      <c r="AQ1212" s="175"/>
      <c r="AR1212" s="175"/>
      <c r="AS1212" s="178"/>
      <c r="AT1212" s="179"/>
    </row>
    <row r="1213" customFormat="false" ht="12.75" hidden="false" customHeight="true" outlineLevel="0" collapsed="false">
      <c r="B1213" s="122"/>
      <c r="C1213" s="123"/>
      <c r="D1213" s="124"/>
      <c r="E1213" s="124"/>
      <c r="F1213" s="125"/>
      <c r="G1213" s="171"/>
      <c r="H1213" s="171"/>
      <c r="I1213" s="172"/>
      <c r="J1213" s="171"/>
      <c r="K1213" s="171"/>
      <c r="L1213" s="171"/>
      <c r="M1213" s="171"/>
      <c r="N1213" s="171"/>
      <c r="O1213" s="171"/>
      <c r="P1213" s="171"/>
      <c r="Q1213" s="171"/>
      <c r="R1213" s="171"/>
      <c r="S1213" s="171"/>
      <c r="T1213" s="173"/>
      <c r="U1213" s="174"/>
      <c r="V1213" s="175"/>
      <c r="W1213" s="175"/>
      <c r="X1213" s="175"/>
      <c r="Y1213" s="175"/>
      <c r="Z1213" s="175"/>
      <c r="AA1213" s="175"/>
      <c r="AB1213" s="175"/>
      <c r="AC1213" s="175"/>
      <c r="AD1213" s="175"/>
      <c r="AE1213" s="175"/>
      <c r="AF1213" s="175"/>
      <c r="AG1213" s="175"/>
      <c r="AH1213" s="175"/>
      <c r="AI1213" s="175"/>
      <c r="AJ1213" s="175"/>
      <c r="AK1213" s="175"/>
      <c r="AL1213" s="175"/>
      <c r="AM1213" s="175"/>
      <c r="AN1213" s="175"/>
      <c r="AO1213" s="176"/>
      <c r="AP1213" s="177"/>
      <c r="AQ1213" s="175"/>
      <c r="AR1213" s="175"/>
      <c r="AS1213" s="178"/>
      <c r="AT1213" s="179"/>
    </row>
    <row r="1214" customFormat="false" ht="12.75" hidden="false" customHeight="true" outlineLevel="0" collapsed="false">
      <c r="B1214" s="122"/>
      <c r="C1214" s="123"/>
      <c r="D1214" s="124"/>
      <c r="E1214" s="124"/>
      <c r="F1214" s="125"/>
      <c r="G1214" s="171"/>
      <c r="H1214" s="171"/>
      <c r="I1214" s="172"/>
      <c r="J1214" s="171"/>
      <c r="K1214" s="171"/>
      <c r="L1214" s="171"/>
      <c r="M1214" s="171"/>
      <c r="N1214" s="171"/>
      <c r="O1214" s="171"/>
      <c r="P1214" s="171"/>
      <c r="Q1214" s="171"/>
      <c r="R1214" s="171"/>
      <c r="S1214" s="171"/>
      <c r="T1214" s="173"/>
      <c r="U1214" s="174"/>
      <c r="V1214" s="175"/>
      <c r="W1214" s="175"/>
      <c r="X1214" s="175"/>
      <c r="Y1214" s="175"/>
      <c r="Z1214" s="175"/>
      <c r="AA1214" s="175"/>
      <c r="AB1214" s="175"/>
      <c r="AC1214" s="175"/>
      <c r="AD1214" s="175"/>
      <c r="AE1214" s="175"/>
      <c r="AF1214" s="175"/>
      <c r="AG1214" s="175"/>
      <c r="AH1214" s="175"/>
      <c r="AI1214" s="175"/>
      <c r="AJ1214" s="175"/>
      <c r="AK1214" s="175"/>
      <c r="AL1214" s="175"/>
      <c r="AM1214" s="175"/>
      <c r="AN1214" s="175"/>
      <c r="AO1214" s="176"/>
      <c r="AP1214" s="177"/>
      <c r="AQ1214" s="175"/>
      <c r="AR1214" s="175"/>
      <c r="AS1214" s="178"/>
      <c r="AT1214" s="179"/>
    </row>
    <row r="1215" customFormat="false" ht="12.75" hidden="false" customHeight="true" outlineLevel="0" collapsed="false">
      <c r="B1215" s="141"/>
      <c r="C1215" s="132"/>
      <c r="D1215" s="133"/>
      <c r="E1215" s="133"/>
      <c r="F1215" s="134"/>
      <c r="G1215" s="180"/>
      <c r="H1215" s="180"/>
      <c r="I1215" s="181"/>
      <c r="J1215" s="180"/>
      <c r="K1215" s="180"/>
      <c r="L1215" s="180"/>
      <c r="M1215" s="180"/>
      <c r="N1215" s="180"/>
      <c r="O1215" s="180"/>
      <c r="P1215" s="180"/>
      <c r="Q1215" s="180"/>
      <c r="R1215" s="180"/>
      <c r="S1215" s="180"/>
      <c r="T1215" s="182"/>
      <c r="U1215" s="183"/>
      <c r="V1215" s="184"/>
      <c r="W1215" s="184"/>
      <c r="X1215" s="184"/>
      <c r="Y1215" s="184"/>
      <c r="Z1215" s="184"/>
      <c r="AA1215" s="184"/>
      <c r="AB1215" s="184"/>
      <c r="AC1215" s="184"/>
      <c r="AD1215" s="184"/>
      <c r="AE1215" s="184"/>
      <c r="AF1215" s="184"/>
      <c r="AG1215" s="184"/>
      <c r="AH1215" s="184"/>
      <c r="AI1215" s="184"/>
      <c r="AJ1215" s="184"/>
      <c r="AK1215" s="184"/>
      <c r="AL1215" s="184"/>
      <c r="AM1215" s="184"/>
      <c r="AN1215" s="184"/>
      <c r="AO1215" s="185"/>
      <c r="AP1215" s="186"/>
      <c r="AQ1215" s="184"/>
      <c r="AR1215" s="184"/>
      <c r="AS1215" s="187"/>
      <c r="AT1215" s="188"/>
    </row>
    <row r="1216" customFormat="false" ht="12.75" hidden="false" customHeight="true" outlineLevel="0" collapsed="false">
      <c r="B1216" s="122"/>
      <c r="C1216" s="123"/>
      <c r="D1216" s="124"/>
      <c r="E1216" s="124"/>
      <c r="F1216" s="125"/>
      <c r="G1216" s="171"/>
      <c r="H1216" s="171"/>
      <c r="I1216" s="172"/>
      <c r="J1216" s="171"/>
      <c r="K1216" s="171"/>
      <c r="L1216" s="171"/>
      <c r="M1216" s="171"/>
      <c r="N1216" s="171"/>
      <c r="O1216" s="171"/>
      <c r="P1216" s="171"/>
      <c r="Q1216" s="171"/>
      <c r="R1216" s="171"/>
      <c r="S1216" s="171"/>
      <c r="T1216" s="173"/>
      <c r="U1216" s="174"/>
      <c r="V1216" s="175"/>
      <c r="W1216" s="175"/>
      <c r="X1216" s="175"/>
      <c r="Y1216" s="175"/>
      <c r="Z1216" s="175"/>
      <c r="AA1216" s="175"/>
      <c r="AB1216" s="175"/>
      <c r="AC1216" s="175"/>
      <c r="AD1216" s="175"/>
      <c r="AE1216" s="175"/>
      <c r="AF1216" s="175"/>
      <c r="AG1216" s="175"/>
      <c r="AH1216" s="175"/>
      <c r="AI1216" s="175"/>
      <c r="AJ1216" s="175"/>
      <c r="AK1216" s="175"/>
      <c r="AL1216" s="175"/>
      <c r="AM1216" s="175"/>
      <c r="AN1216" s="175"/>
      <c r="AO1216" s="176"/>
      <c r="AP1216" s="177"/>
      <c r="AQ1216" s="175"/>
      <c r="AR1216" s="175"/>
      <c r="AS1216" s="178"/>
      <c r="AT1216" s="179"/>
    </row>
    <row r="1217" customFormat="false" ht="12.75" hidden="false" customHeight="true" outlineLevel="0" collapsed="false">
      <c r="B1217" s="122"/>
      <c r="C1217" s="123"/>
      <c r="D1217" s="124"/>
      <c r="E1217" s="124"/>
      <c r="F1217" s="125"/>
      <c r="G1217" s="171"/>
      <c r="H1217" s="171"/>
      <c r="I1217" s="172"/>
      <c r="J1217" s="171"/>
      <c r="K1217" s="171"/>
      <c r="L1217" s="171"/>
      <c r="M1217" s="171"/>
      <c r="N1217" s="171"/>
      <c r="O1217" s="171"/>
      <c r="P1217" s="171"/>
      <c r="Q1217" s="171"/>
      <c r="R1217" s="171"/>
      <c r="S1217" s="171"/>
      <c r="T1217" s="173"/>
      <c r="U1217" s="174"/>
      <c r="V1217" s="175"/>
      <c r="W1217" s="175"/>
      <c r="X1217" s="175"/>
      <c r="Y1217" s="175"/>
      <c r="Z1217" s="175"/>
      <c r="AA1217" s="175"/>
      <c r="AB1217" s="175"/>
      <c r="AC1217" s="175"/>
      <c r="AD1217" s="175"/>
      <c r="AE1217" s="175"/>
      <c r="AF1217" s="175"/>
      <c r="AG1217" s="175"/>
      <c r="AH1217" s="175"/>
      <c r="AI1217" s="175"/>
      <c r="AJ1217" s="175"/>
      <c r="AK1217" s="175"/>
      <c r="AL1217" s="175"/>
      <c r="AM1217" s="175"/>
      <c r="AN1217" s="175"/>
      <c r="AO1217" s="176"/>
      <c r="AP1217" s="177"/>
      <c r="AQ1217" s="175"/>
      <c r="AR1217" s="175"/>
      <c r="AS1217" s="178"/>
      <c r="AT1217" s="179"/>
    </row>
    <row r="1218" customFormat="false" ht="12.75" hidden="false" customHeight="true" outlineLevel="0" collapsed="false">
      <c r="B1218" s="122"/>
      <c r="C1218" s="123"/>
      <c r="D1218" s="124"/>
      <c r="E1218" s="124"/>
      <c r="F1218" s="125"/>
      <c r="G1218" s="171"/>
      <c r="H1218" s="171"/>
      <c r="I1218" s="172"/>
      <c r="J1218" s="171"/>
      <c r="K1218" s="171"/>
      <c r="L1218" s="171"/>
      <c r="M1218" s="171"/>
      <c r="N1218" s="171"/>
      <c r="O1218" s="171"/>
      <c r="P1218" s="171"/>
      <c r="Q1218" s="171"/>
      <c r="R1218" s="171"/>
      <c r="S1218" s="171"/>
      <c r="T1218" s="173"/>
      <c r="U1218" s="174"/>
      <c r="V1218" s="175"/>
      <c r="W1218" s="175"/>
      <c r="X1218" s="175"/>
      <c r="Y1218" s="175"/>
      <c r="Z1218" s="175"/>
      <c r="AA1218" s="175"/>
      <c r="AB1218" s="175"/>
      <c r="AC1218" s="175"/>
      <c r="AD1218" s="175"/>
      <c r="AE1218" s="175"/>
      <c r="AF1218" s="175"/>
      <c r="AG1218" s="175"/>
      <c r="AH1218" s="175"/>
      <c r="AI1218" s="175"/>
      <c r="AJ1218" s="175"/>
      <c r="AK1218" s="175"/>
      <c r="AL1218" s="175"/>
      <c r="AM1218" s="175"/>
      <c r="AN1218" s="175"/>
      <c r="AO1218" s="176"/>
      <c r="AP1218" s="177"/>
      <c r="AQ1218" s="175"/>
      <c r="AR1218" s="175"/>
      <c r="AS1218" s="178"/>
      <c r="AT1218" s="179"/>
    </row>
    <row r="1219" customFormat="false" ht="12.75" hidden="false" customHeight="true" outlineLevel="0" collapsed="false">
      <c r="B1219" s="122"/>
      <c r="C1219" s="123"/>
      <c r="D1219" s="124"/>
      <c r="E1219" s="124"/>
      <c r="F1219" s="125"/>
      <c r="G1219" s="171"/>
      <c r="H1219" s="171"/>
      <c r="I1219" s="172"/>
      <c r="J1219" s="171"/>
      <c r="K1219" s="171"/>
      <c r="L1219" s="171"/>
      <c r="M1219" s="171"/>
      <c r="N1219" s="171"/>
      <c r="O1219" s="171"/>
      <c r="P1219" s="171"/>
      <c r="Q1219" s="171"/>
      <c r="R1219" s="171"/>
      <c r="S1219" s="171"/>
      <c r="T1219" s="173"/>
      <c r="U1219" s="174"/>
      <c r="V1219" s="175"/>
      <c r="W1219" s="175"/>
      <c r="X1219" s="175"/>
      <c r="Y1219" s="175"/>
      <c r="Z1219" s="175"/>
      <c r="AA1219" s="175"/>
      <c r="AB1219" s="175"/>
      <c r="AC1219" s="175"/>
      <c r="AD1219" s="175"/>
      <c r="AE1219" s="175"/>
      <c r="AF1219" s="175"/>
      <c r="AG1219" s="175"/>
      <c r="AH1219" s="175"/>
      <c r="AI1219" s="175"/>
      <c r="AJ1219" s="175"/>
      <c r="AK1219" s="175"/>
      <c r="AL1219" s="175"/>
      <c r="AM1219" s="175"/>
      <c r="AN1219" s="175"/>
      <c r="AO1219" s="176"/>
      <c r="AP1219" s="177"/>
      <c r="AQ1219" s="175"/>
      <c r="AR1219" s="175"/>
      <c r="AS1219" s="178"/>
      <c r="AT1219" s="179"/>
    </row>
    <row r="1220" customFormat="false" ht="12.75" hidden="false" customHeight="true" outlineLevel="0" collapsed="false">
      <c r="B1220" s="141"/>
      <c r="C1220" s="132"/>
      <c r="D1220" s="133"/>
      <c r="E1220" s="133"/>
      <c r="F1220" s="134"/>
      <c r="G1220" s="180"/>
      <c r="H1220" s="180"/>
      <c r="I1220" s="181"/>
      <c r="J1220" s="180"/>
      <c r="K1220" s="180"/>
      <c r="L1220" s="180"/>
      <c r="M1220" s="180"/>
      <c r="N1220" s="180"/>
      <c r="O1220" s="180"/>
      <c r="P1220" s="180"/>
      <c r="Q1220" s="180"/>
      <c r="R1220" s="180"/>
      <c r="S1220" s="180"/>
      <c r="T1220" s="182"/>
      <c r="U1220" s="183"/>
      <c r="V1220" s="184"/>
      <c r="W1220" s="184"/>
      <c r="X1220" s="184"/>
      <c r="Y1220" s="184"/>
      <c r="Z1220" s="184"/>
      <c r="AA1220" s="184"/>
      <c r="AB1220" s="184"/>
      <c r="AC1220" s="184"/>
      <c r="AD1220" s="184"/>
      <c r="AE1220" s="184"/>
      <c r="AF1220" s="184"/>
      <c r="AG1220" s="184"/>
      <c r="AH1220" s="184"/>
      <c r="AI1220" s="184"/>
      <c r="AJ1220" s="184"/>
      <c r="AK1220" s="184"/>
      <c r="AL1220" s="184"/>
      <c r="AM1220" s="184"/>
      <c r="AN1220" s="184"/>
      <c r="AO1220" s="185"/>
      <c r="AP1220" s="186"/>
      <c r="AQ1220" s="184"/>
      <c r="AR1220" s="184"/>
      <c r="AS1220" s="187"/>
      <c r="AT1220" s="188"/>
    </row>
    <row r="1221" customFormat="false" ht="12.75" hidden="false" customHeight="true" outlineLevel="0" collapsed="false">
      <c r="B1221" s="122"/>
      <c r="C1221" s="123"/>
      <c r="D1221" s="124"/>
      <c r="E1221" s="124"/>
      <c r="F1221" s="125"/>
      <c r="G1221" s="171"/>
      <c r="H1221" s="171"/>
      <c r="I1221" s="172"/>
      <c r="J1221" s="171"/>
      <c r="K1221" s="171"/>
      <c r="L1221" s="171"/>
      <c r="M1221" s="171"/>
      <c r="N1221" s="171"/>
      <c r="O1221" s="171"/>
      <c r="P1221" s="171"/>
      <c r="Q1221" s="171"/>
      <c r="R1221" s="171"/>
      <c r="S1221" s="171"/>
      <c r="T1221" s="173"/>
      <c r="U1221" s="174"/>
      <c r="V1221" s="175"/>
      <c r="W1221" s="175"/>
      <c r="X1221" s="175"/>
      <c r="Y1221" s="175"/>
      <c r="Z1221" s="175"/>
      <c r="AA1221" s="175"/>
      <c r="AB1221" s="175"/>
      <c r="AC1221" s="175"/>
      <c r="AD1221" s="175"/>
      <c r="AE1221" s="175"/>
      <c r="AF1221" s="175"/>
      <c r="AG1221" s="175"/>
      <c r="AH1221" s="175"/>
      <c r="AI1221" s="175"/>
      <c r="AJ1221" s="175"/>
      <c r="AK1221" s="175"/>
      <c r="AL1221" s="175"/>
      <c r="AM1221" s="175"/>
      <c r="AN1221" s="175"/>
      <c r="AO1221" s="176"/>
      <c r="AP1221" s="177"/>
      <c r="AQ1221" s="175"/>
      <c r="AR1221" s="175"/>
      <c r="AS1221" s="178"/>
      <c r="AT1221" s="179"/>
    </row>
    <row r="1222" customFormat="false" ht="12.75" hidden="false" customHeight="true" outlineLevel="0" collapsed="false">
      <c r="B1222" s="122"/>
      <c r="C1222" s="123"/>
      <c r="D1222" s="124"/>
      <c r="E1222" s="124"/>
      <c r="F1222" s="125"/>
      <c r="G1222" s="171"/>
      <c r="H1222" s="171"/>
      <c r="I1222" s="172"/>
      <c r="J1222" s="171"/>
      <c r="K1222" s="171"/>
      <c r="L1222" s="171"/>
      <c r="M1222" s="171"/>
      <c r="N1222" s="171"/>
      <c r="O1222" s="171"/>
      <c r="P1222" s="171"/>
      <c r="Q1222" s="171"/>
      <c r="R1222" s="171"/>
      <c r="S1222" s="171"/>
      <c r="T1222" s="173"/>
      <c r="U1222" s="174"/>
      <c r="V1222" s="175"/>
      <c r="W1222" s="175"/>
      <c r="X1222" s="175"/>
      <c r="Y1222" s="175"/>
      <c r="Z1222" s="175"/>
      <c r="AA1222" s="175"/>
      <c r="AB1222" s="175"/>
      <c r="AC1222" s="175"/>
      <c r="AD1222" s="175"/>
      <c r="AE1222" s="175"/>
      <c r="AF1222" s="175"/>
      <c r="AG1222" s="175"/>
      <c r="AH1222" s="175"/>
      <c r="AI1222" s="175"/>
      <c r="AJ1222" s="175"/>
      <c r="AK1222" s="175"/>
      <c r="AL1222" s="175"/>
      <c r="AM1222" s="175"/>
      <c r="AN1222" s="175"/>
      <c r="AO1222" s="176"/>
      <c r="AP1222" s="177"/>
      <c r="AQ1222" s="175"/>
      <c r="AR1222" s="175"/>
      <c r="AS1222" s="178"/>
      <c r="AT1222" s="179"/>
    </row>
    <row r="1223" customFormat="false" ht="12.75" hidden="false" customHeight="true" outlineLevel="0" collapsed="false">
      <c r="B1223" s="122"/>
      <c r="C1223" s="123"/>
      <c r="D1223" s="124"/>
      <c r="E1223" s="124"/>
      <c r="F1223" s="125"/>
      <c r="G1223" s="171"/>
      <c r="H1223" s="171"/>
      <c r="I1223" s="172"/>
      <c r="J1223" s="171"/>
      <c r="K1223" s="171"/>
      <c r="L1223" s="171"/>
      <c r="M1223" s="171"/>
      <c r="N1223" s="171"/>
      <c r="O1223" s="171"/>
      <c r="P1223" s="171"/>
      <c r="Q1223" s="171"/>
      <c r="R1223" s="171"/>
      <c r="S1223" s="171"/>
      <c r="T1223" s="173"/>
      <c r="U1223" s="174"/>
      <c r="V1223" s="175"/>
      <c r="W1223" s="175"/>
      <c r="X1223" s="175"/>
      <c r="Y1223" s="175"/>
      <c r="Z1223" s="175"/>
      <c r="AA1223" s="175"/>
      <c r="AB1223" s="175"/>
      <c r="AC1223" s="175"/>
      <c r="AD1223" s="175"/>
      <c r="AE1223" s="175"/>
      <c r="AF1223" s="175"/>
      <c r="AG1223" s="175"/>
      <c r="AH1223" s="175"/>
      <c r="AI1223" s="175"/>
      <c r="AJ1223" s="175"/>
      <c r="AK1223" s="175"/>
      <c r="AL1223" s="175"/>
      <c r="AM1223" s="175"/>
      <c r="AN1223" s="175"/>
      <c r="AO1223" s="176"/>
      <c r="AP1223" s="177"/>
      <c r="AQ1223" s="175"/>
      <c r="AR1223" s="175"/>
      <c r="AS1223" s="178"/>
      <c r="AT1223" s="179"/>
    </row>
    <row r="1224" customFormat="false" ht="12.75" hidden="false" customHeight="true" outlineLevel="0" collapsed="false">
      <c r="B1224" s="122"/>
      <c r="C1224" s="123"/>
      <c r="D1224" s="124"/>
      <c r="E1224" s="124"/>
      <c r="F1224" s="125"/>
      <c r="G1224" s="171"/>
      <c r="H1224" s="171"/>
      <c r="I1224" s="172"/>
      <c r="J1224" s="171"/>
      <c r="K1224" s="171"/>
      <c r="L1224" s="171"/>
      <c r="M1224" s="171"/>
      <c r="N1224" s="171"/>
      <c r="O1224" s="171"/>
      <c r="P1224" s="171"/>
      <c r="Q1224" s="171"/>
      <c r="R1224" s="171"/>
      <c r="S1224" s="171"/>
      <c r="T1224" s="173"/>
      <c r="U1224" s="174"/>
      <c r="V1224" s="175"/>
      <c r="W1224" s="175"/>
      <c r="X1224" s="175"/>
      <c r="Y1224" s="175"/>
      <c r="Z1224" s="175"/>
      <c r="AA1224" s="175"/>
      <c r="AB1224" s="175"/>
      <c r="AC1224" s="175"/>
      <c r="AD1224" s="175"/>
      <c r="AE1224" s="175"/>
      <c r="AF1224" s="175"/>
      <c r="AG1224" s="175"/>
      <c r="AH1224" s="175"/>
      <c r="AI1224" s="175"/>
      <c r="AJ1224" s="175"/>
      <c r="AK1224" s="175"/>
      <c r="AL1224" s="175"/>
      <c r="AM1224" s="175"/>
      <c r="AN1224" s="175"/>
      <c r="AO1224" s="176"/>
      <c r="AP1224" s="177"/>
      <c r="AQ1224" s="175"/>
      <c r="AR1224" s="175"/>
      <c r="AS1224" s="178"/>
      <c r="AT1224" s="179"/>
    </row>
    <row r="1225" customFormat="false" ht="12.75" hidden="false" customHeight="true" outlineLevel="0" collapsed="false">
      <c r="B1225" s="141"/>
      <c r="C1225" s="132"/>
      <c r="D1225" s="133"/>
      <c r="E1225" s="133"/>
      <c r="F1225" s="134"/>
      <c r="G1225" s="180"/>
      <c r="H1225" s="180"/>
      <c r="I1225" s="181"/>
      <c r="J1225" s="180"/>
      <c r="K1225" s="180"/>
      <c r="L1225" s="180"/>
      <c r="M1225" s="180"/>
      <c r="N1225" s="180"/>
      <c r="O1225" s="180"/>
      <c r="P1225" s="180"/>
      <c r="Q1225" s="180"/>
      <c r="R1225" s="180"/>
      <c r="S1225" s="180"/>
      <c r="T1225" s="182"/>
      <c r="U1225" s="183"/>
      <c r="V1225" s="184"/>
      <c r="W1225" s="184"/>
      <c r="X1225" s="184"/>
      <c r="Y1225" s="184"/>
      <c r="Z1225" s="184"/>
      <c r="AA1225" s="184"/>
      <c r="AB1225" s="184"/>
      <c r="AC1225" s="184"/>
      <c r="AD1225" s="184"/>
      <c r="AE1225" s="184"/>
      <c r="AF1225" s="184"/>
      <c r="AG1225" s="184"/>
      <c r="AH1225" s="184"/>
      <c r="AI1225" s="184"/>
      <c r="AJ1225" s="184"/>
      <c r="AK1225" s="184"/>
      <c r="AL1225" s="184"/>
      <c r="AM1225" s="184"/>
      <c r="AN1225" s="184"/>
      <c r="AO1225" s="185"/>
      <c r="AP1225" s="186"/>
      <c r="AQ1225" s="184"/>
      <c r="AR1225" s="184"/>
      <c r="AS1225" s="187"/>
      <c r="AT1225" s="188"/>
    </row>
    <row r="1226" customFormat="false" ht="12.75" hidden="false" customHeight="true" outlineLevel="0" collapsed="false">
      <c r="B1226" s="122"/>
      <c r="C1226" s="123"/>
      <c r="D1226" s="124"/>
      <c r="E1226" s="124"/>
      <c r="F1226" s="125"/>
      <c r="G1226" s="171"/>
      <c r="H1226" s="171"/>
      <c r="I1226" s="172"/>
      <c r="J1226" s="171"/>
      <c r="K1226" s="171"/>
      <c r="L1226" s="171"/>
      <c r="M1226" s="171"/>
      <c r="N1226" s="171"/>
      <c r="O1226" s="171"/>
      <c r="P1226" s="171"/>
      <c r="Q1226" s="171"/>
      <c r="R1226" s="171"/>
      <c r="S1226" s="171"/>
      <c r="T1226" s="173"/>
      <c r="U1226" s="174"/>
      <c r="V1226" s="175"/>
      <c r="W1226" s="175"/>
      <c r="X1226" s="175"/>
      <c r="Y1226" s="175"/>
      <c r="Z1226" s="175"/>
      <c r="AA1226" s="175"/>
      <c r="AB1226" s="175"/>
      <c r="AC1226" s="175"/>
      <c r="AD1226" s="175"/>
      <c r="AE1226" s="175"/>
      <c r="AF1226" s="175"/>
      <c r="AG1226" s="175"/>
      <c r="AH1226" s="175"/>
      <c r="AI1226" s="175"/>
      <c r="AJ1226" s="175"/>
      <c r="AK1226" s="175"/>
      <c r="AL1226" s="175"/>
      <c r="AM1226" s="175"/>
      <c r="AN1226" s="175"/>
      <c r="AO1226" s="176"/>
      <c r="AP1226" s="177"/>
      <c r="AQ1226" s="175"/>
      <c r="AR1226" s="175"/>
      <c r="AS1226" s="178"/>
      <c r="AT1226" s="179"/>
    </row>
    <row r="1227" customFormat="false" ht="12.75" hidden="false" customHeight="true" outlineLevel="0" collapsed="false">
      <c r="B1227" s="122"/>
      <c r="C1227" s="123"/>
      <c r="D1227" s="124"/>
      <c r="E1227" s="124"/>
      <c r="F1227" s="125"/>
      <c r="G1227" s="171"/>
      <c r="H1227" s="171"/>
      <c r="I1227" s="172"/>
      <c r="J1227" s="171"/>
      <c r="K1227" s="171"/>
      <c r="L1227" s="171"/>
      <c r="M1227" s="171"/>
      <c r="N1227" s="171"/>
      <c r="O1227" s="171"/>
      <c r="P1227" s="171"/>
      <c r="Q1227" s="171"/>
      <c r="R1227" s="171"/>
      <c r="S1227" s="171"/>
      <c r="T1227" s="173"/>
      <c r="U1227" s="174"/>
      <c r="V1227" s="175"/>
      <c r="W1227" s="175"/>
      <c r="X1227" s="175"/>
      <c r="Y1227" s="175"/>
      <c r="Z1227" s="175"/>
      <c r="AA1227" s="175"/>
      <c r="AB1227" s="175"/>
      <c r="AC1227" s="175"/>
      <c r="AD1227" s="175"/>
      <c r="AE1227" s="175"/>
      <c r="AF1227" s="175"/>
      <c r="AG1227" s="175"/>
      <c r="AH1227" s="175"/>
      <c r="AI1227" s="175"/>
      <c r="AJ1227" s="175"/>
      <c r="AK1227" s="175"/>
      <c r="AL1227" s="175"/>
      <c r="AM1227" s="175"/>
      <c r="AN1227" s="175"/>
      <c r="AO1227" s="176"/>
      <c r="AP1227" s="177"/>
      <c r="AQ1227" s="175"/>
      <c r="AR1227" s="175"/>
      <c r="AS1227" s="178"/>
      <c r="AT1227" s="179"/>
    </row>
    <row r="1228" customFormat="false" ht="12.75" hidden="false" customHeight="true" outlineLevel="0" collapsed="false">
      <c r="B1228" s="122"/>
      <c r="C1228" s="123"/>
      <c r="D1228" s="124"/>
      <c r="E1228" s="124"/>
      <c r="F1228" s="125"/>
      <c r="G1228" s="171"/>
      <c r="H1228" s="171"/>
      <c r="I1228" s="172"/>
      <c r="J1228" s="171"/>
      <c r="K1228" s="171"/>
      <c r="L1228" s="171"/>
      <c r="M1228" s="171"/>
      <c r="N1228" s="171"/>
      <c r="O1228" s="171"/>
      <c r="P1228" s="171"/>
      <c r="Q1228" s="171"/>
      <c r="R1228" s="171"/>
      <c r="S1228" s="171"/>
      <c r="T1228" s="173"/>
      <c r="U1228" s="174"/>
      <c r="V1228" s="175"/>
      <c r="W1228" s="175"/>
      <c r="X1228" s="175"/>
      <c r="Y1228" s="175"/>
      <c r="Z1228" s="175"/>
      <c r="AA1228" s="175"/>
      <c r="AB1228" s="175"/>
      <c r="AC1228" s="175"/>
      <c r="AD1228" s="175"/>
      <c r="AE1228" s="175"/>
      <c r="AF1228" s="175"/>
      <c r="AG1228" s="175"/>
      <c r="AH1228" s="175"/>
      <c r="AI1228" s="175"/>
      <c r="AJ1228" s="175"/>
      <c r="AK1228" s="175"/>
      <c r="AL1228" s="175"/>
      <c r="AM1228" s="175"/>
      <c r="AN1228" s="175"/>
      <c r="AO1228" s="176"/>
      <c r="AP1228" s="177"/>
      <c r="AQ1228" s="175"/>
      <c r="AR1228" s="175"/>
      <c r="AS1228" s="178"/>
      <c r="AT1228" s="179"/>
    </row>
    <row r="1229" customFormat="false" ht="12.75" hidden="false" customHeight="true" outlineLevel="0" collapsed="false">
      <c r="B1229" s="141"/>
      <c r="C1229" s="132"/>
      <c r="D1229" s="133"/>
      <c r="E1229" s="133"/>
      <c r="F1229" s="134"/>
      <c r="G1229" s="180"/>
      <c r="H1229" s="180"/>
      <c r="I1229" s="181"/>
      <c r="J1229" s="180"/>
      <c r="K1229" s="180"/>
      <c r="L1229" s="180"/>
      <c r="M1229" s="180"/>
      <c r="N1229" s="180"/>
      <c r="O1229" s="180"/>
      <c r="P1229" s="180"/>
      <c r="Q1229" s="180"/>
      <c r="R1229" s="180"/>
      <c r="S1229" s="180"/>
      <c r="T1229" s="182"/>
      <c r="U1229" s="183"/>
      <c r="V1229" s="184"/>
      <c r="W1229" s="184"/>
      <c r="X1229" s="184"/>
      <c r="Y1229" s="184"/>
      <c r="Z1229" s="184"/>
      <c r="AA1229" s="184"/>
      <c r="AB1229" s="184"/>
      <c r="AC1229" s="184"/>
      <c r="AD1229" s="184"/>
      <c r="AE1229" s="184"/>
      <c r="AF1229" s="184"/>
      <c r="AG1229" s="184"/>
      <c r="AH1229" s="184"/>
      <c r="AI1229" s="184"/>
      <c r="AJ1229" s="184"/>
      <c r="AK1229" s="184"/>
      <c r="AL1229" s="184"/>
      <c r="AM1229" s="184"/>
      <c r="AN1229" s="184"/>
      <c r="AO1229" s="185"/>
      <c r="AP1229" s="186"/>
      <c r="AQ1229" s="184"/>
      <c r="AR1229" s="184"/>
      <c r="AS1229" s="187"/>
      <c r="AT1229" s="188"/>
    </row>
    <row r="1230" customFormat="false" ht="12.75" hidden="false" customHeight="true" outlineLevel="0" collapsed="false">
      <c r="B1230" s="122"/>
      <c r="C1230" s="123"/>
      <c r="D1230" s="124"/>
      <c r="E1230" s="124"/>
      <c r="F1230" s="125"/>
      <c r="G1230" s="171"/>
      <c r="H1230" s="171"/>
      <c r="I1230" s="172"/>
      <c r="J1230" s="171"/>
      <c r="K1230" s="171"/>
      <c r="L1230" s="171"/>
      <c r="M1230" s="171"/>
      <c r="N1230" s="171"/>
      <c r="O1230" s="171"/>
      <c r="P1230" s="171"/>
      <c r="Q1230" s="171"/>
      <c r="R1230" s="171"/>
      <c r="S1230" s="171"/>
      <c r="T1230" s="173"/>
      <c r="U1230" s="174"/>
      <c r="V1230" s="175"/>
      <c r="W1230" s="175"/>
      <c r="X1230" s="175"/>
      <c r="Y1230" s="175"/>
      <c r="Z1230" s="175"/>
      <c r="AA1230" s="175"/>
      <c r="AB1230" s="175"/>
      <c r="AC1230" s="175"/>
      <c r="AD1230" s="175"/>
      <c r="AE1230" s="175"/>
      <c r="AF1230" s="175"/>
      <c r="AG1230" s="175"/>
      <c r="AH1230" s="175"/>
      <c r="AI1230" s="175"/>
      <c r="AJ1230" s="175"/>
      <c r="AK1230" s="175"/>
      <c r="AL1230" s="175"/>
      <c r="AM1230" s="175"/>
      <c r="AN1230" s="175"/>
      <c r="AO1230" s="176"/>
      <c r="AP1230" s="177"/>
      <c r="AQ1230" s="175"/>
      <c r="AR1230" s="175"/>
      <c r="AS1230" s="178"/>
      <c r="AT1230" s="179"/>
    </row>
    <row r="1231" customFormat="false" ht="12.75" hidden="false" customHeight="true" outlineLevel="0" collapsed="false">
      <c r="B1231" s="122"/>
      <c r="C1231" s="123"/>
      <c r="D1231" s="124"/>
      <c r="E1231" s="124"/>
      <c r="F1231" s="125"/>
      <c r="G1231" s="171"/>
      <c r="H1231" s="171"/>
      <c r="I1231" s="172"/>
      <c r="J1231" s="171"/>
      <c r="K1231" s="171"/>
      <c r="L1231" s="171"/>
      <c r="M1231" s="171"/>
      <c r="N1231" s="171"/>
      <c r="O1231" s="171"/>
      <c r="P1231" s="171"/>
      <c r="Q1231" s="171"/>
      <c r="R1231" s="171"/>
      <c r="S1231" s="171"/>
      <c r="T1231" s="173"/>
      <c r="U1231" s="174"/>
      <c r="V1231" s="175"/>
      <c r="W1231" s="175"/>
      <c r="X1231" s="175"/>
      <c r="Y1231" s="175"/>
      <c r="Z1231" s="175"/>
      <c r="AA1231" s="175"/>
      <c r="AB1231" s="175"/>
      <c r="AC1231" s="175"/>
      <c r="AD1231" s="175"/>
      <c r="AE1231" s="175"/>
      <c r="AF1231" s="175"/>
      <c r="AG1231" s="175"/>
      <c r="AH1231" s="175"/>
      <c r="AI1231" s="175"/>
      <c r="AJ1231" s="175"/>
      <c r="AK1231" s="175"/>
      <c r="AL1231" s="175"/>
      <c r="AM1231" s="175"/>
      <c r="AN1231" s="175"/>
      <c r="AO1231" s="176"/>
      <c r="AP1231" s="177"/>
      <c r="AQ1231" s="175"/>
      <c r="AR1231" s="175"/>
      <c r="AS1231" s="178"/>
      <c r="AT1231" s="179"/>
    </row>
    <row r="1232" customFormat="false" ht="12.75" hidden="false" customHeight="true" outlineLevel="0" collapsed="false">
      <c r="B1232" s="122"/>
      <c r="C1232" s="123"/>
      <c r="D1232" s="124"/>
      <c r="E1232" s="124"/>
      <c r="F1232" s="125"/>
      <c r="G1232" s="171"/>
      <c r="H1232" s="171"/>
      <c r="I1232" s="172"/>
      <c r="J1232" s="171"/>
      <c r="K1232" s="171"/>
      <c r="L1232" s="171"/>
      <c r="M1232" s="171"/>
      <c r="N1232" s="171"/>
      <c r="O1232" s="171"/>
      <c r="P1232" s="171"/>
      <c r="Q1232" s="171"/>
      <c r="R1232" s="171"/>
      <c r="S1232" s="171"/>
      <c r="T1232" s="173"/>
      <c r="U1232" s="174"/>
      <c r="V1232" s="175"/>
      <c r="W1232" s="175"/>
      <c r="X1232" s="175"/>
      <c r="Y1232" s="175"/>
      <c r="Z1232" s="175"/>
      <c r="AA1232" s="175"/>
      <c r="AB1232" s="175"/>
      <c r="AC1232" s="175"/>
      <c r="AD1232" s="175"/>
      <c r="AE1232" s="175"/>
      <c r="AF1232" s="175"/>
      <c r="AG1232" s="175"/>
      <c r="AH1232" s="175"/>
      <c r="AI1232" s="175"/>
      <c r="AJ1232" s="175"/>
      <c r="AK1232" s="175"/>
      <c r="AL1232" s="175"/>
      <c r="AM1232" s="175"/>
      <c r="AN1232" s="175"/>
      <c r="AO1232" s="176"/>
      <c r="AP1232" s="177"/>
      <c r="AQ1232" s="175"/>
      <c r="AR1232" s="175"/>
      <c r="AS1232" s="178"/>
      <c r="AT1232" s="179"/>
    </row>
    <row r="1233" customFormat="false" ht="12.75" hidden="false" customHeight="true" outlineLevel="0" collapsed="false">
      <c r="B1233" s="122"/>
      <c r="C1233" s="123"/>
      <c r="D1233" s="124"/>
      <c r="E1233" s="124"/>
      <c r="F1233" s="125"/>
      <c r="G1233" s="171"/>
      <c r="H1233" s="171"/>
      <c r="I1233" s="172"/>
      <c r="J1233" s="171"/>
      <c r="K1233" s="171"/>
      <c r="L1233" s="171"/>
      <c r="M1233" s="171"/>
      <c r="N1233" s="171"/>
      <c r="O1233" s="171"/>
      <c r="P1233" s="171"/>
      <c r="Q1233" s="171"/>
      <c r="R1233" s="171"/>
      <c r="S1233" s="171"/>
      <c r="T1233" s="173"/>
      <c r="U1233" s="174"/>
      <c r="V1233" s="175"/>
      <c r="W1233" s="175"/>
      <c r="X1233" s="175"/>
      <c r="Y1233" s="175"/>
      <c r="Z1233" s="175"/>
      <c r="AA1233" s="175"/>
      <c r="AB1233" s="175"/>
      <c r="AC1233" s="175"/>
      <c r="AD1233" s="175"/>
      <c r="AE1233" s="175"/>
      <c r="AF1233" s="175"/>
      <c r="AG1233" s="175"/>
      <c r="AH1233" s="175"/>
      <c r="AI1233" s="175"/>
      <c r="AJ1233" s="175"/>
      <c r="AK1233" s="175"/>
      <c r="AL1233" s="175"/>
      <c r="AM1233" s="175"/>
      <c r="AN1233" s="175"/>
      <c r="AO1233" s="176"/>
      <c r="AP1233" s="177"/>
      <c r="AQ1233" s="175"/>
      <c r="AR1233" s="175"/>
      <c r="AS1233" s="178"/>
      <c r="AT1233" s="179"/>
    </row>
    <row r="1234" customFormat="false" ht="12.75" hidden="false" customHeight="true" outlineLevel="0" collapsed="false">
      <c r="B1234" s="141"/>
      <c r="C1234" s="132"/>
      <c r="D1234" s="133"/>
      <c r="E1234" s="133"/>
      <c r="F1234" s="134"/>
      <c r="G1234" s="180"/>
      <c r="H1234" s="180"/>
      <c r="I1234" s="181"/>
      <c r="J1234" s="180"/>
      <c r="K1234" s="180"/>
      <c r="L1234" s="180"/>
      <c r="M1234" s="180"/>
      <c r="N1234" s="180"/>
      <c r="O1234" s="180"/>
      <c r="P1234" s="180"/>
      <c r="Q1234" s="180"/>
      <c r="R1234" s="180"/>
      <c r="S1234" s="180"/>
      <c r="T1234" s="182"/>
      <c r="U1234" s="183"/>
      <c r="V1234" s="184"/>
      <c r="W1234" s="184"/>
      <c r="X1234" s="184"/>
      <c r="Y1234" s="184"/>
      <c r="Z1234" s="184"/>
      <c r="AA1234" s="184"/>
      <c r="AB1234" s="184"/>
      <c r="AC1234" s="184"/>
      <c r="AD1234" s="184"/>
      <c r="AE1234" s="184"/>
      <c r="AF1234" s="184"/>
      <c r="AG1234" s="184"/>
      <c r="AH1234" s="184"/>
      <c r="AI1234" s="184"/>
      <c r="AJ1234" s="184"/>
      <c r="AK1234" s="184"/>
      <c r="AL1234" s="184"/>
      <c r="AM1234" s="184"/>
      <c r="AN1234" s="184"/>
      <c r="AO1234" s="185"/>
      <c r="AP1234" s="186"/>
      <c r="AQ1234" s="184"/>
      <c r="AR1234" s="184"/>
      <c r="AS1234" s="187"/>
      <c r="AT1234" s="188"/>
    </row>
    <row r="1235" customFormat="false" ht="12.75" hidden="false" customHeight="true" outlineLevel="0" collapsed="false">
      <c r="B1235" s="122"/>
      <c r="C1235" s="123"/>
      <c r="D1235" s="124"/>
      <c r="E1235" s="124"/>
      <c r="F1235" s="125"/>
      <c r="G1235" s="171"/>
      <c r="H1235" s="171"/>
      <c r="I1235" s="172"/>
      <c r="J1235" s="171"/>
      <c r="K1235" s="171"/>
      <c r="L1235" s="171"/>
      <c r="M1235" s="171"/>
      <c r="N1235" s="171"/>
      <c r="O1235" s="171"/>
      <c r="P1235" s="171"/>
      <c r="Q1235" s="171"/>
      <c r="R1235" s="171"/>
      <c r="S1235" s="171"/>
      <c r="T1235" s="173"/>
      <c r="U1235" s="174"/>
      <c r="V1235" s="175"/>
      <c r="W1235" s="175"/>
      <c r="X1235" s="175"/>
      <c r="Y1235" s="175"/>
      <c r="Z1235" s="175"/>
      <c r="AA1235" s="175"/>
      <c r="AB1235" s="175"/>
      <c r="AC1235" s="175"/>
      <c r="AD1235" s="175"/>
      <c r="AE1235" s="175"/>
      <c r="AF1235" s="175"/>
      <c r="AG1235" s="175"/>
      <c r="AH1235" s="175"/>
      <c r="AI1235" s="175"/>
      <c r="AJ1235" s="175"/>
      <c r="AK1235" s="175"/>
      <c r="AL1235" s="175"/>
      <c r="AM1235" s="175"/>
      <c r="AN1235" s="175"/>
      <c r="AO1235" s="176"/>
      <c r="AP1235" s="177"/>
      <c r="AQ1235" s="175"/>
      <c r="AR1235" s="175"/>
      <c r="AS1235" s="178"/>
      <c r="AT1235" s="179"/>
    </row>
    <row r="1236" customFormat="false" ht="12.75" hidden="false" customHeight="true" outlineLevel="0" collapsed="false">
      <c r="B1236" s="122"/>
      <c r="C1236" s="123"/>
      <c r="D1236" s="124"/>
      <c r="E1236" s="124"/>
      <c r="F1236" s="125"/>
      <c r="G1236" s="171"/>
      <c r="H1236" s="171"/>
      <c r="I1236" s="172"/>
      <c r="J1236" s="171"/>
      <c r="K1236" s="171"/>
      <c r="L1236" s="171"/>
      <c r="M1236" s="171"/>
      <c r="N1236" s="171"/>
      <c r="O1236" s="171"/>
      <c r="P1236" s="171"/>
      <c r="Q1236" s="171"/>
      <c r="R1236" s="171"/>
      <c r="S1236" s="171"/>
      <c r="T1236" s="173"/>
      <c r="U1236" s="174"/>
      <c r="V1236" s="175"/>
      <c r="W1236" s="175"/>
      <c r="X1236" s="175"/>
      <c r="Y1236" s="175"/>
      <c r="Z1236" s="175"/>
      <c r="AA1236" s="175"/>
      <c r="AB1236" s="175"/>
      <c r="AC1236" s="175"/>
      <c r="AD1236" s="175"/>
      <c r="AE1236" s="175"/>
      <c r="AF1236" s="175"/>
      <c r="AG1236" s="175"/>
      <c r="AH1236" s="175"/>
      <c r="AI1236" s="175"/>
      <c r="AJ1236" s="175"/>
      <c r="AK1236" s="175"/>
      <c r="AL1236" s="175"/>
      <c r="AM1236" s="175"/>
      <c r="AN1236" s="175"/>
      <c r="AO1236" s="176"/>
      <c r="AP1236" s="177"/>
      <c r="AQ1236" s="175"/>
      <c r="AR1236" s="175"/>
      <c r="AS1236" s="178"/>
      <c r="AT1236" s="179"/>
    </row>
    <row r="1237" customFormat="false" ht="12.75" hidden="false" customHeight="true" outlineLevel="0" collapsed="false">
      <c r="B1237" s="122"/>
      <c r="C1237" s="123"/>
      <c r="D1237" s="124"/>
      <c r="E1237" s="124"/>
      <c r="F1237" s="125"/>
      <c r="G1237" s="171"/>
      <c r="H1237" s="171"/>
      <c r="I1237" s="172"/>
      <c r="J1237" s="171"/>
      <c r="K1237" s="171"/>
      <c r="L1237" s="171"/>
      <c r="M1237" s="171"/>
      <c r="N1237" s="171"/>
      <c r="O1237" s="171"/>
      <c r="P1237" s="171"/>
      <c r="Q1237" s="171"/>
      <c r="R1237" s="171"/>
      <c r="S1237" s="171"/>
      <c r="T1237" s="173"/>
      <c r="U1237" s="174"/>
      <c r="V1237" s="175"/>
      <c r="W1237" s="175"/>
      <c r="X1237" s="175"/>
      <c r="Y1237" s="175"/>
      <c r="Z1237" s="175"/>
      <c r="AA1237" s="175"/>
      <c r="AB1237" s="175"/>
      <c r="AC1237" s="175"/>
      <c r="AD1237" s="175"/>
      <c r="AE1237" s="175"/>
      <c r="AF1237" s="175"/>
      <c r="AG1237" s="175"/>
      <c r="AH1237" s="175"/>
      <c r="AI1237" s="175"/>
      <c r="AJ1237" s="175"/>
      <c r="AK1237" s="175"/>
      <c r="AL1237" s="175"/>
      <c r="AM1237" s="175"/>
      <c r="AN1237" s="175"/>
      <c r="AO1237" s="176"/>
      <c r="AP1237" s="177"/>
      <c r="AQ1237" s="175"/>
      <c r="AR1237" s="175"/>
      <c r="AS1237" s="178"/>
      <c r="AT1237" s="179"/>
    </row>
    <row r="1238" customFormat="false" ht="12.75" hidden="false" customHeight="true" outlineLevel="0" collapsed="false">
      <c r="B1238" s="122"/>
      <c r="C1238" s="123"/>
      <c r="D1238" s="124"/>
      <c r="E1238" s="124"/>
      <c r="F1238" s="125"/>
      <c r="G1238" s="171"/>
      <c r="H1238" s="171"/>
      <c r="I1238" s="172"/>
      <c r="J1238" s="171"/>
      <c r="K1238" s="171"/>
      <c r="L1238" s="171"/>
      <c r="M1238" s="171"/>
      <c r="N1238" s="171"/>
      <c r="O1238" s="171"/>
      <c r="P1238" s="171"/>
      <c r="Q1238" s="171"/>
      <c r="R1238" s="171"/>
      <c r="S1238" s="171"/>
      <c r="T1238" s="173"/>
      <c r="U1238" s="174"/>
      <c r="V1238" s="175"/>
      <c r="W1238" s="175"/>
      <c r="X1238" s="175"/>
      <c r="Y1238" s="175"/>
      <c r="Z1238" s="175"/>
      <c r="AA1238" s="175"/>
      <c r="AB1238" s="175"/>
      <c r="AC1238" s="175"/>
      <c r="AD1238" s="175"/>
      <c r="AE1238" s="175"/>
      <c r="AF1238" s="175"/>
      <c r="AG1238" s="175"/>
      <c r="AH1238" s="175"/>
      <c r="AI1238" s="175"/>
      <c r="AJ1238" s="175"/>
      <c r="AK1238" s="175"/>
      <c r="AL1238" s="175"/>
      <c r="AM1238" s="175"/>
      <c r="AN1238" s="175"/>
      <c r="AO1238" s="176"/>
      <c r="AP1238" s="177"/>
      <c r="AQ1238" s="175"/>
      <c r="AR1238" s="175"/>
      <c r="AS1238" s="178"/>
      <c r="AT1238" s="179"/>
    </row>
    <row r="1239" customFormat="false" ht="12.75" hidden="false" customHeight="true" outlineLevel="0" collapsed="false">
      <c r="B1239" s="141"/>
      <c r="C1239" s="132"/>
      <c r="D1239" s="133"/>
      <c r="E1239" s="133"/>
      <c r="F1239" s="134"/>
      <c r="G1239" s="180"/>
      <c r="H1239" s="180"/>
      <c r="I1239" s="181"/>
      <c r="J1239" s="180"/>
      <c r="K1239" s="180"/>
      <c r="L1239" s="180"/>
      <c r="M1239" s="180"/>
      <c r="N1239" s="180"/>
      <c r="O1239" s="180"/>
      <c r="P1239" s="180"/>
      <c r="Q1239" s="180"/>
      <c r="R1239" s="180"/>
      <c r="S1239" s="180"/>
      <c r="T1239" s="182"/>
      <c r="U1239" s="183"/>
      <c r="V1239" s="184"/>
      <c r="W1239" s="184"/>
      <c r="X1239" s="184"/>
      <c r="Y1239" s="184"/>
      <c r="Z1239" s="184"/>
      <c r="AA1239" s="184"/>
      <c r="AB1239" s="184"/>
      <c r="AC1239" s="184"/>
      <c r="AD1239" s="184"/>
      <c r="AE1239" s="184"/>
      <c r="AF1239" s="184"/>
      <c r="AG1239" s="184"/>
      <c r="AH1239" s="184"/>
      <c r="AI1239" s="184"/>
      <c r="AJ1239" s="184"/>
      <c r="AK1239" s="184"/>
      <c r="AL1239" s="184"/>
      <c r="AM1239" s="184"/>
      <c r="AN1239" s="184"/>
      <c r="AO1239" s="185"/>
      <c r="AP1239" s="186"/>
      <c r="AQ1239" s="184"/>
      <c r="AR1239" s="184"/>
      <c r="AS1239" s="187"/>
      <c r="AT1239" s="188"/>
    </row>
    <row r="1240" customFormat="false" ht="12.75" hidden="false" customHeight="true" outlineLevel="0" collapsed="false">
      <c r="B1240" s="122"/>
      <c r="C1240" s="123"/>
      <c r="D1240" s="124"/>
      <c r="E1240" s="124"/>
      <c r="F1240" s="125"/>
      <c r="G1240" s="171"/>
      <c r="H1240" s="171"/>
      <c r="I1240" s="172"/>
      <c r="J1240" s="171"/>
      <c r="K1240" s="171"/>
      <c r="L1240" s="171"/>
      <c r="M1240" s="171"/>
      <c r="N1240" s="171"/>
      <c r="O1240" s="171"/>
      <c r="P1240" s="171"/>
      <c r="Q1240" s="171"/>
      <c r="R1240" s="171"/>
      <c r="S1240" s="171"/>
      <c r="T1240" s="173"/>
      <c r="U1240" s="174"/>
      <c r="V1240" s="175"/>
      <c r="W1240" s="175"/>
      <c r="X1240" s="175"/>
      <c r="Y1240" s="175"/>
      <c r="Z1240" s="175"/>
      <c r="AA1240" s="175"/>
      <c r="AB1240" s="175"/>
      <c r="AC1240" s="175"/>
      <c r="AD1240" s="175"/>
      <c r="AE1240" s="175"/>
      <c r="AF1240" s="175"/>
      <c r="AG1240" s="175"/>
      <c r="AH1240" s="175"/>
      <c r="AI1240" s="175"/>
      <c r="AJ1240" s="175"/>
      <c r="AK1240" s="175"/>
      <c r="AL1240" s="175"/>
      <c r="AM1240" s="175"/>
      <c r="AN1240" s="175"/>
      <c r="AO1240" s="176"/>
      <c r="AP1240" s="177"/>
      <c r="AQ1240" s="175"/>
      <c r="AR1240" s="175"/>
      <c r="AS1240" s="178"/>
      <c r="AT1240" s="179"/>
    </row>
    <row r="1241" customFormat="false" ht="12.75" hidden="false" customHeight="true" outlineLevel="0" collapsed="false">
      <c r="B1241" s="122"/>
      <c r="C1241" s="123"/>
      <c r="D1241" s="124"/>
      <c r="E1241" s="124"/>
      <c r="F1241" s="125"/>
      <c r="G1241" s="171"/>
      <c r="H1241" s="171"/>
      <c r="I1241" s="172"/>
      <c r="J1241" s="171"/>
      <c r="K1241" s="171"/>
      <c r="L1241" s="171"/>
      <c r="M1241" s="171"/>
      <c r="N1241" s="171"/>
      <c r="O1241" s="171"/>
      <c r="P1241" s="171"/>
      <c r="Q1241" s="171"/>
      <c r="R1241" s="171"/>
      <c r="S1241" s="171"/>
      <c r="T1241" s="173"/>
      <c r="U1241" s="174"/>
      <c r="V1241" s="175"/>
      <c r="W1241" s="175"/>
      <c r="X1241" s="175"/>
      <c r="Y1241" s="175"/>
      <c r="Z1241" s="175"/>
      <c r="AA1241" s="175"/>
      <c r="AB1241" s="175"/>
      <c r="AC1241" s="175"/>
      <c r="AD1241" s="175"/>
      <c r="AE1241" s="175"/>
      <c r="AF1241" s="175"/>
      <c r="AG1241" s="175"/>
      <c r="AH1241" s="175"/>
      <c r="AI1241" s="175"/>
      <c r="AJ1241" s="175"/>
      <c r="AK1241" s="175"/>
      <c r="AL1241" s="175"/>
      <c r="AM1241" s="175"/>
      <c r="AN1241" s="175"/>
      <c r="AO1241" s="176"/>
      <c r="AP1241" s="177"/>
      <c r="AQ1241" s="175"/>
      <c r="AR1241" s="175"/>
      <c r="AS1241" s="178"/>
      <c r="AT1241" s="179"/>
    </row>
    <row r="1242" customFormat="false" ht="12.75" hidden="false" customHeight="true" outlineLevel="0" collapsed="false">
      <c r="B1242" s="122"/>
      <c r="C1242" s="123"/>
      <c r="D1242" s="124"/>
      <c r="E1242" s="124"/>
      <c r="F1242" s="125"/>
      <c r="G1242" s="171"/>
      <c r="H1242" s="171"/>
      <c r="I1242" s="172"/>
      <c r="J1242" s="171"/>
      <c r="K1242" s="171"/>
      <c r="L1242" s="171"/>
      <c r="M1242" s="171"/>
      <c r="N1242" s="171"/>
      <c r="O1242" s="171"/>
      <c r="P1242" s="171"/>
      <c r="Q1242" s="171"/>
      <c r="R1242" s="171"/>
      <c r="S1242" s="171"/>
      <c r="T1242" s="173"/>
      <c r="U1242" s="174"/>
      <c r="V1242" s="175"/>
      <c r="W1242" s="175"/>
      <c r="X1242" s="175"/>
      <c r="Y1242" s="175"/>
      <c r="Z1242" s="175"/>
      <c r="AA1242" s="175"/>
      <c r="AB1242" s="175"/>
      <c r="AC1242" s="175"/>
      <c r="AD1242" s="175"/>
      <c r="AE1242" s="175"/>
      <c r="AF1242" s="175"/>
      <c r="AG1242" s="175"/>
      <c r="AH1242" s="175"/>
      <c r="AI1242" s="175"/>
      <c r="AJ1242" s="175"/>
      <c r="AK1242" s="175"/>
      <c r="AL1242" s="175"/>
      <c r="AM1242" s="175"/>
      <c r="AN1242" s="175"/>
      <c r="AO1242" s="176"/>
      <c r="AP1242" s="177"/>
      <c r="AQ1242" s="175"/>
      <c r="AR1242" s="175"/>
      <c r="AS1242" s="178"/>
      <c r="AT1242" s="179"/>
    </row>
    <row r="1243" customFormat="false" ht="12.75" hidden="false" customHeight="true" outlineLevel="0" collapsed="false">
      <c r="B1243" s="122"/>
      <c r="C1243" s="123"/>
      <c r="D1243" s="124"/>
      <c r="E1243" s="124"/>
      <c r="F1243" s="125"/>
      <c r="G1243" s="171"/>
      <c r="H1243" s="171"/>
      <c r="I1243" s="172"/>
      <c r="J1243" s="171"/>
      <c r="K1243" s="171"/>
      <c r="L1243" s="171"/>
      <c r="M1243" s="171"/>
      <c r="N1243" s="171"/>
      <c r="O1243" s="171"/>
      <c r="P1243" s="171"/>
      <c r="Q1243" s="171"/>
      <c r="R1243" s="171"/>
      <c r="S1243" s="171"/>
      <c r="T1243" s="173"/>
      <c r="U1243" s="174"/>
      <c r="V1243" s="175"/>
      <c r="W1243" s="175"/>
      <c r="X1243" s="175"/>
      <c r="Y1243" s="175"/>
      <c r="Z1243" s="175"/>
      <c r="AA1243" s="175"/>
      <c r="AB1243" s="175"/>
      <c r="AC1243" s="175"/>
      <c r="AD1243" s="175"/>
      <c r="AE1243" s="175"/>
      <c r="AF1243" s="175"/>
      <c r="AG1243" s="175"/>
      <c r="AH1243" s="175"/>
      <c r="AI1243" s="175"/>
      <c r="AJ1243" s="175"/>
      <c r="AK1243" s="175"/>
      <c r="AL1243" s="175"/>
      <c r="AM1243" s="175"/>
      <c r="AN1243" s="175"/>
      <c r="AO1243" s="176"/>
      <c r="AP1243" s="177"/>
      <c r="AQ1243" s="175"/>
      <c r="AR1243" s="175"/>
      <c r="AS1243" s="178"/>
      <c r="AT1243" s="179"/>
    </row>
    <row r="1244" customFormat="false" ht="12.75" hidden="false" customHeight="true" outlineLevel="0" collapsed="false">
      <c r="B1244" s="141"/>
      <c r="C1244" s="132"/>
      <c r="D1244" s="133"/>
      <c r="E1244" s="133"/>
      <c r="F1244" s="134"/>
      <c r="G1244" s="180"/>
      <c r="H1244" s="180"/>
      <c r="I1244" s="181"/>
      <c r="J1244" s="180"/>
      <c r="K1244" s="180"/>
      <c r="L1244" s="180"/>
      <c r="M1244" s="180"/>
      <c r="N1244" s="180"/>
      <c r="O1244" s="180"/>
      <c r="P1244" s="180"/>
      <c r="Q1244" s="180"/>
      <c r="R1244" s="180"/>
      <c r="S1244" s="180"/>
      <c r="T1244" s="182"/>
      <c r="U1244" s="183"/>
      <c r="V1244" s="184"/>
      <c r="W1244" s="184"/>
      <c r="X1244" s="184"/>
      <c r="Y1244" s="184"/>
      <c r="Z1244" s="184"/>
      <c r="AA1244" s="184"/>
      <c r="AB1244" s="184"/>
      <c r="AC1244" s="184"/>
      <c r="AD1244" s="184"/>
      <c r="AE1244" s="184"/>
      <c r="AF1244" s="184"/>
      <c r="AG1244" s="184"/>
      <c r="AH1244" s="184"/>
      <c r="AI1244" s="184"/>
      <c r="AJ1244" s="184"/>
      <c r="AK1244" s="184"/>
      <c r="AL1244" s="184"/>
      <c r="AM1244" s="184"/>
      <c r="AN1244" s="184"/>
      <c r="AO1244" s="185"/>
      <c r="AP1244" s="186"/>
      <c r="AQ1244" s="184"/>
      <c r="AR1244" s="184"/>
      <c r="AS1244" s="187"/>
      <c r="AT1244" s="188"/>
    </row>
    <row r="1245" customFormat="false" ht="12.75" hidden="false" customHeight="true" outlineLevel="0" collapsed="false">
      <c r="B1245" s="122"/>
      <c r="C1245" s="123"/>
      <c r="D1245" s="124"/>
      <c r="E1245" s="124"/>
      <c r="F1245" s="125"/>
      <c r="G1245" s="171"/>
      <c r="H1245" s="171"/>
      <c r="I1245" s="172"/>
      <c r="J1245" s="171"/>
      <c r="K1245" s="171"/>
      <c r="L1245" s="171"/>
      <c r="M1245" s="171"/>
      <c r="N1245" s="171"/>
      <c r="O1245" s="171"/>
      <c r="P1245" s="171"/>
      <c r="Q1245" s="171"/>
      <c r="R1245" s="171"/>
      <c r="S1245" s="171"/>
      <c r="T1245" s="173"/>
      <c r="U1245" s="174"/>
      <c r="V1245" s="175"/>
      <c r="W1245" s="175"/>
      <c r="X1245" s="175"/>
      <c r="Y1245" s="175"/>
      <c r="Z1245" s="175"/>
      <c r="AA1245" s="175"/>
      <c r="AB1245" s="175"/>
      <c r="AC1245" s="175"/>
      <c r="AD1245" s="175"/>
      <c r="AE1245" s="175"/>
      <c r="AF1245" s="175"/>
      <c r="AG1245" s="175"/>
      <c r="AH1245" s="175"/>
      <c r="AI1245" s="175"/>
      <c r="AJ1245" s="175"/>
      <c r="AK1245" s="175"/>
      <c r="AL1245" s="175"/>
      <c r="AM1245" s="175"/>
      <c r="AN1245" s="175"/>
      <c r="AO1245" s="176"/>
      <c r="AP1245" s="177"/>
      <c r="AQ1245" s="175"/>
      <c r="AR1245" s="175"/>
      <c r="AS1245" s="178"/>
      <c r="AT1245" s="179"/>
    </row>
    <row r="1246" customFormat="false" ht="12.75" hidden="false" customHeight="true" outlineLevel="0" collapsed="false">
      <c r="B1246" s="122"/>
      <c r="C1246" s="123"/>
      <c r="D1246" s="124"/>
      <c r="E1246" s="124"/>
      <c r="F1246" s="125"/>
      <c r="G1246" s="171"/>
      <c r="H1246" s="171"/>
      <c r="I1246" s="172"/>
      <c r="J1246" s="171"/>
      <c r="K1246" s="171"/>
      <c r="L1246" s="171"/>
      <c r="M1246" s="171"/>
      <c r="N1246" s="171"/>
      <c r="O1246" s="171"/>
      <c r="P1246" s="171"/>
      <c r="Q1246" s="171"/>
      <c r="R1246" s="171"/>
      <c r="S1246" s="171"/>
      <c r="T1246" s="173"/>
      <c r="U1246" s="174"/>
      <c r="V1246" s="175"/>
      <c r="W1246" s="175"/>
      <c r="X1246" s="175"/>
      <c r="Y1246" s="175"/>
      <c r="Z1246" s="175"/>
      <c r="AA1246" s="175"/>
      <c r="AB1246" s="175"/>
      <c r="AC1246" s="175"/>
      <c r="AD1246" s="175"/>
      <c r="AE1246" s="175"/>
      <c r="AF1246" s="175"/>
      <c r="AG1246" s="175"/>
      <c r="AH1246" s="175"/>
      <c r="AI1246" s="175"/>
      <c r="AJ1246" s="175"/>
      <c r="AK1246" s="175"/>
      <c r="AL1246" s="175"/>
      <c r="AM1246" s="175"/>
      <c r="AN1246" s="175"/>
      <c r="AO1246" s="176"/>
      <c r="AP1246" s="177"/>
      <c r="AQ1246" s="175"/>
      <c r="AR1246" s="175"/>
      <c r="AS1246" s="178"/>
      <c r="AT1246" s="179"/>
    </row>
    <row r="1247" customFormat="false" ht="12.75" hidden="false" customHeight="true" outlineLevel="0" collapsed="false">
      <c r="B1247" s="122"/>
      <c r="C1247" s="123"/>
      <c r="D1247" s="124"/>
      <c r="E1247" s="124"/>
      <c r="F1247" s="125"/>
      <c r="G1247" s="171"/>
      <c r="H1247" s="171"/>
      <c r="I1247" s="172"/>
      <c r="J1247" s="171"/>
      <c r="K1247" s="171"/>
      <c r="L1247" s="171"/>
      <c r="M1247" s="171"/>
      <c r="N1247" s="171"/>
      <c r="O1247" s="171"/>
      <c r="P1247" s="171"/>
      <c r="Q1247" s="171"/>
      <c r="R1247" s="171"/>
      <c r="S1247" s="171"/>
      <c r="T1247" s="173"/>
      <c r="U1247" s="174"/>
      <c r="V1247" s="175"/>
      <c r="W1247" s="175"/>
      <c r="X1247" s="175"/>
      <c r="Y1247" s="175"/>
      <c r="Z1247" s="175"/>
      <c r="AA1247" s="175"/>
      <c r="AB1247" s="175"/>
      <c r="AC1247" s="175"/>
      <c r="AD1247" s="175"/>
      <c r="AE1247" s="175"/>
      <c r="AF1247" s="175"/>
      <c r="AG1247" s="175"/>
      <c r="AH1247" s="175"/>
      <c r="AI1247" s="175"/>
      <c r="AJ1247" s="175"/>
      <c r="AK1247" s="175"/>
      <c r="AL1247" s="175"/>
      <c r="AM1247" s="175"/>
      <c r="AN1247" s="175"/>
      <c r="AO1247" s="176"/>
      <c r="AP1247" s="177"/>
      <c r="AQ1247" s="175"/>
      <c r="AR1247" s="175"/>
      <c r="AS1247" s="178"/>
      <c r="AT1247" s="179"/>
    </row>
    <row r="1248" customFormat="false" ht="12.75" hidden="false" customHeight="true" outlineLevel="0" collapsed="false">
      <c r="B1248" s="141"/>
      <c r="C1248" s="132"/>
      <c r="D1248" s="133"/>
      <c r="E1248" s="133"/>
      <c r="F1248" s="134"/>
      <c r="G1248" s="180"/>
      <c r="H1248" s="180"/>
      <c r="I1248" s="181"/>
      <c r="J1248" s="180"/>
      <c r="K1248" s="180"/>
      <c r="L1248" s="180"/>
      <c r="M1248" s="180"/>
      <c r="N1248" s="180"/>
      <c r="O1248" s="180"/>
      <c r="P1248" s="180"/>
      <c r="Q1248" s="180"/>
      <c r="R1248" s="180"/>
      <c r="S1248" s="180"/>
      <c r="T1248" s="182"/>
      <c r="U1248" s="183"/>
      <c r="V1248" s="184"/>
      <c r="W1248" s="184"/>
      <c r="X1248" s="184"/>
      <c r="Y1248" s="184"/>
      <c r="Z1248" s="184"/>
      <c r="AA1248" s="184"/>
      <c r="AB1248" s="184"/>
      <c r="AC1248" s="184"/>
      <c r="AD1248" s="184"/>
      <c r="AE1248" s="184"/>
      <c r="AF1248" s="184"/>
      <c r="AG1248" s="184"/>
      <c r="AH1248" s="184"/>
      <c r="AI1248" s="184"/>
      <c r="AJ1248" s="184"/>
      <c r="AK1248" s="184"/>
      <c r="AL1248" s="184"/>
      <c r="AM1248" s="184"/>
      <c r="AN1248" s="184"/>
      <c r="AO1248" s="185"/>
      <c r="AP1248" s="186"/>
      <c r="AQ1248" s="184"/>
      <c r="AR1248" s="184"/>
      <c r="AS1248" s="187"/>
      <c r="AT1248" s="188"/>
    </row>
    <row r="1249" customFormat="false" ht="12.75" hidden="false" customHeight="true" outlineLevel="0" collapsed="false">
      <c r="B1249" s="122"/>
      <c r="C1249" s="123"/>
      <c r="D1249" s="124"/>
      <c r="E1249" s="124"/>
      <c r="F1249" s="125"/>
      <c r="G1249" s="171"/>
      <c r="H1249" s="171"/>
      <c r="I1249" s="172"/>
      <c r="J1249" s="171"/>
      <c r="K1249" s="171"/>
      <c r="L1249" s="171"/>
      <c r="M1249" s="171"/>
      <c r="N1249" s="171"/>
      <c r="O1249" s="171"/>
      <c r="P1249" s="171"/>
      <c r="Q1249" s="171"/>
      <c r="R1249" s="171"/>
      <c r="S1249" s="171"/>
      <c r="T1249" s="173"/>
      <c r="U1249" s="174"/>
      <c r="V1249" s="175"/>
      <c r="W1249" s="175"/>
      <c r="X1249" s="175"/>
      <c r="Y1249" s="175"/>
      <c r="Z1249" s="175"/>
      <c r="AA1249" s="175"/>
      <c r="AB1249" s="175"/>
      <c r="AC1249" s="175"/>
      <c r="AD1249" s="175"/>
      <c r="AE1249" s="175"/>
      <c r="AF1249" s="175"/>
      <c r="AG1249" s="175"/>
      <c r="AH1249" s="175"/>
      <c r="AI1249" s="175"/>
      <c r="AJ1249" s="175"/>
      <c r="AK1249" s="175"/>
      <c r="AL1249" s="175"/>
      <c r="AM1249" s="175"/>
      <c r="AN1249" s="175"/>
      <c r="AO1249" s="176"/>
      <c r="AP1249" s="177"/>
      <c r="AQ1249" s="175"/>
      <c r="AR1249" s="175"/>
      <c r="AS1249" s="178"/>
      <c r="AT1249" s="179"/>
    </row>
    <row r="1250" customFormat="false" ht="12.75" hidden="false" customHeight="true" outlineLevel="0" collapsed="false">
      <c r="B1250" s="122"/>
      <c r="C1250" s="123"/>
      <c r="D1250" s="124"/>
      <c r="E1250" s="124"/>
      <c r="F1250" s="125"/>
      <c r="G1250" s="171"/>
      <c r="H1250" s="171"/>
      <c r="I1250" s="172"/>
      <c r="J1250" s="171"/>
      <c r="K1250" s="171"/>
      <c r="L1250" s="171"/>
      <c r="M1250" s="171"/>
      <c r="N1250" s="171"/>
      <c r="O1250" s="171"/>
      <c r="P1250" s="171"/>
      <c r="Q1250" s="171"/>
      <c r="R1250" s="171"/>
      <c r="S1250" s="171"/>
      <c r="T1250" s="173"/>
      <c r="U1250" s="174"/>
      <c r="V1250" s="175"/>
      <c r="W1250" s="175"/>
      <c r="X1250" s="175"/>
      <c r="Y1250" s="175"/>
      <c r="Z1250" s="175"/>
      <c r="AA1250" s="175"/>
      <c r="AB1250" s="175"/>
      <c r="AC1250" s="175"/>
      <c r="AD1250" s="175"/>
      <c r="AE1250" s="175"/>
      <c r="AF1250" s="175"/>
      <c r="AG1250" s="175"/>
      <c r="AH1250" s="175"/>
      <c r="AI1250" s="175"/>
      <c r="AJ1250" s="175"/>
      <c r="AK1250" s="175"/>
      <c r="AL1250" s="175"/>
      <c r="AM1250" s="175"/>
      <c r="AN1250" s="175"/>
      <c r="AO1250" s="176"/>
      <c r="AP1250" s="177"/>
      <c r="AQ1250" s="175"/>
      <c r="AR1250" s="175"/>
      <c r="AS1250" s="178"/>
      <c r="AT1250" s="179"/>
    </row>
    <row r="1251" customFormat="false" ht="12.75" hidden="false" customHeight="true" outlineLevel="0" collapsed="false">
      <c r="B1251" s="122"/>
      <c r="C1251" s="123"/>
      <c r="D1251" s="124"/>
      <c r="E1251" s="124"/>
      <c r="F1251" s="125"/>
      <c r="G1251" s="171"/>
      <c r="H1251" s="171"/>
      <c r="I1251" s="172"/>
      <c r="J1251" s="171"/>
      <c r="K1251" s="171"/>
      <c r="L1251" s="171"/>
      <c r="M1251" s="171"/>
      <c r="N1251" s="171"/>
      <c r="O1251" s="171"/>
      <c r="P1251" s="171"/>
      <c r="Q1251" s="171"/>
      <c r="R1251" s="171"/>
      <c r="S1251" s="171"/>
      <c r="T1251" s="173"/>
      <c r="U1251" s="174"/>
      <c r="V1251" s="175"/>
      <c r="W1251" s="175"/>
      <c r="X1251" s="175"/>
      <c r="Y1251" s="175"/>
      <c r="Z1251" s="175"/>
      <c r="AA1251" s="175"/>
      <c r="AB1251" s="175"/>
      <c r="AC1251" s="175"/>
      <c r="AD1251" s="175"/>
      <c r="AE1251" s="175"/>
      <c r="AF1251" s="175"/>
      <c r="AG1251" s="175"/>
      <c r="AH1251" s="175"/>
      <c r="AI1251" s="175"/>
      <c r="AJ1251" s="175"/>
      <c r="AK1251" s="175"/>
      <c r="AL1251" s="175"/>
      <c r="AM1251" s="175"/>
      <c r="AN1251" s="175"/>
      <c r="AO1251" s="176"/>
      <c r="AP1251" s="177"/>
      <c r="AQ1251" s="175"/>
      <c r="AR1251" s="175"/>
      <c r="AS1251" s="178"/>
      <c r="AT1251" s="179"/>
    </row>
    <row r="1252" customFormat="false" ht="12.75" hidden="false" customHeight="true" outlineLevel="0" collapsed="false">
      <c r="B1252" s="122"/>
      <c r="C1252" s="123"/>
      <c r="D1252" s="124"/>
      <c r="E1252" s="124"/>
      <c r="F1252" s="125"/>
      <c r="G1252" s="171"/>
      <c r="H1252" s="171"/>
      <c r="I1252" s="172"/>
      <c r="J1252" s="171"/>
      <c r="K1252" s="171"/>
      <c r="L1252" s="171"/>
      <c r="M1252" s="171"/>
      <c r="N1252" s="171"/>
      <c r="O1252" s="171"/>
      <c r="P1252" s="171"/>
      <c r="Q1252" s="171"/>
      <c r="R1252" s="171"/>
      <c r="S1252" s="171"/>
      <c r="T1252" s="173"/>
      <c r="U1252" s="174"/>
      <c r="V1252" s="175"/>
      <c r="W1252" s="175"/>
      <c r="X1252" s="175"/>
      <c r="Y1252" s="175"/>
      <c r="Z1252" s="175"/>
      <c r="AA1252" s="175"/>
      <c r="AB1252" s="175"/>
      <c r="AC1252" s="175"/>
      <c r="AD1252" s="175"/>
      <c r="AE1252" s="175"/>
      <c r="AF1252" s="175"/>
      <c r="AG1252" s="175"/>
      <c r="AH1252" s="175"/>
      <c r="AI1252" s="175"/>
      <c r="AJ1252" s="175"/>
      <c r="AK1252" s="175"/>
      <c r="AL1252" s="175"/>
      <c r="AM1252" s="175"/>
      <c r="AN1252" s="175"/>
      <c r="AO1252" s="176"/>
      <c r="AP1252" s="177"/>
      <c r="AQ1252" s="175"/>
      <c r="AR1252" s="175"/>
      <c r="AS1252" s="178"/>
      <c r="AT1252" s="179"/>
    </row>
    <row r="1253" customFormat="false" ht="12.75" hidden="false" customHeight="true" outlineLevel="0" collapsed="false">
      <c r="B1253" s="141"/>
      <c r="C1253" s="132"/>
      <c r="D1253" s="133"/>
      <c r="E1253" s="133"/>
      <c r="F1253" s="134"/>
      <c r="G1253" s="180"/>
      <c r="H1253" s="180"/>
      <c r="I1253" s="181"/>
      <c r="J1253" s="180"/>
      <c r="K1253" s="180"/>
      <c r="L1253" s="180"/>
      <c r="M1253" s="180"/>
      <c r="N1253" s="180"/>
      <c r="O1253" s="180"/>
      <c r="P1253" s="180"/>
      <c r="Q1253" s="180"/>
      <c r="R1253" s="180"/>
      <c r="S1253" s="180"/>
      <c r="T1253" s="182"/>
      <c r="U1253" s="183"/>
      <c r="V1253" s="184"/>
      <c r="W1253" s="184"/>
      <c r="X1253" s="184"/>
      <c r="Y1253" s="184"/>
      <c r="Z1253" s="184"/>
      <c r="AA1253" s="184"/>
      <c r="AB1253" s="184"/>
      <c r="AC1253" s="184"/>
      <c r="AD1253" s="184"/>
      <c r="AE1253" s="184"/>
      <c r="AF1253" s="184"/>
      <c r="AG1253" s="184"/>
      <c r="AH1253" s="184"/>
      <c r="AI1253" s="184"/>
      <c r="AJ1253" s="184"/>
      <c r="AK1253" s="184"/>
      <c r="AL1253" s="184"/>
      <c r="AM1253" s="184"/>
      <c r="AN1253" s="184"/>
      <c r="AO1253" s="185"/>
      <c r="AP1253" s="186"/>
      <c r="AQ1253" s="184"/>
      <c r="AR1253" s="184"/>
      <c r="AS1253" s="187"/>
      <c r="AT1253" s="188"/>
    </row>
    <row r="1254" customFormat="false" ht="12.75" hidden="false" customHeight="true" outlineLevel="0" collapsed="false">
      <c r="B1254" s="122"/>
      <c r="C1254" s="123"/>
      <c r="D1254" s="124"/>
      <c r="E1254" s="124"/>
      <c r="F1254" s="125"/>
      <c r="G1254" s="171"/>
      <c r="H1254" s="171"/>
      <c r="I1254" s="172"/>
      <c r="J1254" s="171"/>
      <c r="K1254" s="171"/>
      <c r="L1254" s="171"/>
      <c r="M1254" s="171"/>
      <c r="N1254" s="171"/>
      <c r="O1254" s="171"/>
      <c r="P1254" s="171"/>
      <c r="Q1254" s="171"/>
      <c r="R1254" s="171"/>
      <c r="S1254" s="171"/>
      <c r="T1254" s="173"/>
      <c r="U1254" s="174"/>
      <c r="V1254" s="175"/>
      <c r="W1254" s="175"/>
      <c r="X1254" s="175"/>
      <c r="Y1254" s="175"/>
      <c r="Z1254" s="175"/>
      <c r="AA1254" s="175"/>
      <c r="AB1254" s="175"/>
      <c r="AC1254" s="175"/>
      <c r="AD1254" s="175"/>
      <c r="AE1254" s="175"/>
      <c r="AF1254" s="175"/>
      <c r="AG1254" s="175"/>
      <c r="AH1254" s="175"/>
      <c r="AI1254" s="175"/>
      <c r="AJ1254" s="175"/>
      <c r="AK1254" s="175"/>
      <c r="AL1254" s="175"/>
      <c r="AM1254" s="175"/>
      <c r="AN1254" s="175"/>
      <c r="AO1254" s="176"/>
      <c r="AP1254" s="177"/>
      <c r="AQ1254" s="175"/>
      <c r="AR1254" s="175"/>
      <c r="AS1254" s="178"/>
      <c r="AT1254" s="179"/>
    </row>
    <row r="1255" customFormat="false" ht="12.75" hidden="false" customHeight="true" outlineLevel="0" collapsed="false">
      <c r="B1255" s="122"/>
      <c r="C1255" s="123"/>
      <c r="D1255" s="124"/>
      <c r="E1255" s="124"/>
      <c r="F1255" s="125"/>
      <c r="G1255" s="171"/>
      <c r="H1255" s="171"/>
      <c r="I1255" s="172"/>
      <c r="J1255" s="171"/>
      <c r="K1255" s="171"/>
      <c r="L1255" s="171"/>
      <c r="M1255" s="171"/>
      <c r="N1255" s="171"/>
      <c r="O1255" s="171"/>
      <c r="P1255" s="171"/>
      <c r="Q1255" s="171"/>
      <c r="R1255" s="171"/>
      <c r="S1255" s="171"/>
      <c r="T1255" s="173"/>
      <c r="U1255" s="174"/>
      <c r="V1255" s="175"/>
      <c r="W1255" s="175"/>
      <c r="X1255" s="175"/>
      <c r="Y1255" s="175"/>
      <c r="Z1255" s="175"/>
      <c r="AA1255" s="175"/>
      <c r="AB1255" s="175"/>
      <c r="AC1255" s="175"/>
      <c r="AD1255" s="175"/>
      <c r="AE1255" s="175"/>
      <c r="AF1255" s="175"/>
      <c r="AG1255" s="175"/>
      <c r="AH1255" s="175"/>
      <c r="AI1255" s="175"/>
      <c r="AJ1255" s="175"/>
      <c r="AK1255" s="175"/>
      <c r="AL1255" s="175"/>
      <c r="AM1255" s="175"/>
      <c r="AN1255" s="175"/>
      <c r="AO1255" s="176"/>
      <c r="AP1255" s="177"/>
      <c r="AQ1255" s="175"/>
      <c r="AR1255" s="175"/>
      <c r="AS1255" s="178"/>
      <c r="AT1255" s="179"/>
    </row>
    <row r="1256" customFormat="false" ht="12.75" hidden="false" customHeight="true" outlineLevel="0" collapsed="false">
      <c r="B1256" s="122"/>
      <c r="C1256" s="123"/>
      <c r="D1256" s="124"/>
      <c r="E1256" s="124"/>
      <c r="F1256" s="125"/>
      <c r="G1256" s="171"/>
      <c r="H1256" s="171"/>
      <c r="I1256" s="172"/>
      <c r="J1256" s="171"/>
      <c r="K1256" s="171"/>
      <c r="L1256" s="171"/>
      <c r="M1256" s="171"/>
      <c r="N1256" s="171"/>
      <c r="O1256" s="171"/>
      <c r="P1256" s="171"/>
      <c r="Q1256" s="171"/>
      <c r="R1256" s="171"/>
      <c r="S1256" s="171"/>
      <c r="T1256" s="173"/>
      <c r="U1256" s="174"/>
      <c r="V1256" s="175"/>
      <c r="W1256" s="175"/>
      <c r="X1256" s="175"/>
      <c r="Y1256" s="175"/>
      <c r="Z1256" s="175"/>
      <c r="AA1256" s="175"/>
      <c r="AB1256" s="175"/>
      <c r="AC1256" s="175"/>
      <c r="AD1256" s="175"/>
      <c r="AE1256" s="175"/>
      <c r="AF1256" s="175"/>
      <c r="AG1256" s="175"/>
      <c r="AH1256" s="175"/>
      <c r="AI1256" s="175"/>
      <c r="AJ1256" s="175"/>
      <c r="AK1256" s="175"/>
      <c r="AL1256" s="175"/>
      <c r="AM1256" s="175"/>
      <c r="AN1256" s="175"/>
      <c r="AO1256" s="176"/>
      <c r="AP1256" s="177"/>
      <c r="AQ1256" s="175"/>
      <c r="AR1256" s="175"/>
      <c r="AS1256" s="178"/>
      <c r="AT1256" s="179"/>
    </row>
    <row r="1257" customFormat="false" ht="12.75" hidden="false" customHeight="true" outlineLevel="0" collapsed="false">
      <c r="B1257" s="122"/>
      <c r="C1257" s="123"/>
      <c r="D1257" s="124"/>
      <c r="E1257" s="124"/>
      <c r="F1257" s="125"/>
      <c r="G1257" s="171"/>
      <c r="H1257" s="171"/>
      <c r="I1257" s="172"/>
      <c r="J1257" s="171"/>
      <c r="K1257" s="171"/>
      <c r="L1257" s="171"/>
      <c r="M1257" s="171"/>
      <c r="N1257" s="171"/>
      <c r="O1257" s="171"/>
      <c r="P1257" s="171"/>
      <c r="Q1257" s="171"/>
      <c r="R1257" s="171"/>
      <c r="S1257" s="171"/>
      <c r="T1257" s="173"/>
      <c r="U1257" s="174"/>
      <c r="V1257" s="175"/>
      <c r="W1257" s="175"/>
      <c r="X1257" s="175"/>
      <c r="Y1257" s="175"/>
      <c r="Z1257" s="175"/>
      <c r="AA1257" s="175"/>
      <c r="AB1257" s="175"/>
      <c r="AC1257" s="175"/>
      <c r="AD1257" s="175"/>
      <c r="AE1257" s="175"/>
      <c r="AF1257" s="175"/>
      <c r="AG1257" s="175"/>
      <c r="AH1257" s="175"/>
      <c r="AI1257" s="175"/>
      <c r="AJ1257" s="175"/>
      <c r="AK1257" s="175"/>
      <c r="AL1257" s="175"/>
      <c r="AM1257" s="175"/>
      <c r="AN1257" s="175"/>
      <c r="AO1257" s="176"/>
      <c r="AP1257" s="177"/>
      <c r="AQ1257" s="175"/>
      <c r="AR1257" s="175"/>
      <c r="AS1257" s="178"/>
      <c r="AT1257" s="179"/>
    </row>
    <row r="1258" customFormat="false" ht="12.75" hidden="false" customHeight="true" outlineLevel="0" collapsed="false">
      <c r="B1258" s="141"/>
      <c r="C1258" s="132"/>
      <c r="D1258" s="133"/>
      <c r="E1258" s="133"/>
      <c r="F1258" s="134"/>
      <c r="G1258" s="180"/>
      <c r="H1258" s="180"/>
      <c r="I1258" s="181"/>
      <c r="J1258" s="180"/>
      <c r="K1258" s="180"/>
      <c r="L1258" s="180"/>
      <c r="M1258" s="180"/>
      <c r="N1258" s="180"/>
      <c r="O1258" s="180"/>
      <c r="P1258" s="180"/>
      <c r="Q1258" s="180"/>
      <c r="R1258" s="180"/>
      <c r="S1258" s="180"/>
      <c r="T1258" s="182"/>
      <c r="U1258" s="183"/>
      <c r="V1258" s="184"/>
      <c r="W1258" s="184"/>
      <c r="X1258" s="184"/>
      <c r="Y1258" s="184"/>
      <c r="Z1258" s="184"/>
      <c r="AA1258" s="184"/>
      <c r="AB1258" s="184"/>
      <c r="AC1258" s="184"/>
      <c r="AD1258" s="184"/>
      <c r="AE1258" s="184"/>
      <c r="AF1258" s="184"/>
      <c r="AG1258" s="184"/>
      <c r="AH1258" s="184"/>
      <c r="AI1258" s="184"/>
      <c r="AJ1258" s="184"/>
      <c r="AK1258" s="184"/>
      <c r="AL1258" s="184"/>
      <c r="AM1258" s="184"/>
      <c r="AN1258" s="184"/>
      <c r="AO1258" s="185"/>
      <c r="AP1258" s="186"/>
      <c r="AQ1258" s="184"/>
      <c r="AR1258" s="184"/>
      <c r="AS1258" s="187"/>
      <c r="AT1258" s="188"/>
    </row>
    <row r="1259" customFormat="false" ht="12.75" hidden="false" customHeight="true" outlineLevel="0" collapsed="false">
      <c r="B1259" s="122"/>
      <c r="C1259" s="123"/>
      <c r="D1259" s="124"/>
      <c r="E1259" s="124"/>
      <c r="F1259" s="125"/>
      <c r="G1259" s="171"/>
      <c r="H1259" s="171"/>
      <c r="I1259" s="172"/>
      <c r="J1259" s="171"/>
      <c r="K1259" s="171"/>
      <c r="L1259" s="171"/>
      <c r="M1259" s="171"/>
      <c r="N1259" s="171"/>
      <c r="O1259" s="171"/>
      <c r="P1259" s="171"/>
      <c r="Q1259" s="171"/>
      <c r="R1259" s="171"/>
      <c r="S1259" s="171"/>
      <c r="T1259" s="173"/>
      <c r="U1259" s="174"/>
      <c r="V1259" s="175"/>
      <c r="W1259" s="175"/>
      <c r="X1259" s="175"/>
      <c r="Y1259" s="175"/>
      <c r="Z1259" s="175"/>
      <c r="AA1259" s="175"/>
      <c r="AB1259" s="175"/>
      <c r="AC1259" s="175"/>
      <c r="AD1259" s="175"/>
      <c r="AE1259" s="175"/>
      <c r="AF1259" s="175"/>
      <c r="AG1259" s="175"/>
      <c r="AH1259" s="175"/>
      <c r="AI1259" s="175"/>
      <c r="AJ1259" s="175"/>
      <c r="AK1259" s="175"/>
      <c r="AL1259" s="175"/>
      <c r="AM1259" s="175"/>
      <c r="AN1259" s="175"/>
      <c r="AO1259" s="176"/>
      <c r="AP1259" s="177"/>
      <c r="AQ1259" s="175"/>
      <c r="AR1259" s="175"/>
      <c r="AS1259" s="178"/>
      <c r="AT1259" s="179"/>
    </row>
    <row r="1260" customFormat="false" ht="12.75" hidden="false" customHeight="true" outlineLevel="0" collapsed="false">
      <c r="B1260" s="122"/>
      <c r="C1260" s="123"/>
      <c r="D1260" s="124"/>
      <c r="E1260" s="124"/>
      <c r="F1260" s="125"/>
      <c r="G1260" s="171"/>
      <c r="H1260" s="171"/>
      <c r="I1260" s="172"/>
      <c r="J1260" s="171"/>
      <c r="K1260" s="171"/>
      <c r="L1260" s="171"/>
      <c r="M1260" s="171"/>
      <c r="N1260" s="171"/>
      <c r="O1260" s="171"/>
      <c r="P1260" s="171"/>
      <c r="Q1260" s="171"/>
      <c r="R1260" s="171"/>
      <c r="S1260" s="171"/>
      <c r="T1260" s="173"/>
      <c r="U1260" s="174"/>
      <c r="V1260" s="175"/>
      <c r="W1260" s="175"/>
      <c r="X1260" s="175"/>
      <c r="Y1260" s="175"/>
      <c r="Z1260" s="175"/>
      <c r="AA1260" s="175"/>
      <c r="AB1260" s="175"/>
      <c r="AC1260" s="175"/>
      <c r="AD1260" s="175"/>
      <c r="AE1260" s="175"/>
      <c r="AF1260" s="175"/>
      <c r="AG1260" s="175"/>
      <c r="AH1260" s="175"/>
      <c r="AI1260" s="175"/>
      <c r="AJ1260" s="175"/>
      <c r="AK1260" s="175"/>
      <c r="AL1260" s="175"/>
      <c r="AM1260" s="175"/>
      <c r="AN1260" s="175"/>
      <c r="AO1260" s="176"/>
      <c r="AP1260" s="177"/>
      <c r="AQ1260" s="175"/>
      <c r="AR1260" s="175"/>
      <c r="AS1260" s="178"/>
      <c r="AT1260" s="179"/>
    </row>
    <row r="1261" customFormat="false" ht="12.75" hidden="false" customHeight="true" outlineLevel="0" collapsed="false">
      <c r="B1261" s="122"/>
      <c r="C1261" s="123"/>
      <c r="D1261" s="124"/>
      <c r="E1261" s="124"/>
      <c r="F1261" s="125"/>
      <c r="G1261" s="171"/>
      <c r="H1261" s="171"/>
      <c r="I1261" s="172"/>
      <c r="J1261" s="171"/>
      <c r="K1261" s="171"/>
      <c r="L1261" s="171"/>
      <c r="M1261" s="171"/>
      <c r="N1261" s="171"/>
      <c r="O1261" s="171"/>
      <c r="P1261" s="171"/>
      <c r="Q1261" s="171"/>
      <c r="R1261" s="171"/>
      <c r="S1261" s="171"/>
      <c r="T1261" s="173"/>
      <c r="U1261" s="174"/>
      <c r="V1261" s="175"/>
      <c r="W1261" s="175"/>
      <c r="X1261" s="175"/>
      <c r="Y1261" s="175"/>
      <c r="Z1261" s="175"/>
      <c r="AA1261" s="175"/>
      <c r="AB1261" s="175"/>
      <c r="AC1261" s="175"/>
      <c r="AD1261" s="175"/>
      <c r="AE1261" s="175"/>
      <c r="AF1261" s="175"/>
      <c r="AG1261" s="175"/>
      <c r="AH1261" s="175"/>
      <c r="AI1261" s="175"/>
      <c r="AJ1261" s="175"/>
      <c r="AK1261" s="175"/>
      <c r="AL1261" s="175"/>
      <c r="AM1261" s="175"/>
      <c r="AN1261" s="175"/>
      <c r="AO1261" s="176"/>
      <c r="AP1261" s="177"/>
      <c r="AQ1261" s="175"/>
      <c r="AR1261" s="175"/>
      <c r="AS1261" s="178"/>
      <c r="AT1261" s="179"/>
    </row>
    <row r="1262" customFormat="false" ht="12.75" hidden="false" customHeight="true" outlineLevel="0" collapsed="false">
      <c r="B1262" s="122"/>
      <c r="C1262" s="123"/>
      <c r="D1262" s="124"/>
      <c r="E1262" s="124"/>
      <c r="F1262" s="125"/>
      <c r="G1262" s="171"/>
      <c r="H1262" s="171"/>
      <c r="I1262" s="172"/>
      <c r="J1262" s="171"/>
      <c r="K1262" s="171"/>
      <c r="L1262" s="171"/>
      <c r="M1262" s="171"/>
      <c r="N1262" s="171"/>
      <c r="O1262" s="171"/>
      <c r="P1262" s="171"/>
      <c r="Q1262" s="171"/>
      <c r="R1262" s="171"/>
      <c r="S1262" s="171"/>
      <c r="T1262" s="173"/>
      <c r="U1262" s="174"/>
      <c r="V1262" s="175"/>
      <c r="W1262" s="175"/>
      <c r="X1262" s="175"/>
      <c r="Y1262" s="175"/>
      <c r="Z1262" s="175"/>
      <c r="AA1262" s="175"/>
      <c r="AB1262" s="175"/>
      <c r="AC1262" s="175"/>
      <c r="AD1262" s="175"/>
      <c r="AE1262" s="175"/>
      <c r="AF1262" s="175"/>
      <c r="AG1262" s="175"/>
      <c r="AH1262" s="175"/>
      <c r="AI1262" s="175"/>
      <c r="AJ1262" s="175"/>
      <c r="AK1262" s="175"/>
      <c r="AL1262" s="175"/>
      <c r="AM1262" s="175"/>
      <c r="AN1262" s="175"/>
      <c r="AO1262" s="176"/>
      <c r="AP1262" s="177"/>
      <c r="AQ1262" s="175"/>
      <c r="AR1262" s="175"/>
      <c r="AS1262" s="178"/>
      <c r="AT1262" s="179"/>
    </row>
    <row r="1263" customFormat="false" ht="12.75" hidden="false" customHeight="true" outlineLevel="0" collapsed="false">
      <c r="B1263" s="141"/>
      <c r="C1263" s="132"/>
      <c r="D1263" s="133"/>
      <c r="E1263" s="133"/>
      <c r="F1263" s="134"/>
      <c r="G1263" s="180"/>
      <c r="H1263" s="180"/>
      <c r="I1263" s="181"/>
      <c r="J1263" s="180"/>
      <c r="K1263" s="180"/>
      <c r="L1263" s="180"/>
      <c r="M1263" s="180"/>
      <c r="N1263" s="180"/>
      <c r="O1263" s="180"/>
      <c r="P1263" s="180"/>
      <c r="Q1263" s="180"/>
      <c r="R1263" s="180"/>
      <c r="S1263" s="180"/>
      <c r="T1263" s="182"/>
      <c r="U1263" s="183"/>
      <c r="V1263" s="184"/>
      <c r="W1263" s="184"/>
      <c r="X1263" s="184"/>
      <c r="Y1263" s="184"/>
      <c r="Z1263" s="184"/>
      <c r="AA1263" s="184"/>
      <c r="AB1263" s="184"/>
      <c r="AC1263" s="184"/>
      <c r="AD1263" s="184"/>
      <c r="AE1263" s="184"/>
      <c r="AF1263" s="184"/>
      <c r="AG1263" s="184"/>
      <c r="AH1263" s="184"/>
      <c r="AI1263" s="184"/>
      <c r="AJ1263" s="184"/>
      <c r="AK1263" s="184"/>
      <c r="AL1263" s="184"/>
      <c r="AM1263" s="184"/>
      <c r="AN1263" s="184"/>
      <c r="AO1263" s="185"/>
      <c r="AP1263" s="186"/>
      <c r="AQ1263" s="184"/>
      <c r="AR1263" s="184"/>
      <c r="AS1263" s="187"/>
      <c r="AT1263" s="188"/>
    </row>
    <row r="1264" customFormat="false" ht="12.75" hidden="false" customHeight="true" outlineLevel="0" collapsed="false">
      <c r="B1264" s="141"/>
      <c r="C1264" s="132"/>
      <c r="D1264" s="133"/>
      <c r="E1264" s="133"/>
      <c r="F1264" s="134"/>
      <c r="G1264" s="180"/>
      <c r="H1264" s="180"/>
      <c r="I1264" s="181"/>
      <c r="J1264" s="180"/>
      <c r="K1264" s="180"/>
      <c r="L1264" s="180"/>
      <c r="M1264" s="180"/>
      <c r="N1264" s="180"/>
      <c r="O1264" s="180"/>
      <c r="P1264" s="180"/>
      <c r="Q1264" s="180"/>
      <c r="R1264" s="180"/>
      <c r="S1264" s="180"/>
      <c r="T1264" s="182"/>
      <c r="U1264" s="183"/>
      <c r="V1264" s="184"/>
      <c r="W1264" s="184"/>
      <c r="X1264" s="184"/>
      <c r="Y1264" s="184"/>
      <c r="Z1264" s="184"/>
      <c r="AA1264" s="184"/>
      <c r="AB1264" s="184"/>
      <c r="AC1264" s="184"/>
      <c r="AD1264" s="184"/>
      <c r="AE1264" s="184"/>
      <c r="AF1264" s="184"/>
      <c r="AG1264" s="184"/>
      <c r="AH1264" s="184"/>
      <c r="AI1264" s="184"/>
      <c r="AJ1264" s="184"/>
      <c r="AK1264" s="184"/>
      <c r="AL1264" s="184"/>
      <c r="AM1264" s="184"/>
      <c r="AN1264" s="184"/>
      <c r="AO1264" s="185"/>
      <c r="AP1264" s="186"/>
      <c r="AQ1264" s="184"/>
      <c r="AR1264" s="184"/>
      <c r="AS1264" s="187"/>
      <c r="AT1264" s="188"/>
    </row>
    <row r="1265" customFormat="false" ht="12.75" hidden="false" customHeight="true" outlineLevel="0" collapsed="false">
      <c r="B1265" s="122"/>
      <c r="C1265" s="123"/>
      <c r="D1265" s="124"/>
      <c r="E1265" s="124"/>
      <c r="F1265" s="125"/>
      <c r="G1265" s="171"/>
      <c r="H1265" s="171"/>
      <c r="I1265" s="172"/>
      <c r="J1265" s="171"/>
      <c r="K1265" s="171"/>
      <c r="L1265" s="171"/>
      <c r="M1265" s="171"/>
      <c r="N1265" s="171"/>
      <c r="O1265" s="171"/>
      <c r="P1265" s="171"/>
      <c r="Q1265" s="171"/>
      <c r="R1265" s="171"/>
      <c r="S1265" s="171"/>
      <c r="T1265" s="173"/>
      <c r="U1265" s="174"/>
      <c r="V1265" s="175"/>
      <c r="W1265" s="175"/>
      <c r="X1265" s="175"/>
      <c r="Y1265" s="175"/>
      <c r="Z1265" s="175"/>
      <c r="AA1265" s="175"/>
      <c r="AB1265" s="175"/>
      <c r="AC1265" s="175"/>
      <c r="AD1265" s="175"/>
      <c r="AE1265" s="175"/>
      <c r="AF1265" s="175"/>
      <c r="AG1265" s="175"/>
      <c r="AH1265" s="175"/>
      <c r="AI1265" s="175"/>
      <c r="AJ1265" s="175"/>
      <c r="AK1265" s="175"/>
      <c r="AL1265" s="175"/>
      <c r="AM1265" s="175"/>
      <c r="AN1265" s="175"/>
      <c r="AO1265" s="176"/>
      <c r="AP1265" s="177"/>
      <c r="AQ1265" s="175"/>
      <c r="AR1265" s="175"/>
      <c r="AS1265" s="178"/>
      <c r="AT1265" s="179"/>
    </row>
    <row r="1266" customFormat="false" ht="12.75" hidden="false" customHeight="true" outlineLevel="0" collapsed="false">
      <c r="B1266" s="122"/>
      <c r="C1266" s="123"/>
      <c r="D1266" s="124"/>
      <c r="E1266" s="124"/>
      <c r="F1266" s="125"/>
      <c r="G1266" s="171"/>
      <c r="H1266" s="171"/>
      <c r="I1266" s="172"/>
      <c r="J1266" s="171"/>
      <c r="K1266" s="171"/>
      <c r="L1266" s="171"/>
      <c r="M1266" s="171"/>
      <c r="N1266" s="171"/>
      <c r="O1266" s="171"/>
      <c r="P1266" s="171"/>
      <c r="Q1266" s="171"/>
      <c r="R1266" s="171"/>
      <c r="S1266" s="171"/>
      <c r="T1266" s="173"/>
      <c r="U1266" s="174"/>
      <c r="V1266" s="175"/>
      <c r="W1266" s="175"/>
      <c r="X1266" s="175"/>
      <c r="Y1266" s="175"/>
      <c r="Z1266" s="175"/>
      <c r="AA1266" s="175"/>
      <c r="AB1266" s="175"/>
      <c r="AC1266" s="175"/>
      <c r="AD1266" s="175"/>
      <c r="AE1266" s="175"/>
      <c r="AF1266" s="175"/>
      <c r="AG1266" s="175"/>
      <c r="AH1266" s="175"/>
      <c r="AI1266" s="175"/>
      <c r="AJ1266" s="175"/>
      <c r="AK1266" s="175"/>
      <c r="AL1266" s="175"/>
      <c r="AM1266" s="175"/>
      <c r="AN1266" s="175"/>
      <c r="AO1266" s="176"/>
      <c r="AP1266" s="177"/>
      <c r="AQ1266" s="175"/>
      <c r="AR1266" s="175"/>
      <c r="AS1266" s="178"/>
      <c r="AT1266" s="179"/>
    </row>
    <row r="1267" customFormat="false" ht="12.75" hidden="false" customHeight="true" outlineLevel="0" collapsed="false">
      <c r="B1267" s="122"/>
      <c r="C1267" s="123"/>
      <c r="D1267" s="124"/>
      <c r="E1267" s="124"/>
      <c r="F1267" s="125"/>
      <c r="G1267" s="171"/>
      <c r="H1267" s="171"/>
      <c r="I1267" s="172"/>
      <c r="J1267" s="171"/>
      <c r="K1267" s="171"/>
      <c r="L1267" s="171"/>
      <c r="M1267" s="171"/>
      <c r="N1267" s="171"/>
      <c r="O1267" s="171"/>
      <c r="P1267" s="171"/>
      <c r="Q1267" s="171"/>
      <c r="R1267" s="171"/>
      <c r="S1267" s="171"/>
      <c r="T1267" s="173"/>
      <c r="U1267" s="174"/>
      <c r="V1267" s="175"/>
      <c r="W1267" s="175"/>
      <c r="X1267" s="175"/>
      <c r="Y1267" s="175"/>
      <c r="Z1267" s="175"/>
      <c r="AA1267" s="175"/>
      <c r="AB1267" s="175"/>
      <c r="AC1267" s="175"/>
      <c r="AD1267" s="175"/>
      <c r="AE1267" s="175"/>
      <c r="AF1267" s="175"/>
      <c r="AG1267" s="175"/>
      <c r="AH1267" s="175"/>
      <c r="AI1267" s="175"/>
      <c r="AJ1267" s="175"/>
      <c r="AK1267" s="175"/>
      <c r="AL1267" s="175"/>
      <c r="AM1267" s="175"/>
      <c r="AN1267" s="175"/>
      <c r="AO1267" s="176"/>
      <c r="AP1267" s="177"/>
      <c r="AQ1267" s="175"/>
      <c r="AR1267" s="175"/>
      <c r="AS1267" s="178"/>
      <c r="AT1267" s="179"/>
    </row>
    <row r="1268" customFormat="false" ht="12.75" hidden="false" customHeight="true" outlineLevel="0" collapsed="false">
      <c r="B1268" s="141"/>
      <c r="C1268" s="132"/>
      <c r="D1268" s="133"/>
      <c r="E1268" s="133"/>
      <c r="F1268" s="134"/>
      <c r="G1268" s="180"/>
      <c r="H1268" s="180"/>
      <c r="I1268" s="181"/>
      <c r="J1268" s="180"/>
      <c r="K1268" s="180"/>
      <c r="L1268" s="180"/>
      <c r="M1268" s="180"/>
      <c r="N1268" s="180"/>
      <c r="O1268" s="180"/>
      <c r="P1268" s="180"/>
      <c r="Q1268" s="180"/>
      <c r="R1268" s="180"/>
      <c r="S1268" s="180"/>
      <c r="T1268" s="182"/>
      <c r="U1268" s="183"/>
      <c r="V1268" s="184"/>
      <c r="W1268" s="184"/>
      <c r="X1268" s="184"/>
      <c r="Y1268" s="184"/>
      <c r="Z1268" s="184"/>
      <c r="AA1268" s="184"/>
      <c r="AB1268" s="184"/>
      <c r="AC1268" s="184"/>
      <c r="AD1268" s="184"/>
      <c r="AE1268" s="184"/>
      <c r="AF1268" s="184"/>
      <c r="AG1268" s="184"/>
      <c r="AH1268" s="184"/>
      <c r="AI1268" s="184"/>
      <c r="AJ1268" s="184"/>
      <c r="AK1268" s="184"/>
      <c r="AL1268" s="184"/>
      <c r="AM1268" s="184"/>
      <c r="AN1268" s="184"/>
      <c r="AO1268" s="185"/>
      <c r="AP1268" s="186"/>
      <c r="AQ1268" s="184"/>
      <c r="AR1268" s="184"/>
      <c r="AS1268" s="187"/>
      <c r="AT1268" s="188"/>
    </row>
    <row r="1269" customFormat="false" ht="12.75" hidden="false" customHeight="true" outlineLevel="0" collapsed="false">
      <c r="B1269" s="122"/>
      <c r="C1269" s="123"/>
      <c r="D1269" s="124"/>
      <c r="E1269" s="124"/>
      <c r="F1269" s="125"/>
      <c r="G1269" s="171"/>
      <c r="H1269" s="171"/>
      <c r="I1269" s="172"/>
      <c r="J1269" s="171"/>
      <c r="K1269" s="171"/>
      <c r="L1269" s="171"/>
      <c r="M1269" s="171"/>
      <c r="N1269" s="171"/>
      <c r="O1269" s="171"/>
      <c r="P1269" s="171"/>
      <c r="Q1269" s="171"/>
      <c r="R1269" s="171"/>
      <c r="S1269" s="171"/>
      <c r="T1269" s="173"/>
      <c r="U1269" s="174"/>
      <c r="V1269" s="175"/>
      <c r="W1269" s="175"/>
      <c r="X1269" s="175"/>
      <c r="Y1269" s="175"/>
      <c r="Z1269" s="175"/>
      <c r="AA1269" s="175"/>
      <c r="AB1269" s="175"/>
      <c r="AC1269" s="175"/>
      <c r="AD1269" s="175"/>
      <c r="AE1269" s="175"/>
      <c r="AF1269" s="175"/>
      <c r="AG1269" s="175"/>
      <c r="AH1269" s="175"/>
      <c r="AI1269" s="175"/>
      <c r="AJ1269" s="175"/>
      <c r="AK1269" s="175"/>
      <c r="AL1269" s="175"/>
      <c r="AM1269" s="175"/>
      <c r="AN1269" s="175"/>
      <c r="AO1269" s="176"/>
      <c r="AP1269" s="177"/>
      <c r="AQ1269" s="175"/>
      <c r="AR1269" s="175"/>
      <c r="AS1269" s="178"/>
      <c r="AT1269" s="179"/>
    </row>
    <row r="1270" customFormat="false" ht="12.75" hidden="false" customHeight="true" outlineLevel="0" collapsed="false">
      <c r="B1270" s="122"/>
      <c r="C1270" s="123"/>
      <c r="D1270" s="124"/>
      <c r="E1270" s="124"/>
      <c r="F1270" s="125"/>
      <c r="G1270" s="171"/>
      <c r="H1270" s="171"/>
      <c r="I1270" s="172"/>
      <c r="J1270" s="171"/>
      <c r="K1270" s="171"/>
      <c r="L1270" s="171"/>
      <c r="M1270" s="171"/>
      <c r="N1270" s="171"/>
      <c r="O1270" s="171"/>
      <c r="P1270" s="171"/>
      <c r="Q1270" s="171"/>
      <c r="R1270" s="171"/>
      <c r="S1270" s="171"/>
      <c r="T1270" s="173"/>
      <c r="U1270" s="174"/>
      <c r="V1270" s="175"/>
      <c r="W1270" s="175"/>
      <c r="X1270" s="175"/>
      <c r="Y1270" s="175"/>
      <c r="Z1270" s="175"/>
      <c r="AA1270" s="175"/>
      <c r="AB1270" s="175"/>
      <c r="AC1270" s="175"/>
      <c r="AD1270" s="175"/>
      <c r="AE1270" s="175"/>
      <c r="AF1270" s="175"/>
      <c r="AG1270" s="175"/>
      <c r="AH1270" s="175"/>
      <c r="AI1270" s="175"/>
      <c r="AJ1270" s="175"/>
      <c r="AK1270" s="175"/>
      <c r="AL1270" s="175"/>
      <c r="AM1270" s="175"/>
      <c r="AN1270" s="175"/>
      <c r="AO1270" s="176"/>
      <c r="AP1270" s="177"/>
      <c r="AQ1270" s="175"/>
      <c r="AR1270" s="175"/>
      <c r="AS1270" s="178"/>
      <c r="AT1270" s="179"/>
    </row>
    <row r="1271" customFormat="false" ht="12.75" hidden="false" customHeight="true" outlineLevel="0" collapsed="false">
      <c r="B1271" s="122"/>
      <c r="C1271" s="123"/>
      <c r="D1271" s="124"/>
      <c r="E1271" s="124"/>
      <c r="F1271" s="125"/>
      <c r="G1271" s="171"/>
      <c r="H1271" s="171"/>
      <c r="I1271" s="172"/>
      <c r="J1271" s="171"/>
      <c r="K1271" s="171"/>
      <c r="L1271" s="171"/>
      <c r="M1271" s="171"/>
      <c r="N1271" s="171"/>
      <c r="O1271" s="171"/>
      <c r="P1271" s="171"/>
      <c r="Q1271" s="171"/>
      <c r="R1271" s="171"/>
      <c r="S1271" s="171"/>
      <c r="T1271" s="173"/>
      <c r="U1271" s="174"/>
      <c r="V1271" s="175"/>
      <c r="W1271" s="175"/>
      <c r="X1271" s="175"/>
      <c r="Y1271" s="175"/>
      <c r="Z1271" s="175"/>
      <c r="AA1271" s="175"/>
      <c r="AB1271" s="175"/>
      <c r="AC1271" s="175"/>
      <c r="AD1271" s="175"/>
      <c r="AE1271" s="175"/>
      <c r="AF1271" s="175"/>
      <c r="AG1271" s="175"/>
      <c r="AH1271" s="175"/>
      <c r="AI1271" s="175"/>
      <c r="AJ1271" s="175"/>
      <c r="AK1271" s="175"/>
      <c r="AL1271" s="175"/>
      <c r="AM1271" s="175"/>
      <c r="AN1271" s="175"/>
      <c r="AO1271" s="176"/>
      <c r="AP1271" s="177"/>
      <c r="AQ1271" s="175"/>
      <c r="AR1271" s="175"/>
      <c r="AS1271" s="178"/>
      <c r="AT1271" s="179"/>
    </row>
    <row r="1272" customFormat="false" ht="12.75" hidden="false" customHeight="true" outlineLevel="0" collapsed="false">
      <c r="B1272" s="141"/>
      <c r="C1272" s="132"/>
      <c r="D1272" s="133"/>
      <c r="E1272" s="133"/>
      <c r="F1272" s="134"/>
      <c r="G1272" s="180"/>
      <c r="H1272" s="180"/>
      <c r="I1272" s="181"/>
      <c r="J1272" s="180"/>
      <c r="K1272" s="180"/>
      <c r="L1272" s="180"/>
      <c r="M1272" s="180"/>
      <c r="N1272" s="180"/>
      <c r="O1272" s="180"/>
      <c r="P1272" s="180"/>
      <c r="Q1272" s="180"/>
      <c r="R1272" s="180"/>
      <c r="S1272" s="180"/>
      <c r="T1272" s="182"/>
      <c r="U1272" s="183"/>
      <c r="V1272" s="184"/>
      <c r="W1272" s="184"/>
      <c r="X1272" s="184"/>
      <c r="Y1272" s="184"/>
      <c r="Z1272" s="184"/>
      <c r="AA1272" s="184"/>
      <c r="AB1272" s="184"/>
      <c r="AC1272" s="184"/>
      <c r="AD1272" s="184"/>
      <c r="AE1272" s="184"/>
      <c r="AF1272" s="184"/>
      <c r="AG1272" s="184"/>
      <c r="AH1272" s="184"/>
      <c r="AI1272" s="184"/>
      <c r="AJ1272" s="184"/>
      <c r="AK1272" s="184"/>
      <c r="AL1272" s="184"/>
      <c r="AM1272" s="184"/>
      <c r="AN1272" s="184"/>
      <c r="AO1272" s="185"/>
      <c r="AP1272" s="186"/>
      <c r="AQ1272" s="184"/>
      <c r="AR1272" s="184"/>
      <c r="AS1272" s="187"/>
      <c r="AT1272" s="188"/>
    </row>
    <row r="1273" customFormat="false" ht="12.75" hidden="false" customHeight="true" outlineLevel="0" collapsed="false">
      <c r="B1273" s="122"/>
      <c r="C1273" s="123"/>
      <c r="D1273" s="124"/>
      <c r="E1273" s="124"/>
      <c r="F1273" s="125"/>
      <c r="G1273" s="171"/>
      <c r="H1273" s="171"/>
      <c r="I1273" s="172"/>
      <c r="J1273" s="171"/>
      <c r="K1273" s="171"/>
      <c r="L1273" s="171"/>
      <c r="M1273" s="171"/>
      <c r="N1273" s="171"/>
      <c r="O1273" s="171"/>
      <c r="P1273" s="171"/>
      <c r="Q1273" s="171"/>
      <c r="R1273" s="171"/>
      <c r="S1273" s="171"/>
      <c r="T1273" s="173"/>
      <c r="U1273" s="174"/>
      <c r="V1273" s="175"/>
      <c r="W1273" s="175"/>
      <c r="X1273" s="175"/>
      <c r="Y1273" s="175"/>
      <c r="Z1273" s="175"/>
      <c r="AA1273" s="175"/>
      <c r="AB1273" s="175"/>
      <c r="AC1273" s="175"/>
      <c r="AD1273" s="175"/>
      <c r="AE1273" s="175"/>
      <c r="AF1273" s="175"/>
      <c r="AG1273" s="175"/>
      <c r="AH1273" s="175"/>
      <c r="AI1273" s="175"/>
      <c r="AJ1273" s="175"/>
      <c r="AK1273" s="175"/>
      <c r="AL1273" s="175"/>
      <c r="AM1273" s="175"/>
      <c r="AN1273" s="175"/>
      <c r="AO1273" s="176"/>
      <c r="AP1273" s="177"/>
      <c r="AQ1273" s="175"/>
      <c r="AR1273" s="175"/>
      <c r="AS1273" s="178"/>
      <c r="AT1273" s="179"/>
    </row>
    <row r="1274" customFormat="false" ht="12.75" hidden="false" customHeight="true" outlineLevel="0" collapsed="false">
      <c r="B1274" s="122"/>
      <c r="C1274" s="123"/>
      <c r="D1274" s="124"/>
      <c r="E1274" s="124"/>
      <c r="F1274" s="125"/>
      <c r="G1274" s="171"/>
      <c r="H1274" s="171"/>
      <c r="I1274" s="172"/>
      <c r="J1274" s="171"/>
      <c r="K1274" s="171"/>
      <c r="L1274" s="171"/>
      <c r="M1274" s="171"/>
      <c r="N1274" s="171"/>
      <c r="O1274" s="171"/>
      <c r="P1274" s="171"/>
      <c r="Q1274" s="171"/>
      <c r="R1274" s="171"/>
      <c r="S1274" s="171"/>
      <c r="T1274" s="173"/>
      <c r="U1274" s="174"/>
      <c r="V1274" s="175"/>
      <c r="W1274" s="175"/>
      <c r="X1274" s="175"/>
      <c r="Y1274" s="175"/>
      <c r="Z1274" s="175"/>
      <c r="AA1274" s="175"/>
      <c r="AB1274" s="175"/>
      <c r="AC1274" s="175"/>
      <c r="AD1274" s="175"/>
      <c r="AE1274" s="175"/>
      <c r="AF1274" s="175"/>
      <c r="AG1274" s="175"/>
      <c r="AH1274" s="175"/>
      <c r="AI1274" s="175"/>
      <c r="AJ1274" s="175"/>
      <c r="AK1274" s="175"/>
      <c r="AL1274" s="175"/>
      <c r="AM1274" s="175"/>
      <c r="AN1274" s="175"/>
      <c r="AO1274" s="176"/>
      <c r="AP1274" s="177"/>
      <c r="AQ1274" s="175"/>
      <c r="AR1274" s="175"/>
      <c r="AS1274" s="178"/>
      <c r="AT1274" s="179"/>
    </row>
    <row r="1275" customFormat="false" ht="12.75" hidden="false" customHeight="true" outlineLevel="0" collapsed="false">
      <c r="B1275" s="122"/>
      <c r="C1275" s="123"/>
      <c r="D1275" s="124"/>
      <c r="E1275" s="124"/>
      <c r="F1275" s="125"/>
      <c r="G1275" s="171"/>
      <c r="H1275" s="171"/>
      <c r="I1275" s="172"/>
      <c r="J1275" s="171"/>
      <c r="K1275" s="171"/>
      <c r="L1275" s="171"/>
      <c r="M1275" s="171"/>
      <c r="N1275" s="171"/>
      <c r="O1275" s="171"/>
      <c r="P1275" s="171"/>
      <c r="Q1275" s="171"/>
      <c r="R1275" s="171"/>
      <c r="S1275" s="171"/>
      <c r="T1275" s="173"/>
      <c r="U1275" s="174"/>
      <c r="V1275" s="175"/>
      <c r="W1275" s="175"/>
      <c r="X1275" s="175"/>
      <c r="Y1275" s="175"/>
      <c r="Z1275" s="175"/>
      <c r="AA1275" s="175"/>
      <c r="AB1275" s="175"/>
      <c r="AC1275" s="175"/>
      <c r="AD1275" s="175"/>
      <c r="AE1275" s="175"/>
      <c r="AF1275" s="175"/>
      <c r="AG1275" s="175"/>
      <c r="AH1275" s="175"/>
      <c r="AI1275" s="175"/>
      <c r="AJ1275" s="175"/>
      <c r="AK1275" s="175"/>
      <c r="AL1275" s="175"/>
      <c r="AM1275" s="175"/>
      <c r="AN1275" s="175"/>
      <c r="AO1275" s="176"/>
      <c r="AP1275" s="177"/>
      <c r="AQ1275" s="175"/>
      <c r="AR1275" s="175"/>
      <c r="AS1275" s="178"/>
      <c r="AT1275" s="179"/>
    </row>
    <row r="1276" customFormat="false" ht="12.75" hidden="false" customHeight="true" outlineLevel="0" collapsed="false">
      <c r="B1276" s="122"/>
      <c r="C1276" s="123"/>
      <c r="D1276" s="124"/>
      <c r="E1276" s="124"/>
      <c r="F1276" s="125"/>
      <c r="G1276" s="171"/>
      <c r="H1276" s="171"/>
      <c r="I1276" s="172"/>
      <c r="J1276" s="171"/>
      <c r="K1276" s="171"/>
      <c r="L1276" s="171"/>
      <c r="M1276" s="171"/>
      <c r="N1276" s="171"/>
      <c r="O1276" s="171"/>
      <c r="P1276" s="171"/>
      <c r="Q1276" s="171"/>
      <c r="R1276" s="171"/>
      <c r="S1276" s="171"/>
      <c r="T1276" s="173"/>
      <c r="U1276" s="174"/>
      <c r="V1276" s="175"/>
      <c r="W1276" s="175"/>
      <c r="X1276" s="175"/>
      <c r="Y1276" s="175"/>
      <c r="Z1276" s="175"/>
      <c r="AA1276" s="175"/>
      <c r="AB1276" s="175"/>
      <c r="AC1276" s="175"/>
      <c r="AD1276" s="175"/>
      <c r="AE1276" s="175"/>
      <c r="AF1276" s="175"/>
      <c r="AG1276" s="175"/>
      <c r="AH1276" s="175"/>
      <c r="AI1276" s="175"/>
      <c r="AJ1276" s="175"/>
      <c r="AK1276" s="175"/>
      <c r="AL1276" s="175"/>
      <c r="AM1276" s="175"/>
      <c r="AN1276" s="175"/>
      <c r="AO1276" s="176"/>
      <c r="AP1276" s="177"/>
      <c r="AQ1276" s="175"/>
      <c r="AR1276" s="175"/>
      <c r="AS1276" s="178"/>
      <c r="AT1276" s="179"/>
    </row>
    <row r="1277" customFormat="false" ht="12.75" hidden="false" customHeight="true" outlineLevel="0" collapsed="false">
      <c r="B1277" s="141"/>
      <c r="C1277" s="132"/>
      <c r="D1277" s="133"/>
      <c r="E1277" s="133"/>
      <c r="F1277" s="134"/>
      <c r="G1277" s="180"/>
      <c r="H1277" s="180"/>
      <c r="I1277" s="181"/>
      <c r="J1277" s="180"/>
      <c r="K1277" s="180"/>
      <c r="L1277" s="180"/>
      <c r="M1277" s="180"/>
      <c r="N1277" s="180"/>
      <c r="O1277" s="180"/>
      <c r="P1277" s="180"/>
      <c r="Q1277" s="180"/>
      <c r="R1277" s="180"/>
      <c r="S1277" s="180"/>
      <c r="T1277" s="182"/>
      <c r="U1277" s="183"/>
      <c r="V1277" s="184"/>
      <c r="W1277" s="184"/>
      <c r="X1277" s="184"/>
      <c r="Y1277" s="184"/>
      <c r="Z1277" s="184"/>
      <c r="AA1277" s="184"/>
      <c r="AB1277" s="184"/>
      <c r="AC1277" s="184"/>
      <c r="AD1277" s="184"/>
      <c r="AE1277" s="184"/>
      <c r="AF1277" s="184"/>
      <c r="AG1277" s="184"/>
      <c r="AH1277" s="184"/>
      <c r="AI1277" s="184"/>
      <c r="AJ1277" s="184"/>
      <c r="AK1277" s="184"/>
      <c r="AL1277" s="184"/>
      <c r="AM1277" s="184"/>
      <c r="AN1277" s="184"/>
      <c r="AO1277" s="185"/>
      <c r="AP1277" s="186"/>
      <c r="AQ1277" s="184"/>
      <c r="AR1277" s="184"/>
      <c r="AS1277" s="187"/>
      <c r="AT1277" s="188"/>
    </row>
    <row r="1278" customFormat="false" ht="12.75" hidden="false" customHeight="true" outlineLevel="0" collapsed="false">
      <c r="B1278" s="122"/>
      <c r="C1278" s="123"/>
      <c r="D1278" s="124"/>
      <c r="E1278" s="124"/>
      <c r="F1278" s="125"/>
      <c r="G1278" s="171"/>
      <c r="H1278" s="171"/>
      <c r="I1278" s="172"/>
      <c r="J1278" s="171"/>
      <c r="K1278" s="171"/>
      <c r="L1278" s="171"/>
      <c r="M1278" s="171"/>
      <c r="N1278" s="171"/>
      <c r="O1278" s="171"/>
      <c r="P1278" s="171"/>
      <c r="Q1278" s="171"/>
      <c r="R1278" s="171"/>
      <c r="S1278" s="171"/>
      <c r="T1278" s="173"/>
      <c r="U1278" s="174"/>
      <c r="V1278" s="175"/>
      <c r="W1278" s="175"/>
      <c r="X1278" s="175"/>
      <c r="Y1278" s="175"/>
      <c r="Z1278" s="175"/>
      <c r="AA1278" s="175"/>
      <c r="AB1278" s="175"/>
      <c r="AC1278" s="175"/>
      <c r="AD1278" s="175"/>
      <c r="AE1278" s="175"/>
      <c r="AF1278" s="175"/>
      <c r="AG1278" s="175"/>
      <c r="AH1278" s="175"/>
      <c r="AI1278" s="175"/>
      <c r="AJ1278" s="175"/>
      <c r="AK1278" s="175"/>
      <c r="AL1278" s="175"/>
      <c r="AM1278" s="175"/>
      <c r="AN1278" s="175"/>
      <c r="AO1278" s="176"/>
      <c r="AP1278" s="177"/>
      <c r="AQ1278" s="175"/>
      <c r="AR1278" s="175"/>
      <c r="AS1278" s="178"/>
      <c r="AT1278" s="179"/>
    </row>
    <row r="1279" customFormat="false" ht="12.75" hidden="false" customHeight="true" outlineLevel="0" collapsed="false">
      <c r="B1279" s="122"/>
      <c r="C1279" s="123"/>
      <c r="D1279" s="124"/>
      <c r="E1279" s="124"/>
      <c r="F1279" s="125"/>
      <c r="G1279" s="171"/>
      <c r="H1279" s="171"/>
      <c r="I1279" s="172"/>
      <c r="J1279" s="171"/>
      <c r="K1279" s="171"/>
      <c r="L1279" s="171"/>
      <c r="M1279" s="171"/>
      <c r="N1279" s="171"/>
      <c r="O1279" s="171"/>
      <c r="P1279" s="171"/>
      <c r="Q1279" s="171"/>
      <c r="R1279" s="171"/>
      <c r="S1279" s="171"/>
      <c r="T1279" s="173"/>
      <c r="U1279" s="174"/>
      <c r="V1279" s="175"/>
      <c r="W1279" s="175"/>
      <c r="X1279" s="175"/>
      <c r="Y1279" s="175"/>
      <c r="Z1279" s="175"/>
      <c r="AA1279" s="175"/>
      <c r="AB1279" s="175"/>
      <c r="AC1279" s="175"/>
      <c r="AD1279" s="175"/>
      <c r="AE1279" s="175"/>
      <c r="AF1279" s="175"/>
      <c r="AG1279" s="175"/>
      <c r="AH1279" s="175"/>
      <c r="AI1279" s="175"/>
      <c r="AJ1279" s="175"/>
      <c r="AK1279" s="175"/>
      <c r="AL1279" s="175"/>
      <c r="AM1279" s="175"/>
      <c r="AN1279" s="175"/>
      <c r="AO1279" s="176"/>
      <c r="AP1279" s="177"/>
      <c r="AQ1279" s="175"/>
      <c r="AR1279" s="175"/>
      <c r="AS1279" s="178"/>
      <c r="AT1279" s="179"/>
    </row>
    <row r="1280" customFormat="false" ht="12.75" hidden="false" customHeight="true" outlineLevel="0" collapsed="false">
      <c r="B1280" s="122"/>
      <c r="C1280" s="123"/>
      <c r="D1280" s="124"/>
      <c r="E1280" s="124"/>
      <c r="F1280" s="125"/>
      <c r="G1280" s="171"/>
      <c r="H1280" s="171"/>
      <c r="I1280" s="172"/>
      <c r="J1280" s="171"/>
      <c r="K1280" s="171"/>
      <c r="L1280" s="171"/>
      <c r="M1280" s="171"/>
      <c r="N1280" s="171"/>
      <c r="O1280" s="171"/>
      <c r="P1280" s="171"/>
      <c r="Q1280" s="171"/>
      <c r="R1280" s="171"/>
      <c r="S1280" s="171"/>
      <c r="T1280" s="173"/>
      <c r="U1280" s="174"/>
      <c r="V1280" s="175"/>
      <c r="W1280" s="175"/>
      <c r="X1280" s="175"/>
      <c r="Y1280" s="175"/>
      <c r="Z1280" s="175"/>
      <c r="AA1280" s="175"/>
      <c r="AB1280" s="175"/>
      <c r="AC1280" s="175"/>
      <c r="AD1280" s="175"/>
      <c r="AE1280" s="175"/>
      <c r="AF1280" s="175"/>
      <c r="AG1280" s="175"/>
      <c r="AH1280" s="175"/>
      <c r="AI1280" s="175"/>
      <c r="AJ1280" s="175"/>
      <c r="AK1280" s="175"/>
      <c r="AL1280" s="175"/>
      <c r="AM1280" s="175"/>
      <c r="AN1280" s="175"/>
      <c r="AO1280" s="176"/>
      <c r="AP1280" s="177"/>
      <c r="AQ1280" s="175"/>
      <c r="AR1280" s="175"/>
      <c r="AS1280" s="178"/>
      <c r="AT1280" s="179"/>
    </row>
    <row r="1281" customFormat="false" ht="12.75" hidden="false" customHeight="true" outlineLevel="0" collapsed="false">
      <c r="B1281" s="122"/>
      <c r="C1281" s="123"/>
      <c r="D1281" s="124"/>
      <c r="E1281" s="124"/>
      <c r="F1281" s="125"/>
      <c r="G1281" s="171"/>
      <c r="H1281" s="171"/>
      <c r="I1281" s="172"/>
      <c r="J1281" s="171"/>
      <c r="K1281" s="171"/>
      <c r="L1281" s="171"/>
      <c r="M1281" s="171"/>
      <c r="N1281" s="171"/>
      <c r="O1281" s="171"/>
      <c r="P1281" s="171"/>
      <c r="Q1281" s="171"/>
      <c r="R1281" s="171"/>
      <c r="S1281" s="171"/>
      <c r="T1281" s="173"/>
      <c r="U1281" s="174"/>
      <c r="V1281" s="175"/>
      <c r="W1281" s="175"/>
      <c r="X1281" s="175"/>
      <c r="Y1281" s="175"/>
      <c r="Z1281" s="175"/>
      <c r="AA1281" s="175"/>
      <c r="AB1281" s="175"/>
      <c r="AC1281" s="175"/>
      <c r="AD1281" s="175"/>
      <c r="AE1281" s="175"/>
      <c r="AF1281" s="175"/>
      <c r="AG1281" s="175"/>
      <c r="AH1281" s="175"/>
      <c r="AI1281" s="175"/>
      <c r="AJ1281" s="175"/>
      <c r="AK1281" s="175"/>
      <c r="AL1281" s="175"/>
      <c r="AM1281" s="175"/>
      <c r="AN1281" s="175"/>
      <c r="AO1281" s="176"/>
      <c r="AP1281" s="177"/>
      <c r="AQ1281" s="175"/>
      <c r="AR1281" s="175"/>
      <c r="AS1281" s="178"/>
      <c r="AT1281" s="179"/>
    </row>
    <row r="1282" customFormat="false" ht="12.75" hidden="false" customHeight="true" outlineLevel="0" collapsed="false">
      <c r="B1282" s="141"/>
      <c r="C1282" s="132"/>
      <c r="D1282" s="133"/>
      <c r="E1282" s="133"/>
      <c r="F1282" s="134"/>
      <c r="G1282" s="180"/>
      <c r="H1282" s="180"/>
      <c r="I1282" s="181"/>
      <c r="J1282" s="180"/>
      <c r="K1282" s="180"/>
      <c r="L1282" s="180"/>
      <c r="M1282" s="180"/>
      <c r="N1282" s="180"/>
      <c r="O1282" s="180"/>
      <c r="P1282" s="180"/>
      <c r="Q1282" s="180"/>
      <c r="R1282" s="180"/>
      <c r="S1282" s="180"/>
      <c r="T1282" s="182"/>
      <c r="U1282" s="183"/>
      <c r="V1282" s="184"/>
      <c r="W1282" s="184"/>
      <c r="X1282" s="184"/>
      <c r="Y1282" s="184"/>
      <c r="Z1282" s="184"/>
      <c r="AA1282" s="184"/>
      <c r="AB1282" s="184"/>
      <c r="AC1282" s="184"/>
      <c r="AD1282" s="184"/>
      <c r="AE1282" s="184"/>
      <c r="AF1282" s="184"/>
      <c r="AG1282" s="184"/>
      <c r="AH1282" s="184"/>
      <c r="AI1282" s="184"/>
      <c r="AJ1282" s="184"/>
      <c r="AK1282" s="184"/>
      <c r="AL1282" s="184"/>
      <c r="AM1282" s="184"/>
      <c r="AN1282" s="184"/>
      <c r="AO1282" s="185"/>
      <c r="AP1282" s="186"/>
      <c r="AQ1282" s="184"/>
      <c r="AR1282" s="184"/>
      <c r="AS1282" s="187"/>
      <c r="AT1282" s="188"/>
    </row>
    <row r="1283" customFormat="false" ht="12.75" hidden="false" customHeight="true" outlineLevel="0" collapsed="false">
      <c r="B1283" s="122"/>
      <c r="C1283" s="123"/>
      <c r="D1283" s="124"/>
      <c r="E1283" s="124"/>
      <c r="F1283" s="125"/>
      <c r="G1283" s="171"/>
      <c r="H1283" s="171"/>
      <c r="I1283" s="172"/>
      <c r="J1283" s="171"/>
      <c r="K1283" s="171"/>
      <c r="L1283" s="171"/>
      <c r="M1283" s="171"/>
      <c r="N1283" s="171"/>
      <c r="O1283" s="171"/>
      <c r="P1283" s="171"/>
      <c r="Q1283" s="171"/>
      <c r="R1283" s="171"/>
      <c r="S1283" s="171"/>
      <c r="T1283" s="173"/>
      <c r="U1283" s="174"/>
      <c r="V1283" s="175"/>
      <c r="W1283" s="175"/>
      <c r="X1283" s="175"/>
      <c r="Y1283" s="175"/>
      <c r="Z1283" s="175"/>
      <c r="AA1283" s="175"/>
      <c r="AB1283" s="175"/>
      <c r="AC1283" s="175"/>
      <c r="AD1283" s="175"/>
      <c r="AE1283" s="175"/>
      <c r="AF1283" s="175"/>
      <c r="AG1283" s="175"/>
      <c r="AH1283" s="175"/>
      <c r="AI1283" s="175"/>
      <c r="AJ1283" s="175"/>
      <c r="AK1283" s="175"/>
      <c r="AL1283" s="175"/>
      <c r="AM1283" s="175"/>
      <c r="AN1283" s="175"/>
      <c r="AO1283" s="176"/>
      <c r="AP1283" s="177"/>
      <c r="AQ1283" s="175"/>
      <c r="AR1283" s="175"/>
      <c r="AS1283" s="178"/>
      <c r="AT1283" s="179"/>
    </row>
    <row r="1284" customFormat="false" ht="12.75" hidden="false" customHeight="true" outlineLevel="0" collapsed="false">
      <c r="B1284" s="122"/>
      <c r="C1284" s="123"/>
      <c r="D1284" s="124"/>
      <c r="E1284" s="124"/>
      <c r="F1284" s="125"/>
      <c r="G1284" s="171"/>
      <c r="H1284" s="171"/>
      <c r="I1284" s="172"/>
      <c r="J1284" s="171"/>
      <c r="K1284" s="171"/>
      <c r="L1284" s="171"/>
      <c r="M1284" s="171"/>
      <c r="N1284" s="171"/>
      <c r="O1284" s="171"/>
      <c r="P1284" s="171"/>
      <c r="Q1284" s="171"/>
      <c r="R1284" s="171"/>
      <c r="S1284" s="171"/>
      <c r="T1284" s="173"/>
      <c r="U1284" s="174"/>
      <c r="V1284" s="175"/>
      <c r="W1284" s="175"/>
      <c r="X1284" s="175"/>
      <c r="Y1284" s="175"/>
      <c r="Z1284" s="175"/>
      <c r="AA1284" s="175"/>
      <c r="AB1284" s="175"/>
      <c r="AC1284" s="175"/>
      <c r="AD1284" s="175"/>
      <c r="AE1284" s="175"/>
      <c r="AF1284" s="175"/>
      <c r="AG1284" s="175"/>
      <c r="AH1284" s="175"/>
      <c r="AI1284" s="175"/>
      <c r="AJ1284" s="175"/>
      <c r="AK1284" s="175"/>
      <c r="AL1284" s="175"/>
      <c r="AM1284" s="175"/>
      <c r="AN1284" s="175"/>
      <c r="AO1284" s="176"/>
      <c r="AP1284" s="177"/>
      <c r="AQ1284" s="175"/>
      <c r="AR1284" s="175"/>
      <c r="AS1284" s="178"/>
      <c r="AT1284" s="179"/>
    </row>
    <row r="1285" customFormat="false" ht="12.75" hidden="false" customHeight="true" outlineLevel="0" collapsed="false">
      <c r="B1285" s="122"/>
      <c r="C1285" s="123"/>
      <c r="D1285" s="124"/>
      <c r="E1285" s="124"/>
      <c r="F1285" s="125"/>
      <c r="G1285" s="171"/>
      <c r="H1285" s="171"/>
      <c r="I1285" s="172"/>
      <c r="J1285" s="171"/>
      <c r="K1285" s="171"/>
      <c r="L1285" s="171"/>
      <c r="M1285" s="171"/>
      <c r="N1285" s="171"/>
      <c r="O1285" s="171"/>
      <c r="P1285" s="171"/>
      <c r="Q1285" s="171"/>
      <c r="R1285" s="171"/>
      <c r="S1285" s="171"/>
      <c r="T1285" s="173"/>
      <c r="U1285" s="174"/>
      <c r="V1285" s="175"/>
      <c r="W1285" s="175"/>
      <c r="X1285" s="175"/>
      <c r="Y1285" s="175"/>
      <c r="Z1285" s="175"/>
      <c r="AA1285" s="175"/>
      <c r="AB1285" s="175"/>
      <c r="AC1285" s="175"/>
      <c r="AD1285" s="175"/>
      <c r="AE1285" s="175"/>
      <c r="AF1285" s="175"/>
      <c r="AG1285" s="175"/>
      <c r="AH1285" s="175"/>
      <c r="AI1285" s="175"/>
      <c r="AJ1285" s="175"/>
      <c r="AK1285" s="175"/>
      <c r="AL1285" s="175"/>
      <c r="AM1285" s="175"/>
      <c r="AN1285" s="175"/>
      <c r="AO1285" s="176"/>
      <c r="AP1285" s="177"/>
      <c r="AQ1285" s="175"/>
      <c r="AR1285" s="175"/>
      <c r="AS1285" s="178"/>
      <c r="AT1285" s="179"/>
    </row>
    <row r="1286" customFormat="false" ht="12.75" hidden="false" customHeight="true" outlineLevel="0" collapsed="false">
      <c r="B1286" s="122"/>
      <c r="C1286" s="123"/>
      <c r="D1286" s="124"/>
      <c r="E1286" s="124"/>
      <c r="F1286" s="125"/>
      <c r="G1286" s="171"/>
      <c r="H1286" s="171"/>
      <c r="I1286" s="172"/>
      <c r="J1286" s="171"/>
      <c r="K1286" s="171"/>
      <c r="L1286" s="171"/>
      <c r="M1286" s="171"/>
      <c r="N1286" s="171"/>
      <c r="O1286" s="171"/>
      <c r="P1286" s="171"/>
      <c r="Q1286" s="171"/>
      <c r="R1286" s="171"/>
      <c r="S1286" s="171"/>
      <c r="T1286" s="173"/>
      <c r="U1286" s="174"/>
      <c r="V1286" s="175"/>
      <c r="W1286" s="175"/>
      <c r="X1286" s="175"/>
      <c r="Y1286" s="175"/>
      <c r="Z1286" s="175"/>
      <c r="AA1286" s="175"/>
      <c r="AB1286" s="175"/>
      <c r="AC1286" s="175"/>
      <c r="AD1286" s="175"/>
      <c r="AE1286" s="175"/>
      <c r="AF1286" s="175"/>
      <c r="AG1286" s="175"/>
      <c r="AH1286" s="175"/>
      <c r="AI1286" s="175"/>
      <c r="AJ1286" s="175"/>
      <c r="AK1286" s="175"/>
      <c r="AL1286" s="175"/>
      <c r="AM1286" s="175"/>
      <c r="AN1286" s="175"/>
      <c r="AO1286" s="176"/>
      <c r="AP1286" s="177"/>
      <c r="AQ1286" s="175"/>
      <c r="AR1286" s="175"/>
      <c r="AS1286" s="178"/>
      <c r="AT1286" s="179"/>
    </row>
    <row r="1287" customFormat="false" ht="12.75" hidden="false" customHeight="true" outlineLevel="0" collapsed="false">
      <c r="B1287" s="141"/>
      <c r="C1287" s="132"/>
      <c r="D1287" s="133"/>
      <c r="E1287" s="133"/>
      <c r="F1287" s="134"/>
      <c r="G1287" s="180"/>
      <c r="H1287" s="180"/>
      <c r="I1287" s="181"/>
      <c r="J1287" s="180"/>
      <c r="K1287" s="180"/>
      <c r="L1287" s="180"/>
      <c r="M1287" s="180"/>
      <c r="N1287" s="180"/>
      <c r="O1287" s="180"/>
      <c r="P1287" s="180"/>
      <c r="Q1287" s="180"/>
      <c r="R1287" s="180"/>
      <c r="S1287" s="180"/>
      <c r="T1287" s="182"/>
      <c r="U1287" s="183"/>
      <c r="V1287" s="184"/>
      <c r="W1287" s="184"/>
      <c r="X1287" s="184"/>
      <c r="Y1287" s="184"/>
      <c r="Z1287" s="184"/>
      <c r="AA1287" s="184"/>
      <c r="AB1287" s="184"/>
      <c r="AC1287" s="184"/>
      <c r="AD1287" s="184"/>
      <c r="AE1287" s="184"/>
      <c r="AF1287" s="184"/>
      <c r="AG1287" s="184"/>
      <c r="AH1287" s="184"/>
      <c r="AI1287" s="184"/>
      <c r="AJ1287" s="184"/>
      <c r="AK1287" s="184"/>
      <c r="AL1287" s="184"/>
      <c r="AM1287" s="184"/>
      <c r="AN1287" s="184"/>
      <c r="AO1287" s="185"/>
      <c r="AP1287" s="186"/>
      <c r="AQ1287" s="184"/>
      <c r="AR1287" s="184"/>
      <c r="AS1287" s="187"/>
      <c r="AT1287" s="188"/>
    </row>
    <row r="1288" customFormat="false" ht="12.75" hidden="false" customHeight="true" outlineLevel="0" collapsed="false">
      <c r="B1288" s="122"/>
      <c r="C1288" s="123"/>
      <c r="D1288" s="124"/>
      <c r="E1288" s="124"/>
      <c r="F1288" s="125"/>
      <c r="G1288" s="171"/>
      <c r="H1288" s="171"/>
      <c r="I1288" s="172"/>
      <c r="J1288" s="171"/>
      <c r="K1288" s="171"/>
      <c r="L1288" s="171"/>
      <c r="M1288" s="171"/>
      <c r="N1288" s="171"/>
      <c r="O1288" s="171"/>
      <c r="P1288" s="171"/>
      <c r="Q1288" s="171"/>
      <c r="R1288" s="171"/>
      <c r="S1288" s="171"/>
      <c r="T1288" s="173"/>
      <c r="U1288" s="174"/>
      <c r="V1288" s="175"/>
      <c r="W1288" s="175"/>
      <c r="X1288" s="175"/>
      <c r="Y1288" s="175"/>
      <c r="Z1288" s="175"/>
      <c r="AA1288" s="175"/>
      <c r="AB1288" s="175"/>
      <c r="AC1288" s="175"/>
      <c r="AD1288" s="175"/>
      <c r="AE1288" s="175"/>
      <c r="AF1288" s="175"/>
      <c r="AG1288" s="175"/>
      <c r="AH1288" s="175"/>
      <c r="AI1288" s="175"/>
      <c r="AJ1288" s="175"/>
      <c r="AK1288" s="175"/>
      <c r="AL1288" s="175"/>
      <c r="AM1288" s="175"/>
      <c r="AN1288" s="175"/>
      <c r="AO1288" s="176"/>
      <c r="AP1288" s="177"/>
      <c r="AQ1288" s="175"/>
      <c r="AR1288" s="175"/>
      <c r="AS1288" s="178"/>
      <c r="AT1288" s="179"/>
    </row>
    <row r="1289" customFormat="false" ht="12.75" hidden="false" customHeight="true" outlineLevel="0" collapsed="false">
      <c r="B1289" s="122"/>
      <c r="C1289" s="123"/>
      <c r="D1289" s="124"/>
      <c r="E1289" s="124"/>
      <c r="F1289" s="125"/>
      <c r="G1289" s="171"/>
      <c r="H1289" s="171"/>
      <c r="I1289" s="172"/>
      <c r="J1289" s="171"/>
      <c r="K1289" s="171"/>
      <c r="L1289" s="171"/>
      <c r="M1289" s="171"/>
      <c r="N1289" s="171"/>
      <c r="O1289" s="171"/>
      <c r="P1289" s="171"/>
      <c r="Q1289" s="171"/>
      <c r="R1289" s="171"/>
      <c r="S1289" s="171"/>
      <c r="T1289" s="173"/>
      <c r="U1289" s="174"/>
      <c r="V1289" s="175"/>
      <c r="W1289" s="175"/>
      <c r="X1289" s="175"/>
      <c r="Y1289" s="175"/>
      <c r="Z1289" s="175"/>
      <c r="AA1289" s="175"/>
      <c r="AB1289" s="175"/>
      <c r="AC1289" s="175"/>
      <c r="AD1289" s="175"/>
      <c r="AE1289" s="175"/>
      <c r="AF1289" s="175"/>
      <c r="AG1289" s="175"/>
      <c r="AH1289" s="175"/>
      <c r="AI1289" s="175"/>
      <c r="AJ1289" s="175"/>
      <c r="AK1289" s="175"/>
      <c r="AL1289" s="175"/>
      <c r="AM1289" s="175"/>
      <c r="AN1289" s="175"/>
      <c r="AO1289" s="176"/>
      <c r="AP1289" s="177"/>
      <c r="AQ1289" s="175"/>
      <c r="AR1289" s="175"/>
      <c r="AS1289" s="178"/>
      <c r="AT1289" s="179"/>
    </row>
    <row r="1290" customFormat="false" ht="12.75" hidden="false" customHeight="true" outlineLevel="0" collapsed="false">
      <c r="B1290" s="122"/>
      <c r="C1290" s="123"/>
      <c r="D1290" s="124"/>
      <c r="E1290" s="124"/>
      <c r="F1290" s="125"/>
      <c r="G1290" s="171"/>
      <c r="H1290" s="171"/>
      <c r="I1290" s="172"/>
      <c r="J1290" s="171"/>
      <c r="K1290" s="171"/>
      <c r="L1290" s="171"/>
      <c r="M1290" s="171"/>
      <c r="N1290" s="171"/>
      <c r="O1290" s="171"/>
      <c r="P1290" s="171"/>
      <c r="Q1290" s="171"/>
      <c r="R1290" s="171"/>
      <c r="S1290" s="171"/>
      <c r="T1290" s="173"/>
      <c r="U1290" s="174"/>
      <c r="V1290" s="175"/>
      <c r="W1290" s="175"/>
      <c r="X1290" s="175"/>
      <c r="Y1290" s="175"/>
      <c r="Z1290" s="175"/>
      <c r="AA1290" s="175"/>
      <c r="AB1290" s="175"/>
      <c r="AC1290" s="175"/>
      <c r="AD1290" s="175"/>
      <c r="AE1290" s="175"/>
      <c r="AF1290" s="175"/>
      <c r="AG1290" s="175"/>
      <c r="AH1290" s="175"/>
      <c r="AI1290" s="175"/>
      <c r="AJ1290" s="175"/>
      <c r="AK1290" s="175"/>
      <c r="AL1290" s="175"/>
      <c r="AM1290" s="175"/>
      <c r="AN1290" s="175"/>
      <c r="AO1290" s="176"/>
      <c r="AP1290" s="177"/>
      <c r="AQ1290" s="175"/>
      <c r="AR1290" s="175"/>
      <c r="AS1290" s="178"/>
      <c r="AT1290" s="179"/>
    </row>
    <row r="1291" customFormat="false" ht="12.75" hidden="false" customHeight="true" outlineLevel="0" collapsed="false">
      <c r="B1291" s="141"/>
      <c r="C1291" s="132"/>
      <c r="D1291" s="133"/>
      <c r="E1291" s="133"/>
      <c r="F1291" s="134"/>
      <c r="G1291" s="180"/>
      <c r="H1291" s="180"/>
      <c r="I1291" s="181"/>
      <c r="J1291" s="180"/>
      <c r="K1291" s="180"/>
      <c r="L1291" s="180"/>
      <c r="M1291" s="180"/>
      <c r="N1291" s="180"/>
      <c r="O1291" s="180"/>
      <c r="P1291" s="180"/>
      <c r="Q1291" s="180"/>
      <c r="R1291" s="180"/>
      <c r="S1291" s="180"/>
      <c r="T1291" s="182"/>
      <c r="U1291" s="183"/>
      <c r="V1291" s="184"/>
      <c r="W1291" s="184"/>
      <c r="X1291" s="184"/>
      <c r="Y1291" s="184"/>
      <c r="Z1291" s="184"/>
      <c r="AA1291" s="184"/>
      <c r="AB1291" s="184"/>
      <c r="AC1291" s="184"/>
      <c r="AD1291" s="184"/>
      <c r="AE1291" s="184"/>
      <c r="AF1291" s="184"/>
      <c r="AG1291" s="184"/>
      <c r="AH1291" s="184"/>
      <c r="AI1291" s="184"/>
      <c r="AJ1291" s="184"/>
      <c r="AK1291" s="184"/>
      <c r="AL1291" s="184"/>
      <c r="AM1291" s="184"/>
      <c r="AN1291" s="184"/>
      <c r="AO1291" s="185"/>
      <c r="AP1291" s="186"/>
      <c r="AQ1291" s="184"/>
      <c r="AR1291" s="184"/>
      <c r="AS1291" s="187"/>
      <c r="AT1291" s="188"/>
    </row>
    <row r="1292" customFormat="false" ht="12.75" hidden="false" customHeight="true" outlineLevel="0" collapsed="false">
      <c r="B1292" s="122"/>
      <c r="C1292" s="123"/>
      <c r="D1292" s="124"/>
      <c r="E1292" s="124"/>
      <c r="F1292" s="125"/>
      <c r="G1292" s="171"/>
      <c r="H1292" s="171"/>
      <c r="I1292" s="172"/>
      <c r="J1292" s="171"/>
      <c r="K1292" s="171"/>
      <c r="L1292" s="171"/>
      <c r="M1292" s="171"/>
      <c r="N1292" s="171"/>
      <c r="O1292" s="171"/>
      <c r="P1292" s="171"/>
      <c r="Q1292" s="171"/>
      <c r="R1292" s="171"/>
      <c r="S1292" s="171"/>
      <c r="T1292" s="173"/>
      <c r="U1292" s="174"/>
      <c r="V1292" s="175"/>
      <c r="W1292" s="175"/>
      <c r="X1292" s="175"/>
      <c r="Y1292" s="175"/>
      <c r="Z1292" s="175"/>
      <c r="AA1292" s="175"/>
      <c r="AB1292" s="175"/>
      <c r="AC1292" s="175"/>
      <c r="AD1292" s="175"/>
      <c r="AE1292" s="175"/>
      <c r="AF1292" s="175"/>
      <c r="AG1292" s="175"/>
      <c r="AH1292" s="175"/>
      <c r="AI1292" s="175"/>
      <c r="AJ1292" s="175"/>
      <c r="AK1292" s="175"/>
      <c r="AL1292" s="175"/>
      <c r="AM1292" s="175"/>
      <c r="AN1292" s="175"/>
      <c r="AO1292" s="176"/>
      <c r="AP1292" s="177"/>
      <c r="AQ1292" s="175"/>
      <c r="AR1292" s="175"/>
      <c r="AS1292" s="178"/>
      <c r="AT1292" s="179"/>
    </row>
    <row r="1293" customFormat="false" ht="12.75" hidden="false" customHeight="true" outlineLevel="0" collapsed="false">
      <c r="B1293" s="122"/>
      <c r="C1293" s="123"/>
      <c r="D1293" s="124"/>
      <c r="E1293" s="124"/>
      <c r="F1293" s="125"/>
      <c r="G1293" s="171"/>
      <c r="H1293" s="171"/>
      <c r="I1293" s="172"/>
      <c r="J1293" s="171"/>
      <c r="K1293" s="171"/>
      <c r="L1293" s="171"/>
      <c r="M1293" s="171"/>
      <c r="N1293" s="171"/>
      <c r="O1293" s="171"/>
      <c r="P1293" s="171"/>
      <c r="Q1293" s="171"/>
      <c r="R1293" s="171"/>
      <c r="S1293" s="171"/>
      <c r="T1293" s="173"/>
      <c r="U1293" s="174"/>
      <c r="V1293" s="175"/>
      <c r="W1293" s="175"/>
      <c r="X1293" s="175"/>
      <c r="Y1293" s="175"/>
      <c r="Z1293" s="175"/>
      <c r="AA1293" s="175"/>
      <c r="AB1293" s="175"/>
      <c r="AC1293" s="175"/>
      <c r="AD1293" s="175"/>
      <c r="AE1293" s="175"/>
      <c r="AF1293" s="175"/>
      <c r="AG1293" s="175"/>
      <c r="AH1293" s="175"/>
      <c r="AI1293" s="175"/>
      <c r="AJ1293" s="175"/>
      <c r="AK1293" s="175"/>
      <c r="AL1293" s="175"/>
      <c r="AM1293" s="175"/>
      <c r="AN1293" s="175"/>
      <c r="AO1293" s="176"/>
      <c r="AP1293" s="177"/>
      <c r="AQ1293" s="175"/>
      <c r="AR1293" s="175"/>
      <c r="AS1293" s="178"/>
      <c r="AT1293" s="179"/>
    </row>
    <row r="1294" customFormat="false" ht="12.75" hidden="false" customHeight="true" outlineLevel="0" collapsed="false">
      <c r="B1294" s="122"/>
      <c r="C1294" s="123"/>
      <c r="D1294" s="124"/>
      <c r="E1294" s="124"/>
      <c r="F1294" s="125"/>
      <c r="G1294" s="171"/>
      <c r="H1294" s="171"/>
      <c r="I1294" s="172"/>
      <c r="J1294" s="171"/>
      <c r="K1294" s="171"/>
      <c r="L1294" s="171"/>
      <c r="M1294" s="171"/>
      <c r="N1294" s="171"/>
      <c r="O1294" s="171"/>
      <c r="P1294" s="171"/>
      <c r="Q1294" s="171"/>
      <c r="R1294" s="171"/>
      <c r="S1294" s="171"/>
      <c r="T1294" s="173"/>
      <c r="U1294" s="174"/>
      <c r="V1294" s="175"/>
      <c r="W1294" s="175"/>
      <c r="X1294" s="175"/>
      <c r="Y1294" s="175"/>
      <c r="Z1294" s="175"/>
      <c r="AA1294" s="175"/>
      <c r="AB1294" s="175"/>
      <c r="AC1294" s="175"/>
      <c r="AD1294" s="175"/>
      <c r="AE1294" s="175"/>
      <c r="AF1294" s="175"/>
      <c r="AG1294" s="175"/>
      <c r="AH1294" s="175"/>
      <c r="AI1294" s="175"/>
      <c r="AJ1294" s="175"/>
      <c r="AK1294" s="175"/>
      <c r="AL1294" s="175"/>
      <c r="AM1294" s="175"/>
      <c r="AN1294" s="175"/>
      <c r="AO1294" s="176"/>
      <c r="AP1294" s="177"/>
      <c r="AQ1294" s="175"/>
      <c r="AR1294" s="175"/>
      <c r="AS1294" s="178"/>
      <c r="AT1294" s="179"/>
    </row>
    <row r="1295" customFormat="false" ht="12.75" hidden="false" customHeight="true" outlineLevel="0" collapsed="false">
      <c r="B1295" s="122"/>
      <c r="C1295" s="123"/>
      <c r="D1295" s="124"/>
      <c r="E1295" s="124"/>
      <c r="F1295" s="125"/>
      <c r="G1295" s="171"/>
      <c r="H1295" s="171"/>
      <c r="I1295" s="172"/>
      <c r="J1295" s="171"/>
      <c r="K1295" s="171"/>
      <c r="L1295" s="171"/>
      <c r="M1295" s="171"/>
      <c r="N1295" s="171"/>
      <c r="O1295" s="171"/>
      <c r="P1295" s="171"/>
      <c r="Q1295" s="171"/>
      <c r="R1295" s="171"/>
      <c r="S1295" s="171"/>
      <c r="T1295" s="173"/>
      <c r="U1295" s="174"/>
      <c r="V1295" s="175"/>
      <c r="W1295" s="175"/>
      <c r="X1295" s="175"/>
      <c r="Y1295" s="175"/>
      <c r="Z1295" s="175"/>
      <c r="AA1295" s="175"/>
      <c r="AB1295" s="175"/>
      <c r="AC1295" s="175"/>
      <c r="AD1295" s="175"/>
      <c r="AE1295" s="175"/>
      <c r="AF1295" s="175"/>
      <c r="AG1295" s="175"/>
      <c r="AH1295" s="175"/>
      <c r="AI1295" s="175"/>
      <c r="AJ1295" s="175"/>
      <c r="AK1295" s="175"/>
      <c r="AL1295" s="175"/>
      <c r="AM1295" s="175"/>
      <c r="AN1295" s="175"/>
      <c r="AO1295" s="176"/>
      <c r="AP1295" s="177"/>
      <c r="AQ1295" s="175"/>
      <c r="AR1295" s="175"/>
      <c r="AS1295" s="178"/>
      <c r="AT1295" s="179"/>
    </row>
    <row r="1296" customFormat="false" ht="12.75" hidden="false" customHeight="true" outlineLevel="0" collapsed="false">
      <c r="B1296" s="141"/>
      <c r="C1296" s="132"/>
      <c r="D1296" s="133"/>
      <c r="E1296" s="133"/>
      <c r="F1296" s="134"/>
      <c r="G1296" s="180"/>
      <c r="H1296" s="180"/>
      <c r="I1296" s="181"/>
      <c r="J1296" s="180"/>
      <c r="K1296" s="180"/>
      <c r="L1296" s="180"/>
      <c r="M1296" s="180"/>
      <c r="N1296" s="180"/>
      <c r="O1296" s="180"/>
      <c r="P1296" s="180"/>
      <c r="Q1296" s="180"/>
      <c r="R1296" s="180"/>
      <c r="S1296" s="180"/>
      <c r="T1296" s="182"/>
      <c r="U1296" s="183"/>
      <c r="V1296" s="184"/>
      <c r="W1296" s="184"/>
      <c r="X1296" s="184"/>
      <c r="Y1296" s="184"/>
      <c r="Z1296" s="184"/>
      <c r="AA1296" s="184"/>
      <c r="AB1296" s="184"/>
      <c r="AC1296" s="184"/>
      <c r="AD1296" s="184"/>
      <c r="AE1296" s="184"/>
      <c r="AF1296" s="184"/>
      <c r="AG1296" s="184"/>
      <c r="AH1296" s="184"/>
      <c r="AI1296" s="184"/>
      <c r="AJ1296" s="184"/>
      <c r="AK1296" s="184"/>
      <c r="AL1296" s="184"/>
      <c r="AM1296" s="184"/>
      <c r="AN1296" s="184"/>
      <c r="AO1296" s="185"/>
      <c r="AP1296" s="186"/>
      <c r="AQ1296" s="184"/>
      <c r="AR1296" s="184"/>
      <c r="AS1296" s="187"/>
      <c r="AT1296" s="188"/>
    </row>
    <row r="1297" customFormat="false" ht="12.75" hidden="false" customHeight="true" outlineLevel="0" collapsed="false">
      <c r="B1297" s="122"/>
      <c r="C1297" s="123"/>
      <c r="D1297" s="124"/>
      <c r="E1297" s="124"/>
      <c r="F1297" s="125"/>
      <c r="G1297" s="171"/>
      <c r="H1297" s="171"/>
      <c r="I1297" s="172"/>
      <c r="J1297" s="171"/>
      <c r="K1297" s="171"/>
      <c r="L1297" s="171"/>
      <c r="M1297" s="171"/>
      <c r="N1297" s="171"/>
      <c r="O1297" s="171"/>
      <c r="P1297" s="171"/>
      <c r="Q1297" s="171"/>
      <c r="R1297" s="171"/>
      <c r="S1297" s="171"/>
      <c r="T1297" s="173"/>
      <c r="U1297" s="174"/>
      <c r="V1297" s="175"/>
      <c r="W1297" s="175"/>
      <c r="X1297" s="175"/>
      <c r="Y1297" s="175"/>
      <c r="Z1297" s="175"/>
      <c r="AA1297" s="175"/>
      <c r="AB1297" s="175"/>
      <c r="AC1297" s="175"/>
      <c r="AD1297" s="175"/>
      <c r="AE1297" s="175"/>
      <c r="AF1297" s="175"/>
      <c r="AG1297" s="175"/>
      <c r="AH1297" s="175"/>
      <c r="AI1297" s="175"/>
      <c r="AJ1297" s="175"/>
      <c r="AK1297" s="175"/>
      <c r="AL1297" s="175"/>
      <c r="AM1297" s="175"/>
      <c r="AN1297" s="175"/>
      <c r="AO1297" s="176"/>
      <c r="AP1297" s="177"/>
      <c r="AQ1297" s="175"/>
      <c r="AR1297" s="175"/>
      <c r="AS1297" s="178"/>
      <c r="AT1297" s="179"/>
    </row>
    <row r="1298" customFormat="false" ht="12.75" hidden="false" customHeight="true" outlineLevel="0" collapsed="false">
      <c r="B1298" s="122"/>
      <c r="C1298" s="123"/>
      <c r="D1298" s="124"/>
      <c r="E1298" s="124"/>
      <c r="F1298" s="125"/>
      <c r="G1298" s="171"/>
      <c r="H1298" s="171"/>
      <c r="I1298" s="172"/>
      <c r="J1298" s="171"/>
      <c r="K1298" s="171"/>
      <c r="L1298" s="171"/>
      <c r="M1298" s="171"/>
      <c r="N1298" s="171"/>
      <c r="O1298" s="171"/>
      <c r="P1298" s="171"/>
      <c r="Q1298" s="171"/>
      <c r="R1298" s="171"/>
      <c r="S1298" s="171"/>
      <c r="T1298" s="173"/>
      <c r="U1298" s="174"/>
      <c r="V1298" s="175"/>
      <c r="W1298" s="175"/>
      <c r="X1298" s="175"/>
      <c r="Y1298" s="175"/>
      <c r="Z1298" s="175"/>
      <c r="AA1298" s="175"/>
      <c r="AB1298" s="175"/>
      <c r="AC1298" s="175"/>
      <c r="AD1298" s="175"/>
      <c r="AE1298" s="175"/>
      <c r="AF1298" s="175"/>
      <c r="AG1298" s="175"/>
      <c r="AH1298" s="175"/>
      <c r="AI1298" s="175"/>
      <c r="AJ1298" s="175"/>
      <c r="AK1298" s="175"/>
      <c r="AL1298" s="175"/>
      <c r="AM1298" s="175"/>
      <c r="AN1298" s="175"/>
      <c r="AO1298" s="176"/>
      <c r="AP1298" s="177"/>
      <c r="AQ1298" s="175"/>
      <c r="AR1298" s="175"/>
      <c r="AS1298" s="178"/>
      <c r="AT1298" s="179"/>
    </row>
    <row r="1299" customFormat="false" ht="12.75" hidden="false" customHeight="true" outlineLevel="0" collapsed="false">
      <c r="B1299" s="122"/>
      <c r="C1299" s="123"/>
      <c r="D1299" s="124"/>
      <c r="E1299" s="124"/>
      <c r="F1299" s="125"/>
      <c r="G1299" s="171"/>
      <c r="H1299" s="171"/>
      <c r="I1299" s="172"/>
      <c r="J1299" s="171"/>
      <c r="K1299" s="171"/>
      <c r="L1299" s="171"/>
      <c r="M1299" s="171"/>
      <c r="N1299" s="171"/>
      <c r="O1299" s="171"/>
      <c r="P1299" s="171"/>
      <c r="Q1299" s="171"/>
      <c r="R1299" s="171"/>
      <c r="S1299" s="171"/>
      <c r="T1299" s="173"/>
      <c r="U1299" s="174"/>
      <c r="V1299" s="175"/>
      <c r="W1299" s="175"/>
      <c r="X1299" s="175"/>
      <c r="Y1299" s="175"/>
      <c r="Z1299" s="175"/>
      <c r="AA1299" s="175"/>
      <c r="AB1299" s="175"/>
      <c r="AC1299" s="175"/>
      <c r="AD1299" s="175"/>
      <c r="AE1299" s="175"/>
      <c r="AF1299" s="175"/>
      <c r="AG1299" s="175"/>
      <c r="AH1299" s="175"/>
      <c r="AI1299" s="175"/>
      <c r="AJ1299" s="175"/>
      <c r="AK1299" s="175"/>
      <c r="AL1299" s="175"/>
      <c r="AM1299" s="175"/>
      <c r="AN1299" s="175"/>
      <c r="AO1299" s="176"/>
      <c r="AP1299" s="177"/>
      <c r="AQ1299" s="175"/>
      <c r="AR1299" s="175"/>
      <c r="AS1299" s="178"/>
      <c r="AT1299" s="179"/>
    </row>
    <row r="1300" customFormat="false" ht="12.75" hidden="false" customHeight="true" outlineLevel="0" collapsed="false">
      <c r="B1300" s="122"/>
      <c r="C1300" s="123"/>
      <c r="D1300" s="124"/>
      <c r="E1300" s="124"/>
      <c r="F1300" s="125"/>
      <c r="G1300" s="171"/>
      <c r="H1300" s="171"/>
      <c r="I1300" s="172"/>
      <c r="J1300" s="171"/>
      <c r="K1300" s="171"/>
      <c r="L1300" s="171"/>
      <c r="M1300" s="171"/>
      <c r="N1300" s="171"/>
      <c r="O1300" s="171"/>
      <c r="P1300" s="171"/>
      <c r="Q1300" s="171"/>
      <c r="R1300" s="171"/>
      <c r="S1300" s="171"/>
      <c r="T1300" s="173"/>
      <c r="U1300" s="174"/>
      <c r="V1300" s="175"/>
      <c r="W1300" s="175"/>
      <c r="X1300" s="175"/>
      <c r="Y1300" s="175"/>
      <c r="Z1300" s="175"/>
      <c r="AA1300" s="175"/>
      <c r="AB1300" s="175"/>
      <c r="AC1300" s="175"/>
      <c r="AD1300" s="175"/>
      <c r="AE1300" s="175"/>
      <c r="AF1300" s="175"/>
      <c r="AG1300" s="175"/>
      <c r="AH1300" s="175"/>
      <c r="AI1300" s="175"/>
      <c r="AJ1300" s="175"/>
      <c r="AK1300" s="175"/>
      <c r="AL1300" s="175"/>
      <c r="AM1300" s="175"/>
      <c r="AN1300" s="175"/>
      <c r="AO1300" s="176"/>
      <c r="AP1300" s="177"/>
      <c r="AQ1300" s="175"/>
      <c r="AR1300" s="175"/>
      <c r="AS1300" s="178"/>
      <c r="AT1300" s="179"/>
    </row>
    <row r="1301" customFormat="false" ht="12.75" hidden="false" customHeight="true" outlineLevel="0" collapsed="false">
      <c r="B1301" s="141"/>
      <c r="C1301" s="132"/>
      <c r="D1301" s="133"/>
      <c r="E1301" s="133"/>
      <c r="F1301" s="134"/>
      <c r="G1301" s="180"/>
      <c r="H1301" s="180"/>
      <c r="I1301" s="181"/>
      <c r="J1301" s="180"/>
      <c r="K1301" s="180"/>
      <c r="L1301" s="180"/>
      <c r="M1301" s="180"/>
      <c r="N1301" s="180"/>
      <c r="O1301" s="180"/>
      <c r="P1301" s="180"/>
      <c r="Q1301" s="180"/>
      <c r="R1301" s="180"/>
      <c r="S1301" s="180"/>
      <c r="T1301" s="182"/>
      <c r="U1301" s="183"/>
      <c r="V1301" s="184"/>
      <c r="W1301" s="184"/>
      <c r="X1301" s="184"/>
      <c r="Y1301" s="184"/>
      <c r="Z1301" s="184"/>
      <c r="AA1301" s="184"/>
      <c r="AB1301" s="184"/>
      <c r="AC1301" s="184"/>
      <c r="AD1301" s="184"/>
      <c r="AE1301" s="184"/>
      <c r="AF1301" s="184"/>
      <c r="AG1301" s="184"/>
      <c r="AH1301" s="184"/>
      <c r="AI1301" s="184"/>
      <c r="AJ1301" s="184"/>
      <c r="AK1301" s="184"/>
      <c r="AL1301" s="184"/>
      <c r="AM1301" s="184"/>
      <c r="AN1301" s="184"/>
      <c r="AO1301" s="185"/>
      <c r="AP1301" s="186"/>
      <c r="AQ1301" s="184"/>
      <c r="AR1301" s="184"/>
      <c r="AS1301" s="187"/>
      <c r="AT1301" s="188"/>
    </row>
    <row r="1302" customFormat="false" ht="12.75" hidden="false" customHeight="true" outlineLevel="0" collapsed="false">
      <c r="B1302" s="122"/>
      <c r="C1302" s="123"/>
      <c r="D1302" s="124"/>
      <c r="E1302" s="124"/>
      <c r="F1302" s="125"/>
      <c r="G1302" s="171"/>
      <c r="H1302" s="171"/>
      <c r="I1302" s="172"/>
      <c r="J1302" s="171"/>
      <c r="K1302" s="171"/>
      <c r="L1302" s="171"/>
      <c r="M1302" s="171"/>
      <c r="N1302" s="171"/>
      <c r="O1302" s="171"/>
      <c r="P1302" s="171"/>
      <c r="Q1302" s="171"/>
      <c r="R1302" s="171"/>
      <c r="S1302" s="171"/>
      <c r="T1302" s="173"/>
      <c r="U1302" s="174"/>
      <c r="V1302" s="175"/>
      <c r="W1302" s="175"/>
      <c r="X1302" s="175"/>
      <c r="Y1302" s="175"/>
      <c r="Z1302" s="175"/>
      <c r="AA1302" s="175"/>
      <c r="AB1302" s="175"/>
      <c r="AC1302" s="175"/>
      <c r="AD1302" s="175"/>
      <c r="AE1302" s="175"/>
      <c r="AF1302" s="175"/>
      <c r="AG1302" s="175"/>
      <c r="AH1302" s="175"/>
      <c r="AI1302" s="175"/>
      <c r="AJ1302" s="175"/>
      <c r="AK1302" s="175"/>
      <c r="AL1302" s="175"/>
      <c r="AM1302" s="175"/>
      <c r="AN1302" s="175"/>
      <c r="AO1302" s="176"/>
      <c r="AP1302" s="177"/>
      <c r="AQ1302" s="175"/>
      <c r="AR1302" s="175"/>
      <c r="AS1302" s="178"/>
      <c r="AT1302" s="179"/>
    </row>
    <row r="1303" customFormat="false" ht="12.75" hidden="false" customHeight="true" outlineLevel="0" collapsed="false">
      <c r="B1303" s="122"/>
      <c r="C1303" s="123"/>
      <c r="D1303" s="124"/>
      <c r="E1303" s="124"/>
      <c r="F1303" s="125"/>
      <c r="G1303" s="171"/>
      <c r="H1303" s="171"/>
      <c r="I1303" s="172"/>
      <c r="J1303" s="171"/>
      <c r="K1303" s="171"/>
      <c r="L1303" s="171"/>
      <c r="M1303" s="171"/>
      <c r="N1303" s="171"/>
      <c r="O1303" s="171"/>
      <c r="P1303" s="171"/>
      <c r="Q1303" s="171"/>
      <c r="R1303" s="171"/>
      <c r="S1303" s="171"/>
      <c r="T1303" s="173"/>
      <c r="U1303" s="174"/>
      <c r="V1303" s="175"/>
      <c r="W1303" s="175"/>
      <c r="X1303" s="175"/>
      <c r="Y1303" s="175"/>
      <c r="Z1303" s="175"/>
      <c r="AA1303" s="175"/>
      <c r="AB1303" s="175"/>
      <c r="AC1303" s="175"/>
      <c r="AD1303" s="175"/>
      <c r="AE1303" s="175"/>
      <c r="AF1303" s="175"/>
      <c r="AG1303" s="175"/>
      <c r="AH1303" s="175"/>
      <c r="AI1303" s="175"/>
      <c r="AJ1303" s="175"/>
      <c r="AK1303" s="175"/>
      <c r="AL1303" s="175"/>
      <c r="AM1303" s="175"/>
      <c r="AN1303" s="175"/>
      <c r="AO1303" s="176"/>
      <c r="AP1303" s="177"/>
      <c r="AQ1303" s="175"/>
      <c r="AR1303" s="175"/>
      <c r="AS1303" s="178"/>
      <c r="AT1303" s="179"/>
    </row>
    <row r="1304" customFormat="false" ht="12.75" hidden="false" customHeight="true" outlineLevel="0" collapsed="false">
      <c r="B1304" s="122"/>
      <c r="C1304" s="123"/>
      <c r="D1304" s="124"/>
      <c r="E1304" s="124"/>
      <c r="F1304" s="125"/>
      <c r="G1304" s="171"/>
      <c r="H1304" s="171"/>
      <c r="I1304" s="172"/>
      <c r="J1304" s="171"/>
      <c r="K1304" s="171"/>
      <c r="L1304" s="171"/>
      <c r="M1304" s="171"/>
      <c r="N1304" s="171"/>
      <c r="O1304" s="171"/>
      <c r="P1304" s="171"/>
      <c r="Q1304" s="171"/>
      <c r="R1304" s="171"/>
      <c r="S1304" s="171"/>
      <c r="T1304" s="173"/>
      <c r="U1304" s="174"/>
      <c r="V1304" s="175"/>
      <c r="W1304" s="175"/>
      <c r="X1304" s="175"/>
      <c r="Y1304" s="175"/>
      <c r="Z1304" s="175"/>
      <c r="AA1304" s="175"/>
      <c r="AB1304" s="175"/>
      <c r="AC1304" s="175"/>
      <c r="AD1304" s="175"/>
      <c r="AE1304" s="175"/>
      <c r="AF1304" s="175"/>
      <c r="AG1304" s="175"/>
      <c r="AH1304" s="175"/>
      <c r="AI1304" s="175"/>
      <c r="AJ1304" s="175"/>
      <c r="AK1304" s="175"/>
      <c r="AL1304" s="175"/>
      <c r="AM1304" s="175"/>
      <c r="AN1304" s="175"/>
      <c r="AO1304" s="176"/>
      <c r="AP1304" s="177"/>
      <c r="AQ1304" s="175"/>
      <c r="AR1304" s="175"/>
      <c r="AS1304" s="178"/>
      <c r="AT1304" s="179"/>
    </row>
    <row r="1305" customFormat="false" ht="12.75" hidden="false" customHeight="true" outlineLevel="0" collapsed="false">
      <c r="B1305" s="122"/>
      <c r="C1305" s="123"/>
      <c r="D1305" s="124"/>
      <c r="E1305" s="124"/>
      <c r="F1305" s="125"/>
      <c r="G1305" s="171"/>
      <c r="H1305" s="171"/>
      <c r="I1305" s="172"/>
      <c r="J1305" s="171"/>
      <c r="K1305" s="171"/>
      <c r="L1305" s="171"/>
      <c r="M1305" s="171"/>
      <c r="N1305" s="171"/>
      <c r="O1305" s="171"/>
      <c r="P1305" s="171"/>
      <c r="Q1305" s="171"/>
      <c r="R1305" s="171"/>
      <c r="S1305" s="171"/>
      <c r="T1305" s="173"/>
      <c r="U1305" s="174"/>
      <c r="V1305" s="175"/>
      <c r="W1305" s="175"/>
      <c r="X1305" s="175"/>
      <c r="Y1305" s="175"/>
      <c r="Z1305" s="175"/>
      <c r="AA1305" s="175"/>
      <c r="AB1305" s="175"/>
      <c r="AC1305" s="175"/>
      <c r="AD1305" s="175"/>
      <c r="AE1305" s="175"/>
      <c r="AF1305" s="175"/>
      <c r="AG1305" s="175"/>
      <c r="AH1305" s="175"/>
      <c r="AI1305" s="175"/>
      <c r="AJ1305" s="175"/>
      <c r="AK1305" s="175"/>
      <c r="AL1305" s="175"/>
      <c r="AM1305" s="175"/>
      <c r="AN1305" s="175"/>
      <c r="AO1305" s="176"/>
      <c r="AP1305" s="177"/>
      <c r="AQ1305" s="175"/>
      <c r="AR1305" s="175"/>
      <c r="AS1305" s="178"/>
      <c r="AT1305" s="179"/>
    </row>
    <row r="1306" customFormat="false" ht="12.75" hidden="false" customHeight="true" outlineLevel="0" collapsed="false">
      <c r="B1306" s="141"/>
      <c r="C1306" s="132"/>
      <c r="D1306" s="133"/>
      <c r="E1306" s="133"/>
      <c r="F1306" s="134"/>
      <c r="G1306" s="180"/>
      <c r="H1306" s="180"/>
      <c r="I1306" s="181"/>
      <c r="J1306" s="180"/>
      <c r="K1306" s="180"/>
      <c r="L1306" s="180"/>
      <c r="M1306" s="180"/>
      <c r="N1306" s="180"/>
      <c r="O1306" s="180"/>
      <c r="P1306" s="180"/>
      <c r="Q1306" s="180"/>
      <c r="R1306" s="180"/>
      <c r="S1306" s="180"/>
      <c r="T1306" s="182"/>
      <c r="U1306" s="183"/>
      <c r="V1306" s="184"/>
      <c r="W1306" s="184"/>
      <c r="X1306" s="184"/>
      <c r="Y1306" s="184"/>
      <c r="Z1306" s="184"/>
      <c r="AA1306" s="184"/>
      <c r="AB1306" s="184"/>
      <c r="AC1306" s="184"/>
      <c r="AD1306" s="184"/>
      <c r="AE1306" s="184"/>
      <c r="AF1306" s="184"/>
      <c r="AG1306" s="184"/>
      <c r="AH1306" s="184"/>
      <c r="AI1306" s="184"/>
      <c r="AJ1306" s="184"/>
      <c r="AK1306" s="184"/>
      <c r="AL1306" s="184"/>
      <c r="AM1306" s="184"/>
      <c r="AN1306" s="184"/>
      <c r="AO1306" s="185"/>
      <c r="AP1306" s="186"/>
      <c r="AQ1306" s="184"/>
      <c r="AR1306" s="184"/>
      <c r="AS1306" s="187"/>
      <c r="AT1306" s="188"/>
    </row>
    <row r="1307" customFormat="false" ht="12.75" hidden="false" customHeight="true" outlineLevel="0" collapsed="false">
      <c r="B1307" s="122"/>
      <c r="C1307" s="123"/>
      <c r="D1307" s="124"/>
      <c r="E1307" s="124"/>
      <c r="F1307" s="125"/>
      <c r="G1307" s="171"/>
      <c r="H1307" s="171"/>
      <c r="I1307" s="172"/>
      <c r="J1307" s="171"/>
      <c r="K1307" s="171"/>
      <c r="L1307" s="171"/>
      <c r="M1307" s="171"/>
      <c r="N1307" s="171"/>
      <c r="O1307" s="171"/>
      <c r="P1307" s="171"/>
      <c r="Q1307" s="171"/>
      <c r="R1307" s="171"/>
      <c r="S1307" s="171"/>
      <c r="T1307" s="173"/>
      <c r="U1307" s="174"/>
      <c r="V1307" s="175"/>
      <c r="W1307" s="175"/>
      <c r="X1307" s="175"/>
      <c r="Y1307" s="175"/>
      <c r="Z1307" s="175"/>
      <c r="AA1307" s="175"/>
      <c r="AB1307" s="175"/>
      <c r="AC1307" s="175"/>
      <c r="AD1307" s="175"/>
      <c r="AE1307" s="175"/>
      <c r="AF1307" s="175"/>
      <c r="AG1307" s="175"/>
      <c r="AH1307" s="175"/>
      <c r="AI1307" s="175"/>
      <c r="AJ1307" s="175"/>
      <c r="AK1307" s="175"/>
      <c r="AL1307" s="175"/>
      <c r="AM1307" s="175"/>
      <c r="AN1307" s="175"/>
      <c r="AO1307" s="176"/>
      <c r="AP1307" s="177"/>
      <c r="AQ1307" s="175"/>
      <c r="AR1307" s="175"/>
      <c r="AS1307" s="178"/>
      <c r="AT1307" s="179"/>
    </row>
    <row r="1308" customFormat="false" ht="12.75" hidden="false" customHeight="true" outlineLevel="0" collapsed="false">
      <c r="B1308" s="122"/>
      <c r="C1308" s="123"/>
      <c r="D1308" s="124"/>
      <c r="E1308" s="124"/>
      <c r="F1308" s="125"/>
      <c r="G1308" s="171"/>
      <c r="H1308" s="171"/>
      <c r="I1308" s="172"/>
      <c r="J1308" s="171"/>
      <c r="K1308" s="171"/>
      <c r="L1308" s="171"/>
      <c r="M1308" s="171"/>
      <c r="N1308" s="171"/>
      <c r="O1308" s="171"/>
      <c r="P1308" s="171"/>
      <c r="Q1308" s="171"/>
      <c r="R1308" s="171"/>
      <c r="S1308" s="171"/>
      <c r="T1308" s="173"/>
      <c r="U1308" s="174"/>
      <c r="V1308" s="175"/>
      <c r="W1308" s="175"/>
      <c r="X1308" s="175"/>
      <c r="Y1308" s="175"/>
      <c r="Z1308" s="175"/>
      <c r="AA1308" s="175"/>
      <c r="AB1308" s="175"/>
      <c r="AC1308" s="175"/>
      <c r="AD1308" s="175"/>
      <c r="AE1308" s="175"/>
      <c r="AF1308" s="175"/>
      <c r="AG1308" s="175"/>
      <c r="AH1308" s="175"/>
      <c r="AI1308" s="175"/>
      <c r="AJ1308" s="175"/>
      <c r="AK1308" s="175"/>
      <c r="AL1308" s="175"/>
      <c r="AM1308" s="175"/>
      <c r="AN1308" s="175"/>
      <c r="AO1308" s="176"/>
      <c r="AP1308" s="177"/>
      <c r="AQ1308" s="175"/>
      <c r="AR1308" s="175"/>
      <c r="AS1308" s="178"/>
      <c r="AT1308" s="179"/>
    </row>
    <row r="1309" customFormat="false" ht="12.75" hidden="false" customHeight="true" outlineLevel="0" collapsed="false">
      <c r="B1309" s="122"/>
      <c r="C1309" s="123"/>
      <c r="D1309" s="124"/>
      <c r="E1309" s="124"/>
      <c r="F1309" s="125"/>
      <c r="G1309" s="171"/>
      <c r="H1309" s="171"/>
      <c r="I1309" s="172"/>
      <c r="J1309" s="171"/>
      <c r="K1309" s="171"/>
      <c r="L1309" s="171"/>
      <c r="M1309" s="171"/>
      <c r="N1309" s="171"/>
      <c r="O1309" s="171"/>
      <c r="P1309" s="171"/>
      <c r="Q1309" s="171"/>
      <c r="R1309" s="171"/>
      <c r="S1309" s="171"/>
      <c r="T1309" s="173"/>
      <c r="U1309" s="174"/>
      <c r="V1309" s="175"/>
      <c r="W1309" s="175"/>
      <c r="X1309" s="175"/>
      <c r="Y1309" s="175"/>
      <c r="Z1309" s="175"/>
      <c r="AA1309" s="175"/>
      <c r="AB1309" s="175"/>
      <c r="AC1309" s="175"/>
      <c r="AD1309" s="175"/>
      <c r="AE1309" s="175"/>
      <c r="AF1309" s="175"/>
      <c r="AG1309" s="175"/>
      <c r="AH1309" s="175"/>
      <c r="AI1309" s="175"/>
      <c r="AJ1309" s="175"/>
      <c r="AK1309" s="175"/>
      <c r="AL1309" s="175"/>
      <c r="AM1309" s="175"/>
      <c r="AN1309" s="175"/>
      <c r="AO1309" s="176"/>
      <c r="AP1309" s="177"/>
      <c r="AQ1309" s="175"/>
      <c r="AR1309" s="175"/>
      <c r="AS1309" s="178"/>
      <c r="AT1309" s="179"/>
    </row>
    <row r="1310" customFormat="false" ht="12.75" hidden="false" customHeight="true" outlineLevel="0" collapsed="false">
      <c r="B1310" s="141"/>
      <c r="C1310" s="132"/>
      <c r="D1310" s="133"/>
      <c r="E1310" s="133"/>
      <c r="F1310" s="134"/>
      <c r="G1310" s="180"/>
      <c r="H1310" s="180"/>
      <c r="I1310" s="181"/>
      <c r="J1310" s="180"/>
      <c r="K1310" s="180"/>
      <c r="L1310" s="180"/>
      <c r="M1310" s="180"/>
      <c r="N1310" s="180"/>
      <c r="O1310" s="180"/>
      <c r="P1310" s="180"/>
      <c r="Q1310" s="180"/>
      <c r="R1310" s="180"/>
      <c r="S1310" s="180"/>
      <c r="T1310" s="182"/>
      <c r="U1310" s="183"/>
      <c r="V1310" s="184"/>
      <c r="W1310" s="184"/>
      <c r="X1310" s="184"/>
      <c r="Y1310" s="184"/>
      <c r="Z1310" s="184"/>
      <c r="AA1310" s="184"/>
      <c r="AB1310" s="184"/>
      <c r="AC1310" s="184"/>
      <c r="AD1310" s="184"/>
      <c r="AE1310" s="184"/>
      <c r="AF1310" s="184"/>
      <c r="AG1310" s="184"/>
      <c r="AH1310" s="184"/>
      <c r="AI1310" s="184"/>
      <c r="AJ1310" s="184"/>
      <c r="AK1310" s="184"/>
      <c r="AL1310" s="184"/>
      <c r="AM1310" s="184"/>
      <c r="AN1310" s="184"/>
      <c r="AO1310" s="185"/>
      <c r="AP1310" s="186"/>
      <c r="AQ1310" s="184"/>
      <c r="AR1310" s="184"/>
      <c r="AS1310" s="187"/>
      <c r="AT1310" s="188"/>
    </row>
    <row r="1311" customFormat="false" ht="12.75" hidden="false" customHeight="true" outlineLevel="0" collapsed="false">
      <c r="B1311" s="122"/>
      <c r="C1311" s="123"/>
      <c r="D1311" s="124"/>
      <c r="E1311" s="124"/>
      <c r="F1311" s="125"/>
      <c r="G1311" s="171"/>
      <c r="H1311" s="171"/>
      <c r="I1311" s="172"/>
      <c r="J1311" s="171"/>
      <c r="K1311" s="171"/>
      <c r="L1311" s="171"/>
      <c r="M1311" s="171"/>
      <c r="N1311" s="171"/>
      <c r="O1311" s="171"/>
      <c r="P1311" s="171"/>
      <c r="Q1311" s="171"/>
      <c r="R1311" s="171"/>
      <c r="S1311" s="171"/>
      <c r="T1311" s="173"/>
      <c r="U1311" s="174"/>
      <c r="V1311" s="175"/>
      <c r="W1311" s="175"/>
      <c r="X1311" s="175"/>
      <c r="Y1311" s="175"/>
      <c r="Z1311" s="175"/>
      <c r="AA1311" s="175"/>
      <c r="AB1311" s="175"/>
      <c r="AC1311" s="175"/>
      <c r="AD1311" s="175"/>
      <c r="AE1311" s="175"/>
      <c r="AF1311" s="175"/>
      <c r="AG1311" s="175"/>
      <c r="AH1311" s="175"/>
      <c r="AI1311" s="175"/>
      <c r="AJ1311" s="175"/>
      <c r="AK1311" s="175"/>
      <c r="AL1311" s="175"/>
      <c r="AM1311" s="175"/>
      <c r="AN1311" s="175"/>
      <c r="AO1311" s="176"/>
      <c r="AP1311" s="177"/>
      <c r="AQ1311" s="175"/>
      <c r="AR1311" s="175"/>
      <c r="AS1311" s="178"/>
      <c r="AT1311" s="179"/>
    </row>
    <row r="1312" customFormat="false" ht="12.75" hidden="false" customHeight="true" outlineLevel="0" collapsed="false">
      <c r="B1312" s="122"/>
      <c r="C1312" s="123"/>
      <c r="D1312" s="124"/>
      <c r="E1312" s="124"/>
      <c r="F1312" s="125"/>
      <c r="G1312" s="171"/>
      <c r="H1312" s="171"/>
      <c r="I1312" s="172"/>
      <c r="J1312" s="171"/>
      <c r="K1312" s="171"/>
      <c r="L1312" s="171"/>
      <c r="M1312" s="171"/>
      <c r="N1312" s="171"/>
      <c r="O1312" s="171"/>
      <c r="P1312" s="171"/>
      <c r="Q1312" s="171"/>
      <c r="R1312" s="171"/>
      <c r="S1312" s="171"/>
      <c r="T1312" s="173"/>
      <c r="U1312" s="174"/>
      <c r="V1312" s="175"/>
      <c r="W1312" s="175"/>
      <c r="X1312" s="175"/>
      <c r="Y1312" s="175"/>
      <c r="Z1312" s="175"/>
      <c r="AA1312" s="175"/>
      <c r="AB1312" s="175"/>
      <c r="AC1312" s="175"/>
      <c r="AD1312" s="175"/>
      <c r="AE1312" s="175"/>
      <c r="AF1312" s="175"/>
      <c r="AG1312" s="175"/>
      <c r="AH1312" s="175"/>
      <c r="AI1312" s="175"/>
      <c r="AJ1312" s="175"/>
      <c r="AK1312" s="175"/>
      <c r="AL1312" s="175"/>
      <c r="AM1312" s="175"/>
      <c r="AN1312" s="175"/>
      <c r="AO1312" s="176"/>
      <c r="AP1312" s="177"/>
      <c r="AQ1312" s="175"/>
      <c r="AR1312" s="175"/>
      <c r="AS1312" s="178"/>
      <c r="AT1312" s="179"/>
    </row>
    <row r="1313" customFormat="false" ht="12.75" hidden="false" customHeight="true" outlineLevel="0" collapsed="false">
      <c r="B1313" s="122"/>
      <c r="C1313" s="123"/>
      <c r="D1313" s="124"/>
      <c r="E1313" s="124"/>
      <c r="F1313" s="125"/>
      <c r="G1313" s="171"/>
      <c r="H1313" s="171"/>
      <c r="I1313" s="172"/>
      <c r="J1313" s="171"/>
      <c r="K1313" s="171"/>
      <c r="L1313" s="171"/>
      <c r="M1313" s="171"/>
      <c r="N1313" s="171"/>
      <c r="O1313" s="171"/>
      <c r="P1313" s="171"/>
      <c r="Q1313" s="171"/>
      <c r="R1313" s="171"/>
      <c r="S1313" s="171"/>
      <c r="T1313" s="173"/>
      <c r="U1313" s="174"/>
      <c r="V1313" s="175"/>
      <c r="W1313" s="175"/>
      <c r="X1313" s="175"/>
      <c r="Y1313" s="175"/>
      <c r="Z1313" s="175"/>
      <c r="AA1313" s="175"/>
      <c r="AB1313" s="175"/>
      <c r="AC1313" s="175"/>
      <c r="AD1313" s="175"/>
      <c r="AE1313" s="175"/>
      <c r="AF1313" s="175"/>
      <c r="AG1313" s="175"/>
      <c r="AH1313" s="175"/>
      <c r="AI1313" s="175"/>
      <c r="AJ1313" s="175"/>
      <c r="AK1313" s="175"/>
      <c r="AL1313" s="175"/>
      <c r="AM1313" s="175"/>
      <c r="AN1313" s="175"/>
      <c r="AO1313" s="176"/>
      <c r="AP1313" s="177"/>
      <c r="AQ1313" s="175"/>
      <c r="AR1313" s="175"/>
      <c r="AS1313" s="178"/>
      <c r="AT1313" s="179"/>
    </row>
    <row r="1314" customFormat="false" ht="12.75" hidden="false" customHeight="true" outlineLevel="0" collapsed="false">
      <c r="B1314" s="122"/>
      <c r="C1314" s="123"/>
      <c r="D1314" s="124"/>
      <c r="E1314" s="124"/>
      <c r="F1314" s="125"/>
      <c r="G1314" s="171"/>
      <c r="H1314" s="171"/>
      <c r="I1314" s="172"/>
      <c r="J1314" s="171"/>
      <c r="K1314" s="171"/>
      <c r="L1314" s="171"/>
      <c r="M1314" s="171"/>
      <c r="N1314" s="171"/>
      <c r="O1314" s="171"/>
      <c r="P1314" s="171"/>
      <c r="Q1314" s="171"/>
      <c r="R1314" s="171"/>
      <c r="S1314" s="171"/>
      <c r="T1314" s="173"/>
      <c r="U1314" s="174"/>
      <c r="V1314" s="175"/>
      <c r="W1314" s="175"/>
      <c r="X1314" s="175"/>
      <c r="Y1314" s="175"/>
      <c r="Z1314" s="175"/>
      <c r="AA1314" s="175"/>
      <c r="AB1314" s="175"/>
      <c r="AC1314" s="175"/>
      <c r="AD1314" s="175"/>
      <c r="AE1314" s="175"/>
      <c r="AF1314" s="175"/>
      <c r="AG1314" s="175"/>
      <c r="AH1314" s="175"/>
      <c r="AI1314" s="175"/>
      <c r="AJ1314" s="175"/>
      <c r="AK1314" s="175"/>
      <c r="AL1314" s="175"/>
      <c r="AM1314" s="175"/>
      <c r="AN1314" s="175"/>
      <c r="AO1314" s="176"/>
      <c r="AP1314" s="177"/>
      <c r="AQ1314" s="175"/>
      <c r="AR1314" s="175"/>
      <c r="AS1314" s="178"/>
      <c r="AT1314" s="179"/>
    </row>
    <row r="1315" customFormat="false" ht="12.75" hidden="false" customHeight="true" outlineLevel="0" collapsed="false">
      <c r="B1315" s="141"/>
      <c r="C1315" s="132"/>
      <c r="D1315" s="133"/>
      <c r="E1315" s="133"/>
      <c r="F1315" s="134"/>
      <c r="G1315" s="180"/>
      <c r="H1315" s="180"/>
      <c r="I1315" s="181"/>
      <c r="J1315" s="180"/>
      <c r="K1315" s="180"/>
      <c r="L1315" s="180"/>
      <c r="M1315" s="180"/>
      <c r="N1315" s="180"/>
      <c r="O1315" s="180"/>
      <c r="P1315" s="180"/>
      <c r="Q1315" s="180"/>
      <c r="R1315" s="180"/>
      <c r="S1315" s="180"/>
      <c r="T1315" s="182"/>
      <c r="U1315" s="183"/>
      <c r="V1315" s="184"/>
      <c r="W1315" s="184"/>
      <c r="X1315" s="184"/>
      <c r="Y1315" s="184"/>
      <c r="Z1315" s="184"/>
      <c r="AA1315" s="184"/>
      <c r="AB1315" s="184"/>
      <c r="AC1315" s="184"/>
      <c r="AD1315" s="184"/>
      <c r="AE1315" s="184"/>
      <c r="AF1315" s="184"/>
      <c r="AG1315" s="184"/>
      <c r="AH1315" s="184"/>
      <c r="AI1315" s="184"/>
      <c r="AJ1315" s="184"/>
      <c r="AK1315" s="184"/>
      <c r="AL1315" s="184"/>
      <c r="AM1315" s="184"/>
      <c r="AN1315" s="184"/>
      <c r="AO1315" s="185"/>
      <c r="AP1315" s="186"/>
      <c r="AQ1315" s="184"/>
      <c r="AR1315" s="184"/>
      <c r="AS1315" s="187"/>
      <c r="AT1315" s="188"/>
    </row>
    <row r="1316" customFormat="false" ht="12.75" hidden="false" customHeight="true" outlineLevel="0" collapsed="false">
      <c r="B1316" s="122"/>
      <c r="C1316" s="123"/>
      <c r="D1316" s="124"/>
      <c r="E1316" s="124"/>
      <c r="F1316" s="125"/>
      <c r="G1316" s="171"/>
      <c r="H1316" s="171"/>
      <c r="I1316" s="172"/>
      <c r="J1316" s="171"/>
      <c r="K1316" s="171"/>
      <c r="L1316" s="171"/>
      <c r="M1316" s="171"/>
      <c r="N1316" s="171"/>
      <c r="O1316" s="171"/>
      <c r="P1316" s="171"/>
      <c r="Q1316" s="171"/>
      <c r="R1316" s="171"/>
      <c r="S1316" s="171"/>
      <c r="T1316" s="173"/>
      <c r="U1316" s="174"/>
      <c r="V1316" s="175"/>
      <c r="W1316" s="175"/>
      <c r="X1316" s="175"/>
      <c r="Y1316" s="175"/>
      <c r="Z1316" s="175"/>
      <c r="AA1316" s="175"/>
      <c r="AB1316" s="175"/>
      <c r="AC1316" s="175"/>
      <c r="AD1316" s="175"/>
      <c r="AE1316" s="175"/>
      <c r="AF1316" s="175"/>
      <c r="AG1316" s="175"/>
      <c r="AH1316" s="175"/>
      <c r="AI1316" s="175"/>
      <c r="AJ1316" s="175"/>
      <c r="AK1316" s="175"/>
      <c r="AL1316" s="175"/>
      <c r="AM1316" s="175"/>
      <c r="AN1316" s="175"/>
      <c r="AO1316" s="176"/>
      <c r="AP1316" s="177"/>
      <c r="AQ1316" s="175"/>
      <c r="AR1316" s="175"/>
      <c r="AS1316" s="178"/>
      <c r="AT1316" s="179"/>
    </row>
    <row r="1317" customFormat="false" ht="12.75" hidden="false" customHeight="true" outlineLevel="0" collapsed="false">
      <c r="B1317" s="122"/>
      <c r="C1317" s="123"/>
      <c r="D1317" s="124"/>
      <c r="E1317" s="124"/>
      <c r="F1317" s="125"/>
      <c r="G1317" s="171"/>
      <c r="H1317" s="171"/>
      <c r="I1317" s="172"/>
      <c r="J1317" s="171"/>
      <c r="K1317" s="171"/>
      <c r="L1317" s="171"/>
      <c r="M1317" s="171"/>
      <c r="N1317" s="171"/>
      <c r="O1317" s="171"/>
      <c r="P1317" s="171"/>
      <c r="Q1317" s="171"/>
      <c r="R1317" s="171"/>
      <c r="S1317" s="171"/>
      <c r="T1317" s="173"/>
      <c r="U1317" s="174"/>
      <c r="V1317" s="175"/>
      <c r="W1317" s="175"/>
      <c r="X1317" s="175"/>
      <c r="Y1317" s="175"/>
      <c r="Z1317" s="175"/>
      <c r="AA1317" s="175"/>
      <c r="AB1317" s="175"/>
      <c r="AC1317" s="175"/>
      <c r="AD1317" s="175"/>
      <c r="AE1317" s="175"/>
      <c r="AF1317" s="175"/>
      <c r="AG1317" s="175"/>
      <c r="AH1317" s="175"/>
      <c r="AI1317" s="175"/>
      <c r="AJ1317" s="175"/>
      <c r="AK1317" s="175"/>
      <c r="AL1317" s="175"/>
      <c r="AM1317" s="175"/>
      <c r="AN1317" s="175"/>
      <c r="AO1317" s="176"/>
      <c r="AP1317" s="177"/>
      <c r="AQ1317" s="175"/>
      <c r="AR1317" s="175"/>
      <c r="AS1317" s="178"/>
      <c r="AT1317" s="179"/>
    </row>
    <row r="1318" customFormat="false" ht="12.75" hidden="false" customHeight="true" outlineLevel="0" collapsed="false">
      <c r="B1318" s="122"/>
      <c r="C1318" s="123"/>
      <c r="D1318" s="124"/>
      <c r="E1318" s="124"/>
      <c r="F1318" s="125"/>
      <c r="G1318" s="171"/>
      <c r="H1318" s="171"/>
      <c r="I1318" s="172"/>
      <c r="J1318" s="171"/>
      <c r="K1318" s="171"/>
      <c r="L1318" s="171"/>
      <c r="M1318" s="171"/>
      <c r="N1318" s="171"/>
      <c r="O1318" s="171"/>
      <c r="P1318" s="171"/>
      <c r="Q1318" s="171"/>
      <c r="R1318" s="171"/>
      <c r="S1318" s="171"/>
      <c r="T1318" s="173"/>
      <c r="U1318" s="174"/>
      <c r="V1318" s="175"/>
      <c r="W1318" s="175"/>
      <c r="X1318" s="175"/>
      <c r="Y1318" s="175"/>
      <c r="Z1318" s="175"/>
      <c r="AA1318" s="175"/>
      <c r="AB1318" s="175"/>
      <c r="AC1318" s="175"/>
      <c r="AD1318" s="175"/>
      <c r="AE1318" s="175"/>
      <c r="AF1318" s="175"/>
      <c r="AG1318" s="175"/>
      <c r="AH1318" s="175"/>
      <c r="AI1318" s="175"/>
      <c r="AJ1318" s="175"/>
      <c r="AK1318" s="175"/>
      <c r="AL1318" s="175"/>
      <c r="AM1318" s="175"/>
      <c r="AN1318" s="175"/>
      <c r="AO1318" s="176"/>
      <c r="AP1318" s="177"/>
      <c r="AQ1318" s="175"/>
      <c r="AR1318" s="175"/>
      <c r="AS1318" s="178"/>
      <c r="AT1318" s="179"/>
    </row>
    <row r="1319" customFormat="false" ht="12.75" hidden="false" customHeight="true" outlineLevel="0" collapsed="false">
      <c r="B1319" s="122"/>
      <c r="C1319" s="123"/>
      <c r="D1319" s="124"/>
      <c r="E1319" s="124"/>
      <c r="F1319" s="125"/>
      <c r="G1319" s="171"/>
      <c r="H1319" s="171"/>
      <c r="I1319" s="172"/>
      <c r="J1319" s="171"/>
      <c r="K1319" s="171"/>
      <c r="L1319" s="171"/>
      <c r="M1319" s="171"/>
      <c r="N1319" s="171"/>
      <c r="O1319" s="171"/>
      <c r="P1319" s="171"/>
      <c r="Q1319" s="171"/>
      <c r="R1319" s="171"/>
      <c r="S1319" s="171"/>
      <c r="T1319" s="173"/>
      <c r="U1319" s="174"/>
      <c r="V1319" s="175"/>
      <c r="W1319" s="175"/>
      <c r="X1319" s="175"/>
      <c r="Y1319" s="175"/>
      <c r="Z1319" s="175"/>
      <c r="AA1319" s="175"/>
      <c r="AB1319" s="175"/>
      <c r="AC1319" s="175"/>
      <c r="AD1319" s="175"/>
      <c r="AE1319" s="175"/>
      <c r="AF1319" s="175"/>
      <c r="AG1319" s="175"/>
      <c r="AH1319" s="175"/>
      <c r="AI1319" s="175"/>
      <c r="AJ1319" s="175"/>
      <c r="AK1319" s="175"/>
      <c r="AL1319" s="175"/>
      <c r="AM1319" s="175"/>
      <c r="AN1319" s="175"/>
      <c r="AO1319" s="176"/>
      <c r="AP1319" s="177"/>
      <c r="AQ1319" s="175"/>
      <c r="AR1319" s="175"/>
      <c r="AS1319" s="178"/>
      <c r="AT1319" s="179"/>
    </row>
    <row r="1320" customFormat="false" ht="12.75" hidden="false" customHeight="true" outlineLevel="0" collapsed="false">
      <c r="B1320" s="141"/>
      <c r="C1320" s="132"/>
      <c r="D1320" s="133"/>
      <c r="E1320" s="133"/>
      <c r="F1320" s="134"/>
      <c r="G1320" s="180"/>
      <c r="H1320" s="180"/>
      <c r="I1320" s="181"/>
      <c r="J1320" s="180"/>
      <c r="K1320" s="180"/>
      <c r="L1320" s="180"/>
      <c r="M1320" s="180"/>
      <c r="N1320" s="180"/>
      <c r="O1320" s="180"/>
      <c r="P1320" s="180"/>
      <c r="Q1320" s="180"/>
      <c r="R1320" s="180"/>
      <c r="S1320" s="180"/>
      <c r="T1320" s="182"/>
      <c r="U1320" s="183"/>
      <c r="V1320" s="184"/>
      <c r="W1320" s="184"/>
      <c r="X1320" s="184"/>
      <c r="Y1320" s="184"/>
      <c r="Z1320" s="184"/>
      <c r="AA1320" s="184"/>
      <c r="AB1320" s="184"/>
      <c r="AC1320" s="184"/>
      <c r="AD1320" s="184"/>
      <c r="AE1320" s="184"/>
      <c r="AF1320" s="184"/>
      <c r="AG1320" s="184"/>
      <c r="AH1320" s="184"/>
      <c r="AI1320" s="184"/>
      <c r="AJ1320" s="184"/>
      <c r="AK1320" s="184"/>
      <c r="AL1320" s="184"/>
      <c r="AM1320" s="184"/>
      <c r="AN1320" s="184"/>
      <c r="AO1320" s="185"/>
      <c r="AP1320" s="186"/>
      <c r="AQ1320" s="184"/>
      <c r="AR1320" s="184"/>
      <c r="AS1320" s="187"/>
      <c r="AT1320" s="188"/>
    </row>
    <row r="1321" customFormat="false" ht="12.75" hidden="false" customHeight="true" outlineLevel="0" collapsed="false">
      <c r="B1321" s="122"/>
      <c r="C1321" s="123"/>
      <c r="D1321" s="124"/>
      <c r="E1321" s="124"/>
      <c r="F1321" s="125"/>
      <c r="G1321" s="171"/>
      <c r="H1321" s="172"/>
      <c r="I1321" s="171"/>
      <c r="J1321" s="171"/>
      <c r="K1321" s="171"/>
      <c r="L1321" s="171"/>
      <c r="M1321" s="171"/>
      <c r="N1321" s="171"/>
      <c r="O1321" s="171"/>
      <c r="P1321" s="171"/>
      <c r="Q1321" s="171"/>
      <c r="R1321" s="171"/>
      <c r="S1321" s="171"/>
      <c r="T1321" s="176"/>
      <c r="U1321" s="174"/>
      <c r="V1321" s="175"/>
      <c r="W1321" s="175"/>
      <c r="X1321" s="175"/>
      <c r="Y1321" s="175"/>
      <c r="Z1321" s="175"/>
      <c r="AA1321" s="175"/>
      <c r="AB1321" s="175"/>
      <c r="AC1321" s="175"/>
      <c r="AD1321" s="175"/>
      <c r="AE1321" s="175"/>
      <c r="AF1321" s="175"/>
      <c r="AG1321" s="175"/>
      <c r="AH1321" s="175"/>
      <c r="AI1321" s="175"/>
      <c r="AJ1321" s="175"/>
      <c r="AK1321" s="175"/>
      <c r="AL1321" s="175"/>
      <c r="AM1321" s="175"/>
      <c r="AN1321" s="175"/>
      <c r="AO1321" s="176"/>
      <c r="AP1321" s="174"/>
      <c r="AQ1321" s="175"/>
      <c r="AR1321" s="175"/>
      <c r="AS1321" s="189"/>
      <c r="AT1321" s="179"/>
    </row>
    <row r="1322" customFormat="false" ht="12.75" hidden="false" customHeight="true" outlineLevel="0" collapsed="false">
      <c r="B1322" s="122"/>
      <c r="C1322" s="123"/>
      <c r="D1322" s="124"/>
      <c r="E1322" s="124"/>
      <c r="F1322" s="125"/>
      <c r="G1322" s="171"/>
      <c r="H1322" s="171"/>
      <c r="I1322" s="172"/>
      <c r="J1322" s="171"/>
      <c r="K1322" s="171"/>
      <c r="L1322" s="171"/>
      <c r="M1322" s="171"/>
      <c r="N1322" s="171"/>
      <c r="O1322" s="171"/>
      <c r="P1322" s="171"/>
      <c r="Q1322" s="171"/>
      <c r="R1322" s="171"/>
      <c r="S1322" s="171"/>
      <c r="T1322" s="173"/>
      <c r="U1322" s="174"/>
      <c r="V1322" s="175"/>
      <c r="W1322" s="175"/>
      <c r="X1322" s="175"/>
      <c r="Y1322" s="175"/>
      <c r="Z1322" s="175"/>
      <c r="AA1322" s="175"/>
      <c r="AB1322" s="175"/>
      <c r="AC1322" s="175"/>
      <c r="AD1322" s="175"/>
      <c r="AE1322" s="175"/>
      <c r="AF1322" s="175"/>
      <c r="AG1322" s="175"/>
      <c r="AH1322" s="175"/>
      <c r="AI1322" s="175"/>
      <c r="AJ1322" s="175"/>
      <c r="AK1322" s="175"/>
      <c r="AL1322" s="175"/>
      <c r="AM1322" s="175"/>
      <c r="AN1322" s="175"/>
      <c r="AO1322" s="176"/>
      <c r="AP1322" s="177"/>
      <c r="AQ1322" s="175"/>
      <c r="AR1322" s="175"/>
      <c r="AS1322" s="178"/>
      <c r="AT1322" s="179"/>
    </row>
    <row r="1323" customFormat="false" ht="12.75" hidden="false" customHeight="true" outlineLevel="0" collapsed="false">
      <c r="B1323" s="122"/>
      <c r="C1323" s="123"/>
      <c r="D1323" s="124"/>
      <c r="E1323" s="124"/>
      <c r="F1323" s="125"/>
      <c r="G1323" s="171"/>
      <c r="H1323" s="171"/>
      <c r="I1323" s="172"/>
      <c r="J1323" s="171"/>
      <c r="K1323" s="171"/>
      <c r="L1323" s="171"/>
      <c r="M1323" s="171"/>
      <c r="N1323" s="171"/>
      <c r="O1323" s="171"/>
      <c r="P1323" s="171"/>
      <c r="Q1323" s="171"/>
      <c r="R1323" s="171"/>
      <c r="S1323" s="171"/>
      <c r="T1323" s="173"/>
      <c r="U1323" s="174"/>
      <c r="V1323" s="175"/>
      <c r="W1323" s="175"/>
      <c r="X1323" s="175"/>
      <c r="Y1323" s="175"/>
      <c r="Z1323" s="175"/>
      <c r="AA1323" s="175"/>
      <c r="AB1323" s="175"/>
      <c r="AC1323" s="175"/>
      <c r="AD1323" s="175"/>
      <c r="AE1323" s="175"/>
      <c r="AF1323" s="175"/>
      <c r="AG1323" s="175"/>
      <c r="AH1323" s="175"/>
      <c r="AI1323" s="175"/>
      <c r="AJ1323" s="175"/>
      <c r="AK1323" s="175"/>
      <c r="AL1323" s="175"/>
      <c r="AM1323" s="175"/>
      <c r="AN1323" s="175"/>
      <c r="AO1323" s="176"/>
      <c r="AP1323" s="177"/>
      <c r="AQ1323" s="175"/>
      <c r="AR1323" s="175"/>
      <c r="AS1323" s="178"/>
      <c r="AT1323" s="179"/>
    </row>
    <row r="1324" customFormat="false" ht="12.75" hidden="false" customHeight="true" outlineLevel="0" collapsed="false">
      <c r="B1324" s="122"/>
      <c r="C1324" s="123"/>
      <c r="D1324" s="124"/>
      <c r="E1324" s="124"/>
      <c r="F1324" s="125"/>
      <c r="G1324" s="171"/>
      <c r="H1324" s="171"/>
      <c r="I1324" s="172"/>
      <c r="J1324" s="171"/>
      <c r="K1324" s="171"/>
      <c r="L1324" s="171"/>
      <c r="M1324" s="171"/>
      <c r="N1324" s="171"/>
      <c r="O1324" s="171"/>
      <c r="P1324" s="171"/>
      <c r="Q1324" s="171"/>
      <c r="R1324" s="171"/>
      <c r="S1324" s="171"/>
      <c r="T1324" s="173"/>
      <c r="U1324" s="174"/>
      <c r="V1324" s="175"/>
      <c r="W1324" s="175"/>
      <c r="X1324" s="175"/>
      <c r="Y1324" s="175"/>
      <c r="Z1324" s="175"/>
      <c r="AA1324" s="175"/>
      <c r="AB1324" s="175"/>
      <c r="AC1324" s="175"/>
      <c r="AD1324" s="175"/>
      <c r="AE1324" s="175"/>
      <c r="AF1324" s="175"/>
      <c r="AG1324" s="175"/>
      <c r="AH1324" s="175"/>
      <c r="AI1324" s="175"/>
      <c r="AJ1324" s="175"/>
      <c r="AK1324" s="175"/>
      <c r="AL1324" s="175"/>
      <c r="AM1324" s="175"/>
      <c r="AN1324" s="175"/>
      <c r="AO1324" s="176"/>
      <c r="AP1324" s="177"/>
      <c r="AQ1324" s="175"/>
      <c r="AR1324" s="175"/>
      <c r="AS1324" s="178"/>
      <c r="AT1324" s="179"/>
    </row>
    <row r="1325" customFormat="false" ht="12.75" hidden="false" customHeight="true" outlineLevel="0" collapsed="false">
      <c r="B1325" s="190"/>
      <c r="C1325" s="191"/>
      <c r="D1325" s="192"/>
      <c r="E1325" s="193"/>
      <c r="F1325" s="194"/>
      <c r="G1325" s="195"/>
      <c r="H1325" s="195"/>
      <c r="I1325" s="196"/>
      <c r="J1325" s="195"/>
      <c r="K1325" s="195"/>
      <c r="L1325" s="195"/>
      <c r="M1325" s="195"/>
      <c r="N1325" s="195"/>
      <c r="O1325" s="195"/>
      <c r="P1325" s="195"/>
      <c r="Q1325" s="195"/>
      <c r="R1325" s="195"/>
      <c r="S1325" s="195"/>
      <c r="T1325" s="197"/>
      <c r="U1325" s="198"/>
      <c r="V1325" s="199"/>
      <c r="W1325" s="199"/>
      <c r="X1325" s="199"/>
      <c r="Y1325" s="199"/>
      <c r="Z1325" s="199"/>
      <c r="AA1325" s="199"/>
      <c r="AB1325" s="199"/>
      <c r="AC1325" s="199"/>
      <c r="AD1325" s="199"/>
      <c r="AE1325" s="199"/>
      <c r="AF1325" s="199"/>
      <c r="AG1325" s="199"/>
      <c r="AH1325" s="199"/>
      <c r="AI1325" s="199"/>
      <c r="AJ1325" s="199"/>
      <c r="AK1325" s="199"/>
      <c r="AL1325" s="199"/>
      <c r="AM1325" s="199"/>
      <c r="AN1325" s="199"/>
      <c r="AO1325" s="200"/>
      <c r="AP1325" s="201"/>
      <c r="AQ1325" s="199"/>
      <c r="AR1325" s="199"/>
      <c r="AS1325" s="202"/>
      <c r="AT1325" s="203"/>
    </row>
    <row r="1326" customFormat="false" ht="12.75" hidden="false" customHeight="true" outlineLevel="0" collapsed="false"/>
    <row r="1327" customFormat="false" ht="12.75" hidden="false" customHeight="true" outlineLevel="0" collapsed="false"/>
    <row r="1328" customFormat="false" ht="12.75" hidden="false" customHeight="true" outlineLevel="0" collapsed="false"/>
    <row r="1329" customFormat="false" ht="12.75" hidden="false" customHeight="true" outlineLevel="0" collapsed="false"/>
    <row r="1330" customFormat="false" ht="12.75" hidden="false" customHeight="true" outlineLevel="0" collapsed="false"/>
    <row r="1331" customFormat="false" ht="12.75" hidden="false" customHeight="true" outlineLevel="0" collapsed="false"/>
    <row r="1332" customFormat="false" ht="12.75" hidden="false" customHeight="true" outlineLevel="0" collapsed="false"/>
    <row r="1333" customFormat="false" ht="12.75" hidden="false" customHeight="true" outlineLevel="0" collapsed="false"/>
    <row r="1334" customFormat="false" ht="12.75" hidden="false" customHeight="true" outlineLevel="0" collapsed="false"/>
    <row r="1335" customFormat="false" ht="12.75" hidden="false" customHeight="true" outlineLevel="0" collapsed="false"/>
    <row r="1336" customFormat="false" ht="12.75" hidden="false" customHeight="true" outlineLevel="0" collapsed="false"/>
    <row r="1337" customFormat="false" ht="12.75" hidden="false" customHeight="true" outlineLevel="0" collapsed="false"/>
    <row r="1338" customFormat="false" ht="12.75" hidden="false" customHeight="true" outlineLevel="0" collapsed="false"/>
    <row r="1339" customFormat="false" ht="12.75" hidden="false" customHeight="true" outlineLevel="0" collapsed="false"/>
    <row r="1340" customFormat="false" ht="12.75" hidden="false" customHeight="true" outlineLevel="0" collapsed="false"/>
    <row r="1341" customFormat="false" ht="12.75" hidden="false" customHeight="true" outlineLevel="0" collapsed="false"/>
    <row r="1342" customFormat="false" ht="12.75" hidden="false" customHeight="true" outlineLevel="0" collapsed="false"/>
    <row r="1343" customFormat="false" ht="12.75" hidden="false" customHeight="true" outlineLevel="0" collapsed="false"/>
    <row r="1344" customFormat="false" ht="12.75" hidden="false" customHeight="true" outlineLevel="0" collapsed="false"/>
    <row r="1345" customFormat="false" ht="12.75" hidden="false" customHeight="true" outlineLevel="0" collapsed="false"/>
    <row r="1346" customFormat="false" ht="12.75" hidden="false" customHeight="true" outlineLevel="0" collapsed="false"/>
    <row r="1347" customFormat="false" ht="12.75" hidden="false" customHeight="true" outlineLevel="0" collapsed="false"/>
    <row r="1348" customFormat="false" ht="12.75" hidden="false" customHeight="true" outlineLevel="0" collapsed="false"/>
    <row r="1349" customFormat="false" ht="12.75" hidden="false" customHeight="true" outlineLevel="0" collapsed="false"/>
    <row r="1350" customFormat="false" ht="12.75" hidden="false" customHeight="true" outlineLevel="0" collapsed="false"/>
    <row r="1351" customFormat="false" ht="12.75" hidden="false" customHeight="true" outlineLevel="0" collapsed="false"/>
    <row r="1352" customFormat="false" ht="12.75" hidden="false" customHeight="true" outlineLevel="0" collapsed="false"/>
    <row r="1353" customFormat="false" ht="12.75" hidden="false" customHeight="true" outlineLevel="0" collapsed="false"/>
    <row r="1354" customFormat="false" ht="12.75" hidden="false" customHeight="true" outlineLevel="0" collapsed="false"/>
    <row r="1355" customFormat="false" ht="12.75" hidden="false" customHeight="true" outlineLevel="0" collapsed="false"/>
    <row r="1356" customFormat="false" ht="12.75" hidden="false" customHeight="true" outlineLevel="0" collapsed="false"/>
    <row r="1357" customFormat="false" ht="12.75" hidden="false" customHeight="true" outlineLevel="0" collapsed="false"/>
    <row r="1358" customFormat="false" ht="12.75" hidden="false" customHeight="true" outlineLevel="0" collapsed="false"/>
    <row r="1359" customFormat="false" ht="12.75" hidden="false" customHeight="true" outlineLevel="0" collapsed="false"/>
    <row r="1360" customFormat="false" ht="12.75" hidden="false" customHeight="true" outlineLevel="0" collapsed="false"/>
    <row r="1361" customFormat="false" ht="12.75" hidden="false" customHeight="true" outlineLevel="0" collapsed="false"/>
    <row r="1362" customFormat="false" ht="12.75" hidden="false" customHeight="true" outlineLevel="0" collapsed="false"/>
    <row r="1363" customFormat="false" ht="12.75" hidden="false" customHeight="true" outlineLevel="0" collapsed="false"/>
    <row r="1364" customFormat="false" ht="12.75" hidden="false" customHeight="true" outlineLevel="0" collapsed="false"/>
    <row r="1365" customFormat="false" ht="12.75" hidden="false" customHeight="true" outlineLevel="0" collapsed="false"/>
    <row r="1366" customFormat="false" ht="12.75" hidden="false" customHeight="true" outlineLevel="0" collapsed="false"/>
    <row r="1367" customFormat="false" ht="12.75" hidden="false" customHeight="true" outlineLevel="0" collapsed="false"/>
    <row r="1368" customFormat="false" ht="12.75" hidden="false" customHeight="true" outlineLevel="0" collapsed="false"/>
    <row r="1369" customFormat="false" ht="12.75" hidden="false" customHeight="true" outlineLevel="0" collapsed="false"/>
    <row r="1370" customFormat="false" ht="12.75" hidden="false" customHeight="true" outlineLevel="0" collapsed="false"/>
    <row r="1371" customFormat="false" ht="12.75" hidden="false" customHeight="true" outlineLevel="0" collapsed="false"/>
    <row r="1372" customFormat="false" ht="12.75" hidden="false" customHeight="true" outlineLevel="0" collapsed="false"/>
    <row r="1373" customFormat="false" ht="12.75" hidden="false" customHeight="true" outlineLevel="0" collapsed="false"/>
    <row r="1374" customFormat="false" ht="12.75" hidden="false" customHeight="true" outlineLevel="0" collapsed="false"/>
    <row r="1375" customFormat="false" ht="12.75" hidden="false" customHeight="true" outlineLevel="0" collapsed="false"/>
    <row r="1376" customFormat="false" ht="12.75" hidden="false" customHeight="true" outlineLevel="0" collapsed="false"/>
    <row r="1377" customFormat="false" ht="12.75" hidden="false" customHeight="true" outlineLevel="0" collapsed="false"/>
    <row r="1378" customFormat="false" ht="12.75" hidden="false" customHeight="true" outlineLevel="0" collapsed="false"/>
    <row r="1379" customFormat="false" ht="12.75" hidden="false" customHeight="true" outlineLevel="0" collapsed="false"/>
    <row r="1380" customFormat="false" ht="12.75" hidden="false" customHeight="true" outlineLevel="0" collapsed="false"/>
    <row r="1381" customFormat="false" ht="12.75" hidden="false" customHeight="true" outlineLevel="0" collapsed="false"/>
    <row r="1382" customFormat="false" ht="12.75" hidden="false" customHeight="true" outlineLevel="0" collapsed="false"/>
    <row r="1383" customFormat="false" ht="12.75" hidden="false" customHeight="true" outlineLevel="0" collapsed="false"/>
    <row r="1384" customFormat="false" ht="12.75" hidden="false" customHeight="true" outlineLevel="0" collapsed="false"/>
    <row r="1385" customFormat="false" ht="12.75" hidden="false" customHeight="true" outlineLevel="0" collapsed="false"/>
    <row r="1386" customFormat="false" ht="12.75" hidden="false" customHeight="true" outlineLevel="0" collapsed="false"/>
    <row r="1387" customFormat="false" ht="12.75" hidden="false" customHeight="true" outlineLevel="0" collapsed="false"/>
    <row r="1388" customFormat="false" ht="12.75" hidden="false" customHeight="true" outlineLevel="0" collapsed="false"/>
    <row r="1389" customFormat="false" ht="12.75" hidden="false" customHeight="true" outlineLevel="0" collapsed="false"/>
    <row r="1390" customFormat="false" ht="12.75" hidden="false" customHeight="true" outlineLevel="0" collapsed="false"/>
    <row r="1391" customFormat="false" ht="12.75" hidden="false" customHeight="true" outlineLevel="0" collapsed="false"/>
    <row r="1392" customFormat="false" ht="12.75" hidden="false" customHeight="true" outlineLevel="0" collapsed="false"/>
    <row r="1393" customFormat="false" ht="12.75" hidden="false" customHeight="true" outlineLevel="0" collapsed="false"/>
    <row r="1394" customFormat="false" ht="12.75" hidden="false" customHeight="true" outlineLevel="0" collapsed="false"/>
    <row r="1395" customFormat="false" ht="12.75" hidden="false" customHeight="true" outlineLevel="0" collapsed="false"/>
    <row r="1396" customFormat="false" ht="12.75" hidden="false" customHeight="true" outlineLevel="0" collapsed="false"/>
    <row r="1397" customFormat="false" ht="12.75" hidden="false" customHeight="true" outlineLevel="0" collapsed="false"/>
    <row r="1398" customFormat="false" ht="12.75" hidden="false" customHeight="true" outlineLevel="0" collapsed="false"/>
    <row r="1399" customFormat="false" ht="12.75" hidden="false" customHeight="true" outlineLevel="0" collapsed="false"/>
    <row r="1400" customFormat="false" ht="12.75" hidden="false" customHeight="true" outlineLevel="0" collapsed="false"/>
    <row r="1401" customFormat="false" ht="12.75" hidden="false" customHeight="true" outlineLevel="0" collapsed="false"/>
    <row r="1402" customFormat="false" ht="12.75" hidden="false" customHeight="true" outlineLevel="0" collapsed="false"/>
    <row r="1403" customFormat="false" ht="12.75" hidden="false" customHeight="true" outlineLevel="0" collapsed="false"/>
    <row r="1404" customFormat="false" ht="12.75" hidden="false" customHeight="true" outlineLevel="0" collapsed="false"/>
    <row r="1405" customFormat="false" ht="12.75" hidden="false" customHeight="true" outlineLevel="0" collapsed="false"/>
    <row r="1406" customFormat="false" ht="12.75" hidden="false" customHeight="true" outlineLevel="0" collapsed="false"/>
    <row r="1407" customFormat="false" ht="12.75" hidden="false" customHeight="true" outlineLevel="0" collapsed="false"/>
    <row r="1408" customFormat="false" ht="12.75" hidden="false" customHeight="true" outlineLevel="0" collapsed="false"/>
    <row r="1409" customFormat="false" ht="12.75" hidden="false" customHeight="true" outlineLevel="0" collapsed="false"/>
    <row r="1410" customFormat="false" ht="12.75" hidden="false" customHeight="true" outlineLevel="0" collapsed="false"/>
    <row r="1411" customFormat="false" ht="12.75" hidden="false" customHeight="true" outlineLevel="0" collapsed="false"/>
    <row r="1412" customFormat="false" ht="12.75" hidden="false" customHeight="true" outlineLevel="0" collapsed="false"/>
    <row r="1413" customFormat="false" ht="12.75" hidden="false" customHeight="true" outlineLevel="0" collapsed="false"/>
    <row r="1414" customFormat="false" ht="12.75" hidden="false" customHeight="true" outlineLevel="0" collapsed="false"/>
    <row r="1415" customFormat="false" ht="12.75" hidden="false" customHeight="true" outlineLevel="0" collapsed="false"/>
    <row r="1416" customFormat="false" ht="12.75" hidden="false" customHeight="true" outlineLevel="0" collapsed="false"/>
    <row r="1417" customFormat="false" ht="12.75" hidden="false" customHeight="true" outlineLevel="0" collapsed="false"/>
    <row r="1418" customFormat="false" ht="12.75" hidden="false" customHeight="true" outlineLevel="0" collapsed="false"/>
    <row r="1419" customFormat="false" ht="12.75" hidden="false" customHeight="true" outlineLevel="0" collapsed="false"/>
    <row r="1420" customFormat="false" ht="12.75" hidden="false" customHeight="true" outlineLevel="0" collapsed="false"/>
    <row r="1421" customFormat="false" ht="12.75" hidden="false" customHeight="true" outlineLevel="0" collapsed="false"/>
    <row r="1422" customFormat="false" ht="12.75" hidden="false" customHeight="true" outlineLevel="0" collapsed="false"/>
    <row r="1423" customFormat="false" ht="12.75" hidden="false" customHeight="true" outlineLevel="0" collapsed="false"/>
    <row r="1424" customFormat="false" ht="12.75" hidden="false" customHeight="true" outlineLevel="0" collapsed="false"/>
    <row r="1425" customFormat="false" ht="12.75" hidden="false" customHeight="true" outlineLevel="0" collapsed="false"/>
    <row r="1426" customFormat="false" ht="12.75" hidden="false" customHeight="true" outlineLevel="0" collapsed="false"/>
    <row r="1427" customFormat="false" ht="12.75" hidden="false" customHeight="true" outlineLevel="0" collapsed="false"/>
    <row r="1428" customFormat="false" ht="12.75" hidden="false" customHeight="true" outlineLevel="0" collapsed="false"/>
    <row r="1429" customFormat="false" ht="12.75" hidden="false" customHeight="true" outlineLevel="0" collapsed="false"/>
    <row r="1430" customFormat="false" ht="12.75" hidden="false" customHeight="true" outlineLevel="0" collapsed="false"/>
    <row r="1431" customFormat="false" ht="12.75" hidden="false" customHeight="true" outlineLevel="0" collapsed="false"/>
    <row r="1432" customFormat="false" ht="12.75" hidden="false" customHeight="true" outlineLevel="0" collapsed="false"/>
    <row r="1433" customFormat="false" ht="12.75" hidden="false" customHeight="true" outlineLevel="0" collapsed="false"/>
    <row r="1434" customFormat="false" ht="12.75" hidden="false" customHeight="true" outlineLevel="0" collapsed="false"/>
    <row r="1435" customFormat="false" ht="12.75" hidden="false" customHeight="true" outlineLevel="0" collapsed="false"/>
    <row r="1436" customFormat="false" ht="12.75" hidden="false" customHeight="true" outlineLevel="0" collapsed="false"/>
    <row r="1437" customFormat="false" ht="12.75" hidden="false" customHeight="true" outlineLevel="0" collapsed="false"/>
    <row r="1438" customFormat="false" ht="12.75" hidden="false" customHeight="true" outlineLevel="0" collapsed="false"/>
    <row r="1439" customFormat="false" ht="12.75" hidden="false" customHeight="true" outlineLevel="0" collapsed="false"/>
    <row r="1440" customFormat="false" ht="12.75" hidden="false" customHeight="true" outlineLevel="0" collapsed="false"/>
    <row r="1441" customFormat="false" ht="12.75" hidden="false" customHeight="true" outlineLevel="0" collapsed="false"/>
    <row r="1442" customFormat="false" ht="12.75" hidden="false" customHeight="true" outlineLevel="0" collapsed="false"/>
    <row r="1443" customFormat="false" ht="12.75" hidden="false" customHeight="true" outlineLevel="0" collapsed="false"/>
    <row r="1444" customFormat="false" ht="12.75" hidden="false" customHeight="true" outlineLevel="0" collapsed="false"/>
    <row r="1445" customFormat="false" ht="12.75" hidden="false" customHeight="true" outlineLevel="0" collapsed="false"/>
    <row r="1446" customFormat="false" ht="12.75" hidden="false" customHeight="true" outlineLevel="0" collapsed="false"/>
    <row r="1447" customFormat="false" ht="12.75" hidden="false" customHeight="true" outlineLevel="0" collapsed="false"/>
    <row r="1448" customFormat="false" ht="12.75" hidden="false" customHeight="true" outlineLevel="0" collapsed="false"/>
    <row r="1449" customFormat="false" ht="12.75" hidden="false" customHeight="true" outlineLevel="0" collapsed="false"/>
    <row r="1450" customFormat="false" ht="12.75" hidden="false" customHeight="true" outlineLevel="0" collapsed="false"/>
    <row r="1451" customFormat="false" ht="12.75" hidden="false" customHeight="true" outlineLevel="0" collapsed="false"/>
    <row r="1452" customFormat="false" ht="12.75" hidden="false" customHeight="true" outlineLevel="0" collapsed="false"/>
    <row r="1453" customFormat="false" ht="12.75" hidden="false" customHeight="true" outlineLevel="0" collapsed="false"/>
    <row r="1454" customFormat="false" ht="12.75" hidden="false" customHeight="true" outlineLevel="0" collapsed="false"/>
    <row r="1455" customFormat="false" ht="12.75" hidden="false" customHeight="true" outlineLevel="0" collapsed="false"/>
    <row r="1456" customFormat="false" ht="12.75" hidden="false" customHeight="true" outlineLevel="0" collapsed="false"/>
    <row r="1457" customFormat="false" ht="12.75" hidden="false" customHeight="true" outlineLevel="0" collapsed="false"/>
    <row r="1458" customFormat="false" ht="12.75" hidden="false" customHeight="true" outlineLevel="0" collapsed="false"/>
    <row r="1459" customFormat="false" ht="12.75" hidden="false" customHeight="true" outlineLevel="0" collapsed="false"/>
    <row r="1460" customFormat="false" ht="12.75" hidden="false" customHeight="true" outlineLevel="0" collapsed="false"/>
    <row r="1461" customFormat="false" ht="12.75" hidden="false" customHeight="true" outlineLevel="0" collapsed="false"/>
    <row r="1462" customFormat="false" ht="12.75" hidden="false" customHeight="true" outlineLevel="0" collapsed="false"/>
    <row r="1463" customFormat="false" ht="12.75" hidden="false" customHeight="true" outlineLevel="0" collapsed="false"/>
    <row r="1464" customFormat="false" ht="12.75" hidden="false" customHeight="true" outlineLevel="0" collapsed="false"/>
    <row r="1465" customFormat="false" ht="12.75" hidden="false" customHeight="true" outlineLevel="0" collapsed="false"/>
    <row r="1466" customFormat="false" ht="12.75" hidden="false" customHeight="true" outlineLevel="0" collapsed="false"/>
    <row r="1467" customFormat="false" ht="12.75" hidden="false" customHeight="true" outlineLevel="0" collapsed="false"/>
    <row r="1468" customFormat="false" ht="12.75" hidden="false" customHeight="true" outlineLevel="0" collapsed="false"/>
    <row r="1469" customFormat="false" ht="12.75" hidden="false" customHeight="true" outlineLevel="0" collapsed="false"/>
    <row r="1470" customFormat="false" ht="12.75" hidden="false" customHeight="true" outlineLevel="0" collapsed="false"/>
    <row r="1471" customFormat="false" ht="12.75" hidden="false" customHeight="true" outlineLevel="0" collapsed="false"/>
    <row r="1472" customFormat="false" ht="12.75" hidden="false" customHeight="true" outlineLevel="0" collapsed="false"/>
    <row r="1473" customFormat="false" ht="12.75" hidden="false" customHeight="true" outlineLevel="0" collapsed="false"/>
    <row r="1474" customFormat="false" ht="12.75" hidden="false" customHeight="true" outlineLevel="0" collapsed="false"/>
    <row r="1475" customFormat="false" ht="12.75" hidden="false" customHeight="true" outlineLevel="0" collapsed="false"/>
    <row r="1476" customFormat="false" ht="12.75" hidden="false" customHeight="true" outlineLevel="0" collapsed="false"/>
    <row r="1477" customFormat="false" ht="12.75" hidden="false" customHeight="true" outlineLevel="0" collapsed="false"/>
    <row r="1478" customFormat="false" ht="12.75" hidden="false" customHeight="true" outlineLevel="0" collapsed="false"/>
    <row r="1479" customFormat="false" ht="12.75" hidden="false" customHeight="true" outlineLevel="0" collapsed="false"/>
    <row r="1480" customFormat="false" ht="12.75" hidden="false" customHeight="true" outlineLevel="0" collapsed="false"/>
    <row r="1481" customFormat="false" ht="12.75" hidden="false" customHeight="true" outlineLevel="0" collapsed="false"/>
    <row r="1482" customFormat="false" ht="12.75" hidden="false" customHeight="true" outlineLevel="0" collapsed="false"/>
    <row r="1483" customFormat="false" ht="12.75" hidden="false" customHeight="true" outlineLevel="0" collapsed="false"/>
    <row r="1484" customFormat="false" ht="12.75" hidden="false" customHeight="true" outlineLevel="0" collapsed="false"/>
    <row r="1485" customFormat="false" ht="12.75" hidden="false" customHeight="true" outlineLevel="0" collapsed="false"/>
    <row r="1486" customFormat="false" ht="12.75" hidden="false" customHeight="true" outlineLevel="0" collapsed="false"/>
    <row r="1487" customFormat="false" ht="12.75" hidden="false" customHeight="true" outlineLevel="0" collapsed="false"/>
    <row r="1488" customFormat="false" ht="12.75" hidden="false" customHeight="true" outlineLevel="0" collapsed="false"/>
    <row r="1489" customFormat="false" ht="12.75" hidden="false" customHeight="true" outlineLevel="0" collapsed="false"/>
    <row r="1490" customFormat="false" ht="12.75" hidden="false" customHeight="true" outlineLevel="0" collapsed="false"/>
    <row r="1491" customFormat="false" ht="12.75" hidden="false" customHeight="true" outlineLevel="0" collapsed="false"/>
    <row r="1492" customFormat="false" ht="12.75" hidden="false" customHeight="true" outlineLevel="0" collapsed="false"/>
    <row r="1493" customFormat="false" ht="12.75" hidden="false" customHeight="true" outlineLevel="0" collapsed="false"/>
    <row r="1494" customFormat="false" ht="12.75" hidden="false" customHeight="true" outlineLevel="0" collapsed="false"/>
    <row r="1495" customFormat="false" ht="12.75" hidden="false" customHeight="true" outlineLevel="0" collapsed="false"/>
    <row r="1496" customFormat="false" ht="12.75" hidden="false" customHeight="true" outlineLevel="0" collapsed="false"/>
    <row r="1497" customFormat="false" ht="12.75" hidden="false" customHeight="true" outlineLevel="0" collapsed="false"/>
    <row r="1498" customFormat="false" ht="12.75" hidden="false" customHeight="true" outlineLevel="0" collapsed="false"/>
    <row r="1499" customFormat="false" ht="12.75" hidden="false" customHeight="true" outlineLevel="0" collapsed="false"/>
    <row r="1500" customFormat="false" ht="12.75" hidden="false" customHeight="true" outlineLevel="0" collapsed="false"/>
    <row r="1501" customFormat="false" ht="12.75" hidden="false" customHeight="true" outlineLevel="0" collapsed="false"/>
    <row r="1502" customFormat="false" ht="12.75" hidden="false" customHeight="true" outlineLevel="0" collapsed="false"/>
    <row r="1503" customFormat="false" ht="12.75" hidden="false" customHeight="true" outlineLevel="0" collapsed="false"/>
    <row r="1504" customFormat="false" ht="12.75" hidden="false" customHeight="true" outlineLevel="0" collapsed="false"/>
    <row r="1505" customFormat="false" ht="12.75" hidden="false" customHeight="true" outlineLevel="0" collapsed="false"/>
    <row r="1506" customFormat="false" ht="12.75" hidden="false" customHeight="true" outlineLevel="0" collapsed="false"/>
    <row r="1507" customFormat="false" ht="12.75" hidden="false" customHeight="true" outlineLevel="0" collapsed="false"/>
    <row r="1508" customFormat="false" ht="12.75" hidden="false" customHeight="true" outlineLevel="0" collapsed="false"/>
    <row r="1509" customFormat="false" ht="12.75" hidden="false" customHeight="true" outlineLevel="0" collapsed="false"/>
    <row r="1510" customFormat="false" ht="12.75" hidden="false" customHeight="true" outlineLevel="0" collapsed="false"/>
    <row r="1511" customFormat="false" ht="12.75" hidden="false" customHeight="true" outlineLevel="0" collapsed="false"/>
    <row r="1512" customFormat="false" ht="12.75" hidden="false" customHeight="true" outlineLevel="0" collapsed="false"/>
    <row r="1513" customFormat="false" ht="12.75" hidden="false" customHeight="true" outlineLevel="0" collapsed="false"/>
    <row r="1514" customFormat="false" ht="12.75" hidden="false" customHeight="true" outlineLevel="0" collapsed="false"/>
    <row r="1515" customFormat="false" ht="12.75" hidden="false" customHeight="true" outlineLevel="0" collapsed="false"/>
    <row r="1516" customFormat="false" ht="12.75" hidden="false" customHeight="true" outlineLevel="0" collapsed="false"/>
    <row r="1517" customFormat="false" ht="12.75" hidden="false" customHeight="true" outlineLevel="0" collapsed="false"/>
    <row r="1518" customFormat="false" ht="12.75" hidden="false" customHeight="true" outlineLevel="0" collapsed="false"/>
    <row r="1519" customFormat="false" ht="12.75" hidden="false" customHeight="true" outlineLevel="0" collapsed="false"/>
    <row r="1520" customFormat="false" ht="12.75" hidden="false" customHeight="true" outlineLevel="0" collapsed="false"/>
    <row r="1521" customFormat="false" ht="12.75" hidden="false" customHeight="true" outlineLevel="0" collapsed="false"/>
    <row r="1522" customFormat="false" ht="12.75" hidden="false" customHeight="true" outlineLevel="0" collapsed="false"/>
    <row r="1523" customFormat="false" ht="12.75" hidden="false" customHeight="true" outlineLevel="0" collapsed="false"/>
    <row r="1524" customFormat="false" ht="12.75" hidden="false" customHeight="true" outlineLevel="0" collapsed="false"/>
    <row r="1525" customFormat="false" ht="12.75" hidden="false" customHeight="true" outlineLevel="0" collapsed="false"/>
    <row r="1526" customFormat="false" ht="12.75" hidden="false" customHeight="true" outlineLevel="0" collapsed="false"/>
    <row r="1527" customFormat="false" ht="12.75" hidden="false" customHeight="true" outlineLevel="0" collapsed="false"/>
    <row r="1528" customFormat="false" ht="12.75" hidden="false" customHeight="true" outlineLevel="0" collapsed="false"/>
    <row r="1529" customFormat="false" ht="12.75" hidden="false" customHeight="true" outlineLevel="0" collapsed="false"/>
    <row r="1530" customFormat="false" ht="12.75" hidden="false" customHeight="true" outlineLevel="0" collapsed="false"/>
    <row r="1531" customFormat="false" ht="12.75" hidden="false" customHeight="true" outlineLevel="0" collapsed="false"/>
    <row r="1532" customFormat="false" ht="12.75" hidden="false" customHeight="true" outlineLevel="0" collapsed="false"/>
    <row r="1533" customFormat="false" ht="12.75" hidden="false" customHeight="true" outlineLevel="0" collapsed="false"/>
    <row r="1534" customFormat="false" ht="12.75" hidden="false" customHeight="true" outlineLevel="0" collapsed="false"/>
    <row r="1535" customFormat="false" ht="12.75" hidden="false" customHeight="true" outlineLevel="0" collapsed="false"/>
    <row r="1536" customFormat="false" ht="12.75" hidden="false" customHeight="true" outlineLevel="0" collapsed="false"/>
    <row r="1537" customFormat="false" ht="12.75" hidden="false" customHeight="true" outlineLevel="0" collapsed="false"/>
    <row r="1538" customFormat="false" ht="12.75" hidden="false" customHeight="true" outlineLevel="0" collapsed="false"/>
    <row r="1539" customFormat="false" ht="12.75" hidden="false" customHeight="true" outlineLevel="0" collapsed="false"/>
    <row r="1540" customFormat="false" ht="12.75" hidden="false" customHeight="true" outlineLevel="0" collapsed="false"/>
    <row r="1541" customFormat="false" ht="12.75" hidden="false" customHeight="true" outlineLevel="0" collapsed="false"/>
    <row r="1542" customFormat="false" ht="12.75" hidden="false" customHeight="true" outlineLevel="0" collapsed="false"/>
    <row r="1543" customFormat="false" ht="12.75" hidden="false" customHeight="true" outlineLevel="0" collapsed="false"/>
    <row r="1544" customFormat="false" ht="12.75" hidden="false" customHeight="true" outlineLevel="0" collapsed="false"/>
    <row r="1545" customFormat="false" ht="12.75" hidden="false" customHeight="true" outlineLevel="0" collapsed="false"/>
    <row r="1546" customFormat="false" ht="12.75" hidden="false" customHeight="true" outlineLevel="0" collapsed="false"/>
    <row r="1547" customFormat="false" ht="12.75" hidden="false" customHeight="true" outlineLevel="0" collapsed="false"/>
    <row r="1548" customFormat="false" ht="12.75" hidden="false" customHeight="true" outlineLevel="0" collapsed="false"/>
    <row r="1549" customFormat="false" ht="12.75" hidden="false" customHeight="true" outlineLevel="0" collapsed="false"/>
    <row r="1550" customFormat="false" ht="12.75" hidden="false" customHeight="true" outlineLevel="0" collapsed="false"/>
    <row r="1551" customFormat="false" ht="12.75" hidden="false" customHeight="true" outlineLevel="0" collapsed="false"/>
    <row r="1552" customFormat="false" ht="12.75" hidden="false" customHeight="true" outlineLevel="0" collapsed="false"/>
    <row r="1553" customFormat="false" ht="12.75" hidden="false" customHeight="true" outlineLevel="0" collapsed="false"/>
    <row r="1554" customFormat="false" ht="12.75" hidden="false" customHeight="true" outlineLevel="0" collapsed="false"/>
    <row r="1555" customFormat="false" ht="12.75" hidden="false" customHeight="true" outlineLevel="0" collapsed="false"/>
    <row r="1556" customFormat="false" ht="12.75" hidden="false" customHeight="true" outlineLevel="0" collapsed="false"/>
    <row r="1557" customFormat="false" ht="12.75" hidden="false" customHeight="true" outlineLevel="0" collapsed="false"/>
    <row r="1558" customFormat="false" ht="12.75" hidden="false" customHeight="true" outlineLevel="0" collapsed="false"/>
    <row r="1559" customFormat="false" ht="12.75" hidden="false" customHeight="true" outlineLevel="0" collapsed="false"/>
    <row r="1560" customFormat="false" ht="12.75" hidden="false" customHeight="true" outlineLevel="0" collapsed="false"/>
    <row r="1561" customFormat="false" ht="12.75" hidden="false" customHeight="true" outlineLevel="0" collapsed="false"/>
    <row r="1562" customFormat="false" ht="12.75" hidden="false" customHeight="true" outlineLevel="0" collapsed="false"/>
    <row r="1563" customFormat="false" ht="12.75" hidden="false" customHeight="true" outlineLevel="0" collapsed="false"/>
    <row r="1564" customFormat="false" ht="12.75" hidden="false" customHeight="true" outlineLevel="0" collapsed="false"/>
    <row r="1565" customFormat="false" ht="12.75" hidden="false" customHeight="true" outlineLevel="0" collapsed="false"/>
    <row r="1566" customFormat="false" ht="12.75" hidden="false" customHeight="true" outlineLevel="0" collapsed="false"/>
    <row r="1567" customFormat="false" ht="12.75" hidden="false" customHeight="true" outlineLevel="0" collapsed="false"/>
    <row r="1568" customFormat="false" ht="12.75" hidden="false" customHeight="true" outlineLevel="0" collapsed="false"/>
    <row r="1569" customFormat="false" ht="12.75" hidden="false" customHeight="true" outlineLevel="0" collapsed="false"/>
    <row r="1570" customFormat="false" ht="12.75" hidden="false" customHeight="true" outlineLevel="0" collapsed="false"/>
    <row r="1571" customFormat="false" ht="12.75" hidden="false" customHeight="true" outlineLevel="0" collapsed="false"/>
    <row r="1572" customFormat="false" ht="12.75" hidden="false" customHeight="true" outlineLevel="0" collapsed="false"/>
    <row r="1573" customFormat="false" ht="12.75" hidden="false" customHeight="true" outlineLevel="0" collapsed="false"/>
    <row r="1574" customFormat="false" ht="12.75" hidden="false" customHeight="true" outlineLevel="0" collapsed="false"/>
    <row r="1575" customFormat="false" ht="12.75" hidden="false" customHeight="true" outlineLevel="0" collapsed="false"/>
    <row r="1576" customFormat="false" ht="12.75" hidden="false" customHeight="true" outlineLevel="0" collapsed="false"/>
    <row r="1577" customFormat="false" ht="12.75" hidden="false" customHeight="true" outlineLevel="0" collapsed="false"/>
    <row r="1578" customFormat="false" ht="12.75" hidden="false" customHeight="true" outlineLevel="0" collapsed="false"/>
    <row r="1579" customFormat="false" ht="12.75" hidden="false" customHeight="true" outlineLevel="0" collapsed="false"/>
    <row r="1580" customFormat="false" ht="12.75" hidden="false" customHeight="true" outlineLevel="0" collapsed="false"/>
    <row r="1581" customFormat="false" ht="12.75" hidden="false" customHeight="true" outlineLevel="0" collapsed="false"/>
    <row r="1582" customFormat="false" ht="12.75" hidden="false" customHeight="true" outlineLevel="0" collapsed="false"/>
    <row r="1583" customFormat="false" ht="12.75" hidden="false" customHeight="true" outlineLevel="0" collapsed="false"/>
    <row r="1584" customFormat="false" ht="12.75" hidden="false" customHeight="true" outlineLevel="0" collapsed="false"/>
    <row r="1585" customFormat="false" ht="12.75" hidden="false" customHeight="true" outlineLevel="0" collapsed="false"/>
    <row r="1586" customFormat="false" ht="12.75" hidden="false" customHeight="true" outlineLevel="0" collapsed="false"/>
    <row r="1587" customFormat="false" ht="12.75" hidden="false" customHeight="true" outlineLevel="0" collapsed="false"/>
    <row r="1588" customFormat="false" ht="12.75" hidden="false" customHeight="true" outlineLevel="0" collapsed="false"/>
    <row r="1589" customFormat="false" ht="12.75" hidden="false" customHeight="true" outlineLevel="0" collapsed="false"/>
    <row r="1590" customFormat="false" ht="12.75" hidden="false" customHeight="true" outlineLevel="0" collapsed="false"/>
    <row r="1591" customFormat="false" ht="12.75" hidden="false" customHeight="true" outlineLevel="0" collapsed="false"/>
    <row r="1592" customFormat="false" ht="12.75" hidden="false" customHeight="true" outlineLevel="0" collapsed="false"/>
    <row r="1593" customFormat="false" ht="12.75" hidden="false" customHeight="true" outlineLevel="0" collapsed="false"/>
    <row r="1594" customFormat="false" ht="12.75" hidden="false" customHeight="true" outlineLevel="0" collapsed="false"/>
    <row r="1595" customFormat="false" ht="12.75" hidden="false" customHeight="true" outlineLevel="0" collapsed="false"/>
    <row r="1596" customFormat="false" ht="12.75" hidden="false" customHeight="true" outlineLevel="0" collapsed="false"/>
    <row r="1597" customFormat="false" ht="12.75" hidden="false" customHeight="true" outlineLevel="0" collapsed="false"/>
    <row r="1598" customFormat="false" ht="12.75" hidden="false" customHeight="true" outlineLevel="0" collapsed="false"/>
    <row r="1599" customFormat="false" ht="12.75" hidden="false" customHeight="true" outlineLevel="0" collapsed="false"/>
    <row r="1600" customFormat="false" ht="12.75" hidden="false" customHeight="true" outlineLevel="0" collapsed="false"/>
    <row r="1601" customFormat="false" ht="12.75" hidden="false" customHeight="true" outlineLevel="0" collapsed="false"/>
    <row r="1602" customFormat="false" ht="12.75" hidden="false" customHeight="true" outlineLevel="0" collapsed="false"/>
    <row r="1603" customFormat="false" ht="12.75" hidden="false" customHeight="true" outlineLevel="0" collapsed="false"/>
    <row r="1604" customFormat="false" ht="12.75" hidden="false" customHeight="true" outlineLevel="0" collapsed="false"/>
    <row r="1605" customFormat="false" ht="12.75" hidden="false" customHeight="true" outlineLevel="0" collapsed="false"/>
    <row r="1606" customFormat="false" ht="12.75" hidden="false" customHeight="true" outlineLevel="0" collapsed="false"/>
    <row r="1607" customFormat="false" ht="12.75" hidden="false" customHeight="true" outlineLevel="0" collapsed="false"/>
    <row r="1608" customFormat="false" ht="12.75" hidden="false" customHeight="true" outlineLevel="0" collapsed="false"/>
    <row r="1609" customFormat="false" ht="12.75" hidden="false" customHeight="true" outlineLevel="0" collapsed="false"/>
    <row r="1610" customFormat="false" ht="12.75" hidden="false" customHeight="true" outlineLevel="0" collapsed="false"/>
    <row r="1611" customFormat="false" ht="12.75" hidden="false" customHeight="true" outlineLevel="0" collapsed="false"/>
    <row r="1612" customFormat="false" ht="12.75" hidden="false" customHeight="true" outlineLevel="0" collapsed="false"/>
    <row r="1613" customFormat="false" ht="12.75" hidden="false" customHeight="true" outlineLevel="0" collapsed="false"/>
    <row r="1614" customFormat="false" ht="12.75" hidden="false" customHeight="true" outlineLevel="0" collapsed="false"/>
    <row r="1615" customFormat="false" ht="12.75" hidden="false" customHeight="true" outlineLevel="0" collapsed="false"/>
    <row r="1616" customFormat="false" ht="12.75" hidden="false" customHeight="true" outlineLevel="0" collapsed="false"/>
    <row r="1617" customFormat="false" ht="12.75" hidden="false" customHeight="true" outlineLevel="0" collapsed="false"/>
    <row r="1618" customFormat="false" ht="12.75" hidden="false" customHeight="true" outlineLevel="0" collapsed="false"/>
    <row r="1619" customFormat="false" ht="12.75" hidden="false" customHeight="true" outlineLevel="0" collapsed="false"/>
    <row r="1620" customFormat="false" ht="12.75" hidden="false" customHeight="true" outlineLevel="0" collapsed="false"/>
    <row r="1621" customFormat="false" ht="12.75" hidden="false" customHeight="true" outlineLevel="0" collapsed="false"/>
    <row r="1622" customFormat="false" ht="12.75" hidden="false" customHeight="true" outlineLevel="0" collapsed="false"/>
    <row r="1623" customFormat="false" ht="12.75" hidden="false" customHeight="true" outlineLevel="0" collapsed="false"/>
    <row r="1624" customFormat="false" ht="12.75" hidden="false" customHeight="true" outlineLevel="0" collapsed="false"/>
    <row r="1625" customFormat="false" ht="12.75" hidden="false" customHeight="true" outlineLevel="0" collapsed="false"/>
    <row r="1626" customFormat="false" ht="12.75" hidden="false" customHeight="true" outlineLevel="0" collapsed="false"/>
    <row r="1627" customFormat="false" ht="12.75" hidden="false" customHeight="true" outlineLevel="0" collapsed="false"/>
    <row r="1628" customFormat="false" ht="12.75" hidden="false" customHeight="true" outlineLevel="0" collapsed="false"/>
    <row r="1629" customFormat="false" ht="12.75" hidden="false" customHeight="true" outlineLevel="0" collapsed="false"/>
    <row r="1630" customFormat="false" ht="12.75" hidden="false" customHeight="true" outlineLevel="0" collapsed="false"/>
    <row r="1631" customFormat="false" ht="12.75" hidden="false" customHeight="true" outlineLevel="0" collapsed="false"/>
    <row r="1632" customFormat="false" ht="12.75" hidden="false" customHeight="true" outlineLevel="0" collapsed="false"/>
    <row r="1633" customFormat="false" ht="12.75" hidden="false" customHeight="true" outlineLevel="0" collapsed="false"/>
    <row r="1634" customFormat="false" ht="12.75" hidden="false" customHeight="true" outlineLevel="0" collapsed="false"/>
    <row r="1635" customFormat="false" ht="12.75" hidden="false" customHeight="true" outlineLevel="0" collapsed="false"/>
    <row r="1636" customFormat="false" ht="12.75" hidden="false" customHeight="true" outlineLevel="0" collapsed="false"/>
    <row r="1637" customFormat="false" ht="12.75" hidden="false" customHeight="true" outlineLevel="0" collapsed="false"/>
    <row r="1638" customFormat="false" ht="12.75" hidden="false" customHeight="true" outlineLevel="0" collapsed="false"/>
    <row r="1639" customFormat="false" ht="12.75" hidden="false" customHeight="true" outlineLevel="0" collapsed="false"/>
    <row r="1640" customFormat="false" ht="12.75" hidden="false" customHeight="true" outlineLevel="0" collapsed="false"/>
    <row r="1641" customFormat="false" ht="12.75" hidden="false" customHeight="true" outlineLevel="0" collapsed="false"/>
    <row r="1642" customFormat="false" ht="12.75" hidden="false" customHeight="true" outlineLevel="0" collapsed="false"/>
    <row r="1643" customFormat="false" ht="12.75" hidden="false" customHeight="true" outlineLevel="0" collapsed="false"/>
    <row r="1644" customFormat="false" ht="12.75" hidden="false" customHeight="true" outlineLevel="0" collapsed="false"/>
    <row r="1645" customFormat="false" ht="12.75" hidden="false" customHeight="true" outlineLevel="0" collapsed="false"/>
    <row r="1646" customFormat="false" ht="12.75" hidden="false" customHeight="true" outlineLevel="0" collapsed="false"/>
    <row r="1647" customFormat="false" ht="12.75" hidden="false" customHeight="true" outlineLevel="0" collapsed="false"/>
    <row r="1648" customFormat="false" ht="12.75" hidden="false" customHeight="true" outlineLevel="0" collapsed="false"/>
    <row r="1649" customFormat="false" ht="12.75" hidden="false" customHeight="true" outlineLevel="0" collapsed="false"/>
    <row r="1650" customFormat="false" ht="12.75" hidden="false" customHeight="true" outlineLevel="0" collapsed="false"/>
    <row r="1651" customFormat="false" ht="12.75" hidden="false" customHeight="true" outlineLevel="0" collapsed="false"/>
    <row r="1652" customFormat="false" ht="12.75" hidden="false" customHeight="true" outlineLevel="0" collapsed="false"/>
    <row r="1653" customFormat="false" ht="12.75" hidden="false" customHeight="true" outlineLevel="0" collapsed="false"/>
    <row r="1654" customFormat="false" ht="12.75" hidden="false" customHeight="true" outlineLevel="0" collapsed="false"/>
    <row r="1655" customFormat="false" ht="12.75" hidden="false" customHeight="true" outlineLevel="0" collapsed="false"/>
    <row r="1656" customFormat="false" ht="12.75" hidden="false" customHeight="true" outlineLevel="0" collapsed="false"/>
    <row r="1657" customFormat="false" ht="12.75" hidden="false" customHeight="true" outlineLevel="0" collapsed="false"/>
    <row r="1658" customFormat="false" ht="12.75" hidden="false" customHeight="true" outlineLevel="0" collapsed="false"/>
    <row r="1659" customFormat="false" ht="12.75" hidden="false" customHeight="true" outlineLevel="0" collapsed="false"/>
    <row r="1660" customFormat="false" ht="12.75" hidden="false" customHeight="true" outlineLevel="0" collapsed="false"/>
    <row r="1661" customFormat="false" ht="12.75" hidden="false" customHeight="true" outlineLevel="0" collapsed="false"/>
    <row r="1662" customFormat="false" ht="12.75" hidden="false" customHeight="true" outlineLevel="0" collapsed="false"/>
    <row r="1663" customFormat="false" ht="12.75" hidden="false" customHeight="true" outlineLevel="0" collapsed="false"/>
    <row r="1664" customFormat="false" ht="12.75" hidden="false" customHeight="true" outlineLevel="0" collapsed="false"/>
    <row r="1665" customFormat="false" ht="12.75" hidden="false" customHeight="true" outlineLevel="0" collapsed="false"/>
    <row r="1666" customFormat="false" ht="12.75" hidden="false" customHeight="true" outlineLevel="0" collapsed="false"/>
    <row r="1667" customFormat="false" ht="12.75" hidden="false" customHeight="true" outlineLevel="0" collapsed="false"/>
    <row r="1668" customFormat="false" ht="12.75" hidden="false" customHeight="true" outlineLevel="0" collapsed="false"/>
    <row r="1669" customFormat="false" ht="12.75" hidden="false" customHeight="true" outlineLevel="0" collapsed="false"/>
    <row r="1670" customFormat="false" ht="12.75" hidden="false" customHeight="true" outlineLevel="0" collapsed="false"/>
    <row r="1671" customFormat="false" ht="12.75" hidden="false" customHeight="true" outlineLevel="0" collapsed="false"/>
    <row r="1672" customFormat="false" ht="12.75" hidden="false" customHeight="true" outlineLevel="0" collapsed="false"/>
    <row r="1673" customFormat="false" ht="12.75" hidden="false" customHeight="true" outlineLevel="0" collapsed="false"/>
    <row r="1674" customFormat="false" ht="12.75" hidden="false" customHeight="true" outlineLevel="0" collapsed="false"/>
    <row r="1675" customFormat="false" ht="12.75" hidden="false" customHeight="true" outlineLevel="0" collapsed="false"/>
    <row r="1676" customFormat="false" ht="12.75" hidden="false" customHeight="true" outlineLevel="0" collapsed="false"/>
    <row r="1677" customFormat="false" ht="12.75" hidden="false" customHeight="true" outlineLevel="0" collapsed="false"/>
    <row r="1678" customFormat="false" ht="12.75" hidden="false" customHeight="true" outlineLevel="0" collapsed="false"/>
    <row r="1679" customFormat="false" ht="12.75" hidden="false" customHeight="true" outlineLevel="0" collapsed="false"/>
    <row r="1680" customFormat="false" ht="12.75" hidden="false" customHeight="true" outlineLevel="0" collapsed="false"/>
    <row r="1681" customFormat="false" ht="12.75" hidden="false" customHeight="true" outlineLevel="0" collapsed="false"/>
    <row r="1682" customFormat="false" ht="12.75" hidden="false" customHeight="true" outlineLevel="0" collapsed="false"/>
    <row r="1683" customFormat="false" ht="12.75" hidden="false" customHeight="true" outlineLevel="0" collapsed="false"/>
    <row r="1684" customFormat="false" ht="12.75" hidden="false" customHeight="true" outlineLevel="0" collapsed="false"/>
    <row r="1685" customFormat="false" ht="12.75" hidden="false" customHeight="true" outlineLevel="0" collapsed="false"/>
    <row r="1686" customFormat="false" ht="12.75" hidden="false" customHeight="true" outlineLevel="0" collapsed="false"/>
    <row r="1687" customFormat="false" ht="12.75" hidden="false" customHeight="true" outlineLevel="0" collapsed="false"/>
    <row r="1688" customFormat="false" ht="12.75" hidden="false" customHeight="true" outlineLevel="0" collapsed="false"/>
    <row r="1689" customFormat="false" ht="12.75" hidden="false" customHeight="true" outlineLevel="0" collapsed="false"/>
    <row r="1690" customFormat="false" ht="12.75" hidden="false" customHeight="true" outlineLevel="0" collapsed="false"/>
    <row r="1691" customFormat="false" ht="12.75" hidden="false" customHeight="true" outlineLevel="0" collapsed="false"/>
    <row r="1692" customFormat="false" ht="12.75" hidden="false" customHeight="true" outlineLevel="0" collapsed="false"/>
    <row r="1693" customFormat="false" ht="12.75" hidden="false" customHeight="true" outlineLevel="0" collapsed="false"/>
    <row r="1694" customFormat="false" ht="12.75" hidden="false" customHeight="true" outlineLevel="0" collapsed="false"/>
    <row r="1695" customFormat="false" ht="12.75" hidden="false" customHeight="true" outlineLevel="0" collapsed="false"/>
    <row r="1696" customFormat="false" ht="12.75" hidden="false" customHeight="true" outlineLevel="0" collapsed="false"/>
    <row r="1697" customFormat="false" ht="12.75" hidden="false" customHeight="true" outlineLevel="0" collapsed="false"/>
    <row r="1698" customFormat="false" ht="12.75" hidden="false" customHeight="true" outlineLevel="0" collapsed="false"/>
    <row r="1699" customFormat="false" ht="12.75" hidden="false" customHeight="true" outlineLevel="0" collapsed="false"/>
    <row r="1700" customFormat="false" ht="12.75" hidden="false" customHeight="true" outlineLevel="0" collapsed="false"/>
    <row r="1701" customFormat="false" ht="12.75" hidden="false" customHeight="true" outlineLevel="0" collapsed="false"/>
    <row r="1702" customFormat="false" ht="12.75" hidden="false" customHeight="true" outlineLevel="0" collapsed="false"/>
    <row r="1703" customFormat="false" ht="12.75" hidden="false" customHeight="true" outlineLevel="0" collapsed="false"/>
    <row r="1704" customFormat="false" ht="12.75" hidden="false" customHeight="true" outlineLevel="0" collapsed="false"/>
    <row r="1705" customFormat="false" ht="12.75" hidden="false" customHeight="true" outlineLevel="0" collapsed="false"/>
    <row r="1706" customFormat="false" ht="12.75" hidden="false" customHeight="true" outlineLevel="0" collapsed="false"/>
    <row r="1707" customFormat="false" ht="12.75" hidden="false" customHeight="true" outlineLevel="0" collapsed="false"/>
    <row r="1708" customFormat="false" ht="12.75" hidden="false" customHeight="true" outlineLevel="0" collapsed="false"/>
    <row r="1709" customFormat="false" ht="12.75" hidden="false" customHeight="true" outlineLevel="0" collapsed="false"/>
    <row r="1710" customFormat="false" ht="12.75" hidden="false" customHeight="true" outlineLevel="0" collapsed="false"/>
    <row r="1711" customFormat="false" ht="12.75" hidden="false" customHeight="true" outlineLevel="0" collapsed="false"/>
    <row r="1712" customFormat="false" ht="12.75" hidden="false" customHeight="true" outlineLevel="0" collapsed="false"/>
    <row r="1713" customFormat="false" ht="12.75" hidden="false" customHeight="true" outlineLevel="0" collapsed="false"/>
    <row r="1714" customFormat="false" ht="12.75" hidden="false" customHeight="true" outlineLevel="0" collapsed="false"/>
    <row r="1715" customFormat="false" ht="12.75" hidden="false" customHeight="true" outlineLevel="0" collapsed="false"/>
    <row r="1716" customFormat="false" ht="12.75" hidden="false" customHeight="true" outlineLevel="0" collapsed="false"/>
    <row r="1717" customFormat="false" ht="12.75" hidden="false" customHeight="true" outlineLevel="0" collapsed="false"/>
    <row r="1718" customFormat="false" ht="12.75" hidden="false" customHeight="true" outlineLevel="0" collapsed="false"/>
    <row r="1719" customFormat="false" ht="12.75" hidden="false" customHeight="true" outlineLevel="0" collapsed="false"/>
    <row r="1720" customFormat="false" ht="12.75" hidden="false" customHeight="true" outlineLevel="0" collapsed="false"/>
    <row r="1721" customFormat="false" ht="12.75" hidden="false" customHeight="true" outlineLevel="0" collapsed="false"/>
    <row r="1722" customFormat="false" ht="12.75" hidden="false" customHeight="true" outlineLevel="0" collapsed="false"/>
    <row r="1723" customFormat="false" ht="12.75" hidden="false" customHeight="true" outlineLevel="0" collapsed="false"/>
    <row r="1724" customFormat="false" ht="12.75" hidden="false" customHeight="true" outlineLevel="0" collapsed="false"/>
    <row r="1725" customFormat="false" ht="12.75" hidden="false" customHeight="true" outlineLevel="0" collapsed="false"/>
    <row r="1726" customFormat="false" ht="12.75" hidden="false" customHeight="true" outlineLevel="0" collapsed="false"/>
    <row r="1727" customFormat="false" ht="12.75" hidden="false" customHeight="true" outlineLevel="0" collapsed="false"/>
    <row r="1728" customFormat="false" ht="12.75" hidden="false" customHeight="true" outlineLevel="0" collapsed="false"/>
    <row r="1729" customFormat="false" ht="12.75" hidden="false" customHeight="true" outlineLevel="0" collapsed="false"/>
    <row r="1730" customFormat="false" ht="12.75" hidden="false" customHeight="true" outlineLevel="0" collapsed="false"/>
    <row r="1731" customFormat="false" ht="12.75" hidden="false" customHeight="true" outlineLevel="0" collapsed="false"/>
    <row r="1732" customFormat="false" ht="12.75" hidden="false" customHeight="true" outlineLevel="0" collapsed="false"/>
    <row r="1733" customFormat="false" ht="12.75" hidden="false" customHeight="true" outlineLevel="0" collapsed="false"/>
    <row r="1734" customFormat="false" ht="12.75" hidden="false" customHeight="true" outlineLevel="0" collapsed="false"/>
    <row r="1735" customFormat="false" ht="12.75" hidden="false" customHeight="true" outlineLevel="0" collapsed="false"/>
    <row r="1736" customFormat="false" ht="12.75" hidden="false" customHeight="true" outlineLevel="0" collapsed="false"/>
    <row r="1737" customFormat="false" ht="12.75" hidden="false" customHeight="true" outlineLevel="0" collapsed="false"/>
    <row r="1738" customFormat="false" ht="12.75" hidden="false" customHeight="true" outlineLevel="0" collapsed="false"/>
    <row r="1739" customFormat="false" ht="12.75" hidden="false" customHeight="true" outlineLevel="0" collapsed="false"/>
    <row r="1740" customFormat="false" ht="12.75" hidden="false" customHeight="true" outlineLevel="0" collapsed="false"/>
    <row r="1741" customFormat="false" ht="12.75" hidden="false" customHeight="true" outlineLevel="0" collapsed="false"/>
    <row r="1742" customFormat="false" ht="12.75" hidden="false" customHeight="true" outlineLevel="0" collapsed="false"/>
    <row r="1743" customFormat="false" ht="12.75" hidden="false" customHeight="true" outlineLevel="0" collapsed="false"/>
    <row r="1744" customFormat="false" ht="12.75" hidden="false" customHeight="true" outlineLevel="0" collapsed="false"/>
    <row r="1745" customFormat="false" ht="12.75" hidden="false" customHeight="true" outlineLevel="0" collapsed="false"/>
    <row r="1746" customFormat="false" ht="12.75" hidden="false" customHeight="true" outlineLevel="0" collapsed="false"/>
    <row r="1747" customFormat="false" ht="12.75" hidden="false" customHeight="true" outlineLevel="0" collapsed="false"/>
    <row r="1748" customFormat="false" ht="12.75" hidden="false" customHeight="true" outlineLevel="0" collapsed="false"/>
    <row r="1749" customFormat="false" ht="12.75" hidden="false" customHeight="true" outlineLevel="0" collapsed="false"/>
    <row r="1750" customFormat="false" ht="12.75" hidden="false" customHeight="true" outlineLevel="0" collapsed="false"/>
    <row r="1751" customFormat="false" ht="12.75" hidden="false" customHeight="true" outlineLevel="0" collapsed="false"/>
    <row r="1752" customFormat="false" ht="12.75" hidden="false" customHeight="true" outlineLevel="0" collapsed="false"/>
    <row r="1753" customFormat="false" ht="12.75" hidden="false" customHeight="true" outlineLevel="0" collapsed="false"/>
    <row r="1754" customFormat="false" ht="12.75" hidden="false" customHeight="true" outlineLevel="0" collapsed="false"/>
    <row r="1755" customFormat="false" ht="12.75" hidden="false" customHeight="true" outlineLevel="0" collapsed="false"/>
    <row r="1756" customFormat="false" ht="12.75" hidden="false" customHeight="true" outlineLevel="0" collapsed="false"/>
    <row r="1757" customFormat="false" ht="12.75" hidden="false" customHeight="true" outlineLevel="0" collapsed="false"/>
    <row r="1758" customFormat="false" ht="12.75" hidden="false" customHeight="true" outlineLevel="0" collapsed="false"/>
    <row r="1759" customFormat="false" ht="12.75" hidden="false" customHeight="true" outlineLevel="0" collapsed="false"/>
    <row r="1760" customFormat="false" ht="12.75" hidden="false" customHeight="true" outlineLevel="0" collapsed="false"/>
    <row r="1761" customFormat="false" ht="12.75" hidden="false" customHeight="true" outlineLevel="0" collapsed="false"/>
    <row r="1762" customFormat="false" ht="12.75" hidden="false" customHeight="true" outlineLevel="0" collapsed="false"/>
    <row r="1763" customFormat="false" ht="12.75" hidden="false" customHeight="true" outlineLevel="0" collapsed="false"/>
    <row r="1764" customFormat="false" ht="12.75" hidden="false" customHeight="true" outlineLevel="0" collapsed="false"/>
    <row r="1765" customFormat="false" ht="12.75" hidden="false" customHeight="true" outlineLevel="0" collapsed="false"/>
    <row r="1766" customFormat="false" ht="12.75" hidden="false" customHeight="true" outlineLevel="0" collapsed="false"/>
    <row r="1767" customFormat="false" ht="12.75" hidden="false" customHeight="true" outlineLevel="0" collapsed="false"/>
    <row r="1768" customFormat="false" ht="12.75" hidden="false" customHeight="true" outlineLevel="0" collapsed="false"/>
    <row r="1769" customFormat="false" ht="12.75" hidden="false" customHeight="true" outlineLevel="0" collapsed="false"/>
    <row r="1770" customFormat="false" ht="12.75" hidden="false" customHeight="true" outlineLevel="0" collapsed="false"/>
    <row r="1771" customFormat="false" ht="12.75" hidden="false" customHeight="true" outlineLevel="0" collapsed="false"/>
    <row r="1772" customFormat="false" ht="12.75" hidden="false" customHeight="true" outlineLevel="0" collapsed="false"/>
    <row r="1773" customFormat="false" ht="12.75" hidden="false" customHeight="true" outlineLevel="0" collapsed="false"/>
    <row r="1774" customFormat="false" ht="12.75" hidden="false" customHeight="true" outlineLevel="0" collapsed="false"/>
    <row r="1775" customFormat="false" ht="12.75" hidden="false" customHeight="true" outlineLevel="0" collapsed="false"/>
    <row r="1776" customFormat="false" ht="12.75" hidden="false" customHeight="true" outlineLevel="0" collapsed="false"/>
    <row r="1777" customFormat="false" ht="12.75" hidden="false" customHeight="true" outlineLevel="0" collapsed="false"/>
    <row r="1778" customFormat="false" ht="12.75" hidden="false" customHeight="true" outlineLevel="0" collapsed="false"/>
    <row r="1779" customFormat="false" ht="12.75" hidden="false" customHeight="true" outlineLevel="0" collapsed="false"/>
    <row r="1780" customFormat="false" ht="12.75" hidden="false" customHeight="true" outlineLevel="0" collapsed="false"/>
    <row r="1781" customFormat="false" ht="12.75" hidden="false" customHeight="true" outlineLevel="0" collapsed="false"/>
    <row r="1782" customFormat="false" ht="12.75" hidden="false" customHeight="true" outlineLevel="0" collapsed="false"/>
    <row r="1783" customFormat="false" ht="12.75" hidden="false" customHeight="true" outlineLevel="0" collapsed="false"/>
    <row r="1784" customFormat="false" ht="12.75" hidden="false" customHeight="true" outlineLevel="0" collapsed="false"/>
    <row r="1785" customFormat="false" ht="12.75" hidden="false" customHeight="true" outlineLevel="0" collapsed="false"/>
    <row r="1786" customFormat="false" ht="12.75" hidden="false" customHeight="true" outlineLevel="0" collapsed="false"/>
    <row r="1787" customFormat="false" ht="12.75" hidden="false" customHeight="true" outlineLevel="0" collapsed="false"/>
    <row r="1788" customFormat="false" ht="12.75" hidden="false" customHeight="true" outlineLevel="0" collapsed="false"/>
    <row r="1789" customFormat="false" ht="12.75" hidden="false" customHeight="true" outlineLevel="0" collapsed="false"/>
    <row r="1790" customFormat="false" ht="12.75" hidden="false" customHeight="true" outlineLevel="0" collapsed="false"/>
    <row r="1791" customFormat="false" ht="12.75" hidden="false" customHeight="true" outlineLevel="0" collapsed="false"/>
    <row r="1792" customFormat="false" ht="12.75" hidden="false" customHeight="true" outlineLevel="0" collapsed="false"/>
    <row r="1793" customFormat="false" ht="12.75" hidden="false" customHeight="true" outlineLevel="0" collapsed="false"/>
    <row r="1794" customFormat="false" ht="12.75" hidden="false" customHeight="true" outlineLevel="0" collapsed="false"/>
    <row r="1795" customFormat="false" ht="12.75" hidden="false" customHeight="true" outlineLevel="0" collapsed="false"/>
    <row r="1796" customFormat="false" ht="12.75" hidden="false" customHeight="true" outlineLevel="0" collapsed="false"/>
    <row r="1797" customFormat="false" ht="12.75" hidden="false" customHeight="true" outlineLevel="0" collapsed="false"/>
    <row r="1798" customFormat="false" ht="12.75" hidden="false" customHeight="true" outlineLevel="0" collapsed="false"/>
    <row r="1799" customFormat="false" ht="12.75" hidden="false" customHeight="true" outlineLevel="0" collapsed="false"/>
    <row r="1800" customFormat="false" ht="12.75" hidden="false" customHeight="true" outlineLevel="0" collapsed="false"/>
    <row r="1801" customFormat="false" ht="12.75" hidden="false" customHeight="true" outlineLevel="0" collapsed="false"/>
    <row r="1802" customFormat="false" ht="12.75" hidden="false" customHeight="true" outlineLevel="0" collapsed="false"/>
    <row r="1803" customFormat="false" ht="12.75" hidden="false" customHeight="true" outlineLevel="0" collapsed="false"/>
    <row r="1804" customFormat="false" ht="12.75" hidden="false" customHeight="true" outlineLevel="0" collapsed="false"/>
    <row r="1805" customFormat="false" ht="12.75" hidden="false" customHeight="true" outlineLevel="0" collapsed="false"/>
    <row r="1806" customFormat="false" ht="12.75" hidden="false" customHeight="true" outlineLevel="0" collapsed="false"/>
    <row r="1807" customFormat="false" ht="12.75" hidden="false" customHeight="true" outlineLevel="0" collapsed="false"/>
    <row r="1808" customFormat="false" ht="12.75" hidden="false" customHeight="true" outlineLevel="0" collapsed="false"/>
    <row r="1809" customFormat="false" ht="12.75" hidden="false" customHeight="true" outlineLevel="0" collapsed="false"/>
    <row r="1810" customFormat="false" ht="12.75" hidden="false" customHeight="true" outlineLevel="0" collapsed="false"/>
    <row r="1811" customFormat="false" ht="12.75" hidden="false" customHeight="true" outlineLevel="0" collapsed="false"/>
    <row r="1812" customFormat="false" ht="12.75" hidden="false" customHeight="true" outlineLevel="0" collapsed="false"/>
    <row r="1813" customFormat="false" ht="12.75" hidden="false" customHeight="true" outlineLevel="0" collapsed="false"/>
    <row r="1814" customFormat="false" ht="12.75" hidden="false" customHeight="true" outlineLevel="0" collapsed="false"/>
    <row r="1815" customFormat="false" ht="12.75" hidden="false" customHeight="true" outlineLevel="0" collapsed="false"/>
    <row r="1816" customFormat="false" ht="12.75" hidden="false" customHeight="true" outlineLevel="0" collapsed="false"/>
    <row r="1817" customFormat="false" ht="12.75" hidden="false" customHeight="true" outlineLevel="0" collapsed="false"/>
    <row r="1818" customFormat="false" ht="12.75" hidden="false" customHeight="true" outlineLevel="0" collapsed="false"/>
    <row r="1819" customFormat="false" ht="12.75" hidden="false" customHeight="true" outlineLevel="0" collapsed="false"/>
    <row r="1820" customFormat="false" ht="12.75" hidden="false" customHeight="true" outlineLevel="0" collapsed="false"/>
    <row r="1821" customFormat="false" ht="12.75" hidden="false" customHeight="true" outlineLevel="0" collapsed="false"/>
    <row r="1822" customFormat="false" ht="12.75" hidden="false" customHeight="true" outlineLevel="0" collapsed="false"/>
    <row r="1823" customFormat="false" ht="12.75" hidden="false" customHeight="true" outlineLevel="0" collapsed="false"/>
    <row r="1824" customFormat="false" ht="12.75" hidden="false" customHeight="true" outlineLevel="0" collapsed="false"/>
    <row r="1825" customFormat="false" ht="12.75" hidden="false" customHeight="true" outlineLevel="0" collapsed="false"/>
    <row r="1826" customFormat="false" ht="12.75" hidden="false" customHeight="true" outlineLevel="0" collapsed="false"/>
    <row r="1827" customFormat="false" ht="12.75" hidden="false" customHeight="true" outlineLevel="0" collapsed="false"/>
    <row r="1828" customFormat="false" ht="12.75" hidden="false" customHeight="true" outlineLevel="0" collapsed="false"/>
    <row r="1829" customFormat="false" ht="12.75" hidden="false" customHeight="true" outlineLevel="0" collapsed="false"/>
    <row r="1830" customFormat="false" ht="12.75" hidden="false" customHeight="true" outlineLevel="0" collapsed="false"/>
    <row r="1831" customFormat="false" ht="12.75" hidden="false" customHeight="true" outlineLevel="0" collapsed="false"/>
    <row r="1832" customFormat="false" ht="12.75" hidden="false" customHeight="true" outlineLevel="0" collapsed="false"/>
    <row r="1833" customFormat="false" ht="12.75" hidden="false" customHeight="true" outlineLevel="0" collapsed="false"/>
    <row r="1834" customFormat="false" ht="12.75" hidden="false" customHeight="true" outlineLevel="0" collapsed="false"/>
    <row r="1835" customFormat="false" ht="12.75" hidden="false" customHeight="true" outlineLevel="0" collapsed="false"/>
    <row r="1836" customFormat="false" ht="12.75" hidden="false" customHeight="true" outlineLevel="0" collapsed="false"/>
    <row r="1837" customFormat="false" ht="12.75" hidden="false" customHeight="true" outlineLevel="0" collapsed="false"/>
    <row r="1838" customFormat="false" ht="12.75" hidden="false" customHeight="true" outlineLevel="0" collapsed="false"/>
    <row r="1839" customFormat="false" ht="12.75" hidden="false" customHeight="true" outlineLevel="0" collapsed="false"/>
    <row r="1840" customFormat="false" ht="12.75" hidden="false" customHeight="true" outlineLevel="0" collapsed="false"/>
    <row r="1841" customFormat="false" ht="12.75" hidden="false" customHeight="true" outlineLevel="0" collapsed="false"/>
    <row r="1842" customFormat="false" ht="12.75" hidden="false" customHeight="true" outlineLevel="0" collapsed="false"/>
    <row r="1843" customFormat="false" ht="12.75" hidden="false" customHeight="true" outlineLevel="0" collapsed="false"/>
    <row r="1844" customFormat="false" ht="12.75" hidden="false" customHeight="true" outlineLevel="0" collapsed="false"/>
    <row r="1845" customFormat="false" ht="12.75" hidden="false" customHeight="true" outlineLevel="0" collapsed="false"/>
    <row r="1846" customFormat="false" ht="12.75" hidden="false" customHeight="true" outlineLevel="0" collapsed="false"/>
    <row r="1847" customFormat="false" ht="12.75" hidden="false" customHeight="true" outlineLevel="0" collapsed="false"/>
    <row r="1848" customFormat="false" ht="12.75" hidden="false" customHeight="true" outlineLevel="0" collapsed="false"/>
    <row r="1849" customFormat="false" ht="12.75" hidden="false" customHeight="true" outlineLevel="0" collapsed="false"/>
    <row r="1850" customFormat="false" ht="12.75" hidden="false" customHeight="true" outlineLevel="0" collapsed="false"/>
    <row r="1851" customFormat="false" ht="12.75" hidden="false" customHeight="true" outlineLevel="0" collapsed="false"/>
    <row r="1852" customFormat="false" ht="12.75" hidden="false" customHeight="true" outlineLevel="0" collapsed="false"/>
    <row r="1853" customFormat="false" ht="12.75" hidden="false" customHeight="true" outlineLevel="0" collapsed="false"/>
    <row r="1854" customFormat="false" ht="12.75" hidden="false" customHeight="true" outlineLevel="0" collapsed="false"/>
    <row r="1855" customFormat="false" ht="12.75" hidden="false" customHeight="true" outlineLevel="0" collapsed="false"/>
    <row r="1856" customFormat="false" ht="12.75" hidden="false" customHeight="true" outlineLevel="0" collapsed="false"/>
    <row r="1857" customFormat="false" ht="12.75" hidden="false" customHeight="true" outlineLevel="0" collapsed="false"/>
    <row r="1858" customFormat="false" ht="12.75" hidden="false" customHeight="true" outlineLevel="0" collapsed="false"/>
    <row r="1859" customFormat="false" ht="12.75" hidden="false" customHeight="true" outlineLevel="0" collapsed="false"/>
    <row r="1860" customFormat="false" ht="12.75" hidden="false" customHeight="true" outlineLevel="0" collapsed="false"/>
    <row r="1861" customFormat="false" ht="12.75" hidden="false" customHeight="true" outlineLevel="0" collapsed="false"/>
    <row r="1862" customFormat="false" ht="12.75" hidden="false" customHeight="true" outlineLevel="0" collapsed="false"/>
    <row r="1863" customFormat="false" ht="12.75" hidden="false" customHeight="true" outlineLevel="0" collapsed="false"/>
    <row r="1864" customFormat="false" ht="12.75" hidden="false" customHeight="true" outlineLevel="0" collapsed="false"/>
    <row r="1865" customFormat="false" ht="12.75" hidden="false" customHeight="true" outlineLevel="0" collapsed="false"/>
    <row r="1866" customFormat="false" ht="12.75" hidden="false" customHeight="true" outlineLevel="0" collapsed="false"/>
    <row r="1867" customFormat="false" ht="12.75" hidden="false" customHeight="true" outlineLevel="0" collapsed="false"/>
    <row r="1868" customFormat="false" ht="12.75" hidden="false" customHeight="true" outlineLevel="0" collapsed="false"/>
    <row r="1869" customFormat="false" ht="12.75" hidden="false" customHeight="true" outlineLevel="0" collapsed="false"/>
    <row r="1870" customFormat="false" ht="12.75" hidden="false" customHeight="true" outlineLevel="0" collapsed="false"/>
    <row r="1871" customFormat="false" ht="12.75" hidden="false" customHeight="true" outlineLevel="0" collapsed="false"/>
    <row r="1872" customFormat="false" ht="12.75" hidden="false" customHeight="true" outlineLevel="0" collapsed="false"/>
    <row r="1873" customFormat="false" ht="12.75" hidden="false" customHeight="true" outlineLevel="0" collapsed="false"/>
    <row r="1874" customFormat="false" ht="12.75" hidden="false" customHeight="true" outlineLevel="0" collapsed="false"/>
    <row r="1875" customFormat="false" ht="12.75" hidden="false" customHeight="true" outlineLevel="0" collapsed="false"/>
    <row r="1876" customFormat="false" ht="12.75" hidden="false" customHeight="true" outlineLevel="0" collapsed="false"/>
    <row r="1877" customFormat="false" ht="12.75" hidden="false" customHeight="true" outlineLevel="0" collapsed="false"/>
    <row r="1878" customFormat="false" ht="12.75" hidden="false" customHeight="true" outlineLevel="0" collapsed="false"/>
    <row r="1879" customFormat="false" ht="12.75" hidden="false" customHeight="true" outlineLevel="0" collapsed="false"/>
    <row r="1880" customFormat="false" ht="12.75" hidden="false" customHeight="true" outlineLevel="0" collapsed="false"/>
    <row r="1881" customFormat="false" ht="12.75" hidden="false" customHeight="true" outlineLevel="0" collapsed="false"/>
    <row r="1882" customFormat="false" ht="12.75" hidden="false" customHeight="true" outlineLevel="0" collapsed="false"/>
    <row r="1883" customFormat="false" ht="12.75" hidden="false" customHeight="true" outlineLevel="0" collapsed="false"/>
    <row r="1884" customFormat="false" ht="12.75" hidden="false" customHeight="true" outlineLevel="0" collapsed="false"/>
    <row r="1885" customFormat="false" ht="12.75" hidden="false" customHeight="true" outlineLevel="0" collapsed="false"/>
    <row r="1886" customFormat="false" ht="12.75" hidden="false" customHeight="true" outlineLevel="0" collapsed="false"/>
    <row r="1887" customFormat="false" ht="12.75" hidden="false" customHeight="true" outlineLevel="0" collapsed="false"/>
    <row r="1888" customFormat="false" ht="12.75" hidden="false" customHeight="true" outlineLevel="0" collapsed="false"/>
    <row r="1889" customFormat="false" ht="12.75" hidden="false" customHeight="true" outlineLevel="0" collapsed="false"/>
    <row r="1890" customFormat="false" ht="12.75" hidden="false" customHeight="true" outlineLevel="0" collapsed="false"/>
    <row r="1891" customFormat="false" ht="12.75" hidden="false" customHeight="true" outlineLevel="0" collapsed="false"/>
    <row r="1892" customFormat="false" ht="12.75" hidden="false" customHeight="true" outlineLevel="0" collapsed="false"/>
    <row r="1893" customFormat="false" ht="12.75" hidden="false" customHeight="true" outlineLevel="0" collapsed="false"/>
    <row r="1894" customFormat="false" ht="12.75" hidden="false" customHeight="true" outlineLevel="0" collapsed="false"/>
    <row r="1895" customFormat="false" ht="12.75" hidden="false" customHeight="true" outlineLevel="0" collapsed="false"/>
    <row r="1896" customFormat="false" ht="12.75" hidden="false" customHeight="true" outlineLevel="0" collapsed="false"/>
    <row r="1897" customFormat="false" ht="12.75" hidden="false" customHeight="true" outlineLevel="0" collapsed="false"/>
    <row r="1898" customFormat="false" ht="12.75" hidden="false" customHeight="true" outlineLevel="0" collapsed="false"/>
    <row r="1899" customFormat="false" ht="12.75" hidden="false" customHeight="true" outlineLevel="0" collapsed="false"/>
    <row r="1900" customFormat="false" ht="12.75" hidden="false" customHeight="true" outlineLevel="0" collapsed="false"/>
    <row r="1901" customFormat="false" ht="12.75" hidden="false" customHeight="true" outlineLevel="0" collapsed="false"/>
    <row r="1902" customFormat="false" ht="12.75" hidden="false" customHeight="true" outlineLevel="0" collapsed="false"/>
    <row r="1903" customFormat="false" ht="12.75" hidden="false" customHeight="true" outlineLevel="0" collapsed="false"/>
    <row r="1904" customFormat="false" ht="12.75" hidden="false" customHeight="true" outlineLevel="0" collapsed="false"/>
    <row r="1905" customFormat="false" ht="12.75" hidden="false" customHeight="true" outlineLevel="0" collapsed="false"/>
    <row r="1906" customFormat="false" ht="12.75" hidden="false" customHeight="true" outlineLevel="0" collapsed="false"/>
    <row r="1907" customFormat="false" ht="12.75" hidden="false" customHeight="true" outlineLevel="0" collapsed="false"/>
    <row r="1908" customFormat="false" ht="12.75" hidden="false" customHeight="true" outlineLevel="0" collapsed="false"/>
    <row r="1909" customFormat="false" ht="12.75" hidden="false" customHeight="true" outlineLevel="0" collapsed="false"/>
    <row r="1910" customFormat="false" ht="12.75" hidden="false" customHeight="true" outlineLevel="0" collapsed="false"/>
    <row r="1911" customFormat="false" ht="12.75" hidden="false" customHeight="true" outlineLevel="0" collapsed="false"/>
    <row r="1912" customFormat="false" ht="12.75" hidden="false" customHeight="true" outlineLevel="0" collapsed="false"/>
    <row r="1913" customFormat="false" ht="12.75" hidden="false" customHeight="true" outlineLevel="0" collapsed="false"/>
    <row r="1914" customFormat="false" ht="12.75" hidden="false" customHeight="true" outlineLevel="0" collapsed="false"/>
    <row r="1915" customFormat="false" ht="12.75" hidden="false" customHeight="true" outlineLevel="0" collapsed="false"/>
    <row r="1916" customFormat="false" ht="12.75" hidden="false" customHeight="true" outlineLevel="0" collapsed="false"/>
    <row r="1917" customFormat="false" ht="12.75" hidden="false" customHeight="true" outlineLevel="0" collapsed="false"/>
    <row r="1918" customFormat="false" ht="12.75" hidden="false" customHeight="true" outlineLevel="0" collapsed="false"/>
    <row r="1919" customFormat="false" ht="12.75" hidden="false" customHeight="true" outlineLevel="0" collapsed="false"/>
    <row r="1920" customFormat="false" ht="12.75" hidden="false" customHeight="true" outlineLevel="0" collapsed="false"/>
    <row r="1921" customFormat="false" ht="12.75" hidden="false" customHeight="true" outlineLevel="0" collapsed="false"/>
    <row r="1922" customFormat="false" ht="12.75" hidden="false" customHeight="true" outlineLevel="0" collapsed="false"/>
    <row r="1923" customFormat="false" ht="12.75" hidden="false" customHeight="true" outlineLevel="0" collapsed="false"/>
    <row r="1924" customFormat="false" ht="12.75" hidden="false" customHeight="true" outlineLevel="0" collapsed="false"/>
    <row r="1925" customFormat="false" ht="12.75" hidden="false" customHeight="true" outlineLevel="0" collapsed="false"/>
    <row r="1926" customFormat="false" ht="12.75" hidden="false" customHeight="true" outlineLevel="0" collapsed="false"/>
    <row r="1927" customFormat="false" ht="12.75" hidden="false" customHeight="true" outlineLevel="0" collapsed="false"/>
    <row r="1928" customFormat="false" ht="12.75" hidden="false" customHeight="true" outlineLevel="0" collapsed="false"/>
    <row r="1929" customFormat="false" ht="12.75" hidden="false" customHeight="true" outlineLevel="0" collapsed="false"/>
    <row r="1930" customFormat="false" ht="12.75" hidden="false" customHeight="true" outlineLevel="0" collapsed="false"/>
    <row r="1931" customFormat="false" ht="12.75" hidden="false" customHeight="true" outlineLevel="0" collapsed="false"/>
    <row r="1932" customFormat="false" ht="12.75" hidden="false" customHeight="true" outlineLevel="0" collapsed="false"/>
    <row r="1933" customFormat="false" ht="12.75" hidden="false" customHeight="true" outlineLevel="0" collapsed="false"/>
    <row r="1934" customFormat="false" ht="12.75" hidden="false" customHeight="true" outlineLevel="0" collapsed="false"/>
    <row r="1935" customFormat="false" ht="12.75" hidden="false" customHeight="true" outlineLevel="0" collapsed="false"/>
    <row r="1936" customFormat="false" ht="12.75" hidden="false" customHeight="true" outlineLevel="0" collapsed="false"/>
    <row r="1937" customFormat="false" ht="12.75" hidden="false" customHeight="true" outlineLevel="0" collapsed="false"/>
    <row r="1938" customFormat="false" ht="12.75" hidden="false" customHeight="true" outlineLevel="0" collapsed="false"/>
    <row r="1939" customFormat="false" ht="12.75" hidden="false" customHeight="true" outlineLevel="0" collapsed="false"/>
    <row r="1940" customFormat="false" ht="12.75" hidden="false" customHeight="true" outlineLevel="0" collapsed="false"/>
    <row r="1941" customFormat="false" ht="12.75" hidden="false" customHeight="true" outlineLevel="0" collapsed="false"/>
    <row r="1942" customFormat="false" ht="12.75" hidden="false" customHeight="true" outlineLevel="0" collapsed="false"/>
    <row r="1943" customFormat="false" ht="12.75" hidden="false" customHeight="true" outlineLevel="0" collapsed="false"/>
    <row r="1944" customFormat="false" ht="12.75" hidden="false" customHeight="true" outlineLevel="0" collapsed="false"/>
    <row r="1945" customFormat="false" ht="12.75" hidden="false" customHeight="true" outlineLevel="0" collapsed="false"/>
    <row r="1946" customFormat="false" ht="12.75" hidden="false" customHeight="true" outlineLevel="0" collapsed="false"/>
    <row r="1947" customFormat="false" ht="12.75" hidden="false" customHeight="true" outlineLevel="0" collapsed="false"/>
    <row r="1948" customFormat="false" ht="12.75" hidden="false" customHeight="true" outlineLevel="0" collapsed="false"/>
    <row r="1949" customFormat="false" ht="12.75" hidden="false" customHeight="true" outlineLevel="0" collapsed="false"/>
    <row r="1950" customFormat="false" ht="12.75" hidden="false" customHeight="true" outlineLevel="0" collapsed="false"/>
    <row r="1951" customFormat="false" ht="12.75" hidden="false" customHeight="true" outlineLevel="0" collapsed="false"/>
    <row r="1952" customFormat="false" ht="12.75" hidden="false" customHeight="true" outlineLevel="0" collapsed="false"/>
    <row r="1953" customFormat="false" ht="12.75" hidden="false" customHeight="true" outlineLevel="0" collapsed="false"/>
    <row r="1954" customFormat="false" ht="12.75" hidden="false" customHeight="true" outlineLevel="0" collapsed="false"/>
    <row r="1955" customFormat="false" ht="12.75" hidden="false" customHeight="true" outlineLevel="0" collapsed="false"/>
    <row r="1956" customFormat="false" ht="12.75" hidden="false" customHeight="true" outlineLevel="0" collapsed="false"/>
    <row r="1957" customFormat="false" ht="12.75" hidden="false" customHeight="true" outlineLevel="0" collapsed="false"/>
    <row r="1958" customFormat="false" ht="12.75" hidden="false" customHeight="true" outlineLevel="0" collapsed="false"/>
    <row r="1959" customFormat="false" ht="12.75" hidden="false" customHeight="true" outlineLevel="0" collapsed="false"/>
    <row r="1960" customFormat="false" ht="12.75" hidden="false" customHeight="true" outlineLevel="0" collapsed="false"/>
    <row r="1961" customFormat="false" ht="12.75" hidden="false" customHeight="true" outlineLevel="0" collapsed="false"/>
    <row r="1962" customFormat="false" ht="12.75" hidden="false" customHeight="true" outlineLevel="0" collapsed="false"/>
    <row r="1963" customFormat="false" ht="12.75" hidden="false" customHeight="true" outlineLevel="0" collapsed="false"/>
    <row r="1964" customFormat="false" ht="12.75" hidden="false" customHeight="true" outlineLevel="0" collapsed="false"/>
    <row r="1965" customFormat="false" ht="12.75" hidden="false" customHeight="true" outlineLevel="0" collapsed="false"/>
    <row r="1966" customFormat="false" ht="12.75" hidden="false" customHeight="true" outlineLevel="0" collapsed="false"/>
    <row r="1967" customFormat="false" ht="12.75" hidden="false" customHeight="true" outlineLevel="0" collapsed="false"/>
    <row r="1968" customFormat="false" ht="12.75" hidden="false" customHeight="true" outlineLevel="0" collapsed="false"/>
    <row r="1969" customFormat="false" ht="12.75" hidden="false" customHeight="true" outlineLevel="0" collapsed="false"/>
    <row r="1970" customFormat="false" ht="12.75" hidden="false" customHeight="true" outlineLevel="0" collapsed="false"/>
    <row r="1971" customFormat="false" ht="12.75" hidden="false" customHeight="true" outlineLevel="0" collapsed="false"/>
    <row r="1972" customFormat="false" ht="12.75" hidden="false" customHeight="true" outlineLevel="0" collapsed="false"/>
    <row r="1973" customFormat="false" ht="12.75" hidden="false" customHeight="true" outlineLevel="0" collapsed="false"/>
    <row r="1974" customFormat="false" ht="12.75" hidden="false" customHeight="true" outlineLevel="0" collapsed="false"/>
    <row r="1975" customFormat="false" ht="12.75" hidden="false" customHeight="true" outlineLevel="0" collapsed="false"/>
    <row r="1976" customFormat="false" ht="12.75" hidden="false" customHeight="true" outlineLevel="0" collapsed="false"/>
    <row r="1977" customFormat="false" ht="12.75" hidden="false" customHeight="true" outlineLevel="0" collapsed="false"/>
    <row r="1978" customFormat="false" ht="12.75" hidden="false" customHeight="true" outlineLevel="0" collapsed="false"/>
    <row r="1979" customFormat="false" ht="12.75" hidden="false" customHeight="true" outlineLevel="0" collapsed="false"/>
    <row r="1980" customFormat="false" ht="12.75" hidden="false" customHeight="true" outlineLevel="0" collapsed="false"/>
    <row r="1981" customFormat="false" ht="12.75" hidden="false" customHeight="true" outlineLevel="0" collapsed="false"/>
    <row r="1982" customFormat="false" ht="12.75" hidden="false" customHeight="true" outlineLevel="0" collapsed="false"/>
    <row r="1983" customFormat="false" ht="12.75" hidden="false" customHeight="true" outlineLevel="0" collapsed="false"/>
    <row r="1984" customFormat="false" ht="12.75" hidden="false" customHeight="true" outlineLevel="0" collapsed="false"/>
    <row r="1985" customFormat="false" ht="12.75" hidden="false" customHeight="true" outlineLevel="0" collapsed="false"/>
    <row r="1986" customFormat="false" ht="12.75" hidden="false" customHeight="true" outlineLevel="0" collapsed="false"/>
    <row r="1987" customFormat="false" ht="12.75" hidden="false" customHeight="true" outlineLevel="0" collapsed="false"/>
    <row r="1988" customFormat="false" ht="12.75" hidden="false" customHeight="true" outlineLevel="0" collapsed="false"/>
    <row r="1989" customFormat="false" ht="12.75" hidden="false" customHeight="true" outlineLevel="0" collapsed="false"/>
    <row r="1990" customFormat="false" ht="12.75" hidden="false" customHeight="true" outlineLevel="0" collapsed="false"/>
    <row r="1991" customFormat="false" ht="12.75" hidden="false" customHeight="true" outlineLevel="0" collapsed="false"/>
    <row r="1992" customFormat="false" ht="12.75" hidden="false" customHeight="true" outlineLevel="0" collapsed="false"/>
    <row r="1993" customFormat="false" ht="12.75" hidden="false" customHeight="true" outlineLevel="0" collapsed="false"/>
    <row r="1994" customFormat="false" ht="12.75" hidden="false" customHeight="true" outlineLevel="0" collapsed="false"/>
    <row r="1995" customFormat="false" ht="12.75" hidden="false" customHeight="true" outlineLevel="0" collapsed="false"/>
    <row r="1996" customFormat="false" ht="12.75" hidden="false" customHeight="true" outlineLevel="0" collapsed="false"/>
    <row r="1997" customFormat="false" ht="12.75" hidden="false" customHeight="true" outlineLevel="0" collapsed="false"/>
    <row r="1998" customFormat="false" ht="12.75" hidden="false" customHeight="true" outlineLevel="0" collapsed="false"/>
    <row r="1999" customFormat="false" ht="12.75" hidden="false" customHeight="true" outlineLevel="0" collapsed="false"/>
    <row r="2000" customFormat="false" ht="12.75" hidden="false" customHeight="true" outlineLevel="0" collapsed="false"/>
    <row r="2001" customFormat="false" ht="12.75" hidden="false" customHeight="true" outlineLevel="0" collapsed="false"/>
    <row r="2002" customFormat="false" ht="12.75" hidden="false" customHeight="true" outlineLevel="0" collapsed="false"/>
    <row r="2003" customFormat="false" ht="12.75" hidden="false" customHeight="true" outlineLevel="0" collapsed="false"/>
    <row r="2004" customFormat="false" ht="12.75" hidden="false" customHeight="true" outlineLevel="0" collapsed="false"/>
    <row r="2005" customFormat="false" ht="12.75" hidden="false" customHeight="true" outlineLevel="0" collapsed="false"/>
    <row r="2006" customFormat="false" ht="12.75" hidden="false" customHeight="true" outlineLevel="0" collapsed="false"/>
    <row r="2007" customFormat="false" ht="12.75" hidden="false" customHeight="true" outlineLevel="0" collapsed="false"/>
    <row r="2008" customFormat="false" ht="12.75" hidden="false" customHeight="true" outlineLevel="0" collapsed="false"/>
    <row r="2009" customFormat="false" ht="12.75" hidden="false" customHeight="true" outlineLevel="0" collapsed="false"/>
    <row r="2010" customFormat="false" ht="12.75" hidden="false" customHeight="true" outlineLevel="0" collapsed="false"/>
    <row r="2011" customFormat="false" ht="12.75" hidden="false" customHeight="true" outlineLevel="0" collapsed="false"/>
    <row r="2012" customFormat="false" ht="12.75" hidden="false" customHeight="true" outlineLevel="0" collapsed="false"/>
    <row r="2013" customFormat="false" ht="12.75" hidden="false" customHeight="true" outlineLevel="0" collapsed="false"/>
    <row r="2014" customFormat="false" ht="12.75" hidden="false" customHeight="true" outlineLevel="0" collapsed="false"/>
    <row r="2015" customFormat="false" ht="12.75" hidden="false" customHeight="true" outlineLevel="0" collapsed="false"/>
    <row r="2016" customFormat="false" ht="12.75" hidden="false" customHeight="true" outlineLevel="0" collapsed="false"/>
    <row r="2017" customFormat="false" ht="12.75" hidden="false" customHeight="true" outlineLevel="0" collapsed="false"/>
    <row r="2018" customFormat="false" ht="12.75" hidden="false" customHeight="true" outlineLevel="0" collapsed="false"/>
    <row r="2019" customFormat="false" ht="12.75" hidden="false" customHeight="true" outlineLevel="0" collapsed="false"/>
    <row r="2020" customFormat="false" ht="12.75" hidden="false" customHeight="true" outlineLevel="0" collapsed="false"/>
    <row r="2021" customFormat="false" ht="12.75" hidden="false" customHeight="true" outlineLevel="0" collapsed="false"/>
    <row r="2022" customFormat="false" ht="12.75" hidden="false" customHeight="true" outlineLevel="0" collapsed="false"/>
    <row r="2023" customFormat="false" ht="12.75" hidden="false" customHeight="true" outlineLevel="0" collapsed="false"/>
    <row r="2024" customFormat="false" ht="12.75" hidden="false" customHeight="true" outlineLevel="0" collapsed="false"/>
    <row r="2025" customFormat="false" ht="12.75" hidden="false" customHeight="true" outlineLevel="0" collapsed="false"/>
    <row r="2026" customFormat="false" ht="12.75" hidden="false" customHeight="true" outlineLevel="0" collapsed="false"/>
    <row r="2027" customFormat="false" ht="12.75" hidden="false" customHeight="true" outlineLevel="0" collapsed="false"/>
    <row r="2028" customFormat="false" ht="12.75" hidden="false" customHeight="true" outlineLevel="0" collapsed="false"/>
    <row r="2029" customFormat="false" ht="12.75" hidden="false" customHeight="true" outlineLevel="0" collapsed="false"/>
    <row r="2030" customFormat="false" ht="12.75" hidden="false" customHeight="true" outlineLevel="0" collapsed="false"/>
    <row r="2031" customFormat="false" ht="12.75" hidden="false" customHeight="true" outlineLevel="0" collapsed="false"/>
    <row r="2032" customFormat="false" ht="12.75" hidden="false" customHeight="true" outlineLevel="0" collapsed="false"/>
    <row r="2033" customFormat="false" ht="12.75" hidden="false" customHeight="true" outlineLevel="0" collapsed="false"/>
    <row r="2034" customFormat="false" ht="12.75" hidden="false" customHeight="true" outlineLevel="0" collapsed="false"/>
    <row r="2035" customFormat="false" ht="12.75" hidden="false" customHeight="true" outlineLevel="0" collapsed="false"/>
    <row r="2036" customFormat="false" ht="12.75" hidden="false" customHeight="true" outlineLevel="0" collapsed="false"/>
    <row r="2037" customFormat="false" ht="12.75" hidden="false" customHeight="true" outlineLevel="0" collapsed="false"/>
    <row r="2038" customFormat="false" ht="12.75" hidden="false" customHeight="true" outlineLevel="0" collapsed="false"/>
    <row r="2039" customFormat="false" ht="12.75" hidden="false" customHeight="true" outlineLevel="0" collapsed="false"/>
    <row r="2040" customFormat="false" ht="12.75" hidden="false" customHeight="true" outlineLevel="0" collapsed="false"/>
    <row r="2041" customFormat="false" ht="12.75" hidden="false" customHeight="true" outlineLevel="0" collapsed="false"/>
    <row r="2042" customFormat="false" ht="12.75" hidden="false" customHeight="true" outlineLevel="0" collapsed="false"/>
    <row r="2043" customFormat="false" ht="12.75" hidden="false" customHeight="true" outlineLevel="0" collapsed="false"/>
    <row r="2044" customFormat="false" ht="12.75" hidden="false" customHeight="true" outlineLevel="0" collapsed="false"/>
    <row r="2045" customFormat="false" ht="12.75" hidden="false" customHeight="true" outlineLevel="0" collapsed="false"/>
    <row r="2046" customFormat="false" ht="12.75" hidden="false" customHeight="true" outlineLevel="0" collapsed="false"/>
    <row r="2047" customFormat="false" ht="12.75" hidden="false" customHeight="true" outlineLevel="0" collapsed="false"/>
    <row r="2048" customFormat="false" ht="12.75" hidden="false" customHeight="true" outlineLevel="0" collapsed="false"/>
    <row r="2049" customFormat="false" ht="12.75" hidden="false" customHeight="true" outlineLevel="0" collapsed="false"/>
    <row r="2050" customFormat="false" ht="12.75" hidden="false" customHeight="true" outlineLevel="0" collapsed="false"/>
    <row r="2051" customFormat="false" ht="12.75" hidden="false" customHeight="true" outlineLevel="0" collapsed="false"/>
    <row r="2052" customFormat="false" ht="12.75" hidden="false" customHeight="true" outlineLevel="0" collapsed="false"/>
    <row r="2053" customFormat="false" ht="12.75" hidden="false" customHeight="true" outlineLevel="0" collapsed="false"/>
    <row r="2054" customFormat="false" ht="12.75" hidden="false" customHeight="true" outlineLevel="0" collapsed="false"/>
    <row r="2055" customFormat="false" ht="12.75" hidden="false" customHeight="true" outlineLevel="0" collapsed="false"/>
    <row r="2056" customFormat="false" ht="12.75" hidden="false" customHeight="true" outlineLevel="0" collapsed="false"/>
    <row r="2057" customFormat="false" ht="12.75" hidden="false" customHeight="true" outlineLevel="0" collapsed="false"/>
    <row r="2058" customFormat="false" ht="12.75" hidden="false" customHeight="true" outlineLevel="0" collapsed="false"/>
    <row r="2059" customFormat="false" ht="12.75" hidden="false" customHeight="true" outlineLevel="0" collapsed="false"/>
    <row r="2060" customFormat="false" ht="12.75" hidden="false" customHeight="true" outlineLevel="0" collapsed="false"/>
    <row r="2061" customFormat="false" ht="12.75" hidden="false" customHeight="true" outlineLevel="0" collapsed="false"/>
    <row r="2062" customFormat="false" ht="12.75" hidden="false" customHeight="true" outlineLevel="0" collapsed="false"/>
    <row r="2063" customFormat="false" ht="12.75" hidden="false" customHeight="true" outlineLevel="0" collapsed="false"/>
    <row r="2064" customFormat="false" ht="12.75" hidden="false" customHeight="true" outlineLevel="0" collapsed="false"/>
    <row r="2065" customFormat="false" ht="12.75" hidden="false" customHeight="true" outlineLevel="0" collapsed="false"/>
    <row r="2066" customFormat="false" ht="12.75" hidden="false" customHeight="true" outlineLevel="0" collapsed="false"/>
    <row r="2067" customFormat="false" ht="12.75" hidden="false" customHeight="true" outlineLevel="0" collapsed="false"/>
    <row r="2068" customFormat="false" ht="12.75" hidden="false" customHeight="true" outlineLevel="0" collapsed="false"/>
    <row r="2069" customFormat="false" ht="12.75" hidden="false" customHeight="true" outlineLevel="0" collapsed="false"/>
    <row r="2070" customFormat="false" ht="12.75" hidden="false" customHeight="true" outlineLevel="0" collapsed="false"/>
    <row r="2071" customFormat="false" ht="12.75" hidden="false" customHeight="true" outlineLevel="0" collapsed="false"/>
    <row r="2072" customFormat="false" ht="12.75" hidden="false" customHeight="true" outlineLevel="0" collapsed="false"/>
    <row r="2073" customFormat="false" ht="12.75" hidden="false" customHeight="true" outlineLevel="0" collapsed="false"/>
    <row r="2074" customFormat="false" ht="12.75" hidden="false" customHeight="true" outlineLevel="0" collapsed="false"/>
    <row r="2075" customFormat="false" ht="12.75" hidden="false" customHeight="true" outlineLevel="0" collapsed="false"/>
    <row r="2076" customFormat="false" ht="12.75" hidden="false" customHeight="true" outlineLevel="0" collapsed="false"/>
    <row r="2077" customFormat="false" ht="12.75" hidden="false" customHeight="true" outlineLevel="0" collapsed="false"/>
    <row r="2078" customFormat="false" ht="12.75" hidden="false" customHeight="true" outlineLevel="0" collapsed="false"/>
    <row r="2079" customFormat="false" ht="12.75" hidden="false" customHeight="true" outlineLevel="0" collapsed="false"/>
    <row r="2080" customFormat="false" ht="12.75" hidden="false" customHeight="true" outlineLevel="0" collapsed="false"/>
    <row r="2081" customFormat="false" ht="12.75" hidden="false" customHeight="true" outlineLevel="0" collapsed="false"/>
    <row r="2082" customFormat="false" ht="12.75" hidden="false" customHeight="true" outlineLevel="0" collapsed="false"/>
    <row r="2083" customFormat="false" ht="12.75" hidden="false" customHeight="true" outlineLevel="0" collapsed="false"/>
    <row r="2084" customFormat="false" ht="12.75" hidden="false" customHeight="true" outlineLevel="0" collapsed="false"/>
    <row r="2085" customFormat="false" ht="12.75" hidden="false" customHeight="true" outlineLevel="0" collapsed="false"/>
    <row r="2086" customFormat="false" ht="12.75" hidden="false" customHeight="true" outlineLevel="0" collapsed="false"/>
    <row r="2087" customFormat="false" ht="12.75" hidden="false" customHeight="true" outlineLevel="0" collapsed="false"/>
    <row r="2088" customFormat="false" ht="12.75" hidden="false" customHeight="true" outlineLevel="0" collapsed="false"/>
    <row r="2089" customFormat="false" ht="12.75" hidden="false" customHeight="true" outlineLevel="0" collapsed="false"/>
    <row r="2090" customFormat="false" ht="12.75" hidden="false" customHeight="true" outlineLevel="0" collapsed="false"/>
    <row r="2091" customFormat="false" ht="12.75" hidden="false" customHeight="true" outlineLevel="0" collapsed="false"/>
    <row r="2092" customFormat="false" ht="12.75" hidden="false" customHeight="true" outlineLevel="0" collapsed="false"/>
    <row r="2093" customFormat="false" ht="12.75" hidden="false" customHeight="true" outlineLevel="0" collapsed="false"/>
    <row r="2094" customFormat="false" ht="12.75" hidden="false" customHeight="true" outlineLevel="0" collapsed="false"/>
    <row r="2095" customFormat="false" ht="12.75" hidden="false" customHeight="true" outlineLevel="0" collapsed="false"/>
    <row r="2096" customFormat="false" ht="12.75" hidden="false" customHeight="true" outlineLevel="0" collapsed="false"/>
    <row r="2097" customFormat="false" ht="12.75" hidden="false" customHeight="true" outlineLevel="0" collapsed="false"/>
    <row r="2098" customFormat="false" ht="12.75" hidden="false" customHeight="true" outlineLevel="0" collapsed="false"/>
    <row r="2099" customFormat="false" ht="12.75" hidden="false" customHeight="true" outlineLevel="0" collapsed="false"/>
    <row r="2100" customFormat="false" ht="12.75" hidden="false" customHeight="true" outlineLevel="0" collapsed="false"/>
    <row r="2101" customFormat="false" ht="12.75" hidden="false" customHeight="true" outlineLevel="0" collapsed="false"/>
    <row r="2102" customFormat="false" ht="12.75" hidden="false" customHeight="true" outlineLevel="0" collapsed="false"/>
    <row r="2103" customFormat="false" ht="12.75" hidden="false" customHeight="true" outlineLevel="0" collapsed="false"/>
    <row r="2104" customFormat="false" ht="12.75" hidden="false" customHeight="true" outlineLevel="0" collapsed="false"/>
    <row r="2105" customFormat="false" ht="12.75" hidden="false" customHeight="true" outlineLevel="0" collapsed="false"/>
    <row r="2106" customFormat="false" ht="12.75" hidden="false" customHeight="true" outlineLevel="0" collapsed="false"/>
    <row r="2107" customFormat="false" ht="12.75" hidden="false" customHeight="true" outlineLevel="0" collapsed="false"/>
    <row r="2108" customFormat="false" ht="12.75" hidden="false" customHeight="true" outlineLevel="0" collapsed="false"/>
    <row r="2109" customFormat="false" ht="12.75" hidden="false" customHeight="true" outlineLevel="0" collapsed="false"/>
    <row r="2110" customFormat="false" ht="12.75" hidden="false" customHeight="true" outlineLevel="0" collapsed="false"/>
    <row r="2111" customFormat="false" ht="12.75" hidden="false" customHeight="true" outlineLevel="0" collapsed="false"/>
    <row r="2112" customFormat="false" ht="12.75" hidden="false" customHeight="true" outlineLevel="0" collapsed="false"/>
    <row r="2113" customFormat="false" ht="12.75" hidden="false" customHeight="true" outlineLevel="0" collapsed="false"/>
    <row r="2114" customFormat="false" ht="12.75" hidden="false" customHeight="true" outlineLevel="0" collapsed="false"/>
    <row r="2115" customFormat="false" ht="12.75" hidden="false" customHeight="true" outlineLevel="0" collapsed="false"/>
    <row r="2116" customFormat="false" ht="12.75" hidden="false" customHeight="true" outlineLevel="0" collapsed="false"/>
    <row r="2117" customFormat="false" ht="12.75" hidden="false" customHeight="true" outlineLevel="0" collapsed="false"/>
    <row r="2118" customFormat="false" ht="12.75" hidden="false" customHeight="true" outlineLevel="0" collapsed="false"/>
    <row r="2119" customFormat="false" ht="12.75" hidden="false" customHeight="true" outlineLevel="0" collapsed="false"/>
    <row r="2120" customFormat="false" ht="12.75" hidden="false" customHeight="true" outlineLevel="0" collapsed="false"/>
    <row r="2121" customFormat="false" ht="12.75" hidden="false" customHeight="true" outlineLevel="0" collapsed="false"/>
    <row r="2122" customFormat="false" ht="12.75" hidden="false" customHeight="true" outlineLevel="0" collapsed="false"/>
    <row r="2123" customFormat="false" ht="12.75" hidden="false" customHeight="true" outlineLevel="0" collapsed="false"/>
    <row r="2124" customFormat="false" ht="12.75" hidden="false" customHeight="true" outlineLevel="0" collapsed="false"/>
    <row r="2125" customFormat="false" ht="12.75" hidden="false" customHeight="true" outlineLevel="0" collapsed="false"/>
    <row r="2126" customFormat="false" ht="12.75" hidden="false" customHeight="true" outlineLevel="0" collapsed="false"/>
    <row r="2127" customFormat="false" ht="12.75" hidden="false" customHeight="true" outlineLevel="0" collapsed="false"/>
    <row r="2128" customFormat="false" ht="12.75" hidden="false" customHeight="true" outlineLevel="0" collapsed="false"/>
    <row r="2129" customFormat="false" ht="12.75" hidden="false" customHeight="true" outlineLevel="0" collapsed="false"/>
    <row r="2130" customFormat="false" ht="12.75" hidden="false" customHeight="true" outlineLevel="0" collapsed="false"/>
    <row r="2131" customFormat="false" ht="12.75" hidden="false" customHeight="true" outlineLevel="0" collapsed="false"/>
    <row r="2132" customFormat="false" ht="12.75" hidden="false" customHeight="true" outlineLevel="0" collapsed="false"/>
    <row r="2133" customFormat="false" ht="12.75" hidden="false" customHeight="true" outlineLevel="0" collapsed="false"/>
    <row r="2134" customFormat="false" ht="12.75" hidden="false" customHeight="true" outlineLevel="0" collapsed="false"/>
    <row r="2135" customFormat="false" ht="12.75" hidden="false" customHeight="true" outlineLevel="0" collapsed="false"/>
    <row r="2136" customFormat="false" ht="12.75" hidden="false" customHeight="true" outlineLevel="0" collapsed="false"/>
    <row r="2137" customFormat="false" ht="12.75" hidden="false" customHeight="true" outlineLevel="0" collapsed="false"/>
    <row r="2138" customFormat="false" ht="12.75" hidden="false" customHeight="true" outlineLevel="0" collapsed="false"/>
    <row r="2139" customFormat="false" ht="12.75" hidden="false" customHeight="true" outlineLevel="0" collapsed="false"/>
    <row r="2140" customFormat="false" ht="12.75" hidden="false" customHeight="true" outlineLevel="0" collapsed="false"/>
    <row r="2141" customFormat="false" ht="12.75" hidden="false" customHeight="true" outlineLevel="0" collapsed="false"/>
    <row r="2142" customFormat="false" ht="12.75" hidden="false" customHeight="true" outlineLevel="0" collapsed="false"/>
    <row r="2143" customFormat="false" ht="12.75" hidden="false" customHeight="true" outlineLevel="0" collapsed="false"/>
    <row r="2144" customFormat="false" ht="12.75" hidden="false" customHeight="true" outlineLevel="0" collapsed="false"/>
    <row r="2145" customFormat="false" ht="12.75" hidden="false" customHeight="true" outlineLevel="0" collapsed="false"/>
    <row r="2146" customFormat="false" ht="12.75" hidden="false" customHeight="true" outlineLevel="0" collapsed="false"/>
    <row r="2147" customFormat="false" ht="12.75" hidden="false" customHeight="true" outlineLevel="0" collapsed="false"/>
    <row r="2148" customFormat="false" ht="12.75" hidden="false" customHeight="true" outlineLevel="0" collapsed="false"/>
    <row r="2149" customFormat="false" ht="12.75" hidden="false" customHeight="true" outlineLevel="0" collapsed="false"/>
    <row r="2150" customFormat="false" ht="12.75" hidden="false" customHeight="true" outlineLevel="0" collapsed="false"/>
    <row r="2151" customFormat="false" ht="12.75" hidden="false" customHeight="true" outlineLevel="0" collapsed="false"/>
    <row r="2152" customFormat="false" ht="12.75" hidden="false" customHeight="true" outlineLevel="0" collapsed="false"/>
    <row r="2153" customFormat="false" ht="12.75" hidden="false" customHeight="true" outlineLevel="0" collapsed="false"/>
    <row r="2154" customFormat="false" ht="12.75" hidden="false" customHeight="true" outlineLevel="0" collapsed="false"/>
    <row r="2155" customFormat="false" ht="12.75" hidden="false" customHeight="true" outlineLevel="0" collapsed="false"/>
    <row r="2156" customFormat="false" ht="12.75" hidden="false" customHeight="true" outlineLevel="0" collapsed="false"/>
    <row r="2157" customFormat="false" ht="12.75" hidden="false" customHeight="true" outlineLevel="0" collapsed="false"/>
    <row r="2158" customFormat="false" ht="12.75" hidden="false" customHeight="true" outlineLevel="0" collapsed="false"/>
    <row r="2159" customFormat="false" ht="12.75" hidden="false" customHeight="true" outlineLevel="0" collapsed="false"/>
    <row r="2160" customFormat="false" ht="12.75" hidden="false" customHeight="true" outlineLevel="0" collapsed="false"/>
    <row r="2161" customFormat="false" ht="12.75" hidden="false" customHeight="true" outlineLevel="0" collapsed="false"/>
    <row r="2162" customFormat="false" ht="12.75" hidden="false" customHeight="true" outlineLevel="0" collapsed="false"/>
    <row r="2163" customFormat="false" ht="12.75" hidden="false" customHeight="true" outlineLevel="0" collapsed="false"/>
    <row r="2164" customFormat="false" ht="12.75" hidden="false" customHeight="true" outlineLevel="0" collapsed="false"/>
    <row r="2165" customFormat="false" ht="12.75" hidden="false" customHeight="true" outlineLevel="0" collapsed="false"/>
    <row r="2166" customFormat="false" ht="12.75" hidden="false" customHeight="true" outlineLevel="0" collapsed="false"/>
    <row r="2167" customFormat="false" ht="12.75" hidden="false" customHeight="true" outlineLevel="0" collapsed="false"/>
    <row r="2168" customFormat="false" ht="12.75" hidden="false" customHeight="true" outlineLevel="0" collapsed="false"/>
    <row r="2169" customFormat="false" ht="12.75" hidden="false" customHeight="true" outlineLevel="0" collapsed="false"/>
    <row r="2170" customFormat="false" ht="12.75" hidden="false" customHeight="true" outlineLevel="0" collapsed="false"/>
    <row r="2171" customFormat="false" ht="12.75" hidden="false" customHeight="true" outlineLevel="0" collapsed="false"/>
    <row r="2172" customFormat="false" ht="12.75" hidden="false" customHeight="true" outlineLevel="0" collapsed="false"/>
    <row r="2173" customFormat="false" ht="12.75" hidden="false" customHeight="true" outlineLevel="0" collapsed="false"/>
    <row r="2174" customFormat="false" ht="12.75" hidden="false" customHeight="true" outlineLevel="0" collapsed="false"/>
    <row r="2175" customFormat="false" ht="12.75" hidden="false" customHeight="true" outlineLevel="0" collapsed="false"/>
    <row r="2176" customFormat="false" ht="12.75" hidden="false" customHeight="true" outlineLevel="0" collapsed="false"/>
    <row r="2177" customFormat="false" ht="12.75" hidden="false" customHeight="true" outlineLevel="0" collapsed="false"/>
    <row r="2178" customFormat="false" ht="12.75" hidden="false" customHeight="true" outlineLevel="0" collapsed="false"/>
    <row r="2179" customFormat="false" ht="12.75" hidden="false" customHeight="true" outlineLevel="0" collapsed="false"/>
    <row r="2180" customFormat="false" ht="12.75" hidden="false" customHeight="true" outlineLevel="0" collapsed="false"/>
    <row r="2181" customFormat="false" ht="12.75" hidden="false" customHeight="true" outlineLevel="0" collapsed="false"/>
    <row r="2182" customFormat="false" ht="12.75" hidden="false" customHeight="true" outlineLevel="0" collapsed="false"/>
    <row r="2183" customFormat="false" ht="12.75" hidden="false" customHeight="true" outlineLevel="0" collapsed="false"/>
    <row r="2184" customFormat="false" ht="12.75" hidden="false" customHeight="true" outlineLevel="0" collapsed="false"/>
    <row r="2185" customFormat="false" ht="12.75" hidden="false" customHeight="true" outlineLevel="0" collapsed="false"/>
    <row r="2186" customFormat="false" ht="12.75" hidden="false" customHeight="true" outlineLevel="0" collapsed="false"/>
    <row r="2187" customFormat="false" ht="12.75" hidden="false" customHeight="true" outlineLevel="0" collapsed="false"/>
    <row r="2188" customFormat="false" ht="12.75" hidden="false" customHeight="true" outlineLevel="0" collapsed="false"/>
    <row r="2189" customFormat="false" ht="12.75" hidden="false" customHeight="true" outlineLevel="0" collapsed="false"/>
    <row r="2190" customFormat="false" ht="12.75" hidden="false" customHeight="true" outlineLevel="0" collapsed="false"/>
    <row r="2191" customFormat="false" ht="12.75" hidden="false" customHeight="true" outlineLevel="0" collapsed="false"/>
    <row r="2192" customFormat="false" ht="12.75" hidden="false" customHeight="true" outlineLevel="0" collapsed="false"/>
    <row r="2193" customFormat="false" ht="12.75" hidden="false" customHeight="true" outlineLevel="0" collapsed="false"/>
    <row r="2194" customFormat="false" ht="12.75" hidden="false" customHeight="true" outlineLevel="0" collapsed="false"/>
    <row r="2195" customFormat="false" ht="12.75" hidden="false" customHeight="true" outlineLevel="0" collapsed="false"/>
    <row r="2196" customFormat="false" ht="12.75" hidden="false" customHeight="true" outlineLevel="0" collapsed="false"/>
    <row r="2197" customFormat="false" ht="12.75" hidden="false" customHeight="true" outlineLevel="0" collapsed="false"/>
    <row r="2198" customFormat="false" ht="12.75" hidden="false" customHeight="true" outlineLevel="0" collapsed="false"/>
    <row r="2199" customFormat="false" ht="12.75" hidden="false" customHeight="true" outlineLevel="0" collapsed="false"/>
    <row r="2200" customFormat="false" ht="12.75" hidden="false" customHeight="true" outlineLevel="0" collapsed="false"/>
    <row r="2201" customFormat="false" ht="12.75" hidden="false" customHeight="true" outlineLevel="0" collapsed="false"/>
    <row r="2202" customFormat="false" ht="12.75" hidden="false" customHeight="true" outlineLevel="0" collapsed="false"/>
    <row r="2203" customFormat="false" ht="12.75" hidden="false" customHeight="true" outlineLevel="0" collapsed="false"/>
    <row r="2204" customFormat="false" ht="12.75" hidden="false" customHeight="true" outlineLevel="0" collapsed="false"/>
    <row r="2205" customFormat="false" ht="12.75" hidden="false" customHeight="true" outlineLevel="0" collapsed="false"/>
    <row r="2206" customFormat="false" ht="12.75" hidden="false" customHeight="true" outlineLevel="0" collapsed="false"/>
    <row r="2207" customFormat="false" ht="12.75" hidden="false" customHeight="true" outlineLevel="0" collapsed="false"/>
    <row r="2208" customFormat="false" ht="12.75" hidden="false" customHeight="true" outlineLevel="0" collapsed="false"/>
    <row r="2209" customFormat="false" ht="12.75" hidden="false" customHeight="true" outlineLevel="0" collapsed="false"/>
    <row r="2210" customFormat="false" ht="12.75" hidden="false" customHeight="true" outlineLevel="0" collapsed="false"/>
    <row r="2211" customFormat="false" ht="12.75" hidden="false" customHeight="true" outlineLevel="0" collapsed="false"/>
    <row r="2212" customFormat="false" ht="12.75" hidden="false" customHeight="true" outlineLevel="0" collapsed="false"/>
    <row r="2213" customFormat="false" ht="12.75" hidden="false" customHeight="true" outlineLevel="0" collapsed="false"/>
    <row r="2214" customFormat="false" ht="12.75" hidden="false" customHeight="true" outlineLevel="0" collapsed="false"/>
    <row r="2215" customFormat="false" ht="12.75" hidden="false" customHeight="true" outlineLevel="0" collapsed="false"/>
    <row r="2216" customFormat="false" ht="12.75" hidden="false" customHeight="true" outlineLevel="0" collapsed="false"/>
    <row r="2217" customFormat="false" ht="12.75" hidden="false" customHeight="true" outlineLevel="0" collapsed="false"/>
    <row r="2218" customFormat="false" ht="12.75" hidden="false" customHeight="true" outlineLevel="0" collapsed="false"/>
    <row r="2219" customFormat="false" ht="12.75" hidden="false" customHeight="true" outlineLevel="0" collapsed="false"/>
    <row r="2220" customFormat="false" ht="12.75" hidden="false" customHeight="true" outlineLevel="0" collapsed="false"/>
    <row r="2221" customFormat="false" ht="12.75" hidden="false" customHeight="true" outlineLevel="0" collapsed="false"/>
    <row r="2222" customFormat="false" ht="12.75" hidden="false" customHeight="true" outlineLevel="0" collapsed="false"/>
    <row r="2223" customFormat="false" ht="12.75" hidden="false" customHeight="true" outlineLevel="0" collapsed="false"/>
    <row r="2224" customFormat="false" ht="12.75" hidden="false" customHeight="true" outlineLevel="0" collapsed="false"/>
    <row r="2225" customFormat="false" ht="12.75" hidden="false" customHeight="true" outlineLevel="0" collapsed="false"/>
    <row r="2226" customFormat="false" ht="12.75" hidden="false" customHeight="true" outlineLevel="0" collapsed="false"/>
    <row r="2227" customFormat="false" ht="12.75" hidden="false" customHeight="true" outlineLevel="0" collapsed="false"/>
    <row r="2228" customFormat="false" ht="12.75" hidden="false" customHeight="true" outlineLevel="0" collapsed="false"/>
    <row r="2229" customFormat="false" ht="12.75" hidden="false" customHeight="true" outlineLevel="0" collapsed="false"/>
    <row r="2230" customFormat="false" ht="12.75" hidden="false" customHeight="true" outlineLevel="0" collapsed="false"/>
    <row r="2231" customFormat="false" ht="12.75" hidden="false" customHeight="true" outlineLevel="0" collapsed="false"/>
    <row r="2232" customFormat="false" ht="12.75" hidden="false" customHeight="true" outlineLevel="0" collapsed="false"/>
    <row r="2233" customFormat="false" ht="12.75" hidden="false" customHeight="true" outlineLevel="0" collapsed="false"/>
    <row r="2234" customFormat="false" ht="12.75" hidden="false" customHeight="true" outlineLevel="0" collapsed="false"/>
    <row r="2235" customFormat="false" ht="12.75" hidden="false" customHeight="true" outlineLevel="0" collapsed="false"/>
    <row r="2236" customFormat="false" ht="12.75" hidden="false" customHeight="true" outlineLevel="0" collapsed="false"/>
    <row r="2237" customFormat="false" ht="12.75" hidden="false" customHeight="true" outlineLevel="0" collapsed="false"/>
    <row r="2238" customFormat="false" ht="12.75" hidden="false" customHeight="true" outlineLevel="0" collapsed="false"/>
    <row r="2239" customFormat="false" ht="12.75" hidden="false" customHeight="true" outlineLevel="0" collapsed="false"/>
    <row r="2240" customFormat="false" ht="12.75" hidden="false" customHeight="true" outlineLevel="0" collapsed="false"/>
    <row r="2241" customFormat="false" ht="12.75" hidden="false" customHeight="true" outlineLevel="0" collapsed="false"/>
    <row r="2242" customFormat="false" ht="12.75" hidden="false" customHeight="true" outlineLevel="0" collapsed="false"/>
    <row r="2243" customFormat="false" ht="12.75" hidden="false" customHeight="true" outlineLevel="0" collapsed="false"/>
    <row r="2244" customFormat="false" ht="12.75" hidden="false" customHeight="true" outlineLevel="0" collapsed="false"/>
    <row r="2245" customFormat="false" ht="12.75" hidden="false" customHeight="true" outlineLevel="0" collapsed="false"/>
    <row r="2246" customFormat="false" ht="12.75" hidden="false" customHeight="true" outlineLevel="0" collapsed="false"/>
    <row r="2247" customFormat="false" ht="12.75" hidden="false" customHeight="true" outlineLevel="0" collapsed="false"/>
    <row r="2248" customFormat="false" ht="12.75" hidden="false" customHeight="true" outlineLevel="0" collapsed="false"/>
    <row r="2249" customFormat="false" ht="12.75" hidden="false" customHeight="true" outlineLevel="0" collapsed="false"/>
    <row r="2250" customFormat="false" ht="12.75" hidden="false" customHeight="true" outlineLevel="0" collapsed="false"/>
    <row r="2251" customFormat="false" ht="12.75" hidden="false" customHeight="true" outlineLevel="0" collapsed="false"/>
    <row r="2252" customFormat="false" ht="12.75" hidden="false" customHeight="true" outlineLevel="0" collapsed="false"/>
    <row r="2253" customFormat="false" ht="12.75" hidden="false" customHeight="true" outlineLevel="0" collapsed="false"/>
    <row r="2254" customFormat="false" ht="12.75" hidden="false" customHeight="true" outlineLevel="0" collapsed="false"/>
    <row r="2255" customFormat="false" ht="12.75" hidden="false" customHeight="true" outlineLevel="0" collapsed="false"/>
    <row r="2256" customFormat="false" ht="12.75" hidden="false" customHeight="true" outlineLevel="0" collapsed="false"/>
    <row r="2257" customFormat="false" ht="12.75" hidden="false" customHeight="true" outlineLevel="0" collapsed="false"/>
    <row r="2258" customFormat="false" ht="12.75" hidden="false" customHeight="true" outlineLevel="0" collapsed="false"/>
    <row r="2259" customFormat="false" ht="12.75" hidden="false" customHeight="true" outlineLevel="0" collapsed="false"/>
    <row r="2260" customFormat="false" ht="12.75" hidden="false" customHeight="true" outlineLevel="0" collapsed="false"/>
    <row r="2261" customFormat="false" ht="12.75" hidden="false" customHeight="true" outlineLevel="0" collapsed="false"/>
    <row r="2262" customFormat="false" ht="12.75" hidden="false" customHeight="true" outlineLevel="0" collapsed="false"/>
    <row r="2263" customFormat="false" ht="12.75" hidden="false" customHeight="true" outlineLevel="0" collapsed="false"/>
    <row r="2264" customFormat="false" ht="12.75" hidden="false" customHeight="true" outlineLevel="0" collapsed="false"/>
    <row r="2265" customFormat="false" ht="12.75" hidden="false" customHeight="true" outlineLevel="0" collapsed="false"/>
    <row r="2266" customFormat="false" ht="12.75" hidden="false" customHeight="true" outlineLevel="0" collapsed="false"/>
    <row r="2267" customFormat="false" ht="12.75" hidden="false" customHeight="true" outlineLevel="0" collapsed="false"/>
    <row r="2268" customFormat="false" ht="12.75" hidden="false" customHeight="true" outlineLevel="0" collapsed="false"/>
    <row r="2269" customFormat="false" ht="12.75" hidden="false" customHeight="true" outlineLevel="0" collapsed="false"/>
    <row r="2270" customFormat="false" ht="12.75" hidden="false" customHeight="true" outlineLevel="0" collapsed="false"/>
    <row r="2271" customFormat="false" ht="12.75" hidden="false" customHeight="true" outlineLevel="0" collapsed="false"/>
    <row r="2272" customFormat="false" ht="12.75" hidden="false" customHeight="true" outlineLevel="0" collapsed="false"/>
    <row r="2273" customFormat="false" ht="12.75" hidden="false" customHeight="true" outlineLevel="0" collapsed="false"/>
    <row r="2274" customFormat="false" ht="12.75" hidden="false" customHeight="true" outlineLevel="0" collapsed="false"/>
    <row r="2275" customFormat="false" ht="12.75" hidden="false" customHeight="true" outlineLevel="0" collapsed="false"/>
    <row r="2276" customFormat="false" ht="12.75" hidden="false" customHeight="true" outlineLevel="0" collapsed="false"/>
    <row r="2277" customFormat="false" ht="12.75" hidden="false" customHeight="true" outlineLevel="0" collapsed="false"/>
    <row r="2278" customFormat="false" ht="12.75" hidden="false" customHeight="true" outlineLevel="0" collapsed="false"/>
    <row r="2279" customFormat="false" ht="12.75" hidden="false" customHeight="true" outlineLevel="0" collapsed="false"/>
    <row r="2280" customFormat="false" ht="12.75" hidden="false" customHeight="true" outlineLevel="0" collapsed="false"/>
    <row r="2281" customFormat="false" ht="12.75" hidden="false" customHeight="true" outlineLevel="0" collapsed="false"/>
    <row r="2282" customFormat="false" ht="12.75" hidden="false" customHeight="true" outlineLevel="0" collapsed="false"/>
    <row r="2283" customFormat="false" ht="12.75" hidden="false" customHeight="true" outlineLevel="0" collapsed="false"/>
    <row r="2284" customFormat="false" ht="12.75" hidden="false" customHeight="true" outlineLevel="0" collapsed="false"/>
    <row r="2285" customFormat="false" ht="12.75" hidden="false" customHeight="true" outlineLevel="0" collapsed="false"/>
    <row r="2286" customFormat="false" ht="12.75" hidden="false" customHeight="true" outlineLevel="0" collapsed="false"/>
    <row r="2287" customFormat="false" ht="12.75" hidden="false" customHeight="true" outlineLevel="0" collapsed="false"/>
    <row r="2288" customFormat="false" ht="12.75" hidden="false" customHeight="true" outlineLevel="0" collapsed="false"/>
    <row r="2289" customFormat="false" ht="12.75" hidden="false" customHeight="true" outlineLevel="0" collapsed="false"/>
    <row r="2290" customFormat="false" ht="12.75" hidden="false" customHeight="true" outlineLevel="0" collapsed="false"/>
    <row r="2291" customFormat="false" ht="12.75" hidden="false" customHeight="true" outlineLevel="0" collapsed="false"/>
    <row r="2292" customFormat="false" ht="12.75" hidden="false" customHeight="true" outlineLevel="0" collapsed="false"/>
    <row r="2293" customFormat="false" ht="12.75" hidden="false" customHeight="true" outlineLevel="0" collapsed="false"/>
    <row r="2294" customFormat="false" ht="12.75" hidden="false" customHeight="true" outlineLevel="0" collapsed="false"/>
    <row r="2295" customFormat="false" ht="12.75" hidden="false" customHeight="true" outlineLevel="0" collapsed="false"/>
    <row r="2296" customFormat="false" ht="12.75" hidden="false" customHeight="true" outlineLevel="0" collapsed="false"/>
    <row r="2297" customFormat="false" ht="12.75" hidden="false" customHeight="true" outlineLevel="0" collapsed="false"/>
    <row r="2298" customFormat="false" ht="12.75" hidden="false" customHeight="true" outlineLevel="0" collapsed="false"/>
    <row r="2299" customFormat="false" ht="12.75" hidden="false" customHeight="true" outlineLevel="0" collapsed="false"/>
    <row r="2300" customFormat="false" ht="12.75" hidden="false" customHeight="true" outlineLevel="0" collapsed="false"/>
    <row r="2301" customFormat="false" ht="12.75" hidden="false" customHeight="true" outlineLevel="0" collapsed="false"/>
    <row r="2302" customFormat="false" ht="12.75" hidden="false" customHeight="true" outlineLevel="0" collapsed="false"/>
    <row r="2303" customFormat="false" ht="12.75" hidden="false" customHeight="true" outlineLevel="0" collapsed="false"/>
    <row r="2304" customFormat="false" ht="12.75" hidden="false" customHeight="true" outlineLevel="0" collapsed="false"/>
    <row r="2305" customFormat="false" ht="12.75" hidden="false" customHeight="true" outlineLevel="0" collapsed="false"/>
    <row r="2306" customFormat="false" ht="12.75" hidden="false" customHeight="true" outlineLevel="0" collapsed="false"/>
    <row r="2307" customFormat="false" ht="12.75" hidden="false" customHeight="true" outlineLevel="0" collapsed="false"/>
    <row r="2308" customFormat="false" ht="12.75" hidden="false" customHeight="true" outlineLevel="0" collapsed="false"/>
    <row r="2309" customFormat="false" ht="12.75" hidden="false" customHeight="true" outlineLevel="0" collapsed="false"/>
    <row r="2310" customFormat="false" ht="12.75" hidden="false" customHeight="true" outlineLevel="0" collapsed="false"/>
    <row r="2311" customFormat="false" ht="12.75" hidden="false" customHeight="true" outlineLevel="0" collapsed="false"/>
    <row r="2312" customFormat="false" ht="12.75" hidden="false" customHeight="true" outlineLevel="0" collapsed="false"/>
    <row r="2313" customFormat="false" ht="12.75" hidden="false" customHeight="true" outlineLevel="0" collapsed="false"/>
    <row r="2314" customFormat="false" ht="12.75" hidden="false" customHeight="true" outlineLevel="0" collapsed="false"/>
    <row r="2315" customFormat="false" ht="12.75" hidden="false" customHeight="true" outlineLevel="0" collapsed="false"/>
    <row r="2316" customFormat="false" ht="12.75" hidden="false" customHeight="true" outlineLevel="0" collapsed="false"/>
    <row r="2317" customFormat="false" ht="12.75" hidden="false" customHeight="true" outlineLevel="0" collapsed="false"/>
    <row r="2318" customFormat="false" ht="12.75" hidden="false" customHeight="true" outlineLevel="0" collapsed="false"/>
    <row r="2319" customFormat="false" ht="12.75" hidden="false" customHeight="true" outlineLevel="0" collapsed="false"/>
    <row r="2320" customFormat="false" ht="12.75" hidden="false" customHeight="true" outlineLevel="0" collapsed="false"/>
    <row r="2321" customFormat="false" ht="12.75" hidden="false" customHeight="true" outlineLevel="0" collapsed="false"/>
    <row r="2322" customFormat="false" ht="12.75" hidden="false" customHeight="true" outlineLevel="0" collapsed="false"/>
    <row r="2323" customFormat="false" ht="12.75" hidden="false" customHeight="true" outlineLevel="0" collapsed="false"/>
    <row r="2324" customFormat="false" ht="12.75" hidden="false" customHeight="true" outlineLevel="0" collapsed="false"/>
    <row r="2325" customFormat="false" ht="12.75" hidden="false" customHeight="true" outlineLevel="0" collapsed="false"/>
    <row r="2326" customFormat="false" ht="12.75" hidden="false" customHeight="true" outlineLevel="0" collapsed="false"/>
    <row r="2327" customFormat="false" ht="12.75" hidden="false" customHeight="true" outlineLevel="0" collapsed="false"/>
    <row r="2328" customFormat="false" ht="12.75" hidden="false" customHeight="true" outlineLevel="0" collapsed="false"/>
    <row r="2329" customFormat="false" ht="12.75" hidden="false" customHeight="true" outlineLevel="0" collapsed="false"/>
    <row r="2330" customFormat="false" ht="12.75" hidden="false" customHeight="true" outlineLevel="0" collapsed="false"/>
    <row r="2331" customFormat="false" ht="12.75" hidden="false" customHeight="true" outlineLevel="0" collapsed="false"/>
    <row r="2332" customFormat="false" ht="12.75" hidden="false" customHeight="true" outlineLevel="0" collapsed="false"/>
    <row r="2333" customFormat="false" ht="12.75" hidden="false" customHeight="true" outlineLevel="0" collapsed="false"/>
    <row r="2334" customFormat="false" ht="12.75" hidden="false" customHeight="true" outlineLevel="0" collapsed="false"/>
    <row r="2335" customFormat="false" ht="12.75" hidden="false" customHeight="true" outlineLevel="0" collapsed="false"/>
    <row r="2336" customFormat="false" ht="12.75" hidden="false" customHeight="true" outlineLevel="0" collapsed="false"/>
    <row r="2337" customFormat="false" ht="12.75" hidden="false" customHeight="true" outlineLevel="0" collapsed="false"/>
    <row r="2338" customFormat="false" ht="12.75" hidden="false" customHeight="true" outlineLevel="0" collapsed="false"/>
    <row r="2339" customFormat="false" ht="12.75" hidden="false" customHeight="true" outlineLevel="0" collapsed="false"/>
    <row r="2340" customFormat="false" ht="12.75" hidden="false" customHeight="true" outlineLevel="0" collapsed="false"/>
    <row r="2341" customFormat="false" ht="12.75" hidden="false" customHeight="true" outlineLevel="0" collapsed="false"/>
    <row r="2342" customFormat="false" ht="12.75" hidden="false" customHeight="true" outlineLevel="0" collapsed="false"/>
    <row r="2343" customFormat="false" ht="12.75" hidden="false" customHeight="true" outlineLevel="0" collapsed="false"/>
    <row r="2344" customFormat="false" ht="12.75" hidden="false" customHeight="true" outlineLevel="0" collapsed="false"/>
    <row r="2345" customFormat="false" ht="12.75" hidden="false" customHeight="true" outlineLevel="0" collapsed="false"/>
    <row r="2346" customFormat="false" ht="12.75" hidden="false" customHeight="true" outlineLevel="0" collapsed="false"/>
    <row r="2347" customFormat="false" ht="12.75" hidden="false" customHeight="true" outlineLevel="0" collapsed="false"/>
    <row r="2348" customFormat="false" ht="12.75" hidden="false" customHeight="true" outlineLevel="0" collapsed="false"/>
    <row r="2349" customFormat="false" ht="12.75" hidden="false" customHeight="true" outlineLevel="0" collapsed="false"/>
    <row r="2350" customFormat="false" ht="12.75" hidden="false" customHeight="true" outlineLevel="0" collapsed="false"/>
    <row r="2351" customFormat="false" ht="12.75" hidden="false" customHeight="true" outlineLevel="0" collapsed="false"/>
    <row r="2352" customFormat="false" ht="12.75" hidden="false" customHeight="true" outlineLevel="0" collapsed="false"/>
    <row r="2353" customFormat="false" ht="12.75" hidden="false" customHeight="true" outlineLevel="0" collapsed="false"/>
    <row r="2354" customFormat="false" ht="12.75" hidden="false" customHeight="true" outlineLevel="0" collapsed="false"/>
    <row r="2355" customFormat="false" ht="12.75" hidden="false" customHeight="true" outlineLevel="0" collapsed="false"/>
    <row r="2356" customFormat="false" ht="12.75" hidden="false" customHeight="true" outlineLevel="0" collapsed="false"/>
    <row r="2357" customFormat="false" ht="12.75" hidden="false" customHeight="true" outlineLevel="0" collapsed="false"/>
    <row r="2358" customFormat="false" ht="12.75" hidden="false" customHeight="true" outlineLevel="0" collapsed="false"/>
    <row r="2359" customFormat="false" ht="12.75" hidden="false" customHeight="true" outlineLevel="0" collapsed="false"/>
    <row r="2360" customFormat="false" ht="12.75" hidden="false" customHeight="true" outlineLevel="0" collapsed="false"/>
    <row r="2361" customFormat="false" ht="12.75" hidden="false" customHeight="true" outlineLevel="0" collapsed="false"/>
    <row r="2362" customFormat="false" ht="12.75" hidden="false" customHeight="true" outlineLevel="0" collapsed="false"/>
    <row r="2363" customFormat="false" ht="12.75" hidden="false" customHeight="true" outlineLevel="0" collapsed="false"/>
    <row r="2364" customFormat="false" ht="12.75" hidden="false" customHeight="true" outlineLevel="0" collapsed="false"/>
    <row r="2365" customFormat="false" ht="12.75" hidden="false" customHeight="true" outlineLevel="0" collapsed="false"/>
    <row r="2366" customFormat="false" ht="12.75" hidden="false" customHeight="true" outlineLevel="0" collapsed="false"/>
    <row r="2367" customFormat="false" ht="12.75" hidden="false" customHeight="true" outlineLevel="0" collapsed="false"/>
    <row r="2368" customFormat="false" ht="12.75" hidden="false" customHeight="true" outlineLevel="0" collapsed="false"/>
    <row r="2369" customFormat="false" ht="12.75" hidden="false" customHeight="true" outlineLevel="0" collapsed="false"/>
    <row r="2370" customFormat="false" ht="12.75" hidden="false" customHeight="true" outlineLevel="0" collapsed="false"/>
    <row r="2371" customFormat="false" ht="12.75" hidden="false" customHeight="true" outlineLevel="0" collapsed="false"/>
    <row r="2372" customFormat="false" ht="12.75" hidden="false" customHeight="true" outlineLevel="0" collapsed="false"/>
    <row r="2373" customFormat="false" ht="12.75" hidden="false" customHeight="true" outlineLevel="0" collapsed="false"/>
    <row r="2374" customFormat="false" ht="12.75" hidden="false" customHeight="true" outlineLevel="0" collapsed="false"/>
    <row r="2375" customFormat="false" ht="12.75" hidden="false" customHeight="true" outlineLevel="0" collapsed="false"/>
    <row r="2376" customFormat="false" ht="12.75" hidden="false" customHeight="true" outlineLevel="0" collapsed="false"/>
    <row r="2377" customFormat="false" ht="12.75" hidden="false" customHeight="true" outlineLevel="0" collapsed="false"/>
    <row r="2378" customFormat="false" ht="12.75" hidden="false" customHeight="true" outlineLevel="0" collapsed="false"/>
    <row r="2379" customFormat="false" ht="12.75" hidden="false" customHeight="true" outlineLevel="0" collapsed="false"/>
    <row r="2380" customFormat="false" ht="12.75" hidden="false" customHeight="true" outlineLevel="0" collapsed="false"/>
    <row r="2381" customFormat="false" ht="12.75" hidden="false" customHeight="true" outlineLevel="0" collapsed="false"/>
    <row r="2382" customFormat="false" ht="12.75" hidden="false" customHeight="true" outlineLevel="0" collapsed="false"/>
    <row r="2383" customFormat="false" ht="12.75" hidden="false" customHeight="true" outlineLevel="0" collapsed="false"/>
    <row r="2384" customFormat="false" ht="12.75" hidden="false" customHeight="true" outlineLevel="0" collapsed="false"/>
    <row r="2385" customFormat="false" ht="12.75" hidden="false" customHeight="true" outlineLevel="0" collapsed="false"/>
    <row r="2386" customFormat="false" ht="12.75" hidden="false" customHeight="true" outlineLevel="0" collapsed="false"/>
    <row r="2387" customFormat="false" ht="12.75" hidden="false" customHeight="true" outlineLevel="0" collapsed="false"/>
    <row r="2388" customFormat="false" ht="12.75" hidden="false" customHeight="true" outlineLevel="0" collapsed="false"/>
    <row r="2389" customFormat="false" ht="12.75" hidden="false" customHeight="true" outlineLevel="0" collapsed="false"/>
    <row r="2390" customFormat="false" ht="12.75" hidden="false" customHeight="true" outlineLevel="0" collapsed="false"/>
    <row r="2391" customFormat="false" ht="12.75" hidden="false" customHeight="true" outlineLevel="0" collapsed="false"/>
    <row r="2392" customFormat="false" ht="12.75" hidden="false" customHeight="true" outlineLevel="0" collapsed="false"/>
    <row r="2393" customFormat="false" ht="12.75" hidden="false" customHeight="true" outlineLevel="0" collapsed="false"/>
    <row r="2394" customFormat="false" ht="12.75" hidden="false" customHeight="true" outlineLevel="0" collapsed="false"/>
    <row r="2395" customFormat="false" ht="12.75" hidden="false" customHeight="true" outlineLevel="0" collapsed="false"/>
    <row r="2396" customFormat="false" ht="12.75" hidden="false" customHeight="true" outlineLevel="0" collapsed="false"/>
    <row r="2397" customFormat="false" ht="12.75" hidden="false" customHeight="true" outlineLevel="0" collapsed="false"/>
    <row r="2398" customFormat="false" ht="12.75" hidden="false" customHeight="true" outlineLevel="0" collapsed="false"/>
    <row r="2399" customFormat="false" ht="12.75" hidden="false" customHeight="true" outlineLevel="0" collapsed="false"/>
    <row r="2400" customFormat="false" ht="12.75" hidden="false" customHeight="true" outlineLevel="0" collapsed="false"/>
    <row r="2401" customFormat="false" ht="12.75" hidden="false" customHeight="true" outlineLevel="0" collapsed="false"/>
    <row r="2402" customFormat="false" ht="12.75" hidden="false" customHeight="true" outlineLevel="0" collapsed="false"/>
    <row r="2403" customFormat="false" ht="12.75" hidden="false" customHeight="true" outlineLevel="0" collapsed="false"/>
    <row r="2404" customFormat="false" ht="12.75" hidden="false" customHeight="true" outlineLevel="0" collapsed="false"/>
    <row r="2405" customFormat="false" ht="12.75" hidden="false" customHeight="true" outlineLevel="0" collapsed="false"/>
    <row r="2406" customFormat="false" ht="12.75" hidden="false" customHeight="true" outlineLevel="0" collapsed="false"/>
    <row r="2407" customFormat="false" ht="12.75" hidden="false" customHeight="true" outlineLevel="0" collapsed="false"/>
    <row r="2408" customFormat="false" ht="12.75" hidden="false" customHeight="true" outlineLevel="0" collapsed="false"/>
    <row r="2409" customFormat="false" ht="12.75" hidden="false" customHeight="true" outlineLevel="0" collapsed="false"/>
    <row r="2410" customFormat="false" ht="12.75" hidden="false" customHeight="true" outlineLevel="0" collapsed="false"/>
    <row r="2411" customFormat="false" ht="12.75" hidden="false" customHeight="true" outlineLevel="0" collapsed="false"/>
    <row r="2412" customFormat="false" ht="12.75" hidden="false" customHeight="true" outlineLevel="0" collapsed="false"/>
    <row r="2413" customFormat="false" ht="12.75" hidden="false" customHeight="true" outlineLevel="0" collapsed="false"/>
    <row r="2414" customFormat="false" ht="12.75" hidden="false" customHeight="true" outlineLevel="0" collapsed="false"/>
    <row r="2415" customFormat="false" ht="12.75" hidden="false" customHeight="true" outlineLevel="0" collapsed="false"/>
    <row r="2416" customFormat="false" ht="12.75" hidden="false" customHeight="true" outlineLevel="0" collapsed="false"/>
    <row r="2417" customFormat="false" ht="12.75" hidden="false" customHeight="true" outlineLevel="0" collapsed="false"/>
    <row r="2418" customFormat="false" ht="12.75" hidden="false" customHeight="true" outlineLevel="0" collapsed="false"/>
    <row r="2419" customFormat="false" ht="12.75" hidden="false" customHeight="true" outlineLevel="0" collapsed="false"/>
    <row r="2420" customFormat="false" ht="12.75" hidden="false" customHeight="true" outlineLevel="0" collapsed="false"/>
    <row r="2421" customFormat="false" ht="12.75" hidden="false" customHeight="true" outlineLevel="0" collapsed="false"/>
    <row r="2422" customFormat="false" ht="12.75" hidden="false" customHeight="true" outlineLevel="0" collapsed="false"/>
    <row r="2423" customFormat="false" ht="12.75" hidden="false" customHeight="true" outlineLevel="0" collapsed="false"/>
    <row r="2424" customFormat="false" ht="12.75" hidden="false" customHeight="true" outlineLevel="0" collapsed="false"/>
    <row r="2425" customFormat="false" ht="12.75" hidden="false" customHeight="true" outlineLevel="0" collapsed="false"/>
    <row r="2426" customFormat="false" ht="12.75" hidden="false" customHeight="true" outlineLevel="0" collapsed="false"/>
    <row r="2427" customFormat="false" ht="12.75" hidden="false" customHeight="true" outlineLevel="0" collapsed="false"/>
    <row r="2428" customFormat="false" ht="12.75" hidden="false" customHeight="true" outlineLevel="0" collapsed="false"/>
    <row r="2429" customFormat="false" ht="12.75" hidden="false" customHeight="true" outlineLevel="0" collapsed="false"/>
    <row r="2430" customFormat="false" ht="12.75" hidden="false" customHeight="true" outlineLevel="0" collapsed="false"/>
    <row r="2431" customFormat="false" ht="12.75" hidden="false" customHeight="true" outlineLevel="0" collapsed="false"/>
    <row r="2432" customFormat="false" ht="12.75" hidden="false" customHeight="true" outlineLevel="0" collapsed="false"/>
    <row r="2433" customFormat="false" ht="12.75" hidden="false" customHeight="true" outlineLevel="0" collapsed="false"/>
    <row r="2434" customFormat="false" ht="12.75" hidden="false" customHeight="true" outlineLevel="0" collapsed="false"/>
    <row r="2435" customFormat="false" ht="12.75" hidden="false" customHeight="true" outlineLevel="0" collapsed="false"/>
    <row r="2436" customFormat="false" ht="12.75" hidden="false" customHeight="true" outlineLevel="0" collapsed="false"/>
    <row r="2437" customFormat="false" ht="12.75" hidden="false" customHeight="true" outlineLevel="0" collapsed="false"/>
    <row r="2438" customFormat="false" ht="12.75" hidden="false" customHeight="true" outlineLevel="0" collapsed="false"/>
    <row r="2439" customFormat="false" ht="12.75" hidden="false" customHeight="true" outlineLevel="0" collapsed="false"/>
    <row r="2440" customFormat="false" ht="12.75" hidden="false" customHeight="true" outlineLevel="0" collapsed="false"/>
    <row r="2441" customFormat="false" ht="12.75" hidden="false" customHeight="true" outlineLevel="0" collapsed="false"/>
    <row r="2442" customFormat="false" ht="12.75" hidden="false" customHeight="true" outlineLevel="0" collapsed="false"/>
    <row r="2443" customFormat="false" ht="12.75" hidden="false" customHeight="true" outlineLevel="0" collapsed="false"/>
    <row r="2444" customFormat="false" ht="12.75" hidden="false" customHeight="true" outlineLevel="0" collapsed="false"/>
    <row r="2445" customFormat="false" ht="12.75" hidden="false" customHeight="true" outlineLevel="0" collapsed="false"/>
    <row r="2446" customFormat="false" ht="12.75" hidden="false" customHeight="true" outlineLevel="0" collapsed="false"/>
    <row r="2447" customFormat="false" ht="12.75" hidden="false" customHeight="true" outlineLevel="0" collapsed="false"/>
    <row r="2448" customFormat="false" ht="12.75" hidden="false" customHeight="true" outlineLevel="0" collapsed="false"/>
    <row r="2449" customFormat="false" ht="12.75" hidden="false" customHeight="true" outlineLevel="0" collapsed="false"/>
    <row r="2450" customFormat="false" ht="12.75" hidden="false" customHeight="true" outlineLevel="0" collapsed="false"/>
    <row r="2451" customFormat="false" ht="12.75" hidden="false" customHeight="true" outlineLevel="0" collapsed="false"/>
    <row r="2452" customFormat="false" ht="12.75" hidden="false" customHeight="true" outlineLevel="0" collapsed="false"/>
    <row r="2453" customFormat="false" ht="12.75" hidden="false" customHeight="true" outlineLevel="0" collapsed="false"/>
    <row r="2454" customFormat="false" ht="12.75" hidden="false" customHeight="true" outlineLevel="0" collapsed="false"/>
    <row r="2455" customFormat="false" ht="12.75" hidden="false" customHeight="true" outlineLevel="0" collapsed="false"/>
    <row r="2456" customFormat="false" ht="12.75" hidden="false" customHeight="true" outlineLevel="0" collapsed="false"/>
    <row r="2457" customFormat="false" ht="12.75" hidden="false" customHeight="true" outlineLevel="0" collapsed="false"/>
    <row r="2458" customFormat="false" ht="12.75" hidden="false" customHeight="true" outlineLevel="0" collapsed="false"/>
    <row r="2459" customFormat="false" ht="12.75" hidden="false" customHeight="true" outlineLevel="0" collapsed="false"/>
    <row r="2460" customFormat="false" ht="12.75" hidden="false" customHeight="true" outlineLevel="0" collapsed="false"/>
    <row r="2461" customFormat="false" ht="12.75" hidden="false" customHeight="true" outlineLevel="0" collapsed="false"/>
    <row r="2462" customFormat="false" ht="12.75" hidden="false" customHeight="true" outlineLevel="0" collapsed="false"/>
    <row r="2463" customFormat="false" ht="12.75" hidden="false" customHeight="true" outlineLevel="0" collapsed="false"/>
    <row r="2464" customFormat="false" ht="12.75" hidden="false" customHeight="true" outlineLevel="0" collapsed="false"/>
    <row r="2465" customFormat="false" ht="12.75" hidden="false" customHeight="true" outlineLevel="0" collapsed="false"/>
    <row r="2466" customFormat="false" ht="12.75" hidden="false" customHeight="true" outlineLevel="0" collapsed="false"/>
    <row r="2467" customFormat="false" ht="12.75" hidden="false" customHeight="true" outlineLevel="0" collapsed="false"/>
    <row r="2468" customFormat="false" ht="12.75" hidden="false" customHeight="true" outlineLevel="0" collapsed="false"/>
    <row r="2469" customFormat="false" ht="12.75" hidden="false" customHeight="true" outlineLevel="0" collapsed="false"/>
    <row r="2470" customFormat="false" ht="12.75" hidden="false" customHeight="true" outlineLevel="0" collapsed="false"/>
    <row r="2471" customFormat="false" ht="12.75" hidden="false" customHeight="true" outlineLevel="0" collapsed="false"/>
    <row r="2472" customFormat="false" ht="12.75" hidden="false" customHeight="true" outlineLevel="0" collapsed="false"/>
    <row r="2473" customFormat="false" ht="12.75" hidden="false" customHeight="true" outlineLevel="0" collapsed="false"/>
    <row r="2474" customFormat="false" ht="12.75" hidden="false" customHeight="true" outlineLevel="0" collapsed="false"/>
    <row r="2475" customFormat="false" ht="12.75" hidden="false" customHeight="true" outlineLevel="0" collapsed="false"/>
    <row r="2476" customFormat="false" ht="12.75" hidden="false" customHeight="true" outlineLevel="0" collapsed="false"/>
    <row r="2477" customFormat="false" ht="12.75" hidden="false" customHeight="true" outlineLevel="0" collapsed="false"/>
    <row r="2478" customFormat="false" ht="12.75" hidden="false" customHeight="true" outlineLevel="0" collapsed="false"/>
    <row r="2479" customFormat="false" ht="12.75" hidden="false" customHeight="true" outlineLevel="0" collapsed="false"/>
    <row r="2480" customFormat="false" ht="12.75" hidden="false" customHeight="true" outlineLevel="0" collapsed="false"/>
    <row r="2481" customFormat="false" ht="12.75" hidden="false" customHeight="true" outlineLevel="0" collapsed="false"/>
    <row r="2482" customFormat="false" ht="12.75" hidden="false" customHeight="true" outlineLevel="0" collapsed="false"/>
    <row r="2483" customFormat="false" ht="12.75" hidden="false" customHeight="true" outlineLevel="0" collapsed="false"/>
    <row r="2484" customFormat="false" ht="12.75" hidden="false" customHeight="true" outlineLevel="0" collapsed="false"/>
    <row r="2485" customFormat="false" ht="12.75" hidden="false" customHeight="true" outlineLevel="0" collapsed="false"/>
    <row r="2486" customFormat="false" ht="12.75" hidden="false" customHeight="true" outlineLevel="0" collapsed="false"/>
    <row r="2487" customFormat="false" ht="12.75" hidden="false" customHeight="true" outlineLevel="0" collapsed="false"/>
    <row r="2488" customFormat="false" ht="12.75" hidden="false" customHeight="true" outlineLevel="0" collapsed="false"/>
    <row r="2489" customFormat="false" ht="12.75" hidden="false" customHeight="true" outlineLevel="0" collapsed="false"/>
    <row r="2490" customFormat="false" ht="12.75" hidden="false" customHeight="true" outlineLevel="0" collapsed="false"/>
    <row r="2491" customFormat="false" ht="12.75" hidden="false" customHeight="true" outlineLevel="0" collapsed="false"/>
    <row r="2492" customFormat="false" ht="12.75" hidden="false" customHeight="true" outlineLevel="0" collapsed="false"/>
    <row r="2493" customFormat="false" ht="12.75" hidden="false" customHeight="true" outlineLevel="0" collapsed="false"/>
    <row r="2494" customFormat="false" ht="12.75" hidden="false" customHeight="true" outlineLevel="0" collapsed="false"/>
    <row r="2495" customFormat="false" ht="12.75" hidden="false" customHeight="true" outlineLevel="0" collapsed="false"/>
    <row r="2496" customFormat="false" ht="12.75" hidden="false" customHeight="true" outlineLevel="0" collapsed="false"/>
    <row r="2497" customFormat="false" ht="12.75" hidden="false" customHeight="true" outlineLevel="0" collapsed="false"/>
    <row r="2498" customFormat="false" ht="12.75" hidden="false" customHeight="true" outlineLevel="0" collapsed="false"/>
    <row r="2499" customFormat="false" ht="12.75" hidden="false" customHeight="true" outlineLevel="0" collapsed="false"/>
    <row r="2500" customFormat="false" ht="12.75" hidden="false" customHeight="true" outlineLevel="0" collapsed="false"/>
    <row r="2501" customFormat="false" ht="12.75" hidden="false" customHeight="true" outlineLevel="0" collapsed="false"/>
    <row r="2502" customFormat="false" ht="12.75" hidden="false" customHeight="true" outlineLevel="0" collapsed="false"/>
    <row r="2503" customFormat="false" ht="12.75" hidden="false" customHeight="true" outlineLevel="0" collapsed="false"/>
    <row r="2504" customFormat="false" ht="12.75" hidden="false" customHeight="true" outlineLevel="0" collapsed="false"/>
    <row r="2505" customFormat="false" ht="12.75" hidden="false" customHeight="true" outlineLevel="0" collapsed="false"/>
    <row r="2506" customFormat="false" ht="12.75" hidden="false" customHeight="true" outlineLevel="0" collapsed="false"/>
    <row r="2507" customFormat="false" ht="12.75" hidden="false" customHeight="true" outlineLevel="0" collapsed="false"/>
    <row r="2508" customFormat="false" ht="12.75" hidden="false" customHeight="true" outlineLevel="0" collapsed="false"/>
    <row r="2509" customFormat="false" ht="12.75" hidden="false" customHeight="true" outlineLevel="0" collapsed="false"/>
    <row r="2510" customFormat="false" ht="12.75" hidden="false" customHeight="true" outlineLevel="0" collapsed="false"/>
    <row r="2511" customFormat="false" ht="12.75" hidden="false" customHeight="true" outlineLevel="0" collapsed="false"/>
    <row r="2512" customFormat="false" ht="12.75" hidden="false" customHeight="true" outlineLevel="0" collapsed="false"/>
    <row r="2513" customFormat="false" ht="12.75" hidden="false" customHeight="true" outlineLevel="0" collapsed="false"/>
    <row r="2514" customFormat="false" ht="12.75" hidden="false" customHeight="true" outlineLevel="0" collapsed="false"/>
    <row r="2515" customFormat="false" ht="12.75" hidden="false" customHeight="true" outlineLevel="0" collapsed="false"/>
    <row r="2516" customFormat="false" ht="12.75" hidden="false" customHeight="true" outlineLevel="0" collapsed="false"/>
    <row r="2517" customFormat="false" ht="12.75" hidden="false" customHeight="true" outlineLevel="0" collapsed="false"/>
    <row r="2518" customFormat="false" ht="12.75" hidden="false" customHeight="true" outlineLevel="0" collapsed="false"/>
    <row r="2519" customFormat="false" ht="12.75" hidden="false" customHeight="true" outlineLevel="0" collapsed="false"/>
    <row r="2520" customFormat="false" ht="12.75" hidden="false" customHeight="true" outlineLevel="0" collapsed="false"/>
    <row r="2521" customFormat="false" ht="12.75" hidden="false" customHeight="true" outlineLevel="0" collapsed="false"/>
    <row r="2522" customFormat="false" ht="12.75" hidden="false" customHeight="true" outlineLevel="0" collapsed="false"/>
    <row r="2523" customFormat="false" ht="12.75" hidden="false" customHeight="true" outlineLevel="0" collapsed="false"/>
    <row r="2524" customFormat="false" ht="12.75" hidden="false" customHeight="true" outlineLevel="0" collapsed="false"/>
    <row r="2525" customFormat="false" ht="12.75" hidden="false" customHeight="true" outlineLevel="0" collapsed="false"/>
    <row r="2526" customFormat="false" ht="12.75" hidden="false" customHeight="true" outlineLevel="0" collapsed="false"/>
    <row r="2527" customFormat="false" ht="12.75" hidden="false" customHeight="true" outlineLevel="0" collapsed="false"/>
    <row r="2528" customFormat="false" ht="12.75" hidden="false" customHeight="true" outlineLevel="0" collapsed="false"/>
    <row r="2529" customFormat="false" ht="12.75" hidden="false" customHeight="true" outlineLevel="0" collapsed="false"/>
    <row r="2530" customFormat="false" ht="12.75" hidden="false" customHeight="true" outlineLevel="0" collapsed="false"/>
    <row r="2531" customFormat="false" ht="12.75" hidden="false" customHeight="true" outlineLevel="0" collapsed="false"/>
    <row r="2532" customFormat="false" ht="12.75" hidden="false" customHeight="true" outlineLevel="0" collapsed="false"/>
    <row r="2533" customFormat="false" ht="12.75" hidden="false" customHeight="true" outlineLevel="0" collapsed="false"/>
    <row r="2534" customFormat="false" ht="12.75" hidden="false" customHeight="true" outlineLevel="0" collapsed="false"/>
    <row r="2535" customFormat="false" ht="12.75" hidden="false" customHeight="true" outlineLevel="0" collapsed="false"/>
    <row r="2536" customFormat="false" ht="12.75" hidden="false" customHeight="true" outlineLevel="0" collapsed="false"/>
    <row r="2537" customFormat="false" ht="12.75" hidden="false" customHeight="true" outlineLevel="0" collapsed="false"/>
    <row r="2538" customFormat="false" ht="12.75" hidden="false" customHeight="true" outlineLevel="0" collapsed="false"/>
    <row r="2539" customFormat="false" ht="12.75" hidden="false" customHeight="true" outlineLevel="0" collapsed="false"/>
    <row r="2540" customFormat="false" ht="12.75" hidden="false" customHeight="true" outlineLevel="0" collapsed="false"/>
    <row r="2541" customFormat="false" ht="12.75" hidden="false" customHeight="true" outlineLevel="0" collapsed="false"/>
    <row r="2542" customFormat="false" ht="12.75" hidden="false" customHeight="true" outlineLevel="0" collapsed="false"/>
    <row r="2543" customFormat="false" ht="12.75" hidden="false" customHeight="true" outlineLevel="0" collapsed="false"/>
    <row r="2544" customFormat="false" ht="12.75" hidden="false" customHeight="true" outlineLevel="0" collapsed="false"/>
    <row r="2545" customFormat="false" ht="12.75" hidden="false" customHeight="true" outlineLevel="0" collapsed="false"/>
    <row r="2546" customFormat="false" ht="12.75" hidden="false" customHeight="true" outlineLevel="0" collapsed="false"/>
    <row r="2547" customFormat="false" ht="12.75" hidden="false" customHeight="true" outlineLevel="0" collapsed="false"/>
    <row r="2548" customFormat="false" ht="12.75" hidden="false" customHeight="true" outlineLevel="0" collapsed="false"/>
    <row r="2549" customFormat="false" ht="12.75" hidden="false" customHeight="true" outlineLevel="0" collapsed="false"/>
    <row r="2550" customFormat="false" ht="12.75" hidden="false" customHeight="true" outlineLevel="0" collapsed="false"/>
    <row r="2551" customFormat="false" ht="12.75" hidden="false" customHeight="true" outlineLevel="0" collapsed="false"/>
    <row r="2552" customFormat="false" ht="12.75" hidden="false" customHeight="true" outlineLevel="0" collapsed="false"/>
    <row r="2553" customFormat="false" ht="12.75" hidden="false" customHeight="true" outlineLevel="0" collapsed="false"/>
    <row r="2554" customFormat="false" ht="12.75" hidden="false" customHeight="true" outlineLevel="0" collapsed="false"/>
    <row r="2555" customFormat="false" ht="12.75" hidden="false" customHeight="true" outlineLevel="0" collapsed="false"/>
    <row r="2556" customFormat="false" ht="12.75" hidden="false" customHeight="true" outlineLevel="0" collapsed="false"/>
    <row r="2557" customFormat="false" ht="12.75" hidden="false" customHeight="true" outlineLevel="0" collapsed="false"/>
    <row r="2558" customFormat="false" ht="12.75" hidden="false" customHeight="true" outlineLevel="0" collapsed="false"/>
    <row r="2559" customFormat="false" ht="12.75" hidden="false" customHeight="true" outlineLevel="0" collapsed="false"/>
    <row r="2560" customFormat="false" ht="12.75" hidden="false" customHeight="true" outlineLevel="0" collapsed="false"/>
    <row r="2561" customFormat="false" ht="12.75" hidden="false" customHeight="true" outlineLevel="0" collapsed="false"/>
    <row r="2562" customFormat="false" ht="12.75" hidden="false" customHeight="true" outlineLevel="0" collapsed="false"/>
    <row r="2563" customFormat="false" ht="12.75" hidden="false" customHeight="true" outlineLevel="0" collapsed="false"/>
    <row r="2564" customFormat="false" ht="12.75" hidden="false" customHeight="true" outlineLevel="0" collapsed="false"/>
    <row r="2565" customFormat="false" ht="12.75" hidden="false" customHeight="true" outlineLevel="0" collapsed="false"/>
    <row r="2566" customFormat="false" ht="12.75" hidden="false" customHeight="true" outlineLevel="0" collapsed="false"/>
    <row r="2567" customFormat="false" ht="12.75" hidden="false" customHeight="true" outlineLevel="0" collapsed="false"/>
    <row r="2568" customFormat="false" ht="12.75" hidden="false" customHeight="true" outlineLevel="0" collapsed="false"/>
    <row r="2569" customFormat="false" ht="12.75" hidden="false" customHeight="true" outlineLevel="0" collapsed="false"/>
    <row r="2570" customFormat="false" ht="12.75" hidden="false" customHeight="true" outlineLevel="0" collapsed="false"/>
    <row r="2571" customFormat="false" ht="12.75" hidden="false" customHeight="true" outlineLevel="0" collapsed="false"/>
    <row r="2572" customFormat="false" ht="12.75" hidden="false" customHeight="true" outlineLevel="0" collapsed="false"/>
    <row r="2573" customFormat="false" ht="12.75" hidden="false" customHeight="true" outlineLevel="0" collapsed="false"/>
    <row r="2574" customFormat="false" ht="12.75" hidden="false" customHeight="true" outlineLevel="0" collapsed="false"/>
    <row r="2575" customFormat="false" ht="12.75" hidden="false" customHeight="true" outlineLevel="0" collapsed="false"/>
    <row r="2576" customFormat="false" ht="12.75" hidden="false" customHeight="true" outlineLevel="0" collapsed="false"/>
    <row r="2577" customFormat="false" ht="12.75" hidden="false" customHeight="true" outlineLevel="0" collapsed="false"/>
    <row r="2578" customFormat="false" ht="12.75" hidden="false" customHeight="true" outlineLevel="0" collapsed="false"/>
    <row r="2579" customFormat="false" ht="12.75" hidden="false" customHeight="true" outlineLevel="0" collapsed="false"/>
    <row r="2580" customFormat="false" ht="12.75" hidden="false" customHeight="true" outlineLevel="0" collapsed="false"/>
    <row r="2581" customFormat="false" ht="12.75" hidden="false" customHeight="true" outlineLevel="0" collapsed="false"/>
    <row r="2582" customFormat="false" ht="12.75" hidden="false" customHeight="true" outlineLevel="0" collapsed="false"/>
    <row r="2583" customFormat="false" ht="12.75" hidden="false" customHeight="true" outlineLevel="0" collapsed="false"/>
    <row r="2584" customFormat="false" ht="12.75" hidden="false" customHeight="true" outlineLevel="0" collapsed="false"/>
    <row r="2585" customFormat="false" ht="12.75" hidden="false" customHeight="true" outlineLevel="0" collapsed="false"/>
    <row r="2586" customFormat="false" ht="12.75" hidden="false" customHeight="true" outlineLevel="0" collapsed="false"/>
    <row r="2587" customFormat="false" ht="12.75" hidden="false" customHeight="true" outlineLevel="0" collapsed="false"/>
    <row r="2588" customFormat="false" ht="12.75" hidden="false" customHeight="true" outlineLevel="0" collapsed="false"/>
    <row r="2589" customFormat="false" ht="12.75" hidden="false" customHeight="true" outlineLevel="0" collapsed="false"/>
    <row r="2590" customFormat="false" ht="12.75" hidden="false" customHeight="true" outlineLevel="0" collapsed="false"/>
    <row r="2591" customFormat="false" ht="12.75" hidden="false" customHeight="true" outlineLevel="0" collapsed="false"/>
    <row r="2592" customFormat="false" ht="12.75" hidden="false" customHeight="true" outlineLevel="0" collapsed="false"/>
    <row r="2593" customFormat="false" ht="12.75" hidden="false" customHeight="true" outlineLevel="0" collapsed="false"/>
    <row r="2594" customFormat="false" ht="12.75" hidden="false" customHeight="true" outlineLevel="0" collapsed="false"/>
    <row r="2595" customFormat="false" ht="12.75" hidden="false" customHeight="true" outlineLevel="0" collapsed="false"/>
    <row r="2596" customFormat="false" ht="12.75" hidden="false" customHeight="true" outlineLevel="0" collapsed="false"/>
    <row r="2597" customFormat="false" ht="12.75" hidden="false" customHeight="true" outlineLevel="0" collapsed="false"/>
    <row r="2598" customFormat="false" ht="12.75" hidden="false" customHeight="true" outlineLevel="0" collapsed="false"/>
    <row r="2599" customFormat="false" ht="12.75" hidden="false" customHeight="true" outlineLevel="0" collapsed="false"/>
    <row r="2600" customFormat="false" ht="12.75" hidden="false" customHeight="true" outlineLevel="0" collapsed="false"/>
    <row r="2601" customFormat="false" ht="12.75" hidden="false" customHeight="true" outlineLevel="0" collapsed="false"/>
    <row r="2602" customFormat="false" ht="12.75" hidden="false" customHeight="true" outlineLevel="0" collapsed="false"/>
    <row r="2603" customFormat="false" ht="12.75" hidden="false" customHeight="true" outlineLevel="0" collapsed="false"/>
    <row r="2604" customFormat="false" ht="12.75" hidden="false" customHeight="true" outlineLevel="0" collapsed="false"/>
    <row r="2605" customFormat="false" ht="12.75" hidden="false" customHeight="true" outlineLevel="0" collapsed="false"/>
    <row r="2606" customFormat="false" ht="12.75" hidden="false" customHeight="true" outlineLevel="0" collapsed="false"/>
    <row r="2607" customFormat="false" ht="12.75" hidden="false" customHeight="true" outlineLevel="0" collapsed="false"/>
    <row r="2608" customFormat="false" ht="12.75" hidden="false" customHeight="true" outlineLevel="0" collapsed="false"/>
    <row r="2609" customFormat="false" ht="12.75" hidden="false" customHeight="true" outlineLevel="0" collapsed="false"/>
    <row r="2610" customFormat="false" ht="12.75" hidden="false" customHeight="true" outlineLevel="0" collapsed="false"/>
    <row r="2611" customFormat="false" ht="12.75" hidden="false" customHeight="true" outlineLevel="0" collapsed="false"/>
    <row r="2612" customFormat="false" ht="12.75" hidden="false" customHeight="true" outlineLevel="0" collapsed="false"/>
    <row r="2613" customFormat="false" ht="12.75" hidden="false" customHeight="true" outlineLevel="0" collapsed="false"/>
    <row r="2614" customFormat="false" ht="12.75" hidden="false" customHeight="true" outlineLevel="0" collapsed="false"/>
    <row r="2615" customFormat="false" ht="12.75" hidden="false" customHeight="true" outlineLevel="0" collapsed="false"/>
    <row r="2616" customFormat="false" ht="12.75" hidden="false" customHeight="true" outlineLevel="0" collapsed="false"/>
    <row r="2617" customFormat="false" ht="12.75" hidden="false" customHeight="true" outlineLevel="0" collapsed="false"/>
    <row r="2618" customFormat="false" ht="12.75" hidden="false" customHeight="true" outlineLevel="0" collapsed="false"/>
    <row r="2619" customFormat="false" ht="12.75" hidden="false" customHeight="true" outlineLevel="0" collapsed="false"/>
    <row r="2620" customFormat="false" ht="12.75" hidden="false" customHeight="true" outlineLevel="0" collapsed="false"/>
    <row r="2621" customFormat="false" ht="12.75" hidden="false" customHeight="true" outlineLevel="0" collapsed="false"/>
    <row r="2622" customFormat="false" ht="12.75" hidden="false" customHeight="true" outlineLevel="0" collapsed="false"/>
    <row r="2623" customFormat="false" ht="12.75" hidden="false" customHeight="true" outlineLevel="0" collapsed="false"/>
    <row r="2624" customFormat="false" ht="12.75" hidden="false" customHeight="true" outlineLevel="0" collapsed="false"/>
    <row r="2625" customFormat="false" ht="12.75" hidden="false" customHeight="true" outlineLevel="0" collapsed="false"/>
    <row r="2626" customFormat="false" ht="12.75" hidden="false" customHeight="true" outlineLevel="0" collapsed="false"/>
    <row r="2627" customFormat="false" ht="12.75" hidden="false" customHeight="true" outlineLevel="0" collapsed="false"/>
    <row r="2628" customFormat="false" ht="12.75" hidden="false" customHeight="true" outlineLevel="0" collapsed="false"/>
    <row r="2629" customFormat="false" ht="12.75" hidden="false" customHeight="true" outlineLevel="0" collapsed="false"/>
    <row r="2630" customFormat="false" ht="12.75" hidden="false" customHeight="true" outlineLevel="0" collapsed="false"/>
    <row r="2631" customFormat="false" ht="12.75" hidden="false" customHeight="true" outlineLevel="0" collapsed="false"/>
    <row r="2632" customFormat="false" ht="12.75" hidden="false" customHeight="true" outlineLevel="0" collapsed="false"/>
    <row r="2633" customFormat="false" ht="12.75" hidden="false" customHeight="true" outlineLevel="0" collapsed="false"/>
    <row r="2634" customFormat="false" ht="12.75" hidden="false" customHeight="true" outlineLevel="0" collapsed="false"/>
    <row r="2635" customFormat="false" ht="12.75" hidden="false" customHeight="true" outlineLevel="0" collapsed="false"/>
    <row r="2636" customFormat="false" ht="12.75" hidden="false" customHeight="true" outlineLevel="0" collapsed="false"/>
    <row r="2637" customFormat="false" ht="12.75" hidden="false" customHeight="true" outlineLevel="0" collapsed="false"/>
    <row r="2638" customFormat="false" ht="12.75" hidden="false" customHeight="true" outlineLevel="0" collapsed="false"/>
    <row r="2639" customFormat="false" ht="12.75" hidden="false" customHeight="true" outlineLevel="0" collapsed="false"/>
    <row r="2640" customFormat="false" ht="12.75" hidden="false" customHeight="true" outlineLevel="0" collapsed="false"/>
    <row r="2641" customFormat="false" ht="12.75" hidden="false" customHeight="true" outlineLevel="0" collapsed="false"/>
    <row r="2642" customFormat="false" ht="12.75" hidden="false" customHeight="true" outlineLevel="0" collapsed="false"/>
    <row r="2643" customFormat="false" ht="12.75" hidden="false" customHeight="true" outlineLevel="0" collapsed="false"/>
    <row r="2644" customFormat="false" ht="12.75" hidden="false" customHeight="true" outlineLevel="0" collapsed="false"/>
    <row r="2645" customFormat="false" ht="12.75" hidden="false" customHeight="true" outlineLevel="0" collapsed="false"/>
    <row r="2646" customFormat="false" ht="12.75" hidden="false" customHeight="true" outlineLevel="0" collapsed="false"/>
    <row r="2647" customFormat="false" ht="12.75" hidden="false" customHeight="true" outlineLevel="0" collapsed="false"/>
    <row r="2648" customFormat="false" ht="12.75" hidden="false" customHeight="true" outlineLevel="0" collapsed="false"/>
    <row r="2649" customFormat="false" ht="12.75" hidden="false" customHeight="true" outlineLevel="0" collapsed="false"/>
    <row r="2650" customFormat="false" ht="12.75" hidden="false" customHeight="true" outlineLevel="0" collapsed="false"/>
    <row r="2651" customFormat="false" ht="12.75" hidden="false" customHeight="true" outlineLevel="0" collapsed="false"/>
    <row r="2652" customFormat="false" ht="12.75" hidden="false" customHeight="true" outlineLevel="0" collapsed="false"/>
    <row r="2653" customFormat="false" ht="12.75" hidden="false" customHeight="true" outlineLevel="0" collapsed="false"/>
    <row r="2654" customFormat="false" ht="12.75" hidden="false" customHeight="true" outlineLevel="0" collapsed="false"/>
    <row r="2655" customFormat="false" ht="12.75" hidden="false" customHeight="true" outlineLevel="0" collapsed="false"/>
    <row r="2656" customFormat="false" ht="12.75" hidden="false" customHeight="true" outlineLevel="0" collapsed="false"/>
    <row r="2657" customFormat="false" ht="12.75" hidden="false" customHeight="true" outlineLevel="0" collapsed="false"/>
    <row r="2658" customFormat="false" ht="12.75" hidden="false" customHeight="true" outlineLevel="0" collapsed="false"/>
    <row r="2659" customFormat="false" ht="12.75" hidden="false" customHeight="true" outlineLevel="0" collapsed="false"/>
    <row r="2660" customFormat="false" ht="12.75" hidden="false" customHeight="true" outlineLevel="0" collapsed="false"/>
    <row r="2661" customFormat="false" ht="12.75" hidden="false" customHeight="true" outlineLevel="0" collapsed="false"/>
    <row r="2662" customFormat="false" ht="12.75" hidden="false" customHeight="true" outlineLevel="0" collapsed="false"/>
    <row r="2663" customFormat="false" ht="12.75" hidden="false" customHeight="true" outlineLevel="0" collapsed="false"/>
    <row r="2664" customFormat="false" ht="12.75" hidden="false" customHeight="true" outlineLevel="0" collapsed="false"/>
    <row r="2665" customFormat="false" ht="12.75" hidden="false" customHeight="true" outlineLevel="0" collapsed="false"/>
    <row r="2666" customFormat="false" ht="12.75" hidden="false" customHeight="true" outlineLevel="0" collapsed="false"/>
    <row r="2667" customFormat="false" ht="12.75" hidden="false" customHeight="true" outlineLevel="0" collapsed="false"/>
    <row r="2668" customFormat="false" ht="12.75" hidden="false" customHeight="true" outlineLevel="0" collapsed="false"/>
    <row r="2669" customFormat="false" ht="12.75" hidden="false" customHeight="true" outlineLevel="0" collapsed="false"/>
    <row r="2670" customFormat="false" ht="12.75" hidden="false" customHeight="true" outlineLevel="0" collapsed="false"/>
    <row r="2671" customFormat="false" ht="12.75" hidden="false" customHeight="true" outlineLevel="0" collapsed="false"/>
    <row r="2672" customFormat="false" ht="12.75" hidden="false" customHeight="true" outlineLevel="0" collapsed="false"/>
    <row r="2673" customFormat="false" ht="12.75" hidden="false" customHeight="true" outlineLevel="0" collapsed="false"/>
    <row r="2674" customFormat="false" ht="12.75" hidden="false" customHeight="true" outlineLevel="0" collapsed="false"/>
    <row r="2675" customFormat="false" ht="12.75" hidden="false" customHeight="true" outlineLevel="0" collapsed="false"/>
    <row r="2676" customFormat="false" ht="12.75" hidden="false" customHeight="true" outlineLevel="0" collapsed="false"/>
    <row r="2677" customFormat="false" ht="12.75" hidden="false" customHeight="true" outlineLevel="0" collapsed="false"/>
    <row r="2678" customFormat="false" ht="12.75" hidden="false" customHeight="true" outlineLevel="0" collapsed="false"/>
    <row r="2679" customFormat="false" ht="12.75" hidden="false" customHeight="true" outlineLevel="0" collapsed="false"/>
    <row r="2680" customFormat="false" ht="12.75" hidden="false" customHeight="true" outlineLevel="0" collapsed="false"/>
    <row r="2681" customFormat="false" ht="12.75" hidden="false" customHeight="true" outlineLevel="0" collapsed="false"/>
    <row r="2682" customFormat="false" ht="12.75" hidden="false" customHeight="true" outlineLevel="0" collapsed="false"/>
    <row r="2683" customFormat="false" ht="12.75" hidden="false" customHeight="true" outlineLevel="0" collapsed="false"/>
    <row r="2684" customFormat="false" ht="12.75" hidden="false" customHeight="true" outlineLevel="0" collapsed="false"/>
    <row r="2685" customFormat="false" ht="12.75" hidden="false" customHeight="true" outlineLevel="0" collapsed="false"/>
    <row r="2686" customFormat="false" ht="12.75" hidden="false" customHeight="true" outlineLevel="0" collapsed="false"/>
    <row r="2687" customFormat="false" ht="12.75" hidden="false" customHeight="true" outlineLevel="0" collapsed="false"/>
    <row r="2688" customFormat="false" ht="12.75" hidden="false" customHeight="true" outlineLevel="0" collapsed="false"/>
    <row r="2689" customFormat="false" ht="12.75" hidden="false" customHeight="true" outlineLevel="0" collapsed="false"/>
    <row r="2690" customFormat="false" ht="12.75" hidden="false" customHeight="true" outlineLevel="0" collapsed="false"/>
    <row r="2691" customFormat="false" ht="12.75" hidden="false" customHeight="true" outlineLevel="0" collapsed="false"/>
    <row r="2692" customFormat="false" ht="12.75" hidden="false" customHeight="true" outlineLevel="0" collapsed="false"/>
    <row r="2693" customFormat="false" ht="12.75" hidden="false" customHeight="true" outlineLevel="0" collapsed="false"/>
    <row r="2694" customFormat="false" ht="12.75" hidden="false" customHeight="true" outlineLevel="0" collapsed="false"/>
    <row r="2695" customFormat="false" ht="12.75" hidden="false" customHeight="true" outlineLevel="0" collapsed="false"/>
    <row r="2696" customFormat="false" ht="12.75" hidden="false" customHeight="true" outlineLevel="0" collapsed="false"/>
    <row r="2697" customFormat="false" ht="12.75" hidden="false" customHeight="true" outlineLevel="0" collapsed="false"/>
    <row r="2698" customFormat="false" ht="12.75" hidden="false" customHeight="true" outlineLevel="0" collapsed="false"/>
    <row r="2699" customFormat="false" ht="12.75" hidden="false" customHeight="true" outlineLevel="0" collapsed="false"/>
    <row r="2700" customFormat="false" ht="12.75" hidden="false" customHeight="true" outlineLevel="0" collapsed="false"/>
    <row r="2701" customFormat="false" ht="12.75" hidden="false" customHeight="true" outlineLevel="0" collapsed="false"/>
    <row r="2702" customFormat="false" ht="12.75" hidden="false" customHeight="true" outlineLevel="0" collapsed="false"/>
    <row r="2703" customFormat="false" ht="12.75" hidden="false" customHeight="true" outlineLevel="0" collapsed="false"/>
    <row r="2704" customFormat="false" ht="12.75" hidden="false" customHeight="true" outlineLevel="0" collapsed="false"/>
    <row r="2705" customFormat="false" ht="12.75" hidden="false" customHeight="true" outlineLevel="0" collapsed="false"/>
    <row r="2706" customFormat="false" ht="12.75" hidden="false" customHeight="true" outlineLevel="0" collapsed="false"/>
    <row r="2707" customFormat="false" ht="12.75" hidden="false" customHeight="true" outlineLevel="0" collapsed="false"/>
    <row r="2708" customFormat="false" ht="12.75" hidden="false" customHeight="true" outlineLevel="0" collapsed="false"/>
    <row r="2709" customFormat="false" ht="12.75" hidden="false" customHeight="true" outlineLevel="0" collapsed="false"/>
    <row r="2710" customFormat="false" ht="12.75" hidden="false" customHeight="true" outlineLevel="0" collapsed="false"/>
    <row r="2711" customFormat="false" ht="12.75" hidden="false" customHeight="true" outlineLevel="0" collapsed="false"/>
    <row r="2712" customFormat="false" ht="12.75" hidden="false" customHeight="true" outlineLevel="0" collapsed="false"/>
    <row r="2713" customFormat="false" ht="12.75" hidden="false" customHeight="true" outlineLevel="0" collapsed="false"/>
    <row r="2714" customFormat="false" ht="12.75" hidden="false" customHeight="true" outlineLevel="0" collapsed="false"/>
    <row r="2715" customFormat="false" ht="12.75" hidden="false" customHeight="true" outlineLevel="0" collapsed="false"/>
    <row r="2716" customFormat="false" ht="12.75" hidden="false" customHeight="true" outlineLevel="0" collapsed="false"/>
    <row r="2717" customFormat="false" ht="12.75" hidden="false" customHeight="true" outlineLevel="0" collapsed="false"/>
    <row r="2718" customFormat="false" ht="12.75" hidden="false" customHeight="true" outlineLevel="0" collapsed="false"/>
    <row r="2719" customFormat="false" ht="12.75" hidden="false" customHeight="true" outlineLevel="0" collapsed="false"/>
    <row r="2720" customFormat="false" ht="12.75" hidden="false" customHeight="true" outlineLevel="0" collapsed="false"/>
    <row r="2721" customFormat="false" ht="12.75" hidden="false" customHeight="true" outlineLevel="0" collapsed="false"/>
    <row r="2722" customFormat="false" ht="12.75" hidden="false" customHeight="true" outlineLevel="0" collapsed="false"/>
    <row r="2723" customFormat="false" ht="12.75" hidden="false" customHeight="true" outlineLevel="0" collapsed="false"/>
    <row r="2724" customFormat="false" ht="12.75" hidden="false" customHeight="true" outlineLevel="0" collapsed="false"/>
    <row r="2725" customFormat="false" ht="12.75" hidden="false" customHeight="true" outlineLevel="0" collapsed="false"/>
    <row r="2726" customFormat="false" ht="12.75" hidden="false" customHeight="true" outlineLevel="0" collapsed="false"/>
    <row r="2727" customFormat="false" ht="12.75" hidden="false" customHeight="true" outlineLevel="0" collapsed="false"/>
    <row r="2728" customFormat="false" ht="12.75" hidden="false" customHeight="true" outlineLevel="0" collapsed="false"/>
    <row r="2729" customFormat="false" ht="12.75" hidden="false" customHeight="true" outlineLevel="0" collapsed="false"/>
    <row r="2730" customFormat="false" ht="12.75" hidden="false" customHeight="true" outlineLevel="0" collapsed="false"/>
    <row r="2731" customFormat="false" ht="12.75" hidden="false" customHeight="true" outlineLevel="0" collapsed="false"/>
    <row r="2732" customFormat="false" ht="12.75" hidden="false" customHeight="true" outlineLevel="0" collapsed="false"/>
    <row r="2733" customFormat="false" ht="12.75" hidden="false" customHeight="true" outlineLevel="0" collapsed="false"/>
    <row r="2734" customFormat="false" ht="12.75" hidden="false" customHeight="true" outlineLevel="0" collapsed="false"/>
    <row r="2735" customFormat="false" ht="12.75" hidden="false" customHeight="true" outlineLevel="0" collapsed="false"/>
    <row r="2736" customFormat="false" ht="12.75" hidden="false" customHeight="true" outlineLevel="0" collapsed="false"/>
    <row r="2737" customFormat="false" ht="12.75" hidden="false" customHeight="true" outlineLevel="0" collapsed="false"/>
    <row r="2738" customFormat="false" ht="12.75" hidden="false" customHeight="true" outlineLevel="0" collapsed="false"/>
    <row r="2739" customFormat="false" ht="12.75" hidden="false" customHeight="true" outlineLevel="0" collapsed="false"/>
    <row r="2740" customFormat="false" ht="12.75" hidden="false" customHeight="true" outlineLevel="0" collapsed="false"/>
    <row r="2741" customFormat="false" ht="12.75" hidden="false" customHeight="true" outlineLevel="0" collapsed="false"/>
    <row r="2742" customFormat="false" ht="12.75" hidden="false" customHeight="true" outlineLevel="0" collapsed="false"/>
    <row r="2743" customFormat="false" ht="12.75" hidden="false" customHeight="true" outlineLevel="0" collapsed="false"/>
    <row r="2744" customFormat="false" ht="12.75" hidden="false" customHeight="true" outlineLevel="0" collapsed="false"/>
    <row r="2745" customFormat="false" ht="12.75" hidden="false" customHeight="true" outlineLevel="0" collapsed="false"/>
    <row r="2746" customFormat="false" ht="12.75" hidden="false" customHeight="true" outlineLevel="0" collapsed="false"/>
    <row r="2747" customFormat="false" ht="12.75" hidden="false" customHeight="true" outlineLevel="0" collapsed="false"/>
    <row r="2748" customFormat="false" ht="12.75" hidden="false" customHeight="true" outlineLevel="0" collapsed="false"/>
    <row r="2749" customFormat="false" ht="12.75" hidden="false" customHeight="true" outlineLevel="0" collapsed="false"/>
    <row r="2750" customFormat="false" ht="12.75" hidden="false" customHeight="true" outlineLevel="0" collapsed="false"/>
    <row r="2751" customFormat="false" ht="12.75" hidden="false" customHeight="true" outlineLevel="0" collapsed="false"/>
    <row r="2752" customFormat="false" ht="12.75" hidden="false" customHeight="true" outlineLevel="0" collapsed="false"/>
    <row r="2753" customFormat="false" ht="12.75" hidden="false" customHeight="true" outlineLevel="0" collapsed="false"/>
    <row r="2754" customFormat="false" ht="12.75" hidden="false" customHeight="true" outlineLevel="0" collapsed="false"/>
    <row r="2755" customFormat="false" ht="12.75" hidden="false" customHeight="true" outlineLevel="0" collapsed="false"/>
    <row r="2756" customFormat="false" ht="12.75" hidden="false" customHeight="true" outlineLevel="0" collapsed="false"/>
    <row r="2757" customFormat="false" ht="12.75" hidden="false" customHeight="true" outlineLevel="0" collapsed="false"/>
    <row r="2758" customFormat="false" ht="12.75" hidden="false" customHeight="true" outlineLevel="0" collapsed="false"/>
    <row r="2759" customFormat="false" ht="12.75" hidden="false" customHeight="true" outlineLevel="0" collapsed="false"/>
    <row r="2760" customFormat="false" ht="12.75" hidden="false" customHeight="true" outlineLevel="0" collapsed="false"/>
    <row r="2761" customFormat="false" ht="12.75" hidden="false" customHeight="true" outlineLevel="0" collapsed="false"/>
    <row r="2762" customFormat="false" ht="12.75" hidden="false" customHeight="true" outlineLevel="0" collapsed="false"/>
    <row r="2763" customFormat="false" ht="12.75" hidden="false" customHeight="true" outlineLevel="0" collapsed="false"/>
    <row r="2764" customFormat="false" ht="12.75" hidden="false" customHeight="true" outlineLevel="0" collapsed="false"/>
    <row r="2765" customFormat="false" ht="12.75" hidden="false" customHeight="true" outlineLevel="0" collapsed="false"/>
    <row r="2766" customFormat="false" ht="12.75" hidden="false" customHeight="true" outlineLevel="0" collapsed="false"/>
    <row r="2767" customFormat="false" ht="12.75" hidden="false" customHeight="true" outlineLevel="0" collapsed="false"/>
    <row r="2768" customFormat="false" ht="12.75" hidden="false" customHeight="true" outlineLevel="0" collapsed="false"/>
    <row r="2769" customFormat="false" ht="12.75" hidden="false" customHeight="true" outlineLevel="0" collapsed="false"/>
    <row r="2770" customFormat="false" ht="12.75" hidden="false" customHeight="true" outlineLevel="0" collapsed="false"/>
    <row r="2771" customFormat="false" ht="12.75" hidden="false" customHeight="true" outlineLevel="0" collapsed="false"/>
    <row r="2772" customFormat="false" ht="12.75" hidden="false" customHeight="true" outlineLevel="0" collapsed="false"/>
    <row r="2773" customFormat="false" ht="12.75" hidden="false" customHeight="true" outlineLevel="0" collapsed="false"/>
    <row r="2774" customFormat="false" ht="12.75" hidden="false" customHeight="true" outlineLevel="0" collapsed="false"/>
    <row r="2775" customFormat="false" ht="12.75" hidden="false" customHeight="true" outlineLevel="0" collapsed="false"/>
    <row r="2776" customFormat="false" ht="12.75" hidden="false" customHeight="true" outlineLevel="0" collapsed="false"/>
    <row r="2777" customFormat="false" ht="12.75" hidden="false" customHeight="true" outlineLevel="0" collapsed="false"/>
    <row r="2778" customFormat="false" ht="12.75" hidden="false" customHeight="true" outlineLevel="0" collapsed="false"/>
    <row r="2779" customFormat="false" ht="12.75" hidden="false" customHeight="true" outlineLevel="0" collapsed="false"/>
    <row r="2780" customFormat="false" ht="12.75" hidden="false" customHeight="true" outlineLevel="0" collapsed="false"/>
    <row r="2781" customFormat="false" ht="12.75" hidden="false" customHeight="true" outlineLevel="0" collapsed="false"/>
    <row r="2782" customFormat="false" ht="12.75" hidden="false" customHeight="true" outlineLevel="0" collapsed="false"/>
    <row r="2783" customFormat="false" ht="12.75" hidden="false" customHeight="true" outlineLevel="0" collapsed="false"/>
    <row r="2784" customFormat="false" ht="12.75" hidden="false" customHeight="true" outlineLevel="0" collapsed="false"/>
    <row r="2785" customFormat="false" ht="12.75" hidden="false" customHeight="true" outlineLevel="0" collapsed="false"/>
    <row r="2786" customFormat="false" ht="12.75" hidden="false" customHeight="true" outlineLevel="0" collapsed="false"/>
    <row r="2787" customFormat="false" ht="12.75" hidden="false" customHeight="true" outlineLevel="0" collapsed="false"/>
    <row r="2788" customFormat="false" ht="12.75" hidden="false" customHeight="true" outlineLevel="0" collapsed="false"/>
    <row r="2789" customFormat="false" ht="12.75" hidden="false" customHeight="true" outlineLevel="0" collapsed="false"/>
    <row r="2790" customFormat="false" ht="12.75" hidden="false" customHeight="true" outlineLevel="0" collapsed="false"/>
    <row r="2791" customFormat="false" ht="12.75" hidden="false" customHeight="true" outlineLevel="0" collapsed="false"/>
    <row r="2792" customFormat="false" ht="12.75" hidden="false" customHeight="true" outlineLevel="0" collapsed="false"/>
    <row r="2793" customFormat="false" ht="12.75" hidden="false" customHeight="true" outlineLevel="0" collapsed="false"/>
    <row r="2794" customFormat="false" ht="12.75" hidden="false" customHeight="true" outlineLevel="0" collapsed="false"/>
    <row r="2795" customFormat="false" ht="12.75" hidden="false" customHeight="true" outlineLevel="0" collapsed="false"/>
    <row r="2796" customFormat="false" ht="12.75" hidden="false" customHeight="true" outlineLevel="0" collapsed="false"/>
    <row r="2797" customFormat="false" ht="12.75" hidden="false" customHeight="true" outlineLevel="0" collapsed="false"/>
    <row r="2798" customFormat="false" ht="12.75" hidden="false" customHeight="true" outlineLevel="0" collapsed="false"/>
    <row r="2799" customFormat="false" ht="12.75" hidden="false" customHeight="true" outlineLevel="0" collapsed="false"/>
    <row r="2800" customFormat="false" ht="12.75" hidden="false" customHeight="true" outlineLevel="0" collapsed="false"/>
    <row r="2801" customFormat="false" ht="12.75" hidden="false" customHeight="true" outlineLevel="0" collapsed="false"/>
    <row r="2802" customFormat="false" ht="12.75" hidden="false" customHeight="true" outlineLevel="0" collapsed="false"/>
    <row r="2803" customFormat="false" ht="12.75" hidden="false" customHeight="true" outlineLevel="0" collapsed="false"/>
    <row r="2804" customFormat="false" ht="12.75" hidden="false" customHeight="true" outlineLevel="0" collapsed="false"/>
    <row r="2805" customFormat="false" ht="12.75" hidden="false" customHeight="true" outlineLevel="0" collapsed="false"/>
    <row r="2806" customFormat="false" ht="12.75" hidden="false" customHeight="true" outlineLevel="0" collapsed="false"/>
    <row r="2807" customFormat="false" ht="12.75" hidden="false" customHeight="true" outlineLevel="0" collapsed="false"/>
    <row r="2808" customFormat="false" ht="12.75" hidden="false" customHeight="true" outlineLevel="0" collapsed="false"/>
    <row r="2809" customFormat="false" ht="12.75" hidden="false" customHeight="true" outlineLevel="0" collapsed="false"/>
    <row r="2810" customFormat="false" ht="12.75" hidden="false" customHeight="true" outlineLevel="0" collapsed="false"/>
    <row r="2811" customFormat="false" ht="12.75" hidden="false" customHeight="true" outlineLevel="0" collapsed="false"/>
    <row r="2812" customFormat="false" ht="12.75" hidden="false" customHeight="true" outlineLevel="0" collapsed="false"/>
    <row r="2813" customFormat="false" ht="12.75" hidden="false" customHeight="true" outlineLevel="0" collapsed="false"/>
    <row r="2814" customFormat="false" ht="12.75" hidden="false" customHeight="true" outlineLevel="0" collapsed="false"/>
    <row r="2815" customFormat="false" ht="12.75" hidden="false" customHeight="true" outlineLevel="0" collapsed="false"/>
    <row r="2816" customFormat="false" ht="12.75" hidden="false" customHeight="true" outlineLevel="0" collapsed="false"/>
    <row r="2817" customFormat="false" ht="12.75" hidden="false" customHeight="true" outlineLevel="0" collapsed="false"/>
    <row r="2818" customFormat="false" ht="12.75" hidden="false" customHeight="true" outlineLevel="0" collapsed="false"/>
    <row r="2819" customFormat="false" ht="12.75" hidden="false" customHeight="true" outlineLevel="0" collapsed="false"/>
    <row r="2820" customFormat="false" ht="12.75" hidden="false" customHeight="true" outlineLevel="0" collapsed="false"/>
    <row r="2821" customFormat="false" ht="12.75" hidden="false" customHeight="true" outlineLevel="0" collapsed="false"/>
    <row r="2822" customFormat="false" ht="12.75" hidden="false" customHeight="true" outlineLevel="0" collapsed="false"/>
    <row r="2823" customFormat="false" ht="12.75" hidden="false" customHeight="true" outlineLevel="0" collapsed="false"/>
    <row r="2824" customFormat="false" ht="12.75" hidden="false" customHeight="true" outlineLevel="0" collapsed="false"/>
    <row r="2825" customFormat="false" ht="12.75" hidden="false" customHeight="true" outlineLevel="0" collapsed="false"/>
    <row r="2826" customFormat="false" ht="12.75" hidden="false" customHeight="true" outlineLevel="0" collapsed="false"/>
    <row r="2827" customFormat="false" ht="12.75" hidden="false" customHeight="true" outlineLevel="0" collapsed="false"/>
    <row r="2828" customFormat="false" ht="12.75" hidden="false" customHeight="true" outlineLevel="0" collapsed="false"/>
    <row r="2829" customFormat="false" ht="12.75" hidden="false" customHeight="true" outlineLevel="0" collapsed="false"/>
    <row r="2830" customFormat="false" ht="12.75" hidden="false" customHeight="true" outlineLevel="0" collapsed="false"/>
    <row r="2831" customFormat="false" ht="12.75" hidden="false" customHeight="true" outlineLevel="0" collapsed="false"/>
    <row r="2832" customFormat="false" ht="12.75" hidden="false" customHeight="true" outlineLevel="0" collapsed="false"/>
    <row r="2833" customFormat="false" ht="12.75" hidden="false" customHeight="true" outlineLevel="0" collapsed="false"/>
    <row r="2834" customFormat="false" ht="12.75" hidden="false" customHeight="true" outlineLevel="0" collapsed="false"/>
    <row r="2835" customFormat="false" ht="12.75" hidden="false" customHeight="true" outlineLevel="0" collapsed="false"/>
    <row r="2836" customFormat="false" ht="12.75" hidden="false" customHeight="true" outlineLevel="0" collapsed="false"/>
    <row r="2837" customFormat="false" ht="12.75" hidden="false" customHeight="true" outlineLevel="0" collapsed="false"/>
    <row r="2838" customFormat="false" ht="12.75" hidden="false" customHeight="true" outlineLevel="0" collapsed="false"/>
    <row r="2839" customFormat="false" ht="12.75" hidden="false" customHeight="true" outlineLevel="0" collapsed="false"/>
    <row r="2840" customFormat="false" ht="12.75" hidden="false" customHeight="true" outlineLevel="0" collapsed="false"/>
    <row r="2841" customFormat="false" ht="12.75" hidden="false" customHeight="true" outlineLevel="0" collapsed="false"/>
    <row r="2842" customFormat="false" ht="12.75" hidden="false" customHeight="true" outlineLevel="0" collapsed="false"/>
    <row r="2843" customFormat="false" ht="12.75" hidden="false" customHeight="true" outlineLevel="0" collapsed="false"/>
    <row r="2844" customFormat="false" ht="12.75" hidden="false" customHeight="true" outlineLevel="0" collapsed="false"/>
    <row r="2845" customFormat="false" ht="12.75" hidden="false" customHeight="true" outlineLevel="0" collapsed="false"/>
    <row r="2846" customFormat="false" ht="12.75" hidden="false" customHeight="true" outlineLevel="0" collapsed="false"/>
    <row r="2847" customFormat="false" ht="12.75" hidden="false" customHeight="true" outlineLevel="0" collapsed="false"/>
    <row r="2848" customFormat="false" ht="12.75" hidden="false" customHeight="true" outlineLevel="0" collapsed="false"/>
    <row r="2849" customFormat="false" ht="12.75" hidden="false" customHeight="true" outlineLevel="0" collapsed="false"/>
    <row r="2850" customFormat="false" ht="12.75" hidden="false" customHeight="true" outlineLevel="0" collapsed="false"/>
    <row r="2851" customFormat="false" ht="12.75" hidden="false" customHeight="true" outlineLevel="0" collapsed="false"/>
    <row r="2852" customFormat="false" ht="12.75" hidden="false" customHeight="true" outlineLevel="0" collapsed="false"/>
    <row r="2853" customFormat="false" ht="12.75" hidden="false" customHeight="true" outlineLevel="0" collapsed="false"/>
    <row r="2854" customFormat="false" ht="12.75" hidden="false" customHeight="true" outlineLevel="0" collapsed="false"/>
    <row r="2855" customFormat="false" ht="12.75" hidden="false" customHeight="true" outlineLevel="0" collapsed="false"/>
    <row r="2856" customFormat="false" ht="12.75" hidden="false" customHeight="true" outlineLevel="0" collapsed="false"/>
    <row r="2857" customFormat="false" ht="12.75" hidden="false" customHeight="true" outlineLevel="0" collapsed="false"/>
    <row r="2858" customFormat="false" ht="12.75" hidden="false" customHeight="true" outlineLevel="0" collapsed="false"/>
    <row r="2859" customFormat="false" ht="12.75" hidden="false" customHeight="true" outlineLevel="0" collapsed="false"/>
    <row r="2860" customFormat="false" ht="12.75" hidden="false" customHeight="true" outlineLevel="0" collapsed="false"/>
    <row r="2861" customFormat="false" ht="12.75" hidden="false" customHeight="true" outlineLevel="0" collapsed="false"/>
    <row r="2862" customFormat="false" ht="12.75" hidden="false" customHeight="true" outlineLevel="0" collapsed="false"/>
    <row r="2863" customFormat="false" ht="12.75" hidden="false" customHeight="true" outlineLevel="0" collapsed="false"/>
    <row r="2864" customFormat="false" ht="12.75" hidden="false" customHeight="true" outlineLevel="0" collapsed="false"/>
    <row r="2865" customFormat="false" ht="12.75" hidden="false" customHeight="true" outlineLevel="0" collapsed="false"/>
    <row r="2866" customFormat="false" ht="12.75" hidden="false" customHeight="true" outlineLevel="0" collapsed="false"/>
    <row r="2867" customFormat="false" ht="12.75" hidden="false" customHeight="true" outlineLevel="0" collapsed="false"/>
    <row r="2868" customFormat="false" ht="12.75" hidden="false" customHeight="true" outlineLevel="0" collapsed="false"/>
    <row r="2869" customFormat="false" ht="12.75" hidden="false" customHeight="true" outlineLevel="0" collapsed="false"/>
    <row r="2870" customFormat="false" ht="12.75" hidden="false" customHeight="true" outlineLevel="0" collapsed="false"/>
    <row r="2871" customFormat="false" ht="12.75" hidden="false" customHeight="true" outlineLevel="0" collapsed="false"/>
    <row r="2872" customFormat="false" ht="12.75" hidden="false" customHeight="true" outlineLevel="0" collapsed="false"/>
    <row r="2873" customFormat="false" ht="12.75" hidden="false" customHeight="true" outlineLevel="0" collapsed="false"/>
    <row r="2874" customFormat="false" ht="12.75" hidden="false" customHeight="true" outlineLevel="0" collapsed="false"/>
    <row r="2875" customFormat="false" ht="12.75" hidden="false" customHeight="true" outlineLevel="0" collapsed="false"/>
    <row r="2876" customFormat="false" ht="12.75" hidden="false" customHeight="true" outlineLevel="0" collapsed="false"/>
    <row r="2877" customFormat="false" ht="12.75" hidden="false" customHeight="true" outlineLevel="0" collapsed="false"/>
    <row r="2878" customFormat="false" ht="12.75" hidden="false" customHeight="true" outlineLevel="0" collapsed="false"/>
    <row r="2879" customFormat="false" ht="12.75" hidden="false" customHeight="true" outlineLevel="0" collapsed="false"/>
    <row r="2880" customFormat="false" ht="12.75" hidden="false" customHeight="true" outlineLevel="0" collapsed="false"/>
    <row r="2881" customFormat="false" ht="12.75" hidden="false" customHeight="true" outlineLevel="0" collapsed="false"/>
    <row r="2882" customFormat="false" ht="12.75" hidden="false" customHeight="true" outlineLevel="0" collapsed="false"/>
    <row r="2883" customFormat="false" ht="12.75" hidden="false" customHeight="true" outlineLevel="0" collapsed="false"/>
    <row r="2884" customFormat="false" ht="12.75" hidden="false" customHeight="true" outlineLevel="0" collapsed="false"/>
    <row r="2885" customFormat="false" ht="12.75" hidden="false" customHeight="true" outlineLevel="0" collapsed="false"/>
    <row r="2886" customFormat="false" ht="12.75" hidden="false" customHeight="true" outlineLevel="0" collapsed="false"/>
    <row r="2887" customFormat="false" ht="12.75" hidden="false" customHeight="true" outlineLevel="0" collapsed="false"/>
    <row r="2888" customFormat="false" ht="12.75" hidden="false" customHeight="true" outlineLevel="0" collapsed="false"/>
    <row r="2889" customFormat="false" ht="12.75" hidden="false" customHeight="true" outlineLevel="0" collapsed="false"/>
    <row r="2890" customFormat="false" ht="12.75" hidden="false" customHeight="true" outlineLevel="0" collapsed="false"/>
    <row r="2891" customFormat="false" ht="12.75" hidden="false" customHeight="true" outlineLevel="0" collapsed="false"/>
    <row r="2892" customFormat="false" ht="12.75" hidden="false" customHeight="true" outlineLevel="0" collapsed="false"/>
    <row r="2893" customFormat="false" ht="12.75" hidden="false" customHeight="true" outlineLevel="0" collapsed="false"/>
    <row r="2894" customFormat="false" ht="12.75" hidden="false" customHeight="true" outlineLevel="0" collapsed="false"/>
    <row r="2895" customFormat="false" ht="12.75" hidden="false" customHeight="true" outlineLevel="0" collapsed="false"/>
    <row r="2896" customFormat="false" ht="12.75" hidden="false" customHeight="true" outlineLevel="0" collapsed="false"/>
    <row r="2897" customFormat="false" ht="12.75" hidden="false" customHeight="true" outlineLevel="0" collapsed="false"/>
    <row r="2898" customFormat="false" ht="12.75" hidden="false" customHeight="true" outlineLevel="0" collapsed="false"/>
    <row r="2899" customFormat="false" ht="12.75" hidden="false" customHeight="true" outlineLevel="0" collapsed="false"/>
    <row r="2900" customFormat="false" ht="12.75" hidden="false" customHeight="true" outlineLevel="0" collapsed="false"/>
    <row r="2901" customFormat="false" ht="12.75" hidden="false" customHeight="true" outlineLevel="0" collapsed="false"/>
    <row r="2902" customFormat="false" ht="12.75" hidden="false" customHeight="true" outlineLevel="0" collapsed="false"/>
    <row r="2903" customFormat="false" ht="12.75" hidden="false" customHeight="true" outlineLevel="0" collapsed="false"/>
    <row r="2904" customFormat="false" ht="12.75" hidden="false" customHeight="true" outlineLevel="0" collapsed="false"/>
    <row r="2905" customFormat="false" ht="12.75" hidden="false" customHeight="true" outlineLevel="0" collapsed="false"/>
    <row r="2906" customFormat="false" ht="12.75" hidden="false" customHeight="true" outlineLevel="0" collapsed="false"/>
    <row r="2907" customFormat="false" ht="12.75" hidden="false" customHeight="true" outlineLevel="0" collapsed="false"/>
    <row r="2908" customFormat="false" ht="12.75" hidden="false" customHeight="true" outlineLevel="0" collapsed="false"/>
    <row r="2909" customFormat="false" ht="12.75" hidden="false" customHeight="true" outlineLevel="0" collapsed="false"/>
    <row r="2910" customFormat="false" ht="12.75" hidden="false" customHeight="true" outlineLevel="0" collapsed="false"/>
    <row r="2911" customFormat="false" ht="12.75" hidden="false" customHeight="true" outlineLevel="0" collapsed="false"/>
    <row r="2912" customFormat="false" ht="12.75" hidden="false" customHeight="true" outlineLevel="0" collapsed="false"/>
    <row r="2913" customFormat="false" ht="12.75" hidden="false" customHeight="true" outlineLevel="0" collapsed="false"/>
    <row r="2914" customFormat="false" ht="12.75" hidden="false" customHeight="true" outlineLevel="0" collapsed="false"/>
    <row r="2915" customFormat="false" ht="12.75" hidden="false" customHeight="true" outlineLevel="0" collapsed="false"/>
    <row r="2916" customFormat="false" ht="12.75" hidden="false" customHeight="true" outlineLevel="0" collapsed="false"/>
    <row r="2917" customFormat="false" ht="12.75" hidden="false" customHeight="true" outlineLevel="0" collapsed="false"/>
    <row r="2918" customFormat="false" ht="12.75" hidden="false" customHeight="true" outlineLevel="0" collapsed="false"/>
    <row r="2919" customFormat="false" ht="12.75" hidden="false" customHeight="true" outlineLevel="0" collapsed="false"/>
    <row r="2920" customFormat="false" ht="12.75" hidden="false" customHeight="true" outlineLevel="0" collapsed="false"/>
    <row r="2921" customFormat="false" ht="12.75" hidden="false" customHeight="true" outlineLevel="0" collapsed="false"/>
    <row r="2922" customFormat="false" ht="12.75" hidden="false" customHeight="true" outlineLevel="0" collapsed="false"/>
    <row r="2923" customFormat="false" ht="12.75" hidden="false" customHeight="true" outlineLevel="0" collapsed="false"/>
    <row r="2924" customFormat="false" ht="12.75" hidden="false" customHeight="true" outlineLevel="0" collapsed="false"/>
    <row r="2925" customFormat="false" ht="12.75" hidden="false" customHeight="true" outlineLevel="0" collapsed="false"/>
    <row r="2926" customFormat="false" ht="12.75" hidden="false" customHeight="true" outlineLevel="0" collapsed="false"/>
    <row r="2927" customFormat="false" ht="12.75" hidden="false" customHeight="true" outlineLevel="0" collapsed="false"/>
    <row r="2928" customFormat="false" ht="12.75" hidden="false" customHeight="true" outlineLevel="0" collapsed="false"/>
    <row r="2929" customFormat="false" ht="12.75" hidden="false" customHeight="true" outlineLevel="0" collapsed="false"/>
    <row r="2930" customFormat="false" ht="12.75" hidden="false" customHeight="true" outlineLevel="0" collapsed="false"/>
    <row r="2931" customFormat="false" ht="12.75" hidden="false" customHeight="true" outlineLevel="0" collapsed="false"/>
    <row r="2932" customFormat="false" ht="12.75" hidden="false" customHeight="true" outlineLevel="0" collapsed="false"/>
    <row r="2933" customFormat="false" ht="12.75" hidden="false" customHeight="true" outlineLevel="0" collapsed="false"/>
    <row r="2934" customFormat="false" ht="12.75" hidden="false" customHeight="true" outlineLevel="0" collapsed="false"/>
    <row r="2935" customFormat="false" ht="12.75" hidden="false" customHeight="true" outlineLevel="0" collapsed="false"/>
    <row r="2936" customFormat="false" ht="12.75" hidden="false" customHeight="true" outlineLevel="0" collapsed="false"/>
    <row r="2937" customFormat="false" ht="12.75" hidden="false" customHeight="true" outlineLevel="0" collapsed="false"/>
    <row r="2938" customFormat="false" ht="12.75" hidden="false" customHeight="true" outlineLevel="0" collapsed="false"/>
    <row r="2939" customFormat="false" ht="12.75" hidden="false" customHeight="true" outlineLevel="0" collapsed="false"/>
    <row r="2940" customFormat="false" ht="12.75" hidden="false" customHeight="true" outlineLevel="0" collapsed="false"/>
    <row r="2941" customFormat="false" ht="12.75" hidden="false" customHeight="true" outlineLevel="0" collapsed="false"/>
    <row r="2942" customFormat="false" ht="12.75" hidden="false" customHeight="true" outlineLevel="0" collapsed="false"/>
    <row r="2943" customFormat="false" ht="12.75" hidden="false" customHeight="true" outlineLevel="0" collapsed="false"/>
    <row r="2944" customFormat="false" ht="12.75" hidden="false" customHeight="true" outlineLevel="0" collapsed="false"/>
    <row r="2945" customFormat="false" ht="12.75" hidden="false" customHeight="true" outlineLevel="0" collapsed="false"/>
    <row r="2946" customFormat="false" ht="12.75" hidden="false" customHeight="true" outlineLevel="0" collapsed="false"/>
    <row r="2947" customFormat="false" ht="12.75" hidden="false" customHeight="true" outlineLevel="0" collapsed="false"/>
    <row r="2948" customFormat="false" ht="12.75" hidden="false" customHeight="true" outlineLevel="0" collapsed="false"/>
    <row r="2949" customFormat="false" ht="12.75" hidden="false" customHeight="true" outlineLevel="0" collapsed="false"/>
    <row r="2950" customFormat="false" ht="12.75" hidden="false" customHeight="true" outlineLevel="0" collapsed="false"/>
    <row r="2951" customFormat="false" ht="12.75" hidden="false" customHeight="true" outlineLevel="0" collapsed="false"/>
    <row r="2952" customFormat="false" ht="12.75" hidden="false" customHeight="true" outlineLevel="0" collapsed="false"/>
    <row r="2953" customFormat="false" ht="12.75" hidden="false" customHeight="true" outlineLevel="0" collapsed="false"/>
    <row r="2954" customFormat="false" ht="12.75" hidden="false" customHeight="true" outlineLevel="0" collapsed="false"/>
    <row r="2955" customFormat="false" ht="12.75" hidden="false" customHeight="true" outlineLevel="0" collapsed="false"/>
    <row r="2956" customFormat="false" ht="12.75" hidden="false" customHeight="true" outlineLevel="0" collapsed="false"/>
    <row r="2957" customFormat="false" ht="12.75" hidden="false" customHeight="true" outlineLevel="0" collapsed="false"/>
  </sheetData>
  <autoFilter ref="B2:AT71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mergeCells count="11">
    <mergeCell ref="U1:AC1"/>
    <mergeCell ref="AD1:AM1"/>
    <mergeCell ref="U2:V2"/>
    <mergeCell ref="W2:X2"/>
    <mergeCell ref="Z2:AA2"/>
    <mergeCell ref="AB2:AC2"/>
    <mergeCell ref="AD2:AE2"/>
    <mergeCell ref="AF2:AG2"/>
    <mergeCell ref="AH2:AI2"/>
    <mergeCell ref="AJ2:AK2"/>
    <mergeCell ref="AL2:AM2"/>
  </mergeCells>
  <printOptions headings="false" gridLines="false" gridLinesSet="true" horizontalCentered="false" verticalCentered="false"/>
  <pageMargins left="0.75" right="0.5" top="0.75" bottom="0.5" header="0" footer="0.3"/>
  <pageSetup paperSize="1" scale="32" fitToWidth="1" fitToHeight="1" pageOrder="downThenOver" orientation="landscape"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V1048576"/>
  <sheetViews>
    <sheetView showFormulas="false" showGridLines="true" showRowColHeaders="true" showZeros="true" rightToLeft="false" tabSelected="false" showOutlineSymbols="true" defaultGridColor="true" view="pageBreakPreview" topLeftCell="A1" colorId="64" zoomScale="83" zoomScaleNormal="80" zoomScalePageLayoutView="83" workbookViewId="0">
      <pane xSplit="0" ySplit="1" topLeftCell="A2" activePane="bottomLeft" state="frozen"/>
      <selection pane="topLeft" activeCell="A1" activeCellId="0" sqref="A1"/>
      <selection pane="bottomLeft" activeCell="E10" activeCellId="0" sqref="E10"/>
    </sheetView>
  </sheetViews>
  <sheetFormatPr defaultColWidth="9.14453125" defaultRowHeight="12.75" zeroHeight="false" outlineLevelRow="0" outlineLevelCol="0"/>
  <cols>
    <col collapsed="false" customWidth="true" hidden="false" outlineLevel="0" max="1" min="1" style="204" width="1.71"/>
    <col collapsed="false" customWidth="true" hidden="false" outlineLevel="0" max="2" min="2" style="204" width="5.71"/>
    <col collapsed="false" customWidth="true" hidden="false" outlineLevel="0" max="3" min="3" style="204" width="35.71"/>
    <col collapsed="false" customWidth="true" hidden="false" outlineLevel="0" max="4" min="4" style="205" width="8.71"/>
    <col collapsed="false" customWidth="true" hidden="false" outlineLevel="0" max="5" min="5" style="205" width="66.71"/>
    <col collapsed="false" customWidth="true" hidden="false" outlineLevel="0" max="6" min="6" style="205" width="11.71"/>
    <col collapsed="false" customWidth="true" hidden="false" outlineLevel="0" max="8" min="7" style="205" width="8.71"/>
    <col collapsed="false" customWidth="true" hidden="false" outlineLevel="0" max="9" min="9" style="205" width="11.71"/>
    <col collapsed="false" customWidth="true" hidden="false" outlineLevel="0" max="10" min="10" style="205" width="38.71"/>
    <col collapsed="false" customWidth="true" hidden="false" outlineLevel="0" max="11" min="11" style="205" width="8.71"/>
    <col collapsed="false" customWidth="true" hidden="false" outlineLevel="0" max="16" min="12" style="205" width="5.71"/>
    <col collapsed="false" customWidth="true" hidden="false" outlineLevel="0" max="19" min="17" style="206" width="8.71"/>
    <col collapsed="false" customWidth="true" hidden="false" outlineLevel="0" max="21" min="20" style="205" width="8.71"/>
    <col collapsed="false" customWidth="true" hidden="false" outlineLevel="0" max="23" min="22" style="204" width="1.71"/>
    <col collapsed="false" customWidth="false" hidden="false" outlineLevel="0" max="16384" min="24" style="204" width="9.14"/>
  </cols>
  <sheetData>
    <row r="1" customFormat="false" ht="51.75" hidden="false" customHeight="true" outlineLevel="0" collapsed="false">
      <c r="B1" s="207" t="s">
        <v>1051</v>
      </c>
      <c r="C1" s="208" t="s">
        <v>101</v>
      </c>
      <c r="D1" s="209" t="s">
        <v>12</v>
      </c>
      <c r="E1" s="210" t="s">
        <v>1052</v>
      </c>
      <c r="F1" s="211" t="s">
        <v>1053</v>
      </c>
      <c r="G1" s="212" t="s">
        <v>99</v>
      </c>
      <c r="H1" s="213" t="s">
        <v>1054</v>
      </c>
      <c r="I1" s="210" t="s">
        <v>1055</v>
      </c>
      <c r="J1" s="210" t="s">
        <v>1056</v>
      </c>
      <c r="K1" s="210" t="s">
        <v>1057</v>
      </c>
      <c r="L1" s="210" t="s">
        <v>1058</v>
      </c>
      <c r="M1" s="210" t="s">
        <v>1059</v>
      </c>
      <c r="N1" s="210" t="s">
        <v>1060</v>
      </c>
      <c r="O1" s="210" t="s">
        <v>1061</v>
      </c>
      <c r="P1" s="210" t="s">
        <v>1062</v>
      </c>
      <c r="Q1" s="214" t="s">
        <v>1063</v>
      </c>
      <c r="R1" s="214" t="s">
        <v>1064</v>
      </c>
      <c r="S1" s="214" t="s">
        <v>1065</v>
      </c>
      <c r="T1" s="210" t="s">
        <v>1066</v>
      </c>
      <c r="U1" s="215" t="s">
        <v>1067</v>
      </c>
      <c r="V1" s="216"/>
    </row>
    <row r="2" customFormat="false" ht="14.25" hidden="false" customHeight="true" outlineLevel="0" collapsed="false">
      <c r="B2" s="217" t="n">
        <v>3</v>
      </c>
      <c r="C2" s="218" t="s">
        <v>1068</v>
      </c>
      <c r="D2" s="219" t="n">
        <v>14345</v>
      </c>
      <c r="E2" s="220" t="str">
        <f aca="false">IF(D2="","",IFERROR(VLOOKUP(D2,CCN_Library!$A$4:$B$13,2,FALSE()),"NOT IN LIBRARY"))</f>
        <v>ARMORY</v>
      </c>
      <c r="F2" s="220"/>
      <c r="G2" s="221" t="s">
        <v>1069</v>
      </c>
      <c r="H2" s="221" t="str">
        <f aca="false">LEFT(I2,5)</f>
        <v>E0030</v>
      </c>
      <c r="I2" s="221" t="s">
        <v>1070</v>
      </c>
      <c r="J2" s="221" t="s">
        <v>1071</v>
      </c>
      <c r="K2" s="221" t="s">
        <v>1072</v>
      </c>
      <c r="L2" s="221" t="s">
        <v>1073</v>
      </c>
      <c r="M2" s="221" t="s">
        <v>133</v>
      </c>
      <c r="N2" s="222" t="n">
        <v>99</v>
      </c>
      <c r="O2" s="222" t="n">
        <v>12</v>
      </c>
      <c r="P2" s="222" t="n">
        <v>111</v>
      </c>
      <c r="Q2" s="223" t="n">
        <v>0.6</v>
      </c>
      <c r="R2" s="223" t="n">
        <v>0.13</v>
      </c>
      <c r="S2" s="224" t="n">
        <v>0.13</v>
      </c>
      <c r="T2" s="225" t="n">
        <f aca="false">Q2*R2*S2</f>
        <v>0.01014</v>
      </c>
      <c r="U2" s="226" t="n">
        <f aca="false">T2*P2</f>
        <v>1.12554</v>
      </c>
      <c r="V2" s="227"/>
    </row>
    <row r="3" customFormat="false" ht="13.5" hidden="false" customHeight="true" outlineLevel="0" collapsed="false">
      <c r="B3" s="228" t="n">
        <v>4</v>
      </c>
      <c r="C3" s="218" t="s">
        <v>1074</v>
      </c>
      <c r="D3" s="219" t="n">
        <v>44112</v>
      </c>
      <c r="E3" s="220" t="str">
        <f aca="false">IF(D3="","",IFERROR(VLOOKUP(D3,CCN_Library!$A$4:$B$13,2,FALSE()),"NOT IN LIBRARY"))</f>
        <v>STORAGE OF AIR OR GROUND ORGANIC UNITS FOR MARINE CORPS</v>
      </c>
      <c r="F3" s="229"/>
      <c r="G3" s="230" t="s">
        <v>1069</v>
      </c>
      <c r="H3" s="221" t="str">
        <f aca="false">LEFT(I3,5)</f>
        <v>K0001</v>
      </c>
      <c r="I3" s="230" t="s">
        <v>1075</v>
      </c>
      <c r="J3" s="221" t="s">
        <v>1076</v>
      </c>
      <c r="K3" s="230" t="s">
        <v>1072</v>
      </c>
      <c r="L3" s="230" t="s">
        <v>1073</v>
      </c>
      <c r="M3" s="230" t="s">
        <v>133</v>
      </c>
      <c r="N3" s="231" t="n">
        <v>0</v>
      </c>
      <c r="O3" s="231" t="n">
        <v>2</v>
      </c>
      <c r="P3" s="231" t="n">
        <v>2</v>
      </c>
      <c r="Q3" s="232" t="n">
        <v>0.96</v>
      </c>
      <c r="R3" s="232" t="n">
        <v>0.85</v>
      </c>
      <c r="S3" s="224" t="n">
        <v>0.58</v>
      </c>
      <c r="T3" s="225" t="n">
        <f aca="false">Q3*R3*S3</f>
        <v>0.47328</v>
      </c>
      <c r="U3" s="226" t="n">
        <f aca="false">T3*P3</f>
        <v>0.94656</v>
      </c>
      <c r="V3" s="233"/>
    </row>
    <row r="4" customFormat="false" ht="13.5" hidden="false" customHeight="true" outlineLevel="0" collapsed="false">
      <c r="B4" s="228" t="n">
        <v>5</v>
      </c>
      <c r="C4" s="234" t="s">
        <v>1077</v>
      </c>
      <c r="D4" s="219" t="n">
        <v>21710</v>
      </c>
      <c r="E4" s="218" t="str">
        <f aca="false">IF(D4="","",IFERROR(VLOOKUP(D4,CCN_Library!$A$4:$B$13,2,FALSE()),"NOT IN LIBRARY"))</f>
        <v>ELECTRONICS/COMMUNICATIONS MAINTENANCE SHOP</v>
      </c>
      <c r="F4" s="229"/>
      <c r="G4" s="230" t="s">
        <v>1069</v>
      </c>
      <c r="H4" s="221" t="str">
        <f aca="false">LEFT(I4,5)</f>
        <v>A2042</v>
      </c>
      <c r="I4" s="230" t="s">
        <v>1078</v>
      </c>
      <c r="J4" s="221" t="s">
        <v>1079</v>
      </c>
      <c r="K4" s="230" t="s">
        <v>1080</v>
      </c>
      <c r="L4" s="230" t="s">
        <v>1073</v>
      </c>
      <c r="M4" s="230" t="s">
        <v>133</v>
      </c>
      <c r="N4" s="231" t="n">
        <v>0</v>
      </c>
      <c r="O4" s="231" t="n">
        <v>3</v>
      </c>
      <c r="P4" s="231" t="n">
        <v>3</v>
      </c>
      <c r="Q4" s="232" t="n">
        <v>1.12</v>
      </c>
      <c r="R4" s="232" t="n">
        <v>0.87</v>
      </c>
      <c r="S4" s="224" t="n">
        <v>0.25</v>
      </c>
      <c r="T4" s="225" t="n">
        <f aca="false">Q4*R4*S4</f>
        <v>0.2436</v>
      </c>
      <c r="U4" s="226" t="n">
        <f aca="false">T4*P4</f>
        <v>0.7308</v>
      </c>
      <c r="V4" s="233"/>
    </row>
    <row r="5" customFormat="false" ht="13.5" hidden="false" customHeight="true" outlineLevel="0" collapsed="false">
      <c r="B5" s="228" t="n">
        <v>11</v>
      </c>
      <c r="C5" s="234" t="s">
        <v>1074</v>
      </c>
      <c r="D5" s="219" t="n">
        <v>44112</v>
      </c>
      <c r="E5" s="218" t="str">
        <f aca="false">IF(D5="","",IFERROR(VLOOKUP(D5,CCN_Library!$A$4:$B$13,2,FALSE()),"NOT IN LIBRARY"))</f>
        <v>STORAGE OF AIR OR GROUND ORGANIC UNITS FOR MARINE CORPS</v>
      </c>
      <c r="F5" s="229"/>
      <c r="G5" s="230" t="s">
        <v>1069</v>
      </c>
      <c r="H5" s="221" t="str">
        <f aca="false">LEFT(I5,5)</f>
        <v>C3020</v>
      </c>
      <c r="I5" s="230" t="s">
        <v>1081</v>
      </c>
      <c r="J5" s="221" t="s">
        <v>1082</v>
      </c>
      <c r="K5" s="230" t="s">
        <v>1072</v>
      </c>
      <c r="L5" s="230" t="s">
        <v>1073</v>
      </c>
      <c r="M5" s="230" t="s">
        <v>133</v>
      </c>
      <c r="N5" s="231" t="n">
        <v>610</v>
      </c>
      <c r="O5" s="231" t="n">
        <v>0</v>
      </c>
      <c r="P5" s="231" t="n">
        <v>610</v>
      </c>
      <c r="Q5" s="232" t="n">
        <v>1.17</v>
      </c>
      <c r="R5" s="232" t="n">
        <v>1.17</v>
      </c>
      <c r="S5" s="224" t="n">
        <v>0.08</v>
      </c>
      <c r="T5" s="225" t="n">
        <f aca="false">Q5*R5*S5</f>
        <v>0.109512</v>
      </c>
      <c r="U5" s="226" t="n">
        <f aca="false">T5*P5</f>
        <v>66.80232</v>
      </c>
      <c r="V5" s="233"/>
    </row>
    <row r="6" customFormat="false" ht="13.5" hidden="false" customHeight="true" outlineLevel="0" collapsed="false">
      <c r="B6" s="228" t="n">
        <v>12</v>
      </c>
      <c r="C6" s="234" t="s">
        <v>1074</v>
      </c>
      <c r="D6" s="219" t="n">
        <v>44112</v>
      </c>
      <c r="E6" s="218" t="str">
        <f aca="false">IF(D6="","",IFERROR(VLOOKUP(D6,CCN_Library!$A$4:$B$13,2,FALSE()),"NOT IN LIBRARY"))</f>
        <v>STORAGE OF AIR OR GROUND ORGANIC UNITS FOR MARINE CORPS</v>
      </c>
      <c r="F6" s="229"/>
      <c r="G6" s="230" t="s">
        <v>1069</v>
      </c>
      <c r="H6" s="221" t="str">
        <f aca="false">LEFT(I6,5)</f>
        <v>C3423</v>
      </c>
      <c r="I6" s="230" t="s">
        <v>1083</v>
      </c>
      <c r="J6" s="221" t="s">
        <v>1084</v>
      </c>
      <c r="K6" s="230" t="s">
        <v>1072</v>
      </c>
      <c r="L6" s="230" t="s">
        <v>1073</v>
      </c>
      <c r="M6" s="230" t="s">
        <v>133</v>
      </c>
      <c r="N6" s="231" t="n">
        <v>305</v>
      </c>
      <c r="O6" s="231" t="n">
        <v>0</v>
      </c>
      <c r="P6" s="231" t="n">
        <v>305</v>
      </c>
      <c r="Q6" s="232" t="n">
        <v>0.17</v>
      </c>
      <c r="R6" s="232" t="n">
        <v>0.33</v>
      </c>
      <c r="S6" s="224" t="n">
        <v>0.25</v>
      </c>
      <c r="T6" s="225" t="n">
        <f aca="false">Q6*R6*S6</f>
        <v>0.014025</v>
      </c>
      <c r="U6" s="226" t="n">
        <f aca="false">T6*P6</f>
        <v>4.277625</v>
      </c>
      <c r="V6" s="233"/>
    </row>
    <row r="7" customFormat="false" ht="13.5" hidden="false" customHeight="true" outlineLevel="0" collapsed="false">
      <c r="B7" s="228" t="n">
        <v>16</v>
      </c>
      <c r="C7" s="218" t="s">
        <v>1068</v>
      </c>
      <c r="D7" s="219" t="n">
        <v>14345</v>
      </c>
      <c r="E7" s="220" t="str">
        <f aca="false">IF(D7="","",IFERROR(VLOOKUP(D7,CCN_Library!$A$4:$B$13,2,FALSE()),"NOT IN LIBRARY"))</f>
        <v>ARMORY</v>
      </c>
      <c r="F7" s="229"/>
      <c r="G7" s="230" t="s">
        <v>1069</v>
      </c>
      <c r="H7" s="221" t="str">
        <f aca="false">LEFT(I7,5)</f>
        <v>E0190</v>
      </c>
      <c r="I7" s="230" t="s">
        <v>1085</v>
      </c>
      <c r="J7" s="221" t="s">
        <v>1086</v>
      </c>
      <c r="K7" s="230" t="s">
        <v>1072</v>
      </c>
      <c r="L7" s="230" t="s">
        <v>1073</v>
      </c>
      <c r="M7" s="230" t="s">
        <v>133</v>
      </c>
      <c r="N7" s="231" t="n">
        <v>0</v>
      </c>
      <c r="O7" s="231" t="n">
        <v>0</v>
      </c>
      <c r="P7" s="231" t="n">
        <v>0</v>
      </c>
      <c r="Q7" s="232" t="n">
        <v>2.75</v>
      </c>
      <c r="R7" s="232" t="n">
        <v>0.17</v>
      </c>
      <c r="S7" s="224" t="n">
        <v>0.75</v>
      </c>
      <c r="T7" s="225" t="n">
        <f aca="false">Q7*R7*S7</f>
        <v>0.350625</v>
      </c>
      <c r="U7" s="226" t="n">
        <f aca="false">T7*P7</f>
        <v>0</v>
      </c>
      <c r="V7" s="233"/>
    </row>
    <row r="8" customFormat="false" ht="13.5" hidden="false" customHeight="true" outlineLevel="0" collapsed="false">
      <c r="B8" s="228" t="n">
        <v>19</v>
      </c>
      <c r="C8" s="218" t="s">
        <v>1068</v>
      </c>
      <c r="D8" s="219" t="n">
        <v>14345</v>
      </c>
      <c r="E8" s="220" t="str">
        <f aca="false">IF(D8="","",IFERROR(VLOOKUP(D8,CCN_Library!$A$4:$B$13,2,FALSE()),"NOT IN LIBRARY"))</f>
        <v>ARMORY</v>
      </c>
      <c r="F8" s="229"/>
      <c r="G8" s="230" t="s">
        <v>1069</v>
      </c>
      <c r="H8" s="221" t="str">
        <f aca="false">LEFT(I8,5)</f>
        <v>E2829</v>
      </c>
      <c r="I8" s="230" t="s">
        <v>1087</v>
      </c>
      <c r="J8" s="221" t="s">
        <v>1088</v>
      </c>
      <c r="K8" s="230" t="s">
        <v>1072</v>
      </c>
      <c r="L8" s="230" t="s">
        <v>1073</v>
      </c>
      <c r="M8" s="230" t="s">
        <v>133</v>
      </c>
      <c r="N8" s="231" t="n">
        <v>0</v>
      </c>
      <c r="O8" s="231" t="n">
        <v>1</v>
      </c>
      <c r="P8" s="231" t="n">
        <v>1</v>
      </c>
      <c r="Q8" s="235" t="n">
        <v>1</v>
      </c>
      <c r="R8" s="232" t="n">
        <v>0.5</v>
      </c>
      <c r="S8" s="224" t="n">
        <v>0.58</v>
      </c>
      <c r="T8" s="225" t="n">
        <f aca="false">Q8*R8*S8</f>
        <v>0.29</v>
      </c>
      <c r="U8" s="226" t="n">
        <f aca="false">T8*P8</f>
        <v>0.29</v>
      </c>
      <c r="V8" s="233"/>
    </row>
    <row r="9" customFormat="false" ht="13.5" hidden="false" customHeight="true" outlineLevel="0" collapsed="false">
      <c r="B9" s="228" t="n">
        <v>20</v>
      </c>
      <c r="C9" s="218" t="s">
        <v>1074</v>
      </c>
      <c r="D9" s="219" t="n">
        <v>44112</v>
      </c>
      <c r="E9" s="220" t="str">
        <f aca="false">IF(D9="","",IFERROR(VLOOKUP(D9,CCN_Library!$A$4:$B$13,2,FALSE()),"NOT IN LIBRARY"))</f>
        <v>STORAGE OF AIR OR GROUND ORGANIC UNITS FOR MARINE CORPS</v>
      </c>
      <c r="F9" s="229"/>
      <c r="G9" s="230" t="s">
        <v>1069</v>
      </c>
      <c r="H9" s="221" t="str">
        <f aca="false">LEFT(I9,5)</f>
        <v>K4128</v>
      </c>
      <c r="I9" s="230" t="s">
        <v>1089</v>
      </c>
      <c r="J9" s="221" t="s">
        <v>1090</v>
      </c>
      <c r="K9" s="230" t="s">
        <v>1072</v>
      </c>
      <c r="L9" s="230" t="s">
        <v>1073</v>
      </c>
      <c r="M9" s="230" t="s">
        <v>133</v>
      </c>
      <c r="N9" s="231" t="n">
        <v>0</v>
      </c>
      <c r="O9" s="231" t="n">
        <v>52</v>
      </c>
      <c r="P9" s="231" t="n">
        <v>52</v>
      </c>
      <c r="Q9" s="235" t="n">
        <v>0</v>
      </c>
      <c r="R9" s="235" t="n">
        <v>0</v>
      </c>
      <c r="S9" s="224" t="n">
        <v>0</v>
      </c>
      <c r="T9" s="225" t="n">
        <f aca="false">Q9*R9*S9</f>
        <v>0</v>
      </c>
      <c r="U9" s="226" t="n">
        <f aca="false">T9*P9</f>
        <v>0</v>
      </c>
      <c r="V9" s="233"/>
    </row>
    <row r="10" customFormat="false" ht="13.5" hidden="false" customHeight="true" outlineLevel="0" collapsed="false">
      <c r="B10" s="228" t="n">
        <v>21</v>
      </c>
      <c r="C10" s="218" t="s">
        <v>1074</v>
      </c>
      <c r="D10" s="219" t="n">
        <v>44112</v>
      </c>
      <c r="E10" s="220" t="str">
        <f aca="false">IF(D10="","",IFERROR(VLOOKUP(D10,CCN_Library!$A$4:$B$13,2,FALSE()),"NOT IN LIBRARY"))</f>
        <v>STORAGE OF AIR OR GROUND ORGANIC UNITS FOR MARINE CORPS</v>
      </c>
      <c r="F10" s="229"/>
      <c r="G10" s="230" t="s">
        <v>1069</v>
      </c>
      <c r="H10" s="221" t="str">
        <f aca="false">LEFT(I10,5)</f>
        <v>K4236</v>
      </c>
      <c r="I10" s="230" t="s">
        <v>1091</v>
      </c>
      <c r="J10" s="221" t="s">
        <v>1092</v>
      </c>
      <c r="K10" s="230" t="s">
        <v>1072</v>
      </c>
      <c r="L10" s="230" t="s">
        <v>1073</v>
      </c>
      <c r="M10" s="230" t="s">
        <v>133</v>
      </c>
      <c r="N10" s="231" t="n">
        <v>0</v>
      </c>
      <c r="O10" s="231" t="n">
        <v>168</v>
      </c>
      <c r="P10" s="231" t="n">
        <v>168</v>
      </c>
      <c r="Q10" s="235" t="n">
        <v>2</v>
      </c>
      <c r="R10" s="232" t="n">
        <v>0.5</v>
      </c>
      <c r="S10" s="224" t="n">
        <v>0.33</v>
      </c>
      <c r="T10" s="225" t="n">
        <f aca="false">Q10*R10*S10</f>
        <v>0.33</v>
      </c>
      <c r="U10" s="226" t="n">
        <f aca="false">T10*P10</f>
        <v>55.44</v>
      </c>
      <c r="V10" s="233"/>
    </row>
    <row r="11" customFormat="false" ht="13.5" hidden="false" customHeight="true" outlineLevel="0" collapsed="false">
      <c r="B11" s="228" t="n">
        <v>23</v>
      </c>
      <c r="C11" s="218" t="s">
        <v>1074</v>
      </c>
      <c r="D11" s="219" t="n">
        <v>44112</v>
      </c>
      <c r="E11" s="220" t="str">
        <f aca="false">IF(D11="","",IFERROR(VLOOKUP(D11,CCN_Library!$A$4:$B$13,2,FALSE()),"NOT IN LIBRARY"))</f>
        <v>STORAGE OF AIR OR GROUND ORGANIC UNITS FOR MARINE CORPS</v>
      </c>
      <c r="F11" s="229"/>
      <c r="G11" s="230" t="s">
        <v>1069</v>
      </c>
      <c r="H11" s="221" t="str">
        <f aca="false">LEFT(I11,5)</f>
        <v>K4959</v>
      </c>
      <c r="I11" s="230" t="s">
        <v>1093</v>
      </c>
      <c r="J11" s="221" t="s">
        <v>1094</v>
      </c>
      <c r="K11" s="230" t="s">
        <v>1072</v>
      </c>
      <c r="L11" s="230" t="s">
        <v>1073</v>
      </c>
      <c r="M11" s="230" t="s">
        <v>133</v>
      </c>
      <c r="N11" s="231" t="n">
        <v>0</v>
      </c>
      <c r="O11" s="231" t="n">
        <v>12</v>
      </c>
      <c r="P11" s="231" t="n">
        <v>12</v>
      </c>
      <c r="Q11" s="232" t="n">
        <v>5.83</v>
      </c>
      <c r="R11" s="235" t="n">
        <v>3</v>
      </c>
      <c r="S11" s="224" t="n">
        <v>0.33</v>
      </c>
      <c r="T11" s="225" t="n">
        <f aca="false">Q11*R11*S11</f>
        <v>5.7717</v>
      </c>
      <c r="U11" s="226" t="n">
        <f aca="false">T11*P11</f>
        <v>69.2604</v>
      </c>
      <c r="V11" s="233"/>
    </row>
    <row r="12" customFormat="false" ht="13.5" hidden="false" customHeight="true" outlineLevel="0" collapsed="false">
      <c r="B12" s="228" t="n">
        <v>30</v>
      </c>
      <c r="C12" s="218" t="s">
        <v>1074</v>
      </c>
      <c r="D12" s="219" t="n">
        <v>44112</v>
      </c>
      <c r="E12" s="220" t="str">
        <f aca="false">IF(D12="","",IFERROR(VLOOKUP(D12,CCN_Library!$A$4:$B$13,2,FALSE()),"NOT IN LIBRARY"))</f>
        <v>STORAGE OF AIR OR GROUND ORGANIC UNITS FOR MARINE CORPS</v>
      </c>
      <c r="F12" s="229"/>
      <c r="G12" s="230" t="s">
        <v>1069</v>
      </c>
      <c r="H12" s="221" t="str">
        <f aca="false">LEFT(I12,5)</f>
        <v>C7911</v>
      </c>
      <c r="I12" s="230" t="s">
        <v>1095</v>
      </c>
      <c r="J12" s="221" t="s">
        <v>1096</v>
      </c>
      <c r="K12" s="230" t="s">
        <v>1072</v>
      </c>
      <c r="L12" s="230" t="s">
        <v>1073</v>
      </c>
      <c r="M12" s="230" t="s">
        <v>133</v>
      </c>
      <c r="N12" s="231" t="n">
        <v>0</v>
      </c>
      <c r="O12" s="231" t="n">
        <v>1</v>
      </c>
      <c r="P12" s="231" t="n">
        <v>1</v>
      </c>
      <c r="Q12" s="232" t="n">
        <v>4.83</v>
      </c>
      <c r="R12" s="232" t="n">
        <v>2.75</v>
      </c>
      <c r="S12" s="224" t="n">
        <v>5.41</v>
      </c>
      <c r="T12" s="225" t="n">
        <f aca="false">Q12*R12*S12</f>
        <v>71.858325</v>
      </c>
      <c r="U12" s="226" t="n">
        <f aca="false">T12*P12</f>
        <v>71.858325</v>
      </c>
      <c r="V12" s="233"/>
    </row>
    <row r="13" customFormat="false" ht="13.5" hidden="false" customHeight="true" outlineLevel="0" collapsed="false">
      <c r="B13" s="228" t="n">
        <v>34</v>
      </c>
      <c r="C13" s="218" t="s">
        <v>1074</v>
      </c>
      <c r="D13" s="219" t="n">
        <v>44112</v>
      </c>
      <c r="E13" s="220" t="str">
        <f aca="false">IF(D13="","",IFERROR(VLOOKUP(D13,CCN_Library!$A$4:$B$13,2,FALSE()),"NOT IN LIBRARY"))</f>
        <v>STORAGE OF AIR OR GROUND ORGANIC UNITS FOR MARINE CORPS</v>
      </c>
      <c r="F13" s="229"/>
      <c r="G13" s="230" t="s">
        <v>1069</v>
      </c>
      <c r="H13" s="221" t="str">
        <f aca="false">LEFT(I13,5)</f>
        <v>C1120</v>
      </c>
      <c r="I13" s="230" t="s">
        <v>1097</v>
      </c>
      <c r="J13" s="221" t="s">
        <v>1098</v>
      </c>
      <c r="K13" s="230" t="s">
        <v>1072</v>
      </c>
      <c r="L13" s="230" t="s">
        <v>1099</v>
      </c>
      <c r="M13" s="230" t="s">
        <v>133</v>
      </c>
      <c r="N13" s="231" t="n">
        <v>610</v>
      </c>
      <c r="O13" s="231" t="n">
        <v>540</v>
      </c>
      <c r="P13" s="231" t="n">
        <v>1150</v>
      </c>
      <c r="Q13" s="235" t="n">
        <v>1</v>
      </c>
      <c r="R13" s="232" t="n">
        <v>0.5</v>
      </c>
      <c r="S13" s="224" t="n">
        <v>0.08</v>
      </c>
      <c r="T13" s="225" t="n">
        <f aca="false">Q13*R13*S13</f>
        <v>0.04</v>
      </c>
      <c r="U13" s="226" t="n">
        <f aca="false">T13*P13</f>
        <v>46</v>
      </c>
      <c r="V13" s="233"/>
    </row>
    <row r="14" customFormat="false" ht="13.5" hidden="false" customHeight="true" outlineLevel="0" collapsed="false">
      <c r="B14" s="228" t="n">
        <v>37</v>
      </c>
      <c r="C14" s="218" t="s">
        <v>1074</v>
      </c>
      <c r="D14" s="219" t="n">
        <v>44112</v>
      </c>
      <c r="E14" s="220" t="str">
        <f aca="false">IF(D14="","",IFERROR(VLOOKUP(D14,CCN_Library!$A$4:$B$13,2,FALSE()),"NOT IN LIBRARY"))</f>
        <v>STORAGE OF AIR OR GROUND ORGANIC UNITS FOR MARINE CORPS</v>
      </c>
      <c r="F14" s="229"/>
      <c r="G14" s="230" t="s">
        <v>1069</v>
      </c>
      <c r="H14" s="221" t="str">
        <f aca="false">LEFT(I14,5)</f>
        <v>C0115</v>
      </c>
      <c r="I14" s="230" t="s">
        <v>1100</v>
      </c>
      <c r="J14" s="221" t="s">
        <v>1101</v>
      </c>
      <c r="K14" s="230" t="s">
        <v>1072</v>
      </c>
      <c r="L14" s="230" t="s">
        <v>1099</v>
      </c>
      <c r="M14" s="230" t="s">
        <v>133</v>
      </c>
      <c r="N14" s="231" t="n">
        <v>610</v>
      </c>
      <c r="O14" s="231" t="n">
        <v>0</v>
      </c>
      <c r="P14" s="231" t="n">
        <v>610</v>
      </c>
      <c r="Q14" s="232" t="n">
        <v>0.83</v>
      </c>
      <c r="R14" s="232" t="n">
        <v>0.5</v>
      </c>
      <c r="S14" s="224" t="n">
        <v>0.17</v>
      </c>
      <c r="T14" s="225" t="n">
        <f aca="false">Q14*R14*S14</f>
        <v>0.07055</v>
      </c>
      <c r="U14" s="226" t="n">
        <f aca="false">T14*P14</f>
        <v>43.0355</v>
      </c>
      <c r="V14" s="233"/>
    </row>
    <row r="15" customFormat="false" ht="13.5" hidden="false" customHeight="true" outlineLevel="0" collapsed="false">
      <c r="B15" s="228" t="n">
        <v>38</v>
      </c>
      <c r="C15" s="236" t="s">
        <v>1074</v>
      </c>
      <c r="D15" s="219" t="n">
        <v>44112</v>
      </c>
      <c r="E15" s="220" t="str">
        <f aca="false">IF(D15="","",IFERROR(VLOOKUP(D15,CCN_Library!$A$4:$B$13,2,FALSE()),"NOT IN LIBRARY"))</f>
        <v>STORAGE OF AIR OR GROUND ORGANIC UNITS FOR MARINE CORPS</v>
      </c>
      <c r="F15" s="229"/>
      <c r="G15" s="230" t="s">
        <v>1069</v>
      </c>
      <c r="H15" s="221" t="str">
        <f aca="false">LEFT(I15,5)</f>
        <v>K0025</v>
      </c>
      <c r="I15" s="230" t="s">
        <v>1102</v>
      </c>
      <c r="J15" s="221" t="s">
        <v>1103</v>
      </c>
      <c r="K15" s="230" t="s">
        <v>1072</v>
      </c>
      <c r="L15" s="230" t="s">
        <v>1073</v>
      </c>
      <c r="M15" s="230" t="s">
        <v>133</v>
      </c>
      <c r="N15" s="231" t="n">
        <v>0</v>
      </c>
      <c r="O15" s="231" t="n">
        <v>2</v>
      </c>
      <c r="P15" s="231" t="n">
        <v>2</v>
      </c>
      <c r="Q15" s="232" t="n">
        <v>1.37</v>
      </c>
      <c r="R15" s="235" t="n">
        <v>1</v>
      </c>
      <c r="S15" s="224" t="n">
        <v>2.37</v>
      </c>
      <c r="T15" s="225" t="n">
        <f aca="false">Q15*R15*S15</f>
        <v>3.2469</v>
      </c>
      <c r="U15" s="226" t="n">
        <f aca="false">T15*P15</f>
        <v>6.4938</v>
      </c>
      <c r="V15" s="233"/>
    </row>
    <row r="16" customFormat="false" ht="13.5" hidden="false" customHeight="true" outlineLevel="0" collapsed="false">
      <c r="B16" s="228" t="n">
        <v>39</v>
      </c>
      <c r="C16" s="218" t="s">
        <v>1074</v>
      </c>
      <c r="D16" s="219" t="n">
        <v>44112</v>
      </c>
      <c r="E16" s="220" t="str">
        <f aca="false">IF(D16="","",IFERROR(VLOOKUP(D16,CCN_Library!$A$4:$B$13,2,FALSE()),"NOT IN LIBRARY"))</f>
        <v>STORAGE OF AIR OR GROUND ORGANIC UNITS FOR MARINE CORPS</v>
      </c>
      <c r="F16" s="229"/>
      <c r="G16" s="230" t="s">
        <v>1069</v>
      </c>
      <c r="H16" s="221" t="str">
        <f aca="false">LEFT(I16,5)</f>
        <v>B0061</v>
      </c>
      <c r="I16" s="230" t="s">
        <v>1104</v>
      </c>
      <c r="J16" s="221" t="s">
        <v>1105</v>
      </c>
      <c r="K16" s="230" t="s">
        <v>1072</v>
      </c>
      <c r="L16" s="230" t="s">
        <v>1106</v>
      </c>
      <c r="M16" s="230" t="s">
        <v>133</v>
      </c>
      <c r="N16" s="231" t="n">
        <v>0</v>
      </c>
      <c r="O16" s="231" t="n">
        <v>1</v>
      </c>
      <c r="P16" s="231" t="n">
        <v>1</v>
      </c>
      <c r="Q16" s="232" t="n">
        <v>2.62</v>
      </c>
      <c r="R16" s="232" t="n">
        <v>1.91</v>
      </c>
      <c r="S16" s="224" t="n">
        <v>1.77</v>
      </c>
      <c r="T16" s="225" t="n">
        <f aca="false">Q16*R16*S16</f>
        <v>8.857434</v>
      </c>
      <c r="U16" s="226" t="n">
        <f aca="false">T16*P16</f>
        <v>8.857434</v>
      </c>
      <c r="V16" s="233"/>
    </row>
    <row r="17" customFormat="false" ht="13.5" hidden="false" customHeight="true" outlineLevel="0" collapsed="false">
      <c r="B17" s="228" t="n">
        <v>41</v>
      </c>
      <c r="C17" s="218" t="s">
        <v>1077</v>
      </c>
      <c r="D17" s="219" t="n">
        <v>21710</v>
      </c>
      <c r="E17" s="220" t="str">
        <f aca="false">IF(D17="","",IFERROR(VLOOKUP(D17,CCN_Library!$A$4:$B$13,2,FALSE()),"NOT IN LIBRARY"))</f>
        <v>ELECTRONICS/COMMUNICATIONS MAINTENANCE SHOP</v>
      </c>
      <c r="F17" s="229"/>
      <c r="G17" s="230" t="s">
        <v>1069</v>
      </c>
      <c r="H17" s="221" t="str">
        <f aca="false">LEFT(I17,5)</f>
        <v>J0004</v>
      </c>
      <c r="I17" s="230" t="s">
        <v>1107</v>
      </c>
      <c r="J17" s="221" t="s">
        <v>1108</v>
      </c>
      <c r="K17" s="230" t="s">
        <v>1072</v>
      </c>
      <c r="L17" s="230" t="s">
        <v>1073</v>
      </c>
      <c r="M17" s="230" t="s">
        <v>133</v>
      </c>
      <c r="N17" s="231" t="n">
        <v>0</v>
      </c>
      <c r="O17" s="231" t="n">
        <v>6</v>
      </c>
      <c r="P17" s="231" t="n">
        <v>6</v>
      </c>
      <c r="Q17" s="232" t="n">
        <v>1.54</v>
      </c>
      <c r="R17" s="232" t="n">
        <v>0.96</v>
      </c>
      <c r="S17" s="224" t="n">
        <v>1.03</v>
      </c>
      <c r="T17" s="225" t="n">
        <f aca="false">Q17*R17*S17</f>
        <v>1.522752</v>
      </c>
      <c r="U17" s="226" t="n">
        <f aca="false">T17*P17</f>
        <v>9.136512</v>
      </c>
      <c r="V17" s="233"/>
    </row>
    <row r="18" customFormat="false" ht="13.5" hidden="false" customHeight="true" outlineLevel="0" collapsed="false">
      <c r="B18" s="228" t="n">
        <v>43</v>
      </c>
      <c r="C18" s="218" t="s">
        <v>1074</v>
      </c>
      <c r="D18" s="219" t="n">
        <v>44112</v>
      </c>
      <c r="E18" s="220" t="str">
        <f aca="false">IF(D18="","",IFERROR(VLOOKUP(D18,CCN_Library!$A$4:$B$13,2,FALSE()),"NOT IN LIBRARY"))</f>
        <v>STORAGE OF AIR OR GROUND ORGANIC UNITS FOR MARINE CORPS</v>
      </c>
      <c r="F18" s="229"/>
      <c r="G18" s="230" t="s">
        <v>1069</v>
      </c>
      <c r="H18" s="221" t="str">
        <f aca="false">LEFT(I18,5)</f>
        <v>C0135</v>
      </c>
      <c r="I18" s="230" t="s">
        <v>1109</v>
      </c>
      <c r="J18" s="221" t="s">
        <v>1110</v>
      </c>
      <c r="K18" s="230" t="s">
        <v>1072</v>
      </c>
      <c r="L18" s="230" t="s">
        <v>1073</v>
      </c>
      <c r="M18" s="230" t="s">
        <v>133</v>
      </c>
      <c r="N18" s="231" t="n">
        <v>305</v>
      </c>
      <c r="O18" s="231" t="n">
        <v>0</v>
      </c>
      <c r="P18" s="231" t="n">
        <v>305</v>
      </c>
      <c r="Q18" s="235" t="n">
        <v>1</v>
      </c>
      <c r="R18" s="235" t="n">
        <v>1</v>
      </c>
      <c r="S18" s="224" t="n">
        <v>0.5</v>
      </c>
      <c r="T18" s="225" t="n">
        <f aca="false">Q18*R18*S18</f>
        <v>0.5</v>
      </c>
      <c r="U18" s="226" t="n">
        <f aca="false">T18*P18</f>
        <v>152.5</v>
      </c>
      <c r="V18" s="233"/>
    </row>
    <row r="19" customFormat="false" ht="13.5" hidden="false" customHeight="true" outlineLevel="0" collapsed="false">
      <c r="B19" s="228" t="n">
        <v>48</v>
      </c>
      <c r="C19" s="218" t="s">
        <v>1068</v>
      </c>
      <c r="D19" s="219" t="n">
        <v>14345</v>
      </c>
      <c r="E19" s="220" t="str">
        <f aca="false">IF(D19="","",IFERROR(VLOOKUP(D19,CCN_Library!$A$4:$B$13,2,FALSE()),"NOT IN LIBRARY"))</f>
        <v>ARMORY</v>
      </c>
      <c r="F19" s="229"/>
      <c r="G19" s="230" t="s">
        <v>1069</v>
      </c>
      <c r="H19" s="221" t="str">
        <f aca="false">LEFT(I19,5)</f>
        <v>A0298</v>
      </c>
      <c r="I19" s="230" t="s">
        <v>1111</v>
      </c>
      <c r="J19" s="221" t="s">
        <v>1112</v>
      </c>
      <c r="K19" s="230" t="s">
        <v>1072</v>
      </c>
      <c r="L19" s="230" t="s">
        <v>1073</v>
      </c>
      <c r="M19" s="230" t="s">
        <v>133</v>
      </c>
      <c r="N19" s="231" t="n">
        <v>0</v>
      </c>
      <c r="O19" s="231" t="n">
        <v>4</v>
      </c>
      <c r="P19" s="231" t="n">
        <v>4</v>
      </c>
      <c r="Q19" s="235" t="n">
        <v>1</v>
      </c>
      <c r="R19" s="235" t="n">
        <v>1</v>
      </c>
      <c r="S19" s="224" t="n">
        <v>1</v>
      </c>
      <c r="T19" s="225" t="n">
        <f aca="false">Q19*R19*S19</f>
        <v>1</v>
      </c>
      <c r="U19" s="226" t="n">
        <f aca="false">T19*P19</f>
        <v>4</v>
      </c>
      <c r="V19" s="233"/>
    </row>
    <row r="20" customFormat="false" ht="13.5" hidden="false" customHeight="true" outlineLevel="0" collapsed="false">
      <c r="B20" s="228" t="n">
        <v>49</v>
      </c>
      <c r="C20" s="218" t="s">
        <v>1113</v>
      </c>
      <c r="D20" s="219" t="n">
        <v>21451</v>
      </c>
      <c r="E20" s="220" t="str">
        <f aca="false">IF(D20="","",IFERROR(VLOOKUP(D20,CCN_Library!$A$4:$B$13,2,FALSE()),"NOT IN LIBRARY"))</f>
        <v>AUTOMOTIVE ORGANIZATIONAL SHOP</v>
      </c>
      <c r="F20" s="229"/>
      <c r="G20" s="230" t="s">
        <v>1069</v>
      </c>
      <c r="H20" s="221" t="str">
        <f aca="false">LEFT(I20,5)</f>
        <v>D0048</v>
      </c>
      <c r="I20" s="230" t="s">
        <v>1114</v>
      </c>
      <c r="J20" s="221" t="s">
        <v>1115</v>
      </c>
      <c r="K20" s="230" t="s">
        <v>1072</v>
      </c>
      <c r="L20" s="230" t="s">
        <v>1073</v>
      </c>
      <c r="M20" s="230" t="s">
        <v>1116</v>
      </c>
      <c r="N20" s="231" t="n">
        <v>0</v>
      </c>
      <c r="O20" s="231" t="n">
        <v>9</v>
      </c>
      <c r="P20" s="231" t="n">
        <v>9</v>
      </c>
      <c r="Q20" s="232" t="n">
        <v>18.13</v>
      </c>
      <c r="R20" s="235" t="n">
        <v>8</v>
      </c>
      <c r="S20" s="224" t="n">
        <v>6.36</v>
      </c>
      <c r="T20" s="225" t="n">
        <f aca="false">Q20*R20*S20</f>
        <v>922.4544</v>
      </c>
      <c r="U20" s="226" t="n">
        <f aca="false">T20*P20</f>
        <v>8302.0896</v>
      </c>
      <c r="V20" s="233"/>
    </row>
    <row r="21" customFormat="false" ht="13.5" hidden="false" customHeight="true" outlineLevel="0" collapsed="false">
      <c r="B21" s="228" t="n">
        <v>53</v>
      </c>
      <c r="C21" s="218" t="s">
        <v>1113</v>
      </c>
      <c r="D21" s="219" t="n">
        <v>21451</v>
      </c>
      <c r="E21" s="220" t="str">
        <f aca="false">IF(D21="","",IFERROR(VLOOKUP(D21,CCN_Library!$A$4:$B$13,2,FALSE()),"NOT IN LIBRARY"))</f>
        <v>AUTOMOTIVE ORGANIZATIONAL SHOP</v>
      </c>
      <c r="F21" s="229"/>
      <c r="G21" s="230" t="s">
        <v>1069</v>
      </c>
      <c r="H21" s="221" t="str">
        <f aca="false">LEFT(I21,5)</f>
        <v>K4992</v>
      </c>
      <c r="I21" s="230" t="s">
        <v>1117</v>
      </c>
      <c r="J21" s="221" t="s">
        <v>1118</v>
      </c>
      <c r="K21" s="230" t="s">
        <v>1072</v>
      </c>
      <c r="L21" s="230" t="s">
        <v>1073</v>
      </c>
      <c r="M21" s="230" t="s">
        <v>133</v>
      </c>
      <c r="N21" s="231" t="n">
        <v>0</v>
      </c>
      <c r="O21" s="231" t="n">
        <v>54</v>
      </c>
      <c r="P21" s="231" t="n">
        <v>54</v>
      </c>
      <c r="Q21" s="232" t="n">
        <v>20.99</v>
      </c>
      <c r="R21" s="232" t="n">
        <v>0.14</v>
      </c>
      <c r="S21" s="224" t="n">
        <v>0</v>
      </c>
      <c r="T21" s="225" t="n">
        <f aca="false">Q21*R21*S21</f>
        <v>0</v>
      </c>
      <c r="U21" s="226" t="n">
        <f aca="false">T21*P21</f>
        <v>0</v>
      </c>
      <c r="V21" s="233"/>
    </row>
    <row r="22" customFormat="false" ht="13.5" hidden="false" customHeight="true" outlineLevel="0" collapsed="false">
      <c r="B22" s="228" t="n">
        <v>56</v>
      </c>
      <c r="C22" s="236" t="s">
        <v>1068</v>
      </c>
      <c r="D22" s="219" t="n">
        <v>14345</v>
      </c>
      <c r="E22" s="220" t="str">
        <f aca="false">IF(D22="","",IFERROR(VLOOKUP(D22,CCN_Library!$A$4:$B$13,2,FALSE()),"NOT IN LIBRARY"))</f>
        <v>ARMORY</v>
      </c>
      <c r="F22" s="229"/>
      <c r="G22" s="230" t="s">
        <v>1069</v>
      </c>
      <c r="H22" s="221" t="str">
        <f aca="false">LEFT(I22,5)</f>
        <v>E1154</v>
      </c>
      <c r="I22" s="230" t="s">
        <v>1119</v>
      </c>
      <c r="J22" s="221" t="s">
        <v>1120</v>
      </c>
      <c r="K22" s="230" t="s">
        <v>1072</v>
      </c>
      <c r="L22" s="230" t="s">
        <v>1073</v>
      </c>
      <c r="M22" s="230" t="s">
        <v>133</v>
      </c>
      <c r="N22" s="231" t="n">
        <v>0</v>
      </c>
      <c r="O22" s="231" t="n">
        <v>90</v>
      </c>
      <c r="P22" s="231" t="n">
        <v>90</v>
      </c>
      <c r="Q22" s="232" t="n">
        <v>1.17</v>
      </c>
      <c r="R22" s="232" t="n">
        <v>0.83</v>
      </c>
      <c r="S22" s="224" t="n">
        <v>0.67</v>
      </c>
      <c r="T22" s="225" t="n">
        <f aca="false">Q22*R22*S22</f>
        <v>0.650637</v>
      </c>
      <c r="U22" s="226" t="n">
        <f aca="false">T22*P22</f>
        <v>58.55733</v>
      </c>
      <c r="V22" s="233"/>
    </row>
    <row r="23" customFormat="false" ht="13.5" hidden="false" customHeight="true" outlineLevel="0" collapsed="false">
      <c r="B23" s="228" t="n">
        <v>58</v>
      </c>
      <c r="C23" s="236" t="s">
        <v>1077</v>
      </c>
      <c r="D23" s="219" t="n">
        <v>21710</v>
      </c>
      <c r="E23" s="220" t="str">
        <f aca="false">IF(D23="","",IFERROR(VLOOKUP(D23,CCN_Library!$A$4:$B$13,2,FALSE()),"NOT IN LIBRARY"))</f>
        <v>ELECTRONICS/COMMUNICATIONS MAINTENANCE SHOP</v>
      </c>
      <c r="F23" s="229"/>
      <c r="G23" s="230" t="s">
        <v>1069</v>
      </c>
      <c r="H23" s="221" t="str">
        <f aca="false">LEFT(I23,5)</f>
        <v>A0135</v>
      </c>
      <c r="I23" s="230" t="s">
        <v>1121</v>
      </c>
      <c r="J23" s="221" t="s">
        <v>1122</v>
      </c>
      <c r="K23" s="230" t="s">
        <v>1080</v>
      </c>
      <c r="L23" s="230" t="s">
        <v>1073</v>
      </c>
      <c r="M23" s="230" t="s">
        <v>133</v>
      </c>
      <c r="N23" s="231" t="n">
        <v>0</v>
      </c>
      <c r="O23" s="231" t="n">
        <v>26</v>
      </c>
      <c r="P23" s="231" t="n">
        <v>26</v>
      </c>
      <c r="Q23" s="232" t="n">
        <v>0.89</v>
      </c>
      <c r="R23" s="232" t="n">
        <v>0.62</v>
      </c>
      <c r="S23" s="224" t="n">
        <v>0.89</v>
      </c>
      <c r="T23" s="225" t="n">
        <f aca="false">Q23*R23*S23</f>
        <v>0.491102</v>
      </c>
      <c r="U23" s="226" t="n">
        <f aca="false">T23*P23</f>
        <v>12.768652</v>
      </c>
      <c r="V23" s="233"/>
    </row>
    <row r="24" customFormat="false" ht="13.5" hidden="false" customHeight="true" outlineLevel="0" collapsed="false">
      <c r="B24" s="228" t="n">
        <v>63</v>
      </c>
      <c r="C24" s="236" t="s">
        <v>1077</v>
      </c>
      <c r="D24" s="219" t="n">
        <v>21710</v>
      </c>
      <c r="E24" s="220" t="str">
        <f aca="false">IF(D24="","",IFERROR(VLOOKUP(D24,CCN_Library!$A$4:$B$13,2,FALSE()),"NOT IN LIBRARY"))</f>
        <v>ELECTRONICS/COMMUNICATIONS MAINTENANCE SHOP</v>
      </c>
      <c r="F24" s="229"/>
      <c r="G24" s="230" t="s">
        <v>1069</v>
      </c>
      <c r="H24" s="221" t="str">
        <f aca="false">LEFT(I24,5)</f>
        <v>A8001</v>
      </c>
      <c r="I24" s="230" t="s">
        <v>1123</v>
      </c>
      <c r="J24" s="221" t="s">
        <v>1124</v>
      </c>
      <c r="K24" s="230" t="s">
        <v>1072</v>
      </c>
      <c r="L24" s="230" t="s">
        <v>1073</v>
      </c>
      <c r="M24" s="237"/>
      <c r="N24" s="231" t="n">
        <v>0</v>
      </c>
      <c r="O24" s="231" t="n">
        <v>30</v>
      </c>
      <c r="P24" s="231" t="n">
        <v>30</v>
      </c>
      <c r="Q24" s="232" t="n">
        <v>0.67</v>
      </c>
      <c r="R24" s="232" t="n">
        <v>0.25</v>
      </c>
      <c r="S24" s="224" t="n">
        <v>0.42</v>
      </c>
      <c r="T24" s="225" t="n">
        <f aca="false">Q24*R24*S24</f>
        <v>0.07035</v>
      </c>
      <c r="U24" s="226" t="n">
        <f aca="false">T24*P24</f>
        <v>2.1105</v>
      </c>
      <c r="V24" s="233"/>
    </row>
    <row r="25" customFormat="false" ht="13.5" hidden="false" customHeight="true" outlineLevel="0" collapsed="false">
      <c r="B25" s="228" t="n">
        <v>65</v>
      </c>
      <c r="C25" s="236" t="s">
        <v>1077</v>
      </c>
      <c r="D25" s="219" t="n">
        <v>21710</v>
      </c>
      <c r="E25" s="220" t="str">
        <f aca="false">IF(D25="","",IFERROR(VLOOKUP(D25,CCN_Library!$A$4:$B$13,2,FALSE()),"NOT IN LIBRARY"))</f>
        <v>ELECTRONICS/COMMUNICATIONS MAINTENANCE SHOP</v>
      </c>
      <c r="F25" s="229"/>
      <c r="G25" s="230" t="s">
        <v>1069</v>
      </c>
      <c r="H25" s="221" t="str">
        <f aca="false">LEFT(I25,5)</f>
        <v>A0022</v>
      </c>
      <c r="I25" s="230" t="s">
        <v>1125</v>
      </c>
      <c r="J25" s="221" t="s">
        <v>1126</v>
      </c>
      <c r="K25" s="230" t="s">
        <v>1072</v>
      </c>
      <c r="L25" s="230" t="s">
        <v>1073</v>
      </c>
      <c r="M25" s="230" t="s">
        <v>133</v>
      </c>
      <c r="N25" s="231" t="n">
        <v>0</v>
      </c>
      <c r="O25" s="231" t="n">
        <v>30</v>
      </c>
      <c r="P25" s="231" t="n">
        <v>30</v>
      </c>
      <c r="Q25" s="232" t="n">
        <v>1.75</v>
      </c>
      <c r="R25" s="232" t="n">
        <v>1.42</v>
      </c>
      <c r="S25" s="224" t="n">
        <v>1.42</v>
      </c>
      <c r="T25" s="225" t="n">
        <f aca="false">Q25*R25*S25</f>
        <v>3.5287</v>
      </c>
      <c r="U25" s="226" t="n">
        <f aca="false">T25*P25</f>
        <v>105.861</v>
      </c>
      <c r="V25" s="233"/>
    </row>
    <row r="26" customFormat="false" ht="13.5" hidden="false" customHeight="true" outlineLevel="0" collapsed="false">
      <c r="B26" s="228" t="n">
        <v>70</v>
      </c>
      <c r="C26" s="236" t="s">
        <v>1113</v>
      </c>
      <c r="D26" s="219" t="n">
        <v>21451</v>
      </c>
      <c r="E26" s="220" t="str">
        <f aca="false">IF(D26="","",IFERROR(VLOOKUP(D26,CCN_Library!$A$4:$B$13,2,FALSE()),"NOT IN LIBRARY"))</f>
        <v>AUTOMOTIVE ORGANIZATIONAL SHOP</v>
      </c>
      <c r="F26" s="229"/>
      <c r="G26" s="230" t="s">
        <v>1069</v>
      </c>
      <c r="H26" s="221" t="str">
        <f aca="false">LEFT(I26,5)</f>
        <v>D0006</v>
      </c>
      <c r="I26" s="230" t="s">
        <v>1127</v>
      </c>
      <c r="J26" s="221" t="s">
        <v>1128</v>
      </c>
      <c r="K26" s="230" t="s">
        <v>1072</v>
      </c>
      <c r="L26" s="237"/>
      <c r="M26" s="230" t="s">
        <v>133</v>
      </c>
      <c r="N26" s="231" t="n">
        <v>0</v>
      </c>
      <c r="O26" s="231" t="n">
        <v>1</v>
      </c>
      <c r="P26" s="231" t="n">
        <v>1</v>
      </c>
      <c r="Q26" s="237"/>
      <c r="R26" s="237"/>
      <c r="S26" s="224" t="n">
        <v>0</v>
      </c>
      <c r="T26" s="225" t="n">
        <f aca="false">Q26*R26*S26</f>
        <v>0</v>
      </c>
      <c r="U26" s="226" t="n">
        <f aca="false">T26*P26</f>
        <v>0</v>
      </c>
      <c r="V26" s="233"/>
    </row>
    <row r="27" customFormat="false" ht="13.5" hidden="false" customHeight="true" outlineLevel="0" collapsed="false">
      <c r="B27" s="228" t="n">
        <v>74</v>
      </c>
      <c r="C27" s="236" t="s">
        <v>1068</v>
      </c>
      <c r="D27" s="219" t="n">
        <v>14345</v>
      </c>
      <c r="E27" s="220" t="str">
        <f aca="false">IF(D27="","",IFERROR(VLOOKUP(D27,CCN_Library!$A$4:$B$13,2,FALSE()),"NOT IN LIBRARY"))</f>
        <v>ARMORY</v>
      </c>
      <c r="F27" s="229"/>
      <c r="G27" s="230" t="s">
        <v>1069</v>
      </c>
      <c r="H27" s="221" t="str">
        <f aca="false">LEFT(I27,5)</f>
        <v>E0202</v>
      </c>
      <c r="I27" s="230" t="s">
        <v>1129</v>
      </c>
      <c r="J27" s="221" t="s">
        <v>1130</v>
      </c>
      <c r="K27" s="230" t="s">
        <v>1072</v>
      </c>
      <c r="L27" s="230" t="s">
        <v>1073</v>
      </c>
      <c r="M27" s="230" t="s">
        <v>1116</v>
      </c>
      <c r="N27" s="231" t="n">
        <v>0</v>
      </c>
      <c r="O27" s="231" t="n">
        <v>0</v>
      </c>
      <c r="P27" s="231" t="n">
        <v>0</v>
      </c>
      <c r="Q27" s="237"/>
      <c r="R27" s="237"/>
      <c r="S27" s="224" t="n">
        <v>0</v>
      </c>
      <c r="T27" s="225" t="n">
        <f aca="false">Q27*R27*S27</f>
        <v>0</v>
      </c>
      <c r="U27" s="226" t="n">
        <f aca="false">T27*P27</f>
        <v>0</v>
      </c>
      <c r="V27" s="233"/>
    </row>
    <row r="28" customFormat="false" ht="13.5" hidden="false" customHeight="true" outlineLevel="0" collapsed="false">
      <c r="B28" s="228" t="n">
        <v>76</v>
      </c>
      <c r="C28" s="236" t="s">
        <v>1131</v>
      </c>
      <c r="D28" s="219" t="n">
        <v>14312</v>
      </c>
      <c r="E28" s="220" t="str">
        <f aca="false">IF(D28="","",IFERROR(VLOOKUP(D28,CCN_Library!$A$4:$B$13,2,FALSE()),"NOT IN LIBRARY"))</f>
        <v>OPERATIONAL VEHICLE LAYDOWN AREA</v>
      </c>
      <c r="F28" s="229"/>
      <c r="G28" s="230" t="s">
        <v>1069</v>
      </c>
      <c r="H28" s="221" t="str">
        <f aca="false">LEFT(I28,5)</f>
        <v>B0730</v>
      </c>
      <c r="I28" s="230" t="s">
        <v>1132</v>
      </c>
      <c r="J28" s="221" t="s">
        <v>1133</v>
      </c>
      <c r="K28" s="230" t="s">
        <v>1072</v>
      </c>
      <c r="L28" s="230" t="s">
        <v>1073</v>
      </c>
      <c r="M28" s="230" t="s">
        <v>148</v>
      </c>
      <c r="N28" s="231" t="n">
        <v>0</v>
      </c>
      <c r="O28" s="231" t="n">
        <v>21</v>
      </c>
      <c r="P28" s="231" t="n">
        <v>21</v>
      </c>
      <c r="Q28" s="232" t="n">
        <v>2.9</v>
      </c>
      <c r="R28" s="232" t="n">
        <v>2.32</v>
      </c>
      <c r="S28" s="224" t="n">
        <v>2.21</v>
      </c>
      <c r="T28" s="225" t="n">
        <f aca="false">Q28*R28*S28</f>
        <v>14.86888</v>
      </c>
      <c r="U28" s="226" t="n">
        <f aca="false">T28*P28</f>
        <v>312.24648</v>
      </c>
      <c r="V28" s="233"/>
    </row>
    <row r="29" customFormat="false" ht="13.5" hidden="false" customHeight="true" outlineLevel="0" collapsed="false">
      <c r="B29" s="228" t="n">
        <v>77</v>
      </c>
      <c r="C29" s="236" t="s">
        <v>1068</v>
      </c>
      <c r="D29" s="219" t="n">
        <v>14345</v>
      </c>
      <c r="E29" s="220" t="str">
        <f aca="false">IF(D29="","",IFERROR(VLOOKUP(D29,CCN_Library!$A$4:$B$13,2,FALSE()),"NOT IN LIBRARY"))</f>
        <v>ARMORY</v>
      </c>
      <c r="F29" s="229"/>
      <c r="G29" s="230" t="s">
        <v>1069</v>
      </c>
      <c r="H29" s="221" t="str">
        <f aca="false">LEFT(I29,5)</f>
        <v>E0017</v>
      </c>
      <c r="I29" s="230" t="s">
        <v>1134</v>
      </c>
      <c r="J29" s="221" t="s">
        <v>1135</v>
      </c>
      <c r="K29" s="230" t="s">
        <v>1072</v>
      </c>
      <c r="L29" s="230" t="s">
        <v>1073</v>
      </c>
      <c r="M29" s="230" t="s">
        <v>133</v>
      </c>
      <c r="N29" s="231" t="n">
        <v>143</v>
      </c>
      <c r="O29" s="231" t="n">
        <v>0</v>
      </c>
      <c r="P29" s="231" t="n">
        <v>143</v>
      </c>
      <c r="Q29" s="232" t="n">
        <v>0.5</v>
      </c>
      <c r="R29" s="232" t="n">
        <v>0.17</v>
      </c>
      <c r="S29" s="224" t="n">
        <v>0.08</v>
      </c>
      <c r="T29" s="225" t="n">
        <f aca="false">Q29*R29*S29</f>
        <v>0.0068</v>
      </c>
      <c r="U29" s="226" t="n">
        <f aca="false">T29*P29</f>
        <v>0.9724</v>
      </c>
      <c r="V29" s="233"/>
    </row>
    <row r="30" customFormat="false" ht="13.5" hidden="false" customHeight="true" outlineLevel="0" collapsed="false">
      <c r="B30" s="228" t="n">
        <v>79</v>
      </c>
      <c r="C30" s="236" t="s">
        <v>1074</v>
      </c>
      <c r="D30" s="219" t="n">
        <v>44112</v>
      </c>
      <c r="E30" s="220" t="str">
        <f aca="false">IF(D30="","",IFERROR(VLOOKUP(D30,CCN_Library!$A$4:$B$13,2,FALSE()),"NOT IN LIBRARY"))</f>
        <v>STORAGE OF AIR OR GROUND ORGANIC UNITS FOR MARINE CORPS</v>
      </c>
      <c r="F30" s="229"/>
      <c r="G30" s="230" t="s">
        <v>1069</v>
      </c>
      <c r="H30" s="221" t="str">
        <f aca="false">LEFT(I30,5)</f>
        <v>C3060</v>
      </c>
      <c r="I30" s="230" t="s">
        <v>1136</v>
      </c>
      <c r="J30" s="221" t="s">
        <v>1137</v>
      </c>
      <c r="K30" s="230" t="s">
        <v>1072</v>
      </c>
      <c r="L30" s="230" t="s">
        <v>1073</v>
      </c>
      <c r="M30" s="230" t="s">
        <v>133</v>
      </c>
      <c r="N30" s="231" t="n">
        <v>610</v>
      </c>
      <c r="O30" s="231" t="n">
        <v>0</v>
      </c>
      <c r="P30" s="231" t="n">
        <v>610</v>
      </c>
      <c r="Q30" s="232" t="n">
        <v>0.08</v>
      </c>
      <c r="R30" s="232" t="n">
        <v>0.25</v>
      </c>
      <c r="S30" s="224" t="n">
        <v>0.42</v>
      </c>
      <c r="T30" s="225" t="n">
        <f aca="false">Q30*R30*S30</f>
        <v>0.0084</v>
      </c>
      <c r="U30" s="226" t="n">
        <f aca="false">T30*P30</f>
        <v>5.124</v>
      </c>
      <c r="V30" s="233"/>
    </row>
    <row r="31" customFormat="false" ht="13.5" hidden="false" customHeight="true" outlineLevel="0" collapsed="false">
      <c r="B31" s="228" t="n">
        <v>85</v>
      </c>
      <c r="C31" s="236" t="s">
        <v>1068</v>
      </c>
      <c r="D31" s="219" t="n">
        <v>14345</v>
      </c>
      <c r="E31" s="220" t="str">
        <f aca="false">IF(D31="","",IFERROR(VLOOKUP(D31,CCN_Library!$A$4:$B$13,2,FALSE()),"NOT IN LIBRARY"))</f>
        <v>ARMORY</v>
      </c>
      <c r="F31" s="229"/>
      <c r="G31" s="230" t="s">
        <v>1069</v>
      </c>
      <c r="H31" s="221" t="str">
        <f aca="false">LEFT(I31,5)</f>
        <v>C3250</v>
      </c>
      <c r="I31" s="230" t="s">
        <v>1138</v>
      </c>
      <c r="J31" s="221" t="s">
        <v>1139</v>
      </c>
      <c r="K31" s="230" t="s">
        <v>1072</v>
      </c>
      <c r="L31" s="230" t="s">
        <v>1073</v>
      </c>
      <c r="M31" s="230" t="s">
        <v>133</v>
      </c>
      <c r="N31" s="231" t="n">
        <v>0</v>
      </c>
      <c r="O31" s="231" t="n">
        <v>0</v>
      </c>
      <c r="P31" s="231" t="n">
        <v>0</v>
      </c>
      <c r="Q31" s="232" t="n">
        <v>0.75</v>
      </c>
      <c r="R31" s="232" t="n">
        <v>0.17</v>
      </c>
      <c r="S31" s="224" t="n">
        <v>0.08</v>
      </c>
      <c r="T31" s="225" t="n">
        <f aca="false">Q31*R31*S31</f>
        <v>0.0102</v>
      </c>
      <c r="U31" s="226" t="n">
        <f aca="false">T31*P31</f>
        <v>0</v>
      </c>
      <c r="V31" s="233"/>
    </row>
    <row r="32" customFormat="false" ht="13.5" hidden="false" customHeight="true" outlineLevel="0" collapsed="false">
      <c r="B32" s="228" t="n">
        <v>87</v>
      </c>
      <c r="C32" s="236" t="s">
        <v>1113</v>
      </c>
      <c r="D32" s="219" t="n">
        <v>21451</v>
      </c>
      <c r="E32" s="220" t="str">
        <f aca="false">IF(D32="","",IFERROR(VLOOKUP(D32,CCN_Library!$A$4:$B$13,2,FALSE()),"NOT IN LIBRARY"))</f>
        <v>AUTOMOTIVE ORGANIZATIONAL SHOP</v>
      </c>
      <c r="F32" s="229"/>
      <c r="G32" s="230" t="s">
        <v>1069</v>
      </c>
      <c r="H32" s="221" t="str">
        <f aca="false">LEFT(I32,5)</f>
        <v>D0001</v>
      </c>
      <c r="I32" s="230" t="s">
        <v>1140</v>
      </c>
      <c r="J32" s="221" t="s">
        <v>1141</v>
      </c>
      <c r="K32" s="230" t="s">
        <v>1142</v>
      </c>
      <c r="L32" s="230" t="s">
        <v>1073</v>
      </c>
      <c r="M32" s="237"/>
      <c r="N32" s="231" t="n">
        <v>0</v>
      </c>
      <c r="O32" s="231" t="n">
        <v>4</v>
      </c>
      <c r="P32" s="231" t="n">
        <v>4</v>
      </c>
      <c r="Q32" s="237"/>
      <c r="R32" s="237"/>
      <c r="S32" s="224" t="n">
        <v>0</v>
      </c>
      <c r="T32" s="225" t="n">
        <f aca="false">Q32*R32*S32</f>
        <v>0</v>
      </c>
      <c r="U32" s="226" t="n">
        <f aca="false">T32*P32</f>
        <v>0</v>
      </c>
      <c r="V32" s="233"/>
    </row>
    <row r="33" customFormat="false" ht="13.5" hidden="false" customHeight="true" outlineLevel="0" collapsed="false">
      <c r="B33" s="228" t="n">
        <v>88</v>
      </c>
      <c r="C33" s="236" t="s">
        <v>1074</v>
      </c>
      <c r="D33" s="219" t="n">
        <v>44112</v>
      </c>
      <c r="E33" s="220" t="str">
        <f aca="false">IF(D33="","",IFERROR(VLOOKUP(D33,CCN_Library!$A$4:$B$13,2,FALSE()),"NOT IN LIBRARY"))</f>
        <v>STORAGE OF AIR OR GROUND ORGANIC UNITS FOR MARINE CORPS</v>
      </c>
      <c r="F33" s="229"/>
      <c r="G33" s="230" t="s">
        <v>1069</v>
      </c>
      <c r="H33" s="221" t="str">
        <f aca="false">LEFT(I33,5)</f>
        <v>C8614</v>
      </c>
      <c r="I33" s="230" t="s">
        <v>1143</v>
      </c>
      <c r="J33" s="221" t="s">
        <v>1144</v>
      </c>
      <c r="K33" s="230" t="s">
        <v>1072</v>
      </c>
      <c r="L33" s="237"/>
      <c r="M33" s="230" t="s">
        <v>133</v>
      </c>
      <c r="N33" s="231" t="n">
        <v>0</v>
      </c>
      <c r="O33" s="231" t="n">
        <v>2</v>
      </c>
      <c r="P33" s="231" t="n">
        <v>2</v>
      </c>
      <c r="Q33" s="232" t="n">
        <v>5.58</v>
      </c>
      <c r="R33" s="232" t="n">
        <v>2.42</v>
      </c>
      <c r="S33" s="224" t="n">
        <v>2.33</v>
      </c>
      <c r="T33" s="225" t="n">
        <f aca="false">Q33*R33*S33</f>
        <v>31.463388</v>
      </c>
      <c r="U33" s="226" t="n">
        <f aca="false">T33*P33</f>
        <v>62.926776</v>
      </c>
      <c r="V33" s="233"/>
    </row>
    <row r="34" customFormat="false" ht="13.5" hidden="false" customHeight="true" outlineLevel="0" collapsed="false">
      <c r="B34" s="228" t="n">
        <v>89</v>
      </c>
      <c r="C34" s="236" t="s">
        <v>1074</v>
      </c>
      <c r="D34" s="219" t="n">
        <v>44112</v>
      </c>
      <c r="E34" s="220" t="str">
        <f aca="false">IF(D34="","",IFERROR(VLOOKUP(D34,CCN_Library!$A$4:$B$13,2,FALSE()),"NOT IN LIBRARY"))</f>
        <v>STORAGE OF AIR OR GROUND ORGANIC UNITS FOR MARINE CORPS</v>
      </c>
      <c r="F34" s="229"/>
      <c r="G34" s="230" t="s">
        <v>1069</v>
      </c>
      <c r="H34" s="221" t="str">
        <f aca="false">LEFT(I34,5)</f>
        <v>C8624</v>
      </c>
      <c r="I34" s="230" t="s">
        <v>1145</v>
      </c>
      <c r="J34" s="221" t="s">
        <v>1146</v>
      </c>
      <c r="K34" s="230" t="s">
        <v>1072</v>
      </c>
      <c r="L34" s="237"/>
      <c r="M34" s="230" t="s">
        <v>1116</v>
      </c>
      <c r="N34" s="231" t="n">
        <v>0</v>
      </c>
      <c r="O34" s="231" t="n">
        <v>2</v>
      </c>
      <c r="P34" s="231" t="n">
        <v>2</v>
      </c>
      <c r="Q34" s="235" t="n">
        <v>8</v>
      </c>
      <c r="R34" s="232" t="n">
        <v>4.58</v>
      </c>
      <c r="S34" s="224" t="n">
        <v>5</v>
      </c>
      <c r="T34" s="225" t="n">
        <f aca="false">Q34*R34*S34</f>
        <v>183.2</v>
      </c>
      <c r="U34" s="226" t="n">
        <f aca="false">T34*P34</f>
        <v>366.4</v>
      </c>
      <c r="V34" s="233"/>
    </row>
    <row r="35" customFormat="false" ht="13.5" hidden="false" customHeight="true" outlineLevel="0" collapsed="false">
      <c r="B35" s="228" t="n">
        <v>97</v>
      </c>
      <c r="C35" s="236" t="s">
        <v>1074</v>
      </c>
      <c r="D35" s="219" t="n">
        <v>44112</v>
      </c>
      <c r="E35" s="220" t="str">
        <f aca="false">IF(D35="","",IFERROR(VLOOKUP(D35,CCN_Library!$A$4:$B$13,2,FALSE()),"NOT IN LIBRARY"))</f>
        <v>STORAGE OF AIR OR GROUND ORGANIC UNITS FOR MARINE CORPS</v>
      </c>
      <c r="F35" s="229"/>
      <c r="G35" s="230" t="s">
        <v>1069</v>
      </c>
      <c r="H35" s="221" t="str">
        <f aca="false">LEFT(I35,5)</f>
        <v>K4957</v>
      </c>
      <c r="I35" s="230" t="s">
        <v>1147</v>
      </c>
      <c r="J35" s="221" t="s">
        <v>1148</v>
      </c>
      <c r="K35" s="230" t="s">
        <v>1072</v>
      </c>
      <c r="L35" s="237"/>
      <c r="M35" s="230" t="s">
        <v>133</v>
      </c>
      <c r="N35" s="231" t="n">
        <v>0</v>
      </c>
      <c r="O35" s="231" t="n">
        <v>13</v>
      </c>
      <c r="P35" s="231" t="n">
        <v>13</v>
      </c>
      <c r="Q35" s="232" t="n">
        <v>2.83</v>
      </c>
      <c r="R35" s="232" t="n">
        <v>0.33</v>
      </c>
      <c r="S35" s="224" t="n">
        <v>0.17</v>
      </c>
      <c r="T35" s="225" t="n">
        <f aca="false">Q35*R35*S35</f>
        <v>0.158763</v>
      </c>
      <c r="U35" s="226" t="n">
        <f aca="false">T35*P35</f>
        <v>2.063919</v>
      </c>
      <c r="V35" s="233"/>
    </row>
    <row r="36" customFormat="false" ht="13.5" hidden="false" customHeight="true" outlineLevel="0" collapsed="false">
      <c r="B36" s="228" t="n">
        <v>101</v>
      </c>
      <c r="C36" s="236" t="s">
        <v>1074</v>
      </c>
      <c r="D36" s="219" t="n">
        <v>44112</v>
      </c>
      <c r="E36" s="220" t="str">
        <f aca="false">IF(D36="","",IFERROR(VLOOKUP(D36,CCN_Library!$A$4:$B$13,2,FALSE()),"NOT IN LIBRARY"))</f>
        <v>STORAGE OF AIR OR GROUND ORGANIC UNITS FOR MARINE CORPS</v>
      </c>
      <c r="F36" s="229"/>
      <c r="G36" s="230" t="s">
        <v>1069</v>
      </c>
      <c r="H36" s="221" t="str">
        <f aca="false">LEFT(I36,5)</f>
        <v>B0027</v>
      </c>
      <c r="I36" s="230" t="s">
        <v>1149</v>
      </c>
      <c r="J36" s="221" t="s">
        <v>1150</v>
      </c>
      <c r="K36" s="230" t="s">
        <v>1072</v>
      </c>
      <c r="L36" s="230" t="s">
        <v>1073</v>
      </c>
      <c r="M36" s="230" t="s">
        <v>1116</v>
      </c>
      <c r="N36" s="231" t="n">
        <v>0</v>
      </c>
      <c r="O36" s="231" t="n">
        <v>6</v>
      </c>
      <c r="P36" s="231" t="n">
        <v>6</v>
      </c>
      <c r="Q36" s="232" t="n">
        <v>1.58</v>
      </c>
      <c r="R36" s="232" t="n">
        <v>1.5</v>
      </c>
      <c r="S36" s="224" t="n">
        <v>1.17</v>
      </c>
      <c r="T36" s="225" t="n">
        <f aca="false">Q36*R36*S36</f>
        <v>2.7729</v>
      </c>
      <c r="U36" s="226" t="n">
        <f aca="false">T36*P36</f>
        <v>16.6374</v>
      </c>
      <c r="V36" s="233"/>
    </row>
    <row r="37" customFormat="false" ht="13.5" hidden="false" customHeight="true" outlineLevel="0" collapsed="false">
      <c r="B37" s="228" t="n">
        <v>105</v>
      </c>
      <c r="C37" s="236" t="s">
        <v>1074</v>
      </c>
      <c r="D37" s="219" t="n">
        <v>44112</v>
      </c>
      <c r="E37" s="220" t="str">
        <f aca="false">IF(D37="","",IFERROR(VLOOKUP(D37,CCN_Library!$A$4:$B$13,2,FALSE()),"NOT IN LIBRARY"))</f>
        <v>STORAGE OF AIR OR GROUND ORGANIC UNITS FOR MARINE CORPS</v>
      </c>
      <c r="F37" s="229"/>
      <c r="G37" s="230" t="s">
        <v>1069</v>
      </c>
      <c r="H37" s="221" t="str">
        <f aca="false">LEFT(I37,5)</f>
        <v>C2150</v>
      </c>
      <c r="I37" s="230" t="s">
        <v>1151</v>
      </c>
      <c r="J37" s="221" t="s">
        <v>1152</v>
      </c>
      <c r="K37" s="230" t="s">
        <v>1072</v>
      </c>
      <c r="L37" s="230" t="s">
        <v>1099</v>
      </c>
      <c r="M37" s="230" t="s">
        <v>133</v>
      </c>
      <c r="N37" s="231" t="n">
        <v>610</v>
      </c>
      <c r="O37" s="231" t="n">
        <v>0</v>
      </c>
      <c r="P37" s="231" t="n">
        <v>610</v>
      </c>
      <c r="Q37" s="232" t="n">
        <v>1.67</v>
      </c>
      <c r="R37" s="232" t="n">
        <v>0.67</v>
      </c>
      <c r="S37" s="224" t="n">
        <v>0.17</v>
      </c>
      <c r="T37" s="225" t="n">
        <f aca="false">Q37*R37*S37</f>
        <v>0.190213</v>
      </c>
      <c r="U37" s="226" t="n">
        <f aca="false">T37*P37</f>
        <v>116.02993</v>
      </c>
      <c r="V37" s="233"/>
    </row>
    <row r="38" customFormat="false" ht="13.5" hidden="false" customHeight="true" outlineLevel="0" collapsed="false">
      <c r="B38" s="228" t="n">
        <v>106</v>
      </c>
      <c r="C38" s="236" t="s">
        <v>1113</v>
      </c>
      <c r="D38" s="219" t="n">
        <v>21451</v>
      </c>
      <c r="E38" s="220" t="str">
        <f aca="false">IF(D38="","",IFERROR(VLOOKUP(D38,CCN_Library!$A$4:$B$13,2,FALSE()),"NOT IN LIBRARY"))</f>
        <v>AUTOMOTIVE ORGANIZATIONAL SHOP</v>
      </c>
      <c r="F38" s="229"/>
      <c r="G38" s="230" t="s">
        <v>1069</v>
      </c>
      <c r="H38" s="221" t="str">
        <f aca="false">LEFT(I38,5)</f>
        <v>D0003</v>
      </c>
      <c r="I38" s="230" t="s">
        <v>1153</v>
      </c>
      <c r="J38" s="221" t="s">
        <v>1154</v>
      </c>
      <c r="K38" s="230" t="s">
        <v>1072</v>
      </c>
      <c r="L38" s="230" t="s">
        <v>1073</v>
      </c>
      <c r="M38" s="230" t="s">
        <v>1116</v>
      </c>
      <c r="N38" s="231" t="n">
        <v>0</v>
      </c>
      <c r="O38" s="231" t="n">
        <v>4</v>
      </c>
      <c r="P38" s="231" t="n">
        <v>4</v>
      </c>
      <c r="Q38" s="232" t="n">
        <v>26.24</v>
      </c>
      <c r="R38" s="232" t="n">
        <v>8.16</v>
      </c>
      <c r="S38" s="224" t="n">
        <v>8.16</v>
      </c>
      <c r="T38" s="225" t="n">
        <f aca="false">Q38*R38*S38</f>
        <v>1747.206144</v>
      </c>
      <c r="U38" s="226" t="n">
        <f aca="false">T38*P38</f>
        <v>6988.824576</v>
      </c>
      <c r="V38" s="233"/>
    </row>
    <row r="39" customFormat="false" ht="13.5" hidden="false" customHeight="true" outlineLevel="0" collapsed="false">
      <c r="B39" s="228" t="n">
        <v>107</v>
      </c>
      <c r="C39" s="236" t="s">
        <v>1074</v>
      </c>
      <c r="D39" s="219" t="n">
        <v>44112</v>
      </c>
      <c r="E39" s="220" t="str">
        <f aca="false">IF(D39="","",IFERROR(VLOOKUP(D39,CCN_Library!$A$4:$B$13,2,FALSE()),"NOT IN LIBRARY"))</f>
        <v>STORAGE OF AIR OR GROUND ORGANIC UNITS FOR MARINE CORPS</v>
      </c>
      <c r="F39" s="229"/>
      <c r="G39" s="230" t="s">
        <v>1069</v>
      </c>
      <c r="H39" s="221" t="str">
        <f aca="false">LEFT(I39,5)</f>
        <v>C2170</v>
      </c>
      <c r="I39" s="230" t="s">
        <v>1155</v>
      </c>
      <c r="J39" s="221" t="s">
        <v>1156</v>
      </c>
      <c r="K39" s="230" t="s">
        <v>1072</v>
      </c>
      <c r="L39" s="230" t="s">
        <v>1073</v>
      </c>
      <c r="M39" s="230" t="s">
        <v>133</v>
      </c>
      <c r="N39" s="231" t="n">
        <v>305</v>
      </c>
      <c r="O39" s="231" t="n">
        <v>0</v>
      </c>
      <c r="P39" s="231" t="n">
        <v>305</v>
      </c>
      <c r="Q39" s="232" t="n">
        <v>0.58</v>
      </c>
      <c r="R39" s="232" t="n">
        <v>0.33</v>
      </c>
      <c r="S39" s="224" t="n">
        <v>0.25</v>
      </c>
      <c r="T39" s="225" t="n">
        <f aca="false">Q39*R39*S39</f>
        <v>0.04785</v>
      </c>
      <c r="U39" s="226" t="n">
        <f aca="false">T39*P39</f>
        <v>14.59425</v>
      </c>
      <c r="V39" s="233"/>
    </row>
    <row r="40" customFormat="false" ht="13.5" hidden="false" customHeight="true" outlineLevel="0" collapsed="false">
      <c r="B40" s="228" t="n">
        <v>116</v>
      </c>
      <c r="C40" s="236" t="s">
        <v>1074</v>
      </c>
      <c r="D40" s="219" t="n">
        <v>44112</v>
      </c>
      <c r="E40" s="220" t="str">
        <f aca="false">IF(D40="","",IFERROR(VLOOKUP(D40,CCN_Library!$A$4:$B$13,2,FALSE()),"NOT IN LIBRARY"))</f>
        <v>STORAGE OF AIR OR GROUND ORGANIC UNITS FOR MARINE CORPS</v>
      </c>
      <c r="F40" s="229"/>
      <c r="G40" s="230" t="s">
        <v>1069</v>
      </c>
      <c r="H40" s="221" t="str">
        <f aca="false">LEFT(I40,5)</f>
        <v>B0008</v>
      </c>
      <c r="I40" s="230" t="s">
        <v>1157</v>
      </c>
      <c r="J40" s="221" t="s">
        <v>1158</v>
      </c>
      <c r="K40" s="230" t="s">
        <v>1072</v>
      </c>
      <c r="L40" s="230" t="s">
        <v>1073</v>
      </c>
      <c r="M40" s="230" t="s">
        <v>1116</v>
      </c>
      <c r="N40" s="231" t="n">
        <v>0</v>
      </c>
      <c r="O40" s="231" t="n">
        <v>2</v>
      </c>
      <c r="P40" s="231" t="n">
        <v>2</v>
      </c>
      <c r="Q40" s="232" t="n">
        <v>3.97</v>
      </c>
      <c r="R40" s="232" t="n">
        <v>3.08</v>
      </c>
      <c r="S40" s="224" t="n">
        <v>3.95</v>
      </c>
      <c r="T40" s="225" t="n">
        <f aca="false">Q40*R40*S40</f>
        <v>48.29902</v>
      </c>
      <c r="U40" s="226" t="n">
        <f aca="false">T40*P40</f>
        <v>96.59804</v>
      </c>
      <c r="V40" s="233"/>
    </row>
    <row r="41" customFormat="false" ht="13.5" hidden="false" customHeight="true" outlineLevel="0" collapsed="false">
      <c r="B41" s="228" t="n">
        <v>118</v>
      </c>
      <c r="C41" s="236" t="s">
        <v>1068</v>
      </c>
      <c r="D41" s="219" t="n">
        <v>14345</v>
      </c>
      <c r="E41" s="220" t="str">
        <f aca="false">IF(D41="","",IFERROR(VLOOKUP(D41,CCN_Library!$A$4:$B$13,2,FALSE()),"NOT IN LIBRARY"))</f>
        <v>ARMORY</v>
      </c>
      <c r="F41" s="229"/>
      <c r="G41" s="230" t="s">
        <v>1069</v>
      </c>
      <c r="H41" s="221" t="str">
        <f aca="false">LEFT(I41,5)</f>
        <v>K4222</v>
      </c>
      <c r="I41" s="230" t="s">
        <v>1159</v>
      </c>
      <c r="J41" s="221" t="s">
        <v>1160</v>
      </c>
      <c r="K41" s="230" t="s">
        <v>1072</v>
      </c>
      <c r="L41" s="230" t="s">
        <v>1073</v>
      </c>
      <c r="M41" s="230" t="s">
        <v>133</v>
      </c>
      <c r="N41" s="231" t="n">
        <v>0</v>
      </c>
      <c r="O41" s="231" t="n">
        <v>8</v>
      </c>
      <c r="P41" s="231" t="n">
        <v>8</v>
      </c>
      <c r="Q41" s="232" t="n">
        <v>0.25</v>
      </c>
      <c r="R41" s="232" t="n">
        <v>0.25</v>
      </c>
      <c r="S41" s="224" t="n">
        <v>0.08</v>
      </c>
      <c r="T41" s="225" t="n">
        <f aca="false">Q41*R41*S41</f>
        <v>0.005</v>
      </c>
      <c r="U41" s="226" t="n">
        <f aca="false">T41*P41</f>
        <v>0.04</v>
      </c>
      <c r="V41" s="233"/>
    </row>
    <row r="42" customFormat="false" ht="13.5" hidden="false" customHeight="true" outlineLevel="0" collapsed="false">
      <c r="B42" s="228" t="n">
        <v>123</v>
      </c>
      <c r="C42" s="236" t="s">
        <v>1074</v>
      </c>
      <c r="D42" s="219" t="n">
        <v>44112</v>
      </c>
      <c r="E42" s="220" t="str">
        <f aca="false">IF(D42="","",IFERROR(VLOOKUP(D42,CCN_Library!$A$4:$B$13,2,FALSE()),"NOT IN LIBRARY"))</f>
        <v>STORAGE OF AIR OR GROUND ORGANIC UNITS FOR MARINE CORPS</v>
      </c>
      <c r="F42" s="229"/>
      <c r="G42" s="230" t="s">
        <v>1069</v>
      </c>
      <c r="H42" s="221" t="str">
        <f aca="false">LEFT(I42,5)</f>
        <v>C0169</v>
      </c>
      <c r="I42" s="230" t="s">
        <v>1161</v>
      </c>
      <c r="J42" s="221" t="s">
        <v>1162</v>
      </c>
      <c r="K42" s="230" t="s">
        <v>1072</v>
      </c>
      <c r="L42" s="230" t="s">
        <v>1073</v>
      </c>
      <c r="M42" s="230" t="s">
        <v>133</v>
      </c>
      <c r="N42" s="231" t="n">
        <v>305</v>
      </c>
      <c r="O42" s="231" t="n">
        <v>0</v>
      </c>
      <c r="P42" s="231" t="n">
        <v>305</v>
      </c>
      <c r="Q42" s="235" t="n">
        <v>0</v>
      </c>
      <c r="R42" s="235" t="n">
        <v>0</v>
      </c>
      <c r="S42" s="224" t="n">
        <v>0</v>
      </c>
      <c r="T42" s="225" t="n">
        <f aca="false">Q42*R42*S42</f>
        <v>0</v>
      </c>
      <c r="U42" s="226" t="n">
        <f aca="false">T42*P42</f>
        <v>0</v>
      </c>
      <c r="V42" s="233"/>
    </row>
    <row r="43" customFormat="false" ht="13.5" hidden="false" customHeight="true" outlineLevel="0" collapsed="false">
      <c r="B43" s="228" t="n">
        <v>124</v>
      </c>
      <c r="C43" s="236" t="s">
        <v>1068</v>
      </c>
      <c r="D43" s="219" t="n">
        <v>14345</v>
      </c>
      <c r="E43" s="220" t="str">
        <f aca="false">IF(D43="","",IFERROR(VLOOKUP(D43,CCN_Library!$A$4:$B$13,2,FALSE()),"NOT IN LIBRARY"))</f>
        <v>ARMORY</v>
      </c>
      <c r="F43" s="229"/>
      <c r="G43" s="230" t="s">
        <v>1069</v>
      </c>
      <c r="H43" s="221" t="str">
        <f aca="false">LEFT(I43,5)</f>
        <v>E7900</v>
      </c>
      <c r="I43" s="230" t="s">
        <v>1163</v>
      </c>
      <c r="J43" s="221" t="s">
        <v>1164</v>
      </c>
      <c r="K43" s="230" t="s">
        <v>1072</v>
      </c>
      <c r="L43" s="230" t="s">
        <v>1106</v>
      </c>
      <c r="M43" s="230" t="s">
        <v>133</v>
      </c>
      <c r="N43" s="231" t="n">
        <v>0</v>
      </c>
      <c r="O43" s="231" t="n">
        <v>2</v>
      </c>
      <c r="P43" s="231" t="n">
        <v>2</v>
      </c>
      <c r="Q43" s="232" t="n">
        <v>2.08</v>
      </c>
      <c r="R43" s="232" t="n">
        <v>1.67</v>
      </c>
      <c r="S43" s="224" t="n">
        <v>1</v>
      </c>
      <c r="T43" s="225" t="n">
        <f aca="false">Q43*R43*S43</f>
        <v>3.4736</v>
      </c>
      <c r="U43" s="226" t="n">
        <f aca="false">T43*P43</f>
        <v>6.9472</v>
      </c>
      <c r="V43" s="233"/>
    </row>
    <row r="44" customFormat="false" ht="13.5" hidden="false" customHeight="true" outlineLevel="0" collapsed="false">
      <c r="B44" s="228" t="n">
        <v>125</v>
      </c>
      <c r="C44" s="236" t="s">
        <v>1074</v>
      </c>
      <c r="D44" s="219" t="n">
        <v>44112</v>
      </c>
      <c r="E44" s="220" t="str">
        <f aca="false">IF(D44="","",IFERROR(VLOOKUP(D44,CCN_Library!$A$4:$B$13,2,FALSE()),"NOT IN LIBRARY"))</f>
        <v>STORAGE OF AIR OR GROUND ORGANIC UNITS FOR MARINE CORPS</v>
      </c>
      <c r="F44" s="229"/>
      <c r="G44" s="230" t="s">
        <v>1069</v>
      </c>
      <c r="H44" s="221" t="str">
        <f aca="false">LEFT(I44,5)</f>
        <v>C5440</v>
      </c>
      <c r="I44" s="230" t="s">
        <v>1165</v>
      </c>
      <c r="J44" s="221" t="s">
        <v>1166</v>
      </c>
      <c r="K44" s="230" t="s">
        <v>1072</v>
      </c>
      <c r="L44" s="230" t="s">
        <v>1073</v>
      </c>
      <c r="M44" s="230" t="s">
        <v>133</v>
      </c>
      <c r="N44" s="231" t="n">
        <v>305</v>
      </c>
      <c r="O44" s="231" t="n">
        <v>0</v>
      </c>
      <c r="P44" s="231" t="n">
        <v>305</v>
      </c>
      <c r="Q44" s="232" t="n">
        <v>1.33</v>
      </c>
      <c r="R44" s="232" t="n">
        <v>0.67</v>
      </c>
      <c r="S44" s="224" t="n">
        <v>1</v>
      </c>
      <c r="T44" s="225" t="n">
        <f aca="false">Q44*R44*S44</f>
        <v>0.8911</v>
      </c>
      <c r="U44" s="226" t="n">
        <f aca="false">T44*P44</f>
        <v>271.7855</v>
      </c>
      <c r="V44" s="233"/>
    </row>
    <row r="45" customFormat="false" ht="13.5" hidden="false" customHeight="true" outlineLevel="0" collapsed="false">
      <c r="B45" s="228" t="n">
        <v>126</v>
      </c>
      <c r="C45" s="236" t="s">
        <v>1113</v>
      </c>
      <c r="D45" s="219" t="n">
        <v>21451</v>
      </c>
      <c r="E45" s="220" t="str">
        <f aca="false">IF(D45="","",IFERROR(VLOOKUP(D45,CCN_Library!$A$4:$B$13,2,FALSE()),"NOT IN LIBRARY"))</f>
        <v>AUTOMOTIVE ORGANIZATIONAL SHOP</v>
      </c>
      <c r="F45" s="229"/>
      <c r="G45" s="230" t="s">
        <v>1069</v>
      </c>
      <c r="H45" s="221" t="str">
        <f aca="false">LEFT(I45,5)</f>
        <v>D0045</v>
      </c>
      <c r="I45" s="230" t="s">
        <v>1167</v>
      </c>
      <c r="J45" s="221" t="s">
        <v>1168</v>
      </c>
      <c r="K45" s="230" t="s">
        <v>1072</v>
      </c>
      <c r="L45" s="230" t="s">
        <v>1073</v>
      </c>
      <c r="M45" s="230" t="s">
        <v>1116</v>
      </c>
      <c r="N45" s="231" t="n">
        <v>0</v>
      </c>
      <c r="O45" s="231" t="n">
        <v>4</v>
      </c>
      <c r="P45" s="231" t="n">
        <v>4</v>
      </c>
      <c r="Q45" s="237"/>
      <c r="R45" s="237"/>
      <c r="S45" s="224" t="n">
        <v>0</v>
      </c>
      <c r="T45" s="225" t="n">
        <f aca="false">Q45*R45*S45</f>
        <v>0</v>
      </c>
      <c r="U45" s="226" t="n">
        <f aca="false">T45*P45</f>
        <v>0</v>
      </c>
      <c r="V45" s="233"/>
    </row>
    <row r="46" customFormat="false" ht="13.5" hidden="false" customHeight="true" outlineLevel="0" collapsed="false">
      <c r="B46" s="228" t="n">
        <v>128</v>
      </c>
      <c r="C46" s="236" t="s">
        <v>1074</v>
      </c>
      <c r="D46" s="219" t="n">
        <v>44112</v>
      </c>
      <c r="E46" s="220" t="str">
        <f aca="false">IF(D46="","",IFERROR(VLOOKUP(D46,CCN_Library!$A$4:$B$13,2,FALSE()),"NOT IN LIBRARY"))</f>
        <v>STORAGE OF AIR OR GROUND ORGANIC UNITS FOR MARINE CORPS</v>
      </c>
      <c r="F46" s="229"/>
      <c r="G46" s="230" t="s">
        <v>1069</v>
      </c>
      <c r="H46" s="221" t="str">
        <f aca="false">LEFT(I46,5)</f>
        <v>C4431</v>
      </c>
      <c r="I46" s="230" t="s">
        <v>1169</v>
      </c>
      <c r="J46" s="221" t="s">
        <v>1170</v>
      </c>
      <c r="K46" s="230" t="s">
        <v>1072</v>
      </c>
      <c r="L46" s="230" t="s">
        <v>1073</v>
      </c>
      <c r="M46" s="230" t="s">
        <v>133</v>
      </c>
      <c r="N46" s="231" t="n">
        <v>0</v>
      </c>
      <c r="O46" s="231" t="n">
        <v>100</v>
      </c>
      <c r="P46" s="231" t="n">
        <v>100</v>
      </c>
      <c r="Q46" s="235" t="n">
        <v>4</v>
      </c>
      <c r="R46" s="232" t="n">
        <v>3.33</v>
      </c>
      <c r="S46" s="224" t="n">
        <v>4</v>
      </c>
      <c r="T46" s="225" t="n">
        <f aca="false">Q46*R46*S46</f>
        <v>53.28</v>
      </c>
      <c r="U46" s="226" t="n">
        <f aca="false">T46*P46</f>
        <v>5328</v>
      </c>
      <c r="V46" s="233"/>
    </row>
    <row r="47" customFormat="false" ht="13.5" hidden="false" customHeight="true" outlineLevel="0" collapsed="false">
      <c r="B47" s="228" t="n">
        <v>132</v>
      </c>
      <c r="C47" s="236" t="s">
        <v>1074</v>
      </c>
      <c r="D47" s="219" t="n">
        <v>44112</v>
      </c>
      <c r="E47" s="220" t="str">
        <f aca="false">IF(D47="","",IFERROR(VLOOKUP(D47,CCN_Library!$A$4:$B$13,2,FALSE()),"NOT IN LIBRARY"))</f>
        <v>STORAGE OF AIR OR GROUND ORGANIC UNITS FOR MARINE CORPS</v>
      </c>
      <c r="F47" s="229"/>
      <c r="G47" s="230" t="s">
        <v>1069</v>
      </c>
      <c r="H47" s="221" t="str">
        <f aca="false">LEFT(I47,5)</f>
        <v>A9015</v>
      </c>
      <c r="I47" s="230" t="s">
        <v>1171</v>
      </c>
      <c r="J47" s="221" t="s">
        <v>1172</v>
      </c>
      <c r="K47" s="230" t="s">
        <v>1072</v>
      </c>
      <c r="L47" s="230" t="s">
        <v>1073</v>
      </c>
      <c r="M47" s="230" t="s">
        <v>133</v>
      </c>
      <c r="N47" s="231" t="n">
        <v>0</v>
      </c>
      <c r="O47" s="231" t="n">
        <v>17</v>
      </c>
      <c r="P47" s="231" t="n">
        <v>17</v>
      </c>
      <c r="Q47" s="232" t="n">
        <v>1.11</v>
      </c>
      <c r="R47" s="232" t="n">
        <v>1.11</v>
      </c>
      <c r="S47" s="224" t="n">
        <v>0.08</v>
      </c>
      <c r="T47" s="225" t="n">
        <f aca="false">Q47*R47*S47</f>
        <v>0.098568</v>
      </c>
      <c r="U47" s="226" t="n">
        <f aca="false">T47*P47</f>
        <v>1.675656</v>
      </c>
      <c r="V47" s="233"/>
    </row>
    <row r="48" customFormat="false" ht="13.5" hidden="false" customHeight="true" outlineLevel="0" collapsed="false">
      <c r="B48" s="228" t="n">
        <v>133</v>
      </c>
      <c r="C48" s="236" t="s">
        <v>1077</v>
      </c>
      <c r="D48" s="219" t="n">
        <v>21710</v>
      </c>
      <c r="E48" s="220" t="str">
        <f aca="false">IF(D48="","",IFERROR(VLOOKUP(D48,CCN_Library!$A$4:$B$13,2,FALSE()),"NOT IN LIBRARY"))</f>
        <v>ELECTRONICS/COMMUNICATIONS MAINTENANCE SHOP</v>
      </c>
      <c r="F48" s="229"/>
      <c r="G48" s="230" t="s">
        <v>1069</v>
      </c>
      <c r="H48" s="221" t="str">
        <f aca="false">LEFT(I48,5)</f>
        <v>A0118</v>
      </c>
      <c r="I48" s="230" t="s">
        <v>1173</v>
      </c>
      <c r="J48" s="221" t="s">
        <v>1174</v>
      </c>
      <c r="K48" s="230" t="s">
        <v>1080</v>
      </c>
      <c r="L48" s="230" t="s">
        <v>1073</v>
      </c>
      <c r="M48" s="230" t="s">
        <v>133</v>
      </c>
      <c r="N48" s="231" t="n">
        <v>0</v>
      </c>
      <c r="O48" s="231" t="n">
        <v>60</v>
      </c>
      <c r="P48" s="231" t="n">
        <v>60</v>
      </c>
      <c r="Q48" s="232" t="n">
        <v>0.57</v>
      </c>
      <c r="R48" s="232" t="n">
        <v>0.22</v>
      </c>
      <c r="S48" s="224" t="n">
        <v>0.57</v>
      </c>
      <c r="T48" s="225" t="n">
        <f aca="false">Q48*R48*S48</f>
        <v>0.071478</v>
      </c>
      <c r="U48" s="226" t="n">
        <f aca="false">T48*P48</f>
        <v>4.28868</v>
      </c>
      <c r="V48" s="233"/>
    </row>
    <row r="49" customFormat="false" ht="13.5" hidden="false" customHeight="true" outlineLevel="0" collapsed="false">
      <c r="B49" s="228" t="n">
        <v>135</v>
      </c>
      <c r="C49" s="236" t="s">
        <v>1068</v>
      </c>
      <c r="D49" s="219" t="n">
        <v>14345</v>
      </c>
      <c r="E49" s="220" t="str">
        <f aca="false">IF(D49="","",IFERROR(VLOOKUP(D49,CCN_Library!$A$4:$B$13,2,FALSE()),"NOT IN LIBRARY"))</f>
        <v>ARMORY</v>
      </c>
      <c r="F49" s="229"/>
      <c r="G49" s="230" t="s">
        <v>1069</v>
      </c>
      <c r="H49" s="221" t="str">
        <f aca="false">LEFT(I49,5)</f>
        <v>E0187</v>
      </c>
      <c r="I49" s="230" t="s">
        <v>1175</v>
      </c>
      <c r="J49" s="221" t="s">
        <v>1176</v>
      </c>
      <c r="K49" s="230" t="s">
        <v>1072</v>
      </c>
      <c r="L49" s="230" t="s">
        <v>1106</v>
      </c>
      <c r="M49" s="230" t="s">
        <v>1116</v>
      </c>
      <c r="N49" s="231" t="n">
        <v>0</v>
      </c>
      <c r="O49" s="231" t="n">
        <v>0</v>
      </c>
      <c r="P49" s="231" t="n">
        <v>0</v>
      </c>
      <c r="Q49" s="232" t="n">
        <v>0.8</v>
      </c>
      <c r="R49" s="232" t="n">
        <v>0.32</v>
      </c>
      <c r="S49" s="224" t="n">
        <v>0.37</v>
      </c>
      <c r="T49" s="225" t="n">
        <f aca="false">Q49*R49*S49</f>
        <v>0.09472</v>
      </c>
      <c r="U49" s="226" t="n">
        <f aca="false">T49*P49</f>
        <v>0</v>
      </c>
      <c r="V49" s="233"/>
    </row>
    <row r="50" customFormat="false" ht="13.5" hidden="false" customHeight="true" outlineLevel="0" collapsed="false">
      <c r="B50" s="228" t="n">
        <v>136</v>
      </c>
      <c r="C50" s="236" t="s">
        <v>1113</v>
      </c>
      <c r="D50" s="219" t="n">
        <v>21451</v>
      </c>
      <c r="E50" s="220" t="str">
        <f aca="false">IF(D50="","",IFERROR(VLOOKUP(D50,CCN_Library!$A$4:$B$13,2,FALSE()),"NOT IN LIBRARY"))</f>
        <v>AUTOMOTIVE ORGANIZATIONAL SHOP</v>
      </c>
      <c r="F50" s="229"/>
      <c r="G50" s="230" t="s">
        <v>1069</v>
      </c>
      <c r="H50" s="221" t="str">
        <f aca="false">LEFT(I50,5)</f>
        <v>K0028</v>
      </c>
      <c r="I50" s="230" t="s">
        <v>1177</v>
      </c>
      <c r="J50" s="221" t="s">
        <v>1178</v>
      </c>
      <c r="K50" s="230" t="s">
        <v>1072</v>
      </c>
      <c r="L50" s="230" t="s">
        <v>1073</v>
      </c>
      <c r="M50" s="230" t="s">
        <v>133</v>
      </c>
      <c r="N50" s="231" t="n">
        <v>0</v>
      </c>
      <c r="O50" s="231" t="n">
        <v>2</v>
      </c>
      <c r="P50" s="231" t="n">
        <v>2</v>
      </c>
      <c r="Q50" s="232" t="n">
        <v>1.84</v>
      </c>
      <c r="R50" s="232" t="n">
        <v>0.87</v>
      </c>
      <c r="S50" s="224" t="n">
        <v>1.46</v>
      </c>
      <c r="T50" s="225" t="n">
        <f aca="false">Q50*R50*S50</f>
        <v>2.337168</v>
      </c>
      <c r="U50" s="226" t="n">
        <f aca="false">T50*P50</f>
        <v>4.674336</v>
      </c>
      <c r="V50" s="233"/>
    </row>
    <row r="51" customFormat="false" ht="13.5" hidden="false" customHeight="true" outlineLevel="0" collapsed="false">
      <c r="B51" s="228" t="n">
        <v>142</v>
      </c>
      <c r="C51" s="236" t="s">
        <v>1068</v>
      </c>
      <c r="D51" s="219" t="n">
        <v>14345</v>
      </c>
      <c r="E51" s="220" t="str">
        <f aca="false">IF(D51="","",IFERROR(VLOOKUP(D51,CCN_Library!$A$4:$B$13,2,FALSE()),"NOT IN LIBRARY"))</f>
        <v>ARMORY</v>
      </c>
      <c r="F51" s="229"/>
      <c r="G51" s="230" t="s">
        <v>1069</v>
      </c>
      <c r="H51" s="221" t="str">
        <f aca="false">LEFT(I51,5)</f>
        <v>C3215</v>
      </c>
      <c r="I51" s="230" t="s">
        <v>1179</v>
      </c>
      <c r="J51" s="221" t="s">
        <v>1180</v>
      </c>
      <c r="K51" s="230" t="s">
        <v>1072</v>
      </c>
      <c r="L51" s="230" t="s">
        <v>1073</v>
      </c>
      <c r="M51" s="230" t="s">
        <v>133</v>
      </c>
      <c r="N51" s="231" t="n">
        <v>275</v>
      </c>
      <c r="O51" s="231" t="n">
        <v>0</v>
      </c>
      <c r="P51" s="231" t="n">
        <v>275</v>
      </c>
      <c r="Q51" s="235" t="n">
        <v>1</v>
      </c>
      <c r="R51" s="235" t="n">
        <v>1</v>
      </c>
      <c r="S51" s="224" t="n">
        <v>1</v>
      </c>
      <c r="T51" s="225" t="n">
        <f aca="false">Q51*R51*S51</f>
        <v>1</v>
      </c>
      <c r="U51" s="226" t="n">
        <f aca="false">T51*P51</f>
        <v>275</v>
      </c>
      <c r="V51" s="233"/>
    </row>
    <row r="52" customFormat="false" ht="13.5" hidden="false" customHeight="true" outlineLevel="0" collapsed="false">
      <c r="B52" s="228" t="n">
        <v>143</v>
      </c>
      <c r="C52" s="236" t="s">
        <v>1077</v>
      </c>
      <c r="D52" s="219" t="n">
        <v>21710</v>
      </c>
      <c r="E52" s="220" t="str">
        <f aca="false">IF(D52="","",IFERROR(VLOOKUP(D52,CCN_Library!$A$4:$B$13,2,FALSE()),"NOT IN LIBRARY"))</f>
        <v>ELECTRONICS/COMMUNICATIONS MAINTENANCE SHOP</v>
      </c>
      <c r="F52" s="229"/>
      <c r="G52" s="230" t="s">
        <v>1069</v>
      </c>
      <c r="H52" s="221" t="str">
        <f aca="false">LEFT(I52,5)</f>
        <v>A1260</v>
      </c>
      <c r="I52" s="230" t="s">
        <v>1181</v>
      </c>
      <c r="J52" s="221" t="s">
        <v>1182</v>
      </c>
      <c r="K52" s="230" t="s">
        <v>1072</v>
      </c>
      <c r="L52" s="230" t="s">
        <v>1073</v>
      </c>
      <c r="M52" s="237"/>
      <c r="N52" s="231" t="n">
        <v>0</v>
      </c>
      <c r="O52" s="231" t="n">
        <v>0</v>
      </c>
      <c r="P52" s="231" t="n">
        <v>0</v>
      </c>
      <c r="Q52" s="232" t="n">
        <v>0.58</v>
      </c>
      <c r="R52" s="232" t="n">
        <v>0.33</v>
      </c>
      <c r="S52" s="224" t="n">
        <v>0.17</v>
      </c>
      <c r="T52" s="225" t="n">
        <f aca="false">Q52*R52*S52</f>
        <v>0.032538</v>
      </c>
      <c r="U52" s="226" t="n">
        <f aca="false">T52*P52</f>
        <v>0</v>
      </c>
      <c r="V52" s="233"/>
    </row>
    <row r="53" customFormat="false" ht="13.5" hidden="false" customHeight="true" outlineLevel="0" collapsed="false">
      <c r="B53" s="228" t="n">
        <v>145</v>
      </c>
      <c r="C53" s="236" t="s">
        <v>1074</v>
      </c>
      <c r="D53" s="219" t="n">
        <v>44112</v>
      </c>
      <c r="E53" s="220" t="str">
        <f aca="false">IF(D53="","",IFERROR(VLOOKUP(D53,CCN_Library!$A$4:$B$13,2,FALSE()),"NOT IN LIBRARY"))</f>
        <v>STORAGE OF AIR OR GROUND ORGANIC UNITS FOR MARINE CORPS</v>
      </c>
      <c r="F53" s="229"/>
      <c r="G53" s="230" t="s">
        <v>1069</v>
      </c>
      <c r="H53" s="221" t="str">
        <f aca="false">LEFT(I53,5)</f>
        <v>C7601</v>
      </c>
      <c r="I53" s="230" t="s">
        <v>1183</v>
      </c>
      <c r="J53" s="221" t="s">
        <v>1184</v>
      </c>
      <c r="K53" s="230" t="s">
        <v>1072</v>
      </c>
      <c r="L53" s="230" t="s">
        <v>1073</v>
      </c>
      <c r="M53" s="230" t="s">
        <v>133</v>
      </c>
      <c r="N53" s="231" t="n">
        <v>0</v>
      </c>
      <c r="O53" s="231" t="n">
        <v>1</v>
      </c>
      <c r="P53" s="231" t="n">
        <v>1</v>
      </c>
      <c r="Q53" s="232" t="n">
        <v>2.87</v>
      </c>
      <c r="R53" s="232" t="n">
        <v>2.28</v>
      </c>
      <c r="S53" s="224" t="n">
        <v>5.51</v>
      </c>
      <c r="T53" s="225" t="n">
        <f aca="false">Q53*R53*S53</f>
        <v>36.055236</v>
      </c>
      <c r="U53" s="226" t="n">
        <f aca="false">T53*P53</f>
        <v>36.055236</v>
      </c>
      <c r="V53" s="233"/>
    </row>
    <row r="54" customFormat="false" ht="13.5" hidden="false" customHeight="true" outlineLevel="0" collapsed="false">
      <c r="B54" s="228" t="n">
        <v>146</v>
      </c>
      <c r="C54" s="236" t="s">
        <v>1077</v>
      </c>
      <c r="D54" s="219" t="n">
        <v>21710</v>
      </c>
      <c r="E54" s="220" t="str">
        <f aca="false">IF(D54="","",IFERROR(VLOOKUP(D54,CCN_Library!$A$4:$B$13,2,FALSE()),"NOT IN LIBRARY"))</f>
        <v>ELECTRONICS/COMMUNICATIONS MAINTENANCE SHOP</v>
      </c>
      <c r="F54" s="229"/>
      <c r="G54" s="230" t="s">
        <v>1069</v>
      </c>
      <c r="H54" s="221" t="str">
        <f aca="false">LEFT(I54,5)</f>
        <v>H7007</v>
      </c>
      <c r="I54" s="230" t="s">
        <v>1185</v>
      </c>
      <c r="J54" s="221" t="s">
        <v>1186</v>
      </c>
      <c r="K54" s="230" t="s">
        <v>1072</v>
      </c>
      <c r="L54" s="230" t="s">
        <v>1073</v>
      </c>
      <c r="M54" s="237"/>
      <c r="N54" s="231" t="n">
        <v>0</v>
      </c>
      <c r="O54" s="231" t="n">
        <v>1</v>
      </c>
      <c r="P54" s="231" t="n">
        <v>1</v>
      </c>
      <c r="Q54" s="232" t="n">
        <v>0.11</v>
      </c>
      <c r="R54" s="232" t="n">
        <v>0.25</v>
      </c>
      <c r="S54" s="224" t="n">
        <v>0.68</v>
      </c>
      <c r="T54" s="225" t="n">
        <f aca="false">Q54*R54*S54</f>
        <v>0.0187</v>
      </c>
      <c r="U54" s="226" t="n">
        <f aca="false">T54*P54</f>
        <v>0.0187</v>
      </c>
      <c r="V54" s="233"/>
    </row>
    <row r="55" customFormat="false" ht="13.5" hidden="false" customHeight="true" outlineLevel="0" collapsed="false">
      <c r="B55" s="228" t="n">
        <v>148</v>
      </c>
      <c r="C55" s="236" t="s">
        <v>1113</v>
      </c>
      <c r="D55" s="219" t="n">
        <v>21451</v>
      </c>
      <c r="E55" s="220" t="str">
        <f aca="false">IF(D55="","",IFERROR(VLOOKUP(D55,CCN_Library!$A$4:$B$13,2,FALSE()),"NOT IN LIBRARY"))</f>
        <v>AUTOMOTIVE ORGANIZATIONAL SHOP</v>
      </c>
      <c r="F55" s="229"/>
      <c r="G55" s="230" t="s">
        <v>1069</v>
      </c>
      <c r="H55" s="221" t="str">
        <f aca="false">LEFT(I55,5)</f>
        <v>D0019</v>
      </c>
      <c r="I55" s="230" t="s">
        <v>1187</v>
      </c>
      <c r="J55" s="221" t="s">
        <v>1188</v>
      </c>
      <c r="K55" s="230" t="s">
        <v>1142</v>
      </c>
      <c r="L55" s="230" t="s">
        <v>1073</v>
      </c>
      <c r="M55" s="237"/>
      <c r="N55" s="231" t="n">
        <v>0</v>
      </c>
      <c r="O55" s="231" t="n">
        <v>9</v>
      </c>
      <c r="P55" s="231" t="n">
        <v>9</v>
      </c>
      <c r="Q55" s="237"/>
      <c r="R55" s="237"/>
      <c r="S55" s="224" t="n">
        <v>0</v>
      </c>
      <c r="T55" s="225" t="n">
        <f aca="false">Q55*R55*S55</f>
        <v>0</v>
      </c>
      <c r="U55" s="226" t="n">
        <f aca="false">T55*P55</f>
        <v>0</v>
      </c>
      <c r="V55" s="233"/>
    </row>
    <row r="56" customFormat="false" ht="13.5" hidden="false" customHeight="true" outlineLevel="0" collapsed="false">
      <c r="B56" s="228" t="n">
        <v>150</v>
      </c>
      <c r="C56" s="236" t="s">
        <v>1077</v>
      </c>
      <c r="D56" s="219" t="n">
        <v>21710</v>
      </c>
      <c r="E56" s="220" t="str">
        <f aca="false">IF(D56="","",IFERROR(VLOOKUP(D56,CCN_Library!$A$4:$B$13,2,FALSE()),"NOT IN LIBRARY"))</f>
        <v>ELECTRONICS/COMMUNICATIONS MAINTENANCE SHOP</v>
      </c>
      <c r="F56" s="229"/>
      <c r="G56" s="230" t="s">
        <v>1069</v>
      </c>
      <c r="H56" s="221" t="str">
        <f aca="false">LEFT(I56,5)</f>
        <v>A0198</v>
      </c>
      <c r="I56" s="230" t="s">
        <v>1189</v>
      </c>
      <c r="J56" s="221" t="s">
        <v>1190</v>
      </c>
      <c r="K56" s="230" t="s">
        <v>1072</v>
      </c>
      <c r="L56" s="230" t="s">
        <v>1073</v>
      </c>
      <c r="M56" s="230" t="s">
        <v>133</v>
      </c>
      <c r="N56" s="231" t="n">
        <v>0</v>
      </c>
      <c r="O56" s="231" t="n">
        <v>4</v>
      </c>
      <c r="P56" s="231" t="n">
        <v>4</v>
      </c>
      <c r="Q56" s="237"/>
      <c r="R56" s="237"/>
      <c r="S56" s="224" t="n">
        <v>0</v>
      </c>
      <c r="T56" s="225" t="n">
        <f aca="false">Q56*R56*S56</f>
        <v>0</v>
      </c>
      <c r="U56" s="226" t="n">
        <f aca="false">T56*P56</f>
        <v>0</v>
      </c>
      <c r="V56" s="233"/>
    </row>
    <row r="57" customFormat="false" ht="13.5" hidden="false" customHeight="true" outlineLevel="0" collapsed="false">
      <c r="B57" s="228" t="n">
        <v>153</v>
      </c>
      <c r="C57" s="236" t="s">
        <v>1074</v>
      </c>
      <c r="D57" s="219" t="n">
        <v>44112</v>
      </c>
      <c r="E57" s="220" t="str">
        <f aca="false">IF(D57="","",IFERROR(VLOOKUP(D57,CCN_Library!$A$4:$B$13,2,FALSE()),"NOT IN LIBRARY"))</f>
        <v>STORAGE OF AIR OR GROUND ORGANIC UNITS FOR MARINE CORPS</v>
      </c>
      <c r="F57" s="229"/>
      <c r="G57" s="230" t="s">
        <v>1069</v>
      </c>
      <c r="H57" s="221" t="str">
        <f aca="false">LEFT(I57,5)</f>
        <v>C1000</v>
      </c>
      <c r="I57" s="230" t="s">
        <v>1191</v>
      </c>
      <c r="J57" s="221" t="s">
        <v>1192</v>
      </c>
      <c r="K57" s="230" t="s">
        <v>1072</v>
      </c>
      <c r="L57" s="230" t="s">
        <v>1106</v>
      </c>
      <c r="M57" s="230" t="s">
        <v>133</v>
      </c>
      <c r="N57" s="231" t="n">
        <v>0</v>
      </c>
      <c r="O57" s="231" t="n">
        <v>1</v>
      </c>
      <c r="P57" s="231" t="n">
        <v>1</v>
      </c>
      <c r="Q57" s="235" t="n">
        <v>5</v>
      </c>
      <c r="R57" s="235" t="n">
        <v>2</v>
      </c>
      <c r="S57" s="224" t="n">
        <v>1</v>
      </c>
      <c r="T57" s="225" t="n">
        <f aca="false">Q57*R57*S57</f>
        <v>10</v>
      </c>
      <c r="U57" s="226" t="n">
        <f aca="false">T57*P57</f>
        <v>10</v>
      </c>
      <c r="V57" s="233"/>
    </row>
    <row r="58" customFormat="false" ht="13.5" hidden="false" customHeight="true" outlineLevel="0" collapsed="false">
      <c r="B58" s="228" t="n">
        <v>162</v>
      </c>
      <c r="C58" s="236" t="s">
        <v>1113</v>
      </c>
      <c r="D58" s="219" t="n">
        <v>21451</v>
      </c>
      <c r="E58" s="220" t="str">
        <f aca="false">IF(D58="","",IFERROR(VLOOKUP(D58,CCN_Library!$A$4:$B$13,2,FALSE()),"NOT IN LIBRARY"))</f>
        <v>AUTOMOTIVE ORGANIZATIONAL SHOP</v>
      </c>
      <c r="F58" s="229"/>
      <c r="G58" s="230" t="s">
        <v>1069</v>
      </c>
      <c r="H58" s="221" t="str">
        <f aca="false">LEFT(I58,5)</f>
        <v>D0080</v>
      </c>
      <c r="I58" s="230" t="s">
        <v>1193</v>
      </c>
      <c r="J58" s="221" t="s">
        <v>1194</v>
      </c>
      <c r="K58" s="230" t="s">
        <v>1072</v>
      </c>
      <c r="L58" s="230" t="s">
        <v>1073</v>
      </c>
      <c r="M58" s="230" t="s">
        <v>133</v>
      </c>
      <c r="N58" s="231" t="n">
        <v>0</v>
      </c>
      <c r="O58" s="231" t="n">
        <v>2</v>
      </c>
      <c r="P58" s="231" t="n">
        <v>2</v>
      </c>
      <c r="Q58" s="232" t="n">
        <v>15.66</v>
      </c>
      <c r="R58" s="235" t="n">
        <v>8</v>
      </c>
      <c r="S58" s="224" t="n">
        <v>4.08</v>
      </c>
      <c r="T58" s="225" t="n">
        <f aca="false">Q58*R58*S58</f>
        <v>511.1424</v>
      </c>
      <c r="U58" s="226" t="n">
        <f aca="false">T58*P58</f>
        <v>1022.2848</v>
      </c>
      <c r="V58" s="233"/>
    </row>
    <row r="59" customFormat="false" ht="13.5" hidden="false" customHeight="true" outlineLevel="0" collapsed="false">
      <c r="B59" s="228" t="n">
        <v>163</v>
      </c>
      <c r="C59" s="236" t="s">
        <v>1113</v>
      </c>
      <c r="D59" s="219" t="n">
        <v>21451</v>
      </c>
      <c r="E59" s="220" t="str">
        <f aca="false">IF(D59="","",IFERROR(VLOOKUP(D59,CCN_Library!$A$4:$B$13,2,FALSE()),"NOT IN LIBRARY"))</f>
        <v>AUTOMOTIVE ORGANIZATIONAL SHOP</v>
      </c>
      <c r="F59" s="229"/>
      <c r="G59" s="230" t="s">
        <v>1069</v>
      </c>
      <c r="H59" s="221" t="str">
        <f aca="false">LEFT(I59,5)</f>
        <v>D0880</v>
      </c>
      <c r="I59" s="230" t="s">
        <v>1195</v>
      </c>
      <c r="J59" s="221" t="s">
        <v>1196</v>
      </c>
      <c r="K59" s="230" t="s">
        <v>1072</v>
      </c>
      <c r="L59" s="230" t="s">
        <v>1073</v>
      </c>
      <c r="M59" s="230" t="s">
        <v>1116</v>
      </c>
      <c r="N59" s="231" t="n">
        <v>0</v>
      </c>
      <c r="O59" s="231" t="n">
        <v>6</v>
      </c>
      <c r="P59" s="231" t="n">
        <v>6</v>
      </c>
      <c r="Q59" s="232" t="n">
        <v>13.42</v>
      </c>
      <c r="R59" s="232" t="n">
        <v>6.91</v>
      </c>
      <c r="S59" s="224" t="n">
        <v>6.58</v>
      </c>
      <c r="T59" s="225" t="n">
        <f aca="false">Q59*R59*S59</f>
        <v>610.177876</v>
      </c>
      <c r="U59" s="226" t="n">
        <f aca="false">T59*P59</f>
        <v>3661.067256</v>
      </c>
      <c r="V59" s="233"/>
    </row>
    <row r="60" customFormat="false" ht="13.5" hidden="false" customHeight="true" outlineLevel="0" collapsed="false">
      <c r="B60" s="228" t="n">
        <v>167</v>
      </c>
      <c r="C60" s="236" t="s">
        <v>1074</v>
      </c>
      <c r="D60" s="219" t="n">
        <v>44112</v>
      </c>
      <c r="E60" s="220" t="str">
        <f aca="false">IF(D60="","",IFERROR(VLOOKUP(D60,CCN_Library!$A$4:$B$13,2,FALSE()),"NOT IN LIBRARY"))</f>
        <v>STORAGE OF AIR OR GROUND ORGANIC UNITS FOR MARINE CORPS</v>
      </c>
      <c r="F60" s="229"/>
      <c r="G60" s="230" t="s">
        <v>1069</v>
      </c>
      <c r="H60" s="221" t="str">
        <f aca="false">LEFT(I60,5)</f>
        <v>K4182</v>
      </c>
      <c r="I60" s="230" t="s">
        <v>1197</v>
      </c>
      <c r="J60" s="221" t="s">
        <v>1198</v>
      </c>
      <c r="K60" s="230" t="s">
        <v>1072</v>
      </c>
      <c r="L60" s="230" t="s">
        <v>1073</v>
      </c>
      <c r="M60" s="230" t="s">
        <v>133</v>
      </c>
      <c r="N60" s="231" t="n">
        <v>0</v>
      </c>
      <c r="O60" s="231" t="n">
        <v>2</v>
      </c>
      <c r="P60" s="231" t="n">
        <v>2</v>
      </c>
      <c r="Q60" s="235" t="n">
        <v>0</v>
      </c>
      <c r="R60" s="235" t="n">
        <v>0</v>
      </c>
      <c r="S60" s="224" t="n">
        <v>0</v>
      </c>
      <c r="T60" s="225" t="n">
        <f aca="false">Q60*R60*S60</f>
        <v>0</v>
      </c>
      <c r="U60" s="226" t="n">
        <f aca="false">T60*P60</f>
        <v>0</v>
      </c>
      <c r="V60" s="233"/>
    </row>
    <row r="61" customFormat="false" ht="13.5" hidden="false" customHeight="true" outlineLevel="0" collapsed="false">
      <c r="B61" s="228" t="n">
        <v>168</v>
      </c>
      <c r="C61" s="236" t="s">
        <v>1074</v>
      </c>
      <c r="D61" s="219" t="n">
        <v>44112</v>
      </c>
      <c r="E61" s="220" t="str">
        <f aca="false">IF(D61="","",IFERROR(VLOOKUP(D61,CCN_Library!$A$4:$B$13,2,FALSE()),"NOT IN LIBRARY"))</f>
        <v>STORAGE OF AIR OR GROUND ORGANIC UNITS FOR MARINE CORPS</v>
      </c>
      <c r="F61" s="229"/>
      <c r="G61" s="230" t="s">
        <v>1069</v>
      </c>
      <c r="H61" s="221" t="str">
        <f aca="false">LEFT(I61,5)</f>
        <v>B0031</v>
      </c>
      <c r="I61" s="230" t="s">
        <v>1199</v>
      </c>
      <c r="J61" s="221" t="s">
        <v>1200</v>
      </c>
      <c r="K61" s="230" t="s">
        <v>1072</v>
      </c>
      <c r="L61" s="230" t="s">
        <v>1073</v>
      </c>
      <c r="M61" s="230" t="s">
        <v>1116</v>
      </c>
      <c r="N61" s="231" t="n">
        <v>0</v>
      </c>
      <c r="O61" s="231" t="n">
        <v>3</v>
      </c>
      <c r="P61" s="231" t="n">
        <v>3</v>
      </c>
      <c r="Q61" s="235" t="n">
        <v>3</v>
      </c>
      <c r="R61" s="232" t="n">
        <v>2.17</v>
      </c>
      <c r="S61" s="224" t="n">
        <v>2.67</v>
      </c>
      <c r="T61" s="225" t="n">
        <f aca="false">Q61*R61*S61</f>
        <v>17.3817</v>
      </c>
      <c r="U61" s="226" t="n">
        <f aca="false">T61*P61</f>
        <v>52.1451</v>
      </c>
      <c r="V61" s="233"/>
    </row>
    <row r="62" customFormat="false" ht="13.5" hidden="false" customHeight="true" outlineLevel="0" collapsed="false">
      <c r="B62" s="228" t="n">
        <v>169</v>
      </c>
      <c r="C62" s="236" t="s">
        <v>1068</v>
      </c>
      <c r="D62" s="219" t="n">
        <v>14345</v>
      </c>
      <c r="E62" s="220" t="str">
        <f aca="false">IF(D62="","",IFERROR(VLOOKUP(D62,CCN_Library!$A$4:$B$13,2,FALSE()),"NOT IN LIBRARY"))</f>
        <v>ARMORY</v>
      </c>
      <c r="F62" s="229"/>
      <c r="G62" s="230" t="s">
        <v>1069</v>
      </c>
      <c r="H62" s="221" t="str">
        <f aca="false">LEFT(I62,5)</f>
        <v>E1976</v>
      </c>
      <c r="I62" s="230" t="s">
        <v>1201</v>
      </c>
      <c r="J62" s="221" t="s">
        <v>1202</v>
      </c>
      <c r="K62" s="230" t="s">
        <v>1072</v>
      </c>
      <c r="L62" s="230" t="s">
        <v>1073</v>
      </c>
      <c r="M62" s="230" t="s">
        <v>1116</v>
      </c>
      <c r="N62" s="231" t="n">
        <v>4</v>
      </c>
      <c r="O62" s="231" t="n">
        <v>0</v>
      </c>
      <c r="P62" s="231" t="n">
        <v>4</v>
      </c>
      <c r="Q62" s="232" t="n">
        <v>1.33</v>
      </c>
      <c r="R62" s="232" t="n">
        <v>0.42</v>
      </c>
      <c r="S62" s="224" t="n">
        <v>0.5</v>
      </c>
      <c r="T62" s="225" t="n">
        <f aca="false">Q62*R62*S62</f>
        <v>0.2793</v>
      </c>
      <c r="U62" s="226" t="n">
        <f aca="false">T62*P62</f>
        <v>1.1172</v>
      </c>
      <c r="V62" s="233"/>
    </row>
    <row r="63" customFormat="false" ht="13.5" hidden="false" customHeight="true" outlineLevel="0" collapsed="false">
      <c r="B63" s="228" t="n">
        <v>171</v>
      </c>
      <c r="C63" s="236" t="s">
        <v>1068</v>
      </c>
      <c r="D63" s="219" t="n">
        <v>14345</v>
      </c>
      <c r="E63" s="220" t="str">
        <f aca="false">IF(D63="","",IFERROR(VLOOKUP(D63,CCN_Library!$A$4:$B$13,2,FALSE()),"NOT IN LIBRARY"))</f>
        <v>ARMORY</v>
      </c>
      <c r="F63" s="229"/>
      <c r="G63" s="230" t="s">
        <v>1069</v>
      </c>
      <c r="H63" s="221" t="str">
        <f aca="false">LEFT(I63,5)</f>
        <v>E0994</v>
      </c>
      <c r="I63" s="230" t="s">
        <v>1203</v>
      </c>
      <c r="J63" s="221" t="s">
        <v>1204</v>
      </c>
      <c r="K63" s="230" t="s">
        <v>1072</v>
      </c>
      <c r="L63" s="230" t="s">
        <v>1073</v>
      </c>
      <c r="M63" s="230" t="s">
        <v>148</v>
      </c>
      <c r="N63" s="231" t="n">
        <v>0</v>
      </c>
      <c r="O63" s="231" t="n">
        <v>2</v>
      </c>
      <c r="P63" s="231" t="n">
        <v>2</v>
      </c>
      <c r="Q63" s="232" t="n">
        <v>3.67</v>
      </c>
      <c r="R63" s="232" t="n">
        <v>1.17</v>
      </c>
      <c r="S63" s="224" t="n">
        <v>0.75</v>
      </c>
      <c r="T63" s="225" t="n">
        <f aca="false">Q63*R63*S63</f>
        <v>3.220425</v>
      </c>
      <c r="U63" s="226" t="n">
        <f aca="false">T63*P63</f>
        <v>6.44085</v>
      </c>
      <c r="V63" s="233"/>
    </row>
    <row r="64" customFormat="false" ht="13.5" hidden="false" customHeight="true" outlineLevel="0" collapsed="false">
      <c r="B64" s="228" t="n">
        <v>172</v>
      </c>
      <c r="C64" s="236" t="s">
        <v>1068</v>
      </c>
      <c r="D64" s="219" t="n">
        <v>14345</v>
      </c>
      <c r="E64" s="220" t="str">
        <f aca="false">IF(D64="","",IFERROR(VLOOKUP(D64,CCN_Library!$A$4:$B$13,2,FALSE()),"NOT IN LIBRARY"))</f>
        <v>ARMORY</v>
      </c>
      <c r="F64" s="229"/>
      <c r="G64" s="230" t="s">
        <v>1069</v>
      </c>
      <c r="H64" s="221" t="str">
        <f aca="false">LEFT(I64,5)</f>
        <v>C0062</v>
      </c>
      <c r="I64" s="230" t="s">
        <v>1205</v>
      </c>
      <c r="J64" s="221" t="s">
        <v>1206</v>
      </c>
      <c r="K64" s="230" t="s">
        <v>1072</v>
      </c>
      <c r="L64" s="230" t="s">
        <v>1073</v>
      </c>
      <c r="M64" s="230" t="s">
        <v>133</v>
      </c>
      <c r="N64" s="231" t="n">
        <v>610</v>
      </c>
      <c r="O64" s="231" t="n">
        <v>0</v>
      </c>
      <c r="P64" s="231" t="n">
        <v>610</v>
      </c>
      <c r="Q64" s="232" t="n">
        <v>1.08</v>
      </c>
      <c r="R64" s="232" t="n">
        <v>0.58</v>
      </c>
      <c r="S64" s="224" t="n">
        <v>0.25</v>
      </c>
      <c r="T64" s="225" t="n">
        <f aca="false">Q64*R64*S64</f>
        <v>0.1566</v>
      </c>
      <c r="U64" s="226" t="n">
        <f aca="false">T64*P64</f>
        <v>95.526</v>
      </c>
      <c r="V64" s="233"/>
    </row>
    <row r="65" customFormat="false" ht="13.5" hidden="false" customHeight="true" outlineLevel="0" collapsed="false">
      <c r="B65" s="228" t="n">
        <v>174</v>
      </c>
      <c r="C65" s="236" t="s">
        <v>1068</v>
      </c>
      <c r="D65" s="219" t="n">
        <v>14345</v>
      </c>
      <c r="E65" s="220" t="str">
        <f aca="false">IF(D65="","",IFERROR(VLOOKUP(D65,CCN_Library!$A$4:$B$13,2,FALSE()),"NOT IN LIBRARY"))</f>
        <v>ARMORY</v>
      </c>
      <c r="F65" s="229"/>
      <c r="G65" s="230" t="s">
        <v>1069</v>
      </c>
      <c r="H65" s="221" t="str">
        <f aca="false">LEFT(I65,5)</f>
        <v>E0082</v>
      </c>
      <c r="I65" s="230" t="s">
        <v>1207</v>
      </c>
      <c r="J65" s="221" t="s">
        <v>1208</v>
      </c>
      <c r="K65" s="230" t="s">
        <v>1072</v>
      </c>
      <c r="L65" s="230" t="s">
        <v>1073</v>
      </c>
      <c r="M65" s="230" t="s">
        <v>133</v>
      </c>
      <c r="N65" s="231" t="n">
        <v>0</v>
      </c>
      <c r="O65" s="231" t="n">
        <v>0</v>
      </c>
      <c r="P65" s="231" t="n">
        <v>0</v>
      </c>
      <c r="Q65" s="232" t="n">
        <v>0.83</v>
      </c>
      <c r="R65" s="232" t="n">
        <v>0.42</v>
      </c>
      <c r="S65" s="224" t="n">
        <v>0.33</v>
      </c>
      <c r="T65" s="225" t="n">
        <f aca="false">Q65*R65*S65</f>
        <v>0.115038</v>
      </c>
      <c r="U65" s="226" t="n">
        <f aca="false">T65*P65</f>
        <v>0</v>
      </c>
      <c r="V65" s="233"/>
    </row>
    <row r="66" customFormat="false" ht="13.5" hidden="false" customHeight="true" outlineLevel="0" collapsed="false">
      <c r="B66" s="228" t="n">
        <v>179</v>
      </c>
      <c r="C66" s="236" t="s">
        <v>1077</v>
      </c>
      <c r="D66" s="219" t="n">
        <v>21710</v>
      </c>
      <c r="E66" s="220" t="str">
        <f aca="false">IF(D66="","",IFERROR(VLOOKUP(D66,CCN_Library!$A$4:$B$13,2,FALSE()),"NOT IN LIBRARY"))</f>
        <v>ELECTRONICS/COMMUNICATIONS MAINTENANCE SHOP</v>
      </c>
      <c r="F66" s="229"/>
      <c r="G66" s="230" t="s">
        <v>1069</v>
      </c>
      <c r="H66" s="221" t="str">
        <f aca="false">LEFT(I66,5)</f>
        <v>A0097</v>
      </c>
      <c r="I66" s="230" t="s">
        <v>1209</v>
      </c>
      <c r="J66" s="221" t="s">
        <v>1210</v>
      </c>
      <c r="K66" s="230" t="s">
        <v>1080</v>
      </c>
      <c r="L66" s="230" t="s">
        <v>1073</v>
      </c>
      <c r="M66" s="230" t="s">
        <v>133</v>
      </c>
      <c r="N66" s="231" t="n">
        <v>0</v>
      </c>
      <c r="O66" s="231" t="n">
        <v>12</v>
      </c>
      <c r="P66" s="231" t="n">
        <v>12</v>
      </c>
      <c r="Q66" s="232" t="n">
        <v>1.17</v>
      </c>
      <c r="R66" s="232" t="n">
        <v>0.67</v>
      </c>
      <c r="S66" s="224" t="n">
        <v>0.92</v>
      </c>
      <c r="T66" s="225" t="n">
        <f aca="false">Q66*R66*S66</f>
        <v>0.721188</v>
      </c>
      <c r="U66" s="226" t="n">
        <f aca="false">T66*P66</f>
        <v>8.654256</v>
      </c>
      <c r="V66" s="233"/>
    </row>
    <row r="67" customFormat="false" ht="13.5" hidden="false" customHeight="true" outlineLevel="0" collapsed="false">
      <c r="B67" s="228" t="n">
        <v>180</v>
      </c>
      <c r="C67" s="236" t="s">
        <v>1068</v>
      </c>
      <c r="D67" s="219" t="n">
        <v>14345</v>
      </c>
      <c r="E67" s="220" t="str">
        <f aca="false">IF(D67="","",IFERROR(VLOOKUP(D67,CCN_Library!$A$4:$B$13,2,FALSE()),"NOT IN LIBRARY"))</f>
        <v>ARMORY</v>
      </c>
      <c r="F67" s="229"/>
      <c r="G67" s="230" t="s">
        <v>1069</v>
      </c>
      <c r="H67" s="221" t="str">
        <f aca="false">LEFT(I67,5)</f>
        <v>E0081</v>
      </c>
      <c r="I67" s="230" t="s">
        <v>1211</v>
      </c>
      <c r="J67" s="221" t="s">
        <v>1212</v>
      </c>
      <c r="K67" s="230" t="s">
        <v>1072</v>
      </c>
      <c r="L67" s="230" t="s">
        <v>1073</v>
      </c>
      <c r="M67" s="230" t="s">
        <v>133</v>
      </c>
      <c r="N67" s="231" t="n">
        <v>2</v>
      </c>
      <c r="O67" s="231" t="n">
        <v>0</v>
      </c>
      <c r="P67" s="231" t="n">
        <v>2</v>
      </c>
      <c r="Q67" s="232" t="n">
        <v>1.08</v>
      </c>
      <c r="R67" s="232" t="n">
        <v>1.42</v>
      </c>
      <c r="S67" s="224" t="n">
        <v>0.67</v>
      </c>
      <c r="T67" s="225" t="n">
        <f aca="false">Q67*R67*S67</f>
        <v>1.027512</v>
      </c>
      <c r="U67" s="226" t="n">
        <f aca="false">T67*P67</f>
        <v>2.055024</v>
      </c>
      <c r="V67" s="233"/>
    </row>
    <row r="68" customFormat="false" ht="13.5" hidden="false" customHeight="true" outlineLevel="0" collapsed="false">
      <c r="B68" s="228" t="n">
        <v>184</v>
      </c>
      <c r="C68" s="236" t="s">
        <v>1074</v>
      </c>
      <c r="D68" s="219" t="n">
        <v>44112</v>
      </c>
      <c r="E68" s="220" t="str">
        <f aca="false">IF(D68="","",IFERROR(VLOOKUP(D68,CCN_Library!$A$4:$B$13,2,FALSE()),"NOT IN LIBRARY"))</f>
        <v>STORAGE OF AIR OR GROUND ORGANIC UNITS FOR MARINE CORPS</v>
      </c>
      <c r="F68" s="229"/>
      <c r="G68" s="230" t="s">
        <v>1069</v>
      </c>
      <c r="H68" s="221" t="str">
        <f aca="false">LEFT(I68,5)</f>
        <v>B0049</v>
      </c>
      <c r="I68" s="230" t="s">
        <v>1213</v>
      </c>
      <c r="J68" s="221" t="s">
        <v>1214</v>
      </c>
      <c r="K68" s="230" t="s">
        <v>1080</v>
      </c>
      <c r="L68" s="230" t="s">
        <v>1073</v>
      </c>
      <c r="M68" s="230" t="s">
        <v>133</v>
      </c>
      <c r="N68" s="231" t="n">
        <v>0</v>
      </c>
      <c r="O68" s="231" t="n">
        <v>1</v>
      </c>
      <c r="P68" s="231" t="n">
        <v>1</v>
      </c>
      <c r="Q68" s="232" t="n">
        <v>19.87</v>
      </c>
      <c r="R68" s="235" t="n">
        <v>8</v>
      </c>
      <c r="S68" s="224" t="n">
        <v>8</v>
      </c>
      <c r="T68" s="225" t="n">
        <f aca="false">Q68*R68*S68</f>
        <v>1271.68</v>
      </c>
      <c r="U68" s="226" t="n">
        <f aca="false">T68*P68</f>
        <v>1271.68</v>
      </c>
      <c r="V68" s="233"/>
    </row>
    <row r="69" customFormat="false" ht="13.5" hidden="false" customHeight="true" outlineLevel="0" collapsed="false">
      <c r="B69" s="228" t="n">
        <v>185</v>
      </c>
      <c r="C69" s="236" t="s">
        <v>1074</v>
      </c>
      <c r="D69" s="219" t="n">
        <v>44112</v>
      </c>
      <c r="E69" s="220" t="str">
        <f aca="false">IF(D69="","",IFERROR(VLOOKUP(D69,CCN_Library!$A$4:$B$13,2,FALSE()),"NOT IN LIBRARY"))</f>
        <v>STORAGE OF AIR OR GROUND ORGANIC UNITS FOR MARINE CORPS</v>
      </c>
      <c r="F69" s="229"/>
      <c r="G69" s="230" t="s">
        <v>1069</v>
      </c>
      <c r="H69" s="221" t="str">
        <f aca="false">LEFT(I69,5)</f>
        <v>C0132</v>
      </c>
      <c r="I69" s="230" t="s">
        <v>1215</v>
      </c>
      <c r="J69" s="221" t="s">
        <v>1216</v>
      </c>
      <c r="K69" s="230" t="s">
        <v>1072</v>
      </c>
      <c r="L69" s="230" t="s">
        <v>1217</v>
      </c>
      <c r="M69" s="230" t="s">
        <v>133</v>
      </c>
      <c r="N69" s="231" t="n">
        <v>305</v>
      </c>
      <c r="O69" s="231" t="n">
        <v>68</v>
      </c>
      <c r="P69" s="231" t="n">
        <v>373</v>
      </c>
      <c r="Q69" s="235" t="n">
        <v>0</v>
      </c>
      <c r="R69" s="235" t="n">
        <v>0</v>
      </c>
      <c r="S69" s="224" t="n">
        <v>0</v>
      </c>
      <c r="T69" s="225" t="n">
        <f aca="false">Q69*R69*S69</f>
        <v>0</v>
      </c>
      <c r="U69" s="226" t="n">
        <f aca="false">T69*P69</f>
        <v>0</v>
      </c>
      <c r="V69" s="233"/>
    </row>
    <row r="70" customFormat="false" ht="13.5" hidden="false" customHeight="true" outlineLevel="0" collapsed="false">
      <c r="B70" s="228" t="n">
        <v>196</v>
      </c>
      <c r="C70" s="236" t="s">
        <v>1068</v>
      </c>
      <c r="D70" s="219" t="n">
        <v>14345</v>
      </c>
      <c r="E70" s="220" t="str">
        <f aca="false">IF(D70="","",IFERROR(VLOOKUP(D70,CCN_Library!$A$4:$B$13,2,FALSE()),"NOT IN LIBRARY"))</f>
        <v>ARMORY</v>
      </c>
      <c r="F70" s="229"/>
      <c r="G70" s="230" t="s">
        <v>1069</v>
      </c>
      <c r="H70" s="221" t="str">
        <f aca="false">LEFT(I70,5)</f>
        <v>E0212</v>
      </c>
      <c r="I70" s="230" t="s">
        <v>1218</v>
      </c>
      <c r="J70" s="221" t="s">
        <v>1219</v>
      </c>
      <c r="K70" s="230" t="s">
        <v>1142</v>
      </c>
      <c r="L70" s="237"/>
      <c r="M70" s="230" t="s">
        <v>133</v>
      </c>
      <c r="N70" s="231" t="n">
        <v>0</v>
      </c>
      <c r="O70" s="231" t="n">
        <v>0</v>
      </c>
      <c r="P70" s="231" t="n">
        <v>0</v>
      </c>
      <c r="Q70" s="237"/>
      <c r="R70" s="237"/>
      <c r="S70" s="224" t="n">
        <v>0</v>
      </c>
      <c r="T70" s="225" t="n">
        <f aca="false">Q70*R70*S70</f>
        <v>0</v>
      </c>
      <c r="U70" s="226" t="n">
        <f aca="false">T70*P70</f>
        <v>0</v>
      </c>
      <c r="V70" s="233"/>
    </row>
    <row r="71" customFormat="false" ht="13.5" hidden="false" customHeight="true" outlineLevel="0" collapsed="false">
      <c r="B71" s="228" t="n">
        <v>201</v>
      </c>
      <c r="C71" s="236" t="s">
        <v>1077</v>
      </c>
      <c r="D71" s="219" t="n">
        <v>21710</v>
      </c>
      <c r="E71" s="220" t="str">
        <f aca="false">IF(D71="","",IFERROR(VLOOKUP(D71,CCN_Library!$A$4:$B$13,2,FALSE()),"NOT IN LIBRARY"))</f>
        <v>ELECTRONICS/COMMUNICATIONS MAINTENANCE SHOP</v>
      </c>
      <c r="F71" s="229"/>
      <c r="G71" s="230" t="s">
        <v>1069</v>
      </c>
      <c r="H71" s="221" t="str">
        <f aca="false">LEFT(I71,5)</f>
        <v>A9023</v>
      </c>
      <c r="I71" s="230" t="s">
        <v>1220</v>
      </c>
      <c r="J71" s="221" t="s">
        <v>1221</v>
      </c>
      <c r="K71" s="230" t="s">
        <v>1072</v>
      </c>
      <c r="L71" s="230" t="s">
        <v>1073</v>
      </c>
      <c r="M71" s="237"/>
      <c r="N71" s="231" t="n">
        <v>0</v>
      </c>
      <c r="O71" s="231" t="n">
        <v>17</v>
      </c>
      <c r="P71" s="231" t="n">
        <v>17</v>
      </c>
      <c r="Q71" s="235" t="n">
        <v>1</v>
      </c>
      <c r="R71" s="232" t="n">
        <v>1.25</v>
      </c>
      <c r="S71" s="224" t="n">
        <v>0.17</v>
      </c>
      <c r="T71" s="225" t="n">
        <f aca="false">Q71*R71*S71</f>
        <v>0.2125</v>
      </c>
      <c r="U71" s="226" t="n">
        <f aca="false">T71*P71</f>
        <v>3.6125</v>
      </c>
      <c r="V71" s="233"/>
    </row>
    <row r="72" customFormat="false" ht="13.5" hidden="false" customHeight="true" outlineLevel="0" collapsed="false">
      <c r="B72" s="228" t="n">
        <v>206</v>
      </c>
      <c r="C72" s="236" t="s">
        <v>1074</v>
      </c>
      <c r="D72" s="219" t="n">
        <v>44112</v>
      </c>
      <c r="E72" s="220" t="str">
        <f aca="false">IF(D72="","",IFERROR(VLOOKUP(D72,CCN_Library!$A$4:$B$13,2,FALSE()),"NOT IN LIBRARY"))</f>
        <v>STORAGE OF AIR OR GROUND ORGANIC UNITS FOR MARINE CORPS</v>
      </c>
      <c r="F72" s="229"/>
      <c r="G72" s="230" t="s">
        <v>1069</v>
      </c>
      <c r="H72" s="221" t="str">
        <f aca="false">LEFT(I72,5)</f>
        <v>B2130</v>
      </c>
      <c r="I72" s="230" t="s">
        <v>1222</v>
      </c>
      <c r="J72" s="221" t="s">
        <v>1223</v>
      </c>
      <c r="K72" s="230" t="s">
        <v>1072</v>
      </c>
      <c r="L72" s="230" t="s">
        <v>1073</v>
      </c>
      <c r="M72" s="237"/>
      <c r="N72" s="231" t="n">
        <v>0</v>
      </c>
      <c r="O72" s="231" t="n">
        <v>4</v>
      </c>
      <c r="P72" s="231" t="n">
        <v>4</v>
      </c>
      <c r="Q72" s="232" t="n">
        <v>2.33</v>
      </c>
      <c r="R72" s="232" t="n">
        <v>3.92</v>
      </c>
      <c r="S72" s="224" t="n">
        <v>1.42</v>
      </c>
      <c r="T72" s="225" t="n">
        <f aca="false">Q72*R72*S72</f>
        <v>12.969712</v>
      </c>
      <c r="U72" s="226" t="n">
        <f aca="false">T72*P72</f>
        <v>51.878848</v>
      </c>
      <c r="V72" s="233"/>
    </row>
    <row r="73" customFormat="false" ht="13.5" hidden="false" customHeight="true" outlineLevel="0" collapsed="false">
      <c r="B73" s="228" t="n">
        <v>209</v>
      </c>
      <c r="C73" s="236" t="s">
        <v>1074</v>
      </c>
      <c r="D73" s="219" t="n">
        <v>44112</v>
      </c>
      <c r="E73" s="220" t="str">
        <f aca="false">IF(D73="","",IFERROR(VLOOKUP(D73,CCN_Library!$A$4:$B$13,2,FALSE()),"NOT IN LIBRARY"))</f>
        <v>STORAGE OF AIR OR GROUND ORGANIC UNITS FOR MARINE CORPS</v>
      </c>
      <c r="F73" s="229"/>
      <c r="G73" s="230" t="s">
        <v>1069</v>
      </c>
      <c r="H73" s="221" t="str">
        <f aca="false">LEFT(I73,5)</f>
        <v>B2130</v>
      </c>
      <c r="I73" s="230" t="s">
        <v>1224</v>
      </c>
      <c r="J73" s="221" t="s">
        <v>1225</v>
      </c>
      <c r="K73" s="230" t="s">
        <v>1072</v>
      </c>
      <c r="L73" s="230" t="s">
        <v>1073</v>
      </c>
      <c r="M73" s="237"/>
      <c r="N73" s="231" t="n">
        <v>0</v>
      </c>
      <c r="O73" s="231" t="n">
        <v>0</v>
      </c>
      <c r="P73" s="231" t="n">
        <v>0</v>
      </c>
      <c r="Q73" s="232" t="n">
        <v>6.08</v>
      </c>
      <c r="R73" s="232" t="n">
        <v>3.92</v>
      </c>
      <c r="S73" s="224" t="n">
        <v>1.75</v>
      </c>
      <c r="T73" s="225" t="n">
        <f aca="false">Q73*R73*S73</f>
        <v>41.7088</v>
      </c>
      <c r="U73" s="226" t="n">
        <f aca="false">T73*P73</f>
        <v>0</v>
      </c>
      <c r="V73" s="233"/>
    </row>
    <row r="74" customFormat="false" ht="13.5" hidden="false" customHeight="true" outlineLevel="0" collapsed="false">
      <c r="B74" s="228" t="n">
        <v>211</v>
      </c>
      <c r="C74" s="236" t="s">
        <v>1113</v>
      </c>
      <c r="D74" s="219" t="n">
        <v>21451</v>
      </c>
      <c r="E74" s="220" t="str">
        <f aca="false">IF(D74="","",IFERROR(VLOOKUP(D74,CCN_Library!$A$4:$B$13,2,FALSE()),"NOT IN LIBRARY"))</f>
        <v>AUTOMOTIVE ORGANIZATIONAL SHOP</v>
      </c>
      <c r="F74" s="229"/>
      <c r="G74" s="230" t="s">
        <v>1069</v>
      </c>
      <c r="H74" s="221" t="str">
        <f aca="false">LEFT(I74,5)</f>
        <v>M0011</v>
      </c>
      <c r="I74" s="230" t="s">
        <v>1226</v>
      </c>
      <c r="J74" s="221" t="s">
        <v>1227</v>
      </c>
      <c r="K74" s="230" t="s">
        <v>1072</v>
      </c>
      <c r="L74" s="230" t="s">
        <v>1073</v>
      </c>
      <c r="M74" s="230" t="s">
        <v>133</v>
      </c>
      <c r="N74" s="231" t="n">
        <v>0</v>
      </c>
      <c r="O74" s="231" t="n">
        <v>8</v>
      </c>
      <c r="P74" s="231" t="n">
        <v>8</v>
      </c>
      <c r="Q74" s="237"/>
      <c r="R74" s="237"/>
      <c r="S74" s="224" t="n">
        <v>0</v>
      </c>
      <c r="T74" s="225" t="n">
        <f aca="false">Q74*R74*S74</f>
        <v>0</v>
      </c>
      <c r="U74" s="226" t="n">
        <f aca="false">T74*P74</f>
        <v>0</v>
      </c>
      <c r="V74" s="233"/>
    </row>
    <row r="75" customFormat="false" ht="13.5" hidden="false" customHeight="true" outlineLevel="0" collapsed="false">
      <c r="B75" s="228" t="n">
        <v>214</v>
      </c>
      <c r="C75" s="236" t="s">
        <v>1077</v>
      </c>
      <c r="D75" s="219" t="n">
        <v>21710</v>
      </c>
      <c r="E75" s="220" t="str">
        <f aca="false">IF(D75="","",IFERROR(VLOOKUP(D75,CCN_Library!$A$4:$B$13,2,FALSE()),"NOT IN LIBRARY"))</f>
        <v>ELECTRONICS/COMMUNICATIONS MAINTENANCE SHOP</v>
      </c>
      <c r="F75" s="229"/>
      <c r="G75" s="230" t="s">
        <v>1069</v>
      </c>
      <c r="H75" s="221" t="str">
        <f aca="false">LEFT(I75,5)</f>
        <v>A9100</v>
      </c>
      <c r="I75" s="230" t="s">
        <v>1228</v>
      </c>
      <c r="J75" s="221" t="s">
        <v>1229</v>
      </c>
      <c r="K75" s="230" t="s">
        <v>1072</v>
      </c>
      <c r="L75" s="230" t="s">
        <v>1073</v>
      </c>
      <c r="M75" s="230" t="s">
        <v>133</v>
      </c>
      <c r="N75" s="231" t="n">
        <v>0</v>
      </c>
      <c r="O75" s="231" t="n">
        <v>221</v>
      </c>
      <c r="P75" s="231" t="n">
        <v>221</v>
      </c>
      <c r="Q75" s="232" t="n">
        <v>0.83</v>
      </c>
      <c r="R75" s="232" t="n">
        <v>1.17</v>
      </c>
      <c r="S75" s="224" t="n">
        <v>0.17</v>
      </c>
      <c r="T75" s="225" t="n">
        <f aca="false">Q75*R75*S75</f>
        <v>0.165087</v>
      </c>
      <c r="U75" s="226" t="n">
        <f aca="false">T75*P75</f>
        <v>36.484227</v>
      </c>
      <c r="V75" s="233"/>
    </row>
    <row r="76" customFormat="false" ht="13.5" hidden="false" customHeight="true" outlineLevel="0" collapsed="false">
      <c r="B76" s="228" t="n">
        <v>216</v>
      </c>
      <c r="C76" s="236" t="s">
        <v>1077</v>
      </c>
      <c r="D76" s="219" t="n">
        <v>21710</v>
      </c>
      <c r="E76" s="220" t="str">
        <f aca="false">IF(D76="","",IFERROR(VLOOKUP(D76,CCN_Library!$A$4:$B$13,2,FALSE()),"NOT IN LIBRARY"))</f>
        <v>ELECTRONICS/COMMUNICATIONS MAINTENANCE SHOP</v>
      </c>
      <c r="F76" s="229"/>
      <c r="G76" s="230" t="s">
        <v>1069</v>
      </c>
      <c r="H76" s="221" t="str">
        <f aca="false">LEFT(I76,5)</f>
        <v>A0208</v>
      </c>
      <c r="I76" s="230" t="s">
        <v>1230</v>
      </c>
      <c r="J76" s="221" t="s">
        <v>1231</v>
      </c>
      <c r="K76" s="230" t="s">
        <v>1142</v>
      </c>
      <c r="L76" s="230" t="s">
        <v>1073</v>
      </c>
      <c r="M76" s="230" t="s">
        <v>133</v>
      </c>
      <c r="N76" s="231" t="n">
        <v>0</v>
      </c>
      <c r="O76" s="231" t="n">
        <v>26</v>
      </c>
      <c r="P76" s="231" t="n">
        <v>26</v>
      </c>
      <c r="Q76" s="237"/>
      <c r="R76" s="237"/>
      <c r="S76" s="224" t="n">
        <v>0</v>
      </c>
      <c r="T76" s="225" t="n">
        <f aca="false">Q76*R76*S76</f>
        <v>0</v>
      </c>
      <c r="U76" s="226" t="n">
        <f aca="false">T76*P76</f>
        <v>0</v>
      </c>
      <c r="V76" s="233"/>
    </row>
    <row r="77" customFormat="false" ht="13.5" hidden="false" customHeight="true" outlineLevel="0" collapsed="false">
      <c r="B77" s="228" t="n">
        <v>218</v>
      </c>
      <c r="C77" s="236" t="s">
        <v>1068</v>
      </c>
      <c r="D77" s="219" t="n">
        <v>14345</v>
      </c>
      <c r="E77" s="220" t="str">
        <f aca="false">IF(D77="","",IFERROR(VLOOKUP(D77,CCN_Library!$A$4:$B$13,2,FALSE()),"NOT IN LIBRARY"))</f>
        <v>ARMORY</v>
      </c>
      <c r="F77" s="229"/>
      <c r="G77" s="230" t="s">
        <v>1069</v>
      </c>
      <c r="H77" s="221" t="str">
        <f aca="false">LEFT(I77,5)</f>
        <v>E0041</v>
      </c>
      <c r="I77" s="230" t="s">
        <v>1232</v>
      </c>
      <c r="J77" s="221" t="s">
        <v>1233</v>
      </c>
      <c r="K77" s="230" t="s">
        <v>1072</v>
      </c>
      <c r="L77" s="230" t="s">
        <v>1073</v>
      </c>
      <c r="M77" s="230" t="s">
        <v>133</v>
      </c>
      <c r="N77" s="231" t="n">
        <v>0</v>
      </c>
      <c r="O77" s="231" t="n">
        <v>0</v>
      </c>
      <c r="P77" s="231" t="n">
        <v>0</v>
      </c>
      <c r="Q77" s="232" t="n">
        <v>1.28</v>
      </c>
      <c r="R77" s="232" t="n">
        <v>0.27</v>
      </c>
      <c r="S77" s="224" t="n">
        <v>0.27</v>
      </c>
      <c r="T77" s="225" t="n">
        <f aca="false">Q77*R77*S77</f>
        <v>0.093312</v>
      </c>
      <c r="U77" s="226" t="n">
        <f aca="false">T77*P77</f>
        <v>0</v>
      </c>
      <c r="V77" s="233"/>
    </row>
    <row r="78" customFormat="false" ht="13.5" hidden="false" customHeight="true" outlineLevel="0" collapsed="false">
      <c r="B78" s="228" t="n">
        <v>221</v>
      </c>
      <c r="C78" s="236" t="s">
        <v>1077</v>
      </c>
      <c r="D78" s="219" t="n">
        <v>21710</v>
      </c>
      <c r="E78" s="220" t="str">
        <f aca="false">IF(D78="","",IFERROR(VLOOKUP(D78,CCN_Library!$A$4:$B$13,2,FALSE()),"NOT IN LIBRARY"))</f>
        <v>ELECTRONICS/COMMUNICATIONS MAINTENANCE SHOP</v>
      </c>
      <c r="F78" s="229"/>
      <c r="G78" s="230" t="s">
        <v>1069</v>
      </c>
      <c r="H78" s="221" t="str">
        <f aca="false">LEFT(I78,5)</f>
        <v>A7059</v>
      </c>
      <c r="I78" s="230" t="s">
        <v>1234</v>
      </c>
      <c r="J78" s="221" t="s">
        <v>1235</v>
      </c>
      <c r="K78" s="230" t="s">
        <v>1072</v>
      </c>
      <c r="L78" s="230" t="s">
        <v>1073</v>
      </c>
      <c r="M78" s="230" t="s">
        <v>133</v>
      </c>
      <c r="N78" s="231" t="n">
        <v>0</v>
      </c>
      <c r="O78" s="231" t="n">
        <v>1</v>
      </c>
      <c r="P78" s="231" t="n">
        <v>1</v>
      </c>
      <c r="Q78" s="232" t="n">
        <v>0.92</v>
      </c>
      <c r="R78" s="232" t="n">
        <v>1.17</v>
      </c>
      <c r="S78" s="224" t="n">
        <v>0.58</v>
      </c>
      <c r="T78" s="225" t="n">
        <f aca="false">Q78*R78*S78</f>
        <v>0.624312</v>
      </c>
      <c r="U78" s="226" t="n">
        <f aca="false">T78*P78</f>
        <v>0.624312</v>
      </c>
      <c r="V78" s="233"/>
    </row>
    <row r="79" customFormat="false" ht="13.5" hidden="false" customHeight="true" outlineLevel="0" collapsed="false">
      <c r="B79" s="228" t="n">
        <v>222</v>
      </c>
      <c r="C79" s="236" t="s">
        <v>1074</v>
      </c>
      <c r="D79" s="219" t="n">
        <v>44112</v>
      </c>
      <c r="E79" s="220" t="str">
        <f aca="false">IF(D79="","",IFERROR(VLOOKUP(D79,CCN_Library!$A$4:$B$13,2,FALSE()),"NOT IN LIBRARY"))</f>
        <v>STORAGE OF AIR OR GROUND ORGANIC UNITS FOR MARINE CORPS</v>
      </c>
      <c r="F79" s="229"/>
      <c r="G79" s="230" t="s">
        <v>1069</v>
      </c>
      <c r="H79" s="221" t="str">
        <f aca="false">LEFT(I79,5)</f>
        <v>B0055</v>
      </c>
      <c r="I79" s="230" t="s">
        <v>1236</v>
      </c>
      <c r="J79" s="221" t="s">
        <v>1237</v>
      </c>
      <c r="K79" s="230" t="s">
        <v>1072</v>
      </c>
      <c r="L79" s="230" t="s">
        <v>1073</v>
      </c>
      <c r="M79" s="230" t="s">
        <v>133</v>
      </c>
      <c r="N79" s="231" t="n">
        <v>0</v>
      </c>
      <c r="O79" s="231" t="n">
        <v>2</v>
      </c>
      <c r="P79" s="231" t="n">
        <v>2</v>
      </c>
      <c r="Q79" s="232" t="n">
        <v>17.99</v>
      </c>
      <c r="R79" s="235" t="n">
        <v>6</v>
      </c>
      <c r="S79" s="224" t="n">
        <v>6</v>
      </c>
      <c r="T79" s="225" t="n">
        <f aca="false">Q79*R79*S79</f>
        <v>647.64</v>
      </c>
      <c r="U79" s="226" t="n">
        <f aca="false">T79*P79</f>
        <v>1295.28</v>
      </c>
      <c r="V79" s="233"/>
    </row>
    <row r="80" customFormat="false" ht="13.5" hidden="false" customHeight="true" outlineLevel="0" collapsed="false">
      <c r="B80" s="228" t="n">
        <v>223</v>
      </c>
      <c r="C80" s="236" t="s">
        <v>1113</v>
      </c>
      <c r="D80" s="219" t="n">
        <v>21451</v>
      </c>
      <c r="E80" s="220" t="str">
        <f aca="false">IF(D80="","",IFERROR(VLOOKUP(D80,CCN_Library!$A$4:$B$13,2,FALSE()),"NOT IN LIBRARY"))</f>
        <v>AUTOMOTIVE ORGANIZATIONAL SHOP</v>
      </c>
      <c r="F80" s="229"/>
      <c r="G80" s="230" t="s">
        <v>1069</v>
      </c>
      <c r="H80" s="221" t="str">
        <f aca="false">LEFT(I80,5)</f>
        <v>C1023</v>
      </c>
      <c r="I80" s="230" t="s">
        <v>1238</v>
      </c>
      <c r="J80" s="221" t="s">
        <v>1239</v>
      </c>
      <c r="K80" s="230" t="s">
        <v>1072</v>
      </c>
      <c r="L80" s="237"/>
      <c r="M80" s="230" t="s">
        <v>133</v>
      </c>
      <c r="N80" s="231" t="n">
        <v>0</v>
      </c>
      <c r="O80" s="231" t="n">
        <v>0</v>
      </c>
      <c r="P80" s="231" t="n">
        <v>0</v>
      </c>
      <c r="Q80" s="232" t="n">
        <v>0.5</v>
      </c>
      <c r="R80" s="232" t="n">
        <v>0.5</v>
      </c>
      <c r="S80" s="224" t="n">
        <v>0.17</v>
      </c>
      <c r="T80" s="225" t="n">
        <f aca="false">Q80*R80*S80</f>
        <v>0.0425</v>
      </c>
      <c r="U80" s="226" t="n">
        <f aca="false">T80*P80</f>
        <v>0</v>
      </c>
      <c r="V80" s="233"/>
    </row>
    <row r="81" customFormat="false" ht="13.5" hidden="false" customHeight="true" outlineLevel="0" collapsed="false">
      <c r="B81" s="228" t="n">
        <v>226</v>
      </c>
      <c r="C81" s="236" t="s">
        <v>1074</v>
      </c>
      <c r="D81" s="219" t="n">
        <v>44112</v>
      </c>
      <c r="E81" s="220" t="str">
        <f aca="false">IF(D81="","",IFERROR(VLOOKUP(D81,CCN_Library!$A$4:$B$13,2,FALSE()),"NOT IN LIBRARY"))</f>
        <v>STORAGE OF AIR OR GROUND ORGANIC UNITS FOR MARINE CORPS</v>
      </c>
      <c r="F81" s="229"/>
      <c r="G81" s="230" t="s">
        <v>1069</v>
      </c>
      <c r="H81" s="221" t="str">
        <f aca="false">LEFT(I81,5)</f>
        <v>C8604</v>
      </c>
      <c r="I81" s="230" t="s">
        <v>1240</v>
      </c>
      <c r="J81" s="221" t="s">
        <v>1241</v>
      </c>
      <c r="K81" s="230" t="s">
        <v>1072</v>
      </c>
      <c r="L81" s="237"/>
      <c r="M81" s="230" t="s">
        <v>133</v>
      </c>
      <c r="N81" s="231" t="n">
        <v>0</v>
      </c>
      <c r="O81" s="231" t="n">
        <v>4</v>
      </c>
      <c r="P81" s="231" t="n">
        <v>4</v>
      </c>
      <c r="Q81" s="232" t="n">
        <v>4.17</v>
      </c>
      <c r="R81" s="232" t="n">
        <v>3.33</v>
      </c>
      <c r="S81" s="224" t="n">
        <v>3.5</v>
      </c>
      <c r="T81" s="225" t="n">
        <f aca="false">Q81*R81*S81</f>
        <v>48.60135</v>
      </c>
      <c r="U81" s="226" t="n">
        <f aca="false">T81*P81</f>
        <v>194.4054</v>
      </c>
      <c r="V81" s="233"/>
    </row>
    <row r="82" customFormat="false" ht="13.5" hidden="false" customHeight="true" outlineLevel="0" collapsed="false">
      <c r="B82" s="228" t="n">
        <v>229</v>
      </c>
      <c r="C82" s="236" t="s">
        <v>1074</v>
      </c>
      <c r="D82" s="219" t="n">
        <v>44112</v>
      </c>
      <c r="E82" s="220" t="str">
        <f aca="false">IF(D82="","",IFERROR(VLOOKUP(D82,CCN_Library!$A$4:$B$13,2,FALSE()),"NOT IN LIBRARY"))</f>
        <v>STORAGE OF AIR OR GROUND ORGANIC UNITS FOR MARINE CORPS</v>
      </c>
      <c r="F82" s="229"/>
      <c r="G82" s="230" t="s">
        <v>1069</v>
      </c>
      <c r="H82" s="221" t="str">
        <f aca="false">LEFT(I82,5)</f>
        <v>C8656</v>
      </c>
      <c r="I82" s="230" t="s">
        <v>1242</v>
      </c>
      <c r="J82" s="221" t="s">
        <v>1243</v>
      </c>
      <c r="K82" s="230" t="s">
        <v>1072</v>
      </c>
      <c r="L82" s="237"/>
      <c r="M82" s="230" t="s">
        <v>133</v>
      </c>
      <c r="N82" s="231" t="n">
        <v>0</v>
      </c>
      <c r="O82" s="231" t="n">
        <v>10</v>
      </c>
      <c r="P82" s="231" t="n">
        <v>10</v>
      </c>
      <c r="Q82" s="232" t="n">
        <v>4.17</v>
      </c>
      <c r="R82" s="232" t="n">
        <v>27.74</v>
      </c>
      <c r="S82" s="224" t="n">
        <v>4</v>
      </c>
      <c r="T82" s="225" t="n">
        <f aca="false">Q82*R82*S82</f>
        <v>462.7032</v>
      </c>
      <c r="U82" s="226" t="n">
        <f aca="false">T82*P82</f>
        <v>4627.032</v>
      </c>
      <c r="V82" s="233"/>
    </row>
    <row r="83" customFormat="false" ht="13.5" hidden="false" customHeight="true" outlineLevel="0" collapsed="false">
      <c r="B83" s="228" t="n">
        <v>230</v>
      </c>
      <c r="C83" s="236" t="s">
        <v>1068</v>
      </c>
      <c r="D83" s="219" t="n">
        <v>14345</v>
      </c>
      <c r="E83" s="220" t="str">
        <f aca="false">IF(D83="","",IFERROR(VLOOKUP(D83,CCN_Library!$A$4:$B$13,2,FALSE()),"NOT IN LIBRARY"))</f>
        <v>ARMORY</v>
      </c>
      <c r="F83" s="229"/>
      <c r="G83" s="230" t="s">
        <v>1069</v>
      </c>
      <c r="H83" s="221" t="str">
        <f aca="false">LEFT(I83,5)</f>
        <v>E1126</v>
      </c>
      <c r="I83" s="230" t="s">
        <v>1244</v>
      </c>
      <c r="J83" s="221" t="s">
        <v>1245</v>
      </c>
      <c r="K83" s="230" t="s">
        <v>1072</v>
      </c>
      <c r="L83" s="230" t="s">
        <v>1073</v>
      </c>
      <c r="M83" s="230" t="s">
        <v>133</v>
      </c>
      <c r="N83" s="231" t="n">
        <v>0</v>
      </c>
      <c r="O83" s="231" t="n">
        <v>4</v>
      </c>
      <c r="P83" s="231" t="n">
        <v>4</v>
      </c>
      <c r="Q83" s="232" t="n">
        <v>6.33</v>
      </c>
      <c r="R83" s="232" t="n">
        <v>5.16</v>
      </c>
      <c r="S83" s="224" t="n">
        <v>1.17</v>
      </c>
      <c r="T83" s="225" t="n">
        <f aca="false">Q83*R83*S83</f>
        <v>38.215476</v>
      </c>
      <c r="U83" s="226" t="n">
        <f aca="false">T83*P83</f>
        <v>152.861904</v>
      </c>
      <c r="V83" s="233"/>
    </row>
    <row r="84" customFormat="false" ht="13.5" hidden="false" customHeight="true" outlineLevel="0" collapsed="false">
      <c r="B84" s="228" t="n">
        <v>231</v>
      </c>
      <c r="C84" s="236" t="s">
        <v>1068</v>
      </c>
      <c r="D84" s="219" t="n">
        <v>14345</v>
      </c>
      <c r="E84" s="220" t="str">
        <f aca="false">IF(D84="","",IFERROR(VLOOKUP(D84,CCN_Library!$A$4:$B$13,2,FALSE()),"NOT IN LIBRARY"))</f>
        <v>ARMORY</v>
      </c>
      <c r="F84" s="229"/>
      <c r="G84" s="230" t="s">
        <v>1069</v>
      </c>
      <c r="H84" s="221" t="str">
        <f aca="false">LEFT(I84,5)</f>
        <v>E1710</v>
      </c>
      <c r="I84" s="230" t="s">
        <v>1246</v>
      </c>
      <c r="J84" s="221" t="s">
        <v>1247</v>
      </c>
      <c r="K84" s="230" t="s">
        <v>1072</v>
      </c>
      <c r="L84" s="230" t="s">
        <v>1073</v>
      </c>
      <c r="M84" s="230" t="s">
        <v>133</v>
      </c>
      <c r="N84" s="231" t="n">
        <v>58</v>
      </c>
      <c r="O84" s="231" t="n">
        <v>0</v>
      </c>
      <c r="P84" s="231" t="n">
        <v>58</v>
      </c>
      <c r="Q84" s="232" t="n">
        <v>0.5</v>
      </c>
      <c r="R84" s="232" t="n">
        <v>0.33</v>
      </c>
      <c r="S84" s="224" t="n">
        <v>0.25</v>
      </c>
      <c r="T84" s="225" t="n">
        <f aca="false">Q84*R84*S84</f>
        <v>0.04125</v>
      </c>
      <c r="U84" s="226" t="n">
        <f aca="false">T84*P84</f>
        <v>2.3925</v>
      </c>
      <c r="V84" s="233"/>
    </row>
    <row r="85" customFormat="false" ht="13.5" hidden="false" customHeight="true" outlineLevel="0" collapsed="false">
      <c r="B85" s="228" t="n">
        <v>232</v>
      </c>
      <c r="C85" s="236" t="s">
        <v>1068</v>
      </c>
      <c r="D85" s="219" t="n">
        <v>14345</v>
      </c>
      <c r="E85" s="220" t="str">
        <f aca="false">IF(D85="","",IFERROR(VLOOKUP(D85,CCN_Library!$A$4:$B$13,2,FALSE()),"NOT IN LIBRARY"))</f>
        <v>ARMORY</v>
      </c>
      <c r="F85" s="229"/>
      <c r="G85" s="230" t="s">
        <v>1069</v>
      </c>
      <c r="H85" s="221" t="str">
        <f aca="false">LEFT(I85,5)</f>
        <v>E1948</v>
      </c>
      <c r="I85" s="230" t="s">
        <v>1248</v>
      </c>
      <c r="J85" s="221" t="s">
        <v>1249</v>
      </c>
      <c r="K85" s="230" t="s">
        <v>1072</v>
      </c>
      <c r="L85" s="230" t="s">
        <v>1073</v>
      </c>
      <c r="M85" s="230" t="s">
        <v>133</v>
      </c>
      <c r="N85" s="231" t="n">
        <v>0</v>
      </c>
      <c r="O85" s="231" t="n">
        <v>1</v>
      </c>
      <c r="P85" s="231" t="n">
        <v>1</v>
      </c>
      <c r="Q85" s="232" t="n">
        <v>0.92</v>
      </c>
      <c r="R85" s="232" t="n">
        <v>1.25</v>
      </c>
      <c r="S85" s="224" t="n">
        <v>0.5</v>
      </c>
      <c r="T85" s="225" t="n">
        <f aca="false">Q85*R85*S85</f>
        <v>0.575</v>
      </c>
      <c r="U85" s="226" t="n">
        <f aca="false">T85*P85</f>
        <v>0.575</v>
      </c>
      <c r="V85" s="233"/>
    </row>
    <row r="86" customFormat="false" ht="13.5" hidden="false" customHeight="true" outlineLevel="0" collapsed="false">
      <c r="B86" s="228" t="n">
        <v>235</v>
      </c>
      <c r="C86" s="236" t="s">
        <v>1074</v>
      </c>
      <c r="D86" s="219" t="n">
        <v>44112</v>
      </c>
      <c r="E86" s="220" t="str">
        <f aca="false">IF(D86="","",IFERROR(VLOOKUP(D86,CCN_Library!$A$4:$B$13,2,FALSE()),"NOT IN LIBRARY"))</f>
        <v>STORAGE OF AIR OR GROUND ORGANIC UNITS FOR MARINE CORPS</v>
      </c>
      <c r="F86" s="229"/>
      <c r="G86" s="230" t="s">
        <v>1069</v>
      </c>
      <c r="H86" s="221" t="str">
        <f aca="false">LEFT(I86,5)</f>
        <v>C2200</v>
      </c>
      <c r="I86" s="230" t="s">
        <v>1250</v>
      </c>
      <c r="J86" s="221" t="s">
        <v>1251</v>
      </c>
      <c r="K86" s="230" t="s">
        <v>1072</v>
      </c>
      <c r="L86" s="230" t="s">
        <v>1252</v>
      </c>
      <c r="M86" s="230" t="s">
        <v>133</v>
      </c>
      <c r="N86" s="231" t="n">
        <v>15</v>
      </c>
      <c r="O86" s="231" t="n">
        <v>0</v>
      </c>
      <c r="P86" s="231" t="n">
        <v>15</v>
      </c>
      <c r="Q86" s="232" t="n">
        <v>1.08</v>
      </c>
      <c r="R86" s="232" t="n">
        <v>0.62</v>
      </c>
      <c r="S86" s="224" t="n">
        <v>0.87</v>
      </c>
      <c r="T86" s="225" t="n">
        <f aca="false">Q86*R86*S86</f>
        <v>0.582552</v>
      </c>
      <c r="U86" s="226" t="n">
        <f aca="false">T86*P86</f>
        <v>8.73828</v>
      </c>
      <c r="V86" s="233"/>
    </row>
    <row r="87" customFormat="false" ht="13.5" hidden="false" customHeight="true" outlineLevel="0" collapsed="false">
      <c r="B87" s="228" t="n">
        <v>236</v>
      </c>
      <c r="C87" s="236" t="s">
        <v>1074</v>
      </c>
      <c r="D87" s="219" t="n">
        <v>44112</v>
      </c>
      <c r="E87" s="220" t="str">
        <f aca="false">IF(D87="","",IFERROR(VLOOKUP(D87,CCN_Library!$A$4:$B$13,2,FALSE()),"NOT IN LIBRARY"))</f>
        <v>STORAGE OF AIR OR GROUND ORGANIC UNITS FOR MARINE CORPS</v>
      </c>
      <c r="F87" s="229"/>
      <c r="G87" s="230" t="s">
        <v>1069</v>
      </c>
      <c r="H87" s="221" t="str">
        <f aca="false">LEFT(I87,5)</f>
        <v>B0028</v>
      </c>
      <c r="I87" s="230" t="s">
        <v>1253</v>
      </c>
      <c r="J87" s="221" t="s">
        <v>1254</v>
      </c>
      <c r="K87" s="230" t="s">
        <v>1072</v>
      </c>
      <c r="L87" s="230" t="s">
        <v>1073</v>
      </c>
      <c r="M87" s="230" t="s">
        <v>1116</v>
      </c>
      <c r="N87" s="231" t="n">
        <v>0</v>
      </c>
      <c r="O87" s="231" t="n">
        <v>12</v>
      </c>
      <c r="P87" s="231" t="n">
        <v>12</v>
      </c>
      <c r="Q87" s="232" t="n">
        <v>1.58</v>
      </c>
      <c r="R87" s="232" t="n">
        <v>1.5</v>
      </c>
      <c r="S87" s="224" t="n">
        <v>1.17</v>
      </c>
      <c r="T87" s="225" t="n">
        <f aca="false">Q87*R87*S87</f>
        <v>2.7729</v>
      </c>
      <c r="U87" s="226" t="n">
        <f aca="false">T87*P87</f>
        <v>33.2748</v>
      </c>
      <c r="V87" s="233"/>
    </row>
    <row r="88" customFormat="false" ht="13.5" hidden="false" customHeight="true" outlineLevel="0" collapsed="false">
      <c r="B88" s="228" t="n">
        <v>237</v>
      </c>
      <c r="C88" s="236" t="s">
        <v>1074</v>
      </c>
      <c r="D88" s="219" t="n">
        <v>44112</v>
      </c>
      <c r="E88" s="220" t="str">
        <f aca="false">IF(D88="","",IFERROR(VLOOKUP(D88,CCN_Library!$A$4:$B$13,2,FALSE()),"NOT IN LIBRARY"))</f>
        <v>STORAGE OF AIR OR GROUND ORGANIC UNITS FOR MARINE CORPS</v>
      </c>
      <c r="F88" s="229"/>
      <c r="G88" s="230" t="s">
        <v>1069</v>
      </c>
      <c r="H88" s="221" t="str">
        <f aca="false">LEFT(I88,5)</f>
        <v>B0029</v>
      </c>
      <c r="I88" s="230" t="s">
        <v>1255</v>
      </c>
      <c r="J88" s="221" t="s">
        <v>1256</v>
      </c>
      <c r="K88" s="230" t="s">
        <v>1072</v>
      </c>
      <c r="L88" s="230" t="s">
        <v>1073</v>
      </c>
      <c r="M88" s="230" t="s">
        <v>1116</v>
      </c>
      <c r="N88" s="231" t="n">
        <v>0</v>
      </c>
      <c r="O88" s="231" t="n">
        <v>6</v>
      </c>
      <c r="P88" s="231" t="n">
        <v>6</v>
      </c>
      <c r="Q88" s="232" t="n">
        <v>2.17</v>
      </c>
      <c r="R88" s="232" t="n">
        <v>1.92</v>
      </c>
      <c r="S88" s="224" t="n">
        <v>1.42</v>
      </c>
      <c r="T88" s="225" t="n">
        <f aca="false">Q88*R88*S88</f>
        <v>5.916288</v>
      </c>
      <c r="U88" s="226" t="n">
        <f aca="false">T88*P88</f>
        <v>35.497728</v>
      </c>
      <c r="V88" s="233"/>
    </row>
    <row r="89" customFormat="false" ht="13.5" hidden="false" customHeight="true" outlineLevel="0" collapsed="false">
      <c r="B89" s="228" t="n">
        <v>240</v>
      </c>
      <c r="C89" s="236" t="s">
        <v>1074</v>
      </c>
      <c r="D89" s="219" t="n">
        <v>44112</v>
      </c>
      <c r="E89" s="220" t="str">
        <f aca="false">IF(D89="","",IFERROR(VLOOKUP(D89,CCN_Library!$A$4:$B$13,2,FALSE()),"NOT IN LIBRARY"))</f>
        <v>STORAGE OF AIR OR GROUND ORGANIC UNITS FOR MARINE CORPS</v>
      </c>
      <c r="F89" s="229"/>
      <c r="G89" s="230" t="s">
        <v>1069</v>
      </c>
      <c r="H89" s="221" t="str">
        <f aca="false">LEFT(I89,5)</f>
        <v>C2110</v>
      </c>
      <c r="I89" s="230" t="s">
        <v>1257</v>
      </c>
      <c r="J89" s="221" t="s">
        <v>1258</v>
      </c>
      <c r="K89" s="230" t="s">
        <v>1072</v>
      </c>
      <c r="L89" s="230" t="s">
        <v>1259</v>
      </c>
      <c r="M89" s="230" t="s">
        <v>133</v>
      </c>
      <c r="N89" s="231" t="n">
        <v>31</v>
      </c>
      <c r="O89" s="231" t="n">
        <v>27</v>
      </c>
      <c r="P89" s="231" t="n">
        <v>58</v>
      </c>
      <c r="Q89" s="232" t="n">
        <v>0.67</v>
      </c>
      <c r="R89" s="232" t="n">
        <v>0.67</v>
      </c>
      <c r="S89" s="224" t="n">
        <v>0.13</v>
      </c>
      <c r="T89" s="225" t="n">
        <f aca="false">Q89*R89*S89</f>
        <v>0.058357</v>
      </c>
      <c r="U89" s="226" t="n">
        <f aca="false">T89*P89</f>
        <v>3.384706</v>
      </c>
      <c r="V89" s="233"/>
    </row>
    <row r="90" customFormat="false" ht="13.5" hidden="false" customHeight="true" outlineLevel="0" collapsed="false">
      <c r="B90" s="228" t="n">
        <v>245</v>
      </c>
      <c r="C90" s="236" t="s">
        <v>1074</v>
      </c>
      <c r="D90" s="219" t="n">
        <v>44112</v>
      </c>
      <c r="E90" s="220" t="str">
        <f aca="false">IF(D90="","",IFERROR(VLOOKUP(D90,CCN_Library!$A$4:$B$13,2,FALSE()),"NOT IN LIBRARY"))</f>
        <v>STORAGE OF AIR OR GROUND ORGANIC UNITS FOR MARINE CORPS</v>
      </c>
      <c r="F90" s="229"/>
      <c r="G90" s="230" t="s">
        <v>1069</v>
      </c>
      <c r="H90" s="221" t="str">
        <f aca="false">LEFT(I90,5)</f>
        <v>C3124</v>
      </c>
      <c r="I90" s="230" t="s">
        <v>1260</v>
      </c>
      <c r="J90" s="221" t="s">
        <v>1261</v>
      </c>
      <c r="K90" s="230" t="s">
        <v>1072</v>
      </c>
      <c r="L90" s="230" t="s">
        <v>1073</v>
      </c>
      <c r="M90" s="230" t="s">
        <v>133</v>
      </c>
      <c r="N90" s="231" t="n">
        <v>275</v>
      </c>
      <c r="O90" s="231" t="n">
        <v>0</v>
      </c>
      <c r="P90" s="231" t="n">
        <v>275</v>
      </c>
      <c r="Q90" s="232" t="n">
        <v>0.33</v>
      </c>
      <c r="R90" s="232" t="n">
        <v>0.33</v>
      </c>
      <c r="S90" s="224" t="n">
        <v>0.08</v>
      </c>
      <c r="T90" s="225" t="n">
        <f aca="false">Q90*R90*S90</f>
        <v>0.008712</v>
      </c>
      <c r="U90" s="226" t="n">
        <f aca="false">T90*P90</f>
        <v>2.3958</v>
      </c>
      <c r="V90" s="233"/>
    </row>
    <row r="91" customFormat="false" ht="13.5" hidden="false" customHeight="true" outlineLevel="0" collapsed="false">
      <c r="B91" s="228" t="n">
        <v>246</v>
      </c>
      <c r="C91" s="236" t="s">
        <v>1074</v>
      </c>
      <c r="D91" s="219" t="n">
        <v>44112</v>
      </c>
      <c r="E91" s="220" t="str">
        <f aca="false">IF(D91="","",IFERROR(VLOOKUP(D91,CCN_Library!$A$4:$B$13,2,FALSE()),"NOT IN LIBRARY"))</f>
        <v>STORAGE OF AIR OR GROUND ORGANIC UNITS FOR MARINE CORPS</v>
      </c>
      <c r="F91" s="229"/>
      <c r="G91" s="230" t="s">
        <v>1069</v>
      </c>
      <c r="H91" s="221" t="str">
        <f aca="false">LEFT(I91,5)</f>
        <v>C0190</v>
      </c>
      <c r="I91" s="230" t="s">
        <v>1262</v>
      </c>
      <c r="J91" s="221" t="s">
        <v>1263</v>
      </c>
      <c r="K91" s="230" t="s">
        <v>1072</v>
      </c>
      <c r="L91" s="230" t="s">
        <v>1073</v>
      </c>
      <c r="M91" s="230" t="s">
        <v>133</v>
      </c>
      <c r="N91" s="231" t="n">
        <v>0</v>
      </c>
      <c r="O91" s="231" t="n">
        <v>0</v>
      </c>
      <c r="P91" s="231" t="n">
        <v>0</v>
      </c>
      <c r="Q91" s="232" t="n">
        <v>0.5</v>
      </c>
      <c r="R91" s="232" t="n">
        <v>0.25</v>
      </c>
      <c r="S91" s="224" t="n">
        <v>0.17</v>
      </c>
      <c r="T91" s="225" t="n">
        <f aca="false">Q91*R91*S91</f>
        <v>0.02125</v>
      </c>
      <c r="U91" s="226" t="n">
        <f aca="false">T91*P91</f>
        <v>0</v>
      </c>
      <c r="V91" s="233"/>
    </row>
    <row r="92" customFormat="false" ht="13.5" hidden="false" customHeight="true" outlineLevel="0" collapsed="false">
      <c r="B92" s="228" t="n">
        <v>254</v>
      </c>
      <c r="C92" s="236" t="s">
        <v>1077</v>
      </c>
      <c r="D92" s="219" t="n">
        <v>21710</v>
      </c>
      <c r="E92" s="220" t="str">
        <f aca="false">IF(D92="","",IFERROR(VLOOKUP(D92,CCN_Library!$A$4:$B$13,2,FALSE()),"NOT IN LIBRARY"))</f>
        <v>ELECTRONICS/COMMUNICATIONS MAINTENANCE SHOP</v>
      </c>
      <c r="F92" s="229"/>
      <c r="G92" s="230" t="s">
        <v>1069</v>
      </c>
      <c r="H92" s="221" t="str">
        <f aca="false">LEFT(I92,5)</f>
        <v>K0027</v>
      </c>
      <c r="I92" s="230" t="s">
        <v>1264</v>
      </c>
      <c r="J92" s="221" t="s">
        <v>1265</v>
      </c>
      <c r="K92" s="230" t="s">
        <v>1072</v>
      </c>
      <c r="L92" s="230" t="s">
        <v>1073</v>
      </c>
      <c r="M92" s="230" t="s">
        <v>133</v>
      </c>
      <c r="N92" s="231" t="n">
        <v>0</v>
      </c>
      <c r="O92" s="231" t="n">
        <v>4</v>
      </c>
      <c r="P92" s="231" t="n">
        <v>4</v>
      </c>
      <c r="Q92" s="232" t="n">
        <v>1.29</v>
      </c>
      <c r="R92" s="232" t="n">
        <v>0.87</v>
      </c>
      <c r="S92" s="224" t="n">
        <v>0.29</v>
      </c>
      <c r="T92" s="225" t="n">
        <f aca="false">Q92*R92*S92</f>
        <v>0.325467</v>
      </c>
      <c r="U92" s="226" t="n">
        <f aca="false">T92*P92</f>
        <v>1.301868</v>
      </c>
      <c r="V92" s="233"/>
    </row>
    <row r="93" customFormat="false" ht="13.5" hidden="false" customHeight="true" outlineLevel="0" collapsed="false">
      <c r="B93" s="228" t="n">
        <v>255</v>
      </c>
      <c r="C93" s="236" t="s">
        <v>1077</v>
      </c>
      <c r="D93" s="219" t="n">
        <v>21710</v>
      </c>
      <c r="E93" s="220" t="str">
        <f aca="false">IF(D93="","",IFERROR(VLOOKUP(D93,CCN_Library!$A$4:$B$13,2,FALSE()),"NOT IN LIBRARY"))</f>
        <v>ELECTRONICS/COMMUNICATIONS MAINTENANCE SHOP</v>
      </c>
      <c r="F93" s="229"/>
      <c r="G93" s="230" t="s">
        <v>1069</v>
      </c>
      <c r="H93" s="221" t="str">
        <f aca="false">LEFT(I93,5)</f>
        <v>A0331</v>
      </c>
      <c r="I93" s="230" t="s">
        <v>1266</v>
      </c>
      <c r="J93" s="221" t="s">
        <v>1267</v>
      </c>
      <c r="K93" s="230" t="s">
        <v>1072</v>
      </c>
      <c r="L93" s="230" t="s">
        <v>1073</v>
      </c>
      <c r="M93" s="230" t="s">
        <v>133</v>
      </c>
      <c r="N93" s="231" t="n">
        <v>0</v>
      </c>
      <c r="O93" s="231" t="n">
        <v>2</v>
      </c>
      <c r="P93" s="231" t="n">
        <v>2</v>
      </c>
      <c r="Q93" s="232" t="n">
        <v>1.2</v>
      </c>
      <c r="R93" s="232" t="n">
        <v>1.04</v>
      </c>
      <c r="S93" s="224" t="n">
        <v>0.92</v>
      </c>
      <c r="T93" s="225" t="n">
        <f aca="false">Q93*R93*S93</f>
        <v>1.14816</v>
      </c>
      <c r="U93" s="226" t="n">
        <f aca="false">T93*P93</f>
        <v>2.29632</v>
      </c>
      <c r="V93" s="233"/>
    </row>
    <row r="94" customFormat="false" ht="13.5" hidden="false" customHeight="true" outlineLevel="0" collapsed="false">
      <c r="B94" s="228" t="n">
        <v>256</v>
      </c>
      <c r="C94" s="236" t="s">
        <v>1068</v>
      </c>
      <c r="D94" s="219" t="n">
        <v>14345</v>
      </c>
      <c r="E94" s="220" t="str">
        <f aca="false">IF(D94="","",IFERROR(VLOOKUP(D94,CCN_Library!$A$4:$B$13,2,FALSE()),"NOT IN LIBRARY"))</f>
        <v>ARMORY</v>
      </c>
      <c r="F94" s="229"/>
      <c r="G94" s="230" t="s">
        <v>1069</v>
      </c>
      <c r="H94" s="221" t="str">
        <f aca="false">LEFT(I94,5)</f>
        <v>E0956</v>
      </c>
      <c r="I94" s="230" t="s">
        <v>1268</v>
      </c>
      <c r="J94" s="221" t="s">
        <v>1269</v>
      </c>
      <c r="K94" s="230" t="s">
        <v>1072</v>
      </c>
      <c r="L94" s="230" t="s">
        <v>1073</v>
      </c>
      <c r="M94" s="230" t="s">
        <v>133</v>
      </c>
      <c r="N94" s="231" t="n">
        <v>0</v>
      </c>
      <c r="O94" s="231" t="n">
        <v>6</v>
      </c>
      <c r="P94" s="231" t="n">
        <v>6</v>
      </c>
      <c r="Q94" s="232" t="n">
        <v>0.83</v>
      </c>
      <c r="R94" s="232" t="n">
        <v>0.08</v>
      </c>
      <c r="S94" s="224" t="n">
        <v>0.33</v>
      </c>
      <c r="T94" s="225" t="n">
        <f aca="false">Q94*R94*S94</f>
        <v>0.021912</v>
      </c>
      <c r="U94" s="226" t="n">
        <f aca="false">T94*P94</f>
        <v>0.131472</v>
      </c>
      <c r="V94" s="233"/>
    </row>
    <row r="95" customFormat="false" ht="13.5" hidden="false" customHeight="true" outlineLevel="0" collapsed="false">
      <c r="B95" s="228" t="n">
        <v>258</v>
      </c>
      <c r="C95" s="236" t="s">
        <v>1074</v>
      </c>
      <c r="D95" s="219" t="n">
        <v>44112</v>
      </c>
      <c r="E95" s="220" t="str">
        <f aca="false">IF(D95="","",IFERROR(VLOOKUP(D95,CCN_Library!$A$4:$B$13,2,FALSE()),"NOT IN LIBRARY"))</f>
        <v>STORAGE OF AIR OR GROUND ORGANIC UNITS FOR MARINE CORPS</v>
      </c>
      <c r="F95" s="229"/>
      <c r="G95" s="230" t="s">
        <v>1069</v>
      </c>
      <c r="H95" s="221" t="str">
        <f aca="false">LEFT(I95,5)</f>
        <v>C3400</v>
      </c>
      <c r="I95" s="230" t="s">
        <v>1270</v>
      </c>
      <c r="J95" s="221" t="s">
        <v>1271</v>
      </c>
      <c r="K95" s="230" t="s">
        <v>1072</v>
      </c>
      <c r="L95" s="230" t="s">
        <v>1073</v>
      </c>
      <c r="M95" s="230" t="s">
        <v>133</v>
      </c>
      <c r="N95" s="231" t="n">
        <v>305</v>
      </c>
      <c r="O95" s="231" t="n">
        <v>0</v>
      </c>
      <c r="P95" s="231" t="n">
        <v>305</v>
      </c>
      <c r="Q95" s="235" t="n">
        <v>1</v>
      </c>
      <c r="R95" s="235" t="n">
        <v>1</v>
      </c>
      <c r="S95" s="224" t="n">
        <v>0.08</v>
      </c>
      <c r="T95" s="225" t="n">
        <f aca="false">Q95*R95*S95</f>
        <v>0.08</v>
      </c>
      <c r="U95" s="226" t="n">
        <f aca="false">T95*P95</f>
        <v>24.4</v>
      </c>
      <c r="V95" s="233"/>
    </row>
    <row r="96" customFormat="false" ht="13.5" hidden="false" customHeight="true" outlineLevel="0" collapsed="false">
      <c r="B96" s="228" t="n">
        <v>260</v>
      </c>
      <c r="C96" s="236" t="s">
        <v>1074</v>
      </c>
      <c r="D96" s="219" t="n">
        <v>44112</v>
      </c>
      <c r="E96" s="220" t="str">
        <f aca="false">IF(D96="","",IFERROR(VLOOKUP(D96,CCN_Library!$A$4:$B$13,2,FALSE()),"NOT IN LIBRARY"))</f>
        <v>STORAGE OF AIR OR GROUND ORGANIC UNITS FOR MARINE CORPS</v>
      </c>
      <c r="F96" s="229"/>
      <c r="G96" s="230" t="s">
        <v>1069</v>
      </c>
      <c r="H96" s="221" t="str">
        <f aca="false">LEFT(I96,5)</f>
        <v>C0029</v>
      </c>
      <c r="I96" s="230" t="s">
        <v>1272</v>
      </c>
      <c r="J96" s="221" t="s">
        <v>1273</v>
      </c>
      <c r="K96" s="230" t="s">
        <v>1072</v>
      </c>
      <c r="L96" s="230" t="s">
        <v>1099</v>
      </c>
      <c r="M96" s="230" t="s">
        <v>133</v>
      </c>
      <c r="N96" s="231" t="n">
        <v>305</v>
      </c>
      <c r="O96" s="231" t="n">
        <v>0</v>
      </c>
      <c r="P96" s="231" t="n">
        <v>305</v>
      </c>
      <c r="Q96" s="232" t="n">
        <v>0.83</v>
      </c>
      <c r="R96" s="232" t="n">
        <v>0.5</v>
      </c>
      <c r="S96" s="224" t="n">
        <v>0.17</v>
      </c>
      <c r="T96" s="225" t="n">
        <f aca="false">Q96*R96*S96</f>
        <v>0.07055</v>
      </c>
      <c r="U96" s="226" t="n">
        <f aca="false">T96*P96</f>
        <v>21.51775</v>
      </c>
      <c r="V96" s="233"/>
    </row>
    <row r="97" customFormat="false" ht="13.5" hidden="false" customHeight="true" outlineLevel="0" collapsed="false">
      <c r="B97" s="228" t="n">
        <v>261</v>
      </c>
      <c r="C97" s="236" t="s">
        <v>1077</v>
      </c>
      <c r="D97" s="219" t="n">
        <v>21710</v>
      </c>
      <c r="E97" s="220" t="str">
        <f aca="false">IF(D97="","",IFERROR(VLOOKUP(D97,CCN_Library!$A$4:$B$13,2,FALSE()),"NOT IN LIBRARY"))</f>
        <v>ELECTRONICS/COMMUNICATIONS MAINTENANCE SHOP</v>
      </c>
      <c r="F97" s="229"/>
      <c r="G97" s="230" t="s">
        <v>1069</v>
      </c>
      <c r="H97" s="221" t="str">
        <f aca="false">LEFT(I97,5)</f>
        <v>A1260</v>
      </c>
      <c r="I97" s="230" t="s">
        <v>1274</v>
      </c>
      <c r="J97" s="221" t="s">
        <v>1275</v>
      </c>
      <c r="K97" s="230" t="s">
        <v>1072</v>
      </c>
      <c r="L97" s="230" t="s">
        <v>1073</v>
      </c>
      <c r="M97" s="237"/>
      <c r="N97" s="231" t="n">
        <v>0</v>
      </c>
      <c r="O97" s="231" t="n">
        <v>30</v>
      </c>
      <c r="P97" s="231" t="n">
        <v>30</v>
      </c>
      <c r="Q97" s="232" t="n">
        <v>0.58</v>
      </c>
      <c r="R97" s="232" t="n">
        <v>0.33</v>
      </c>
      <c r="S97" s="224" t="n">
        <v>0.17</v>
      </c>
      <c r="T97" s="225" t="n">
        <f aca="false">Q97*R97*S97</f>
        <v>0.032538</v>
      </c>
      <c r="U97" s="226" t="n">
        <f aca="false">T97*P97</f>
        <v>0.97614</v>
      </c>
      <c r="V97" s="233"/>
    </row>
    <row r="98" customFormat="false" ht="13.5" hidden="false" customHeight="true" outlineLevel="0" collapsed="false">
      <c r="B98" s="228" t="n">
        <v>264</v>
      </c>
      <c r="C98" s="236" t="s">
        <v>1068</v>
      </c>
      <c r="D98" s="219" t="n">
        <v>14345</v>
      </c>
      <c r="E98" s="220" t="str">
        <f aca="false">IF(D98="","",IFERROR(VLOOKUP(D98,CCN_Library!$A$4:$B$13,2,FALSE()),"NOT IN LIBRARY"))</f>
        <v>ARMORY</v>
      </c>
      <c r="F98" s="229"/>
      <c r="G98" s="230" t="s">
        <v>1069</v>
      </c>
      <c r="H98" s="221" t="str">
        <f aca="false">LEFT(I98,5)</f>
        <v>E1120</v>
      </c>
      <c r="I98" s="230" t="s">
        <v>1276</v>
      </c>
      <c r="J98" s="221" t="s">
        <v>1277</v>
      </c>
      <c r="K98" s="230" t="s">
        <v>1072</v>
      </c>
      <c r="L98" s="230" t="s">
        <v>1073</v>
      </c>
      <c r="M98" s="230" t="s">
        <v>133</v>
      </c>
      <c r="N98" s="231" t="n">
        <v>0</v>
      </c>
      <c r="O98" s="231" t="n">
        <v>2</v>
      </c>
      <c r="P98" s="231" t="n">
        <v>2</v>
      </c>
      <c r="Q98" s="232" t="n">
        <v>3.33</v>
      </c>
      <c r="R98" s="232" t="n">
        <v>1.25</v>
      </c>
      <c r="S98" s="224" t="n">
        <v>1.25</v>
      </c>
      <c r="T98" s="225" t="n">
        <f aca="false">Q98*R98*S98</f>
        <v>5.203125</v>
      </c>
      <c r="U98" s="226" t="n">
        <f aca="false">T98*P98</f>
        <v>10.40625</v>
      </c>
      <c r="V98" s="233"/>
    </row>
    <row r="99" customFormat="false" ht="13.5" hidden="false" customHeight="true" outlineLevel="0" collapsed="false">
      <c r="B99" s="228" t="n">
        <v>265</v>
      </c>
      <c r="C99" s="236" t="s">
        <v>1077</v>
      </c>
      <c r="D99" s="219" t="n">
        <v>21710</v>
      </c>
      <c r="E99" s="220" t="str">
        <f aca="false">IF(D99="","",IFERROR(VLOOKUP(D99,CCN_Library!$A$4:$B$13,2,FALSE()),"NOT IN LIBRARY"))</f>
        <v>ELECTRONICS/COMMUNICATIONS MAINTENANCE SHOP</v>
      </c>
      <c r="F99" s="229"/>
      <c r="G99" s="230" t="s">
        <v>1069</v>
      </c>
      <c r="H99" s="221" t="str">
        <f aca="false">LEFT(I99,5)</f>
        <v>A7706</v>
      </c>
      <c r="I99" s="230" t="s">
        <v>1278</v>
      </c>
      <c r="J99" s="221" t="s">
        <v>1279</v>
      </c>
      <c r="K99" s="230" t="s">
        <v>1072</v>
      </c>
      <c r="L99" s="230" t="s">
        <v>1073</v>
      </c>
      <c r="M99" s="230" t="s">
        <v>133</v>
      </c>
      <c r="N99" s="231" t="n">
        <v>0</v>
      </c>
      <c r="O99" s="231" t="n">
        <v>4</v>
      </c>
      <c r="P99" s="231" t="n">
        <v>4</v>
      </c>
      <c r="Q99" s="232" t="n">
        <v>2.04</v>
      </c>
      <c r="R99" s="232" t="n">
        <v>1.27</v>
      </c>
      <c r="S99" s="224" t="n">
        <v>0.67</v>
      </c>
      <c r="T99" s="225" t="n">
        <f aca="false">Q99*R99*S99</f>
        <v>1.735836</v>
      </c>
      <c r="U99" s="226" t="n">
        <f aca="false">T99*P99</f>
        <v>6.943344</v>
      </c>
      <c r="V99" s="233"/>
    </row>
    <row r="100" customFormat="false" ht="13.5" hidden="false" customHeight="true" outlineLevel="0" collapsed="false">
      <c r="B100" s="228" t="n">
        <v>268</v>
      </c>
      <c r="C100" s="236" t="s">
        <v>1113</v>
      </c>
      <c r="D100" s="219" t="n">
        <v>21451</v>
      </c>
      <c r="E100" s="220" t="str">
        <f aca="false">IF(D100="","",IFERROR(VLOOKUP(D100,CCN_Library!$A$4:$B$13,2,FALSE()),"NOT IN LIBRARY"))</f>
        <v>AUTOMOTIVE ORGANIZATIONAL SHOP</v>
      </c>
      <c r="F100" s="229"/>
      <c r="G100" s="230" t="s">
        <v>1069</v>
      </c>
      <c r="H100" s="221" t="str">
        <f aca="false">LEFT(I100,5)</f>
        <v>D0475</v>
      </c>
      <c r="I100" s="230" t="s">
        <v>1280</v>
      </c>
      <c r="J100" s="221" t="s">
        <v>1281</v>
      </c>
      <c r="K100" s="230" t="s">
        <v>1072</v>
      </c>
      <c r="L100" s="230" t="s">
        <v>1073</v>
      </c>
      <c r="M100" s="230" t="s">
        <v>133</v>
      </c>
      <c r="N100" s="231" t="n">
        <v>0</v>
      </c>
      <c r="O100" s="231" t="n">
        <v>2</v>
      </c>
      <c r="P100" s="231" t="n">
        <v>2</v>
      </c>
      <c r="Q100" s="235" t="n">
        <v>0</v>
      </c>
      <c r="R100" s="235" t="n">
        <v>0</v>
      </c>
      <c r="S100" s="224" t="n">
        <v>0</v>
      </c>
      <c r="T100" s="225" t="n">
        <f aca="false">Q100*R100*S100</f>
        <v>0</v>
      </c>
      <c r="U100" s="226" t="n">
        <f aca="false">T100*P100</f>
        <v>0</v>
      </c>
      <c r="V100" s="233"/>
    </row>
    <row r="101" customFormat="false" ht="13.5" hidden="false" customHeight="true" outlineLevel="0" collapsed="false">
      <c r="B101" s="228" t="n">
        <v>269</v>
      </c>
      <c r="C101" s="236" t="s">
        <v>1077</v>
      </c>
      <c r="D101" s="219" t="n">
        <v>21710</v>
      </c>
      <c r="E101" s="220" t="str">
        <f aca="false">IF(D101="","",IFERROR(VLOOKUP(D101,CCN_Library!$A$4:$B$13,2,FALSE()),"NOT IN LIBRARY"))</f>
        <v>ELECTRONICS/COMMUNICATIONS MAINTENANCE SHOP</v>
      </c>
      <c r="F101" s="229"/>
      <c r="G101" s="230" t="s">
        <v>1069</v>
      </c>
      <c r="H101" s="221" t="str">
        <f aca="false">LEFT(I101,5)</f>
        <v>A0126</v>
      </c>
      <c r="I101" s="230" t="s">
        <v>1282</v>
      </c>
      <c r="J101" s="221" t="s">
        <v>1283</v>
      </c>
      <c r="K101" s="230" t="s">
        <v>1080</v>
      </c>
      <c r="L101" s="230" t="s">
        <v>1073</v>
      </c>
      <c r="M101" s="230" t="s">
        <v>133</v>
      </c>
      <c r="N101" s="231" t="n">
        <v>0</v>
      </c>
      <c r="O101" s="231" t="n">
        <v>6</v>
      </c>
      <c r="P101" s="231" t="n">
        <v>6</v>
      </c>
      <c r="Q101" s="232" t="n">
        <v>1.24</v>
      </c>
      <c r="R101" s="232" t="n">
        <v>1.25</v>
      </c>
      <c r="S101" s="224" t="n">
        <v>0.82</v>
      </c>
      <c r="T101" s="225" t="n">
        <f aca="false">Q101*R101*S101</f>
        <v>1.271</v>
      </c>
      <c r="U101" s="226" t="n">
        <f aca="false">T101*P101</f>
        <v>7.626</v>
      </c>
      <c r="V101" s="233"/>
    </row>
    <row r="102" customFormat="false" ht="13.5" hidden="false" customHeight="true" outlineLevel="0" collapsed="false">
      <c r="B102" s="228" t="n">
        <v>270</v>
      </c>
      <c r="C102" s="236" t="s">
        <v>1068</v>
      </c>
      <c r="D102" s="219" t="n">
        <v>14345</v>
      </c>
      <c r="E102" s="220" t="str">
        <f aca="false">IF(D102="","",IFERROR(VLOOKUP(D102,CCN_Library!$A$4:$B$13,2,FALSE()),"NOT IN LIBRARY"))</f>
        <v>ARMORY</v>
      </c>
      <c r="F102" s="229"/>
      <c r="G102" s="230" t="s">
        <v>1069</v>
      </c>
      <c r="H102" s="221" t="str">
        <f aca="false">LEFT(I102,5)</f>
        <v>E3094</v>
      </c>
      <c r="I102" s="230" t="s">
        <v>1284</v>
      </c>
      <c r="J102" s="221" t="s">
        <v>1285</v>
      </c>
      <c r="K102" s="230" t="s">
        <v>1072</v>
      </c>
      <c r="L102" s="237"/>
      <c r="M102" s="230" t="s">
        <v>133</v>
      </c>
      <c r="N102" s="231" t="n">
        <v>0</v>
      </c>
      <c r="O102" s="231" t="n">
        <v>1</v>
      </c>
      <c r="P102" s="231" t="n">
        <v>1</v>
      </c>
      <c r="Q102" s="232" t="n">
        <v>1.67</v>
      </c>
      <c r="R102" s="232" t="n">
        <v>0.5</v>
      </c>
      <c r="S102" s="224" t="n">
        <v>0.75</v>
      </c>
      <c r="T102" s="225" t="n">
        <f aca="false">Q102*R102*S102</f>
        <v>0.62625</v>
      </c>
      <c r="U102" s="226" t="n">
        <f aca="false">T102*P102</f>
        <v>0.62625</v>
      </c>
      <c r="V102" s="233"/>
    </row>
    <row r="103" customFormat="false" ht="13.5" hidden="false" customHeight="true" outlineLevel="0" collapsed="false">
      <c r="B103" s="228" t="n">
        <v>271</v>
      </c>
      <c r="C103" s="236" t="s">
        <v>1077</v>
      </c>
      <c r="D103" s="219" t="n">
        <v>21710</v>
      </c>
      <c r="E103" s="220" t="str">
        <f aca="false">IF(D103="","",IFERROR(VLOOKUP(D103,CCN_Library!$A$4:$B$13,2,FALSE()),"NOT IN LIBRARY"))</f>
        <v>ELECTRONICS/COMMUNICATIONS MAINTENANCE SHOP</v>
      </c>
      <c r="F103" s="229"/>
      <c r="G103" s="230" t="s">
        <v>1069</v>
      </c>
      <c r="H103" s="221" t="str">
        <f aca="false">LEFT(I103,5)</f>
        <v>K0038</v>
      </c>
      <c r="I103" s="230" t="s">
        <v>1286</v>
      </c>
      <c r="J103" s="221" t="s">
        <v>1287</v>
      </c>
      <c r="K103" s="230" t="s">
        <v>1072</v>
      </c>
      <c r="L103" s="230" t="s">
        <v>1073</v>
      </c>
      <c r="M103" s="230" t="s">
        <v>133</v>
      </c>
      <c r="N103" s="231" t="n">
        <v>0</v>
      </c>
      <c r="O103" s="231" t="n">
        <v>1</v>
      </c>
      <c r="P103" s="231" t="n">
        <v>1</v>
      </c>
      <c r="Q103" s="232" t="n">
        <v>1.18</v>
      </c>
      <c r="R103" s="232" t="n">
        <v>0.96</v>
      </c>
      <c r="S103" s="224" t="n">
        <v>0.54</v>
      </c>
      <c r="T103" s="225" t="n">
        <f aca="false">Q103*R103*S103</f>
        <v>0.611712</v>
      </c>
      <c r="U103" s="226" t="n">
        <f aca="false">T103*P103</f>
        <v>0.611712</v>
      </c>
      <c r="V103" s="233"/>
    </row>
    <row r="104" customFormat="false" ht="13.5" hidden="false" customHeight="true" outlineLevel="0" collapsed="false">
      <c r="B104" s="228" t="n">
        <v>275</v>
      </c>
      <c r="C104" s="236" t="s">
        <v>1113</v>
      </c>
      <c r="D104" s="219" t="n">
        <v>21451</v>
      </c>
      <c r="E104" s="220" t="str">
        <f aca="false">IF(D104="","",IFERROR(VLOOKUP(D104,CCN_Library!$A$4:$B$13,2,FALSE()),"NOT IN LIBRARY"))</f>
        <v>AUTOMOTIVE ORGANIZATIONAL SHOP</v>
      </c>
      <c r="F104" s="229"/>
      <c r="G104" s="230" t="s">
        <v>1069</v>
      </c>
      <c r="H104" s="221" t="str">
        <f aca="false">LEFT(I104,5)</f>
        <v>C7915</v>
      </c>
      <c r="I104" s="230" t="s">
        <v>1288</v>
      </c>
      <c r="J104" s="221" t="s">
        <v>1289</v>
      </c>
      <c r="K104" s="230" t="s">
        <v>1072</v>
      </c>
      <c r="L104" s="230" t="s">
        <v>1290</v>
      </c>
      <c r="M104" s="230" t="s">
        <v>133</v>
      </c>
      <c r="N104" s="231" t="n">
        <v>0</v>
      </c>
      <c r="O104" s="231" t="n">
        <v>4</v>
      </c>
      <c r="P104" s="231" t="n">
        <v>4</v>
      </c>
      <c r="Q104" s="235" t="n">
        <v>2</v>
      </c>
      <c r="R104" s="232" t="n">
        <v>1.5</v>
      </c>
      <c r="S104" s="224" t="n">
        <v>1.25</v>
      </c>
      <c r="T104" s="225" t="n">
        <f aca="false">Q104*R104*S104</f>
        <v>3.75</v>
      </c>
      <c r="U104" s="226" t="n">
        <f aca="false">T104*P104</f>
        <v>15</v>
      </c>
      <c r="V104" s="233"/>
    </row>
    <row r="105" customFormat="false" ht="13.5" hidden="false" customHeight="true" outlineLevel="0" collapsed="false">
      <c r="B105" s="228" t="n">
        <v>276</v>
      </c>
      <c r="C105" s="236" t="s">
        <v>1113</v>
      </c>
      <c r="D105" s="219" t="n">
        <v>21451</v>
      </c>
      <c r="E105" s="220" t="str">
        <f aca="false">IF(D105="","",IFERROR(VLOOKUP(D105,CCN_Library!$A$4:$B$13,2,FALSE()),"NOT IN LIBRARY"))</f>
        <v>AUTOMOTIVE ORGANIZATIONAL SHOP</v>
      </c>
      <c r="F105" s="229"/>
      <c r="G105" s="230" t="s">
        <v>1069</v>
      </c>
      <c r="H105" s="221" t="str">
        <f aca="false">LEFT(I105,5)</f>
        <v>D0751</v>
      </c>
      <c r="I105" s="230" t="s">
        <v>1291</v>
      </c>
      <c r="J105" s="221" t="s">
        <v>1292</v>
      </c>
      <c r="K105" s="230" t="s">
        <v>1072</v>
      </c>
      <c r="L105" s="230" t="s">
        <v>1106</v>
      </c>
      <c r="M105" s="230" t="s">
        <v>133</v>
      </c>
      <c r="N105" s="231" t="n">
        <v>0</v>
      </c>
      <c r="O105" s="231" t="n">
        <v>1</v>
      </c>
      <c r="P105" s="231" t="n">
        <v>1</v>
      </c>
      <c r="Q105" s="235" t="n">
        <v>0</v>
      </c>
      <c r="R105" s="235" t="n">
        <v>0</v>
      </c>
      <c r="S105" s="224" t="n">
        <v>0</v>
      </c>
      <c r="T105" s="225" t="n">
        <f aca="false">Q105*R105*S105</f>
        <v>0</v>
      </c>
      <c r="U105" s="226" t="n">
        <f aca="false">T105*P105</f>
        <v>0</v>
      </c>
      <c r="V105" s="233"/>
    </row>
    <row r="106" customFormat="false" ht="13.5" hidden="false" customHeight="true" outlineLevel="0" collapsed="false">
      <c r="B106" s="228" t="n">
        <v>277</v>
      </c>
      <c r="C106" s="236" t="s">
        <v>1113</v>
      </c>
      <c r="D106" s="219" t="n">
        <v>21451</v>
      </c>
      <c r="E106" s="220" t="str">
        <f aca="false">IF(D106="","",IFERROR(VLOOKUP(D106,CCN_Library!$A$4:$B$13,2,FALSE()),"NOT IN LIBRARY"))</f>
        <v>AUTOMOTIVE ORGANIZATIONAL SHOP</v>
      </c>
      <c r="F106" s="229"/>
      <c r="G106" s="230" t="s">
        <v>1069</v>
      </c>
      <c r="H106" s="221" t="str">
        <f aca="false">LEFT(I106,5)</f>
        <v>D0026</v>
      </c>
      <c r="I106" s="230" t="s">
        <v>1293</v>
      </c>
      <c r="J106" s="221" t="s">
        <v>1294</v>
      </c>
      <c r="K106" s="230" t="s">
        <v>1142</v>
      </c>
      <c r="L106" s="237"/>
      <c r="M106" s="230" t="s">
        <v>133</v>
      </c>
      <c r="N106" s="231" t="n">
        <v>0</v>
      </c>
      <c r="O106" s="231" t="n">
        <v>10</v>
      </c>
      <c r="P106" s="231" t="n">
        <v>10</v>
      </c>
      <c r="Q106" s="237"/>
      <c r="R106" s="237"/>
      <c r="S106" s="224" t="n">
        <v>0</v>
      </c>
      <c r="T106" s="225" t="n">
        <f aca="false">Q106*R106*S106</f>
        <v>0</v>
      </c>
      <c r="U106" s="226" t="n">
        <f aca="false">T106*P106</f>
        <v>0</v>
      </c>
      <c r="V106" s="233"/>
    </row>
    <row r="107" customFormat="false" ht="13.5" hidden="false" customHeight="true" outlineLevel="0" collapsed="false">
      <c r="B107" s="228" t="n">
        <v>284</v>
      </c>
      <c r="C107" s="236" t="s">
        <v>1074</v>
      </c>
      <c r="D107" s="219" t="n">
        <v>44112</v>
      </c>
      <c r="E107" s="220" t="str">
        <f aca="false">IF(D107="","",IFERROR(VLOOKUP(D107,CCN_Library!$A$4:$B$13,2,FALSE()),"NOT IN LIBRARY"))</f>
        <v>STORAGE OF AIR OR GROUND ORGANIC UNITS FOR MARINE CORPS</v>
      </c>
      <c r="F107" s="229"/>
      <c r="G107" s="230" t="s">
        <v>1069</v>
      </c>
      <c r="H107" s="221" t="str">
        <f aca="false">LEFT(I107,5)</f>
        <v>C0260</v>
      </c>
      <c r="I107" s="230" t="s">
        <v>1295</v>
      </c>
      <c r="J107" s="221" t="s">
        <v>1296</v>
      </c>
      <c r="K107" s="230" t="s">
        <v>1072</v>
      </c>
      <c r="L107" s="230" t="s">
        <v>1073</v>
      </c>
      <c r="M107" s="230" t="s">
        <v>133</v>
      </c>
      <c r="N107" s="231" t="n">
        <v>305</v>
      </c>
      <c r="O107" s="231" t="n">
        <v>270</v>
      </c>
      <c r="P107" s="231" t="n">
        <v>575</v>
      </c>
      <c r="Q107" s="232" t="n">
        <v>1.25</v>
      </c>
      <c r="R107" s="232" t="n">
        <v>0.83</v>
      </c>
      <c r="S107" s="224" t="n">
        <v>0.08</v>
      </c>
      <c r="T107" s="225" t="n">
        <f aca="false">Q107*R107*S107</f>
        <v>0.083</v>
      </c>
      <c r="U107" s="226" t="n">
        <f aca="false">T107*P107</f>
        <v>47.725</v>
      </c>
      <c r="V107" s="233"/>
    </row>
    <row r="108" customFormat="false" ht="13.5" hidden="false" customHeight="true" outlineLevel="0" collapsed="false">
      <c r="B108" s="228" t="n">
        <v>286</v>
      </c>
      <c r="C108" s="236" t="s">
        <v>1074</v>
      </c>
      <c r="D108" s="219" t="n">
        <v>44112</v>
      </c>
      <c r="E108" s="220" t="str">
        <f aca="false">IF(D108="","",IFERROR(VLOOKUP(D108,CCN_Library!$A$4:$B$13,2,FALSE()),"NOT IN LIBRARY"))</f>
        <v>STORAGE OF AIR OR GROUND ORGANIC UNITS FOR MARINE CORPS</v>
      </c>
      <c r="F108" s="229"/>
      <c r="G108" s="230" t="s">
        <v>1069</v>
      </c>
      <c r="H108" s="221" t="str">
        <f aca="false">LEFT(I108,5)</f>
        <v>C3140</v>
      </c>
      <c r="I108" s="230" t="s">
        <v>1297</v>
      </c>
      <c r="J108" s="221" t="s">
        <v>1298</v>
      </c>
      <c r="K108" s="230" t="s">
        <v>1072</v>
      </c>
      <c r="L108" s="230" t="s">
        <v>1073</v>
      </c>
      <c r="M108" s="230" t="s">
        <v>133</v>
      </c>
      <c r="N108" s="231" t="n">
        <v>305</v>
      </c>
      <c r="O108" s="231" t="n">
        <v>0</v>
      </c>
      <c r="P108" s="231" t="n">
        <v>305</v>
      </c>
      <c r="Q108" s="232" t="n">
        <v>0.42</v>
      </c>
      <c r="R108" s="232" t="n">
        <v>0.25</v>
      </c>
      <c r="S108" s="224" t="n">
        <v>0.33</v>
      </c>
      <c r="T108" s="225" t="n">
        <f aca="false">Q108*R108*S108</f>
        <v>0.03465</v>
      </c>
      <c r="U108" s="226" t="n">
        <f aca="false">T108*P108</f>
        <v>10.56825</v>
      </c>
      <c r="V108" s="233"/>
    </row>
    <row r="109" customFormat="false" ht="13.5" hidden="false" customHeight="true" outlineLevel="0" collapsed="false">
      <c r="B109" s="228" t="n">
        <v>287</v>
      </c>
      <c r="C109" s="236" t="s">
        <v>1074</v>
      </c>
      <c r="D109" s="219" t="n">
        <v>44112</v>
      </c>
      <c r="E109" s="220" t="str">
        <f aca="false">IF(D109="","",IFERROR(VLOOKUP(D109,CCN_Library!$A$4:$B$13,2,FALSE()),"NOT IN LIBRARY"))</f>
        <v>STORAGE OF AIR OR GROUND ORGANIC UNITS FOR MARINE CORPS</v>
      </c>
      <c r="F109" s="229"/>
      <c r="G109" s="230" t="s">
        <v>1069</v>
      </c>
      <c r="H109" s="221" t="str">
        <f aca="false">LEFT(I109,5)</f>
        <v>C3230</v>
      </c>
      <c r="I109" s="230" t="s">
        <v>1299</v>
      </c>
      <c r="J109" s="221" t="s">
        <v>1300</v>
      </c>
      <c r="K109" s="230" t="s">
        <v>1072</v>
      </c>
      <c r="L109" s="230" t="s">
        <v>1073</v>
      </c>
      <c r="M109" s="230" t="s">
        <v>133</v>
      </c>
      <c r="N109" s="231" t="n">
        <v>305</v>
      </c>
      <c r="O109" s="231" t="n">
        <v>0</v>
      </c>
      <c r="P109" s="231" t="n">
        <v>305</v>
      </c>
      <c r="Q109" s="232" t="n">
        <v>0.67</v>
      </c>
      <c r="R109" s="232" t="n">
        <v>0.5</v>
      </c>
      <c r="S109" s="224" t="n">
        <v>0.17</v>
      </c>
      <c r="T109" s="225" t="n">
        <f aca="false">Q109*R109*S109</f>
        <v>0.05695</v>
      </c>
      <c r="U109" s="226" t="n">
        <f aca="false">T109*P109</f>
        <v>17.36975</v>
      </c>
      <c r="V109" s="233"/>
    </row>
    <row r="110" customFormat="false" ht="13.5" hidden="false" customHeight="true" outlineLevel="0" collapsed="false">
      <c r="B110" s="228" t="n">
        <v>288</v>
      </c>
      <c r="C110" s="236" t="s">
        <v>1074</v>
      </c>
      <c r="D110" s="219" t="n">
        <v>44112</v>
      </c>
      <c r="E110" s="220" t="str">
        <f aca="false">IF(D110="","",IFERROR(VLOOKUP(D110,CCN_Library!$A$4:$B$13,2,FALSE()),"NOT IN LIBRARY"))</f>
        <v>STORAGE OF AIR OR GROUND ORGANIC UNITS FOR MARINE CORPS</v>
      </c>
      <c r="F110" s="229"/>
      <c r="G110" s="230" t="s">
        <v>1069</v>
      </c>
      <c r="H110" s="221" t="str">
        <f aca="false">LEFT(I110,5)</f>
        <v>C8634</v>
      </c>
      <c r="I110" s="230" t="s">
        <v>1301</v>
      </c>
      <c r="J110" s="221" t="s">
        <v>1302</v>
      </c>
      <c r="K110" s="230" t="s">
        <v>1072</v>
      </c>
      <c r="L110" s="237"/>
      <c r="M110" s="230" t="s">
        <v>133</v>
      </c>
      <c r="N110" s="231" t="n">
        <v>0</v>
      </c>
      <c r="O110" s="231" t="n">
        <v>4</v>
      </c>
      <c r="P110" s="231" t="n">
        <v>4</v>
      </c>
      <c r="Q110" s="232" t="n">
        <v>4.5</v>
      </c>
      <c r="R110" s="232" t="n">
        <v>11.66</v>
      </c>
      <c r="S110" s="224" t="n">
        <v>4.25</v>
      </c>
      <c r="T110" s="225" t="n">
        <f aca="false">Q110*R110*S110</f>
        <v>222.9975</v>
      </c>
      <c r="U110" s="226" t="n">
        <f aca="false">T110*P110</f>
        <v>891.99</v>
      </c>
      <c r="V110" s="233"/>
    </row>
    <row r="111" customFormat="false" ht="13.5" hidden="false" customHeight="true" outlineLevel="0" collapsed="false">
      <c r="B111" s="228" t="n">
        <v>292</v>
      </c>
      <c r="C111" s="236" t="s">
        <v>1068</v>
      </c>
      <c r="D111" s="219" t="n">
        <v>14345</v>
      </c>
      <c r="E111" s="220" t="str">
        <f aca="false">IF(D111="","",IFERROR(VLOOKUP(D111,CCN_Library!$A$4:$B$13,2,FALSE()),"NOT IN LIBRARY"))</f>
        <v>ARMORY</v>
      </c>
      <c r="F111" s="229"/>
      <c r="G111" s="230" t="s">
        <v>1069</v>
      </c>
      <c r="H111" s="221" t="str">
        <f aca="false">LEFT(I111,5)</f>
        <v>E1975</v>
      </c>
      <c r="I111" s="230" t="s">
        <v>1303</v>
      </c>
      <c r="J111" s="221" t="s">
        <v>1304</v>
      </c>
      <c r="K111" s="230" t="s">
        <v>1072</v>
      </c>
      <c r="L111" s="230" t="s">
        <v>1073</v>
      </c>
      <c r="M111" s="230" t="s">
        <v>1116</v>
      </c>
      <c r="N111" s="231" t="n">
        <v>2</v>
      </c>
      <c r="O111" s="231" t="n">
        <v>0</v>
      </c>
      <c r="P111" s="231" t="n">
        <v>2</v>
      </c>
      <c r="Q111" s="232" t="n">
        <v>1.17</v>
      </c>
      <c r="R111" s="232" t="n">
        <v>0.25</v>
      </c>
      <c r="S111" s="224" t="n">
        <v>0.42</v>
      </c>
      <c r="T111" s="225" t="n">
        <f aca="false">Q111*R111*S111</f>
        <v>0.12285</v>
      </c>
      <c r="U111" s="226" t="n">
        <f aca="false">T111*P111</f>
        <v>0.2457</v>
      </c>
      <c r="V111" s="233"/>
    </row>
    <row r="112" customFormat="false" ht="13.5" hidden="false" customHeight="true" outlineLevel="0" collapsed="false">
      <c r="B112" s="228" t="n">
        <v>293</v>
      </c>
      <c r="C112" s="236" t="s">
        <v>1131</v>
      </c>
      <c r="D112" s="219" t="n">
        <v>14312</v>
      </c>
      <c r="E112" s="220" t="str">
        <f aca="false">IF(D112="","",IFERROR(VLOOKUP(D112,CCN_Library!$A$4:$B$13,2,FALSE()),"NOT IN LIBRARY"))</f>
        <v>OPERATIONAL VEHICLE LAYDOWN AREA</v>
      </c>
      <c r="F112" s="229"/>
      <c r="G112" s="230" t="s">
        <v>1069</v>
      </c>
      <c r="H112" s="221" t="str">
        <f aca="false">LEFT(I112,5)</f>
        <v>B0043</v>
      </c>
      <c r="I112" s="230" t="s">
        <v>1305</v>
      </c>
      <c r="J112" s="221" t="s">
        <v>1306</v>
      </c>
      <c r="K112" s="230" t="s">
        <v>1072</v>
      </c>
      <c r="L112" s="230" t="s">
        <v>1073</v>
      </c>
      <c r="M112" s="230" t="s">
        <v>1116</v>
      </c>
      <c r="N112" s="231" t="n">
        <v>0</v>
      </c>
      <c r="O112" s="231" t="n">
        <v>2</v>
      </c>
      <c r="P112" s="231" t="n">
        <v>2</v>
      </c>
      <c r="Q112" s="232" t="n">
        <v>5.41</v>
      </c>
      <c r="R112" s="235" t="n">
        <v>3</v>
      </c>
      <c r="S112" s="224" t="n">
        <v>4.41</v>
      </c>
      <c r="T112" s="225" t="n">
        <f aca="false">Q112*R112*S112</f>
        <v>71.5743</v>
      </c>
      <c r="U112" s="226" t="n">
        <f aca="false">T112*P112</f>
        <v>143.1486</v>
      </c>
      <c r="V112" s="233"/>
    </row>
    <row r="113" customFormat="false" ht="13.5" hidden="false" customHeight="true" outlineLevel="0" collapsed="false">
      <c r="B113" s="228" t="n">
        <v>295</v>
      </c>
      <c r="C113" s="236" t="s">
        <v>1074</v>
      </c>
      <c r="D113" s="219" t="n">
        <v>44112</v>
      </c>
      <c r="E113" s="220" t="str">
        <f aca="false">IF(D113="","",IFERROR(VLOOKUP(D113,CCN_Library!$A$4:$B$13,2,FALSE()),"NOT IN LIBRARY"))</f>
        <v>STORAGE OF AIR OR GROUND ORGANIC UNITS FOR MARINE CORPS</v>
      </c>
      <c r="F113" s="229"/>
      <c r="G113" s="230" t="s">
        <v>1069</v>
      </c>
      <c r="H113" s="221" t="str">
        <f aca="false">LEFT(I113,5)</f>
        <v>C4433</v>
      </c>
      <c r="I113" s="230" t="s">
        <v>1307</v>
      </c>
      <c r="J113" s="221" t="s">
        <v>1308</v>
      </c>
      <c r="K113" s="230" t="s">
        <v>1072</v>
      </c>
      <c r="L113" s="230" t="s">
        <v>1073</v>
      </c>
      <c r="M113" s="230" t="s">
        <v>133</v>
      </c>
      <c r="N113" s="231" t="n">
        <v>0</v>
      </c>
      <c r="O113" s="231" t="n">
        <v>80</v>
      </c>
      <c r="P113" s="231" t="n">
        <v>80</v>
      </c>
      <c r="Q113" s="232" t="n">
        <v>4.75</v>
      </c>
      <c r="R113" s="235" t="n">
        <v>8</v>
      </c>
      <c r="S113" s="224" t="n">
        <v>6.83</v>
      </c>
      <c r="T113" s="225" t="n">
        <f aca="false">Q113*R113*S113</f>
        <v>259.54</v>
      </c>
      <c r="U113" s="226" t="n">
        <f aca="false">T113*P113</f>
        <v>20763.2</v>
      </c>
      <c r="V113" s="233"/>
    </row>
    <row r="114" customFormat="false" ht="13.5" hidden="false" customHeight="true" outlineLevel="0" collapsed="false">
      <c r="B114" s="228" t="n">
        <v>296</v>
      </c>
      <c r="C114" s="236" t="s">
        <v>1113</v>
      </c>
      <c r="D114" s="219" t="n">
        <v>21451</v>
      </c>
      <c r="E114" s="220" t="str">
        <f aca="false">IF(D114="","",IFERROR(VLOOKUP(D114,CCN_Library!$A$4:$B$13,2,FALSE()),"NOT IN LIBRARY"))</f>
        <v>AUTOMOTIVE ORGANIZATIONAL SHOP</v>
      </c>
      <c r="F114" s="229"/>
      <c r="G114" s="230" t="s">
        <v>1069</v>
      </c>
      <c r="H114" s="221" t="str">
        <f aca="false">LEFT(I114,5)</f>
        <v>D0198</v>
      </c>
      <c r="I114" s="230" t="s">
        <v>1309</v>
      </c>
      <c r="J114" s="221" t="s">
        <v>1310</v>
      </c>
      <c r="K114" s="230" t="s">
        <v>1072</v>
      </c>
      <c r="L114" s="230" t="s">
        <v>1073</v>
      </c>
      <c r="M114" s="230" t="s">
        <v>1116</v>
      </c>
      <c r="N114" s="231" t="n">
        <v>0</v>
      </c>
      <c r="O114" s="231" t="n">
        <v>6</v>
      </c>
      <c r="P114" s="231" t="n">
        <v>6</v>
      </c>
      <c r="Q114" s="232" t="n">
        <v>26.25</v>
      </c>
      <c r="R114" s="232" t="n">
        <v>8.17</v>
      </c>
      <c r="S114" s="224" t="n">
        <v>8.16</v>
      </c>
      <c r="T114" s="225" t="n">
        <f aca="false">Q114*R114*S114</f>
        <v>1750.014</v>
      </c>
      <c r="U114" s="226" t="n">
        <f aca="false">T114*P114</f>
        <v>10500.084</v>
      </c>
      <c r="V114" s="233"/>
    </row>
    <row r="115" customFormat="false" ht="13.5" hidden="false" customHeight="true" outlineLevel="0" collapsed="false">
      <c r="B115" s="228" t="n">
        <v>297</v>
      </c>
      <c r="C115" s="236" t="s">
        <v>1077</v>
      </c>
      <c r="D115" s="219" t="n">
        <v>21710</v>
      </c>
      <c r="E115" s="220" t="str">
        <f aca="false">IF(D115="","",IFERROR(VLOOKUP(D115,CCN_Library!$A$4:$B$13,2,FALSE()),"NOT IN LIBRARY"))</f>
        <v>ELECTRONICS/COMMUNICATIONS MAINTENANCE SHOP</v>
      </c>
      <c r="F115" s="229"/>
      <c r="G115" s="230" t="s">
        <v>1069</v>
      </c>
      <c r="H115" s="221" t="str">
        <f aca="false">LEFT(I115,5)</f>
        <v>A0331</v>
      </c>
      <c r="I115" s="230" t="s">
        <v>1311</v>
      </c>
      <c r="J115" s="221" t="s">
        <v>1267</v>
      </c>
      <c r="K115" s="230" t="s">
        <v>1072</v>
      </c>
      <c r="L115" s="230" t="s">
        <v>1073</v>
      </c>
      <c r="M115" s="237"/>
      <c r="N115" s="231" t="n">
        <v>0</v>
      </c>
      <c r="O115" s="231" t="n">
        <v>10</v>
      </c>
      <c r="P115" s="231" t="n">
        <v>10</v>
      </c>
      <c r="Q115" s="232" t="n">
        <v>1.2</v>
      </c>
      <c r="R115" s="232" t="n">
        <v>1.04</v>
      </c>
      <c r="S115" s="224" t="n">
        <v>0.92</v>
      </c>
      <c r="T115" s="225" t="n">
        <f aca="false">Q115*R115*S115</f>
        <v>1.14816</v>
      </c>
      <c r="U115" s="226" t="n">
        <f aca="false">T115*P115</f>
        <v>11.4816</v>
      </c>
      <c r="V115" s="233"/>
    </row>
    <row r="116" customFormat="false" ht="13.5" hidden="false" customHeight="true" outlineLevel="0" collapsed="false">
      <c r="B116" s="228" t="n">
        <v>301</v>
      </c>
      <c r="C116" s="236" t="s">
        <v>1074</v>
      </c>
      <c r="D116" s="219" t="n">
        <v>44112</v>
      </c>
      <c r="E116" s="220" t="str">
        <f aca="false">IF(D116="","",IFERROR(VLOOKUP(D116,CCN_Library!$A$4:$B$13,2,FALSE()),"NOT IN LIBRARY"))</f>
        <v>STORAGE OF AIR OR GROUND ORGANIC UNITS FOR MARINE CORPS</v>
      </c>
      <c r="F116" s="229"/>
      <c r="G116" s="230" t="s">
        <v>1069</v>
      </c>
      <c r="H116" s="221" t="str">
        <f aca="false">LEFT(I116,5)</f>
        <v>C0040</v>
      </c>
      <c r="I116" s="230" t="s">
        <v>1312</v>
      </c>
      <c r="J116" s="221" t="s">
        <v>1313</v>
      </c>
      <c r="K116" s="230" t="s">
        <v>1072</v>
      </c>
      <c r="L116" s="237"/>
      <c r="M116" s="230" t="s">
        <v>133</v>
      </c>
      <c r="N116" s="231" t="n">
        <v>76</v>
      </c>
      <c r="O116" s="231" t="n">
        <v>280</v>
      </c>
      <c r="P116" s="231" t="n">
        <v>356</v>
      </c>
      <c r="Q116" s="232" t="n">
        <v>0.96</v>
      </c>
      <c r="R116" s="232" t="n">
        <v>0.67</v>
      </c>
      <c r="S116" s="224" t="n">
        <v>0.42</v>
      </c>
      <c r="T116" s="225" t="n">
        <f aca="false">Q116*R116*S116</f>
        <v>0.270144</v>
      </c>
      <c r="U116" s="226" t="n">
        <f aca="false">T116*P116</f>
        <v>96.171264</v>
      </c>
      <c r="V116" s="233"/>
    </row>
    <row r="117" customFormat="false" ht="13.5" hidden="false" customHeight="true" outlineLevel="0" collapsed="false">
      <c r="B117" s="228" t="n">
        <v>305</v>
      </c>
      <c r="C117" s="236" t="s">
        <v>1074</v>
      </c>
      <c r="D117" s="219" t="n">
        <v>44112</v>
      </c>
      <c r="E117" s="220" t="str">
        <f aca="false">IF(D117="","",IFERROR(VLOOKUP(D117,CCN_Library!$A$4:$B$13,2,FALSE()),"NOT IN LIBRARY"))</f>
        <v>STORAGE OF AIR OR GROUND ORGANIC UNITS FOR MARINE CORPS</v>
      </c>
      <c r="F117" s="229"/>
      <c r="G117" s="230" t="s">
        <v>1069</v>
      </c>
      <c r="H117" s="221" t="str">
        <f aca="false">LEFT(I117,5)</f>
        <v>C0083</v>
      </c>
      <c r="I117" s="230" t="s">
        <v>1314</v>
      </c>
      <c r="J117" s="221" t="s">
        <v>1315</v>
      </c>
      <c r="K117" s="230" t="s">
        <v>1072</v>
      </c>
      <c r="L117" s="230" t="s">
        <v>1073</v>
      </c>
      <c r="M117" s="230" t="s">
        <v>133</v>
      </c>
      <c r="N117" s="231" t="n">
        <v>305</v>
      </c>
      <c r="O117" s="231" t="n">
        <v>0</v>
      </c>
      <c r="P117" s="231" t="n">
        <v>305</v>
      </c>
      <c r="Q117" s="232" t="n">
        <v>0.58</v>
      </c>
      <c r="R117" s="232" t="n">
        <v>0.17</v>
      </c>
      <c r="S117" s="224" t="n">
        <v>0.08</v>
      </c>
      <c r="T117" s="225" t="n">
        <f aca="false">Q117*R117*S117</f>
        <v>0.007888</v>
      </c>
      <c r="U117" s="226" t="n">
        <f aca="false">T117*P117</f>
        <v>2.40584</v>
      </c>
      <c r="V117" s="233"/>
    </row>
    <row r="118" customFormat="false" ht="13.5" hidden="false" customHeight="true" outlineLevel="0" collapsed="false">
      <c r="B118" s="228" t="n">
        <v>306</v>
      </c>
      <c r="C118" s="236" t="s">
        <v>1131</v>
      </c>
      <c r="D118" s="219" t="n">
        <v>14312</v>
      </c>
      <c r="E118" s="220" t="str">
        <f aca="false">IF(D118="","",IFERROR(VLOOKUP(D118,CCN_Library!$A$4:$B$13,2,FALSE()),"NOT IN LIBRARY"))</f>
        <v>OPERATIONAL VEHICLE LAYDOWN AREA</v>
      </c>
      <c r="F118" s="229"/>
      <c r="G118" s="230" t="s">
        <v>1069</v>
      </c>
      <c r="H118" s="221" t="str">
        <f aca="false">LEFT(I118,5)</f>
        <v>B0077</v>
      </c>
      <c r="I118" s="230" t="s">
        <v>1316</v>
      </c>
      <c r="J118" s="221" t="s">
        <v>1317</v>
      </c>
      <c r="K118" s="230" t="s">
        <v>1072</v>
      </c>
      <c r="L118" s="230" t="s">
        <v>1073</v>
      </c>
      <c r="M118" s="230" t="s">
        <v>1116</v>
      </c>
      <c r="N118" s="231" t="n">
        <v>0</v>
      </c>
      <c r="O118" s="231" t="n">
        <v>3</v>
      </c>
      <c r="P118" s="231" t="n">
        <v>3</v>
      </c>
      <c r="Q118" s="232" t="n">
        <v>3.75</v>
      </c>
      <c r="R118" s="232" t="n">
        <v>2.67</v>
      </c>
      <c r="S118" s="224" t="n">
        <v>3</v>
      </c>
      <c r="T118" s="225" t="n">
        <f aca="false">Q118*R118*S118</f>
        <v>30.0375</v>
      </c>
      <c r="U118" s="226" t="n">
        <f aca="false">T118*P118</f>
        <v>90.1125</v>
      </c>
      <c r="V118" s="233"/>
    </row>
    <row r="119" customFormat="false" ht="13.5" hidden="false" customHeight="true" outlineLevel="0" collapsed="false">
      <c r="B119" s="228" t="n">
        <v>307</v>
      </c>
      <c r="C119" s="236" t="s">
        <v>1077</v>
      </c>
      <c r="D119" s="219" t="n">
        <v>21710</v>
      </c>
      <c r="E119" s="220" t="str">
        <f aca="false">IF(D119="","",IFERROR(VLOOKUP(D119,CCN_Library!$A$4:$B$13,2,FALSE()),"NOT IN LIBRARY"))</f>
        <v>ELECTRONICS/COMMUNICATIONS MAINTENANCE SHOP</v>
      </c>
      <c r="F119" s="229"/>
      <c r="G119" s="230" t="s">
        <v>1069</v>
      </c>
      <c r="H119" s="221" t="str">
        <f aca="false">LEFT(I119,5)</f>
        <v>H7030</v>
      </c>
      <c r="I119" s="230" t="s">
        <v>1318</v>
      </c>
      <c r="J119" s="221" t="s">
        <v>1319</v>
      </c>
      <c r="K119" s="230" t="s">
        <v>1072</v>
      </c>
      <c r="L119" s="230" t="s">
        <v>1073</v>
      </c>
      <c r="M119" s="230" t="s">
        <v>133</v>
      </c>
      <c r="N119" s="231" t="n">
        <v>0</v>
      </c>
      <c r="O119" s="231" t="n">
        <v>2</v>
      </c>
      <c r="P119" s="231" t="n">
        <v>2</v>
      </c>
      <c r="Q119" s="232" t="n">
        <v>0.67</v>
      </c>
      <c r="R119" s="232" t="n">
        <v>0.33</v>
      </c>
      <c r="S119" s="224" t="n">
        <v>0.17</v>
      </c>
      <c r="T119" s="225" t="n">
        <f aca="false">Q119*R119*S119</f>
        <v>0.037587</v>
      </c>
      <c r="U119" s="226" t="n">
        <f aca="false">T119*P119</f>
        <v>0.075174</v>
      </c>
      <c r="V119" s="233"/>
    </row>
    <row r="120" customFormat="false" ht="13.5" hidden="false" customHeight="true" outlineLevel="0" collapsed="false">
      <c r="B120" s="228" t="n">
        <v>308</v>
      </c>
      <c r="C120" s="236" t="s">
        <v>1068</v>
      </c>
      <c r="D120" s="219" t="n">
        <v>14345</v>
      </c>
      <c r="E120" s="220" t="str">
        <f aca="false">IF(D120="","",IFERROR(VLOOKUP(D120,CCN_Library!$A$4:$B$13,2,FALSE()),"NOT IN LIBRARY"))</f>
        <v>ARMORY</v>
      </c>
      <c r="F120" s="229"/>
      <c r="G120" s="230" t="s">
        <v>1069</v>
      </c>
      <c r="H120" s="221" t="str">
        <f aca="false">LEFT(I120,5)</f>
        <v>E0123</v>
      </c>
      <c r="I120" s="230" t="s">
        <v>1320</v>
      </c>
      <c r="J120" s="221" t="s">
        <v>1321</v>
      </c>
      <c r="K120" s="230" t="s">
        <v>1072</v>
      </c>
      <c r="L120" s="230" t="s">
        <v>1073</v>
      </c>
      <c r="M120" s="230" t="s">
        <v>148</v>
      </c>
      <c r="N120" s="231" t="n">
        <v>0</v>
      </c>
      <c r="O120" s="231" t="n">
        <v>2</v>
      </c>
      <c r="P120" s="231" t="n">
        <v>2</v>
      </c>
      <c r="Q120" s="232" t="n">
        <v>5.41</v>
      </c>
      <c r="R120" s="232" t="n">
        <v>0.75</v>
      </c>
      <c r="S120" s="224" t="n">
        <v>0.92</v>
      </c>
      <c r="T120" s="225" t="n">
        <f aca="false">Q120*R120*S120</f>
        <v>3.7329</v>
      </c>
      <c r="U120" s="226" t="n">
        <f aca="false">T120*P120</f>
        <v>7.4658</v>
      </c>
      <c r="V120" s="233"/>
    </row>
    <row r="121" customFormat="false" ht="13.5" hidden="false" customHeight="true" outlineLevel="0" collapsed="false">
      <c r="B121" s="228" t="n">
        <v>311</v>
      </c>
      <c r="C121" s="236" t="s">
        <v>1074</v>
      </c>
      <c r="D121" s="219" t="n">
        <v>44112</v>
      </c>
      <c r="E121" s="220" t="str">
        <f aca="false">IF(D121="","",IFERROR(VLOOKUP(D121,CCN_Library!$A$4:$B$13,2,FALSE()),"NOT IN LIBRARY"))</f>
        <v>STORAGE OF AIR OR GROUND ORGANIC UNITS FOR MARINE CORPS</v>
      </c>
      <c r="F121" s="229"/>
      <c r="G121" s="230" t="s">
        <v>1069</v>
      </c>
      <c r="H121" s="221" t="str">
        <f aca="false">LEFT(I121,5)</f>
        <v>C6030</v>
      </c>
      <c r="I121" s="230" t="s">
        <v>1322</v>
      </c>
      <c r="J121" s="221" t="s">
        <v>1323</v>
      </c>
      <c r="K121" s="230" t="s">
        <v>1072</v>
      </c>
      <c r="L121" s="230" t="s">
        <v>1073</v>
      </c>
      <c r="M121" s="230" t="s">
        <v>133</v>
      </c>
      <c r="N121" s="231" t="n">
        <v>0</v>
      </c>
      <c r="O121" s="231" t="n">
        <v>1</v>
      </c>
      <c r="P121" s="231" t="n">
        <v>1</v>
      </c>
      <c r="Q121" s="232" t="n">
        <v>0.17</v>
      </c>
      <c r="R121" s="232" t="n">
        <v>0.17</v>
      </c>
      <c r="S121" s="224" t="n">
        <v>0.5</v>
      </c>
      <c r="T121" s="225" t="n">
        <f aca="false">Q121*R121*S121</f>
        <v>0.01445</v>
      </c>
      <c r="U121" s="226" t="n">
        <f aca="false">T121*P121</f>
        <v>0.01445</v>
      </c>
      <c r="V121" s="233"/>
    </row>
    <row r="122" customFormat="false" ht="13.5" hidden="false" customHeight="true" outlineLevel="0" collapsed="false">
      <c r="B122" s="228" t="n">
        <v>312</v>
      </c>
      <c r="C122" s="236" t="s">
        <v>1068</v>
      </c>
      <c r="D122" s="219" t="n">
        <v>14345</v>
      </c>
      <c r="E122" s="220" t="str">
        <f aca="false">IF(D122="","",IFERROR(VLOOKUP(D122,CCN_Library!$A$4:$B$13,2,FALSE()),"NOT IN LIBRARY"))</f>
        <v>ARMORY</v>
      </c>
      <c r="F122" s="229"/>
      <c r="G122" s="230" t="s">
        <v>1069</v>
      </c>
      <c r="H122" s="221" t="str">
        <f aca="false">LEFT(I122,5)</f>
        <v>E1798</v>
      </c>
      <c r="I122" s="230" t="s">
        <v>1324</v>
      </c>
      <c r="J122" s="221" t="s">
        <v>1325</v>
      </c>
      <c r="K122" s="230" t="s">
        <v>1072</v>
      </c>
      <c r="L122" s="230" t="s">
        <v>1073</v>
      </c>
      <c r="M122" s="230" t="s">
        <v>133</v>
      </c>
      <c r="N122" s="231" t="n">
        <v>94</v>
      </c>
      <c r="O122" s="231" t="n">
        <v>0</v>
      </c>
      <c r="P122" s="231" t="n">
        <v>94</v>
      </c>
      <c r="Q122" s="232" t="n">
        <v>0.5</v>
      </c>
      <c r="R122" s="232" t="n">
        <v>0.25</v>
      </c>
      <c r="S122" s="224" t="n">
        <v>0.08</v>
      </c>
      <c r="T122" s="225" t="n">
        <f aca="false">Q122*R122*S122</f>
        <v>0.01</v>
      </c>
      <c r="U122" s="226" t="n">
        <f aca="false">T122*P122</f>
        <v>0.94</v>
      </c>
      <c r="V122" s="233"/>
    </row>
    <row r="123" customFormat="false" ht="13.5" hidden="false" customHeight="true" outlineLevel="0" collapsed="false">
      <c r="B123" s="228" t="n">
        <v>316</v>
      </c>
      <c r="C123" s="236" t="s">
        <v>1074</v>
      </c>
      <c r="D123" s="219" t="n">
        <v>44112</v>
      </c>
      <c r="E123" s="220" t="str">
        <f aca="false">IF(D123="","",IFERROR(VLOOKUP(D123,CCN_Library!$A$4:$B$13,2,FALSE()),"NOT IN LIBRARY"))</f>
        <v>STORAGE OF AIR OR GROUND ORGANIC UNITS FOR MARINE CORPS</v>
      </c>
      <c r="F123" s="229"/>
      <c r="G123" s="230" t="s">
        <v>1069</v>
      </c>
      <c r="H123" s="221" t="str">
        <f aca="false">LEFT(I123,5)</f>
        <v>C0191</v>
      </c>
      <c r="I123" s="230" t="s">
        <v>1326</v>
      </c>
      <c r="J123" s="221" t="s">
        <v>1327</v>
      </c>
      <c r="K123" s="230" t="s">
        <v>1072</v>
      </c>
      <c r="L123" s="230" t="s">
        <v>1073</v>
      </c>
      <c r="M123" s="230" t="s">
        <v>133</v>
      </c>
      <c r="N123" s="231" t="n">
        <v>610</v>
      </c>
      <c r="O123" s="231" t="n">
        <v>0</v>
      </c>
      <c r="P123" s="231" t="n">
        <v>610</v>
      </c>
      <c r="Q123" s="232" t="n">
        <v>0.17</v>
      </c>
      <c r="R123" s="232" t="n">
        <v>0.33</v>
      </c>
      <c r="S123" s="224" t="n">
        <v>0.5</v>
      </c>
      <c r="T123" s="225" t="n">
        <f aca="false">Q123*R123*S123</f>
        <v>0.02805</v>
      </c>
      <c r="U123" s="226" t="n">
        <f aca="false">T123*P123</f>
        <v>17.1105</v>
      </c>
      <c r="V123" s="233"/>
    </row>
    <row r="124" customFormat="false" ht="13.5" hidden="false" customHeight="true" outlineLevel="0" collapsed="false">
      <c r="B124" s="228" t="n">
        <v>318</v>
      </c>
      <c r="C124" s="236" t="s">
        <v>1074</v>
      </c>
      <c r="D124" s="219" t="n">
        <v>44112</v>
      </c>
      <c r="E124" s="220" t="str">
        <f aca="false">IF(D124="","",IFERROR(VLOOKUP(D124,CCN_Library!$A$4:$B$13,2,FALSE()),"NOT IN LIBRARY"))</f>
        <v>STORAGE OF AIR OR GROUND ORGANIC UNITS FOR MARINE CORPS</v>
      </c>
      <c r="F124" s="229"/>
      <c r="G124" s="230" t="s">
        <v>1069</v>
      </c>
      <c r="H124" s="221" t="str">
        <f aca="false">LEFT(I124,5)</f>
        <v>C0077</v>
      </c>
      <c r="I124" s="230" t="s">
        <v>1328</v>
      </c>
      <c r="J124" s="221" t="s">
        <v>1329</v>
      </c>
      <c r="K124" s="230" t="s">
        <v>1072</v>
      </c>
      <c r="L124" s="230" t="s">
        <v>1073</v>
      </c>
      <c r="M124" s="237"/>
      <c r="N124" s="231" t="n">
        <v>0</v>
      </c>
      <c r="O124" s="231" t="n">
        <v>0</v>
      </c>
      <c r="P124" s="231" t="n">
        <v>0</v>
      </c>
      <c r="Q124" s="232" t="n">
        <v>4.33</v>
      </c>
      <c r="R124" s="232" t="n">
        <v>3.67</v>
      </c>
      <c r="S124" s="224" t="n">
        <v>1.33</v>
      </c>
      <c r="T124" s="225" t="n">
        <f aca="false">Q124*R124*S124</f>
        <v>21.135163</v>
      </c>
      <c r="U124" s="226" t="n">
        <f aca="false">T124*P124</f>
        <v>0</v>
      </c>
      <c r="V124" s="233"/>
    </row>
    <row r="125" customFormat="false" ht="13.5" hidden="false" customHeight="true" outlineLevel="0" collapsed="false">
      <c r="B125" s="228" t="n">
        <v>319</v>
      </c>
      <c r="C125" s="236" t="s">
        <v>1068</v>
      </c>
      <c r="D125" s="219" t="n">
        <v>14345</v>
      </c>
      <c r="E125" s="220" t="str">
        <f aca="false">IF(D125="","",IFERROR(VLOOKUP(D125,CCN_Library!$A$4:$B$13,2,FALSE()),"NOT IN LIBRARY"))</f>
        <v>ARMORY</v>
      </c>
      <c r="F125" s="229"/>
      <c r="G125" s="230" t="s">
        <v>1069</v>
      </c>
      <c r="H125" s="221" t="str">
        <f aca="false">LEFT(I125,5)</f>
        <v>E0088</v>
      </c>
      <c r="I125" s="230" t="s">
        <v>1330</v>
      </c>
      <c r="J125" s="221" t="s">
        <v>1331</v>
      </c>
      <c r="K125" s="230" t="s">
        <v>1072</v>
      </c>
      <c r="L125" s="230" t="s">
        <v>1073</v>
      </c>
      <c r="M125" s="230" t="s">
        <v>133</v>
      </c>
      <c r="N125" s="231" t="n">
        <v>2</v>
      </c>
      <c r="O125" s="231" t="n">
        <v>0</v>
      </c>
      <c r="P125" s="231" t="n">
        <v>2</v>
      </c>
      <c r="Q125" s="235" t="n">
        <v>1</v>
      </c>
      <c r="R125" s="232" t="n">
        <v>0.5</v>
      </c>
      <c r="S125" s="224" t="n">
        <v>0.42</v>
      </c>
      <c r="T125" s="225" t="n">
        <f aca="false">Q125*R125*S125</f>
        <v>0.21</v>
      </c>
      <c r="U125" s="226" t="n">
        <f aca="false">T125*P125</f>
        <v>0.42</v>
      </c>
      <c r="V125" s="233"/>
    </row>
    <row r="126" customFormat="false" ht="13.5" hidden="false" customHeight="true" outlineLevel="0" collapsed="false">
      <c r="B126" s="228" t="n">
        <v>320</v>
      </c>
      <c r="C126" s="236" t="s">
        <v>1068</v>
      </c>
      <c r="D126" s="219" t="n">
        <v>14345</v>
      </c>
      <c r="E126" s="220" t="str">
        <f aca="false">IF(D126="","",IFERROR(VLOOKUP(D126,CCN_Library!$A$4:$B$13,2,FALSE()),"NOT IN LIBRARY"))</f>
        <v>ARMORY</v>
      </c>
      <c r="F126" s="229"/>
      <c r="G126" s="230" t="s">
        <v>1069</v>
      </c>
      <c r="H126" s="221" t="str">
        <f aca="false">LEFT(I126,5)</f>
        <v>E1442</v>
      </c>
      <c r="I126" s="230" t="s">
        <v>1332</v>
      </c>
      <c r="J126" s="221" t="s">
        <v>1333</v>
      </c>
      <c r="K126" s="230" t="s">
        <v>1072</v>
      </c>
      <c r="L126" s="230" t="s">
        <v>1073</v>
      </c>
      <c r="M126" s="230" t="s">
        <v>133</v>
      </c>
      <c r="N126" s="231" t="n">
        <v>58</v>
      </c>
      <c r="O126" s="231" t="n">
        <v>0</v>
      </c>
      <c r="P126" s="231" t="n">
        <v>58</v>
      </c>
      <c r="Q126" s="232" t="n">
        <v>3.25</v>
      </c>
      <c r="R126" s="232" t="n">
        <v>0.17</v>
      </c>
      <c r="S126" s="224" t="n">
        <v>0.75</v>
      </c>
      <c r="T126" s="225" t="n">
        <f aca="false">Q126*R126*S126</f>
        <v>0.414375</v>
      </c>
      <c r="U126" s="226" t="n">
        <f aca="false">T126*P126</f>
        <v>24.03375</v>
      </c>
      <c r="V126" s="233"/>
    </row>
    <row r="127" customFormat="false" ht="13.5" hidden="false" customHeight="true" outlineLevel="0" collapsed="false">
      <c r="B127" s="228" t="n">
        <v>323</v>
      </c>
      <c r="C127" s="236" t="s">
        <v>1077</v>
      </c>
      <c r="D127" s="219" t="n">
        <v>21710</v>
      </c>
      <c r="E127" s="220" t="str">
        <f aca="false">IF(D127="","",IFERROR(VLOOKUP(D127,CCN_Library!$A$4:$B$13,2,FALSE()),"NOT IN LIBRARY"))</f>
        <v>ELECTRONICS/COMMUNICATIONS MAINTENANCE SHOP</v>
      </c>
      <c r="F127" s="229"/>
      <c r="G127" s="230" t="s">
        <v>1069</v>
      </c>
      <c r="H127" s="221" t="str">
        <f aca="false">LEFT(I127,5)</f>
        <v>A7504</v>
      </c>
      <c r="I127" s="230" t="s">
        <v>1334</v>
      </c>
      <c r="J127" s="221" t="s">
        <v>1335</v>
      </c>
      <c r="K127" s="230" t="s">
        <v>1072</v>
      </c>
      <c r="L127" s="230" t="s">
        <v>1073</v>
      </c>
      <c r="M127" s="230" t="s">
        <v>133</v>
      </c>
      <c r="N127" s="231" t="n">
        <v>0</v>
      </c>
      <c r="O127" s="231" t="n">
        <v>5</v>
      </c>
      <c r="P127" s="231" t="n">
        <v>5</v>
      </c>
      <c r="Q127" s="232" t="n">
        <v>1.83</v>
      </c>
      <c r="R127" s="232" t="n">
        <v>1.33</v>
      </c>
      <c r="S127" s="224" t="n">
        <v>1</v>
      </c>
      <c r="T127" s="225" t="n">
        <f aca="false">Q127*R127*S127</f>
        <v>2.4339</v>
      </c>
      <c r="U127" s="226" t="n">
        <f aca="false">T127*P127</f>
        <v>12.1695</v>
      </c>
      <c r="V127" s="233"/>
    </row>
    <row r="128" customFormat="false" ht="13.5" hidden="false" customHeight="true" outlineLevel="0" collapsed="false">
      <c r="B128" s="228" t="n">
        <v>325</v>
      </c>
      <c r="C128" s="236" t="s">
        <v>1074</v>
      </c>
      <c r="D128" s="219" t="n">
        <v>44112</v>
      </c>
      <c r="E128" s="220" t="str">
        <f aca="false">IF(D128="","",IFERROR(VLOOKUP(D128,CCN_Library!$A$4:$B$13,2,FALSE()),"NOT IN LIBRARY"))</f>
        <v>STORAGE OF AIR OR GROUND ORGANIC UNITS FOR MARINE CORPS</v>
      </c>
      <c r="F128" s="229"/>
      <c r="G128" s="230" t="s">
        <v>1069</v>
      </c>
      <c r="H128" s="221" t="str">
        <f aca="false">LEFT(I128,5)</f>
        <v>C0170</v>
      </c>
      <c r="I128" s="230" t="s">
        <v>1336</v>
      </c>
      <c r="J128" s="221" t="s">
        <v>1337</v>
      </c>
      <c r="K128" s="230" t="s">
        <v>1072</v>
      </c>
      <c r="L128" s="230" t="s">
        <v>1073</v>
      </c>
      <c r="M128" s="230" t="s">
        <v>133</v>
      </c>
      <c r="N128" s="231" t="n">
        <v>305</v>
      </c>
      <c r="O128" s="231" t="n">
        <v>0</v>
      </c>
      <c r="P128" s="231" t="n">
        <v>305</v>
      </c>
      <c r="Q128" s="235" t="n">
        <v>0</v>
      </c>
      <c r="R128" s="235" t="n">
        <v>0</v>
      </c>
      <c r="S128" s="224" t="n">
        <v>0</v>
      </c>
      <c r="T128" s="225" t="n">
        <f aca="false">Q128*R128*S128</f>
        <v>0</v>
      </c>
      <c r="U128" s="226" t="n">
        <f aca="false">T128*P128</f>
        <v>0</v>
      </c>
      <c r="V128" s="233"/>
    </row>
    <row r="129" customFormat="false" ht="13.5" hidden="false" customHeight="true" outlineLevel="0" collapsed="false">
      <c r="B129" s="228" t="n">
        <v>329</v>
      </c>
      <c r="C129" s="236" t="s">
        <v>1074</v>
      </c>
      <c r="D129" s="219" t="n">
        <v>44112</v>
      </c>
      <c r="E129" s="220" t="str">
        <f aca="false">IF(D129="","",IFERROR(VLOOKUP(D129,CCN_Library!$A$4:$B$13,2,FALSE()),"NOT IN LIBRARY"))</f>
        <v>STORAGE OF AIR OR GROUND ORGANIC UNITS FOR MARINE CORPS</v>
      </c>
      <c r="F129" s="229"/>
      <c r="G129" s="230" t="s">
        <v>1069</v>
      </c>
      <c r="H129" s="221" t="str">
        <f aca="false">LEFT(I129,5)</f>
        <v>C3414</v>
      </c>
      <c r="I129" s="230" t="s">
        <v>1338</v>
      </c>
      <c r="J129" s="221" t="s">
        <v>1339</v>
      </c>
      <c r="K129" s="230" t="s">
        <v>1072</v>
      </c>
      <c r="L129" s="230" t="s">
        <v>1073</v>
      </c>
      <c r="M129" s="230" t="s">
        <v>133</v>
      </c>
      <c r="N129" s="231" t="n">
        <v>153</v>
      </c>
      <c r="O129" s="231" t="n">
        <v>0</v>
      </c>
      <c r="P129" s="231" t="n">
        <v>153</v>
      </c>
      <c r="Q129" s="232" t="n">
        <v>2.08</v>
      </c>
      <c r="R129" s="232" t="n">
        <v>0.58</v>
      </c>
      <c r="S129" s="224" t="n">
        <v>0.58</v>
      </c>
      <c r="T129" s="225" t="n">
        <f aca="false">Q129*R129*S129</f>
        <v>0.699712</v>
      </c>
      <c r="U129" s="226" t="n">
        <f aca="false">T129*P129</f>
        <v>107.055936</v>
      </c>
      <c r="V129" s="233"/>
    </row>
    <row r="130" customFormat="false" ht="13.5" hidden="false" customHeight="true" outlineLevel="0" collapsed="false">
      <c r="B130" s="228" t="n">
        <v>331</v>
      </c>
      <c r="C130" s="236" t="s">
        <v>1068</v>
      </c>
      <c r="D130" s="219" t="n">
        <v>14345</v>
      </c>
      <c r="E130" s="220" t="str">
        <f aca="false">IF(D130="","",IFERROR(VLOOKUP(D130,CCN_Library!$A$4:$B$13,2,FALSE()),"NOT IN LIBRARY"))</f>
        <v>ARMORY</v>
      </c>
      <c r="F130" s="229"/>
      <c r="G130" s="230" t="s">
        <v>1069</v>
      </c>
      <c r="H130" s="221" t="str">
        <f aca="false">LEFT(I130,5)</f>
        <v>E0071</v>
      </c>
      <c r="I130" s="230" t="s">
        <v>1340</v>
      </c>
      <c r="J130" s="221" t="s">
        <v>1341</v>
      </c>
      <c r="K130" s="230" t="s">
        <v>1072</v>
      </c>
      <c r="L130" s="230" t="s">
        <v>1290</v>
      </c>
      <c r="M130" s="237"/>
      <c r="N130" s="231" t="n">
        <v>0</v>
      </c>
      <c r="O130" s="231" t="n">
        <v>0</v>
      </c>
      <c r="P130" s="231" t="n">
        <v>0</v>
      </c>
      <c r="Q130" s="235" t="n">
        <v>0</v>
      </c>
      <c r="R130" s="235" t="n">
        <v>0</v>
      </c>
      <c r="S130" s="224" t="n">
        <v>0</v>
      </c>
      <c r="T130" s="225" t="n">
        <f aca="false">Q130*R130*S130</f>
        <v>0</v>
      </c>
      <c r="U130" s="226" t="n">
        <f aca="false">T130*P130</f>
        <v>0</v>
      </c>
      <c r="V130" s="233"/>
    </row>
    <row r="131" customFormat="false" ht="13.5" hidden="false" customHeight="true" outlineLevel="0" collapsed="false">
      <c r="B131" s="228" t="n">
        <v>333</v>
      </c>
      <c r="C131" s="236" t="s">
        <v>1074</v>
      </c>
      <c r="D131" s="219" t="n">
        <v>44112</v>
      </c>
      <c r="E131" s="220" t="str">
        <f aca="false">IF(D131="","",IFERROR(VLOOKUP(D131,CCN_Library!$A$4:$B$13,2,FALSE()),"NOT IN LIBRARY"))</f>
        <v>STORAGE OF AIR OR GROUND ORGANIC UNITS FOR MARINE CORPS</v>
      </c>
      <c r="F131" s="229"/>
      <c r="G131" s="230" t="s">
        <v>1069</v>
      </c>
      <c r="H131" s="221" t="str">
        <f aca="false">LEFT(I131,5)</f>
        <v>C8686</v>
      </c>
      <c r="I131" s="230" t="s">
        <v>1342</v>
      </c>
      <c r="J131" s="221" t="s">
        <v>1343</v>
      </c>
      <c r="K131" s="230" t="s">
        <v>1072</v>
      </c>
      <c r="L131" s="237"/>
      <c r="M131" s="230" t="s">
        <v>133</v>
      </c>
      <c r="N131" s="231" t="n">
        <v>0</v>
      </c>
      <c r="O131" s="231" t="n">
        <v>1</v>
      </c>
      <c r="P131" s="231" t="n">
        <v>1</v>
      </c>
      <c r="Q131" s="232" t="n">
        <v>3.08</v>
      </c>
      <c r="R131" s="232" t="n">
        <v>3.83</v>
      </c>
      <c r="S131" s="224" t="n">
        <v>5.66</v>
      </c>
      <c r="T131" s="225" t="n">
        <f aca="false">Q131*R131*S131</f>
        <v>66.767624</v>
      </c>
      <c r="U131" s="226" t="n">
        <f aca="false">T131*P131</f>
        <v>66.767624</v>
      </c>
      <c r="V131" s="233"/>
    </row>
    <row r="132" customFormat="false" ht="13.5" hidden="false" customHeight="true" outlineLevel="0" collapsed="false">
      <c r="B132" s="228" t="n">
        <v>335</v>
      </c>
      <c r="C132" s="236" t="s">
        <v>1074</v>
      </c>
      <c r="D132" s="219" t="n">
        <v>44112</v>
      </c>
      <c r="E132" s="220" t="str">
        <f aca="false">IF(D132="","",IFERROR(VLOOKUP(D132,CCN_Library!$A$4:$B$13,2,FALSE()),"NOT IN LIBRARY"))</f>
        <v>STORAGE OF AIR OR GROUND ORGANIC UNITS FOR MARINE CORPS</v>
      </c>
      <c r="F132" s="229"/>
      <c r="G132" s="230" t="s">
        <v>1069</v>
      </c>
      <c r="H132" s="221" t="str">
        <f aca="false">LEFT(I132,5)</f>
        <v>C8600</v>
      </c>
      <c r="I132" s="230" t="s">
        <v>1344</v>
      </c>
      <c r="J132" s="221" t="s">
        <v>1345</v>
      </c>
      <c r="K132" s="230" t="s">
        <v>1072</v>
      </c>
      <c r="L132" s="237"/>
      <c r="M132" s="230" t="s">
        <v>133</v>
      </c>
      <c r="N132" s="231" t="n">
        <v>0</v>
      </c>
      <c r="O132" s="231" t="n">
        <v>2</v>
      </c>
      <c r="P132" s="231" t="n">
        <v>2</v>
      </c>
      <c r="Q132" s="232" t="n">
        <v>5.58</v>
      </c>
      <c r="R132" s="232" t="n">
        <v>3.5</v>
      </c>
      <c r="S132" s="224" t="n">
        <v>4.83</v>
      </c>
      <c r="T132" s="225" t="n">
        <f aca="false">Q132*R132*S132</f>
        <v>94.3299</v>
      </c>
      <c r="U132" s="226" t="n">
        <f aca="false">T132*P132</f>
        <v>188.6598</v>
      </c>
      <c r="V132" s="233"/>
    </row>
    <row r="133" customFormat="false" ht="13.5" hidden="false" customHeight="true" outlineLevel="0" collapsed="false">
      <c r="B133" s="228" t="n">
        <v>336</v>
      </c>
      <c r="C133" s="236" t="s">
        <v>1074</v>
      </c>
      <c r="D133" s="219" t="n">
        <v>44112</v>
      </c>
      <c r="E133" s="220" t="str">
        <f aca="false">IF(D133="","",IFERROR(VLOOKUP(D133,CCN_Library!$A$4:$B$13,2,FALSE()),"NOT IN LIBRARY"))</f>
        <v>STORAGE OF AIR OR GROUND ORGANIC UNITS FOR MARINE CORPS</v>
      </c>
      <c r="F133" s="229"/>
      <c r="G133" s="230" t="s">
        <v>1069</v>
      </c>
      <c r="H133" s="221" t="str">
        <f aca="false">LEFT(I133,5)</f>
        <v>C1055</v>
      </c>
      <c r="I133" s="230" t="s">
        <v>1346</v>
      </c>
      <c r="J133" s="221" t="s">
        <v>1347</v>
      </c>
      <c r="K133" s="230" t="s">
        <v>1072</v>
      </c>
      <c r="L133" s="230" t="s">
        <v>1073</v>
      </c>
      <c r="M133" s="230" t="s">
        <v>133</v>
      </c>
      <c r="N133" s="231" t="n">
        <v>305</v>
      </c>
      <c r="O133" s="231" t="n">
        <v>270</v>
      </c>
      <c r="P133" s="231" t="n">
        <v>575</v>
      </c>
      <c r="Q133" s="232" t="n">
        <v>0.75</v>
      </c>
      <c r="R133" s="232" t="n">
        <v>0.83</v>
      </c>
      <c r="S133" s="224" t="n">
        <v>0.08</v>
      </c>
      <c r="T133" s="225" t="n">
        <f aca="false">Q133*R133*S133</f>
        <v>0.0498</v>
      </c>
      <c r="U133" s="226" t="n">
        <f aca="false">T133*P133</f>
        <v>28.635</v>
      </c>
      <c r="V133" s="233"/>
    </row>
    <row r="134" customFormat="false" ht="13.5" hidden="false" customHeight="true" outlineLevel="0" collapsed="false">
      <c r="B134" s="228" t="n">
        <v>342</v>
      </c>
      <c r="C134" s="236" t="s">
        <v>1074</v>
      </c>
      <c r="D134" s="219" t="n">
        <v>44112</v>
      </c>
      <c r="E134" s="220" t="str">
        <f aca="false">IF(D134="","",IFERROR(VLOOKUP(D134,CCN_Library!$A$4:$B$13,2,FALSE()),"NOT IN LIBRARY"))</f>
        <v>STORAGE OF AIR OR GROUND ORGANIC UNITS FOR MARINE CORPS</v>
      </c>
      <c r="F134" s="229"/>
      <c r="G134" s="230" t="s">
        <v>1069</v>
      </c>
      <c r="H134" s="221" t="str">
        <f aca="false">LEFT(I134,5)</f>
        <v>C2171</v>
      </c>
      <c r="I134" s="230" t="s">
        <v>1348</v>
      </c>
      <c r="J134" s="221" t="s">
        <v>1349</v>
      </c>
      <c r="K134" s="230" t="s">
        <v>1072</v>
      </c>
      <c r="L134" s="230" t="s">
        <v>1073</v>
      </c>
      <c r="M134" s="230" t="s">
        <v>133</v>
      </c>
      <c r="N134" s="231" t="n">
        <v>305</v>
      </c>
      <c r="O134" s="231" t="n">
        <v>0</v>
      </c>
      <c r="P134" s="231" t="n">
        <v>305</v>
      </c>
      <c r="Q134" s="235" t="n">
        <v>0</v>
      </c>
      <c r="R134" s="235" t="n">
        <v>0</v>
      </c>
      <c r="S134" s="224" t="n">
        <v>0</v>
      </c>
      <c r="T134" s="225" t="n">
        <f aca="false">Q134*R134*S134</f>
        <v>0</v>
      </c>
      <c r="U134" s="226" t="n">
        <f aca="false">T134*P134</f>
        <v>0</v>
      </c>
      <c r="V134" s="233"/>
    </row>
    <row r="135" customFormat="false" ht="13.5" hidden="false" customHeight="true" outlineLevel="0" collapsed="false">
      <c r="B135" s="228" t="n">
        <v>349</v>
      </c>
      <c r="C135" s="236" t="s">
        <v>1074</v>
      </c>
      <c r="D135" s="219" t="n">
        <v>44112</v>
      </c>
      <c r="E135" s="220" t="str">
        <f aca="false">IF(D135="","",IFERROR(VLOOKUP(D135,CCN_Library!$A$4:$B$13,2,FALSE()),"NOT IN LIBRARY"))</f>
        <v>STORAGE OF AIR OR GROUND ORGANIC UNITS FOR MARINE CORPS</v>
      </c>
      <c r="F135" s="229"/>
      <c r="G135" s="230" t="s">
        <v>1069</v>
      </c>
      <c r="H135" s="221" t="str">
        <f aca="false">LEFT(I135,5)</f>
        <v>C8648</v>
      </c>
      <c r="I135" s="230" t="s">
        <v>1350</v>
      </c>
      <c r="J135" s="221" t="s">
        <v>1351</v>
      </c>
      <c r="K135" s="230" t="s">
        <v>1072</v>
      </c>
      <c r="L135" s="237"/>
      <c r="M135" s="230" t="s">
        <v>133</v>
      </c>
      <c r="N135" s="231" t="n">
        <v>0</v>
      </c>
      <c r="O135" s="231" t="n">
        <v>6</v>
      </c>
      <c r="P135" s="231" t="n">
        <v>6</v>
      </c>
      <c r="Q135" s="232" t="n">
        <v>4.58</v>
      </c>
      <c r="R135" s="232" t="n">
        <v>3.83</v>
      </c>
      <c r="S135" s="224" t="n">
        <v>5.5</v>
      </c>
      <c r="T135" s="225" t="n">
        <f aca="false">Q135*R135*S135</f>
        <v>96.4777</v>
      </c>
      <c r="U135" s="226" t="n">
        <f aca="false">T135*P135</f>
        <v>578.8662</v>
      </c>
      <c r="V135" s="233"/>
    </row>
    <row r="136" customFormat="false" ht="13.5" hidden="false" customHeight="true" outlineLevel="0" collapsed="false">
      <c r="B136" s="228" t="n">
        <v>350</v>
      </c>
      <c r="C136" s="236" t="s">
        <v>1074</v>
      </c>
      <c r="D136" s="219" t="n">
        <v>44112</v>
      </c>
      <c r="E136" s="220" t="str">
        <f aca="false">IF(D136="","",IFERROR(VLOOKUP(D136,CCN_Library!$A$4:$B$13,2,FALSE()),"NOT IN LIBRARY"))</f>
        <v>STORAGE OF AIR OR GROUND ORGANIC UNITS FOR MARINE CORPS</v>
      </c>
      <c r="F136" s="229"/>
      <c r="G136" s="230" t="s">
        <v>1069</v>
      </c>
      <c r="H136" s="221" t="str">
        <f aca="false">LEFT(I136,5)</f>
        <v>C8685</v>
      </c>
      <c r="I136" s="230" t="s">
        <v>1352</v>
      </c>
      <c r="J136" s="221" t="s">
        <v>1353</v>
      </c>
      <c r="K136" s="230" t="s">
        <v>1072</v>
      </c>
      <c r="L136" s="237"/>
      <c r="M136" s="230" t="s">
        <v>133</v>
      </c>
      <c r="N136" s="231" t="n">
        <v>0</v>
      </c>
      <c r="O136" s="231" t="n">
        <v>1</v>
      </c>
      <c r="P136" s="231" t="n">
        <v>1</v>
      </c>
      <c r="Q136" s="232" t="n">
        <v>2.92</v>
      </c>
      <c r="R136" s="232" t="n">
        <v>3.42</v>
      </c>
      <c r="S136" s="224" t="n">
        <v>5</v>
      </c>
      <c r="T136" s="225" t="n">
        <f aca="false">Q136*R136*S136</f>
        <v>49.932</v>
      </c>
      <c r="U136" s="226" t="n">
        <f aca="false">T136*P136</f>
        <v>49.932</v>
      </c>
      <c r="V136" s="233"/>
    </row>
    <row r="137" customFormat="false" ht="13.5" hidden="false" customHeight="true" outlineLevel="0" collapsed="false">
      <c r="B137" s="228" t="n">
        <v>351</v>
      </c>
      <c r="C137" s="236" t="s">
        <v>1074</v>
      </c>
      <c r="D137" s="219" t="n">
        <v>44112</v>
      </c>
      <c r="E137" s="220" t="str">
        <f aca="false">IF(D137="","",IFERROR(VLOOKUP(D137,CCN_Library!$A$4:$B$13,2,FALSE()),"NOT IN LIBRARY"))</f>
        <v>STORAGE OF AIR OR GROUND ORGANIC UNITS FOR MARINE CORPS</v>
      </c>
      <c r="F137" s="229"/>
      <c r="G137" s="230" t="s">
        <v>1069</v>
      </c>
      <c r="H137" s="221" t="str">
        <f aca="false">LEFT(I137,5)</f>
        <v>C8687</v>
      </c>
      <c r="I137" s="230" t="s">
        <v>1354</v>
      </c>
      <c r="J137" s="221" t="s">
        <v>1355</v>
      </c>
      <c r="K137" s="230" t="s">
        <v>1072</v>
      </c>
      <c r="L137" s="237"/>
      <c r="M137" s="230" t="s">
        <v>133</v>
      </c>
      <c r="N137" s="231" t="n">
        <v>0</v>
      </c>
      <c r="O137" s="231" t="n">
        <v>1</v>
      </c>
      <c r="P137" s="231" t="n">
        <v>1</v>
      </c>
      <c r="Q137" s="232" t="n">
        <v>6.66</v>
      </c>
      <c r="R137" s="232" t="n">
        <v>3.67</v>
      </c>
      <c r="S137" s="224" t="n">
        <v>6.66</v>
      </c>
      <c r="T137" s="225" t="n">
        <f aca="false">Q137*R137*S137</f>
        <v>162.785052</v>
      </c>
      <c r="U137" s="226" t="n">
        <f aca="false">T137*P137</f>
        <v>162.785052</v>
      </c>
      <c r="V137" s="233"/>
    </row>
    <row r="138" customFormat="false" ht="13.5" hidden="false" customHeight="true" outlineLevel="0" collapsed="false">
      <c r="B138" s="228" t="n">
        <v>352</v>
      </c>
      <c r="C138" s="236" t="s">
        <v>1074</v>
      </c>
      <c r="D138" s="219" t="n">
        <v>44112</v>
      </c>
      <c r="E138" s="220" t="str">
        <f aca="false">IF(D138="","",IFERROR(VLOOKUP(D138,CCN_Library!$A$4:$B$13,2,FALSE()),"NOT IN LIBRARY"))</f>
        <v>STORAGE OF AIR OR GROUND ORGANIC UNITS FOR MARINE CORPS</v>
      </c>
      <c r="F138" s="229"/>
      <c r="G138" s="230" t="s">
        <v>1069</v>
      </c>
      <c r="H138" s="221" t="str">
        <f aca="false">LEFT(I138,5)</f>
        <v>C8700</v>
      </c>
      <c r="I138" s="230" t="s">
        <v>1356</v>
      </c>
      <c r="J138" s="221" t="s">
        <v>1357</v>
      </c>
      <c r="K138" s="230" t="s">
        <v>1072</v>
      </c>
      <c r="L138" s="237"/>
      <c r="M138" s="230" t="s">
        <v>133</v>
      </c>
      <c r="N138" s="231" t="n">
        <v>0</v>
      </c>
      <c r="O138" s="231" t="n">
        <v>8</v>
      </c>
      <c r="P138" s="231" t="n">
        <v>8</v>
      </c>
      <c r="Q138" s="235" t="n">
        <v>4</v>
      </c>
      <c r="R138" s="232" t="n">
        <v>4.58</v>
      </c>
      <c r="S138" s="224" t="n">
        <v>4.91</v>
      </c>
      <c r="T138" s="225" t="n">
        <f aca="false">Q138*R138*S138</f>
        <v>89.9512</v>
      </c>
      <c r="U138" s="226" t="n">
        <f aca="false">T138*P138</f>
        <v>719.6096</v>
      </c>
      <c r="V138" s="233"/>
    </row>
    <row r="139" customFormat="false" ht="13.5" hidden="false" customHeight="true" outlineLevel="0" collapsed="false">
      <c r="B139" s="228" t="n">
        <v>358</v>
      </c>
      <c r="C139" s="236" t="s">
        <v>1074</v>
      </c>
      <c r="D139" s="219" t="n">
        <v>44112</v>
      </c>
      <c r="E139" s="220" t="str">
        <f aca="false">IF(D139="","",IFERROR(VLOOKUP(D139,CCN_Library!$A$4:$B$13,2,FALSE()),"NOT IN LIBRARY"))</f>
        <v>STORAGE OF AIR OR GROUND ORGANIC UNITS FOR MARINE CORPS</v>
      </c>
      <c r="F139" s="229"/>
      <c r="G139" s="230" t="s">
        <v>1069</v>
      </c>
      <c r="H139" s="221" t="str">
        <f aca="false">LEFT(I139,5)</f>
        <v>K4148</v>
      </c>
      <c r="I139" s="230" t="s">
        <v>1358</v>
      </c>
      <c r="J139" s="221" t="s">
        <v>1359</v>
      </c>
      <c r="K139" s="230" t="s">
        <v>1080</v>
      </c>
      <c r="L139" s="230" t="s">
        <v>1073</v>
      </c>
      <c r="M139" s="230" t="s">
        <v>133</v>
      </c>
      <c r="N139" s="231" t="n">
        <v>0</v>
      </c>
      <c r="O139" s="231" t="n">
        <v>14</v>
      </c>
      <c r="P139" s="231" t="n">
        <v>14</v>
      </c>
      <c r="Q139" s="232" t="n">
        <v>0.67</v>
      </c>
      <c r="R139" s="232" t="n">
        <v>0.42</v>
      </c>
      <c r="S139" s="224" t="n">
        <v>0.08</v>
      </c>
      <c r="T139" s="225" t="n">
        <f aca="false">Q139*R139*S139</f>
        <v>0.022512</v>
      </c>
      <c r="U139" s="226" t="n">
        <f aca="false">T139*P139</f>
        <v>0.315168</v>
      </c>
      <c r="V139" s="233"/>
    </row>
    <row r="140" customFormat="false" ht="13.5" hidden="false" customHeight="true" outlineLevel="0" collapsed="false">
      <c r="B140" s="228" t="n">
        <v>361</v>
      </c>
      <c r="C140" s="236" t="s">
        <v>1077</v>
      </c>
      <c r="D140" s="219" t="n">
        <v>21710</v>
      </c>
      <c r="E140" s="220" t="str">
        <f aca="false">IF(D140="","",IFERROR(VLOOKUP(D140,CCN_Library!$A$4:$B$13,2,FALSE()),"NOT IN LIBRARY"))</f>
        <v>ELECTRONICS/COMMUNICATIONS MAINTENANCE SHOP</v>
      </c>
      <c r="F140" s="229"/>
      <c r="G140" s="230" t="s">
        <v>1069</v>
      </c>
      <c r="H140" s="221" t="str">
        <f aca="false">LEFT(I140,5)</f>
        <v>K0002</v>
      </c>
      <c r="I140" s="230" t="s">
        <v>1360</v>
      </c>
      <c r="J140" s="221" t="s">
        <v>1361</v>
      </c>
      <c r="K140" s="230" t="s">
        <v>1072</v>
      </c>
      <c r="L140" s="230" t="s">
        <v>1073</v>
      </c>
      <c r="M140" s="230" t="s">
        <v>133</v>
      </c>
      <c r="N140" s="231" t="n">
        <v>0</v>
      </c>
      <c r="O140" s="231" t="n">
        <v>2</v>
      </c>
      <c r="P140" s="231" t="n">
        <v>2</v>
      </c>
      <c r="Q140" s="232" t="n">
        <v>0.29</v>
      </c>
      <c r="R140" s="232" t="n">
        <v>1.08</v>
      </c>
      <c r="S140" s="224" t="n">
        <v>1.33</v>
      </c>
      <c r="T140" s="225" t="n">
        <f aca="false">Q140*R140*S140</f>
        <v>0.416556</v>
      </c>
      <c r="U140" s="226" t="n">
        <f aca="false">T140*P140</f>
        <v>0.833112</v>
      </c>
      <c r="V140" s="233"/>
    </row>
    <row r="141" customFormat="false" ht="13.5" hidden="false" customHeight="true" outlineLevel="0" collapsed="false">
      <c r="B141" s="228" t="n">
        <v>362</v>
      </c>
      <c r="C141" s="236" t="s">
        <v>1074</v>
      </c>
      <c r="D141" s="219" t="n">
        <v>44112</v>
      </c>
      <c r="E141" s="220" t="str">
        <f aca="false">IF(D141="","",IFERROR(VLOOKUP(D141,CCN_Library!$A$4:$B$13,2,FALSE()),"NOT IN LIBRARY"))</f>
        <v>STORAGE OF AIR OR GROUND ORGANIC UNITS FOR MARINE CORPS</v>
      </c>
      <c r="F141" s="229"/>
      <c r="G141" s="230" t="s">
        <v>1069</v>
      </c>
      <c r="H141" s="221" t="str">
        <f aca="false">LEFT(I141,5)</f>
        <v>C3070</v>
      </c>
      <c r="I141" s="230" t="s">
        <v>1362</v>
      </c>
      <c r="J141" s="221" t="s">
        <v>1363</v>
      </c>
      <c r="K141" s="230" t="s">
        <v>1072</v>
      </c>
      <c r="L141" s="230" t="s">
        <v>1073</v>
      </c>
      <c r="M141" s="230" t="s">
        <v>133</v>
      </c>
      <c r="N141" s="231" t="n">
        <v>305</v>
      </c>
      <c r="O141" s="231" t="n">
        <v>0</v>
      </c>
      <c r="P141" s="231" t="n">
        <v>305</v>
      </c>
      <c r="Q141" s="232" t="n">
        <v>0.58</v>
      </c>
      <c r="R141" s="232" t="n">
        <v>0.42</v>
      </c>
      <c r="S141" s="224" t="n">
        <v>0.08</v>
      </c>
      <c r="T141" s="225" t="n">
        <f aca="false">Q141*R141*S141</f>
        <v>0.019488</v>
      </c>
      <c r="U141" s="226" t="n">
        <f aca="false">T141*P141</f>
        <v>5.94384</v>
      </c>
      <c r="V141" s="233"/>
    </row>
    <row r="142" customFormat="false" ht="13.5" hidden="false" customHeight="true" outlineLevel="0" collapsed="false">
      <c r="B142" s="228" t="n">
        <v>363</v>
      </c>
      <c r="C142" s="236" t="s">
        <v>1074</v>
      </c>
      <c r="D142" s="219" t="n">
        <v>44112</v>
      </c>
      <c r="E142" s="220" t="str">
        <f aca="false">IF(D142="","",IFERROR(VLOOKUP(D142,CCN_Library!$A$4:$B$13,2,FALSE()),"NOT IN LIBRARY"))</f>
        <v>STORAGE OF AIR OR GROUND ORGANIC UNITS FOR MARINE CORPS</v>
      </c>
      <c r="F142" s="229"/>
      <c r="G142" s="230" t="s">
        <v>1069</v>
      </c>
      <c r="H142" s="221" t="str">
        <f aca="false">LEFT(I142,5)</f>
        <v>B2130</v>
      </c>
      <c r="I142" s="230" t="s">
        <v>1364</v>
      </c>
      <c r="J142" s="221" t="s">
        <v>1223</v>
      </c>
      <c r="K142" s="230" t="s">
        <v>1072</v>
      </c>
      <c r="L142" s="230" t="s">
        <v>1073</v>
      </c>
      <c r="M142" s="230" t="s">
        <v>133</v>
      </c>
      <c r="N142" s="231" t="n">
        <v>0</v>
      </c>
      <c r="O142" s="231" t="n">
        <v>4</v>
      </c>
      <c r="P142" s="231" t="n">
        <v>4</v>
      </c>
      <c r="Q142" s="232" t="n">
        <v>2.33</v>
      </c>
      <c r="R142" s="232" t="n">
        <v>3.92</v>
      </c>
      <c r="S142" s="224" t="n">
        <v>1.42</v>
      </c>
      <c r="T142" s="225" t="n">
        <f aca="false">Q142*R142*S142</f>
        <v>12.969712</v>
      </c>
      <c r="U142" s="226" t="n">
        <f aca="false">T142*P142</f>
        <v>51.878848</v>
      </c>
      <c r="V142" s="233"/>
    </row>
    <row r="143" customFormat="false" ht="13.5" hidden="false" customHeight="true" outlineLevel="0" collapsed="false">
      <c r="B143" s="228" t="n">
        <v>365</v>
      </c>
      <c r="C143" s="236" t="s">
        <v>1113</v>
      </c>
      <c r="D143" s="219" t="n">
        <v>21451</v>
      </c>
      <c r="E143" s="220" t="str">
        <f aca="false">IF(D143="","",IFERROR(VLOOKUP(D143,CCN_Library!$A$4:$B$13,2,FALSE()),"NOT IN LIBRARY"))</f>
        <v>AUTOMOTIVE ORGANIZATIONAL SHOP</v>
      </c>
      <c r="F143" s="229"/>
      <c r="G143" s="230" t="s">
        <v>1069</v>
      </c>
      <c r="H143" s="221" t="str">
        <f aca="false">LEFT(I143,5)</f>
        <v>D7000</v>
      </c>
      <c r="I143" s="230" t="s">
        <v>1365</v>
      </c>
      <c r="J143" s="221" t="s">
        <v>1366</v>
      </c>
      <c r="K143" s="230" t="s">
        <v>1080</v>
      </c>
      <c r="L143" s="230" t="s">
        <v>1073</v>
      </c>
      <c r="M143" s="230" t="s">
        <v>133</v>
      </c>
      <c r="N143" s="231" t="n">
        <v>0</v>
      </c>
      <c r="O143" s="231" t="n">
        <v>1</v>
      </c>
      <c r="P143" s="231" t="n">
        <v>1</v>
      </c>
      <c r="Q143" s="232" t="n">
        <v>3.17</v>
      </c>
      <c r="R143" s="232" t="n">
        <v>2.33</v>
      </c>
      <c r="S143" s="224" t="n">
        <v>1.25</v>
      </c>
      <c r="T143" s="225" t="n">
        <f aca="false">Q143*R143*S143</f>
        <v>9.232625</v>
      </c>
      <c r="U143" s="226" t="n">
        <f aca="false">T143*P143</f>
        <v>9.232625</v>
      </c>
      <c r="V143" s="233"/>
    </row>
    <row r="144" customFormat="false" ht="13.5" hidden="false" customHeight="true" outlineLevel="0" collapsed="false">
      <c r="B144" s="228" t="n">
        <v>368</v>
      </c>
      <c r="C144" s="236" t="s">
        <v>1074</v>
      </c>
      <c r="D144" s="219" t="n">
        <v>44112</v>
      </c>
      <c r="E144" s="220" t="str">
        <f aca="false">IF(D144="","",IFERROR(VLOOKUP(D144,CCN_Library!$A$4:$B$13,2,FALSE()),"NOT IN LIBRARY"))</f>
        <v>STORAGE OF AIR OR GROUND ORGANIC UNITS FOR MARINE CORPS</v>
      </c>
      <c r="F144" s="229"/>
      <c r="G144" s="230" t="s">
        <v>1069</v>
      </c>
      <c r="H144" s="221" t="str">
        <f aca="false">LEFT(I144,5)</f>
        <v>C1107</v>
      </c>
      <c r="I144" s="230" t="s">
        <v>1367</v>
      </c>
      <c r="J144" s="221" t="s">
        <v>1368</v>
      </c>
      <c r="K144" s="230" t="s">
        <v>1072</v>
      </c>
      <c r="L144" s="230" t="s">
        <v>1099</v>
      </c>
      <c r="M144" s="230" t="s">
        <v>133</v>
      </c>
      <c r="N144" s="231" t="n">
        <v>305</v>
      </c>
      <c r="O144" s="231" t="n">
        <v>270</v>
      </c>
      <c r="P144" s="231" t="n">
        <v>575</v>
      </c>
      <c r="Q144" s="235" t="n">
        <v>1</v>
      </c>
      <c r="R144" s="232" t="n">
        <v>0.5</v>
      </c>
      <c r="S144" s="224" t="n">
        <v>0.08</v>
      </c>
      <c r="T144" s="225" t="n">
        <f aca="false">Q144*R144*S144</f>
        <v>0.04</v>
      </c>
      <c r="U144" s="226" t="n">
        <f aca="false">T144*P144</f>
        <v>23</v>
      </c>
      <c r="V144" s="233"/>
    </row>
    <row r="145" customFormat="false" ht="13.5" hidden="false" customHeight="true" outlineLevel="0" collapsed="false">
      <c r="B145" s="228" t="n">
        <v>370</v>
      </c>
      <c r="C145" s="236" t="s">
        <v>1074</v>
      </c>
      <c r="D145" s="219" t="n">
        <v>44112</v>
      </c>
      <c r="E145" s="220" t="str">
        <f aca="false">IF(D145="","",IFERROR(VLOOKUP(D145,CCN_Library!$A$4:$B$13,2,FALSE()),"NOT IN LIBRARY"))</f>
        <v>STORAGE OF AIR OR GROUND ORGANIC UNITS FOR MARINE CORPS</v>
      </c>
      <c r="F145" s="229"/>
      <c r="G145" s="230" t="s">
        <v>1069</v>
      </c>
      <c r="H145" s="221" t="str">
        <f aca="false">LEFT(I145,5)</f>
        <v>C0189</v>
      </c>
      <c r="I145" s="230" t="s">
        <v>1369</v>
      </c>
      <c r="J145" s="221" t="s">
        <v>1370</v>
      </c>
      <c r="K145" s="230" t="s">
        <v>1072</v>
      </c>
      <c r="L145" s="230" t="s">
        <v>1073</v>
      </c>
      <c r="M145" s="230" t="s">
        <v>133</v>
      </c>
      <c r="N145" s="231" t="n">
        <v>90</v>
      </c>
      <c r="O145" s="231" t="n">
        <v>0</v>
      </c>
      <c r="P145" s="231" t="n">
        <v>90</v>
      </c>
      <c r="Q145" s="232" t="n">
        <v>0.58</v>
      </c>
      <c r="R145" s="232" t="n">
        <v>0.58</v>
      </c>
      <c r="S145" s="224" t="n">
        <v>0.42</v>
      </c>
      <c r="T145" s="225" t="n">
        <f aca="false">Q145*R145*S145</f>
        <v>0.141288</v>
      </c>
      <c r="U145" s="226" t="n">
        <f aca="false">T145*P145</f>
        <v>12.71592</v>
      </c>
      <c r="V145" s="233"/>
    </row>
    <row r="146" customFormat="false" ht="13.5" hidden="false" customHeight="true" outlineLevel="0" collapsed="false">
      <c r="B146" s="228" t="n">
        <v>372</v>
      </c>
      <c r="C146" s="236" t="s">
        <v>1074</v>
      </c>
      <c r="D146" s="219" t="n">
        <v>44112</v>
      </c>
      <c r="E146" s="220" t="str">
        <f aca="false">IF(D146="","",IFERROR(VLOOKUP(D146,CCN_Library!$A$4:$B$13,2,FALSE()),"NOT IN LIBRARY"))</f>
        <v>STORAGE OF AIR OR GROUND ORGANIC UNITS FOR MARINE CORPS</v>
      </c>
      <c r="F146" s="229"/>
      <c r="G146" s="230" t="s">
        <v>1069</v>
      </c>
      <c r="H146" s="221" t="str">
        <f aca="false">LEFT(I146,5)</f>
        <v>E0114</v>
      </c>
      <c r="I146" s="230" t="s">
        <v>1371</v>
      </c>
      <c r="J146" s="221" t="s">
        <v>1372</v>
      </c>
      <c r="K146" s="230" t="s">
        <v>1072</v>
      </c>
      <c r="L146" s="230" t="s">
        <v>1073</v>
      </c>
      <c r="M146" s="230" t="s">
        <v>133</v>
      </c>
      <c r="N146" s="231" t="n">
        <v>0</v>
      </c>
      <c r="O146" s="231" t="n">
        <v>0</v>
      </c>
      <c r="P146" s="231" t="n">
        <v>0</v>
      </c>
      <c r="Q146" s="232" t="n">
        <v>0.9</v>
      </c>
      <c r="R146" s="232" t="n">
        <v>0.24</v>
      </c>
      <c r="S146" s="224" t="n">
        <v>0.23</v>
      </c>
      <c r="T146" s="225" t="n">
        <f aca="false">Q146*R146*S146</f>
        <v>0.04968</v>
      </c>
      <c r="U146" s="226" t="n">
        <f aca="false">T146*P146</f>
        <v>0</v>
      </c>
      <c r="V146" s="233"/>
    </row>
    <row r="147" customFormat="false" ht="13.5" hidden="false" customHeight="true" outlineLevel="0" collapsed="false">
      <c r="B147" s="228" t="n">
        <v>380</v>
      </c>
      <c r="C147" s="236" t="s">
        <v>1068</v>
      </c>
      <c r="D147" s="219" t="n">
        <v>14345</v>
      </c>
      <c r="E147" s="220" t="str">
        <f aca="false">IF(D147="","",IFERROR(VLOOKUP(D147,CCN_Library!$A$4:$B$13,2,FALSE()),"NOT IN LIBRARY"))</f>
        <v>ARMORY</v>
      </c>
      <c r="F147" s="229"/>
      <c r="G147" s="230" t="s">
        <v>1069</v>
      </c>
      <c r="H147" s="221" t="str">
        <f aca="false">LEFT(I147,5)</f>
        <v>E0195</v>
      </c>
      <c r="I147" s="230" t="s">
        <v>1373</v>
      </c>
      <c r="J147" s="221" t="s">
        <v>1374</v>
      </c>
      <c r="K147" s="230" t="s">
        <v>1072</v>
      </c>
      <c r="L147" s="230" t="s">
        <v>1073</v>
      </c>
      <c r="M147" s="230" t="s">
        <v>133</v>
      </c>
      <c r="N147" s="231" t="n">
        <v>143</v>
      </c>
      <c r="O147" s="231" t="n">
        <v>0</v>
      </c>
      <c r="P147" s="231" t="n">
        <v>143</v>
      </c>
      <c r="Q147" s="232" t="n">
        <v>2.75</v>
      </c>
      <c r="R147" s="232" t="n">
        <v>0.33</v>
      </c>
      <c r="S147" s="224" t="n">
        <v>0.92</v>
      </c>
      <c r="T147" s="225" t="n">
        <f aca="false">Q147*R147*S147</f>
        <v>0.8349</v>
      </c>
      <c r="U147" s="226" t="n">
        <f aca="false">T147*P147</f>
        <v>119.3907</v>
      </c>
      <c r="V147" s="233"/>
    </row>
    <row r="148" customFormat="false" ht="13.5" hidden="false" customHeight="true" outlineLevel="0" collapsed="false">
      <c r="B148" s="228" t="n">
        <v>381</v>
      </c>
      <c r="C148" s="236" t="s">
        <v>1068</v>
      </c>
      <c r="D148" s="219" t="n">
        <v>14345</v>
      </c>
      <c r="E148" s="220" t="str">
        <f aca="false">IF(D148="","",IFERROR(VLOOKUP(D148,CCN_Library!$A$4:$B$13,2,FALSE()),"NOT IN LIBRARY"))</f>
        <v>ARMORY</v>
      </c>
      <c r="F148" s="229"/>
      <c r="G148" s="230" t="s">
        <v>1069</v>
      </c>
      <c r="H148" s="221" t="str">
        <f aca="false">LEFT(I148,5)</f>
        <v>E0071</v>
      </c>
      <c r="I148" s="230" t="s">
        <v>1375</v>
      </c>
      <c r="J148" s="221" t="s">
        <v>1376</v>
      </c>
      <c r="K148" s="230" t="s">
        <v>1072</v>
      </c>
      <c r="L148" s="230" t="s">
        <v>1073</v>
      </c>
      <c r="M148" s="237"/>
      <c r="N148" s="231" t="n">
        <v>0</v>
      </c>
      <c r="O148" s="231" t="n">
        <v>4</v>
      </c>
      <c r="P148" s="231" t="n">
        <v>4</v>
      </c>
      <c r="Q148" s="235" t="n">
        <v>0</v>
      </c>
      <c r="R148" s="235" t="n">
        <v>0</v>
      </c>
      <c r="S148" s="224" t="n">
        <v>0</v>
      </c>
      <c r="T148" s="225" t="n">
        <f aca="false">Q148*R148*S148</f>
        <v>0</v>
      </c>
      <c r="U148" s="226" t="n">
        <f aca="false">T148*P148</f>
        <v>0</v>
      </c>
      <c r="V148" s="233"/>
    </row>
    <row r="149" customFormat="false" ht="13.5" hidden="false" customHeight="true" outlineLevel="0" collapsed="false">
      <c r="B149" s="228" t="n">
        <v>383</v>
      </c>
      <c r="C149" s="236" t="s">
        <v>1074</v>
      </c>
      <c r="D149" s="219" t="n">
        <v>44112</v>
      </c>
      <c r="E149" s="220" t="str">
        <f aca="false">IF(D149="","",IFERROR(VLOOKUP(D149,CCN_Library!$A$4:$B$13,2,FALSE()),"NOT IN LIBRARY"))</f>
        <v>STORAGE OF AIR OR GROUND ORGANIC UNITS FOR MARINE CORPS</v>
      </c>
      <c r="F149" s="229"/>
      <c r="G149" s="230" t="s">
        <v>1069</v>
      </c>
      <c r="H149" s="221" t="str">
        <f aca="false">LEFT(I149,5)</f>
        <v>C3421</v>
      </c>
      <c r="I149" s="230" t="s">
        <v>1377</v>
      </c>
      <c r="J149" s="221" t="s">
        <v>1378</v>
      </c>
      <c r="K149" s="230" t="s">
        <v>1072</v>
      </c>
      <c r="L149" s="230" t="s">
        <v>1073</v>
      </c>
      <c r="M149" s="230" t="s">
        <v>133</v>
      </c>
      <c r="N149" s="231" t="n">
        <v>305</v>
      </c>
      <c r="O149" s="231" t="n">
        <v>0</v>
      </c>
      <c r="P149" s="231" t="n">
        <v>305</v>
      </c>
      <c r="Q149" s="232" t="n">
        <v>2.5</v>
      </c>
      <c r="R149" s="232" t="n">
        <v>1.17</v>
      </c>
      <c r="S149" s="224" t="n">
        <v>0.67</v>
      </c>
      <c r="T149" s="225" t="n">
        <f aca="false">Q149*R149*S149</f>
        <v>1.95975</v>
      </c>
      <c r="U149" s="226" t="n">
        <f aca="false">T149*P149</f>
        <v>597.72375</v>
      </c>
      <c r="V149" s="233"/>
    </row>
    <row r="150" customFormat="false" ht="13.5" hidden="false" customHeight="true" outlineLevel="0" collapsed="false">
      <c r="B150" s="228" t="n">
        <v>385</v>
      </c>
      <c r="C150" s="236" t="s">
        <v>1068</v>
      </c>
      <c r="D150" s="219" t="n">
        <v>14345</v>
      </c>
      <c r="E150" s="220" t="str">
        <f aca="false">IF(D150="","",IFERROR(VLOOKUP(D150,CCN_Library!$A$4:$B$13,2,FALSE()),"NOT IN LIBRARY"))</f>
        <v>ARMORY</v>
      </c>
      <c r="F150" s="229"/>
      <c r="G150" s="230" t="s">
        <v>1069</v>
      </c>
      <c r="H150" s="221" t="str">
        <f aca="false">LEFT(I150,5)</f>
        <v>E0050</v>
      </c>
      <c r="I150" s="230" t="s">
        <v>1379</v>
      </c>
      <c r="J150" s="221" t="s">
        <v>1380</v>
      </c>
      <c r="K150" s="230" t="s">
        <v>1072</v>
      </c>
      <c r="L150" s="230" t="s">
        <v>1073</v>
      </c>
      <c r="M150" s="230" t="s">
        <v>133</v>
      </c>
      <c r="N150" s="231" t="n">
        <v>201</v>
      </c>
      <c r="O150" s="231" t="n">
        <v>0</v>
      </c>
      <c r="P150" s="231" t="n">
        <v>201</v>
      </c>
      <c r="Q150" s="232" t="n">
        <v>1.08</v>
      </c>
      <c r="R150" s="232" t="n">
        <v>0.25</v>
      </c>
      <c r="S150" s="224" t="n">
        <v>0.17</v>
      </c>
      <c r="T150" s="225" t="n">
        <f aca="false">Q150*R150*S150</f>
        <v>0.0459</v>
      </c>
      <c r="U150" s="226" t="n">
        <f aca="false">T150*P150</f>
        <v>9.2259</v>
      </c>
      <c r="V150" s="233"/>
    </row>
    <row r="151" customFormat="false" ht="13.5" hidden="false" customHeight="true" outlineLevel="0" collapsed="false">
      <c r="B151" s="228" t="n">
        <v>386</v>
      </c>
      <c r="C151" s="236" t="s">
        <v>1074</v>
      </c>
      <c r="D151" s="219" t="n">
        <v>44112</v>
      </c>
      <c r="E151" s="220" t="str">
        <f aca="false">IF(D151="","",IFERROR(VLOOKUP(D151,CCN_Library!$A$4:$B$13,2,FALSE()),"NOT IN LIBRARY"))</f>
        <v>STORAGE OF AIR OR GROUND ORGANIC UNITS FOR MARINE CORPS</v>
      </c>
      <c r="F151" s="229"/>
      <c r="G151" s="230" t="s">
        <v>1069</v>
      </c>
      <c r="H151" s="221" t="str">
        <f aca="false">LEFT(I151,5)</f>
        <v>C0137</v>
      </c>
      <c r="I151" s="230" t="s">
        <v>1381</v>
      </c>
      <c r="J151" s="221" t="s">
        <v>1382</v>
      </c>
      <c r="K151" s="230" t="s">
        <v>1072</v>
      </c>
      <c r="L151" s="230" t="s">
        <v>1073</v>
      </c>
      <c r="M151" s="230" t="s">
        <v>133</v>
      </c>
      <c r="N151" s="231" t="n">
        <v>305</v>
      </c>
      <c r="O151" s="231" t="n">
        <v>0</v>
      </c>
      <c r="P151" s="231" t="n">
        <v>305</v>
      </c>
      <c r="Q151" s="232" t="n">
        <v>1.12</v>
      </c>
      <c r="R151" s="235" t="n">
        <v>1</v>
      </c>
      <c r="S151" s="224" t="n">
        <v>0.25</v>
      </c>
      <c r="T151" s="225" t="n">
        <f aca="false">Q151*R151*S151</f>
        <v>0.28</v>
      </c>
      <c r="U151" s="226" t="n">
        <f aca="false">T151*P151</f>
        <v>85.4</v>
      </c>
      <c r="V151" s="233"/>
    </row>
    <row r="152" customFormat="false" ht="13.5" hidden="false" customHeight="true" outlineLevel="0" collapsed="false">
      <c r="B152" s="228" t="n">
        <v>388</v>
      </c>
      <c r="C152" s="236" t="s">
        <v>1068</v>
      </c>
      <c r="D152" s="219" t="n">
        <v>14345</v>
      </c>
      <c r="E152" s="220" t="str">
        <f aca="false">IF(D152="","",IFERROR(VLOOKUP(D152,CCN_Library!$A$4:$B$13,2,FALSE()),"NOT IN LIBRARY"))</f>
        <v>ARMORY</v>
      </c>
      <c r="F152" s="229"/>
      <c r="G152" s="230" t="s">
        <v>1069</v>
      </c>
      <c r="H152" s="221" t="str">
        <f aca="false">LEFT(I152,5)</f>
        <v>E0989</v>
      </c>
      <c r="I152" s="230" t="s">
        <v>1383</v>
      </c>
      <c r="J152" s="221" t="s">
        <v>1384</v>
      </c>
      <c r="K152" s="230" t="s">
        <v>1072</v>
      </c>
      <c r="L152" s="230" t="s">
        <v>1073</v>
      </c>
      <c r="M152" s="230" t="s">
        <v>148</v>
      </c>
      <c r="N152" s="231" t="n">
        <v>0</v>
      </c>
      <c r="O152" s="231" t="n">
        <v>2</v>
      </c>
      <c r="P152" s="231" t="n">
        <v>2</v>
      </c>
      <c r="Q152" s="232" t="n">
        <v>4.04</v>
      </c>
      <c r="R152" s="232" t="n">
        <v>0.52</v>
      </c>
      <c r="S152" s="224" t="n">
        <v>0.75</v>
      </c>
      <c r="T152" s="225" t="n">
        <f aca="false">Q152*R152*S152</f>
        <v>1.5756</v>
      </c>
      <c r="U152" s="226" t="n">
        <f aca="false">T152*P152</f>
        <v>3.1512</v>
      </c>
      <c r="V152" s="233"/>
    </row>
    <row r="153" customFormat="false" ht="13.5" hidden="false" customHeight="true" outlineLevel="0" collapsed="false">
      <c r="B153" s="228" t="n">
        <v>392</v>
      </c>
      <c r="C153" s="236" t="s">
        <v>1074</v>
      </c>
      <c r="D153" s="219" t="n">
        <v>44112</v>
      </c>
      <c r="E153" s="220" t="str">
        <f aca="false">IF(D153="","",IFERROR(VLOOKUP(D153,CCN_Library!$A$4:$B$13,2,FALSE()),"NOT IN LIBRARY"))</f>
        <v>STORAGE OF AIR OR GROUND ORGANIC UNITS FOR MARINE CORPS</v>
      </c>
      <c r="F153" s="229"/>
      <c r="G153" s="230" t="s">
        <v>1069</v>
      </c>
      <c r="H153" s="221" t="str">
        <f aca="false">LEFT(I153,5)</f>
        <v>C0180</v>
      </c>
      <c r="I153" s="230" t="s">
        <v>1385</v>
      </c>
      <c r="J153" s="221" t="s">
        <v>1386</v>
      </c>
      <c r="K153" s="230" t="s">
        <v>1072</v>
      </c>
      <c r="L153" s="230" t="s">
        <v>1073</v>
      </c>
      <c r="M153" s="230" t="s">
        <v>133</v>
      </c>
      <c r="N153" s="231" t="n">
        <v>305</v>
      </c>
      <c r="O153" s="231" t="n">
        <v>0</v>
      </c>
      <c r="P153" s="231" t="n">
        <v>305</v>
      </c>
      <c r="Q153" s="235" t="n">
        <v>1</v>
      </c>
      <c r="R153" s="232" t="n">
        <v>0.33</v>
      </c>
      <c r="S153" s="224" t="n">
        <v>0.33</v>
      </c>
      <c r="T153" s="225" t="n">
        <f aca="false">Q153*R153*S153</f>
        <v>0.1089</v>
      </c>
      <c r="U153" s="226" t="n">
        <f aca="false">T153*P153</f>
        <v>33.2145</v>
      </c>
      <c r="V153" s="233"/>
    </row>
    <row r="154" customFormat="false" ht="13.5" hidden="false" customHeight="true" outlineLevel="0" collapsed="false">
      <c r="B154" s="228" t="n">
        <v>394</v>
      </c>
      <c r="C154" s="236" t="s">
        <v>1077</v>
      </c>
      <c r="D154" s="219" t="n">
        <v>21710</v>
      </c>
      <c r="E154" s="220" t="str">
        <f aca="false">IF(D154="","",IFERROR(VLOOKUP(D154,CCN_Library!$A$4:$B$13,2,FALSE()),"NOT IN LIBRARY"))</f>
        <v>ELECTRONICS/COMMUNICATIONS MAINTENANCE SHOP</v>
      </c>
      <c r="F154" s="229"/>
      <c r="G154" s="230" t="s">
        <v>1069</v>
      </c>
      <c r="H154" s="221" t="str">
        <f aca="false">LEFT(I154,5)</f>
        <v>H0005</v>
      </c>
      <c r="I154" s="230" t="s">
        <v>1387</v>
      </c>
      <c r="J154" s="221" t="s">
        <v>1388</v>
      </c>
      <c r="K154" s="230" t="s">
        <v>1072</v>
      </c>
      <c r="L154" s="230" t="s">
        <v>1073</v>
      </c>
      <c r="M154" s="230" t="s">
        <v>133</v>
      </c>
      <c r="N154" s="231" t="n">
        <v>0</v>
      </c>
      <c r="O154" s="231" t="n">
        <v>1</v>
      </c>
      <c r="P154" s="231" t="n">
        <v>1</v>
      </c>
      <c r="Q154" s="232" t="n">
        <v>2.75</v>
      </c>
      <c r="R154" s="232" t="n">
        <v>2.37</v>
      </c>
      <c r="S154" s="224" t="n">
        <v>1.42</v>
      </c>
      <c r="T154" s="225" t="n">
        <f aca="false">Q154*R154*S154</f>
        <v>9.25485</v>
      </c>
      <c r="U154" s="226" t="n">
        <f aca="false">T154*P154</f>
        <v>9.25485</v>
      </c>
      <c r="V154" s="233"/>
    </row>
    <row r="155" customFormat="false" ht="13.5" hidden="false" customHeight="true" outlineLevel="0" collapsed="false">
      <c r="B155" s="228" t="n">
        <v>395</v>
      </c>
      <c r="C155" s="236" t="s">
        <v>1068</v>
      </c>
      <c r="D155" s="219" t="n">
        <v>14345</v>
      </c>
      <c r="E155" s="220" t="str">
        <f aca="false">IF(D155="","",IFERROR(VLOOKUP(D155,CCN_Library!$A$4:$B$13,2,FALSE()),"NOT IN LIBRARY"))</f>
        <v>ARMORY</v>
      </c>
      <c r="F155" s="229"/>
      <c r="G155" s="230" t="s">
        <v>1069</v>
      </c>
      <c r="H155" s="221" t="str">
        <f aca="false">LEFT(I155,5)</f>
        <v>C0010</v>
      </c>
      <c r="I155" s="230" t="s">
        <v>1389</v>
      </c>
      <c r="J155" s="221" t="s">
        <v>1390</v>
      </c>
      <c r="K155" s="230" t="s">
        <v>1072</v>
      </c>
      <c r="L155" s="230" t="s">
        <v>1073</v>
      </c>
      <c r="M155" s="230" t="s">
        <v>133</v>
      </c>
      <c r="N155" s="231" t="n">
        <v>305</v>
      </c>
      <c r="O155" s="231" t="n">
        <v>0</v>
      </c>
      <c r="P155" s="231" t="n">
        <v>305</v>
      </c>
      <c r="Q155" s="232" t="n">
        <v>1.17</v>
      </c>
      <c r="R155" s="232" t="n">
        <v>0.29</v>
      </c>
      <c r="S155" s="224" t="n">
        <v>1.75</v>
      </c>
      <c r="T155" s="225" t="n">
        <f aca="false">Q155*R155*S155</f>
        <v>0.593775</v>
      </c>
      <c r="U155" s="226" t="n">
        <f aca="false">T155*P155</f>
        <v>181.101375</v>
      </c>
      <c r="V155" s="233"/>
    </row>
    <row r="156" customFormat="false" ht="13.5" hidden="false" customHeight="true" outlineLevel="0" collapsed="false">
      <c r="B156" s="228" t="n">
        <v>397</v>
      </c>
      <c r="C156" s="236" t="s">
        <v>1074</v>
      </c>
      <c r="D156" s="219" t="n">
        <v>44112</v>
      </c>
      <c r="E156" s="220" t="str">
        <f aca="false">IF(D156="","",IFERROR(VLOOKUP(D156,CCN_Library!$A$4:$B$13,2,FALSE()),"NOT IN LIBRARY"))</f>
        <v>STORAGE OF AIR OR GROUND ORGANIC UNITS FOR MARINE CORPS</v>
      </c>
      <c r="F156" s="229"/>
      <c r="G156" s="230" t="s">
        <v>1069</v>
      </c>
      <c r="H156" s="221" t="str">
        <f aca="false">LEFT(I156,5)</f>
        <v>C5265</v>
      </c>
      <c r="I156" s="230" t="s">
        <v>1391</v>
      </c>
      <c r="J156" s="221" t="s">
        <v>1392</v>
      </c>
      <c r="K156" s="230" t="s">
        <v>1072</v>
      </c>
      <c r="L156" s="230" t="s">
        <v>1073</v>
      </c>
      <c r="M156" s="230" t="s">
        <v>133</v>
      </c>
      <c r="N156" s="231" t="n">
        <v>305</v>
      </c>
      <c r="O156" s="231" t="n">
        <v>0</v>
      </c>
      <c r="P156" s="231" t="n">
        <v>305</v>
      </c>
      <c r="Q156" s="232" t="n">
        <v>0.99</v>
      </c>
      <c r="R156" s="232" t="n">
        <v>0.99</v>
      </c>
      <c r="S156" s="224" t="n">
        <v>0.74</v>
      </c>
      <c r="T156" s="225" t="n">
        <f aca="false">Q156*R156*S156</f>
        <v>0.725274</v>
      </c>
      <c r="U156" s="226" t="n">
        <f aca="false">T156*P156</f>
        <v>221.20857</v>
      </c>
      <c r="V156" s="233"/>
    </row>
    <row r="157" customFormat="false" ht="13.5" hidden="false" customHeight="true" outlineLevel="0" collapsed="false">
      <c r="B157" s="228" t="n">
        <v>399</v>
      </c>
      <c r="C157" s="236" t="s">
        <v>1077</v>
      </c>
      <c r="D157" s="219" t="n">
        <v>21710</v>
      </c>
      <c r="E157" s="220" t="str">
        <f aca="false">IF(D157="","",IFERROR(VLOOKUP(D157,CCN_Library!$A$4:$B$13,2,FALSE()),"NOT IN LIBRARY"))</f>
        <v>ELECTRONICS/COMMUNICATIONS MAINTENANCE SHOP</v>
      </c>
      <c r="F157" s="229"/>
      <c r="G157" s="230" t="s">
        <v>1069</v>
      </c>
      <c r="H157" s="221" t="str">
        <f aca="false">LEFT(I157,5)</f>
        <v>A8023</v>
      </c>
      <c r="I157" s="230" t="s">
        <v>1393</v>
      </c>
      <c r="J157" s="221" t="s">
        <v>1394</v>
      </c>
      <c r="K157" s="230" t="s">
        <v>1072</v>
      </c>
      <c r="L157" s="230" t="s">
        <v>1073</v>
      </c>
      <c r="M157" s="230" t="s">
        <v>133</v>
      </c>
      <c r="N157" s="231" t="n">
        <v>0</v>
      </c>
      <c r="O157" s="231" t="n">
        <v>15</v>
      </c>
      <c r="P157" s="231" t="n">
        <v>15</v>
      </c>
      <c r="Q157" s="232" t="n">
        <v>0.67</v>
      </c>
      <c r="R157" s="232" t="n">
        <v>0.42</v>
      </c>
      <c r="S157" s="224" t="n">
        <v>0.25</v>
      </c>
      <c r="T157" s="225" t="n">
        <f aca="false">Q157*R157*S157</f>
        <v>0.07035</v>
      </c>
      <c r="U157" s="226" t="n">
        <f aca="false">T157*P157</f>
        <v>1.05525</v>
      </c>
      <c r="V157" s="233"/>
    </row>
    <row r="158" customFormat="false" ht="13.5" hidden="false" customHeight="true" outlineLevel="0" collapsed="false">
      <c r="B158" s="228" t="n">
        <v>400</v>
      </c>
      <c r="C158" s="236" t="s">
        <v>1077</v>
      </c>
      <c r="D158" s="219" t="n">
        <v>21710</v>
      </c>
      <c r="E158" s="220" t="str">
        <f aca="false">IF(D158="","",IFERROR(VLOOKUP(D158,CCN_Library!$A$4:$B$13,2,FALSE()),"NOT IN LIBRARY"))</f>
        <v>ELECTRONICS/COMMUNICATIONS MAINTENANCE SHOP</v>
      </c>
      <c r="F158" s="229"/>
      <c r="G158" s="230" t="s">
        <v>1069</v>
      </c>
      <c r="H158" s="221" t="str">
        <f aca="false">LEFT(I158,5)</f>
        <v>A0207</v>
      </c>
      <c r="I158" s="230" t="s">
        <v>1395</v>
      </c>
      <c r="J158" s="221" t="s">
        <v>1396</v>
      </c>
      <c r="K158" s="230" t="s">
        <v>1072</v>
      </c>
      <c r="L158" s="230" t="s">
        <v>1073</v>
      </c>
      <c r="M158" s="230" t="s">
        <v>133</v>
      </c>
      <c r="N158" s="231" t="n">
        <v>0</v>
      </c>
      <c r="O158" s="231" t="n">
        <v>26</v>
      </c>
      <c r="P158" s="231" t="n">
        <v>26</v>
      </c>
      <c r="Q158" s="237"/>
      <c r="R158" s="237"/>
      <c r="S158" s="224" t="n">
        <v>0</v>
      </c>
      <c r="T158" s="225" t="n">
        <f aca="false">Q158*R158*S158</f>
        <v>0</v>
      </c>
      <c r="U158" s="226" t="n">
        <f aca="false">T158*P158</f>
        <v>0</v>
      </c>
      <c r="V158" s="233"/>
    </row>
    <row r="159" customFormat="false" ht="13.5" hidden="false" customHeight="true" outlineLevel="0" collapsed="false">
      <c r="B159" s="228" t="n">
        <v>403</v>
      </c>
      <c r="C159" s="236" t="s">
        <v>1074</v>
      </c>
      <c r="D159" s="219" t="n">
        <v>44112</v>
      </c>
      <c r="E159" s="220" t="str">
        <f aca="false">IF(D159="","",IFERROR(VLOOKUP(D159,CCN_Library!$A$4:$B$13,2,FALSE()),"NOT IN LIBRARY"))</f>
        <v>STORAGE OF AIR OR GROUND ORGANIC UNITS FOR MARINE CORPS</v>
      </c>
      <c r="F159" s="229"/>
      <c r="G159" s="230" t="s">
        <v>1069</v>
      </c>
      <c r="H159" s="221" t="str">
        <f aca="false">LEFT(I159,5)</f>
        <v>C8630</v>
      </c>
      <c r="I159" s="230" t="s">
        <v>1397</v>
      </c>
      <c r="J159" s="221" t="s">
        <v>1398</v>
      </c>
      <c r="K159" s="230" t="s">
        <v>1072</v>
      </c>
      <c r="L159" s="237"/>
      <c r="M159" s="230" t="s">
        <v>133</v>
      </c>
      <c r="N159" s="231" t="n">
        <v>0</v>
      </c>
      <c r="O159" s="231" t="n">
        <v>2</v>
      </c>
      <c r="P159" s="231" t="n">
        <v>2</v>
      </c>
      <c r="Q159" s="232" t="n">
        <v>6.5</v>
      </c>
      <c r="R159" s="232" t="n">
        <v>6.5</v>
      </c>
      <c r="S159" s="224" t="n">
        <v>6.25</v>
      </c>
      <c r="T159" s="225" t="n">
        <f aca="false">Q159*R159*S159</f>
        <v>264.0625</v>
      </c>
      <c r="U159" s="226" t="n">
        <f aca="false">T159*P159</f>
        <v>528.125</v>
      </c>
      <c r="V159" s="233"/>
    </row>
    <row r="160" customFormat="false" ht="13.5" hidden="false" customHeight="true" outlineLevel="0" collapsed="false">
      <c r="B160" s="228" t="n">
        <v>404</v>
      </c>
      <c r="C160" s="236" t="s">
        <v>1077</v>
      </c>
      <c r="D160" s="219" t="n">
        <v>21710</v>
      </c>
      <c r="E160" s="220" t="str">
        <f aca="false">IF(D160="","",IFERROR(VLOOKUP(D160,CCN_Library!$A$4:$B$13,2,FALSE()),"NOT IN LIBRARY"))</f>
        <v>ELECTRONICS/COMMUNICATIONS MAINTENANCE SHOP</v>
      </c>
      <c r="F160" s="229"/>
      <c r="G160" s="230" t="s">
        <v>1069</v>
      </c>
      <c r="H160" s="221" t="str">
        <f aca="false">LEFT(I160,5)</f>
        <v>A0073</v>
      </c>
      <c r="I160" s="230" t="s">
        <v>1399</v>
      </c>
      <c r="J160" s="221" t="s">
        <v>1400</v>
      </c>
      <c r="K160" s="230" t="s">
        <v>1072</v>
      </c>
      <c r="L160" s="230" t="s">
        <v>1073</v>
      </c>
      <c r="M160" s="230" t="s">
        <v>133</v>
      </c>
      <c r="N160" s="231" t="n">
        <v>0</v>
      </c>
      <c r="O160" s="231" t="n">
        <v>4</v>
      </c>
      <c r="P160" s="231" t="n">
        <v>4</v>
      </c>
      <c r="Q160" s="232" t="n">
        <v>1.67</v>
      </c>
      <c r="R160" s="232" t="n">
        <v>1.08</v>
      </c>
      <c r="S160" s="224" t="n">
        <v>0.52</v>
      </c>
      <c r="T160" s="225" t="n">
        <f aca="false">Q160*R160*S160</f>
        <v>0.937872</v>
      </c>
      <c r="U160" s="226" t="n">
        <f aca="false">T160*P160</f>
        <v>3.751488</v>
      </c>
      <c r="V160" s="233"/>
    </row>
    <row r="161" customFormat="false" ht="13.5" hidden="false" customHeight="true" outlineLevel="0" collapsed="false">
      <c r="B161" s="228" t="n">
        <v>407</v>
      </c>
      <c r="C161" s="236" t="s">
        <v>1074</v>
      </c>
      <c r="D161" s="219" t="n">
        <v>44112</v>
      </c>
      <c r="E161" s="220" t="str">
        <f aca="false">IF(D161="","",IFERROR(VLOOKUP(D161,CCN_Library!$A$4:$B$13,2,FALSE()),"NOT IN LIBRARY"))</f>
        <v>STORAGE OF AIR OR GROUND ORGANIC UNITS FOR MARINE CORPS</v>
      </c>
      <c r="F161" s="229"/>
      <c r="G161" s="230" t="s">
        <v>1069</v>
      </c>
      <c r="H161" s="221" t="str">
        <f aca="false">LEFT(I161,5)</f>
        <v>C8688</v>
      </c>
      <c r="I161" s="230" t="s">
        <v>1401</v>
      </c>
      <c r="J161" s="221" t="s">
        <v>1402</v>
      </c>
      <c r="K161" s="230" t="s">
        <v>1072</v>
      </c>
      <c r="L161" s="237"/>
      <c r="M161" s="230" t="s">
        <v>133</v>
      </c>
      <c r="N161" s="231" t="n">
        <v>0</v>
      </c>
      <c r="O161" s="231" t="n">
        <v>1</v>
      </c>
      <c r="P161" s="231" t="n">
        <v>1</v>
      </c>
      <c r="Q161" s="232" t="n">
        <v>7.08</v>
      </c>
      <c r="R161" s="235" t="n">
        <v>7</v>
      </c>
      <c r="S161" s="224" t="n">
        <v>7.16</v>
      </c>
      <c r="T161" s="225" t="n">
        <f aca="false">Q161*R161*S161</f>
        <v>354.8496</v>
      </c>
      <c r="U161" s="226" t="n">
        <f aca="false">T161*P161</f>
        <v>354.8496</v>
      </c>
      <c r="V161" s="233"/>
    </row>
    <row r="162" customFormat="false" ht="13.5" hidden="false" customHeight="true" outlineLevel="0" collapsed="false">
      <c r="B162" s="228" t="n">
        <v>408</v>
      </c>
      <c r="C162" s="236" t="s">
        <v>1113</v>
      </c>
      <c r="D162" s="219" t="n">
        <v>21451</v>
      </c>
      <c r="E162" s="220" t="str">
        <f aca="false">IF(D162="","",IFERROR(VLOOKUP(D162,CCN_Library!$A$4:$B$13,2,FALSE()),"NOT IN LIBRARY"))</f>
        <v>AUTOMOTIVE ORGANIZATIONAL SHOP</v>
      </c>
      <c r="F162" s="229"/>
      <c r="G162" s="230" t="s">
        <v>1069</v>
      </c>
      <c r="H162" s="221" t="str">
        <f aca="false">LEFT(I162,5)</f>
        <v>D1001</v>
      </c>
      <c r="I162" s="230" t="s">
        <v>1403</v>
      </c>
      <c r="J162" s="221" t="s">
        <v>1404</v>
      </c>
      <c r="K162" s="230" t="s">
        <v>1072</v>
      </c>
      <c r="L162" s="230" t="s">
        <v>1073</v>
      </c>
      <c r="M162" s="230" t="s">
        <v>1116</v>
      </c>
      <c r="N162" s="231" t="n">
        <v>0</v>
      </c>
      <c r="O162" s="231" t="n">
        <v>10</v>
      </c>
      <c r="P162" s="231" t="n">
        <v>10</v>
      </c>
      <c r="Q162" s="232" t="n">
        <v>17.08</v>
      </c>
      <c r="R162" s="232" t="n">
        <v>7.17</v>
      </c>
      <c r="S162" s="224" t="n">
        <v>8.5</v>
      </c>
      <c r="T162" s="225" t="n">
        <f aca="false">Q162*R162*S162</f>
        <v>1040.9406</v>
      </c>
      <c r="U162" s="226" t="n">
        <f aca="false">T162*P162</f>
        <v>10409.406</v>
      </c>
      <c r="V162" s="233"/>
    </row>
    <row r="163" customFormat="false" ht="13.5" hidden="false" customHeight="true" outlineLevel="0" collapsed="false">
      <c r="B163" s="228" t="n">
        <v>416</v>
      </c>
      <c r="C163" s="236" t="s">
        <v>1068</v>
      </c>
      <c r="D163" s="219" t="n">
        <v>14345</v>
      </c>
      <c r="E163" s="220" t="str">
        <f aca="false">IF(D163="","",IFERROR(VLOOKUP(D163,CCN_Library!$A$4:$B$13,2,FALSE()),"NOT IN LIBRARY"))</f>
        <v>ARMORY</v>
      </c>
      <c r="F163" s="229"/>
      <c r="G163" s="230" t="s">
        <v>1069</v>
      </c>
      <c r="H163" s="221" t="str">
        <f aca="false">LEFT(I163,5)</f>
        <v>E1123</v>
      </c>
      <c r="I163" s="230" t="s">
        <v>1405</v>
      </c>
      <c r="J163" s="221" t="s">
        <v>1406</v>
      </c>
      <c r="K163" s="230" t="s">
        <v>1072</v>
      </c>
      <c r="L163" s="230" t="s">
        <v>1073</v>
      </c>
      <c r="M163" s="230" t="s">
        <v>133</v>
      </c>
      <c r="N163" s="231" t="n">
        <v>0</v>
      </c>
      <c r="O163" s="231" t="n">
        <v>2</v>
      </c>
      <c r="P163" s="231" t="n">
        <v>2</v>
      </c>
      <c r="Q163" s="232" t="n">
        <v>1.5</v>
      </c>
      <c r="R163" s="232" t="n">
        <v>0.83</v>
      </c>
      <c r="S163" s="224" t="n">
        <v>0.83</v>
      </c>
      <c r="T163" s="225" t="n">
        <f aca="false">Q163*R163*S163</f>
        <v>1.03335</v>
      </c>
      <c r="U163" s="226" t="n">
        <f aca="false">T163*P163</f>
        <v>2.0667</v>
      </c>
      <c r="V163" s="233"/>
    </row>
    <row r="164" customFormat="false" ht="13.5" hidden="false" customHeight="true" outlineLevel="0" collapsed="false">
      <c r="B164" s="228" t="n">
        <v>418</v>
      </c>
      <c r="C164" s="236" t="s">
        <v>1074</v>
      </c>
      <c r="D164" s="219" t="n">
        <v>44112</v>
      </c>
      <c r="E164" s="220" t="str">
        <f aca="false">IF(D164="","",IFERROR(VLOOKUP(D164,CCN_Library!$A$4:$B$13,2,FALSE()),"NOT IN LIBRARY"))</f>
        <v>STORAGE OF AIR OR GROUND ORGANIC UNITS FOR MARINE CORPS</v>
      </c>
      <c r="F164" s="229"/>
      <c r="G164" s="230" t="s">
        <v>1069</v>
      </c>
      <c r="H164" s="221" t="str">
        <f aca="false">LEFT(I164,5)</f>
        <v>C0188</v>
      </c>
      <c r="I164" s="230" t="s">
        <v>1407</v>
      </c>
      <c r="J164" s="221" t="s">
        <v>1261</v>
      </c>
      <c r="K164" s="230" t="s">
        <v>1072</v>
      </c>
      <c r="L164" s="230" t="s">
        <v>1073</v>
      </c>
      <c r="M164" s="230" t="s">
        <v>133</v>
      </c>
      <c r="N164" s="231" t="n">
        <v>60</v>
      </c>
      <c r="O164" s="231" t="n">
        <v>0</v>
      </c>
      <c r="P164" s="231" t="n">
        <v>60</v>
      </c>
      <c r="Q164" s="232" t="n">
        <v>0.33</v>
      </c>
      <c r="R164" s="232" t="n">
        <v>0.17</v>
      </c>
      <c r="S164" s="224" t="n">
        <v>0.25</v>
      </c>
      <c r="T164" s="225" t="n">
        <f aca="false">Q164*R164*S164</f>
        <v>0.014025</v>
      </c>
      <c r="U164" s="226" t="n">
        <f aca="false">T164*P164</f>
        <v>0.8415</v>
      </c>
      <c r="V164" s="233"/>
    </row>
    <row r="165" customFormat="false" ht="13.5" hidden="false" customHeight="true" outlineLevel="0" collapsed="false">
      <c r="B165" s="228" t="n">
        <v>423</v>
      </c>
      <c r="C165" s="236" t="s">
        <v>1077</v>
      </c>
      <c r="D165" s="219" t="n">
        <v>21710</v>
      </c>
      <c r="E165" s="220" t="str">
        <f aca="false">IF(D165="","",IFERROR(VLOOKUP(D165,CCN_Library!$A$4:$B$13,2,FALSE()),"NOT IN LIBRARY"))</f>
        <v>ELECTRONICS/COMMUNICATIONS MAINTENANCE SHOP</v>
      </c>
      <c r="F165" s="229"/>
      <c r="G165" s="230" t="s">
        <v>1069</v>
      </c>
      <c r="H165" s="221" t="str">
        <f aca="false">LEFT(I165,5)</f>
        <v>A0300</v>
      </c>
      <c r="I165" s="230" t="s">
        <v>1408</v>
      </c>
      <c r="J165" s="221" t="s">
        <v>1409</v>
      </c>
      <c r="K165" s="230" t="s">
        <v>1072</v>
      </c>
      <c r="L165" s="230" t="s">
        <v>1073</v>
      </c>
      <c r="M165" s="230" t="s">
        <v>133</v>
      </c>
      <c r="N165" s="231" t="n">
        <v>0</v>
      </c>
      <c r="O165" s="231" t="n">
        <v>1</v>
      </c>
      <c r="P165" s="231" t="n">
        <v>1</v>
      </c>
      <c r="Q165" s="235" t="n">
        <v>2</v>
      </c>
      <c r="R165" s="235" t="n">
        <v>1</v>
      </c>
      <c r="S165" s="224" t="n">
        <v>1</v>
      </c>
      <c r="T165" s="225" t="n">
        <f aca="false">Q165*R165*S165</f>
        <v>2</v>
      </c>
      <c r="U165" s="226" t="n">
        <f aca="false">T165*P165</f>
        <v>2</v>
      </c>
      <c r="V165" s="233"/>
    </row>
    <row r="166" customFormat="false" ht="13.5" hidden="false" customHeight="true" outlineLevel="0" collapsed="false">
      <c r="B166" s="228" t="n">
        <v>424</v>
      </c>
      <c r="C166" s="236" t="s">
        <v>1068</v>
      </c>
      <c r="D166" s="219" t="n">
        <v>14345</v>
      </c>
      <c r="E166" s="220" t="str">
        <f aca="false">IF(D166="","",IFERROR(VLOOKUP(D166,CCN_Library!$A$4:$B$13,2,FALSE()),"NOT IN LIBRARY"))</f>
        <v>ARMORY</v>
      </c>
      <c r="F166" s="229"/>
      <c r="G166" s="230" t="s">
        <v>1069</v>
      </c>
      <c r="H166" s="221" t="str">
        <f aca="false">LEFT(I166,5)</f>
        <v>E0013</v>
      </c>
      <c r="I166" s="230" t="s">
        <v>1410</v>
      </c>
      <c r="J166" s="221" t="s">
        <v>1411</v>
      </c>
      <c r="K166" s="230" t="s">
        <v>1072</v>
      </c>
      <c r="L166" s="230" t="s">
        <v>1073</v>
      </c>
      <c r="M166" s="230" t="s">
        <v>1116</v>
      </c>
      <c r="N166" s="231" t="n">
        <v>0</v>
      </c>
      <c r="O166" s="231" t="n">
        <v>0</v>
      </c>
      <c r="P166" s="231" t="n">
        <v>0</v>
      </c>
      <c r="Q166" s="232" t="n">
        <v>1.17</v>
      </c>
      <c r="R166" s="232" t="n">
        <v>0.25</v>
      </c>
      <c r="S166" s="224" t="n">
        <v>0.25</v>
      </c>
      <c r="T166" s="225" t="n">
        <f aca="false">Q166*R166*S166</f>
        <v>0.073125</v>
      </c>
      <c r="U166" s="226" t="n">
        <f aca="false">T166*P166</f>
        <v>0</v>
      </c>
      <c r="V166" s="233"/>
    </row>
    <row r="167" customFormat="false" ht="13.5" hidden="false" customHeight="true" outlineLevel="0" collapsed="false">
      <c r="B167" s="228" t="n">
        <v>432</v>
      </c>
      <c r="C167" s="236" t="s">
        <v>1068</v>
      </c>
      <c r="D167" s="219" t="n">
        <v>14345</v>
      </c>
      <c r="E167" s="220" t="str">
        <f aca="false">IF(D167="","",IFERROR(VLOOKUP(D167,CCN_Library!$A$4:$B$13,2,FALSE()),"NOT IN LIBRARY"))</f>
        <v>ARMORY</v>
      </c>
      <c r="F167" s="229"/>
      <c r="G167" s="230" t="s">
        <v>1069</v>
      </c>
      <c r="H167" s="221" t="str">
        <f aca="false">LEFT(I167,5)</f>
        <v>E0099</v>
      </c>
      <c r="I167" s="230" t="s">
        <v>1412</v>
      </c>
      <c r="J167" s="221" t="s">
        <v>1413</v>
      </c>
      <c r="K167" s="230" t="s">
        <v>1072</v>
      </c>
      <c r="L167" s="230" t="s">
        <v>1073</v>
      </c>
      <c r="M167" s="230" t="s">
        <v>133</v>
      </c>
      <c r="N167" s="231" t="n">
        <v>0</v>
      </c>
      <c r="O167" s="231" t="n">
        <v>0</v>
      </c>
      <c r="P167" s="231" t="n">
        <v>0</v>
      </c>
      <c r="Q167" s="232" t="n">
        <v>0.33</v>
      </c>
      <c r="R167" s="232" t="n">
        <v>0.17</v>
      </c>
      <c r="S167" s="224" t="n">
        <v>0.25</v>
      </c>
      <c r="T167" s="225" t="n">
        <f aca="false">Q167*R167*S167</f>
        <v>0.014025</v>
      </c>
      <c r="U167" s="226" t="n">
        <f aca="false">T167*P167</f>
        <v>0</v>
      </c>
      <c r="V167" s="233"/>
    </row>
    <row r="168" customFormat="false" ht="13.5" hidden="false" customHeight="true" outlineLevel="0" collapsed="false">
      <c r="B168" s="228" t="n">
        <v>433</v>
      </c>
      <c r="C168" s="236" t="s">
        <v>1074</v>
      </c>
      <c r="D168" s="219" t="n">
        <v>44112</v>
      </c>
      <c r="E168" s="220" t="str">
        <f aca="false">IF(D168="","",IFERROR(VLOOKUP(D168,CCN_Library!$A$4:$B$13,2,FALSE()),"NOT IN LIBRARY"))</f>
        <v>STORAGE OF AIR OR GROUND ORGANIC UNITS FOR MARINE CORPS</v>
      </c>
      <c r="F168" s="229"/>
      <c r="G168" s="230" t="s">
        <v>1069</v>
      </c>
      <c r="H168" s="221" t="str">
        <f aca="false">LEFT(I168,5)</f>
        <v>C2130</v>
      </c>
      <c r="I168" s="230" t="s">
        <v>1414</v>
      </c>
      <c r="J168" s="221" t="s">
        <v>1415</v>
      </c>
      <c r="K168" s="230" t="s">
        <v>1072</v>
      </c>
      <c r="L168" s="230" t="s">
        <v>1099</v>
      </c>
      <c r="M168" s="230" t="s">
        <v>133</v>
      </c>
      <c r="N168" s="231" t="n">
        <v>610</v>
      </c>
      <c r="O168" s="231" t="n">
        <v>540</v>
      </c>
      <c r="P168" s="231" t="n">
        <v>1150</v>
      </c>
      <c r="Q168" s="232" t="n">
        <v>1.15</v>
      </c>
      <c r="R168" s="232" t="n">
        <v>0.46</v>
      </c>
      <c r="S168" s="224" t="n">
        <v>0.17</v>
      </c>
      <c r="T168" s="225" t="n">
        <f aca="false">Q168*R168*S168</f>
        <v>0.08993</v>
      </c>
      <c r="U168" s="226" t="n">
        <f aca="false">T168*P168</f>
        <v>103.4195</v>
      </c>
      <c r="V168" s="233"/>
    </row>
    <row r="169" customFormat="false" ht="13.5" hidden="false" customHeight="true" outlineLevel="0" collapsed="false">
      <c r="B169" s="228" t="n">
        <v>437</v>
      </c>
      <c r="C169" s="236" t="s">
        <v>1131</v>
      </c>
      <c r="D169" s="219" t="n">
        <v>14312</v>
      </c>
      <c r="E169" s="220" t="str">
        <f aca="false">IF(D169="","",IFERROR(VLOOKUP(D169,CCN_Library!$A$4:$B$13,2,FALSE()),"NOT IN LIBRARY"))</f>
        <v>OPERATIONAL VEHICLE LAYDOWN AREA</v>
      </c>
      <c r="F169" s="229"/>
      <c r="G169" s="230" t="s">
        <v>1069</v>
      </c>
      <c r="H169" s="221" t="str">
        <f aca="false">LEFT(I169,5)</f>
        <v>B0066</v>
      </c>
      <c r="I169" s="230" t="s">
        <v>1416</v>
      </c>
      <c r="J169" s="221" t="s">
        <v>1417</v>
      </c>
      <c r="K169" s="230" t="s">
        <v>1072</v>
      </c>
      <c r="L169" s="230" t="s">
        <v>1073</v>
      </c>
      <c r="M169" s="230" t="s">
        <v>133</v>
      </c>
      <c r="N169" s="231" t="n">
        <v>0</v>
      </c>
      <c r="O169" s="231" t="n">
        <v>2</v>
      </c>
      <c r="P169" s="231" t="n">
        <v>2</v>
      </c>
      <c r="Q169" s="235" t="n">
        <v>20</v>
      </c>
      <c r="R169" s="235" t="n">
        <v>8</v>
      </c>
      <c r="S169" s="224" t="n">
        <v>8</v>
      </c>
      <c r="T169" s="225" t="n">
        <f aca="false">Q169*R169*S169</f>
        <v>1280</v>
      </c>
      <c r="U169" s="226" t="n">
        <f aca="false">T169*P169</f>
        <v>2560</v>
      </c>
      <c r="V169" s="233"/>
    </row>
    <row r="170" customFormat="false" ht="13.5" hidden="false" customHeight="true" outlineLevel="0" collapsed="false">
      <c r="B170" s="228" t="n">
        <v>438</v>
      </c>
      <c r="C170" s="236" t="s">
        <v>1113</v>
      </c>
      <c r="D170" s="219" t="n">
        <v>21451</v>
      </c>
      <c r="E170" s="220" t="str">
        <f aca="false">IF(D170="","",IFERROR(VLOOKUP(D170,CCN_Library!$A$4:$B$13,2,FALSE()),"NOT IN LIBRARY"))</f>
        <v>AUTOMOTIVE ORGANIZATIONAL SHOP</v>
      </c>
      <c r="F170" s="229"/>
      <c r="G170" s="230" t="s">
        <v>1069</v>
      </c>
      <c r="H170" s="221" t="str">
        <f aca="false">LEFT(I170,5)</f>
        <v>D0862</v>
      </c>
      <c r="I170" s="230" t="s">
        <v>1418</v>
      </c>
      <c r="J170" s="221" t="s">
        <v>1419</v>
      </c>
      <c r="K170" s="230" t="s">
        <v>1072</v>
      </c>
      <c r="L170" s="230" t="s">
        <v>1073</v>
      </c>
      <c r="M170" s="230" t="s">
        <v>133</v>
      </c>
      <c r="N170" s="231" t="n">
        <v>0</v>
      </c>
      <c r="O170" s="231" t="n">
        <v>2</v>
      </c>
      <c r="P170" s="231" t="n">
        <v>2</v>
      </c>
      <c r="Q170" s="232" t="n">
        <v>16.49</v>
      </c>
      <c r="R170" s="232" t="n">
        <v>8.16</v>
      </c>
      <c r="S170" s="224" t="n">
        <v>3.83</v>
      </c>
      <c r="T170" s="225" t="n">
        <f aca="false">Q170*R170*S170</f>
        <v>515.358672</v>
      </c>
      <c r="U170" s="226" t="n">
        <f aca="false">T170*P170</f>
        <v>1030.717344</v>
      </c>
      <c r="V170" s="233"/>
    </row>
    <row r="171" customFormat="false" ht="13.5" hidden="false" customHeight="true" outlineLevel="0" collapsed="false">
      <c r="B171" s="228" t="n">
        <v>440</v>
      </c>
      <c r="C171" s="236" t="s">
        <v>1068</v>
      </c>
      <c r="D171" s="219" t="n">
        <v>14345</v>
      </c>
      <c r="E171" s="220" t="str">
        <f aca="false">IF(D171="","",IFERROR(VLOOKUP(D171,CCN_Library!$A$4:$B$13,2,FALSE()),"NOT IN LIBRARY"))</f>
        <v>ARMORY</v>
      </c>
      <c r="F171" s="229"/>
      <c r="G171" s="230" t="s">
        <v>1069</v>
      </c>
      <c r="H171" s="221" t="str">
        <f aca="false">LEFT(I171,5)</f>
        <v>E0173</v>
      </c>
      <c r="I171" s="230" t="s">
        <v>1420</v>
      </c>
      <c r="J171" s="221" t="s">
        <v>1421</v>
      </c>
      <c r="K171" s="230" t="s">
        <v>1072</v>
      </c>
      <c r="L171" s="230" t="s">
        <v>1073</v>
      </c>
      <c r="M171" s="230" t="s">
        <v>133</v>
      </c>
      <c r="N171" s="231" t="n">
        <v>0</v>
      </c>
      <c r="O171" s="231" t="n">
        <v>0</v>
      </c>
      <c r="P171" s="231" t="n">
        <v>0</v>
      </c>
      <c r="Q171" s="232" t="n">
        <v>0.61</v>
      </c>
      <c r="R171" s="232" t="n">
        <v>0.29</v>
      </c>
      <c r="S171" s="224" t="n">
        <v>0.16</v>
      </c>
      <c r="T171" s="225" t="n">
        <f aca="false">Q171*R171*S171</f>
        <v>0.028304</v>
      </c>
      <c r="U171" s="226" t="n">
        <f aca="false">T171*P171</f>
        <v>0</v>
      </c>
      <c r="V171" s="233"/>
    </row>
    <row r="172" customFormat="false" ht="13.5" hidden="false" customHeight="true" outlineLevel="0" collapsed="false">
      <c r="B172" s="228" t="n">
        <v>442</v>
      </c>
      <c r="C172" s="236" t="s">
        <v>1068</v>
      </c>
      <c r="D172" s="219" t="n">
        <v>14345</v>
      </c>
      <c r="E172" s="220" t="str">
        <f aca="false">IF(D172="","",IFERROR(VLOOKUP(D172,CCN_Library!$A$4:$B$13,2,FALSE()),"NOT IN LIBRARY"))</f>
        <v>ARMORY</v>
      </c>
      <c r="F172" s="229"/>
      <c r="G172" s="230" t="s">
        <v>1069</v>
      </c>
      <c r="H172" s="221" t="str">
        <f aca="false">LEFT(I172,5)</f>
        <v>E0127</v>
      </c>
      <c r="I172" s="230" t="s">
        <v>1422</v>
      </c>
      <c r="J172" s="221" t="s">
        <v>1423</v>
      </c>
      <c r="K172" s="230" t="s">
        <v>1072</v>
      </c>
      <c r="L172" s="230" t="s">
        <v>1073</v>
      </c>
      <c r="M172" s="230" t="s">
        <v>133</v>
      </c>
      <c r="N172" s="231" t="n">
        <v>0</v>
      </c>
      <c r="O172" s="231" t="n">
        <v>0</v>
      </c>
      <c r="P172" s="231" t="n">
        <v>0</v>
      </c>
      <c r="Q172" s="232" t="n">
        <v>0.54</v>
      </c>
      <c r="R172" s="232" t="n">
        <v>0.12</v>
      </c>
      <c r="S172" s="224" t="n">
        <v>0.12</v>
      </c>
      <c r="T172" s="225" t="n">
        <f aca="false">Q172*R172*S172</f>
        <v>0.007776</v>
      </c>
      <c r="U172" s="226" t="n">
        <f aca="false">T172*P172</f>
        <v>0</v>
      </c>
      <c r="V172" s="233"/>
    </row>
    <row r="173" customFormat="false" ht="13.5" hidden="false" customHeight="true" outlineLevel="0" collapsed="false">
      <c r="B173" s="228" t="n">
        <v>445</v>
      </c>
      <c r="C173" s="236" t="s">
        <v>1068</v>
      </c>
      <c r="D173" s="219" t="n">
        <v>14345</v>
      </c>
      <c r="E173" s="220" t="str">
        <f aca="false">IF(D173="","",IFERROR(VLOOKUP(D173,CCN_Library!$A$4:$B$13,2,FALSE()),"NOT IN LIBRARY"))</f>
        <v>ARMORY</v>
      </c>
      <c r="F173" s="229"/>
      <c r="G173" s="230" t="s">
        <v>1069</v>
      </c>
      <c r="H173" s="221" t="str">
        <f aca="false">LEFT(I173,5)</f>
        <v>E0201</v>
      </c>
      <c r="I173" s="230" t="s">
        <v>1424</v>
      </c>
      <c r="J173" s="221" t="s">
        <v>1425</v>
      </c>
      <c r="K173" s="230" t="s">
        <v>1072</v>
      </c>
      <c r="L173" s="230" t="s">
        <v>1073</v>
      </c>
      <c r="M173" s="230" t="s">
        <v>133</v>
      </c>
      <c r="N173" s="231" t="n">
        <v>0</v>
      </c>
      <c r="O173" s="231" t="n">
        <v>0</v>
      </c>
      <c r="P173" s="231" t="n">
        <v>0</v>
      </c>
      <c r="Q173" s="237"/>
      <c r="R173" s="237"/>
      <c r="S173" s="224" t="n">
        <v>0</v>
      </c>
      <c r="T173" s="225" t="n">
        <f aca="false">Q173*R173*S173</f>
        <v>0</v>
      </c>
      <c r="U173" s="226" t="n">
        <f aca="false">T173*P173</f>
        <v>0</v>
      </c>
      <c r="V173" s="233"/>
    </row>
    <row r="174" customFormat="false" ht="13.5" hidden="false" customHeight="true" outlineLevel="0" collapsed="false">
      <c r="B174" s="228" t="n">
        <v>446</v>
      </c>
      <c r="C174" s="236" t="s">
        <v>1077</v>
      </c>
      <c r="D174" s="219" t="n">
        <v>21710</v>
      </c>
      <c r="E174" s="220" t="str">
        <f aca="false">IF(D174="","",IFERROR(VLOOKUP(D174,CCN_Library!$A$4:$B$13,2,FALSE()),"NOT IN LIBRARY"))</f>
        <v>ELECTRONICS/COMMUNICATIONS MAINTENANCE SHOP</v>
      </c>
      <c r="F174" s="229"/>
      <c r="G174" s="230" t="s">
        <v>1069</v>
      </c>
      <c r="H174" s="221" t="str">
        <f aca="false">LEFT(I174,5)</f>
        <v>A7505</v>
      </c>
      <c r="I174" s="230" t="s">
        <v>1426</v>
      </c>
      <c r="J174" s="221" t="s">
        <v>1427</v>
      </c>
      <c r="K174" s="230" t="s">
        <v>1142</v>
      </c>
      <c r="L174" s="230" t="s">
        <v>1106</v>
      </c>
      <c r="M174" s="230" t="s">
        <v>133</v>
      </c>
      <c r="N174" s="231" t="n">
        <v>0</v>
      </c>
      <c r="O174" s="231" t="n">
        <v>2</v>
      </c>
      <c r="P174" s="231" t="n">
        <v>2</v>
      </c>
      <c r="Q174" s="237"/>
      <c r="R174" s="237"/>
      <c r="S174" s="224" t="n">
        <v>0</v>
      </c>
      <c r="T174" s="225" t="n">
        <f aca="false">Q174*R174*S174</f>
        <v>0</v>
      </c>
      <c r="U174" s="226" t="n">
        <f aca="false">T174*P174</f>
        <v>0</v>
      </c>
      <c r="V174" s="233"/>
    </row>
    <row r="175" customFormat="false" ht="13.5" hidden="false" customHeight="true" outlineLevel="0" collapsed="false">
      <c r="B175" s="228" t="n">
        <v>447</v>
      </c>
      <c r="C175" s="236" t="s">
        <v>1068</v>
      </c>
      <c r="D175" s="219" t="n">
        <v>14345</v>
      </c>
      <c r="E175" s="220" t="str">
        <f aca="false">IF(D175="","",IFERROR(VLOOKUP(D175,CCN_Library!$A$4:$B$13,2,FALSE()),"NOT IN LIBRARY"))</f>
        <v>ARMORY</v>
      </c>
      <c r="F175" s="229"/>
      <c r="G175" s="230" t="s">
        <v>1069</v>
      </c>
      <c r="H175" s="221" t="str">
        <f aca="false">LEFT(I175,5)</f>
        <v>E0113</v>
      </c>
      <c r="I175" s="230" t="s">
        <v>1428</v>
      </c>
      <c r="J175" s="221" t="s">
        <v>1429</v>
      </c>
      <c r="K175" s="230" t="s">
        <v>1072</v>
      </c>
      <c r="L175" s="230" t="s">
        <v>1073</v>
      </c>
      <c r="M175" s="230" t="s">
        <v>133</v>
      </c>
      <c r="N175" s="231" t="n">
        <v>0</v>
      </c>
      <c r="O175" s="231" t="n">
        <v>0</v>
      </c>
      <c r="P175" s="231" t="n">
        <v>0</v>
      </c>
      <c r="Q175" s="237"/>
      <c r="R175" s="237"/>
      <c r="S175" s="224" t="n">
        <v>0</v>
      </c>
      <c r="T175" s="225" t="n">
        <f aca="false">Q175*R175*S175</f>
        <v>0</v>
      </c>
      <c r="U175" s="226" t="n">
        <f aca="false">T175*P175</f>
        <v>0</v>
      </c>
      <c r="V175" s="233"/>
    </row>
    <row r="176" customFormat="false" ht="13.5" hidden="false" customHeight="true" outlineLevel="0" collapsed="false">
      <c r="B176" s="228" t="n">
        <v>449</v>
      </c>
      <c r="C176" s="236" t="s">
        <v>1074</v>
      </c>
      <c r="D176" s="219" t="n">
        <v>44112</v>
      </c>
      <c r="E176" s="220" t="str">
        <f aca="false">IF(D176="","",IFERROR(VLOOKUP(D176,CCN_Library!$A$4:$B$13,2,FALSE()),"NOT IN LIBRARY"))</f>
        <v>STORAGE OF AIR OR GROUND ORGANIC UNITS FOR MARINE CORPS</v>
      </c>
      <c r="F176" s="229"/>
      <c r="G176" s="230" t="s">
        <v>1069</v>
      </c>
      <c r="H176" s="221" t="str">
        <f aca="false">LEFT(I176,5)</f>
        <v>C6632</v>
      </c>
      <c r="I176" s="230" t="s">
        <v>1430</v>
      </c>
      <c r="J176" s="221" t="s">
        <v>1431</v>
      </c>
      <c r="K176" s="230" t="s">
        <v>1072</v>
      </c>
      <c r="L176" s="230" t="s">
        <v>1099</v>
      </c>
      <c r="M176" s="230" t="s">
        <v>133</v>
      </c>
      <c r="N176" s="231" t="n">
        <v>305</v>
      </c>
      <c r="O176" s="231" t="n">
        <v>0</v>
      </c>
      <c r="P176" s="231" t="n">
        <v>305</v>
      </c>
      <c r="Q176" s="235" t="n">
        <v>1</v>
      </c>
      <c r="R176" s="232" t="n">
        <v>0.67</v>
      </c>
      <c r="S176" s="224" t="n">
        <v>0.25</v>
      </c>
      <c r="T176" s="225" t="n">
        <f aca="false">Q176*R176*S176</f>
        <v>0.1675</v>
      </c>
      <c r="U176" s="226" t="n">
        <f aca="false">T176*P176</f>
        <v>51.0875</v>
      </c>
      <c r="V176" s="233"/>
    </row>
    <row r="177" customFormat="false" ht="13.5" hidden="false" customHeight="true" outlineLevel="0" collapsed="false">
      <c r="B177" s="228" t="n">
        <v>451</v>
      </c>
      <c r="C177" s="236" t="s">
        <v>1074</v>
      </c>
      <c r="D177" s="219" t="n">
        <v>44112</v>
      </c>
      <c r="E177" s="220" t="str">
        <f aca="false">IF(D177="","",IFERROR(VLOOKUP(D177,CCN_Library!$A$4:$B$13,2,FALSE()),"NOT IN LIBRARY"))</f>
        <v>STORAGE OF AIR OR GROUND ORGANIC UNITS FOR MARINE CORPS</v>
      </c>
      <c r="F177" s="229"/>
      <c r="G177" s="230" t="s">
        <v>1069</v>
      </c>
      <c r="H177" s="221" t="str">
        <f aca="false">LEFT(I177,5)</f>
        <v>C8628</v>
      </c>
      <c r="I177" s="230" t="s">
        <v>1432</v>
      </c>
      <c r="J177" s="221" t="s">
        <v>1433</v>
      </c>
      <c r="K177" s="230" t="s">
        <v>1072</v>
      </c>
      <c r="L177" s="237"/>
      <c r="M177" s="230" t="s">
        <v>133</v>
      </c>
      <c r="N177" s="231" t="n">
        <v>0</v>
      </c>
      <c r="O177" s="231" t="n">
        <v>4</v>
      </c>
      <c r="P177" s="231" t="n">
        <v>4</v>
      </c>
      <c r="Q177" s="235" t="n">
        <v>9</v>
      </c>
      <c r="R177" s="232" t="n">
        <v>7.33</v>
      </c>
      <c r="S177" s="224" t="n">
        <v>5.5</v>
      </c>
      <c r="T177" s="225" t="n">
        <f aca="false">Q177*R177*S177</f>
        <v>362.835</v>
      </c>
      <c r="U177" s="226" t="n">
        <f aca="false">T177*P177</f>
        <v>1451.34</v>
      </c>
      <c r="V177" s="233"/>
    </row>
    <row r="178" customFormat="false" ht="13.5" hidden="false" customHeight="true" outlineLevel="0" collapsed="false">
      <c r="B178" s="228" t="n">
        <v>453</v>
      </c>
      <c r="C178" s="236" t="s">
        <v>1074</v>
      </c>
      <c r="D178" s="219" t="n">
        <v>44112</v>
      </c>
      <c r="E178" s="220" t="str">
        <f aca="false">IF(D178="","",IFERROR(VLOOKUP(D178,CCN_Library!$A$4:$B$13,2,FALSE()),"NOT IN LIBRARY"))</f>
        <v>STORAGE OF AIR OR GROUND ORGANIC UNITS FOR MARINE CORPS</v>
      </c>
      <c r="F178" s="229"/>
      <c r="G178" s="230" t="s">
        <v>1069</v>
      </c>
      <c r="H178" s="221" t="str">
        <f aca="false">LEFT(I178,5)</f>
        <v>C8745</v>
      </c>
      <c r="I178" s="230" t="s">
        <v>1434</v>
      </c>
      <c r="J178" s="221" t="s">
        <v>1435</v>
      </c>
      <c r="K178" s="230" t="s">
        <v>1072</v>
      </c>
      <c r="L178" s="237"/>
      <c r="M178" s="230" t="s">
        <v>1116</v>
      </c>
      <c r="N178" s="231" t="n">
        <v>0</v>
      </c>
      <c r="O178" s="231" t="n">
        <v>2</v>
      </c>
      <c r="P178" s="231" t="n">
        <v>2</v>
      </c>
      <c r="Q178" s="232" t="n">
        <v>4.25</v>
      </c>
      <c r="R178" s="232" t="n">
        <v>38.07</v>
      </c>
      <c r="S178" s="224" t="n">
        <v>4</v>
      </c>
      <c r="T178" s="225" t="n">
        <f aca="false">Q178*R178*S178</f>
        <v>647.19</v>
      </c>
      <c r="U178" s="226" t="n">
        <f aca="false">T178*P178</f>
        <v>1294.38</v>
      </c>
      <c r="V178" s="233"/>
    </row>
    <row r="179" customFormat="false" ht="13.5" hidden="false" customHeight="true" outlineLevel="0" collapsed="false">
      <c r="B179" s="228" t="n">
        <v>456</v>
      </c>
      <c r="C179" s="236" t="s">
        <v>1131</v>
      </c>
      <c r="D179" s="219" t="n">
        <v>14312</v>
      </c>
      <c r="E179" s="220" t="str">
        <f aca="false">IF(D179="","",IFERROR(VLOOKUP(D179,CCN_Library!$A$4:$B$13,2,FALSE()),"NOT IN LIBRARY"))</f>
        <v>OPERATIONAL VEHICLE LAYDOWN AREA</v>
      </c>
      <c r="F179" s="229"/>
      <c r="G179" s="230" t="s">
        <v>1069</v>
      </c>
      <c r="H179" s="221" t="str">
        <f aca="false">LEFT(I179,5)</f>
        <v>B1620</v>
      </c>
      <c r="I179" s="230" t="s">
        <v>1436</v>
      </c>
      <c r="J179" s="221" t="s">
        <v>1437</v>
      </c>
      <c r="K179" s="230" t="s">
        <v>1072</v>
      </c>
      <c r="L179" s="230" t="s">
        <v>1290</v>
      </c>
      <c r="M179" s="230" t="s">
        <v>133</v>
      </c>
      <c r="N179" s="231" t="n">
        <v>0</v>
      </c>
      <c r="O179" s="231" t="n">
        <v>3</v>
      </c>
      <c r="P179" s="231" t="n">
        <v>3</v>
      </c>
      <c r="Q179" s="235" t="n">
        <v>0</v>
      </c>
      <c r="R179" s="235" t="n">
        <v>0</v>
      </c>
      <c r="S179" s="224" t="n">
        <v>0</v>
      </c>
      <c r="T179" s="225" t="n">
        <f aca="false">Q179*R179*S179</f>
        <v>0</v>
      </c>
      <c r="U179" s="226" t="n">
        <f aca="false">T179*P179</f>
        <v>0</v>
      </c>
      <c r="V179" s="233"/>
    </row>
    <row r="180" customFormat="false" ht="13.5" hidden="false" customHeight="true" outlineLevel="0" collapsed="false">
      <c r="B180" s="228" t="n">
        <v>458</v>
      </c>
      <c r="C180" s="236" t="s">
        <v>1068</v>
      </c>
      <c r="D180" s="219" t="n">
        <v>14345</v>
      </c>
      <c r="E180" s="220" t="str">
        <f aca="false">IF(D180="","",IFERROR(VLOOKUP(D180,CCN_Library!$A$4:$B$13,2,FALSE()),"NOT IN LIBRARY"))</f>
        <v>ARMORY</v>
      </c>
      <c r="F180" s="229"/>
      <c r="G180" s="230" t="s">
        <v>1069</v>
      </c>
      <c r="H180" s="221" t="str">
        <f aca="false">LEFT(I180,5)</f>
        <v>C0015</v>
      </c>
      <c r="I180" s="230" t="s">
        <v>1438</v>
      </c>
      <c r="J180" s="221" t="s">
        <v>1439</v>
      </c>
      <c r="K180" s="230" t="s">
        <v>1072</v>
      </c>
      <c r="L180" s="230" t="s">
        <v>1073</v>
      </c>
      <c r="M180" s="230" t="s">
        <v>133</v>
      </c>
      <c r="N180" s="231" t="n">
        <v>610</v>
      </c>
      <c r="O180" s="231" t="n">
        <v>0</v>
      </c>
      <c r="P180" s="231" t="n">
        <v>610</v>
      </c>
      <c r="Q180" s="232" t="n">
        <v>0.67</v>
      </c>
      <c r="R180" s="232" t="n">
        <v>0.5</v>
      </c>
      <c r="S180" s="224" t="n">
        <v>0.08</v>
      </c>
      <c r="T180" s="225" t="n">
        <f aca="false">Q180*R180*S180</f>
        <v>0.0268</v>
      </c>
      <c r="U180" s="226" t="n">
        <f aca="false">T180*P180</f>
        <v>16.348</v>
      </c>
      <c r="V180" s="233"/>
    </row>
    <row r="181" customFormat="false" ht="13.5" hidden="false" customHeight="true" outlineLevel="0" collapsed="false">
      <c r="B181" s="228" t="n">
        <v>460</v>
      </c>
      <c r="C181" s="236" t="s">
        <v>1077</v>
      </c>
      <c r="D181" s="219" t="n">
        <v>21710</v>
      </c>
      <c r="E181" s="220" t="str">
        <f aca="false">IF(D181="","",IFERROR(VLOOKUP(D181,CCN_Library!$A$4:$B$13,2,FALSE()),"NOT IN LIBRARY"))</f>
        <v>ELECTRONICS/COMMUNICATIONS MAINTENANCE SHOP</v>
      </c>
      <c r="F181" s="229"/>
      <c r="G181" s="230" t="s">
        <v>1069</v>
      </c>
      <c r="H181" s="221" t="str">
        <f aca="false">LEFT(I181,5)</f>
        <v>H0004</v>
      </c>
      <c r="I181" s="230" t="s">
        <v>1440</v>
      </c>
      <c r="J181" s="221" t="s">
        <v>1441</v>
      </c>
      <c r="K181" s="230" t="s">
        <v>1072</v>
      </c>
      <c r="L181" s="230" t="s">
        <v>1073</v>
      </c>
      <c r="M181" s="230" t="s">
        <v>133</v>
      </c>
      <c r="N181" s="231" t="n">
        <v>0</v>
      </c>
      <c r="O181" s="231" t="n">
        <v>5</v>
      </c>
      <c r="P181" s="231" t="n">
        <v>5</v>
      </c>
      <c r="Q181" s="232" t="n">
        <v>1.84</v>
      </c>
      <c r="R181" s="232" t="n">
        <v>1.49</v>
      </c>
      <c r="S181" s="224" t="n">
        <v>0.87</v>
      </c>
      <c r="T181" s="225" t="n">
        <f aca="false">Q181*R181*S181</f>
        <v>2.385192</v>
      </c>
      <c r="U181" s="226" t="n">
        <f aca="false">T181*P181</f>
        <v>11.92596</v>
      </c>
      <c r="V181" s="233"/>
    </row>
    <row r="182" customFormat="false" ht="13.5" hidden="false" customHeight="true" outlineLevel="0" collapsed="false">
      <c r="B182" s="228" t="n">
        <v>462</v>
      </c>
      <c r="C182" s="236" t="s">
        <v>1074</v>
      </c>
      <c r="D182" s="219" t="n">
        <v>44112</v>
      </c>
      <c r="E182" s="220" t="str">
        <f aca="false">IF(D182="","",IFERROR(VLOOKUP(D182,CCN_Library!$A$4:$B$13,2,FALSE()),"NOT IN LIBRARY"))</f>
        <v>STORAGE OF AIR OR GROUND ORGANIC UNITS FOR MARINE CORPS</v>
      </c>
      <c r="F182" s="229"/>
      <c r="G182" s="230" t="s">
        <v>1069</v>
      </c>
      <c r="H182" s="221" t="str">
        <f aca="false">LEFT(I182,5)</f>
        <v>C0063</v>
      </c>
      <c r="I182" s="230" t="s">
        <v>1442</v>
      </c>
      <c r="J182" s="221" t="s">
        <v>1443</v>
      </c>
      <c r="K182" s="230" t="s">
        <v>1072</v>
      </c>
      <c r="L182" s="230" t="s">
        <v>1099</v>
      </c>
      <c r="M182" s="230" t="s">
        <v>133</v>
      </c>
      <c r="N182" s="231" t="n">
        <v>610</v>
      </c>
      <c r="O182" s="231" t="n">
        <v>0</v>
      </c>
      <c r="P182" s="231" t="n">
        <v>610</v>
      </c>
      <c r="Q182" s="232" t="n">
        <v>1.08</v>
      </c>
      <c r="R182" s="232" t="n">
        <v>0.75</v>
      </c>
      <c r="S182" s="224" t="n">
        <v>0.17</v>
      </c>
      <c r="T182" s="225" t="n">
        <f aca="false">Q182*R182*S182</f>
        <v>0.1377</v>
      </c>
      <c r="U182" s="226" t="n">
        <f aca="false">T182*P182</f>
        <v>83.997</v>
      </c>
      <c r="V182" s="233"/>
    </row>
    <row r="183" customFormat="false" ht="13.5" hidden="false" customHeight="true" outlineLevel="0" collapsed="false">
      <c r="B183" s="228" t="n">
        <v>463</v>
      </c>
      <c r="C183" s="236" t="s">
        <v>1074</v>
      </c>
      <c r="D183" s="219" t="n">
        <v>44112</v>
      </c>
      <c r="E183" s="220" t="str">
        <f aca="false">IF(D183="","",IFERROR(VLOOKUP(D183,CCN_Library!$A$4:$B$13,2,FALSE()),"NOT IN LIBRARY"))</f>
        <v>STORAGE OF AIR OR GROUND ORGANIC UNITS FOR MARINE CORPS</v>
      </c>
      <c r="F183" s="229"/>
      <c r="G183" s="230" t="s">
        <v>1069</v>
      </c>
      <c r="H183" s="221" t="str">
        <f aca="false">LEFT(I183,5)</f>
        <v>C0041</v>
      </c>
      <c r="I183" s="230" t="s">
        <v>1444</v>
      </c>
      <c r="J183" s="221" t="s">
        <v>1445</v>
      </c>
      <c r="K183" s="230" t="s">
        <v>1072</v>
      </c>
      <c r="L183" s="237"/>
      <c r="M183" s="230" t="s">
        <v>133</v>
      </c>
      <c r="N183" s="231" t="n">
        <v>76</v>
      </c>
      <c r="O183" s="231" t="n">
        <v>280</v>
      </c>
      <c r="P183" s="231" t="n">
        <v>356</v>
      </c>
      <c r="Q183" s="232" t="n">
        <v>0.87</v>
      </c>
      <c r="R183" s="232" t="n">
        <v>0.46</v>
      </c>
      <c r="S183" s="224" t="n">
        <v>0.46</v>
      </c>
      <c r="T183" s="225" t="n">
        <f aca="false">Q183*R183*S183</f>
        <v>0.184092</v>
      </c>
      <c r="U183" s="226" t="n">
        <f aca="false">T183*P183</f>
        <v>65.536752</v>
      </c>
      <c r="V183" s="233"/>
    </row>
    <row r="184" customFormat="false" ht="13.5" hidden="false" customHeight="true" outlineLevel="0" collapsed="false">
      <c r="B184" s="228" t="n">
        <v>467</v>
      </c>
      <c r="C184" s="236" t="s">
        <v>1113</v>
      </c>
      <c r="D184" s="219" t="n">
        <v>21451</v>
      </c>
      <c r="E184" s="220" t="str">
        <f aca="false">IF(D184="","",IFERROR(VLOOKUP(D184,CCN_Library!$A$4:$B$13,2,FALSE()),"NOT IN LIBRARY"))</f>
        <v>AUTOMOTIVE ORGANIZATIONAL SHOP</v>
      </c>
      <c r="F184" s="229"/>
      <c r="G184" s="230" t="s">
        <v>1069</v>
      </c>
      <c r="H184" s="221" t="str">
        <f aca="false">LEFT(I184,5)</f>
        <v>D0058</v>
      </c>
      <c r="I184" s="230" t="s">
        <v>1446</v>
      </c>
      <c r="J184" s="221" t="s">
        <v>1447</v>
      </c>
      <c r="K184" s="230" t="s">
        <v>1072</v>
      </c>
      <c r="L184" s="230" t="s">
        <v>1073</v>
      </c>
      <c r="M184" s="230" t="s">
        <v>133</v>
      </c>
      <c r="N184" s="231" t="n">
        <v>0</v>
      </c>
      <c r="O184" s="231" t="n">
        <v>6</v>
      </c>
      <c r="P184" s="231" t="n">
        <v>6</v>
      </c>
      <c r="Q184" s="237"/>
      <c r="R184" s="237"/>
      <c r="S184" s="224" t="n">
        <v>0</v>
      </c>
      <c r="T184" s="225" t="n">
        <f aca="false">Q184*R184*S184</f>
        <v>0</v>
      </c>
      <c r="U184" s="226" t="n">
        <f aca="false">T184*P184</f>
        <v>0</v>
      </c>
      <c r="V184" s="233"/>
    </row>
    <row r="185" customFormat="false" ht="13.5" hidden="false" customHeight="true" outlineLevel="0" collapsed="false">
      <c r="B185" s="228" t="n">
        <v>469</v>
      </c>
      <c r="C185" s="236" t="s">
        <v>1074</v>
      </c>
      <c r="D185" s="219" t="n">
        <v>44112</v>
      </c>
      <c r="E185" s="220" t="str">
        <f aca="false">IF(D185="","",IFERROR(VLOOKUP(D185,CCN_Library!$A$4:$B$13,2,FALSE()),"NOT IN LIBRARY"))</f>
        <v>STORAGE OF AIR OR GROUND ORGANIC UNITS FOR MARINE CORPS</v>
      </c>
      <c r="F185" s="229"/>
      <c r="G185" s="230" t="s">
        <v>1069</v>
      </c>
      <c r="H185" s="221" t="str">
        <f aca="false">LEFT(I185,5)</f>
        <v>C0074</v>
      </c>
      <c r="I185" s="230" t="s">
        <v>1448</v>
      </c>
      <c r="J185" s="221" t="s">
        <v>1449</v>
      </c>
      <c r="K185" s="230" t="s">
        <v>1072</v>
      </c>
      <c r="L185" s="230" t="s">
        <v>1073</v>
      </c>
      <c r="M185" s="230" t="s">
        <v>133</v>
      </c>
      <c r="N185" s="231" t="n">
        <v>305</v>
      </c>
      <c r="O185" s="231" t="n">
        <v>270</v>
      </c>
      <c r="P185" s="231" t="n">
        <v>575</v>
      </c>
      <c r="Q185" s="232" t="n">
        <v>0.25</v>
      </c>
      <c r="R185" s="232" t="n">
        <v>0.08</v>
      </c>
      <c r="S185" s="224" t="n">
        <v>0.08</v>
      </c>
      <c r="T185" s="225" t="n">
        <f aca="false">Q185*R185*S185</f>
        <v>0.0016</v>
      </c>
      <c r="U185" s="226" t="n">
        <f aca="false">T185*P185</f>
        <v>0.92</v>
      </c>
      <c r="V185" s="233"/>
    </row>
    <row r="186" customFormat="false" ht="13.5" hidden="false" customHeight="true" outlineLevel="0" collapsed="false">
      <c r="B186" s="228" t="n">
        <v>470</v>
      </c>
      <c r="C186" s="236" t="s">
        <v>1131</v>
      </c>
      <c r="D186" s="219" t="n">
        <v>14312</v>
      </c>
      <c r="E186" s="220" t="str">
        <f aca="false">IF(D186="","",IFERROR(VLOOKUP(D186,CCN_Library!$A$4:$B$13,2,FALSE()),"NOT IN LIBRARY"))</f>
        <v>OPERATIONAL VEHICLE LAYDOWN AREA</v>
      </c>
      <c r="F186" s="229"/>
      <c r="G186" s="230" t="s">
        <v>1069</v>
      </c>
      <c r="H186" s="221" t="str">
        <f aca="false">LEFT(I186,5)</f>
        <v>B1021</v>
      </c>
      <c r="I186" s="230" t="s">
        <v>1450</v>
      </c>
      <c r="J186" s="221" t="s">
        <v>1451</v>
      </c>
      <c r="K186" s="230" t="s">
        <v>1072</v>
      </c>
      <c r="L186" s="230" t="s">
        <v>1073</v>
      </c>
      <c r="M186" s="230" t="s">
        <v>1116</v>
      </c>
      <c r="N186" s="231" t="n">
        <v>0</v>
      </c>
      <c r="O186" s="231" t="n">
        <v>6</v>
      </c>
      <c r="P186" s="231" t="n">
        <v>6</v>
      </c>
      <c r="Q186" s="232" t="n">
        <v>6.83</v>
      </c>
      <c r="R186" s="235" t="n">
        <v>3</v>
      </c>
      <c r="S186" s="224" t="n">
        <v>4.4</v>
      </c>
      <c r="T186" s="225" t="n">
        <f aca="false">Q186*R186*S186</f>
        <v>90.156</v>
      </c>
      <c r="U186" s="226" t="n">
        <f aca="false">T186*P186</f>
        <v>540.936</v>
      </c>
      <c r="V186" s="233"/>
    </row>
    <row r="187" customFormat="false" ht="13.5" hidden="false" customHeight="true" outlineLevel="0" collapsed="false">
      <c r="B187" s="228" t="n">
        <v>473</v>
      </c>
      <c r="C187" s="236" t="s">
        <v>1074</v>
      </c>
      <c r="D187" s="219" t="n">
        <v>44112</v>
      </c>
      <c r="E187" s="220" t="str">
        <f aca="false">IF(D187="","",IFERROR(VLOOKUP(D187,CCN_Library!$A$4:$B$13,2,FALSE()),"NOT IN LIBRARY"))</f>
        <v>STORAGE OF AIR OR GROUND ORGANIC UNITS FOR MARINE CORPS</v>
      </c>
      <c r="F187" s="229"/>
      <c r="G187" s="230" t="s">
        <v>1069</v>
      </c>
      <c r="H187" s="221" t="str">
        <f aca="false">LEFT(I187,5)</f>
        <v>C0117</v>
      </c>
      <c r="I187" s="230" t="s">
        <v>1452</v>
      </c>
      <c r="J187" s="221" t="s">
        <v>1453</v>
      </c>
      <c r="K187" s="230" t="s">
        <v>1072</v>
      </c>
      <c r="L187" s="230" t="s">
        <v>1073</v>
      </c>
      <c r="M187" s="230" t="s">
        <v>133</v>
      </c>
      <c r="N187" s="231" t="n">
        <v>305</v>
      </c>
      <c r="O187" s="231" t="n">
        <v>0</v>
      </c>
      <c r="P187" s="231" t="n">
        <v>305</v>
      </c>
      <c r="Q187" s="232" t="n">
        <v>0.83</v>
      </c>
      <c r="R187" s="232" t="n">
        <v>0.5</v>
      </c>
      <c r="S187" s="224" t="n">
        <v>0.17</v>
      </c>
      <c r="T187" s="225" t="n">
        <f aca="false">Q187*R187*S187</f>
        <v>0.07055</v>
      </c>
      <c r="U187" s="226" t="n">
        <f aca="false">T187*P187</f>
        <v>21.51775</v>
      </c>
      <c r="V187" s="233"/>
    </row>
    <row r="188" customFormat="false" ht="13.5" hidden="false" customHeight="true" outlineLevel="0" collapsed="false">
      <c r="B188" s="228" t="n">
        <v>474</v>
      </c>
      <c r="C188" s="236" t="s">
        <v>1074</v>
      </c>
      <c r="D188" s="219" t="n">
        <v>44112</v>
      </c>
      <c r="E188" s="220" t="str">
        <f aca="false">IF(D188="","",IFERROR(VLOOKUP(D188,CCN_Library!$A$4:$B$13,2,FALSE()),"NOT IN LIBRARY"))</f>
        <v>STORAGE OF AIR OR GROUND ORGANIC UNITS FOR MARINE CORPS</v>
      </c>
      <c r="F188" s="229"/>
      <c r="G188" s="230" t="s">
        <v>1069</v>
      </c>
      <c r="H188" s="221" t="str">
        <f aca="false">LEFT(I188,5)</f>
        <v>C0116</v>
      </c>
      <c r="I188" s="230" t="s">
        <v>1454</v>
      </c>
      <c r="J188" s="221" t="s">
        <v>1455</v>
      </c>
      <c r="K188" s="230" t="s">
        <v>1072</v>
      </c>
      <c r="L188" s="230" t="s">
        <v>1073</v>
      </c>
      <c r="M188" s="230" t="s">
        <v>133</v>
      </c>
      <c r="N188" s="231" t="n">
        <v>610</v>
      </c>
      <c r="O188" s="231" t="n">
        <v>0</v>
      </c>
      <c r="P188" s="231" t="n">
        <v>610</v>
      </c>
      <c r="Q188" s="232" t="n">
        <v>0.83</v>
      </c>
      <c r="R188" s="232" t="n">
        <v>0.5</v>
      </c>
      <c r="S188" s="224" t="n">
        <v>0.17</v>
      </c>
      <c r="T188" s="225" t="n">
        <f aca="false">Q188*R188*S188</f>
        <v>0.07055</v>
      </c>
      <c r="U188" s="226" t="n">
        <f aca="false">T188*P188</f>
        <v>43.0355</v>
      </c>
      <c r="V188" s="233"/>
    </row>
    <row r="189" customFormat="false" ht="13.5" hidden="false" customHeight="true" outlineLevel="0" collapsed="false">
      <c r="B189" s="228" t="n">
        <v>476</v>
      </c>
      <c r="C189" s="236" t="s">
        <v>1074</v>
      </c>
      <c r="D189" s="219" t="n">
        <v>44112</v>
      </c>
      <c r="E189" s="220" t="str">
        <f aca="false">IF(D189="","",IFERROR(VLOOKUP(D189,CCN_Library!$A$4:$B$13,2,FALSE()),"NOT IN LIBRARY"))</f>
        <v>STORAGE OF AIR OR GROUND ORGANIC UNITS FOR MARINE CORPS</v>
      </c>
      <c r="F189" s="229"/>
      <c r="G189" s="230" t="s">
        <v>1069</v>
      </c>
      <c r="H189" s="221" t="str">
        <f aca="false">LEFT(I189,5)</f>
        <v>B7001</v>
      </c>
      <c r="I189" s="230" t="s">
        <v>1456</v>
      </c>
      <c r="J189" s="221" t="s">
        <v>1457</v>
      </c>
      <c r="K189" s="230" t="s">
        <v>1072</v>
      </c>
      <c r="L189" s="230" t="s">
        <v>1073</v>
      </c>
      <c r="M189" s="230" t="s">
        <v>133</v>
      </c>
      <c r="N189" s="231" t="n">
        <v>0</v>
      </c>
      <c r="O189" s="231" t="n">
        <v>4</v>
      </c>
      <c r="P189" s="231" t="n">
        <v>4</v>
      </c>
      <c r="Q189" s="232" t="n">
        <v>0.75</v>
      </c>
      <c r="R189" s="232" t="n">
        <v>0.33</v>
      </c>
      <c r="S189" s="224" t="n">
        <v>0.25</v>
      </c>
      <c r="T189" s="225" t="n">
        <f aca="false">Q189*R189*S189</f>
        <v>0.061875</v>
      </c>
      <c r="U189" s="226" t="n">
        <f aca="false">T189*P189</f>
        <v>0.2475</v>
      </c>
      <c r="V189" s="233"/>
    </row>
    <row r="190" customFormat="false" ht="13.5" hidden="false" customHeight="true" outlineLevel="0" collapsed="false">
      <c r="B190" s="228" t="n">
        <v>477</v>
      </c>
      <c r="C190" s="236" t="s">
        <v>1074</v>
      </c>
      <c r="D190" s="219" t="n">
        <v>44112</v>
      </c>
      <c r="E190" s="220" t="str">
        <f aca="false">IF(D190="","",IFERROR(VLOOKUP(D190,CCN_Library!$A$4:$B$13,2,FALSE()),"NOT IN LIBRARY"))</f>
        <v>STORAGE OF AIR OR GROUND ORGANIC UNITS FOR MARINE CORPS</v>
      </c>
      <c r="F190" s="229"/>
      <c r="G190" s="230" t="s">
        <v>1069</v>
      </c>
      <c r="H190" s="221" t="str">
        <f aca="false">LEFT(I190,5)</f>
        <v>B0030</v>
      </c>
      <c r="I190" s="230" t="s">
        <v>1458</v>
      </c>
      <c r="J190" s="221" t="s">
        <v>1459</v>
      </c>
      <c r="K190" s="230" t="s">
        <v>1072</v>
      </c>
      <c r="L190" s="230" t="s">
        <v>1073</v>
      </c>
      <c r="M190" s="230" t="s">
        <v>1116</v>
      </c>
      <c r="N190" s="231" t="n">
        <v>0</v>
      </c>
      <c r="O190" s="231" t="n">
        <v>5</v>
      </c>
      <c r="P190" s="231" t="n">
        <v>5</v>
      </c>
      <c r="Q190" s="235" t="n">
        <v>3</v>
      </c>
      <c r="R190" s="232" t="n">
        <v>2.17</v>
      </c>
      <c r="S190" s="224" t="n">
        <v>1.58</v>
      </c>
      <c r="T190" s="225" t="n">
        <f aca="false">Q190*R190*S190</f>
        <v>10.2858</v>
      </c>
      <c r="U190" s="226" t="n">
        <f aca="false">T190*P190</f>
        <v>51.429</v>
      </c>
      <c r="V190" s="233"/>
    </row>
    <row r="191" customFormat="false" ht="13.5" hidden="false" customHeight="true" outlineLevel="0" collapsed="false">
      <c r="B191" s="228" t="n">
        <v>480</v>
      </c>
      <c r="C191" s="236" t="s">
        <v>1074</v>
      </c>
      <c r="D191" s="219" t="n">
        <v>44112</v>
      </c>
      <c r="E191" s="220" t="str">
        <f aca="false">IF(D191="","",IFERROR(VLOOKUP(D191,CCN_Library!$A$4:$B$13,2,FALSE()),"NOT IN LIBRARY"))</f>
        <v>STORAGE OF AIR OR GROUND ORGANIC UNITS FOR MARINE CORPS</v>
      </c>
      <c r="F191" s="229"/>
      <c r="G191" s="230" t="s">
        <v>1069</v>
      </c>
      <c r="H191" s="221" t="str">
        <f aca="false">LEFT(I191,5)</f>
        <v>C0136</v>
      </c>
      <c r="I191" s="230" t="s">
        <v>1460</v>
      </c>
      <c r="J191" s="221" t="s">
        <v>1461</v>
      </c>
      <c r="K191" s="230" t="s">
        <v>1072</v>
      </c>
      <c r="L191" s="230" t="s">
        <v>1073</v>
      </c>
      <c r="M191" s="230" t="s">
        <v>133</v>
      </c>
      <c r="N191" s="231" t="n">
        <v>305</v>
      </c>
      <c r="O191" s="231" t="n">
        <v>0</v>
      </c>
      <c r="P191" s="231" t="n">
        <v>305</v>
      </c>
      <c r="Q191" s="235" t="n">
        <v>1</v>
      </c>
      <c r="R191" s="235" t="n">
        <v>1</v>
      </c>
      <c r="S191" s="224" t="n">
        <v>0.5</v>
      </c>
      <c r="T191" s="225" t="n">
        <f aca="false">Q191*R191*S191</f>
        <v>0.5</v>
      </c>
      <c r="U191" s="226" t="n">
        <f aca="false">T191*P191</f>
        <v>152.5</v>
      </c>
      <c r="V191" s="233"/>
    </row>
    <row r="192" customFormat="false" ht="13.5" hidden="false" customHeight="true" outlineLevel="0" collapsed="false">
      <c r="B192" s="228" t="n">
        <v>481</v>
      </c>
      <c r="C192" s="236" t="s">
        <v>1068</v>
      </c>
      <c r="D192" s="219" t="n">
        <v>14345</v>
      </c>
      <c r="E192" s="220" t="str">
        <f aca="false">IF(D192="","",IFERROR(VLOOKUP(D192,CCN_Library!$A$4:$B$13,2,FALSE()),"NOT IN LIBRARY"))</f>
        <v>ARMORY</v>
      </c>
      <c r="F192" s="229"/>
      <c r="G192" s="230" t="s">
        <v>1069</v>
      </c>
      <c r="H192" s="221" t="str">
        <f aca="false">LEFT(I192,5)</f>
        <v>C0061</v>
      </c>
      <c r="I192" s="230" t="s">
        <v>1462</v>
      </c>
      <c r="J192" s="221" t="s">
        <v>1463</v>
      </c>
      <c r="K192" s="230" t="s">
        <v>1072</v>
      </c>
      <c r="L192" s="230" t="s">
        <v>1073</v>
      </c>
      <c r="M192" s="230" t="s">
        <v>133</v>
      </c>
      <c r="N192" s="231" t="n">
        <v>305</v>
      </c>
      <c r="O192" s="231" t="n">
        <v>0</v>
      </c>
      <c r="P192" s="231" t="n">
        <v>305</v>
      </c>
      <c r="Q192" s="235" t="n">
        <v>2</v>
      </c>
      <c r="R192" s="232" t="n">
        <v>1.5</v>
      </c>
      <c r="S192" s="224" t="n">
        <v>0.67</v>
      </c>
      <c r="T192" s="225" t="n">
        <f aca="false">Q192*R192*S192</f>
        <v>2.01</v>
      </c>
      <c r="U192" s="226" t="n">
        <f aca="false">T192*P192</f>
        <v>613.05</v>
      </c>
      <c r="V192" s="233"/>
    </row>
    <row r="193" customFormat="false" ht="13.5" hidden="false" customHeight="true" outlineLevel="0" collapsed="false">
      <c r="B193" s="228" t="n">
        <v>483</v>
      </c>
      <c r="C193" s="236" t="s">
        <v>1068</v>
      </c>
      <c r="D193" s="219" t="n">
        <v>14345</v>
      </c>
      <c r="E193" s="220" t="str">
        <f aca="false">IF(D193="","",IFERROR(VLOOKUP(D193,CCN_Library!$A$4:$B$13,2,FALSE()),"NOT IN LIBRARY"))</f>
        <v>ARMORY</v>
      </c>
      <c r="F193" s="229"/>
      <c r="G193" s="230" t="s">
        <v>1069</v>
      </c>
      <c r="H193" s="221" t="str">
        <f aca="false">LEFT(I193,5)</f>
        <v>E0100</v>
      </c>
      <c r="I193" s="230" t="s">
        <v>1464</v>
      </c>
      <c r="J193" s="221" t="s">
        <v>1465</v>
      </c>
      <c r="K193" s="230" t="s">
        <v>1072</v>
      </c>
      <c r="L193" s="230" t="s">
        <v>1073</v>
      </c>
      <c r="M193" s="230" t="s">
        <v>133</v>
      </c>
      <c r="N193" s="231" t="n">
        <v>0</v>
      </c>
      <c r="O193" s="231" t="n">
        <v>0</v>
      </c>
      <c r="P193" s="231" t="n">
        <v>0</v>
      </c>
      <c r="Q193" s="232" t="n">
        <v>2.8</v>
      </c>
      <c r="R193" s="232" t="n">
        <v>0.94</v>
      </c>
      <c r="S193" s="224" t="n">
        <v>0.25</v>
      </c>
      <c r="T193" s="225" t="n">
        <f aca="false">Q193*R193*S193</f>
        <v>0.658</v>
      </c>
      <c r="U193" s="226" t="n">
        <f aca="false">T193*P193</f>
        <v>0</v>
      </c>
      <c r="V193" s="233"/>
    </row>
    <row r="194" customFormat="false" ht="13.5" hidden="false" customHeight="true" outlineLevel="0" collapsed="false">
      <c r="B194" s="228" t="n">
        <v>487</v>
      </c>
      <c r="C194" s="236" t="s">
        <v>1466</v>
      </c>
      <c r="D194" s="219" t="n">
        <v>45110</v>
      </c>
      <c r="E194" s="220" t="str">
        <f aca="false">IF(D194="","",IFERROR(VLOOKUP(D194,CCN_Library!$A$4:$B$13,2,FALSE()),"NOT IN LIBRARY"))</f>
        <v>OPEN STORAGE AREA</v>
      </c>
      <c r="F194" s="229"/>
      <c r="G194" s="230" t="s">
        <v>1069</v>
      </c>
      <c r="H194" s="221" t="str">
        <f aca="false">LEFT(I194,5)</f>
        <v>C0077</v>
      </c>
      <c r="I194" s="230" t="s">
        <v>1467</v>
      </c>
      <c r="J194" s="221" t="s">
        <v>1468</v>
      </c>
      <c r="K194" s="230" t="s">
        <v>1072</v>
      </c>
      <c r="L194" s="230" t="s">
        <v>1073</v>
      </c>
      <c r="M194" s="237"/>
      <c r="N194" s="231" t="n">
        <v>0</v>
      </c>
      <c r="O194" s="231" t="n">
        <v>3</v>
      </c>
      <c r="P194" s="231" t="n">
        <v>3</v>
      </c>
      <c r="Q194" s="232" t="n">
        <v>3.67</v>
      </c>
      <c r="R194" s="232" t="n">
        <v>4.33</v>
      </c>
      <c r="S194" s="224" t="n">
        <v>1.33</v>
      </c>
      <c r="T194" s="225" t="n">
        <f aca="false">Q194*R194*S194</f>
        <v>21.135163</v>
      </c>
      <c r="U194" s="226" t="n">
        <f aca="false">T194*P194</f>
        <v>63.405489</v>
      </c>
      <c r="V194" s="233"/>
    </row>
    <row r="195" customFormat="false" ht="13.5" hidden="false" customHeight="true" outlineLevel="0" collapsed="false">
      <c r="B195" s="228" t="n">
        <v>489</v>
      </c>
      <c r="C195" s="236" t="s">
        <v>1074</v>
      </c>
      <c r="D195" s="219" t="n">
        <v>44112</v>
      </c>
      <c r="E195" s="220" t="str">
        <f aca="false">IF(D195="","",IFERROR(VLOOKUP(D195,CCN_Library!$A$4:$B$13,2,FALSE()),"NOT IN LIBRARY"))</f>
        <v>STORAGE OF AIR OR GROUND ORGANIC UNITS FOR MARINE CORPS</v>
      </c>
      <c r="F195" s="229"/>
      <c r="G195" s="230" t="s">
        <v>1069</v>
      </c>
      <c r="H195" s="221" t="str">
        <f aca="false">LEFT(I195,5)</f>
        <v>C8644</v>
      </c>
      <c r="I195" s="230" t="s">
        <v>1469</v>
      </c>
      <c r="J195" s="221" t="s">
        <v>1470</v>
      </c>
      <c r="K195" s="230" t="s">
        <v>1072</v>
      </c>
      <c r="L195" s="237"/>
      <c r="M195" s="230" t="s">
        <v>133</v>
      </c>
      <c r="N195" s="231" t="n">
        <v>0</v>
      </c>
      <c r="O195" s="231" t="n">
        <v>18</v>
      </c>
      <c r="P195" s="231" t="n">
        <v>18</v>
      </c>
      <c r="Q195" s="232" t="n">
        <v>1.75</v>
      </c>
      <c r="R195" s="232" t="n">
        <v>2.75</v>
      </c>
      <c r="S195" s="224" t="n">
        <v>1</v>
      </c>
      <c r="T195" s="225" t="n">
        <f aca="false">Q195*R195*S195</f>
        <v>4.8125</v>
      </c>
      <c r="U195" s="226" t="n">
        <f aca="false">T195*P195</f>
        <v>86.625</v>
      </c>
      <c r="V195" s="233"/>
    </row>
    <row r="196" customFormat="false" ht="13.5" hidden="false" customHeight="true" outlineLevel="0" collapsed="false">
      <c r="B196" s="228" t="n">
        <v>494</v>
      </c>
      <c r="C196" s="236" t="s">
        <v>1068</v>
      </c>
      <c r="D196" s="219" t="n">
        <v>14345</v>
      </c>
      <c r="E196" s="220" t="str">
        <f aca="false">IF(D196="","",IFERROR(VLOOKUP(D196,CCN_Library!$A$4:$B$13,2,FALSE()),"NOT IN LIBRARY"))</f>
        <v>ARMORY</v>
      </c>
      <c r="F196" s="229"/>
      <c r="G196" s="230" t="s">
        <v>1069</v>
      </c>
      <c r="H196" s="221" t="str">
        <f aca="false">LEFT(I196,5)</f>
        <v>C0120</v>
      </c>
      <c r="I196" s="230" t="s">
        <v>1471</v>
      </c>
      <c r="J196" s="221" t="s">
        <v>1472</v>
      </c>
      <c r="K196" s="230" t="s">
        <v>1072</v>
      </c>
      <c r="L196" s="230" t="s">
        <v>1073</v>
      </c>
      <c r="M196" s="230" t="s">
        <v>133</v>
      </c>
      <c r="N196" s="231" t="n">
        <v>305</v>
      </c>
      <c r="O196" s="231" t="n">
        <v>0</v>
      </c>
      <c r="P196" s="231" t="n">
        <v>305</v>
      </c>
      <c r="Q196" s="235" t="n">
        <v>1</v>
      </c>
      <c r="R196" s="235" t="n">
        <v>1</v>
      </c>
      <c r="S196" s="224" t="n">
        <v>1</v>
      </c>
      <c r="T196" s="225" t="n">
        <f aca="false">Q196*R196*S196</f>
        <v>1</v>
      </c>
      <c r="U196" s="226" t="n">
        <f aca="false">T196*P196</f>
        <v>305</v>
      </c>
      <c r="V196" s="233"/>
    </row>
    <row r="197" customFormat="false" ht="13.5" hidden="false" customHeight="true" outlineLevel="0" collapsed="false">
      <c r="B197" s="228" t="n">
        <v>499</v>
      </c>
      <c r="C197" s="236" t="s">
        <v>1074</v>
      </c>
      <c r="D197" s="219" t="n">
        <v>44112</v>
      </c>
      <c r="E197" s="220" t="str">
        <f aca="false">IF(D197="","",IFERROR(VLOOKUP(D197,CCN_Library!$A$4:$B$13,2,FALSE()),"NOT IN LIBRARY"))</f>
        <v>STORAGE OF AIR OR GROUND ORGANIC UNITS FOR MARINE CORPS</v>
      </c>
      <c r="F197" s="229"/>
      <c r="G197" s="230" t="s">
        <v>1069</v>
      </c>
      <c r="H197" s="221" t="str">
        <f aca="false">LEFT(I197,5)</f>
        <v>C5652</v>
      </c>
      <c r="I197" s="230" t="s">
        <v>1473</v>
      </c>
      <c r="J197" s="221" t="s">
        <v>1474</v>
      </c>
      <c r="K197" s="230" t="s">
        <v>1072</v>
      </c>
      <c r="L197" s="230" t="s">
        <v>1073</v>
      </c>
      <c r="M197" s="230" t="s">
        <v>133</v>
      </c>
      <c r="N197" s="231" t="n">
        <v>305</v>
      </c>
      <c r="O197" s="231" t="n">
        <v>0</v>
      </c>
      <c r="P197" s="231" t="n">
        <v>305</v>
      </c>
      <c r="Q197" s="235" t="n">
        <v>1</v>
      </c>
      <c r="R197" s="232" t="n">
        <v>0.67</v>
      </c>
      <c r="S197" s="224" t="n">
        <v>0.25</v>
      </c>
      <c r="T197" s="225" t="n">
        <f aca="false">Q197*R197*S197</f>
        <v>0.1675</v>
      </c>
      <c r="U197" s="226" t="n">
        <f aca="false">T197*P197</f>
        <v>51.0875</v>
      </c>
      <c r="V197" s="233"/>
    </row>
    <row r="198" customFormat="false" ht="13.5" hidden="false" customHeight="true" outlineLevel="0" collapsed="false">
      <c r="B198" s="228" t="n">
        <v>501</v>
      </c>
      <c r="C198" s="236" t="s">
        <v>1074</v>
      </c>
      <c r="D198" s="219" t="n">
        <v>44112</v>
      </c>
      <c r="E198" s="220" t="str">
        <f aca="false">IF(D198="","",IFERROR(VLOOKUP(D198,CCN_Library!$A$4:$B$13,2,FALSE()),"NOT IN LIBRARY"))</f>
        <v>STORAGE OF AIR OR GROUND ORGANIC UNITS FOR MARINE CORPS</v>
      </c>
      <c r="F198" s="229"/>
      <c r="G198" s="230" t="s">
        <v>1069</v>
      </c>
      <c r="H198" s="221" t="str">
        <f aca="false">LEFT(I198,5)</f>
        <v>C0218</v>
      </c>
      <c r="I198" s="230" t="s">
        <v>1475</v>
      </c>
      <c r="J198" s="221" t="s">
        <v>1476</v>
      </c>
      <c r="K198" s="230" t="s">
        <v>1072</v>
      </c>
      <c r="L198" s="230" t="s">
        <v>1477</v>
      </c>
      <c r="M198" s="230" t="s">
        <v>133</v>
      </c>
      <c r="N198" s="231" t="n">
        <v>6</v>
      </c>
      <c r="O198" s="231" t="n">
        <v>0</v>
      </c>
      <c r="P198" s="231" t="n">
        <v>6</v>
      </c>
      <c r="Q198" s="237"/>
      <c r="R198" s="237"/>
      <c r="S198" s="224" t="n">
        <v>0</v>
      </c>
      <c r="T198" s="225" t="n">
        <f aca="false">Q198*R198*S198</f>
        <v>0</v>
      </c>
      <c r="U198" s="226" t="n">
        <f aca="false">T198*P198</f>
        <v>0</v>
      </c>
      <c r="V198" s="233"/>
    </row>
    <row r="199" customFormat="false" ht="13.5" hidden="false" customHeight="true" outlineLevel="0" collapsed="false">
      <c r="B199" s="228" t="n">
        <v>1</v>
      </c>
      <c r="C199" s="236" t="s">
        <v>1077</v>
      </c>
      <c r="D199" s="219" t="n">
        <v>21710</v>
      </c>
      <c r="E199" s="220" t="str">
        <f aca="false">IF(D199="","",IFERROR(VLOOKUP(D199,CCN_Library!$A$4:$B$13,2,FALSE()),"NOT IN LIBRARY"))</f>
        <v>ELECTRONICS/COMMUNICATIONS MAINTENANCE SHOP</v>
      </c>
      <c r="F199" s="229"/>
      <c r="G199" s="230" t="s">
        <v>1478</v>
      </c>
      <c r="H199" s="221" t="str">
        <f aca="false">LEFT(I199,5)</f>
        <v>A0208</v>
      </c>
      <c r="I199" s="230" t="s">
        <v>1230</v>
      </c>
      <c r="J199" s="221" t="s">
        <v>1231</v>
      </c>
      <c r="K199" s="230" t="s">
        <v>1142</v>
      </c>
      <c r="L199" s="230" t="s">
        <v>1073</v>
      </c>
      <c r="M199" s="230" t="s">
        <v>133</v>
      </c>
      <c r="N199" s="231" t="n">
        <v>0</v>
      </c>
      <c r="O199" s="231" t="n">
        <v>8</v>
      </c>
      <c r="P199" s="231" t="n">
        <v>8</v>
      </c>
      <c r="Q199" s="237"/>
      <c r="R199" s="237"/>
      <c r="S199" s="224" t="n">
        <v>0</v>
      </c>
      <c r="T199" s="225" t="n">
        <f aca="false">Q199*R199*S199</f>
        <v>0</v>
      </c>
      <c r="U199" s="226" t="n">
        <f aca="false">T199*P199</f>
        <v>0</v>
      </c>
      <c r="V199" s="233"/>
    </row>
    <row r="200" customFormat="false" ht="13.5" hidden="false" customHeight="true" outlineLevel="0" collapsed="false">
      <c r="B200" s="228" t="n">
        <v>6</v>
      </c>
      <c r="C200" s="236" t="s">
        <v>1074</v>
      </c>
      <c r="D200" s="219" t="n">
        <v>44112</v>
      </c>
      <c r="E200" s="220" t="str">
        <f aca="false">IF(D200="","",IFERROR(VLOOKUP(D200,CCN_Library!$A$4:$B$13,2,FALSE()),"NOT IN LIBRARY"))</f>
        <v>STORAGE OF AIR OR GROUND ORGANIC UNITS FOR MARINE CORPS</v>
      </c>
      <c r="F200" s="229"/>
      <c r="G200" s="230" t="s">
        <v>1478</v>
      </c>
      <c r="H200" s="221" t="str">
        <f aca="false">LEFT(I200,5)</f>
        <v>C8630</v>
      </c>
      <c r="I200" s="230" t="s">
        <v>1397</v>
      </c>
      <c r="J200" s="221" t="s">
        <v>1398</v>
      </c>
      <c r="K200" s="230" t="s">
        <v>1072</v>
      </c>
      <c r="L200" s="237"/>
      <c r="M200" s="230" t="s">
        <v>133</v>
      </c>
      <c r="N200" s="231" t="n">
        <v>0</v>
      </c>
      <c r="O200" s="231" t="n">
        <v>3</v>
      </c>
      <c r="P200" s="231" t="n">
        <v>3</v>
      </c>
      <c r="Q200" s="232" t="n">
        <v>6.5</v>
      </c>
      <c r="R200" s="232" t="n">
        <v>6.5</v>
      </c>
      <c r="S200" s="224" t="n">
        <v>6.25</v>
      </c>
      <c r="T200" s="225" t="n">
        <f aca="false">Q200*R200*S200</f>
        <v>264.0625</v>
      </c>
      <c r="U200" s="226" t="n">
        <f aca="false">T200*P200</f>
        <v>792.1875</v>
      </c>
      <c r="V200" s="233"/>
    </row>
    <row r="201" customFormat="false" ht="13.5" hidden="false" customHeight="true" outlineLevel="0" collapsed="false">
      <c r="B201" s="228" t="n">
        <v>8</v>
      </c>
      <c r="C201" s="236" t="s">
        <v>1074</v>
      </c>
      <c r="D201" s="219" t="n">
        <v>44112</v>
      </c>
      <c r="E201" s="220" t="str">
        <f aca="false">IF(D201="","",IFERROR(VLOOKUP(D201,CCN_Library!$A$4:$B$13,2,FALSE()),"NOT IN LIBRARY"))</f>
        <v>STORAGE OF AIR OR GROUND ORGANIC UNITS FOR MARINE CORPS</v>
      </c>
      <c r="F201" s="229"/>
      <c r="G201" s="230" t="s">
        <v>1478</v>
      </c>
      <c r="H201" s="221" t="str">
        <f aca="false">LEFT(I201,5)</f>
        <v>C0260</v>
      </c>
      <c r="I201" s="230" t="s">
        <v>1295</v>
      </c>
      <c r="J201" s="221" t="s">
        <v>1296</v>
      </c>
      <c r="K201" s="230" t="s">
        <v>1072</v>
      </c>
      <c r="L201" s="230" t="s">
        <v>1073</v>
      </c>
      <c r="M201" s="230" t="s">
        <v>133</v>
      </c>
      <c r="N201" s="231" t="n">
        <v>180</v>
      </c>
      <c r="O201" s="231" t="n">
        <v>0</v>
      </c>
      <c r="P201" s="231" t="n">
        <v>180</v>
      </c>
      <c r="Q201" s="232" t="n">
        <v>1.25</v>
      </c>
      <c r="R201" s="232" t="n">
        <v>0.83</v>
      </c>
      <c r="S201" s="224" t="n">
        <v>0.08</v>
      </c>
      <c r="T201" s="225" t="n">
        <f aca="false">Q201*R201*S201</f>
        <v>0.083</v>
      </c>
      <c r="U201" s="226" t="n">
        <f aca="false">T201*P201</f>
        <v>14.94</v>
      </c>
      <c r="V201" s="233"/>
    </row>
    <row r="202" customFormat="false" ht="13.5" hidden="false" customHeight="true" outlineLevel="0" collapsed="false">
      <c r="B202" s="228" t="n">
        <v>15</v>
      </c>
      <c r="C202" s="236" t="s">
        <v>1074</v>
      </c>
      <c r="D202" s="219" t="n">
        <v>44112</v>
      </c>
      <c r="E202" s="220" t="str">
        <f aca="false">IF(D202="","",IFERROR(VLOOKUP(D202,CCN_Library!$A$4:$B$13,2,FALSE()),"NOT IN LIBRARY"))</f>
        <v>STORAGE OF AIR OR GROUND ORGANIC UNITS FOR MARINE CORPS</v>
      </c>
      <c r="F202" s="229"/>
      <c r="G202" s="230" t="s">
        <v>1478</v>
      </c>
      <c r="H202" s="221" t="str">
        <f aca="false">LEFT(I202,5)</f>
        <v>C8700</v>
      </c>
      <c r="I202" s="230" t="s">
        <v>1356</v>
      </c>
      <c r="J202" s="221" t="s">
        <v>1357</v>
      </c>
      <c r="K202" s="230" t="s">
        <v>1072</v>
      </c>
      <c r="L202" s="237"/>
      <c r="M202" s="230" t="s">
        <v>133</v>
      </c>
      <c r="N202" s="231" t="n">
        <v>0</v>
      </c>
      <c r="O202" s="231" t="n">
        <v>12</v>
      </c>
      <c r="P202" s="231" t="n">
        <v>12</v>
      </c>
      <c r="Q202" s="235" t="n">
        <v>4</v>
      </c>
      <c r="R202" s="232" t="n">
        <v>4.58</v>
      </c>
      <c r="S202" s="224" t="n">
        <v>4.91</v>
      </c>
      <c r="T202" s="225" t="n">
        <f aca="false">Q202*R202*S202</f>
        <v>89.9512</v>
      </c>
      <c r="U202" s="226" t="n">
        <f aca="false">T202*P202</f>
        <v>1079.4144</v>
      </c>
      <c r="V202" s="233"/>
    </row>
    <row r="203" customFormat="false" ht="13.5" hidden="false" customHeight="true" outlineLevel="0" collapsed="false">
      <c r="B203" s="228" t="n">
        <v>25</v>
      </c>
      <c r="C203" s="236" t="s">
        <v>1077</v>
      </c>
      <c r="D203" s="219" t="n">
        <v>21710</v>
      </c>
      <c r="E203" s="220" t="str">
        <f aca="false">IF(D203="","",IFERROR(VLOOKUP(D203,CCN_Library!$A$4:$B$13,2,FALSE()),"NOT IN LIBRARY"))</f>
        <v>ELECTRONICS/COMMUNICATIONS MAINTENANCE SHOP</v>
      </c>
      <c r="F203" s="229"/>
      <c r="G203" s="230" t="s">
        <v>1478</v>
      </c>
      <c r="H203" s="221" t="str">
        <f aca="false">LEFT(I203,5)</f>
        <v>K0002</v>
      </c>
      <c r="I203" s="230" t="s">
        <v>1360</v>
      </c>
      <c r="J203" s="221" t="s">
        <v>1361</v>
      </c>
      <c r="K203" s="230" t="s">
        <v>1072</v>
      </c>
      <c r="L203" s="230" t="s">
        <v>1073</v>
      </c>
      <c r="M203" s="230" t="s">
        <v>133</v>
      </c>
      <c r="N203" s="231" t="n">
        <v>0</v>
      </c>
      <c r="O203" s="231" t="n">
        <v>1</v>
      </c>
      <c r="P203" s="231" t="n">
        <v>1</v>
      </c>
      <c r="Q203" s="232" t="n">
        <v>0.29</v>
      </c>
      <c r="R203" s="232" t="n">
        <v>1.08</v>
      </c>
      <c r="S203" s="224" t="n">
        <v>1.33</v>
      </c>
      <c r="T203" s="225" t="n">
        <f aca="false">Q203*R203*S203</f>
        <v>0.416556</v>
      </c>
      <c r="U203" s="226" t="n">
        <f aca="false">T203*P203</f>
        <v>0.416556</v>
      </c>
      <c r="V203" s="233"/>
    </row>
    <row r="204" customFormat="false" ht="13.5" hidden="false" customHeight="true" outlineLevel="0" collapsed="false">
      <c r="B204" s="228" t="n">
        <v>35</v>
      </c>
      <c r="C204" s="236" t="s">
        <v>1113</v>
      </c>
      <c r="D204" s="219" t="n">
        <v>21451</v>
      </c>
      <c r="E204" s="220" t="str">
        <f aca="false">IF(D204="","",IFERROR(VLOOKUP(D204,CCN_Library!$A$4:$B$13,2,FALSE()),"NOT IN LIBRARY"))</f>
        <v>AUTOMOTIVE ORGANIZATIONAL SHOP</v>
      </c>
      <c r="F204" s="229"/>
      <c r="G204" s="230" t="s">
        <v>1478</v>
      </c>
      <c r="H204" s="221" t="str">
        <f aca="false">LEFT(I204,5)</f>
        <v>D0058</v>
      </c>
      <c r="I204" s="230" t="s">
        <v>1446</v>
      </c>
      <c r="J204" s="221" t="s">
        <v>1447</v>
      </c>
      <c r="K204" s="230" t="s">
        <v>1072</v>
      </c>
      <c r="L204" s="230" t="s">
        <v>1073</v>
      </c>
      <c r="M204" s="230" t="s">
        <v>133</v>
      </c>
      <c r="N204" s="231" t="n">
        <v>0</v>
      </c>
      <c r="O204" s="231" t="n">
        <v>1</v>
      </c>
      <c r="P204" s="231" t="n">
        <v>1</v>
      </c>
      <c r="Q204" s="237"/>
      <c r="R204" s="237"/>
      <c r="S204" s="224" t="n">
        <v>0</v>
      </c>
      <c r="T204" s="225" t="n">
        <f aca="false">Q204*R204*S204</f>
        <v>0</v>
      </c>
      <c r="U204" s="226" t="n">
        <f aca="false">T204*P204</f>
        <v>0</v>
      </c>
      <c r="V204" s="233"/>
    </row>
    <row r="205" customFormat="false" ht="13.5" hidden="false" customHeight="true" outlineLevel="0" collapsed="false">
      <c r="B205" s="228" t="n">
        <v>36</v>
      </c>
      <c r="C205" s="236" t="s">
        <v>1068</v>
      </c>
      <c r="D205" s="219" t="n">
        <v>14345</v>
      </c>
      <c r="E205" s="220" t="str">
        <f aca="false">IF(D205="","",IFERROR(VLOOKUP(D205,CCN_Library!$A$4:$B$13,2,FALSE()),"NOT IN LIBRARY"))</f>
        <v>ARMORY</v>
      </c>
      <c r="F205" s="229"/>
      <c r="G205" s="230" t="s">
        <v>1478</v>
      </c>
      <c r="H205" s="221" t="str">
        <f aca="false">LEFT(I205,5)</f>
        <v>E0114</v>
      </c>
      <c r="I205" s="230" t="s">
        <v>1371</v>
      </c>
      <c r="J205" s="221" t="s">
        <v>1372</v>
      </c>
      <c r="K205" s="230" t="s">
        <v>1072</v>
      </c>
      <c r="L205" s="230" t="s">
        <v>1073</v>
      </c>
      <c r="M205" s="230" t="s">
        <v>133</v>
      </c>
      <c r="N205" s="231" t="n">
        <v>0</v>
      </c>
      <c r="O205" s="231" t="n">
        <v>0</v>
      </c>
      <c r="P205" s="231" t="n">
        <v>0</v>
      </c>
      <c r="Q205" s="232" t="n">
        <v>0.9</v>
      </c>
      <c r="R205" s="232" t="n">
        <v>0.24</v>
      </c>
      <c r="S205" s="224" t="n">
        <v>0.23</v>
      </c>
      <c r="T205" s="225" t="n">
        <f aca="false">Q205*R205*S205</f>
        <v>0.04968</v>
      </c>
      <c r="U205" s="226" t="n">
        <f aca="false">T205*P205</f>
        <v>0</v>
      </c>
      <c r="V205" s="233"/>
    </row>
    <row r="206" customFormat="false" ht="13.5" hidden="false" customHeight="true" outlineLevel="0" collapsed="false">
      <c r="B206" s="228" t="n">
        <v>40</v>
      </c>
      <c r="C206" s="236" t="s">
        <v>1074</v>
      </c>
      <c r="D206" s="219" t="n">
        <v>44112</v>
      </c>
      <c r="E206" s="220" t="str">
        <f aca="false">IF(D206="","",IFERROR(VLOOKUP(D206,CCN_Library!$A$4:$B$13,2,FALSE()),"NOT IN LIBRARY"))</f>
        <v>STORAGE OF AIR OR GROUND ORGANIC UNITS FOR MARINE CORPS</v>
      </c>
      <c r="F206" s="229"/>
      <c r="G206" s="230" t="s">
        <v>1478</v>
      </c>
      <c r="H206" s="221" t="str">
        <f aca="false">LEFT(I206,5)</f>
        <v>B0008</v>
      </c>
      <c r="I206" s="230" t="s">
        <v>1157</v>
      </c>
      <c r="J206" s="221" t="s">
        <v>1158</v>
      </c>
      <c r="K206" s="230" t="s">
        <v>1072</v>
      </c>
      <c r="L206" s="230" t="s">
        <v>1073</v>
      </c>
      <c r="M206" s="230" t="s">
        <v>1116</v>
      </c>
      <c r="N206" s="231" t="n">
        <v>0</v>
      </c>
      <c r="O206" s="231" t="n">
        <v>5</v>
      </c>
      <c r="P206" s="231" t="n">
        <v>5</v>
      </c>
      <c r="Q206" s="232" t="n">
        <v>3.97</v>
      </c>
      <c r="R206" s="232" t="n">
        <v>3.08</v>
      </c>
      <c r="S206" s="224" t="n">
        <v>3.95</v>
      </c>
      <c r="T206" s="225" t="n">
        <f aca="false">Q206*R206*S206</f>
        <v>48.29902</v>
      </c>
      <c r="U206" s="226" t="n">
        <f aca="false">T206*P206</f>
        <v>241.4951</v>
      </c>
      <c r="V206" s="233"/>
    </row>
    <row r="207" customFormat="false" ht="13.5" hidden="false" customHeight="true" outlineLevel="0" collapsed="false">
      <c r="B207" s="228" t="n">
        <v>45</v>
      </c>
      <c r="C207" s="236" t="s">
        <v>1077</v>
      </c>
      <c r="D207" s="219" t="n">
        <v>21710</v>
      </c>
      <c r="E207" s="220" t="str">
        <f aca="false">IF(D207="","",IFERROR(VLOOKUP(D207,CCN_Library!$A$4:$B$13,2,FALSE()),"NOT IN LIBRARY"))</f>
        <v>ELECTRONICS/COMMUNICATIONS MAINTENANCE SHOP</v>
      </c>
      <c r="F207" s="229"/>
      <c r="G207" s="230" t="s">
        <v>1478</v>
      </c>
      <c r="H207" s="221" t="str">
        <f aca="false">LEFT(I207,5)</f>
        <v>H7017</v>
      </c>
      <c r="I207" s="230" t="s">
        <v>1479</v>
      </c>
      <c r="J207" s="221" t="s">
        <v>1480</v>
      </c>
      <c r="K207" s="230" t="s">
        <v>1072</v>
      </c>
      <c r="L207" s="230" t="s">
        <v>1073</v>
      </c>
      <c r="M207" s="237"/>
      <c r="N207" s="231" t="n">
        <v>0</v>
      </c>
      <c r="O207" s="231" t="n">
        <v>2</v>
      </c>
      <c r="P207" s="231" t="n">
        <v>2</v>
      </c>
      <c r="Q207" s="232" t="n">
        <v>0.67</v>
      </c>
      <c r="R207" s="232" t="n">
        <v>0.33</v>
      </c>
      <c r="S207" s="224" t="n">
        <v>0.17</v>
      </c>
      <c r="T207" s="225" t="n">
        <f aca="false">Q207*R207*S207</f>
        <v>0.037587</v>
      </c>
      <c r="U207" s="226" t="n">
        <f aca="false">T207*P207</f>
        <v>0.075174</v>
      </c>
      <c r="V207" s="233"/>
    </row>
    <row r="208" customFormat="false" ht="13.5" hidden="false" customHeight="true" outlineLevel="0" collapsed="false">
      <c r="B208" s="228" t="n">
        <v>50</v>
      </c>
      <c r="C208" s="236" t="s">
        <v>1074</v>
      </c>
      <c r="D208" s="219" t="n">
        <v>44112</v>
      </c>
      <c r="E208" s="220" t="str">
        <f aca="false">IF(D208="","",IFERROR(VLOOKUP(D208,CCN_Library!$A$4:$B$13,2,FALSE()),"NOT IN LIBRARY"))</f>
        <v>STORAGE OF AIR OR GROUND ORGANIC UNITS FOR MARINE CORPS</v>
      </c>
      <c r="F208" s="229"/>
      <c r="G208" s="230" t="s">
        <v>1478</v>
      </c>
      <c r="H208" s="221" t="str">
        <f aca="false">LEFT(I208,5)</f>
        <v>C3421</v>
      </c>
      <c r="I208" s="230" t="s">
        <v>1377</v>
      </c>
      <c r="J208" s="221" t="s">
        <v>1378</v>
      </c>
      <c r="K208" s="230" t="s">
        <v>1072</v>
      </c>
      <c r="L208" s="230" t="s">
        <v>1073</v>
      </c>
      <c r="M208" s="230" t="s">
        <v>133</v>
      </c>
      <c r="N208" s="231" t="n">
        <v>180</v>
      </c>
      <c r="O208" s="231" t="n">
        <v>0</v>
      </c>
      <c r="P208" s="231" t="n">
        <v>180</v>
      </c>
      <c r="Q208" s="232" t="n">
        <v>2.5</v>
      </c>
      <c r="R208" s="232" t="n">
        <v>1.17</v>
      </c>
      <c r="S208" s="224" t="n">
        <v>0.67</v>
      </c>
      <c r="T208" s="225" t="n">
        <f aca="false">Q208*R208*S208</f>
        <v>1.95975</v>
      </c>
      <c r="U208" s="226" t="n">
        <f aca="false">T208*P208</f>
        <v>352.755</v>
      </c>
      <c r="V208" s="233"/>
    </row>
    <row r="209" customFormat="false" ht="13.5" hidden="false" customHeight="true" outlineLevel="0" collapsed="false">
      <c r="B209" s="228" t="n">
        <v>51</v>
      </c>
      <c r="C209" s="236" t="s">
        <v>1068</v>
      </c>
      <c r="D209" s="219" t="n">
        <v>14345</v>
      </c>
      <c r="E209" s="220" t="str">
        <f aca="false">IF(D209="","",IFERROR(VLOOKUP(D209,CCN_Library!$A$4:$B$13,2,FALSE()),"NOT IN LIBRARY"))</f>
        <v>ARMORY</v>
      </c>
      <c r="F209" s="229"/>
      <c r="G209" s="230" t="s">
        <v>1478</v>
      </c>
      <c r="H209" s="221" t="str">
        <f aca="false">LEFT(I209,5)</f>
        <v>E0212</v>
      </c>
      <c r="I209" s="230" t="s">
        <v>1218</v>
      </c>
      <c r="J209" s="221" t="s">
        <v>1219</v>
      </c>
      <c r="K209" s="230" t="s">
        <v>1142</v>
      </c>
      <c r="L209" s="237"/>
      <c r="M209" s="230" t="s">
        <v>133</v>
      </c>
      <c r="N209" s="231" t="n">
        <v>0</v>
      </c>
      <c r="O209" s="231" t="n">
        <v>0</v>
      </c>
      <c r="P209" s="231" t="n">
        <v>0</v>
      </c>
      <c r="Q209" s="237"/>
      <c r="R209" s="237"/>
      <c r="S209" s="224" t="n">
        <v>0</v>
      </c>
      <c r="T209" s="225" t="n">
        <f aca="false">Q209*R209*S209</f>
        <v>0</v>
      </c>
      <c r="U209" s="226" t="n">
        <f aca="false">T209*P209</f>
        <v>0</v>
      </c>
      <c r="V209" s="233"/>
    </row>
    <row r="210" customFormat="false" ht="13.5" hidden="false" customHeight="true" outlineLevel="0" collapsed="false">
      <c r="B210" s="228" t="n">
        <v>60</v>
      </c>
      <c r="C210" s="236" t="s">
        <v>1077</v>
      </c>
      <c r="D210" s="219" t="n">
        <v>21710</v>
      </c>
      <c r="E210" s="220" t="str">
        <f aca="false">IF(D210="","",IFERROR(VLOOKUP(D210,CCN_Library!$A$4:$B$13,2,FALSE()),"NOT IN LIBRARY"))</f>
        <v>ELECTRONICS/COMMUNICATIONS MAINTENANCE SHOP</v>
      </c>
      <c r="F210" s="229"/>
      <c r="G210" s="230" t="s">
        <v>1478</v>
      </c>
      <c r="H210" s="221" t="str">
        <f aca="false">LEFT(I210,5)</f>
        <v>K0038</v>
      </c>
      <c r="I210" s="230" t="s">
        <v>1286</v>
      </c>
      <c r="J210" s="221" t="s">
        <v>1287</v>
      </c>
      <c r="K210" s="230" t="s">
        <v>1072</v>
      </c>
      <c r="L210" s="230" t="s">
        <v>1073</v>
      </c>
      <c r="M210" s="230" t="s">
        <v>133</v>
      </c>
      <c r="N210" s="231" t="n">
        <v>0</v>
      </c>
      <c r="O210" s="231" t="n">
        <v>1</v>
      </c>
      <c r="P210" s="231" t="n">
        <v>1</v>
      </c>
      <c r="Q210" s="232" t="n">
        <v>1.18</v>
      </c>
      <c r="R210" s="232" t="n">
        <v>0.96</v>
      </c>
      <c r="S210" s="224" t="n">
        <v>0.54</v>
      </c>
      <c r="T210" s="225" t="n">
        <f aca="false">Q210*R210*S210</f>
        <v>0.611712</v>
      </c>
      <c r="U210" s="226" t="n">
        <f aca="false">T210*P210</f>
        <v>0.611712</v>
      </c>
      <c r="V210" s="233"/>
    </row>
    <row r="211" customFormat="false" ht="13.5" hidden="false" customHeight="true" outlineLevel="0" collapsed="false">
      <c r="B211" s="228" t="n">
        <v>61</v>
      </c>
      <c r="C211" s="236" t="s">
        <v>1068</v>
      </c>
      <c r="D211" s="219" t="n">
        <v>14345</v>
      </c>
      <c r="E211" s="220" t="str">
        <f aca="false">IF(D211="","",IFERROR(VLOOKUP(D211,CCN_Library!$A$4:$B$13,2,FALSE()),"NOT IN LIBRARY"))</f>
        <v>ARMORY</v>
      </c>
      <c r="F211" s="229"/>
      <c r="G211" s="230" t="s">
        <v>1478</v>
      </c>
      <c r="H211" s="221" t="str">
        <f aca="false">LEFT(I211,5)</f>
        <v>C0120</v>
      </c>
      <c r="I211" s="230" t="s">
        <v>1471</v>
      </c>
      <c r="J211" s="221" t="s">
        <v>1472</v>
      </c>
      <c r="K211" s="230" t="s">
        <v>1072</v>
      </c>
      <c r="L211" s="230" t="s">
        <v>1073</v>
      </c>
      <c r="M211" s="230" t="s">
        <v>133</v>
      </c>
      <c r="N211" s="231" t="n">
        <v>180</v>
      </c>
      <c r="O211" s="231" t="n">
        <v>0</v>
      </c>
      <c r="P211" s="231" t="n">
        <v>180</v>
      </c>
      <c r="Q211" s="235" t="n">
        <v>1</v>
      </c>
      <c r="R211" s="235" t="n">
        <v>1</v>
      </c>
      <c r="S211" s="224" t="n">
        <v>1</v>
      </c>
      <c r="T211" s="225" t="n">
        <f aca="false">Q211*R211*S211</f>
        <v>1</v>
      </c>
      <c r="U211" s="226" t="n">
        <f aca="false">T211*P211</f>
        <v>180</v>
      </c>
      <c r="V211" s="233"/>
    </row>
    <row r="212" customFormat="false" ht="13.5" hidden="false" customHeight="true" outlineLevel="0" collapsed="false">
      <c r="B212" s="228" t="n">
        <v>62</v>
      </c>
      <c r="C212" s="236" t="s">
        <v>1074</v>
      </c>
      <c r="D212" s="219" t="n">
        <v>44112</v>
      </c>
      <c r="E212" s="220" t="str">
        <f aca="false">IF(D212="","",IFERROR(VLOOKUP(D212,CCN_Library!$A$4:$B$13,2,FALSE()),"NOT IN LIBRARY"))</f>
        <v>STORAGE OF AIR OR GROUND ORGANIC UNITS FOR MARINE CORPS</v>
      </c>
      <c r="F212" s="229"/>
      <c r="G212" s="230" t="s">
        <v>1478</v>
      </c>
      <c r="H212" s="221" t="str">
        <f aca="false">LEFT(I212,5)</f>
        <v>C2130</v>
      </c>
      <c r="I212" s="230" t="s">
        <v>1414</v>
      </c>
      <c r="J212" s="221" t="s">
        <v>1415</v>
      </c>
      <c r="K212" s="230" t="s">
        <v>1072</v>
      </c>
      <c r="L212" s="230" t="s">
        <v>1099</v>
      </c>
      <c r="M212" s="230" t="s">
        <v>133</v>
      </c>
      <c r="N212" s="231" t="n">
        <v>360</v>
      </c>
      <c r="O212" s="231" t="n">
        <v>0</v>
      </c>
      <c r="P212" s="231" t="n">
        <v>360</v>
      </c>
      <c r="Q212" s="232" t="n">
        <v>1.15</v>
      </c>
      <c r="R212" s="232" t="n">
        <v>0.46</v>
      </c>
      <c r="S212" s="224" t="n">
        <v>0.17</v>
      </c>
      <c r="T212" s="225" t="n">
        <f aca="false">Q212*R212*S212</f>
        <v>0.08993</v>
      </c>
      <c r="U212" s="226" t="n">
        <f aca="false">T212*P212</f>
        <v>32.3748</v>
      </c>
      <c r="V212" s="233"/>
    </row>
    <row r="213" customFormat="false" ht="13.5" hidden="false" customHeight="true" outlineLevel="0" collapsed="false">
      <c r="B213" s="228" t="n">
        <v>64</v>
      </c>
      <c r="C213" s="236" t="s">
        <v>1074</v>
      </c>
      <c r="D213" s="219" t="n">
        <v>44112</v>
      </c>
      <c r="E213" s="220" t="str">
        <f aca="false">IF(D213="","",IFERROR(VLOOKUP(D213,CCN_Library!$A$4:$B$13,2,FALSE()),"NOT IN LIBRARY"))</f>
        <v>STORAGE OF AIR OR GROUND ORGANIC UNITS FOR MARINE CORPS</v>
      </c>
      <c r="F213" s="229"/>
      <c r="G213" s="230" t="s">
        <v>1478</v>
      </c>
      <c r="H213" s="221" t="str">
        <f aca="false">LEFT(I213,5)</f>
        <v>C8600</v>
      </c>
      <c r="I213" s="230" t="s">
        <v>1344</v>
      </c>
      <c r="J213" s="221" t="s">
        <v>1345</v>
      </c>
      <c r="K213" s="230" t="s">
        <v>1072</v>
      </c>
      <c r="L213" s="237"/>
      <c r="M213" s="230" t="s">
        <v>133</v>
      </c>
      <c r="N213" s="231" t="n">
        <v>0</v>
      </c>
      <c r="O213" s="231" t="n">
        <v>3</v>
      </c>
      <c r="P213" s="231" t="n">
        <v>3</v>
      </c>
      <c r="Q213" s="232" t="n">
        <v>5.58</v>
      </c>
      <c r="R213" s="232" t="n">
        <v>3.5</v>
      </c>
      <c r="S213" s="224" t="n">
        <v>4.83</v>
      </c>
      <c r="T213" s="225" t="n">
        <f aca="false">Q213*R213*S213</f>
        <v>94.3299</v>
      </c>
      <c r="U213" s="226" t="n">
        <f aca="false">T213*P213</f>
        <v>282.9897</v>
      </c>
      <c r="V213" s="233"/>
    </row>
    <row r="214" customFormat="false" ht="13.5" hidden="false" customHeight="true" outlineLevel="0" collapsed="false">
      <c r="B214" s="228" t="n">
        <v>66</v>
      </c>
      <c r="C214" s="236" t="s">
        <v>1068</v>
      </c>
      <c r="D214" s="219" t="n">
        <v>14345</v>
      </c>
      <c r="E214" s="220" t="str">
        <f aca="false">IF(D214="","",IFERROR(VLOOKUP(D214,CCN_Library!$A$4:$B$13,2,FALSE()),"NOT IN LIBRARY"))</f>
        <v>ARMORY</v>
      </c>
      <c r="F214" s="229"/>
      <c r="G214" s="230" t="s">
        <v>1478</v>
      </c>
      <c r="H214" s="221" t="str">
        <f aca="false">LEFT(I214,5)</f>
        <v>C0010</v>
      </c>
      <c r="I214" s="230" t="s">
        <v>1389</v>
      </c>
      <c r="J214" s="221" t="s">
        <v>1390</v>
      </c>
      <c r="K214" s="230" t="s">
        <v>1072</v>
      </c>
      <c r="L214" s="230" t="s">
        <v>1073</v>
      </c>
      <c r="M214" s="230" t="s">
        <v>133</v>
      </c>
      <c r="N214" s="231" t="n">
        <v>180</v>
      </c>
      <c r="O214" s="231" t="n">
        <v>0</v>
      </c>
      <c r="P214" s="231" t="n">
        <v>180</v>
      </c>
      <c r="Q214" s="232" t="n">
        <v>1.17</v>
      </c>
      <c r="R214" s="232" t="n">
        <v>0.29</v>
      </c>
      <c r="S214" s="224" t="n">
        <v>1.75</v>
      </c>
      <c r="T214" s="225" t="n">
        <f aca="false">Q214*R214*S214</f>
        <v>0.593775</v>
      </c>
      <c r="U214" s="226" t="n">
        <f aca="false">T214*P214</f>
        <v>106.8795</v>
      </c>
      <c r="V214" s="233"/>
    </row>
    <row r="215" customFormat="false" ht="13.5" hidden="false" customHeight="true" outlineLevel="0" collapsed="false">
      <c r="B215" s="228" t="n">
        <v>69</v>
      </c>
      <c r="C215" s="236" t="s">
        <v>1068</v>
      </c>
      <c r="D215" s="219" t="n">
        <v>14345</v>
      </c>
      <c r="E215" s="220" t="str">
        <f aca="false">IF(D215="","",IFERROR(VLOOKUP(D215,CCN_Library!$A$4:$B$13,2,FALSE()),"NOT IN LIBRARY"))</f>
        <v>ARMORY</v>
      </c>
      <c r="F215" s="229"/>
      <c r="G215" s="230" t="s">
        <v>1478</v>
      </c>
      <c r="H215" s="221" t="str">
        <f aca="false">LEFT(I215,5)</f>
        <v>C3215</v>
      </c>
      <c r="I215" s="230" t="s">
        <v>1179</v>
      </c>
      <c r="J215" s="221" t="s">
        <v>1180</v>
      </c>
      <c r="K215" s="230" t="s">
        <v>1072</v>
      </c>
      <c r="L215" s="230" t="s">
        <v>1073</v>
      </c>
      <c r="M215" s="230" t="s">
        <v>133</v>
      </c>
      <c r="N215" s="231" t="n">
        <v>162</v>
      </c>
      <c r="O215" s="231" t="n">
        <v>0</v>
      </c>
      <c r="P215" s="231" t="n">
        <v>162</v>
      </c>
      <c r="Q215" s="235" t="n">
        <v>1</v>
      </c>
      <c r="R215" s="235" t="n">
        <v>1</v>
      </c>
      <c r="S215" s="224" t="n">
        <v>1</v>
      </c>
      <c r="T215" s="225" t="n">
        <f aca="false">Q215*R215*S215</f>
        <v>1</v>
      </c>
      <c r="U215" s="226" t="n">
        <f aca="false">T215*P215</f>
        <v>162</v>
      </c>
      <c r="V215" s="233"/>
    </row>
    <row r="216" customFormat="false" ht="13.5" hidden="false" customHeight="true" outlineLevel="0" collapsed="false">
      <c r="B216" s="228" t="n">
        <v>71</v>
      </c>
      <c r="C216" s="236" t="s">
        <v>1077</v>
      </c>
      <c r="D216" s="219" t="n">
        <v>21710</v>
      </c>
      <c r="E216" s="220" t="str">
        <f aca="false">IF(D216="","",IFERROR(VLOOKUP(D216,CCN_Library!$A$4:$B$13,2,FALSE()),"NOT IN LIBRARY"))</f>
        <v>ELECTRONICS/COMMUNICATIONS MAINTENANCE SHOP</v>
      </c>
      <c r="F216" s="229"/>
      <c r="G216" s="230" t="s">
        <v>1478</v>
      </c>
      <c r="H216" s="221" t="str">
        <f aca="false">LEFT(I216,5)</f>
        <v>A8023</v>
      </c>
      <c r="I216" s="230" t="s">
        <v>1393</v>
      </c>
      <c r="J216" s="221" t="s">
        <v>1394</v>
      </c>
      <c r="K216" s="230" t="s">
        <v>1072</v>
      </c>
      <c r="L216" s="230" t="s">
        <v>1073</v>
      </c>
      <c r="M216" s="230" t="s">
        <v>133</v>
      </c>
      <c r="N216" s="231" t="n">
        <v>0</v>
      </c>
      <c r="O216" s="231" t="n">
        <v>1</v>
      </c>
      <c r="P216" s="231" t="n">
        <v>1</v>
      </c>
      <c r="Q216" s="232" t="n">
        <v>0.67</v>
      </c>
      <c r="R216" s="232" t="n">
        <v>0.42</v>
      </c>
      <c r="S216" s="224" t="n">
        <v>0.25</v>
      </c>
      <c r="T216" s="225" t="n">
        <f aca="false">Q216*R216*S216</f>
        <v>0.07035</v>
      </c>
      <c r="U216" s="226" t="n">
        <f aca="false">T216*P216</f>
        <v>0.07035</v>
      </c>
      <c r="V216" s="233"/>
    </row>
    <row r="217" customFormat="false" ht="13.5" hidden="false" customHeight="true" outlineLevel="0" collapsed="false">
      <c r="B217" s="228" t="n">
        <v>72</v>
      </c>
      <c r="C217" s="236" t="s">
        <v>1068</v>
      </c>
      <c r="D217" s="219" t="n">
        <v>14345</v>
      </c>
      <c r="E217" s="220" t="str">
        <f aca="false">IF(D217="","",IFERROR(VLOOKUP(D217,CCN_Library!$A$4:$B$13,2,FALSE()),"NOT IN LIBRARY"))</f>
        <v>ARMORY</v>
      </c>
      <c r="F217" s="229"/>
      <c r="G217" s="230" t="s">
        <v>1478</v>
      </c>
      <c r="H217" s="221" t="str">
        <f aca="false">LEFT(I217,5)</f>
        <v>E0127</v>
      </c>
      <c r="I217" s="230" t="s">
        <v>1422</v>
      </c>
      <c r="J217" s="221" t="s">
        <v>1423</v>
      </c>
      <c r="K217" s="230" t="s">
        <v>1072</v>
      </c>
      <c r="L217" s="230" t="s">
        <v>1073</v>
      </c>
      <c r="M217" s="230" t="s">
        <v>133</v>
      </c>
      <c r="N217" s="231" t="n">
        <v>0</v>
      </c>
      <c r="O217" s="231" t="n">
        <v>0</v>
      </c>
      <c r="P217" s="231" t="n">
        <v>0</v>
      </c>
      <c r="Q217" s="232" t="n">
        <v>0.54</v>
      </c>
      <c r="R217" s="232" t="n">
        <v>0.12</v>
      </c>
      <c r="S217" s="224" t="n">
        <v>0.12</v>
      </c>
      <c r="T217" s="225" t="n">
        <f aca="false">Q217*R217*S217</f>
        <v>0.007776</v>
      </c>
      <c r="U217" s="226" t="n">
        <f aca="false">T217*P217</f>
        <v>0</v>
      </c>
      <c r="V217" s="233"/>
    </row>
    <row r="218" customFormat="false" ht="13.5" hidden="false" customHeight="true" outlineLevel="0" collapsed="false">
      <c r="B218" s="228" t="n">
        <v>75</v>
      </c>
      <c r="C218" s="236" t="s">
        <v>1077</v>
      </c>
      <c r="D218" s="219" t="n">
        <v>21710</v>
      </c>
      <c r="E218" s="220" t="str">
        <f aca="false">IF(D218="","",IFERROR(VLOOKUP(D218,CCN_Library!$A$4:$B$13,2,FALSE()),"NOT IN LIBRARY"))</f>
        <v>ELECTRONICS/COMMUNICATIONS MAINTENANCE SHOP</v>
      </c>
      <c r="F218" s="229"/>
      <c r="G218" s="230" t="s">
        <v>1478</v>
      </c>
      <c r="H218" s="221" t="str">
        <f aca="false">LEFT(I218,5)</f>
        <v>K0001</v>
      </c>
      <c r="I218" s="230" t="s">
        <v>1075</v>
      </c>
      <c r="J218" s="221" t="s">
        <v>1076</v>
      </c>
      <c r="K218" s="230" t="s">
        <v>1072</v>
      </c>
      <c r="L218" s="230" t="s">
        <v>1073</v>
      </c>
      <c r="M218" s="230" t="s">
        <v>133</v>
      </c>
      <c r="N218" s="231" t="n">
        <v>0</v>
      </c>
      <c r="O218" s="231" t="n">
        <v>3</v>
      </c>
      <c r="P218" s="231" t="n">
        <v>3</v>
      </c>
      <c r="Q218" s="232" t="n">
        <v>0.96</v>
      </c>
      <c r="R218" s="232" t="n">
        <v>0.85</v>
      </c>
      <c r="S218" s="224" t="n">
        <v>0.58</v>
      </c>
      <c r="T218" s="225" t="n">
        <f aca="false">Q218*R218*S218</f>
        <v>0.47328</v>
      </c>
      <c r="U218" s="226" t="n">
        <f aca="false">T218*P218</f>
        <v>1.41984</v>
      </c>
      <c r="V218" s="233"/>
    </row>
    <row r="219" customFormat="false" ht="13.5" hidden="false" customHeight="true" outlineLevel="0" collapsed="false">
      <c r="B219" s="228" t="n">
        <v>78</v>
      </c>
      <c r="C219" s="236" t="s">
        <v>1074</v>
      </c>
      <c r="D219" s="219" t="n">
        <v>44112</v>
      </c>
      <c r="E219" s="220" t="str">
        <f aca="false">IF(D219="","",IFERROR(VLOOKUP(D219,CCN_Library!$A$4:$B$13,2,FALSE()),"NOT IN LIBRARY"))</f>
        <v>STORAGE OF AIR OR GROUND ORGANIC UNITS FOR MARINE CORPS</v>
      </c>
      <c r="F219" s="229"/>
      <c r="G219" s="230" t="s">
        <v>1478</v>
      </c>
      <c r="H219" s="221" t="str">
        <f aca="false">LEFT(I219,5)</f>
        <v>C3060</v>
      </c>
      <c r="I219" s="230" t="s">
        <v>1136</v>
      </c>
      <c r="J219" s="221" t="s">
        <v>1137</v>
      </c>
      <c r="K219" s="230" t="s">
        <v>1072</v>
      </c>
      <c r="L219" s="230" t="s">
        <v>1073</v>
      </c>
      <c r="M219" s="230" t="s">
        <v>133</v>
      </c>
      <c r="N219" s="231" t="n">
        <v>360</v>
      </c>
      <c r="O219" s="231" t="n">
        <v>0</v>
      </c>
      <c r="P219" s="231" t="n">
        <v>360</v>
      </c>
      <c r="Q219" s="232" t="n">
        <v>0.08</v>
      </c>
      <c r="R219" s="232" t="n">
        <v>0.25</v>
      </c>
      <c r="S219" s="224" t="n">
        <v>0.42</v>
      </c>
      <c r="T219" s="225" t="n">
        <f aca="false">Q219*R219*S219</f>
        <v>0.0084</v>
      </c>
      <c r="U219" s="226" t="n">
        <f aca="false">T219*P219</f>
        <v>3.024</v>
      </c>
      <c r="V219" s="233"/>
    </row>
    <row r="220" customFormat="false" ht="13.5" hidden="false" customHeight="true" outlineLevel="0" collapsed="false">
      <c r="B220" s="228" t="n">
        <v>81</v>
      </c>
      <c r="C220" s="236" t="s">
        <v>1074</v>
      </c>
      <c r="D220" s="219" t="n">
        <v>44112</v>
      </c>
      <c r="E220" s="220" t="str">
        <f aca="false">IF(D220="","",IFERROR(VLOOKUP(D220,CCN_Library!$A$4:$B$13,2,FALSE()),"NOT IN LIBRARY"))</f>
        <v>STORAGE OF AIR OR GROUND ORGANIC UNITS FOR MARINE CORPS</v>
      </c>
      <c r="F220" s="229"/>
      <c r="G220" s="230" t="s">
        <v>1478</v>
      </c>
      <c r="H220" s="221" t="str">
        <f aca="false">LEFT(I220,5)</f>
        <v>C3140</v>
      </c>
      <c r="I220" s="230" t="s">
        <v>1297</v>
      </c>
      <c r="J220" s="221" t="s">
        <v>1298</v>
      </c>
      <c r="K220" s="230" t="s">
        <v>1072</v>
      </c>
      <c r="L220" s="230" t="s">
        <v>1073</v>
      </c>
      <c r="M220" s="230" t="s">
        <v>133</v>
      </c>
      <c r="N220" s="231" t="n">
        <v>180</v>
      </c>
      <c r="O220" s="231" t="n">
        <v>0</v>
      </c>
      <c r="P220" s="231" t="n">
        <v>180</v>
      </c>
      <c r="Q220" s="232" t="n">
        <v>0.42</v>
      </c>
      <c r="R220" s="232" t="n">
        <v>0.25</v>
      </c>
      <c r="S220" s="224" t="n">
        <v>0.33</v>
      </c>
      <c r="T220" s="225" t="n">
        <f aca="false">Q220*R220*S220</f>
        <v>0.03465</v>
      </c>
      <c r="U220" s="226" t="n">
        <f aca="false">T220*P220</f>
        <v>6.237</v>
      </c>
      <c r="V220" s="233"/>
    </row>
    <row r="221" customFormat="false" ht="13.5" hidden="false" customHeight="true" outlineLevel="0" collapsed="false">
      <c r="B221" s="228" t="n">
        <v>82</v>
      </c>
      <c r="C221" s="236" t="s">
        <v>1074</v>
      </c>
      <c r="D221" s="219" t="n">
        <v>44112</v>
      </c>
      <c r="E221" s="220" t="str">
        <f aca="false">IF(D221="","",IFERROR(VLOOKUP(D221,CCN_Library!$A$4:$B$13,2,FALSE()),"NOT IN LIBRARY"))</f>
        <v>STORAGE OF AIR OR GROUND ORGANIC UNITS FOR MARINE CORPS</v>
      </c>
      <c r="F221" s="229"/>
      <c r="G221" s="230" t="s">
        <v>1478</v>
      </c>
      <c r="H221" s="221" t="str">
        <f aca="false">LEFT(I221,5)</f>
        <v>C3230</v>
      </c>
      <c r="I221" s="230" t="s">
        <v>1299</v>
      </c>
      <c r="J221" s="221" t="s">
        <v>1300</v>
      </c>
      <c r="K221" s="230" t="s">
        <v>1072</v>
      </c>
      <c r="L221" s="230" t="s">
        <v>1073</v>
      </c>
      <c r="M221" s="230" t="s">
        <v>133</v>
      </c>
      <c r="N221" s="231" t="n">
        <v>180</v>
      </c>
      <c r="O221" s="231" t="n">
        <v>0</v>
      </c>
      <c r="P221" s="231" t="n">
        <v>180</v>
      </c>
      <c r="Q221" s="232" t="n">
        <v>0.67</v>
      </c>
      <c r="R221" s="232" t="n">
        <v>0.5</v>
      </c>
      <c r="S221" s="224" t="n">
        <v>0.17</v>
      </c>
      <c r="T221" s="225" t="n">
        <f aca="false">Q221*R221*S221</f>
        <v>0.05695</v>
      </c>
      <c r="U221" s="226" t="n">
        <f aca="false">T221*P221</f>
        <v>10.251</v>
      </c>
      <c r="V221" s="233"/>
    </row>
    <row r="222" customFormat="false" ht="13.5" hidden="false" customHeight="true" outlineLevel="0" collapsed="false">
      <c r="B222" s="228" t="n">
        <v>84</v>
      </c>
      <c r="C222" s="236" t="s">
        <v>1068</v>
      </c>
      <c r="D222" s="219" t="n">
        <v>14345</v>
      </c>
      <c r="E222" s="220" t="str">
        <f aca="false">IF(D222="","",IFERROR(VLOOKUP(D222,CCN_Library!$A$4:$B$13,2,FALSE()),"NOT IN LIBRARY"))</f>
        <v>ARMORY</v>
      </c>
      <c r="F222" s="229"/>
      <c r="G222" s="230" t="s">
        <v>1478</v>
      </c>
      <c r="H222" s="221" t="str">
        <f aca="false">LEFT(I222,5)</f>
        <v>C3250</v>
      </c>
      <c r="I222" s="230" t="s">
        <v>1138</v>
      </c>
      <c r="J222" s="221" t="s">
        <v>1139</v>
      </c>
      <c r="K222" s="230" t="s">
        <v>1072</v>
      </c>
      <c r="L222" s="230" t="s">
        <v>1073</v>
      </c>
      <c r="M222" s="230" t="s">
        <v>133</v>
      </c>
      <c r="N222" s="231" t="n">
        <v>0</v>
      </c>
      <c r="O222" s="231" t="n">
        <v>0</v>
      </c>
      <c r="P222" s="231" t="n">
        <v>0</v>
      </c>
      <c r="Q222" s="232" t="n">
        <v>0.75</v>
      </c>
      <c r="R222" s="232" t="n">
        <v>0.17</v>
      </c>
      <c r="S222" s="224" t="n">
        <v>0.08</v>
      </c>
      <c r="T222" s="225" t="n">
        <f aca="false">Q222*R222*S222</f>
        <v>0.0102</v>
      </c>
      <c r="U222" s="226" t="n">
        <f aca="false">T222*P222</f>
        <v>0</v>
      </c>
      <c r="V222" s="233"/>
    </row>
    <row r="223" customFormat="false" ht="13.5" hidden="false" customHeight="true" outlineLevel="0" collapsed="false">
      <c r="B223" s="228" t="n">
        <v>90</v>
      </c>
      <c r="C223" s="236" t="s">
        <v>1074</v>
      </c>
      <c r="D223" s="219" t="n">
        <v>44112</v>
      </c>
      <c r="E223" s="220" t="str">
        <f aca="false">IF(D223="","",IFERROR(VLOOKUP(D223,CCN_Library!$A$4:$B$13,2,FALSE()),"NOT IN LIBRARY"))</f>
        <v>STORAGE OF AIR OR GROUND ORGANIC UNITS FOR MARINE CORPS</v>
      </c>
      <c r="F223" s="229"/>
      <c r="G223" s="230" t="s">
        <v>1478</v>
      </c>
      <c r="H223" s="221" t="str">
        <f aca="false">LEFT(I223,5)</f>
        <v>C8628</v>
      </c>
      <c r="I223" s="230" t="s">
        <v>1432</v>
      </c>
      <c r="J223" s="221" t="s">
        <v>1433</v>
      </c>
      <c r="K223" s="230" t="s">
        <v>1072</v>
      </c>
      <c r="L223" s="237"/>
      <c r="M223" s="230" t="s">
        <v>133</v>
      </c>
      <c r="N223" s="231" t="n">
        <v>0</v>
      </c>
      <c r="O223" s="231" t="n">
        <v>6</v>
      </c>
      <c r="P223" s="231" t="n">
        <v>6</v>
      </c>
      <c r="Q223" s="235" t="n">
        <v>9</v>
      </c>
      <c r="R223" s="232" t="n">
        <v>7.33</v>
      </c>
      <c r="S223" s="224" t="n">
        <v>5.5</v>
      </c>
      <c r="T223" s="225" t="n">
        <f aca="false">Q223*R223*S223</f>
        <v>362.835</v>
      </c>
      <c r="U223" s="226" t="n">
        <f aca="false">T223*P223</f>
        <v>2177.01</v>
      </c>
      <c r="V223" s="233"/>
    </row>
    <row r="224" customFormat="false" ht="13.5" hidden="false" customHeight="true" outlineLevel="0" collapsed="false">
      <c r="B224" s="228" t="n">
        <v>93</v>
      </c>
      <c r="C224" s="236" t="s">
        <v>1068</v>
      </c>
      <c r="D224" s="219" t="n">
        <v>14345</v>
      </c>
      <c r="E224" s="220" t="str">
        <f aca="false">IF(D224="","",IFERROR(VLOOKUP(D224,CCN_Library!$A$4:$B$13,2,FALSE()),"NOT IN LIBRARY"))</f>
        <v>ARMORY</v>
      </c>
      <c r="F224" s="229"/>
      <c r="G224" s="230" t="s">
        <v>1478</v>
      </c>
      <c r="H224" s="221" t="str">
        <f aca="false">LEFT(I224,5)</f>
        <v>E0190</v>
      </c>
      <c r="I224" s="230" t="s">
        <v>1085</v>
      </c>
      <c r="J224" s="221" t="s">
        <v>1086</v>
      </c>
      <c r="K224" s="230" t="s">
        <v>1072</v>
      </c>
      <c r="L224" s="230" t="s">
        <v>1073</v>
      </c>
      <c r="M224" s="230" t="s">
        <v>133</v>
      </c>
      <c r="N224" s="231" t="n">
        <v>0</v>
      </c>
      <c r="O224" s="231" t="n">
        <v>0</v>
      </c>
      <c r="P224" s="231" t="n">
        <v>0</v>
      </c>
      <c r="Q224" s="232" t="n">
        <v>2.75</v>
      </c>
      <c r="R224" s="232" t="n">
        <v>0.17</v>
      </c>
      <c r="S224" s="224" t="n">
        <v>0.75</v>
      </c>
      <c r="T224" s="225" t="n">
        <f aca="false">Q224*R224*S224</f>
        <v>0.350625</v>
      </c>
      <c r="U224" s="226" t="n">
        <f aca="false">T224*P224</f>
        <v>0</v>
      </c>
      <c r="V224" s="233"/>
    </row>
    <row r="225" customFormat="false" ht="13.5" hidden="false" customHeight="true" outlineLevel="0" collapsed="false">
      <c r="B225" s="228" t="n">
        <v>95</v>
      </c>
      <c r="C225" s="236" t="s">
        <v>1074</v>
      </c>
      <c r="D225" s="219" t="n">
        <v>44112</v>
      </c>
      <c r="E225" s="220" t="str">
        <f aca="false">IF(D225="","",IFERROR(VLOOKUP(D225,CCN_Library!$A$4:$B$13,2,FALSE()),"NOT IN LIBRARY"))</f>
        <v>STORAGE OF AIR OR GROUND ORGANIC UNITS FOR MARINE CORPS</v>
      </c>
      <c r="F225" s="229"/>
      <c r="G225" s="230" t="s">
        <v>1478</v>
      </c>
      <c r="H225" s="221" t="str">
        <f aca="false">LEFT(I225,5)</f>
        <v>K4148</v>
      </c>
      <c r="I225" s="230" t="s">
        <v>1358</v>
      </c>
      <c r="J225" s="221" t="s">
        <v>1359</v>
      </c>
      <c r="K225" s="230" t="s">
        <v>1080</v>
      </c>
      <c r="L225" s="230" t="s">
        <v>1073</v>
      </c>
      <c r="M225" s="230" t="s">
        <v>133</v>
      </c>
      <c r="N225" s="231" t="n">
        <v>0</v>
      </c>
      <c r="O225" s="231" t="n">
        <v>19</v>
      </c>
      <c r="P225" s="231" t="n">
        <v>19</v>
      </c>
      <c r="Q225" s="232" t="n">
        <v>0.67</v>
      </c>
      <c r="R225" s="232" t="n">
        <v>0.42</v>
      </c>
      <c r="S225" s="224" t="n">
        <v>0.08</v>
      </c>
      <c r="T225" s="225" t="n">
        <f aca="false">Q225*R225*S225</f>
        <v>0.022512</v>
      </c>
      <c r="U225" s="226" t="n">
        <f aca="false">T225*P225</f>
        <v>0.427728</v>
      </c>
      <c r="V225" s="233"/>
    </row>
    <row r="226" customFormat="false" ht="13.5" hidden="false" customHeight="true" outlineLevel="0" collapsed="false">
      <c r="B226" s="228" t="n">
        <v>96</v>
      </c>
      <c r="C226" s="236" t="s">
        <v>1074</v>
      </c>
      <c r="D226" s="219" t="n">
        <v>44112</v>
      </c>
      <c r="E226" s="220" t="str">
        <f aca="false">IF(D226="","",IFERROR(VLOOKUP(D226,CCN_Library!$A$4:$B$13,2,FALSE()),"NOT IN LIBRARY"))</f>
        <v>STORAGE OF AIR OR GROUND ORGANIC UNITS FOR MARINE CORPS</v>
      </c>
      <c r="F226" s="229"/>
      <c r="G226" s="230" t="s">
        <v>1478</v>
      </c>
      <c r="H226" s="221" t="str">
        <f aca="false">LEFT(I226,5)</f>
        <v>K4957</v>
      </c>
      <c r="I226" s="230" t="s">
        <v>1147</v>
      </c>
      <c r="J226" s="221" t="s">
        <v>1148</v>
      </c>
      <c r="K226" s="230" t="s">
        <v>1072</v>
      </c>
      <c r="L226" s="237"/>
      <c r="M226" s="230" t="s">
        <v>133</v>
      </c>
      <c r="N226" s="231" t="n">
        <v>0</v>
      </c>
      <c r="O226" s="231" t="n">
        <v>21</v>
      </c>
      <c r="P226" s="231" t="n">
        <v>21</v>
      </c>
      <c r="Q226" s="232" t="n">
        <v>2.83</v>
      </c>
      <c r="R226" s="232" t="n">
        <v>0.33</v>
      </c>
      <c r="S226" s="224" t="n">
        <v>0.17</v>
      </c>
      <c r="T226" s="225" t="n">
        <f aca="false">Q226*R226*S226</f>
        <v>0.158763</v>
      </c>
      <c r="U226" s="226" t="n">
        <f aca="false">T226*P226</f>
        <v>3.334023</v>
      </c>
      <c r="V226" s="233"/>
    </row>
    <row r="227" customFormat="false" ht="13.5" hidden="false" customHeight="true" outlineLevel="0" collapsed="false">
      <c r="B227" s="228" t="n">
        <v>98</v>
      </c>
      <c r="C227" s="236" t="s">
        <v>1074</v>
      </c>
      <c r="D227" s="219" t="n">
        <v>44112</v>
      </c>
      <c r="E227" s="220" t="str">
        <f aca="false">IF(D227="","",IFERROR(VLOOKUP(D227,CCN_Library!$A$4:$B$13,2,FALSE()),"NOT IN LIBRARY"))</f>
        <v>STORAGE OF AIR OR GROUND ORGANIC UNITS FOR MARINE CORPS</v>
      </c>
      <c r="F227" s="229"/>
      <c r="G227" s="230" t="s">
        <v>1478</v>
      </c>
      <c r="H227" s="221" t="str">
        <f aca="false">LEFT(I227,5)</f>
        <v>K4959</v>
      </c>
      <c r="I227" s="230" t="s">
        <v>1093</v>
      </c>
      <c r="J227" s="221" t="s">
        <v>1094</v>
      </c>
      <c r="K227" s="230" t="s">
        <v>1072</v>
      </c>
      <c r="L227" s="230" t="s">
        <v>1073</v>
      </c>
      <c r="M227" s="230" t="s">
        <v>133</v>
      </c>
      <c r="N227" s="231" t="n">
        <v>0</v>
      </c>
      <c r="O227" s="231" t="n">
        <v>16</v>
      </c>
      <c r="P227" s="231" t="n">
        <v>16</v>
      </c>
      <c r="Q227" s="232" t="n">
        <v>5.83</v>
      </c>
      <c r="R227" s="235" t="n">
        <v>3</v>
      </c>
      <c r="S227" s="224" t="n">
        <v>0.33</v>
      </c>
      <c r="T227" s="225" t="n">
        <f aca="false">Q227*R227*S227</f>
        <v>5.7717</v>
      </c>
      <c r="U227" s="226" t="n">
        <f aca="false">T227*P227</f>
        <v>92.3472</v>
      </c>
      <c r="V227" s="233"/>
    </row>
    <row r="228" customFormat="false" ht="13.5" hidden="false" customHeight="true" outlineLevel="0" collapsed="false">
      <c r="B228" s="228" t="n">
        <v>99</v>
      </c>
      <c r="C228" s="236" t="s">
        <v>1074</v>
      </c>
      <c r="D228" s="219" t="n">
        <v>44112</v>
      </c>
      <c r="E228" s="220" t="str">
        <f aca="false">IF(D228="","",IFERROR(VLOOKUP(D228,CCN_Library!$A$4:$B$13,2,FALSE()),"NOT IN LIBRARY"))</f>
        <v>STORAGE OF AIR OR GROUND ORGANIC UNITS FOR MARINE CORPS</v>
      </c>
      <c r="F228" s="229"/>
      <c r="G228" s="230" t="s">
        <v>1478</v>
      </c>
      <c r="H228" s="221" t="str">
        <f aca="false">LEFT(I228,5)</f>
        <v>N6020</v>
      </c>
      <c r="I228" s="230" t="s">
        <v>1481</v>
      </c>
      <c r="J228" s="221" t="s">
        <v>1482</v>
      </c>
      <c r="K228" s="230" t="s">
        <v>1072</v>
      </c>
      <c r="L228" s="230" t="s">
        <v>1073</v>
      </c>
      <c r="M228" s="230" t="s">
        <v>133</v>
      </c>
      <c r="N228" s="231" t="n">
        <v>0</v>
      </c>
      <c r="O228" s="231" t="n">
        <v>2</v>
      </c>
      <c r="P228" s="231" t="n">
        <v>2</v>
      </c>
      <c r="Q228" s="235" t="n">
        <v>0</v>
      </c>
      <c r="R228" s="235" t="n">
        <v>0</v>
      </c>
      <c r="S228" s="224" t="n">
        <v>0</v>
      </c>
      <c r="T228" s="225" t="n">
        <f aca="false">Q228*R228*S228</f>
        <v>0</v>
      </c>
      <c r="U228" s="226" t="n">
        <f aca="false">T228*P228</f>
        <v>0</v>
      </c>
      <c r="V228" s="233"/>
    </row>
    <row r="229" customFormat="false" ht="13.5" hidden="false" customHeight="true" outlineLevel="0" collapsed="false">
      <c r="B229" s="228" t="n">
        <v>100</v>
      </c>
      <c r="C229" s="236" t="s">
        <v>1074</v>
      </c>
      <c r="D229" s="219" t="n">
        <v>44112</v>
      </c>
      <c r="E229" s="220" t="str">
        <f aca="false">IF(D229="","",IFERROR(VLOOKUP(D229,CCN_Library!$A$4:$B$13,2,FALSE()),"NOT IN LIBRARY"))</f>
        <v>STORAGE OF AIR OR GROUND ORGANIC UNITS FOR MARINE CORPS</v>
      </c>
      <c r="F229" s="229"/>
      <c r="G229" s="230" t="s">
        <v>1478</v>
      </c>
      <c r="H229" s="221" t="str">
        <f aca="false">LEFT(I229,5)</f>
        <v>C2200</v>
      </c>
      <c r="I229" s="230" t="s">
        <v>1250</v>
      </c>
      <c r="J229" s="221" t="s">
        <v>1251</v>
      </c>
      <c r="K229" s="230" t="s">
        <v>1072</v>
      </c>
      <c r="L229" s="230" t="s">
        <v>1252</v>
      </c>
      <c r="M229" s="230" t="s">
        <v>133</v>
      </c>
      <c r="N229" s="231" t="n">
        <v>9</v>
      </c>
      <c r="O229" s="231" t="n">
        <v>0</v>
      </c>
      <c r="P229" s="231" t="n">
        <v>9</v>
      </c>
      <c r="Q229" s="232" t="n">
        <v>1.08</v>
      </c>
      <c r="R229" s="232" t="n">
        <v>0.62</v>
      </c>
      <c r="S229" s="224" t="n">
        <v>0.87</v>
      </c>
      <c r="T229" s="225" t="n">
        <f aca="false">Q229*R229*S229</f>
        <v>0.582552</v>
      </c>
      <c r="U229" s="226" t="n">
        <f aca="false">T229*P229</f>
        <v>5.242968</v>
      </c>
      <c r="V229" s="233"/>
    </row>
    <row r="230" customFormat="false" ht="13.5" hidden="false" customHeight="true" outlineLevel="0" collapsed="false">
      <c r="B230" s="228" t="n">
        <v>103</v>
      </c>
      <c r="C230" s="236" t="s">
        <v>1068</v>
      </c>
      <c r="D230" s="219" t="n">
        <v>14345</v>
      </c>
      <c r="E230" s="220" t="str">
        <f aca="false">IF(D230="","",IFERROR(VLOOKUP(D230,CCN_Library!$A$4:$B$13,2,FALSE()),"NOT IN LIBRARY"))</f>
        <v>ARMORY</v>
      </c>
      <c r="F230" s="229"/>
      <c r="G230" s="230" t="s">
        <v>1478</v>
      </c>
      <c r="H230" s="221" t="str">
        <f aca="false">LEFT(I230,5)</f>
        <v>E1976</v>
      </c>
      <c r="I230" s="230" t="s">
        <v>1201</v>
      </c>
      <c r="J230" s="221" t="s">
        <v>1202</v>
      </c>
      <c r="K230" s="230" t="s">
        <v>1072</v>
      </c>
      <c r="L230" s="230" t="s">
        <v>1073</v>
      </c>
      <c r="M230" s="230" t="s">
        <v>1116</v>
      </c>
      <c r="N230" s="231" t="n">
        <v>4</v>
      </c>
      <c r="O230" s="231" t="n">
        <v>0</v>
      </c>
      <c r="P230" s="231" t="n">
        <v>4</v>
      </c>
      <c r="Q230" s="232" t="n">
        <v>1.33</v>
      </c>
      <c r="R230" s="232" t="n">
        <v>0.42</v>
      </c>
      <c r="S230" s="224" t="n">
        <v>0.5</v>
      </c>
      <c r="T230" s="225" t="n">
        <f aca="false">Q230*R230*S230</f>
        <v>0.2793</v>
      </c>
      <c r="U230" s="226" t="n">
        <f aca="false">T230*P230</f>
        <v>1.1172</v>
      </c>
      <c r="V230" s="233"/>
    </row>
    <row r="231" customFormat="false" ht="13.5" hidden="false" customHeight="true" outlineLevel="0" collapsed="false">
      <c r="B231" s="228" t="n">
        <v>104</v>
      </c>
      <c r="C231" s="236" t="s">
        <v>1074</v>
      </c>
      <c r="D231" s="219" t="n">
        <v>44112</v>
      </c>
      <c r="E231" s="220" t="str">
        <f aca="false">IF(D231="","",IFERROR(VLOOKUP(D231,CCN_Library!$A$4:$B$13,2,FALSE()),"NOT IN LIBRARY"))</f>
        <v>STORAGE OF AIR OR GROUND ORGANIC UNITS FOR MARINE CORPS</v>
      </c>
      <c r="F231" s="229"/>
      <c r="G231" s="230" t="s">
        <v>1478</v>
      </c>
      <c r="H231" s="221" t="str">
        <f aca="false">LEFT(I231,5)</f>
        <v>C3070</v>
      </c>
      <c r="I231" s="230" t="s">
        <v>1362</v>
      </c>
      <c r="J231" s="221" t="s">
        <v>1363</v>
      </c>
      <c r="K231" s="230" t="s">
        <v>1072</v>
      </c>
      <c r="L231" s="230" t="s">
        <v>1073</v>
      </c>
      <c r="M231" s="230" t="s">
        <v>133</v>
      </c>
      <c r="N231" s="231" t="n">
        <v>180</v>
      </c>
      <c r="O231" s="231" t="n">
        <v>0</v>
      </c>
      <c r="P231" s="231" t="n">
        <v>180</v>
      </c>
      <c r="Q231" s="232" t="n">
        <v>0.58</v>
      </c>
      <c r="R231" s="232" t="n">
        <v>0.42</v>
      </c>
      <c r="S231" s="224" t="n">
        <v>0.08</v>
      </c>
      <c r="T231" s="225" t="n">
        <f aca="false">Q231*R231*S231</f>
        <v>0.019488</v>
      </c>
      <c r="U231" s="226" t="n">
        <f aca="false">T231*P231</f>
        <v>3.50784</v>
      </c>
      <c r="V231" s="233"/>
    </row>
    <row r="232" customFormat="false" ht="13.5" hidden="false" customHeight="true" outlineLevel="0" collapsed="false">
      <c r="B232" s="228" t="n">
        <v>108</v>
      </c>
      <c r="C232" s="236" t="s">
        <v>1074</v>
      </c>
      <c r="D232" s="219" t="n">
        <v>44112</v>
      </c>
      <c r="E232" s="220" t="str">
        <f aca="false">IF(D232="","",IFERROR(VLOOKUP(D232,CCN_Library!$A$4:$B$13,2,FALSE()),"NOT IN LIBRARY"))</f>
        <v>STORAGE OF AIR OR GROUND ORGANIC UNITS FOR MARINE CORPS</v>
      </c>
      <c r="F232" s="229"/>
      <c r="G232" s="230" t="s">
        <v>1478</v>
      </c>
      <c r="H232" s="221" t="str">
        <f aca="false">LEFT(I232,5)</f>
        <v>C0041</v>
      </c>
      <c r="I232" s="230" t="s">
        <v>1444</v>
      </c>
      <c r="J232" s="221" t="s">
        <v>1445</v>
      </c>
      <c r="K232" s="230" t="s">
        <v>1072</v>
      </c>
      <c r="L232" s="237"/>
      <c r="M232" s="230" t="s">
        <v>133</v>
      </c>
      <c r="N232" s="231" t="n">
        <v>45</v>
      </c>
      <c r="O232" s="231" t="n">
        <v>0</v>
      </c>
      <c r="P232" s="231" t="n">
        <v>45</v>
      </c>
      <c r="Q232" s="232" t="n">
        <v>0.87</v>
      </c>
      <c r="R232" s="232" t="n">
        <v>0.46</v>
      </c>
      <c r="S232" s="224" t="n">
        <v>0.46</v>
      </c>
      <c r="T232" s="225" t="n">
        <f aca="false">Q232*R232*S232</f>
        <v>0.184092</v>
      </c>
      <c r="U232" s="226" t="n">
        <f aca="false">T232*P232</f>
        <v>8.28414</v>
      </c>
      <c r="V232" s="233"/>
    </row>
    <row r="233" customFormat="false" ht="13.5" hidden="false" customHeight="true" outlineLevel="0" collapsed="false">
      <c r="B233" s="228" t="n">
        <v>109</v>
      </c>
      <c r="C233" s="236" t="s">
        <v>1074</v>
      </c>
      <c r="D233" s="219" t="n">
        <v>44112</v>
      </c>
      <c r="E233" s="220" t="str">
        <f aca="false">IF(D233="","",IFERROR(VLOOKUP(D233,CCN_Library!$A$4:$B$13,2,FALSE()),"NOT IN LIBRARY"))</f>
        <v>STORAGE OF AIR OR GROUND ORGANIC UNITS FOR MARINE CORPS</v>
      </c>
      <c r="F233" s="229"/>
      <c r="G233" s="230" t="s">
        <v>1478</v>
      </c>
      <c r="H233" s="221" t="str">
        <f aca="false">LEFT(I233,5)</f>
        <v>C0190</v>
      </c>
      <c r="I233" s="230" t="s">
        <v>1262</v>
      </c>
      <c r="J233" s="221" t="s">
        <v>1263</v>
      </c>
      <c r="K233" s="230" t="s">
        <v>1072</v>
      </c>
      <c r="L233" s="230" t="s">
        <v>1073</v>
      </c>
      <c r="M233" s="230" t="s">
        <v>133</v>
      </c>
      <c r="N233" s="231" t="n">
        <v>0</v>
      </c>
      <c r="O233" s="231" t="n">
        <v>0</v>
      </c>
      <c r="P233" s="231" t="n">
        <v>0</v>
      </c>
      <c r="Q233" s="232" t="n">
        <v>0.5</v>
      </c>
      <c r="R233" s="232" t="n">
        <v>0.25</v>
      </c>
      <c r="S233" s="224" t="n">
        <v>0.17</v>
      </c>
      <c r="T233" s="225" t="n">
        <f aca="false">Q233*R233*S233</f>
        <v>0.02125</v>
      </c>
      <c r="U233" s="226" t="n">
        <f aca="false">T233*P233</f>
        <v>0</v>
      </c>
      <c r="V233" s="233"/>
    </row>
    <row r="234" customFormat="false" ht="13.5" hidden="false" customHeight="true" outlineLevel="0" collapsed="false">
      <c r="B234" s="228" t="n">
        <v>110</v>
      </c>
      <c r="C234" s="236" t="s">
        <v>1077</v>
      </c>
      <c r="D234" s="219" t="n">
        <v>21710</v>
      </c>
      <c r="E234" s="220" t="str">
        <f aca="false">IF(D234="","",IFERROR(VLOOKUP(D234,CCN_Library!$A$4:$B$13,2,FALSE()),"NOT IN LIBRARY"))</f>
        <v>ELECTRONICS/COMMUNICATIONS MAINTENANCE SHOP</v>
      </c>
      <c r="F234" s="229"/>
      <c r="G234" s="230" t="s">
        <v>1478</v>
      </c>
      <c r="H234" s="221" t="str">
        <f aca="false">LEFT(I234,5)</f>
        <v>A0097</v>
      </c>
      <c r="I234" s="230" t="s">
        <v>1209</v>
      </c>
      <c r="J234" s="221" t="s">
        <v>1210</v>
      </c>
      <c r="K234" s="230" t="s">
        <v>1080</v>
      </c>
      <c r="L234" s="230" t="s">
        <v>1073</v>
      </c>
      <c r="M234" s="230" t="s">
        <v>133</v>
      </c>
      <c r="N234" s="231" t="n">
        <v>0</v>
      </c>
      <c r="O234" s="231" t="n">
        <v>1</v>
      </c>
      <c r="P234" s="231" t="n">
        <v>1</v>
      </c>
      <c r="Q234" s="232" t="n">
        <v>1.17</v>
      </c>
      <c r="R234" s="232" t="n">
        <v>0.67</v>
      </c>
      <c r="S234" s="224" t="n">
        <v>0.92</v>
      </c>
      <c r="T234" s="225" t="n">
        <f aca="false">Q234*R234*S234</f>
        <v>0.721188</v>
      </c>
      <c r="U234" s="226" t="n">
        <f aca="false">T234*P234</f>
        <v>0.721188</v>
      </c>
      <c r="V234" s="233"/>
    </row>
    <row r="235" customFormat="false" ht="13.5" hidden="false" customHeight="true" outlineLevel="0" collapsed="false">
      <c r="B235" s="228" t="n">
        <v>111</v>
      </c>
      <c r="C235" s="236" t="s">
        <v>1074</v>
      </c>
      <c r="D235" s="219" t="n">
        <v>44112</v>
      </c>
      <c r="E235" s="220" t="str">
        <f aca="false">IF(D235="","",IFERROR(VLOOKUP(D235,CCN_Library!$A$4:$B$13,2,FALSE()),"NOT IN LIBRARY"))</f>
        <v>STORAGE OF AIR OR GROUND ORGANIC UNITS FOR MARINE CORPS</v>
      </c>
      <c r="F235" s="229"/>
      <c r="G235" s="230" t="s">
        <v>1478</v>
      </c>
      <c r="H235" s="221" t="str">
        <f aca="false">LEFT(I235,5)</f>
        <v>C0083</v>
      </c>
      <c r="I235" s="230" t="s">
        <v>1314</v>
      </c>
      <c r="J235" s="221" t="s">
        <v>1315</v>
      </c>
      <c r="K235" s="230" t="s">
        <v>1072</v>
      </c>
      <c r="L235" s="230" t="s">
        <v>1073</v>
      </c>
      <c r="M235" s="230" t="s">
        <v>133</v>
      </c>
      <c r="N235" s="231" t="n">
        <v>180</v>
      </c>
      <c r="O235" s="231" t="n">
        <v>0</v>
      </c>
      <c r="P235" s="231" t="n">
        <v>180</v>
      </c>
      <c r="Q235" s="232" t="n">
        <v>0.58</v>
      </c>
      <c r="R235" s="232" t="n">
        <v>0.17</v>
      </c>
      <c r="S235" s="224" t="n">
        <v>0.08</v>
      </c>
      <c r="T235" s="225" t="n">
        <f aca="false">Q235*R235*S235</f>
        <v>0.007888</v>
      </c>
      <c r="U235" s="226" t="n">
        <f aca="false">T235*P235</f>
        <v>1.41984</v>
      </c>
      <c r="V235" s="233"/>
    </row>
    <row r="236" customFormat="false" ht="13.5" hidden="false" customHeight="true" outlineLevel="0" collapsed="false">
      <c r="B236" s="228" t="n">
        <v>112</v>
      </c>
      <c r="C236" s="236" t="s">
        <v>1077</v>
      </c>
      <c r="D236" s="219" t="n">
        <v>21710</v>
      </c>
      <c r="E236" s="220" t="str">
        <f aca="false">IF(D236="","",IFERROR(VLOOKUP(D236,CCN_Library!$A$4:$B$13,2,FALSE()),"NOT IN LIBRARY"))</f>
        <v>ELECTRONICS/COMMUNICATIONS MAINTENANCE SHOP</v>
      </c>
      <c r="F236" s="229"/>
      <c r="G236" s="230" t="s">
        <v>1478</v>
      </c>
      <c r="H236" s="221" t="str">
        <f aca="false">LEFT(I236,5)</f>
        <v>K0025</v>
      </c>
      <c r="I236" s="230" t="s">
        <v>1102</v>
      </c>
      <c r="J236" s="221" t="s">
        <v>1103</v>
      </c>
      <c r="K236" s="230" t="s">
        <v>1072</v>
      </c>
      <c r="L236" s="230" t="s">
        <v>1073</v>
      </c>
      <c r="M236" s="230" t="s">
        <v>133</v>
      </c>
      <c r="N236" s="231" t="n">
        <v>0</v>
      </c>
      <c r="O236" s="231" t="n">
        <v>2</v>
      </c>
      <c r="P236" s="231" t="n">
        <v>2</v>
      </c>
      <c r="Q236" s="232" t="n">
        <v>1.37</v>
      </c>
      <c r="R236" s="235" t="n">
        <v>1</v>
      </c>
      <c r="S236" s="224" t="n">
        <v>2.37</v>
      </c>
      <c r="T236" s="225" t="n">
        <f aca="false">Q236*R236*S236</f>
        <v>3.2469</v>
      </c>
      <c r="U236" s="226" t="n">
        <f aca="false">T236*P236</f>
        <v>6.4938</v>
      </c>
      <c r="V236" s="233"/>
    </row>
    <row r="237" customFormat="false" ht="13.5" hidden="false" customHeight="true" outlineLevel="0" collapsed="false">
      <c r="B237" s="228" t="n">
        <v>113</v>
      </c>
      <c r="C237" s="236" t="s">
        <v>1077</v>
      </c>
      <c r="D237" s="219" t="n">
        <v>21710</v>
      </c>
      <c r="E237" s="220" t="str">
        <f aca="false">IF(D237="","",IFERROR(VLOOKUP(D237,CCN_Library!$A$4:$B$13,2,FALSE()),"NOT IN LIBRARY"))</f>
        <v>ELECTRONICS/COMMUNICATIONS MAINTENANCE SHOP</v>
      </c>
      <c r="F237" s="229"/>
      <c r="G237" s="230" t="s">
        <v>1478</v>
      </c>
      <c r="H237" s="221" t="str">
        <f aca="false">LEFT(I237,5)</f>
        <v>H7030</v>
      </c>
      <c r="I237" s="230" t="s">
        <v>1318</v>
      </c>
      <c r="J237" s="221" t="s">
        <v>1319</v>
      </c>
      <c r="K237" s="230" t="s">
        <v>1072</v>
      </c>
      <c r="L237" s="230" t="s">
        <v>1073</v>
      </c>
      <c r="M237" s="230" t="s">
        <v>133</v>
      </c>
      <c r="N237" s="231" t="n">
        <v>0</v>
      </c>
      <c r="O237" s="231" t="n">
        <v>2</v>
      </c>
      <c r="P237" s="231" t="n">
        <v>2</v>
      </c>
      <c r="Q237" s="232" t="n">
        <v>0.67</v>
      </c>
      <c r="R237" s="232" t="n">
        <v>0.33</v>
      </c>
      <c r="S237" s="224" t="n">
        <v>0.17</v>
      </c>
      <c r="T237" s="225" t="n">
        <f aca="false">Q237*R237*S237</f>
        <v>0.037587</v>
      </c>
      <c r="U237" s="226" t="n">
        <f aca="false">T237*P237</f>
        <v>0.075174</v>
      </c>
      <c r="V237" s="233"/>
    </row>
    <row r="238" customFormat="false" ht="13.5" hidden="false" customHeight="true" outlineLevel="0" collapsed="false">
      <c r="B238" s="228" t="n">
        <v>117</v>
      </c>
      <c r="C238" s="236" t="s">
        <v>1068</v>
      </c>
      <c r="D238" s="219" t="n">
        <v>14345</v>
      </c>
      <c r="E238" s="220" t="str">
        <f aca="false">IF(D238="","",IFERROR(VLOOKUP(D238,CCN_Library!$A$4:$B$13,2,FALSE()),"NOT IN LIBRARY"))</f>
        <v>ARMORY</v>
      </c>
      <c r="F238" s="229"/>
      <c r="G238" s="230" t="s">
        <v>1478</v>
      </c>
      <c r="H238" s="221" t="str">
        <f aca="false">LEFT(I238,5)</f>
        <v>E1798</v>
      </c>
      <c r="I238" s="230" t="s">
        <v>1324</v>
      </c>
      <c r="J238" s="221" t="s">
        <v>1325</v>
      </c>
      <c r="K238" s="230" t="s">
        <v>1072</v>
      </c>
      <c r="L238" s="230" t="s">
        <v>1073</v>
      </c>
      <c r="M238" s="230" t="s">
        <v>133</v>
      </c>
      <c r="N238" s="231" t="n">
        <v>4</v>
      </c>
      <c r="O238" s="231" t="n">
        <v>0</v>
      </c>
      <c r="P238" s="231" t="n">
        <v>4</v>
      </c>
      <c r="Q238" s="232" t="n">
        <v>0.5</v>
      </c>
      <c r="R238" s="232" t="n">
        <v>0.25</v>
      </c>
      <c r="S238" s="224" t="n">
        <v>0.08</v>
      </c>
      <c r="T238" s="225" t="n">
        <f aca="false">Q238*R238*S238</f>
        <v>0.01</v>
      </c>
      <c r="U238" s="226" t="n">
        <f aca="false">T238*P238</f>
        <v>0.04</v>
      </c>
      <c r="V238" s="233"/>
    </row>
    <row r="239" customFormat="false" ht="13.5" hidden="false" customHeight="true" outlineLevel="0" collapsed="false">
      <c r="B239" s="228" t="n">
        <v>119</v>
      </c>
      <c r="C239" s="236" t="s">
        <v>1074</v>
      </c>
      <c r="D239" s="219" t="n">
        <v>44112</v>
      </c>
      <c r="E239" s="220" t="str">
        <f aca="false">IF(D239="","",IFERROR(VLOOKUP(D239,CCN_Library!$A$4:$B$13,2,FALSE()),"NOT IN LIBRARY"))</f>
        <v>STORAGE OF AIR OR GROUND ORGANIC UNITS FOR MARINE CORPS</v>
      </c>
      <c r="F239" s="229"/>
      <c r="G239" s="230" t="s">
        <v>1478</v>
      </c>
      <c r="H239" s="221" t="str">
        <f aca="false">LEFT(I239,5)</f>
        <v>C0136</v>
      </c>
      <c r="I239" s="230" t="s">
        <v>1460</v>
      </c>
      <c r="J239" s="221" t="s">
        <v>1461</v>
      </c>
      <c r="K239" s="230" t="s">
        <v>1072</v>
      </c>
      <c r="L239" s="230" t="s">
        <v>1073</v>
      </c>
      <c r="M239" s="230" t="s">
        <v>133</v>
      </c>
      <c r="N239" s="231" t="n">
        <v>180</v>
      </c>
      <c r="O239" s="231" t="n">
        <v>0</v>
      </c>
      <c r="P239" s="231" t="n">
        <v>180</v>
      </c>
      <c r="Q239" s="235" t="n">
        <v>1</v>
      </c>
      <c r="R239" s="235" t="n">
        <v>1</v>
      </c>
      <c r="S239" s="224" t="n">
        <v>0.5</v>
      </c>
      <c r="T239" s="225" t="n">
        <f aca="false">Q239*R239*S239</f>
        <v>0.5</v>
      </c>
      <c r="U239" s="226" t="n">
        <f aca="false">T239*P239</f>
        <v>90</v>
      </c>
      <c r="V239" s="233"/>
    </row>
    <row r="240" customFormat="false" ht="13.5" hidden="false" customHeight="true" outlineLevel="0" collapsed="false">
      <c r="B240" s="228" t="n">
        <v>120</v>
      </c>
      <c r="C240" s="236" t="s">
        <v>1068</v>
      </c>
      <c r="D240" s="219" t="n">
        <v>14345</v>
      </c>
      <c r="E240" s="220" t="str">
        <f aca="false">IF(D240="","",IFERROR(VLOOKUP(D240,CCN_Library!$A$4:$B$13,2,FALSE()),"NOT IN LIBRARY"))</f>
        <v>ARMORY</v>
      </c>
      <c r="F240" s="229"/>
      <c r="G240" s="230" t="s">
        <v>1478</v>
      </c>
      <c r="H240" s="221" t="str">
        <f aca="false">LEFT(I240,5)</f>
        <v>E0088</v>
      </c>
      <c r="I240" s="230" t="s">
        <v>1330</v>
      </c>
      <c r="J240" s="221" t="s">
        <v>1331</v>
      </c>
      <c r="K240" s="230" t="s">
        <v>1072</v>
      </c>
      <c r="L240" s="230" t="s">
        <v>1073</v>
      </c>
      <c r="M240" s="230" t="s">
        <v>133</v>
      </c>
      <c r="N240" s="231" t="n">
        <v>2</v>
      </c>
      <c r="O240" s="231" t="n">
        <v>0</v>
      </c>
      <c r="P240" s="231" t="n">
        <v>2</v>
      </c>
      <c r="Q240" s="235" t="n">
        <v>1</v>
      </c>
      <c r="R240" s="232" t="n">
        <v>0.5</v>
      </c>
      <c r="S240" s="224" t="n">
        <v>0.42</v>
      </c>
      <c r="T240" s="225" t="n">
        <f aca="false">Q240*R240*S240</f>
        <v>0.21</v>
      </c>
      <c r="U240" s="226" t="n">
        <f aca="false">T240*P240</f>
        <v>0.42</v>
      </c>
      <c r="V240" s="233"/>
    </row>
    <row r="241" customFormat="false" ht="13.5" hidden="false" customHeight="true" outlineLevel="0" collapsed="false">
      <c r="B241" s="228" t="n">
        <v>130</v>
      </c>
      <c r="C241" s="236" t="s">
        <v>1074</v>
      </c>
      <c r="D241" s="219" t="n">
        <v>44112</v>
      </c>
      <c r="E241" s="220" t="str">
        <f aca="false">IF(D241="","",IFERROR(VLOOKUP(D241,CCN_Library!$A$4:$B$13,2,FALSE()),"NOT IN LIBRARY"))</f>
        <v>STORAGE OF AIR OR GROUND ORGANIC UNITS FOR MARINE CORPS</v>
      </c>
      <c r="F241" s="229"/>
      <c r="G241" s="230" t="s">
        <v>1478</v>
      </c>
      <c r="H241" s="221" t="str">
        <f aca="false">LEFT(I241,5)</f>
        <v>K4992</v>
      </c>
      <c r="I241" s="230" t="s">
        <v>1117</v>
      </c>
      <c r="J241" s="221" t="s">
        <v>1118</v>
      </c>
      <c r="K241" s="230" t="s">
        <v>1072</v>
      </c>
      <c r="L241" s="230" t="s">
        <v>1073</v>
      </c>
      <c r="M241" s="230" t="s">
        <v>133</v>
      </c>
      <c r="N241" s="231" t="n">
        <v>0</v>
      </c>
      <c r="O241" s="231" t="n">
        <v>71</v>
      </c>
      <c r="P241" s="231" t="n">
        <v>71</v>
      </c>
      <c r="Q241" s="232" t="n">
        <v>20.99</v>
      </c>
      <c r="R241" s="232" t="n">
        <v>0.14</v>
      </c>
      <c r="S241" s="224" t="n">
        <v>0</v>
      </c>
      <c r="T241" s="225" t="n">
        <f aca="false">Q241*R241*S241</f>
        <v>0</v>
      </c>
      <c r="U241" s="226" t="n">
        <f aca="false">T241*P241</f>
        <v>0</v>
      </c>
      <c r="V241" s="233"/>
    </row>
    <row r="242" customFormat="false" ht="13.5" hidden="false" customHeight="true" outlineLevel="0" collapsed="false">
      <c r="B242" s="228" t="n">
        <v>131</v>
      </c>
      <c r="C242" s="236" t="s">
        <v>1077</v>
      </c>
      <c r="D242" s="219" t="n">
        <v>21710</v>
      </c>
      <c r="E242" s="220" t="str">
        <f aca="false">IF(D242="","",IFERROR(VLOOKUP(D242,CCN_Library!$A$4:$B$13,2,FALSE()),"NOT IN LIBRARY"))</f>
        <v>ELECTRONICS/COMMUNICATIONS MAINTENANCE SHOP</v>
      </c>
      <c r="F242" s="229"/>
      <c r="G242" s="230" t="s">
        <v>1478</v>
      </c>
      <c r="H242" s="221" t="str">
        <f aca="false">LEFT(I242,5)</f>
        <v>A0410</v>
      </c>
      <c r="I242" s="230" t="s">
        <v>1483</v>
      </c>
      <c r="J242" s="221" t="s">
        <v>1484</v>
      </c>
      <c r="K242" s="230" t="s">
        <v>1072</v>
      </c>
      <c r="L242" s="230" t="s">
        <v>1073</v>
      </c>
      <c r="M242" s="230" t="s">
        <v>133</v>
      </c>
      <c r="N242" s="231" t="n">
        <v>0</v>
      </c>
      <c r="O242" s="231" t="n">
        <v>6</v>
      </c>
      <c r="P242" s="231" t="n">
        <v>6</v>
      </c>
      <c r="Q242" s="232" t="n">
        <v>1.67</v>
      </c>
      <c r="R242" s="232" t="n">
        <v>1.33</v>
      </c>
      <c r="S242" s="224" t="n">
        <v>0.08</v>
      </c>
      <c r="T242" s="225" t="n">
        <f aca="false">Q242*R242*S242</f>
        <v>0.177688</v>
      </c>
      <c r="U242" s="226" t="n">
        <f aca="false">T242*P242</f>
        <v>1.066128</v>
      </c>
      <c r="V242" s="233"/>
    </row>
    <row r="243" customFormat="false" ht="13.5" hidden="false" customHeight="true" outlineLevel="0" collapsed="false">
      <c r="B243" s="228" t="n">
        <v>134</v>
      </c>
      <c r="C243" s="236" t="s">
        <v>1077</v>
      </c>
      <c r="D243" s="219" t="n">
        <v>21710</v>
      </c>
      <c r="E243" s="220" t="str">
        <f aca="false">IF(D243="","",IFERROR(VLOOKUP(D243,CCN_Library!$A$4:$B$13,2,FALSE()),"NOT IN LIBRARY"))</f>
        <v>ELECTRONICS/COMMUNICATIONS MAINTENANCE SHOP</v>
      </c>
      <c r="F243" s="229"/>
      <c r="G243" s="230" t="s">
        <v>1478</v>
      </c>
      <c r="H243" s="221" t="str">
        <f aca="false">LEFT(I243,5)</f>
        <v>A0135</v>
      </c>
      <c r="I243" s="230" t="s">
        <v>1121</v>
      </c>
      <c r="J243" s="221" t="s">
        <v>1122</v>
      </c>
      <c r="K243" s="230" t="s">
        <v>1080</v>
      </c>
      <c r="L243" s="230" t="s">
        <v>1073</v>
      </c>
      <c r="M243" s="230" t="s">
        <v>133</v>
      </c>
      <c r="N243" s="231" t="n">
        <v>0</v>
      </c>
      <c r="O243" s="231" t="n">
        <v>8</v>
      </c>
      <c r="P243" s="231" t="n">
        <v>8</v>
      </c>
      <c r="Q243" s="232" t="n">
        <v>0.89</v>
      </c>
      <c r="R243" s="232" t="n">
        <v>0.62</v>
      </c>
      <c r="S243" s="224" t="n">
        <v>0.89</v>
      </c>
      <c r="T243" s="225" t="n">
        <f aca="false">Q243*R243*S243</f>
        <v>0.491102</v>
      </c>
      <c r="U243" s="226" t="n">
        <f aca="false">T243*P243</f>
        <v>3.928816</v>
      </c>
      <c r="V243" s="233"/>
    </row>
    <row r="244" customFormat="false" ht="13.5" hidden="false" customHeight="true" outlineLevel="0" collapsed="false">
      <c r="B244" s="228" t="n">
        <v>137</v>
      </c>
      <c r="C244" s="236" t="s">
        <v>1077</v>
      </c>
      <c r="D244" s="219" t="n">
        <v>21710</v>
      </c>
      <c r="E244" s="220" t="str">
        <f aca="false">IF(D244="","",IFERROR(VLOOKUP(D244,CCN_Library!$A$4:$B$13,2,FALSE()),"NOT IN LIBRARY"))</f>
        <v>ELECTRONICS/COMMUNICATIONS MAINTENANCE SHOP</v>
      </c>
      <c r="F244" s="229"/>
      <c r="G244" s="230" t="s">
        <v>1478</v>
      </c>
      <c r="H244" s="221" t="str">
        <f aca="false">LEFT(I244,5)</f>
        <v>A0022</v>
      </c>
      <c r="I244" s="230" t="s">
        <v>1125</v>
      </c>
      <c r="J244" s="221" t="s">
        <v>1126</v>
      </c>
      <c r="K244" s="230" t="s">
        <v>1072</v>
      </c>
      <c r="L244" s="230" t="s">
        <v>1073</v>
      </c>
      <c r="M244" s="230" t="s">
        <v>133</v>
      </c>
      <c r="N244" s="231" t="n">
        <v>0</v>
      </c>
      <c r="O244" s="231" t="n">
        <v>9</v>
      </c>
      <c r="P244" s="231" t="n">
        <v>9</v>
      </c>
      <c r="Q244" s="232" t="n">
        <v>1.75</v>
      </c>
      <c r="R244" s="232" t="n">
        <v>1.42</v>
      </c>
      <c r="S244" s="224" t="n">
        <v>1.42</v>
      </c>
      <c r="T244" s="225" t="n">
        <f aca="false">Q244*R244*S244</f>
        <v>3.5287</v>
      </c>
      <c r="U244" s="226" t="n">
        <f aca="false">T244*P244</f>
        <v>31.7583</v>
      </c>
      <c r="V244" s="233"/>
    </row>
    <row r="245" customFormat="false" ht="13.5" hidden="false" customHeight="true" outlineLevel="0" collapsed="false">
      <c r="B245" s="228" t="n">
        <v>140</v>
      </c>
      <c r="C245" s="236" t="s">
        <v>1074</v>
      </c>
      <c r="D245" s="219" t="n">
        <v>44112</v>
      </c>
      <c r="E245" s="220" t="str">
        <f aca="false">IF(D245="","",IFERROR(VLOOKUP(D245,CCN_Library!$A$4:$B$13,2,FALSE()),"NOT IN LIBRARY"))</f>
        <v>STORAGE OF AIR OR GROUND ORGANIC UNITS FOR MARINE CORPS</v>
      </c>
      <c r="F245" s="229"/>
      <c r="G245" s="230" t="s">
        <v>1478</v>
      </c>
      <c r="H245" s="221" t="str">
        <f aca="false">LEFT(I245,5)</f>
        <v>C1055</v>
      </c>
      <c r="I245" s="230" t="s">
        <v>1346</v>
      </c>
      <c r="J245" s="221" t="s">
        <v>1347</v>
      </c>
      <c r="K245" s="230" t="s">
        <v>1072</v>
      </c>
      <c r="L245" s="230" t="s">
        <v>1073</v>
      </c>
      <c r="M245" s="230" t="s">
        <v>133</v>
      </c>
      <c r="N245" s="231" t="n">
        <v>180</v>
      </c>
      <c r="O245" s="231" t="n">
        <v>0</v>
      </c>
      <c r="P245" s="231" t="n">
        <v>180</v>
      </c>
      <c r="Q245" s="232" t="n">
        <v>0.75</v>
      </c>
      <c r="R245" s="232" t="n">
        <v>0.83</v>
      </c>
      <c r="S245" s="224" t="n">
        <v>0.08</v>
      </c>
      <c r="T245" s="225" t="n">
        <f aca="false">Q245*R245*S245</f>
        <v>0.0498</v>
      </c>
      <c r="U245" s="226" t="n">
        <f aca="false">T245*P245</f>
        <v>8.964</v>
      </c>
      <c r="V245" s="233"/>
    </row>
    <row r="246" customFormat="false" ht="13.5" hidden="false" customHeight="true" outlineLevel="0" collapsed="false">
      <c r="B246" s="228" t="n">
        <v>147</v>
      </c>
      <c r="C246" s="236" t="s">
        <v>1113</v>
      </c>
      <c r="D246" s="219" t="n">
        <v>21451</v>
      </c>
      <c r="E246" s="220" t="str">
        <f aca="false">IF(D246="","",IFERROR(VLOOKUP(D246,CCN_Library!$A$4:$B$13,2,FALSE()),"NOT IN LIBRARY"))</f>
        <v>AUTOMOTIVE ORGANIZATIONAL SHOP</v>
      </c>
      <c r="F246" s="229"/>
      <c r="G246" s="230" t="s">
        <v>1478</v>
      </c>
      <c r="H246" s="221" t="str">
        <f aca="false">LEFT(I246,5)</f>
        <v>D0019</v>
      </c>
      <c r="I246" s="230" t="s">
        <v>1187</v>
      </c>
      <c r="J246" s="221" t="s">
        <v>1188</v>
      </c>
      <c r="K246" s="230" t="s">
        <v>1142</v>
      </c>
      <c r="L246" s="230" t="s">
        <v>1073</v>
      </c>
      <c r="M246" s="237"/>
      <c r="N246" s="231" t="n">
        <v>0</v>
      </c>
      <c r="O246" s="231" t="n">
        <v>3</v>
      </c>
      <c r="P246" s="231" t="n">
        <v>3</v>
      </c>
      <c r="Q246" s="237"/>
      <c r="R246" s="237"/>
      <c r="S246" s="224" t="n">
        <v>0</v>
      </c>
      <c r="T246" s="225" t="n">
        <f aca="false">Q246*R246*S246</f>
        <v>0</v>
      </c>
      <c r="U246" s="226" t="n">
        <f aca="false">T246*P246</f>
        <v>0</v>
      </c>
      <c r="V246" s="233"/>
    </row>
    <row r="247" customFormat="false" ht="13.5" hidden="false" customHeight="true" outlineLevel="0" collapsed="false">
      <c r="B247" s="228" t="n">
        <v>154</v>
      </c>
      <c r="C247" s="236" t="s">
        <v>1074</v>
      </c>
      <c r="D247" s="219" t="n">
        <v>44112</v>
      </c>
      <c r="E247" s="220" t="str">
        <f aca="false">IF(D247="","",IFERROR(VLOOKUP(D247,CCN_Library!$A$4:$B$13,2,FALSE()),"NOT IN LIBRARY"))</f>
        <v>STORAGE OF AIR OR GROUND ORGANIC UNITS FOR MARINE CORPS</v>
      </c>
      <c r="F247" s="229"/>
      <c r="G247" s="230" t="s">
        <v>1478</v>
      </c>
      <c r="H247" s="221" t="str">
        <f aca="false">LEFT(I247,5)</f>
        <v>C3423</v>
      </c>
      <c r="I247" s="230" t="s">
        <v>1083</v>
      </c>
      <c r="J247" s="221" t="s">
        <v>1084</v>
      </c>
      <c r="K247" s="230" t="s">
        <v>1072</v>
      </c>
      <c r="L247" s="230" t="s">
        <v>1073</v>
      </c>
      <c r="M247" s="230" t="s">
        <v>133</v>
      </c>
      <c r="N247" s="231" t="n">
        <v>180</v>
      </c>
      <c r="O247" s="231" t="n">
        <v>0</v>
      </c>
      <c r="P247" s="231" t="n">
        <v>180</v>
      </c>
      <c r="Q247" s="232" t="n">
        <v>0.17</v>
      </c>
      <c r="R247" s="232" t="n">
        <v>0.33</v>
      </c>
      <c r="S247" s="224" t="n">
        <v>0.25</v>
      </c>
      <c r="T247" s="225" t="n">
        <f aca="false">Q247*R247*S247</f>
        <v>0.014025</v>
      </c>
      <c r="U247" s="226" t="n">
        <f aca="false">T247*P247</f>
        <v>2.5245</v>
      </c>
      <c r="V247" s="233"/>
    </row>
    <row r="248" customFormat="false" ht="13.5" hidden="false" customHeight="true" outlineLevel="0" collapsed="false">
      <c r="B248" s="228" t="n">
        <v>157</v>
      </c>
      <c r="C248" s="236" t="s">
        <v>1074</v>
      </c>
      <c r="D248" s="219" t="n">
        <v>44112</v>
      </c>
      <c r="E248" s="220" t="str">
        <f aca="false">IF(D248="","",IFERROR(VLOOKUP(D248,CCN_Library!$A$4:$B$13,2,FALSE()),"NOT IN LIBRARY"))</f>
        <v>STORAGE OF AIR OR GROUND ORGANIC UNITS FOR MARINE CORPS</v>
      </c>
      <c r="F248" s="229"/>
      <c r="G248" s="230" t="s">
        <v>1478</v>
      </c>
      <c r="H248" s="221" t="str">
        <f aca="false">LEFT(I248,5)</f>
        <v>B0007</v>
      </c>
      <c r="I248" s="230" t="s">
        <v>1485</v>
      </c>
      <c r="J248" s="221" t="s">
        <v>1486</v>
      </c>
      <c r="K248" s="230" t="s">
        <v>1072</v>
      </c>
      <c r="L248" s="230" t="s">
        <v>1073</v>
      </c>
      <c r="M248" s="230" t="s">
        <v>133</v>
      </c>
      <c r="N248" s="231" t="n">
        <v>0</v>
      </c>
      <c r="O248" s="231" t="n">
        <v>2</v>
      </c>
      <c r="P248" s="231" t="n">
        <v>2</v>
      </c>
      <c r="Q248" s="232" t="n">
        <v>2.63</v>
      </c>
      <c r="R248" s="232" t="n">
        <v>1.92</v>
      </c>
      <c r="S248" s="224" t="n">
        <v>1.62</v>
      </c>
      <c r="T248" s="225" t="n">
        <f aca="false">Q248*R248*S248</f>
        <v>8.180352</v>
      </c>
      <c r="U248" s="226" t="n">
        <f aca="false">T248*P248</f>
        <v>16.360704</v>
      </c>
      <c r="V248" s="233"/>
    </row>
    <row r="249" customFormat="false" ht="13.5" hidden="false" customHeight="true" outlineLevel="0" collapsed="false">
      <c r="B249" s="228" t="n">
        <v>158</v>
      </c>
      <c r="C249" s="236" t="s">
        <v>1074</v>
      </c>
      <c r="D249" s="219" t="n">
        <v>44112</v>
      </c>
      <c r="E249" s="220" t="str">
        <f aca="false">IF(D249="","",IFERROR(VLOOKUP(D249,CCN_Library!$A$4:$B$13,2,FALSE()),"NOT IN LIBRARY"))</f>
        <v>STORAGE OF AIR OR GROUND ORGANIC UNITS FOR MARINE CORPS</v>
      </c>
      <c r="F249" s="229"/>
      <c r="G249" s="230" t="s">
        <v>1478</v>
      </c>
      <c r="H249" s="221" t="str">
        <f aca="false">LEFT(I249,5)</f>
        <v>C6632</v>
      </c>
      <c r="I249" s="230" t="s">
        <v>1430</v>
      </c>
      <c r="J249" s="221" t="s">
        <v>1431</v>
      </c>
      <c r="K249" s="230" t="s">
        <v>1072</v>
      </c>
      <c r="L249" s="230" t="s">
        <v>1099</v>
      </c>
      <c r="M249" s="230" t="s">
        <v>133</v>
      </c>
      <c r="N249" s="231" t="n">
        <v>180</v>
      </c>
      <c r="O249" s="231" t="n">
        <v>0</v>
      </c>
      <c r="P249" s="231" t="n">
        <v>180</v>
      </c>
      <c r="Q249" s="235" t="n">
        <v>1</v>
      </c>
      <c r="R249" s="232" t="n">
        <v>0.67</v>
      </c>
      <c r="S249" s="224" t="n">
        <v>0.25</v>
      </c>
      <c r="T249" s="225" t="n">
        <f aca="false">Q249*R249*S249</f>
        <v>0.1675</v>
      </c>
      <c r="U249" s="226" t="n">
        <f aca="false">T249*P249</f>
        <v>30.15</v>
      </c>
      <c r="V249" s="233"/>
    </row>
    <row r="250" customFormat="false" ht="13.5" hidden="false" customHeight="true" outlineLevel="0" collapsed="false">
      <c r="B250" s="228" t="n">
        <v>160</v>
      </c>
      <c r="C250" s="236" t="s">
        <v>1074</v>
      </c>
      <c r="D250" s="219" t="n">
        <v>44112</v>
      </c>
      <c r="E250" s="220" t="str">
        <f aca="false">IF(D250="","",IFERROR(VLOOKUP(D250,CCN_Library!$A$4:$B$13,2,FALSE()),"NOT IN LIBRARY"))</f>
        <v>STORAGE OF AIR OR GROUND ORGANIC UNITS FOR MARINE CORPS</v>
      </c>
      <c r="F250" s="229"/>
      <c r="G250" s="230" t="s">
        <v>1478</v>
      </c>
      <c r="H250" s="221" t="str">
        <f aca="false">LEFT(I250,5)</f>
        <v>C8656</v>
      </c>
      <c r="I250" s="230" t="s">
        <v>1242</v>
      </c>
      <c r="J250" s="221" t="s">
        <v>1243</v>
      </c>
      <c r="K250" s="230" t="s">
        <v>1072</v>
      </c>
      <c r="L250" s="237"/>
      <c r="M250" s="230" t="s">
        <v>133</v>
      </c>
      <c r="N250" s="231" t="n">
        <v>0</v>
      </c>
      <c r="O250" s="231" t="n">
        <v>15</v>
      </c>
      <c r="P250" s="231" t="n">
        <v>15</v>
      </c>
      <c r="Q250" s="232" t="n">
        <v>4.17</v>
      </c>
      <c r="R250" s="232" t="n">
        <v>27.74</v>
      </c>
      <c r="S250" s="224" t="n">
        <v>4</v>
      </c>
      <c r="T250" s="225" t="n">
        <f aca="false">Q250*R250*S250</f>
        <v>462.7032</v>
      </c>
      <c r="U250" s="226" t="n">
        <f aca="false">T250*P250</f>
        <v>6940.548</v>
      </c>
      <c r="V250" s="233"/>
    </row>
    <row r="251" customFormat="false" ht="13.5" hidden="false" customHeight="true" outlineLevel="0" collapsed="false">
      <c r="B251" s="228" t="n">
        <v>161</v>
      </c>
      <c r="C251" s="236" t="s">
        <v>1074</v>
      </c>
      <c r="D251" s="219" t="n">
        <v>44112</v>
      </c>
      <c r="E251" s="220" t="str">
        <f aca="false">IF(D251="","",IFERROR(VLOOKUP(D251,CCN_Library!$A$4:$B$13,2,FALSE()),"NOT IN LIBRARY"))</f>
        <v>STORAGE OF AIR OR GROUND ORGANIC UNITS FOR MARINE CORPS</v>
      </c>
      <c r="F251" s="229"/>
      <c r="G251" s="230" t="s">
        <v>1478</v>
      </c>
      <c r="H251" s="221" t="str">
        <f aca="false">LEFT(I251,5)</f>
        <v>C8745</v>
      </c>
      <c r="I251" s="230" t="s">
        <v>1434</v>
      </c>
      <c r="J251" s="221" t="s">
        <v>1435</v>
      </c>
      <c r="K251" s="230" t="s">
        <v>1072</v>
      </c>
      <c r="L251" s="237"/>
      <c r="M251" s="230" t="s">
        <v>1116</v>
      </c>
      <c r="N251" s="231" t="n">
        <v>0</v>
      </c>
      <c r="O251" s="231" t="n">
        <v>3</v>
      </c>
      <c r="P251" s="231" t="n">
        <v>3</v>
      </c>
      <c r="Q251" s="232" t="n">
        <v>4.25</v>
      </c>
      <c r="R251" s="232" t="n">
        <v>38.07</v>
      </c>
      <c r="S251" s="224" t="n">
        <v>4</v>
      </c>
      <c r="T251" s="225" t="n">
        <f aca="false">Q251*R251*S251</f>
        <v>647.19</v>
      </c>
      <c r="U251" s="226" t="n">
        <f aca="false">T251*P251</f>
        <v>1941.57</v>
      </c>
      <c r="V251" s="233"/>
    </row>
    <row r="252" customFormat="false" ht="13.5" hidden="false" customHeight="true" outlineLevel="0" collapsed="false">
      <c r="B252" s="228" t="n">
        <v>164</v>
      </c>
      <c r="C252" s="236" t="s">
        <v>1113</v>
      </c>
      <c r="D252" s="219" t="n">
        <v>21451</v>
      </c>
      <c r="E252" s="220" t="str">
        <f aca="false">IF(D252="","",IFERROR(VLOOKUP(D252,CCN_Library!$A$4:$B$13,2,FALSE()),"NOT IN LIBRARY"))</f>
        <v>AUTOMOTIVE ORGANIZATIONAL SHOP</v>
      </c>
      <c r="F252" s="229"/>
      <c r="G252" s="230" t="s">
        <v>1478</v>
      </c>
      <c r="H252" s="221" t="str">
        <f aca="false">LEFT(I252,5)</f>
        <v>D1001</v>
      </c>
      <c r="I252" s="230" t="s">
        <v>1403</v>
      </c>
      <c r="J252" s="221" t="s">
        <v>1404</v>
      </c>
      <c r="K252" s="230" t="s">
        <v>1072</v>
      </c>
      <c r="L252" s="230" t="s">
        <v>1073</v>
      </c>
      <c r="M252" s="230" t="s">
        <v>1116</v>
      </c>
      <c r="N252" s="231" t="n">
        <v>0</v>
      </c>
      <c r="O252" s="231" t="n">
        <v>4</v>
      </c>
      <c r="P252" s="231" t="n">
        <v>4</v>
      </c>
      <c r="Q252" s="232" t="n">
        <v>17.08</v>
      </c>
      <c r="R252" s="232" t="n">
        <v>7.17</v>
      </c>
      <c r="S252" s="224" t="n">
        <v>8.5</v>
      </c>
      <c r="T252" s="225" t="n">
        <f aca="false">Q252*R252*S252</f>
        <v>1040.9406</v>
      </c>
      <c r="U252" s="226" t="n">
        <f aca="false">T252*P252</f>
        <v>4163.7624</v>
      </c>
      <c r="V252" s="233"/>
    </row>
    <row r="253" customFormat="false" ht="13.5" hidden="false" customHeight="true" outlineLevel="0" collapsed="false">
      <c r="B253" s="228" t="n">
        <v>165</v>
      </c>
      <c r="C253" s="236" t="s">
        <v>1113</v>
      </c>
      <c r="D253" s="219" t="n">
        <v>21451</v>
      </c>
      <c r="E253" s="220" t="str">
        <f aca="false">IF(D253="","",IFERROR(VLOOKUP(D253,CCN_Library!$A$4:$B$13,2,FALSE()),"NOT IN LIBRARY"))</f>
        <v>AUTOMOTIVE ORGANIZATIONAL SHOP</v>
      </c>
      <c r="F253" s="229"/>
      <c r="G253" s="230" t="s">
        <v>1478</v>
      </c>
      <c r="H253" s="221" t="str">
        <f aca="false">LEFT(I253,5)</f>
        <v>D1002</v>
      </c>
      <c r="I253" s="230" t="s">
        <v>1487</v>
      </c>
      <c r="J253" s="221" t="s">
        <v>1488</v>
      </c>
      <c r="K253" s="230" t="s">
        <v>1072</v>
      </c>
      <c r="L253" s="230" t="s">
        <v>1073</v>
      </c>
      <c r="M253" s="230" t="s">
        <v>1116</v>
      </c>
      <c r="N253" s="231" t="n">
        <v>0</v>
      </c>
      <c r="O253" s="231" t="n">
        <v>0</v>
      </c>
      <c r="P253" s="231" t="n">
        <v>0</v>
      </c>
      <c r="Q253" s="232" t="n">
        <v>14.99</v>
      </c>
      <c r="R253" s="232" t="n">
        <v>7.17</v>
      </c>
      <c r="S253" s="224" t="n">
        <v>6</v>
      </c>
      <c r="T253" s="225" t="n">
        <f aca="false">Q253*R253*S253</f>
        <v>644.8698</v>
      </c>
      <c r="U253" s="226" t="n">
        <f aca="false">T253*P253</f>
        <v>0</v>
      </c>
      <c r="V253" s="233"/>
    </row>
    <row r="254" customFormat="false" ht="13.5" hidden="false" customHeight="true" outlineLevel="0" collapsed="false">
      <c r="B254" s="228" t="n">
        <v>170</v>
      </c>
      <c r="C254" s="236" t="s">
        <v>1068</v>
      </c>
      <c r="D254" s="219" t="n">
        <v>14345</v>
      </c>
      <c r="E254" s="220" t="str">
        <f aca="false">IF(D254="","",IFERROR(VLOOKUP(D254,CCN_Library!$A$4:$B$13,2,FALSE()),"NOT IN LIBRARY"))</f>
        <v>ARMORY</v>
      </c>
      <c r="F254" s="229"/>
      <c r="G254" s="230" t="s">
        <v>1478</v>
      </c>
      <c r="H254" s="221" t="str">
        <f aca="false">LEFT(I254,5)</f>
        <v>E0994</v>
      </c>
      <c r="I254" s="230" t="s">
        <v>1203</v>
      </c>
      <c r="J254" s="221" t="s">
        <v>1204</v>
      </c>
      <c r="K254" s="230" t="s">
        <v>1072</v>
      </c>
      <c r="L254" s="230" t="s">
        <v>1073</v>
      </c>
      <c r="M254" s="230" t="s">
        <v>148</v>
      </c>
      <c r="N254" s="231" t="n">
        <v>0</v>
      </c>
      <c r="O254" s="231" t="n">
        <v>2</v>
      </c>
      <c r="P254" s="231" t="n">
        <v>2</v>
      </c>
      <c r="Q254" s="232" t="n">
        <v>3.67</v>
      </c>
      <c r="R254" s="232" t="n">
        <v>1.17</v>
      </c>
      <c r="S254" s="224" t="n">
        <v>0.75</v>
      </c>
      <c r="T254" s="225" t="n">
        <f aca="false">Q254*R254*S254</f>
        <v>3.220425</v>
      </c>
      <c r="U254" s="226" t="n">
        <f aca="false">T254*P254</f>
        <v>6.44085</v>
      </c>
      <c r="V254" s="233"/>
    </row>
    <row r="255" customFormat="false" ht="13.5" hidden="false" customHeight="true" outlineLevel="0" collapsed="false">
      <c r="B255" s="228" t="n">
        <v>177</v>
      </c>
      <c r="C255" s="236" t="s">
        <v>1074</v>
      </c>
      <c r="D255" s="219" t="n">
        <v>44112</v>
      </c>
      <c r="E255" s="220" t="str">
        <f aca="false">IF(D255="","",IFERROR(VLOOKUP(D255,CCN_Library!$A$4:$B$13,2,FALSE()),"NOT IN LIBRARY"))</f>
        <v>STORAGE OF AIR OR GROUND ORGANIC UNITS FOR MARINE CORPS</v>
      </c>
      <c r="F255" s="229"/>
      <c r="G255" s="230" t="s">
        <v>1478</v>
      </c>
      <c r="H255" s="221" t="str">
        <f aca="false">LEFT(I255,5)</f>
        <v>C0189</v>
      </c>
      <c r="I255" s="230" t="s">
        <v>1369</v>
      </c>
      <c r="J255" s="221" t="s">
        <v>1370</v>
      </c>
      <c r="K255" s="230" t="s">
        <v>1072</v>
      </c>
      <c r="L255" s="230" t="s">
        <v>1073</v>
      </c>
      <c r="M255" s="230" t="s">
        <v>133</v>
      </c>
      <c r="N255" s="231" t="n">
        <v>0</v>
      </c>
      <c r="O255" s="231" t="n">
        <v>0</v>
      </c>
      <c r="P255" s="231" t="n">
        <v>0</v>
      </c>
      <c r="Q255" s="232" t="n">
        <v>0.58</v>
      </c>
      <c r="R255" s="232" t="n">
        <v>0.58</v>
      </c>
      <c r="S255" s="224" t="n">
        <v>0.42</v>
      </c>
      <c r="T255" s="225" t="n">
        <f aca="false">Q255*R255*S255</f>
        <v>0.141288</v>
      </c>
      <c r="U255" s="226" t="n">
        <f aca="false">T255*P255</f>
        <v>0</v>
      </c>
      <c r="V255" s="233"/>
    </row>
    <row r="256" customFormat="false" ht="13.5" hidden="false" customHeight="true" outlineLevel="0" collapsed="false">
      <c r="B256" s="228" t="n">
        <v>182</v>
      </c>
      <c r="C256" s="236" t="s">
        <v>1077</v>
      </c>
      <c r="D256" s="219" t="n">
        <v>21710</v>
      </c>
      <c r="E256" s="220" t="str">
        <f aca="false">IF(D256="","",IFERROR(VLOOKUP(D256,CCN_Library!$A$4:$B$13,2,FALSE()),"NOT IN LIBRARY"))</f>
        <v>ELECTRONICS/COMMUNICATIONS MAINTENANCE SHOP</v>
      </c>
      <c r="F256" s="229"/>
      <c r="G256" s="230" t="s">
        <v>1478</v>
      </c>
      <c r="H256" s="221" t="str">
        <f aca="false">LEFT(I256,5)</f>
        <v>H7017</v>
      </c>
      <c r="I256" s="230" t="s">
        <v>1489</v>
      </c>
      <c r="J256" s="221" t="s">
        <v>1480</v>
      </c>
      <c r="K256" s="230" t="s">
        <v>1072</v>
      </c>
      <c r="L256" s="230" t="s">
        <v>1073</v>
      </c>
      <c r="M256" s="230" t="s">
        <v>133</v>
      </c>
      <c r="N256" s="231" t="n">
        <v>0</v>
      </c>
      <c r="O256" s="231" t="n">
        <v>1</v>
      </c>
      <c r="P256" s="231" t="n">
        <v>1</v>
      </c>
      <c r="Q256" s="232" t="n">
        <v>0.67</v>
      </c>
      <c r="R256" s="232" t="n">
        <v>0.33</v>
      </c>
      <c r="S256" s="224" t="n">
        <v>0.17</v>
      </c>
      <c r="T256" s="225" t="n">
        <f aca="false">Q256*R256*S256</f>
        <v>0.037587</v>
      </c>
      <c r="U256" s="226" t="n">
        <f aca="false">T256*P256</f>
        <v>0.037587</v>
      </c>
      <c r="V256" s="233"/>
    </row>
    <row r="257" customFormat="false" ht="13.5" hidden="false" customHeight="true" outlineLevel="0" collapsed="false">
      <c r="B257" s="228" t="n">
        <v>183</v>
      </c>
      <c r="C257" s="236" t="s">
        <v>1113</v>
      </c>
      <c r="D257" s="219" t="n">
        <v>21451</v>
      </c>
      <c r="E257" s="220" t="str">
        <f aca="false">IF(D257="","",IFERROR(VLOOKUP(D257,CCN_Library!$A$4:$B$13,2,FALSE()),"NOT IN LIBRARY"))</f>
        <v>AUTOMOTIVE ORGANIZATIONAL SHOP</v>
      </c>
      <c r="F257" s="229"/>
      <c r="G257" s="230" t="s">
        <v>1478</v>
      </c>
      <c r="H257" s="221" t="str">
        <f aca="false">LEFT(I257,5)</f>
        <v>K7900</v>
      </c>
      <c r="I257" s="230" t="s">
        <v>1490</v>
      </c>
      <c r="J257" s="221" t="s">
        <v>1491</v>
      </c>
      <c r="K257" s="230" t="s">
        <v>1072</v>
      </c>
      <c r="L257" s="230" t="s">
        <v>1073</v>
      </c>
      <c r="M257" s="230" t="s">
        <v>133</v>
      </c>
      <c r="N257" s="231" t="n">
        <v>0</v>
      </c>
      <c r="O257" s="231" t="n">
        <v>2</v>
      </c>
      <c r="P257" s="231" t="n">
        <v>2</v>
      </c>
      <c r="Q257" s="232" t="n">
        <v>1.5</v>
      </c>
      <c r="R257" s="232" t="n">
        <v>0.5</v>
      </c>
      <c r="S257" s="224" t="n">
        <v>1.33</v>
      </c>
      <c r="T257" s="225" t="n">
        <f aca="false">Q257*R257*S257</f>
        <v>0.9975</v>
      </c>
      <c r="U257" s="226" t="n">
        <f aca="false">T257*P257</f>
        <v>1.995</v>
      </c>
      <c r="V257" s="233"/>
    </row>
    <row r="258" customFormat="false" ht="13.5" hidden="false" customHeight="true" outlineLevel="0" collapsed="false">
      <c r="B258" s="228" t="n">
        <v>187</v>
      </c>
      <c r="C258" s="236" t="s">
        <v>1074</v>
      </c>
      <c r="D258" s="219" t="n">
        <v>44112</v>
      </c>
      <c r="E258" s="220" t="str">
        <f aca="false">IF(D258="","",IFERROR(VLOOKUP(D258,CCN_Library!$A$4:$B$13,2,FALSE()),"NOT IN LIBRARY"))</f>
        <v>STORAGE OF AIR OR GROUND ORGANIC UNITS FOR MARINE CORPS</v>
      </c>
      <c r="F258" s="229"/>
      <c r="G258" s="230" t="s">
        <v>1478</v>
      </c>
      <c r="H258" s="221" t="str">
        <f aca="false">LEFT(I258,5)</f>
        <v>C3400</v>
      </c>
      <c r="I258" s="230" t="s">
        <v>1270</v>
      </c>
      <c r="J258" s="221" t="s">
        <v>1271</v>
      </c>
      <c r="K258" s="230" t="s">
        <v>1072</v>
      </c>
      <c r="L258" s="230" t="s">
        <v>1073</v>
      </c>
      <c r="M258" s="230" t="s">
        <v>133</v>
      </c>
      <c r="N258" s="231" t="n">
        <v>180</v>
      </c>
      <c r="O258" s="231" t="n">
        <v>0</v>
      </c>
      <c r="P258" s="231" t="n">
        <v>180</v>
      </c>
      <c r="Q258" s="235" t="n">
        <v>1</v>
      </c>
      <c r="R258" s="235" t="n">
        <v>1</v>
      </c>
      <c r="S258" s="224" t="n">
        <v>0.08</v>
      </c>
      <c r="T258" s="225" t="n">
        <f aca="false">Q258*R258*S258</f>
        <v>0.08</v>
      </c>
      <c r="U258" s="226" t="n">
        <f aca="false">T258*P258</f>
        <v>14.4</v>
      </c>
      <c r="V258" s="233"/>
    </row>
    <row r="259" customFormat="false" ht="13.5" hidden="false" customHeight="true" outlineLevel="0" collapsed="false">
      <c r="B259" s="228" t="n">
        <v>188</v>
      </c>
      <c r="C259" s="236" t="s">
        <v>1068</v>
      </c>
      <c r="D259" s="219" t="n">
        <v>14345</v>
      </c>
      <c r="E259" s="220" t="str">
        <f aca="false">IF(D259="","",IFERROR(VLOOKUP(D259,CCN_Library!$A$4:$B$13,2,FALSE()),"NOT IN LIBRARY"))</f>
        <v>ARMORY</v>
      </c>
      <c r="F259" s="229"/>
      <c r="G259" s="230" t="s">
        <v>1478</v>
      </c>
      <c r="H259" s="221" t="str">
        <f aca="false">LEFT(I259,5)</f>
        <v>K4222</v>
      </c>
      <c r="I259" s="230" t="s">
        <v>1159</v>
      </c>
      <c r="J259" s="221" t="s">
        <v>1160</v>
      </c>
      <c r="K259" s="230" t="s">
        <v>1072</v>
      </c>
      <c r="L259" s="230" t="s">
        <v>1073</v>
      </c>
      <c r="M259" s="230" t="s">
        <v>133</v>
      </c>
      <c r="N259" s="231" t="n">
        <v>0</v>
      </c>
      <c r="O259" s="231" t="n">
        <v>12</v>
      </c>
      <c r="P259" s="231" t="n">
        <v>12</v>
      </c>
      <c r="Q259" s="232" t="n">
        <v>0.25</v>
      </c>
      <c r="R259" s="232" t="n">
        <v>0.25</v>
      </c>
      <c r="S259" s="224" t="n">
        <v>0.08</v>
      </c>
      <c r="T259" s="225" t="n">
        <f aca="false">Q259*R259*S259</f>
        <v>0.005</v>
      </c>
      <c r="U259" s="226" t="n">
        <f aca="false">T259*P259</f>
        <v>0.06</v>
      </c>
      <c r="V259" s="233"/>
    </row>
    <row r="260" customFormat="false" ht="13.5" hidden="false" customHeight="true" outlineLevel="0" collapsed="false">
      <c r="B260" s="228" t="n">
        <v>191</v>
      </c>
      <c r="C260" s="236" t="s">
        <v>1113</v>
      </c>
      <c r="D260" s="219" t="n">
        <v>21451</v>
      </c>
      <c r="E260" s="220" t="str">
        <f aca="false">IF(D260="","",IFERROR(VLOOKUP(D260,CCN_Library!$A$4:$B$13,2,FALSE()),"NOT IN LIBRARY"))</f>
        <v>AUTOMOTIVE ORGANIZATIONAL SHOP</v>
      </c>
      <c r="F260" s="229"/>
      <c r="G260" s="230" t="s">
        <v>1478</v>
      </c>
      <c r="H260" s="221" t="str">
        <f aca="false">LEFT(I260,5)</f>
        <v>M5030</v>
      </c>
      <c r="I260" s="230" t="s">
        <v>1492</v>
      </c>
      <c r="J260" s="221" t="s">
        <v>1493</v>
      </c>
      <c r="K260" s="230" t="s">
        <v>1072</v>
      </c>
      <c r="L260" s="230" t="s">
        <v>1073</v>
      </c>
      <c r="M260" s="230" t="s">
        <v>133</v>
      </c>
      <c r="N260" s="231" t="n">
        <v>0</v>
      </c>
      <c r="O260" s="231" t="n">
        <v>1</v>
      </c>
      <c r="P260" s="231" t="n">
        <v>1</v>
      </c>
      <c r="Q260" s="232" t="n">
        <v>3.92</v>
      </c>
      <c r="R260" s="232" t="n">
        <v>2.08</v>
      </c>
      <c r="S260" s="224" t="n">
        <v>1.17</v>
      </c>
      <c r="T260" s="225" t="n">
        <f aca="false">Q260*R260*S260</f>
        <v>9.539712</v>
      </c>
      <c r="U260" s="226" t="n">
        <f aca="false">T260*P260</f>
        <v>9.539712</v>
      </c>
      <c r="V260" s="233"/>
    </row>
    <row r="261" customFormat="false" ht="13.5" hidden="false" customHeight="true" outlineLevel="0" collapsed="false">
      <c r="B261" s="228" t="n">
        <v>193</v>
      </c>
      <c r="C261" s="236" t="s">
        <v>1068</v>
      </c>
      <c r="D261" s="219" t="n">
        <v>14345</v>
      </c>
      <c r="E261" s="220" t="str">
        <f aca="false">IF(D261="","",IFERROR(VLOOKUP(D261,CCN_Library!$A$4:$B$13,2,FALSE()),"NOT IN LIBRARY"))</f>
        <v>ARMORY</v>
      </c>
      <c r="F261" s="229"/>
      <c r="G261" s="230" t="s">
        <v>1478</v>
      </c>
      <c r="H261" s="221" t="str">
        <f aca="false">LEFT(I261,5)</f>
        <v>E1120</v>
      </c>
      <c r="I261" s="230" t="s">
        <v>1276</v>
      </c>
      <c r="J261" s="221" t="s">
        <v>1277</v>
      </c>
      <c r="K261" s="230" t="s">
        <v>1072</v>
      </c>
      <c r="L261" s="230" t="s">
        <v>1073</v>
      </c>
      <c r="M261" s="230" t="s">
        <v>133</v>
      </c>
      <c r="N261" s="231" t="n">
        <v>0</v>
      </c>
      <c r="O261" s="231" t="n">
        <v>2</v>
      </c>
      <c r="P261" s="231" t="n">
        <v>2</v>
      </c>
      <c r="Q261" s="232" t="n">
        <v>3.33</v>
      </c>
      <c r="R261" s="232" t="n">
        <v>1.25</v>
      </c>
      <c r="S261" s="224" t="n">
        <v>1.25</v>
      </c>
      <c r="T261" s="225" t="n">
        <f aca="false">Q261*R261*S261</f>
        <v>5.203125</v>
      </c>
      <c r="U261" s="226" t="n">
        <f aca="false">T261*P261</f>
        <v>10.40625</v>
      </c>
      <c r="V261" s="233"/>
    </row>
    <row r="262" customFormat="false" ht="13.5" hidden="false" customHeight="true" outlineLevel="0" collapsed="false">
      <c r="B262" s="228" t="n">
        <v>194</v>
      </c>
      <c r="C262" s="236" t="s">
        <v>1074</v>
      </c>
      <c r="D262" s="219" t="n">
        <v>44112</v>
      </c>
      <c r="E262" s="220" t="str">
        <f aca="false">IF(D262="","",IFERROR(VLOOKUP(D262,CCN_Library!$A$4:$B$13,2,FALSE()),"NOT IN LIBRARY"))</f>
        <v>STORAGE OF AIR OR GROUND ORGANIC UNITS FOR MARINE CORPS</v>
      </c>
      <c r="F262" s="229"/>
      <c r="G262" s="230" t="s">
        <v>1478</v>
      </c>
      <c r="H262" s="221" t="str">
        <f aca="false">LEFT(I262,5)</f>
        <v>C5440</v>
      </c>
      <c r="I262" s="230" t="s">
        <v>1165</v>
      </c>
      <c r="J262" s="221" t="s">
        <v>1166</v>
      </c>
      <c r="K262" s="230" t="s">
        <v>1072</v>
      </c>
      <c r="L262" s="230" t="s">
        <v>1073</v>
      </c>
      <c r="M262" s="230" t="s">
        <v>133</v>
      </c>
      <c r="N262" s="231" t="n">
        <v>180</v>
      </c>
      <c r="O262" s="231" t="n">
        <v>0</v>
      </c>
      <c r="P262" s="231" t="n">
        <v>180</v>
      </c>
      <c r="Q262" s="232" t="n">
        <v>1.33</v>
      </c>
      <c r="R262" s="232" t="n">
        <v>0.67</v>
      </c>
      <c r="S262" s="224" t="n">
        <v>1</v>
      </c>
      <c r="T262" s="225" t="n">
        <f aca="false">Q262*R262*S262</f>
        <v>0.8911</v>
      </c>
      <c r="U262" s="226" t="n">
        <f aca="false">T262*P262</f>
        <v>160.398</v>
      </c>
      <c r="V262" s="233"/>
    </row>
    <row r="263" customFormat="false" ht="13.5" hidden="false" customHeight="true" outlineLevel="0" collapsed="false">
      <c r="B263" s="228" t="n">
        <v>200</v>
      </c>
      <c r="C263" s="236" t="s">
        <v>1074</v>
      </c>
      <c r="D263" s="219" t="n">
        <v>44112</v>
      </c>
      <c r="E263" s="220" t="str">
        <f aca="false">IF(D263="","",IFERROR(VLOOKUP(D263,CCN_Library!$A$4:$B$13,2,FALSE()),"NOT IN LIBRARY"))</f>
        <v>STORAGE OF AIR OR GROUND ORGANIC UNITS FOR MARINE CORPS</v>
      </c>
      <c r="F263" s="229"/>
      <c r="G263" s="230" t="s">
        <v>1478</v>
      </c>
      <c r="H263" s="221" t="str">
        <f aca="false">LEFT(I263,5)</f>
        <v>C0170</v>
      </c>
      <c r="I263" s="230" t="s">
        <v>1336</v>
      </c>
      <c r="J263" s="221" t="s">
        <v>1337</v>
      </c>
      <c r="K263" s="230" t="s">
        <v>1072</v>
      </c>
      <c r="L263" s="230" t="s">
        <v>1073</v>
      </c>
      <c r="M263" s="230" t="s">
        <v>133</v>
      </c>
      <c r="N263" s="231" t="n">
        <v>180</v>
      </c>
      <c r="O263" s="231" t="n">
        <v>0</v>
      </c>
      <c r="P263" s="231" t="n">
        <v>180</v>
      </c>
      <c r="Q263" s="235" t="n">
        <v>0</v>
      </c>
      <c r="R263" s="235" t="n">
        <v>0</v>
      </c>
      <c r="S263" s="224" t="n">
        <v>0</v>
      </c>
      <c r="T263" s="225" t="n">
        <f aca="false">Q263*R263*S263</f>
        <v>0</v>
      </c>
      <c r="U263" s="226" t="n">
        <f aca="false">T263*P263</f>
        <v>0</v>
      </c>
      <c r="V263" s="233"/>
    </row>
    <row r="264" customFormat="false" ht="13.5" hidden="false" customHeight="true" outlineLevel="0" collapsed="false">
      <c r="B264" s="228" t="n">
        <v>202</v>
      </c>
      <c r="C264" s="236" t="s">
        <v>1077</v>
      </c>
      <c r="D264" s="219" t="n">
        <v>21710</v>
      </c>
      <c r="E264" s="220" t="str">
        <f aca="false">IF(D264="","",IFERROR(VLOOKUP(D264,CCN_Library!$A$4:$B$13,2,FALSE()),"NOT IN LIBRARY"))</f>
        <v>ELECTRONICS/COMMUNICATIONS MAINTENANCE SHOP</v>
      </c>
      <c r="F264" s="229"/>
      <c r="G264" s="230" t="s">
        <v>1478</v>
      </c>
      <c r="H264" s="221" t="str">
        <f aca="false">LEFT(I264,5)</f>
        <v>A9015</v>
      </c>
      <c r="I264" s="230" t="s">
        <v>1171</v>
      </c>
      <c r="J264" s="221" t="s">
        <v>1172</v>
      </c>
      <c r="K264" s="230" t="s">
        <v>1072</v>
      </c>
      <c r="L264" s="230" t="s">
        <v>1073</v>
      </c>
      <c r="M264" s="230" t="s">
        <v>133</v>
      </c>
      <c r="N264" s="231" t="n">
        <v>0</v>
      </c>
      <c r="O264" s="231" t="n">
        <v>5</v>
      </c>
      <c r="P264" s="231" t="n">
        <v>5</v>
      </c>
      <c r="Q264" s="232" t="n">
        <v>1.11</v>
      </c>
      <c r="R264" s="232" t="n">
        <v>1.11</v>
      </c>
      <c r="S264" s="224" t="n">
        <v>0.08</v>
      </c>
      <c r="T264" s="225" t="n">
        <f aca="false">Q264*R264*S264</f>
        <v>0.098568</v>
      </c>
      <c r="U264" s="226" t="n">
        <f aca="false">T264*P264</f>
        <v>0.49284</v>
      </c>
      <c r="V264" s="233"/>
    </row>
    <row r="265" customFormat="false" ht="13.5" hidden="false" customHeight="true" outlineLevel="0" collapsed="false">
      <c r="B265" s="228" t="n">
        <v>205</v>
      </c>
      <c r="C265" s="236" t="s">
        <v>1077</v>
      </c>
      <c r="D265" s="219" t="n">
        <v>21710</v>
      </c>
      <c r="E265" s="220" t="str">
        <f aca="false">IF(D265="","",IFERROR(VLOOKUP(D265,CCN_Library!$A$4:$B$13,2,FALSE()),"NOT IN LIBRARY"))</f>
        <v>ELECTRONICS/COMMUNICATIONS MAINTENANCE SHOP</v>
      </c>
      <c r="F265" s="229"/>
      <c r="G265" s="230" t="s">
        <v>1478</v>
      </c>
      <c r="H265" s="221" t="str">
        <f aca="false">LEFT(I265,5)</f>
        <v>K0028</v>
      </c>
      <c r="I265" s="230" t="s">
        <v>1177</v>
      </c>
      <c r="J265" s="221" t="s">
        <v>1178</v>
      </c>
      <c r="K265" s="230" t="s">
        <v>1072</v>
      </c>
      <c r="L265" s="230" t="s">
        <v>1073</v>
      </c>
      <c r="M265" s="230" t="s">
        <v>133</v>
      </c>
      <c r="N265" s="231" t="n">
        <v>0</v>
      </c>
      <c r="O265" s="231" t="n">
        <v>2</v>
      </c>
      <c r="P265" s="231" t="n">
        <v>2</v>
      </c>
      <c r="Q265" s="232" t="n">
        <v>1.84</v>
      </c>
      <c r="R265" s="232" t="n">
        <v>0.87</v>
      </c>
      <c r="S265" s="224" t="n">
        <v>1.46</v>
      </c>
      <c r="T265" s="225" t="n">
        <f aca="false">Q265*R265*S265</f>
        <v>2.337168</v>
      </c>
      <c r="U265" s="226" t="n">
        <f aca="false">T265*P265</f>
        <v>4.674336</v>
      </c>
      <c r="V265" s="233"/>
    </row>
    <row r="266" customFormat="false" ht="13.5" hidden="false" customHeight="true" outlineLevel="0" collapsed="false">
      <c r="B266" s="228" t="n">
        <v>208</v>
      </c>
      <c r="C266" s="236" t="s">
        <v>1074</v>
      </c>
      <c r="D266" s="219" t="n">
        <v>44112</v>
      </c>
      <c r="E266" s="220" t="str">
        <f aca="false">IF(D266="","",IFERROR(VLOOKUP(D266,CCN_Library!$A$4:$B$13,2,FALSE()),"NOT IN LIBRARY"))</f>
        <v>STORAGE OF AIR OR GROUND ORGANIC UNITS FOR MARINE CORPS</v>
      </c>
      <c r="F266" s="229"/>
      <c r="G266" s="230" t="s">
        <v>1478</v>
      </c>
      <c r="H266" s="221" t="str">
        <f aca="false">LEFT(I266,5)</f>
        <v>B2130</v>
      </c>
      <c r="I266" s="230" t="s">
        <v>1224</v>
      </c>
      <c r="J266" s="221" t="s">
        <v>1225</v>
      </c>
      <c r="K266" s="230" t="s">
        <v>1072</v>
      </c>
      <c r="L266" s="230" t="s">
        <v>1073</v>
      </c>
      <c r="M266" s="237"/>
      <c r="N266" s="231" t="n">
        <v>0</v>
      </c>
      <c r="O266" s="231" t="n">
        <v>0</v>
      </c>
      <c r="P266" s="231" t="n">
        <v>0</v>
      </c>
      <c r="Q266" s="232" t="n">
        <v>6.08</v>
      </c>
      <c r="R266" s="232" t="n">
        <v>3.92</v>
      </c>
      <c r="S266" s="224" t="n">
        <v>1.75</v>
      </c>
      <c r="T266" s="225" t="n">
        <f aca="false">Q266*R266*S266</f>
        <v>41.7088</v>
      </c>
      <c r="U266" s="226" t="n">
        <f aca="false">T266*P266</f>
        <v>0</v>
      </c>
      <c r="V266" s="233"/>
    </row>
    <row r="267" customFormat="false" ht="13.5" hidden="false" customHeight="true" outlineLevel="0" collapsed="false">
      <c r="B267" s="228" t="n">
        <v>210</v>
      </c>
      <c r="C267" s="236" t="s">
        <v>1113</v>
      </c>
      <c r="D267" s="219" t="n">
        <v>21451</v>
      </c>
      <c r="E267" s="220" t="str">
        <f aca="false">IF(D267="","",IFERROR(VLOOKUP(D267,CCN_Library!$A$4:$B$13,2,FALSE()),"NOT IN LIBRARY"))</f>
        <v>AUTOMOTIVE ORGANIZATIONAL SHOP</v>
      </c>
      <c r="F267" s="229"/>
      <c r="G267" s="230" t="s">
        <v>1478</v>
      </c>
      <c r="H267" s="221" t="str">
        <f aca="false">LEFT(I267,5)</f>
        <v>M0011</v>
      </c>
      <c r="I267" s="230" t="s">
        <v>1226</v>
      </c>
      <c r="J267" s="221" t="s">
        <v>1227</v>
      </c>
      <c r="K267" s="230" t="s">
        <v>1072</v>
      </c>
      <c r="L267" s="230" t="s">
        <v>1073</v>
      </c>
      <c r="M267" s="230" t="s">
        <v>133</v>
      </c>
      <c r="N267" s="231" t="n">
        <v>0</v>
      </c>
      <c r="O267" s="231" t="n">
        <v>3</v>
      </c>
      <c r="P267" s="231" t="n">
        <v>3</v>
      </c>
      <c r="Q267" s="237"/>
      <c r="R267" s="237"/>
      <c r="S267" s="224" t="n">
        <v>0</v>
      </c>
      <c r="T267" s="225" t="n">
        <f aca="false">Q267*R267*S267</f>
        <v>0</v>
      </c>
      <c r="U267" s="226" t="n">
        <f aca="false">T267*P267</f>
        <v>0</v>
      </c>
      <c r="V267" s="233"/>
    </row>
    <row r="268" customFormat="false" ht="13.5" hidden="false" customHeight="true" outlineLevel="0" collapsed="false">
      <c r="B268" s="228" t="n">
        <v>212</v>
      </c>
      <c r="C268" s="236" t="s">
        <v>1074</v>
      </c>
      <c r="D268" s="219" t="n">
        <v>44112</v>
      </c>
      <c r="E268" s="220" t="str">
        <f aca="false">IF(D268="","",IFERROR(VLOOKUP(D268,CCN_Library!$A$4:$B$13,2,FALSE()),"NOT IN LIBRARY"))</f>
        <v>STORAGE OF AIR OR GROUND ORGANIC UNITS FOR MARINE CORPS</v>
      </c>
      <c r="F268" s="229"/>
      <c r="G268" s="230" t="s">
        <v>1478</v>
      </c>
      <c r="H268" s="221" t="str">
        <f aca="false">LEFT(I268,5)</f>
        <v>C5265</v>
      </c>
      <c r="I268" s="230" t="s">
        <v>1391</v>
      </c>
      <c r="J268" s="221" t="s">
        <v>1392</v>
      </c>
      <c r="K268" s="230" t="s">
        <v>1072</v>
      </c>
      <c r="L268" s="230" t="s">
        <v>1073</v>
      </c>
      <c r="M268" s="230" t="s">
        <v>133</v>
      </c>
      <c r="N268" s="231" t="n">
        <v>180</v>
      </c>
      <c r="O268" s="231" t="n">
        <v>0</v>
      </c>
      <c r="P268" s="231" t="n">
        <v>180</v>
      </c>
      <c r="Q268" s="232" t="n">
        <v>0.99</v>
      </c>
      <c r="R268" s="232" t="n">
        <v>0.99</v>
      </c>
      <c r="S268" s="224" t="n">
        <v>0.74</v>
      </c>
      <c r="T268" s="225" t="n">
        <f aca="false">Q268*R268*S268</f>
        <v>0.725274</v>
      </c>
      <c r="U268" s="226" t="n">
        <f aca="false">T268*P268</f>
        <v>130.54932</v>
      </c>
      <c r="V268" s="233"/>
    </row>
    <row r="269" customFormat="false" ht="13.5" hidden="false" customHeight="true" outlineLevel="0" collapsed="false">
      <c r="B269" s="228" t="n">
        <v>228</v>
      </c>
      <c r="C269" s="236" t="s">
        <v>1074</v>
      </c>
      <c r="D269" s="219" t="n">
        <v>44112</v>
      </c>
      <c r="E269" s="220" t="str">
        <f aca="false">IF(D269="","",IFERROR(VLOOKUP(D269,CCN_Library!$A$4:$B$13,2,FALSE()),"NOT IN LIBRARY"))</f>
        <v>STORAGE OF AIR OR GROUND ORGANIC UNITS FOR MARINE CORPS</v>
      </c>
      <c r="F269" s="229"/>
      <c r="G269" s="230" t="s">
        <v>1478</v>
      </c>
      <c r="H269" s="221" t="str">
        <f aca="false">LEFT(I269,5)</f>
        <v>C8634</v>
      </c>
      <c r="I269" s="230" t="s">
        <v>1301</v>
      </c>
      <c r="J269" s="221" t="s">
        <v>1302</v>
      </c>
      <c r="K269" s="230" t="s">
        <v>1072</v>
      </c>
      <c r="L269" s="237"/>
      <c r="M269" s="230" t="s">
        <v>133</v>
      </c>
      <c r="N269" s="231" t="n">
        <v>0</v>
      </c>
      <c r="O269" s="231" t="n">
        <v>6</v>
      </c>
      <c r="P269" s="231" t="n">
        <v>6</v>
      </c>
      <c r="Q269" s="232" t="n">
        <v>4.5</v>
      </c>
      <c r="R269" s="232" t="n">
        <v>11.66</v>
      </c>
      <c r="S269" s="224" t="n">
        <v>4.25</v>
      </c>
      <c r="T269" s="225" t="n">
        <f aca="false">Q269*R269*S269</f>
        <v>222.9975</v>
      </c>
      <c r="U269" s="226" t="n">
        <f aca="false">T269*P269</f>
        <v>1337.985</v>
      </c>
      <c r="V269" s="233"/>
    </row>
    <row r="270" customFormat="false" ht="13.5" hidden="false" customHeight="true" outlineLevel="0" collapsed="false">
      <c r="B270" s="228" t="n">
        <v>234</v>
      </c>
      <c r="C270" s="236" t="s">
        <v>1113</v>
      </c>
      <c r="D270" s="219" t="n">
        <v>21451</v>
      </c>
      <c r="E270" s="220" t="str">
        <f aca="false">IF(D270="","",IFERROR(VLOOKUP(D270,CCN_Library!$A$4:$B$13,2,FALSE()),"NOT IN LIBRARY"))</f>
        <v>AUTOMOTIVE ORGANIZATIONAL SHOP</v>
      </c>
      <c r="F270" s="229"/>
      <c r="G270" s="230" t="s">
        <v>1478</v>
      </c>
      <c r="H270" s="221" t="str">
        <f aca="false">LEFT(I270,5)</f>
        <v>K5060</v>
      </c>
      <c r="I270" s="230" t="s">
        <v>1494</v>
      </c>
      <c r="J270" s="221" t="s">
        <v>1495</v>
      </c>
      <c r="K270" s="230" t="s">
        <v>1072</v>
      </c>
      <c r="L270" s="230" t="s">
        <v>1073</v>
      </c>
      <c r="M270" s="230" t="s">
        <v>133</v>
      </c>
      <c r="N270" s="231" t="n">
        <v>0</v>
      </c>
      <c r="O270" s="231" t="n">
        <v>1</v>
      </c>
      <c r="P270" s="231" t="n">
        <v>1</v>
      </c>
      <c r="Q270" s="235" t="n">
        <v>0</v>
      </c>
      <c r="R270" s="235" t="n">
        <v>0</v>
      </c>
      <c r="S270" s="224" t="n">
        <v>0</v>
      </c>
      <c r="T270" s="225" t="n">
        <f aca="false">Q270*R270*S270</f>
        <v>0</v>
      </c>
      <c r="U270" s="226" t="n">
        <f aca="false">T270*P270</f>
        <v>0</v>
      </c>
      <c r="V270" s="233"/>
    </row>
    <row r="271" customFormat="false" ht="13.5" hidden="false" customHeight="true" outlineLevel="0" collapsed="false">
      <c r="B271" s="228" t="n">
        <v>238</v>
      </c>
      <c r="C271" s="236" t="s">
        <v>1068</v>
      </c>
      <c r="D271" s="219" t="n">
        <v>14345</v>
      </c>
      <c r="E271" s="220" t="str">
        <f aca="false">IF(D271="","",IFERROR(VLOOKUP(D271,CCN_Library!$A$4:$B$13,2,FALSE()),"NOT IN LIBRARY"))</f>
        <v>ARMORY</v>
      </c>
      <c r="F271" s="229"/>
      <c r="G271" s="230" t="s">
        <v>1478</v>
      </c>
      <c r="H271" s="221" t="str">
        <f aca="false">LEFT(I271,5)</f>
        <v>E1975</v>
      </c>
      <c r="I271" s="230" t="s">
        <v>1303</v>
      </c>
      <c r="J271" s="221" t="s">
        <v>1304</v>
      </c>
      <c r="K271" s="230" t="s">
        <v>1072</v>
      </c>
      <c r="L271" s="230" t="s">
        <v>1073</v>
      </c>
      <c r="M271" s="230" t="s">
        <v>1116</v>
      </c>
      <c r="N271" s="231" t="n">
        <v>2</v>
      </c>
      <c r="O271" s="231" t="n">
        <v>0</v>
      </c>
      <c r="P271" s="231" t="n">
        <v>2</v>
      </c>
      <c r="Q271" s="232" t="n">
        <v>1.17</v>
      </c>
      <c r="R271" s="232" t="n">
        <v>0.25</v>
      </c>
      <c r="S271" s="224" t="n">
        <v>0.42</v>
      </c>
      <c r="T271" s="225" t="n">
        <f aca="false">Q271*R271*S271</f>
        <v>0.12285</v>
      </c>
      <c r="U271" s="226" t="n">
        <f aca="false">T271*P271</f>
        <v>0.2457</v>
      </c>
      <c r="V271" s="233"/>
    </row>
    <row r="272" customFormat="false" ht="13.5" hidden="false" customHeight="true" outlineLevel="0" collapsed="false">
      <c r="B272" s="228" t="n">
        <v>239</v>
      </c>
      <c r="C272" s="236" t="s">
        <v>1074</v>
      </c>
      <c r="D272" s="219" t="n">
        <v>44112</v>
      </c>
      <c r="E272" s="220" t="str">
        <f aca="false">IF(D272="","",IFERROR(VLOOKUP(D272,CCN_Library!$A$4:$B$13,2,FALSE()),"NOT IN LIBRARY"))</f>
        <v>STORAGE OF AIR OR GROUND ORGANIC UNITS FOR MARINE CORPS</v>
      </c>
      <c r="F272" s="229"/>
      <c r="G272" s="230" t="s">
        <v>1478</v>
      </c>
      <c r="H272" s="221" t="str">
        <f aca="false">LEFT(I272,5)</f>
        <v>C2110</v>
      </c>
      <c r="I272" s="230" t="s">
        <v>1257</v>
      </c>
      <c r="J272" s="221" t="s">
        <v>1258</v>
      </c>
      <c r="K272" s="230" t="s">
        <v>1072</v>
      </c>
      <c r="L272" s="230" t="s">
        <v>1259</v>
      </c>
      <c r="M272" s="230" t="s">
        <v>133</v>
      </c>
      <c r="N272" s="231" t="n">
        <v>18</v>
      </c>
      <c r="O272" s="231" t="n">
        <v>0</v>
      </c>
      <c r="P272" s="231" t="n">
        <v>18</v>
      </c>
      <c r="Q272" s="232" t="n">
        <v>0.67</v>
      </c>
      <c r="R272" s="232" t="n">
        <v>0.67</v>
      </c>
      <c r="S272" s="224" t="n">
        <v>0.13</v>
      </c>
      <c r="T272" s="225" t="n">
        <f aca="false">Q272*R272*S272</f>
        <v>0.058357</v>
      </c>
      <c r="U272" s="226" t="n">
        <f aca="false">T272*P272</f>
        <v>1.050426</v>
      </c>
      <c r="V272" s="233"/>
    </row>
    <row r="273" customFormat="false" ht="13.5" hidden="false" customHeight="true" outlineLevel="0" collapsed="false">
      <c r="B273" s="228" t="n">
        <v>242</v>
      </c>
      <c r="C273" s="236" t="s">
        <v>1077</v>
      </c>
      <c r="D273" s="219" t="n">
        <v>21710</v>
      </c>
      <c r="E273" s="220" t="str">
        <f aca="false">IF(D273="","",IFERROR(VLOOKUP(D273,CCN_Library!$A$4:$B$13,2,FALSE()),"NOT IN LIBRARY"))</f>
        <v>ELECTRONICS/COMMUNICATIONS MAINTENANCE SHOP</v>
      </c>
      <c r="F273" s="229"/>
      <c r="G273" s="230" t="s">
        <v>1478</v>
      </c>
      <c r="H273" s="221" t="str">
        <f aca="false">LEFT(I273,5)</f>
        <v>H7800</v>
      </c>
      <c r="I273" s="230" t="s">
        <v>1496</v>
      </c>
      <c r="J273" s="221" t="s">
        <v>1497</v>
      </c>
      <c r="K273" s="230" t="s">
        <v>1072</v>
      </c>
      <c r="L273" s="230" t="s">
        <v>1073</v>
      </c>
      <c r="M273" s="230" t="s">
        <v>133</v>
      </c>
      <c r="N273" s="231" t="n">
        <v>0</v>
      </c>
      <c r="O273" s="231" t="n">
        <v>1</v>
      </c>
      <c r="P273" s="231" t="n">
        <v>1</v>
      </c>
      <c r="Q273" s="232" t="n">
        <v>1.67</v>
      </c>
      <c r="R273" s="232" t="n">
        <v>1.17</v>
      </c>
      <c r="S273" s="224" t="n">
        <v>0.42</v>
      </c>
      <c r="T273" s="225" t="n">
        <f aca="false">Q273*R273*S273</f>
        <v>0.820638</v>
      </c>
      <c r="U273" s="226" t="n">
        <f aca="false">T273*P273</f>
        <v>0.820638</v>
      </c>
      <c r="V273" s="233"/>
    </row>
    <row r="274" customFormat="false" ht="13.5" hidden="false" customHeight="true" outlineLevel="0" collapsed="false">
      <c r="B274" s="228" t="n">
        <v>243</v>
      </c>
      <c r="C274" s="236" t="s">
        <v>1068</v>
      </c>
      <c r="D274" s="219" t="n">
        <v>14345</v>
      </c>
      <c r="E274" s="220" t="str">
        <f aca="false">IF(D274="","",IFERROR(VLOOKUP(D274,CCN_Library!$A$4:$B$13,2,FALSE()),"NOT IN LIBRARY"))</f>
        <v>ARMORY</v>
      </c>
      <c r="F274" s="229"/>
      <c r="G274" s="230" t="s">
        <v>1478</v>
      </c>
      <c r="H274" s="221" t="str">
        <f aca="false">LEFT(I274,5)</f>
        <v>C0062</v>
      </c>
      <c r="I274" s="230" t="s">
        <v>1205</v>
      </c>
      <c r="J274" s="221" t="s">
        <v>1206</v>
      </c>
      <c r="K274" s="230" t="s">
        <v>1072</v>
      </c>
      <c r="L274" s="230" t="s">
        <v>1073</v>
      </c>
      <c r="M274" s="230" t="s">
        <v>133</v>
      </c>
      <c r="N274" s="231" t="n">
        <v>360</v>
      </c>
      <c r="O274" s="231" t="n">
        <v>0</v>
      </c>
      <c r="P274" s="231" t="n">
        <v>360</v>
      </c>
      <c r="Q274" s="232" t="n">
        <v>1.08</v>
      </c>
      <c r="R274" s="232" t="n">
        <v>0.58</v>
      </c>
      <c r="S274" s="224" t="n">
        <v>0.25</v>
      </c>
      <c r="T274" s="225" t="n">
        <f aca="false">Q274*R274*S274</f>
        <v>0.1566</v>
      </c>
      <c r="U274" s="226" t="n">
        <f aca="false">T274*P274</f>
        <v>56.376</v>
      </c>
      <c r="V274" s="233"/>
    </row>
    <row r="275" customFormat="false" ht="13.5" hidden="false" customHeight="true" outlineLevel="0" collapsed="false">
      <c r="B275" s="228" t="n">
        <v>244</v>
      </c>
      <c r="C275" s="236" t="s">
        <v>1068</v>
      </c>
      <c r="D275" s="219" t="n">
        <v>14345</v>
      </c>
      <c r="E275" s="220" t="str">
        <f aca="false">IF(D275="","",IFERROR(VLOOKUP(D275,CCN_Library!$A$4:$B$13,2,FALSE()),"NOT IN LIBRARY"))</f>
        <v>ARMORY</v>
      </c>
      <c r="F275" s="229"/>
      <c r="G275" s="230" t="s">
        <v>1478</v>
      </c>
      <c r="H275" s="221" t="str">
        <f aca="false">LEFT(I275,5)</f>
        <v>E0082</v>
      </c>
      <c r="I275" s="230" t="s">
        <v>1207</v>
      </c>
      <c r="J275" s="221" t="s">
        <v>1208</v>
      </c>
      <c r="K275" s="230" t="s">
        <v>1072</v>
      </c>
      <c r="L275" s="230" t="s">
        <v>1073</v>
      </c>
      <c r="M275" s="230" t="s">
        <v>133</v>
      </c>
      <c r="N275" s="231" t="n">
        <v>0</v>
      </c>
      <c r="O275" s="231" t="n">
        <v>0</v>
      </c>
      <c r="P275" s="231" t="n">
        <v>0</v>
      </c>
      <c r="Q275" s="232" t="n">
        <v>0.83</v>
      </c>
      <c r="R275" s="232" t="n">
        <v>0.42</v>
      </c>
      <c r="S275" s="224" t="n">
        <v>0.33</v>
      </c>
      <c r="T275" s="225" t="n">
        <f aca="false">Q275*R275*S275</f>
        <v>0.115038</v>
      </c>
      <c r="U275" s="226" t="n">
        <f aca="false">T275*P275</f>
        <v>0</v>
      </c>
      <c r="V275" s="233"/>
    </row>
    <row r="276" customFormat="false" ht="13.5" hidden="false" customHeight="true" outlineLevel="0" collapsed="false">
      <c r="B276" s="228" t="n">
        <v>247</v>
      </c>
      <c r="C276" s="236" t="s">
        <v>1074</v>
      </c>
      <c r="D276" s="219" t="n">
        <v>44112</v>
      </c>
      <c r="E276" s="220" t="str">
        <f aca="false">IF(D276="","",IFERROR(VLOOKUP(D276,CCN_Library!$A$4:$B$13,2,FALSE()),"NOT IN LIBRARY"))</f>
        <v>STORAGE OF AIR OR GROUND ORGANIC UNITS FOR MARINE CORPS</v>
      </c>
      <c r="F276" s="229"/>
      <c r="G276" s="230" t="s">
        <v>1478</v>
      </c>
      <c r="H276" s="221" t="str">
        <f aca="false">LEFT(I276,5)</f>
        <v>C1120</v>
      </c>
      <c r="I276" s="230" t="s">
        <v>1097</v>
      </c>
      <c r="J276" s="221" t="s">
        <v>1098</v>
      </c>
      <c r="K276" s="230" t="s">
        <v>1072</v>
      </c>
      <c r="L276" s="230" t="s">
        <v>1099</v>
      </c>
      <c r="M276" s="230" t="s">
        <v>133</v>
      </c>
      <c r="N276" s="231" t="n">
        <v>360</v>
      </c>
      <c r="O276" s="231" t="n">
        <v>0</v>
      </c>
      <c r="P276" s="231" t="n">
        <v>360</v>
      </c>
      <c r="Q276" s="235" t="n">
        <v>1</v>
      </c>
      <c r="R276" s="232" t="n">
        <v>0.5</v>
      </c>
      <c r="S276" s="224" t="n">
        <v>0.08</v>
      </c>
      <c r="T276" s="225" t="n">
        <f aca="false">Q276*R276*S276</f>
        <v>0.04</v>
      </c>
      <c r="U276" s="226" t="n">
        <f aca="false">T276*P276</f>
        <v>14.4</v>
      </c>
      <c r="V276" s="233"/>
    </row>
    <row r="277" customFormat="false" ht="13.5" hidden="false" customHeight="true" outlineLevel="0" collapsed="false">
      <c r="B277" s="228" t="n">
        <v>248</v>
      </c>
      <c r="C277" s="236" t="s">
        <v>1074</v>
      </c>
      <c r="D277" s="219" t="n">
        <v>44112</v>
      </c>
      <c r="E277" s="220" t="str">
        <f aca="false">IF(D277="","",IFERROR(VLOOKUP(D277,CCN_Library!$A$4:$B$13,2,FALSE()),"NOT IN LIBRARY"))</f>
        <v>STORAGE OF AIR OR GROUND ORGANIC UNITS FOR MARINE CORPS</v>
      </c>
      <c r="F277" s="229"/>
      <c r="G277" s="230" t="s">
        <v>1478</v>
      </c>
      <c r="H277" s="221" t="str">
        <f aca="false">LEFT(I277,5)</f>
        <v>C0074</v>
      </c>
      <c r="I277" s="230" t="s">
        <v>1448</v>
      </c>
      <c r="J277" s="221" t="s">
        <v>1449</v>
      </c>
      <c r="K277" s="230" t="s">
        <v>1072</v>
      </c>
      <c r="L277" s="230" t="s">
        <v>1073</v>
      </c>
      <c r="M277" s="230" t="s">
        <v>133</v>
      </c>
      <c r="N277" s="231" t="n">
        <v>180</v>
      </c>
      <c r="O277" s="231" t="n">
        <v>0</v>
      </c>
      <c r="P277" s="231" t="n">
        <v>180</v>
      </c>
      <c r="Q277" s="232" t="n">
        <v>0.25</v>
      </c>
      <c r="R277" s="232" t="n">
        <v>0.08</v>
      </c>
      <c r="S277" s="224" t="n">
        <v>0.08</v>
      </c>
      <c r="T277" s="225" t="n">
        <f aca="false">Q277*R277*S277</f>
        <v>0.0016</v>
      </c>
      <c r="U277" s="226" t="n">
        <f aca="false">T277*P277</f>
        <v>0.288</v>
      </c>
      <c r="V277" s="233"/>
    </row>
    <row r="278" customFormat="false" ht="13.5" hidden="false" customHeight="true" outlineLevel="0" collapsed="false">
      <c r="B278" s="228" t="n">
        <v>250</v>
      </c>
      <c r="C278" s="236" t="s">
        <v>1131</v>
      </c>
      <c r="D278" s="219" t="n">
        <v>14312</v>
      </c>
      <c r="E278" s="220" t="str">
        <f aca="false">IF(D278="","",IFERROR(VLOOKUP(D278,CCN_Library!$A$4:$B$13,2,FALSE()),"NOT IN LIBRARY"))</f>
        <v>OPERATIONAL VEHICLE LAYDOWN AREA</v>
      </c>
      <c r="F278" s="229"/>
      <c r="G278" s="230" t="s">
        <v>1478</v>
      </c>
      <c r="H278" s="221" t="str">
        <f aca="false">LEFT(I278,5)</f>
        <v>B1021</v>
      </c>
      <c r="I278" s="230" t="s">
        <v>1450</v>
      </c>
      <c r="J278" s="221" t="s">
        <v>1451</v>
      </c>
      <c r="K278" s="230" t="s">
        <v>1072</v>
      </c>
      <c r="L278" s="230" t="s">
        <v>1073</v>
      </c>
      <c r="M278" s="230" t="s">
        <v>1116</v>
      </c>
      <c r="N278" s="231" t="n">
        <v>0</v>
      </c>
      <c r="O278" s="231" t="n">
        <v>6</v>
      </c>
      <c r="P278" s="231" t="n">
        <v>6</v>
      </c>
      <c r="Q278" s="232" t="n">
        <v>6.83</v>
      </c>
      <c r="R278" s="235" t="n">
        <v>3</v>
      </c>
      <c r="S278" s="224" t="n">
        <v>4.4</v>
      </c>
      <c r="T278" s="225" t="n">
        <f aca="false">Q278*R278*S278</f>
        <v>90.156</v>
      </c>
      <c r="U278" s="226" t="n">
        <f aca="false">T278*P278</f>
        <v>540.936</v>
      </c>
      <c r="V278" s="233"/>
    </row>
    <row r="279" customFormat="false" ht="13.5" hidden="false" customHeight="true" outlineLevel="0" collapsed="false">
      <c r="B279" s="228" t="n">
        <v>252</v>
      </c>
      <c r="C279" s="236" t="s">
        <v>1074</v>
      </c>
      <c r="D279" s="219" t="n">
        <v>44112</v>
      </c>
      <c r="E279" s="220" t="str">
        <f aca="false">IF(D279="","",IFERROR(VLOOKUP(D279,CCN_Library!$A$4:$B$13,2,FALSE()),"NOT IN LIBRARY"))</f>
        <v>STORAGE OF AIR OR GROUND ORGANIC UNITS FOR MARINE CORPS</v>
      </c>
      <c r="F279" s="229"/>
      <c r="G279" s="230" t="s">
        <v>1478</v>
      </c>
      <c r="H279" s="221" t="str">
        <f aca="false">LEFT(I279,5)</f>
        <v>C0117</v>
      </c>
      <c r="I279" s="230" t="s">
        <v>1452</v>
      </c>
      <c r="J279" s="221" t="s">
        <v>1453</v>
      </c>
      <c r="K279" s="230" t="s">
        <v>1072</v>
      </c>
      <c r="L279" s="230" t="s">
        <v>1073</v>
      </c>
      <c r="M279" s="230" t="s">
        <v>133</v>
      </c>
      <c r="N279" s="231" t="n">
        <v>180</v>
      </c>
      <c r="O279" s="231" t="n">
        <v>0</v>
      </c>
      <c r="P279" s="231" t="n">
        <v>180</v>
      </c>
      <c r="Q279" s="232" t="n">
        <v>0.83</v>
      </c>
      <c r="R279" s="232" t="n">
        <v>0.5</v>
      </c>
      <c r="S279" s="224" t="n">
        <v>0.17</v>
      </c>
      <c r="T279" s="225" t="n">
        <f aca="false">Q279*R279*S279</f>
        <v>0.07055</v>
      </c>
      <c r="U279" s="226" t="n">
        <f aca="false">T279*P279</f>
        <v>12.699</v>
      </c>
      <c r="V279" s="233"/>
    </row>
    <row r="280" customFormat="false" ht="13.5" hidden="false" customHeight="true" outlineLevel="0" collapsed="false">
      <c r="B280" s="228" t="n">
        <v>257</v>
      </c>
      <c r="C280" s="236" t="s">
        <v>1068</v>
      </c>
      <c r="D280" s="219" t="n">
        <v>14345</v>
      </c>
      <c r="E280" s="220" t="str">
        <f aca="false">IF(D280="","",IFERROR(VLOOKUP(D280,CCN_Library!$A$4:$B$13,2,FALSE()),"NOT IN LIBRARY"))</f>
        <v>ARMORY</v>
      </c>
      <c r="F280" s="229"/>
      <c r="G280" s="230" t="s">
        <v>1478</v>
      </c>
      <c r="H280" s="221" t="str">
        <f aca="false">LEFT(I280,5)</f>
        <v>E0123</v>
      </c>
      <c r="I280" s="230" t="s">
        <v>1320</v>
      </c>
      <c r="J280" s="221" t="s">
        <v>1321</v>
      </c>
      <c r="K280" s="230" t="s">
        <v>1072</v>
      </c>
      <c r="L280" s="230" t="s">
        <v>1073</v>
      </c>
      <c r="M280" s="230" t="s">
        <v>148</v>
      </c>
      <c r="N280" s="231" t="n">
        <v>0</v>
      </c>
      <c r="O280" s="231" t="n">
        <v>2</v>
      </c>
      <c r="P280" s="231" t="n">
        <v>2</v>
      </c>
      <c r="Q280" s="232" t="n">
        <v>5.41</v>
      </c>
      <c r="R280" s="232" t="n">
        <v>0.75</v>
      </c>
      <c r="S280" s="224" t="n">
        <v>0.92</v>
      </c>
      <c r="T280" s="225" t="n">
        <f aca="false">Q280*R280*S280</f>
        <v>3.7329</v>
      </c>
      <c r="U280" s="226" t="n">
        <f aca="false">T280*P280</f>
        <v>7.4658</v>
      </c>
      <c r="V280" s="233"/>
    </row>
    <row r="281" customFormat="false" ht="13.5" hidden="false" customHeight="true" outlineLevel="0" collapsed="false">
      <c r="B281" s="228" t="n">
        <v>266</v>
      </c>
      <c r="C281" s="236" t="s">
        <v>1113</v>
      </c>
      <c r="D281" s="219" t="n">
        <v>21451</v>
      </c>
      <c r="E281" s="220" t="str">
        <f aca="false">IF(D281="","",IFERROR(VLOOKUP(D281,CCN_Library!$A$4:$B$13,2,FALSE()),"NOT IN LIBRARY"))</f>
        <v>AUTOMOTIVE ORGANIZATIONAL SHOP</v>
      </c>
      <c r="F281" s="229"/>
      <c r="G281" s="230" t="s">
        <v>1478</v>
      </c>
      <c r="H281" s="221" t="str">
        <f aca="false">LEFT(I281,5)</f>
        <v>D0045</v>
      </c>
      <c r="I281" s="230" t="s">
        <v>1167</v>
      </c>
      <c r="J281" s="221" t="s">
        <v>1168</v>
      </c>
      <c r="K281" s="230" t="s">
        <v>1072</v>
      </c>
      <c r="L281" s="230" t="s">
        <v>1073</v>
      </c>
      <c r="M281" s="230" t="s">
        <v>1116</v>
      </c>
      <c r="N281" s="231" t="n">
        <v>0</v>
      </c>
      <c r="O281" s="231" t="n">
        <v>1</v>
      </c>
      <c r="P281" s="231" t="n">
        <v>1</v>
      </c>
      <c r="Q281" s="237"/>
      <c r="R281" s="237"/>
      <c r="S281" s="224" t="n">
        <v>0</v>
      </c>
      <c r="T281" s="225" t="n">
        <f aca="false">Q281*R281*S281</f>
        <v>0</v>
      </c>
      <c r="U281" s="226" t="n">
        <f aca="false">T281*P281</f>
        <v>0</v>
      </c>
      <c r="V281" s="233"/>
    </row>
    <row r="282" customFormat="false" ht="13.5" hidden="false" customHeight="true" outlineLevel="0" collapsed="false">
      <c r="B282" s="228" t="n">
        <v>274</v>
      </c>
      <c r="C282" s="236" t="s">
        <v>1077</v>
      </c>
      <c r="D282" s="219" t="n">
        <v>21710</v>
      </c>
      <c r="E282" s="220" t="str">
        <f aca="false">IF(D282="","",IFERROR(VLOOKUP(D282,CCN_Library!$A$4:$B$13,2,FALSE()),"NOT IN LIBRARY"))</f>
        <v>ELECTRONICS/COMMUNICATIONS MAINTENANCE SHOP</v>
      </c>
      <c r="F282" s="229"/>
      <c r="G282" s="230" t="s">
        <v>1478</v>
      </c>
      <c r="H282" s="221" t="str">
        <f aca="false">LEFT(I282,5)</f>
        <v>H7921</v>
      </c>
      <c r="I282" s="230" t="s">
        <v>1498</v>
      </c>
      <c r="J282" s="221" t="s">
        <v>1499</v>
      </c>
      <c r="K282" s="230" t="s">
        <v>1072</v>
      </c>
      <c r="L282" s="230" t="s">
        <v>1073</v>
      </c>
      <c r="M282" s="237"/>
      <c r="N282" s="231" t="n">
        <v>0</v>
      </c>
      <c r="O282" s="231" t="n">
        <v>1</v>
      </c>
      <c r="P282" s="231" t="n">
        <v>1</v>
      </c>
      <c r="Q282" s="232" t="n">
        <v>0.83</v>
      </c>
      <c r="R282" s="232" t="n">
        <v>0.58</v>
      </c>
      <c r="S282" s="224" t="n">
        <v>0.33</v>
      </c>
      <c r="T282" s="225" t="n">
        <f aca="false">Q282*R282*S282</f>
        <v>0.158862</v>
      </c>
      <c r="U282" s="226" t="n">
        <f aca="false">T282*P282</f>
        <v>0.158862</v>
      </c>
      <c r="V282" s="233"/>
    </row>
    <row r="283" customFormat="false" ht="13.5" hidden="false" customHeight="true" outlineLevel="0" collapsed="false">
      <c r="B283" s="228" t="n">
        <v>279</v>
      </c>
      <c r="C283" s="236" t="s">
        <v>1077</v>
      </c>
      <c r="D283" s="219" t="n">
        <v>21710</v>
      </c>
      <c r="E283" s="220" t="str">
        <f aca="false">IF(D283="","",IFERROR(VLOOKUP(D283,CCN_Library!$A$4:$B$13,2,FALSE()),"NOT IN LIBRARY"))</f>
        <v>ELECTRONICS/COMMUNICATIONS MAINTENANCE SHOP</v>
      </c>
      <c r="F283" s="229"/>
      <c r="G283" s="230" t="s">
        <v>1478</v>
      </c>
      <c r="H283" s="221" t="str">
        <f aca="false">LEFT(I283,5)</f>
        <v>A9100</v>
      </c>
      <c r="I283" s="230" t="s">
        <v>1228</v>
      </c>
      <c r="J283" s="221" t="s">
        <v>1229</v>
      </c>
      <c r="K283" s="230" t="s">
        <v>1072</v>
      </c>
      <c r="L283" s="230" t="s">
        <v>1073</v>
      </c>
      <c r="M283" s="230" t="s">
        <v>133</v>
      </c>
      <c r="N283" s="231" t="n">
        <v>0</v>
      </c>
      <c r="O283" s="231" t="n">
        <v>34</v>
      </c>
      <c r="P283" s="231" t="n">
        <v>34</v>
      </c>
      <c r="Q283" s="232" t="n">
        <v>0.83</v>
      </c>
      <c r="R283" s="232" t="n">
        <v>1.17</v>
      </c>
      <c r="S283" s="224" t="n">
        <v>0.17</v>
      </c>
      <c r="T283" s="225" t="n">
        <f aca="false">Q283*R283*S283</f>
        <v>0.165087</v>
      </c>
      <c r="U283" s="226" t="n">
        <f aca="false">T283*P283</f>
        <v>5.612958</v>
      </c>
      <c r="V283" s="233"/>
    </row>
    <row r="284" customFormat="false" ht="13.5" hidden="false" customHeight="true" outlineLevel="0" collapsed="false">
      <c r="B284" s="228" t="n">
        <v>281</v>
      </c>
      <c r="C284" s="236" t="s">
        <v>1068</v>
      </c>
      <c r="D284" s="219" t="n">
        <v>14345</v>
      </c>
      <c r="E284" s="220" t="str">
        <f aca="false">IF(D284="","",IFERROR(VLOOKUP(D284,CCN_Library!$A$4:$B$13,2,FALSE()),"NOT IN LIBRARY"))</f>
        <v>ARMORY</v>
      </c>
      <c r="F284" s="229"/>
      <c r="G284" s="230" t="s">
        <v>1478</v>
      </c>
      <c r="H284" s="221" t="str">
        <f aca="false">LEFT(I284,5)</f>
        <v>E0113</v>
      </c>
      <c r="I284" s="230" t="s">
        <v>1428</v>
      </c>
      <c r="J284" s="221" t="s">
        <v>1429</v>
      </c>
      <c r="K284" s="230" t="s">
        <v>1072</v>
      </c>
      <c r="L284" s="230" t="s">
        <v>1073</v>
      </c>
      <c r="M284" s="230" t="s">
        <v>133</v>
      </c>
      <c r="N284" s="231" t="n">
        <v>0</v>
      </c>
      <c r="O284" s="231" t="n">
        <v>0</v>
      </c>
      <c r="P284" s="231" t="n">
        <v>0</v>
      </c>
      <c r="Q284" s="237"/>
      <c r="R284" s="237"/>
      <c r="S284" s="224" t="n">
        <v>0</v>
      </c>
      <c r="T284" s="225" t="n">
        <f aca="false">Q284*R284*S284</f>
        <v>0</v>
      </c>
      <c r="U284" s="226" t="n">
        <f aca="false">T284*P284</f>
        <v>0</v>
      </c>
      <c r="V284" s="233"/>
    </row>
    <row r="285" customFormat="false" ht="13.5" hidden="false" customHeight="true" outlineLevel="0" collapsed="false">
      <c r="B285" s="228" t="n">
        <v>282</v>
      </c>
      <c r="C285" s="236" t="s">
        <v>1077</v>
      </c>
      <c r="D285" s="219" t="n">
        <v>21710</v>
      </c>
      <c r="E285" s="220" t="str">
        <f aca="false">IF(D285="","",IFERROR(VLOOKUP(D285,CCN_Library!$A$4:$B$13,2,FALSE()),"NOT IN LIBRARY"))</f>
        <v>ELECTRONICS/COMMUNICATIONS MAINTENANCE SHOP</v>
      </c>
      <c r="F285" s="229"/>
      <c r="G285" s="230" t="s">
        <v>1478</v>
      </c>
      <c r="H285" s="221" t="str">
        <f aca="false">LEFT(I285,5)</f>
        <v>A0207</v>
      </c>
      <c r="I285" s="230" t="s">
        <v>1395</v>
      </c>
      <c r="J285" s="221" t="s">
        <v>1396</v>
      </c>
      <c r="K285" s="230" t="s">
        <v>1072</v>
      </c>
      <c r="L285" s="230" t="s">
        <v>1073</v>
      </c>
      <c r="M285" s="230" t="s">
        <v>133</v>
      </c>
      <c r="N285" s="231" t="n">
        <v>0</v>
      </c>
      <c r="O285" s="231" t="n">
        <v>8</v>
      </c>
      <c r="P285" s="231" t="n">
        <v>8</v>
      </c>
      <c r="Q285" s="237"/>
      <c r="R285" s="237"/>
      <c r="S285" s="224" t="n">
        <v>0</v>
      </c>
      <c r="T285" s="225" t="n">
        <f aca="false">Q285*R285*S285</f>
        <v>0</v>
      </c>
      <c r="U285" s="226" t="n">
        <f aca="false">T285*P285</f>
        <v>0</v>
      </c>
      <c r="V285" s="233"/>
    </row>
    <row r="286" customFormat="false" ht="13.5" hidden="false" customHeight="true" outlineLevel="0" collapsed="false">
      <c r="B286" s="228" t="n">
        <v>285</v>
      </c>
      <c r="C286" s="236" t="s">
        <v>1068</v>
      </c>
      <c r="D286" s="219" t="n">
        <v>14345</v>
      </c>
      <c r="E286" s="220" t="str">
        <f aca="false">IF(D286="","",IFERROR(VLOOKUP(D286,CCN_Library!$A$4:$B$13,2,FALSE()),"NOT IN LIBRARY"))</f>
        <v>ARMORY</v>
      </c>
      <c r="F286" s="229"/>
      <c r="G286" s="230" t="s">
        <v>1478</v>
      </c>
      <c r="H286" s="221" t="str">
        <f aca="false">LEFT(I286,5)</f>
        <v>E0017</v>
      </c>
      <c r="I286" s="230" t="s">
        <v>1134</v>
      </c>
      <c r="J286" s="221" t="s">
        <v>1135</v>
      </c>
      <c r="K286" s="230" t="s">
        <v>1072</v>
      </c>
      <c r="L286" s="230" t="s">
        <v>1073</v>
      </c>
      <c r="M286" s="230" t="s">
        <v>133</v>
      </c>
      <c r="N286" s="231" t="n">
        <v>99</v>
      </c>
      <c r="O286" s="231" t="n">
        <v>0</v>
      </c>
      <c r="P286" s="231" t="n">
        <v>99</v>
      </c>
      <c r="Q286" s="232" t="n">
        <v>0.5</v>
      </c>
      <c r="R286" s="232" t="n">
        <v>0.17</v>
      </c>
      <c r="S286" s="224" t="n">
        <v>0.08</v>
      </c>
      <c r="T286" s="225" t="n">
        <f aca="false">Q286*R286*S286</f>
        <v>0.0068</v>
      </c>
      <c r="U286" s="226" t="n">
        <f aca="false">T286*P286</f>
        <v>0.6732</v>
      </c>
      <c r="V286" s="233"/>
    </row>
    <row r="287" customFormat="false" ht="13.5" hidden="false" customHeight="true" outlineLevel="0" collapsed="false">
      <c r="B287" s="228" t="n">
        <v>289</v>
      </c>
      <c r="C287" s="236" t="s">
        <v>1068</v>
      </c>
      <c r="D287" s="219" t="n">
        <v>14345</v>
      </c>
      <c r="E287" s="220" t="str">
        <f aca="false">IF(D287="","",IFERROR(VLOOKUP(D287,CCN_Library!$A$4:$B$13,2,FALSE()),"NOT IN LIBRARY"))</f>
        <v>ARMORY</v>
      </c>
      <c r="F287" s="229"/>
      <c r="G287" s="230" t="s">
        <v>1478</v>
      </c>
      <c r="H287" s="221" t="str">
        <f aca="false">LEFT(I287,5)</f>
        <v>E1710</v>
      </c>
      <c r="I287" s="230" t="s">
        <v>1246</v>
      </c>
      <c r="J287" s="221" t="s">
        <v>1247</v>
      </c>
      <c r="K287" s="230" t="s">
        <v>1072</v>
      </c>
      <c r="L287" s="230" t="s">
        <v>1073</v>
      </c>
      <c r="M287" s="230" t="s">
        <v>133</v>
      </c>
      <c r="N287" s="231" t="n">
        <v>15</v>
      </c>
      <c r="O287" s="231" t="n">
        <v>0</v>
      </c>
      <c r="P287" s="231" t="n">
        <v>15</v>
      </c>
      <c r="Q287" s="232" t="n">
        <v>0.5</v>
      </c>
      <c r="R287" s="232" t="n">
        <v>0.33</v>
      </c>
      <c r="S287" s="224" t="n">
        <v>0.25</v>
      </c>
      <c r="T287" s="225" t="n">
        <f aca="false">Q287*R287*S287</f>
        <v>0.04125</v>
      </c>
      <c r="U287" s="226" t="n">
        <f aca="false">T287*P287</f>
        <v>0.61875</v>
      </c>
      <c r="V287" s="233"/>
    </row>
    <row r="288" customFormat="false" ht="13.5" hidden="false" customHeight="true" outlineLevel="0" collapsed="false">
      <c r="B288" s="228" t="n">
        <v>298</v>
      </c>
      <c r="C288" s="236" t="s">
        <v>1074</v>
      </c>
      <c r="D288" s="219" t="n">
        <v>44112</v>
      </c>
      <c r="E288" s="220" t="str">
        <f aca="false">IF(D288="","",IFERROR(VLOOKUP(D288,CCN_Library!$A$4:$B$13,2,FALSE()),"NOT IN LIBRARY"))</f>
        <v>STORAGE OF AIR OR GROUND ORGANIC UNITS FOR MARINE CORPS</v>
      </c>
      <c r="F288" s="229"/>
      <c r="G288" s="230" t="s">
        <v>1478</v>
      </c>
      <c r="H288" s="221" t="str">
        <f aca="false">LEFT(I288,5)</f>
        <v>C0063</v>
      </c>
      <c r="I288" s="230" t="s">
        <v>1442</v>
      </c>
      <c r="J288" s="221" t="s">
        <v>1443</v>
      </c>
      <c r="K288" s="230" t="s">
        <v>1072</v>
      </c>
      <c r="L288" s="230" t="s">
        <v>1099</v>
      </c>
      <c r="M288" s="230" t="s">
        <v>133</v>
      </c>
      <c r="N288" s="231" t="n">
        <v>360</v>
      </c>
      <c r="O288" s="231" t="n">
        <v>0</v>
      </c>
      <c r="P288" s="231" t="n">
        <v>360</v>
      </c>
      <c r="Q288" s="232" t="n">
        <v>1.08</v>
      </c>
      <c r="R288" s="232" t="n">
        <v>0.75</v>
      </c>
      <c r="S288" s="224" t="n">
        <v>0.17</v>
      </c>
      <c r="T288" s="225" t="n">
        <f aca="false">Q288*R288*S288</f>
        <v>0.1377</v>
      </c>
      <c r="U288" s="226" t="n">
        <f aca="false">T288*P288</f>
        <v>49.572</v>
      </c>
      <c r="V288" s="233"/>
    </row>
    <row r="289" customFormat="false" ht="13.5" hidden="false" customHeight="true" outlineLevel="0" collapsed="false">
      <c r="B289" s="228" t="n">
        <v>300</v>
      </c>
      <c r="C289" s="236" t="s">
        <v>1074</v>
      </c>
      <c r="D289" s="219" t="n">
        <v>44112</v>
      </c>
      <c r="E289" s="220" t="str">
        <f aca="false">IF(D289="","",IFERROR(VLOOKUP(D289,CCN_Library!$A$4:$B$13,2,FALSE()),"NOT IN LIBRARY"))</f>
        <v>STORAGE OF AIR OR GROUND ORGANIC UNITS FOR MARINE CORPS</v>
      </c>
      <c r="F289" s="229"/>
      <c r="G289" s="230" t="s">
        <v>1478</v>
      </c>
      <c r="H289" s="221" t="str">
        <f aca="false">LEFT(I289,5)</f>
        <v>C0040</v>
      </c>
      <c r="I289" s="230" t="s">
        <v>1312</v>
      </c>
      <c r="J289" s="221" t="s">
        <v>1313</v>
      </c>
      <c r="K289" s="230" t="s">
        <v>1072</v>
      </c>
      <c r="L289" s="237"/>
      <c r="M289" s="230" t="s">
        <v>133</v>
      </c>
      <c r="N289" s="231" t="n">
        <v>45</v>
      </c>
      <c r="O289" s="231" t="n">
        <v>0</v>
      </c>
      <c r="P289" s="231" t="n">
        <v>45</v>
      </c>
      <c r="Q289" s="232" t="n">
        <v>0.96</v>
      </c>
      <c r="R289" s="232" t="n">
        <v>0.67</v>
      </c>
      <c r="S289" s="224" t="n">
        <v>0.42</v>
      </c>
      <c r="T289" s="225" t="n">
        <f aca="false">Q289*R289*S289</f>
        <v>0.270144</v>
      </c>
      <c r="U289" s="226" t="n">
        <f aca="false">T289*P289</f>
        <v>12.15648</v>
      </c>
      <c r="V289" s="233"/>
    </row>
    <row r="290" customFormat="false" ht="13.5" hidden="false" customHeight="true" outlineLevel="0" collapsed="false">
      <c r="B290" s="228" t="n">
        <v>303</v>
      </c>
      <c r="C290" s="236" t="s">
        <v>1074</v>
      </c>
      <c r="D290" s="219" t="n">
        <v>44112</v>
      </c>
      <c r="E290" s="220" t="str">
        <f aca="false">IF(D290="","",IFERROR(VLOOKUP(D290,CCN_Library!$A$4:$B$13,2,FALSE()),"NOT IN LIBRARY"))</f>
        <v>STORAGE OF AIR OR GROUND ORGANIC UNITS FOR MARINE CORPS</v>
      </c>
      <c r="F290" s="229"/>
      <c r="G290" s="230" t="s">
        <v>1478</v>
      </c>
      <c r="H290" s="221" t="str">
        <f aca="false">LEFT(I290,5)</f>
        <v>C3124</v>
      </c>
      <c r="I290" s="230" t="s">
        <v>1260</v>
      </c>
      <c r="J290" s="221" t="s">
        <v>1261</v>
      </c>
      <c r="K290" s="230" t="s">
        <v>1072</v>
      </c>
      <c r="L290" s="230" t="s">
        <v>1073</v>
      </c>
      <c r="M290" s="230" t="s">
        <v>133</v>
      </c>
      <c r="N290" s="231" t="n">
        <v>162</v>
      </c>
      <c r="O290" s="231" t="n">
        <v>0</v>
      </c>
      <c r="P290" s="231" t="n">
        <v>162</v>
      </c>
      <c r="Q290" s="232" t="n">
        <v>0.33</v>
      </c>
      <c r="R290" s="232" t="n">
        <v>0.33</v>
      </c>
      <c r="S290" s="224" t="n">
        <v>0.08</v>
      </c>
      <c r="T290" s="225" t="n">
        <f aca="false">Q290*R290*S290</f>
        <v>0.008712</v>
      </c>
      <c r="U290" s="226" t="n">
        <f aca="false">T290*P290</f>
        <v>1.411344</v>
      </c>
      <c r="V290" s="233"/>
    </row>
    <row r="291" customFormat="false" ht="13.5" hidden="false" customHeight="true" outlineLevel="0" collapsed="false">
      <c r="B291" s="228" t="n">
        <v>310</v>
      </c>
      <c r="C291" s="236" t="s">
        <v>1074</v>
      </c>
      <c r="D291" s="219" t="n">
        <v>44112</v>
      </c>
      <c r="E291" s="220" t="str">
        <f aca="false">IF(D291="","",IFERROR(VLOOKUP(D291,CCN_Library!$A$4:$B$13,2,FALSE()),"NOT IN LIBRARY"))</f>
        <v>STORAGE OF AIR OR GROUND ORGANIC UNITS FOR MARINE CORPS</v>
      </c>
      <c r="F291" s="229"/>
      <c r="G291" s="230" t="s">
        <v>1478</v>
      </c>
      <c r="H291" s="221" t="str">
        <f aca="false">LEFT(I291,5)</f>
        <v>C0132</v>
      </c>
      <c r="I291" s="230" t="s">
        <v>1215</v>
      </c>
      <c r="J291" s="221" t="s">
        <v>1216</v>
      </c>
      <c r="K291" s="230" t="s">
        <v>1072</v>
      </c>
      <c r="L291" s="230" t="s">
        <v>1217</v>
      </c>
      <c r="M291" s="230" t="s">
        <v>133</v>
      </c>
      <c r="N291" s="231" t="n">
        <v>180</v>
      </c>
      <c r="O291" s="231" t="n">
        <v>68</v>
      </c>
      <c r="P291" s="231" t="n">
        <v>248</v>
      </c>
      <c r="Q291" s="235" t="n">
        <v>0</v>
      </c>
      <c r="R291" s="235" t="n">
        <v>0</v>
      </c>
      <c r="S291" s="224" t="n">
        <v>0</v>
      </c>
      <c r="T291" s="225" t="n">
        <f aca="false">Q291*R291*S291</f>
        <v>0</v>
      </c>
      <c r="U291" s="226" t="n">
        <f aca="false">T291*P291</f>
        <v>0</v>
      </c>
      <c r="V291" s="233"/>
    </row>
    <row r="292" customFormat="false" ht="13.5" hidden="false" customHeight="true" outlineLevel="0" collapsed="false">
      <c r="B292" s="228" t="n">
        <v>313</v>
      </c>
      <c r="C292" s="236" t="s">
        <v>1074</v>
      </c>
      <c r="D292" s="219" t="n">
        <v>44112</v>
      </c>
      <c r="E292" s="220" t="str">
        <f aca="false">IF(D292="","",IFERROR(VLOOKUP(D292,CCN_Library!$A$4:$B$13,2,FALSE()),"NOT IN LIBRARY"))</f>
        <v>STORAGE OF AIR OR GROUND ORGANIC UNITS FOR MARINE CORPS</v>
      </c>
      <c r="F292" s="229"/>
      <c r="G292" s="230" t="s">
        <v>1478</v>
      </c>
      <c r="H292" s="221" t="str">
        <f aca="false">LEFT(I292,5)</f>
        <v>C0029</v>
      </c>
      <c r="I292" s="230" t="s">
        <v>1272</v>
      </c>
      <c r="J292" s="221" t="s">
        <v>1273</v>
      </c>
      <c r="K292" s="230" t="s">
        <v>1072</v>
      </c>
      <c r="L292" s="230" t="s">
        <v>1099</v>
      </c>
      <c r="M292" s="230" t="s">
        <v>133</v>
      </c>
      <c r="N292" s="231" t="n">
        <v>180</v>
      </c>
      <c r="O292" s="231" t="n">
        <v>0</v>
      </c>
      <c r="P292" s="231" t="n">
        <v>180</v>
      </c>
      <c r="Q292" s="232" t="n">
        <v>0.83</v>
      </c>
      <c r="R292" s="232" t="n">
        <v>0.5</v>
      </c>
      <c r="S292" s="224" t="n">
        <v>0.17</v>
      </c>
      <c r="T292" s="225" t="n">
        <f aca="false">Q292*R292*S292</f>
        <v>0.07055</v>
      </c>
      <c r="U292" s="226" t="n">
        <f aca="false">T292*P292</f>
        <v>12.699</v>
      </c>
      <c r="V292" s="233"/>
    </row>
    <row r="293" customFormat="false" ht="13.5" hidden="false" customHeight="true" outlineLevel="0" collapsed="false">
      <c r="B293" s="228" t="n">
        <v>314</v>
      </c>
      <c r="C293" s="236" t="s">
        <v>1068</v>
      </c>
      <c r="D293" s="219" t="n">
        <v>14345</v>
      </c>
      <c r="E293" s="220" t="str">
        <f aca="false">IF(D293="","",IFERROR(VLOOKUP(D293,CCN_Library!$A$4:$B$13,2,FALSE()),"NOT IN LIBRARY"))</f>
        <v>ARMORY</v>
      </c>
      <c r="F293" s="229"/>
      <c r="G293" s="230" t="s">
        <v>1478</v>
      </c>
      <c r="H293" s="221" t="str">
        <f aca="false">LEFT(I293,5)</f>
        <v>E0013</v>
      </c>
      <c r="I293" s="230" t="s">
        <v>1410</v>
      </c>
      <c r="J293" s="221" t="s">
        <v>1411</v>
      </c>
      <c r="K293" s="230" t="s">
        <v>1072</v>
      </c>
      <c r="L293" s="230" t="s">
        <v>1073</v>
      </c>
      <c r="M293" s="230" t="s">
        <v>1116</v>
      </c>
      <c r="N293" s="231" t="n">
        <v>0</v>
      </c>
      <c r="O293" s="231" t="n">
        <v>0</v>
      </c>
      <c r="P293" s="231" t="n">
        <v>0</v>
      </c>
      <c r="Q293" s="232" t="n">
        <v>1.17</v>
      </c>
      <c r="R293" s="232" t="n">
        <v>0.25</v>
      </c>
      <c r="S293" s="224" t="n">
        <v>0.25</v>
      </c>
      <c r="T293" s="225" t="n">
        <f aca="false">Q293*R293*S293</f>
        <v>0.073125</v>
      </c>
      <c r="U293" s="226" t="n">
        <f aca="false">T293*P293</f>
        <v>0</v>
      </c>
      <c r="V293" s="233"/>
    </row>
    <row r="294" customFormat="false" ht="13.5" hidden="false" customHeight="true" outlineLevel="0" collapsed="false">
      <c r="B294" s="228" t="n">
        <v>315</v>
      </c>
      <c r="C294" s="236" t="s">
        <v>1074</v>
      </c>
      <c r="D294" s="219" t="n">
        <v>44112</v>
      </c>
      <c r="E294" s="220" t="str">
        <f aca="false">IF(D294="","",IFERROR(VLOOKUP(D294,CCN_Library!$A$4:$B$13,2,FALSE()),"NOT IN LIBRARY"))</f>
        <v>STORAGE OF AIR OR GROUND ORGANIC UNITS FOR MARINE CORPS</v>
      </c>
      <c r="F294" s="229"/>
      <c r="G294" s="230" t="s">
        <v>1478</v>
      </c>
      <c r="H294" s="221" t="str">
        <f aca="false">LEFT(I294,5)</f>
        <v>C0191</v>
      </c>
      <c r="I294" s="230" t="s">
        <v>1326</v>
      </c>
      <c r="J294" s="221" t="s">
        <v>1327</v>
      </c>
      <c r="K294" s="230" t="s">
        <v>1072</v>
      </c>
      <c r="L294" s="230" t="s">
        <v>1073</v>
      </c>
      <c r="M294" s="230" t="s">
        <v>133</v>
      </c>
      <c r="N294" s="231" t="n">
        <v>360</v>
      </c>
      <c r="O294" s="231" t="n">
        <v>0</v>
      </c>
      <c r="P294" s="231" t="n">
        <v>360</v>
      </c>
      <c r="Q294" s="232" t="n">
        <v>0.17</v>
      </c>
      <c r="R294" s="232" t="n">
        <v>0.33</v>
      </c>
      <c r="S294" s="224" t="n">
        <v>0.5</v>
      </c>
      <c r="T294" s="225" t="n">
        <f aca="false">Q294*R294*S294</f>
        <v>0.02805</v>
      </c>
      <c r="U294" s="226" t="n">
        <f aca="false">T294*P294</f>
        <v>10.098</v>
      </c>
      <c r="V294" s="233"/>
    </row>
    <row r="295" customFormat="false" ht="13.5" hidden="false" customHeight="true" outlineLevel="0" collapsed="false">
      <c r="B295" s="228" t="n">
        <v>321</v>
      </c>
      <c r="C295" s="236" t="s">
        <v>1074</v>
      </c>
      <c r="D295" s="219" t="n">
        <v>44112</v>
      </c>
      <c r="E295" s="220" t="str">
        <f aca="false">IF(D295="","",IFERROR(VLOOKUP(D295,CCN_Library!$A$4:$B$13,2,FALSE()),"NOT IN LIBRARY"))</f>
        <v>STORAGE OF AIR OR GROUND ORGANIC UNITS FOR MARINE CORPS</v>
      </c>
      <c r="F295" s="229"/>
      <c r="G295" s="230" t="s">
        <v>1478</v>
      </c>
      <c r="H295" s="221" t="str">
        <f aca="false">LEFT(I295,5)</f>
        <v>C0169</v>
      </c>
      <c r="I295" s="230" t="s">
        <v>1161</v>
      </c>
      <c r="J295" s="221" t="s">
        <v>1162</v>
      </c>
      <c r="K295" s="230" t="s">
        <v>1072</v>
      </c>
      <c r="L295" s="230" t="s">
        <v>1073</v>
      </c>
      <c r="M295" s="230" t="s">
        <v>133</v>
      </c>
      <c r="N295" s="231" t="n">
        <v>180</v>
      </c>
      <c r="O295" s="231" t="n">
        <v>0</v>
      </c>
      <c r="P295" s="231" t="n">
        <v>180</v>
      </c>
      <c r="Q295" s="235" t="n">
        <v>0</v>
      </c>
      <c r="R295" s="235" t="n">
        <v>0</v>
      </c>
      <c r="S295" s="224" t="n">
        <v>0</v>
      </c>
      <c r="T295" s="225" t="n">
        <f aca="false">Q295*R295*S295</f>
        <v>0</v>
      </c>
      <c r="U295" s="226" t="n">
        <f aca="false">T295*P295</f>
        <v>0</v>
      </c>
      <c r="V295" s="233"/>
    </row>
    <row r="296" customFormat="false" ht="13.5" hidden="false" customHeight="true" outlineLevel="0" collapsed="false">
      <c r="B296" s="228" t="n">
        <v>322</v>
      </c>
      <c r="C296" s="236" t="s">
        <v>1077</v>
      </c>
      <c r="D296" s="219" t="n">
        <v>21710</v>
      </c>
      <c r="E296" s="220" t="str">
        <f aca="false">IF(D296="","",IFERROR(VLOOKUP(D296,CCN_Library!$A$4:$B$13,2,FALSE()),"NOT IN LIBRARY"))</f>
        <v>ELECTRONICS/COMMUNICATIONS MAINTENANCE SHOP</v>
      </c>
      <c r="F296" s="229"/>
      <c r="G296" s="230" t="s">
        <v>1478</v>
      </c>
      <c r="H296" s="221" t="str">
        <f aca="false">LEFT(I296,5)</f>
        <v>A7504</v>
      </c>
      <c r="I296" s="230" t="s">
        <v>1334</v>
      </c>
      <c r="J296" s="221" t="s">
        <v>1335</v>
      </c>
      <c r="K296" s="230" t="s">
        <v>1072</v>
      </c>
      <c r="L296" s="230" t="s">
        <v>1073</v>
      </c>
      <c r="M296" s="230" t="s">
        <v>133</v>
      </c>
      <c r="N296" s="231" t="n">
        <v>0</v>
      </c>
      <c r="O296" s="231" t="n">
        <v>2</v>
      </c>
      <c r="P296" s="231" t="n">
        <v>2</v>
      </c>
      <c r="Q296" s="232" t="n">
        <v>1.83</v>
      </c>
      <c r="R296" s="232" t="n">
        <v>1.33</v>
      </c>
      <c r="S296" s="224" t="n">
        <v>1</v>
      </c>
      <c r="T296" s="225" t="n">
        <f aca="false">Q296*R296*S296</f>
        <v>2.4339</v>
      </c>
      <c r="U296" s="226" t="n">
        <f aca="false">T296*P296</f>
        <v>4.8678</v>
      </c>
      <c r="V296" s="233"/>
    </row>
    <row r="297" customFormat="false" ht="13.5" hidden="false" customHeight="true" outlineLevel="0" collapsed="false">
      <c r="B297" s="228" t="n">
        <v>324</v>
      </c>
      <c r="C297" s="236" t="s">
        <v>1074</v>
      </c>
      <c r="D297" s="219" t="n">
        <v>44112</v>
      </c>
      <c r="E297" s="220" t="str">
        <f aca="false">IF(D297="","",IFERROR(VLOOKUP(D297,CCN_Library!$A$4:$B$13,2,FALSE()),"NOT IN LIBRARY"))</f>
        <v>STORAGE OF AIR OR GROUND ORGANIC UNITS FOR MARINE CORPS</v>
      </c>
      <c r="F297" s="229"/>
      <c r="G297" s="230" t="s">
        <v>1478</v>
      </c>
      <c r="H297" s="221" t="str">
        <f aca="false">LEFT(I297,5)</f>
        <v>B0075</v>
      </c>
      <c r="I297" s="230" t="s">
        <v>1500</v>
      </c>
      <c r="J297" s="221" t="s">
        <v>1501</v>
      </c>
      <c r="K297" s="230" t="s">
        <v>1072</v>
      </c>
      <c r="L297" s="230" t="s">
        <v>1073</v>
      </c>
      <c r="M297" s="230" t="s">
        <v>133</v>
      </c>
      <c r="N297" s="231" t="n">
        <v>0</v>
      </c>
      <c r="O297" s="231" t="n">
        <v>4</v>
      </c>
      <c r="P297" s="231" t="n">
        <v>4</v>
      </c>
      <c r="Q297" s="232" t="n">
        <v>6.46</v>
      </c>
      <c r="R297" s="235" t="n">
        <v>8</v>
      </c>
      <c r="S297" s="224" t="n">
        <v>8</v>
      </c>
      <c r="T297" s="225" t="n">
        <f aca="false">Q297*R297*S297</f>
        <v>413.44</v>
      </c>
      <c r="U297" s="226" t="n">
        <f aca="false">T297*P297</f>
        <v>1653.76</v>
      </c>
      <c r="V297" s="233"/>
    </row>
    <row r="298" customFormat="false" ht="13.5" hidden="false" customHeight="true" outlineLevel="0" collapsed="false">
      <c r="B298" s="228" t="n">
        <v>327</v>
      </c>
      <c r="C298" s="236" t="s">
        <v>1077</v>
      </c>
      <c r="D298" s="219" t="n">
        <v>21710</v>
      </c>
      <c r="E298" s="220" t="str">
        <f aca="false">IF(D298="","",IFERROR(VLOOKUP(D298,CCN_Library!$A$4:$B$13,2,FALSE()),"NOT IN LIBRARY"))</f>
        <v>ELECTRONICS/COMMUNICATIONS MAINTENANCE SHOP</v>
      </c>
      <c r="F298" s="229"/>
      <c r="G298" s="230" t="s">
        <v>1478</v>
      </c>
      <c r="H298" s="221" t="str">
        <f aca="false">LEFT(I298,5)</f>
        <v>A9023</v>
      </c>
      <c r="I298" s="230" t="s">
        <v>1220</v>
      </c>
      <c r="J298" s="221" t="s">
        <v>1221</v>
      </c>
      <c r="K298" s="230" t="s">
        <v>1072</v>
      </c>
      <c r="L298" s="230" t="s">
        <v>1073</v>
      </c>
      <c r="M298" s="237"/>
      <c r="N298" s="231" t="n">
        <v>0</v>
      </c>
      <c r="O298" s="231" t="n">
        <v>5</v>
      </c>
      <c r="P298" s="231" t="n">
        <v>5</v>
      </c>
      <c r="Q298" s="235" t="n">
        <v>1</v>
      </c>
      <c r="R298" s="232" t="n">
        <v>1.25</v>
      </c>
      <c r="S298" s="224" t="n">
        <v>0.17</v>
      </c>
      <c r="T298" s="225" t="n">
        <f aca="false">Q298*R298*S298</f>
        <v>0.2125</v>
      </c>
      <c r="U298" s="226" t="n">
        <f aca="false">T298*P298</f>
        <v>1.0625</v>
      </c>
      <c r="V298" s="233"/>
    </row>
    <row r="299" customFormat="false" ht="13.5" hidden="false" customHeight="true" outlineLevel="0" collapsed="false">
      <c r="B299" s="228" t="n">
        <v>328</v>
      </c>
      <c r="C299" s="236" t="s">
        <v>1074</v>
      </c>
      <c r="D299" s="219" t="n">
        <v>44112</v>
      </c>
      <c r="E299" s="220" t="str">
        <f aca="false">IF(D299="","",IFERROR(VLOOKUP(D299,CCN_Library!$A$4:$B$13,2,FALSE()),"NOT IN LIBRARY"))</f>
        <v>STORAGE OF AIR OR GROUND ORGANIC UNITS FOR MARINE CORPS</v>
      </c>
      <c r="F299" s="229"/>
      <c r="G299" s="230" t="s">
        <v>1478</v>
      </c>
      <c r="H299" s="221" t="str">
        <f aca="false">LEFT(I299,5)</f>
        <v>C3414</v>
      </c>
      <c r="I299" s="230" t="s">
        <v>1338</v>
      </c>
      <c r="J299" s="221" t="s">
        <v>1339</v>
      </c>
      <c r="K299" s="230" t="s">
        <v>1072</v>
      </c>
      <c r="L299" s="230" t="s">
        <v>1073</v>
      </c>
      <c r="M299" s="230" t="s">
        <v>133</v>
      </c>
      <c r="N299" s="231" t="n">
        <v>90</v>
      </c>
      <c r="O299" s="231" t="n">
        <v>0</v>
      </c>
      <c r="P299" s="231" t="n">
        <v>90</v>
      </c>
      <c r="Q299" s="232" t="n">
        <v>2.08</v>
      </c>
      <c r="R299" s="232" t="n">
        <v>0.58</v>
      </c>
      <c r="S299" s="224" t="n">
        <v>0.58</v>
      </c>
      <c r="T299" s="225" t="n">
        <f aca="false">Q299*R299*S299</f>
        <v>0.699712</v>
      </c>
      <c r="U299" s="226" t="n">
        <f aca="false">T299*P299</f>
        <v>62.97408</v>
      </c>
      <c r="V299" s="233"/>
    </row>
    <row r="300" customFormat="false" ht="13.5" hidden="false" customHeight="true" outlineLevel="0" collapsed="false">
      <c r="B300" s="228" t="n">
        <v>334</v>
      </c>
      <c r="C300" s="236" t="s">
        <v>1077</v>
      </c>
      <c r="D300" s="219" t="n">
        <v>21710</v>
      </c>
      <c r="E300" s="220" t="str">
        <f aca="false">IF(D300="","",IFERROR(VLOOKUP(D300,CCN_Library!$A$4:$B$13,2,FALSE()),"NOT IN LIBRARY"))</f>
        <v>ELECTRONICS/COMMUNICATIONS MAINTENANCE SHOP</v>
      </c>
      <c r="F300" s="229"/>
      <c r="G300" s="230" t="s">
        <v>1478</v>
      </c>
      <c r="H300" s="221" t="str">
        <f aca="false">LEFT(I300,5)</f>
        <v>A8001</v>
      </c>
      <c r="I300" s="230" t="s">
        <v>1123</v>
      </c>
      <c r="J300" s="221" t="s">
        <v>1124</v>
      </c>
      <c r="K300" s="230" t="s">
        <v>1072</v>
      </c>
      <c r="L300" s="230" t="s">
        <v>1073</v>
      </c>
      <c r="M300" s="237"/>
      <c r="N300" s="231" t="n">
        <v>0</v>
      </c>
      <c r="O300" s="231" t="n">
        <v>9</v>
      </c>
      <c r="P300" s="231" t="n">
        <v>9</v>
      </c>
      <c r="Q300" s="232" t="n">
        <v>0.67</v>
      </c>
      <c r="R300" s="232" t="n">
        <v>0.25</v>
      </c>
      <c r="S300" s="224" t="n">
        <v>0.42</v>
      </c>
      <c r="T300" s="225" t="n">
        <f aca="false">Q300*R300*S300</f>
        <v>0.07035</v>
      </c>
      <c r="U300" s="226" t="n">
        <f aca="false">T300*P300</f>
        <v>0.63315</v>
      </c>
      <c r="V300" s="233"/>
    </row>
    <row r="301" customFormat="false" ht="13.5" hidden="false" customHeight="true" outlineLevel="0" collapsed="false">
      <c r="B301" s="228" t="n">
        <v>338</v>
      </c>
      <c r="C301" s="236" t="s">
        <v>1077</v>
      </c>
      <c r="D301" s="219" t="n">
        <v>21710</v>
      </c>
      <c r="E301" s="220" t="str">
        <f aca="false">IF(D301="","",IFERROR(VLOOKUP(D301,CCN_Library!$A$4:$B$13,2,FALSE()),"NOT IN LIBRARY"))</f>
        <v>ELECTRONICS/COMMUNICATIONS MAINTENANCE SHOP</v>
      </c>
      <c r="F301" s="229"/>
      <c r="G301" s="230" t="s">
        <v>1478</v>
      </c>
      <c r="H301" s="221" t="str">
        <f aca="false">LEFT(I301,5)</f>
        <v>A1260</v>
      </c>
      <c r="I301" s="230" t="s">
        <v>1181</v>
      </c>
      <c r="J301" s="221" t="s">
        <v>1182</v>
      </c>
      <c r="K301" s="230" t="s">
        <v>1072</v>
      </c>
      <c r="L301" s="230" t="s">
        <v>1073</v>
      </c>
      <c r="M301" s="237"/>
      <c r="N301" s="231" t="n">
        <v>0</v>
      </c>
      <c r="O301" s="231" t="n">
        <v>0</v>
      </c>
      <c r="P301" s="231" t="n">
        <v>0</v>
      </c>
      <c r="Q301" s="232" t="n">
        <v>0.58</v>
      </c>
      <c r="R301" s="232" t="n">
        <v>0.33</v>
      </c>
      <c r="S301" s="224" t="n">
        <v>0.17</v>
      </c>
      <c r="T301" s="225" t="n">
        <f aca="false">Q301*R301*S301</f>
        <v>0.032538</v>
      </c>
      <c r="U301" s="226" t="n">
        <f aca="false">T301*P301</f>
        <v>0</v>
      </c>
      <c r="V301" s="233"/>
    </row>
    <row r="302" customFormat="false" ht="13.5" hidden="false" customHeight="true" outlineLevel="0" collapsed="false">
      <c r="B302" s="228" t="n">
        <v>339</v>
      </c>
      <c r="C302" s="236" t="s">
        <v>1113</v>
      </c>
      <c r="D302" s="219" t="n">
        <v>21451</v>
      </c>
      <c r="E302" s="220" t="str">
        <f aca="false">IF(D302="","",IFERROR(VLOOKUP(D302,CCN_Library!$A$4:$B$13,2,FALSE()),"NOT IN LIBRARY"))</f>
        <v>AUTOMOTIVE ORGANIZATIONAL SHOP</v>
      </c>
      <c r="F302" s="229"/>
      <c r="G302" s="230" t="s">
        <v>1478</v>
      </c>
      <c r="H302" s="221" t="str">
        <f aca="false">LEFT(I302,5)</f>
        <v>D0026</v>
      </c>
      <c r="I302" s="230" t="s">
        <v>1293</v>
      </c>
      <c r="J302" s="221" t="s">
        <v>1294</v>
      </c>
      <c r="K302" s="230" t="s">
        <v>1142</v>
      </c>
      <c r="L302" s="237"/>
      <c r="M302" s="230" t="s">
        <v>133</v>
      </c>
      <c r="N302" s="231" t="n">
        <v>0</v>
      </c>
      <c r="O302" s="231" t="n">
        <v>4</v>
      </c>
      <c r="P302" s="231" t="n">
        <v>4</v>
      </c>
      <c r="Q302" s="237"/>
      <c r="R302" s="237"/>
      <c r="S302" s="224" t="n">
        <v>0</v>
      </c>
      <c r="T302" s="225" t="n">
        <f aca="false">Q302*R302*S302</f>
        <v>0</v>
      </c>
      <c r="U302" s="226" t="n">
        <f aca="false">T302*P302</f>
        <v>0</v>
      </c>
      <c r="V302" s="233"/>
    </row>
    <row r="303" customFormat="false" ht="13.5" hidden="false" customHeight="true" outlineLevel="0" collapsed="false">
      <c r="B303" s="228" t="n">
        <v>341</v>
      </c>
      <c r="C303" s="236" t="s">
        <v>1074</v>
      </c>
      <c r="D303" s="219" t="n">
        <v>44112</v>
      </c>
      <c r="E303" s="220" t="str">
        <f aca="false">IF(D303="","",IFERROR(VLOOKUP(D303,CCN_Library!$A$4:$B$13,2,FALSE()),"NOT IN LIBRARY"))</f>
        <v>STORAGE OF AIR OR GROUND ORGANIC UNITS FOR MARINE CORPS</v>
      </c>
      <c r="F303" s="229"/>
      <c r="G303" s="230" t="s">
        <v>1478</v>
      </c>
      <c r="H303" s="221" t="str">
        <f aca="false">LEFT(I303,5)</f>
        <v>C2171</v>
      </c>
      <c r="I303" s="230" t="s">
        <v>1348</v>
      </c>
      <c r="J303" s="221" t="s">
        <v>1349</v>
      </c>
      <c r="K303" s="230" t="s">
        <v>1072</v>
      </c>
      <c r="L303" s="230" t="s">
        <v>1073</v>
      </c>
      <c r="M303" s="230" t="s">
        <v>133</v>
      </c>
      <c r="N303" s="231" t="n">
        <v>180</v>
      </c>
      <c r="O303" s="231" t="n">
        <v>0</v>
      </c>
      <c r="P303" s="231" t="n">
        <v>180</v>
      </c>
      <c r="Q303" s="235" t="n">
        <v>0</v>
      </c>
      <c r="R303" s="235" t="n">
        <v>0</v>
      </c>
      <c r="S303" s="224" t="n">
        <v>0</v>
      </c>
      <c r="T303" s="225" t="n">
        <f aca="false">Q303*R303*S303</f>
        <v>0</v>
      </c>
      <c r="U303" s="226" t="n">
        <f aca="false">T303*P303</f>
        <v>0</v>
      </c>
      <c r="V303" s="233"/>
    </row>
    <row r="304" customFormat="false" ht="13.5" hidden="false" customHeight="true" outlineLevel="0" collapsed="false">
      <c r="B304" s="228" t="n">
        <v>343</v>
      </c>
      <c r="C304" s="236" t="s">
        <v>1074</v>
      </c>
      <c r="D304" s="219" t="n">
        <v>44112</v>
      </c>
      <c r="E304" s="220" t="str">
        <f aca="false">IF(D304="","",IFERROR(VLOOKUP(D304,CCN_Library!$A$4:$B$13,2,FALSE()),"NOT IN LIBRARY"))</f>
        <v>STORAGE OF AIR OR GROUND ORGANIC UNITS FOR MARINE CORPS</v>
      </c>
      <c r="F304" s="229"/>
      <c r="G304" s="230" t="s">
        <v>1478</v>
      </c>
      <c r="H304" s="221" t="str">
        <f aca="false">LEFT(I304,5)</f>
        <v>B0055</v>
      </c>
      <c r="I304" s="230" t="s">
        <v>1236</v>
      </c>
      <c r="J304" s="221" t="s">
        <v>1237</v>
      </c>
      <c r="K304" s="230" t="s">
        <v>1072</v>
      </c>
      <c r="L304" s="230" t="s">
        <v>1073</v>
      </c>
      <c r="M304" s="230" t="s">
        <v>133</v>
      </c>
      <c r="N304" s="231" t="n">
        <v>0</v>
      </c>
      <c r="O304" s="231" t="n">
        <v>2</v>
      </c>
      <c r="P304" s="231" t="n">
        <v>2</v>
      </c>
      <c r="Q304" s="232" t="n">
        <v>17.99</v>
      </c>
      <c r="R304" s="235" t="n">
        <v>6</v>
      </c>
      <c r="S304" s="224" t="n">
        <v>6</v>
      </c>
      <c r="T304" s="225" t="n">
        <f aca="false">Q304*R304*S304</f>
        <v>647.64</v>
      </c>
      <c r="U304" s="226" t="n">
        <f aca="false">T304*P304</f>
        <v>1295.28</v>
      </c>
      <c r="V304" s="233"/>
    </row>
    <row r="305" customFormat="false" ht="13.5" hidden="false" customHeight="true" outlineLevel="0" collapsed="false">
      <c r="B305" s="228" t="n">
        <v>344</v>
      </c>
      <c r="C305" s="236" t="s">
        <v>1113</v>
      </c>
      <c r="D305" s="219" t="n">
        <v>21451</v>
      </c>
      <c r="E305" s="220" t="str">
        <f aca="false">IF(D305="","",IFERROR(VLOOKUP(D305,CCN_Library!$A$4:$B$13,2,FALSE()),"NOT IN LIBRARY"))</f>
        <v>AUTOMOTIVE ORGANIZATIONAL SHOP</v>
      </c>
      <c r="F305" s="229"/>
      <c r="G305" s="230" t="s">
        <v>1478</v>
      </c>
      <c r="H305" s="221" t="str">
        <f aca="false">LEFT(I305,5)</f>
        <v>C1023</v>
      </c>
      <c r="I305" s="230" t="s">
        <v>1238</v>
      </c>
      <c r="J305" s="221" t="s">
        <v>1239</v>
      </c>
      <c r="K305" s="230" t="s">
        <v>1072</v>
      </c>
      <c r="L305" s="237"/>
      <c r="M305" s="230" t="s">
        <v>133</v>
      </c>
      <c r="N305" s="231" t="n">
        <v>0</v>
      </c>
      <c r="O305" s="231" t="n">
        <v>0</v>
      </c>
      <c r="P305" s="231" t="n">
        <v>0</v>
      </c>
      <c r="Q305" s="232" t="n">
        <v>0.5</v>
      </c>
      <c r="R305" s="232" t="n">
        <v>0.5</v>
      </c>
      <c r="S305" s="224" t="n">
        <v>0.17</v>
      </c>
      <c r="T305" s="225" t="n">
        <f aca="false">Q305*R305*S305</f>
        <v>0.0425</v>
      </c>
      <c r="U305" s="226" t="n">
        <f aca="false">T305*P305</f>
        <v>0</v>
      </c>
      <c r="V305" s="233"/>
    </row>
    <row r="306" customFormat="false" ht="13.5" hidden="false" customHeight="true" outlineLevel="0" collapsed="false">
      <c r="B306" s="228" t="n">
        <v>345</v>
      </c>
      <c r="C306" s="236" t="s">
        <v>1113</v>
      </c>
      <c r="D306" s="219" t="n">
        <v>21451</v>
      </c>
      <c r="E306" s="220" t="str">
        <f aca="false">IF(D306="","",IFERROR(VLOOKUP(D306,CCN_Library!$A$4:$B$13,2,FALSE()),"NOT IN LIBRARY"))</f>
        <v>AUTOMOTIVE ORGANIZATIONAL SHOP</v>
      </c>
      <c r="F306" s="229"/>
      <c r="G306" s="230" t="s">
        <v>1478</v>
      </c>
      <c r="H306" s="221" t="str">
        <f aca="false">LEFT(I306,5)</f>
        <v>D0001</v>
      </c>
      <c r="I306" s="230" t="s">
        <v>1140</v>
      </c>
      <c r="J306" s="221" t="s">
        <v>1141</v>
      </c>
      <c r="K306" s="230" t="s">
        <v>1142</v>
      </c>
      <c r="L306" s="230" t="s">
        <v>1073</v>
      </c>
      <c r="M306" s="237"/>
      <c r="N306" s="231" t="n">
        <v>0</v>
      </c>
      <c r="O306" s="231" t="n">
        <v>1</v>
      </c>
      <c r="P306" s="231" t="n">
        <v>1</v>
      </c>
      <c r="Q306" s="237"/>
      <c r="R306" s="237"/>
      <c r="S306" s="224" t="n">
        <v>0</v>
      </c>
      <c r="T306" s="225" t="n">
        <f aca="false">Q306*R306*S306</f>
        <v>0</v>
      </c>
      <c r="U306" s="226" t="n">
        <f aca="false">T306*P306</f>
        <v>0</v>
      </c>
      <c r="V306" s="233"/>
    </row>
    <row r="307" customFormat="false" ht="13.5" hidden="false" customHeight="true" outlineLevel="0" collapsed="false">
      <c r="B307" s="228" t="n">
        <v>347</v>
      </c>
      <c r="C307" s="236" t="s">
        <v>1074</v>
      </c>
      <c r="D307" s="219" t="n">
        <v>44112</v>
      </c>
      <c r="E307" s="220" t="str">
        <f aca="false">IF(D307="","",IFERROR(VLOOKUP(D307,CCN_Library!$A$4:$B$13,2,FALSE()),"NOT IN LIBRARY"))</f>
        <v>STORAGE OF AIR OR GROUND ORGANIC UNITS FOR MARINE CORPS</v>
      </c>
      <c r="F307" s="229"/>
      <c r="G307" s="230" t="s">
        <v>1478</v>
      </c>
      <c r="H307" s="221" t="str">
        <f aca="false">LEFT(I307,5)</f>
        <v>C8614</v>
      </c>
      <c r="I307" s="230" t="s">
        <v>1143</v>
      </c>
      <c r="J307" s="221" t="s">
        <v>1144</v>
      </c>
      <c r="K307" s="230" t="s">
        <v>1072</v>
      </c>
      <c r="L307" s="237"/>
      <c r="M307" s="230" t="s">
        <v>133</v>
      </c>
      <c r="N307" s="231" t="n">
        <v>0</v>
      </c>
      <c r="O307" s="231" t="n">
        <v>3</v>
      </c>
      <c r="P307" s="231" t="n">
        <v>3</v>
      </c>
      <c r="Q307" s="232" t="n">
        <v>5.58</v>
      </c>
      <c r="R307" s="232" t="n">
        <v>2.42</v>
      </c>
      <c r="S307" s="224" t="n">
        <v>2.33</v>
      </c>
      <c r="T307" s="225" t="n">
        <f aca="false">Q307*R307*S307</f>
        <v>31.463388</v>
      </c>
      <c r="U307" s="226" t="n">
        <f aca="false">T307*P307</f>
        <v>94.390164</v>
      </c>
      <c r="V307" s="233"/>
    </row>
    <row r="308" customFormat="false" ht="13.5" hidden="false" customHeight="true" outlineLevel="0" collapsed="false">
      <c r="B308" s="228" t="n">
        <v>348</v>
      </c>
      <c r="C308" s="236" t="s">
        <v>1074</v>
      </c>
      <c r="D308" s="219" t="n">
        <v>44112</v>
      </c>
      <c r="E308" s="220" t="str">
        <f aca="false">IF(D308="","",IFERROR(VLOOKUP(D308,CCN_Library!$A$4:$B$13,2,FALSE()),"NOT IN LIBRARY"))</f>
        <v>STORAGE OF AIR OR GROUND ORGANIC UNITS FOR MARINE CORPS</v>
      </c>
      <c r="F308" s="229"/>
      <c r="G308" s="230" t="s">
        <v>1478</v>
      </c>
      <c r="H308" s="221" t="str">
        <f aca="false">LEFT(I308,5)</f>
        <v>C8624</v>
      </c>
      <c r="I308" s="230" t="s">
        <v>1145</v>
      </c>
      <c r="J308" s="221" t="s">
        <v>1146</v>
      </c>
      <c r="K308" s="230" t="s">
        <v>1072</v>
      </c>
      <c r="L308" s="237"/>
      <c r="M308" s="230" t="s">
        <v>1116</v>
      </c>
      <c r="N308" s="231" t="n">
        <v>0</v>
      </c>
      <c r="O308" s="231" t="n">
        <v>3</v>
      </c>
      <c r="P308" s="231" t="n">
        <v>3</v>
      </c>
      <c r="Q308" s="235" t="n">
        <v>8</v>
      </c>
      <c r="R308" s="232" t="n">
        <v>4.58</v>
      </c>
      <c r="S308" s="224" t="n">
        <v>5</v>
      </c>
      <c r="T308" s="225" t="n">
        <f aca="false">Q308*R308*S308</f>
        <v>183.2</v>
      </c>
      <c r="U308" s="226" t="n">
        <f aca="false">T308*P308</f>
        <v>549.6</v>
      </c>
      <c r="V308" s="233"/>
    </row>
    <row r="309" customFormat="false" ht="13.5" hidden="false" customHeight="true" outlineLevel="0" collapsed="false">
      <c r="B309" s="228" t="n">
        <v>354</v>
      </c>
      <c r="C309" s="236" t="s">
        <v>1113</v>
      </c>
      <c r="D309" s="219" t="n">
        <v>21451</v>
      </c>
      <c r="E309" s="220" t="str">
        <f aca="false">IF(D309="","",IFERROR(VLOOKUP(D309,CCN_Library!$A$4:$B$13,2,FALSE()),"NOT IN LIBRARY"))</f>
        <v>AUTOMOTIVE ORGANIZATIONAL SHOP</v>
      </c>
      <c r="F309" s="229"/>
      <c r="G309" s="230" t="s">
        <v>1478</v>
      </c>
      <c r="H309" s="221" t="str">
        <f aca="false">LEFT(I309,5)</f>
        <v>D0880</v>
      </c>
      <c r="I309" s="230" t="s">
        <v>1195</v>
      </c>
      <c r="J309" s="221" t="s">
        <v>1196</v>
      </c>
      <c r="K309" s="230" t="s">
        <v>1072</v>
      </c>
      <c r="L309" s="230" t="s">
        <v>1073</v>
      </c>
      <c r="M309" s="230" t="s">
        <v>1116</v>
      </c>
      <c r="N309" s="231" t="n">
        <v>0</v>
      </c>
      <c r="O309" s="231" t="n">
        <v>0</v>
      </c>
      <c r="P309" s="231" t="n">
        <v>0</v>
      </c>
      <c r="Q309" s="232" t="n">
        <v>13.42</v>
      </c>
      <c r="R309" s="232" t="n">
        <v>6.91</v>
      </c>
      <c r="S309" s="224" t="n">
        <v>6.58</v>
      </c>
      <c r="T309" s="225" t="n">
        <f aca="false">Q309*R309*S309</f>
        <v>610.177876</v>
      </c>
      <c r="U309" s="226" t="n">
        <f aca="false">T309*P309</f>
        <v>0</v>
      </c>
      <c r="V309" s="233"/>
    </row>
    <row r="310" customFormat="false" ht="13.5" hidden="false" customHeight="true" outlineLevel="0" collapsed="false">
      <c r="B310" s="228" t="n">
        <v>357</v>
      </c>
      <c r="C310" s="236" t="s">
        <v>1068</v>
      </c>
      <c r="D310" s="219" t="n">
        <v>14345</v>
      </c>
      <c r="E310" s="220" t="str">
        <f aca="false">IF(D310="","",IFERROR(VLOOKUP(D310,CCN_Library!$A$4:$B$13,2,FALSE()),"NOT IN LIBRARY"))</f>
        <v>ARMORY</v>
      </c>
      <c r="F310" s="229"/>
      <c r="G310" s="230" t="s">
        <v>1478</v>
      </c>
      <c r="H310" s="221" t="str">
        <f aca="false">LEFT(I310,5)</f>
        <v>E1126</v>
      </c>
      <c r="I310" s="230" t="s">
        <v>1244</v>
      </c>
      <c r="J310" s="221" t="s">
        <v>1245</v>
      </c>
      <c r="K310" s="230" t="s">
        <v>1072</v>
      </c>
      <c r="L310" s="230" t="s">
        <v>1073</v>
      </c>
      <c r="M310" s="230" t="s">
        <v>133</v>
      </c>
      <c r="N310" s="231" t="n">
        <v>0</v>
      </c>
      <c r="O310" s="231" t="n">
        <v>4</v>
      </c>
      <c r="P310" s="231" t="n">
        <v>4</v>
      </c>
      <c r="Q310" s="232" t="n">
        <v>6.33</v>
      </c>
      <c r="R310" s="232" t="n">
        <v>5.16</v>
      </c>
      <c r="S310" s="224" t="n">
        <v>1.17</v>
      </c>
      <c r="T310" s="225" t="n">
        <f aca="false">Q310*R310*S310</f>
        <v>38.215476</v>
      </c>
      <c r="U310" s="226" t="n">
        <f aca="false">T310*P310</f>
        <v>152.861904</v>
      </c>
      <c r="V310" s="233"/>
    </row>
    <row r="311" customFormat="false" ht="13.5" hidden="false" customHeight="true" outlineLevel="0" collapsed="false">
      <c r="B311" s="228" t="n">
        <v>359</v>
      </c>
      <c r="C311" s="236" t="s">
        <v>1074</v>
      </c>
      <c r="D311" s="219" t="n">
        <v>44112</v>
      </c>
      <c r="E311" s="220" t="str">
        <f aca="false">IF(D311="","",IFERROR(VLOOKUP(D311,CCN_Library!$A$4:$B$13,2,FALSE()),"NOT IN LIBRARY"))</f>
        <v>STORAGE OF AIR OR GROUND ORGANIC UNITS FOR MARINE CORPS</v>
      </c>
      <c r="F311" s="229"/>
      <c r="G311" s="230" t="s">
        <v>1478</v>
      </c>
      <c r="H311" s="221" t="str">
        <f aca="false">LEFT(I311,5)</f>
        <v>K4182</v>
      </c>
      <c r="I311" s="230" t="s">
        <v>1197</v>
      </c>
      <c r="J311" s="221" t="s">
        <v>1198</v>
      </c>
      <c r="K311" s="230" t="s">
        <v>1072</v>
      </c>
      <c r="L311" s="230" t="s">
        <v>1073</v>
      </c>
      <c r="M311" s="230" t="s">
        <v>133</v>
      </c>
      <c r="N311" s="231" t="n">
        <v>0</v>
      </c>
      <c r="O311" s="231" t="n">
        <v>3</v>
      </c>
      <c r="P311" s="231" t="n">
        <v>3</v>
      </c>
      <c r="Q311" s="235" t="n">
        <v>0</v>
      </c>
      <c r="R311" s="235" t="n">
        <v>0</v>
      </c>
      <c r="S311" s="224" t="n">
        <v>0</v>
      </c>
      <c r="T311" s="225" t="n">
        <f aca="false">Q311*R311*S311</f>
        <v>0</v>
      </c>
      <c r="U311" s="226" t="n">
        <f aca="false">T311*P311</f>
        <v>0</v>
      </c>
      <c r="V311" s="233"/>
    </row>
    <row r="312" customFormat="false" ht="13.5" hidden="false" customHeight="true" outlineLevel="0" collapsed="false">
      <c r="B312" s="228" t="n">
        <v>364</v>
      </c>
      <c r="C312" s="236" t="s">
        <v>1074</v>
      </c>
      <c r="D312" s="219" t="n">
        <v>44112</v>
      </c>
      <c r="E312" s="220" t="str">
        <f aca="false">IF(D312="","",IFERROR(VLOOKUP(D312,CCN_Library!$A$4:$B$13,2,FALSE()),"NOT IN LIBRARY"))</f>
        <v>STORAGE OF AIR OR GROUND ORGANIC UNITS FOR MARINE CORPS</v>
      </c>
      <c r="F312" s="229"/>
      <c r="G312" s="230" t="s">
        <v>1478</v>
      </c>
      <c r="H312" s="221" t="str">
        <f aca="false">LEFT(I312,5)</f>
        <v>C2150</v>
      </c>
      <c r="I312" s="230" t="s">
        <v>1151</v>
      </c>
      <c r="J312" s="221" t="s">
        <v>1152</v>
      </c>
      <c r="K312" s="230" t="s">
        <v>1072</v>
      </c>
      <c r="L312" s="230" t="s">
        <v>1099</v>
      </c>
      <c r="M312" s="230" t="s">
        <v>133</v>
      </c>
      <c r="N312" s="231" t="n">
        <v>360</v>
      </c>
      <c r="O312" s="231" t="n">
        <v>0</v>
      </c>
      <c r="P312" s="231" t="n">
        <v>360</v>
      </c>
      <c r="Q312" s="232" t="n">
        <v>1.67</v>
      </c>
      <c r="R312" s="232" t="n">
        <v>0.67</v>
      </c>
      <c r="S312" s="224" t="n">
        <v>0.17</v>
      </c>
      <c r="T312" s="225" t="n">
        <f aca="false">Q312*R312*S312</f>
        <v>0.190213</v>
      </c>
      <c r="U312" s="226" t="n">
        <f aca="false">T312*P312</f>
        <v>68.47668</v>
      </c>
      <c r="V312" s="233"/>
    </row>
    <row r="313" customFormat="false" ht="13.5" hidden="false" customHeight="true" outlineLevel="0" collapsed="false">
      <c r="B313" s="228" t="n">
        <v>366</v>
      </c>
      <c r="C313" s="236" t="s">
        <v>1074</v>
      </c>
      <c r="D313" s="219" t="n">
        <v>44112</v>
      </c>
      <c r="E313" s="220" t="str">
        <f aca="false">IF(D313="","",IFERROR(VLOOKUP(D313,CCN_Library!$A$4:$B$13,2,FALSE()),"NOT IN LIBRARY"))</f>
        <v>STORAGE OF AIR OR GROUND ORGANIC UNITS FOR MARINE CORPS</v>
      </c>
      <c r="F313" s="229"/>
      <c r="G313" s="230" t="s">
        <v>1478</v>
      </c>
      <c r="H313" s="221" t="str">
        <f aca="false">LEFT(I313,5)</f>
        <v>C4433</v>
      </c>
      <c r="I313" s="230" t="s">
        <v>1307</v>
      </c>
      <c r="J313" s="221" t="s">
        <v>1308</v>
      </c>
      <c r="K313" s="230" t="s">
        <v>1072</v>
      </c>
      <c r="L313" s="230" t="s">
        <v>1073</v>
      </c>
      <c r="M313" s="230" t="s">
        <v>133</v>
      </c>
      <c r="N313" s="231" t="n">
        <v>0</v>
      </c>
      <c r="O313" s="231" t="n">
        <v>17</v>
      </c>
      <c r="P313" s="231" t="n">
        <v>17</v>
      </c>
      <c r="Q313" s="232" t="n">
        <v>4.75</v>
      </c>
      <c r="R313" s="235" t="n">
        <v>8</v>
      </c>
      <c r="S313" s="224" t="n">
        <v>6.83</v>
      </c>
      <c r="T313" s="225" t="n">
        <f aca="false">Q313*R313*S313</f>
        <v>259.54</v>
      </c>
      <c r="U313" s="226" t="n">
        <f aca="false">T313*P313</f>
        <v>4412.18</v>
      </c>
      <c r="V313" s="233"/>
    </row>
    <row r="314" customFormat="false" ht="13.5" hidden="false" customHeight="true" outlineLevel="0" collapsed="false">
      <c r="B314" s="228" t="n">
        <v>369</v>
      </c>
      <c r="C314" s="236" t="s">
        <v>1074</v>
      </c>
      <c r="D314" s="219" t="n">
        <v>44112</v>
      </c>
      <c r="E314" s="220" t="str">
        <f aca="false">IF(D314="","",IFERROR(VLOOKUP(D314,CCN_Library!$A$4:$B$13,2,FALSE()),"NOT IN LIBRARY"))</f>
        <v>STORAGE OF AIR OR GROUND ORGANIC UNITS FOR MARINE CORPS</v>
      </c>
      <c r="F314" s="229"/>
      <c r="G314" s="230" t="s">
        <v>1478</v>
      </c>
      <c r="H314" s="221" t="str">
        <f aca="false">LEFT(I314,5)</f>
        <v>C0188</v>
      </c>
      <c r="I314" s="230" t="s">
        <v>1407</v>
      </c>
      <c r="J314" s="221" t="s">
        <v>1261</v>
      </c>
      <c r="K314" s="230" t="s">
        <v>1072</v>
      </c>
      <c r="L314" s="230" t="s">
        <v>1073</v>
      </c>
      <c r="M314" s="230" t="s">
        <v>133</v>
      </c>
      <c r="N314" s="231" t="n">
        <v>0</v>
      </c>
      <c r="O314" s="231" t="n">
        <v>0</v>
      </c>
      <c r="P314" s="231" t="n">
        <v>0</v>
      </c>
      <c r="Q314" s="232" t="n">
        <v>0.33</v>
      </c>
      <c r="R314" s="232" t="n">
        <v>0.17</v>
      </c>
      <c r="S314" s="224" t="n">
        <v>0.25</v>
      </c>
      <c r="T314" s="225" t="n">
        <f aca="false">Q314*R314*S314</f>
        <v>0.014025</v>
      </c>
      <c r="U314" s="226" t="n">
        <f aca="false">T314*P314</f>
        <v>0</v>
      </c>
      <c r="V314" s="233"/>
    </row>
    <row r="315" customFormat="false" ht="13.5" hidden="false" customHeight="true" outlineLevel="0" collapsed="false">
      <c r="B315" s="228" t="n">
        <v>373</v>
      </c>
      <c r="C315" s="236" t="s">
        <v>1074</v>
      </c>
      <c r="D315" s="219" t="n">
        <v>44112</v>
      </c>
      <c r="E315" s="220" t="str">
        <f aca="false">IF(D315="","",IFERROR(VLOOKUP(D315,CCN_Library!$A$4:$B$13,2,FALSE()),"NOT IN LIBRARY"))</f>
        <v>STORAGE OF AIR OR GROUND ORGANIC UNITS FOR MARINE CORPS</v>
      </c>
      <c r="F315" s="229"/>
      <c r="G315" s="230" t="s">
        <v>1478</v>
      </c>
      <c r="H315" s="221" t="str">
        <f aca="false">LEFT(I315,5)</f>
        <v>C0115</v>
      </c>
      <c r="I315" s="230" t="s">
        <v>1100</v>
      </c>
      <c r="J315" s="221" t="s">
        <v>1101</v>
      </c>
      <c r="K315" s="230" t="s">
        <v>1072</v>
      </c>
      <c r="L315" s="230" t="s">
        <v>1099</v>
      </c>
      <c r="M315" s="230" t="s">
        <v>133</v>
      </c>
      <c r="N315" s="231" t="n">
        <v>360</v>
      </c>
      <c r="O315" s="231" t="n">
        <v>0</v>
      </c>
      <c r="P315" s="231" t="n">
        <v>360</v>
      </c>
      <c r="Q315" s="232" t="n">
        <v>0.83</v>
      </c>
      <c r="R315" s="232" t="n">
        <v>0.5</v>
      </c>
      <c r="S315" s="224" t="n">
        <v>0.17</v>
      </c>
      <c r="T315" s="225" t="n">
        <f aca="false">Q315*R315*S315</f>
        <v>0.07055</v>
      </c>
      <c r="U315" s="226" t="n">
        <f aca="false">T315*P315</f>
        <v>25.398</v>
      </c>
      <c r="V315" s="233"/>
    </row>
    <row r="316" customFormat="false" ht="13.5" hidden="false" customHeight="true" outlineLevel="0" collapsed="false">
      <c r="B316" s="228" t="n">
        <v>378</v>
      </c>
      <c r="C316" s="236" t="s">
        <v>1074</v>
      </c>
      <c r="D316" s="219" t="n">
        <v>44112</v>
      </c>
      <c r="E316" s="220" t="str">
        <f aca="false">IF(D316="","",IFERROR(VLOOKUP(D316,CCN_Library!$A$4:$B$13,2,FALSE()),"NOT IN LIBRARY"))</f>
        <v>STORAGE OF AIR OR GROUND ORGANIC UNITS FOR MARINE CORPS</v>
      </c>
      <c r="F316" s="229"/>
      <c r="G316" s="230" t="s">
        <v>1478</v>
      </c>
      <c r="H316" s="221" t="str">
        <f aca="false">LEFT(I316,5)</f>
        <v>C3150</v>
      </c>
      <c r="I316" s="230" t="s">
        <v>1502</v>
      </c>
      <c r="J316" s="221" t="s">
        <v>1503</v>
      </c>
      <c r="K316" s="230" t="s">
        <v>1072</v>
      </c>
      <c r="L316" s="230" t="s">
        <v>1106</v>
      </c>
      <c r="M316" s="230" t="s">
        <v>133</v>
      </c>
      <c r="N316" s="231" t="n">
        <v>180</v>
      </c>
      <c r="O316" s="231" t="n">
        <v>0</v>
      </c>
      <c r="P316" s="231" t="n">
        <v>180</v>
      </c>
      <c r="Q316" s="232" t="n">
        <v>0.67</v>
      </c>
      <c r="R316" s="232" t="n">
        <v>0.42</v>
      </c>
      <c r="S316" s="224" t="n">
        <v>0.67</v>
      </c>
      <c r="T316" s="225" t="n">
        <f aca="false">Q316*R316*S316</f>
        <v>0.188538</v>
      </c>
      <c r="U316" s="226" t="n">
        <f aca="false">T316*P316</f>
        <v>33.93684</v>
      </c>
      <c r="V316" s="233"/>
    </row>
    <row r="317" customFormat="false" ht="13.5" hidden="false" customHeight="true" outlineLevel="0" collapsed="false">
      <c r="B317" s="228" t="n">
        <v>384</v>
      </c>
      <c r="C317" s="236" t="s">
        <v>1068</v>
      </c>
      <c r="D317" s="219" t="n">
        <v>14345</v>
      </c>
      <c r="E317" s="220" t="str">
        <f aca="false">IF(D317="","",IFERROR(VLOOKUP(D317,CCN_Library!$A$4:$B$13,2,FALSE()),"NOT IN LIBRARY"))</f>
        <v>ARMORY</v>
      </c>
      <c r="F317" s="229"/>
      <c r="G317" s="230" t="s">
        <v>1478</v>
      </c>
      <c r="H317" s="221" t="str">
        <f aca="false">LEFT(I317,5)</f>
        <v>E0050</v>
      </c>
      <c r="I317" s="230" t="s">
        <v>1379</v>
      </c>
      <c r="J317" s="221" t="s">
        <v>1380</v>
      </c>
      <c r="K317" s="230" t="s">
        <v>1072</v>
      </c>
      <c r="L317" s="230" t="s">
        <v>1073</v>
      </c>
      <c r="M317" s="230" t="s">
        <v>133</v>
      </c>
      <c r="N317" s="231" t="n">
        <v>114</v>
      </c>
      <c r="O317" s="231" t="n">
        <v>0</v>
      </c>
      <c r="P317" s="231" t="n">
        <v>114</v>
      </c>
      <c r="Q317" s="232" t="n">
        <v>1.08</v>
      </c>
      <c r="R317" s="232" t="n">
        <v>0.25</v>
      </c>
      <c r="S317" s="224" t="n">
        <v>0.17</v>
      </c>
      <c r="T317" s="225" t="n">
        <f aca="false">Q317*R317*S317</f>
        <v>0.0459</v>
      </c>
      <c r="U317" s="226" t="n">
        <f aca="false">T317*P317</f>
        <v>5.2326</v>
      </c>
      <c r="V317" s="233"/>
    </row>
    <row r="318" customFormat="false" ht="13.5" hidden="false" customHeight="true" outlineLevel="0" collapsed="false">
      <c r="B318" s="228" t="n">
        <v>387</v>
      </c>
      <c r="C318" s="236" t="s">
        <v>1068</v>
      </c>
      <c r="D318" s="219" t="n">
        <v>14345</v>
      </c>
      <c r="E318" s="220" t="str">
        <f aca="false">IF(D318="","",IFERROR(VLOOKUP(D318,CCN_Library!$A$4:$B$13,2,FALSE()),"NOT IN LIBRARY"))</f>
        <v>ARMORY</v>
      </c>
      <c r="F318" s="229"/>
      <c r="G318" s="230" t="s">
        <v>1478</v>
      </c>
      <c r="H318" s="221" t="str">
        <f aca="false">LEFT(I318,5)</f>
        <v>E0989</v>
      </c>
      <c r="I318" s="230" t="s">
        <v>1383</v>
      </c>
      <c r="J318" s="221" t="s">
        <v>1384</v>
      </c>
      <c r="K318" s="230" t="s">
        <v>1072</v>
      </c>
      <c r="L318" s="230" t="s">
        <v>1073</v>
      </c>
      <c r="M318" s="230" t="s">
        <v>148</v>
      </c>
      <c r="N318" s="231" t="n">
        <v>0</v>
      </c>
      <c r="O318" s="231" t="n">
        <v>2</v>
      </c>
      <c r="P318" s="231" t="n">
        <v>2</v>
      </c>
      <c r="Q318" s="232" t="n">
        <v>4.04</v>
      </c>
      <c r="R318" s="232" t="n">
        <v>0.52</v>
      </c>
      <c r="S318" s="224" t="n">
        <v>0.75</v>
      </c>
      <c r="T318" s="225" t="n">
        <f aca="false">Q318*R318*S318</f>
        <v>1.5756</v>
      </c>
      <c r="U318" s="226" t="n">
        <f aca="false">T318*P318</f>
        <v>3.1512</v>
      </c>
      <c r="V318" s="233"/>
    </row>
    <row r="319" customFormat="false" ht="13.5" hidden="false" customHeight="true" outlineLevel="0" collapsed="false">
      <c r="B319" s="228" t="n">
        <v>391</v>
      </c>
      <c r="C319" s="236" t="s">
        <v>1074</v>
      </c>
      <c r="D319" s="219" t="n">
        <v>44112</v>
      </c>
      <c r="E319" s="220" t="str">
        <f aca="false">IF(D319="","",IFERROR(VLOOKUP(D319,CCN_Library!$A$4:$B$13,2,FALSE()),"NOT IN LIBRARY"))</f>
        <v>STORAGE OF AIR OR GROUND ORGANIC UNITS FOR MARINE CORPS</v>
      </c>
      <c r="F319" s="229"/>
      <c r="G319" s="230" t="s">
        <v>1478</v>
      </c>
      <c r="H319" s="221" t="str">
        <f aca="false">LEFT(I319,5)</f>
        <v>C0180</v>
      </c>
      <c r="I319" s="230" t="s">
        <v>1385</v>
      </c>
      <c r="J319" s="221" t="s">
        <v>1386</v>
      </c>
      <c r="K319" s="230" t="s">
        <v>1072</v>
      </c>
      <c r="L319" s="230" t="s">
        <v>1073</v>
      </c>
      <c r="M319" s="230" t="s">
        <v>133</v>
      </c>
      <c r="N319" s="231" t="n">
        <v>180</v>
      </c>
      <c r="O319" s="231" t="n">
        <v>0</v>
      </c>
      <c r="P319" s="231" t="n">
        <v>180</v>
      </c>
      <c r="Q319" s="235" t="n">
        <v>1</v>
      </c>
      <c r="R319" s="232" t="n">
        <v>0.33</v>
      </c>
      <c r="S319" s="224" t="n">
        <v>0.33</v>
      </c>
      <c r="T319" s="225" t="n">
        <f aca="false">Q319*R319*S319</f>
        <v>0.1089</v>
      </c>
      <c r="U319" s="226" t="n">
        <f aca="false">T319*P319</f>
        <v>19.602</v>
      </c>
      <c r="V319" s="233"/>
    </row>
    <row r="320" customFormat="false" ht="13.5" hidden="false" customHeight="true" outlineLevel="0" collapsed="false">
      <c r="B320" s="228" t="n">
        <v>396</v>
      </c>
      <c r="C320" s="236" t="s">
        <v>1113</v>
      </c>
      <c r="D320" s="219" t="n">
        <v>21451</v>
      </c>
      <c r="E320" s="220" t="str">
        <f aca="false">IF(D320="","",IFERROR(VLOOKUP(D320,CCN_Library!$A$4:$B$13,2,FALSE()),"NOT IN LIBRARY"))</f>
        <v>AUTOMOTIVE ORGANIZATIONAL SHOP</v>
      </c>
      <c r="F320" s="229"/>
      <c r="G320" s="230" t="s">
        <v>1478</v>
      </c>
      <c r="H320" s="221" t="str">
        <f aca="false">LEFT(I320,5)</f>
        <v>D0862</v>
      </c>
      <c r="I320" s="230" t="s">
        <v>1418</v>
      </c>
      <c r="J320" s="221" t="s">
        <v>1419</v>
      </c>
      <c r="K320" s="230" t="s">
        <v>1072</v>
      </c>
      <c r="L320" s="230" t="s">
        <v>1073</v>
      </c>
      <c r="M320" s="230" t="s">
        <v>133</v>
      </c>
      <c r="N320" s="231" t="n">
        <v>0</v>
      </c>
      <c r="O320" s="231" t="n">
        <v>0</v>
      </c>
      <c r="P320" s="231" t="n">
        <v>0</v>
      </c>
      <c r="Q320" s="232" t="n">
        <v>16.49</v>
      </c>
      <c r="R320" s="232" t="n">
        <v>8.16</v>
      </c>
      <c r="S320" s="224" t="n">
        <v>3.83</v>
      </c>
      <c r="T320" s="225" t="n">
        <f aca="false">Q320*R320*S320</f>
        <v>515.358672</v>
      </c>
      <c r="U320" s="226" t="n">
        <f aca="false">T320*P320</f>
        <v>0</v>
      </c>
      <c r="V320" s="233"/>
    </row>
    <row r="321" customFormat="false" ht="13.5" hidden="false" customHeight="true" outlineLevel="0" collapsed="false">
      <c r="B321" s="228" t="n">
        <v>401</v>
      </c>
      <c r="C321" s="236" t="s">
        <v>1068</v>
      </c>
      <c r="D321" s="219" t="n">
        <v>14345</v>
      </c>
      <c r="E321" s="220" t="str">
        <f aca="false">IF(D321="","",IFERROR(VLOOKUP(D321,CCN_Library!$A$4:$B$13,2,FALSE()),"NOT IN LIBRARY"))</f>
        <v>ARMORY</v>
      </c>
      <c r="F321" s="229"/>
      <c r="G321" s="230" t="s">
        <v>1478</v>
      </c>
      <c r="H321" s="221" t="str">
        <f aca="false">LEFT(I321,5)</f>
        <v>E0030</v>
      </c>
      <c r="I321" s="230" t="s">
        <v>1070</v>
      </c>
      <c r="J321" s="221" t="s">
        <v>1071</v>
      </c>
      <c r="K321" s="230" t="s">
        <v>1072</v>
      </c>
      <c r="L321" s="230" t="s">
        <v>1073</v>
      </c>
      <c r="M321" s="230" t="s">
        <v>133</v>
      </c>
      <c r="N321" s="231" t="n">
        <v>66</v>
      </c>
      <c r="O321" s="231" t="n">
        <v>0</v>
      </c>
      <c r="P321" s="231" t="n">
        <v>66</v>
      </c>
      <c r="Q321" s="232" t="n">
        <v>0.6</v>
      </c>
      <c r="R321" s="232" t="n">
        <v>0.13</v>
      </c>
      <c r="S321" s="224" t="n">
        <v>0.13</v>
      </c>
      <c r="T321" s="225" t="n">
        <f aca="false">Q321*R321*S321</f>
        <v>0.01014</v>
      </c>
      <c r="U321" s="226" t="n">
        <f aca="false">T321*P321</f>
        <v>0.66924</v>
      </c>
      <c r="V321" s="233"/>
    </row>
    <row r="322" customFormat="false" ht="13.5" hidden="false" customHeight="true" outlineLevel="0" collapsed="false">
      <c r="B322" s="228" t="n">
        <v>402</v>
      </c>
      <c r="C322" s="236" t="s">
        <v>1068</v>
      </c>
      <c r="D322" s="219" t="n">
        <v>14345</v>
      </c>
      <c r="E322" s="220" t="str">
        <f aca="false">IF(D322="","",IFERROR(VLOOKUP(D322,CCN_Library!$A$4:$B$13,2,FALSE()),"NOT IN LIBRARY"))</f>
        <v>ARMORY</v>
      </c>
      <c r="F322" s="229"/>
      <c r="G322" s="230" t="s">
        <v>1478</v>
      </c>
      <c r="H322" s="221" t="str">
        <f aca="false">LEFT(I322,5)</f>
        <v>E0041</v>
      </c>
      <c r="I322" s="230" t="s">
        <v>1232</v>
      </c>
      <c r="J322" s="221" t="s">
        <v>1233</v>
      </c>
      <c r="K322" s="230" t="s">
        <v>1072</v>
      </c>
      <c r="L322" s="230" t="s">
        <v>1073</v>
      </c>
      <c r="M322" s="230" t="s">
        <v>133</v>
      </c>
      <c r="N322" s="231" t="n">
        <v>0</v>
      </c>
      <c r="O322" s="231" t="n">
        <v>0</v>
      </c>
      <c r="P322" s="231" t="n">
        <v>0</v>
      </c>
      <c r="Q322" s="232" t="n">
        <v>1.28</v>
      </c>
      <c r="R322" s="232" t="n">
        <v>0.27</v>
      </c>
      <c r="S322" s="224" t="n">
        <v>0.27</v>
      </c>
      <c r="T322" s="225" t="n">
        <f aca="false">Q322*R322*S322</f>
        <v>0.093312</v>
      </c>
      <c r="U322" s="226" t="n">
        <f aca="false">T322*P322</f>
        <v>0</v>
      </c>
      <c r="V322" s="233"/>
    </row>
    <row r="323" customFormat="false" ht="13.5" hidden="false" customHeight="true" outlineLevel="0" collapsed="false">
      <c r="B323" s="228" t="n">
        <v>405</v>
      </c>
      <c r="C323" s="236" t="s">
        <v>1074</v>
      </c>
      <c r="D323" s="219" t="n">
        <v>44112</v>
      </c>
      <c r="E323" s="220" t="str">
        <f aca="false">IF(D323="","",IFERROR(VLOOKUP(D323,CCN_Library!$A$4:$B$13,2,FALSE()),"NOT IN LIBRARY"))</f>
        <v>STORAGE OF AIR OR GROUND ORGANIC UNITS FOR MARINE CORPS</v>
      </c>
      <c r="F323" s="229"/>
      <c r="G323" s="230" t="s">
        <v>1478</v>
      </c>
      <c r="H323" s="221" t="str">
        <f aca="false">LEFT(I323,5)</f>
        <v>C8604</v>
      </c>
      <c r="I323" s="230" t="s">
        <v>1240</v>
      </c>
      <c r="J323" s="221" t="s">
        <v>1241</v>
      </c>
      <c r="K323" s="230" t="s">
        <v>1072</v>
      </c>
      <c r="L323" s="237"/>
      <c r="M323" s="230" t="s">
        <v>133</v>
      </c>
      <c r="N323" s="231" t="n">
        <v>0</v>
      </c>
      <c r="O323" s="231" t="n">
        <v>6</v>
      </c>
      <c r="P323" s="231" t="n">
        <v>6</v>
      </c>
      <c r="Q323" s="232" t="n">
        <v>4.17</v>
      </c>
      <c r="R323" s="232" t="n">
        <v>3.33</v>
      </c>
      <c r="S323" s="224" t="n">
        <v>3.5</v>
      </c>
      <c r="T323" s="225" t="n">
        <f aca="false">Q323*R323*S323</f>
        <v>48.60135</v>
      </c>
      <c r="U323" s="226" t="n">
        <f aca="false">T323*P323</f>
        <v>291.6081</v>
      </c>
      <c r="V323" s="233"/>
    </row>
    <row r="324" customFormat="false" ht="13.5" hidden="false" customHeight="true" outlineLevel="0" collapsed="false">
      <c r="B324" s="228" t="n">
        <v>409</v>
      </c>
      <c r="C324" s="236" t="s">
        <v>1068</v>
      </c>
      <c r="D324" s="219" t="n">
        <v>14345</v>
      </c>
      <c r="E324" s="220" t="str">
        <f aca="false">IF(D324="","",IFERROR(VLOOKUP(D324,CCN_Library!$A$4:$B$13,2,FALSE()),"NOT IN LIBRARY"))</f>
        <v>ARMORY</v>
      </c>
      <c r="F324" s="229"/>
      <c r="G324" s="230" t="s">
        <v>1478</v>
      </c>
      <c r="H324" s="221" t="str">
        <f aca="false">LEFT(I324,5)</f>
        <v>E1160</v>
      </c>
      <c r="I324" s="230" t="s">
        <v>1504</v>
      </c>
      <c r="J324" s="221" t="s">
        <v>1505</v>
      </c>
      <c r="K324" s="230" t="s">
        <v>1072</v>
      </c>
      <c r="L324" s="230" t="s">
        <v>1073</v>
      </c>
      <c r="M324" s="230" t="s">
        <v>133</v>
      </c>
      <c r="N324" s="231" t="n">
        <v>2</v>
      </c>
      <c r="O324" s="231" t="n">
        <v>0</v>
      </c>
      <c r="P324" s="231" t="n">
        <v>2</v>
      </c>
      <c r="Q324" s="232" t="n">
        <v>0.83</v>
      </c>
      <c r="R324" s="232" t="n">
        <v>0.17</v>
      </c>
      <c r="S324" s="224" t="n">
        <v>0.33</v>
      </c>
      <c r="T324" s="225" t="n">
        <f aca="false">Q324*R324*S324</f>
        <v>0.046563</v>
      </c>
      <c r="U324" s="226" t="n">
        <f aca="false">T324*P324</f>
        <v>0.093126</v>
      </c>
      <c r="V324" s="233"/>
    </row>
    <row r="325" customFormat="false" ht="13.5" hidden="false" customHeight="true" outlineLevel="0" collapsed="false">
      <c r="B325" s="228" t="n">
        <v>410</v>
      </c>
      <c r="C325" s="236" t="s">
        <v>1074</v>
      </c>
      <c r="D325" s="219" t="n">
        <v>44112</v>
      </c>
      <c r="E325" s="220" t="str">
        <f aca="false">IF(D325="","",IFERROR(VLOOKUP(D325,CCN_Library!$A$4:$B$13,2,FALSE()),"NOT IN LIBRARY"))</f>
        <v>STORAGE OF AIR OR GROUND ORGANIC UNITS FOR MARINE CORPS</v>
      </c>
      <c r="F325" s="229"/>
      <c r="G325" s="230" t="s">
        <v>1478</v>
      </c>
      <c r="H325" s="221" t="str">
        <f aca="false">LEFT(I325,5)</f>
        <v>K4128</v>
      </c>
      <c r="I325" s="230" t="s">
        <v>1089</v>
      </c>
      <c r="J325" s="221" t="s">
        <v>1090</v>
      </c>
      <c r="K325" s="230" t="s">
        <v>1072</v>
      </c>
      <c r="L325" s="230" t="s">
        <v>1073</v>
      </c>
      <c r="M325" s="230" t="s">
        <v>133</v>
      </c>
      <c r="N325" s="231" t="n">
        <v>0</v>
      </c>
      <c r="O325" s="231" t="n">
        <v>69</v>
      </c>
      <c r="P325" s="231" t="n">
        <v>69</v>
      </c>
      <c r="Q325" s="235" t="n">
        <v>0</v>
      </c>
      <c r="R325" s="235" t="n">
        <v>0</v>
      </c>
      <c r="S325" s="224" t="n">
        <v>0</v>
      </c>
      <c r="T325" s="225" t="n">
        <f aca="false">Q325*R325*S325</f>
        <v>0</v>
      </c>
      <c r="U325" s="226" t="n">
        <f aca="false">T325*P325</f>
        <v>0</v>
      </c>
      <c r="V325" s="233"/>
    </row>
    <row r="326" customFormat="false" ht="13.5" hidden="false" customHeight="true" outlineLevel="0" collapsed="false">
      <c r="B326" s="228" t="n">
        <v>413</v>
      </c>
      <c r="C326" s="236" t="s">
        <v>1077</v>
      </c>
      <c r="D326" s="219" t="n">
        <v>21710</v>
      </c>
      <c r="E326" s="220" t="str">
        <f aca="false">IF(D326="","",IFERROR(VLOOKUP(D326,CCN_Library!$A$4:$B$13,2,FALSE()),"NOT IN LIBRARY"))</f>
        <v>ELECTRONICS/COMMUNICATIONS MAINTENANCE SHOP</v>
      </c>
      <c r="F326" s="229"/>
      <c r="G326" s="230" t="s">
        <v>1478</v>
      </c>
      <c r="H326" s="221" t="str">
        <f aca="false">LEFT(I326,5)</f>
        <v>H0004</v>
      </c>
      <c r="I326" s="230" t="s">
        <v>1440</v>
      </c>
      <c r="J326" s="221" t="s">
        <v>1441</v>
      </c>
      <c r="K326" s="230" t="s">
        <v>1072</v>
      </c>
      <c r="L326" s="230" t="s">
        <v>1073</v>
      </c>
      <c r="M326" s="230" t="s">
        <v>133</v>
      </c>
      <c r="N326" s="231" t="n">
        <v>0</v>
      </c>
      <c r="O326" s="231" t="n">
        <v>6</v>
      </c>
      <c r="P326" s="231" t="n">
        <v>6</v>
      </c>
      <c r="Q326" s="232" t="n">
        <v>1.84</v>
      </c>
      <c r="R326" s="232" t="n">
        <v>1.49</v>
      </c>
      <c r="S326" s="224" t="n">
        <v>0.87</v>
      </c>
      <c r="T326" s="225" t="n">
        <f aca="false">Q326*R326*S326</f>
        <v>2.385192</v>
      </c>
      <c r="U326" s="226" t="n">
        <f aca="false">T326*P326</f>
        <v>14.311152</v>
      </c>
      <c r="V326" s="233"/>
    </row>
    <row r="327" customFormat="false" ht="13.5" hidden="false" customHeight="true" outlineLevel="0" collapsed="false">
      <c r="B327" s="228" t="n">
        <v>415</v>
      </c>
      <c r="C327" s="236" t="s">
        <v>1074</v>
      </c>
      <c r="D327" s="219" t="n">
        <v>44112</v>
      </c>
      <c r="E327" s="220" t="str">
        <f aca="false">IF(D327="","",IFERROR(VLOOKUP(D327,CCN_Library!$A$4:$B$13,2,FALSE()),"NOT IN LIBRARY"))</f>
        <v>STORAGE OF AIR OR GROUND ORGANIC UNITS FOR MARINE CORPS</v>
      </c>
      <c r="F327" s="229"/>
      <c r="G327" s="230" t="s">
        <v>1478</v>
      </c>
      <c r="H327" s="221" t="str">
        <f aca="false">LEFT(I327,5)</f>
        <v>C2170</v>
      </c>
      <c r="I327" s="230" t="s">
        <v>1155</v>
      </c>
      <c r="J327" s="221" t="s">
        <v>1156</v>
      </c>
      <c r="K327" s="230" t="s">
        <v>1072</v>
      </c>
      <c r="L327" s="230" t="s">
        <v>1073</v>
      </c>
      <c r="M327" s="230" t="s">
        <v>133</v>
      </c>
      <c r="N327" s="231" t="n">
        <v>180</v>
      </c>
      <c r="O327" s="231" t="n">
        <v>0</v>
      </c>
      <c r="P327" s="231" t="n">
        <v>180</v>
      </c>
      <c r="Q327" s="232" t="n">
        <v>0.58</v>
      </c>
      <c r="R327" s="232" t="n">
        <v>0.33</v>
      </c>
      <c r="S327" s="224" t="n">
        <v>0.25</v>
      </c>
      <c r="T327" s="225" t="n">
        <f aca="false">Q327*R327*S327</f>
        <v>0.04785</v>
      </c>
      <c r="U327" s="226" t="n">
        <f aca="false">T327*P327</f>
        <v>8.613</v>
      </c>
      <c r="V327" s="233"/>
    </row>
    <row r="328" customFormat="false" ht="13.5" hidden="false" customHeight="true" outlineLevel="0" collapsed="false">
      <c r="B328" s="228" t="n">
        <v>417</v>
      </c>
      <c r="C328" s="236" t="s">
        <v>1074</v>
      </c>
      <c r="D328" s="219" t="n">
        <v>44112</v>
      </c>
      <c r="E328" s="220" t="str">
        <f aca="false">IF(D328="","",IFERROR(VLOOKUP(D328,CCN_Library!$A$4:$B$13,2,FALSE()),"NOT IN LIBRARY"))</f>
        <v>STORAGE OF AIR OR GROUND ORGANIC UNITS FOR MARINE CORPS</v>
      </c>
      <c r="F328" s="229"/>
      <c r="G328" s="230" t="s">
        <v>1478</v>
      </c>
      <c r="H328" s="221" t="str">
        <f aca="false">LEFT(I328,5)</f>
        <v>C1107</v>
      </c>
      <c r="I328" s="230" t="s">
        <v>1367</v>
      </c>
      <c r="J328" s="221" t="s">
        <v>1368</v>
      </c>
      <c r="K328" s="230" t="s">
        <v>1072</v>
      </c>
      <c r="L328" s="230" t="s">
        <v>1099</v>
      </c>
      <c r="M328" s="230" t="s">
        <v>133</v>
      </c>
      <c r="N328" s="231" t="n">
        <v>180</v>
      </c>
      <c r="O328" s="231" t="n">
        <v>0</v>
      </c>
      <c r="P328" s="231" t="n">
        <v>180</v>
      </c>
      <c r="Q328" s="235" t="n">
        <v>1</v>
      </c>
      <c r="R328" s="232" t="n">
        <v>0.5</v>
      </c>
      <c r="S328" s="224" t="n">
        <v>0.08</v>
      </c>
      <c r="T328" s="225" t="n">
        <f aca="false">Q328*R328*S328</f>
        <v>0.04</v>
      </c>
      <c r="U328" s="226" t="n">
        <f aca="false">T328*P328</f>
        <v>7.2</v>
      </c>
      <c r="V328" s="233"/>
    </row>
    <row r="329" customFormat="false" ht="13.5" hidden="false" customHeight="true" outlineLevel="0" collapsed="false">
      <c r="B329" s="228" t="n">
        <v>421</v>
      </c>
      <c r="C329" s="236" t="s">
        <v>1074</v>
      </c>
      <c r="D329" s="219" t="n">
        <v>44112</v>
      </c>
      <c r="E329" s="220" t="str">
        <f aca="false">IF(D329="","",IFERROR(VLOOKUP(D329,CCN_Library!$A$4:$B$13,2,FALSE()),"NOT IN LIBRARY"))</f>
        <v>STORAGE OF AIR OR GROUND ORGANIC UNITS FOR MARINE CORPS</v>
      </c>
      <c r="F329" s="229"/>
      <c r="G329" s="230" t="s">
        <v>1478</v>
      </c>
      <c r="H329" s="221" t="str">
        <f aca="false">LEFT(I329,5)</f>
        <v>C0116</v>
      </c>
      <c r="I329" s="230" t="s">
        <v>1454</v>
      </c>
      <c r="J329" s="221" t="s">
        <v>1455</v>
      </c>
      <c r="K329" s="230" t="s">
        <v>1072</v>
      </c>
      <c r="L329" s="230" t="s">
        <v>1073</v>
      </c>
      <c r="M329" s="230" t="s">
        <v>133</v>
      </c>
      <c r="N329" s="231" t="n">
        <v>360</v>
      </c>
      <c r="O329" s="231" t="n">
        <v>0</v>
      </c>
      <c r="P329" s="231" t="n">
        <v>360</v>
      </c>
      <c r="Q329" s="232" t="n">
        <v>0.83</v>
      </c>
      <c r="R329" s="232" t="n">
        <v>0.5</v>
      </c>
      <c r="S329" s="224" t="n">
        <v>0.17</v>
      </c>
      <c r="T329" s="225" t="n">
        <f aca="false">Q329*R329*S329</f>
        <v>0.07055</v>
      </c>
      <c r="U329" s="226" t="n">
        <f aca="false">T329*P329</f>
        <v>25.398</v>
      </c>
      <c r="V329" s="233"/>
    </row>
    <row r="330" customFormat="false" ht="13.5" hidden="false" customHeight="true" outlineLevel="0" collapsed="false">
      <c r="B330" s="228" t="n">
        <v>422</v>
      </c>
      <c r="C330" s="236" t="s">
        <v>1068</v>
      </c>
      <c r="D330" s="219" t="n">
        <v>14345</v>
      </c>
      <c r="E330" s="220" t="str">
        <f aca="false">IF(D330="","",IFERROR(VLOOKUP(D330,CCN_Library!$A$4:$B$13,2,FALSE()),"NOT IN LIBRARY"))</f>
        <v>ARMORY</v>
      </c>
      <c r="F330" s="229"/>
      <c r="G330" s="230" t="s">
        <v>1478</v>
      </c>
      <c r="H330" s="221" t="str">
        <f aca="false">LEFT(I330,5)</f>
        <v>E0956</v>
      </c>
      <c r="I330" s="230" t="s">
        <v>1268</v>
      </c>
      <c r="J330" s="221" t="s">
        <v>1269</v>
      </c>
      <c r="K330" s="230" t="s">
        <v>1072</v>
      </c>
      <c r="L330" s="230" t="s">
        <v>1073</v>
      </c>
      <c r="M330" s="230" t="s">
        <v>133</v>
      </c>
      <c r="N330" s="231" t="n">
        <v>0</v>
      </c>
      <c r="O330" s="231" t="n">
        <v>2</v>
      </c>
      <c r="P330" s="231" t="n">
        <v>2</v>
      </c>
      <c r="Q330" s="232" t="n">
        <v>0.83</v>
      </c>
      <c r="R330" s="232" t="n">
        <v>0.08</v>
      </c>
      <c r="S330" s="224" t="n">
        <v>0.33</v>
      </c>
      <c r="T330" s="225" t="n">
        <f aca="false">Q330*R330*S330</f>
        <v>0.021912</v>
      </c>
      <c r="U330" s="226" t="n">
        <f aca="false">T330*P330</f>
        <v>0.043824</v>
      </c>
      <c r="V330" s="233"/>
    </row>
    <row r="331" customFormat="false" ht="13.5" hidden="false" customHeight="true" outlineLevel="0" collapsed="false">
      <c r="B331" s="228" t="n">
        <v>425</v>
      </c>
      <c r="C331" s="236" t="s">
        <v>1077</v>
      </c>
      <c r="D331" s="219" t="n">
        <v>21710</v>
      </c>
      <c r="E331" s="220" t="str">
        <f aca="false">IF(D331="","",IFERROR(VLOOKUP(D331,CCN_Library!$A$4:$B$13,2,FALSE()),"NOT IN LIBRARY"))</f>
        <v>ELECTRONICS/COMMUNICATIONS MAINTENANCE SHOP</v>
      </c>
      <c r="F331" s="229"/>
      <c r="G331" s="230" t="s">
        <v>1478</v>
      </c>
      <c r="H331" s="221" t="str">
        <f aca="false">LEFT(I331,5)</f>
        <v>A1260</v>
      </c>
      <c r="I331" s="230" t="s">
        <v>1274</v>
      </c>
      <c r="J331" s="221" t="s">
        <v>1275</v>
      </c>
      <c r="K331" s="230" t="s">
        <v>1072</v>
      </c>
      <c r="L331" s="230" t="s">
        <v>1073</v>
      </c>
      <c r="M331" s="237"/>
      <c r="N331" s="231" t="n">
        <v>0</v>
      </c>
      <c r="O331" s="231" t="n">
        <v>9</v>
      </c>
      <c r="P331" s="231" t="n">
        <v>9</v>
      </c>
      <c r="Q331" s="232" t="n">
        <v>0.58</v>
      </c>
      <c r="R331" s="232" t="n">
        <v>0.33</v>
      </c>
      <c r="S331" s="224" t="n">
        <v>0.17</v>
      </c>
      <c r="T331" s="225" t="n">
        <f aca="false">Q331*R331*S331</f>
        <v>0.032538</v>
      </c>
      <c r="U331" s="226" t="n">
        <f aca="false">T331*P331</f>
        <v>0.292842</v>
      </c>
      <c r="V331" s="233"/>
    </row>
    <row r="332" customFormat="false" ht="13.5" hidden="false" customHeight="true" outlineLevel="0" collapsed="false">
      <c r="B332" s="228" t="n">
        <v>426</v>
      </c>
      <c r="C332" s="236" t="s">
        <v>1068</v>
      </c>
      <c r="D332" s="219" t="n">
        <v>14345</v>
      </c>
      <c r="E332" s="220" t="str">
        <f aca="false">IF(D332="","",IFERROR(VLOOKUP(D332,CCN_Library!$A$4:$B$13,2,FALSE()),"NOT IN LIBRARY"))</f>
        <v>ARMORY</v>
      </c>
      <c r="F332" s="229"/>
      <c r="G332" s="230" t="s">
        <v>1478</v>
      </c>
      <c r="H332" s="221" t="str">
        <f aca="false">LEFT(I332,5)</f>
        <v>E0195</v>
      </c>
      <c r="I332" s="230" t="s">
        <v>1373</v>
      </c>
      <c r="J332" s="221" t="s">
        <v>1374</v>
      </c>
      <c r="K332" s="230" t="s">
        <v>1072</v>
      </c>
      <c r="L332" s="230" t="s">
        <v>1073</v>
      </c>
      <c r="M332" s="230" t="s">
        <v>133</v>
      </c>
      <c r="N332" s="231" t="n">
        <v>99</v>
      </c>
      <c r="O332" s="231" t="n">
        <v>0</v>
      </c>
      <c r="P332" s="231" t="n">
        <v>99</v>
      </c>
      <c r="Q332" s="232" t="n">
        <v>2.75</v>
      </c>
      <c r="R332" s="232" t="n">
        <v>0.33</v>
      </c>
      <c r="S332" s="224" t="n">
        <v>0.92</v>
      </c>
      <c r="T332" s="225" t="n">
        <f aca="false">Q332*R332*S332</f>
        <v>0.8349</v>
      </c>
      <c r="U332" s="226" t="n">
        <f aca="false">T332*P332</f>
        <v>82.6551</v>
      </c>
      <c r="V332" s="233"/>
    </row>
    <row r="333" customFormat="false" ht="13.5" hidden="false" customHeight="true" outlineLevel="0" collapsed="false">
      <c r="B333" s="228" t="n">
        <v>427</v>
      </c>
      <c r="C333" s="236" t="s">
        <v>1068</v>
      </c>
      <c r="D333" s="219" t="n">
        <v>14345</v>
      </c>
      <c r="E333" s="220" t="str">
        <f aca="false">IF(D333="","",IFERROR(VLOOKUP(D333,CCN_Library!$A$4:$B$13,2,FALSE()),"NOT IN LIBRARY"))</f>
        <v>ARMORY</v>
      </c>
      <c r="F333" s="229"/>
      <c r="G333" s="230" t="s">
        <v>1478</v>
      </c>
      <c r="H333" s="221" t="str">
        <f aca="false">LEFT(I333,5)</f>
        <v>C0061</v>
      </c>
      <c r="I333" s="230" t="s">
        <v>1462</v>
      </c>
      <c r="J333" s="221" t="s">
        <v>1463</v>
      </c>
      <c r="K333" s="230" t="s">
        <v>1072</v>
      </c>
      <c r="L333" s="230" t="s">
        <v>1073</v>
      </c>
      <c r="M333" s="230" t="s">
        <v>133</v>
      </c>
      <c r="N333" s="231" t="n">
        <v>180</v>
      </c>
      <c r="O333" s="231" t="n">
        <v>0</v>
      </c>
      <c r="P333" s="231" t="n">
        <v>180</v>
      </c>
      <c r="Q333" s="235" t="n">
        <v>2</v>
      </c>
      <c r="R333" s="232" t="n">
        <v>1.5</v>
      </c>
      <c r="S333" s="224" t="n">
        <v>0.67</v>
      </c>
      <c r="T333" s="225" t="n">
        <f aca="false">Q333*R333*S333</f>
        <v>2.01</v>
      </c>
      <c r="U333" s="226" t="n">
        <f aca="false">T333*P333</f>
        <v>361.8</v>
      </c>
      <c r="V333" s="233"/>
    </row>
    <row r="334" customFormat="false" ht="13.5" hidden="false" customHeight="true" outlineLevel="0" collapsed="false">
      <c r="B334" s="228" t="n">
        <v>429</v>
      </c>
      <c r="C334" s="236" t="s">
        <v>1074</v>
      </c>
      <c r="D334" s="219" t="n">
        <v>44112</v>
      </c>
      <c r="E334" s="220" t="str">
        <f aca="false">IF(D334="","",IFERROR(VLOOKUP(D334,CCN_Library!$A$4:$B$13,2,FALSE()),"NOT IN LIBRARY"))</f>
        <v>STORAGE OF AIR OR GROUND ORGANIC UNITS FOR MARINE CORPS</v>
      </c>
      <c r="F334" s="229"/>
      <c r="G334" s="230" t="s">
        <v>1478</v>
      </c>
      <c r="H334" s="221" t="str">
        <f aca="false">LEFT(I334,5)</f>
        <v>C5332</v>
      </c>
      <c r="I334" s="230" t="s">
        <v>1506</v>
      </c>
      <c r="J334" s="221" t="s">
        <v>1507</v>
      </c>
      <c r="K334" s="230" t="s">
        <v>1072</v>
      </c>
      <c r="L334" s="230" t="s">
        <v>1073</v>
      </c>
      <c r="M334" s="230" t="s">
        <v>133</v>
      </c>
      <c r="N334" s="231" t="n">
        <v>0</v>
      </c>
      <c r="O334" s="231" t="n">
        <v>64</v>
      </c>
      <c r="P334" s="231" t="n">
        <v>64</v>
      </c>
      <c r="Q334" s="235" t="n">
        <v>2</v>
      </c>
      <c r="R334" s="232" t="n">
        <v>1.5</v>
      </c>
      <c r="S334" s="224" t="n">
        <v>1</v>
      </c>
      <c r="T334" s="225" t="n">
        <f aca="false">Q334*R334*S334</f>
        <v>3</v>
      </c>
      <c r="U334" s="226" t="n">
        <f aca="false">T334*P334</f>
        <v>192</v>
      </c>
      <c r="V334" s="233"/>
    </row>
    <row r="335" customFormat="false" ht="13.5" hidden="false" customHeight="true" outlineLevel="0" collapsed="false">
      <c r="B335" s="228" t="n">
        <v>430</v>
      </c>
      <c r="C335" s="236" t="s">
        <v>1074</v>
      </c>
      <c r="D335" s="219" t="n">
        <v>44112</v>
      </c>
      <c r="E335" s="220" t="str">
        <f aca="false">IF(D335="","",IFERROR(VLOOKUP(D335,CCN_Library!$A$4:$B$13,2,FALSE()),"NOT IN LIBRARY"))</f>
        <v>STORAGE OF AIR OR GROUND ORGANIC UNITS FOR MARINE CORPS</v>
      </c>
      <c r="F335" s="229"/>
      <c r="G335" s="230" t="s">
        <v>1478</v>
      </c>
      <c r="H335" s="221" t="str">
        <f aca="false">LEFT(I335,5)</f>
        <v>C0137</v>
      </c>
      <c r="I335" s="230" t="s">
        <v>1381</v>
      </c>
      <c r="J335" s="221" t="s">
        <v>1382</v>
      </c>
      <c r="K335" s="230" t="s">
        <v>1072</v>
      </c>
      <c r="L335" s="230" t="s">
        <v>1073</v>
      </c>
      <c r="M335" s="230" t="s">
        <v>133</v>
      </c>
      <c r="N335" s="231" t="n">
        <v>180</v>
      </c>
      <c r="O335" s="231" t="n">
        <v>0</v>
      </c>
      <c r="P335" s="231" t="n">
        <v>180</v>
      </c>
      <c r="Q335" s="232" t="n">
        <v>1.12</v>
      </c>
      <c r="R335" s="235" t="n">
        <v>1</v>
      </c>
      <c r="S335" s="224" t="n">
        <v>0.25</v>
      </c>
      <c r="T335" s="225" t="n">
        <f aca="false">Q335*R335*S335</f>
        <v>0.28</v>
      </c>
      <c r="U335" s="226" t="n">
        <f aca="false">T335*P335</f>
        <v>50.4</v>
      </c>
      <c r="V335" s="233"/>
    </row>
    <row r="336" customFormat="false" ht="13.5" hidden="false" customHeight="true" outlineLevel="0" collapsed="false">
      <c r="B336" s="228" t="n">
        <v>431</v>
      </c>
      <c r="C336" s="236" t="s">
        <v>1068</v>
      </c>
      <c r="D336" s="219" t="n">
        <v>14345</v>
      </c>
      <c r="E336" s="220" t="str">
        <f aca="false">IF(D336="","",IFERROR(VLOOKUP(D336,CCN_Library!$A$4:$B$13,2,FALSE()),"NOT IN LIBRARY"))</f>
        <v>ARMORY</v>
      </c>
      <c r="F336" s="229"/>
      <c r="G336" s="230" t="s">
        <v>1478</v>
      </c>
      <c r="H336" s="221" t="str">
        <f aca="false">LEFT(I336,5)</f>
        <v>E0099</v>
      </c>
      <c r="I336" s="230" t="s">
        <v>1412</v>
      </c>
      <c r="J336" s="221" t="s">
        <v>1413</v>
      </c>
      <c r="K336" s="230" t="s">
        <v>1072</v>
      </c>
      <c r="L336" s="230" t="s">
        <v>1073</v>
      </c>
      <c r="M336" s="230" t="s">
        <v>133</v>
      </c>
      <c r="N336" s="231" t="n">
        <v>0</v>
      </c>
      <c r="O336" s="231" t="n">
        <v>0</v>
      </c>
      <c r="P336" s="231" t="n">
        <v>0</v>
      </c>
      <c r="Q336" s="232" t="n">
        <v>0.33</v>
      </c>
      <c r="R336" s="232" t="n">
        <v>0.17</v>
      </c>
      <c r="S336" s="224" t="n">
        <v>0.25</v>
      </c>
      <c r="T336" s="225" t="n">
        <f aca="false">Q336*R336*S336</f>
        <v>0.014025</v>
      </c>
      <c r="U336" s="226" t="n">
        <f aca="false">T336*P336</f>
        <v>0</v>
      </c>
      <c r="V336" s="233"/>
    </row>
    <row r="337" customFormat="false" ht="13.5" hidden="false" customHeight="true" outlineLevel="0" collapsed="false">
      <c r="B337" s="228" t="n">
        <v>435</v>
      </c>
      <c r="C337" s="236" t="s">
        <v>1077</v>
      </c>
      <c r="D337" s="219" t="n">
        <v>21710</v>
      </c>
      <c r="E337" s="220" t="str">
        <f aca="false">IF(D337="","",IFERROR(VLOOKUP(D337,CCN_Library!$A$4:$B$13,2,FALSE()),"NOT IN LIBRARY"))</f>
        <v>ELECTRONICS/COMMUNICATIONS MAINTENANCE SHOP</v>
      </c>
      <c r="F337" s="229"/>
      <c r="G337" s="230" t="s">
        <v>1478</v>
      </c>
      <c r="H337" s="221" t="str">
        <f aca="false">LEFT(I337,5)</f>
        <v>A9300</v>
      </c>
      <c r="I337" s="230" t="s">
        <v>1508</v>
      </c>
      <c r="J337" s="221" t="s">
        <v>1509</v>
      </c>
      <c r="K337" s="230" t="s">
        <v>1072</v>
      </c>
      <c r="L337" s="230" t="s">
        <v>1073</v>
      </c>
      <c r="M337" s="230" t="s">
        <v>133</v>
      </c>
      <c r="N337" s="231" t="n">
        <v>0</v>
      </c>
      <c r="O337" s="231" t="n">
        <v>0</v>
      </c>
      <c r="P337" s="231" t="n">
        <v>0</v>
      </c>
      <c r="Q337" s="232" t="n">
        <v>1.42</v>
      </c>
      <c r="R337" s="232" t="n">
        <v>0.58</v>
      </c>
      <c r="S337" s="224" t="n">
        <v>1.33</v>
      </c>
      <c r="T337" s="225" t="n">
        <f aca="false">Q337*R337*S337</f>
        <v>1.095388</v>
      </c>
      <c r="U337" s="226" t="n">
        <f aca="false">T337*P337</f>
        <v>0</v>
      </c>
      <c r="V337" s="233"/>
    </row>
    <row r="338" customFormat="false" ht="13.5" hidden="false" customHeight="true" outlineLevel="0" collapsed="false">
      <c r="B338" s="228" t="n">
        <v>439</v>
      </c>
      <c r="C338" s="236" t="s">
        <v>1068</v>
      </c>
      <c r="D338" s="219" t="n">
        <v>14345</v>
      </c>
      <c r="E338" s="220" t="str">
        <f aca="false">IF(D338="","",IFERROR(VLOOKUP(D338,CCN_Library!$A$4:$B$13,2,FALSE()),"NOT IN LIBRARY"))</f>
        <v>ARMORY</v>
      </c>
      <c r="F338" s="229"/>
      <c r="G338" s="230" t="s">
        <v>1478</v>
      </c>
      <c r="H338" s="221" t="str">
        <f aca="false">LEFT(I338,5)</f>
        <v>E0173</v>
      </c>
      <c r="I338" s="230" t="s">
        <v>1420</v>
      </c>
      <c r="J338" s="221" t="s">
        <v>1421</v>
      </c>
      <c r="K338" s="230" t="s">
        <v>1072</v>
      </c>
      <c r="L338" s="230" t="s">
        <v>1073</v>
      </c>
      <c r="M338" s="230" t="s">
        <v>133</v>
      </c>
      <c r="N338" s="231" t="n">
        <v>0</v>
      </c>
      <c r="O338" s="231" t="n">
        <v>0</v>
      </c>
      <c r="P338" s="231" t="n">
        <v>0</v>
      </c>
      <c r="Q338" s="232" t="n">
        <v>0.61</v>
      </c>
      <c r="R338" s="232" t="n">
        <v>0.29</v>
      </c>
      <c r="S338" s="224" t="n">
        <v>0.16</v>
      </c>
      <c r="T338" s="225" t="n">
        <f aca="false">Q338*R338*S338</f>
        <v>0.028304</v>
      </c>
      <c r="U338" s="226" t="n">
        <f aca="false">T338*P338</f>
        <v>0</v>
      </c>
      <c r="V338" s="233"/>
    </row>
    <row r="339" customFormat="false" ht="13.5" hidden="false" customHeight="true" outlineLevel="0" collapsed="false">
      <c r="B339" s="228" t="n">
        <v>441</v>
      </c>
      <c r="C339" s="236" t="s">
        <v>1074</v>
      </c>
      <c r="D339" s="219" t="n">
        <v>44112</v>
      </c>
      <c r="E339" s="220" t="str">
        <f aca="false">IF(D339="","",IFERROR(VLOOKUP(D339,CCN_Library!$A$4:$B$13,2,FALSE()),"NOT IN LIBRARY"))</f>
        <v>STORAGE OF AIR OR GROUND ORGANIC UNITS FOR MARINE CORPS</v>
      </c>
      <c r="F339" s="229"/>
      <c r="G339" s="230" t="s">
        <v>1478</v>
      </c>
      <c r="H339" s="221" t="str">
        <f aca="false">LEFT(I339,5)</f>
        <v>C5652</v>
      </c>
      <c r="I339" s="230" t="s">
        <v>1473</v>
      </c>
      <c r="J339" s="221" t="s">
        <v>1474</v>
      </c>
      <c r="K339" s="230" t="s">
        <v>1072</v>
      </c>
      <c r="L339" s="230" t="s">
        <v>1073</v>
      </c>
      <c r="M339" s="230" t="s">
        <v>133</v>
      </c>
      <c r="N339" s="231" t="n">
        <v>180</v>
      </c>
      <c r="O339" s="231" t="n">
        <v>0</v>
      </c>
      <c r="P339" s="231" t="n">
        <v>180</v>
      </c>
      <c r="Q339" s="235" t="n">
        <v>1</v>
      </c>
      <c r="R339" s="232" t="n">
        <v>0.67</v>
      </c>
      <c r="S339" s="224" t="n">
        <v>0.25</v>
      </c>
      <c r="T339" s="225" t="n">
        <f aca="false">Q339*R339*S339</f>
        <v>0.1675</v>
      </c>
      <c r="U339" s="226" t="n">
        <f aca="false">T339*P339</f>
        <v>30.15</v>
      </c>
      <c r="V339" s="233"/>
    </row>
    <row r="340" customFormat="false" ht="13.5" hidden="false" customHeight="true" outlineLevel="0" collapsed="false">
      <c r="B340" s="228" t="n">
        <v>444</v>
      </c>
      <c r="C340" s="236" t="s">
        <v>1068</v>
      </c>
      <c r="D340" s="219" t="n">
        <v>14345</v>
      </c>
      <c r="E340" s="220" t="str">
        <f aca="false">IF(D340="","",IFERROR(VLOOKUP(D340,CCN_Library!$A$4:$B$13,2,FALSE()),"NOT IN LIBRARY"))</f>
        <v>ARMORY</v>
      </c>
      <c r="F340" s="229"/>
      <c r="G340" s="230" t="s">
        <v>1478</v>
      </c>
      <c r="H340" s="221" t="str">
        <f aca="false">LEFT(I340,5)</f>
        <v>E0201</v>
      </c>
      <c r="I340" s="230" t="s">
        <v>1424</v>
      </c>
      <c r="J340" s="221" t="s">
        <v>1425</v>
      </c>
      <c r="K340" s="230" t="s">
        <v>1072</v>
      </c>
      <c r="L340" s="230" t="s">
        <v>1073</v>
      </c>
      <c r="M340" s="230" t="s">
        <v>133</v>
      </c>
      <c r="N340" s="231" t="n">
        <v>0</v>
      </c>
      <c r="O340" s="231" t="n">
        <v>0</v>
      </c>
      <c r="P340" s="231" t="n">
        <v>0</v>
      </c>
      <c r="Q340" s="237"/>
      <c r="R340" s="237"/>
      <c r="S340" s="224" t="n">
        <v>0</v>
      </c>
      <c r="T340" s="225" t="n">
        <f aca="false">Q340*R340*S340</f>
        <v>0</v>
      </c>
      <c r="U340" s="226" t="n">
        <f aca="false">T340*P340</f>
        <v>0</v>
      </c>
      <c r="V340" s="233"/>
    </row>
    <row r="341" customFormat="false" ht="13.5" hidden="false" customHeight="true" outlineLevel="0" collapsed="false">
      <c r="B341" s="228" t="n">
        <v>448</v>
      </c>
      <c r="C341" s="236" t="s">
        <v>1074</v>
      </c>
      <c r="D341" s="219" t="n">
        <v>44112</v>
      </c>
      <c r="E341" s="220" t="str">
        <f aca="false">IF(D341="","",IFERROR(VLOOKUP(D341,CCN_Library!$A$4:$B$13,2,FALSE()),"NOT IN LIBRARY"))</f>
        <v>STORAGE OF AIR OR GROUND ORGANIC UNITS FOR MARINE CORPS</v>
      </c>
      <c r="F341" s="229"/>
      <c r="G341" s="230" t="s">
        <v>1478</v>
      </c>
      <c r="H341" s="221" t="str">
        <f aca="false">LEFT(I341,5)</f>
        <v>C3020</v>
      </c>
      <c r="I341" s="230" t="s">
        <v>1081</v>
      </c>
      <c r="J341" s="221" t="s">
        <v>1082</v>
      </c>
      <c r="K341" s="230" t="s">
        <v>1072</v>
      </c>
      <c r="L341" s="230" t="s">
        <v>1073</v>
      </c>
      <c r="M341" s="230" t="s">
        <v>133</v>
      </c>
      <c r="N341" s="231" t="n">
        <v>360</v>
      </c>
      <c r="O341" s="231" t="n">
        <v>0</v>
      </c>
      <c r="P341" s="231" t="n">
        <v>360</v>
      </c>
      <c r="Q341" s="232" t="n">
        <v>1.17</v>
      </c>
      <c r="R341" s="232" t="n">
        <v>1.17</v>
      </c>
      <c r="S341" s="224" t="n">
        <v>0.08</v>
      </c>
      <c r="T341" s="225" t="n">
        <f aca="false">Q341*R341*S341</f>
        <v>0.109512</v>
      </c>
      <c r="U341" s="226" t="n">
        <f aca="false">T341*P341</f>
        <v>39.42432</v>
      </c>
      <c r="V341" s="233"/>
    </row>
    <row r="342" customFormat="false" ht="13.5" hidden="false" customHeight="true" outlineLevel="0" collapsed="false">
      <c r="B342" s="228" t="n">
        <v>454</v>
      </c>
      <c r="C342" s="236" t="s">
        <v>1074</v>
      </c>
      <c r="D342" s="219" t="n">
        <v>44112</v>
      </c>
      <c r="E342" s="220" t="str">
        <f aca="false">IF(D342="","",IFERROR(VLOOKUP(D342,CCN_Library!$A$4:$B$13,2,FALSE()),"NOT IN LIBRARY"))</f>
        <v>STORAGE OF AIR OR GROUND ORGANIC UNITS FOR MARINE CORPS</v>
      </c>
      <c r="F342" s="229"/>
      <c r="G342" s="230" t="s">
        <v>1478</v>
      </c>
      <c r="H342" s="221" t="str">
        <f aca="false">LEFT(I342,5)</f>
        <v>K4236</v>
      </c>
      <c r="I342" s="230" t="s">
        <v>1091</v>
      </c>
      <c r="J342" s="221" t="s">
        <v>1092</v>
      </c>
      <c r="K342" s="230" t="s">
        <v>1072</v>
      </c>
      <c r="L342" s="230" t="s">
        <v>1073</v>
      </c>
      <c r="M342" s="230" t="s">
        <v>133</v>
      </c>
      <c r="N342" s="231" t="n">
        <v>0</v>
      </c>
      <c r="O342" s="231" t="n">
        <v>224</v>
      </c>
      <c r="P342" s="231" t="n">
        <v>224</v>
      </c>
      <c r="Q342" s="235" t="n">
        <v>2</v>
      </c>
      <c r="R342" s="232" t="n">
        <v>0.5</v>
      </c>
      <c r="S342" s="224" t="n">
        <v>0.33</v>
      </c>
      <c r="T342" s="225" t="n">
        <f aca="false">Q342*R342*S342</f>
        <v>0.33</v>
      </c>
      <c r="U342" s="226" t="n">
        <f aca="false">T342*P342</f>
        <v>73.92</v>
      </c>
      <c r="V342" s="233"/>
    </row>
    <row r="343" customFormat="false" ht="13.5" hidden="false" customHeight="true" outlineLevel="0" collapsed="false">
      <c r="B343" s="228" t="n">
        <v>455</v>
      </c>
      <c r="C343" s="236" t="s">
        <v>1074</v>
      </c>
      <c r="D343" s="219" t="n">
        <v>44112</v>
      </c>
      <c r="E343" s="220" t="str">
        <f aca="false">IF(D343="","",IFERROR(VLOOKUP(D343,CCN_Library!$A$4:$B$13,2,FALSE()),"NOT IN LIBRARY"))</f>
        <v>STORAGE OF AIR OR GROUND ORGANIC UNITS FOR MARINE CORPS</v>
      </c>
      <c r="F343" s="229"/>
      <c r="G343" s="230" t="s">
        <v>1478</v>
      </c>
      <c r="H343" s="221" t="str">
        <f aca="false">LEFT(I343,5)</f>
        <v>K4496</v>
      </c>
      <c r="I343" s="230" t="s">
        <v>1510</v>
      </c>
      <c r="J343" s="221" t="s">
        <v>1511</v>
      </c>
      <c r="K343" s="230" t="s">
        <v>1080</v>
      </c>
      <c r="L343" s="230" t="s">
        <v>1073</v>
      </c>
      <c r="M343" s="230" t="s">
        <v>133</v>
      </c>
      <c r="N343" s="231" t="n">
        <v>0</v>
      </c>
      <c r="O343" s="231" t="n">
        <v>2</v>
      </c>
      <c r="P343" s="231" t="n">
        <v>2</v>
      </c>
      <c r="Q343" s="235" t="n">
        <v>2</v>
      </c>
      <c r="R343" s="232" t="n">
        <v>1.08</v>
      </c>
      <c r="S343" s="224" t="n">
        <v>1.58</v>
      </c>
      <c r="T343" s="225" t="n">
        <f aca="false">Q343*R343*S343</f>
        <v>3.4128</v>
      </c>
      <c r="U343" s="226" t="n">
        <f aca="false">T343*P343</f>
        <v>6.8256</v>
      </c>
      <c r="V343" s="233"/>
    </row>
    <row r="344" customFormat="false" ht="13.5" hidden="false" customHeight="true" outlineLevel="0" collapsed="false">
      <c r="B344" s="228" t="n">
        <v>457</v>
      </c>
      <c r="C344" s="236" t="s">
        <v>1068</v>
      </c>
      <c r="D344" s="219" t="n">
        <v>14345</v>
      </c>
      <c r="E344" s="220" t="str">
        <f aca="false">IF(D344="","",IFERROR(VLOOKUP(D344,CCN_Library!$A$4:$B$13,2,FALSE()),"NOT IN LIBRARY"))</f>
        <v>ARMORY</v>
      </c>
      <c r="F344" s="229"/>
      <c r="G344" s="230" t="s">
        <v>1478</v>
      </c>
      <c r="H344" s="221" t="str">
        <f aca="false">LEFT(I344,5)</f>
        <v>C0015</v>
      </c>
      <c r="I344" s="230" t="s">
        <v>1438</v>
      </c>
      <c r="J344" s="221" t="s">
        <v>1439</v>
      </c>
      <c r="K344" s="230" t="s">
        <v>1072</v>
      </c>
      <c r="L344" s="230" t="s">
        <v>1073</v>
      </c>
      <c r="M344" s="230" t="s">
        <v>133</v>
      </c>
      <c r="N344" s="231" t="n">
        <v>360</v>
      </c>
      <c r="O344" s="231" t="n">
        <v>0</v>
      </c>
      <c r="P344" s="231" t="n">
        <v>360</v>
      </c>
      <c r="Q344" s="232" t="n">
        <v>0.67</v>
      </c>
      <c r="R344" s="232" t="n">
        <v>0.5</v>
      </c>
      <c r="S344" s="224" t="n">
        <v>0.08</v>
      </c>
      <c r="T344" s="225" t="n">
        <f aca="false">Q344*R344*S344</f>
        <v>0.0268</v>
      </c>
      <c r="U344" s="226" t="n">
        <f aca="false">T344*P344</f>
        <v>9.648</v>
      </c>
      <c r="V344" s="233"/>
    </row>
    <row r="345" customFormat="false" ht="13.5" hidden="false" customHeight="true" outlineLevel="0" collapsed="false">
      <c r="B345" s="228" t="n">
        <v>461</v>
      </c>
      <c r="C345" s="236" t="s">
        <v>1074</v>
      </c>
      <c r="D345" s="219" t="n">
        <v>44112</v>
      </c>
      <c r="E345" s="220" t="str">
        <f aca="false">IF(D345="","",IFERROR(VLOOKUP(D345,CCN_Library!$A$4:$B$13,2,FALSE()),"NOT IN LIBRARY"))</f>
        <v>STORAGE OF AIR OR GROUND ORGANIC UNITS FOR MARINE CORPS</v>
      </c>
      <c r="F345" s="229"/>
      <c r="G345" s="230" t="s">
        <v>1478</v>
      </c>
      <c r="H345" s="221" t="str">
        <f aca="false">LEFT(I345,5)</f>
        <v>B0062</v>
      </c>
      <c r="I345" s="230" t="s">
        <v>1512</v>
      </c>
      <c r="J345" s="221" t="s">
        <v>1513</v>
      </c>
      <c r="K345" s="230" t="s">
        <v>1072</v>
      </c>
      <c r="L345" s="230" t="s">
        <v>1106</v>
      </c>
      <c r="M345" s="230" t="s">
        <v>133</v>
      </c>
      <c r="N345" s="231" t="n">
        <v>0</v>
      </c>
      <c r="O345" s="231" t="n">
        <v>2</v>
      </c>
      <c r="P345" s="231" t="n">
        <v>2</v>
      </c>
      <c r="Q345" s="232" t="n">
        <v>2.25</v>
      </c>
      <c r="R345" s="232" t="n">
        <v>1.33</v>
      </c>
      <c r="S345" s="224" t="n">
        <v>1.92</v>
      </c>
      <c r="T345" s="225" t="n">
        <f aca="false">Q345*R345*S345</f>
        <v>5.7456</v>
      </c>
      <c r="U345" s="226" t="n">
        <f aca="false">T345*P345</f>
        <v>11.4912</v>
      </c>
      <c r="V345" s="233"/>
    </row>
    <row r="346" customFormat="false" ht="13.5" hidden="false" customHeight="true" outlineLevel="0" collapsed="false">
      <c r="B346" s="228" t="n">
        <v>464</v>
      </c>
      <c r="C346" s="236" t="s">
        <v>1068</v>
      </c>
      <c r="D346" s="219" t="n">
        <v>14345</v>
      </c>
      <c r="E346" s="220" t="str">
        <f aca="false">IF(D346="","",IFERROR(VLOOKUP(D346,CCN_Library!$A$4:$B$13,2,FALSE()),"NOT IN LIBRARY"))</f>
        <v>ARMORY</v>
      </c>
      <c r="F346" s="229"/>
      <c r="G346" s="230" t="s">
        <v>1478</v>
      </c>
      <c r="H346" s="221" t="str">
        <f aca="false">LEFT(I346,5)</f>
        <v>E1123</v>
      </c>
      <c r="I346" s="230" t="s">
        <v>1405</v>
      </c>
      <c r="J346" s="221" t="s">
        <v>1406</v>
      </c>
      <c r="K346" s="230" t="s">
        <v>1072</v>
      </c>
      <c r="L346" s="230" t="s">
        <v>1073</v>
      </c>
      <c r="M346" s="230" t="s">
        <v>133</v>
      </c>
      <c r="N346" s="231" t="n">
        <v>0</v>
      </c>
      <c r="O346" s="231" t="n">
        <v>2</v>
      </c>
      <c r="P346" s="231" t="n">
        <v>2</v>
      </c>
      <c r="Q346" s="232" t="n">
        <v>1.5</v>
      </c>
      <c r="R346" s="232" t="n">
        <v>0.83</v>
      </c>
      <c r="S346" s="224" t="n">
        <v>0.83</v>
      </c>
      <c r="T346" s="225" t="n">
        <f aca="false">Q346*R346*S346</f>
        <v>1.03335</v>
      </c>
      <c r="U346" s="226" t="n">
        <f aca="false">T346*P346</f>
        <v>2.0667</v>
      </c>
      <c r="V346" s="233"/>
    </row>
    <row r="347" customFormat="false" ht="13.5" hidden="false" customHeight="true" outlineLevel="0" collapsed="false">
      <c r="B347" s="228" t="n">
        <v>472</v>
      </c>
      <c r="C347" s="236" t="s">
        <v>1068</v>
      </c>
      <c r="D347" s="219" t="n">
        <v>14345</v>
      </c>
      <c r="E347" s="220" t="str">
        <f aca="false">IF(D347="","",IFERROR(VLOOKUP(D347,CCN_Library!$A$4:$B$13,2,FALSE()),"NOT IN LIBRARY"))</f>
        <v>ARMORY</v>
      </c>
      <c r="F347" s="229"/>
      <c r="G347" s="230" t="s">
        <v>1478</v>
      </c>
      <c r="H347" s="221" t="str">
        <f aca="false">LEFT(I347,5)</f>
        <v>E0081</v>
      </c>
      <c r="I347" s="230" t="s">
        <v>1211</v>
      </c>
      <c r="J347" s="221" t="s">
        <v>1212</v>
      </c>
      <c r="K347" s="230" t="s">
        <v>1072</v>
      </c>
      <c r="L347" s="230" t="s">
        <v>1073</v>
      </c>
      <c r="M347" s="230" t="s">
        <v>133</v>
      </c>
      <c r="N347" s="231" t="n">
        <v>2</v>
      </c>
      <c r="O347" s="231" t="n">
        <v>0</v>
      </c>
      <c r="P347" s="231" t="n">
        <v>2</v>
      </c>
      <c r="Q347" s="232" t="n">
        <v>1.08</v>
      </c>
      <c r="R347" s="232" t="n">
        <v>1.42</v>
      </c>
      <c r="S347" s="224" t="n">
        <v>0.67</v>
      </c>
      <c r="T347" s="225" t="n">
        <f aca="false">Q347*R347*S347</f>
        <v>1.027512</v>
      </c>
      <c r="U347" s="226" t="n">
        <f aca="false">T347*P347</f>
        <v>2.055024</v>
      </c>
      <c r="V347" s="233"/>
    </row>
    <row r="348" customFormat="false" ht="13.5" hidden="false" customHeight="true" outlineLevel="0" collapsed="false">
      <c r="B348" s="228" t="n">
        <v>475</v>
      </c>
      <c r="C348" s="236" t="s">
        <v>1074</v>
      </c>
      <c r="D348" s="219" t="n">
        <v>44112</v>
      </c>
      <c r="E348" s="220" t="str">
        <f aca="false">IF(D348="","",IFERROR(VLOOKUP(D348,CCN_Library!$A$4:$B$13,2,FALSE()),"NOT IN LIBRARY"))</f>
        <v>STORAGE OF AIR OR GROUND ORGANIC UNITS FOR MARINE CORPS</v>
      </c>
      <c r="F348" s="229"/>
      <c r="G348" s="230" t="s">
        <v>1478</v>
      </c>
      <c r="H348" s="221" t="str">
        <f aca="false">LEFT(I348,5)</f>
        <v>K7902</v>
      </c>
      <c r="I348" s="230" t="s">
        <v>1514</v>
      </c>
      <c r="J348" s="221" t="s">
        <v>1515</v>
      </c>
      <c r="K348" s="230" t="s">
        <v>1072</v>
      </c>
      <c r="L348" s="230" t="s">
        <v>1106</v>
      </c>
      <c r="M348" s="230" t="s">
        <v>133</v>
      </c>
      <c r="N348" s="231" t="n">
        <v>0</v>
      </c>
      <c r="O348" s="231" t="n">
        <v>1</v>
      </c>
      <c r="P348" s="231" t="n">
        <v>1</v>
      </c>
      <c r="Q348" s="232" t="n">
        <v>2.67</v>
      </c>
      <c r="R348" s="232" t="n">
        <v>1.92</v>
      </c>
      <c r="S348" s="224" t="n">
        <v>2.75</v>
      </c>
      <c r="T348" s="225" t="n">
        <f aca="false">Q348*R348*S348</f>
        <v>14.0976</v>
      </c>
      <c r="U348" s="226" t="n">
        <f aca="false">T348*P348</f>
        <v>14.0976</v>
      </c>
      <c r="V348" s="233"/>
    </row>
    <row r="349" customFormat="false" ht="13.5" hidden="false" customHeight="true" outlineLevel="0" collapsed="false">
      <c r="B349" s="228" t="n">
        <v>478</v>
      </c>
      <c r="C349" s="236" t="s">
        <v>1074</v>
      </c>
      <c r="D349" s="219" t="n">
        <v>44112</v>
      </c>
      <c r="E349" s="220" t="str">
        <f aca="false">IF(D349="","",IFERROR(VLOOKUP(D349,CCN_Library!$A$4:$B$13,2,FALSE()),"NOT IN LIBRARY"))</f>
        <v>STORAGE OF AIR OR GROUND ORGANIC UNITS FOR MARINE CORPS</v>
      </c>
      <c r="F349" s="229"/>
      <c r="G349" s="230" t="s">
        <v>1478</v>
      </c>
      <c r="H349" s="221" t="str">
        <f aca="false">LEFT(I349,5)</f>
        <v>C0135</v>
      </c>
      <c r="I349" s="230" t="s">
        <v>1109</v>
      </c>
      <c r="J349" s="221" t="s">
        <v>1110</v>
      </c>
      <c r="K349" s="230" t="s">
        <v>1072</v>
      </c>
      <c r="L349" s="230" t="s">
        <v>1073</v>
      </c>
      <c r="M349" s="230" t="s">
        <v>133</v>
      </c>
      <c r="N349" s="231" t="n">
        <v>180</v>
      </c>
      <c r="O349" s="231" t="n">
        <v>0</v>
      </c>
      <c r="P349" s="231" t="n">
        <v>180</v>
      </c>
      <c r="Q349" s="235" t="n">
        <v>1</v>
      </c>
      <c r="R349" s="235" t="n">
        <v>1</v>
      </c>
      <c r="S349" s="224" t="n">
        <v>0.5</v>
      </c>
      <c r="T349" s="225" t="n">
        <f aca="false">Q349*R349*S349</f>
        <v>0.5</v>
      </c>
      <c r="U349" s="226" t="n">
        <f aca="false">T349*P349</f>
        <v>90</v>
      </c>
      <c r="V349" s="233"/>
    </row>
    <row r="350" customFormat="false" ht="13.5" hidden="false" customHeight="true" outlineLevel="0" collapsed="false">
      <c r="B350" s="228" t="n">
        <v>482</v>
      </c>
      <c r="C350" s="236" t="s">
        <v>1068</v>
      </c>
      <c r="D350" s="219" t="n">
        <v>14345</v>
      </c>
      <c r="E350" s="220" t="str">
        <f aca="false">IF(D350="","",IFERROR(VLOOKUP(D350,CCN_Library!$A$4:$B$13,2,FALSE()),"NOT IN LIBRARY"))</f>
        <v>ARMORY</v>
      </c>
      <c r="F350" s="229"/>
      <c r="G350" s="230" t="s">
        <v>1478</v>
      </c>
      <c r="H350" s="221" t="str">
        <f aca="false">LEFT(I350,5)</f>
        <v>E0100</v>
      </c>
      <c r="I350" s="230" t="s">
        <v>1464</v>
      </c>
      <c r="J350" s="221" t="s">
        <v>1465</v>
      </c>
      <c r="K350" s="230" t="s">
        <v>1072</v>
      </c>
      <c r="L350" s="230" t="s">
        <v>1073</v>
      </c>
      <c r="M350" s="230" t="s">
        <v>133</v>
      </c>
      <c r="N350" s="231" t="n">
        <v>0</v>
      </c>
      <c r="O350" s="231" t="n">
        <v>0</v>
      </c>
      <c r="P350" s="231" t="n">
        <v>0</v>
      </c>
      <c r="Q350" s="232" t="n">
        <v>2.8</v>
      </c>
      <c r="R350" s="232" t="n">
        <v>0.94</v>
      </c>
      <c r="S350" s="224" t="n">
        <v>0.25</v>
      </c>
      <c r="T350" s="225" t="n">
        <f aca="false">Q350*R350*S350</f>
        <v>0.658</v>
      </c>
      <c r="U350" s="226" t="n">
        <f aca="false">T350*P350</f>
        <v>0</v>
      </c>
      <c r="V350" s="233"/>
    </row>
    <row r="351" customFormat="false" ht="13.5" hidden="false" customHeight="true" outlineLevel="0" collapsed="false">
      <c r="B351" s="228" t="n">
        <v>485</v>
      </c>
      <c r="C351" s="236" t="s">
        <v>1068</v>
      </c>
      <c r="D351" s="219" t="n">
        <v>14345</v>
      </c>
      <c r="E351" s="220" t="str">
        <f aca="false">IF(D351="","",IFERROR(VLOOKUP(D351,CCN_Library!$A$4:$B$13,2,FALSE()),"NOT IN LIBRARY"))</f>
        <v>ARMORY</v>
      </c>
      <c r="F351" s="229"/>
      <c r="G351" s="230" t="s">
        <v>1478</v>
      </c>
      <c r="H351" s="221" t="str">
        <f aca="false">LEFT(I351,5)</f>
        <v>E1442</v>
      </c>
      <c r="I351" s="230" t="s">
        <v>1332</v>
      </c>
      <c r="J351" s="221" t="s">
        <v>1333</v>
      </c>
      <c r="K351" s="230" t="s">
        <v>1072</v>
      </c>
      <c r="L351" s="230" t="s">
        <v>1073</v>
      </c>
      <c r="M351" s="230" t="s">
        <v>133</v>
      </c>
      <c r="N351" s="231" t="n">
        <v>15</v>
      </c>
      <c r="O351" s="231" t="n">
        <v>0</v>
      </c>
      <c r="P351" s="231" t="n">
        <v>15</v>
      </c>
      <c r="Q351" s="232" t="n">
        <v>3.25</v>
      </c>
      <c r="R351" s="232" t="n">
        <v>0.17</v>
      </c>
      <c r="S351" s="224" t="n">
        <v>0.75</v>
      </c>
      <c r="T351" s="225" t="n">
        <f aca="false">Q351*R351*S351</f>
        <v>0.414375</v>
      </c>
      <c r="U351" s="226" t="n">
        <f aca="false">T351*P351</f>
        <v>6.215625</v>
      </c>
      <c r="V351" s="233"/>
    </row>
    <row r="352" customFormat="false" ht="13.5" hidden="false" customHeight="true" outlineLevel="0" collapsed="false">
      <c r="B352" s="228" t="n">
        <v>486</v>
      </c>
      <c r="C352" s="236" t="s">
        <v>1113</v>
      </c>
      <c r="D352" s="219" t="n">
        <v>21451</v>
      </c>
      <c r="E352" s="220" t="str">
        <f aca="false">IF(D352="","",IFERROR(VLOOKUP(D352,CCN_Library!$A$4:$B$13,2,FALSE()),"NOT IN LIBRARY"))</f>
        <v>AUTOMOTIVE ORGANIZATIONAL SHOP</v>
      </c>
      <c r="F352" s="229"/>
      <c r="G352" s="230" t="s">
        <v>1478</v>
      </c>
      <c r="H352" s="221" t="str">
        <f aca="false">LEFT(I352,5)</f>
        <v>D0048</v>
      </c>
      <c r="I352" s="230" t="s">
        <v>1114</v>
      </c>
      <c r="J352" s="221" t="s">
        <v>1115</v>
      </c>
      <c r="K352" s="230" t="s">
        <v>1072</v>
      </c>
      <c r="L352" s="230" t="s">
        <v>1073</v>
      </c>
      <c r="M352" s="230" t="s">
        <v>1116</v>
      </c>
      <c r="N352" s="231" t="n">
        <v>0</v>
      </c>
      <c r="O352" s="231" t="n">
        <v>3</v>
      </c>
      <c r="P352" s="231" t="n">
        <v>3</v>
      </c>
      <c r="Q352" s="232" t="n">
        <v>18.13</v>
      </c>
      <c r="R352" s="235" t="n">
        <v>8</v>
      </c>
      <c r="S352" s="224" t="n">
        <v>6.36</v>
      </c>
      <c r="T352" s="225" t="n">
        <f aca="false">Q352*R352*S352</f>
        <v>922.4544</v>
      </c>
      <c r="U352" s="226" t="n">
        <f aca="false">T352*P352</f>
        <v>2767.3632</v>
      </c>
      <c r="V352" s="233"/>
    </row>
    <row r="353" customFormat="false" ht="13.5" hidden="false" customHeight="true" outlineLevel="0" collapsed="false">
      <c r="B353" s="228" t="n">
        <v>488</v>
      </c>
      <c r="C353" s="236" t="s">
        <v>1074</v>
      </c>
      <c r="D353" s="219" t="n">
        <v>44112</v>
      </c>
      <c r="E353" s="220" t="str">
        <f aca="false">IF(D353="","",IFERROR(VLOOKUP(D353,CCN_Library!$A$4:$B$13,2,FALSE()),"NOT IN LIBRARY"))</f>
        <v>STORAGE OF AIR OR GROUND ORGANIC UNITS FOR MARINE CORPS</v>
      </c>
      <c r="F353" s="229"/>
      <c r="G353" s="230" t="s">
        <v>1478</v>
      </c>
      <c r="H353" s="221" t="str">
        <f aca="false">LEFT(I353,5)</f>
        <v>C4431</v>
      </c>
      <c r="I353" s="230" t="s">
        <v>1169</v>
      </c>
      <c r="J353" s="221" t="s">
        <v>1170</v>
      </c>
      <c r="K353" s="230" t="s">
        <v>1072</v>
      </c>
      <c r="L353" s="230" t="s">
        <v>1073</v>
      </c>
      <c r="M353" s="230" t="s">
        <v>133</v>
      </c>
      <c r="N353" s="231" t="n">
        <v>0</v>
      </c>
      <c r="O353" s="231" t="n">
        <v>32</v>
      </c>
      <c r="P353" s="231" t="n">
        <v>32</v>
      </c>
      <c r="Q353" s="235" t="n">
        <v>4</v>
      </c>
      <c r="R353" s="232" t="n">
        <v>3.33</v>
      </c>
      <c r="S353" s="224" t="n">
        <v>4</v>
      </c>
      <c r="T353" s="225" t="n">
        <f aca="false">Q353*R353*S353</f>
        <v>53.28</v>
      </c>
      <c r="U353" s="226" t="n">
        <f aca="false">T353*P353</f>
        <v>1704.96</v>
      </c>
      <c r="V353" s="233"/>
    </row>
    <row r="354" customFormat="false" ht="13.5" hidden="false" customHeight="true" outlineLevel="0" collapsed="false">
      <c r="B354" s="228" t="n">
        <v>493</v>
      </c>
      <c r="C354" s="236" t="s">
        <v>1068</v>
      </c>
      <c r="D354" s="219" t="n">
        <v>14345</v>
      </c>
      <c r="E354" s="220" t="str">
        <f aca="false">IF(D354="","",IFERROR(VLOOKUP(D354,CCN_Library!$A$4:$B$13,2,FALSE()),"NOT IN LIBRARY"))</f>
        <v>ARMORY</v>
      </c>
      <c r="F354" s="229"/>
      <c r="G354" s="230" t="s">
        <v>1478</v>
      </c>
      <c r="H354" s="221" t="str">
        <f aca="false">LEFT(I354,5)</f>
        <v>E0187</v>
      </c>
      <c r="I354" s="230" t="s">
        <v>1175</v>
      </c>
      <c r="J354" s="221" t="s">
        <v>1176</v>
      </c>
      <c r="K354" s="230" t="s">
        <v>1072</v>
      </c>
      <c r="L354" s="230" t="s">
        <v>1106</v>
      </c>
      <c r="M354" s="230" t="s">
        <v>1116</v>
      </c>
      <c r="N354" s="231" t="n">
        <v>0</v>
      </c>
      <c r="O354" s="231" t="n">
        <v>0</v>
      </c>
      <c r="P354" s="231" t="n">
        <v>0</v>
      </c>
      <c r="Q354" s="232" t="n">
        <v>0.8</v>
      </c>
      <c r="R354" s="232" t="n">
        <v>0.32</v>
      </c>
      <c r="S354" s="224" t="n">
        <v>0.37</v>
      </c>
      <c r="T354" s="225" t="n">
        <f aca="false">Q354*R354*S354</f>
        <v>0.09472</v>
      </c>
      <c r="U354" s="226" t="n">
        <f aca="false">T354*P354</f>
        <v>0</v>
      </c>
      <c r="V354" s="233"/>
    </row>
    <row r="355" customFormat="false" ht="13.5" hidden="false" customHeight="true" outlineLevel="0" collapsed="false">
      <c r="B355" s="228" t="n">
        <v>497</v>
      </c>
      <c r="C355" s="236" t="s">
        <v>1074</v>
      </c>
      <c r="D355" s="219" t="n">
        <v>44112</v>
      </c>
      <c r="E355" s="220" t="str">
        <f aca="false">IF(D355="","",IFERROR(VLOOKUP(D355,CCN_Library!$A$4:$B$13,2,FALSE()),"NOT IN LIBRARY"))</f>
        <v>STORAGE OF AIR OR GROUND ORGANIC UNITS FOR MARINE CORPS</v>
      </c>
      <c r="F355" s="229"/>
      <c r="G355" s="230" t="s">
        <v>1478</v>
      </c>
      <c r="H355" s="221" t="str">
        <f aca="false">LEFT(I355,5)</f>
        <v>B2130</v>
      </c>
      <c r="I355" s="230" t="s">
        <v>1222</v>
      </c>
      <c r="J355" s="221" t="s">
        <v>1223</v>
      </c>
      <c r="K355" s="230" t="s">
        <v>1072</v>
      </c>
      <c r="L355" s="230" t="s">
        <v>1073</v>
      </c>
      <c r="M355" s="237"/>
      <c r="N355" s="231" t="n">
        <v>0</v>
      </c>
      <c r="O355" s="231" t="n">
        <v>2</v>
      </c>
      <c r="P355" s="231" t="n">
        <v>2</v>
      </c>
      <c r="Q355" s="232" t="n">
        <v>2.33</v>
      </c>
      <c r="R355" s="232" t="n">
        <v>3.92</v>
      </c>
      <c r="S355" s="224" t="n">
        <v>1.42</v>
      </c>
      <c r="T355" s="225" t="n">
        <f aca="false">Q355*R355*S355</f>
        <v>12.969712</v>
      </c>
      <c r="U355" s="226" t="n">
        <f aca="false">T355*P355</f>
        <v>25.939424</v>
      </c>
      <c r="V355" s="233"/>
    </row>
    <row r="356" customFormat="false" ht="13.5" hidden="false" customHeight="true" outlineLevel="0" collapsed="false">
      <c r="B356" s="228" t="n">
        <v>500</v>
      </c>
      <c r="C356" s="236" t="s">
        <v>1074</v>
      </c>
      <c r="D356" s="219" t="n">
        <v>44112</v>
      </c>
      <c r="E356" s="220" t="str">
        <f aca="false">IF(D356="","",IFERROR(VLOOKUP(D356,CCN_Library!$A$4:$B$13,2,FALSE()),"NOT IN LIBRARY"))</f>
        <v>STORAGE OF AIR OR GROUND ORGANIC UNITS FOR MARINE CORPS</v>
      </c>
      <c r="F356" s="229"/>
      <c r="G356" s="230" t="s">
        <v>1478</v>
      </c>
      <c r="H356" s="221" t="str">
        <f aca="false">LEFT(I356,5)</f>
        <v>C0218</v>
      </c>
      <c r="I356" s="230" t="s">
        <v>1475</v>
      </c>
      <c r="J356" s="221" t="s">
        <v>1476</v>
      </c>
      <c r="K356" s="230" t="s">
        <v>1072</v>
      </c>
      <c r="L356" s="230" t="s">
        <v>1477</v>
      </c>
      <c r="M356" s="230" t="s">
        <v>133</v>
      </c>
      <c r="N356" s="231" t="n">
        <v>4</v>
      </c>
      <c r="O356" s="231" t="n">
        <v>0</v>
      </c>
      <c r="P356" s="231" t="n">
        <v>4</v>
      </c>
      <c r="Q356" s="237"/>
      <c r="R356" s="237"/>
      <c r="S356" s="224" t="n">
        <v>0</v>
      </c>
      <c r="T356" s="225" t="n">
        <f aca="false">Q356*R356*S356</f>
        <v>0</v>
      </c>
      <c r="U356" s="226" t="n">
        <f aca="false">T356*P356</f>
        <v>0</v>
      </c>
      <c r="V356" s="233"/>
    </row>
    <row r="357" customFormat="false" ht="13.5" hidden="false" customHeight="true" outlineLevel="0" collapsed="false">
      <c r="B357" s="228" t="n">
        <v>502</v>
      </c>
      <c r="C357" s="236" t="s">
        <v>1068</v>
      </c>
      <c r="D357" s="219" t="n">
        <v>14345</v>
      </c>
      <c r="E357" s="220" t="str">
        <f aca="false">IF(D357="","",IFERROR(VLOOKUP(D357,CCN_Library!$A$4:$B$13,2,FALSE()),"NOT IN LIBRARY"))</f>
        <v>ARMORY</v>
      </c>
      <c r="F357" s="229"/>
      <c r="G357" s="230" t="s">
        <v>1478</v>
      </c>
      <c r="H357" s="221" t="str">
        <f aca="false">LEFT(I357,5)</f>
        <v>E0202</v>
      </c>
      <c r="I357" s="230" t="s">
        <v>1129</v>
      </c>
      <c r="J357" s="221" t="s">
        <v>1130</v>
      </c>
      <c r="K357" s="230" t="s">
        <v>1072</v>
      </c>
      <c r="L357" s="230" t="s">
        <v>1073</v>
      </c>
      <c r="M357" s="230" t="s">
        <v>1116</v>
      </c>
      <c r="N357" s="231" t="n">
        <v>0</v>
      </c>
      <c r="O357" s="231" t="n">
        <v>0</v>
      </c>
      <c r="P357" s="231" t="n">
        <v>0</v>
      </c>
      <c r="Q357" s="237"/>
      <c r="R357" s="237"/>
      <c r="S357" s="224" t="n">
        <v>0</v>
      </c>
      <c r="T357" s="225" t="n">
        <f aca="false">Q357*R357*S357</f>
        <v>0</v>
      </c>
      <c r="U357" s="226" t="n">
        <f aca="false">T357*P357</f>
        <v>0</v>
      </c>
      <c r="V357" s="233"/>
    </row>
    <row r="358" customFormat="false" ht="13.5" hidden="false" customHeight="true" outlineLevel="0" collapsed="false">
      <c r="B358" s="238" t="n">
        <v>2</v>
      </c>
      <c r="C358" s="239" t="s">
        <v>1077</v>
      </c>
      <c r="D358" s="240" t="n">
        <v>21710</v>
      </c>
      <c r="E358" s="241" t="str">
        <f aca="false">IF(D358="","",IFERROR(VLOOKUP(D358,CCN_Library!$A$4:$B$13,2,FALSE()),"NOT IN LIBRARY"))</f>
        <v>ELECTRONICS/COMMUNICATIONS MAINTENANCE SHOP</v>
      </c>
      <c r="F358" s="242"/>
      <c r="G358" s="243" t="s">
        <v>1516</v>
      </c>
      <c r="H358" s="244" t="str">
        <f aca="false">LEFT(I358,5)</f>
        <v>A0208</v>
      </c>
      <c r="I358" s="243" t="s">
        <v>1230</v>
      </c>
      <c r="J358" s="244" t="s">
        <v>1231</v>
      </c>
      <c r="K358" s="243" t="s">
        <v>1142</v>
      </c>
      <c r="L358" s="243" t="s">
        <v>1073</v>
      </c>
      <c r="M358" s="243" t="s">
        <v>133</v>
      </c>
      <c r="N358" s="245" t="n">
        <v>0</v>
      </c>
      <c r="O358" s="245" t="n">
        <v>8</v>
      </c>
      <c r="P358" s="245" t="n">
        <v>8</v>
      </c>
      <c r="Q358" s="246"/>
      <c r="R358" s="246"/>
      <c r="S358" s="247" t="n">
        <v>0</v>
      </c>
      <c r="T358" s="248" t="n">
        <f aca="false">Q358*R358*S358</f>
        <v>0</v>
      </c>
      <c r="U358" s="249" t="n">
        <f aca="false">T358*P358</f>
        <v>0</v>
      </c>
      <c r="V358" s="250"/>
    </row>
    <row r="359" customFormat="false" ht="13.5" hidden="false" customHeight="true" outlineLevel="0" collapsed="false">
      <c r="B359" s="238" t="n">
        <v>7</v>
      </c>
      <c r="C359" s="239" t="s">
        <v>1074</v>
      </c>
      <c r="D359" s="240" t="n">
        <v>44112</v>
      </c>
      <c r="E359" s="241" t="str">
        <f aca="false">IF(D359="","",IFERROR(VLOOKUP(D359,CCN_Library!$A$4:$B$13,2,FALSE()),"NOT IN LIBRARY"))</f>
        <v>STORAGE OF AIR OR GROUND ORGANIC UNITS FOR MARINE CORPS</v>
      </c>
      <c r="F359" s="242"/>
      <c r="G359" s="243" t="s">
        <v>1516</v>
      </c>
      <c r="H359" s="244" t="str">
        <f aca="false">LEFT(I359,5)</f>
        <v>C8630</v>
      </c>
      <c r="I359" s="243" t="s">
        <v>1397</v>
      </c>
      <c r="J359" s="244" t="s">
        <v>1398</v>
      </c>
      <c r="K359" s="243" t="s">
        <v>1072</v>
      </c>
      <c r="L359" s="246"/>
      <c r="M359" s="243" t="s">
        <v>133</v>
      </c>
      <c r="N359" s="245" t="n">
        <v>0</v>
      </c>
      <c r="O359" s="245" t="n">
        <v>3</v>
      </c>
      <c r="P359" s="245" t="n">
        <v>3</v>
      </c>
      <c r="Q359" s="251" t="n">
        <v>6.5</v>
      </c>
      <c r="R359" s="251" t="n">
        <v>6.5</v>
      </c>
      <c r="S359" s="247" t="n">
        <v>6.25</v>
      </c>
      <c r="T359" s="248" t="n">
        <f aca="false">Q359*R359*S359</f>
        <v>264.0625</v>
      </c>
      <c r="U359" s="249" t="n">
        <f aca="false">T359*P359</f>
        <v>792.1875</v>
      </c>
      <c r="V359" s="250"/>
    </row>
    <row r="360" customFormat="false" ht="13.5" hidden="false" customHeight="true" outlineLevel="0" collapsed="false">
      <c r="B360" s="238" t="n">
        <v>9</v>
      </c>
      <c r="C360" s="239" t="s">
        <v>1074</v>
      </c>
      <c r="D360" s="240" t="n">
        <v>44112</v>
      </c>
      <c r="E360" s="241" t="str">
        <f aca="false">IF(D360="","",IFERROR(VLOOKUP(D360,CCN_Library!$A$4:$B$13,2,FALSE()),"NOT IN LIBRARY"))</f>
        <v>STORAGE OF AIR OR GROUND ORGANIC UNITS FOR MARINE CORPS</v>
      </c>
      <c r="F360" s="242"/>
      <c r="G360" s="243" t="s">
        <v>1516</v>
      </c>
      <c r="H360" s="244" t="str">
        <f aca="false">LEFT(I360,5)</f>
        <v>C1023</v>
      </c>
      <c r="I360" s="243" t="s">
        <v>1238</v>
      </c>
      <c r="J360" s="244" t="s">
        <v>1239</v>
      </c>
      <c r="K360" s="243" t="s">
        <v>1072</v>
      </c>
      <c r="L360" s="246"/>
      <c r="M360" s="243" t="s">
        <v>133</v>
      </c>
      <c r="N360" s="245" t="n">
        <v>0</v>
      </c>
      <c r="O360" s="245" t="n">
        <v>0</v>
      </c>
      <c r="P360" s="245" t="n">
        <v>0</v>
      </c>
      <c r="Q360" s="251" t="n">
        <v>0.5</v>
      </c>
      <c r="R360" s="251" t="n">
        <v>0.5</v>
      </c>
      <c r="S360" s="247" t="n">
        <v>0.17</v>
      </c>
      <c r="T360" s="248" t="n">
        <f aca="false">Q360*R360*S360</f>
        <v>0.0425</v>
      </c>
      <c r="U360" s="249" t="n">
        <f aca="false">T360*P360</f>
        <v>0</v>
      </c>
      <c r="V360" s="250"/>
    </row>
    <row r="361" customFormat="false" ht="13.5" hidden="false" customHeight="true" outlineLevel="0" collapsed="false">
      <c r="B361" s="238" t="n">
        <v>10</v>
      </c>
      <c r="C361" s="239" t="s">
        <v>1068</v>
      </c>
      <c r="D361" s="240" t="n">
        <v>14345</v>
      </c>
      <c r="E361" s="241" t="str">
        <f aca="false">IF(D361="","",IFERROR(VLOOKUP(D361,CCN_Library!$A$4:$B$13,2,FALSE()),"NOT IN LIBRARY"))</f>
        <v>ARMORY</v>
      </c>
      <c r="F361" s="242"/>
      <c r="G361" s="243" t="s">
        <v>1516</v>
      </c>
      <c r="H361" s="244" t="str">
        <f aca="false">LEFT(I361,5)</f>
        <v>E0017</v>
      </c>
      <c r="I361" s="243" t="s">
        <v>1134</v>
      </c>
      <c r="J361" s="244" t="s">
        <v>1135</v>
      </c>
      <c r="K361" s="243" t="s">
        <v>1072</v>
      </c>
      <c r="L361" s="243" t="s">
        <v>1073</v>
      </c>
      <c r="M361" s="243" t="s">
        <v>133</v>
      </c>
      <c r="N361" s="245" t="n">
        <v>99</v>
      </c>
      <c r="O361" s="245" t="n">
        <v>0</v>
      </c>
      <c r="P361" s="245" t="n">
        <v>99</v>
      </c>
      <c r="Q361" s="251" t="n">
        <v>0.5</v>
      </c>
      <c r="R361" s="251" t="n">
        <v>0.17</v>
      </c>
      <c r="S361" s="247" t="n">
        <v>0.08</v>
      </c>
      <c r="T361" s="248" t="n">
        <f aca="false">Q361*R361*S361</f>
        <v>0.0068</v>
      </c>
      <c r="U361" s="249" t="n">
        <f aca="false">T361*P361</f>
        <v>0.6732</v>
      </c>
      <c r="V361" s="250"/>
    </row>
    <row r="362" customFormat="false" ht="13.5" hidden="false" customHeight="true" outlineLevel="0" collapsed="false">
      <c r="B362" s="238" t="n">
        <v>13</v>
      </c>
      <c r="C362" s="239" t="s">
        <v>1074</v>
      </c>
      <c r="D362" s="240" t="n">
        <v>44112</v>
      </c>
      <c r="E362" s="241" t="str">
        <f aca="false">IF(D362="","",IFERROR(VLOOKUP(D362,CCN_Library!$A$4:$B$13,2,FALSE()),"NOT IN LIBRARY"))</f>
        <v>STORAGE OF AIR OR GROUND ORGANIC UNITS FOR MARINE CORPS</v>
      </c>
      <c r="F362" s="242"/>
      <c r="G362" s="243" t="s">
        <v>1516</v>
      </c>
      <c r="H362" s="244" t="str">
        <f aca="false">LEFT(I362,5)</f>
        <v>B0007</v>
      </c>
      <c r="I362" s="243" t="s">
        <v>1485</v>
      </c>
      <c r="J362" s="244" t="s">
        <v>1486</v>
      </c>
      <c r="K362" s="243" t="s">
        <v>1072</v>
      </c>
      <c r="L362" s="243" t="s">
        <v>1073</v>
      </c>
      <c r="M362" s="243" t="s">
        <v>133</v>
      </c>
      <c r="N362" s="245" t="n">
        <v>0</v>
      </c>
      <c r="O362" s="245" t="n">
        <v>2</v>
      </c>
      <c r="P362" s="245" t="n">
        <v>2</v>
      </c>
      <c r="Q362" s="251" t="n">
        <v>2.63</v>
      </c>
      <c r="R362" s="251" t="n">
        <v>1.92</v>
      </c>
      <c r="S362" s="247" t="n">
        <v>1.62</v>
      </c>
      <c r="T362" s="248" t="n">
        <f aca="false">Q362*R362*S362</f>
        <v>8.180352</v>
      </c>
      <c r="U362" s="249" t="n">
        <f aca="false">T362*P362</f>
        <v>16.360704</v>
      </c>
      <c r="V362" s="250"/>
    </row>
    <row r="363" customFormat="false" ht="13.5" hidden="false" customHeight="true" outlineLevel="0" collapsed="false">
      <c r="B363" s="238" t="n">
        <v>14</v>
      </c>
      <c r="C363" s="239" t="s">
        <v>1074</v>
      </c>
      <c r="D363" s="240" t="n">
        <v>44112</v>
      </c>
      <c r="E363" s="241" t="str">
        <f aca="false">IF(D363="","",IFERROR(VLOOKUP(D363,CCN_Library!$A$4:$B$13,2,FALSE()),"NOT IN LIBRARY"))</f>
        <v>STORAGE OF AIR OR GROUND ORGANIC UNITS FOR MARINE CORPS</v>
      </c>
      <c r="F363" s="242"/>
      <c r="G363" s="243" t="s">
        <v>1516</v>
      </c>
      <c r="H363" s="244" t="str">
        <f aca="false">LEFT(I363,5)</f>
        <v>C8656</v>
      </c>
      <c r="I363" s="243" t="s">
        <v>1242</v>
      </c>
      <c r="J363" s="244" t="s">
        <v>1243</v>
      </c>
      <c r="K363" s="243" t="s">
        <v>1072</v>
      </c>
      <c r="L363" s="246"/>
      <c r="M363" s="243" t="s">
        <v>133</v>
      </c>
      <c r="N363" s="245" t="n">
        <v>0</v>
      </c>
      <c r="O363" s="245" t="n">
        <v>15</v>
      </c>
      <c r="P363" s="245" t="n">
        <v>15</v>
      </c>
      <c r="Q363" s="251" t="n">
        <v>4.17</v>
      </c>
      <c r="R363" s="251" t="n">
        <v>27.74</v>
      </c>
      <c r="S363" s="247" t="n">
        <v>4</v>
      </c>
      <c r="T363" s="248" t="n">
        <f aca="false">Q363*R363*S363</f>
        <v>462.7032</v>
      </c>
      <c r="U363" s="249" t="n">
        <f aca="false">T363*P363</f>
        <v>6940.548</v>
      </c>
      <c r="V363" s="250"/>
    </row>
    <row r="364" customFormat="false" ht="13.5" hidden="false" customHeight="true" outlineLevel="0" collapsed="false">
      <c r="B364" s="238" t="n">
        <v>17</v>
      </c>
      <c r="C364" s="239" t="s">
        <v>1068</v>
      </c>
      <c r="D364" s="240" t="n">
        <v>14345</v>
      </c>
      <c r="E364" s="241" t="str">
        <f aca="false">IF(D364="","",IFERROR(VLOOKUP(D364,CCN_Library!$A$4:$B$13,2,FALSE()),"NOT IN LIBRARY"))</f>
        <v>ARMORY</v>
      </c>
      <c r="F364" s="242"/>
      <c r="G364" s="243" t="s">
        <v>1516</v>
      </c>
      <c r="H364" s="244" t="str">
        <f aca="false">LEFT(I364,5)</f>
        <v>E0190</v>
      </c>
      <c r="I364" s="243" t="s">
        <v>1085</v>
      </c>
      <c r="J364" s="244" t="s">
        <v>1086</v>
      </c>
      <c r="K364" s="243" t="s">
        <v>1072</v>
      </c>
      <c r="L364" s="243" t="s">
        <v>1073</v>
      </c>
      <c r="M364" s="243" t="s">
        <v>133</v>
      </c>
      <c r="N364" s="245" t="n">
        <v>0</v>
      </c>
      <c r="O364" s="245" t="n">
        <v>0</v>
      </c>
      <c r="P364" s="245" t="n">
        <v>0</v>
      </c>
      <c r="Q364" s="251" t="n">
        <v>2.75</v>
      </c>
      <c r="R364" s="251" t="n">
        <v>0.17</v>
      </c>
      <c r="S364" s="247" t="n">
        <v>0.75</v>
      </c>
      <c r="T364" s="248" t="n">
        <f aca="false">Q364*R364*S364</f>
        <v>0.350625</v>
      </c>
      <c r="U364" s="249" t="n">
        <f aca="false">T364*P364</f>
        <v>0</v>
      </c>
      <c r="V364" s="250"/>
    </row>
    <row r="365" customFormat="false" ht="13.5" hidden="false" customHeight="true" outlineLevel="0" collapsed="false">
      <c r="B365" s="238" t="n">
        <v>18</v>
      </c>
      <c r="C365" s="239" t="s">
        <v>1068</v>
      </c>
      <c r="D365" s="240" t="n">
        <v>14345</v>
      </c>
      <c r="E365" s="241" t="str">
        <f aca="false">IF(D365="","",IFERROR(VLOOKUP(D365,CCN_Library!$A$4:$B$13,2,FALSE()),"NOT IN LIBRARY"))</f>
        <v>ARMORY</v>
      </c>
      <c r="F365" s="242"/>
      <c r="G365" s="243" t="s">
        <v>1516</v>
      </c>
      <c r="H365" s="244" t="str">
        <f aca="false">LEFT(I365,5)</f>
        <v>E1160</v>
      </c>
      <c r="I365" s="243" t="s">
        <v>1504</v>
      </c>
      <c r="J365" s="244" t="s">
        <v>1505</v>
      </c>
      <c r="K365" s="243" t="s">
        <v>1072</v>
      </c>
      <c r="L365" s="243" t="s">
        <v>1073</v>
      </c>
      <c r="M365" s="243" t="s">
        <v>133</v>
      </c>
      <c r="N365" s="245" t="n">
        <v>2</v>
      </c>
      <c r="O365" s="245" t="n">
        <v>0</v>
      </c>
      <c r="P365" s="245" t="n">
        <v>2</v>
      </c>
      <c r="Q365" s="251" t="n">
        <v>0.83</v>
      </c>
      <c r="R365" s="251" t="n">
        <v>0.17</v>
      </c>
      <c r="S365" s="247" t="n">
        <v>0.33</v>
      </c>
      <c r="T365" s="248" t="n">
        <f aca="false">Q365*R365*S365</f>
        <v>0.046563</v>
      </c>
      <c r="U365" s="249" t="n">
        <f aca="false">T365*P365</f>
        <v>0.093126</v>
      </c>
      <c r="V365" s="250"/>
    </row>
    <row r="366" customFormat="false" ht="13.5" hidden="false" customHeight="true" outlineLevel="0" collapsed="false">
      <c r="B366" s="238" t="n">
        <v>22</v>
      </c>
      <c r="C366" s="239" t="s">
        <v>1074</v>
      </c>
      <c r="D366" s="240" t="n">
        <v>44112</v>
      </c>
      <c r="E366" s="241" t="str">
        <f aca="false">IF(D366="","",IFERROR(VLOOKUP(D366,CCN_Library!$A$4:$B$13,2,FALSE()),"NOT IN LIBRARY"))</f>
        <v>STORAGE OF AIR OR GROUND ORGANIC UNITS FOR MARINE CORPS</v>
      </c>
      <c r="F366" s="242"/>
      <c r="G366" s="243" t="s">
        <v>1516</v>
      </c>
      <c r="H366" s="244" t="str">
        <f aca="false">LEFT(I366,5)</f>
        <v>K4236</v>
      </c>
      <c r="I366" s="243" t="s">
        <v>1091</v>
      </c>
      <c r="J366" s="244" t="s">
        <v>1092</v>
      </c>
      <c r="K366" s="243" t="s">
        <v>1072</v>
      </c>
      <c r="L366" s="243" t="s">
        <v>1073</v>
      </c>
      <c r="M366" s="243" t="s">
        <v>133</v>
      </c>
      <c r="N366" s="245" t="n">
        <v>0</v>
      </c>
      <c r="O366" s="245" t="n">
        <v>168</v>
      </c>
      <c r="P366" s="245" t="n">
        <v>168</v>
      </c>
      <c r="Q366" s="252" t="n">
        <v>2</v>
      </c>
      <c r="R366" s="251" t="n">
        <v>0.5</v>
      </c>
      <c r="S366" s="247" t="n">
        <v>0.33</v>
      </c>
      <c r="T366" s="248" t="n">
        <f aca="false">Q366*R366*S366</f>
        <v>0.33</v>
      </c>
      <c r="U366" s="249" t="n">
        <f aca="false">T366*P366</f>
        <v>55.44</v>
      </c>
      <c r="V366" s="250"/>
    </row>
    <row r="367" customFormat="false" ht="13.5" hidden="false" customHeight="true" outlineLevel="0" collapsed="false">
      <c r="B367" s="238" t="n">
        <v>24</v>
      </c>
      <c r="C367" s="239" t="s">
        <v>1068</v>
      </c>
      <c r="D367" s="240" t="n">
        <v>14345</v>
      </c>
      <c r="E367" s="241" t="str">
        <f aca="false">IF(D367="","",IFERROR(VLOOKUP(D367,CCN_Library!$A$4:$B$13,2,FALSE()),"NOT IN LIBRARY"))</f>
        <v>ARMORY</v>
      </c>
      <c r="F367" s="242"/>
      <c r="G367" s="243" t="s">
        <v>1516</v>
      </c>
      <c r="H367" s="244" t="str">
        <f aca="false">LEFT(I367,5)</f>
        <v>E1976</v>
      </c>
      <c r="I367" s="243" t="s">
        <v>1201</v>
      </c>
      <c r="J367" s="244" t="s">
        <v>1202</v>
      </c>
      <c r="K367" s="243" t="s">
        <v>1072</v>
      </c>
      <c r="L367" s="243" t="s">
        <v>1073</v>
      </c>
      <c r="M367" s="243" t="s">
        <v>1116</v>
      </c>
      <c r="N367" s="245" t="n">
        <v>4</v>
      </c>
      <c r="O367" s="245" t="n">
        <v>0</v>
      </c>
      <c r="P367" s="245" t="n">
        <v>4</v>
      </c>
      <c r="Q367" s="251" t="n">
        <v>1.33</v>
      </c>
      <c r="R367" s="251" t="n">
        <v>0.42</v>
      </c>
      <c r="S367" s="247" t="n">
        <v>0.5</v>
      </c>
      <c r="T367" s="248" t="n">
        <f aca="false">Q367*R367*S367</f>
        <v>0.2793</v>
      </c>
      <c r="U367" s="249" t="n">
        <f aca="false">T367*P367</f>
        <v>1.1172</v>
      </c>
      <c r="V367" s="250"/>
    </row>
    <row r="368" customFormat="false" ht="13.5" hidden="false" customHeight="true" outlineLevel="0" collapsed="false">
      <c r="B368" s="238" t="n">
        <v>26</v>
      </c>
      <c r="C368" s="239" t="s">
        <v>1068</v>
      </c>
      <c r="D368" s="240" t="n">
        <v>14345</v>
      </c>
      <c r="E368" s="241" t="str">
        <f aca="false">IF(D368="","",IFERROR(VLOOKUP(D368,CCN_Library!$A$4:$B$13,2,FALSE()),"NOT IN LIBRARY"))</f>
        <v>ARMORY</v>
      </c>
      <c r="F368" s="242"/>
      <c r="G368" s="243" t="s">
        <v>1516</v>
      </c>
      <c r="H368" s="244" t="str">
        <f aca="false">LEFT(I368,5)</f>
        <v>C0015</v>
      </c>
      <c r="I368" s="243" t="s">
        <v>1438</v>
      </c>
      <c r="J368" s="244" t="s">
        <v>1439</v>
      </c>
      <c r="K368" s="243" t="s">
        <v>1072</v>
      </c>
      <c r="L368" s="243" t="s">
        <v>1073</v>
      </c>
      <c r="M368" s="243" t="s">
        <v>133</v>
      </c>
      <c r="N368" s="245" t="n">
        <v>360</v>
      </c>
      <c r="O368" s="245" t="n">
        <v>0</v>
      </c>
      <c r="P368" s="245" t="n">
        <v>360</v>
      </c>
      <c r="Q368" s="251" t="n">
        <v>0.67</v>
      </c>
      <c r="R368" s="251" t="n">
        <v>0.5</v>
      </c>
      <c r="S368" s="247" t="n">
        <v>0.08</v>
      </c>
      <c r="T368" s="248" t="n">
        <f aca="false">Q368*R368*S368</f>
        <v>0.0268</v>
      </c>
      <c r="U368" s="249" t="n">
        <f aca="false">T368*P368</f>
        <v>9.648</v>
      </c>
      <c r="V368" s="250"/>
    </row>
    <row r="369" customFormat="false" ht="13.5" hidden="false" customHeight="true" outlineLevel="0" collapsed="false">
      <c r="B369" s="238" t="n">
        <v>27</v>
      </c>
      <c r="C369" s="239" t="s">
        <v>1074</v>
      </c>
      <c r="D369" s="240" t="n">
        <v>44112</v>
      </c>
      <c r="E369" s="241" t="str">
        <f aca="false">IF(D369="","",IFERROR(VLOOKUP(D369,CCN_Library!$A$4:$B$13,2,FALSE()),"NOT IN LIBRARY"))</f>
        <v>STORAGE OF AIR OR GROUND ORGANIC UNITS FOR MARINE CORPS</v>
      </c>
      <c r="F369" s="242"/>
      <c r="G369" s="243" t="s">
        <v>1516</v>
      </c>
      <c r="H369" s="244" t="str">
        <f aca="false">LEFT(I369,5)</f>
        <v>C3070</v>
      </c>
      <c r="I369" s="243" t="s">
        <v>1362</v>
      </c>
      <c r="J369" s="244" t="s">
        <v>1363</v>
      </c>
      <c r="K369" s="243" t="s">
        <v>1072</v>
      </c>
      <c r="L369" s="243" t="s">
        <v>1073</v>
      </c>
      <c r="M369" s="243" t="s">
        <v>133</v>
      </c>
      <c r="N369" s="245" t="n">
        <v>180</v>
      </c>
      <c r="O369" s="245" t="n">
        <v>0</v>
      </c>
      <c r="P369" s="245" t="n">
        <v>180</v>
      </c>
      <c r="Q369" s="251" t="n">
        <v>0.58</v>
      </c>
      <c r="R369" s="251" t="n">
        <v>0.42</v>
      </c>
      <c r="S369" s="247" t="n">
        <v>0.08</v>
      </c>
      <c r="T369" s="248" t="n">
        <f aca="false">Q369*R369*S369</f>
        <v>0.019488</v>
      </c>
      <c r="U369" s="249" t="n">
        <f aca="false">T369*P369</f>
        <v>3.50784</v>
      </c>
      <c r="V369" s="250"/>
    </row>
    <row r="370" customFormat="false" ht="13.5" hidden="false" customHeight="true" outlineLevel="0" collapsed="false">
      <c r="B370" s="238" t="n">
        <v>28</v>
      </c>
      <c r="C370" s="239" t="s">
        <v>1074</v>
      </c>
      <c r="D370" s="240" t="n">
        <v>44112</v>
      </c>
      <c r="E370" s="241" t="str">
        <f aca="false">IF(D370="","",IFERROR(VLOOKUP(D370,CCN_Library!$A$4:$B$13,2,FALSE()),"NOT IN LIBRARY"))</f>
        <v>STORAGE OF AIR OR GROUND ORGANIC UNITS FOR MARINE CORPS</v>
      </c>
      <c r="F370" s="242"/>
      <c r="G370" s="243" t="s">
        <v>1516</v>
      </c>
      <c r="H370" s="244" t="str">
        <f aca="false">LEFT(I370,5)</f>
        <v>C2150</v>
      </c>
      <c r="I370" s="243" t="s">
        <v>1151</v>
      </c>
      <c r="J370" s="244" t="s">
        <v>1152</v>
      </c>
      <c r="K370" s="243" t="s">
        <v>1072</v>
      </c>
      <c r="L370" s="243" t="s">
        <v>1099</v>
      </c>
      <c r="M370" s="243" t="s">
        <v>133</v>
      </c>
      <c r="N370" s="245" t="n">
        <v>360</v>
      </c>
      <c r="O370" s="245" t="n">
        <v>0</v>
      </c>
      <c r="P370" s="245" t="n">
        <v>360</v>
      </c>
      <c r="Q370" s="251" t="n">
        <v>1.67</v>
      </c>
      <c r="R370" s="251" t="n">
        <v>0.67</v>
      </c>
      <c r="S370" s="247" t="n">
        <v>0.17</v>
      </c>
      <c r="T370" s="248" t="n">
        <f aca="false">Q370*R370*S370</f>
        <v>0.190213</v>
      </c>
      <c r="U370" s="249" t="n">
        <f aca="false">T370*P370</f>
        <v>68.47668</v>
      </c>
      <c r="V370" s="250"/>
    </row>
    <row r="371" customFormat="false" ht="13.5" hidden="false" customHeight="true" outlineLevel="0" collapsed="false">
      <c r="B371" s="238" t="n">
        <v>29</v>
      </c>
      <c r="C371" s="239" t="s">
        <v>1074</v>
      </c>
      <c r="D371" s="240" t="n">
        <v>44112</v>
      </c>
      <c r="E371" s="241" t="str">
        <f aca="false">IF(D371="","",IFERROR(VLOOKUP(D371,CCN_Library!$A$4:$B$13,2,FALSE()),"NOT IN LIBRARY"))</f>
        <v>STORAGE OF AIR OR GROUND ORGANIC UNITS FOR MARINE CORPS</v>
      </c>
      <c r="F371" s="242"/>
      <c r="G371" s="243" t="s">
        <v>1516</v>
      </c>
      <c r="H371" s="244" t="str">
        <f aca="false">LEFT(I371,5)</f>
        <v>B0062</v>
      </c>
      <c r="I371" s="243" t="s">
        <v>1512</v>
      </c>
      <c r="J371" s="244" t="s">
        <v>1513</v>
      </c>
      <c r="K371" s="243" t="s">
        <v>1072</v>
      </c>
      <c r="L371" s="243" t="s">
        <v>1106</v>
      </c>
      <c r="M371" s="243" t="s">
        <v>133</v>
      </c>
      <c r="N371" s="245" t="n">
        <v>0</v>
      </c>
      <c r="O371" s="245" t="n">
        <v>2</v>
      </c>
      <c r="P371" s="245" t="n">
        <v>2</v>
      </c>
      <c r="Q371" s="251" t="n">
        <v>2.25</v>
      </c>
      <c r="R371" s="251" t="n">
        <v>1.33</v>
      </c>
      <c r="S371" s="247" t="n">
        <v>1.92</v>
      </c>
      <c r="T371" s="248" t="n">
        <f aca="false">Q371*R371*S371</f>
        <v>5.7456</v>
      </c>
      <c r="U371" s="249" t="n">
        <f aca="false">T371*P371</f>
        <v>11.4912</v>
      </c>
      <c r="V371" s="250"/>
    </row>
    <row r="372" customFormat="false" ht="13.5" hidden="false" customHeight="true" outlineLevel="0" collapsed="false">
      <c r="B372" s="238" t="n">
        <v>31</v>
      </c>
      <c r="C372" s="239" t="s">
        <v>1074</v>
      </c>
      <c r="D372" s="240" t="n">
        <v>44112</v>
      </c>
      <c r="E372" s="241" t="str">
        <f aca="false">IF(D372="","",IFERROR(VLOOKUP(D372,CCN_Library!$A$4:$B$13,2,FALSE()),"NOT IN LIBRARY"))</f>
        <v>STORAGE OF AIR OR GROUND ORGANIC UNITS FOR MARINE CORPS</v>
      </c>
      <c r="F372" s="242"/>
      <c r="G372" s="243" t="s">
        <v>1516</v>
      </c>
      <c r="H372" s="244" t="str">
        <f aca="false">LEFT(I372,5)</f>
        <v>C2170</v>
      </c>
      <c r="I372" s="243" t="s">
        <v>1155</v>
      </c>
      <c r="J372" s="244" t="s">
        <v>1156</v>
      </c>
      <c r="K372" s="243" t="s">
        <v>1072</v>
      </c>
      <c r="L372" s="243" t="s">
        <v>1073</v>
      </c>
      <c r="M372" s="243" t="s">
        <v>133</v>
      </c>
      <c r="N372" s="245" t="n">
        <v>180</v>
      </c>
      <c r="O372" s="245" t="n">
        <v>0</v>
      </c>
      <c r="P372" s="245" t="n">
        <v>180</v>
      </c>
      <c r="Q372" s="251" t="n">
        <v>0.58</v>
      </c>
      <c r="R372" s="251" t="n">
        <v>0.33</v>
      </c>
      <c r="S372" s="247" t="n">
        <v>0.25</v>
      </c>
      <c r="T372" s="248" t="n">
        <f aca="false">Q372*R372*S372</f>
        <v>0.04785</v>
      </c>
      <c r="U372" s="249" t="n">
        <f aca="false">T372*P372</f>
        <v>8.613</v>
      </c>
      <c r="V372" s="250"/>
    </row>
    <row r="373" customFormat="false" ht="13.5" hidden="false" customHeight="true" outlineLevel="0" collapsed="false">
      <c r="B373" s="238" t="n">
        <v>32</v>
      </c>
      <c r="C373" s="239" t="s">
        <v>1074</v>
      </c>
      <c r="D373" s="240" t="n">
        <v>44112</v>
      </c>
      <c r="E373" s="241" t="str">
        <f aca="false">IF(D373="","",IFERROR(VLOOKUP(D373,CCN_Library!$A$4:$B$13,2,FALSE()),"NOT IN LIBRARY"))</f>
        <v>STORAGE OF AIR OR GROUND ORGANIC UNITS FOR MARINE CORPS</v>
      </c>
      <c r="F373" s="242"/>
      <c r="G373" s="243" t="s">
        <v>1516</v>
      </c>
      <c r="H373" s="244" t="str">
        <f aca="false">LEFT(I373,5)</f>
        <v>C3124</v>
      </c>
      <c r="I373" s="243" t="s">
        <v>1260</v>
      </c>
      <c r="J373" s="244" t="s">
        <v>1261</v>
      </c>
      <c r="K373" s="243" t="s">
        <v>1072</v>
      </c>
      <c r="L373" s="243" t="s">
        <v>1073</v>
      </c>
      <c r="M373" s="243" t="s">
        <v>133</v>
      </c>
      <c r="N373" s="245" t="n">
        <v>162</v>
      </c>
      <c r="O373" s="245" t="n">
        <v>0</v>
      </c>
      <c r="P373" s="245" t="n">
        <v>162</v>
      </c>
      <c r="Q373" s="251" t="n">
        <v>0.33</v>
      </c>
      <c r="R373" s="251" t="n">
        <v>0.33</v>
      </c>
      <c r="S373" s="247" t="n">
        <v>0.08</v>
      </c>
      <c r="T373" s="248" t="n">
        <f aca="false">Q373*R373*S373</f>
        <v>0.008712</v>
      </c>
      <c r="U373" s="249" t="n">
        <f aca="false">T373*P373</f>
        <v>1.411344</v>
      </c>
      <c r="V373" s="250"/>
    </row>
    <row r="374" customFormat="false" ht="13.5" hidden="false" customHeight="true" outlineLevel="0" collapsed="false">
      <c r="B374" s="238" t="n">
        <v>33</v>
      </c>
      <c r="C374" s="239" t="s">
        <v>1074</v>
      </c>
      <c r="D374" s="240" t="n">
        <v>44112</v>
      </c>
      <c r="E374" s="241" t="str">
        <f aca="false">IF(D374="","",IFERROR(VLOOKUP(D374,CCN_Library!$A$4:$B$13,2,FALSE()),"NOT IN LIBRARY"))</f>
        <v>STORAGE OF AIR OR GROUND ORGANIC UNITS FOR MARINE CORPS</v>
      </c>
      <c r="F374" s="242"/>
      <c r="G374" s="243" t="s">
        <v>1516</v>
      </c>
      <c r="H374" s="244" t="str">
        <f aca="false">LEFT(I374,5)</f>
        <v>C0190</v>
      </c>
      <c r="I374" s="243" t="s">
        <v>1262</v>
      </c>
      <c r="J374" s="244" t="s">
        <v>1263</v>
      </c>
      <c r="K374" s="243" t="s">
        <v>1072</v>
      </c>
      <c r="L374" s="243" t="s">
        <v>1073</v>
      </c>
      <c r="M374" s="243" t="s">
        <v>133</v>
      </c>
      <c r="N374" s="245" t="n">
        <v>0</v>
      </c>
      <c r="O374" s="245" t="n">
        <v>0</v>
      </c>
      <c r="P374" s="245" t="n">
        <v>0</v>
      </c>
      <c r="Q374" s="251" t="n">
        <v>0.5</v>
      </c>
      <c r="R374" s="251" t="n">
        <v>0.25</v>
      </c>
      <c r="S374" s="247" t="n">
        <v>0.17</v>
      </c>
      <c r="T374" s="248" t="n">
        <f aca="false">Q374*R374*S374</f>
        <v>0.02125</v>
      </c>
      <c r="U374" s="249" t="n">
        <f aca="false">T374*P374</f>
        <v>0</v>
      </c>
      <c r="V374" s="250"/>
    </row>
    <row r="375" customFormat="false" ht="13.5" hidden="false" customHeight="true" outlineLevel="0" collapsed="false">
      <c r="B375" s="238" t="n">
        <v>42</v>
      </c>
      <c r="C375" s="239" t="s">
        <v>1074</v>
      </c>
      <c r="D375" s="240" t="n">
        <v>44112</v>
      </c>
      <c r="E375" s="241" t="str">
        <f aca="false">IF(D375="","",IFERROR(VLOOKUP(D375,CCN_Library!$A$4:$B$13,2,FALSE()),"NOT IN LIBRARY"))</f>
        <v>STORAGE OF AIR OR GROUND ORGANIC UNITS FOR MARINE CORPS</v>
      </c>
      <c r="F375" s="242"/>
      <c r="G375" s="243" t="s">
        <v>1516</v>
      </c>
      <c r="H375" s="244" t="str">
        <f aca="false">LEFT(I375,5)</f>
        <v>K4222</v>
      </c>
      <c r="I375" s="243" t="s">
        <v>1159</v>
      </c>
      <c r="J375" s="244" t="s">
        <v>1160</v>
      </c>
      <c r="K375" s="243" t="s">
        <v>1072</v>
      </c>
      <c r="L375" s="243" t="s">
        <v>1073</v>
      </c>
      <c r="M375" s="243" t="s">
        <v>133</v>
      </c>
      <c r="N375" s="245" t="n">
        <v>0</v>
      </c>
      <c r="O375" s="245" t="n">
        <v>9</v>
      </c>
      <c r="P375" s="245" t="n">
        <v>9</v>
      </c>
      <c r="Q375" s="251" t="n">
        <v>0.25</v>
      </c>
      <c r="R375" s="251" t="n">
        <v>0.25</v>
      </c>
      <c r="S375" s="247" t="n">
        <v>0.08</v>
      </c>
      <c r="T375" s="248" t="n">
        <f aca="false">Q375*R375*S375</f>
        <v>0.005</v>
      </c>
      <c r="U375" s="249" t="n">
        <f aca="false">T375*P375</f>
        <v>0.045</v>
      </c>
      <c r="V375" s="250"/>
    </row>
    <row r="376" customFormat="false" ht="13.5" hidden="false" customHeight="true" outlineLevel="0" collapsed="false">
      <c r="B376" s="238" t="n">
        <v>44</v>
      </c>
      <c r="C376" s="239" t="s">
        <v>1068</v>
      </c>
      <c r="D376" s="240" t="n">
        <v>14345</v>
      </c>
      <c r="E376" s="241" t="str">
        <f aca="false">IF(D376="","",IFERROR(VLOOKUP(D376,CCN_Library!$A$4:$B$13,2,FALSE()),"NOT IN LIBRARY"))</f>
        <v>ARMORY</v>
      </c>
      <c r="F376" s="242"/>
      <c r="G376" s="243" t="s">
        <v>1516</v>
      </c>
      <c r="H376" s="244" t="str">
        <f aca="false">LEFT(I376,5)</f>
        <v>E0195</v>
      </c>
      <c r="I376" s="243" t="s">
        <v>1373</v>
      </c>
      <c r="J376" s="244" t="s">
        <v>1374</v>
      </c>
      <c r="K376" s="243" t="s">
        <v>1072</v>
      </c>
      <c r="L376" s="243" t="s">
        <v>1073</v>
      </c>
      <c r="M376" s="243" t="s">
        <v>133</v>
      </c>
      <c r="N376" s="245" t="n">
        <v>99</v>
      </c>
      <c r="O376" s="245" t="n">
        <v>0</v>
      </c>
      <c r="P376" s="245" t="n">
        <v>99</v>
      </c>
      <c r="Q376" s="251" t="n">
        <v>2.75</v>
      </c>
      <c r="R376" s="251" t="n">
        <v>0.33</v>
      </c>
      <c r="S376" s="247" t="n">
        <v>0.92</v>
      </c>
      <c r="T376" s="248" t="n">
        <f aca="false">Q376*R376*S376</f>
        <v>0.8349</v>
      </c>
      <c r="U376" s="249" t="n">
        <f aca="false">T376*P376</f>
        <v>82.6551</v>
      </c>
      <c r="V376" s="250"/>
    </row>
    <row r="377" customFormat="false" ht="13.5" hidden="false" customHeight="true" outlineLevel="0" collapsed="false">
      <c r="B377" s="238" t="n">
        <v>46</v>
      </c>
      <c r="C377" s="239" t="s">
        <v>1068</v>
      </c>
      <c r="D377" s="240" t="n">
        <v>14345</v>
      </c>
      <c r="E377" s="241" t="str">
        <f aca="false">IF(D377="","",IFERROR(VLOOKUP(D377,CCN_Library!$A$4:$B$13,2,FALSE()),"NOT IN LIBRARY"))</f>
        <v>ARMORY</v>
      </c>
      <c r="F377" s="242"/>
      <c r="G377" s="243" t="s">
        <v>1516</v>
      </c>
      <c r="H377" s="244" t="str">
        <f aca="false">LEFT(I377,5)</f>
        <v>E1442</v>
      </c>
      <c r="I377" s="243" t="s">
        <v>1332</v>
      </c>
      <c r="J377" s="244" t="s">
        <v>1333</v>
      </c>
      <c r="K377" s="243" t="s">
        <v>1072</v>
      </c>
      <c r="L377" s="243" t="s">
        <v>1073</v>
      </c>
      <c r="M377" s="243" t="s">
        <v>133</v>
      </c>
      <c r="N377" s="245" t="n">
        <v>15</v>
      </c>
      <c r="O377" s="245" t="n">
        <v>0</v>
      </c>
      <c r="P377" s="245" t="n">
        <v>15</v>
      </c>
      <c r="Q377" s="251" t="n">
        <v>3.25</v>
      </c>
      <c r="R377" s="251" t="n">
        <v>0.17</v>
      </c>
      <c r="S377" s="247" t="n">
        <v>0.75</v>
      </c>
      <c r="T377" s="248" t="n">
        <f aca="false">Q377*R377*S377</f>
        <v>0.414375</v>
      </c>
      <c r="U377" s="249" t="n">
        <f aca="false">T377*P377</f>
        <v>6.215625</v>
      </c>
      <c r="V377" s="250"/>
    </row>
    <row r="378" customFormat="false" ht="13.5" hidden="false" customHeight="true" outlineLevel="0" collapsed="false">
      <c r="B378" s="238" t="n">
        <v>47</v>
      </c>
      <c r="C378" s="239" t="s">
        <v>1074</v>
      </c>
      <c r="D378" s="240" t="n">
        <v>44112</v>
      </c>
      <c r="E378" s="241" t="str">
        <f aca="false">IF(D378="","",IFERROR(VLOOKUP(D378,CCN_Library!$A$4:$B$13,2,FALSE()),"NOT IN LIBRARY"))</f>
        <v>STORAGE OF AIR OR GROUND ORGANIC UNITS FOR MARINE CORPS</v>
      </c>
      <c r="F378" s="242"/>
      <c r="G378" s="243" t="s">
        <v>1516</v>
      </c>
      <c r="H378" s="244" t="str">
        <f aca="false">LEFT(I378,5)</f>
        <v>C0169</v>
      </c>
      <c r="I378" s="243" t="s">
        <v>1161</v>
      </c>
      <c r="J378" s="244" t="s">
        <v>1162</v>
      </c>
      <c r="K378" s="243" t="s">
        <v>1072</v>
      </c>
      <c r="L378" s="243" t="s">
        <v>1073</v>
      </c>
      <c r="M378" s="243" t="s">
        <v>133</v>
      </c>
      <c r="N378" s="245" t="n">
        <v>180</v>
      </c>
      <c r="O378" s="245" t="n">
        <v>0</v>
      </c>
      <c r="P378" s="245" t="n">
        <v>180</v>
      </c>
      <c r="Q378" s="252" t="n">
        <v>0</v>
      </c>
      <c r="R378" s="252" t="n">
        <v>0</v>
      </c>
      <c r="S378" s="247" t="n">
        <v>0</v>
      </c>
      <c r="T378" s="248" t="n">
        <f aca="false">Q378*R378*S378</f>
        <v>0</v>
      </c>
      <c r="U378" s="249" t="n">
        <f aca="false">T378*P378</f>
        <v>0</v>
      </c>
      <c r="V378" s="250"/>
    </row>
    <row r="379" customFormat="false" ht="13.5" hidden="false" customHeight="true" outlineLevel="0" collapsed="false">
      <c r="B379" s="238" t="n">
        <v>52</v>
      </c>
      <c r="C379" s="239" t="s">
        <v>1068</v>
      </c>
      <c r="D379" s="240" t="n">
        <v>14345</v>
      </c>
      <c r="E379" s="241" t="str">
        <f aca="false">IF(D379="","",IFERROR(VLOOKUP(D379,CCN_Library!$A$4:$B$13,2,FALSE()),"NOT IN LIBRARY"))</f>
        <v>ARMORY</v>
      </c>
      <c r="F379" s="242"/>
      <c r="G379" s="243" t="s">
        <v>1516</v>
      </c>
      <c r="H379" s="244" t="str">
        <f aca="false">LEFT(I379,5)</f>
        <v>E0212</v>
      </c>
      <c r="I379" s="243" t="s">
        <v>1218</v>
      </c>
      <c r="J379" s="244" t="s">
        <v>1219</v>
      </c>
      <c r="K379" s="243" t="s">
        <v>1142</v>
      </c>
      <c r="L379" s="246"/>
      <c r="M379" s="243" t="s">
        <v>133</v>
      </c>
      <c r="N379" s="245" t="n">
        <v>0</v>
      </c>
      <c r="O379" s="245" t="n">
        <v>0</v>
      </c>
      <c r="P379" s="245" t="n">
        <v>0</v>
      </c>
      <c r="Q379" s="246"/>
      <c r="R379" s="246"/>
      <c r="S379" s="247" t="n">
        <v>0</v>
      </c>
      <c r="T379" s="248" t="n">
        <f aca="false">Q379*R379*S379</f>
        <v>0</v>
      </c>
      <c r="U379" s="249" t="n">
        <f aca="false">T379*P379</f>
        <v>0</v>
      </c>
      <c r="V379" s="250"/>
    </row>
    <row r="380" customFormat="false" ht="13.5" hidden="false" customHeight="true" outlineLevel="0" collapsed="false">
      <c r="B380" s="238" t="n">
        <v>54</v>
      </c>
      <c r="C380" s="239" t="s">
        <v>1068</v>
      </c>
      <c r="D380" s="240" t="n">
        <v>14345</v>
      </c>
      <c r="E380" s="241" t="str">
        <f aca="false">IF(D380="","",IFERROR(VLOOKUP(D380,CCN_Library!$A$4:$B$13,2,FALSE()),"NOT IN LIBRARY"))</f>
        <v>ARMORY</v>
      </c>
      <c r="F380" s="242"/>
      <c r="G380" s="243" t="s">
        <v>1516</v>
      </c>
      <c r="H380" s="244" t="str">
        <f aca="false">LEFT(I380,5)</f>
        <v>E0050</v>
      </c>
      <c r="I380" s="243" t="s">
        <v>1379</v>
      </c>
      <c r="J380" s="244" t="s">
        <v>1380</v>
      </c>
      <c r="K380" s="243" t="s">
        <v>1072</v>
      </c>
      <c r="L380" s="243" t="s">
        <v>1073</v>
      </c>
      <c r="M380" s="243" t="s">
        <v>133</v>
      </c>
      <c r="N380" s="245" t="n">
        <v>114</v>
      </c>
      <c r="O380" s="245" t="n">
        <v>0</v>
      </c>
      <c r="P380" s="245" t="n">
        <v>114</v>
      </c>
      <c r="Q380" s="251" t="n">
        <v>1.08</v>
      </c>
      <c r="R380" s="251" t="n">
        <v>0.25</v>
      </c>
      <c r="S380" s="247" t="n">
        <v>0.17</v>
      </c>
      <c r="T380" s="248" t="n">
        <f aca="false">Q380*R380*S380</f>
        <v>0.0459</v>
      </c>
      <c r="U380" s="249" t="n">
        <f aca="false">T380*P380</f>
        <v>5.2326</v>
      </c>
      <c r="V380" s="250"/>
    </row>
    <row r="381" customFormat="false" ht="13.5" hidden="false" customHeight="true" outlineLevel="0" collapsed="false">
      <c r="B381" s="238" t="n">
        <v>55</v>
      </c>
      <c r="C381" s="239" t="s">
        <v>1074</v>
      </c>
      <c r="D381" s="240" t="n">
        <v>44112</v>
      </c>
      <c r="E381" s="241" t="str">
        <f aca="false">IF(D381="","",IFERROR(VLOOKUP(D381,CCN_Library!$A$4:$B$13,2,FALSE()),"NOT IN LIBRARY"))</f>
        <v>STORAGE OF AIR OR GROUND ORGANIC UNITS FOR MARINE CORPS</v>
      </c>
      <c r="F381" s="242"/>
      <c r="G381" s="243" t="s">
        <v>1516</v>
      </c>
      <c r="H381" s="244" t="str">
        <f aca="false">LEFT(I381,5)</f>
        <v>B0075</v>
      </c>
      <c r="I381" s="243" t="s">
        <v>1500</v>
      </c>
      <c r="J381" s="244" t="s">
        <v>1501</v>
      </c>
      <c r="K381" s="243" t="s">
        <v>1072</v>
      </c>
      <c r="L381" s="243" t="s">
        <v>1073</v>
      </c>
      <c r="M381" s="243" t="s">
        <v>133</v>
      </c>
      <c r="N381" s="245" t="n">
        <v>0</v>
      </c>
      <c r="O381" s="245" t="n">
        <v>4</v>
      </c>
      <c r="P381" s="245" t="n">
        <v>4</v>
      </c>
      <c r="Q381" s="251" t="n">
        <v>6.46</v>
      </c>
      <c r="R381" s="252" t="n">
        <v>8</v>
      </c>
      <c r="S381" s="247" t="n">
        <v>8</v>
      </c>
      <c r="T381" s="248" t="n">
        <f aca="false">Q381*R381*S381</f>
        <v>413.44</v>
      </c>
      <c r="U381" s="249" t="n">
        <f aca="false">T381*P381</f>
        <v>1653.76</v>
      </c>
      <c r="V381" s="250"/>
    </row>
    <row r="382" customFormat="false" ht="13.5" hidden="false" customHeight="true" outlineLevel="0" collapsed="false">
      <c r="B382" s="238" t="n">
        <v>57</v>
      </c>
      <c r="C382" s="239" t="s">
        <v>1077</v>
      </c>
      <c r="D382" s="240" t="n">
        <v>21710</v>
      </c>
      <c r="E382" s="241" t="str">
        <f aca="false">IF(D382="","",IFERROR(VLOOKUP(D382,CCN_Library!$A$4:$B$13,2,FALSE()),"NOT IN LIBRARY"))</f>
        <v>ELECTRONICS/COMMUNICATIONS MAINTENANCE SHOP</v>
      </c>
      <c r="F382" s="242"/>
      <c r="G382" s="243" t="s">
        <v>1516</v>
      </c>
      <c r="H382" s="244" t="str">
        <f aca="false">LEFT(I382,5)</f>
        <v>A9023</v>
      </c>
      <c r="I382" s="243" t="s">
        <v>1220</v>
      </c>
      <c r="J382" s="244" t="s">
        <v>1221</v>
      </c>
      <c r="K382" s="243" t="s">
        <v>1072</v>
      </c>
      <c r="L382" s="243" t="s">
        <v>1073</v>
      </c>
      <c r="M382" s="246"/>
      <c r="N382" s="245" t="n">
        <v>0</v>
      </c>
      <c r="O382" s="245" t="n">
        <v>5</v>
      </c>
      <c r="P382" s="245" t="n">
        <v>5</v>
      </c>
      <c r="Q382" s="252" t="n">
        <v>1</v>
      </c>
      <c r="R382" s="251" t="n">
        <v>1.25</v>
      </c>
      <c r="S382" s="247" t="n">
        <v>0.17</v>
      </c>
      <c r="T382" s="248" t="n">
        <f aca="false">Q382*R382*S382</f>
        <v>0.2125</v>
      </c>
      <c r="U382" s="249" t="n">
        <f aca="false">T382*P382</f>
        <v>1.0625</v>
      </c>
      <c r="V382" s="250"/>
    </row>
    <row r="383" customFormat="false" ht="13.5" hidden="false" customHeight="true" outlineLevel="0" collapsed="false">
      <c r="B383" s="238" t="n">
        <v>59</v>
      </c>
      <c r="C383" s="239" t="s">
        <v>1077</v>
      </c>
      <c r="D383" s="240" t="n">
        <v>21710</v>
      </c>
      <c r="E383" s="241" t="str">
        <f aca="false">IF(D383="","",IFERROR(VLOOKUP(D383,CCN_Library!$A$4:$B$13,2,FALSE()),"NOT IN LIBRARY"))</f>
        <v>ELECTRONICS/COMMUNICATIONS MAINTENANCE SHOP</v>
      </c>
      <c r="F383" s="242"/>
      <c r="G383" s="243" t="s">
        <v>1516</v>
      </c>
      <c r="H383" s="244" t="str">
        <f aca="false">LEFT(I383,5)</f>
        <v>A0135</v>
      </c>
      <c r="I383" s="243" t="s">
        <v>1121</v>
      </c>
      <c r="J383" s="244" t="s">
        <v>1122</v>
      </c>
      <c r="K383" s="243" t="s">
        <v>1080</v>
      </c>
      <c r="L383" s="243" t="s">
        <v>1073</v>
      </c>
      <c r="M383" s="243" t="s">
        <v>133</v>
      </c>
      <c r="N383" s="245" t="n">
        <v>0</v>
      </c>
      <c r="O383" s="245" t="n">
        <v>8</v>
      </c>
      <c r="P383" s="245" t="n">
        <v>8</v>
      </c>
      <c r="Q383" s="251" t="n">
        <v>0.89</v>
      </c>
      <c r="R383" s="251" t="n">
        <v>0.62</v>
      </c>
      <c r="S383" s="247" t="n">
        <v>0.89</v>
      </c>
      <c r="T383" s="248" t="n">
        <f aca="false">Q383*R383*S383</f>
        <v>0.491102</v>
      </c>
      <c r="U383" s="249" t="n">
        <f aca="false">T383*P383</f>
        <v>3.928816</v>
      </c>
      <c r="V383" s="250"/>
    </row>
    <row r="384" customFormat="false" ht="13.5" hidden="false" customHeight="true" outlineLevel="0" collapsed="false">
      <c r="B384" s="238" t="n">
        <v>67</v>
      </c>
      <c r="C384" s="239" t="s">
        <v>1113</v>
      </c>
      <c r="D384" s="240" t="n">
        <v>21451</v>
      </c>
      <c r="E384" s="241" t="str">
        <f aca="false">IF(D384="","",IFERROR(VLOOKUP(D384,CCN_Library!$A$4:$B$13,2,FALSE()),"NOT IN LIBRARY"))</f>
        <v>AUTOMOTIVE ORGANIZATIONAL SHOP</v>
      </c>
      <c r="F384" s="242"/>
      <c r="G384" s="243" t="s">
        <v>1516</v>
      </c>
      <c r="H384" s="244" t="str">
        <f aca="false">LEFT(I384,5)</f>
        <v>D0862</v>
      </c>
      <c r="I384" s="243" t="s">
        <v>1418</v>
      </c>
      <c r="J384" s="244" t="s">
        <v>1419</v>
      </c>
      <c r="K384" s="243" t="s">
        <v>1072</v>
      </c>
      <c r="L384" s="243" t="s">
        <v>1073</v>
      </c>
      <c r="M384" s="243" t="s">
        <v>133</v>
      </c>
      <c r="N384" s="245" t="n">
        <v>0</v>
      </c>
      <c r="O384" s="245" t="n">
        <v>0</v>
      </c>
      <c r="P384" s="245" t="n">
        <v>0</v>
      </c>
      <c r="Q384" s="251" t="n">
        <v>16.49</v>
      </c>
      <c r="R384" s="251" t="n">
        <v>8.16</v>
      </c>
      <c r="S384" s="247" t="n">
        <v>3.83</v>
      </c>
      <c r="T384" s="248" t="n">
        <f aca="false">Q384*R384*S384</f>
        <v>515.358672</v>
      </c>
      <c r="U384" s="249" t="n">
        <f aca="false">T384*P384</f>
        <v>0</v>
      </c>
      <c r="V384" s="250"/>
    </row>
    <row r="385" customFormat="false" ht="13.5" hidden="false" customHeight="true" outlineLevel="0" collapsed="false">
      <c r="B385" s="238" t="n">
        <v>68</v>
      </c>
      <c r="C385" s="239" t="s">
        <v>1068</v>
      </c>
      <c r="D385" s="240" t="n">
        <v>14345</v>
      </c>
      <c r="E385" s="241" t="str">
        <f aca="false">IF(D385="","",IFERROR(VLOOKUP(D385,CCN_Library!$A$4:$B$13,2,FALSE()),"NOT IN LIBRARY"))</f>
        <v>ARMORY</v>
      </c>
      <c r="F385" s="242"/>
      <c r="G385" s="243" t="s">
        <v>1516</v>
      </c>
      <c r="H385" s="244" t="str">
        <f aca="false">LEFT(I385,5)</f>
        <v>E0173</v>
      </c>
      <c r="I385" s="243" t="s">
        <v>1420</v>
      </c>
      <c r="J385" s="244" t="s">
        <v>1421</v>
      </c>
      <c r="K385" s="243" t="s">
        <v>1072</v>
      </c>
      <c r="L385" s="243" t="s">
        <v>1073</v>
      </c>
      <c r="M385" s="243" t="s">
        <v>133</v>
      </c>
      <c r="N385" s="245" t="n">
        <v>0</v>
      </c>
      <c r="O385" s="245" t="n">
        <v>0</v>
      </c>
      <c r="P385" s="245" t="n">
        <v>0</v>
      </c>
      <c r="Q385" s="251" t="n">
        <v>0.61</v>
      </c>
      <c r="R385" s="251" t="n">
        <v>0.29</v>
      </c>
      <c r="S385" s="247" t="n">
        <v>0.16</v>
      </c>
      <c r="T385" s="248" t="n">
        <f aca="false">Q385*R385*S385</f>
        <v>0.028304</v>
      </c>
      <c r="U385" s="249" t="n">
        <f aca="false">T385*P385</f>
        <v>0</v>
      </c>
      <c r="V385" s="250"/>
    </row>
    <row r="386" customFormat="false" ht="13.5" hidden="false" customHeight="true" outlineLevel="0" collapsed="false">
      <c r="B386" s="238" t="n">
        <v>73</v>
      </c>
      <c r="C386" s="239" t="s">
        <v>1113</v>
      </c>
      <c r="D386" s="240" t="n">
        <v>21451</v>
      </c>
      <c r="E386" s="241" t="str">
        <f aca="false">IF(D386="","",IFERROR(VLOOKUP(D386,CCN_Library!$A$4:$B$13,2,FALSE()),"NOT IN LIBRARY"))</f>
        <v>AUTOMOTIVE ORGANIZATIONAL SHOP</v>
      </c>
      <c r="F386" s="242"/>
      <c r="G386" s="243" t="s">
        <v>1516</v>
      </c>
      <c r="H386" s="244" t="str">
        <f aca="false">LEFT(I386,5)</f>
        <v>D0026</v>
      </c>
      <c r="I386" s="243" t="s">
        <v>1293</v>
      </c>
      <c r="J386" s="244" t="s">
        <v>1294</v>
      </c>
      <c r="K386" s="243" t="s">
        <v>1142</v>
      </c>
      <c r="L386" s="246"/>
      <c r="M386" s="243" t="s">
        <v>133</v>
      </c>
      <c r="N386" s="245" t="n">
        <v>0</v>
      </c>
      <c r="O386" s="245" t="n">
        <v>4</v>
      </c>
      <c r="P386" s="245" t="n">
        <v>4</v>
      </c>
      <c r="Q386" s="246"/>
      <c r="R386" s="246"/>
      <c r="S386" s="247" t="n">
        <v>0</v>
      </c>
      <c r="T386" s="248" t="n">
        <f aca="false">Q386*R386*S386</f>
        <v>0</v>
      </c>
      <c r="U386" s="249" t="n">
        <f aca="false">T386*P386</f>
        <v>0</v>
      </c>
      <c r="V386" s="250"/>
    </row>
    <row r="387" customFormat="false" ht="13.5" hidden="false" customHeight="true" outlineLevel="0" collapsed="false">
      <c r="B387" s="238" t="n">
        <v>80</v>
      </c>
      <c r="C387" s="239" t="s">
        <v>1074</v>
      </c>
      <c r="D387" s="240" t="n">
        <v>44112</v>
      </c>
      <c r="E387" s="241" t="str">
        <f aca="false">IF(D387="","",IFERROR(VLOOKUP(D387,CCN_Library!$A$4:$B$13,2,FALSE()),"NOT IN LIBRARY"))</f>
        <v>STORAGE OF AIR OR GROUND ORGANIC UNITS FOR MARINE CORPS</v>
      </c>
      <c r="F387" s="242"/>
      <c r="G387" s="243" t="s">
        <v>1516</v>
      </c>
      <c r="H387" s="244" t="str">
        <f aca="false">LEFT(I387,5)</f>
        <v>C3060</v>
      </c>
      <c r="I387" s="243" t="s">
        <v>1136</v>
      </c>
      <c r="J387" s="244" t="s">
        <v>1137</v>
      </c>
      <c r="K387" s="243" t="s">
        <v>1072</v>
      </c>
      <c r="L387" s="243" t="s">
        <v>1073</v>
      </c>
      <c r="M387" s="243" t="s">
        <v>133</v>
      </c>
      <c r="N387" s="245" t="n">
        <v>360</v>
      </c>
      <c r="O387" s="245" t="n">
        <v>0</v>
      </c>
      <c r="P387" s="245" t="n">
        <v>360</v>
      </c>
      <c r="Q387" s="251" t="n">
        <v>0.08</v>
      </c>
      <c r="R387" s="251" t="n">
        <v>0.25</v>
      </c>
      <c r="S387" s="247" t="n">
        <v>0.42</v>
      </c>
      <c r="T387" s="248" t="n">
        <f aca="false">Q387*R387*S387</f>
        <v>0.0084</v>
      </c>
      <c r="U387" s="249" t="n">
        <f aca="false">T387*P387</f>
        <v>3.024</v>
      </c>
      <c r="V387" s="250"/>
    </row>
    <row r="388" customFormat="false" ht="13.5" hidden="false" customHeight="true" outlineLevel="0" collapsed="false">
      <c r="B388" s="238" t="n">
        <v>83</v>
      </c>
      <c r="C388" s="239" t="s">
        <v>1074</v>
      </c>
      <c r="D388" s="240" t="n">
        <v>44112</v>
      </c>
      <c r="E388" s="241" t="str">
        <f aca="false">IF(D388="","",IFERROR(VLOOKUP(D388,CCN_Library!$A$4:$B$13,2,FALSE()),"NOT IN LIBRARY"))</f>
        <v>STORAGE OF AIR OR GROUND ORGANIC UNITS FOR MARINE CORPS</v>
      </c>
      <c r="F388" s="242"/>
      <c r="G388" s="243" t="s">
        <v>1516</v>
      </c>
      <c r="H388" s="244" t="str">
        <f aca="false">LEFT(I388,5)</f>
        <v>C3230</v>
      </c>
      <c r="I388" s="243" t="s">
        <v>1299</v>
      </c>
      <c r="J388" s="244" t="s">
        <v>1300</v>
      </c>
      <c r="K388" s="243" t="s">
        <v>1072</v>
      </c>
      <c r="L388" s="243" t="s">
        <v>1073</v>
      </c>
      <c r="M388" s="243" t="s">
        <v>133</v>
      </c>
      <c r="N388" s="245" t="n">
        <v>180</v>
      </c>
      <c r="O388" s="245" t="n">
        <v>0</v>
      </c>
      <c r="P388" s="245" t="n">
        <v>180</v>
      </c>
      <c r="Q388" s="251" t="n">
        <v>0.67</v>
      </c>
      <c r="R388" s="251" t="n">
        <v>0.5</v>
      </c>
      <c r="S388" s="247" t="n">
        <v>0.17</v>
      </c>
      <c r="T388" s="248" t="n">
        <f aca="false">Q388*R388*S388</f>
        <v>0.05695</v>
      </c>
      <c r="U388" s="249" t="n">
        <f aca="false">T388*P388</f>
        <v>10.251</v>
      </c>
      <c r="V388" s="250"/>
    </row>
    <row r="389" customFormat="false" ht="13.5" hidden="false" customHeight="true" outlineLevel="0" collapsed="false">
      <c r="B389" s="238" t="n">
        <v>86</v>
      </c>
      <c r="C389" s="239" t="s">
        <v>1068</v>
      </c>
      <c r="D389" s="240" t="n">
        <v>14345</v>
      </c>
      <c r="E389" s="241" t="str">
        <f aca="false">IF(D389="","",IFERROR(VLOOKUP(D389,CCN_Library!$A$4:$B$13,2,FALSE()),"NOT IN LIBRARY"))</f>
        <v>ARMORY</v>
      </c>
      <c r="F389" s="242"/>
      <c r="G389" s="243" t="s">
        <v>1516</v>
      </c>
      <c r="H389" s="244" t="str">
        <f aca="false">LEFT(I389,5)</f>
        <v>C3250</v>
      </c>
      <c r="I389" s="243" t="s">
        <v>1138</v>
      </c>
      <c r="J389" s="244" t="s">
        <v>1139</v>
      </c>
      <c r="K389" s="243" t="s">
        <v>1072</v>
      </c>
      <c r="L389" s="243" t="s">
        <v>1073</v>
      </c>
      <c r="M389" s="243" t="s">
        <v>133</v>
      </c>
      <c r="N389" s="245" t="n">
        <v>0</v>
      </c>
      <c r="O389" s="245" t="n">
        <v>0</v>
      </c>
      <c r="P389" s="245" t="n">
        <v>0</v>
      </c>
      <c r="Q389" s="251" t="n">
        <v>0.75</v>
      </c>
      <c r="R389" s="251" t="n">
        <v>0.17</v>
      </c>
      <c r="S389" s="247" t="n">
        <v>0.08</v>
      </c>
      <c r="T389" s="248" t="n">
        <f aca="false">Q389*R389*S389</f>
        <v>0.0102</v>
      </c>
      <c r="U389" s="249" t="n">
        <f aca="false">T389*P389</f>
        <v>0</v>
      </c>
      <c r="V389" s="250"/>
    </row>
    <row r="390" customFormat="false" ht="13.5" hidden="false" customHeight="true" outlineLevel="0" collapsed="false">
      <c r="B390" s="238" t="n">
        <v>91</v>
      </c>
      <c r="C390" s="239" t="s">
        <v>1074</v>
      </c>
      <c r="D390" s="240" t="n">
        <v>44112</v>
      </c>
      <c r="E390" s="241" t="str">
        <f aca="false">IF(D390="","",IFERROR(VLOOKUP(D390,CCN_Library!$A$4:$B$13,2,FALSE()),"NOT IN LIBRARY"))</f>
        <v>STORAGE OF AIR OR GROUND ORGANIC UNITS FOR MARINE CORPS</v>
      </c>
      <c r="F390" s="242"/>
      <c r="G390" s="243" t="s">
        <v>1516</v>
      </c>
      <c r="H390" s="244" t="str">
        <f aca="false">LEFT(I390,5)</f>
        <v>C8628</v>
      </c>
      <c r="I390" s="243" t="s">
        <v>1432</v>
      </c>
      <c r="J390" s="244" t="s">
        <v>1433</v>
      </c>
      <c r="K390" s="243" t="s">
        <v>1072</v>
      </c>
      <c r="L390" s="246"/>
      <c r="M390" s="243" t="s">
        <v>133</v>
      </c>
      <c r="N390" s="245" t="n">
        <v>0</v>
      </c>
      <c r="O390" s="245" t="n">
        <v>6</v>
      </c>
      <c r="P390" s="245" t="n">
        <v>6</v>
      </c>
      <c r="Q390" s="252" t="n">
        <v>9</v>
      </c>
      <c r="R390" s="251" t="n">
        <v>7.33</v>
      </c>
      <c r="S390" s="247" t="n">
        <v>5.5</v>
      </c>
      <c r="T390" s="248" t="n">
        <f aca="false">Q390*R390*S390</f>
        <v>362.835</v>
      </c>
      <c r="U390" s="249" t="n">
        <f aca="false">T390*P390</f>
        <v>2177.01</v>
      </c>
      <c r="V390" s="250"/>
    </row>
    <row r="391" customFormat="false" ht="13.5" hidden="false" customHeight="true" outlineLevel="0" collapsed="false">
      <c r="B391" s="238" t="n">
        <v>92</v>
      </c>
      <c r="C391" s="239" t="s">
        <v>1113</v>
      </c>
      <c r="D391" s="240" t="n">
        <v>21451</v>
      </c>
      <c r="E391" s="241" t="str">
        <f aca="false">IF(D391="","",IFERROR(VLOOKUP(D391,CCN_Library!$A$4:$B$13,2,FALSE()),"NOT IN LIBRARY"))</f>
        <v>AUTOMOTIVE ORGANIZATIONAL SHOP</v>
      </c>
      <c r="F391" s="242"/>
      <c r="G391" s="243" t="s">
        <v>1516</v>
      </c>
      <c r="H391" s="244" t="str">
        <f aca="false">LEFT(I391,5)</f>
        <v>D0880</v>
      </c>
      <c r="I391" s="243" t="s">
        <v>1195</v>
      </c>
      <c r="J391" s="244" t="s">
        <v>1196</v>
      </c>
      <c r="K391" s="243" t="s">
        <v>1072</v>
      </c>
      <c r="L391" s="243" t="s">
        <v>1073</v>
      </c>
      <c r="M391" s="243" t="s">
        <v>1116</v>
      </c>
      <c r="N391" s="245" t="n">
        <v>0</v>
      </c>
      <c r="O391" s="245" t="n">
        <v>0</v>
      </c>
      <c r="P391" s="245" t="n">
        <v>0</v>
      </c>
      <c r="Q391" s="251" t="n">
        <v>13.42</v>
      </c>
      <c r="R391" s="251" t="n">
        <v>6.91</v>
      </c>
      <c r="S391" s="247" t="n">
        <v>6.58</v>
      </c>
      <c r="T391" s="248" t="n">
        <f aca="false">Q391*R391*S391</f>
        <v>610.177876</v>
      </c>
      <c r="U391" s="249" t="n">
        <f aca="false">T391*P391</f>
        <v>0</v>
      </c>
      <c r="V391" s="250"/>
    </row>
    <row r="392" customFormat="false" ht="13.5" hidden="false" customHeight="true" outlineLevel="0" collapsed="false">
      <c r="B392" s="238" t="n">
        <v>94</v>
      </c>
      <c r="C392" s="239" t="s">
        <v>1068</v>
      </c>
      <c r="D392" s="240" t="n">
        <v>14345</v>
      </c>
      <c r="E392" s="241" t="str">
        <f aca="false">IF(D392="","",IFERROR(VLOOKUP(D392,CCN_Library!$A$4:$B$13,2,FALSE()),"NOT IN LIBRARY"))</f>
        <v>ARMORY</v>
      </c>
      <c r="F392" s="242"/>
      <c r="G392" s="243" t="s">
        <v>1516</v>
      </c>
      <c r="H392" s="244" t="str">
        <f aca="false">LEFT(I392,5)</f>
        <v>E1710</v>
      </c>
      <c r="I392" s="243" t="s">
        <v>1246</v>
      </c>
      <c r="J392" s="244" t="s">
        <v>1247</v>
      </c>
      <c r="K392" s="243" t="s">
        <v>1072</v>
      </c>
      <c r="L392" s="243" t="s">
        <v>1073</v>
      </c>
      <c r="M392" s="243" t="s">
        <v>133</v>
      </c>
      <c r="N392" s="245" t="n">
        <v>15</v>
      </c>
      <c r="O392" s="245" t="n">
        <v>0</v>
      </c>
      <c r="P392" s="245" t="n">
        <v>15</v>
      </c>
      <c r="Q392" s="251" t="n">
        <v>0.5</v>
      </c>
      <c r="R392" s="251" t="n">
        <v>0.33</v>
      </c>
      <c r="S392" s="247" t="n">
        <v>0.25</v>
      </c>
      <c r="T392" s="248" t="n">
        <f aca="false">Q392*R392*S392</f>
        <v>0.04125</v>
      </c>
      <c r="U392" s="249" t="n">
        <f aca="false">T392*P392</f>
        <v>0.61875</v>
      </c>
      <c r="V392" s="250"/>
    </row>
    <row r="393" customFormat="false" ht="13.5" hidden="false" customHeight="true" outlineLevel="0" collapsed="false">
      <c r="B393" s="238" t="n">
        <v>102</v>
      </c>
      <c r="C393" s="239" t="s">
        <v>1068</v>
      </c>
      <c r="D393" s="240" t="n">
        <v>14345</v>
      </c>
      <c r="E393" s="241" t="str">
        <f aca="false">IF(D393="","",IFERROR(VLOOKUP(D393,CCN_Library!$A$4:$B$13,2,FALSE()),"NOT IN LIBRARY"))</f>
        <v>ARMORY</v>
      </c>
      <c r="F393" s="242"/>
      <c r="G393" s="243" t="s">
        <v>1516</v>
      </c>
      <c r="H393" s="244" t="str">
        <f aca="false">LEFT(I393,5)</f>
        <v>E1975</v>
      </c>
      <c r="I393" s="243" t="s">
        <v>1303</v>
      </c>
      <c r="J393" s="244" t="s">
        <v>1304</v>
      </c>
      <c r="K393" s="243" t="s">
        <v>1072</v>
      </c>
      <c r="L393" s="243" t="s">
        <v>1073</v>
      </c>
      <c r="M393" s="243" t="s">
        <v>1116</v>
      </c>
      <c r="N393" s="245" t="n">
        <v>2</v>
      </c>
      <c r="O393" s="245" t="n">
        <v>0</v>
      </c>
      <c r="P393" s="245" t="n">
        <v>2</v>
      </c>
      <c r="Q393" s="251" t="n">
        <v>1.17</v>
      </c>
      <c r="R393" s="251" t="n">
        <v>0.25</v>
      </c>
      <c r="S393" s="247" t="n">
        <v>0.42</v>
      </c>
      <c r="T393" s="248" t="n">
        <f aca="false">Q393*R393*S393</f>
        <v>0.12285</v>
      </c>
      <c r="U393" s="249" t="n">
        <f aca="false">T393*P393</f>
        <v>0.2457</v>
      </c>
      <c r="V393" s="250"/>
    </row>
    <row r="394" customFormat="false" ht="13.5" hidden="false" customHeight="true" outlineLevel="0" collapsed="false">
      <c r="B394" s="238" t="n">
        <v>114</v>
      </c>
      <c r="C394" s="239" t="s">
        <v>1077</v>
      </c>
      <c r="D394" s="240" t="n">
        <v>21710</v>
      </c>
      <c r="E394" s="241" t="str">
        <f aca="false">IF(D394="","",IFERROR(VLOOKUP(D394,CCN_Library!$A$4:$B$13,2,FALSE()),"NOT IN LIBRARY"))</f>
        <v>ELECTRONICS/COMMUNICATIONS MAINTENANCE SHOP</v>
      </c>
      <c r="F394" s="242"/>
      <c r="G394" s="243" t="s">
        <v>1516</v>
      </c>
      <c r="H394" s="244" t="str">
        <f aca="false">LEFT(I394,5)</f>
        <v>H7030</v>
      </c>
      <c r="I394" s="243" t="s">
        <v>1318</v>
      </c>
      <c r="J394" s="244" t="s">
        <v>1319</v>
      </c>
      <c r="K394" s="243" t="s">
        <v>1072</v>
      </c>
      <c r="L394" s="243" t="s">
        <v>1073</v>
      </c>
      <c r="M394" s="243" t="s">
        <v>133</v>
      </c>
      <c r="N394" s="245" t="n">
        <v>0</v>
      </c>
      <c r="O394" s="245" t="n">
        <v>2</v>
      </c>
      <c r="P394" s="245" t="n">
        <v>2</v>
      </c>
      <c r="Q394" s="251" t="n">
        <v>0.67</v>
      </c>
      <c r="R394" s="251" t="n">
        <v>0.33</v>
      </c>
      <c r="S394" s="247" t="n">
        <v>0.17</v>
      </c>
      <c r="T394" s="248" t="n">
        <f aca="false">Q394*R394*S394</f>
        <v>0.037587</v>
      </c>
      <c r="U394" s="249" t="n">
        <f aca="false">T394*P394</f>
        <v>0.075174</v>
      </c>
      <c r="V394" s="250"/>
    </row>
    <row r="395" customFormat="false" ht="13.5" hidden="false" customHeight="true" outlineLevel="0" collapsed="false">
      <c r="B395" s="238" t="n">
        <v>115</v>
      </c>
      <c r="C395" s="239" t="s">
        <v>1068</v>
      </c>
      <c r="D395" s="240" t="n">
        <v>14345</v>
      </c>
      <c r="E395" s="241" t="str">
        <f aca="false">IF(D395="","",IFERROR(VLOOKUP(D395,CCN_Library!$A$4:$B$13,2,FALSE()),"NOT IN LIBRARY"))</f>
        <v>ARMORY</v>
      </c>
      <c r="F395" s="242"/>
      <c r="G395" s="243" t="s">
        <v>1516</v>
      </c>
      <c r="H395" s="244" t="str">
        <f aca="false">LEFT(I395,5)</f>
        <v>E0123</v>
      </c>
      <c r="I395" s="243" t="s">
        <v>1320</v>
      </c>
      <c r="J395" s="244" t="s">
        <v>1321</v>
      </c>
      <c r="K395" s="243" t="s">
        <v>1072</v>
      </c>
      <c r="L395" s="243" t="s">
        <v>1073</v>
      </c>
      <c r="M395" s="243" t="s">
        <v>148</v>
      </c>
      <c r="N395" s="245" t="n">
        <v>0</v>
      </c>
      <c r="O395" s="245" t="n">
        <v>2</v>
      </c>
      <c r="P395" s="245" t="n">
        <v>2</v>
      </c>
      <c r="Q395" s="251" t="n">
        <v>5.41</v>
      </c>
      <c r="R395" s="251" t="n">
        <v>0.75</v>
      </c>
      <c r="S395" s="247" t="n">
        <v>0.92</v>
      </c>
      <c r="T395" s="248" t="n">
        <f aca="false">Q395*R395*S395</f>
        <v>3.7329</v>
      </c>
      <c r="U395" s="249" t="n">
        <f aca="false">T395*P395</f>
        <v>7.4658</v>
      </c>
      <c r="V395" s="250"/>
    </row>
    <row r="396" customFormat="false" ht="13.5" hidden="false" customHeight="true" outlineLevel="0" collapsed="false">
      <c r="B396" s="238" t="n">
        <v>121</v>
      </c>
      <c r="C396" s="239" t="s">
        <v>1068</v>
      </c>
      <c r="D396" s="240" t="n">
        <v>14345</v>
      </c>
      <c r="E396" s="241" t="str">
        <f aca="false">IF(D396="","",IFERROR(VLOOKUP(D396,CCN_Library!$A$4:$B$13,2,FALSE()),"NOT IN LIBRARY"))</f>
        <v>ARMORY</v>
      </c>
      <c r="F396" s="242"/>
      <c r="G396" s="243" t="s">
        <v>1516</v>
      </c>
      <c r="H396" s="244" t="str">
        <f aca="false">LEFT(I396,5)</f>
        <v>E0088</v>
      </c>
      <c r="I396" s="243" t="s">
        <v>1330</v>
      </c>
      <c r="J396" s="244" t="s">
        <v>1331</v>
      </c>
      <c r="K396" s="243" t="s">
        <v>1072</v>
      </c>
      <c r="L396" s="243" t="s">
        <v>1073</v>
      </c>
      <c r="M396" s="243" t="s">
        <v>133</v>
      </c>
      <c r="N396" s="245" t="n">
        <v>2</v>
      </c>
      <c r="O396" s="245" t="n">
        <v>0</v>
      </c>
      <c r="P396" s="245" t="n">
        <v>2</v>
      </c>
      <c r="Q396" s="252" t="n">
        <v>1</v>
      </c>
      <c r="R396" s="251" t="n">
        <v>0.5</v>
      </c>
      <c r="S396" s="247" t="n">
        <v>0.42</v>
      </c>
      <c r="T396" s="248" t="n">
        <f aca="false">Q396*R396*S396</f>
        <v>0.21</v>
      </c>
      <c r="U396" s="249" t="n">
        <f aca="false">T396*P396</f>
        <v>0.42</v>
      </c>
      <c r="V396" s="250"/>
    </row>
    <row r="397" customFormat="false" ht="13.5" hidden="false" customHeight="true" outlineLevel="0" collapsed="false">
      <c r="B397" s="238" t="n">
        <v>122</v>
      </c>
      <c r="C397" s="239" t="s">
        <v>1068</v>
      </c>
      <c r="D397" s="240" t="n">
        <v>14345</v>
      </c>
      <c r="E397" s="241" t="str">
        <f aca="false">IF(D397="","",IFERROR(VLOOKUP(D397,CCN_Library!$A$4:$B$13,2,FALSE()),"NOT IN LIBRARY"))</f>
        <v>ARMORY</v>
      </c>
      <c r="F397" s="242"/>
      <c r="G397" s="243" t="s">
        <v>1516</v>
      </c>
      <c r="H397" s="244" t="str">
        <f aca="false">LEFT(I397,5)</f>
        <v>E0100</v>
      </c>
      <c r="I397" s="243" t="s">
        <v>1464</v>
      </c>
      <c r="J397" s="244" t="s">
        <v>1465</v>
      </c>
      <c r="K397" s="243" t="s">
        <v>1072</v>
      </c>
      <c r="L397" s="243" t="s">
        <v>1073</v>
      </c>
      <c r="M397" s="243" t="s">
        <v>133</v>
      </c>
      <c r="N397" s="245" t="n">
        <v>0</v>
      </c>
      <c r="O397" s="245" t="n">
        <v>0</v>
      </c>
      <c r="P397" s="245" t="n">
        <v>0</v>
      </c>
      <c r="Q397" s="251" t="n">
        <v>2.8</v>
      </c>
      <c r="R397" s="251" t="n">
        <v>0.94</v>
      </c>
      <c r="S397" s="247" t="n">
        <v>0.25</v>
      </c>
      <c r="T397" s="248" t="n">
        <f aca="false">Q397*R397*S397</f>
        <v>0.658</v>
      </c>
      <c r="U397" s="249" t="n">
        <f aca="false">T397*P397</f>
        <v>0</v>
      </c>
      <c r="V397" s="250"/>
    </row>
    <row r="398" customFormat="false" ht="13.5" hidden="false" customHeight="true" outlineLevel="0" collapsed="false">
      <c r="B398" s="238" t="n">
        <v>127</v>
      </c>
      <c r="C398" s="239" t="s">
        <v>1074</v>
      </c>
      <c r="D398" s="240" t="n">
        <v>44112</v>
      </c>
      <c r="E398" s="241" t="str">
        <f aca="false">IF(D398="","",IFERROR(VLOOKUP(D398,CCN_Library!$A$4:$B$13,2,FALSE()),"NOT IN LIBRARY"))</f>
        <v>STORAGE OF AIR OR GROUND ORGANIC UNITS FOR MARINE CORPS</v>
      </c>
      <c r="F398" s="242"/>
      <c r="G398" s="243" t="s">
        <v>1516</v>
      </c>
      <c r="H398" s="244" t="str">
        <f aca="false">LEFT(I398,5)</f>
        <v>C3421</v>
      </c>
      <c r="I398" s="243" t="s">
        <v>1377</v>
      </c>
      <c r="J398" s="244" t="s">
        <v>1378</v>
      </c>
      <c r="K398" s="243" t="s">
        <v>1072</v>
      </c>
      <c r="L398" s="243" t="s">
        <v>1073</v>
      </c>
      <c r="M398" s="243" t="s">
        <v>133</v>
      </c>
      <c r="N398" s="245" t="n">
        <v>180</v>
      </c>
      <c r="O398" s="245" t="n">
        <v>0</v>
      </c>
      <c r="P398" s="245" t="n">
        <v>180</v>
      </c>
      <c r="Q398" s="251" t="n">
        <v>2.5</v>
      </c>
      <c r="R398" s="251" t="n">
        <v>1.17</v>
      </c>
      <c r="S398" s="247" t="n">
        <v>0.67</v>
      </c>
      <c r="T398" s="248" t="n">
        <f aca="false">Q398*R398*S398</f>
        <v>1.95975</v>
      </c>
      <c r="U398" s="249" t="n">
        <f aca="false">T398*P398</f>
        <v>352.755</v>
      </c>
      <c r="V398" s="250"/>
    </row>
    <row r="399" customFormat="false" ht="13.5" hidden="false" customHeight="true" outlineLevel="0" collapsed="false">
      <c r="B399" s="238" t="n">
        <v>129</v>
      </c>
      <c r="C399" s="239" t="s">
        <v>1077</v>
      </c>
      <c r="D399" s="240" t="n">
        <v>21710</v>
      </c>
      <c r="E399" s="241" t="str">
        <f aca="false">IF(D399="","",IFERROR(VLOOKUP(D399,CCN_Library!$A$4:$B$13,2,FALSE()),"NOT IN LIBRARY"))</f>
        <v>ELECTRONICS/COMMUNICATIONS MAINTENANCE SHOP</v>
      </c>
      <c r="F399" s="242"/>
      <c r="G399" s="243" t="s">
        <v>1516</v>
      </c>
      <c r="H399" s="244" t="str">
        <f aca="false">LEFT(I399,5)</f>
        <v>A7504</v>
      </c>
      <c r="I399" s="243" t="s">
        <v>1334</v>
      </c>
      <c r="J399" s="244" t="s">
        <v>1335</v>
      </c>
      <c r="K399" s="243" t="s">
        <v>1072</v>
      </c>
      <c r="L399" s="243" t="s">
        <v>1073</v>
      </c>
      <c r="M399" s="243" t="s">
        <v>133</v>
      </c>
      <c r="N399" s="245" t="n">
        <v>0</v>
      </c>
      <c r="O399" s="245" t="n">
        <v>2</v>
      </c>
      <c r="P399" s="245" t="n">
        <v>2</v>
      </c>
      <c r="Q399" s="251" t="n">
        <v>1.83</v>
      </c>
      <c r="R399" s="251" t="n">
        <v>1.33</v>
      </c>
      <c r="S399" s="247" t="n">
        <v>1</v>
      </c>
      <c r="T399" s="248" t="n">
        <f aca="false">Q399*R399*S399</f>
        <v>2.4339</v>
      </c>
      <c r="U399" s="249" t="n">
        <f aca="false">T399*P399</f>
        <v>4.8678</v>
      </c>
      <c r="V399" s="250"/>
    </row>
    <row r="400" customFormat="false" ht="13.5" hidden="false" customHeight="true" outlineLevel="0" collapsed="false">
      <c r="B400" s="238" t="n">
        <v>138</v>
      </c>
      <c r="C400" s="239" t="s">
        <v>1074</v>
      </c>
      <c r="D400" s="240" t="n">
        <v>44112</v>
      </c>
      <c r="E400" s="241" t="str">
        <f aca="false">IF(D400="","",IFERROR(VLOOKUP(D400,CCN_Library!$A$4:$B$13,2,FALSE()),"NOT IN LIBRARY"))</f>
        <v>STORAGE OF AIR OR GROUND ORGANIC UNITS FOR MARINE CORPS</v>
      </c>
      <c r="F400" s="242"/>
      <c r="G400" s="243" t="s">
        <v>1516</v>
      </c>
      <c r="H400" s="244" t="str">
        <f aca="false">LEFT(I400,5)</f>
        <v>B2130</v>
      </c>
      <c r="I400" s="243" t="s">
        <v>1224</v>
      </c>
      <c r="J400" s="244" t="s">
        <v>1225</v>
      </c>
      <c r="K400" s="243" t="s">
        <v>1072</v>
      </c>
      <c r="L400" s="243" t="s">
        <v>1073</v>
      </c>
      <c r="M400" s="246"/>
      <c r="N400" s="245" t="n">
        <v>0</v>
      </c>
      <c r="O400" s="245" t="n">
        <v>0</v>
      </c>
      <c r="P400" s="245" t="n">
        <v>0</v>
      </c>
      <c r="Q400" s="251" t="n">
        <v>6.08</v>
      </c>
      <c r="R400" s="251" t="n">
        <v>3.92</v>
      </c>
      <c r="S400" s="247" t="n">
        <v>1.75</v>
      </c>
      <c r="T400" s="248" t="n">
        <f aca="false">Q400*R400*S400</f>
        <v>41.7088</v>
      </c>
      <c r="U400" s="249" t="n">
        <f aca="false">T400*P400</f>
        <v>0</v>
      </c>
      <c r="V400" s="250"/>
    </row>
    <row r="401" customFormat="false" ht="13.5" hidden="false" customHeight="true" outlineLevel="0" collapsed="false">
      <c r="B401" s="238" t="n">
        <v>139</v>
      </c>
      <c r="C401" s="239" t="s">
        <v>1113</v>
      </c>
      <c r="D401" s="240" t="n">
        <v>21451</v>
      </c>
      <c r="E401" s="241" t="str">
        <f aca="false">IF(D401="","",IFERROR(VLOOKUP(D401,CCN_Library!$A$4:$B$13,2,FALSE()),"NOT IN LIBRARY"))</f>
        <v>AUTOMOTIVE ORGANIZATIONAL SHOP</v>
      </c>
      <c r="F401" s="242"/>
      <c r="G401" s="243" t="s">
        <v>1516</v>
      </c>
      <c r="H401" s="244" t="str">
        <f aca="false">LEFT(I401,5)</f>
        <v>M0011</v>
      </c>
      <c r="I401" s="243" t="s">
        <v>1226</v>
      </c>
      <c r="J401" s="244" t="s">
        <v>1227</v>
      </c>
      <c r="K401" s="243" t="s">
        <v>1072</v>
      </c>
      <c r="L401" s="243" t="s">
        <v>1073</v>
      </c>
      <c r="M401" s="243" t="s">
        <v>133</v>
      </c>
      <c r="N401" s="245" t="n">
        <v>0</v>
      </c>
      <c r="O401" s="245" t="n">
        <v>3</v>
      </c>
      <c r="P401" s="245" t="n">
        <v>3</v>
      </c>
      <c r="Q401" s="246"/>
      <c r="R401" s="246"/>
      <c r="S401" s="247" t="n">
        <v>0</v>
      </c>
      <c r="T401" s="248" t="n">
        <f aca="false">Q401*R401*S401</f>
        <v>0</v>
      </c>
      <c r="U401" s="249" t="n">
        <f aca="false">T401*P401</f>
        <v>0</v>
      </c>
      <c r="V401" s="250"/>
    </row>
    <row r="402" customFormat="false" ht="13.5" hidden="false" customHeight="true" outlineLevel="0" collapsed="false">
      <c r="B402" s="238" t="n">
        <v>141</v>
      </c>
      <c r="C402" s="239" t="s">
        <v>1074</v>
      </c>
      <c r="D402" s="240" t="n">
        <v>44112</v>
      </c>
      <c r="E402" s="241" t="str">
        <f aca="false">IF(D402="","",IFERROR(VLOOKUP(D402,CCN_Library!$A$4:$B$13,2,FALSE()),"NOT IN LIBRARY"))</f>
        <v>STORAGE OF AIR OR GROUND ORGANIC UNITS FOR MARINE CORPS</v>
      </c>
      <c r="F402" s="242"/>
      <c r="G402" s="243" t="s">
        <v>1516</v>
      </c>
      <c r="H402" s="244" t="str">
        <f aca="false">LEFT(I402,5)</f>
        <v>C1055</v>
      </c>
      <c r="I402" s="243" t="s">
        <v>1346</v>
      </c>
      <c r="J402" s="244" t="s">
        <v>1347</v>
      </c>
      <c r="K402" s="243" t="s">
        <v>1072</v>
      </c>
      <c r="L402" s="243" t="s">
        <v>1073</v>
      </c>
      <c r="M402" s="243" t="s">
        <v>133</v>
      </c>
      <c r="N402" s="245" t="n">
        <v>180</v>
      </c>
      <c r="O402" s="245" t="n">
        <v>0</v>
      </c>
      <c r="P402" s="245" t="n">
        <v>180</v>
      </c>
      <c r="Q402" s="251" t="n">
        <v>0.75</v>
      </c>
      <c r="R402" s="251" t="n">
        <v>0.83</v>
      </c>
      <c r="S402" s="247" t="n">
        <v>0.08</v>
      </c>
      <c r="T402" s="248" t="n">
        <f aca="false">Q402*R402*S402</f>
        <v>0.0498</v>
      </c>
      <c r="U402" s="249" t="n">
        <f aca="false">T402*P402</f>
        <v>8.964</v>
      </c>
      <c r="V402" s="250"/>
    </row>
    <row r="403" customFormat="false" ht="13.5" hidden="false" customHeight="true" outlineLevel="0" collapsed="false">
      <c r="B403" s="238" t="n">
        <v>144</v>
      </c>
      <c r="C403" s="239" t="s">
        <v>1074</v>
      </c>
      <c r="D403" s="240" t="n">
        <v>44112</v>
      </c>
      <c r="E403" s="241" t="str">
        <f aca="false">IF(D403="","",IFERROR(VLOOKUP(D403,CCN_Library!$A$4:$B$13,2,FALSE()),"NOT IN LIBRARY"))</f>
        <v>STORAGE OF AIR OR GROUND ORGANIC UNITS FOR MARINE CORPS</v>
      </c>
      <c r="F403" s="242"/>
      <c r="G403" s="243" t="s">
        <v>1516</v>
      </c>
      <c r="H403" s="244" t="str">
        <f aca="false">LEFT(I403,5)</f>
        <v>C5652</v>
      </c>
      <c r="I403" s="243" t="s">
        <v>1473</v>
      </c>
      <c r="J403" s="244" t="s">
        <v>1474</v>
      </c>
      <c r="K403" s="243" t="s">
        <v>1072</v>
      </c>
      <c r="L403" s="243" t="s">
        <v>1073</v>
      </c>
      <c r="M403" s="243" t="s">
        <v>133</v>
      </c>
      <c r="N403" s="245" t="n">
        <v>180</v>
      </c>
      <c r="O403" s="245" t="n">
        <v>0</v>
      </c>
      <c r="P403" s="245" t="n">
        <v>180</v>
      </c>
      <c r="Q403" s="252" t="n">
        <v>1</v>
      </c>
      <c r="R403" s="251" t="n">
        <v>0.67</v>
      </c>
      <c r="S403" s="247" t="n">
        <v>0.25</v>
      </c>
      <c r="T403" s="248" t="n">
        <f aca="false">Q403*R403*S403</f>
        <v>0.1675</v>
      </c>
      <c r="U403" s="249" t="n">
        <f aca="false">T403*P403</f>
        <v>30.15</v>
      </c>
      <c r="V403" s="250"/>
    </row>
    <row r="404" customFormat="false" ht="13.5" hidden="false" customHeight="true" outlineLevel="0" collapsed="false">
      <c r="B404" s="238" t="n">
        <v>149</v>
      </c>
      <c r="C404" s="239" t="s">
        <v>1077</v>
      </c>
      <c r="D404" s="240" t="n">
        <v>21710</v>
      </c>
      <c r="E404" s="241" t="str">
        <f aca="false">IF(D404="","",IFERROR(VLOOKUP(D404,CCN_Library!$A$4:$B$13,2,FALSE()),"NOT IN LIBRARY"))</f>
        <v>ELECTRONICS/COMMUNICATIONS MAINTENANCE SHOP</v>
      </c>
      <c r="F404" s="242"/>
      <c r="G404" s="243" t="s">
        <v>1516</v>
      </c>
      <c r="H404" s="244" t="str">
        <f aca="false">LEFT(I404,5)</f>
        <v>A0207</v>
      </c>
      <c r="I404" s="243" t="s">
        <v>1395</v>
      </c>
      <c r="J404" s="244" t="s">
        <v>1396</v>
      </c>
      <c r="K404" s="243" t="s">
        <v>1072</v>
      </c>
      <c r="L404" s="243" t="s">
        <v>1073</v>
      </c>
      <c r="M404" s="243" t="s">
        <v>133</v>
      </c>
      <c r="N404" s="245" t="n">
        <v>0</v>
      </c>
      <c r="O404" s="245" t="n">
        <v>8</v>
      </c>
      <c r="P404" s="245" t="n">
        <v>8</v>
      </c>
      <c r="Q404" s="246"/>
      <c r="R404" s="246"/>
      <c r="S404" s="247" t="n">
        <v>0</v>
      </c>
      <c r="T404" s="248" t="n">
        <f aca="false">Q404*R404*S404</f>
        <v>0</v>
      </c>
      <c r="U404" s="249" t="n">
        <f aca="false">T404*P404</f>
        <v>0</v>
      </c>
      <c r="V404" s="250"/>
    </row>
    <row r="405" customFormat="false" ht="13.5" hidden="false" customHeight="true" outlineLevel="0" collapsed="false">
      <c r="B405" s="238" t="n">
        <v>151</v>
      </c>
      <c r="C405" s="239" t="s">
        <v>1074</v>
      </c>
      <c r="D405" s="240" t="n">
        <v>44112</v>
      </c>
      <c r="E405" s="241" t="str">
        <f aca="false">IF(D405="","",IFERROR(VLOOKUP(D405,CCN_Library!$A$4:$B$13,2,FALSE()),"NOT IN LIBRARY"))</f>
        <v>STORAGE OF AIR OR GROUND ORGANIC UNITS FOR MARINE CORPS</v>
      </c>
      <c r="F405" s="242"/>
      <c r="G405" s="243" t="s">
        <v>1516</v>
      </c>
      <c r="H405" s="244" t="str">
        <f aca="false">LEFT(I405,5)</f>
        <v>B0055</v>
      </c>
      <c r="I405" s="243" t="s">
        <v>1236</v>
      </c>
      <c r="J405" s="244" t="s">
        <v>1237</v>
      </c>
      <c r="K405" s="243" t="s">
        <v>1072</v>
      </c>
      <c r="L405" s="243" t="s">
        <v>1073</v>
      </c>
      <c r="M405" s="243" t="s">
        <v>133</v>
      </c>
      <c r="N405" s="245" t="n">
        <v>0</v>
      </c>
      <c r="O405" s="245" t="n">
        <v>2</v>
      </c>
      <c r="P405" s="245" t="n">
        <v>2</v>
      </c>
      <c r="Q405" s="251" t="n">
        <v>17.99</v>
      </c>
      <c r="R405" s="252" t="n">
        <v>6</v>
      </c>
      <c r="S405" s="247" t="n">
        <v>6</v>
      </c>
      <c r="T405" s="248" t="n">
        <f aca="false">Q405*R405*S405</f>
        <v>647.64</v>
      </c>
      <c r="U405" s="249" t="n">
        <f aca="false">T405*P405</f>
        <v>1295.28</v>
      </c>
      <c r="V405" s="250"/>
    </row>
    <row r="406" customFormat="false" ht="13.5" hidden="false" customHeight="true" outlineLevel="0" collapsed="false">
      <c r="B406" s="238" t="n">
        <v>152</v>
      </c>
      <c r="C406" s="239" t="s">
        <v>1074</v>
      </c>
      <c r="D406" s="240" t="n">
        <v>44112</v>
      </c>
      <c r="E406" s="241" t="str">
        <f aca="false">IF(D406="","",IFERROR(VLOOKUP(D406,CCN_Library!$A$4:$B$13,2,FALSE()),"NOT IN LIBRARY"))</f>
        <v>STORAGE OF AIR OR GROUND ORGANIC UNITS FOR MARINE CORPS</v>
      </c>
      <c r="F406" s="242"/>
      <c r="G406" s="243" t="s">
        <v>1516</v>
      </c>
      <c r="H406" s="244" t="str">
        <f aca="false">LEFT(I406,5)</f>
        <v>C0260</v>
      </c>
      <c r="I406" s="243" t="s">
        <v>1295</v>
      </c>
      <c r="J406" s="244" t="s">
        <v>1296</v>
      </c>
      <c r="K406" s="243" t="s">
        <v>1072</v>
      </c>
      <c r="L406" s="243" t="s">
        <v>1073</v>
      </c>
      <c r="M406" s="243" t="s">
        <v>133</v>
      </c>
      <c r="N406" s="245" t="n">
        <v>180</v>
      </c>
      <c r="O406" s="245" t="n">
        <v>0</v>
      </c>
      <c r="P406" s="245" t="n">
        <v>180</v>
      </c>
      <c r="Q406" s="251" t="n">
        <v>1.25</v>
      </c>
      <c r="R406" s="251" t="n">
        <v>0.83</v>
      </c>
      <c r="S406" s="247" t="n">
        <v>0.08</v>
      </c>
      <c r="T406" s="248" t="n">
        <f aca="false">Q406*R406*S406</f>
        <v>0.083</v>
      </c>
      <c r="U406" s="249" t="n">
        <f aca="false">T406*P406</f>
        <v>14.94</v>
      </c>
      <c r="V406" s="250"/>
    </row>
    <row r="407" customFormat="false" ht="13.5" hidden="false" customHeight="true" outlineLevel="0" collapsed="false">
      <c r="B407" s="238" t="n">
        <v>155</v>
      </c>
      <c r="C407" s="239" t="s">
        <v>1074</v>
      </c>
      <c r="D407" s="240" t="n">
        <v>44112</v>
      </c>
      <c r="E407" s="241" t="str">
        <f aca="false">IF(D407="","",IFERROR(VLOOKUP(D407,CCN_Library!$A$4:$B$13,2,FALSE()),"NOT IN LIBRARY"))</f>
        <v>STORAGE OF AIR OR GROUND ORGANIC UNITS FOR MARINE CORPS</v>
      </c>
      <c r="F407" s="242"/>
      <c r="G407" s="243" t="s">
        <v>1516</v>
      </c>
      <c r="H407" s="244" t="str">
        <f aca="false">LEFT(I407,5)</f>
        <v>C3423</v>
      </c>
      <c r="I407" s="243" t="s">
        <v>1083</v>
      </c>
      <c r="J407" s="244" t="s">
        <v>1084</v>
      </c>
      <c r="K407" s="243" t="s">
        <v>1072</v>
      </c>
      <c r="L407" s="243" t="s">
        <v>1073</v>
      </c>
      <c r="M407" s="243" t="s">
        <v>133</v>
      </c>
      <c r="N407" s="245" t="n">
        <v>180</v>
      </c>
      <c r="O407" s="245" t="n">
        <v>0</v>
      </c>
      <c r="P407" s="245" t="n">
        <v>180</v>
      </c>
      <c r="Q407" s="251" t="n">
        <v>0.17</v>
      </c>
      <c r="R407" s="251" t="n">
        <v>0.33</v>
      </c>
      <c r="S407" s="247" t="n">
        <v>0.25</v>
      </c>
      <c r="T407" s="248" t="n">
        <f aca="false">Q407*R407*S407</f>
        <v>0.014025</v>
      </c>
      <c r="U407" s="249" t="n">
        <f aca="false">T407*P407</f>
        <v>2.5245</v>
      </c>
      <c r="V407" s="250"/>
    </row>
    <row r="408" customFormat="false" ht="13.5" hidden="false" customHeight="true" outlineLevel="0" collapsed="false">
      <c r="B408" s="238" t="n">
        <v>156</v>
      </c>
      <c r="C408" s="239" t="s">
        <v>1113</v>
      </c>
      <c r="D408" s="240" t="n">
        <v>21451</v>
      </c>
      <c r="E408" s="241" t="str">
        <f aca="false">IF(D408="","",IFERROR(VLOOKUP(D408,CCN_Library!$A$4:$B$13,2,FALSE()),"NOT IN LIBRARY"))</f>
        <v>AUTOMOTIVE ORGANIZATIONAL SHOP</v>
      </c>
      <c r="F408" s="242"/>
      <c r="G408" s="243" t="s">
        <v>1516</v>
      </c>
      <c r="H408" s="244" t="str">
        <f aca="false">LEFT(I408,5)</f>
        <v>D0001</v>
      </c>
      <c r="I408" s="243" t="s">
        <v>1140</v>
      </c>
      <c r="J408" s="244" t="s">
        <v>1141</v>
      </c>
      <c r="K408" s="243" t="s">
        <v>1142</v>
      </c>
      <c r="L408" s="243" t="s">
        <v>1073</v>
      </c>
      <c r="M408" s="246"/>
      <c r="N408" s="245" t="n">
        <v>0</v>
      </c>
      <c r="O408" s="245" t="n">
        <v>1</v>
      </c>
      <c r="P408" s="245" t="n">
        <v>1</v>
      </c>
      <c r="Q408" s="246"/>
      <c r="R408" s="246"/>
      <c r="S408" s="247" t="n">
        <v>0</v>
      </c>
      <c r="T408" s="248" t="n">
        <f aca="false">Q408*R408*S408</f>
        <v>0</v>
      </c>
      <c r="U408" s="249" t="n">
        <f aca="false">T408*P408</f>
        <v>0</v>
      </c>
      <c r="V408" s="250"/>
    </row>
    <row r="409" customFormat="false" ht="13.5" hidden="false" customHeight="true" outlineLevel="0" collapsed="false">
      <c r="B409" s="238" t="n">
        <v>159</v>
      </c>
      <c r="C409" s="239" t="s">
        <v>1074</v>
      </c>
      <c r="D409" s="240" t="n">
        <v>44112</v>
      </c>
      <c r="E409" s="241" t="str">
        <f aca="false">IF(D409="","",IFERROR(VLOOKUP(D409,CCN_Library!$A$4:$B$13,2,FALSE()),"NOT IN LIBRARY"))</f>
        <v>STORAGE OF AIR OR GROUND ORGANIC UNITS FOR MARINE CORPS</v>
      </c>
      <c r="F409" s="242"/>
      <c r="G409" s="243" t="s">
        <v>1516</v>
      </c>
      <c r="H409" s="244" t="str">
        <f aca="false">LEFT(I409,5)</f>
        <v>C8634</v>
      </c>
      <c r="I409" s="243" t="s">
        <v>1301</v>
      </c>
      <c r="J409" s="244" t="s">
        <v>1302</v>
      </c>
      <c r="K409" s="243" t="s">
        <v>1072</v>
      </c>
      <c r="L409" s="246"/>
      <c r="M409" s="243" t="s">
        <v>133</v>
      </c>
      <c r="N409" s="245" t="n">
        <v>0</v>
      </c>
      <c r="O409" s="245" t="n">
        <v>6</v>
      </c>
      <c r="P409" s="245" t="n">
        <v>6</v>
      </c>
      <c r="Q409" s="251" t="n">
        <v>4.5</v>
      </c>
      <c r="R409" s="251" t="n">
        <v>11.66</v>
      </c>
      <c r="S409" s="247" t="n">
        <v>4.25</v>
      </c>
      <c r="T409" s="248" t="n">
        <f aca="false">Q409*R409*S409</f>
        <v>222.9975</v>
      </c>
      <c r="U409" s="249" t="n">
        <f aca="false">T409*P409</f>
        <v>1337.985</v>
      </c>
      <c r="V409" s="250"/>
    </row>
    <row r="410" customFormat="false" ht="13.5" hidden="false" customHeight="true" outlineLevel="0" collapsed="false">
      <c r="B410" s="238" t="n">
        <v>166</v>
      </c>
      <c r="C410" s="239" t="s">
        <v>1068</v>
      </c>
      <c r="D410" s="240" t="n">
        <v>14345</v>
      </c>
      <c r="E410" s="241" t="str">
        <f aca="false">IF(D410="","",IFERROR(VLOOKUP(D410,CCN_Library!$A$4:$B$13,2,FALSE()),"NOT IN LIBRARY"))</f>
        <v>ARMORY</v>
      </c>
      <c r="F410" s="242"/>
      <c r="G410" s="243" t="s">
        <v>1516</v>
      </c>
      <c r="H410" s="244" t="str">
        <f aca="false">LEFT(I410,5)</f>
        <v>E1126</v>
      </c>
      <c r="I410" s="243" t="s">
        <v>1244</v>
      </c>
      <c r="J410" s="244" t="s">
        <v>1245</v>
      </c>
      <c r="K410" s="243" t="s">
        <v>1072</v>
      </c>
      <c r="L410" s="243" t="s">
        <v>1073</v>
      </c>
      <c r="M410" s="243" t="s">
        <v>133</v>
      </c>
      <c r="N410" s="245" t="n">
        <v>0</v>
      </c>
      <c r="O410" s="245" t="n">
        <v>4</v>
      </c>
      <c r="P410" s="245" t="n">
        <v>4</v>
      </c>
      <c r="Q410" s="251" t="n">
        <v>6.33</v>
      </c>
      <c r="R410" s="251" t="n">
        <v>5.16</v>
      </c>
      <c r="S410" s="247" t="n">
        <v>1.17</v>
      </c>
      <c r="T410" s="248" t="n">
        <f aca="false">Q410*R410*S410</f>
        <v>38.215476</v>
      </c>
      <c r="U410" s="249" t="n">
        <f aca="false">T410*P410</f>
        <v>152.861904</v>
      </c>
      <c r="V410" s="250"/>
    </row>
    <row r="411" customFormat="false" ht="13.5" hidden="false" customHeight="true" outlineLevel="0" collapsed="false">
      <c r="B411" s="238" t="n">
        <v>173</v>
      </c>
      <c r="C411" s="239" t="s">
        <v>1074</v>
      </c>
      <c r="D411" s="240" t="n">
        <v>44112</v>
      </c>
      <c r="E411" s="241" t="str">
        <f aca="false">IF(D411="","",IFERROR(VLOOKUP(D411,CCN_Library!$A$4:$B$13,2,FALSE()),"NOT IN LIBRARY"))</f>
        <v>STORAGE OF AIR OR GROUND ORGANIC UNITS FOR MARINE CORPS</v>
      </c>
      <c r="F411" s="242"/>
      <c r="G411" s="243" t="s">
        <v>1516</v>
      </c>
      <c r="H411" s="244" t="str">
        <f aca="false">LEFT(I411,5)</f>
        <v>C0062</v>
      </c>
      <c r="I411" s="243" t="s">
        <v>1205</v>
      </c>
      <c r="J411" s="244" t="s">
        <v>1206</v>
      </c>
      <c r="K411" s="243" t="s">
        <v>1072</v>
      </c>
      <c r="L411" s="243" t="s">
        <v>1073</v>
      </c>
      <c r="M411" s="243" t="s">
        <v>133</v>
      </c>
      <c r="N411" s="245" t="n">
        <v>360</v>
      </c>
      <c r="O411" s="245" t="n">
        <v>0</v>
      </c>
      <c r="P411" s="245" t="n">
        <v>360</v>
      </c>
      <c r="Q411" s="251" t="n">
        <v>1.08</v>
      </c>
      <c r="R411" s="251" t="n">
        <v>0.58</v>
      </c>
      <c r="S411" s="247" t="n">
        <v>0.25</v>
      </c>
      <c r="T411" s="248" t="n">
        <f aca="false">Q411*R411*S411</f>
        <v>0.1566</v>
      </c>
      <c r="U411" s="249" t="n">
        <f aca="false">T411*P411</f>
        <v>56.376</v>
      </c>
      <c r="V411" s="250"/>
    </row>
    <row r="412" customFormat="false" ht="13.5" hidden="false" customHeight="true" outlineLevel="0" collapsed="false">
      <c r="B412" s="238" t="n">
        <v>175</v>
      </c>
      <c r="C412" s="239" t="s">
        <v>1074</v>
      </c>
      <c r="D412" s="240" t="n">
        <v>44112</v>
      </c>
      <c r="E412" s="241" t="str">
        <f aca="false">IF(D412="","",IFERROR(VLOOKUP(D412,CCN_Library!$A$4:$B$13,2,FALSE()),"NOT IN LIBRARY"))</f>
        <v>STORAGE OF AIR OR GROUND ORGANIC UNITS FOR MARINE CORPS</v>
      </c>
      <c r="F412" s="242"/>
      <c r="G412" s="243" t="s">
        <v>1516</v>
      </c>
      <c r="H412" s="244" t="str">
        <f aca="false">LEFT(I412,5)</f>
        <v>C0041</v>
      </c>
      <c r="I412" s="243" t="s">
        <v>1444</v>
      </c>
      <c r="J412" s="244" t="s">
        <v>1445</v>
      </c>
      <c r="K412" s="243" t="s">
        <v>1072</v>
      </c>
      <c r="L412" s="246"/>
      <c r="M412" s="243" t="s">
        <v>133</v>
      </c>
      <c r="N412" s="245" t="n">
        <v>45</v>
      </c>
      <c r="O412" s="245" t="n">
        <v>0</v>
      </c>
      <c r="P412" s="245" t="n">
        <v>45</v>
      </c>
      <c r="Q412" s="251" t="n">
        <v>0.87</v>
      </c>
      <c r="R412" s="251" t="n">
        <v>0.46</v>
      </c>
      <c r="S412" s="247" t="n">
        <v>0.46</v>
      </c>
      <c r="T412" s="248" t="n">
        <f aca="false">Q412*R412*S412</f>
        <v>0.184092</v>
      </c>
      <c r="U412" s="249" t="n">
        <f aca="false">T412*P412</f>
        <v>8.28414</v>
      </c>
      <c r="V412" s="250"/>
    </row>
    <row r="413" customFormat="false" ht="13.5" hidden="false" customHeight="true" outlineLevel="0" collapsed="false">
      <c r="B413" s="238" t="n">
        <v>176</v>
      </c>
      <c r="C413" s="239" t="s">
        <v>1068</v>
      </c>
      <c r="D413" s="240" t="n">
        <v>14345</v>
      </c>
      <c r="E413" s="241" t="str">
        <f aca="false">IF(D413="","",IFERROR(VLOOKUP(D413,CCN_Library!$A$4:$B$13,2,FALSE()),"NOT IN LIBRARY"))</f>
        <v>ARMORY</v>
      </c>
      <c r="F413" s="242"/>
      <c r="G413" s="243" t="s">
        <v>1516</v>
      </c>
      <c r="H413" s="244" t="str">
        <f aca="false">LEFT(I413,5)</f>
        <v>E1123</v>
      </c>
      <c r="I413" s="243" t="s">
        <v>1405</v>
      </c>
      <c r="J413" s="244" t="s">
        <v>1406</v>
      </c>
      <c r="K413" s="243" t="s">
        <v>1072</v>
      </c>
      <c r="L413" s="243" t="s">
        <v>1073</v>
      </c>
      <c r="M413" s="243" t="s">
        <v>133</v>
      </c>
      <c r="N413" s="245" t="n">
        <v>0</v>
      </c>
      <c r="O413" s="245" t="n">
        <v>2</v>
      </c>
      <c r="P413" s="245" t="n">
        <v>2</v>
      </c>
      <c r="Q413" s="251" t="n">
        <v>1.5</v>
      </c>
      <c r="R413" s="251" t="n">
        <v>0.83</v>
      </c>
      <c r="S413" s="247" t="n">
        <v>0.83</v>
      </c>
      <c r="T413" s="248" t="n">
        <f aca="false">Q413*R413*S413</f>
        <v>1.03335</v>
      </c>
      <c r="U413" s="249" t="n">
        <f aca="false">T413*P413</f>
        <v>2.0667</v>
      </c>
      <c r="V413" s="250"/>
    </row>
    <row r="414" customFormat="false" ht="13.5" hidden="false" customHeight="true" outlineLevel="0" collapsed="false">
      <c r="B414" s="238" t="n">
        <v>178</v>
      </c>
      <c r="C414" s="239" t="s">
        <v>1074</v>
      </c>
      <c r="D414" s="240" t="n">
        <v>44112</v>
      </c>
      <c r="E414" s="241" t="str">
        <f aca="false">IF(D414="","",IFERROR(VLOOKUP(D414,CCN_Library!$A$4:$B$13,2,FALSE()),"NOT IN LIBRARY"))</f>
        <v>STORAGE OF AIR OR GROUND ORGANIC UNITS FOR MARINE CORPS</v>
      </c>
      <c r="F414" s="242"/>
      <c r="G414" s="243" t="s">
        <v>1516</v>
      </c>
      <c r="H414" s="244" t="str">
        <f aca="false">LEFT(I414,5)</f>
        <v>C1120</v>
      </c>
      <c r="I414" s="243" t="s">
        <v>1097</v>
      </c>
      <c r="J414" s="244" t="s">
        <v>1098</v>
      </c>
      <c r="K414" s="243" t="s">
        <v>1072</v>
      </c>
      <c r="L414" s="243" t="s">
        <v>1099</v>
      </c>
      <c r="M414" s="243" t="s">
        <v>133</v>
      </c>
      <c r="N414" s="245" t="n">
        <v>360</v>
      </c>
      <c r="O414" s="245" t="n">
        <v>0</v>
      </c>
      <c r="P414" s="245" t="n">
        <v>360</v>
      </c>
      <c r="Q414" s="252" t="n">
        <v>1</v>
      </c>
      <c r="R414" s="251" t="n">
        <v>0.5</v>
      </c>
      <c r="S414" s="247" t="n">
        <v>0.08</v>
      </c>
      <c r="T414" s="248" t="n">
        <f aca="false">Q414*R414*S414</f>
        <v>0.04</v>
      </c>
      <c r="U414" s="249" t="n">
        <f aca="false">T414*P414</f>
        <v>14.4</v>
      </c>
      <c r="V414" s="250"/>
    </row>
    <row r="415" customFormat="false" ht="13.5" hidden="false" customHeight="true" outlineLevel="0" collapsed="false">
      <c r="B415" s="238" t="n">
        <v>181</v>
      </c>
      <c r="C415" s="239" t="s">
        <v>1068</v>
      </c>
      <c r="D415" s="240" t="n">
        <v>14345</v>
      </c>
      <c r="E415" s="241" t="str">
        <f aca="false">IF(D415="","",IFERROR(VLOOKUP(D415,CCN_Library!$A$4:$B$13,2,FALSE()),"NOT IN LIBRARY"))</f>
        <v>ARMORY</v>
      </c>
      <c r="F415" s="242"/>
      <c r="G415" s="243" t="s">
        <v>1516</v>
      </c>
      <c r="H415" s="244" t="str">
        <f aca="false">LEFT(I415,5)</f>
        <v>E0081</v>
      </c>
      <c r="I415" s="243" t="s">
        <v>1211</v>
      </c>
      <c r="J415" s="244" t="s">
        <v>1212</v>
      </c>
      <c r="K415" s="243" t="s">
        <v>1072</v>
      </c>
      <c r="L415" s="243" t="s">
        <v>1073</v>
      </c>
      <c r="M415" s="243" t="s">
        <v>133</v>
      </c>
      <c r="N415" s="245" t="n">
        <v>2</v>
      </c>
      <c r="O415" s="245" t="n">
        <v>0</v>
      </c>
      <c r="P415" s="245" t="n">
        <v>2</v>
      </c>
      <c r="Q415" s="251" t="n">
        <v>1.08</v>
      </c>
      <c r="R415" s="251" t="n">
        <v>1.42</v>
      </c>
      <c r="S415" s="247" t="n">
        <v>0.67</v>
      </c>
      <c r="T415" s="248" t="n">
        <f aca="false">Q415*R415*S415</f>
        <v>1.027512</v>
      </c>
      <c r="U415" s="249" t="n">
        <f aca="false">T415*P415</f>
        <v>2.055024</v>
      </c>
      <c r="V415" s="250"/>
    </row>
    <row r="416" customFormat="false" ht="13.5" hidden="false" customHeight="true" outlineLevel="0" collapsed="false">
      <c r="B416" s="238" t="n">
        <v>186</v>
      </c>
      <c r="C416" s="239" t="s">
        <v>1074</v>
      </c>
      <c r="D416" s="240" t="n">
        <v>44112</v>
      </c>
      <c r="E416" s="241" t="str">
        <f aca="false">IF(D416="","",IFERROR(VLOOKUP(D416,CCN_Library!$A$4:$B$13,2,FALSE()),"NOT IN LIBRARY"))</f>
        <v>STORAGE OF AIR OR GROUND ORGANIC UNITS FOR MARINE CORPS</v>
      </c>
      <c r="F416" s="242"/>
      <c r="G416" s="243" t="s">
        <v>1516</v>
      </c>
      <c r="H416" s="244" t="str">
        <f aca="false">LEFT(I416,5)</f>
        <v>C0132</v>
      </c>
      <c r="I416" s="243" t="s">
        <v>1215</v>
      </c>
      <c r="J416" s="244" t="s">
        <v>1216</v>
      </c>
      <c r="K416" s="243" t="s">
        <v>1072</v>
      </c>
      <c r="L416" s="243" t="s">
        <v>1217</v>
      </c>
      <c r="M416" s="243" t="s">
        <v>133</v>
      </c>
      <c r="N416" s="245" t="n">
        <v>180</v>
      </c>
      <c r="O416" s="245" t="n">
        <v>68</v>
      </c>
      <c r="P416" s="245" t="n">
        <v>248</v>
      </c>
      <c r="Q416" s="252" t="n">
        <v>0</v>
      </c>
      <c r="R416" s="252" t="n">
        <v>0</v>
      </c>
      <c r="S416" s="247" t="n">
        <v>0</v>
      </c>
      <c r="T416" s="248" t="n">
        <f aca="false">Q416*R416*S416</f>
        <v>0</v>
      </c>
      <c r="U416" s="249" t="n">
        <f aca="false">T416*P416</f>
        <v>0</v>
      </c>
      <c r="V416" s="250"/>
    </row>
    <row r="417" customFormat="false" ht="13.5" hidden="false" customHeight="true" outlineLevel="0" collapsed="false">
      <c r="B417" s="238" t="n">
        <v>189</v>
      </c>
      <c r="C417" s="239" t="s">
        <v>1074</v>
      </c>
      <c r="D417" s="240" t="n">
        <v>44112</v>
      </c>
      <c r="E417" s="241" t="str">
        <f aca="false">IF(D417="","",IFERROR(VLOOKUP(D417,CCN_Library!$A$4:$B$13,2,FALSE()),"NOT IN LIBRARY"))</f>
        <v>STORAGE OF AIR OR GROUND ORGANIC UNITS FOR MARINE CORPS</v>
      </c>
      <c r="F417" s="242"/>
      <c r="G417" s="243" t="s">
        <v>1516</v>
      </c>
      <c r="H417" s="244" t="str">
        <f aca="false">LEFT(I417,5)</f>
        <v>C0029</v>
      </c>
      <c r="I417" s="243" t="s">
        <v>1272</v>
      </c>
      <c r="J417" s="244" t="s">
        <v>1273</v>
      </c>
      <c r="K417" s="243" t="s">
        <v>1072</v>
      </c>
      <c r="L417" s="243" t="s">
        <v>1099</v>
      </c>
      <c r="M417" s="243" t="s">
        <v>133</v>
      </c>
      <c r="N417" s="245" t="n">
        <v>180</v>
      </c>
      <c r="O417" s="245" t="n">
        <v>0</v>
      </c>
      <c r="P417" s="245" t="n">
        <v>180</v>
      </c>
      <c r="Q417" s="251" t="n">
        <v>0.83</v>
      </c>
      <c r="R417" s="251" t="n">
        <v>0.5</v>
      </c>
      <c r="S417" s="247" t="n">
        <v>0.17</v>
      </c>
      <c r="T417" s="248" t="n">
        <f aca="false">Q417*R417*S417</f>
        <v>0.07055</v>
      </c>
      <c r="U417" s="249" t="n">
        <f aca="false">T417*P417</f>
        <v>12.699</v>
      </c>
      <c r="V417" s="250"/>
    </row>
    <row r="418" customFormat="false" ht="13.5" hidden="false" customHeight="true" outlineLevel="0" collapsed="false">
      <c r="B418" s="238" t="n">
        <v>190</v>
      </c>
      <c r="C418" s="239" t="s">
        <v>1068</v>
      </c>
      <c r="D418" s="240" t="n">
        <v>14345</v>
      </c>
      <c r="E418" s="241" t="str">
        <f aca="false">IF(D418="","",IFERROR(VLOOKUP(D418,CCN_Library!$A$4:$B$13,2,FALSE()),"NOT IN LIBRARY"))</f>
        <v>ARMORY</v>
      </c>
      <c r="F418" s="242"/>
      <c r="G418" s="243" t="s">
        <v>1516</v>
      </c>
      <c r="H418" s="244" t="str">
        <f aca="false">LEFT(I418,5)</f>
        <v>E0013</v>
      </c>
      <c r="I418" s="243" t="s">
        <v>1410</v>
      </c>
      <c r="J418" s="244" t="s">
        <v>1411</v>
      </c>
      <c r="K418" s="243" t="s">
        <v>1072</v>
      </c>
      <c r="L418" s="243" t="s">
        <v>1073</v>
      </c>
      <c r="M418" s="243" t="s">
        <v>1116</v>
      </c>
      <c r="N418" s="245" t="n">
        <v>0</v>
      </c>
      <c r="O418" s="245" t="n">
        <v>0</v>
      </c>
      <c r="P418" s="245" t="n">
        <v>0</v>
      </c>
      <c r="Q418" s="251" t="n">
        <v>1.17</v>
      </c>
      <c r="R418" s="251" t="n">
        <v>0.25</v>
      </c>
      <c r="S418" s="247" t="n">
        <v>0.25</v>
      </c>
      <c r="T418" s="248" t="n">
        <f aca="false">Q418*R418*S418</f>
        <v>0.073125</v>
      </c>
      <c r="U418" s="249" t="n">
        <f aca="false">T418*P418</f>
        <v>0</v>
      </c>
      <c r="V418" s="250"/>
    </row>
    <row r="419" customFormat="false" ht="13.5" hidden="false" customHeight="true" outlineLevel="0" collapsed="false">
      <c r="B419" s="238" t="n">
        <v>192</v>
      </c>
      <c r="C419" s="239" t="s">
        <v>1068</v>
      </c>
      <c r="D419" s="240" t="n">
        <v>14345</v>
      </c>
      <c r="E419" s="241" t="str">
        <f aca="false">IF(D419="","",IFERROR(VLOOKUP(D419,CCN_Library!$A$4:$B$13,2,FALSE()),"NOT IN LIBRARY"))</f>
        <v>ARMORY</v>
      </c>
      <c r="F419" s="242"/>
      <c r="G419" s="243" t="s">
        <v>1516</v>
      </c>
      <c r="H419" s="244" t="str">
        <f aca="false">LEFT(I419,5)</f>
        <v>C0061</v>
      </c>
      <c r="I419" s="243" t="s">
        <v>1462</v>
      </c>
      <c r="J419" s="244" t="s">
        <v>1463</v>
      </c>
      <c r="K419" s="243" t="s">
        <v>1072</v>
      </c>
      <c r="L419" s="243" t="s">
        <v>1073</v>
      </c>
      <c r="M419" s="243" t="s">
        <v>133</v>
      </c>
      <c r="N419" s="245" t="n">
        <v>180</v>
      </c>
      <c r="O419" s="245" t="n">
        <v>0</v>
      </c>
      <c r="P419" s="245" t="n">
        <v>180</v>
      </c>
      <c r="Q419" s="252" t="n">
        <v>2</v>
      </c>
      <c r="R419" s="251" t="n">
        <v>1.5</v>
      </c>
      <c r="S419" s="247" t="n">
        <v>0.67</v>
      </c>
      <c r="T419" s="248" t="n">
        <f aca="false">Q419*R419*S419</f>
        <v>2.01</v>
      </c>
      <c r="U419" s="249" t="n">
        <f aca="false">T419*P419</f>
        <v>361.8</v>
      </c>
      <c r="V419" s="250"/>
    </row>
    <row r="420" customFormat="false" ht="13.5" hidden="false" customHeight="true" outlineLevel="0" collapsed="false">
      <c r="B420" s="238" t="n">
        <v>195</v>
      </c>
      <c r="C420" s="239" t="s">
        <v>1113</v>
      </c>
      <c r="D420" s="240" t="n">
        <v>21451</v>
      </c>
      <c r="E420" s="241" t="str">
        <f aca="false">IF(D420="","",IFERROR(VLOOKUP(D420,CCN_Library!$A$4:$B$13,2,FALSE()),"NOT IN LIBRARY"))</f>
        <v>AUTOMOTIVE ORGANIZATIONAL SHOP</v>
      </c>
      <c r="F420" s="242"/>
      <c r="G420" s="243" t="s">
        <v>1516</v>
      </c>
      <c r="H420" s="244" t="str">
        <f aca="false">LEFT(I420,5)</f>
        <v>D0045</v>
      </c>
      <c r="I420" s="243" t="s">
        <v>1167</v>
      </c>
      <c r="J420" s="244" t="s">
        <v>1168</v>
      </c>
      <c r="K420" s="243" t="s">
        <v>1072</v>
      </c>
      <c r="L420" s="243" t="s">
        <v>1073</v>
      </c>
      <c r="M420" s="243" t="s">
        <v>1116</v>
      </c>
      <c r="N420" s="245" t="n">
        <v>0</v>
      </c>
      <c r="O420" s="245" t="n">
        <v>1</v>
      </c>
      <c r="P420" s="245" t="n">
        <v>1</v>
      </c>
      <c r="Q420" s="246"/>
      <c r="R420" s="246"/>
      <c r="S420" s="247" t="n">
        <v>0</v>
      </c>
      <c r="T420" s="248" t="n">
        <f aca="false">Q420*R420*S420</f>
        <v>0</v>
      </c>
      <c r="U420" s="249" t="n">
        <f aca="false">T420*P420</f>
        <v>0</v>
      </c>
      <c r="V420" s="250"/>
    </row>
    <row r="421" customFormat="false" ht="13.5" hidden="false" customHeight="true" outlineLevel="0" collapsed="false">
      <c r="B421" s="238" t="n">
        <v>197</v>
      </c>
      <c r="C421" s="239" t="s">
        <v>1074</v>
      </c>
      <c r="D421" s="240" t="n">
        <v>44112</v>
      </c>
      <c r="E421" s="241" t="str">
        <f aca="false">IF(D421="","",IFERROR(VLOOKUP(D421,CCN_Library!$A$4:$B$13,2,FALSE()),"NOT IN LIBRARY"))</f>
        <v>STORAGE OF AIR OR GROUND ORGANIC UNITS FOR MARINE CORPS</v>
      </c>
      <c r="F421" s="242"/>
      <c r="G421" s="243" t="s">
        <v>1516</v>
      </c>
      <c r="H421" s="244" t="str">
        <f aca="false">LEFT(I421,5)</f>
        <v>K4992</v>
      </c>
      <c r="I421" s="243" t="s">
        <v>1117</v>
      </c>
      <c r="J421" s="244" t="s">
        <v>1118</v>
      </c>
      <c r="K421" s="243" t="s">
        <v>1072</v>
      </c>
      <c r="L421" s="243" t="s">
        <v>1073</v>
      </c>
      <c r="M421" s="243" t="s">
        <v>133</v>
      </c>
      <c r="N421" s="245" t="n">
        <v>0</v>
      </c>
      <c r="O421" s="245" t="n">
        <v>54</v>
      </c>
      <c r="P421" s="245" t="n">
        <v>54</v>
      </c>
      <c r="Q421" s="251" t="n">
        <v>20.99</v>
      </c>
      <c r="R421" s="251" t="n">
        <v>0.14</v>
      </c>
      <c r="S421" s="247" t="n">
        <v>0</v>
      </c>
      <c r="T421" s="248" t="n">
        <f aca="false">Q421*R421*S421</f>
        <v>0</v>
      </c>
      <c r="U421" s="249" t="n">
        <f aca="false">T421*P421</f>
        <v>0</v>
      </c>
      <c r="V421" s="250"/>
    </row>
    <row r="422" customFormat="false" ht="13.5" hidden="false" customHeight="true" outlineLevel="0" collapsed="false">
      <c r="B422" s="238" t="n">
        <v>198</v>
      </c>
      <c r="C422" s="239" t="s">
        <v>1077</v>
      </c>
      <c r="D422" s="240" t="n">
        <v>21710</v>
      </c>
      <c r="E422" s="241" t="str">
        <f aca="false">IF(D422="","",IFERROR(VLOOKUP(D422,CCN_Library!$A$4:$B$13,2,FALSE()),"NOT IN LIBRARY"))</f>
        <v>ELECTRONICS/COMMUNICATIONS MAINTENANCE SHOP</v>
      </c>
      <c r="F422" s="242"/>
      <c r="G422" s="243" t="s">
        <v>1516</v>
      </c>
      <c r="H422" s="244" t="str">
        <f aca="false">LEFT(I422,5)</f>
        <v>A0410</v>
      </c>
      <c r="I422" s="243" t="s">
        <v>1483</v>
      </c>
      <c r="J422" s="244" t="s">
        <v>1484</v>
      </c>
      <c r="K422" s="243" t="s">
        <v>1072</v>
      </c>
      <c r="L422" s="243" t="s">
        <v>1073</v>
      </c>
      <c r="M422" s="243" t="s">
        <v>133</v>
      </c>
      <c r="N422" s="245" t="n">
        <v>0</v>
      </c>
      <c r="O422" s="245" t="n">
        <v>6</v>
      </c>
      <c r="P422" s="245" t="n">
        <v>6</v>
      </c>
      <c r="Q422" s="251" t="n">
        <v>1.67</v>
      </c>
      <c r="R422" s="251" t="n">
        <v>1.33</v>
      </c>
      <c r="S422" s="247" t="n">
        <v>0.08</v>
      </c>
      <c r="T422" s="248" t="n">
        <f aca="false">Q422*R422*S422</f>
        <v>0.177688</v>
      </c>
      <c r="U422" s="249" t="n">
        <f aca="false">T422*P422</f>
        <v>1.066128</v>
      </c>
      <c r="V422" s="250"/>
    </row>
    <row r="423" customFormat="false" ht="13.5" hidden="false" customHeight="true" outlineLevel="0" collapsed="false">
      <c r="B423" s="238" t="n">
        <v>199</v>
      </c>
      <c r="C423" s="239" t="s">
        <v>1074</v>
      </c>
      <c r="D423" s="240" t="n">
        <v>44112</v>
      </c>
      <c r="E423" s="241" t="str">
        <f aca="false">IF(D423="","",IFERROR(VLOOKUP(D423,CCN_Library!$A$4:$B$13,2,FALSE()),"NOT IN LIBRARY"))</f>
        <v>STORAGE OF AIR OR GROUND ORGANIC UNITS FOR MARINE CORPS</v>
      </c>
      <c r="F423" s="242"/>
      <c r="G423" s="243" t="s">
        <v>1516</v>
      </c>
      <c r="H423" s="244" t="str">
        <f aca="false">LEFT(I423,5)</f>
        <v>C0137</v>
      </c>
      <c r="I423" s="243" t="s">
        <v>1381</v>
      </c>
      <c r="J423" s="244" t="s">
        <v>1382</v>
      </c>
      <c r="K423" s="243" t="s">
        <v>1072</v>
      </c>
      <c r="L423" s="243" t="s">
        <v>1073</v>
      </c>
      <c r="M423" s="243" t="s">
        <v>133</v>
      </c>
      <c r="N423" s="245" t="n">
        <v>180</v>
      </c>
      <c r="O423" s="245" t="n">
        <v>0</v>
      </c>
      <c r="P423" s="245" t="n">
        <v>180</v>
      </c>
      <c r="Q423" s="251" t="n">
        <v>1.12</v>
      </c>
      <c r="R423" s="252" t="n">
        <v>1</v>
      </c>
      <c r="S423" s="247" t="n">
        <v>0.25</v>
      </c>
      <c r="T423" s="248" t="n">
        <f aca="false">Q423*R423*S423</f>
        <v>0.28</v>
      </c>
      <c r="U423" s="249" t="n">
        <f aca="false">T423*P423</f>
        <v>50.4</v>
      </c>
      <c r="V423" s="250"/>
    </row>
    <row r="424" customFormat="false" ht="13.5" hidden="false" customHeight="true" outlineLevel="0" collapsed="false">
      <c r="B424" s="238" t="n">
        <v>203</v>
      </c>
      <c r="C424" s="239" t="s">
        <v>1077</v>
      </c>
      <c r="D424" s="240" t="n">
        <v>21710</v>
      </c>
      <c r="E424" s="241" t="str">
        <f aca="false">IF(D424="","",IFERROR(VLOOKUP(D424,CCN_Library!$A$4:$B$13,2,FALSE()),"NOT IN LIBRARY"))</f>
        <v>ELECTRONICS/COMMUNICATIONS MAINTENANCE SHOP</v>
      </c>
      <c r="F424" s="242"/>
      <c r="G424" s="243" t="s">
        <v>1516</v>
      </c>
      <c r="H424" s="244" t="str">
        <f aca="false">LEFT(I424,5)</f>
        <v>A9015</v>
      </c>
      <c r="I424" s="243" t="s">
        <v>1171</v>
      </c>
      <c r="J424" s="244" t="s">
        <v>1172</v>
      </c>
      <c r="K424" s="243" t="s">
        <v>1072</v>
      </c>
      <c r="L424" s="243" t="s">
        <v>1073</v>
      </c>
      <c r="M424" s="243" t="s">
        <v>133</v>
      </c>
      <c r="N424" s="245" t="n">
        <v>0</v>
      </c>
      <c r="O424" s="245" t="n">
        <v>5</v>
      </c>
      <c r="P424" s="245" t="n">
        <v>5</v>
      </c>
      <c r="Q424" s="251" t="n">
        <v>1.11</v>
      </c>
      <c r="R424" s="251" t="n">
        <v>1.11</v>
      </c>
      <c r="S424" s="247" t="n">
        <v>0.08</v>
      </c>
      <c r="T424" s="248" t="n">
        <f aca="false">Q424*R424*S424</f>
        <v>0.098568</v>
      </c>
      <c r="U424" s="249" t="n">
        <f aca="false">T424*P424</f>
        <v>0.49284</v>
      </c>
      <c r="V424" s="250"/>
    </row>
    <row r="425" customFormat="false" ht="13.5" hidden="false" customHeight="true" outlineLevel="0" collapsed="false">
      <c r="B425" s="238" t="n">
        <v>204</v>
      </c>
      <c r="C425" s="239" t="s">
        <v>1074</v>
      </c>
      <c r="D425" s="240" t="n">
        <v>44112</v>
      </c>
      <c r="E425" s="241" t="str">
        <f aca="false">IF(D425="","",IFERROR(VLOOKUP(D425,CCN_Library!$A$4:$B$13,2,FALSE()),"NOT IN LIBRARY"))</f>
        <v>STORAGE OF AIR OR GROUND ORGANIC UNITS FOR MARINE CORPS</v>
      </c>
      <c r="F425" s="242"/>
      <c r="G425" s="243" t="s">
        <v>1516</v>
      </c>
      <c r="H425" s="244" t="str">
        <f aca="false">LEFT(I425,5)</f>
        <v>C0180</v>
      </c>
      <c r="I425" s="243" t="s">
        <v>1385</v>
      </c>
      <c r="J425" s="244" t="s">
        <v>1386</v>
      </c>
      <c r="K425" s="243" t="s">
        <v>1072</v>
      </c>
      <c r="L425" s="243" t="s">
        <v>1073</v>
      </c>
      <c r="M425" s="243" t="s">
        <v>133</v>
      </c>
      <c r="N425" s="245" t="n">
        <v>180</v>
      </c>
      <c r="O425" s="245" t="n">
        <v>0</v>
      </c>
      <c r="P425" s="245" t="n">
        <v>180</v>
      </c>
      <c r="Q425" s="252" t="n">
        <v>1</v>
      </c>
      <c r="R425" s="251" t="n">
        <v>0.33</v>
      </c>
      <c r="S425" s="247" t="n">
        <v>0.33</v>
      </c>
      <c r="T425" s="248" t="n">
        <f aca="false">Q425*R425*S425</f>
        <v>0.1089</v>
      </c>
      <c r="U425" s="249" t="n">
        <f aca="false">T425*P425</f>
        <v>19.602</v>
      </c>
      <c r="V425" s="250"/>
    </row>
    <row r="426" customFormat="false" ht="13.5" hidden="false" customHeight="true" outlineLevel="0" collapsed="false">
      <c r="B426" s="238" t="n">
        <v>207</v>
      </c>
      <c r="C426" s="239" t="s">
        <v>1068</v>
      </c>
      <c r="D426" s="240" t="n">
        <v>14345</v>
      </c>
      <c r="E426" s="241" t="str">
        <f aca="false">IF(D426="","",IFERROR(VLOOKUP(D426,CCN_Library!$A$4:$B$13,2,FALSE()),"NOT IN LIBRARY"))</f>
        <v>ARMORY</v>
      </c>
      <c r="F426" s="242"/>
      <c r="G426" s="243" t="s">
        <v>1516</v>
      </c>
      <c r="H426" s="244" t="str">
        <f aca="false">LEFT(I426,5)</f>
        <v>C0010</v>
      </c>
      <c r="I426" s="243" t="s">
        <v>1389</v>
      </c>
      <c r="J426" s="244" t="s">
        <v>1390</v>
      </c>
      <c r="K426" s="243" t="s">
        <v>1072</v>
      </c>
      <c r="L426" s="243" t="s">
        <v>1073</v>
      </c>
      <c r="M426" s="243" t="s">
        <v>133</v>
      </c>
      <c r="N426" s="245" t="n">
        <v>180</v>
      </c>
      <c r="O426" s="245" t="n">
        <v>0</v>
      </c>
      <c r="P426" s="245" t="n">
        <v>180</v>
      </c>
      <c r="Q426" s="251" t="n">
        <v>1.17</v>
      </c>
      <c r="R426" s="251" t="n">
        <v>0.29</v>
      </c>
      <c r="S426" s="247" t="n">
        <v>1.75</v>
      </c>
      <c r="T426" s="248" t="n">
        <f aca="false">Q426*R426*S426</f>
        <v>0.593775</v>
      </c>
      <c r="U426" s="249" t="n">
        <f aca="false">T426*P426</f>
        <v>106.8795</v>
      </c>
      <c r="V426" s="250"/>
    </row>
    <row r="427" customFormat="false" ht="13.5" hidden="false" customHeight="true" outlineLevel="0" collapsed="false">
      <c r="B427" s="238" t="n">
        <v>213</v>
      </c>
      <c r="C427" s="239" t="s">
        <v>1077</v>
      </c>
      <c r="D427" s="240" t="n">
        <v>21710</v>
      </c>
      <c r="E427" s="241" t="str">
        <f aca="false">IF(D427="","",IFERROR(VLOOKUP(D427,CCN_Library!$A$4:$B$13,2,FALSE()),"NOT IN LIBRARY"))</f>
        <v>ELECTRONICS/COMMUNICATIONS MAINTENANCE SHOP</v>
      </c>
      <c r="F427" s="242"/>
      <c r="G427" s="243" t="s">
        <v>1516</v>
      </c>
      <c r="H427" s="244" t="str">
        <f aca="false">LEFT(I427,5)</f>
        <v>A8023</v>
      </c>
      <c r="I427" s="243" t="s">
        <v>1393</v>
      </c>
      <c r="J427" s="244" t="s">
        <v>1394</v>
      </c>
      <c r="K427" s="243" t="s">
        <v>1072</v>
      </c>
      <c r="L427" s="243" t="s">
        <v>1073</v>
      </c>
      <c r="M427" s="243" t="s">
        <v>133</v>
      </c>
      <c r="N427" s="245" t="n">
        <v>0</v>
      </c>
      <c r="O427" s="245" t="n">
        <v>1</v>
      </c>
      <c r="P427" s="245" t="n">
        <v>1</v>
      </c>
      <c r="Q427" s="251" t="n">
        <v>0.67</v>
      </c>
      <c r="R427" s="251" t="n">
        <v>0.42</v>
      </c>
      <c r="S427" s="247" t="n">
        <v>0.25</v>
      </c>
      <c r="T427" s="248" t="n">
        <f aca="false">Q427*R427*S427</f>
        <v>0.07035</v>
      </c>
      <c r="U427" s="249" t="n">
        <f aca="false">T427*P427</f>
        <v>0.07035</v>
      </c>
      <c r="V427" s="250"/>
    </row>
    <row r="428" customFormat="false" ht="13.5" hidden="false" customHeight="true" outlineLevel="0" collapsed="false">
      <c r="B428" s="238" t="n">
        <v>215</v>
      </c>
      <c r="C428" s="239" t="s">
        <v>1068</v>
      </c>
      <c r="D428" s="240" t="n">
        <v>14345</v>
      </c>
      <c r="E428" s="241" t="str">
        <f aca="false">IF(D428="","",IFERROR(VLOOKUP(D428,CCN_Library!$A$4:$B$13,2,FALSE()),"NOT IN LIBRARY"))</f>
        <v>ARMORY</v>
      </c>
      <c r="F428" s="242"/>
      <c r="G428" s="243" t="s">
        <v>1516</v>
      </c>
      <c r="H428" s="244" t="str">
        <f aca="false">LEFT(I428,5)</f>
        <v>E0113</v>
      </c>
      <c r="I428" s="243" t="s">
        <v>1428</v>
      </c>
      <c r="J428" s="244" t="s">
        <v>1429</v>
      </c>
      <c r="K428" s="243" t="s">
        <v>1072</v>
      </c>
      <c r="L428" s="243" t="s">
        <v>1073</v>
      </c>
      <c r="M428" s="243" t="s">
        <v>133</v>
      </c>
      <c r="N428" s="245" t="n">
        <v>0</v>
      </c>
      <c r="O428" s="245" t="n">
        <v>0</v>
      </c>
      <c r="P428" s="245" t="n">
        <v>0</v>
      </c>
      <c r="Q428" s="246"/>
      <c r="R428" s="246"/>
      <c r="S428" s="247" t="n">
        <v>0</v>
      </c>
      <c r="T428" s="248" t="n">
        <f aca="false">Q428*R428*S428</f>
        <v>0</v>
      </c>
      <c r="U428" s="249" t="n">
        <f aca="false">T428*P428</f>
        <v>0</v>
      </c>
      <c r="V428" s="250"/>
    </row>
    <row r="429" customFormat="false" ht="13.5" hidden="false" customHeight="true" outlineLevel="0" collapsed="false">
      <c r="B429" s="238" t="n">
        <v>217</v>
      </c>
      <c r="C429" s="239" t="s">
        <v>1068</v>
      </c>
      <c r="D429" s="240" t="n">
        <v>14345</v>
      </c>
      <c r="E429" s="241" t="str">
        <f aca="false">IF(D429="","",IFERROR(VLOOKUP(D429,CCN_Library!$A$4:$B$13,2,FALSE()),"NOT IN LIBRARY"))</f>
        <v>ARMORY</v>
      </c>
      <c r="F429" s="242"/>
      <c r="G429" s="243" t="s">
        <v>1516</v>
      </c>
      <c r="H429" s="244" t="str">
        <f aca="false">LEFT(I429,5)</f>
        <v>E0030</v>
      </c>
      <c r="I429" s="243" t="s">
        <v>1070</v>
      </c>
      <c r="J429" s="244" t="s">
        <v>1071</v>
      </c>
      <c r="K429" s="243" t="s">
        <v>1072</v>
      </c>
      <c r="L429" s="243" t="s">
        <v>1073</v>
      </c>
      <c r="M429" s="243" t="s">
        <v>133</v>
      </c>
      <c r="N429" s="245" t="n">
        <v>66</v>
      </c>
      <c r="O429" s="245" t="n">
        <v>0</v>
      </c>
      <c r="P429" s="245" t="n">
        <v>66</v>
      </c>
      <c r="Q429" s="251" t="n">
        <v>0.6</v>
      </c>
      <c r="R429" s="251" t="n">
        <v>0.13</v>
      </c>
      <c r="S429" s="247" t="n">
        <v>0.13</v>
      </c>
      <c r="T429" s="248" t="n">
        <f aca="false">Q429*R429*S429</f>
        <v>0.01014</v>
      </c>
      <c r="U429" s="249" t="n">
        <f aca="false">T429*P429</f>
        <v>0.66924</v>
      </c>
      <c r="V429" s="250"/>
    </row>
    <row r="430" customFormat="false" ht="13.5" hidden="false" customHeight="true" outlineLevel="0" collapsed="false">
      <c r="B430" s="238" t="n">
        <v>219</v>
      </c>
      <c r="C430" s="239" t="s">
        <v>1068</v>
      </c>
      <c r="D430" s="240" t="n">
        <v>14345</v>
      </c>
      <c r="E430" s="241" t="str">
        <f aca="false">IF(D430="","",IFERROR(VLOOKUP(D430,CCN_Library!$A$4:$B$13,2,FALSE()),"NOT IN LIBRARY"))</f>
        <v>ARMORY</v>
      </c>
      <c r="F430" s="242"/>
      <c r="G430" s="243" t="s">
        <v>1516</v>
      </c>
      <c r="H430" s="244" t="str">
        <f aca="false">LEFT(I430,5)</f>
        <v>E0041</v>
      </c>
      <c r="I430" s="243" t="s">
        <v>1232</v>
      </c>
      <c r="J430" s="244" t="s">
        <v>1233</v>
      </c>
      <c r="K430" s="243" t="s">
        <v>1072</v>
      </c>
      <c r="L430" s="243" t="s">
        <v>1073</v>
      </c>
      <c r="M430" s="243" t="s">
        <v>133</v>
      </c>
      <c r="N430" s="245" t="n">
        <v>0</v>
      </c>
      <c r="O430" s="245" t="n">
        <v>0</v>
      </c>
      <c r="P430" s="245" t="n">
        <v>0</v>
      </c>
      <c r="Q430" s="251" t="n">
        <v>1.28</v>
      </c>
      <c r="R430" s="251" t="n">
        <v>0.27</v>
      </c>
      <c r="S430" s="247" t="n">
        <v>0.27</v>
      </c>
      <c r="T430" s="248" t="n">
        <f aca="false">Q430*R430*S430</f>
        <v>0.093312</v>
      </c>
      <c r="U430" s="249" t="n">
        <f aca="false">T430*P430</f>
        <v>0</v>
      </c>
      <c r="V430" s="250"/>
    </row>
    <row r="431" customFormat="false" ht="13.5" hidden="false" customHeight="true" outlineLevel="0" collapsed="false">
      <c r="B431" s="238" t="n">
        <v>220</v>
      </c>
      <c r="C431" s="239" t="s">
        <v>1074</v>
      </c>
      <c r="D431" s="240" t="n">
        <v>44112</v>
      </c>
      <c r="E431" s="241" t="str">
        <f aca="false">IF(D431="","",IFERROR(VLOOKUP(D431,CCN_Library!$A$4:$B$13,2,FALSE()),"NOT IN LIBRARY"))</f>
        <v>STORAGE OF AIR OR GROUND ORGANIC UNITS FOR MARINE CORPS</v>
      </c>
      <c r="F431" s="242"/>
      <c r="G431" s="243" t="s">
        <v>1516</v>
      </c>
      <c r="H431" s="244" t="str">
        <f aca="false">LEFT(I431,5)</f>
        <v>K0001</v>
      </c>
      <c r="I431" s="243" t="s">
        <v>1075</v>
      </c>
      <c r="J431" s="244" t="s">
        <v>1076</v>
      </c>
      <c r="K431" s="243" t="s">
        <v>1072</v>
      </c>
      <c r="L431" s="243" t="s">
        <v>1073</v>
      </c>
      <c r="M431" s="243" t="s">
        <v>133</v>
      </c>
      <c r="N431" s="245" t="n">
        <v>0</v>
      </c>
      <c r="O431" s="245" t="n">
        <v>2</v>
      </c>
      <c r="P431" s="245" t="n">
        <v>2</v>
      </c>
      <c r="Q431" s="251" t="n">
        <v>0.96</v>
      </c>
      <c r="R431" s="251" t="n">
        <v>0.85</v>
      </c>
      <c r="S431" s="247" t="n">
        <v>0.58</v>
      </c>
      <c r="T431" s="248" t="n">
        <f aca="false">Q431*R431*S431</f>
        <v>0.47328</v>
      </c>
      <c r="U431" s="249" t="n">
        <f aca="false">T431*P431</f>
        <v>0.94656</v>
      </c>
      <c r="V431" s="250"/>
    </row>
    <row r="432" customFormat="false" ht="13.5" hidden="false" customHeight="true" outlineLevel="0" collapsed="false">
      <c r="B432" s="238" t="n">
        <v>224</v>
      </c>
      <c r="C432" s="239" t="s">
        <v>1074</v>
      </c>
      <c r="D432" s="240" t="n">
        <v>44112</v>
      </c>
      <c r="E432" s="241" t="str">
        <f aca="false">IF(D432="","",IFERROR(VLOOKUP(D432,CCN_Library!$A$4:$B$13,2,FALSE()),"NOT IN LIBRARY"))</f>
        <v>STORAGE OF AIR OR GROUND ORGANIC UNITS FOR MARINE CORPS</v>
      </c>
      <c r="F432" s="242"/>
      <c r="G432" s="243" t="s">
        <v>1516</v>
      </c>
      <c r="H432" s="244" t="str">
        <f aca="false">LEFT(I432,5)</f>
        <v>C3020</v>
      </c>
      <c r="I432" s="243" t="s">
        <v>1081</v>
      </c>
      <c r="J432" s="244" t="s">
        <v>1082</v>
      </c>
      <c r="K432" s="243" t="s">
        <v>1072</v>
      </c>
      <c r="L432" s="243" t="s">
        <v>1073</v>
      </c>
      <c r="M432" s="243" t="s">
        <v>133</v>
      </c>
      <c r="N432" s="245" t="n">
        <v>360</v>
      </c>
      <c r="O432" s="245" t="n">
        <v>0</v>
      </c>
      <c r="P432" s="245" t="n">
        <v>360</v>
      </c>
      <c r="Q432" s="251" t="n">
        <v>1.17</v>
      </c>
      <c r="R432" s="251" t="n">
        <v>1.17</v>
      </c>
      <c r="S432" s="247" t="n">
        <v>0.08</v>
      </c>
      <c r="T432" s="248" t="n">
        <f aca="false">Q432*R432*S432</f>
        <v>0.109512</v>
      </c>
      <c r="U432" s="249" t="n">
        <f aca="false">T432*P432</f>
        <v>39.42432</v>
      </c>
      <c r="V432" s="250"/>
    </row>
    <row r="433" customFormat="false" ht="13.5" hidden="false" customHeight="true" outlineLevel="0" collapsed="false">
      <c r="B433" s="238" t="n">
        <v>225</v>
      </c>
      <c r="C433" s="239" t="s">
        <v>1074</v>
      </c>
      <c r="D433" s="240" t="n">
        <v>44112</v>
      </c>
      <c r="E433" s="241" t="str">
        <f aca="false">IF(D433="","",IFERROR(VLOOKUP(D433,CCN_Library!$A$4:$B$13,2,FALSE()),"NOT IN LIBRARY"))</f>
        <v>STORAGE OF AIR OR GROUND ORGANIC UNITS FOR MARINE CORPS</v>
      </c>
      <c r="F433" s="242"/>
      <c r="G433" s="243" t="s">
        <v>1516</v>
      </c>
      <c r="H433" s="244" t="str">
        <f aca="false">LEFT(I433,5)</f>
        <v>C3140</v>
      </c>
      <c r="I433" s="243" t="s">
        <v>1297</v>
      </c>
      <c r="J433" s="244" t="s">
        <v>1298</v>
      </c>
      <c r="K433" s="243" t="s">
        <v>1072</v>
      </c>
      <c r="L433" s="243" t="s">
        <v>1073</v>
      </c>
      <c r="M433" s="243" t="s">
        <v>133</v>
      </c>
      <c r="N433" s="245" t="n">
        <v>180</v>
      </c>
      <c r="O433" s="245" t="n">
        <v>0</v>
      </c>
      <c r="P433" s="245" t="n">
        <v>180</v>
      </c>
      <c r="Q433" s="251" t="n">
        <v>0.42</v>
      </c>
      <c r="R433" s="251" t="n">
        <v>0.25</v>
      </c>
      <c r="S433" s="247" t="n">
        <v>0.33</v>
      </c>
      <c r="T433" s="248" t="n">
        <f aca="false">Q433*R433*S433</f>
        <v>0.03465</v>
      </c>
      <c r="U433" s="249" t="n">
        <f aca="false">T433*P433</f>
        <v>6.237</v>
      </c>
      <c r="V433" s="250"/>
    </row>
    <row r="434" customFormat="false" ht="13.5" hidden="false" customHeight="true" outlineLevel="0" collapsed="false">
      <c r="B434" s="238" t="n">
        <v>227</v>
      </c>
      <c r="C434" s="239" t="s">
        <v>1074</v>
      </c>
      <c r="D434" s="240" t="n">
        <v>44112</v>
      </c>
      <c r="E434" s="241" t="str">
        <f aca="false">IF(D434="","",IFERROR(VLOOKUP(D434,CCN_Library!$A$4:$B$13,2,FALSE()),"NOT IN LIBRARY"))</f>
        <v>STORAGE OF AIR OR GROUND ORGANIC UNITS FOR MARINE CORPS</v>
      </c>
      <c r="F434" s="242"/>
      <c r="G434" s="243" t="s">
        <v>1516</v>
      </c>
      <c r="H434" s="244" t="str">
        <f aca="false">LEFT(I434,5)</f>
        <v>C8604</v>
      </c>
      <c r="I434" s="243" t="s">
        <v>1240</v>
      </c>
      <c r="J434" s="244" t="s">
        <v>1241</v>
      </c>
      <c r="K434" s="243" t="s">
        <v>1072</v>
      </c>
      <c r="L434" s="246"/>
      <c r="M434" s="243" t="s">
        <v>133</v>
      </c>
      <c r="N434" s="245" t="n">
        <v>0</v>
      </c>
      <c r="O434" s="245" t="n">
        <v>6</v>
      </c>
      <c r="P434" s="245" t="n">
        <v>6</v>
      </c>
      <c r="Q434" s="251" t="n">
        <v>4.17</v>
      </c>
      <c r="R434" s="251" t="n">
        <v>3.33</v>
      </c>
      <c r="S434" s="247" t="n">
        <v>3.5</v>
      </c>
      <c r="T434" s="248" t="n">
        <f aca="false">Q434*R434*S434</f>
        <v>48.60135</v>
      </c>
      <c r="U434" s="249" t="n">
        <f aca="false">T434*P434</f>
        <v>291.6081</v>
      </c>
      <c r="V434" s="250"/>
    </row>
    <row r="435" customFormat="false" ht="13.5" hidden="false" customHeight="true" outlineLevel="0" collapsed="false">
      <c r="B435" s="238" t="n">
        <v>233</v>
      </c>
      <c r="C435" s="239" t="s">
        <v>1074</v>
      </c>
      <c r="D435" s="240" t="n">
        <v>44112</v>
      </c>
      <c r="E435" s="241" t="str">
        <f aca="false">IF(D435="","",IFERROR(VLOOKUP(D435,CCN_Library!$A$4:$B$13,2,FALSE()),"NOT IN LIBRARY"))</f>
        <v>STORAGE OF AIR OR GROUND ORGANIC UNITS FOR MARINE CORPS</v>
      </c>
      <c r="F435" s="242"/>
      <c r="G435" s="243" t="s">
        <v>1516</v>
      </c>
      <c r="H435" s="244" t="str">
        <f aca="false">LEFT(I435,5)</f>
        <v>K4128</v>
      </c>
      <c r="I435" s="243" t="s">
        <v>1089</v>
      </c>
      <c r="J435" s="244" t="s">
        <v>1090</v>
      </c>
      <c r="K435" s="243" t="s">
        <v>1072</v>
      </c>
      <c r="L435" s="243" t="s">
        <v>1073</v>
      </c>
      <c r="M435" s="243" t="s">
        <v>133</v>
      </c>
      <c r="N435" s="245" t="n">
        <v>0</v>
      </c>
      <c r="O435" s="245" t="n">
        <v>52</v>
      </c>
      <c r="P435" s="245" t="n">
        <v>52</v>
      </c>
      <c r="Q435" s="252" t="n">
        <v>0</v>
      </c>
      <c r="R435" s="252" t="n">
        <v>0</v>
      </c>
      <c r="S435" s="247" t="n">
        <v>0</v>
      </c>
      <c r="T435" s="248" t="n">
        <f aca="false">Q435*R435*S435</f>
        <v>0</v>
      </c>
      <c r="U435" s="249" t="n">
        <f aca="false">T435*P435</f>
        <v>0</v>
      </c>
      <c r="V435" s="250"/>
    </row>
    <row r="436" customFormat="false" ht="13.5" hidden="false" customHeight="true" outlineLevel="0" collapsed="false">
      <c r="B436" s="238" t="n">
        <v>241</v>
      </c>
      <c r="C436" s="239" t="s">
        <v>1077</v>
      </c>
      <c r="D436" s="240" t="n">
        <v>21710</v>
      </c>
      <c r="E436" s="241" t="str">
        <f aca="false">IF(D436="","",IFERROR(VLOOKUP(D436,CCN_Library!$A$4:$B$13,2,FALSE()),"NOT IN LIBRARY"))</f>
        <v>ELECTRONICS/COMMUNICATIONS MAINTENANCE SHOP</v>
      </c>
      <c r="F436" s="242"/>
      <c r="G436" s="243" t="s">
        <v>1516</v>
      </c>
      <c r="H436" s="244" t="str">
        <f aca="false">LEFT(I436,5)</f>
        <v>H0004</v>
      </c>
      <c r="I436" s="243" t="s">
        <v>1440</v>
      </c>
      <c r="J436" s="244" t="s">
        <v>1441</v>
      </c>
      <c r="K436" s="243" t="s">
        <v>1072</v>
      </c>
      <c r="L436" s="243" t="s">
        <v>1073</v>
      </c>
      <c r="M436" s="243" t="s">
        <v>133</v>
      </c>
      <c r="N436" s="245" t="n">
        <v>0</v>
      </c>
      <c r="O436" s="245" t="n">
        <v>5</v>
      </c>
      <c r="P436" s="245" t="n">
        <v>5</v>
      </c>
      <c r="Q436" s="251" t="n">
        <v>1.84</v>
      </c>
      <c r="R436" s="251" t="n">
        <v>1.49</v>
      </c>
      <c r="S436" s="247" t="n">
        <v>0.87</v>
      </c>
      <c r="T436" s="248" t="n">
        <f aca="false">Q436*R436*S436</f>
        <v>2.385192</v>
      </c>
      <c r="U436" s="249" t="n">
        <f aca="false">T436*P436</f>
        <v>11.92596</v>
      </c>
      <c r="V436" s="250"/>
    </row>
    <row r="437" customFormat="false" ht="13.5" hidden="false" customHeight="true" outlineLevel="0" collapsed="false">
      <c r="B437" s="238" t="n">
        <v>249</v>
      </c>
      <c r="C437" s="239" t="s">
        <v>1074</v>
      </c>
      <c r="D437" s="240" t="n">
        <v>44112</v>
      </c>
      <c r="E437" s="241" t="str">
        <f aca="false">IF(D437="","",IFERROR(VLOOKUP(D437,CCN_Library!$A$4:$B$13,2,FALSE()),"NOT IN LIBRARY"))</f>
        <v>STORAGE OF AIR OR GROUND ORGANIC UNITS FOR MARINE CORPS</v>
      </c>
      <c r="F437" s="242"/>
      <c r="G437" s="243" t="s">
        <v>1516</v>
      </c>
      <c r="H437" s="244" t="str">
        <f aca="false">LEFT(I437,5)</f>
        <v>C0083</v>
      </c>
      <c r="I437" s="243" t="s">
        <v>1314</v>
      </c>
      <c r="J437" s="244" t="s">
        <v>1315</v>
      </c>
      <c r="K437" s="243" t="s">
        <v>1072</v>
      </c>
      <c r="L437" s="243" t="s">
        <v>1073</v>
      </c>
      <c r="M437" s="243" t="s">
        <v>133</v>
      </c>
      <c r="N437" s="245" t="n">
        <v>180</v>
      </c>
      <c r="O437" s="245" t="n">
        <v>0</v>
      </c>
      <c r="P437" s="245" t="n">
        <v>180</v>
      </c>
      <c r="Q437" s="251" t="n">
        <v>0.58</v>
      </c>
      <c r="R437" s="251" t="n">
        <v>0.17</v>
      </c>
      <c r="S437" s="247" t="n">
        <v>0.08</v>
      </c>
      <c r="T437" s="248" t="n">
        <f aca="false">Q437*R437*S437</f>
        <v>0.007888</v>
      </c>
      <c r="U437" s="249" t="n">
        <f aca="false">T437*P437</f>
        <v>1.41984</v>
      </c>
      <c r="V437" s="250"/>
    </row>
    <row r="438" customFormat="false" ht="13.5" hidden="false" customHeight="true" outlineLevel="0" collapsed="false">
      <c r="B438" s="238" t="n">
        <v>251</v>
      </c>
      <c r="C438" s="239" t="s">
        <v>1074</v>
      </c>
      <c r="D438" s="240" t="n">
        <v>44112</v>
      </c>
      <c r="E438" s="241" t="str">
        <f aca="false">IF(D438="","",IFERROR(VLOOKUP(D438,CCN_Library!$A$4:$B$13,2,FALSE()),"NOT IN LIBRARY"))</f>
        <v>STORAGE OF AIR OR GROUND ORGANIC UNITS FOR MARINE CORPS</v>
      </c>
      <c r="F438" s="242"/>
      <c r="G438" s="243" t="s">
        <v>1516</v>
      </c>
      <c r="H438" s="244" t="str">
        <f aca="false">LEFT(I438,5)</f>
        <v>C0115</v>
      </c>
      <c r="I438" s="243" t="s">
        <v>1100</v>
      </c>
      <c r="J438" s="244" t="s">
        <v>1101</v>
      </c>
      <c r="K438" s="243" t="s">
        <v>1072</v>
      </c>
      <c r="L438" s="243" t="s">
        <v>1099</v>
      </c>
      <c r="M438" s="243" t="s">
        <v>133</v>
      </c>
      <c r="N438" s="245" t="n">
        <v>360</v>
      </c>
      <c r="O438" s="245" t="n">
        <v>0</v>
      </c>
      <c r="P438" s="245" t="n">
        <v>360</v>
      </c>
      <c r="Q438" s="251" t="n">
        <v>0.83</v>
      </c>
      <c r="R438" s="251" t="n">
        <v>0.5</v>
      </c>
      <c r="S438" s="247" t="n">
        <v>0.17</v>
      </c>
      <c r="T438" s="248" t="n">
        <f aca="false">Q438*R438*S438</f>
        <v>0.07055</v>
      </c>
      <c r="U438" s="249" t="n">
        <f aca="false">T438*P438</f>
        <v>25.398</v>
      </c>
      <c r="V438" s="250"/>
    </row>
    <row r="439" customFormat="false" ht="13.5" hidden="false" customHeight="true" outlineLevel="0" collapsed="false">
      <c r="B439" s="238" t="n">
        <v>253</v>
      </c>
      <c r="C439" s="239" t="s">
        <v>1074</v>
      </c>
      <c r="D439" s="240" t="n">
        <v>44112</v>
      </c>
      <c r="E439" s="241" t="str">
        <f aca="false">IF(D439="","",IFERROR(VLOOKUP(D439,CCN_Library!$A$4:$B$13,2,FALSE()),"NOT IN LIBRARY"))</f>
        <v>STORAGE OF AIR OR GROUND ORGANIC UNITS FOR MARINE CORPS</v>
      </c>
      <c r="F439" s="242"/>
      <c r="G439" s="243" t="s">
        <v>1516</v>
      </c>
      <c r="H439" s="244" t="str">
        <f aca="false">LEFT(I439,5)</f>
        <v>C0116</v>
      </c>
      <c r="I439" s="243" t="s">
        <v>1454</v>
      </c>
      <c r="J439" s="244" t="s">
        <v>1455</v>
      </c>
      <c r="K439" s="243" t="s">
        <v>1072</v>
      </c>
      <c r="L439" s="243" t="s">
        <v>1073</v>
      </c>
      <c r="M439" s="243" t="s">
        <v>133</v>
      </c>
      <c r="N439" s="245" t="n">
        <v>360</v>
      </c>
      <c r="O439" s="245" t="n">
        <v>0</v>
      </c>
      <c r="P439" s="245" t="n">
        <v>360</v>
      </c>
      <c r="Q439" s="251" t="n">
        <v>0.83</v>
      </c>
      <c r="R439" s="251" t="n">
        <v>0.5</v>
      </c>
      <c r="S439" s="247" t="n">
        <v>0.17</v>
      </c>
      <c r="T439" s="248" t="n">
        <f aca="false">Q439*R439*S439</f>
        <v>0.07055</v>
      </c>
      <c r="U439" s="249" t="n">
        <f aca="false">T439*P439</f>
        <v>25.398</v>
      </c>
      <c r="V439" s="250"/>
    </row>
    <row r="440" customFormat="false" ht="13.5" hidden="false" customHeight="true" outlineLevel="0" collapsed="false">
      <c r="B440" s="238" t="n">
        <v>259</v>
      </c>
      <c r="C440" s="239" t="s">
        <v>1068</v>
      </c>
      <c r="D440" s="240" t="n">
        <v>14345</v>
      </c>
      <c r="E440" s="241" t="str">
        <f aca="false">IF(D440="","",IFERROR(VLOOKUP(D440,CCN_Library!$A$4:$B$13,2,FALSE()),"NOT IN LIBRARY"))</f>
        <v>ARMORY</v>
      </c>
      <c r="F440" s="242"/>
      <c r="G440" s="243" t="s">
        <v>1516</v>
      </c>
      <c r="H440" s="244" t="str">
        <f aca="false">LEFT(I440,5)</f>
        <v>E1798</v>
      </c>
      <c r="I440" s="243" t="s">
        <v>1324</v>
      </c>
      <c r="J440" s="244" t="s">
        <v>1325</v>
      </c>
      <c r="K440" s="243" t="s">
        <v>1072</v>
      </c>
      <c r="L440" s="243" t="s">
        <v>1073</v>
      </c>
      <c r="M440" s="243" t="s">
        <v>133</v>
      </c>
      <c r="N440" s="245" t="n">
        <v>4</v>
      </c>
      <c r="O440" s="245" t="n">
        <v>0</v>
      </c>
      <c r="P440" s="245" t="n">
        <v>4</v>
      </c>
      <c r="Q440" s="251" t="n">
        <v>0.5</v>
      </c>
      <c r="R440" s="251" t="n">
        <v>0.25</v>
      </c>
      <c r="S440" s="247" t="n">
        <v>0.08</v>
      </c>
      <c r="T440" s="248" t="n">
        <f aca="false">Q440*R440*S440</f>
        <v>0.01</v>
      </c>
      <c r="U440" s="249" t="n">
        <f aca="false">T440*P440</f>
        <v>0.04</v>
      </c>
      <c r="V440" s="250"/>
    </row>
    <row r="441" customFormat="false" ht="13.5" hidden="false" customHeight="true" outlineLevel="0" collapsed="false">
      <c r="B441" s="238" t="n">
        <v>262</v>
      </c>
      <c r="C441" s="239" t="s">
        <v>1074</v>
      </c>
      <c r="D441" s="240" t="n">
        <v>44112</v>
      </c>
      <c r="E441" s="241" t="str">
        <f aca="false">IF(D441="","",IFERROR(VLOOKUP(D441,CCN_Library!$A$4:$B$13,2,FALSE()),"NOT IN LIBRARY"))</f>
        <v>STORAGE OF AIR OR GROUND ORGANIC UNITS FOR MARINE CORPS</v>
      </c>
      <c r="F441" s="242"/>
      <c r="G441" s="243" t="s">
        <v>1516</v>
      </c>
      <c r="H441" s="244" t="str">
        <f aca="false">LEFT(I441,5)</f>
        <v>C0136</v>
      </c>
      <c r="I441" s="243" t="s">
        <v>1460</v>
      </c>
      <c r="J441" s="244" t="s">
        <v>1461</v>
      </c>
      <c r="K441" s="243" t="s">
        <v>1072</v>
      </c>
      <c r="L441" s="243" t="s">
        <v>1073</v>
      </c>
      <c r="M441" s="243" t="s">
        <v>133</v>
      </c>
      <c r="N441" s="245" t="n">
        <v>180</v>
      </c>
      <c r="O441" s="245" t="n">
        <v>0</v>
      </c>
      <c r="P441" s="245" t="n">
        <v>180</v>
      </c>
      <c r="Q441" s="252" t="n">
        <v>1</v>
      </c>
      <c r="R441" s="252" t="n">
        <v>1</v>
      </c>
      <c r="S441" s="247" t="n">
        <v>0.5</v>
      </c>
      <c r="T441" s="248" t="n">
        <f aca="false">Q441*R441*S441</f>
        <v>0.5</v>
      </c>
      <c r="U441" s="249" t="n">
        <f aca="false">T441*P441</f>
        <v>90</v>
      </c>
      <c r="V441" s="250"/>
    </row>
    <row r="442" customFormat="false" ht="13.5" hidden="false" customHeight="true" outlineLevel="0" collapsed="false">
      <c r="B442" s="238" t="n">
        <v>263</v>
      </c>
      <c r="C442" s="239" t="s">
        <v>1077</v>
      </c>
      <c r="D442" s="240" t="n">
        <v>21710</v>
      </c>
      <c r="E442" s="241" t="str">
        <f aca="false">IF(D442="","",IFERROR(VLOOKUP(D442,CCN_Library!$A$4:$B$13,2,FALSE()),"NOT IN LIBRARY"))</f>
        <v>ELECTRONICS/COMMUNICATIONS MAINTENANCE SHOP</v>
      </c>
      <c r="F442" s="242"/>
      <c r="G442" s="243" t="s">
        <v>1516</v>
      </c>
      <c r="H442" s="244" t="str">
        <f aca="false">LEFT(I442,5)</f>
        <v>H7017</v>
      </c>
      <c r="I442" s="243" t="s">
        <v>1479</v>
      </c>
      <c r="J442" s="244" t="s">
        <v>1480</v>
      </c>
      <c r="K442" s="243" t="s">
        <v>1072</v>
      </c>
      <c r="L442" s="243" t="s">
        <v>1073</v>
      </c>
      <c r="M442" s="246"/>
      <c r="N442" s="245" t="n">
        <v>0</v>
      </c>
      <c r="O442" s="245" t="n">
        <v>2</v>
      </c>
      <c r="P442" s="245" t="n">
        <v>2</v>
      </c>
      <c r="Q442" s="251" t="n">
        <v>0.67</v>
      </c>
      <c r="R442" s="251" t="n">
        <v>0.33</v>
      </c>
      <c r="S442" s="247" t="n">
        <v>0.17</v>
      </c>
      <c r="T442" s="248" t="n">
        <f aca="false">Q442*R442*S442</f>
        <v>0.037587</v>
      </c>
      <c r="U442" s="249" t="n">
        <f aca="false">T442*P442</f>
        <v>0.075174</v>
      </c>
      <c r="V442" s="250"/>
    </row>
    <row r="443" customFormat="false" ht="13.5" hidden="false" customHeight="true" outlineLevel="0" collapsed="false">
      <c r="B443" s="238" t="n">
        <v>267</v>
      </c>
      <c r="C443" s="239" t="s">
        <v>1074</v>
      </c>
      <c r="D443" s="240" t="n">
        <v>44112</v>
      </c>
      <c r="E443" s="241" t="str">
        <f aca="false">IF(D443="","",IFERROR(VLOOKUP(D443,CCN_Library!$A$4:$B$13,2,FALSE()),"NOT IN LIBRARY"))</f>
        <v>STORAGE OF AIR OR GROUND ORGANIC UNITS FOR MARINE CORPS</v>
      </c>
      <c r="F443" s="242"/>
      <c r="G443" s="243" t="s">
        <v>1516</v>
      </c>
      <c r="H443" s="244" t="str">
        <f aca="false">LEFT(I443,5)</f>
        <v>C4431</v>
      </c>
      <c r="I443" s="243" t="s">
        <v>1169</v>
      </c>
      <c r="J443" s="244" t="s">
        <v>1170</v>
      </c>
      <c r="K443" s="243" t="s">
        <v>1072</v>
      </c>
      <c r="L443" s="243" t="s">
        <v>1073</v>
      </c>
      <c r="M443" s="243" t="s">
        <v>133</v>
      </c>
      <c r="N443" s="245" t="n">
        <v>0</v>
      </c>
      <c r="O443" s="245" t="n">
        <v>32</v>
      </c>
      <c r="P443" s="245" t="n">
        <v>32</v>
      </c>
      <c r="Q443" s="252" t="n">
        <v>4</v>
      </c>
      <c r="R443" s="251" t="n">
        <v>3.33</v>
      </c>
      <c r="S443" s="247" t="n">
        <v>4</v>
      </c>
      <c r="T443" s="248" t="n">
        <f aca="false">Q443*R443*S443</f>
        <v>53.28</v>
      </c>
      <c r="U443" s="249" t="n">
        <f aca="false">T443*P443</f>
        <v>1704.96</v>
      </c>
      <c r="V443" s="250"/>
    </row>
    <row r="444" customFormat="false" ht="13.5" hidden="false" customHeight="true" outlineLevel="0" collapsed="false">
      <c r="B444" s="238" t="n">
        <v>272</v>
      </c>
      <c r="C444" s="239" t="s">
        <v>1077</v>
      </c>
      <c r="D444" s="240" t="n">
        <v>21710</v>
      </c>
      <c r="E444" s="241" t="str">
        <f aca="false">IF(D444="","",IFERROR(VLOOKUP(D444,CCN_Library!$A$4:$B$13,2,FALSE()),"NOT IN LIBRARY"))</f>
        <v>ELECTRONICS/COMMUNICATIONS MAINTENANCE SHOP</v>
      </c>
      <c r="F444" s="242"/>
      <c r="G444" s="243" t="s">
        <v>1516</v>
      </c>
      <c r="H444" s="244" t="str">
        <f aca="false">LEFT(I444,5)</f>
        <v>A8001</v>
      </c>
      <c r="I444" s="243" t="s">
        <v>1123</v>
      </c>
      <c r="J444" s="244" t="s">
        <v>1124</v>
      </c>
      <c r="K444" s="243" t="s">
        <v>1072</v>
      </c>
      <c r="L444" s="243" t="s">
        <v>1073</v>
      </c>
      <c r="M444" s="246"/>
      <c r="N444" s="245" t="n">
        <v>0</v>
      </c>
      <c r="O444" s="245" t="n">
        <v>9</v>
      </c>
      <c r="P444" s="245" t="n">
        <v>9</v>
      </c>
      <c r="Q444" s="251" t="n">
        <v>0.67</v>
      </c>
      <c r="R444" s="251" t="n">
        <v>0.25</v>
      </c>
      <c r="S444" s="247" t="n">
        <v>0.42</v>
      </c>
      <c r="T444" s="248" t="n">
        <f aca="false">Q444*R444*S444</f>
        <v>0.07035</v>
      </c>
      <c r="U444" s="249" t="n">
        <f aca="false">T444*P444</f>
        <v>0.63315</v>
      </c>
      <c r="V444" s="250"/>
    </row>
    <row r="445" customFormat="false" ht="13.5" hidden="false" customHeight="true" outlineLevel="0" collapsed="false">
      <c r="B445" s="238" t="n">
        <v>273</v>
      </c>
      <c r="C445" s="239" t="s">
        <v>1074</v>
      </c>
      <c r="D445" s="240" t="n">
        <v>44112</v>
      </c>
      <c r="E445" s="241" t="str">
        <f aca="false">IF(D445="","",IFERROR(VLOOKUP(D445,CCN_Library!$A$4:$B$13,2,FALSE()),"NOT IN LIBRARY"))</f>
        <v>STORAGE OF AIR OR GROUND ORGANIC UNITS FOR MARINE CORPS</v>
      </c>
      <c r="F445" s="242"/>
      <c r="G445" s="243" t="s">
        <v>1516</v>
      </c>
      <c r="H445" s="244" t="str">
        <f aca="false">LEFT(I445,5)</f>
        <v>C5265</v>
      </c>
      <c r="I445" s="243" t="s">
        <v>1391</v>
      </c>
      <c r="J445" s="244" t="s">
        <v>1392</v>
      </c>
      <c r="K445" s="243" t="s">
        <v>1072</v>
      </c>
      <c r="L445" s="243" t="s">
        <v>1073</v>
      </c>
      <c r="M445" s="243" t="s">
        <v>133</v>
      </c>
      <c r="N445" s="245" t="n">
        <v>180</v>
      </c>
      <c r="O445" s="245" t="n">
        <v>0</v>
      </c>
      <c r="P445" s="245" t="n">
        <v>180</v>
      </c>
      <c r="Q445" s="251" t="n">
        <v>0.99</v>
      </c>
      <c r="R445" s="251" t="n">
        <v>0.99</v>
      </c>
      <c r="S445" s="247" t="n">
        <v>0.74</v>
      </c>
      <c r="T445" s="248" t="n">
        <f aca="false">Q445*R445*S445</f>
        <v>0.725274</v>
      </c>
      <c r="U445" s="249" t="n">
        <f aca="false">T445*P445</f>
        <v>130.54932</v>
      </c>
      <c r="V445" s="250"/>
    </row>
    <row r="446" customFormat="false" ht="13.5" hidden="false" customHeight="true" outlineLevel="0" collapsed="false">
      <c r="B446" s="238" t="n">
        <v>278</v>
      </c>
      <c r="C446" s="239" t="s">
        <v>1113</v>
      </c>
      <c r="D446" s="240" t="n">
        <v>21451</v>
      </c>
      <c r="E446" s="241" t="str">
        <f aca="false">IF(D446="","",IFERROR(VLOOKUP(D446,CCN_Library!$A$4:$B$13,2,FALSE()),"NOT IN LIBRARY"))</f>
        <v>AUTOMOTIVE ORGANIZATIONAL SHOP</v>
      </c>
      <c r="F446" s="242"/>
      <c r="G446" s="243" t="s">
        <v>1516</v>
      </c>
      <c r="H446" s="244" t="str">
        <f aca="false">LEFT(I446,5)</f>
        <v>D0019</v>
      </c>
      <c r="I446" s="243" t="s">
        <v>1187</v>
      </c>
      <c r="J446" s="244" t="s">
        <v>1188</v>
      </c>
      <c r="K446" s="243" t="s">
        <v>1142</v>
      </c>
      <c r="L446" s="243" t="s">
        <v>1073</v>
      </c>
      <c r="M446" s="246"/>
      <c r="N446" s="245" t="n">
        <v>0</v>
      </c>
      <c r="O446" s="245" t="n">
        <v>3</v>
      </c>
      <c r="P446" s="245" t="n">
        <v>3</v>
      </c>
      <c r="Q446" s="246"/>
      <c r="R446" s="246"/>
      <c r="S446" s="247" t="n">
        <v>0</v>
      </c>
      <c r="T446" s="248" t="n">
        <f aca="false">Q446*R446*S446</f>
        <v>0</v>
      </c>
      <c r="U446" s="249" t="n">
        <f aca="false">T446*P446</f>
        <v>0</v>
      </c>
      <c r="V446" s="250"/>
    </row>
    <row r="447" customFormat="false" ht="13.5" hidden="false" customHeight="true" outlineLevel="0" collapsed="false">
      <c r="B447" s="238" t="n">
        <v>280</v>
      </c>
      <c r="C447" s="239" t="s">
        <v>1077</v>
      </c>
      <c r="D447" s="240" t="n">
        <v>21710</v>
      </c>
      <c r="E447" s="241" t="str">
        <f aca="false">IF(D447="","",IFERROR(VLOOKUP(D447,CCN_Library!$A$4:$B$13,2,FALSE()),"NOT IN LIBRARY"))</f>
        <v>ELECTRONICS/COMMUNICATIONS MAINTENANCE SHOP</v>
      </c>
      <c r="F447" s="242"/>
      <c r="G447" s="243" t="s">
        <v>1516</v>
      </c>
      <c r="H447" s="244" t="str">
        <f aca="false">LEFT(I447,5)</f>
        <v>A9100</v>
      </c>
      <c r="I447" s="243" t="s">
        <v>1228</v>
      </c>
      <c r="J447" s="244" t="s">
        <v>1229</v>
      </c>
      <c r="K447" s="243" t="s">
        <v>1072</v>
      </c>
      <c r="L447" s="243" t="s">
        <v>1073</v>
      </c>
      <c r="M447" s="243" t="s">
        <v>133</v>
      </c>
      <c r="N447" s="245" t="n">
        <v>0</v>
      </c>
      <c r="O447" s="245" t="n">
        <v>34</v>
      </c>
      <c r="P447" s="245" t="n">
        <v>34</v>
      </c>
      <c r="Q447" s="251" t="n">
        <v>0.83</v>
      </c>
      <c r="R447" s="251" t="n">
        <v>1.17</v>
      </c>
      <c r="S447" s="247" t="n">
        <v>0.17</v>
      </c>
      <c r="T447" s="248" t="n">
        <f aca="false">Q447*R447*S447</f>
        <v>0.165087</v>
      </c>
      <c r="U447" s="249" t="n">
        <f aca="false">T447*P447</f>
        <v>5.612958</v>
      </c>
      <c r="V447" s="250"/>
    </row>
    <row r="448" customFormat="false" ht="13.5" hidden="false" customHeight="true" outlineLevel="0" collapsed="false">
      <c r="B448" s="238" t="n">
        <v>283</v>
      </c>
      <c r="C448" s="239" t="s">
        <v>1074</v>
      </c>
      <c r="D448" s="240" t="n">
        <v>44112</v>
      </c>
      <c r="E448" s="241" t="str">
        <f aca="false">IF(D448="","",IFERROR(VLOOKUP(D448,CCN_Library!$A$4:$B$13,2,FALSE()),"NOT IN LIBRARY"))</f>
        <v>STORAGE OF AIR OR GROUND ORGANIC UNITS FOR MARINE CORPS</v>
      </c>
      <c r="F448" s="242"/>
      <c r="G448" s="243" t="s">
        <v>1516</v>
      </c>
      <c r="H448" s="244" t="str">
        <f aca="false">LEFT(I448,5)</f>
        <v>C2171</v>
      </c>
      <c r="I448" s="243" t="s">
        <v>1348</v>
      </c>
      <c r="J448" s="244" t="s">
        <v>1349</v>
      </c>
      <c r="K448" s="243" t="s">
        <v>1072</v>
      </c>
      <c r="L448" s="243" t="s">
        <v>1073</v>
      </c>
      <c r="M448" s="243" t="s">
        <v>133</v>
      </c>
      <c r="N448" s="245" t="n">
        <v>180</v>
      </c>
      <c r="O448" s="245" t="n">
        <v>0</v>
      </c>
      <c r="P448" s="245" t="n">
        <v>180</v>
      </c>
      <c r="Q448" s="252" t="n">
        <v>0</v>
      </c>
      <c r="R448" s="252" t="n">
        <v>0</v>
      </c>
      <c r="S448" s="247" t="n">
        <v>0</v>
      </c>
      <c r="T448" s="248" t="n">
        <f aca="false">Q448*R448*S448</f>
        <v>0</v>
      </c>
      <c r="U448" s="249" t="n">
        <f aca="false">T448*P448</f>
        <v>0</v>
      </c>
      <c r="V448" s="250"/>
    </row>
    <row r="449" customFormat="false" ht="13.5" hidden="false" customHeight="true" outlineLevel="0" collapsed="false">
      <c r="B449" s="238" t="n">
        <v>290</v>
      </c>
      <c r="C449" s="239" t="s">
        <v>1074</v>
      </c>
      <c r="D449" s="240" t="n">
        <v>44112</v>
      </c>
      <c r="E449" s="241" t="str">
        <f aca="false">IF(D449="","",IFERROR(VLOOKUP(D449,CCN_Library!$A$4:$B$13,2,FALSE()),"NOT IN LIBRARY"))</f>
        <v>STORAGE OF AIR OR GROUND ORGANIC UNITS FOR MARINE CORPS</v>
      </c>
      <c r="F449" s="242"/>
      <c r="G449" s="243" t="s">
        <v>1516</v>
      </c>
      <c r="H449" s="244" t="str">
        <f aca="false">LEFT(I449,5)</f>
        <v>K4959</v>
      </c>
      <c r="I449" s="243" t="s">
        <v>1093</v>
      </c>
      <c r="J449" s="244" t="s">
        <v>1094</v>
      </c>
      <c r="K449" s="243" t="s">
        <v>1072</v>
      </c>
      <c r="L449" s="243" t="s">
        <v>1073</v>
      </c>
      <c r="M449" s="243" t="s">
        <v>133</v>
      </c>
      <c r="N449" s="245" t="n">
        <v>0</v>
      </c>
      <c r="O449" s="245" t="n">
        <v>12</v>
      </c>
      <c r="P449" s="245" t="n">
        <v>12</v>
      </c>
      <c r="Q449" s="251" t="n">
        <v>5.83</v>
      </c>
      <c r="R449" s="252" t="n">
        <v>3</v>
      </c>
      <c r="S449" s="247" t="n">
        <v>0.33</v>
      </c>
      <c r="T449" s="248" t="n">
        <f aca="false">Q449*R449*S449</f>
        <v>5.7717</v>
      </c>
      <c r="U449" s="249" t="n">
        <f aca="false">T449*P449</f>
        <v>69.2604</v>
      </c>
      <c r="V449" s="250"/>
    </row>
    <row r="450" customFormat="false" ht="13.5" hidden="false" customHeight="true" outlineLevel="0" collapsed="false">
      <c r="B450" s="238" t="n">
        <v>291</v>
      </c>
      <c r="C450" s="239" t="s">
        <v>1074</v>
      </c>
      <c r="D450" s="240" t="n">
        <v>44112</v>
      </c>
      <c r="E450" s="241" t="str">
        <f aca="false">IF(D450="","",IFERROR(VLOOKUP(D450,CCN_Library!$A$4:$B$13,2,FALSE()),"NOT IN LIBRARY"))</f>
        <v>STORAGE OF AIR OR GROUND ORGANIC UNITS FOR MARINE CORPS</v>
      </c>
      <c r="F450" s="242"/>
      <c r="G450" s="243" t="s">
        <v>1516</v>
      </c>
      <c r="H450" s="244" t="str">
        <f aca="false">LEFT(I450,5)</f>
        <v>C2200</v>
      </c>
      <c r="I450" s="243" t="s">
        <v>1250</v>
      </c>
      <c r="J450" s="244" t="s">
        <v>1251</v>
      </c>
      <c r="K450" s="243" t="s">
        <v>1072</v>
      </c>
      <c r="L450" s="243" t="s">
        <v>1252</v>
      </c>
      <c r="M450" s="243" t="s">
        <v>133</v>
      </c>
      <c r="N450" s="245" t="n">
        <v>9</v>
      </c>
      <c r="O450" s="245" t="n">
        <v>0</v>
      </c>
      <c r="P450" s="245" t="n">
        <v>9</v>
      </c>
      <c r="Q450" s="251" t="n">
        <v>1.08</v>
      </c>
      <c r="R450" s="251" t="n">
        <v>0.62</v>
      </c>
      <c r="S450" s="247" t="n">
        <v>0.87</v>
      </c>
      <c r="T450" s="248" t="n">
        <f aca="false">Q450*R450*S450</f>
        <v>0.582552</v>
      </c>
      <c r="U450" s="249" t="n">
        <f aca="false">T450*P450</f>
        <v>5.242968</v>
      </c>
      <c r="V450" s="250"/>
    </row>
    <row r="451" customFormat="false" ht="13.5" hidden="false" customHeight="true" outlineLevel="0" collapsed="false">
      <c r="B451" s="238" t="n">
        <v>294</v>
      </c>
      <c r="C451" s="239" t="s">
        <v>1074</v>
      </c>
      <c r="D451" s="240" t="n">
        <v>44112</v>
      </c>
      <c r="E451" s="241" t="str">
        <f aca="false">IF(D451="","",IFERROR(VLOOKUP(D451,CCN_Library!$A$4:$B$13,2,FALSE()),"NOT IN LIBRARY"))</f>
        <v>STORAGE OF AIR OR GROUND ORGANIC UNITS FOR MARINE CORPS</v>
      </c>
      <c r="F451" s="242"/>
      <c r="G451" s="243" t="s">
        <v>1516</v>
      </c>
      <c r="H451" s="244" t="str">
        <f aca="false">LEFT(I451,5)</f>
        <v>C2110</v>
      </c>
      <c r="I451" s="243" t="s">
        <v>1257</v>
      </c>
      <c r="J451" s="244" t="s">
        <v>1258</v>
      </c>
      <c r="K451" s="243" t="s">
        <v>1072</v>
      </c>
      <c r="L451" s="243" t="s">
        <v>1259</v>
      </c>
      <c r="M451" s="243" t="s">
        <v>133</v>
      </c>
      <c r="N451" s="245" t="n">
        <v>18</v>
      </c>
      <c r="O451" s="245" t="n">
        <v>0</v>
      </c>
      <c r="P451" s="245" t="n">
        <v>18</v>
      </c>
      <c r="Q451" s="251" t="n">
        <v>0.67</v>
      </c>
      <c r="R451" s="251" t="n">
        <v>0.67</v>
      </c>
      <c r="S451" s="247" t="n">
        <v>0.13</v>
      </c>
      <c r="T451" s="248" t="n">
        <f aca="false">Q451*R451*S451</f>
        <v>0.058357</v>
      </c>
      <c r="U451" s="249" t="n">
        <f aca="false">T451*P451</f>
        <v>1.050426</v>
      </c>
      <c r="V451" s="250"/>
    </row>
    <row r="452" customFormat="false" ht="13.5" hidden="false" customHeight="true" outlineLevel="0" collapsed="false">
      <c r="B452" s="238" t="n">
        <v>299</v>
      </c>
      <c r="C452" s="239" t="s">
        <v>1068</v>
      </c>
      <c r="D452" s="240" t="n">
        <v>14345</v>
      </c>
      <c r="E452" s="241" t="str">
        <f aca="false">IF(D452="","",IFERROR(VLOOKUP(D452,CCN_Library!$A$4:$B$13,2,FALSE()),"NOT IN LIBRARY"))</f>
        <v>ARMORY</v>
      </c>
      <c r="F452" s="242"/>
      <c r="G452" s="243" t="s">
        <v>1516</v>
      </c>
      <c r="H452" s="244" t="str">
        <f aca="false">LEFT(I452,5)</f>
        <v>E0082</v>
      </c>
      <c r="I452" s="243" t="s">
        <v>1207</v>
      </c>
      <c r="J452" s="244" t="s">
        <v>1208</v>
      </c>
      <c r="K452" s="243" t="s">
        <v>1072</v>
      </c>
      <c r="L452" s="243" t="s">
        <v>1073</v>
      </c>
      <c r="M452" s="243" t="s">
        <v>133</v>
      </c>
      <c r="N452" s="245" t="n">
        <v>0</v>
      </c>
      <c r="O452" s="245" t="n">
        <v>0</v>
      </c>
      <c r="P452" s="245" t="n">
        <v>0</v>
      </c>
      <c r="Q452" s="251" t="n">
        <v>0.83</v>
      </c>
      <c r="R452" s="251" t="n">
        <v>0.42</v>
      </c>
      <c r="S452" s="247" t="n">
        <v>0.33</v>
      </c>
      <c r="T452" s="248" t="n">
        <f aca="false">Q452*R452*S452</f>
        <v>0.115038</v>
      </c>
      <c r="U452" s="249" t="n">
        <f aca="false">T452*P452</f>
        <v>0</v>
      </c>
      <c r="V452" s="250"/>
    </row>
    <row r="453" customFormat="false" ht="13.5" hidden="false" customHeight="true" outlineLevel="0" collapsed="false">
      <c r="B453" s="238" t="n">
        <v>302</v>
      </c>
      <c r="C453" s="239" t="s">
        <v>1074</v>
      </c>
      <c r="D453" s="240" t="n">
        <v>44112</v>
      </c>
      <c r="E453" s="241" t="str">
        <f aca="false">IF(D453="","",IFERROR(VLOOKUP(D453,CCN_Library!$A$4:$B$13,2,FALSE()),"NOT IN LIBRARY"))</f>
        <v>STORAGE OF AIR OR GROUND ORGANIC UNITS FOR MARINE CORPS</v>
      </c>
      <c r="F453" s="242"/>
      <c r="G453" s="243" t="s">
        <v>1516</v>
      </c>
      <c r="H453" s="244" t="str">
        <f aca="false">LEFT(I453,5)</f>
        <v>C0040</v>
      </c>
      <c r="I453" s="243" t="s">
        <v>1312</v>
      </c>
      <c r="J453" s="244" t="s">
        <v>1313</v>
      </c>
      <c r="K453" s="243" t="s">
        <v>1072</v>
      </c>
      <c r="L453" s="246"/>
      <c r="M453" s="243" t="s">
        <v>133</v>
      </c>
      <c r="N453" s="245" t="n">
        <v>45</v>
      </c>
      <c r="O453" s="245" t="n">
        <v>0</v>
      </c>
      <c r="P453" s="245" t="n">
        <v>45</v>
      </c>
      <c r="Q453" s="251" t="n">
        <v>0.96</v>
      </c>
      <c r="R453" s="251" t="n">
        <v>0.67</v>
      </c>
      <c r="S453" s="247" t="n">
        <v>0.42</v>
      </c>
      <c r="T453" s="248" t="n">
        <f aca="false">Q453*R453*S453</f>
        <v>0.270144</v>
      </c>
      <c r="U453" s="249" t="n">
        <f aca="false">T453*P453</f>
        <v>12.15648</v>
      </c>
      <c r="V453" s="250"/>
    </row>
    <row r="454" customFormat="false" ht="13.5" hidden="false" customHeight="true" outlineLevel="0" collapsed="false">
      <c r="B454" s="238" t="n">
        <v>304</v>
      </c>
      <c r="C454" s="239" t="s">
        <v>1077</v>
      </c>
      <c r="D454" s="240" t="n">
        <v>21710</v>
      </c>
      <c r="E454" s="241" t="str">
        <f aca="false">IF(D454="","",IFERROR(VLOOKUP(D454,CCN_Library!$A$4:$B$13,2,FALSE()),"NOT IN LIBRARY"))</f>
        <v>ELECTRONICS/COMMUNICATIONS MAINTENANCE SHOP</v>
      </c>
      <c r="F454" s="242"/>
      <c r="G454" s="243" t="s">
        <v>1516</v>
      </c>
      <c r="H454" s="244" t="str">
        <f aca="false">LEFT(I454,5)</f>
        <v>A0097</v>
      </c>
      <c r="I454" s="243" t="s">
        <v>1209</v>
      </c>
      <c r="J454" s="244" t="s">
        <v>1210</v>
      </c>
      <c r="K454" s="243" t="s">
        <v>1080</v>
      </c>
      <c r="L454" s="243" t="s">
        <v>1073</v>
      </c>
      <c r="M454" s="243" t="s">
        <v>133</v>
      </c>
      <c r="N454" s="245" t="n">
        <v>0</v>
      </c>
      <c r="O454" s="245" t="n">
        <v>1</v>
      </c>
      <c r="P454" s="245" t="n">
        <v>1</v>
      </c>
      <c r="Q454" s="251" t="n">
        <v>1.17</v>
      </c>
      <c r="R454" s="251" t="n">
        <v>0.67</v>
      </c>
      <c r="S454" s="247" t="n">
        <v>0.92</v>
      </c>
      <c r="T454" s="248" t="n">
        <f aca="false">Q454*R454*S454</f>
        <v>0.721188</v>
      </c>
      <c r="U454" s="249" t="n">
        <f aca="false">T454*P454</f>
        <v>0.721188</v>
      </c>
      <c r="V454" s="250"/>
    </row>
    <row r="455" customFormat="false" ht="13.5" hidden="false" customHeight="true" outlineLevel="0" collapsed="false">
      <c r="B455" s="238" t="n">
        <v>309</v>
      </c>
      <c r="C455" s="239" t="s">
        <v>1074</v>
      </c>
      <c r="D455" s="240" t="n">
        <v>44112</v>
      </c>
      <c r="E455" s="241" t="str">
        <f aca="false">IF(D455="","",IFERROR(VLOOKUP(D455,CCN_Library!$A$4:$B$13,2,FALSE()),"NOT IN LIBRARY"))</f>
        <v>STORAGE OF AIR OR GROUND ORGANIC UNITS FOR MARINE CORPS</v>
      </c>
      <c r="F455" s="242"/>
      <c r="G455" s="243" t="s">
        <v>1516</v>
      </c>
      <c r="H455" s="244" t="str">
        <f aca="false">LEFT(I455,5)</f>
        <v>B0008</v>
      </c>
      <c r="I455" s="243" t="s">
        <v>1157</v>
      </c>
      <c r="J455" s="244" t="s">
        <v>1158</v>
      </c>
      <c r="K455" s="243" t="s">
        <v>1072</v>
      </c>
      <c r="L455" s="243" t="s">
        <v>1073</v>
      </c>
      <c r="M455" s="243" t="s">
        <v>1116</v>
      </c>
      <c r="N455" s="245" t="n">
        <v>0</v>
      </c>
      <c r="O455" s="245" t="n">
        <v>5</v>
      </c>
      <c r="P455" s="245" t="n">
        <v>5</v>
      </c>
      <c r="Q455" s="251" t="n">
        <v>3.97</v>
      </c>
      <c r="R455" s="251" t="n">
        <v>3.08</v>
      </c>
      <c r="S455" s="247" t="n">
        <v>3.95</v>
      </c>
      <c r="T455" s="248" t="n">
        <f aca="false">Q455*R455*S455</f>
        <v>48.29902</v>
      </c>
      <c r="U455" s="249" t="n">
        <f aca="false">T455*P455</f>
        <v>241.4951</v>
      </c>
      <c r="V455" s="250"/>
    </row>
    <row r="456" customFormat="false" ht="13.5" hidden="false" customHeight="true" outlineLevel="0" collapsed="false">
      <c r="B456" s="238" t="n">
        <v>317</v>
      </c>
      <c r="C456" s="239" t="s">
        <v>1074</v>
      </c>
      <c r="D456" s="240" t="n">
        <v>44112</v>
      </c>
      <c r="E456" s="241" t="str">
        <f aca="false">IF(D456="","",IFERROR(VLOOKUP(D456,CCN_Library!$A$4:$B$13,2,FALSE()),"NOT IN LIBRARY"))</f>
        <v>STORAGE OF AIR OR GROUND ORGANIC UNITS FOR MARINE CORPS</v>
      </c>
      <c r="F456" s="242"/>
      <c r="G456" s="243" t="s">
        <v>1516</v>
      </c>
      <c r="H456" s="244" t="str">
        <f aca="false">LEFT(I456,5)</f>
        <v>C0135</v>
      </c>
      <c r="I456" s="243" t="s">
        <v>1109</v>
      </c>
      <c r="J456" s="244" t="s">
        <v>1110</v>
      </c>
      <c r="K456" s="243" t="s">
        <v>1072</v>
      </c>
      <c r="L456" s="243" t="s">
        <v>1073</v>
      </c>
      <c r="M456" s="243" t="s">
        <v>133</v>
      </c>
      <c r="N456" s="245" t="n">
        <v>180</v>
      </c>
      <c r="O456" s="245" t="n">
        <v>0</v>
      </c>
      <c r="P456" s="245" t="n">
        <v>180</v>
      </c>
      <c r="Q456" s="252" t="n">
        <v>1</v>
      </c>
      <c r="R456" s="252" t="n">
        <v>1</v>
      </c>
      <c r="S456" s="247" t="n">
        <v>0.5</v>
      </c>
      <c r="T456" s="248" t="n">
        <f aca="false">Q456*R456*S456</f>
        <v>0.5</v>
      </c>
      <c r="U456" s="249" t="n">
        <f aca="false">T456*P456</f>
        <v>90</v>
      </c>
      <c r="V456" s="250"/>
    </row>
    <row r="457" customFormat="false" ht="13.5" hidden="false" customHeight="true" outlineLevel="0" collapsed="false">
      <c r="B457" s="238" t="n">
        <v>326</v>
      </c>
      <c r="C457" s="239" t="s">
        <v>1074</v>
      </c>
      <c r="D457" s="240" t="n">
        <v>44112</v>
      </c>
      <c r="E457" s="241" t="str">
        <f aca="false">IF(D457="","",IFERROR(VLOOKUP(D457,CCN_Library!$A$4:$B$13,2,FALSE()),"NOT IN LIBRARY"))</f>
        <v>STORAGE OF AIR OR GROUND ORGANIC UNITS FOR MARINE CORPS</v>
      </c>
      <c r="F457" s="242"/>
      <c r="G457" s="243" t="s">
        <v>1516</v>
      </c>
      <c r="H457" s="244" t="str">
        <f aca="false">LEFT(I457,5)</f>
        <v>C0170</v>
      </c>
      <c r="I457" s="243" t="s">
        <v>1336</v>
      </c>
      <c r="J457" s="244" t="s">
        <v>1337</v>
      </c>
      <c r="K457" s="243" t="s">
        <v>1072</v>
      </c>
      <c r="L457" s="243" t="s">
        <v>1073</v>
      </c>
      <c r="M457" s="243" t="s">
        <v>133</v>
      </c>
      <c r="N457" s="245" t="n">
        <v>180</v>
      </c>
      <c r="O457" s="245" t="n">
        <v>0</v>
      </c>
      <c r="P457" s="245" t="n">
        <v>180</v>
      </c>
      <c r="Q457" s="252" t="n">
        <v>0</v>
      </c>
      <c r="R457" s="252" t="n">
        <v>0</v>
      </c>
      <c r="S457" s="247" t="n">
        <v>0</v>
      </c>
      <c r="T457" s="248" t="n">
        <f aca="false">Q457*R457*S457</f>
        <v>0</v>
      </c>
      <c r="U457" s="249" t="n">
        <f aca="false">T457*P457</f>
        <v>0</v>
      </c>
      <c r="V457" s="250"/>
    </row>
    <row r="458" customFormat="false" ht="13.5" hidden="false" customHeight="true" outlineLevel="0" collapsed="false">
      <c r="B458" s="238" t="n">
        <v>330</v>
      </c>
      <c r="C458" s="239" t="s">
        <v>1074</v>
      </c>
      <c r="D458" s="240" t="n">
        <v>44112</v>
      </c>
      <c r="E458" s="241" t="str">
        <f aca="false">IF(D458="","",IFERROR(VLOOKUP(D458,CCN_Library!$A$4:$B$13,2,FALSE()),"NOT IN LIBRARY"))</f>
        <v>STORAGE OF AIR OR GROUND ORGANIC UNITS FOR MARINE CORPS</v>
      </c>
      <c r="F458" s="242"/>
      <c r="G458" s="243" t="s">
        <v>1516</v>
      </c>
      <c r="H458" s="244" t="str">
        <f aca="false">LEFT(I458,5)</f>
        <v>C3414</v>
      </c>
      <c r="I458" s="243" t="s">
        <v>1338</v>
      </c>
      <c r="J458" s="244" t="s">
        <v>1339</v>
      </c>
      <c r="K458" s="243" t="s">
        <v>1072</v>
      </c>
      <c r="L458" s="243" t="s">
        <v>1073</v>
      </c>
      <c r="M458" s="243" t="s">
        <v>133</v>
      </c>
      <c r="N458" s="245" t="n">
        <v>90</v>
      </c>
      <c r="O458" s="245" t="n">
        <v>0</v>
      </c>
      <c r="P458" s="245" t="n">
        <v>90</v>
      </c>
      <c r="Q458" s="251" t="n">
        <v>2.08</v>
      </c>
      <c r="R458" s="251" t="n">
        <v>0.58</v>
      </c>
      <c r="S458" s="247" t="n">
        <v>0.58</v>
      </c>
      <c r="T458" s="248" t="n">
        <f aca="false">Q458*R458*S458</f>
        <v>0.699712</v>
      </c>
      <c r="U458" s="249" t="n">
        <f aca="false">T458*P458</f>
        <v>62.97408</v>
      </c>
      <c r="V458" s="250"/>
    </row>
    <row r="459" customFormat="false" ht="13.5" hidden="false" customHeight="true" outlineLevel="0" collapsed="false">
      <c r="B459" s="238" t="n">
        <v>332</v>
      </c>
      <c r="C459" s="239" t="s">
        <v>1074</v>
      </c>
      <c r="D459" s="240" t="n">
        <v>44112</v>
      </c>
      <c r="E459" s="241" t="str">
        <f aca="false">IF(D459="","",IFERROR(VLOOKUP(D459,CCN_Library!$A$4:$B$13,2,FALSE()),"NOT IN LIBRARY"))</f>
        <v>STORAGE OF AIR OR GROUND ORGANIC UNITS FOR MARINE CORPS</v>
      </c>
      <c r="F459" s="242"/>
      <c r="G459" s="243" t="s">
        <v>1516</v>
      </c>
      <c r="H459" s="244" t="str">
        <f aca="false">LEFT(I459,5)</f>
        <v>C0120</v>
      </c>
      <c r="I459" s="243" t="s">
        <v>1471</v>
      </c>
      <c r="J459" s="244" t="s">
        <v>1472</v>
      </c>
      <c r="K459" s="243" t="s">
        <v>1072</v>
      </c>
      <c r="L459" s="243" t="s">
        <v>1073</v>
      </c>
      <c r="M459" s="243" t="s">
        <v>133</v>
      </c>
      <c r="N459" s="245" t="n">
        <v>180</v>
      </c>
      <c r="O459" s="245" t="n">
        <v>0</v>
      </c>
      <c r="P459" s="245" t="n">
        <v>180</v>
      </c>
      <c r="Q459" s="252" t="n">
        <v>1</v>
      </c>
      <c r="R459" s="252" t="n">
        <v>1</v>
      </c>
      <c r="S459" s="247" t="n">
        <v>1</v>
      </c>
      <c r="T459" s="248" t="n">
        <f aca="false">Q459*R459*S459</f>
        <v>1</v>
      </c>
      <c r="U459" s="249" t="n">
        <f aca="false">T459*P459</f>
        <v>180</v>
      </c>
      <c r="V459" s="250"/>
    </row>
    <row r="460" customFormat="false" ht="13.5" hidden="false" customHeight="true" outlineLevel="0" collapsed="false">
      <c r="B460" s="238" t="n">
        <v>337</v>
      </c>
      <c r="C460" s="239" t="s">
        <v>1068</v>
      </c>
      <c r="D460" s="240" t="n">
        <v>14345</v>
      </c>
      <c r="E460" s="241" t="str">
        <f aca="false">IF(D460="","",IFERROR(VLOOKUP(D460,CCN_Library!$A$4:$B$13,2,FALSE()),"NOT IN LIBRARY"))</f>
        <v>ARMORY</v>
      </c>
      <c r="F460" s="242"/>
      <c r="G460" s="243" t="s">
        <v>1516</v>
      </c>
      <c r="H460" s="244" t="str">
        <f aca="false">LEFT(I460,5)</f>
        <v>C3215</v>
      </c>
      <c r="I460" s="243" t="s">
        <v>1179</v>
      </c>
      <c r="J460" s="244" t="s">
        <v>1180</v>
      </c>
      <c r="K460" s="243" t="s">
        <v>1072</v>
      </c>
      <c r="L460" s="243" t="s">
        <v>1073</v>
      </c>
      <c r="M460" s="243" t="s">
        <v>133</v>
      </c>
      <c r="N460" s="245" t="n">
        <v>162</v>
      </c>
      <c r="O460" s="245" t="n">
        <v>0</v>
      </c>
      <c r="P460" s="245" t="n">
        <v>162</v>
      </c>
      <c r="Q460" s="252" t="n">
        <v>1</v>
      </c>
      <c r="R460" s="252" t="n">
        <v>1</v>
      </c>
      <c r="S460" s="247" t="n">
        <v>1</v>
      </c>
      <c r="T460" s="248" t="n">
        <f aca="false">Q460*R460*S460</f>
        <v>1</v>
      </c>
      <c r="U460" s="249" t="n">
        <f aca="false">T460*P460</f>
        <v>162</v>
      </c>
      <c r="V460" s="250"/>
    </row>
    <row r="461" customFormat="false" ht="13.5" hidden="false" customHeight="true" outlineLevel="0" collapsed="false">
      <c r="B461" s="238" t="n">
        <v>340</v>
      </c>
      <c r="C461" s="239" t="s">
        <v>1068</v>
      </c>
      <c r="D461" s="240" t="n">
        <v>14345</v>
      </c>
      <c r="E461" s="241" t="str">
        <f aca="false">IF(D461="","",IFERROR(VLOOKUP(D461,CCN_Library!$A$4:$B$13,2,FALSE()),"NOT IN LIBRARY"))</f>
        <v>ARMORY</v>
      </c>
      <c r="F461" s="242"/>
      <c r="G461" s="243" t="s">
        <v>1516</v>
      </c>
      <c r="H461" s="244" t="str">
        <f aca="false">LEFT(I461,5)</f>
        <v>E0201</v>
      </c>
      <c r="I461" s="243" t="s">
        <v>1424</v>
      </c>
      <c r="J461" s="244" t="s">
        <v>1425</v>
      </c>
      <c r="K461" s="243" t="s">
        <v>1072</v>
      </c>
      <c r="L461" s="243" t="s">
        <v>1073</v>
      </c>
      <c r="M461" s="243" t="s">
        <v>133</v>
      </c>
      <c r="N461" s="245" t="n">
        <v>0</v>
      </c>
      <c r="O461" s="245" t="n">
        <v>0</v>
      </c>
      <c r="P461" s="245" t="n">
        <v>0</v>
      </c>
      <c r="Q461" s="246"/>
      <c r="R461" s="246"/>
      <c r="S461" s="247" t="n">
        <v>0</v>
      </c>
      <c r="T461" s="248" t="n">
        <f aca="false">Q461*R461*S461</f>
        <v>0</v>
      </c>
      <c r="U461" s="249" t="n">
        <f aca="false">T461*P461</f>
        <v>0</v>
      </c>
      <c r="V461" s="250"/>
    </row>
    <row r="462" customFormat="false" ht="13.5" hidden="false" customHeight="true" outlineLevel="0" collapsed="false">
      <c r="B462" s="238" t="n">
        <v>346</v>
      </c>
      <c r="C462" s="239" t="s">
        <v>1074</v>
      </c>
      <c r="D462" s="240" t="n">
        <v>44112</v>
      </c>
      <c r="E462" s="241" t="str">
        <f aca="false">IF(D462="","",IFERROR(VLOOKUP(D462,CCN_Library!$A$4:$B$13,2,FALSE()),"NOT IN LIBRARY"))</f>
        <v>STORAGE OF AIR OR GROUND ORGANIC UNITS FOR MARINE CORPS</v>
      </c>
      <c r="F462" s="242"/>
      <c r="G462" s="243" t="s">
        <v>1516</v>
      </c>
      <c r="H462" s="244" t="str">
        <f aca="false">LEFT(I462,5)</f>
        <v>C6632</v>
      </c>
      <c r="I462" s="243" t="s">
        <v>1430</v>
      </c>
      <c r="J462" s="244" t="s">
        <v>1431</v>
      </c>
      <c r="K462" s="243" t="s">
        <v>1072</v>
      </c>
      <c r="L462" s="243" t="s">
        <v>1099</v>
      </c>
      <c r="M462" s="243" t="s">
        <v>133</v>
      </c>
      <c r="N462" s="245" t="n">
        <v>180</v>
      </c>
      <c r="O462" s="245" t="n">
        <v>0</v>
      </c>
      <c r="P462" s="245" t="n">
        <v>180</v>
      </c>
      <c r="Q462" s="252" t="n">
        <v>1</v>
      </c>
      <c r="R462" s="251" t="n">
        <v>0.67</v>
      </c>
      <c r="S462" s="247" t="n">
        <v>0.25</v>
      </c>
      <c r="T462" s="248" t="n">
        <f aca="false">Q462*R462*S462</f>
        <v>0.1675</v>
      </c>
      <c r="U462" s="249" t="n">
        <f aca="false">T462*P462</f>
        <v>30.15</v>
      </c>
      <c r="V462" s="250"/>
    </row>
    <row r="463" customFormat="false" ht="13.5" hidden="false" customHeight="true" outlineLevel="0" collapsed="false">
      <c r="B463" s="238" t="n">
        <v>353</v>
      </c>
      <c r="C463" s="239" t="s">
        <v>1074</v>
      </c>
      <c r="D463" s="240" t="n">
        <v>44112</v>
      </c>
      <c r="E463" s="241" t="str">
        <f aca="false">IF(D463="","",IFERROR(VLOOKUP(D463,CCN_Library!$A$4:$B$13,2,FALSE()),"NOT IN LIBRARY"))</f>
        <v>STORAGE OF AIR OR GROUND ORGANIC UNITS FOR MARINE CORPS</v>
      </c>
      <c r="F463" s="242"/>
      <c r="G463" s="243" t="s">
        <v>1516</v>
      </c>
      <c r="H463" s="244" t="str">
        <f aca="false">LEFT(I463,5)</f>
        <v>C8745</v>
      </c>
      <c r="I463" s="243" t="s">
        <v>1434</v>
      </c>
      <c r="J463" s="244" t="s">
        <v>1435</v>
      </c>
      <c r="K463" s="243" t="s">
        <v>1072</v>
      </c>
      <c r="L463" s="246"/>
      <c r="M463" s="243" t="s">
        <v>1116</v>
      </c>
      <c r="N463" s="245" t="n">
        <v>0</v>
      </c>
      <c r="O463" s="245" t="n">
        <v>3</v>
      </c>
      <c r="P463" s="245" t="n">
        <v>3</v>
      </c>
      <c r="Q463" s="251" t="n">
        <v>4.25</v>
      </c>
      <c r="R463" s="251" t="n">
        <v>38.07</v>
      </c>
      <c r="S463" s="247" t="n">
        <v>4</v>
      </c>
      <c r="T463" s="248" t="n">
        <f aca="false">Q463*R463*S463</f>
        <v>647.19</v>
      </c>
      <c r="U463" s="249" t="n">
        <f aca="false">T463*P463</f>
        <v>1941.57</v>
      </c>
      <c r="V463" s="250"/>
    </row>
    <row r="464" customFormat="false" ht="13.5" hidden="false" customHeight="true" outlineLevel="0" collapsed="false">
      <c r="B464" s="238" t="n">
        <v>355</v>
      </c>
      <c r="C464" s="239" t="s">
        <v>1113</v>
      </c>
      <c r="D464" s="240" t="n">
        <v>21451</v>
      </c>
      <c r="E464" s="241" t="str">
        <f aca="false">IF(D464="","",IFERROR(VLOOKUP(D464,CCN_Library!$A$4:$B$13,2,FALSE()),"NOT IN LIBRARY"))</f>
        <v>AUTOMOTIVE ORGANIZATIONAL SHOP</v>
      </c>
      <c r="F464" s="242"/>
      <c r="G464" s="243" t="s">
        <v>1516</v>
      </c>
      <c r="H464" s="244" t="str">
        <f aca="false">LEFT(I464,5)</f>
        <v>D1001</v>
      </c>
      <c r="I464" s="243" t="s">
        <v>1403</v>
      </c>
      <c r="J464" s="244" t="s">
        <v>1404</v>
      </c>
      <c r="K464" s="243" t="s">
        <v>1072</v>
      </c>
      <c r="L464" s="243" t="s">
        <v>1073</v>
      </c>
      <c r="M464" s="243" t="s">
        <v>1116</v>
      </c>
      <c r="N464" s="245" t="n">
        <v>0</v>
      </c>
      <c r="O464" s="245" t="n">
        <v>4</v>
      </c>
      <c r="P464" s="245" t="n">
        <v>4</v>
      </c>
      <c r="Q464" s="251" t="n">
        <v>17.08</v>
      </c>
      <c r="R464" s="251" t="n">
        <v>7.17</v>
      </c>
      <c r="S464" s="247" t="n">
        <v>8.5</v>
      </c>
      <c r="T464" s="248" t="n">
        <f aca="false">Q464*R464*S464</f>
        <v>1040.9406</v>
      </c>
      <c r="U464" s="249" t="n">
        <f aca="false">T464*P464</f>
        <v>4163.7624</v>
      </c>
      <c r="V464" s="250"/>
    </row>
    <row r="465" customFormat="false" ht="13.5" hidden="false" customHeight="true" outlineLevel="0" collapsed="false">
      <c r="B465" s="238" t="n">
        <v>356</v>
      </c>
      <c r="C465" s="239" t="s">
        <v>1113</v>
      </c>
      <c r="D465" s="240" t="n">
        <v>21451</v>
      </c>
      <c r="E465" s="241" t="str">
        <f aca="false">IF(D465="","",IFERROR(VLOOKUP(D465,CCN_Library!$A$4:$B$13,2,FALSE()),"NOT IN LIBRARY"))</f>
        <v>AUTOMOTIVE ORGANIZATIONAL SHOP</v>
      </c>
      <c r="F465" s="242"/>
      <c r="G465" s="243" t="s">
        <v>1516</v>
      </c>
      <c r="H465" s="244" t="str">
        <f aca="false">LEFT(I465,5)</f>
        <v>D1002</v>
      </c>
      <c r="I465" s="243" t="s">
        <v>1487</v>
      </c>
      <c r="J465" s="244" t="s">
        <v>1488</v>
      </c>
      <c r="K465" s="243" t="s">
        <v>1072</v>
      </c>
      <c r="L465" s="243" t="s">
        <v>1073</v>
      </c>
      <c r="M465" s="243" t="s">
        <v>1116</v>
      </c>
      <c r="N465" s="245" t="n">
        <v>0</v>
      </c>
      <c r="O465" s="245" t="n">
        <v>0</v>
      </c>
      <c r="P465" s="245" t="n">
        <v>0</v>
      </c>
      <c r="Q465" s="251" t="n">
        <v>14.99</v>
      </c>
      <c r="R465" s="251" t="n">
        <v>7.17</v>
      </c>
      <c r="S465" s="247" t="n">
        <v>6</v>
      </c>
      <c r="T465" s="248" t="n">
        <f aca="false">Q465*R465*S465</f>
        <v>644.8698</v>
      </c>
      <c r="U465" s="249" t="n">
        <f aca="false">T465*P465</f>
        <v>0</v>
      </c>
      <c r="V465" s="250"/>
    </row>
    <row r="466" customFormat="false" ht="13.5" hidden="false" customHeight="true" outlineLevel="0" collapsed="false">
      <c r="B466" s="238" t="n">
        <v>360</v>
      </c>
      <c r="C466" s="239" t="s">
        <v>1074</v>
      </c>
      <c r="D466" s="240" t="n">
        <v>44112</v>
      </c>
      <c r="E466" s="241" t="str">
        <f aca="false">IF(D466="","",IFERROR(VLOOKUP(D466,CCN_Library!$A$4:$B$13,2,FALSE()),"NOT IN LIBRARY"))</f>
        <v>STORAGE OF AIR OR GROUND ORGANIC UNITS FOR MARINE CORPS</v>
      </c>
      <c r="F466" s="242"/>
      <c r="G466" s="243" t="s">
        <v>1516</v>
      </c>
      <c r="H466" s="244" t="str">
        <f aca="false">LEFT(I466,5)</f>
        <v>K4957</v>
      </c>
      <c r="I466" s="243" t="s">
        <v>1147</v>
      </c>
      <c r="J466" s="244" t="s">
        <v>1148</v>
      </c>
      <c r="K466" s="243" t="s">
        <v>1072</v>
      </c>
      <c r="L466" s="246"/>
      <c r="M466" s="243" t="s">
        <v>133</v>
      </c>
      <c r="N466" s="245" t="n">
        <v>0</v>
      </c>
      <c r="O466" s="245" t="n">
        <v>13</v>
      </c>
      <c r="P466" s="245" t="n">
        <v>13</v>
      </c>
      <c r="Q466" s="251" t="n">
        <v>2.83</v>
      </c>
      <c r="R466" s="251" t="n">
        <v>0.33</v>
      </c>
      <c r="S466" s="247" t="n">
        <v>0.17</v>
      </c>
      <c r="T466" s="248" t="n">
        <f aca="false">Q466*R466*S466</f>
        <v>0.158763</v>
      </c>
      <c r="U466" s="249" t="n">
        <f aca="false">T466*P466</f>
        <v>2.063919</v>
      </c>
      <c r="V466" s="250"/>
    </row>
    <row r="467" customFormat="false" ht="13.5" hidden="false" customHeight="true" outlineLevel="0" collapsed="false">
      <c r="B467" s="238" t="n">
        <v>367</v>
      </c>
      <c r="C467" s="239" t="s">
        <v>1074</v>
      </c>
      <c r="D467" s="240" t="n">
        <v>44112</v>
      </c>
      <c r="E467" s="241" t="str">
        <f aca="false">IF(D467="","",IFERROR(VLOOKUP(D467,CCN_Library!$A$4:$B$13,2,FALSE()),"NOT IN LIBRARY"))</f>
        <v>STORAGE OF AIR OR GROUND ORGANIC UNITS FOR MARINE CORPS</v>
      </c>
      <c r="F467" s="242"/>
      <c r="G467" s="243" t="s">
        <v>1516</v>
      </c>
      <c r="H467" s="244" t="str">
        <f aca="false">LEFT(I467,5)</f>
        <v>C0063</v>
      </c>
      <c r="I467" s="243" t="s">
        <v>1442</v>
      </c>
      <c r="J467" s="244" t="s">
        <v>1443</v>
      </c>
      <c r="K467" s="243" t="s">
        <v>1072</v>
      </c>
      <c r="L467" s="243" t="s">
        <v>1099</v>
      </c>
      <c r="M467" s="243" t="s">
        <v>133</v>
      </c>
      <c r="N467" s="245" t="n">
        <v>360</v>
      </c>
      <c r="O467" s="245" t="n">
        <v>0</v>
      </c>
      <c r="P467" s="245" t="n">
        <v>360</v>
      </c>
      <c r="Q467" s="251" t="n">
        <v>1.08</v>
      </c>
      <c r="R467" s="251" t="n">
        <v>0.75</v>
      </c>
      <c r="S467" s="247" t="n">
        <v>0.17</v>
      </c>
      <c r="T467" s="248" t="n">
        <f aca="false">Q467*R467*S467</f>
        <v>0.1377</v>
      </c>
      <c r="U467" s="249" t="n">
        <f aca="false">T467*P467</f>
        <v>49.572</v>
      </c>
      <c r="V467" s="250"/>
    </row>
    <row r="468" customFormat="false" ht="13.5" hidden="false" customHeight="true" outlineLevel="0" collapsed="false">
      <c r="B468" s="238" t="n">
        <v>371</v>
      </c>
      <c r="C468" s="239" t="s">
        <v>1074</v>
      </c>
      <c r="D468" s="240" t="n">
        <v>44112</v>
      </c>
      <c r="E468" s="241" t="str">
        <f aca="false">IF(D468="","",IFERROR(VLOOKUP(D468,CCN_Library!$A$4:$B$13,2,FALSE()),"NOT IN LIBRARY"))</f>
        <v>STORAGE OF AIR OR GROUND ORGANIC UNITS FOR MARINE CORPS</v>
      </c>
      <c r="F468" s="242"/>
      <c r="G468" s="243" t="s">
        <v>1516</v>
      </c>
      <c r="H468" s="244" t="str">
        <f aca="false">LEFT(I468,5)</f>
        <v>C0074</v>
      </c>
      <c r="I468" s="243" t="s">
        <v>1448</v>
      </c>
      <c r="J468" s="244" t="s">
        <v>1449</v>
      </c>
      <c r="K468" s="243" t="s">
        <v>1072</v>
      </c>
      <c r="L468" s="243" t="s">
        <v>1073</v>
      </c>
      <c r="M468" s="243" t="s">
        <v>133</v>
      </c>
      <c r="N468" s="245" t="n">
        <v>180</v>
      </c>
      <c r="O468" s="245" t="n">
        <v>0</v>
      </c>
      <c r="P468" s="245" t="n">
        <v>180</v>
      </c>
      <c r="Q468" s="251" t="n">
        <v>0.25</v>
      </c>
      <c r="R468" s="251" t="n">
        <v>0.08</v>
      </c>
      <c r="S468" s="247" t="n">
        <v>0.08</v>
      </c>
      <c r="T468" s="248" t="n">
        <f aca="false">Q468*R468*S468</f>
        <v>0.0016</v>
      </c>
      <c r="U468" s="249" t="n">
        <f aca="false">T468*P468</f>
        <v>0.288</v>
      </c>
      <c r="V468" s="250"/>
    </row>
    <row r="469" customFormat="false" ht="13.5" hidden="false" customHeight="true" outlineLevel="0" collapsed="false">
      <c r="B469" s="238" t="n">
        <v>374</v>
      </c>
      <c r="C469" s="239" t="s">
        <v>1074</v>
      </c>
      <c r="D469" s="240" t="n">
        <v>44112</v>
      </c>
      <c r="E469" s="241" t="str">
        <f aca="false">IF(D469="","",IFERROR(VLOOKUP(D469,CCN_Library!$A$4:$B$13,2,FALSE()),"NOT IN LIBRARY"))</f>
        <v>STORAGE OF AIR OR GROUND ORGANIC UNITS FOR MARINE CORPS</v>
      </c>
      <c r="F469" s="242"/>
      <c r="G469" s="243" t="s">
        <v>1516</v>
      </c>
      <c r="H469" s="244" t="str">
        <f aca="false">LEFT(I469,5)</f>
        <v>C0117</v>
      </c>
      <c r="I469" s="243" t="s">
        <v>1452</v>
      </c>
      <c r="J469" s="244" t="s">
        <v>1453</v>
      </c>
      <c r="K469" s="243" t="s">
        <v>1072</v>
      </c>
      <c r="L469" s="243" t="s">
        <v>1073</v>
      </c>
      <c r="M469" s="243" t="s">
        <v>133</v>
      </c>
      <c r="N469" s="245" t="n">
        <v>180</v>
      </c>
      <c r="O469" s="245" t="n">
        <v>0</v>
      </c>
      <c r="P469" s="245" t="n">
        <v>180</v>
      </c>
      <c r="Q469" s="251" t="n">
        <v>0.83</v>
      </c>
      <c r="R469" s="251" t="n">
        <v>0.5</v>
      </c>
      <c r="S469" s="247" t="n">
        <v>0.17</v>
      </c>
      <c r="T469" s="248" t="n">
        <f aca="false">Q469*R469*S469</f>
        <v>0.07055</v>
      </c>
      <c r="U469" s="249" t="n">
        <f aca="false">T469*P469</f>
        <v>12.699</v>
      </c>
      <c r="V469" s="250"/>
    </row>
    <row r="470" customFormat="false" ht="13.5" hidden="false" customHeight="true" outlineLevel="0" collapsed="false">
      <c r="B470" s="238" t="n">
        <v>375</v>
      </c>
      <c r="C470" s="239" t="s">
        <v>1068</v>
      </c>
      <c r="D470" s="240" t="n">
        <v>14345</v>
      </c>
      <c r="E470" s="241" t="str">
        <f aca="false">IF(D470="","",IFERROR(VLOOKUP(D470,CCN_Library!$A$4:$B$13,2,FALSE()),"NOT IN LIBRARY"))</f>
        <v>ARMORY</v>
      </c>
      <c r="F470" s="242"/>
      <c r="G470" s="243" t="s">
        <v>1516</v>
      </c>
      <c r="H470" s="244" t="str">
        <f aca="false">LEFT(I470,5)</f>
        <v>E0956</v>
      </c>
      <c r="I470" s="243" t="s">
        <v>1268</v>
      </c>
      <c r="J470" s="244" t="s">
        <v>1269</v>
      </c>
      <c r="K470" s="243" t="s">
        <v>1072</v>
      </c>
      <c r="L470" s="243" t="s">
        <v>1073</v>
      </c>
      <c r="M470" s="243" t="s">
        <v>133</v>
      </c>
      <c r="N470" s="245" t="n">
        <v>0</v>
      </c>
      <c r="O470" s="245" t="n">
        <v>2</v>
      </c>
      <c r="P470" s="245" t="n">
        <v>2</v>
      </c>
      <c r="Q470" s="251" t="n">
        <v>0.83</v>
      </c>
      <c r="R470" s="251" t="n">
        <v>0.08</v>
      </c>
      <c r="S470" s="247" t="n">
        <v>0.33</v>
      </c>
      <c r="T470" s="248" t="n">
        <f aca="false">Q470*R470*S470</f>
        <v>0.021912</v>
      </c>
      <c r="U470" s="249" t="n">
        <f aca="false">T470*P470</f>
        <v>0.043824</v>
      </c>
      <c r="V470" s="250"/>
    </row>
    <row r="471" customFormat="false" ht="13.5" hidden="false" customHeight="true" outlineLevel="0" collapsed="false">
      <c r="B471" s="238" t="n">
        <v>376</v>
      </c>
      <c r="C471" s="239" t="s">
        <v>1074</v>
      </c>
      <c r="D471" s="240" t="n">
        <v>44112</v>
      </c>
      <c r="E471" s="241" t="str">
        <f aca="false">IF(D471="","",IFERROR(VLOOKUP(D471,CCN_Library!$A$4:$B$13,2,FALSE()),"NOT IN LIBRARY"))</f>
        <v>STORAGE OF AIR OR GROUND ORGANIC UNITS FOR MARINE CORPS</v>
      </c>
      <c r="F471" s="242"/>
      <c r="G471" s="243" t="s">
        <v>1516</v>
      </c>
      <c r="H471" s="244" t="str">
        <f aca="false">LEFT(I471,5)</f>
        <v>C3400</v>
      </c>
      <c r="I471" s="243" t="s">
        <v>1270</v>
      </c>
      <c r="J471" s="244" t="s">
        <v>1271</v>
      </c>
      <c r="K471" s="243" t="s">
        <v>1072</v>
      </c>
      <c r="L471" s="243" t="s">
        <v>1073</v>
      </c>
      <c r="M471" s="243" t="s">
        <v>133</v>
      </c>
      <c r="N471" s="245" t="n">
        <v>180</v>
      </c>
      <c r="O471" s="245" t="n">
        <v>0</v>
      </c>
      <c r="P471" s="245" t="n">
        <v>180</v>
      </c>
      <c r="Q471" s="252" t="n">
        <v>1</v>
      </c>
      <c r="R471" s="252" t="n">
        <v>1</v>
      </c>
      <c r="S471" s="247" t="n">
        <v>0.08</v>
      </c>
      <c r="T471" s="248" t="n">
        <f aca="false">Q471*R471*S471</f>
        <v>0.08</v>
      </c>
      <c r="U471" s="249" t="n">
        <f aca="false">T471*P471</f>
        <v>14.4</v>
      </c>
      <c r="V471" s="250"/>
    </row>
    <row r="472" customFormat="false" ht="13.5" hidden="false" customHeight="true" outlineLevel="0" collapsed="false">
      <c r="B472" s="238" t="n">
        <v>377</v>
      </c>
      <c r="C472" s="239" t="s">
        <v>1074</v>
      </c>
      <c r="D472" s="240" t="n">
        <v>44112</v>
      </c>
      <c r="E472" s="241" t="str">
        <f aca="false">IF(D472="","",IFERROR(VLOOKUP(D472,CCN_Library!$A$4:$B$13,2,FALSE()),"NOT IN LIBRARY"))</f>
        <v>STORAGE OF AIR OR GROUND ORGANIC UNITS FOR MARINE CORPS</v>
      </c>
      <c r="F472" s="242"/>
      <c r="G472" s="243" t="s">
        <v>1516</v>
      </c>
      <c r="H472" s="244" t="str">
        <f aca="false">LEFT(I472,5)</f>
        <v>C0191</v>
      </c>
      <c r="I472" s="243" t="s">
        <v>1326</v>
      </c>
      <c r="J472" s="244" t="s">
        <v>1327</v>
      </c>
      <c r="K472" s="243" t="s">
        <v>1072</v>
      </c>
      <c r="L472" s="243" t="s">
        <v>1073</v>
      </c>
      <c r="M472" s="243" t="s">
        <v>133</v>
      </c>
      <c r="N472" s="245" t="n">
        <v>360</v>
      </c>
      <c r="O472" s="245" t="n">
        <v>0</v>
      </c>
      <c r="P472" s="245" t="n">
        <v>360</v>
      </c>
      <c r="Q472" s="251" t="n">
        <v>0.17</v>
      </c>
      <c r="R472" s="251" t="n">
        <v>0.33</v>
      </c>
      <c r="S472" s="247" t="n">
        <v>0.5</v>
      </c>
      <c r="T472" s="248" t="n">
        <f aca="false">Q472*R472*S472</f>
        <v>0.02805</v>
      </c>
      <c r="U472" s="249" t="n">
        <f aca="false">T472*P472</f>
        <v>10.098</v>
      </c>
      <c r="V472" s="250"/>
    </row>
    <row r="473" customFormat="false" ht="13.5" hidden="false" customHeight="true" outlineLevel="0" collapsed="false">
      <c r="B473" s="238" t="n">
        <v>379</v>
      </c>
      <c r="C473" s="239" t="s">
        <v>1074</v>
      </c>
      <c r="D473" s="240" t="n">
        <v>44112</v>
      </c>
      <c r="E473" s="241" t="str">
        <f aca="false">IF(D473="","",IFERROR(VLOOKUP(D473,CCN_Library!$A$4:$B$13,2,FALSE()),"NOT IN LIBRARY"))</f>
        <v>STORAGE OF AIR OR GROUND ORGANIC UNITS FOR MARINE CORPS</v>
      </c>
      <c r="F473" s="242"/>
      <c r="G473" s="243" t="s">
        <v>1516</v>
      </c>
      <c r="H473" s="244" t="str">
        <f aca="false">LEFT(I473,5)</f>
        <v>C3150</v>
      </c>
      <c r="I473" s="243" t="s">
        <v>1502</v>
      </c>
      <c r="J473" s="244" t="s">
        <v>1503</v>
      </c>
      <c r="K473" s="243" t="s">
        <v>1072</v>
      </c>
      <c r="L473" s="243" t="s">
        <v>1106</v>
      </c>
      <c r="M473" s="243" t="s">
        <v>133</v>
      </c>
      <c r="N473" s="245" t="n">
        <v>180</v>
      </c>
      <c r="O473" s="245" t="n">
        <v>0</v>
      </c>
      <c r="P473" s="245" t="n">
        <v>180</v>
      </c>
      <c r="Q473" s="251" t="n">
        <v>0.67</v>
      </c>
      <c r="R473" s="251" t="n">
        <v>0.42</v>
      </c>
      <c r="S473" s="247" t="n">
        <v>0.67</v>
      </c>
      <c r="T473" s="248" t="n">
        <f aca="false">Q473*R473*S473</f>
        <v>0.188538</v>
      </c>
      <c r="U473" s="249" t="n">
        <f aca="false">T473*P473</f>
        <v>33.93684</v>
      </c>
      <c r="V473" s="250"/>
    </row>
    <row r="474" customFormat="false" ht="13.5" hidden="false" customHeight="true" outlineLevel="0" collapsed="false">
      <c r="B474" s="238" t="n">
        <v>382</v>
      </c>
      <c r="C474" s="239" t="s">
        <v>1113</v>
      </c>
      <c r="D474" s="240" t="n">
        <v>21451</v>
      </c>
      <c r="E474" s="241" t="str">
        <f aca="false">IF(D474="","",IFERROR(VLOOKUP(D474,CCN_Library!$A$4:$B$13,2,FALSE()),"NOT IN LIBRARY"))</f>
        <v>AUTOMOTIVE ORGANIZATIONAL SHOP</v>
      </c>
      <c r="F474" s="242"/>
      <c r="G474" s="243" t="s">
        <v>1516</v>
      </c>
      <c r="H474" s="244" t="str">
        <f aca="false">LEFT(I474,5)</f>
        <v>D0048</v>
      </c>
      <c r="I474" s="243" t="s">
        <v>1114</v>
      </c>
      <c r="J474" s="244" t="s">
        <v>1115</v>
      </c>
      <c r="K474" s="243" t="s">
        <v>1072</v>
      </c>
      <c r="L474" s="243" t="s">
        <v>1073</v>
      </c>
      <c r="M474" s="243" t="s">
        <v>1116</v>
      </c>
      <c r="N474" s="245" t="n">
        <v>0</v>
      </c>
      <c r="O474" s="245" t="n">
        <v>3</v>
      </c>
      <c r="P474" s="245" t="n">
        <v>3</v>
      </c>
      <c r="Q474" s="251" t="n">
        <v>18.13</v>
      </c>
      <c r="R474" s="252" t="n">
        <v>8</v>
      </c>
      <c r="S474" s="247" t="n">
        <v>6.36</v>
      </c>
      <c r="T474" s="248" t="n">
        <f aca="false">Q474*R474*S474</f>
        <v>922.4544</v>
      </c>
      <c r="U474" s="249" t="n">
        <f aca="false">T474*P474</f>
        <v>2767.3632</v>
      </c>
      <c r="V474" s="250"/>
    </row>
    <row r="475" customFormat="false" ht="13.5" hidden="false" customHeight="true" outlineLevel="0" collapsed="false">
      <c r="B475" s="238" t="n">
        <v>389</v>
      </c>
      <c r="C475" s="239" t="s">
        <v>1068</v>
      </c>
      <c r="D475" s="240" t="n">
        <v>14345</v>
      </c>
      <c r="E475" s="241" t="str">
        <f aca="false">IF(D475="","",IFERROR(VLOOKUP(D475,CCN_Library!$A$4:$B$13,2,FALSE()),"NOT IN LIBRARY"))</f>
        <v>ARMORY</v>
      </c>
      <c r="F475" s="242"/>
      <c r="G475" s="243" t="s">
        <v>1516</v>
      </c>
      <c r="H475" s="244" t="str">
        <f aca="false">LEFT(I475,5)</f>
        <v>E0187</v>
      </c>
      <c r="I475" s="243" t="s">
        <v>1175</v>
      </c>
      <c r="J475" s="244" t="s">
        <v>1176</v>
      </c>
      <c r="K475" s="243" t="s">
        <v>1072</v>
      </c>
      <c r="L475" s="243" t="s">
        <v>1106</v>
      </c>
      <c r="M475" s="243" t="s">
        <v>1116</v>
      </c>
      <c r="N475" s="245" t="n">
        <v>0</v>
      </c>
      <c r="O475" s="245" t="n">
        <v>0</v>
      </c>
      <c r="P475" s="245" t="n">
        <v>0</v>
      </c>
      <c r="Q475" s="251" t="n">
        <v>0.8</v>
      </c>
      <c r="R475" s="251" t="n">
        <v>0.32</v>
      </c>
      <c r="S475" s="247" t="n">
        <v>0.37</v>
      </c>
      <c r="T475" s="248" t="n">
        <f aca="false">Q475*R475*S475</f>
        <v>0.09472</v>
      </c>
      <c r="U475" s="249" t="n">
        <f aca="false">T475*P475</f>
        <v>0</v>
      </c>
      <c r="V475" s="250"/>
    </row>
    <row r="476" customFormat="false" ht="13.5" hidden="false" customHeight="true" outlineLevel="0" collapsed="false">
      <c r="B476" s="238" t="n">
        <v>390</v>
      </c>
      <c r="C476" s="239" t="s">
        <v>1074</v>
      </c>
      <c r="D476" s="240" t="n">
        <v>44112</v>
      </c>
      <c r="E476" s="241" t="str">
        <f aca="false">IF(D476="","",IFERROR(VLOOKUP(D476,CCN_Library!$A$4:$B$13,2,FALSE()),"NOT IN LIBRARY"))</f>
        <v>STORAGE OF AIR OR GROUND ORGANIC UNITS FOR MARINE CORPS</v>
      </c>
      <c r="F476" s="242"/>
      <c r="G476" s="243" t="s">
        <v>1516</v>
      </c>
      <c r="H476" s="244" t="str">
        <f aca="false">LEFT(I476,5)</f>
        <v>K0038</v>
      </c>
      <c r="I476" s="243" t="s">
        <v>1286</v>
      </c>
      <c r="J476" s="244" t="s">
        <v>1287</v>
      </c>
      <c r="K476" s="243" t="s">
        <v>1072</v>
      </c>
      <c r="L476" s="243" t="s">
        <v>1073</v>
      </c>
      <c r="M476" s="243" t="s">
        <v>133</v>
      </c>
      <c r="N476" s="245" t="n">
        <v>0</v>
      </c>
      <c r="O476" s="245" t="n">
        <v>1</v>
      </c>
      <c r="P476" s="245" t="n">
        <v>1</v>
      </c>
      <c r="Q476" s="251" t="n">
        <v>1.18</v>
      </c>
      <c r="R476" s="251" t="n">
        <v>0.96</v>
      </c>
      <c r="S476" s="247" t="n">
        <v>0.54</v>
      </c>
      <c r="T476" s="248" t="n">
        <f aca="false">Q476*R476*S476</f>
        <v>0.611712</v>
      </c>
      <c r="U476" s="249" t="n">
        <f aca="false">T476*P476</f>
        <v>0.611712</v>
      </c>
      <c r="V476" s="250"/>
    </row>
    <row r="477" customFormat="false" ht="13.5" hidden="false" customHeight="true" outlineLevel="0" collapsed="false">
      <c r="B477" s="238" t="n">
        <v>393</v>
      </c>
      <c r="C477" s="239" t="s">
        <v>1074</v>
      </c>
      <c r="D477" s="240" t="n">
        <v>44112</v>
      </c>
      <c r="E477" s="241" t="str">
        <f aca="false">IF(D477="","",IFERROR(VLOOKUP(D477,CCN_Library!$A$4:$B$13,2,FALSE()),"NOT IN LIBRARY"))</f>
        <v>STORAGE OF AIR OR GROUND ORGANIC UNITS FOR MARINE CORPS</v>
      </c>
      <c r="F477" s="242"/>
      <c r="G477" s="243" t="s">
        <v>1516</v>
      </c>
      <c r="H477" s="244" t="str">
        <f aca="false">LEFT(I477,5)</f>
        <v>C2130</v>
      </c>
      <c r="I477" s="243" t="s">
        <v>1414</v>
      </c>
      <c r="J477" s="244" t="s">
        <v>1415</v>
      </c>
      <c r="K477" s="243" t="s">
        <v>1072</v>
      </c>
      <c r="L477" s="243" t="s">
        <v>1099</v>
      </c>
      <c r="M477" s="243" t="s">
        <v>133</v>
      </c>
      <c r="N477" s="245" t="n">
        <v>360</v>
      </c>
      <c r="O477" s="245" t="n">
        <v>0</v>
      </c>
      <c r="P477" s="245" t="n">
        <v>360</v>
      </c>
      <c r="Q477" s="251" t="n">
        <v>1.15</v>
      </c>
      <c r="R477" s="251" t="n">
        <v>0.46</v>
      </c>
      <c r="S477" s="247" t="n">
        <v>0.17</v>
      </c>
      <c r="T477" s="248" t="n">
        <f aca="false">Q477*R477*S477</f>
        <v>0.08993</v>
      </c>
      <c r="U477" s="249" t="n">
        <f aca="false">T477*P477</f>
        <v>32.3748</v>
      </c>
      <c r="V477" s="250"/>
    </row>
    <row r="478" customFormat="false" ht="13.5" hidden="false" customHeight="true" outlineLevel="0" collapsed="false">
      <c r="B478" s="238" t="n">
        <v>398</v>
      </c>
      <c r="C478" s="239" t="s">
        <v>1074</v>
      </c>
      <c r="D478" s="240" t="n">
        <v>44112</v>
      </c>
      <c r="E478" s="241" t="str">
        <f aca="false">IF(D478="","",IFERROR(VLOOKUP(D478,CCN_Library!$A$4:$B$13,2,FALSE()),"NOT IN LIBRARY"))</f>
        <v>STORAGE OF AIR OR GROUND ORGANIC UNITS FOR MARINE CORPS</v>
      </c>
      <c r="F478" s="242"/>
      <c r="G478" s="243" t="s">
        <v>1516</v>
      </c>
      <c r="H478" s="244" t="str">
        <f aca="false">LEFT(I478,5)</f>
        <v>C0218</v>
      </c>
      <c r="I478" s="243" t="s">
        <v>1475</v>
      </c>
      <c r="J478" s="244" t="s">
        <v>1476</v>
      </c>
      <c r="K478" s="243" t="s">
        <v>1072</v>
      </c>
      <c r="L478" s="243" t="s">
        <v>1477</v>
      </c>
      <c r="M478" s="243" t="s">
        <v>133</v>
      </c>
      <c r="N478" s="245" t="n">
        <v>4</v>
      </c>
      <c r="O478" s="245" t="n">
        <v>0</v>
      </c>
      <c r="P478" s="245" t="n">
        <v>4</v>
      </c>
      <c r="Q478" s="246"/>
      <c r="R478" s="246"/>
      <c r="S478" s="247" t="n">
        <v>0</v>
      </c>
      <c r="T478" s="248" t="n">
        <f aca="false">Q478*R478*S478</f>
        <v>0</v>
      </c>
      <c r="U478" s="249" t="n">
        <f aca="false">T478*P478</f>
        <v>0</v>
      </c>
      <c r="V478" s="250"/>
    </row>
    <row r="479" customFormat="false" ht="13.5" hidden="false" customHeight="true" outlineLevel="0" collapsed="false">
      <c r="B479" s="238" t="n">
        <v>406</v>
      </c>
      <c r="C479" s="239" t="s">
        <v>1074</v>
      </c>
      <c r="D479" s="240" t="n">
        <v>44112</v>
      </c>
      <c r="E479" s="241" t="str">
        <f aca="false">IF(D479="","",IFERROR(VLOOKUP(D479,CCN_Library!$A$4:$B$13,2,FALSE()),"NOT IN LIBRARY"))</f>
        <v>STORAGE OF AIR OR GROUND ORGANIC UNITS FOR MARINE CORPS</v>
      </c>
      <c r="F479" s="242"/>
      <c r="G479" s="243" t="s">
        <v>1516</v>
      </c>
      <c r="H479" s="244" t="str">
        <f aca="false">LEFT(I479,5)</f>
        <v>C8624</v>
      </c>
      <c r="I479" s="243" t="s">
        <v>1145</v>
      </c>
      <c r="J479" s="244" t="s">
        <v>1146</v>
      </c>
      <c r="K479" s="243" t="s">
        <v>1072</v>
      </c>
      <c r="L479" s="246"/>
      <c r="M479" s="243" t="s">
        <v>1116</v>
      </c>
      <c r="N479" s="245" t="n">
        <v>0</v>
      </c>
      <c r="O479" s="245" t="n">
        <v>3</v>
      </c>
      <c r="P479" s="245" t="n">
        <v>3</v>
      </c>
      <c r="Q479" s="252" t="n">
        <v>8</v>
      </c>
      <c r="R479" s="251" t="n">
        <v>4.58</v>
      </c>
      <c r="S479" s="247" t="n">
        <v>5</v>
      </c>
      <c r="T479" s="248" t="n">
        <f aca="false">Q479*R479*S479</f>
        <v>183.2</v>
      </c>
      <c r="U479" s="249" t="n">
        <f aca="false">T479*P479</f>
        <v>549.6</v>
      </c>
      <c r="V479" s="250"/>
    </row>
    <row r="480" customFormat="false" ht="13.5" hidden="false" customHeight="true" outlineLevel="0" collapsed="false">
      <c r="B480" s="238" t="n">
        <v>411</v>
      </c>
      <c r="C480" s="239" t="s">
        <v>1074</v>
      </c>
      <c r="D480" s="240" t="n">
        <v>44112</v>
      </c>
      <c r="E480" s="241" t="str">
        <f aca="false">IF(D480="","",IFERROR(VLOOKUP(D480,CCN_Library!$A$4:$B$13,2,FALSE()),"NOT IN LIBRARY"))</f>
        <v>STORAGE OF AIR OR GROUND ORGANIC UNITS FOR MARINE CORPS</v>
      </c>
      <c r="F480" s="242"/>
      <c r="G480" s="243" t="s">
        <v>1516</v>
      </c>
      <c r="H480" s="244" t="str">
        <f aca="false">LEFT(I480,5)</f>
        <v>K4148</v>
      </c>
      <c r="I480" s="243" t="s">
        <v>1358</v>
      </c>
      <c r="J480" s="244" t="s">
        <v>1359</v>
      </c>
      <c r="K480" s="243" t="s">
        <v>1080</v>
      </c>
      <c r="L480" s="243" t="s">
        <v>1073</v>
      </c>
      <c r="M480" s="243" t="s">
        <v>133</v>
      </c>
      <c r="N480" s="245" t="n">
        <v>0</v>
      </c>
      <c r="O480" s="245" t="n">
        <v>14</v>
      </c>
      <c r="P480" s="245" t="n">
        <v>14</v>
      </c>
      <c r="Q480" s="251" t="n">
        <v>0.67</v>
      </c>
      <c r="R480" s="251" t="n">
        <v>0.42</v>
      </c>
      <c r="S480" s="247" t="n">
        <v>0.08</v>
      </c>
      <c r="T480" s="248" t="n">
        <f aca="false">Q480*R480*S480</f>
        <v>0.022512</v>
      </c>
      <c r="U480" s="249" t="n">
        <f aca="false">T480*P480</f>
        <v>0.315168</v>
      </c>
      <c r="V480" s="250"/>
    </row>
    <row r="481" customFormat="false" ht="13.5" hidden="false" customHeight="true" outlineLevel="0" collapsed="false">
      <c r="B481" s="238" t="n">
        <v>412</v>
      </c>
      <c r="C481" s="239" t="s">
        <v>1074</v>
      </c>
      <c r="D481" s="240" t="n">
        <v>44112</v>
      </c>
      <c r="E481" s="241" t="str">
        <f aca="false">IF(D481="","",IFERROR(VLOOKUP(D481,CCN_Library!$A$4:$B$13,2,FALSE()),"NOT IN LIBRARY"))</f>
        <v>STORAGE OF AIR OR GROUND ORGANIC UNITS FOR MARINE CORPS</v>
      </c>
      <c r="F481" s="242"/>
      <c r="G481" s="243" t="s">
        <v>1516</v>
      </c>
      <c r="H481" s="244" t="str">
        <f aca="false">LEFT(I481,5)</f>
        <v>K4182</v>
      </c>
      <c r="I481" s="243" t="s">
        <v>1197</v>
      </c>
      <c r="J481" s="244" t="s">
        <v>1198</v>
      </c>
      <c r="K481" s="243" t="s">
        <v>1072</v>
      </c>
      <c r="L481" s="243" t="s">
        <v>1073</v>
      </c>
      <c r="M481" s="243" t="s">
        <v>133</v>
      </c>
      <c r="N481" s="245" t="n">
        <v>0</v>
      </c>
      <c r="O481" s="245" t="n">
        <v>2</v>
      </c>
      <c r="P481" s="245" t="n">
        <v>2</v>
      </c>
      <c r="Q481" s="252" t="n">
        <v>0</v>
      </c>
      <c r="R481" s="252" t="n">
        <v>0</v>
      </c>
      <c r="S481" s="247" t="n">
        <v>0</v>
      </c>
      <c r="T481" s="248" t="n">
        <f aca="false">Q481*R481*S481</f>
        <v>0</v>
      </c>
      <c r="U481" s="249" t="n">
        <f aca="false">T481*P481</f>
        <v>0</v>
      </c>
      <c r="V481" s="250"/>
    </row>
    <row r="482" customFormat="false" ht="13.5" hidden="false" customHeight="true" outlineLevel="0" collapsed="false">
      <c r="B482" s="238" t="n">
        <v>414</v>
      </c>
      <c r="C482" s="239" t="s">
        <v>1074</v>
      </c>
      <c r="D482" s="240" t="n">
        <v>44112</v>
      </c>
      <c r="E482" s="241" t="str">
        <f aca="false">IF(D482="","",IFERROR(VLOOKUP(D482,CCN_Library!$A$4:$B$13,2,FALSE()),"NOT IN LIBRARY"))</f>
        <v>STORAGE OF AIR OR GROUND ORGANIC UNITS FOR MARINE CORPS</v>
      </c>
      <c r="F482" s="242"/>
      <c r="G482" s="243" t="s">
        <v>1516</v>
      </c>
      <c r="H482" s="244" t="str">
        <f aca="false">LEFT(I482,5)</f>
        <v>C4433</v>
      </c>
      <c r="I482" s="243" t="s">
        <v>1307</v>
      </c>
      <c r="J482" s="244" t="s">
        <v>1308</v>
      </c>
      <c r="K482" s="243" t="s">
        <v>1072</v>
      </c>
      <c r="L482" s="243" t="s">
        <v>1073</v>
      </c>
      <c r="M482" s="243" t="s">
        <v>133</v>
      </c>
      <c r="N482" s="245" t="n">
        <v>0</v>
      </c>
      <c r="O482" s="245" t="n">
        <v>17</v>
      </c>
      <c r="P482" s="245" t="n">
        <v>17</v>
      </c>
      <c r="Q482" s="251" t="n">
        <v>4.75</v>
      </c>
      <c r="R482" s="252" t="n">
        <v>8</v>
      </c>
      <c r="S482" s="247" t="n">
        <v>6.83</v>
      </c>
      <c r="T482" s="248" t="n">
        <f aca="false">Q482*R482*S482</f>
        <v>259.54</v>
      </c>
      <c r="U482" s="249" t="n">
        <f aca="false">T482*P482</f>
        <v>4412.18</v>
      </c>
      <c r="V482" s="250"/>
    </row>
    <row r="483" customFormat="false" ht="13.5" hidden="false" customHeight="true" outlineLevel="0" collapsed="false">
      <c r="B483" s="238" t="n">
        <v>419</v>
      </c>
      <c r="C483" s="239" t="s">
        <v>1074</v>
      </c>
      <c r="D483" s="240" t="n">
        <v>44112</v>
      </c>
      <c r="E483" s="241" t="str">
        <f aca="false">IF(D483="","",IFERROR(VLOOKUP(D483,CCN_Library!$A$4:$B$13,2,FALSE()),"NOT IN LIBRARY"))</f>
        <v>STORAGE OF AIR OR GROUND ORGANIC UNITS FOR MARINE CORPS</v>
      </c>
      <c r="F483" s="242"/>
      <c r="G483" s="243" t="s">
        <v>1516</v>
      </c>
      <c r="H483" s="244" t="str">
        <f aca="false">LEFT(I483,5)</f>
        <v>C0188</v>
      </c>
      <c r="I483" s="243" t="s">
        <v>1407</v>
      </c>
      <c r="J483" s="244" t="s">
        <v>1261</v>
      </c>
      <c r="K483" s="243" t="s">
        <v>1072</v>
      </c>
      <c r="L483" s="243" t="s">
        <v>1073</v>
      </c>
      <c r="M483" s="243" t="s">
        <v>133</v>
      </c>
      <c r="N483" s="245" t="n">
        <v>0</v>
      </c>
      <c r="O483" s="245" t="n">
        <v>0</v>
      </c>
      <c r="P483" s="245" t="n">
        <v>0</v>
      </c>
      <c r="Q483" s="251" t="n">
        <v>0.33</v>
      </c>
      <c r="R483" s="251" t="n">
        <v>0.17</v>
      </c>
      <c r="S483" s="247" t="n">
        <v>0.25</v>
      </c>
      <c r="T483" s="248" t="n">
        <f aca="false">Q483*R483*S483</f>
        <v>0.014025</v>
      </c>
      <c r="U483" s="249" t="n">
        <f aca="false">T483*P483</f>
        <v>0</v>
      </c>
      <c r="V483" s="250"/>
    </row>
    <row r="484" customFormat="false" ht="13.5" hidden="false" customHeight="true" outlineLevel="0" collapsed="false">
      <c r="B484" s="238" t="n">
        <v>420</v>
      </c>
      <c r="C484" s="239" t="s">
        <v>1068</v>
      </c>
      <c r="D484" s="240" t="n">
        <v>14345</v>
      </c>
      <c r="E484" s="241" t="str">
        <f aca="false">IF(D484="","",IFERROR(VLOOKUP(D484,CCN_Library!$A$4:$B$13,2,FALSE()),"NOT IN LIBRARY"))</f>
        <v>ARMORY</v>
      </c>
      <c r="F484" s="242"/>
      <c r="G484" s="243" t="s">
        <v>1516</v>
      </c>
      <c r="H484" s="244" t="str">
        <f aca="false">LEFT(I484,5)</f>
        <v>E0114</v>
      </c>
      <c r="I484" s="243" t="s">
        <v>1371</v>
      </c>
      <c r="J484" s="244" t="s">
        <v>1372</v>
      </c>
      <c r="K484" s="243" t="s">
        <v>1072</v>
      </c>
      <c r="L484" s="243" t="s">
        <v>1073</v>
      </c>
      <c r="M484" s="243" t="s">
        <v>133</v>
      </c>
      <c r="N484" s="245" t="n">
        <v>0</v>
      </c>
      <c r="O484" s="245" t="n">
        <v>0</v>
      </c>
      <c r="P484" s="245" t="n">
        <v>0</v>
      </c>
      <c r="Q484" s="251" t="n">
        <v>0.9</v>
      </c>
      <c r="R484" s="251" t="n">
        <v>0.24</v>
      </c>
      <c r="S484" s="247" t="n">
        <v>0.23</v>
      </c>
      <c r="T484" s="248" t="n">
        <f aca="false">Q484*R484*S484</f>
        <v>0.04968</v>
      </c>
      <c r="U484" s="249" t="n">
        <f aca="false">T484*P484</f>
        <v>0</v>
      </c>
      <c r="V484" s="250"/>
    </row>
    <row r="485" customFormat="false" ht="13.5" hidden="false" customHeight="true" outlineLevel="0" collapsed="false">
      <c r="B485" s="238" t="n">
        <v>428</v>
      </c>
      <c r="C485" s="239" t="s">
        <v>1074</v>
      </c>
      <c r="D485" s="240" t="n">
        <v>44112</v>
      </c>
      <c r="E485" s="241" t="str">
        <f aca="false">IF(D485="","",IFERROR(VLOOKUP(D485,CCN_Library!$A$4:$B$13,2,FALSE()),"NOT IN LIBRARY"))</f>
        <v>STORAGE OF AIR OR GROUND ORGANIC UNITS FOR MARINE CORPS</v>
      </c>
      <c r="F485" s="242"/>
      <c r="G485" s="243" t="s">
        <v>1516</v>
      </c>
      <c r="H485" s="244" t="str">
        <f aca="false">LEFT(I485,5)</f>
        <v>C5440</v>
      </c>
      <c r="I485" s="243" t="s">
        <v>1165</v>
      </c>
      <c r="J485" s="244" t="s">
        <v>1166</v>
      </c>
      <c r="K485" s="243" t="s">
        <v>1072</v>
      </c>
      <c r="L485" s="243" t="s">
        <v>1073</v>
      </c>
      <c r="M485" s="243" t="s">
        <v>133</v>
      </c>
      <c r="N485" s="245" t="n">
        <v>180</v>
      </c>
      <c r="O485" s="245" t="n">
        <v>0</v>
      </c>
      <c r="P485" s="245" t="n">
        <v>180</v>
      </c>
      <c r="Q485" s="251" t="n">
        <v>1.33</v>
      </c>
      <c r="R485" s="251" t="n">
        <v>0.67</v>
      </c>
      <c r="S485" s="247" t="n">
        <v>1</v>
      </c>
      <c r="T485" s="248" t="n">
        <f aca="false">Q485*R485*S485</f>
        <v>0.8911</v>
      </c>
      <c r="U485" s="249" t="n">
        <f aca="false">T485*P485</f>
        <v>160.398</v>
      </c>
      <c r="V485" s="250"/>
    </row>
    <row r="486" customFormat="false" ht="13.5" hidden="false" customHeight="true" outlineLevel="0" collapsed="false">
      <c r="B486" s="238" t="n">
        <v>434</v>
      </c>
      <c r="C486" s="239" t="s">
        <v>1074</v>
      </c>
      <c r="D486" s="240" t="n">
        <v>44112</v>
      </c>
      <c r="E486" s="241" t="str">
        <f aca="false">IF(D486="","",IFERROR(VLOOKUP(D486,CCN_Library!$A$4:$B$13,2,FALSE()),"NOT IN LIBRARY"))</f>
        <v>STORAGE OF AIR OR GROUND ORGANIC UNITS FOR MARINE CORPS</v>
      </c>
      <c r="F486" s="242"/>
      <c r="G486" s="243" t="s">
        <v>1516</v>
      </c>
      <c r="H486" s="244" t="str">
        <f aca="false">LEFT(I486,5)</f>
        <v>B2130</v>
      </c>
      <c r="I486" s="243" t="s">
        <v>1222</v>
      </c>
      <c r="J486" s="244" t="s">
        <v>1223</v>
      </c>
      <c r="K486" s="243" t="s">
        <v>1072</v>
      </c>
      <c r="L486" s="243" t="s">
        <v>1073</v>
      </c>
      <c r="M486" s="246"/>
      <c r="N486" s="245" t="n">
        <v>0</v>
      </c>
      <c r="O486" s="245" t="n">
        <v>2</v>
      </c>
      <c r="P486" s="245" t="n">
        <v>2</v>
      </c>
      <c r="Q486" s="251" t="n">
        <v>2.33</v>
      </c>
      <c r="R486" s="251" t="n">
        <v>3.92</v>
      </c>
      <c r="S486" s="247" t="n">
        <v>1.42</v>
      </c>
      <c r="T486" s="248" t="n">
        <f aca="false">Q486*R486*S486</f>
        <v>12.969712</v>
      </c>
      <c r="U486" s="249" t="n">
        <f aca="false">T486*P486</f>
        <v>25.939424</v>
      </c>
      <c r="V486" s="250"/>
    </row>
    <row r="487" customFormat="false" ht="13.5" hidden="false" customHeight="true" outlineLevel="0" collapsed="false">
      <c r="B487" s="238" t="n">
        <v>436</v>
      </c>
      <c r="C487" s="239" t="s">
        <v>1077</v>
      </c>
      <c r="D487" s="240" t="n">
        <v>21710</v>
      </c>
      <c r="E487" s="241" t="str">
        <f aca="false">IF(D487="","",IFERROR(VLOOKUP(D487,CCN_Library!$A$4:$B$13,2,FALSE()),"NOT IN LIBRARY"))</f>
        <v>ELECTRONICS/COMMUNICATIONS MAINTENANCE SHOP</v>
      </c>
      <c r="F487" s="242"/>
      <c r="G487" s="243" t="s">
        <v>1516</v>
      </c>
      <c r="H487" s="244" t="str">
        <f aca="false">LEFT(I487,5)</f>
        <v>A9300</v>
      </c>
      <c r="I487" s="243" t="s">
        <v>1508</v>
      </c>
      <c r="J487" s="244" t="s">
        <v>1509</v>
      </c>
      <c r="K487" s="243" t="s">
        <v>1072</v>
      </c>
      <c r="L487" s="243" t="s">
        <v>1073</v>
      </c>
      <c r="M487" s="243" t="s">
        <v>133</v>
      </c>
      <c r="N487" s="245" t="n">
        <v>0</v>
      </c>
      <c r="O487" s="245" t="n">
        <v>0</v>
      </c>
      <c r="P487" s="245" t="n">
        <v>0</v>
      </c>
      <c r="Q487" s="251" t="n">
        <v>1.42</v>
      </c>
      <c r="R487" s="251" t="n">
        <v>0.58</v>
      </c>
      <c r="S487" s="247" t="n">
        <v>1.33</v>
      </c>
      <c r="T487" s="248" t="n">
        <f aca="false">Q487*R487*S487</f>
        <v>1.095388</v>
      </c>
      <c r="U487" s="249" t="n">
        <f aca="false">T487*P487</f>
        <v>0</v>
      </c>
      <c r="V487" s="250"/>
    </row>
    <row r="488" customFormat="false" ht="13.5" hidden="false" customHeight="true" outlineLevel="0" collapsed="false">
      <c r="B488" s="238" t="n">
        <v>443</v>
      </c>
      <c r="C488" s="239" t="s">
        <v>1068</v>
      </c>
      <c r="D488" s="240" t="n">
        <v>14345</v>
      </c>
      <c r="E488" s="241" t="str">
        <f aca="false">IF(D488="","",IFERROR(VLOOKUP(D488,CCN_Library!$A$4:$B$13,2,FALSE()),"NOT IN LIBRARY"))</f>
        <v>ARMORY</v>
      </c>
      <c r="F488" s="242"/>
      <c r="G488" s="243" t="s">
        <v>1516</v>
      </c>
      <c r="H488" s="244" t="str">
        <f aca="false">LEFT(I488,5)</f>
        <v>E0127</v>
      </c>
      <c r="I488" s="243" t="s">
        <v>1422</v>
      </c>
      <c r="J488" s="244" t="s">
        <v>1423</v>
      </c>
      <c r="K488" s="243" t="s">
        <v>1072</v>
      </c>
      <c r="L488" s="243" t="s">
        <v>1073</v>
      </c>
      <c r="M488" s="243" t="s">
        <v>133</v>
      </c>
      <c r="N488" s="245" t="n">
        <v>0</v>
      </c>
      <c r="O488" s="245" t="n">
        <v>0</v>
      </c>
      <c r="P488" s="245" t="n">
        <v>0</v>
      </c>
      <c r="Q488" s="251" t="n">
        <v>0.54</v>
      </c>
      <c r="R488" s="251" t="n">
        <v>0.12</v>
      </c>
      <c r="S488" s="247" t="n">
        <v>0.12</v>
      </c>
      <c r="T488" s="248" t="n">
        <f aca="false">Q488*R488*S488</f>
        <v>0.007776</v>
      </c>
      <c r="U488" s="249" t="n">
        <f aca="false">T488*P488</f>
        <v>0</v>
      </c>
      <c r="V488" s="250"/>
    </row>
    <row r="489" customFormat="false" ht="13.5" hidden="false" customHeight="true" outlineLevel="0" collapsed="false">
      <c r="B489" s="238" t="n">
        <v>450</v>
      </c>
      <c r="C489" s="239" t="s">
        <v>1074</v>
      </c>
      <c r="D489" s="240" t="n">
        <v>44112</v>
      </c>
      <c r="E489" s="241" t="str">
        <f aca="false">IF(D489="","",IFERROR(VLOOKUP(D489,CCN_Library!$A$4:$B$13,2,FALSE()),"NOT IN LIBRARY"))</f>
        <v>STORAGE OF AIR OR GROUND ORGANIC UNITS FOR MARINE CORPS</v>
      </c>
      <c r="F489" s="242"/>
      <c r="G489" s="243" t="s">
        <v>1516</v>
      </c>
      <c r="H489" s="244" t="str">
        <f aca="false">LEFT(I489,5)</f>
        <v>C8614</v>
      </c>
      <c r="I489" s="243" t="s">
        <v>1143</v>
      </c>
      <c r="J489" s="244" t="s">
        <v>1144</v>
      </c>
      <c r="K489" s="243" t="s">
        <v>1072</v>
      </c>
      <c r="L489" s="246"/>
      <c r="M489" s="243" t="s">
        <v>133</v>
      </c>
      <c r="N489" s="245" t="n">
        <v>0</v>
      </c>
      <c r="O489" s="245" t="n">
        <v>3</v>
      </c>
      <c r="P489" s="245" t="n">
        <v>3</v>
      </c>
      <c r="Q489" s="251" t="n">
        <v>5.58</v>
      </c>
      <c r="R489" s="251" t="n">
        <v>2.42</v>
      </c>
      <c r="S489" s="247" t="n">
        <v>2.33</v>
      </c>
      <c r="T489" s="248" t="n">
        <f aca="false">Q489*R489*S489</f>
        <v>31.463388</v>
      </c>
      <c r="U489" s="249" t="n">
        <f aca="false">T489*P489</f>
        <v>94.390164</v>
      </c>
      <c r="V489" s="250"/>
    </row>
    <row r="490" customFormat="false" ht="13.5" hidden="false" customHeight="true" outlineLevel="0" collapsed="false">
      <c r="B490" s="238" t="n">
        <v>452</v>
      </c>
      <c r="C490" s="239" t="s">
        <v>1074</v>
      </c>
      <c r="D490" s="240" t="n">
        <v>44112</v>
      </c>
      <c r="E490" s="241" t="str">
        <f aca="false">IF(D490="","",IFERROR(VLOOKUP(D490,CCN_Library!$A$4:$B$13,2,FALSE()),"NOT IN LIBRARY"))</f>
        <v>STORAGE OF AIR OR GROUND ORGANIC UNITS FOR MARINE CORPS</v>
      </c>
      <c r="F490" s="242"/>
      <c r="G490" s="243" t="s">
        <v>1516</v>
      </c>
      <c r="H490" s="244" t="str">
        <f aca="false">LEFT(I490,5)</f>
        <v>C8700</v>
      </c>
      <c r="I490" s="243" t="s">
        <v>1356</v>
      </c>
      <c r="J490" s="244" t="s">
        <v>1357</v>
      </c>
      <c r="K490" s="243" t="s">
        <v>1072</v>
      </c>
      <c r="L490" s="246"/>
      <c r="M490" s="243" t="s">
        <v>133</v>
      </c>
      <c r="N490" s="245" t="n">
        <v>0</v>
      </c>
      <c r="O490" s="245" t="n">
        <v>12</v>
      </c>
      <c r="P490" s="245" t="n">
        <v>12</v>
      </c>
      <c r="Q490" s="252" t="n">
        <v>4</v>
      </c>
      <c r="R490" s="251" t="n">
        <v>4.58</v>
      </c>
      <c r="S490" s="247" t="n">
        <v>4.91</v>
      </c>
      <c r="T490" s="248" t="n">
        <f aca="false">Q490*R490*S490</f>
        <v>89.9512</v>
      </c>
      <c r="U490" s="249" t="n">
        <f aca="false">T490*P490</f>
        <v>1079.4144</v>
      </c>
      <c r="V490" s="250"/>
    </row>
    <row r="491" customFormat="false" ht="13.5" hidden="false" customHeight="true" outlineLevel="0" collapsed="false">
      <c r="B491" s="238" t="n">
        <v>459</v>
      </c>
      <c r="C491" s="239" t="s">
        <v>1068</v>
      </c>
      <c r="D491" s="240" t="n">
        <v>14345</v>
      </c>
      <c r="E491" s="241" t="str">
        <f aca="false">IF(D491="","",IFERROR(VLOOKUP(D491,CCN_Library!$A$4:$B$13,2,FALSE()),"NOT IN LIBRARY"))</f>
        <v>ARMORY</v>
      </c>
      <c r="F491" s="242"/>
      <c r="G491" s="243" t="s">
        <v>1516</v>
      </c>
      <c r="H491" s="244" t="str">
        <f aca="false">LEFT(I491,5)</f>
        <v>E0994</v>
      </c>
      <c r="I491" s="243" t="s">
        <v>1203</v>
      </c>
      <c r="J491" s="244" t="s">
        <v>1204</v>
      </c>
      <c r="K491" s="243" t="s">
        <v>1072</v>
      </c>
      <c r="L491" s="243" t="s">
        <v>1073</v>
      </c>
      <c r="M491" s="243" t="s">
        <v>148</v>
      </c>
      <c r="N491" s="245" t="n">
        <v>0</v>
      </c>
      <c r="O491" s="245" t="n">
        <v>2</v>
      </c>
      <c r="P491" s="245" t="n">
        <v>2</v>
      </c>
      <c r="Q491" s="251" t="n">
        <v>3.67</v>
      </c>
      <c r="R491" s="251" t="n">
        <v>1.17</v>
      </c>
      <c r="S491" s="247" t="n">
        <v>0.75</v>
      </c>
      <c r="T491" s="248" t="n">
        <f aca="false">Q491*R491*S491</f>
        <v>3.220425</v>
      </c>
      <c r="U491" s="249" t="n">
        <f aca="false">T491*P491</f>
        <v>6.44085</v>
      </c>
      <c r="V491" s="250"/>
    </row>
    <row r="492" customFormat="false" ht="13.5" hidden="false" customHeight="true" outlineLevel="0" collapsed="false">
      <c r="B492" s="238" t="n">
        <v>465</v>
      </c>
      <c r="C492" s="239" t="s">
        <v>1074</v>
      </c>
      <c r="D492" s="240" t="n">
        <v>44112</v>
      </c>
      <c r="E492" s="241" t="str">
        <f aca="false">IF(D492="","",IFERROR(VLOOKUP(D492,CCN_Library!$A$4:$B$13,2,FALSE()),"NOT IN LIBRARY"))</f>
        <v>STORAGE OF AIR OR GROUND ORGANIC UNITS FOR MARINE CORPS</v>
      </c>
      <c r="F492" s="242"/>
      <c r="G492" s="243" t="s">
        <v>1516</v>
      </c>
      <c r="H492" s="244" t="str">
        <f aca="false">LEFT(I492,5)</f>
        <v>C1107</v>
      </c>
      <c r="I492" s="243" t="s">
        <v>1367</v>
      </c>
      <c r="J492" s="244" t="s">
        <v>1368</v>
      </c>
      <c r="K492" s="243" t="s">
        <v>1072</v>
      </c>
      <c r="L492" s="243" t="s">
        <v>1099</v>
      </c>
      <c r="M492" s="243" t="s">
        <v>133</v>
      </c>
      <c r="N492" s="245" t="n">
        <v>180</v>
      </c>
      <c r="O492" s="245" t="n">
        <v>0</v>
      </c>
      <c r="P492" s="245" t="n">
        <v>180</v>
      </c>
      <c r="Q492" s="252" t="n">
        <v>1</v>
      </c>
      <c r="R492" s="251" t="n">
        <v>0.5</v>
      </c>
      <c r="S492" s="247" t="n">
        <v>0.08</v>
      </c>
      <c r="T492" s="248" t="n">
        <f aca="false">Q492*R492*S492</f>
        <v>0.04</v>
      </c>
      <c r="U492" s="249" t="n">
        <f aca="false">T492*P492</f>
        <v>7.2</v>
      </c>
      <c r="V492" s="250"/>
    </row>
    <row r="493" customFormat="false" ht="13.5" hidden="false" customHeight="true" outlineLevel="0" collapsed="false">
      <c r="B493" s="238" t="n">
        <v>466</v>
      </c>
      <c r="C493" s="239" t="s">
        <v>1074</v>
      </c>
      <c r="D493" s="240" t="n">
        <v>44112</v>
      </c>
      <c r="E493" s="241" t="str">
        <f aca="false">IF(D493="","",IFERROR(VLOOKUP(D493,CCN_Library!$A$4:$B$13,2,FALSE()),"NOT IN LIBRARY"))</f>
        <v>STORAGE OF AIR OR GROUND ORGANIC UNITS FOR MARINE CORPS</v>
      </c>
      <c r="F493" s="242"/>
      <c r="G493" s="243" t="s">
        <v>1516</v>
      </c>
      <c r="H493" s="244" t="str">
        <f aca="false">LEFT(I493,5)</f>
        <v>C0189</v>
      </c>
      <c r="I493" s="243" t="s">
        <v>1369</v>
      </c>
      <c r="J493" s="244" t="s">
        <v>1370</v>
      </c>
      <c r="K493" s="243" t="s">
        <v>1072</v>
      </c>
      <c r="L493" s="243" t="s">
        <v>1073</v>
      </c>
      <c r="M493" s="243" t="s">
        <v>133</v>
      </c>
      <c r="N493" s="245" t="n">
        <v>0</v>
      </c>
      <c r="O493" s="245" t="n">
        <v>0</v>
      </c>
      <c r="P493" s="245" t="n">
        <v>0</v>
      </c>
      <c r="Q493" s="251" t="n">
        <v>0.58</v>
      </c>
      <c r="R493" s="251" t="n">
        <v>0.58</v>
      </c>
      <c r="S493" s="247" t="n">
        <v>0.42</v>
      </c>
      <c r="T493" s="248" t="n">
        <f aca="false">Q493*R493*S493</f>
        <v>0.141288</v>
      </c>
      <c r="U493" s="249" t="n">
        <f aca="false">T493*P493</f>
        <v>0</v>
      </c>
      <c r="V493" s="250"/>
    </row>
    <row r="494" customFormat="false" ht="13.5" hidden="false" customHeight="true" outlineLevel="0" collapsed="false">
      <c r="B494" s="238" t="n">
        <v>468</v>
      </c>
      <c r="C494" s="239" t="s">
        <v>1113</v>
      </c>
      <c r="D494" s="240" t="n">
        <v>21451</v>
      </c>
      <c r="E494" s="241" t="str">
        <f aca="false">IF(D494="","",IFERROR(VLOOKUP(D494,CCN_Library!$A$4:$B$13,2,FALSE()),"NOT IN LIBRARY"))</f>
        <v>AUTOMOTIVE ORGANIZATIONAL SHOP</v>
      </c>
      <c r="F494" s="242"/>
      <c r="G494" s="243" t="s">
        <v>1516</v>
      </c>
      <c r="H494" s="244" t="str">
        <f aca="false">LEFT(I494,5)</f>
        <v>D0058</v>
      </c>
      <c r="I494" s="243" t="s">
        <v>1446</v>
      </c>
      <c r="J494" s="244" t="s">
        <v>1447</v>
      </c>
      <c r="K494" s="243" t="s">
        <v>1072</v>
      </c>
      <c r="L494" s="243" t="s">
        <v>1073</v>
      </c>
      <c r="M494" s="243" t="s">
        <v>133</v>
      </c>
      <c r="N494" s="245" t="n">
        <v>0</v>
      </c>
      <c r="O494" s="245" t="n">
        <v>1</v>
      </c>
      <c r="P494" s="245" t="n">
        <v>1</v>
      </c>
      <c r="Q494" s="246"/>
      <c r="R494" s="246"/>
      <c r="S494" s="247" t="n">
        <v>0</v>
      </c>
      <c r="T494" s="248" t="n">
        <f aca="false">Q494*R494*S494</f>
        <v>0</v>
      </c>
      <c r="U494" s="249" t="n">
        <f aca="false">T494*P494</f>
        <v>0</v>
      </c>
      <c r="V494" s="250"/>
    </row>
    <row r="495" customFormat="false" ht="13.5" hidden="false" customHeight="true" outlineLevel="0" collapsed="false">
      <c r="B495" s="238" t="n">
        <v>471</v>
      </c>
      <c r="C495" s="239" t="s">
        <v>1131</v>
      </c>
      <c r="D495" s="240" t="n">
        <v>14312</v>
      </c>
      <c r="E495" s="241" t="str">
        <f aca="false">IF(D495="","",IFERROR(VLOOKUP(D495,CCN_Library!$A$4:$B$13,2,FALSE()),"NOT IN LIBRARY"))</f>
        <v>OPERATIONAL VEHICLE LAYDOWN AREA</v>
      </c>
      <c r="F495" s="242"/>
      <c r="G495" s="243" t="s">
        <v>1516</v>
      </c>
      <c r="H495" s="244" t="str">
        <f aca="false">LEFT(I495,5)</f>
        <v>B1021</v>
      </c>
      <c r="I495" s="243" t="s">
        <v>1450</v>
      </c>
      <c r="J495" s="244" t="s">
        <v>1451</v>
      </c>
      <c r="K495" s="243" t="s">
        <v>1072</v>
      </c>
      <c r="L495" s="243" t="s">
        <v>1073</v>
      </c>
      <c r="M495" s="243" t="s">
        <v>1116</v>
      </c>
      <c r="N495" s="245" t="n">
        <v>0</v>
      </c>
      <c r="O495" s="245" t="n">
        <v>6</v>
      </c>
      <c r="P495" s="245" t="n">
        <v>6</v>
      </c>
      <c r="Q495" s="251" t="n">
        <v>6.83</v>
      </c>
      <c r="R495" s="252" t="n">
        <v>3</v>
      </c>
      <c r="S495" s="247" t="n">
        <v>4.4</v>
      </c>
      <c r="T495" s="248" t="n">
        <f aca="false">Q495*R495*S495</f>
        <v>90.156</v>
      </c>
      <c r="U495" s="249" t="n">
        <f aca="false">T495*P495</f>
        <v>540.936</v>
      </c>
      <c r="V495" s="250"/>
    </row>
    <row r="496" customFormat="false" ht="13.5" hidden="false" customHeight="true" outlineLevel="0" collapsed="false">
      <c r="B496" s="238" t="n">
        <v>479</v>
      </c>
      <c r="C496" s="239" t="s">
        <v>1077</v>
      </c>
      <c r="D496" s="240" t="n">
        <v>21710</v>
      </c>
      <c r="E496" s="241" t="str">
        <f aca="false">IF(D496="","",IFERROR(VLOOKUP(D496,CCN_Library!$A$4:$B$13,2,FALSE()),"NOT IN LIBRARY"))</f>
        <v>ELECTRONICS/COMMUNICATIONS MAINTENANCE SHOP</v>
      </c>
      <c r="F496" s="242"/>
      <c r="G496" s="243" t="s">
        <v>1516</v>
      </c>
      <c r="H496" s="244" t="str">
        <f aca="false">LEFT(I496,5)</f>
        <v>A1260</v>
      </c>
      <c r="I496" s="243" t="s">
        <v>1274</v>
      </c>
      <c r="J496" s="244" t="s">
        <v>1275</v>
      </c>
      <c r="K496" s="243" t="s">
        <v>1072</v>
      </c>
      <c r="L496" s="243" t="s">
        <v>1073</v>
      </c>
      <c r="M496" s="246"/>
      <c r="N496" s="245" t="n">
        <v>0</v>
      </c>
      <c r="O496" s="245" t="n">
        <v>9</v>
      </c>
      <c r="P496" s="245" t="n">
        <v>9</v>
      </c>
      <c r="Q496" s="251" t="n">
        <v>0.58</v>
      </c>
      <c r="R496" s="251" t="n">
        <v>0.33</v>
      </c>
      <c r="S496" s="247" t="n">
        <v>0.17</v>
      </c>
      <c r="T496" s="248" t="n">
        <f aca="false">Q496*R496*S496</f>
        <v>0.032538</v>
      </c>
      <c r="U496" s="249" t="n">
        <f aca="false">T496*P496</f>
        <v>0.292842</v>
      </c>
      <c r="V496" s="250"/>
    </row>
    <row r="497" customFormat="false" ht="13.5" hidden="false" customHeight="true" outlineLevel="0" collapsed="false">
      <c r="B497" s="238" t="n">
        <v>484</v>
      </c>
      <c r="C497" s="239" t="s">
        <v>1068</v>
      </c>
      <c r="D497" s="240" t="n">
        <v>14345</v>
      </c>
      <c r="E497" s="241" t="str">
        <f aca="false">IF(D497="","",IFERROR(VLOOKUP(D497,CCN_Library!$A$4:$B$13,2,FALSE()),"NOT IN LIBRARY"))</f>
        <v>ARMORY</v>
      </c>
      <c r="F497" s="242"/>
      <c r="G497" s="243" t="s">
        <v>1516</v>
      </c>
      <c r="H497" s="244" t="str">
        <f aca="false">LEFT(I497,5)</f>
        <v>E1120</v>
      </c>
      <c r="I497" s="243" t="s">
        <v>1276</v>
      </c>
      <c r="J497" s="244" t="s">
        <v>1277</v>
      </c>
      <c r="K497" s="243" t="s">
        <v>1072</v>
      </c>
      <c r="L497" s="243" t="s">
        <v>1073</v>
      </c>
      <c r="M497" s="243" t="s">
        <v>133</v>
      </c>
      <c r="N497" s="245" t="n">
        <v>0</v>
      </c>
      <c r="O497" s="245" t="n">
        <v>2</v>
      </c>
      <c r="P497" s="245" t="n">
        <v>2</v>
      </c>
      <c r="Q497" s="251" t="n">
        <v>3.33</v>
      </c>
      <c r="R497" s="251" t="n">
        <v>1.25</v>
      </c>
      <c r="S497" s="247" t="n">
        <v>1.25</v>
      </c>
      <c r="T497" s="248" t="n">
        <f aca="false">Q497*R497*S497</f>
        <v>5.203125</v>
      </c>
      <c r="U497" s="249" t="n">
        <f aca="false">T497*P497</f>
        <v>10.40625</v>
      </c>
      <c r="V497" s="250"/>
    </row>
    <row r="498" customFormat="false" ht="13.5" hidden="false" customHeight="true" outlineLevel="0" collapsed="false">
      <c r="B498" s="238" t="n">
        <v>490</v>
      </c>
      <c r="C498" s="239" t="s">
        <v>1074</v>
      </c>
      <c r="D498" s="240" t="n">
        <v>44112</v>
      </c>
      <c r="E498" s="241" t="str">
        <f aca="false">IF(D498="","",IFERROR(VLOOKUP(D498,CCN_Library!$A$4:$B$13,2,FALSE()),"NOT IN LIBRARY"))</f>
        <v>STORAGE OF AIR OR GROUND ORGANIC UNITS FOR MARINE CORPS</v>
      </c>
      <c r="F498" s="242"/>
      <c r="G498" s="243" t="s">
        <v>1516</v>
      </c>
      <c r="H498" s="244" t="str">
        <f aca="false">LEFT(I498,5)</f>
        <v>C5332</v>
      </c>
      <c r="I498" s="243" t="s">
        <v>1506</v>
      </c>
      <c r="J498" s="244" t="s">
        <v>1507</v>
      </c>
      <c r="K498" s="243" t="s">
        <v>1072</v>
      </c>
      <c r="L498" s="243" t="s">
        <v>1073</v>
      </c>
      <c r="M498" s="243" t="s">
        <v>133</v>
      </c>
      <c r="N498" s="245" t="n">
        <v>0</v>
      </c>
      <c r="O498" s="245" t="n">
        <v>64</v>
      </c>
      <c r="P498" s="245" t="n">
        <v>64</v>
      </c>
      <c r="Q498" s="252" t="n">
        <v>2</v>
      </c>
      <c r="R498" s="251" t="n">
        <v>1.5</v>
      </c>
      <c r="S498" s="247" t="n">
        <v>1</v>
      </c>
      <c r="T498" s="248" t="n">
        <f aca="false">Q498*R498*S498</f>
        <v>3</v>
      </c>
      <c r="U498" s="249" t="n">
        <f aca="false">T498*P498</f>
        <v>192</v>
      </c>
      <c r="V498" s="250"/>
    </row>
    <row r="499" customFormat="false" ht="13.5" hidden="false" customHeight="true" outlineLevel="0" collapsed="false">
      <c r="B499" s="238" t="n">
        <v>491</v>
      </c>
      <c r="C499" s="239" t="s">
        <v>1068</v>
      </c>
      <c r="D499" s="240" t="n">
        <v>14345</v>
      </c>
      <c r="E499" s="241" t="str">
        <f aca="false">IF(D499="","",IFERROR(VLOOKUP(D499,CCN_Library!$A$4:$B$13,2,FALSE()),"NOT IN LIBRARY"))</f>
        <v>ARMORY</v>
      </c>
      <c r="F499" s="242"/>
      <c r="G499" s="243" t="s">
        <v>1516</v>
      </c>
      <c r="H499" s="244" t="str">
        <f aca="false">LEFT(I499,5)</f>
        <v>E0099</v>
      </c>
      <c r="I499" s="243" t="s">
        <v>1412</v>
      </c>
      <c r="J499" s="244" t="s">
        <v>1413</v>
      </c>
      <c r="K499" s="243" t="s">
        <v>1072</v>
      </c>
      <c r="L499" s="243" t="s">
        <v>1073</v>
      </c>
      <c r="M499" s="243" t="s">
        <v>133</v>
      </c>
      <c r="N499" s="245" t="n">
        <v>0</v>
      </c>
      <c r="O499" s="245" t="n">
        <v>0</v>
      </c>
      <c r="P499" s="245" t="n">
        <v>0</v>
      </c>
      <c r="Q499" s="251" t="n">
        <v>0.33</v>
      </c>
      <c r="R499" s="251" t="n">
        <v>0.17</v>
      </c>
      <c r="S499" s="247" t="n">
        <v>0.25</v>
      </c>
      <c r="T499" s="248" t="n">
        <f aca="false">Q499*R499*S499</f>
        <v>0.014025</v>
      </c>
      <c r="U499" s="249" t="n">
        <f aca="false">T499*P499</f>
        <v>0</v>
      </c>
      <c r="V499" s="250"/>
    </row>
    <row r="500" customFormat="false" ht="13.5" hidden="false" customHeight="true" outlineLevel="0" collapsed="false">
      <c r="B500" s="238" t="n">
        <v>492</v>
      </c>
      <c r="C500" s="239" t="s">
        <v>1068</v>
      </c>
      <c r="D500" s="240" t="n">
        <v>14345</v>
      </c>
      <c r="E500" s="241" t="str">
        <f aca="false">IF(D500="","",IFERROR(VLOOKUP(D500,CCN_Library!$A$4:$B$13,2,FALSE()),"NOT IN LIBRARY"))</f>
        <v>ARMORY</v>
      </c>
      <c r="F500" s="242"/>
      <c r="G500" s="243" t="s">
        <v>1516</v>
      </c>
      <c r="H500" s="244" t="str">
        <f aca="false">LEFT(I500,5)</f>
        <v>E0989</v>
      </c>
      <c r="I500" s="243" t="s">
        <v>1383</v>
      </c>
      <c r="J500" s="244" t="s">
        <v>1384</v>
      </c>
      <c r="K500" s="243" t="s">
        <v>1072</v>
      </c>
      <c r="L500" s="243" t="s">
        <v>1073</v>
      </c>
      <c r="M500" s="243" t="s">
        <v>148</v>
      </c>
      <c r="N500" s="245" t="n">
        <v>0</v>
      </c>
      <c r="O500" s="245" t="n">
        <v>2</v>
      </c>
      <c r="P500" s="245" t="n">
        <v>2</v>
      </c>
      <c r="Q500" s="251" t="n">
        <v>4.04</v>
      </c>
      <c r="R500" s="251" t="n">
        <v>0.52</v>
      </c>
      <c r="S500" s="247" t="n">
        <v>0.75</v>
      </c>
      <c r="T500" s="248" t="n">
        <f aca="false">Q500*R500*S500</f>
        <v>1.5756</v>
      </c>
      <c r="U500" s="249" t="n">
        <f aca="false">T500*P500</f>
        <v>3.1512</v>
      </c>
      <c r="V500" s="250"/>
    </row>
    <row r="501" customFormat="false" ht="13.5" hidden="false" customHeight="true" outlineLevel="0" collapsed="false">
      <c r="B501" s="238" t="n">
        <v>495</v>
      </c>
      <c r="C501" s="239" t="s">
        <v>1074</v>
      </c>
      <c r="D501" s="240" t="n">
        <v>44112</v>
      </c>
      <c r="E501" s="241" t="str">
        <f aca="false">IF(D501="","",IFERROR(VLOOKUP(D501,CCN_Library!$A$4:$B$13,2,FALSE()),"NOT IN LIBRARY"))</f>
        <v>STORAGE OF AIR OR GROUND ORGANIC UNITS FOR MARINE CORPS</v>
      </c>
      <c r="F501" s="242"/>
      <c r="G501" s="243" t="s">
        <v>1516</v>
      </c>
      <c r="H501" s="244" t="str">
        <f aca="false">LEFT(I501,5)</f>
        <v>C8600</v>
      </c>
      <c r="I501" s="243" t="s">
        <v>1344</v>
      </c>
      <c r="J501" s="244" t="s">
        <v>1345</v>
      </c>
      <c r="K501" s="243" t="s">
        <v>1072</v>
      </c>
      <c r="L501" s="246"/>
      <c r="M501" s="243" t="s">
        <v>133</v>
      </c>
      <c r="N501" s="245" t="n">
        <v>0</v>
      </c>
      <c r="O501" s="245" t="n">
        <v>3</v>
      </c>
      <c r="P501" s="245" t="n">
        <v>3</v>
      </c>
      <c r="Q501" s="251" t="n">
        <v>5.58</v>
      </c>
      <c r="R501" s="251" t="n">
        <v>3.5</v>
      </c>
      <c r="S501" s="247" t="n">
        <v>4.83</v>
      </c>
      <c r="T501" s="248" t="n">
        <f aca="false">Q501*R501*S501</f>
        <v>94.3299</v>
      </c>
      <c r="U501" s="249" t="n">
        <f aca="false">T501*P501</f>
        <v>282.9897</v>
      </c>
      <c r="V501" s="250"/>
    </row>
    <row r="502" customFormat="false" ht="13.5" hidden="false" customHeight="true" outlineLevel="0" collapsed="false">
      <c r="B502" s="238" t="n">
        <v>496</v>
      </c>
      <c r="C502" s="239" t="s">
        <v>1077</v>
      </c>
      <c r="D502" s="240" t="n">
        <v>21710</v>
      </c>
      <c r="E502" s="241" t="str">
        <f aca="false">IF(D502="","",IFERROR(VLOOKUP(D502,CCN_Library!$A$4:$B$13,2,FALSE()),"NOT IN LIBRARY"))</f>
        <v>ELECTRONICS/COMMUNICATIONS MAINTENANCE SHOP</v>
      </c>
      <c r="F502" s="242"/>
      <c r="G502" s="243" t="s">
        <v>1516</v>
      </c>
      <c r="H502" s="244" t="str">
        <f aca="false">LEFT(I502,5)</f>
        <v>A0022</v>
      </c>
      <c r="I502" s="243" t="s">
        <v>1125</v>
      </c>
      <c r="J502" s="244" t="s">
        <v>1126</v>
      </c>
      <c r="K502" s="243" t="s">
        <v>1072</v>
      </c>
      <c r="L502" s="243" t="s">
        <v>1073</v>
      </c>
      <c r="M502" s="243" t="s">
        <v>133</v>
      </c>
      <c r="N502" s="245" t="n">
        <v>0</v>
      </c>
      <c r="O502" s="245" t="n">
        <v>9</v>
      </c>
      <c r="P502" s="245" t="n">
        <v>9</v>
      </c>
      <c r="Q502" s="251" t="n">
        <v>1.75</v>
      </c>
      <c r="R502" s="251" t="n">
        <v>1.42</v>
      </c>
      <c r="S502" s="247" t="n">
        <v>1.42</v>
      </c>
      <c r="T502" s="248" t="n">
        <f aca="false">Q502*R502*S502</f>
        <v>3.5287</v>
      </c>
      <c r="U502" s="249" t="n">
        <f aca="false">T502*P502</f>
        <v>31.7583</v>
      </c>
      <c r="V502" s="250"/>
    </row>
    <row r="503" customFormat="false" ht="13.5" hidden="false" customHeight="true" outlineLevel="0" collapsed="false">
      <c r="B503" s="238" t="n">
        <v>498</v>
      </c>
      <c r="C503" s="239" t="s">
        <v>1077</v>
      </c>
      <c r="D503" s="240" t="n">
        <v>21710</v>
      </c>
      <c r="E503" s="241" t="str">
        <f aca="false">IF(D503="","",IFERROR(VLOOKUP(D503,CCN_Library!$A$4:$B$13,2,FALSE()),"NOT IN LIBRARY"))</f>
        <v>ELECTRONICS/COMMUNICATIONS MAINTENANCE SHOP</v>
      </c>
      <c r="F503" s="242"/>
      <c r="G503" s="243" t="s">
        <v>1516</v>
      </c>
      <c r="H503" s="244" t="str">
        <f aca="false">LEFT(I503,5)</f>
        <v>A1260</v>
      </c>
      <c r="I503" s="243" t="s">
        <v>1181</v>
      </c>
      <c r="J503" s="244" t="s">
        <v>1182</v>
      </c>
      <c r="K503" s="243" t="s">
        <v>1072</v>
      </c>
      <c r="L503" s="243" t="s">
        <v>1073</v>
      </c>
      <c r="M503" s="246"/>
      <c r="N503" s="245" t="n">
        <v>0</v>
      </c>
      <c r="O503" s="245" t="n">
        <v>0</v>
      </c>
      <c r="P503" s="245" t="n">
        <v>0</v>
      </c>
      <c r="Q503" s="251" t="n">
        <v>0.58</v>
      </c>
      <c r="R503" s="251" t="n">
        <v>0.33</v>
      </c>
      <c r="S503" s="247" t="n">
        <v>0.17</v>
      </c>
      <c r="T503" s="248" t="n">
        <f aca="false">Q503*R503*S503</f>
        <v>0.032538</v>
      </c>
      <c r="U503" s="249" t="n">
        <f aca="false">T503*P503</f>
        <v>0</v>
      </c>
      <c r="V503" s="250"/>
    </row>
    <row r="504" customFormat="false" ht="13.5" hidden="false" customHeight="true" outlineLevel="0" collapsed="false">
      <c r="B504" s="238" t="n">
        <v>503</v>
      </c>
      <c r="C504" s="239" t="s">
        <v>1068</v>
      </c>
      <c r="D504" s="240" t="n">
        <v>14345</v>
      </c>
      <c r="E504" s="241" t="str">
        <f aca="false">IF(D504="","",IFERROR(VLOOKUP(D504,CCN_Library!$A$4:$B$13,2,FALSE()),"NOT IN LIBRARY"))</f>
        <v>ARMORY</v>
      </c>
      <c r="F504" s="242"/>
      <c r="G504" s="243" t="s">
        <v>1516</v>
      </c>
      <c r="H504" s="244" t="str">
        <f aca="false">LEFT(I504,5)</f>
        <v>E0202</v>
      </c>
      <c r="I504" s="243" t="s">
        <v>1129</v>
      </c>
      <c r="J504" s="244" t="s">
        <v>1130</v>
      </c>
      <c r="K504" s="243" t="s">
        <v>1072</v>
      </c>
      <c r="L504" s="243" t="s">
        <v>1073</v>
      </c>
      <c r="M504" s="243" t="s">
        <v>1116</v>
      </c>
      <c r="N504" s="245" t="n">
        <v>0</v>
      </c>
      <c r="O504" s="245" t="n">
        <v>0</v>
      </c>
      <c r="P504" s="245" t="n">
        <v>0</v>
      </c>
      <c r="Q504" s="246"/>
      <c r="R504" s="246"/>
      <c r="S504" s="247" t="n">
        <v>0</v>
      </c>
      <c r="T504" s="248" t="n">
        <f aca="false">Q504*R504*S504</f>
        <v>0</v>
      </c>
      <c r="U504" s="249" t="n">
        <f aca="false">T504*P504</f>
        <v>0</v>
      </c>
      <c r="V504" s="250"/>
    </row>
    <row r="505" customFormat="false" ht="12.75" hidden="false" customHeight="false" outlineLevel="0" collapsed="false">
      <c r="B505" s="228" t="n">
        <v>504</v>
      </c>
      <c r="C505" s="236" t="s">
        <v>1074</v>
      </c>
      <c r="D505" s="219" t="n">
        <v>44112</v>
      </c>
      <c r="E505" s="220" t="str">
        <f aca="false">IF(D505="","",IFERROR(VLOOKUP(D505,CCN_Library!$A$4:$B$13,2,FALSE()),"NOT IN LIBRARY"))</f>
        <v>STORAGE OF AIR OR GROUND ORGANIC UNITS FOR MARINE CORPS</v>
      </c>
      <c r="F505" s="229"/>
      <c r="G505" s="220" t="s">
        <v>1478</v>
      </c>
      <c r="H505" s="220" t="str">
        <f aca="false">LEFT(I505,5)</f>
        <v>C0039</v>
      </c>
      <c r="I505" s="220" t="s">
        <v>1517</v>
      </c>
      <c r="J505" s="220" t="s">
        <v>1518</v>
      </c>
      <c r="K505" s="220" t="s">
        <v>1072</v>
      </c>
      <c r="L505" s="220"/>
      <c r="M505" s="220"/>
      <c r="N505" s="220"/>
      <c r="O505" s="220"/>
      <c r="P505" s="220" t="n">
        <v>180</v>
      </c>
      <c r="Q505" s="220"/>
      <c r="R505" s="220"/>
      <c r="S505" s="220"/>
      <c r="T505" s="225" t="n">
        <f aca="false">Q505*R505*S505</f>
        <v>0</v>
      </c>
      <c r="U505" s="226" t="n">
        <f aca="false">T505*P505</f>
        <v>0</v>
      </c>
      <c r="V505" s="233"/>
    </row>
    <row r="506" customFormat="false" ht="12.75" hidden="false" customHeight="false" outlineLevel="0" collapsed="false">
      <c r="B506" s="228" t="n">
        <v>505</v>
      </c>
      <c r="C506" s="236" t="s">
        <v>1074</v>
      </c>
      <c r="D506" s="219" t="n">
        <v>44112</v>
      </c>
      <c r="E506" s="220" t="str">
        <f aca="false">IF(D506="","",IFERROR(VLOOKUP(D506,CCN_Library!$A$4:$B$13,2,FALSE()),"NOT IN LIBRARY"))</f>
        <v>STORAGE OF AIR OR GROUND ORGANIC UNITS FOR MARINE CORPS</v>
      </c>
      <c r="F506" s="229"/>
      <c r="G506" s="220" t="s">
        <v>1516</v>
      </c>
      <c r="H506" s="220" t="str">
        <f aca="false">LEFT(I506,5)</f>
        <v>C0039</v>
      </c>
      <c r="I506" s="220" t="s">
        <v>1517</v>
      </c>
      <c r="J506" s="220" t="s">
        <v>1518</v>
      </c>
      <c r="K506" s="220" t="s">
        <v>1072</v>
      </c>
      <c r="L506" s="220"/>
      <c r="M506" s="220"/>
      <c r="N506" s="220"/>
      <c r="O506" s="220"/>
      <c r="P506" s="220" t="n">
        <v>180</v>
      </c>
      <c r="Q506" s="220"/>
      <c r="R506" s="220"/>
      <c r="S506" s="220"/>
      <c r="T506" s="225" t="n">
        <f aca="false">Q506*R506*S506</f>
        <v>0</v>
      </c>
      <c r="U506" s="226" t="n">
        <f aca="false">T506*P506</f>
        <v>0</v>
      </c>
      <c r="V506" s="233"/>
    </row>
    <row r="507" customFormat="false" ht="12.75" hidden="false" customHeight="false" outlineLevel="0" collapsed="false">
      <c r="B507" s="228" t="n">
        <v>506</v>
      </c>
      <c r="C507" s="236" t="s">
        <v>1074</v>
      </c>
      <c r="D507" s="219" t="n">
        <v>44112</v>
      </c>
      <c r="E507" s="220" t="str">
        <f aca="false">IF(D507="","",IFERROR(VLOOKUP(D507,CCN_Library!$A$4:$B$13,2,FALSE()),"NOT IN LIBRARY"))</f>
        <v>STORAGE OF AIR OR GROUND ORGANIC UNITS FOR MARINE CORPS</v>
      </c>
      <c r="F507" s="229"/>
      <c r="G507" s="220" t="s">
        <v>1069</v>
      </c>
      <c r="H507" s="220" t="str">
        <f aca="false">LEFT(I507,5)</f>
        <v>C0039</v>
      </c>
      <c r="I507" s="220" t="s">
        <v>1517</v>
      </c>
      <c r="J507" s="220" t="s">
        <v>1518</v>
      </c>
      <c r="K507" s="220" t="s">
        <v>1072</v>
      </c>
      <c r="L507" s="220"/>
      <c r="M507" s="220"/>
      <c r="N507" s="220"/>
      <c r="O507" s="220"/>
      <c r="P507" s="220" t="n">
        <v>180</v>
      </c>
      <c r="Q507" s="220"/>
      <c r="R507" s="220"/>
      <c r="S507" s="220"/>
      <c r="T507" s="225"/>
      <c r="U507" s="226"/>
      <c r="V507" s="233"/>
    </row>
    <row r="508" customFormat="false" ht="12.75" hidden="false" customHeight="false" outlineLevel="0" collapsed="false">
      <c r="B508" s="228"/>
      <c r="C508" s="236"/>
      <c r="D508" s="219"/>
      <c r="E508" s="220"/>
      <c r="F508" s="229"/>
      <c r="G508" s="220"/>
      <c r="H508" s="220"/>
      <c r="I508" s="220"/>
      <c r="J508" s="220"/>
      <c r="K508" s="220"/>
      <c r="L508" s="220"/>
      <c r="M508" s="220"/>
      <c r="N508" s="220"/>
      <c r="O508" s="220"/>
      <c r="P508" s="220"/>
      <c r="Q508" s="220"/>
      <c r="R508" s="220"/>
      <c r="S508" s="220"/>
      <c r="T508" s="225"/>
      <c r="U508" s="226"/>
      <c r="V508" s="233"/>
    </row>
    <row r="509" customFormat="false" ht="12.75" hidden="false" customHeight="false" outlineLevel="0" collapsed="false">
      <c r="B509" s="228"/>
      <c r="C509" s="236"/>
      <c r="D509" s="219"/>
      <c r="E509" s="220"/>
      <c r="F509" s="229"/>
      <c r="G509" s="220"/>
      <c r="H509" s="220"/>
      <c r="I509" s="220"/>
      <c r="J509" s="220"/>
      <c r="K509" s="220"/>
      <c r="L509" s="220"/>
      <c r="M509" s="220"/>
      <c r="N509" s="220"/>
      <c r="O509" s="220"/>
      <c r="P509" s="220"/>
      <c r="Q509" s="220"/>
      <c r="R509" s="220"/>
      <c r="S509" s="220"/>
      <c r="T509" s="225"/>
      <c r="U509" s="226"/>
      <c r="V509" s="233"/>
    </row>
    <row r="510" customFormat="false" ht="12.75" hidden="false" customHeight="false" outlineLevel="0" collapsed="false">
      <c r="B510" s="228"/>
      <c r="C510" s="236"/>
      <c r="D510" s="219"/>
      <c r="E510" s="220"/>
      <c r="F510" s="229"/>
      <c r="G510" s="220"/>
      <c r="H510" s="220"/>
      <c r="I510" s="220"/>
      <c r="J510" s="220"/>
      <c r="K510" s="220"/>
      <c r="L510" s="220"/>
      <c r="M510" s="220"/>
      <c r="N510" s="220"/>
      <c r="O510" s="220"/>
      <c r="P510" s="220"/>
      <c r="Q510" s="220"/>
      <c r="R510" s="220"/>
      <c r="S510" s="220"/>
      <c r="T510" s="225"/>
      <c r="U510" s="226"/>
      <c r="V510" s="233"/>
    </row>
    <row r="511" customFormat="false" ht="12.75" hidden="false" customHeight="false" outlineLevel="0" collapsed="false">
      <c r="B511" s="228"/>
      <c r="C511" s="236"/>
      <c r="D511" s="219"/>
      <c r="E511" s="220"/>
      <c r="F511" s="229"/>
      <c r="G511" s="220"/>
      <c r="H511" s="220"/>
      <c r="I511" s="220"/>
      <c r="J511" s="220"/>
      <c r="K511" s="220"/>
      <c r="L511" s="220"/>
      <c r="M511" s="220"/>
      <c r="N511" s="220"/>
      <c r="O511" s="220"/>
      <c r="P511" s="220"/>
      <c r="Q511" s="220"/>
      <c r="R511" s="220"/>
      <c r="S511" s="220"/>
      <c r="T511" s="225"/>
      <c r="U511" s="226"/>
      <c r="V511" s="233"/>
    </row>
    <row r="512" customFormat="false" ht="12.75" hidden="false" customHeight="false" outlineLevel="0" collapsed="false">
      <c r="B512" s="228"/>
      <c r="C512" s="236"/>
      <c r="D512" s="219"/>
      <c r="E512" s="220"/>
      <c r="F512" s="229"/>
      <c r="G512" s="220"/>
      <c r="H512" s="220"/>
      <c r="I512" s="220"/>
      <c r="J512" s="220"/>
      <c r="K512" s="220"/>
      <c r="L512" s="220"/>
      <c r="M512" s="220"/>
      <c r="N512" s="220"/>
      <c r="O512" s="220"/>
      <c r="P512" s="220"/>
      <c r="Q512" s="220"/>
      <c r="R512" s="220"/>
      <c r="S512" s="220"/>
      <c r="T512" s="225"/>
      <c r="U512" s="226"/>
      <c r="V512" s="233"/>
    </row>
    <row r="513" customFormat="false" ht="12.75" hidden="false" customHeight="false" outlineLevel="0" collapsed="false">
      <c r="B513" s="228"/>
      <c r="C513" s="236"/>
      <c r="D513" s="219"/>
      <c r="E513" s="220"/>
      <c r="F513" s="229"/>
      <c r="G513" s="220"/>
      <c r="H513" s="220"/>
      <c r="I513" s="220"/>
      <c r="J513" s="220"/>
      <c r="K513" s="220"/>
      <c r="L513" s="220"/>
      <c r="M513" s="220"/>
      <c r="N513" s="220"/>
      <c r="O513" s="220"/>
      <c r="P513" s="220"/>
      <c r="Q513" s="220"/>
      <c r="R513" s="220"/>
      <c r="S513" s="220"/>
      <c r="T513" s="225"/>
      <c r="U513" s="226"/>
      <c r="V513" s="233"/>
    </row>
    <row r="514" customFormat="false" ht="12.75" hidden="false" customHeight="false" outlineLevel="0" collapsed="false">
      <c r="B514" s="228"/>
      <c r="C514" s="236"/>
      <c r="D514" s="219"/>
      <c r="E514" s="220"/>
      <c r="F514" s="229"/>
      <c r="G514" s="220"/>
      <c r="H514" s="220"/>
      <c r="I514" s="220"/>
      <c r="J514" s="220"/>
      <c r="K514" s="220"/>
      <c r="L514" s="220"/>
      <c r="M514" s="220"/>
      <c r="N514" s="220"/>
      <c r="O514" s="220"/>
      <c r="P514" s="220"/>
      <c r="Q514" s="220"/>
      <c r="R514" s="220"/>
      <c r="S514" s="220"/>
      <c r="T514" s="225"/>
      <c r="U514" s="226"/>
      <c r="V514" s="233"/>
    </row>
    <row r="515" customFormat="false" ht="12.75" hidden="false" customHeight="false" outlineLevel="0" collapsed="false">
      <c r="B515" s="228"/>
      <c r="C515" s="236"/>
      <c r="D515" s="219"/>
      <c r="E515" s="220"/>
      <c r="F515" s="229"/>
      <c r="G515" s="220"/>
      <c r="H515" s="220"/>
      <c r="I515" s="220"/>
      <c r="J515" s="220"/>
      <c r="K515" s="220"/>
      <c r="L515" s="220"/>
      <c r="M515" s="220"/>
      <c r="N515" s="220"/>
      <c r="O515" s="220"/>
      <c r="P515" s="220"/>
      <c r="Q515" s="220"/>
      <c r="R515" s="220"/>
      <c r="S515" s="220"/>
      <c r="T515" s="225"/>
      <c r="U515" s="226"/>
      <c r="V515" s="233"/>
    </row>
    <row r="516" customFormat="false" ht="12.75" hidden="false" customHeight="false" outlineLevel="0" collapsed="false">
      <c r="B516" s="228"/>
      <c r="C516" s="236"/>
      <c r="D516" s="219"/>
      <c r="E516" s="220"/>
      <c r="F516" s="229"/>
      <c r="G516" s="220"/>
      <c r="H516" s="220"/>
      <c r="I516" s="220"/>
      <c r="J516" s="220"/>
      <c r="K516" s="220"/>
      <c r="L516" s="220"/>
      <c r="M516" s="220"/>
      <c r="N516" s="220"/>
      <c r="O516" s="220"/>
      <c r="P516" s="220"/>
      <c r="Q516" s="220"/>
      <c r="R516" s="220"/>
      <c r="S516" s="220"/>
      <c r="T516" s="225"/>
      <c r="U516" s="226"/>
      <c r="V516" s="233"/>
    </row>
    <row r="517" customFormat="false" ht="12.75" hidden="false" customHeight="false" outlineLevel="0" collapsed="false">
      <c r="B517" s="228"/>
      <c r="C517" s="236"/>
      <c r="D517" s="219"/>
      <c r="E517" s="220"/>
      <c r="F517" s="229"/>
      <c r="G517" s="220"/>
      <c r="H517" s="220"/>
      <c r="I517" s="220"/>
      <c r="J517" s="220"/>
      <c r="K517" s="220"/>
      <c r="L517" s="220"/>
      <c r="M517" s="220"/>
      <c r="N517" s="220"/>
      <c r="O517" s="220"/>
      <c r="P517" s="220"/>
      <c r="Q517" s="220"/>
      <c r="R517" s="220"/>
      <c r="S517" s="220"/>
      <c r="T517" s="225"/>
      <c r="U517" s="226"/>
      <c r="V517" s="233"/>
    </row>
    <row r="518" customFormat="false" ht="12.75" hidden="false" customHeight="false" outlineLevel="0" collapsed="false">
      <c r="B518" s="228"/>
      <c r="C518" s="236"/>
      <c r="D518" s="219"/>
      <c r="E518" s="220"/>
      <c r="F518" s="229"/>
      <c r="G518" s="220"/>
      <c r="H518" s="220"/>
      <c r="I518" s="220"/>
      <c r="J518" s="220"/>
      <c r="K518" s="220"/>
      <c r="L518" s="220"/>
      <c r="M518" s="220"/>
      <c r="N518" s="220"/>
      <c r="O518" s="220"/>
      <c r="P518" s="220"/>
      <c r="Q518" s="220"/>
      <c r="R518" s="220"/>
      <c r="S518" s="220"/>
      <c r="T518" s="225"/>
      <c r="U518" s="226"/>
      <c r="V518" s="233"/>
    </row>
    <row r="519" customFormat="false" ht="12.75" hidden="false" customHeight="false" outlineLevel="0" collapsed="false">
      <c r="B519" s="228"/>
      <c r="C519" s="236"/>
      <c r="D519" s="219"/>
      <c r="E519" s="220"/>
      <c r="F519" s="229"/>
      <c r="G519" s="220"/>
      <c r="H519" s="220"/>
      <c r="I519" s="220"/>
      <c r="J519" s="220"/>
      <c r="K519" s="220"/>
      <c r="L519" s="220"/>
      <c r="M519" s="220"/>
      <c r="N519" s="220"/>
      <c r="O519" s="220"/>
      <c r="P519" s="220"/>
      <c r="Q519" s="220"/>
      <c r="R519" s="220"/>
      <c r="S519" s="220"/>
      <c r="T519" s="225"/>
      <c r="U519" s="226"/>
      <c r="V519" s="233"/>
    </row>
    <row r="520" customFormat="false" ht="12.75" hidden="false" customHeight="false" outlineLevel="0" collapsed="false">
      <c r="B520" s="228"/>
      <c r="C520" s="236"/>
      <c r="D520" s="219"/>
      <c r="E520" s="220"/>
      <c r="F520" s="229"/>
      <c r="G520" s="220"/>
      <c r="H520" s="220"/>
      <c r="I520" s="220"/>
      <c r="J520" s="220"/>
      <c r="K520" s="220"/>
      <c r="L520" s="220"/>
      <c r="M520" s="220"/>
      <c r="N520" s="220"/>
      <c r="O520" s="220"/>
      <c r="P520" s="220"/>
      <c r="Q520" s="220"/>
      <c r="R520" s="220"/>
      <c r="S520" s="220"/>
      <c r="T520" s="225"/>
      <c r="U520" s="226"/>
      <c r="V520" s="233"/>
    </row>
    <row r="521" customFormat="false" ht="12.75" hidden="false" customHeight="false" outlineLevel="0" collapsed="false">
      <c r="B521" s="228"/>
      <c r="C521" s="236"/>
      <c r="D521" s="219"/>
      <c r="E521" s="220"/>
      <c r="F521" s="229"/>
      <c r="G521" s="220"/>
      <c r="H521" s="220"/>
      <c r="I521" s="220"/>
      <c r="J521" s="220"/>
      <c r="K521" s="220"/>
      <c r="L521" s="220"/>
      <c r="M521" s="220"/>
      <c r="N521" s="220"/>
      <c r="O521" s="220"/>
      <c r="P521" s="220"/>
      <c r="Q521" s="220"/>
      <c r="R521" s="220"/>
      <c r="S521" s="220"/>
      <c r="T521" s="225"/>
      <c r="U521" s="226"/>
      <c r="V521" s="233"/>
    </row>
    <row r="522" customFormat="false" ht="12.75" hidden="false" customHeight="false" outlineLevel="0" collapsed="false">
      <c r="B522" s="228"/>
      <c r="C522" s="236"/>
      <c r="D522" s="219"/>
      <c r="E522" s="220"/>
      <c r="F522" s="229"/>
      <c r="G522" s="220"/>
      <c r="H522" s="220"/>
      <c r="I522" s="220"/>
      <c r="J522" s="220"/>
      <c r="K522" s="220"/>
      <c r="L522" s="220"/>
      <c r="M522" s="220"/>
      <c r="N522" s="220"/>
      <c r="O522" s="220"/>
      <c r="P522" s="220"/>
      <c r="Q522" s="220"/>
      <c r="R522" s="220"/>
      <c r="S522" s="220"/>
      <c r="T522" s="225"/>
      <c r="U522" s="226"/>
      <c r="V522" s="233"/>
    </row>
    <row r="523" customFormat="false" ht="12.75" hidden="false" customHeight="false" outlineLevel="0" collapsed="false">
      <c r="B523" s="228"/>
      <c r="C523" s="236"/>
      <c r="D523" s="219"/>
      <c r="E523" s="220"/>
      <c r="F523" s="229"/>
      <c r="G523" s="220"/>
      <c r="H523" s="220"/>
      <c r="I523" s="220"/>
      <c r="J523" s="220"/>
      <c r="K523" s="220"/>
      <c r="L523" s="220"/>
      <c r="M523" s="220"/>
      <c r="N523" s="220"/>
      <c r="O523" s="220"/>
      <c r="P523" s="220"/>
      <c r="Q523" s="220"/>
      <c r="R523" s="220"/>
      <c r="S523" s="220"/>
      <c r="T523" s="225"/>
      <c r="U523" s="226"/>
      <c r="V523" s="233"/>
    </row>
    <row r="524" customFormat="false" ht="12.75" hidden="false" customHeight="false" outlineLevel="0" collapsed="false">
      <c r="B524" s="228"/>
      <c r="C524" s="236"/>
      <c r="D524" s="219"/>
      <c r="E524" s="220"/>
      <c r="F524" s="229"/>
      <c r="G524" s="220"/>
      <c r="H524" s="220"/>
      <c r="I524" s="220"/>
      <c r="J524" s="220"/>
      <c r="K524" s="220"/>
      <c r="L524" s="220"/>
      <c r="M524" s="220"/>
      <c r="N524" s="220"/>
      <c r="O524" s="220"/>
      <c r="P524" s="220"/>
      <c r="Q524" s="220"/>
      <c r="R524" s="220"/>
      <c r="S524" s="220"/>
      <c r="T524" s="225"/>
      <c r="U524" s="226"/>
      <c r="V524" s="233"/>
    </row>
    <row r="525" customFormat="false" ht="12.75" hidden="false" customHeight="false" outlineLevel="0" collapsed="false">
      <c r="B525" s="228"/>
      <c r="C525" s="236"/>
      <c r="D525" s="219"/>
      <c r="E525" s="220"/>
      <c r="F525" s="229"/>
      <c r="G525" s="220"/>
      <c r="H525" s="220"/>
      <c r="I525" s="220"/>
      <c r="J525" s="220"/>
      <c r="K525" s="220"/>
      <c r="L525" s="220"/>
      <c r="M525" s="220"/>
      <c r="N525" s="220"/>
      <c r="O525" s="220"/>
      <c r="P525" s="220"/>
      <c r="Q525" s="220"/>
      <c r="R525" s="220"/>
      <c r="S525" s="220"/>
      <c r="T525" s="225"/>
      <c r="U525" s="226"/>
      <c r="V525" s="233"/>
    </row>
    <row r="526" customFormat="false" ht="12.75" hidden="false" customHeight="false" outlineLevel="0" collapsed="false">
      <c r="B526" s="228"/>
      <c r="C526" s="236"/>
      <c r="D526" s="219"/>
      <c r="E526" s="220"/>
      <c r="F526" s="229"/>
      <c r="G526" s="220"/>
      <c r="H526" s="220"/>
      <c r="I526" s="220"/>
      <c r="J526" s="220"/>
      <c r="K526" s="220"/>
      <c r="L526" s="220"/>
      <c r="M526" s="220"/>
      <c r="N526" s="220"/>
      <c r="O526" s="220"/>
      <c r="P526" s="220"/>
      <c r="Q526" s="220"/>
      <c r="R526" s="220"/>
      <c r="S526" s="220"/>
      <c r="T526" s="225"/>
      <c r="U526" s="226"/>
      <c r="V526" s="233"/>
    </row>
    <row r="527" customFormat="false" ht="12.75" hidden="false" customHeight="false" outlineLevel="0" collapsed="false">
      <c r="B527" s="228"/>
      <c r="C527" s="236"/>
      <c r="D527" s="219"/>
      <c r="E527" s="220"/>
      <c r="F527" s="229"/>
      <c r="G527" s="220"/>
      <c r="H527" s="220"/>
      <c r="I527" s="220"/>
      <c r="J527" s="220"/>
      <c r="K527" s="220"/>
      <c r="L527" s="220"/>
      <c r="M527" s="220"/>
      <c r="N527" s="220"/>
      <c r="O527" s="220"/>
      <c r="P527" s="220"/>
      <c r="Q527" s="220"/>
      <c r="R527" s="220"/>
      <c r="S527" s="220"/>
      <c r="T527" s="225"/>
      <c r="U527" s="226"/>
      <c r="V527" s="233"/>
    </row>
    <row r="528" customFormat="false" ht="12.75" hidden="false" customHeight="false" outlineLevel="0" collapsed="false">
      <c r="B528" s="228"/>
      <c r="C528" s="236"/>
      <c r="D528" s="219"/>
      <c r="E528" s="220"/>
      <c r="F528" s="229"/>
      <c r="G528" s="220"/>
      <c r="H528" s="220"/>
      <c r="I528" s="220"/>
      <c r="J528" s="220"/>
      <c r="K528" s="220"/>
      <c r="L528" s="220"/>
      <c r="M528" s="220"/>
      <c r="N528" s="220"/>
      <c r="O528" s="220"/>
      <c r="P528" s="220"/>
      <c r="Q528" s="220"/>
      <c r="R528" s="220"/>
      <c r="S528" s="220"/>
      <c r="T528" s="225"/>
      <c r="U528" s="226"/>
      <c r="V528" s="233"/>
    </row>
    <row r="529" customFormat="false" ht="12.75" hidden="false" customHeight="false" outlineLevel="0" collapsed="false">
      <c r="B529" s="228"/>
      <c r="C529" s="236"/>
      <c r="D529" s="219"/>
      <c r="E529" s="220"/>
      <c r="F529" s="229"/>
      <c r="G529" s="220"/>
      <c r="H529" s="220"/>
      <c r="I529" s="220"/>
      <c r="J529" s="220"/>
      <c r="K529" s="220"/>
      <c r="L529" s="220"/>
      <c r="M529" s="220"/>
      <c r="N529" s="220"/>
      <c r="O529" s="220"/>
      <c r="P529" s="220"/>
      <c r="Q529" s="220"/>
      <c r="R529" s="220"/>
      <c r="S529" s="220"/>
      <c r="T529" s="225"/>
      <c r="U529" s="226"/>
      <c r="V529" s="233"/>
    </row>
    <row r="530" customFormat="false" ht="12.75" hidden="false" customHeight="false" outlineLevel="0" collapsed="false">
      <c r="B530" s="228"/>
      <c r="C530" s="236"/>
      <c r="D530" s="219"/>
      <c r="E530" s="220"/>
      <c r="F530" s="229"/>
      <c r="G530" s="220"/>
      <c r="H530" s="220"/>
      <c r="I530" s="220"/>
      <c r="J530" s="220"/>
      <c r="K530" s="220"/>
      <c r="L530" s="220"/>
      <c r="M530" s="220"/>
      <c r="N530" s="220"/>
      <c r="O530" s="220"/>
      <c r="P530" s="220"/>
      <c r="Q530" s="220"/>
      <c r="R530" s="220"/>
      <c r="S530" s="220"/>
      <c r="T530" s="225"/>
      <c r="U530" s="226"/>
      <c r="V530" s="233"/>
    </row>
    <row r="531" customFormat="false" ht="12.75" hidden="false" customHeight="false" outlineLevel="0" collapsed="false">
      <c r="B531" s="228"/>
      <c r="C531" s="236"/>
      <c r="D531" s="219"/>
      <c r="E531" s="220"/>
      <c r="F531" s="229"/>
      <c r="G531" s="220"/>
      <c r="H531" s="220"/>
      <c r="I531" s="220"/>
      <c r="J531" s="220"/>
      <c r="K531" s="220"/>
      <c r="L531" s="220"/>
      <c r="M531" s="220"/>
      <c r="N531" s="220"/>
      <c r="O531" s="220"/>
      <c r="P531" s="220"/>
      <c r="Q531" s="220"/>
      <c r="R531" s="220"/>
      <c r="S531" s="220"/>
      <c r="T531" s="225"/>
      <c r="U531" s="226"/>
      <c r="V531" s="233"/>
    </row>
    <row r="532" customFormat="false" ht="12.75" hidden="false" customHeight="false" outlineLevel="0" collapsed="false">
      <c r="B532" s="228"/>
      <c r="C532" s="236"/>
      <c r="D532" s="219"/>
      <c r="E532" s="220"/>
      <c r="F532" s="229"/>
      <c r="G532" s="220"/>
      <c r="H532" s="220"/>
      <c r="I532" s="220"/>
      <c r="J532" s="220"/>
      <c r="K532" s="220"/>
      <c r="L532" s="220"/>
      <c r="M532" s="220"/>
      <c r="N532" s="220"/>
      <c r="O532" s="220"/>
      <c r="P532" s="220"/>
      <c r="Q532" s="220"/>
      <c r="R532" s="220"/>
      <c r="S532" s="220"/>
      <c r="T532" s="225"/>
      <c r="U532" s="226"/>
      <c r="V532" s="233"/>
    </row>
    <row r="533" customFormat="false" ht="12.75" hidden="false" customHeight="false" outlineLevel="0" collapsed="false">
      <c r="B533" s="228"/>
      <c r="C533" s="236"/>
      <c r="D533" s="219"/>
      <c r="E533" s="220"/>
      <c r="F533" s="229"/>
      <c r="G533" s="220"/>
      <c r="H533" s="220"/>
      <c r="I533" s="220"/>
      <c r="J533" s="220"/>
      <c r="K533" s="220"/>
      <c r="L533" s="220"/>
      <c r="M533" s="220"/>
      <c r="N533" s="220"/>
      <c r="O533" s="220"/>
      <c r="P533" s="220"/>
      <c r="Q533" s="220"/>
      <c r="R533" s="220"/>
      <c r="S533" s="220"/>
      <c r="T533" s="225"/>
      <c r="U533" s="226"/>
      <c r="V533" s="233"/>
    </row>
    <row r="534" customFormat="false" ht="12.75" hidden="false" customHeight="false" outlineLevel="0" collapsed="false">
      <c r="B534" s="228"/>
      <c r="C534" s="236"/>
      <c r="D534" s="219"/>
      <c r="E534" s="220"/>
      <c r="F534" s="229"/>
      <c r="G534" s="220"/>
      <c r="H534" s="220"/>
      <c r="I534" s="220"/>
      <c r="J534" s="220"/>
      <c r="K534" s="220"/>
      <c r="L534" s="220"/>
      <c r="M534" s="220"/>
      <c r="N534" s="220"/>
      <c r="O534" s="220"/>
      <c r="P534" s="220"/>
      <c r="Q534" s="220"/>
      <c r="R534" s="220"/>
      <c r="S534" s="220"/>
      <c r="T534" s="225"/>
      <c r="U534" s="226"/>
      <c r="V534" s="233"/>
    </row>
    <row r="535" customFormat="false" ht="12.75" hidden="false" customHeight="false" outlineLevel="0" collapsed="false">
      <c r="B535" s="228"/>
      <c r="C535" s="236"/>
      <c r="D535" s="219"/>
      <c r="E535" s="220"/>
      <c r="F535" s="229"/>
      <c r="G535" s="220"/>
      <c r="H535" s="220"/>
      <c r="I535" s="220"/>
      <c r="J535" s="220"/>
      <c r="K535" s="220"/>
      <c r="L535" s="220"/>
      <c r="M535" s="220"/>
      <c r="N535" s="220"/>
      <c r="O535" s="220"/>
      <c r="P535" s="220"/>
      <c r="Q535" s="220"/>
      <c r="R535" s="220"/>
      <c r="S535" s="220"/>
      <c r="T535" s="225"/>
      <c r="U535" s="226"/>
      <c r="V535" s="233"/>
    </row>
    <row r="536" customFormat="false" ht="12.75" hidden="false" customHeight="false" outlineLevel="0" collapsed="false">
      <c r="B536" s="228"/>
      <c r="C536" s="236"/>
      <c r="D536" s="219"/>
      <c r="E536" s="220"/>
      <c r="F536" s="229"/>
      <c r="G536" s="220"/>
      <c r="H536" s="220"/>
      <c r="I536" s="220"/>
      <c r="J536" s="220"/>
      <c r="K536" s="220"/>
      <c r="L536" s="220"/>
      <c r="M536" s="220"/>
      <c r="N536" s="220"/>
      <c r="O536" s="220"/>
      <c r="P536" s="220"/>
      <c r="Q536" s="220"/>
      <c r="R536" s="220"/>
      <c r="S536" s="220"/>
      <c r="T536" s="225"/>
      <c r="U536" s="226"/>
      <c r="V536" s="233"/>
    </row>
    <row r="537" customFormat="false" ht="12.75" hidden="false" customHeight="false" outlineLevel="0" collapsed="false">
      <c r="B537" s="228"/>
      <c r="C537" s="236"/>
      <c r="D537" s="219"/>
      <c r="E537" s="220"/>
      <c r="F537" s="229"/>
      <c r="G537" s="220"/>
      <c r="H537" s="220"/>
      <c r="I537" s="220"/>
      <c r="J537" s="220"/>
      <c r="K537" s="220"/>
      <c r="L537" s="220"/>
      <c r="M537" s="220"/>
      <c r="N537" s="220"/>
      <c r="O537" s="220"/>
      <c r="P537" s="220"/>
      <c r="Q537" s="220"/>
      <c r="R537" s="220"/>
      <c r="S537" s="220"/>
      <c r="T537" s="225"/>
      <c r="U537" s="226"/>
      <c r="V537" s="233"/>
    </row>
    <row r="538" customFormat="false" ht="12.75" hidden="false" customHeight="false" outlineLevel="0" collapsed="false">
      <c r="B538" s="228"/>
      <c r="C538" s="236"/>
      <c r="D538" s="219"/>
      <c r="E538" s="220"/>
      <c r="F538" s="229"/>
      <c r="G538" s="220"/>
      <c r="H538" s="220"/>
      <c r="I538" s="220"/>
      <c r="J538" s="220"/>
      <c r="K538" s="220"/>
      <c r="L538" s="220"/>
      <c r="M538" s="220"/>
      <c r="N538" s="220"/>
      <c r="O538" s="220"/>
      <c r="P538" s="220"/>
      <c r="Q538" s="220"/>
      <c r="R538" s="220"/>
      <c r="S538" s="220"/>
      <c r="T538" s="225"/>
      <c r="U538" s="226"/>
      <c r="V538" s="233"/>
    </row>
    <row r="539" customFormat="false" ht="12.75" hidden="false" customHeight="false" outlineLevel="0" collapsed="false">
      <c r="B539" s="228"/>
      <c r="C539" s="236"/>
      <c r="D539" s="219"/>
      <c r="E539" s="220"/>
      <c r="F539" s="229"/>
      <c r="G539" s="220"/>
      <c r="H539" s="220"/>
      <c r="I539" s="220"/>
      <c r="J539" s="220"/>
      <c r="K539" s="220"/>
      <c r="L539" s="220"/>
      <c r="M539" s="220"/>
      <c r="N539" s="220"/>
      <c r="O539" s="220"/>
      <c r="P539" s="220"/>
      <c r="Q539" s="220"/>
      <c r="R539" s="220"/>
      <c r="S539" s="220"/>
      <c r="T539" s="225"/>
      <c r="U539" s="226"/>
      <c r="V539" s="233"/>
    </row>
    <row r="540" customFormat="false" ht="12.75" hidden="false" customHeight="false" outlineLevel="0" collapsed="false">
      <c r="B540" s="228"/>
      <c r="C540" s="236"/>
      <c r="D540" s="219"/>
      <c r="E540" s="220"/>
      <c r="F540" s="229"/>
      <c r="G540" s="220"/>
      <c r="H540" s="220"/>
      <c r="I540" s="220"/>
      <c r="J540" s="220"/>
      <c r="K540" s="220"/>
      <c r="L540" s="220"/>
      <c r="M540" s="220"/>
      <c r="N540" s="220"/>
      <c r="O540" s="220"/>
      <c r="P540" s="220"/>
      <c r="Q540" s="220"/>
      <c r="R540" s="220"/>
      <c r="S540" s="220"/>
      <c r="T540" s="225"/>
      <c r="U540" s="226"/>
      <c r="V540" s="233"/>
    </row>
    <row r="541" customFormat="false" ht="12.75" hidden="false" customHeight="false" outlineLevel="0" collapsed="false">
      <c r="B541" s="228"/>
      <c r="C541" s="236"/>
      <c r="D541" s="219"/>
      <c r="E541" s="220"/>
      <c r="F541" s="229"/>
      <c r="G541" s="220"/>
      <c r="H541" s="220"/>
      <c r="I541" s="220"/>
      <c r="J541" s="220"/>
      <c r="K541" s="220"/>
      <c r="L541" s="220"/>
      <c r="M541" s="220"/>
      <c r="N541" s="220"/>
      <c r="O541" s="220"/>
      <c r="P541" s="220"/>
      <c r="Q541" s="220"/>
      <c r="R541" s="220"/>
      <c r="S541" s="220"/>
      <c r="T541" s="225"/>
      <c r="U541" s="226"/>
      <c r="V541" s="233"/>
    </row>
    <row r="542" customFormat="false" ht="12.75" hidden="false" customHeight="false" outlineLevel="0" collapsed="false">
      <c r="B542" s="228"/>
      <c r="C542" s="236"/>
      <c r="D542" s="219"/>
      <c r="E542" s="220"/>
      <c r="F542" s="229"/>
      <c r="G542" s="220"/>
      <c r="H542" s="220"/>
      <c r="I542" s="220"/>
      <c r="J542" s="220"/>
      <c r="K542" s="220"/>
      <c r="L542" s="220"/>
      <c r="M542" s="220"/>
      <c r="N542" s="220"/>
      <c r="O542" s="220"/>
      <c r="P542" s="220"/>
      <c r="Q542" s="220"/>
      <c r="R542" s="220"/>
      <c r="S542" s="220"/>
      <c r="T542" s="225"/>
      <c r="U542" s="226"/>
      <c r="V542" s="233"/>
    </row>
    <row r="543" customFormat="false" ht="12.75" hidden="false" customHeight="false" outlineLevel="0" collapsed="false">
      <c r="B543" s="228"/>
      <c r="C543" s="236"/>
      <c r="D543" s="219"/>
      <c r="E543" s="220"/>
      <c r="F543" s="229"/>
      <c r="G543" s="220"/>
      <c r="H543" s="220"/>
      <c r="I543" s="220"/>
      <c r="J543" s="220"/>
      <c r="K543" s="220"/>
      <c r="L543" s="220"/>
      <c r="M543" s="220"/>
      <c r="N543" s="220"/>
      <c r="O543" s="220"/>
      <c r="P543" s="220"/>
      <c r="Q543" s="220"/>
      <c r="R543" s="220"/>
      <c r="S543" s="220"/>
      <c r="T543" s="225"/>
      <c r="U543" s="226"/>
      <c r="V543" s="233"/>
    </row>
    <row r="544" customFormat="false" ht="12.75" hidden="false" customHeight="false" outlineLevel="0" collapsed="false">
      <c r="B544" s="228"/>
      <c r="C544" s="236"/>
      <c r="D544" s="219"/>
      <c r="E544" s="220"/>
      <c r="F544" s="229"/>
      <c r="G544" s="220"/>
      <c r="H544" s="220"/>
      <c r="I544" s="220"/>
      <c r="J544" s="220"/>
      <c r="K544" s="220"/>
      <c r="L544" s="220"/>
      <c r="M544" s="220"/>
      <c r="N544" s="220"/>
      <c r="O544" s="220"/>
      <c r="P544" s="220"/>
      <c r="Q544" s="220"/>
      <c r="R544" s="220"/>
      <c r="S544" s="220"/>
      <c r="T544" s="225"/>
      <c r="U544" s="226"/>
      <c r="V544" s="233"/>
    </row>
    <row r="545" customFormat="false" ht="12.75" hidden="false" customHeight="false" outlineLevel="0" collapsed="false">
      <c r="B545" s="228"/>
      <c r="C545" s="236"/>
      <c r="D545" s="219"/>
      <c r="E545" s="220"/>
      <c r="F545" s="229"/>
      <c r="G545" s="220"/>
      <c r="H545" s="220"/>
      <c r="I545" s="220"/>
      <c r="J545" s="220"/>
      <c r="K545" s="220"/>
      <c r="L545" s="220"/>
      <c r="M545" s="220"/>
      <c r="N545" s="220"/>
      <c r="O545" s="220"/>
      <c r="P545" s="220"/>
      <c r="Q545" s="220"/>
      <c r="R545" s="220"/>
      <c r="S545" s="220"/>
      <c r="T545" s="225"/>
      <c r="U545" s="226"/>
      <c r="V545" s="233"/>
    </row>
    <row r="546" customFormat="false" ht="12.75" hidden="false" customHeight="false" outlineLevel="0" collapsed="false">
      <c r="B546" s="228"/>
      <c r="C546" s="236"/>
      <c r="D546" s="219"/>
      <c r="E546" s="220"/>
      <c r="F546" s="229"/>
      <c r="G546" s="220"/>
      <c r="H546" s="220"/>
      <c r="I546" s="220"/>
      <c r="J546" s="220"/>
      <c r="K546" s="220"/>
      <c r="L546" s="220"/>
      <c r="M546" s="220"/>
      <c r="N546" s="220"/>
      <c r="O546" s="220"/>
      <c r="P546" s="220"/>
      <c r="Q546" s="220"/>
      <c r="R546" s="220"/>
      <c r="S546" s="220"/>
      <c r="T546" s="225"/>
      <c r="U546" s="226"/>
      <c r="V546" s="233"/>
    </row>
    <row r="547" customFormat="false" ht="12.75" hidden="false" customHeight="false" outlineLevel="0" collapsed="false">
      <c r="B547" s="228"/>
      <c r="C547" s="236"/>
      <c r="D547" s="219"/>
      <c r="E547" s="220"/>
      <c r="F547" s="229"/>
      <c r="G547" s="220"/>
      <c r="H547" s="220"/>
      <c r="I547" s="220"/>
      <c r="J547" s="220"/>
      <c r="K547" s="220"/>
      <c r="L547" s="220"/>
      <c r="M547" s="220"/>
      <c r="N547" s="220"/>
      <c r="O547" s="220"/>
      <c r="P547" s="220"/>
      <c r="Q547" s="220"/>
      <c r="R547" s="220"/>
      <c r="S547" s="220"/>
      <c r="T547" s="225"/>
      <c r="U547" s="226"/>
      <c r="V547" s="233"/>
    </row>
    <row r="548" customFormat="false" ht="12.75" hidden="false" customHeight="false" outlineLevel="0" collapsed="false">
      <c r="B548" s="228"/>
      <c r="C548" s="236"/>
      <c r="D548" s="219"/>
      <c r="E548" s="220"/>
      <c r="F548" s="229"/>
      <c r="G548" s="220"/>
      <c r="H548" s="220"/>
      <c r="I548" s="220"/>
      <c r="J548" s="220"/>
      <c r="K548" s="220"/>
      <c r="L548" s="220"/>
      <c r="M548" s="220"/>
      <c r="N548" s="220"/>
      <c r="O548" s="220"/>
      <c r="P548" s="220"/>
      <c r="Q548" s="220"/>
      <c r="R548" s="220"/>
      <c r="S548" s="220"/>
      <c r="T548" s="225"/>
      <c r="U548" s="226"/>
      <c r="V548" s="233"/>
    </row>
    <row r="549" customFormat="false" ht="12.75" hidden="false" customHeight="false" outlineLevel="0" collapsed="false">
      <c r="B549" s="228"/>
      <c r="C549" s="236"/>
      <c r="D549" s="219"/>
      <c r="E549" s="220"/>
      <c r="F549" s="229"/>
      <c r="G549" s="220"/>
      <c r="H549" s="220"/>
      <c r="I549" s="220"/>
      <c r="J549" s="220"/>
      <c r="K549" s="220"/>
      <c r="L549" s="220"/>
      <c r="M549" s="220"/>
      <c r="N549" s="220"/>
      <c r="O549" s="220"/>
      <c r="P549" s="220"/>
      <c r="Q549" s="220"/>
      <c r="R549" s="220"/>
      <c r="S549" s="220"/>
      <c r="T549" s="225"/>
      <c r="U549" s="226"/>
      <c r="V549" s="233"/>
    </row>
    <row r="550" customFormat="false" ht="12.75" hidden="false" customHeight="false" outlineLevel="0" collapsed="false">
      <c r="B550" s="228"/>
      <c r="C550" s="236"/>
      <c r="D550" s="219"/>
      <c r="E550" s="220"/>
      <c r="F550" s="229"/>
      <c r="G550" s="220"/>
      <c r="H550" s="220"/>
      <c r="I550" s="220"/>
      <c r="J550" s="220"/>
      <c r="K550" s="220"/>
      <c r="L550" s="220"/>
      <c r="M550" s="220"/>
      <c r="N550" s="220"/>
      <c r="O550" s="220"/>
      <c r="P550" s="220"/>
      <c r="Q550" s="220"/>
      <c r="R550" s="220"/>
      <c r="S550" s="220"/>
      <c r="T550" s="225"/>
      <c r="U550" s="226"/>
      <c r="V550" s="233"/>
    </row>
    <row r="551" customFormat="false" ht="12.75" hidden="false" customHeight="false" outlineLevel="0" collapsed="false">
      <c r="B551" s="228"/>
      <c r="C551" s="236"/>
      <c r="D551" s="219"/>
      <c r="E551" s="220"/>
      <c r="F551" s="229"/>
      <c r="G551" s="220"/>
      <c r="H551" s="220"/>
      <c r="I551" s="220"/>
      <c r="J551" s="220"/>
      <c r="K551" s="220"/>
      <c r="L551" s="220"/>
      <c r="M551" s="220"/>
      <c r="N551" s="220"/>
      <c r="O551" s="220"/>
      <c r="P551" s="220"/>
      <c r="Q551" s="220"/>
      <c r="R551" s="220"/>
      <c r="S551" s="220"/>
      <c r="T551" s="225"/>
      <c r="U551" s="226"/>
      <c r="V551" s="233"/>
    </row>
    <row r="552" customFormat="false" ht="12.75" hidden="false" customHeight="false" outlineLevel="0" collapsed="false">
      <c r="B552" s="228"/>
      <c r="C552" s="236"/>
      <c r="D552" s="219"/>
      <c r="E552" s="220"/>
      <c r="F552" s="229"/>
      <c r="G552" s="220"/>
      <c r="H552" s="220"/>
      <c r="I552" s="220"/>
      <c r="J552" s="220"/>
      <c r="K552" s="220"/>
      <c r="L552" s="220"/>
      <c r="M552" s="220"/>
      <c r="N552" s="220"/>
      <c r="O552" s="220"/>
      <c r="P552" s="220"/>
      <c r="Q552" s="220"/>
      <c r="R552" s="220"/>
      <c r="S552" s="220"/>
      <c r="T552" s="225"/>
      <c r="U552" s="226"/>
      <c r="V552" s="233"/>
    </row>
    <row r="553" customFormat="false" ht="12.75" hidden="false" customHeight="false" outlineLevel="0" collapsed="false">
      <c r="B553" s="228"/>
      <c r="C553" s="236"/>
      <c r="D553" s="219"/>
      <c r="E553" s="220"/>
      <c r="F553" s="229"/>
      <c r="G553" s="220"/>
      <c r="H553" s="220"/>
      <c r="I553" s="220"/>
      <c r="J553" s="220"/>
      <c r="K553" s="220"/>
      <c r="L553" s="220"/>
      <c r="M553" s="220"/>
      <c r="N553" s="220"/>
      <c r="O553" s="220"/>
      <c r="P553" s="220"/>
      <c r="Q553" s="220"/>
      <c r="R553" s="220"/>
      <c r="S553" s="220"/>
      <c r="T553" s="225"/>
      <c r="U553" s="226"/>
      <c r="V553" s="233"/>
    </row>
    <row r="554" customFormat="false" ht="12.75" hidden="false" customHeight="false" outlineLevel="0" collapsed="false">
      <c r="B554" s="228"/>
      <c r="C554" s="236"/>
      <c r="D554" s="219"/>
      <c r="E554" s="220"/>
      <c r="F554" s="229"/>
      <c r="G554" s="220"/>
      <c r="H554" s="220"/>
      <c r="I554" s="220"/>
      <c r="J554" s="220"/>
      <c r="K554" s="220"/>
      <c r="L554" s="220"/>
      <c r="M554" s="220"/>
      <c r="N554" s="220"/>
      <c r="O554" s="220"/>
      <c r="P554" s="220"/>
      <c r="Q554" s="220"/>
      <c r="R554" s="220"/>
      <c r="S554" s="220"/>
      <c r="T554" s="225"/>
      <c r="U554" s="226"/>
      <c r="V554" s="233"/>
    </row>
    <row r="555" customFormat="false" ht="12.75" hidden="false" customHeight="false" outlineLevel="0" collapsed="false">
      <c r="B555" s="228"/>
      <c r="C555" s="236"/>
      <c r="D555" s="219"/>
      <c r="E555" s="220"/>
      <c r="F555" s="229"/>
      <c r="G555" s="220"/>
      <c r="H555" s="220"/>
      <c r="I555" s="220"/>
      <c r="J555" s="220"/>
      <c r="K555" s="220"/>
      <c r="L555" s="220"/>
      <c r="M555" s="220"/>
      <c r="N555" s="220"/>
      <c r="O555" s="220"/>
      <c r="P555" s="220"/>
      <c r="Q555" s="220"/>
      <c r="R555" s="220"/>
      <c r="S555" s="220"/>
      <c r="T555" s="225"/>
      <c r="U555" s="226"/>
      <c r="V555" s="233"/>
    </row>
    <row r="556" customFormat="false" ht="12.75" hidden="false" customHeight="false" outlineLevel="0" collapsed="false">
      <c r="B556" s="228"/>
      <c r="C556" s="236"/>
      <c r="D556" s="219"/>
      <c r="E556" s="220"/>
      <c r="F556" s="229"/>
      <c r="G556" s="220"/>
      <c r="H556" s="220"/>
      <c r="I556" s="220"/>
      <c r="J556" s="220"/>
      <c r="K556" s="220"/>
      <c r="L556" s="220"/>
      <c r="M556" s="220"/>
      <c r="N556" s="220"/>
      <c r="O556" s="220"/>
      <c r="P556" s="220"/>
      <c r="Q556" s="220"/>
      <c r="R556" s="220"/>
      <c r="S556" s="220"/>
      <c r="T556" s="225"/>
      <c r="U556" s="226"/>
      <c r="V556" s="233"/>
    </row>
    <row r="557" customFormat="false" ht="12.75" hidden="false" customHeight="false" outlineLevel="0" collapsed="false">
      <c r="B557" s="228"/>
      <c r="C557" s="236"/>
      <c r="D557" s="219"/>
      <c r="E557" s="220"/>
      <c r="F557" s="229"/>
      <c r="G557" s="220"/>
      <c r="H557" s="220"/>
      <c r="I557" s="220"/>
      <c r="J557" s="220"/>
      <c r="K557" s="220"/>
      <c r="L557" s="220"/>
      <c r="M557" s="220"/>
      <c r="N557" s="220"/>
      <c r="O557" s="220"/>
      <c r="P557" s="220"/>
      <c r="Q557" s="220"/>
      <c r="R557" s="220"/>
      <c r="S557" s="220"/>
      <c r="T557" s="225"/>
      <c r="U557" s="226"/>
      <c r="V557" s="233"/>
    </row>
    <row r="558" customFormat="false" ht="12.75" hidden="false" customHeight="false" outlineLevel="0" collapsed="false">
      <c r="B558" s="228"/>
      <c r="C558" s="236"/>
      <c r="D558" s="219"/>
      <c r="E558" s="220"/>
      <c r="F558" s="229"/>
      <c r="G558" s="220"/>
      <c r="H558" s="220"/>
      <c r="I558" s="220"/>
      <c r="J558" s="220"/>
      <c r="K558" s="220"/>
      <c r="L558" s="220"/>
      <c r="M558" s="220"/>
      <c r="N558" s="220"/>
      <c r="O558" s="220"/>
      <c r="P558" s="220"/>
      <c r="Q558" s="220"/>
      <c r="R558" s="220"/>
      <c r="S558" s="220"/>
      <c r="T558" s="225"/>
      <c r="U558" s="226"/>
      <c r="V558" s="233"/>
    </row>
    <row r="559" customFormat="false" ht="12.75" hidden="false" customHeight="false" outlineLevel="0" collapsed="false">
      <c r="B559" s="228"/>
      <c r="C559" s="236"/>
      <c r="D559" s="219"/>
      <c r="E559" s="220"/>
      <c r="F559" s="229"/>
      <c r="G559" s="220"/>
      <c r="H559" s="220"/>
      <c r="I559" s="220"/>
      <c r="J559" s="220"/>
      <c r="K559" s="220"/>
      <c r="L559" s="220"/>
      <c r="M559" s="220"/>
      <c r="N559" s="220"/>
      <c r="O559" s="220"/>
      <c r="P559" s="220"/>
      <c r="Q559" s="220"/>
      <c r="R559" s="220"/>
      <c r="S559" s="220"/>
      <c r="T559" s="225"/>
      <c r="U559" s="226"/>
      <c r="V559" s="233"/>
    </row>
    <row r="560" customFormat="false" ht="12.75" hidden="false" customHeight="false" outlineLevel="0" collapsed="false">
      <c r="B560" s="228"/>
      <c r="C560" s="236"/>
      <c r="D560" s="219"/>
      <c r="E560" s="220"/>
      <c r="F560" s="229"/>
      <c r="G560" s="220"/>
      <c r="H560" s="220"/>
      <c r="I560" s="220"/>
      <c r="J560" s="220"/>
      <c r="K560" s="220"/>
      <c r="L560" s="220"/>
      <c r="M560" s="220"/>
      <c r="N560" s="220"/>
      <c r="O560" s="220"/>
      <c r="P560" s="220"/>
      <c r="Q560" s="220"/>
      <c r="R560" s="220"/>
      <c r="S560" s="220"/>
      <c r="T560" s="225"/>
      <c r="U560" s="226"/>
      <c r="V560" s="233"/>
    </row>
    <row r="561" customFormat="false" ht="12.75" hidden="false" customHeight="false" outlineLevel="0" collapsed="false">
      <c r="B561" s="228"/>
      <c r="C561" s="236"/>
      <c r="D561" s="219"/>
      <c r="E561" s="220"/>
      <c r="F561" s="229"/>
      <c r="G561" s="220"/>
      <c r="H561" s="220"/>
      <c r="I561" s="220"/>
      <c r="J561" s="220"/>
      <c r="K561" s="220"/>
      <c r="L561" s="220"/>
      <c r="M561" s="220"/>
      <c r="N561" s="220"/>
      <c r="O561" s="220"/>
      <c r="P561" s="220"/>
      <c r="Q561" s="220"/>
      <c r="R561" s="220"/>
      <c r="S561" s="220"/>
      <c r="T561" s="225"/>
      <c r="U561" s="226"/>
      <c r="V561" s="233"/>
    </row>
    <row r="562" customFormat="false" ht="12.75" hidden="false" customHeight="false" outlineLevel="0" collapsed="false">
      <c r="B562" s="228"/>
      <c r="C562" s="236"/>
      <c r="D562" s="219"/>
      <c r="E562" s="220"/>
      <c r="F562" s="229"/>
      <c r="G562" s="220"/>
      <c r="H562" s="220"/>
      <c r="I562" s="220"/>
      <c r="J562" s="220"/>
      <c r="K562" s="220"/>
      <c r="L562" s="220"/>
      <c r="M562" s="220"/>
      <c r="N562" s="220"/>
      <c r="O562" s="220"/>
      <c r="P562" s="220"/>
      <c r="Q562" s="220"/>
      <c r="R562" s="220"/>
      <c r="S562" s="220"/>
      <c r="T562" s="225"/>
      <c r="U562" s="226"/>
      <c r="V562" s="233"/>
    </row>
    <row r="563" customFormat="false" ht="12.75" hidden="false" customHeight="false" outlineLevel="0" collapsed="false">
      <c r="B563" s="228"/>
      <c r="C563" s="236"/>
      <c r="D563" s="219"/>
      <c r="E563" s="220"/>
      <c r="F563" s="229"/>
      <c r="G563" s="220"/>
      <c r="H563" s="220"/>
      <c r="I563" s="220"/>
      <c r="J563" s="220"/>
      <c r="K563" s="220"/>
      <c r="L563" s="220"/>
      <c r="M563" s="220"/>
      <c r="N563" s="220"/>
      <c r="O563" s="220"/>
      <c r="P563" s="220"/>
      <c r="Q563" s="220"/>
      <c r="R563" s="220"/>
      <c r="S563" s="220"/>
      <c r="T563" s="225"/>
      <c r="U563" s="226"/>
      <c r="V563" s="233"/>
    </row>
    <row r="564" customFormat="false" ht="12.75" hidden="false" customHeight="false" outlineLevel="0" collapsed="false">
      <c r="B564" s="228"/>
      <c r="C564" s="236"/>
      <c r="D564" s="219"/>
      <c r="E564" s="220"/>
      <c r="F564" s="229"/>
      <c r="G564" s="220"/>
      <c r="H564" s="220"/>
      <c r="I564" s="220"/>
      <c r="J564" s="220"/>
      <c r="K564" s="220"/>
      <c r="L564" s="220"/>
      <c r="M564" s="220"/>
      <c r="N564" s="220"/>
      <c r="O564" s="220"/>
      <c r="P564" s="220"/>
      <c r="Q564" s="220"/>
      <c r="R564" s="220"/>
      <c r="S564" s="220"/>
      <c r="T564" s="225"/>
      <c r="U564" s="226"/>
      <c r="V564" s="233"/>
    </row>
    <row r="565" customFormat="false" ht="12.75" hidden="false" customHeight="false" outlineLevel="0" collapsed="false">
      <c r="B565" s="228"/>
      <c r="C565" s="236"/>
      <c r="D565" s="219"/>
      <c r="E565" s="220"/>
      <c r="F565" s="229"/>
      <c r="G565" s="220"/>
      <c r="H565" s="220"/>
      <c r="I565" s="220"/>
      <c r="J565" s="220"/>
      <c r="K565" s="220"/>
      <c r="L565" s="220"/>
      <c r="M565" s="220"/>
      <c r="N565" s="220"/>
      <c r="O565" s="220"/>
      <c r="P565" s="220"/>
      <c r="Q565" s="220"/>
      <c r="R565" s="220"/>
      <c r="S565" s="220"/>
      <c r="T565" s="225"/>
      <c r="U565" s="226"/>
      <c r="V565" s="233"/>
    </row>
    <row r="566" customFormat="false" ht="12.75" hidden="false" customHeight="false" outlineLevel="0" collapsed="false">
      <c r="B566" s="228"/>
      <c r="C566" s="236"/>
      <c r="D566" s="219"/>
      <c r="E566" s="220"/>
      <c r="F566" s="229"/>
      <c r="G566" s="220"/>
      <c r="H566" s="220"/>
      <c r="I566" s="220"/>
      <c r="J566" s="220"/>
      <c r="K566" s="220"/>
      <c r="L566" s="220"/>
      <c r="M566" s="220"/>
      <c r="N566" s="220"/>
      <c r="O566" s="220"/>
      <c r="P566" s="220"/>
      <c r="Q566" s="220"/>
      <c r="R566" s="220"/>
      <c r="S566" s="220"/>
      <c r="T566" s="225"/>
      <c r="U566" s="226"/>
      <c r="V566" s="233"/>
    </row>
    <row r="567" customFormat="false" ht="12.75" hidden="false" customHeight="false" outlineLevel="0" collapsed="false">
      <c r="B567" s="228"/>
      <c r="C567" s="236"/>
      <c r="D567" s="219"/>
      <c r="E567" s="220"/>
      <c r="F567" s="229"/>
      <c r="G567" s="220"/>
      <c r="H567" s="220"/>
      <c r="I567" s="220"/>
      <c r="J567" s="220"/>
      <c r="K567" s="220"/>
      <c r="L567" s="220"/>
      <c r="M567" s="220"/>
      <c r="N567" s="220"/>
      <c r="O567" s="220"/>
      <c r="P567" s="220"/>
      <c r="Q567" s="220"/>
      <c r="R567" s="220"/>
      <c r="S567" s="220"/>
      <c r="T567" s="225"/>
      <c r="U567" s="226"/>
      <c r="V567" s="233"/>
    </row>
    <row r="568" customFormat="false" ht="12.75" hidden="false" customHeight="false" outlineLevel="0" collapsed="false">
      <c r="B568" s="228"/>
      <c r="C568" s="236"/>
      <c r="D568" s="219"/>
      <c r="E568" s="220"/>
      <c r="F568" s="229"/>
      <c r="G568" s="220"/>
      <c r="H568" s="220"/>
      <c r="I568" s="220"/>
      <c r="J568" s="220"/>
      <c r="K568" s="220"/>
      <c r="L568" s="220"/>
      <c r="M568" s="220"/>
      <c r="N568" s="220"/>
      <c r="O568" s="220"/>
      <c r="P568" s="220"/>
      <c r="Q568" s="220"/>
      <c r="R568" s="220"/>
      <c r="S568" s="220"/>
      <c r="T568" s="225"/>
      <c r="U568" s="226"/>
      <c r="V568" s="233"/>
    </row>
    <row r="569" customFormat="false" ht="12.75" hidden="false" customHeight="false" outlineLevel="0" collapsed="false">
      <c r="B569" s="228"/>
      <c r="C569" s="236"/>
      <c r="D569" s="219"/>
      <c r="E569" s="220"/>
      <c r="F569" s="229"/>
      <c r="G569" s="220"/>
      <c r="H569" s="220"/>
      <c r="I569" s="220"/>
      <c r="J569" s="220"/>
      <c r="K569" s="220"/>
      <c r="L569" s="220"/>
      <c r="M569" s="220"/>
      <c r="N569" s="220"/>
      <c r="O569" s="220"/>
      <c r="P569" s="220"/>
      <c r="Q569" s="220"/>
      <c r="R569" s="220"/>
      <c r="S569" s="220"/>
      <c r="T569" s="225"/>
      <c r="U569" s="226"/>
      <c r="V569" s="233"/>
    </row>
    <row r="570" customFormat="false" ht="12.75" hidden="false" customHeight="false" outlineLevel="0" collapsed="false">
      <c r="B570" s="228"/>
      <c r="C570" s="236"/>
      <c r="D570" s="219"/>
      <c r="E570" s="220"/>
      <c r="F570" s="229"/>
      <c r="G570" s="220"/>
      <c r="H570" s="220"/>
      <c r="I570" s="220"/>
      <c r="J570" s="220"/>
      <c r="K570" s="220"/>
      <c r="L570" s="220"/>
      <c r="M570" s="220"/>
      <c r="N570" s="220"/>
      <c r="O570" s="220"/>
      <c r="P570" s="220"/>
      <c r="Q570" s="220"/>
      <c r="R570" s="220"/>
      <c r="S570" s="220"/>
      <c r="T570" s="225"/>
      <c r="U570" s="226"/>
      <c r="V570" s="233"/>
    </row>
    <row r="571" customFormat="false" ht="12.75" hidden="false" customHeight="false" outlineLevel="0" collapsed="false">
      <c r="B571" s="228"/>
      <c r="C571" s="236"/>
      <c r="D571" s="219"/>
      <c r="E571" s="220"/>
      <c r="F571" s="229"/>
      <c r="G571" s="220"/>
      <c r="H571" s="220"/>
      <c r="I571" s="220"/>
      <c r="J571" s="220"/>
      <c r="K571" s="220"/>
      <c r="L571" s="220"/>
      <c r="M571" s="220"/>
      <c r="N571" s="220"/>
      <c r="O571" s="220"/>
      <c r="P571" s="220"/>
      <c r="Q571" s="220"/>
      <c r="R571" s="220"/>
      <c r="S571" s="220"/>
      <c r="T571" s="225"/>
      <c r="U571" s="226"/>
      <c r="V571" s="233"/>
    </row>
    <row r="572" customFormat="false" ht="12.75" hidden="false" customHeight="false" outlineLevel="0" collapsed="false">
      <c r="B572" s="228"/>
      <c r="C572" s="236"/>
      <c r="D572" s="219"/>
      <c r="E572" s="220"/>
      <c r="F572" s="229"/>
      <c r="G572" s="220"/>
      <c r="H572" s="220"/>
      <c r="I572" s="220"/>
      <c r="J572" s="220"/>
      <c r="K572" s="220"/>
      <c r="L572" s="220"/>
      <c r="M572" s="220"/>
      <c r="N572" s="220"/>
      <c r="O572" s="220"/>
      <c r="P572" s="220"/>
      <c r="Q572" s="220"/>
      <c r="R572" s="220"/>
      <c r="S572" s="220"/>
      <c r="T572" s="225"/>
      <c r="U572" s="226"/>
      <c r="V572" s="233"/>
    </row>
    <row r="573" customFormat="false" ht="12.75" hidden="false" customHeight="false" outlineLevel="0" collapsed="false">
      <c r="B573" s="228"/>
      <c r="C573" s="236"/>
      <c r="D573" s="219"/>
      <c r="E573" s="220"/>
      <c r="F573" s="229"/>
      <c r="G573" s="220"/>
      <c r="H573" s="220"/>
      <c r="I573" s="220"/>
      <c r="J573" s="220"/>
      <c r="K573" s="220"/>
      <c r="L573" s="220"/>
      <c r="M573" s="220"/>
      <c r="N573" s="220"/>
      <c r="O573" s="220"/>
      <c r="P573" s="220"/>
      <c r="Q573" s="220"/>
      <c r="R573" s="220"/>
      <c r="S573" s="220"/>
      <c r="T573" s="225"/>
      <c r="U573" s="226"/>
      <c r="V573" s="233"/>
    </row>
    <row r="574" customFormat="false" ht="12.75" hidden="false" customHeight="false" outlineLevel="0" collapsed="false">
      <c r="B574" s="228"/>
      <c r="C574" s="236"/>
      <c r="D574" s="219"/>
      <c r="E574" s="220"/>
      <c r="F574" s="229"/>
      <c r="G574" s="220"/>
      <c r="H574" s="220"/>
      <c r="I574" s="220"/>
      <c r="J574" s="220"/>
      <c r="K574" s="220"/>
      <c r="L574" s="220"/>
      <c r="M574" s="220"/>
      <c r="N574" s="220"/>
      <c r="O574" s="220"/>
      <c r="P574" s="220"/>
      <c r="Q574" s="220"/>
      <c r="R574" s="220"/>
      <c r="S574" s="220"/>
      <c r="T574" s="225"/>
      <c r="U574" s="226"/>
      <c r="V574" s="233"/>
    </row>
    <row r="575" customFormat="false" ht="12.75" hidden="false" customHeight="false" outlineLevel="0" collapsed="false">
      <c r="B575" s="228"/>
      <c r="C575" s="236"/>
      <c r="D575" s="219"/>
      <c r="E575" s="220"/>
      <c r="F575" s="229"/>
      <c r="G575" s="220"/>
      <c r="H575" s="220"/>
      <c r="I575" s="220"/>
      <c r="J575" s="220"/>
      <c r="K575" s="220"/>
      <c r="L575" s="220"/>
      <c r="M575" s="220"/>
      <c r="N575" s="220"/>
      <c r="O575" s="220"/>
      <c r="P575" s="220"/>
      <c r="Q575" s="220"/>
      <c r="R575" s="220"/>
      <c r="S575" s="220"/>
      <c r="T575" s="225"/>
      <c r="U575" s="226"/>
      <c r="V575" s="233"/>
    </row>
    <row r="576" customFormat="false" ht="12.75" hidden="false" customHeight="false" outlineLevel="0" collapsed="false">
      <c r="B576" s="228"/>
      <c r="C576" s="236"/>
      <c r="D576" s="219"/>
      <c r="E576" s="220"/>
      <c r="F576" s="229"/>
      <c r="G576" s="220"/>
      <c r="H576" s="220"/>
      <c r="I576" s="220"/>
      <c r="J576" s="220"/>
      <c r="K576" s="220"/>
      <c r="L576" s="220"/>
      <c r="M576" s="220"/>
      <c r="N576" s="220"/>
      <c r="O576" s="220"/>
      <c r="P576" s="220"/>
      <c r="Q576" s="220"/>
      <c r="R576" s="220"/>
      <c r="S576" s="220"/>
      <c r="T576" s="225"/>
      <c r="U576" s="226"/>
      <c r="V576" s="233"/>
    </row>
    <row r="577" customFormat="false" ht="12.75" hidden="false" customHeight="false" outlineLevel="0" collapsed="false">
      <c r="B577" s="228"/>
      <c r="C577" s="236"/>
      <c r="D577" s="219"/>
      <c r="E577" s="220"/>
      <c r="F577" s="229"/>
      <c r="G577" s="220"/>
      <c r="H577" s="220"/>
      <c r="I577" s="220"/>
      <c r="J577" s="220"/>
      <c r="K577" s="220"/>
      <c r="L577" s="220"/>
      <c r="M577" s="220"/>
      <c r="N577" s="220"/>
      <c r="O577" s="220"/>
      <c r="P577" s="220"/>
      <c r="Q577" s="220"/>
      <c r="R577" s="220"/>
      <c r="S577" s="220"/>
      <c r="T577" s="225"/>
      <c r="U577" s="226"/>
      <c r="V577" s="233"/>
    </row>
    <row r="578" customFormat="false" ht="12.75" hidden="false" customHeight="false" outlineLevel="0" collapsed="false">
      <c r="B578" s="228"/>
      <c r="C578" s="236"/>
      <c r="D578" s="219"/>
      <c r="E578" s="220"/>
      <c r="F578" s="229"/>
      <c r="G578" s="220"/>
      <c r="H578" s="220"/>
      <c r="I578" s="220"/>
      <c r="J578" s="220"/>
      <c r="K578" s="220"/>
      <c r="L578" s="220"/>
      <c r="M578" s="220"/>
      <c r="N578" s="220"/>
      <c r="O578" s="220"/>
      <c r="P578" s="220"/>
      <c r="Q578" s="220"/>
      <c r="R578" s="220"/>
      <c r="S578" s="220"/>
      <c r="T578" s="225"/>
      <c r="U578" s="226"/>
      <c r="V578" s="233"/>
    </row>
    <row r="579" customFormat="false" ht="12.75" hidden="false" customHeight="false" outlineLevel="0" collapsed="false">
      <c r="B579" s="228"/>
      <c r="C579" s="236"/>
      <c r="D579" s="219"/>
      <c r="E579" s="220"/>
      <c r="F579" s="229"/>
      <c r="G579" s="220"/>
      <c r="H579" s="220"/>
      <c r="I579" s="220"/>
      <c r="J579" s="220"/>
      <c r="K579" s="220"/>
      <c r="L579" s="220"/>
      <c r="M579" s="220"/>
      <c r="N579" s="220"/>
      <c r="O579" s="220"/>
      <c r="P579" s="220"/>
      <c r="Q579" s="220"/>
      <c r="R579" s="220"/>
      <c r="S579" s="220"/>
      <c r="T579" s="225"/>
      <c r="U579" s="226"/>
      <c r="V579" s="233"/>
    </row>
    <row r="580" customFormat="false" ht="12.75" hidden="false" customHeight="false" outlineLevel="0" collapsed="false">
      <c r="B580" s="228"/>
      <c r="C580" s="236"/>
      <c r="D580" s="219"/>
      <c r="E580" s="220"/>
      <c r="F580" s="229"/>
      <c r="G580" s="220"/>
      <c r="H580" s="220"/>
      <c r="I580" s="220"/>
      <c r="J580" s="220"/>
      <c r="K580" s="220"/>
      <c r="L580" s="220"/>
      <c r="M580" s="220"/>
      <c r="N580" s="220"/>
      <c r="O580" s="220"/>
      <c r="P580" s="220"/>
      <c r="Q580" s="220"/>
      <c r="R580" s="220"/>
      <c r="S580" s="220"/>
      <c r="T580" s="225"/>
      <c r="U580" s="226"/>
      <c r="V580" s="233"/>
    </row>
    <row r="581" customFormat="false" ht="12.75" hidden="false" customHeight="false" outlineLevel="0" collapsed="false">
      <c r="B581" s="228"/>
      <c r="C581" s="236"/>
      <c r="D581" s="219"/>
      <c r="E581" s="220"/>
      <c r="F581" s="229"/>
      <c r="G581" s="220"/>
      <c r="H581" s="220"/>
      <c r="I581" s="220"/>
      <c r="J581" s="220"/>
      <c r="K581" s="220"/>
      <c r="L581" s="220"/>
      <c r="M581" s="220"/>
      <c r="N581" s="220"/>
      <c r="O581" s="220"/>
      <c r="P581" s="220"/>
      <c r="Q581" s="220"/>
      <c r="R581" s="220"/>
      <c r="S581" s="220"/>
      <c r="T581" s="225"/>
      <c r="U581" s="226"/>
      <c r="V581" s="233"/>
    </row>
    <row r="582" customFormat="false" ht="12.75" hidden="false" customHeight="false" outlineLevel="0" collapsed="false">
      <c r="B582" s="228"/>
      <c r="C582" s="236"/>
      <c r="D582" s="219"/>
      <c r="E582" s="220"/>
      <c r="F582" s="229"/>
      <c r="G582" s="220"/>
      <c r="H582" s="220"/>
      <c r="I582" s="220"/>
      <c r="J582" s="220"/>
      <c r="K582" s="220"/>
      <c r="L582" s="220"/>
      <c r="M582" s="220"/>
      <c r="N582" s="220"/>
      <c r="O582" s="220"/>
      <c r="P582" s="220"/>
      <c r="Q582" s="220"/>
      <c r="R582" s="220"/>
      <c r="S582" s="220"/>
      <c r="T582" s="225"/>
      <c r="U582" s="226"/>
      <c r="V582" s="233"/>
    </row>
    <row r="583" customFormat="false" ht="12.75" hidden="false" customHeight="false" outlineLevel="0" collapsed="false">
      <c r="B583" s="228"/>
      <c r="C583" s="236"/>
      <c r="D583" s="219"/>
      <c r="E583" s="220"/>
      <c r="F583" s="229"/>
      <c r="G583" s="220"/>
      <c r="H583" s="220"/>
      <c r="I583" s="220"/>
      <c r="J583" s="220"/>
      <c r="K583" s="220"/>
      <c r="L583" s="220"/>
      <c r="M583" s="220"/>
      <c r="N583" s="220"/>
      <c r="O583" s="220"/>
      <c r="P583" s="220"/>
      <c r="Q583" s="220"/>
      <c r="R583" s="220"/>
      <c r="S583" s="220"/>
      <c r="T583" s="225"/>
      <c r="U583" s="226"/>
      <c r="V583" s="233"/>
    </row>
    <row r="584" customFormat="false" ht="12.75" hidden="false" customHeight="false" outlineLevel="0" collapsed="false">
      <c r="B584" s="228"/>
      <c r="C584" s="236"/>
      <c r="D584" s="219"/>
      <c r="E584" s="220"/>
      <c r="F584" s="229"/>
      <c r="G584" s="220"/>
      <c r="H584" s="220"/>
      <c r="I584" s="220"/>
      <c r="J584" s="220"/>
      <c r="K584" s="220"/>
      <c r="L584" s="220"/>
      <c r="M584" s="220"/>
      <c r="N584" s="220"/>
      <c r="O584" s="220"/>
      <c r="P584" s="220"/>
      <c r="Q584" s="220"/>
      <c r="R584" s="220"/>
      <c r="S584" s="220"/>
      <c r="T584" s="225"/>
      <c r="U584" s="226"/>
      <c r="V584" s="233"/>
    </row>
    <row r="585" customFormat="false" ht="12.75" hidden="false" customHeight="false" outlineLevel="0" collapsed="false">
      <c r="B585" s="228"/>
      <c r="C585" s="236"/>
      <c r="D585" s="219"/>
      <c r="E585" s="220"/>
      <c r="F585" s="229"/>
      <c r="G585" s="220"/>
      <c r="H585" s="220"/>
      <c r="I585" s="220"/>
      <c r="J585" s="220"/>
      <c r="K585" s="220"/>
      <c r="L585" s="220"/>
      <c r="M585" s="220"/>
      <c r="N585" s="220"/>
      <c r="O585" s="220"/>
      <c r="P585" s="220"/>
      <c r="Q585" s="220"/>
      <c r="R585" s="220"/>
      <c r="S585" s="220"/>
      <c r="T585" s="225"/>
      <c r="U585" s="226"/>
      <c r="V585" s="233"/>
    </row>
    <row r="586" customFormat="false" ht="12.75" hidden="false" customHeight="false" outlineLevel="0" collapsed="false">
      <c r="B586" s="228"/>
      <c r="C586" s="236"/>
      <c r="D586" s="219"/>
      <c r="E586" s="220"/>
      <c r="F586" s="229"/>
      <c r="G586" s="220"/>
      <c r="H586" s="220"/>
      <c r="I586" s="220"/>
      <c r="J586" s="220"/>
      <c r="K586" s="220"/>
      <c r="L586" s="220"/>
      <c r="M586" s="220"/>
      <c r="N586" s="220"/>
      <c r="O586" s="220"/>
      <c r="P586" s="220"/>
      <c r="Q586" s="220"/>
      <c r="R586" s="220"/>
      <c r="S586" s="220"/>
      <c r="T586" s="225"/>
      <c r="U586" s="226"/>
      <c r="V586" s="233"/>
    </row>
    <row r="587" customFormat="false" ht="12.75" hidden="false" customHeight="false" outlineLevel="0" collapsed="false">
      <c r="B587" s="228"/>
      <c r="C587" s="236"/>
      <c r="D587" s="219"/>
      <c r="E587" s="220"/>
      <c r="F587" s="229"/>
      <c r="G587" s="220"/>
      <c r="H587" s="220"/>
      <c r="I587" s="220"/>
      <c r="J587" s="220"/>
      <c r="K587" s="220"/>
      <c r="L587" s="220"/>
      <c r="M587" s="220"/>
      <c r="N587" s="220"/>
      <c r="O587" s="220"/>
      <c r="P587" s="220"/>
      <c r="Q587" s="220"/>
      <c r="R587" s="220"/>
      <c r="S587" s="220"/>
      <c r="T587" s="225"/>
      <c r="U587" s="226"/>
      <c r="V587" s="233"/>
    </row>
    <row r="588" customFormat="false" ht="12.75" hidden="false" customHeight="false" outlineLevel="0" collapsed="false">
      <c r="B588" s="228"/>
      <c r="C588" s="236"/>
      <c r="D588" s="219"/>
      <c r="E588" s="220"/>
      <c r="F588" s="229"/>
      <c r="G588" s="220"/>
      <c r="H588" s="220"/>
      <c r="I588" s="220"/>
      <c r="J588" s="220"/>
      <c r="K588" s="220"/>
      <c r="L588" s="220"/>
      <c r="M588" s="220"/>
      <c r="N588" s="220"/>
      <c r="O588" s="220"/>
      <c r="P588" s="220"/>
      <c r="Q588" s="220"/>
      <c r="R588" s="220"/>
      <c r="S588" s="220"/>
      <c r="T588" s="225"/>
      <c r="U588" s="226"/>
      <c r="V588" s="233"/>
    </row>
    <row r="589" customFormat="false" ht="12.75" hidden="false" customHeight="false" outlineLevel="0" collapsed="false">
      <c r="B589" s="228"/>
      <c r="C589" s="236"/>
      <c r="D589" s="219"/>
      <c r="E589" s="220"/>
      <c r="F589" s="229"/>
      <c r="G589" s="220"/>
      <c r="H589" s="220"/>
      <c r="I589" s="220"/>
      <c r="J589" s="220"/>
      <c r="K589" s="220"/>
      <c r="L589" s="220"/>
      <c r="M589" s="220"/>
      <c r="N589" s="220"/>
      <c r="O589" s="220"/>
      <c r="P589" s="220"/>
      <c r="Q589" s="220"/>
      <c r="R589" s="220"/>
      <c r="S589" s="220"/>
      <c r="T589" s="225"/>
      <c r="U589" s="226"/>
      <c r="V589" s="233"/>
    </row>
    <row r="590" customFormat="false" ht="12.75" hidden="false" customHeight="false" outlineLevel="0" collapsed="false">
      <c r="B590" s="228"/>
      <c r="C590" s="236"/>
      <c r="D590" s="219"/>
      <c r="E590" s="220"/>
      <c r="F590" s="229"/>
      <c r="G590" s="220"/>
      <c r="H590" s="220"/>
      <c r="I590" s="220"/>
      <c r="J590" s="220"/>
      <c r="K590" s="220"/>
      <c r="L590" s="220"/>
      <c r="M590" s="220"/>
      <c r="N590" s="220"/>
      <c r="O590" s="220"/>
      <c r="P590" s="220"/>
      <c r="Q590" s="220"/>
      <c r="R590" s="220"/>
      <c r="S590" s="220"/>
      <c r="T590" s="225"/>
      <c r="U590" s="226"/>
      <c r="V590" s="233"/>
    </row>
    <row r="591" customFormat="false" ht="12.75" hidden="false" customHeight="false" outlineLevel="0" collapsed="false">
      <c r="B591" s="228"/>
      <c r="C591" s="236"/>
      <c r="D591" s="219"/>
      <c r="E591" s="220"/>
      <c r="F591" s="229"/>
      <c r="G591" s="220"/>
      <c r="H591" s="220"/>
      <c r="I591" s="220"/>
      <c r="J591" s="220"/>
      <c r="K591" s="220"/>
      <c r="L591" s="220"/>
      <c r="M591" s="220"/>
      <c r="N591" s="220"/>
      <c r="O591" s="220"/>
      <c r="P591" s="220"/>
      <c r="Q591" s="220"/>
      <c r="R591" s="220"/>
      <c r="S591" s="220"/>
      <c r="T591" s="225"/>
      <c r="U591" s="226"/>
      <c r="V591" s="233"/>
    </row>
    <row r="592" customFormat="false" ht="12.75" hidden="false" customHeight="false" outlineLevel="0" collapsed="false">
      <c r="B592" s="228"/>
      <c r="C592" s="236"/>
      <c r="D592" s="219"/>
      <c r="E592" s="220"/>
      <c r="F592" s="229"/>
      <c r="G592" s="220"/>
      <c r="H592" s="220"/>
      <c r="I592" s="220"/>
      <c r="J592" s="220"/>
      <c r="K592" s="220"/>
      <c r="L592" s="220"/>
      <c r="M592" s="220"/>
      <c r="N592" s="220"/>
      <c r="O592" s="220"/>
      <c r="P592" s="220"/>
      <c r="Q592" s="220"/>
      <c r="R592" s="220"/>
      <c r="S592" s="220"/>
      <c r="T592" s="225"/>
      <c r="U592" s="226"/>
      <c r="V592" s="233"/>
    </row>
    <row r="593" customFormat="false" ht="12.75" hidden="false" customHeight="false" outlineLevel="0" collapsed="false">
      <c r="B593" s="228"/>
      <c r="C593" s="236"/>
      <c r="D593" s="219"/>
      <c r="E593" s="220"/>
      <c r="F593" s="229"/>
      <c r="G593" s="220"/>
      <c r="H593" s="220"/>
      <c r="I593" s="220"/>
      <c r="J593" s="220"/>
      <c r="K593" s="220"/>
      <c r="L593" s="220"/>
      <c r="M593" s="220"/>
      <c r="N593" s="220"/>
      <c r="O593" s="220"/>
      <c r="P593" s="220"/>
      <c r="Q593" s="220"/>
      <c r="R593" s="220"/>
      <c r="S593" s="220"/>
      <c r="T593" s="225"/>
      <c r="U593" s="226"/>
      <c r="V593" s="233"/>
    </row>
    <row r="594" customFormat="false" ht="12.75" hidden="false" customHeight="false" outlineLevel="0" collapsed="false">
      <c r="B594" s="228"/>
      <c r="C594" s="236"/>
      <c r="D594" s="219"/>
      <c r="E594" s="220"/>
      <c r="F594" s="229"/>
      <c r="G594" s="220"/>
      <c r="H594" s="220"/>
      <c r="I594" s="220"/>
      <c r="J594" s="220"/>
      <c r="K594" s="220"/>
      <c r="L594" s="220"/>
      <c r="M594" s="220"/>
      <c r="N594" s="220"/>
      <c r="O594" s="220"/>
      <c r="P594" s="220"/>
      <c r="Q594" s="220"/>
      <c r="R594" s="220"/>
      <c r="S594" s="220"/>
      <c r="T594" s="225"/>
      <c r="U594" s="226"/>
      <c r="V594" s="233"/>
    </row>
    <row r="595" customFormat="false" ht="12.75" hidden="false" customHeight="false" outlineLevel="0" collapsed="false">
      <c r="B595" s="228"/>
      <c r="C595" s="236"/>
      <c r="D595" s="219"/>
      <c r="E595" s="220"/>
      <c r="F595" s="229"/>
      <c r="G595" s="220"/>
      <c r="H595" s="220"/>
      <c r="I595" s="220"/>
      <c r="J595" s="220"/>
      <c r="K595" s="220"/>
      <c r="L595" s="220"/>
      <c r="M595" s="220"/>
      <c r="N595" s="220"/>
      <c r="O595" s="220"/>
      <c r="P595" s="220"/>
      <c r="Q595" s="220"/>
      <c r="R595" s="220"/>
      <c r="S595" s="220"/>
      <c r="T595" s="225"/>
      <c r="U595" s="226"/>
      <c r="V595" s="233"/>
    </row>
    <row r="596" customFormat="false" ht="12.75" hidden="false" customHeight="false" outlineLevel="0" collapsed="false">
      <c r="B596" s="228"/>
      <c r="C596" s="236"/>
      <c r="D596" s="219"/>
      <c r="E596" s="220"/>
      <c r="F596" s="229"/>
      <c r="G596" s="220"/>
      <c r="H596" s="220"/>
      <c r="I596" s="220"/>
      <c r="J596" s="220"/>
      <c r="K596" s="220"/>
      <c r="L596" s="220"/>
      <c r="M596" s="220"/>
      <c r="N596" s="220"/>
      <c r="O596" s="220"/>
      <c r="P596" s="220"/>
      <c r="Q596" s="220"/>
      <c r="R596" s="220"/>
      <c r="S596" s="220"/>
      <c r="T596" s="225"/>
      <c r="U596" s="226"/>
      <c r="V596" s="233"/>
    </row>
    <row r="597" customFormat="false" ht="12.75" hidden="false" customHeight="false" outlineLevel="0" collapsed="false">
      <c r="B597" s="228"/>
      <c r="C597" s="236"/>
      <c r="D597" s="219"/>
      <c r="E597" s="220"/>
      <c r="F597" s="229"/>
      <c r="G597" s="220"/>
      <c r="H597" s="220"/>
      <c r="I597" s="220"/>
      <c r="J597" s="220"/>
      <c r="K597" s="220"/>
      <c r="L597" s="220"/>
      <c r="M597" s="220"/>
      <c r="N597" s="220"/>
      <c r="O597" s="220"/>
      <c r="P597" s="220"/>
      <c r="Q597" s="220"/>
      <c r="R597" s="220"/>
      <c r="S597" s="220"/>
      <c r="T597" s="225"/>
      <c r="U597" s="226"/>
      <c r="V597" s="233"/>
    </row>
    <row r="598" customFormat="false" ht="12.75" hidden="false" customHeight="false" outlineLevel="0" collapsed="false">
      <c r="B598" s="228"/>
      <c r="C598" s="236"/>
      <c r="D598" s="219"/>
      <c r="E598" s="220"/>
      <c r="F598" s="229"/>
      <c r="G598" s="220"/>
      <c r="H598" s="220"/>
      <c r="I598" s="220"/>
      <c r="J598" s="220"/>
      <c r="K598" s="220"/>
      <c r="L598" s="220"/>
      <c r="M598" s="220"/>
      <c r="N598" s="220"/>
      <c r="O598" s="220"/>
      <c r="P598" s="220"/>
      <c r="Q598" s="220"/>
      <c r="R598" s="220"/>
      <c r="S598" s="220"/>
      <c r="T598" s="225"/>
      <c r="U598" s="226"/>
      <c r="V598" s="233"/>
    </row>
    <row r="599" customFormat="false" ht="12.75" hidden="false" customHeight="false" outlineLevel="0" collapsed="false">
      <c r="B599" s="228"/>
      <c r="C599" s="236"/>
      <c r="D599" s="219"/>
      <c r="E599" s="220"/>
      <c r="F599" s="229"/>
      <c r="G599" s="220"/>
      <c r="H599" s="220"/>
      <c r="I599" s="220"/>
      <c r="J599" s="220"/>
      <c r="K599" s="220"/>
      <c r="L599" s="220"/>
      <c r="M599" s="220"/>
      <c r="N599" s="220"/>
      <c r="O599" s="220"/>
      <c r="P599" s="220"/>
      <c r="Q599" s="220"/>
      <c r="R599" s="220"/>
      <c r="S599" s="220"/>
      <c r="T599" s="225"/>
      <c r="U599" s="226"/>
      <c r="V599" s="233"/>
    </row>
    <row r="600" customFormat="false" ht="12.75" hidden="false" customHeight="false" outlineLevel="0" collapsed="false">
      <c r="B600" s="228"/>
      <c r="C600" s="236"/>
      <c r="D600" s="219"/>
      <c r="E600" s="220"/>
      <c r="F600" s="229"/>
      <c r="G600" s="220"/>
      <c r="H600" s="220"/>
      <c r="I600" s="220"/>
      <c r="J600" s="220"/>
      <c r="K600" s="220"/>
      <c r="L600" s="220"/>
      <c r="M600" s="220"/>
      <c r="N600" s="220"/>
      <c r="O600" s="220"/>
      <c r="P600" s="220"/>
      <c r="Q600" s="220"/>
      <c r="R600" s="220"/>
      <c r="S600" s="220"/>
      <c r="T600" s="225"/>
      <c r="U600" s="226"/>
      <c r="V600" s="233"/>
    </row>
    <row r="601" customFormat="false" ht="12.75" hidden="false" customHeight="false" outlineLevel="0" collapsed="false">
      <c r="B601" s="228"/>
      <c r="C601" s="236"/>
      <c r="D601" s="219"/>
      <c r="E601" s="220"/>
      <c r="F601" s="229"/>
      <c r="G601" s="220"/>
      <c r="H601" s="220"/>
      <c r="I601" s="220"/>
      <c r="J601" s="220"/>
      <c r="K601" s="220"/>
      <c r="L601" s="220"/>
      <c r="M601" s="220"/>
      <c r="N601" s="220"/>
      <c r="O601" s="220"/>
      <c r="P601" s="220"/>
      <c r="Q601" s="220"/>
      <c r="R601" s="220"/>
      <c r="S601" s="220"/>
      <c r="T601" s="225"/>
      <c r="U601" s="226"/>
      <c r="V601" s="233"/>
    </row>
    <row r="602" customFormat="false" ht="12.75" hidden="false" customHeight="false" outlineLevel="0" collapsed="false">
      <c r="B602" s="228"/>
      <c r="C602" s="236"/>
      <c r="D602" s="219"/>
      <c r="E602" s="220"/>
      <c r="F602" s="229"/>
      <c r="G602" s="220"/>
      <c r="H602" s="220"/>
      <c r="I602" s="220"/>
      <c r="J602" s="220"/>
      <c r="K602" s="220"/>
      <c r="L602" s="220"/>
      <c r="M602" s="220"/>
      <c r="N602" s="220"/>
      <c r="O602" s="220"/>
      <c r="P602" s="220"/>
      <c r="Q602" s="220"/>
      <c r="R602" s="220"/>
      <c r="S602" s="220"/>
      <c r="T602" s="225"/>
      <c r="U602" s="226"/>
      <c r="V602" s="233"/>
    </row>
    <row r="603" customFormat="false" ht="12.75" hidden="false" customHeight="false" outlineLevel="0" collapsed="false">
      <c r="B603" s="228"/>
      <c r="C603" s="236"/>
      <c r="D603" s="219"/>
      <c r="E603" s="220"/>
      <c r="F603" s="229"/>
      <c r="G603" s="220"/>
      <c r="H603" s="220"/>
      <c r="I603" s="220"/>
      <c r="J603" s="220"/>
      <c r="K603" s="220"/>
      <c r="L603" s="220"/>
      <c r="M603" s="220"/>
      <c r="N603" s="220"/>
      <c r="O603" s="220"/>
      <c r="P603" s="220"/>
      <c r="Q603" s="220"/>
      <c r="R603" s="220"/>
      <c r="S603" s="220"/>
      <c r="T603" s="225"/>
      <c r="U603" s="226"/>
      <c r="V603" s="233"/>
    </row>
    <row r="604" customFormat="false" ht="12.75" hidden="false" customHeight="false" outlineLevel="0" collapsed="false">
      <c r="B604" s="228"/>
      <c r="C604" s="236"/>
      <c r="D604" s="219"/>
      <c r="E604" s="220"/>
      <c r="F604" s="229"/>
      <c r="G604" s="220"/>
      <c r="H604" s="220"/>
      <c r="I604" s="220"/>
      <c r="J604" s="220"/>
      <c r="K604" s="220"/>
      <c r="L604" s="220"/>
      <c r="M604" s="220"/>
      <c r="N604" s="220"/>
      <c r="O604" s="220"/>
      <c r="P604" s="220"/>
      <c r="Q604" s="220"/>
      <c r="R604" s="220"/>
      <c r="S604" s="220"/>
      <c r="T604" s="225"/>
      <c r="U604" s="226"/>
      <c r="V604" s="233"/>
    </row>
    <row r="605" customFormat="false" ht="12.75" hidden="false" customHeight="false" outlineLevel="0" collapsed="false">
      <c r="B605" s="228"/>
      <c r="C605" s="236"/>
      <c r="D605" s="219"/>
      <c r="E605" s="220"/>
      <c r="F605" s="229"/>
      <c r="G605" s="220"/>
      <c r="H605" s="220"/>
      <c r="I605" s="220"/>
      <c r="J605" s="220"/>
      <c r="K605" s="220"/>
      <c r="L605" s="220"/>
      <c r="M605" s="220"/>
      <c r="N605" s="220"/>
      <c r="O605" s="220"/>
      <c r="P605" s="220"/>
      <c r="Q605" s="220"/>
      <c r="R605" s="220"/>
      <c r="S605" s="220"/>
      <c r="T605" s="225"/>
      <c r="U605" s="226"/>
      <c r="V605" s="233"/>
    </row>
    <row r="606" customFormat="false" ht="12.75" hidden="false" customHeight="false" outlineLevel="0" collapsed="false">
      <c r="B606" s="228"/>
      <c r="C606" s="236"/>
      <c r="D606" s="219"/>
      <c r="E606" s="220"/>
      <c r="F606" s="229"/>
      <c r="G606" s="220"/>
      <c r="H606" s="220"/>
      <c r="I606" s="220"/>
      <c r="J606" s="220"/>
      <c r="K606" s="220"/>
      <c r="L606" s="220"/>
      <c r="M606" s="220"/>
      <c r="N606" s="220"/>
      <c r="O606" s="220"/>
      <c r="P606" s="220"/>
      <c r="Q606" s="220"/>
      <c r="R606" s="220"/>
      <c r="S606" s="220"/>
      <c r="T606" s="225"/>
      <c r="U606" s="226"/>
      <c r="V606" s="233"/>
    </row>
    <row r="607" customFormat="false" ht="12.75" hidden="false" customHeight="false" outlineLevel="0" collapsed="false">
      <c r="B607" s="228"/>
      <c r="C607" s="236"/>
      <c r="D607" s="219"/>
      <c r="E607" s="220"/>
      <c r="F607" s="229"/>
      <c r="G607" s="220"/>
      <c r="H607" s="220"/>
      <c r="I607" s="220"/>
      <c r="J607" s="220"/>
      <c r="K607" s="220"/>
      <c r="L607" s="220"/>
      <c r="M607" s="220"/>
      <c r="N607" s="220"/>
      <c r="O607" s="220"/>
      <c r="P607" s="220"/>
      <c r="Q607" s="220"/>
      <c r="R607" s="220"/>
      <c r="S607" s="220"/>
      <c r="T607" s="225"/>
      <c r="U607" s="226"/>
      <c r="V607" s="233"/>
    </row>
    <row r="608" customFormat="false" ht="12.75" hidden="false" customHeight="false" outlineLevel="0" collapsed="false">
      <c r="B608" s="228"/>
      <c r="C608" s="236"/>
      <c r="D608" s="219"/>
      <c r="E608" s="220"/>
      <c r="F608" s="229"/>
      <c r="G608" s="220"/>
      <c r="H608" s="220"/>
      <c r="I608" s="220"/>
      <c r="J608" s="220"/>
      <c r="K608" s="220"/>
      <c r="L608" s="220"/>
      <c r="M608" s="220"/>
      <c r="N608" s="220"/>
      <c r="O608" s="220"/>
      <c r="P608" s="220"/>
      <c r="Q608" s="220"/>
      <c r="R608" s="220"/>
      <c r="S608" s="220"/>
      <c r="T608" s="225"/>
      <c r="U608" s="226"/>
      <c r="V608" s="233"/>
    </row>
    <row r="609" customFormat="false" ht="12.75" hidden="false" customHeight="false" outlineLevel="0" collapsed="false">
      <c r="B609" s="228"/>
      <c r="C609" s="236"/>
      <c r="D609" s="219"/>
      <c r="E609" s="220"/>
      <c r="F609" s="229"/>
      <c r="G609" s="220"/>
      <c r="H609" s="220"/>
      <c r="I609" s="220"/>
      <c r="J609" s="220"/>
      <c r="K609" s="220"/>
      <c r="L609" s="220"/>
      <c r="M609" s="220"/>
      <c r="N609" s="220"/>
      <c r="O609" s="220"/>
      <c r="P609" s="220"/>
      <c r="Q609" s="220"/>
      <c r="R609" s="220"/>
      <c r="S609" s="220"/>
      <c r="T609" s="225"/>
      <c r="U609" s="226"/>
      <c r="V609" s="233"/>
    </row>
    <row r="610" customFormat="false" ht="12.75" hidden="false" customHeight="false" outlineLevel="0" collapsed="false">
      <c r="B610" s="228"/>
      <c r="C610" s="236"/>
      <c r="D610" s="219"/>
      <c r="E610" s="220"/>
      <c r="F610" s="229"/>
      <c r="G610" s="220"/>
      <c r="H610" s="220"/>
      <c r="I610" s="220"/>
      <c r="J610" s="220"/>
      <c r="K610" s="220"/>
      <c r="L610" s="220"/>
      <c r="M610" s="220"/>
      <c r="N610" s="220"/>
      <c r="O610" s="220"/>
      <c r="P610" s="220"/>
      <c r="Q610" s="220"/>
      <c r="R610" s="220"/>
      <c r="S610" s="220"/>
      <c r="T610" s="225"/>
      <c r="U610" s="226"/>
      <c r="V610" s="233"/>
    </row>
    <row r="611" customFormat="false" ht="12.75" hidden="false" customHeight="false" outlineLevel="0" collapsed="false">
      <c r="B611" s="228"/>
      <c r="C611" s="236"/>
      <c r="D611" s="219"/>
      <c r="E611" s="220"/>
      <c r="F611" s="229"/>
      <c r="G611" s="220"/>
      <c r="H611" s="220"/>
      <c r="I611" s="220"/>
      <c r="J611" s="220"/>
      <c r="K611" s="220"/>
      <c r="L611" s="220"/>
      <c r="M611" s="220"/>
      <c r="N611" s="220"/>
      <c r="O611" s="220"/>
      <c r="P611" s="220"/>
      <c r="Q611" s="220"/>
      <c r="R611" s="220"/>
      <c r="S611" s="220"/>
      <c r="T611" s="225"/>
      <c r="U611" s="226"/>
      <c r="V611" s="233"/>
    </row>
    <row r="612" customFormat="false" ht="12.75" hidden="false" customHeight="false" outlineLevel="0" collapsed="false">
      <c r="B612" s="228"/>
      <c r="C612" s="236"/>
      <c r="D612" s="219"/>
      <c r="E612" s="220"/>
      <c r="F612" s="229"/>
      <c r="G612" s="220"/>
      <c r="H612" s="220"/>
      <c r="I612" s="220"/>
      <c r="J612" s="220"/>
      <c r="K612" s="220"/>
      <c r="L612" s="220"/>
      <c r="M612" s="220"/>
      <c r="N612" s="220"/>
      <c r="O612" s="220"/>
      <c r="P612" s="220"/>
      <c r="Q612" s="220"/>
      <c r="R612" s="220"/>
      <c r="S612" s="220"/>
      <c r="T612" s="225"/>
      <c r="U612" s="226"/>
      <c r="V612" s="233"/>
    </row>
    <row r="613" customFormat="false" ht="12.75" hidden="false" customHeight="false" outlineLevel="0" collapsed="false">
      <c r="B613" s="228"/>
      <c r="C613" s="236"/>
      <c r="D613" s="219"/>
      <c r="E613" s="220"/>
      <c r="F613" s="229"/>
      <c r="G613" s="220"/>
      <c r="H613" s="220"/>
      <c r="I613" s="220"/>
      <c r="J613" s="220"/>
      <c r="K613" s="220"/>
      <c r="L613" s="220"/>
      <c r="M613" s="220"/>
      <c r="N613" s="220"/>
      <c r="O613" s="220"/>
      <c r="P613" s="220"/>
      <c r="Q613" s="220"/>
      <c r="R613" s="220"/>
      <c r="S613" s="220"/>
      <c r="T613" s="225"/>
      <c r="U613" s="226"/>
      <c r="V613" s="233"/>
    </row>
    <row r="614" customFormat="false" ht="12.75" hidden="false" customHeight="false" outlineLevel="0" collapsed="false">
      <c r="B614" s="228"/>
      <c r="C614" s="236"/>
      <c r="D614" s="219"/>
      <c r="E614" s="220"/>
      <c r="F614" s="229"/>
      <c r="G614" s="220"/>
      <c r="H614" s="220"/>
      <c r="I614" s="220"/>
      <c r="J614" s="220"/>
      <c r="K614" s="220"/>
      <c r="L614" s="220"/>
      <c r="M614" s="220"/>
      <c r="N614" s="220"/>
      <c r="O614" s="220"/>
      <c r="P614" s="220"/>
      <c r="Q614" s="220"/>
      <c r="R614" s="220"/>
      <c r="S614" s="220"/>
      <c r="T614" s="225"/>
      <c r="U614" s="226"/>
      <c r="V614" s="233"/>
    </row>
    <row r="615" customFormat="false" ht="12.75" hidden="false" customHeight="false" outlineLevel="0" collapsed="false">
      <c r="B615" s="228"/>
      <c r="C615" s="236"/>
      <c r="D615" s="219"/>
      <c r="E615" s="220"/>
      <c r="F615" s="229"/>
      <c r="G615" s="220"/>
      <c r="H615" s="220"/>
      <c r="I615" s="220"/>
      <c r="J615" s="220"/>
      <c r="K615" s="220"/>
      <c r="L615" s="220"/>
      <c r="M615" s="220"/>
      <c r="N615" s="220"/>
      <c r="O615" s="220"/>
      <c r="P615" s="220"/>
      <c r="Q615" s="220"/>
      <c r="R615" s="220"/>
      <c r="S615" s="220"/>
      <c r="T615" s="225"/>
      <c r="U615" s="226"/>
      <c r="V615" s="233"/>
    </row>
    <row r="616" customFormat="false" ht="12.75" hidden="false" customHeight="false" outlineLevel="0" collapsed="false">
      <c r="B616" s="228"/>
      <c r="C616" s="236"/>
      <c r="D616" s="219"/>
      <c r="E616" s="220"/>
      <c r="F616" s="229"/>
      <c r="G616" s="220"/>
      <c r="H616" s="220"/>
      <c r="I616" s="220"/>
      <c r="J616" s="220"/>
      <c r="K616" s="220"/>
      <c r="L616" s="220"/>
      <c r="M616" s="220"/>
      <c r="N616" s="220"/>
      <c r="O616" s="220"/>
      <c r="P616" s="220"/>
      <c r="Q616" s="220"/>
      <c r="R616" s="220"/>
      <c r="S616" s="220"/>
      <c r="T616" s="225"/>
      <c r="U616" s="226"/>
      <c r="V616" s="233"/>
    </row>
    <row r="617" customFormat="false" ht="12.75" hidden="false" customHeight="false" outlineLevel="0" collapsed="false">
      <c r="B617" s="228"/>
      <c r="C617" s="236"/>
      <c r="D617" s="219"/>
      <c r="E617" s="220"/>
      <c r="F617" s="229"/>
      <c r="G617" s="220"/>
      <c r="H617" s="220"/>
      <c r="I617" s="220"/>
      <c r="J617" s="220"/>
      <c r="K617" s="220"/>
      <c r="L617" s="220"/>
      <c r="M617" s="220"/>
      <c r="N617" s="220"/>
      <c r="O617" s="220"/>
      <c r="P617" s="220"/>
      <c r="Q617" s="220"/>
      <c r="R617" s="220"/>
      <c r="S617" s="220"/>
      <c r="T617" s="225"/>
      <c r="U617" s="226"/>
      <c r="V617" s="233"/>
    </row>
    <row r="618" customFormat="false" ht="12.75" hidden="false" customHeight="false" outlineLevel="0" collapsed="false">
      <c r="B618" s="228"/>
      <c r="C618" s="236"/>
      <c r="D618" s="219"/>
      <c r="E618" s="220"/>
      <c r="F618" s="229"/>
      <c r="G618" s="220"/>
      <c r="H618" s="220"/>
      <c r="I618" s="220"/>
      <c r="J618" s="220"/>
      <c r="K618" s="220"/>
      <c r="L618" s="220"/>
      <c r="M618" s="220"/>
      <c r="N618" s="220"/>
      <c r="O618" s="220"/>
      <c r="P618" s="220"/>
      <c r="Q618" s="220"/>
      <c r="R618" s="220"/>
      <c r="S618" s="220"/>
      <c r="T618" s="225"/>
      <c r="U618" s="226"/>
      <c r="V618" s="233"/>
    </row>
    <row r="619" customFormat="false" ht="12.75" hidden="false" customHeight="false" outlineLevel="0" collapsed="false">
      <c r="B619" s="228"/>
      <c r="C619" s="236"/>
      <c r="D619" s="219"/>
      <c r="E619" s="220"/>
      <c r="F619" s="229"/>
      <c r="G619" s="220"/>
      <c r="H619" s="220"/>
      <c r="I619" s="220"/>
      <c r="J619" s="220"/>
      <c r="K619" s="220"/>
      <c r="L619" s="220"/>
      <c r="M619" s="220"/>
      <c r="N619" s="220"/>
      <c r="O619" s="220"/>
      <c r="P619" s="220"/>
      <c r="Q619" s="220"/>
      <c r="R619" s="220"/>
      <c r="S619" s="220"/>
      <c r="T619" s="225"/>
      <c r="U619" s="226"/>
      <c r="V619" s="233"/>
    </row>
    <row r="620" customFormat="false" ht="12.75" hidden="false" customHeight="false" outlineLevel="0" collapsed="false">
      <c r="B620" s="228"/>
      <c r="C620" s="236"/>
      <c r="D620" s="219"/>
      <c r="E620" s="220"/>
      <c r="F620" s="229"/>
      <c r="G620" s="220"/>
      <c r="H620" s="220"/>
      <c r="I620" s="220"/>
      <c r="J620" s="220"/>
      <c r="K620" s="220"/>
      <c r="L620" s="220"/>
      <c r="M620" s="220"/>
      <c r="N620" s="220"/>
      <c r="O620" s="220"/>
      <c r="P620" s="220"/>
      <c r="Q620" s="220"/>
      <c r="R620" s="220"/>
      <c r="S620" s="220"/>
      <c r="T620" s="225"/>
      <c r="U620" s="226"/>
      <c r="V620" s="233"/>
    </row>
    <row r="621" customFormat="false" ht="12.75" hidden="false" customHeight="false" outlineLevel="0" collapsed="false">
      <c r="B621" s="228"/>
      <c r="C621" s="236"/>
      <c r="D621" s="219"/>
      <c r="E621" s="220"/>
      <c r="F621" s="229"/>
      <c r="G621" s="220"/>
      <c r="H621" s="220"/>
      <c r="I621" s="220"/>
      <c r="J621" s="220"/>
      <c r="K621" s="220"/>
      <c r="L621" s="220"/>
      <c r="M621" s="220"/>
      <c r="N621" s="220"/>
      <c r="O621" s="220"/>
      <c r="P621" s="220"/>
      <c r="Q621" s="220"/>
      <c r="R621" s="220"/>
      <c r="S621" s="220"/>
      <c r="T621" s="225"/>
      <c r="U621" s="226"/>
      <c r="V621" s="233"/>
    </row>
    <row r="622" customFormat="false" ht="12.75" hidden="false" customHeight="false" outlineLevel="0" collapsed="false">
      <c r="B622" s="228"/>
      <c r="C622" s="236"/>
      <c r="D622" s="219"/>
      <c r="E622" s="220"/>
      <c r="F622" s="229"/>
      <c r="G622" s="220"/>
      <c r="H622" s="220"/>
      <c r="I622" s="220"/>
      <c r="J622" s="220"/>
      <c r="K622" s="220"/>
      <c r="L622" s="220"/>
      <c r="M622" s="220"/>
      <c r="N622" s="220"/>
      <c r="O622" s="220"/>
      <c r="P622" s="220"/>
      <c r="Q622" s="220"/>
      <c r="R622" s="220"/>
      <c r="S622" s="220"/>
      <c r="T622" s="225"/>
      <c r="U622" s="226"/>
      <c r="V622" s="233"/>
    </row>
    <row r="623" customFormat="false" ht="12.75" hidden="false" customHeight="false" outlineLevel="0" collapsed="false">
      <c r="B623" s="228"/>
      <c r="C623" s="236"/>
      <c r="D623" s="219"/>
      <c r="E623" s="220"/>
      <c r="F623" s="229"/>
      <c r="G623" s="220"/>
      <c r="H623" s="220"/>
      <c r="I623" s="220"/>
      <c r="J623" s="220"/>
      <c r="K623" s="220"/>
      <c r="L623" s="220"/>
      <c r="M623" s="220"/>
      <c r="N623" s="220"/>
      <c r="O623" s="220"/>
      <c r="P623" s="220"/>
      <c r="Q623" s="220"/>
      <c r="R623" s="220"/>
      <c r="S623" s="220"/>
      <c r="T623" s="225"/>
      <c r="U623" s="226"/>
      <c r="V623" s="233"/>
    </row>
    <row r="624" customFormat="false" ht="12.75" hidden="false" customHeight="false" outlineLevel="0" collapsed="false">
      <c r="B624" s="228"/>
      <c r="C624" s="236"/>
      <c r="D624" s="219"/>
      <c r="E624" s="220"/>
      <c r="F624" s="229"/>
      <c r="G624" s="220"/>
      <c r="H624" s="220"/>
      <c r="I624" s="220"/>
      <c r="J624" s="220"/>
      <c r="K624" s="220"/>
      <c r="L624" s="220"/>
      <c r="M624" s="220"/>
      <c r="N624" s="220"/>
      <c r="O624" s="220"/>
      <c r="P624" s="220"/>
      <c r="Q624" s="220"/>
      <c r="R624" s="220"/>
      <c r="S624" s="220"/>
      <c r="T624" s="225"/>
      <c r="U624" s="226"/>
      <c r="V624" s="233"/>
    </row>
    <row r="625" customFormat="false" ht="12.75" hidden="false" customHeight="false" outlineLevel="0" collapsed="false">
      <c r="B625" s="228"/>
      <c r="C625" s="236"/>
      <c r="D625" s="219"/>
      <c r="E625" s="220"/>
      <c r="F625" s="229"/>
      <c r="G625" s="220"/>
      <c r="H625" s="220"/>
      <c r="I625" s="220"/>
      <c r="J625" s="220"/>
      <c r="K625" s="220"/>
      <c r="L625" s="220"/>
      <c r="M625" s="220"/>
      <c r="N625" s="220"/>
      <c r="O625" s="220"/>
      <c r="P625" s="220"/>
      <c r="Q625" s="220"/>
      <c r="R625" s="220"/>
      <c r="S625" s="220"/>
      <c r="T625" s="225"/>
      <c r="U625" s="226"/>
      <c r="V625" s="233"/>
    </row>
    <row r="626" customFormat="false" ht="12.75" hidden="false" customHeight="false" outlineLevel="0" collapsed="false">
      <c r="B626" s="228"/>
      <c r="C626" s="236"/>
      <c r="D626" s="219"/>
      <c r="E626" s="220"/>
      <c r="F626" s="229"/>
      <c r="G626" s="220"/>
      <c r="H626" s="220"/>
      <c r="I626" s="220"/>
      <c r="J626" s="220"/>
      <c r="K626" s="220"/>
      <c r="L626" s="220"/>
      <c r="M626" s="220"/>
      <c r="N626" s="220"/>
      <c r="O626" s="220"/>
      <c r="P626" s="220"/>
      <c r="Q626" s="220"/>
      <c r="R626" s="220"/>
      <c r="S626" s="220"/>
      <c r="T626" s="225"/>
      <c r="U626" s="226"/>
      <c r="V626" s="233"/>
    </row>
    <row r="627" customFormat="false" ht="12.75" hidden="false" customHeight="false" outlineLevel="0" collapsed="false">
      <c r="B627" s="228"/>
      <c r="C627" s="236"/>
      <c r="D627" s="219"/>
      <c r="E627" s="220"/>
      <c r="F627" s="229"/>
      <c r="G627" s="220"/>
      <c r="H627" s="220"/>
      <c r="I627" s="220"/>
      <c r="J627" s="220"/>
      <c r="K627" s="220"/>
      <c r="L627" s="220"/>
      <c r="M627" s="220"/>
      <c r="N627" s="220"/>
      <c r="O627" s="220"/>
      <c r="P627" s="220"/>
      <c r="Q627" s="220"/>
      <c r="R627" s="220"/>
      <c r="S627" s="220"/>
      <c r="T627" s="225"/>
      <c r="U627" s="226"/>
      <c r="V627" s="233"/>
    </row>
    <row r="628" customFormat="false" ht="12.75" hidden="false" customHeight="false" outlineLevel="0" collapsed="false">
      <c r="B628" s="228"/>
      <c r="C628" s="236"/>
      <c r="D628" s="219"/>
      <c r="E628" s="220"/>
      <c r="F628" s="229"/>
      <c r="G628" s="220"/>
      <c r="H628" s="220"/>
      <c r="I628" s="220"/>
      <c r="J628" s="220"/>
      <c r="K628" s="220"/>
      <c r="L628" s="220"/>
      <c r="M628" s="220"/>
      <c r="N628" s="220"/>
      <c r="O628" s="220"/>
      <c r="P628" s="220"/>
      <c r="Q628" s="220"/>
      <c r="R628" s="220"/>
      <c r="S628" s="220"/>
      <c r="T628" s="225"/>
      <c r="U628" s="226"/>
      <c r="V628" s="233"/>
    </row>
    <row r="629" customFormat="false" ht="12.75" hidden="false" customHeight="false" outlineLevel="0" collapsed="false">
      <c r="B629" s="228"/>
      <c r="C629" s="236"/>
      <c r="D629" s="219"/>
      <c r="E629" s="220"/>
      <c r="F629" s="229"/>
      <c r="G629" s="220"/>
      <c r="H629" s="220"/>
      <c r="I629" s="220"/>
      <c r="J629" s="220"/>
      <c r="K629" s="220"/>
      <c r="L629" s="220"/>
      <c r="M629" s="220"/>
      <c r="N629" s="220"/>
      <c r="O629" s="220"/>
      <c r="P629" s="220"/>
      <c r="Q629" s="220"/>
      <c r="R629" s="220"/>
      <c r="S629" s="220"/>
      <c r="T629" s="225"/>
      <c r="U629" s="226"/>
      <c r="V629" s="233"/>
    </row>
    <row r="630" customFormat="false" ht="12.75" hidden="false" customHeight="false" outlineLevel="0" collapsed="false">
      <c r="B630" s="228"/>
      <c r="C630" s="236"/>
      <c r="D630" s="219"/>
      <c r="E630" s="220"/>
      <c r="F630" s="229"/>
      <c r="G630" s="220"/>
      <c r="H630" s="220"/>
      <c r="I630" s="220"/>
      <c r="J630" s="220"/>
      <c r="K630" s="220"/>
      <c r="L630" s="220"/>
      <c r="M630" s="220"/>
      <c r="N630" s="220"/>
      <c r="O630" s="220"/>
      <c r="P630" s="220"/>
      <c r="Q630" s="220"/>
      <c r="R630" s="220"/>
      <c r="S630" s="220"/>
      <c r="T630" s="225"/>
      <c r="U630" s="226"/>
      <c r="V630" s="233"/>
    </row>
    <row r="631" customFormat="false" ht="12.75" hidden="false" customHeight="false" outlineLevel="0" collapsed="false">
      <c r="B631" s="228"/>
      <c r="C631" s="236"/>
      <c r="D631" s="219"/>
      <c r="E631" s="220"/>
      <c r="F631" s="229"/>
      <c r="G631" s="220"/>
      <c r="H631" s="220"/>
      <c r="I631" s="220"/>
      <c r="J631" s="220"/>
      <c r="K631" s="220"/>
      <c r="L631" s="220"/>
      <c r="M631" s="220"/>
      <c r="N631" s="220"/>
      <c r="O631" s="220"/>
      <c r="P631" s="220"/>
      <c r="Q631" s="220"/>
      <c r="R631" s="220"/>
      <c r="S631" s="220"/>
      <c r="T631" s="225"/>
      <c r="U631" s="226"/>
      <c r="V631" s="233"/>
    </row>
    <row r="632" customFormat="false" ht="12.75" hidden="false" customHeight="false" outlineLevel="0" collapsed="false">
      <c r="B632" s="228"/>
      <c r="C632" s="236"/>
      <c r="D632" s="219"/>
      <c r="E632" s="220"/>
      <c r="F632" s="229"/>
      <c r="G632" s="220"/>
      <c r="H632" s="220"/>
      <c r="I632" s="220"/>
      <c r="J632" s="220"/>
      <c r="K632" s="220"/>
      <c r="L632" s="220"/>
      <c r="M632" s="220"/>
      <c r="N632" s="220"/>
      <c r="O632" s="220"/>
      <c r="P632" s="220"/>
      <c r="Q632" s="220"/>
      <c r="R632" s="220"/>
      <c r="S632" s="220"/>
      <c r="T632" s="225"/>
      <c r="U632" s="226"/>
      <c r="V632" s="233"/>
    </row>
    <row r="633" customFormat="false" ht="12.75" hidden="false" customHeight="false" outlineLevel="0" collapsed="false">
      <c r="B633" s="228"/>
      <c r="C633" s="236"/>
      <c r="D633" s="219"/>
      <c r="E633" s="220"/>
      <c r="F633" s="229"/>
      <c r="G633" s="220"/>
      <c r="H633" s="220"/>
      <c r="I633" s="220"/>
      <c r="J633" s="220"/>
      <c r="K633" s="220"/>
      <c r="L633" s="220"/>
      <c r="M633" s="220"/>
      <c r="N633" s="220"/>
      <c r="O633" s="220"/>
      <c r="P633" s="220"/>
      <c r="Q633" s="220"/>
      <c r="R633" s="220"/>
      <c r="S633" s="220"/>
      <c r="T633" s="225"/>
      <c r="U633" s="226"/>
      <c r="V633" s="233"/>
    </row>
    <row r="634" customFormat="false" ht="12.75" hidden="false" customHeight="false" outlineLevel="0" collapsed="false">
      <c r="B634" s="228"/>
      <c r="C634" s="236"/>
      <c r="D634" s="219"/>
      <c r="E634" s="220"/>
      <c r="F634" s="229"/>
      <c r="G634" s="220"/>
      <c r="H634" s="220"/>
      <c r="I634" s="220"/>
      <c r="J634" s="220"/>
      <c r="K634" s="220"/>
      <c r="L634" s="220"/>
      <c r="M634" s="220"/>
      <c r="N634" s="220"/>
      <c r="O634" s="220"/>
      <c r="P634" s="220"/>
      <c r="Q634" s="220"/>
      <c r="R634" s="220"/>
      <c r="S634" s="220"/>
      <c r="T634" s="225"/>
      <c r="U634" s="226"/>
      <c r="V634" s="233"/>
    </row>
    <row r="635" customFormat="false" ht="12.75" hidden="false" customHeight="false" outlineLevel="0" collapsed="false">
      <c r="B635" s="228"/>
      <c r="C635" s="236"/>
      <c r="D635" s="219"/>
      <c r="E635" s="220"/>
      <c r="F635" s="229"/>
      <c r="G635" s="220"/>
      <c r="H635" s="220"/>
      <c r="I635" s="220"/>
      <c r="J635" s="220"/>
      <c r="K635" s="220"/>
      <c r="L635" s="220"/>
      <c r="M635" s="220"/>
      <c r="N635" s="220"/>
      <c r="O635" s="220"/>
      <c r="P635" s="220"/>
      <c r="Q635" s="220"/>
      <c r="R635" s="220"/>
      <c r="S635" s="220"/>
      <c r="T635" s="225"/>
      <c r="U635" s="226"/>
      <c r="V635" s="233"/>
    </row>
    <row r="636" customFormat="false" ht="12.75" hidden="false" customHeight="false" outlineLevel="0" collapsed="false">
      <c r="B636" s="228"/>
      <c r="C636" s="236"/>
      <c r="D636" s="219"/>
      <c r="E636" s="220"/>
      <c r="F636" s="229"/>
      <c r="G636" s="220"/>
      <c r="H636" s="220"/>
      <c r="I636" s="220"/>
      <c r="J636" s="220"/>
      <c r="K636" s="220"/>
      <c r="L636" s="220"/>
      <c r="M636" s="220"/>
      <c r="N636" s="220"/>
      <c r="O636" s="220"/>
      <c r="P636" s="220"/>
      <c r="Q636" s="220"/>
      <c r="R636" s="220"/>
      <c r="S636" s="220"/>
      <c r="T636" s="225"/>
      <c r="U636" s="226"/>
      <c r="V636" s="233"/>
    </row>
    <row r="637" customFormat="false" ht="12.75" hidden="false" customHeight="false" outlineLevel="0" collapsed="false">
      <c r="B637" s="228"/>
      <c r="C637" s="236"/>
      <c r="D637" s="219"/>
      <c r="E637" s="220"/>
      <c r="F637" s="229"/>
      <c r="G637" s="220"/>
      <c r="H637" s="220"/>
      <c r="I637" s="220"/>
      <c r="J637" s="220"/>
      <c r="K637" s="220"/>
      <c r="L637" s="220"/>
      <c r="M637" s="220"/>
      <c r="N637" s="220"/>
      <c r="O637" s="220"/>
      <c r="P637" s="220"/>
      <c r="Q637" s="220"/>
      <c r="R637" s="220"/>
      <c r="S637" s="220"/>
      <c r="T637" s="225"/>
      <c r="U637" s="226"/>
      <c r="V637" s="233"/>
    </row>
    <row r="638" customFormat="false" ht="12.75" hidden="false" customHeight="false" outlineLevel="0" collapsed="false">
      <c r="B638" s="228"/>
      <c r="C638" s="236"/>
      <c r="D638" s="219"/>
      <c r="E638" s="220"/>
      <c r="F638" s="229"/>
      <c r="G638" s="220"/>
      <c r="H638" s="220"/>
      <c r="I638" s="220"/>
      <c r="J638" s="220"/>
      <c r="K638" s="220"/>
      <c r="L638" s="220"/>
      <c r="M638" s="220"/>
      <c r="N638" s="220"/>
      <c r="O638" s="220"/>
      <c r="P638" s="220"/>
      <c r="Q638" s="220"/>
      <c r="R638" s="220"/>
      <c r="S638" s="220"/>
      <c r="T638" s="225"/>
      <c r="U638" s="226"/>
      <c r="V638" s="233"/>
    </row>
    <row r="639" customFormat="false" ht="12.75" hidden="false" customHeight="false" outlineLevel="0" collapsed="false">
      <c r="B639" s="228"/>
      <c r="C639" s="236"/>
      <c r="D639" s="219"/>
      <c r="E639" s="220"/>
      <c r="F639" s="229"/>
      <c r="G639" s="220"/>
      <c r="H639" s="220"/>
      <c r="I639" s="220"/>
      <c r="J639" s="220"/>
      <c r="K639" s="220"/>
      <c r="L639" s="220"/>
      <c r="M639" s="220"/>
      <c r="N639" s="220"/>
      <c r="O639" s="220"/>
      <c r="P639" s="220"/>
      <c r="Q639" s="220"/>
      <c r="R639" s="220"/>
      <c r="S639" s="220"/>
      <c r="T639" s="225"/>
      <c r="U639" s="226"/>
      <c r="V639" s="233"/>
    </row>
    <row r="640" customFormat="false" ht="12.75" hidden="false" customHeight="false" outlineLevel="0" collapsed="false">
      <c r="B640" s="228"/>
      <c r="C640" s="236"/>
      <c r="D640" s="219"/>
      <c r="E640" s="220"/>
      <c r="F640" s="229"/>
      <c r="G640" s="220"/>
      <c r="H640" s="220"/>
      <c r="I640" s="220"/>
      <c r="J640" s="220"/>
      <c r="K640" s="220"/>
      <c r="L640" s="220"/>
      <c r="M640" s="220"/>
      <c r="N640" s="220"/>
      <c r="O640" s="220"/>
      <c r="P640" s="220"/>
      <c r="Q640" s="220"/>
      <c r="R640" s="220"/>
      <c r="S640" s="220"/>
      <c r="T640" s="225"/>
      <c r="U640" s="226"/>
      <c r="V640" s="233"/>
    </row>
    <row r="641" customFormat="false" ht="12.75" hidden="false" customHeight="false" outlineLevel="0" collapsed="false">
      <c r="B641" s="228"/>
      <c r="C641" s="236"/>
      <c r="D641" s="219"/>
      <c r="E641" s="220"/>
      <c r="F641" s="229"/>
      <c r="G641" s="220"/>
      <c r="H641" s="220"/>
      <c r="I641" s="220"/>
      <c r="J641" s="220"/>
      <c r="K641" s="220"/>
      <c r="L641" s="220"/>
      <c r="M641" s="220"/>
      <c r="N641" s="220"/>
      <c r="O641" s="220"/>
      <c r="P641" s="220"/>
      <c r="Q641" s="220"/>
      <c r="R641" s="220"/>
      <c r="S641" s="220"/>
      <c r="T641" s="225"/>
      <c r="U641" s="226"/>
      <c r="V641" s="233"/>
    </row>
    <row r="642" customFormat="false" ht="12.75" hidden="false" customHeight="false" outlineLevel="0" collapsed="false">
      <c r="B642" s="228"/>
      <c r="C642" s="236"/>
      <c r="D642" s="219"/>
      <c r="E642" s="220"/>
      <c r="F642" s="229"/>
      <c r="G642" s="220"/>
      <c r="H642" s="220"/>
      <c r="I642" s="220"/>
      <c r="J642" s="220"/>
      <c r="K642" s="220"/>
      <c r="L642" s="220"/>
      <c r="M642" s="220"/>
      <c r="N642" s="220"/>
      <c r="O642" s="220"/>
      <c r="P642" s="220"/>
      <c r="Q642" s="220"/>
      <c r="R642" s="220"/>
      <c r="S642" s="220"/>
      <c r="T642" s="225"/>
      <c r="U642" s="226"/>
      <c r="V642" s="233"/>
    </row>
    <row r="643" customFormat="false" ht="12.75" hidden="false" customHeight="false" outlineLevel="0" collapsed="false">
      <c r="B643" s="228"/>
      <c r="C643" s="236"/>
      <c r="D643" s="219"/>
      <c r="E643" s="220"/>
      <c r="F643" s="229"/>
      <c r="G643" s="220"/>
      <c r="H643" s="220"/>
      <c r="I643" s="220"/>
      <c r="J643" s="220"/>
      <c r="K643" s="220"/>
      <c r="L643" s="220"/>
      <c r="M643" s="220"/>
      <c r="N643" s="220"/>
      <c r="O643" s="220"/>
      <c r="P643" s="220"/>
      <c r="Q643" s="220"/>
      <c r="R643" s="220"/>
      <c r="S643" s="220"/>
      <c r="T643" s="225"/>
      <c r="U643" s="226"/>
      <c r="V643" s="233"/>
    </row>
    <row r="644" customFormat="false" ht="12.75" hidden="false" customHeight="false" outlineLevel="0" collapsed="false">
      <c r="B644" s="228"/>
      <c r="C644" s="236"/>
      <c r="D644" s="219"/>
      <c r="E644" s="220"/>
      <c r="F644" s="229"/>
      <c r="G644" s="220"/>
      <c r="H644" s="220"/>
      <c r="I644" s="220"/>
      <c r="J644" s="220"/>
      <c r="K644" s="220"/>
      <c r="L644" s="220"/>
      <c r="M644" s="220"/>
      <c r="N644" s="220"/>
      <c r="O644" s="220"/>
      <c r="P644" s="220"/>
      <c r="Q644" s="220"/>
      <c r="R644" s="220"/>
      <c r="S644" s="220"/>
      <c r="T644" s="225"/>
      <c r="U644" s="226"/>
      <c r="V644" s="233"/>
    </row>
    <row r="645" customFormat="false" ht="12.75" hidden="false" customHeight="false" outlineLevel="0" collapsed="false">
      <c r="B645" s="228"/>
      <c r="C645" s="236"/>
      <c r="D645" s="219"/>
      <c r="E645" s="220"/>
      <c r="F645" s="229"/>
      <c r="G645" s="220"/>
      <c r="H645" s="220"/>
      <c r="I645" s="220"/>
      <c r="J645" s="220"/>
      <c r="K645" s="220"/>
      <c r="L645" s="220"/>
      <c r="M645" s="220"/>
      <c r="N645" s="220"/>
      <c r="O645" s="220"/>
      <c r="P645" s="220"/>
      <c r="Q645" s="220"/>
      <c r="R645" s="220"/>
      <c r="S645" s="220"/>
      <c r="T645" s="225"/>
      <c r="U645" s="226"/>
      <c r="V645" s="233"/>
    </row>
    <row r="646" customFormat="false" ht="12.75" hidden="false" customHeight="false" outlineLevel="0" collapsed="false">
      <c r="B646" s="228"/>
      <c r="C646" s="236"/>
      <c r="D646" s="219"/>
      <c r="E646" s="220"/>
      <c r="F646" s="229"/>
      <c r="G646" s="220"/>
      <c r="H646" s="220"/>
      <c r="I646" s="220"/>
      <c r="J646" s="220"/>
      <c r="K646" s="220"/>
      <c r="L646" s="220"/>
      <c r="M646" s="220"/>
      <c r="N646" s="220"/>
      <c r="O646" s="220"/>
      <c r="P646" s="220"/>
      <c r="Q646" s="220"/>
      <c r="R646" s="220"/>
      <c r="S646" s="220"/>
      <c r="T646" s="225"/>
      <c r="U646" s="226"/>
      <c r="V646" s="233"/>
    </row>
    <row r="647" customFormat="false" ht="12.75" hidden="false" customHeight="false" outlineLevel="0" collapsed="false">
      <c r="B647" s="228"/>
      <c r="C647" s="236"/>
      <c r="D647" s="219"/>
      <c r="E647" s="220"/>
      <c r="F647" s="229"/>
      <c r="G647" s="220"/>
      <c r="H647" s="220"/>
      <c r="I647" s="220"/>
      <c r="J647" s="220"/>
      <c r="K647" s="220"/>
      <c r="L647" s="220"/>
      <c r="M647" s="220"/>
      <c r="N647" s="220"/>
      <c r="O647" s="220"/>
      <c r="P647" s="220"/>
      <c r="Q647" s="220"/>
      <c r="R647" s="220"/>
      <c r="S647" s="220"/>
      <c r="T647" s="225"/>
      <c r="U647" s="226"/>
      <c r="V647" s="233"/>
    </row>
    <row r="648" customFormat="false" ht="12.75" hidden="false" customHeight="false" outlineLevel="0" collapsed="false">
      <c r="B648" s="228"/>
      <c r="C648" s="236"/>
      <c r="D648" s="219"/>
      <c r="E648" s="220"/>
      <c r="F648" s="229"/>
      <c r="G648" s="220"/>
      <c r="H648" s="220"/>
      <c r="I648" s="220"/>
      <c r="J648" s="220"/>
      <c r="K648" s="220"/>
      <c r="L648" s="220"/>
      <c r="M648" s="220"/>
      <c r="N648" s="220"/>
      <c r="O648" s="220"/>
      <c r="P648" s="220"/>
      <c r="Q648" s="220"/>
      <c r="R648" s="220"/>
      <c r="S648" s="220"/>
      <c r="T648" s="225"/>
      <c r="U648" s="226"/>
      <c r="V648" s="233"/>
    </row>
    <row r="649" customFormat="false" ht="12.75" hidden="false" customHeight="false" outlineLevel="0" collapsed="false">
      <c r="B649" s="228"/>
      <c r="C649" s="236"/>
      <c r="D649" s="219"/>
      <c r="E649" s="220"/>
      <c r="F649" s="229"/>
      <c r="G649" s="220"/>
      <c r="H649" s="220"/>
      <c r="I649" s="220"/>
      <c r="J649" s="220"/>
      <c r="K649" s="220"/>
      <c r="L649" s="220"/>
      <c r="M649" s="220"/>
      <c r="N649" s="220"/>
      <c r="O649" s="220"/>
      <c r="P649" s="220"/>
      <c r="Q649" s="220"/>
      <c r="R649" s="220"/>
      <c r="S649" s="220"/>
      <c r="T649" s="225"/>
      <c r="U649" s="226"/>
      <c r="V649" s="233"/>
    </row>
    <row r="650" customFormat="false" ht="12.75" hidden="false" customHeight="false" outlineLevel="0" collapsed="false">
      <c r="B650" s="228"/>
      <c r="C650" s="236"/>
      <c r="D650" s="219"/>
      <c r="E650" s="220"/>
      <c r="F650" s="229"/>
      <c r="G650" s="220"/>
      <c r="H650" s="220"/>
      <c r="I650" s="220"/>
      <c r="J650" s="220"/>
      <c r="K650" s="220"/>
      <c r="L650" s="220"/>
      <c r="M650" s="220"/>
      <c r="N650" s="220"/>
      <c r="O650" s="220"/>
      <c r="P650" s="220"/>
      <c r="Q650" s="220"/>
      <c r="R650" s="220"/>
      <c r="S650" s="220"/>
      <c r="T650" s="225"/>
      <c r="U650" s="226"/>
      <c r="V650" s="233"/>
    </row>
    <row r="651" customFormat="false" ht="12.75" hidden="false" customHeight="false" outlineLevel="0" collapsed="false">
      <c r="B651" s="228"/>
      <c r="C651" s="236"/>
      <c r="D651" s="219"/>
      <c r="E651" s="220"/>
      <c r="F651" s="229"/>
      <c r="G651" s="220"/>
      <c r="H651" s="220"/>
      <c r="I651" s="220"/>
      <c r="J651" s="220"/>
      <c r="K651" s="220"/>
      <c r="L651" s="220"/>
      <c r="M651" s="220"/>
      <c r="N651" s="220"/>
      <c r="O651" s="220"/>
      <c r="P651" s="220"/>
      <c r="Q651" s="220"/>
      <c r="R651" s="220"/>
      <c r="S651" s="220"/>
      <c r="T651" s="225"/>
      <c r="U651" s="226"/>
      <c r="V651" s="233"/>
    </row>
    <row r="652" customFormat="false" ht="12.75" hidden="false" customHeight="false" outlineLevel="0" collapsed="false">
      <c r="B652" s="228"/>
      <c r="C652" s="236"/>
      <c r="D652" s="219"/>
      <c r="E652" s="220"/>
      <c r="F652" s="229"/>
      <c r="G652" s="220"/>
      <c r="H652" s="220"/>
      <c r="I652" s="220"/>
      <c r="J652" s="220"/>
      <c r="K652" s="220"/>
      <c r="L652" s="220"/>
      <c r="M652" s="220"/>
      <c r="N652" s="220"/>
      <c r="O652" s="220"/>
      <c r="P652" s="220"/>
      <c r="Q652" s="220"/>
      <c r="R652" s="220"/>
      <c r="S652" s="220"/>
      <c r="T652" s="225"/>
      <c r="U652" s="226"/>
      <c r="V652" s="233"/>
    </row>
    <row r="653" customFormat="false" ht="12.75" hidden="false" customHeight="false" outlineLevel="0" collapsed="false">
      <c r="B653" s="228"/>
      <c r="C653" s="236"/>
      <c r="D653" s="219"/>
      <c r="E653" s="220"/>
      <c r="F653" s="229"/>
      <c r="G653" s="220"/>
      <c r="H653" s="220"/>
      <c r="I653" s="220"/>
      <c r="J653" s="220"/>
      <c r="K653" s="220"/>
      <c r="L653" s="220"/>
      <c r="M653" s="220"/>
      <c r="N653" s="220"/>
      <c r="O653" s="220"/>
      <c r="P653" s="220"/>
      <c r="Q653" s="220"/>
      <c r="R653" s="220"/>
      <c r="S653" s="220"/>
      <c r="T653" s="225"/>
      <c r="U653" s="226"/>
      <c r="V653" s="233"/>
    </row>
    <row r="654" customFormat="false" ht="12.75" hidden="false" customHeight="false" outlineLevel="0" collapsed="false">
      <c r="B654" s="228"/>
      <c r="C654" s="236"/>
      <c r="D654" s="219"/>
      <c r="E654" s="220"/>
      <c r="F654" s="229"/>
      <c r="G654" s="220"/>
      <c r="H654" s="220"/>
      <c r="I654" s="220"/>
      <c r="J654" s="220"/>
      <c r="K654" s="220"/>
      <c r="L654" s="220"/>
      <c r="M654" s="220"/>
      <c r="N654" s="220"/>
      <c r="O654" s="220"/>
      <c r="P654" s="220"/>
      <c r="Q654" s="220"/>
      <c r="R654" s="220"/>
      <c r="S654" s="220"/>
      <c r="T654" s="225"/>
      <c r="U654" s="226"/>
      <c r="V654" s="233"/>
    </row>
    <row r="655" customFormat="false" ht="12.75" hidden="false" customHeight="false" outlineLevel="0" collapsed="false">
      <c r="B655" s="228"/>
      <c r="C655" s="236"/>
      <c r="D655" s="219"/>
      <c r="E655" s="220"/>
      <c r="F655" s="229"/>
      <c r="G655" s="220"/>
      <c r="H655" s="220"/>
      <c r="I655" s="220"/>
      <c r="J655" s="220"/>
      <c r="K655" s="220"/>
      <c r="L655" s="220"/>
      <c r="M655" s="220"/>
      <c r="N655" s="220"/>
      <c r="O655" s="220"/>
      <c r="P655" s="220"/>
      <c r="Q655" s="220"/>
      <c r="R655" s="220"/>
      <c r="S655" s="220"/>
      <c r="T655" s="225"/>
      <c r="U655" s="226"/>
      <c r="V655" s="233"/>
    </row>
    <row r="656" customFormat="false" ht="12.75" hidden="false" customHeight="false" outlineLevel="0" collapsed="false">
      <c r="B656" s="228"/>
      <c r="C656" s="236"/>
      <c r="D656" s="219"/>
      <c r="E656" s="220"/>
      <c r="F656" s="229"/>
      <c r="G656" s="220"/>
      <c r="H656" s="220"/>
      <c r="I656" s="220"/>
      <c r="J656" s="220"/>
      <c r="K656" s="220"/>
      <c r="L656" s="220"/>
      <c r="M656" s="220"/>
      <c r="N656" s="220"/>
      <c r="O656" s="220"/>
      <c r="P656" s="220"/>
      <c r="Q656" s="220"/>
      <c r="R656" s="220"/>
      <c r="S656" s="220"/>
      <c r="T656" s="225"/>
      <c r="U656" s="226"/>
      <c r="V656" s="233"/>
    </row>
    <row r="657" customFormat="false" ht="12.75" hidden="false" customHeight="false" outlineLevel="0" collapsed="false">
      <c r="B657" s="228"/>
      <c r="C657" s="236"/>
      <c r="D657" s="219"/>
      <c r="E657" s="220"/>
      <c r="F657" s="229"/>
      <c r="G657" s="220"/>
      <c r="H657" s="220"/>
      <c r="I657" s="220"/>
      <c r="J657" s="220"/>
      <c r="K657" s="220"/>
      <c r="L657" s="220"/>
      <c r="M657" s="220"/>
      <c r="N657" s="220"/>
      <c r="O657" s="220"/>
      <c r="P657" s="220"/>
      <c r="Q657" s="220"/>
      <c r="R657" s="220"/>
      <c r="S657" s="220"/>
      <c r="T657" s="225"/>
      <c r="U657" s="226"/>
      <c r="V657" s="233"/>
    </row>
    <row r="658" customFormat="false" ht="12.75" hidden="false" customHeight="false" outlineLevel="0" collapsed="false">
      <c r="B658" s="228"/>
      <c r="C658" s="236"/>
      <c r="D658" s="219"/>
      <c r="E658" s="220"/>
      <c r="F658" s="229"/>
      <c r="G658" s="220"/>
      <c r="H658" s="220"/>
      <c r="I658" s="220"/>
      <c r="J658" s="220"/>
      <c r="K658" s="220"/>
      <c r="L658" s="220"/>
      <c r="M658" s="220"/>
      <c r="N658" s="220"/>
      <c r="O658" s="220"/>
      <c r="P658" s="220"/>
      <c r="Q658" s="220"/>
      <c r="R658" s="220"/>
      <c r="S658" s="220"/>
      <c r="T658" s="225"/>
      <c r="U658" s="226"/>
      <c r="V658" s="233"/>
    </row>
    <row r="659" customFormat="false" ht="12.75" hidden="false" customHeight="false" outlineLevel="0" collapsed="false">
      <c r="B659" s="228"/>
      <c r="C659" s="236"/>
      <c r="D659" s="219"/>
      <c r="E659" s="220"/>
      <c r="F659" s="229"/>
      <c r="G659" s="220"/>
      <c r="H659" s="220"/>
      <c r="I659" s="220"/>
      <c r="J659" s="220"/>
      <c r="K659" s="220"/>
      <c r="L659" s="220"/>
      <c r="M659" s="220"/>
      <c r="N659" s="220"/>
      <c r="O659" s="220"/>
      <c r="P659" s="220"/>
      <c r="Q659" s="220"/>
      <c r="R659" s="220"/>
      <c r="S659" s="220"/>
      <c r="T659" s="225"/>
      <c r="U659" s="226"/>
      <c r="V659" s="233"/>
    </row>
    <row r="660" customFormat="false" ht="12.75" hidden="false" customHeight="false" outlineLevel="0" collapsed="false">
      <c r="B660" s="228"/>
      <c r="C660" s="236"/>
      <c r="D660" s="219"/>
      <c r="E660" s="220"/>
      <c r="F660" s="229"/>
      <c r="G660" s="220"/>
      <c r="H660" s="220"/>
      <c r="I660" s="220"/>
      <c r="J660" s="220"/>
      <c r="K660" s="220"/>
      <c r="L660" s="220"/>
      <c r="M660" s="220"/>
      <c r="N660" s="220"/>
      <c r="O660" s="220"/>
      <c r="P660" s="220"/>
      <c r="Q660" s="220"/>
      <c r="R660" s="220"/>
      <c r="S660" s="220"/>
      <c r="T660" s="225"/>
      <c r="U660" s="226"/>
      <c r="V660" s="233"/>
    </row>
    <row r="661" customFormat="false" ht="12.75" hidden="false" customHeight="false" outlineLevel="0" collapsed="false">
      <c r="B661" s="228"/>
      <c r="C661" s="236"/>
      <c r="D661" s="219"/>
      <c r="E661" s="220"/>
      <c r="F661" s="229"/>
      <c r="G661" s="220"/>
      <c r="H661" s="220"/>
      <c r="I661" s="220"/>
      <c r="J661" s="220"/>
      <c r="K661" s="220"/>
      <c r="L661" s="220"/>
      <c r="M661" s="220"/>
      <c r="N661" s="220"/>
      <c r="O661" s="220"/>
      <c r="P661" s="220"/>
      <c r="Q661" s="220"/>
      <c r="R661" s="220"/>
      <c r="S661" s="220"/>
      <c r="T661" s="225"/>
      <c r="U661" s="226"/>
      <c r="V661" s="233"/>
    </row>
    <row r="662" customFormat="false" ht="12.75" hidden="false" customHeight="false" outlineLevel="0" collapsed="false">
      <c r="B662" s="228"/>
      <c r="C662" s="236"/>
      <c r="D662" s="219"/>
      <c r="E662" s="220"/>
      <c r="F662" s="229"/>
      <c r="G662" s="220"/>
      <c r="H662" s="220"/>
      <c r="I662" s="220"/>
      <c r="J662" s="220"/>
      <c r="K662" s="220"/>
      <c r="L662" s="220"/>
      <c r="M662" s="220"/>
      <c r="N662" s="220"/>
      <c r="O662" s="220"/>
      <c r="P662" s="220"/>
      <c r="Q662" s="220"/>
      <c r="R662" s="220"/>
      <c r="S662" s="220"/>
      <c r="T662" s="225"/>
      <c r="U662" s="226"/>
      <c r="V662" s="233"/>
    </row>
    <row r="663" customFormat="false" ht="12.75" hidden="false" customHeight="false" outlineLevel="0" collapsed="false">
      <c r="B663" s="228"/>
      <c r="C663" s="236"/>
      <c r="D663" s="219"/>
      <c r="E663" s="220"/>
      <c r="F663" s="229"/>
      <c r="G663" s="220"/>
      <c r="H663" s="220"/>
      <c r="I663" s="220"/>
      <c r="J663" s="220"/>
      <c r="K663" s="220"/>
      <c r="L663" s="220"/>
      <c r="M663" s="220"/>
      <c r="N663" s="220"/>
      <c r="O663" s="220"/>
      <c r="P663" s="220"/>
      <c r="Q663" s="220"/>
      <c r="R663" s="220"/>
      <c r="S663" s="220"/>
      <c r="T663" s="225"/>
      <c r="U663" s="226"/>
      <c r="V663" s="233"/>
    </row>
    <row r="664" customFormat="false" ht="12.75" hidden="false" customHeight="false" outlineLevel="0" collapsed="false">
      <c r="B664" s="228"/>
      <c r="C664" s="236"/>
      <c r="D664" s="219"/>
      <c r="E664" s="220"/>
      <c r="F664" s="229"/>
      <c r="G664" s="220"/>
      <c r="H664" s="220"/>
      <c r="I664" s="220"/>
      <c r="J664" s="220"/>
      <c r="K664" s="220"/>
      <c r="L664" s="220"/>
      <c r="M664" s="220"/>
      <c r="N664" s="220"/>
      <c r="O664" s="220"/>
      <c r="P664" s="220"/>
      <c r="Q664" s="220"/>
      <c r="R664" s="220"/>
      <c r="S664" s="220"/>
      <c r="T664" s="225"/>
      <c r="U664" s="226"/>
      <c r="V664" s="233"/>
    </row>
    <row r="665" customFormat="false" ht="12.75" hidden="false" customHeight="false" outlineLevel="0" collapsed="false">
      <c r="B665" s="228"/>
      <c r="C665" s="236"/>
      <c r="D665" s="219"/>
      <c r="E665" s="220"/>
      <c r="F665" s="229"/>
      <c r="G665" s="220"/>
      <c r="H665" s="220"/>
      <c r="I665" s="220"/>
      <c r="J665" s="220"/>
      <c r="K665" s="220"/>
      <c r="L665" s="220"/>
      <c r="M665" s="220"/>
      <c r="N665" s="220"/>
      <c r="O665" s="220"/>
      <c r="P665" s="220"/>
      <c r="Q665" s="220"/>
      <c r="R665" s="220"/>
      <c r="S665" s="220"/>
      <c r="T665" s="225"/>
      <c r="U665" s="226"/>
      <c r="V665" s="233"/>
    </row>
    <row r="666" customFormat="false" ht="12.75" hidden="false" customHeight="false" outlineLevel="0" collapsed="false">
      <c r="B666" s="228"/>
      <c r="C666" s="236"/>
      <c r="D666" s="219"/>
      <c r="E666" s="220"/>
      <c r="F666" s="229"/>
      <c r="G666" s="220"/>
      <c r="H666" s="220"/>
      <c r="I666" s="220"/>
      <c r="J666" s="220"/>
      <c r="K666" s="220"/>
      <c r="L666" s="220"/>
      <c r="M666" s="220"/>
      <c r="N666" s="220"/>
      <c r="O666" s="220"/>
      <c r="P666" s="220"/>
      <c r="Q666" s="220"/>
      <c r="R666" s="220"/>
      <c r="S666" s="220"/>
      <c r="T666" s="225"/>
      <c r="U666" s="226"/>
      <c r="V666" s="233"/>
    </row>
    <row r="667" customFormat="false" ht="12.75" hidden="false" customHeight="false" outlineLevel="0" collapsed="false">
      <c r="B667" s="228"/>
      <c r="C667" s="236"/>
      <c r="D667" s="219"/>
      <c r="E667" s="220"/>
      <c r="F667" s="229"/>
      <c r="G667" s="220"/>
      <c r="H667" s="220"/>
      <c r="I667" s="220"/>
      <c r="J667" s="220"/>
      <c r="K667" s="220"/>
      <c r="L667" s="220"/>
      <c r="M667" s="220"/>
      <c r="N667" s="220"/>
      <c r="O667" s="220"/>
      <c r="P667" s="220"/>
      <c r="Q667" s="220"/>
      <c r="R667" s="220"/>
      <c r="S667" s="220"/>
      <c r="T667" s="225"/>
      <c r="U667" s="226"/>
      <c r="V667" s="233"/>
    </row>
    <row r="668" customFormat="false" ht="12.75" hidden="false" customHeight="false" outlineLevel="0" collapsed="false">
      <c r="B668" s="228"/>
      <c r="C668" s="236"/>
      <c r="D668" s="219"/>
      <c r="E668" s="220"/>
      <c r="F668" s="229"/>
      <c r="G668" s="220"/>
      <c r="H668" s="220"/>
      <c r="I668" s="220"/>
      <c r="J668" s="220"/>
      <c r="K668" s="220"/>
      <c r="L668" s="220"/>
      <c r="M668" s="220"/>
      <c r="N668" s="220"/>
      <c r="O668" s="220"/>
      <c r="P668" s="220"/>
      <c r="Q668" s="220"/>
      <c r="R668" s="220"/>
      <c r="S668" s="220"/>
      <c r="T668" s="225"/>
      <c r="U668" s="226"/>
      <c r="V668" s="233"/>
    </row>
    <row r="669" customFormat="false" ht="12.75" hidden="false" customHeight="false" outlineLevel="0" collapsed="false">
      <c r="B669" s="228"/>
      <c r="C669" s="236"/>
      <c r="D669" s="219"/>
      <c r="E669" s="220"/>
      <c r="F669" s="229"/>
      <c r="G669" s="220"/>
      <c r="H669" s="220"/>
      <c r="I669" s="220"/>
      <c r="J669" s="220"/>
      <c r="K669" s="220"/>
      <c r="L669" s="220"/>
      <c r="M669" s="220"/>
      <c r="N669" s="220"/>
      <c r="O669" s="220"/>
      <c r="P669" s="220"/>
      <c r="Q669" s="220"/>
      <c r="R669" s="220"/>
      <c r="S669" s="220"/>
      <c r="T669" s="225"/>
      <c r="U669" s="226"/>
      <c r="V669" s="233"/>
    </row>
    <row r="670" customFormat="false" ht="12.75" hidden="false" customHeight="false" outlineLevel="0" collapsed="false">
      <c r="B670" s="228"/>
      <c r="C670" s="236"/>
      <c r="D670" s="219"/>
      <c r="E670" s="220"/>
      <c r="F670" s="229"/>
      <c r="G670" s="220"/>
      <c r="H670" s="220"/>
      <c r="I670" s="220"/>
      <c r="J670" s="220"/>
      <c r="K670" s="220"/>
      <c r="L670" s="220"/>
      <c r="M670" s="220"/>
      <c r="N670" s="220"/>
      <c r="O670" s="220"/>
      <c r="P670" s="220"/>
      <c r="Q670" s="220"/>
      <c r="R670" s="220"/>
      <c r="S670" s="220"/>
      <c r="T670" s="225"/>
      <c r="U670" s="226"/>
      <c r="V670" s="233"/>
    </row>
    <row r="671" customFormat="false" ht="12.75" hidden="false" customHeight="false" outlineLevel="0" collapsed="false">
      <c r="B671" s="228"/>
      <c r="C671" s="236"/>
      <c r="D671" s="219"/>
      <c r="E671" s="220"/>
      <c r="F671" s="229"/>
      <c r="G671" s="220"/>
      <c r="H671" s="220"/>
      <c r="I671" s="220"/>
      <c r="J671" s="220"/>
      <c r="K671" s="220"/>
      <c r="L671" s="220"/>
      <c r="M671" s="220"/>
      <c r="N671" s="220"/>
      <c r="O671" s="220"/>
      <c r="P671" s="220"/>
      <c r="Q671" s="220"/>
      <c r="R671" s="220"/>
      <c r="S671" s="220"/>
      <c r="T671" s="225"/>
      <c r="U671" s="226"/>
      <c r="V671" s="233"/>
    </row>
    <row r="672" customFormat="false" ht="12.75" hidden="false" customHeight="false" outlineLevel="0" collapsed="false">
      <c r="B672" s="228"/>
      <c r="C672" s="236"/>
      <c r="D672" s="219"/>
      <c r="E672" s="220"/>
      <c r="F672" s="229"/>
      <c r="G672" s="220"/>
      <c r="H672" s="220"/>
      <c r="I672" s="220"/>
      <c r="J672" s="220"/>
      <c r="K672" s="220"/>
      <c r="L672" s="220"/>
      <c r="M672" s="220"/>
      <c r="N672" s="220"/>
      <c r="O672" s="220"/>
      <c r="P672" s="220"/>
      <c r="Q672" s="220"/>
      <c r="R672" s="220"/>
      <c r="S672" s="220"/>
      <c r="T672" s="225"/>
      <c r="U672" s="226"/>
      <c r="V672" s="233"/>
    </row>
    <row r="673" customFormat="false" ht="12.75" hidden="false" customHeight="false" outlineLevel="0" collapsed="false">
      <c r="B673" s="228"/>
      <c r="C673" s="236"/>
      <c r="D673" s="219"/>
      <c r="E673" s="220"/>
      <c r="F673" s="229"/>
      <c r="G673" s="220"/>
      <c r="H673" s="220"/>
      <c r="I673" s="220"/>
      <c r="J673" s="220"/>
      <c r="K673" s="220"/>
      <c r="L673" s="220"/>
      <c r="M673" s="220"/>
      <c r="N673" s="220"/>
      <c r="O673" s="220"/>
      <c r="P673" s="220"/>
      <c r="Q673" s="220"/>
      <c r="R673" s="220"/>
      <c r="S673" s="220"/>
      <c r="T673" s="225"/>
      <c r="U673" s="226"/>
      <c r="V673" s="233"/>
    </row>
    <row r="674" customFormat="false" ht="12.75" hidden="false" customHeight="false" outlineLevel="0" collapsed="false">
      <c r="B674" s="228"/>
      <c r="C674" s="236"/>
      <c r="D674" s="219"/>
      <c r="E674" s="220"/>
      <c r="F674" s="229"/>
      <c r="G674" s="220"/>
      <c r="H674" s="220"/>
      <c r="I674" s="220"/>
      <c r="J674" s="220"/>
      <c r="K674" s="220"/>
      <c r="L674" s="220"/>
      <c r="M674" s="220"/>
      <c r="N674" s="220"/>
      <c r="O674" s="220"/>
      <c r="P674" s="220"/>
      <c r="Q674" s="220"/>
      <c r="R674" s="220"/>
      <c r="S674" s="220"/>
      <c r="T674" s="225"/>
      <c r="U674" s="226"/>
      <c r="V674" s="233"/>
    </row>
    <row r="675" customFormat="false" ht="12.75" hidden="false" customHeight="false" outlineLevel="0" collapsed="false">
      <c r="B675" s="228"/>
      <c r="C675" s="236"/>
      <c r="D675" s="219"/>
      <c r="E675" s="220"/>
      <c r="F675" s="229"/>
      <c r="G675" s="220"/>
      <c r="H675" s="220"/>
      <c r="I675" s="220"/>
      <c r="J675" s="220"/>
      <c r="K675" s="220"/>
      <c r="L675" s="220"/>
      <c r="M675" s="220"/>
      <c r="N675" s="220"/>
      <c r="O675" s="220"/>
      <c r="P675" s="220"/>
      <c r="Q675" s="220"/>
      <c r="R675" s="220"/>
      <c r="S675" s="220"/>
      <c r="T675" s="225"/>
      <c r="U675" s="226"/>
      <c r="V675" s="233"/>
    </row>
    <row r="676" customFormat="false" ht="12.75" hidden="false" customHeight="false" outlineLevel="0" collapsed="false">
      <c r="B676" s="228"/>
      <c r="C676" s="236"/>
      <c r="D676" s="219"/>
      <c r="E676" s="220"/>
      <c r="F676" s="229"/>
      <c r="G676" s="220"/>
      <c r="H676" s="220"/>
      <c r="I676" s="220"/>
      <c r="J676" s="220"/>
      <c r="K676" s="220"/>
      <c r="L676" s="220"/>
      <c r="M676" s="220"/>
      <c r="N676" s="220"/>
      <c r="O676" s="220"/>
      <c r="P676" s="220"/>
      <c r="Q676" s="220"/>
      <c r="R676" s="220"/>
      <c r="S676" s="220"/>
      <c r="T676" s="225"/>
      <c r="U676" s="226"/>
      <c r="V676" s="233"/>
    </row>
    <row r="677" customFormat="false" ht="12.75" hidden="false" customHeight="false" outlineLevel="0" collapsed="false">
      <c r="B677" s="228"/>
      <c r="C677" s="236"/>
      <c r="D677" s="219"/>
      <c r="E677" s="220"/>
      <c r="F677" s="229"/>
      <c r="G677" s="220"/>
      <c r="H677" s="220"/>
      <c r="I677" s="220"/>
      <c r="J677" s="220"/>
      <c r="K677" s="220"/>
      <c r="L677" s="220"/>
      <c r="M677" s="220"/>
      <c r="N677" s="220"/>
      <c r="O677" s="220"/>
      <c r="P677" s="220"/>
      <c r="Q677" s="220"/>
      <c r="R677" s="220"/>
      <c r="S677" s="220"/>
      <c r="T677" s="225"/>
      <c r="U677" s="226"/>
      <c r="V677" s="233"/>
    </row>
    <row r="678" customFormat="false" ht="12.75" hidden="false" customHeight="false" outlineLevel="0" collapsed="false">
      <c r="B678" s="228"/>
      <c r="C678" s="236"/>
      <c r="D678" s="219"/>
      <c r="E678" s="220"/>
      <c r="F678" s="229"/>
      <c r="G678" s="220"/>
      <c r="H678" s="220"/>
      <c r="I678" s="220"/>
      <c r="J678" s="220"/>
      <c r="K678" s="220"/>
      <c r="L678" s="220"/>
      <c r="M678" s="220"/>
      <c r="N678" s="220"/>
      <c r="O678" s="220"/>
      <c r="P678" s="220"/>
      <c r="Q678" s="220"/>
      <c r="R678" s="220"/>
      <c r="S678" s="220"/>
      <c r="T678" s="225"/>
      <c r="U678" s="226"/>
      <c r="V678" s="233"/>
    </row>
    <row r="679" customFormat="false" ht="12.75" hidden="false" customHeight="false" outlineLevel="0" collapsed="false">
      <c r="B679" s="228"/>
      <c r="C679" s="236"/>
      <c r="D679" s="219"/>
      <c r="E679" s="220"/>
      <c r="F679" s="229"/>
      <c r="G679" s="220"/>
      <c r="H679" s="220"/>
      <c r="I679" s="220"/>
      <c r="J679" s="220"/>
      <c r="K679" s="220"/>
      <c r="L679" s="220"/>
      <c r="M679" s="220"/>
      <c r="N679" s="220"/>
      <c r="O679" s="220"/>
      <c r="P679" s="220"/>
      <c r="Q679" s="220"/>
      <c r="R679" s="220"/>
      <c r="S679" s="220"/>
      <c r="T679" s="225"/>
      <c r="U679" s="226"/>
      <c r="V679" s="233"/>
    </row>
    <row r="680" customFormat="false" ht="12.75" hidden="false" customHeight="false" outlineLevel="0" collapsed="false">
      <c r="B680" s="228"/>
      <c r="C680" s="236"/>
      <c r="D680" s="219"/>
      <c r="E680" s="220"/>
      <c r="F680" s="229"/>
      <c r="G680" s="220"/>
      <c r="H680" s="220"/>
      <c r="I680" s="220"/>
      <c r="J680" s="220"/>
      <c r="K680" s="220"/>
      <c r="L680" s="220"/>
      <c r="M680" s="220"/>
      <c r="N680" s="220"/>
      <c r="O680" s="220"/>
      <c r="P680" s="220"/>
      <c r="Q680" s="220"/>
      <c r="R680" s="220"/>
      <c r="S680" s="220"/>
      <c r="T680" s="225"/>
      <c r="U680" s="226"/>
      <c r="V680" s="233"/>
    </row>
    <row r="681" customFormat="false" ht="12.75" hidden="false" customHeight="false" outlineLevel="0" collapsed="false">
      <c r="B681" s="228"/>
      <c r="C681" s="236"/>
      <c r="D681" s="219"/>
      <c r="E681" s="220"/>
      <c r="F681" s="229"/>
      <c r="G681" s="220"/>
      <c r="H681" s="220"/>
      <c r="I681" s="220"/>
      <c r="J681" s="220"/>
      <c r="K681" s="220"/>
      <c r="L681" s="220"/>
      <c r="M681" s="220"/>
      <c r="N681" s="220"/>
      <c r="O681" s="220"/>
      <c r="P681" s="220"/>
      <c r="Q681" s="220"/>
      <c r="R681" s="220"/>
      <c r="S681" s="220"/>
      <c r="T681" s="225"/>
      <c r="U681" s="226"/>
      <c r="V681" s="233"/>
    </row>
    <row r="682" customFormat="false" ht="12.75" hidden="false" customHeight="false" outlineLevel="0" collapsed="false">
      <c r="B682" s="228"/>
      <c r="C682" s="236"/>
      <c r="D682" s="219"/>
      <c r="E682" s="220"/>
      <c r="F682" s="229"/>
      <c r="G682" s="220"/>
      <c r="H682" s="220"/>
      <c r="I682" s="220"/>
      <c r="J682" s="220"/>
      <c r="K682" s="220"/>
      <c r="L682" s="220"/>
      <c r="M682" s="220"/>
      <c r="N682" s="220"/>
      <c r="O682" s="220"/>
      <c r="P682" s="220"/>
      <c r="Q682" s="220"/>
      <c r="R682" s="220"/>
      <c r="S682" s="220"/>
      <c r="T682" s="225"/>
      <c r="U682" s="226"/>
      <c r="V682" s="233"/>
    </row>
    <row r="683" customFormat="false" ht="12.75" hidden="false" customHeight="false" outlineLevel="0" collapsed="false">
      <c r="B683" s="228"/>
      <c r="C683" s="236"/>
      <c r="D683" s="219"/>
      <c r="E683" s="220"/>
      <c r="F683" s="229"/>
      <c r="G683" s="220"/>
      <c r="H683" s="220"/>
      <c r="I683" s="220"/>
      <c r="J683" s="220"/>
      <c r="K683" s="220"/>
      <c r="L683" s="220"/>
      <c r="M683" s="220"/>
      <c r="N683" s="220"/>
      <c r="O683" s="220"/>
      <c r="P683" s="220"/>
      <c r="Q683" s="220"/>
      <c r="R683" s="220"/>
      <c r="S683" s="220"/>
      <c r="T683" s="225"/>
      <c r="U683" s="226"/>
      <c r="V683" s="233"/>
    </row>
    <row r="684" customFormat="false" ht="12.75" hidden="false" customHeight="false" outlineLevel="0" collapsed="false">
      <c r="B684" s="228"/>
      <c r="C684" s="236"/>
      <c r="D684" s="219"/>
      <c r="E684" s="220"/>
      <c r="F684" s="229"/>
      <c r="G684" s="220"/>
      <c r="H684" s="220"/>
      <c r="I684" s="220"/>
      <c r="J684" s="220"/>
      <c r="K684" s="220"/>
      <c r="L684" s="220"/>
      <c r="M684" s="220"/>
      <c r="N684" s="220"/>
      <c r="O684" s="220"/>
      <c r="P684" s="220"/>
      <c r="Q684" s="220"/>
      <c r="R684" s="220"/>
      <c r="S684" s="220"/>
      <c r="T684" s="225"/>
      <c r="U684" s="226"/>
      <c r="V684" s="233"/>
    </row>
    <row r="685" customFormat="false" ht="12.75" hidden="false" customHeight="false" outlineLevel="0" collapsed="false">
      <c r="B685" s="228"/>
      <c r="C685" s="236"/>
      <c r="D685" s="219"/>
      <c r="E685" s="220"/>
      <c r="F685" s="229"/>
      <c r="G685" s="220"/>
      <c r="H685" s="220"/>
      <c r="I685" s="220"/>
      <c r="J685" s="220"/>
      <c r="K685" s="220"/>
      <c r="L685" s="220"/>
      <c r="M685" s="220"/>
      <c r="N685" s="220"/>
      <c r="O685" s="220"/>
      <c r="P685" s="220"/>
      <c r="Q685" s="220"/>
      <c r="R685" s="220"/>
      <c r="S685" s="220"/>
      <c r="T685" s="225"/>
      <c r="U685" s="226"/>
      <c r="V685" s="233"/>
    </row>
    <row r="686" customFormat="false" ht="12.75" hidden="false" customHeight="false" outlineLevel="0" collapsed="false">
      <c r="B686" s="228"/>
      <c r="C686" s="236"/>
      <c r="D686" s="219"/>
      <c r="E686" s="220"/>
      <c r="F686" s="229"/>
      <c r="G686" s="220"/>
      <c r="H686" s="220"/>
      <c r="I686" s="220"/>
      <c r="J686" s="220"/>
      <c r="K686" s="220"/>
      <c r="L686" s="220"/>
      <c r="M686" s="220"/>
      <c r="N686" s="220"/>
      <c r="O686" s="220"/>
      <c r="P686" s="220"/>
      <c r="Q686" s="220"/>
      <c r="R686" s="220"/>
      <c r="S686" s="220"/>
      <c r="T686" s="225"/>
      <c r="U686" s="226"/>
      <c r="V686" s="233"/>
    </row>
    <row r="687" customFormat="false" ht="12.75" hidden="false" customHeight="false" outlineLevel="0" collapsed="false">
      <c r="B687" s="228"/>
      <c r="C687" s="236"/>
      <c r="D687" s="219"/>
      <c r="E687" s="220"/>
      <c r="F687" s="229"/>
      <c r="G687" s="220"/>
      <c r="H687" s="220"/>
      <c r="I687" s="220"/>
      <c r="J687" s="220"/>
      <c r="K687" s="220"/>
      <c r="L687" s="220"/>
      <c r="M687" s="220"/>
      <c r="N687" s="220"/>
      <c r="O687" s="220"/>
      <c r="P687" s="220"/>
      <c r="Q687" s="220"/>
      <c r="R687" s="220"/>
      <c r="S687" s="220"/>
      <c r="T687" s="225"/>
      <c r="U687" s="226"/>
      <c r="V687" s="233"/>
    </row>
    <row r="688" customFormat="false" ht="12.75" hidden="false" customHeight="false" outlineLevel="0" collapsed="false">
      <c r="B688" s="228"/>
      <c r="C688" s="236"/>
      <c r="D688" s="219"/>
      <c r="E688" s="220"/>
      <c r="F688" s="229"/>
      <c r="G688" s="220"/>
      <c r="H688" s="220"/>
      <c r="I688" s="220"/>
      <c r="J688" s="220"/>
      <c r="K688" s="220"/>
      <c r="L688" s="220"/>
      <c r="M688" s="220"/>
      <c r="N688" s="220"/>
      <c r="O688" s="220"/>
      <c r="P688" s="220"/>
      <c r="Q688" s="220"/>
      <c r="R688" s="220"/>
      <c r="S688" s="220"/>
      <c r="T688" s="225"/>
      <c r="U688" s="226"/>
      <c r="V688" s="233"/>
    </row>
    <row r="689" customFormat="false" ht="12.75" hidden="false" customHeight="false" outlineLevel="0" collapsed="false">
      <c r="B689" s="228"/>
      <c r="C689" s="236"/>
      <c r="D689" s="219"/>
      <c r="E689" s="220"/>
      <c r="F689" s="229"/>
      <c r="G689" s="220"/>
      <c r="H689" s="220"/>
      <c r="I689" s="220"/>
      <c r="J689" s="220"/>
      <c r="K689" s="220"/>
      <c r="L689" s="220"/>
      <c r="M689" s="220"/>
      <c r="N689" s="220"/>
      <c r="O689" s="220"/>
      <c r="P689" s="220"/>
      <c r="Q689" s="220"/>
      <c r="R689" s="220"/>
      <c r="S689" s="220"/>
      <c r="T689" s="225"/>
      <c r="U689" s="226"/>
      <c r="V689" s="233"/>
    </row>
    <row r="690" customFormat="false" ht="12.75" hidden="false" customHeight="false" outlineLevel="0" collapsed="false">
      <c r="B690" s="228"/>
      <c r="C690" s="236"/>
      <c r="D690" s="219"/>
      <c r="E690" s="220"/>
      <c r="F690" s="229"/>
      <c r="G690" s="220"/>
      <c r="H690" s="220"/>
      <c r="I690" s="220"/>
      <c r="J690" s="220"/>
      <c r="K690" s="220"/>
      <c r="L690" s="220"/>
      <c r="M690" s="220"/>
      <c r="N690" s="220"/>
      <c r="O690" s="220"/>
      <c r="P690" s="220"/>
      <c r="Q690" s="220"/>
      <c r="R690" s="220"/>
      <c r="S690" s="220"/>
      <c r="T690" s="225"/>
      <c r="U690" s="226"/>
      <c r="V690" s="233"/>
    </row>
    <row r="691" customFormat="false" ht="12.75" hidden="false" customHeight="false" outlineLevel="0" collapsed="false">
      <c r="B691" s="228"/>
      <c r="C691" s="236"/>
      <c r="D691" s="219"/>
      <c r="E691" s="220"/>
      <c r="F691" s="229"/>
      <c r="G691" s="220"/>
      <c r="H691" s="220"/>
      <c r="I691" s="220"/>
      <c r="J691" s="220"/>
      <c r="K691" s="220"/>
      <c r="L691" s="220"/>
      <c r="M691" s="220"/>
      <c r="N691" s="220"/>
      <c r="O691" s="220"/>
      <c r="P691" s="220"/>
      <c r="Q691" s="220"/>
      <c r="R691" s="220"/>
      <c r="S691" s="220"/>
      <c r="T691" s="225"/>
      <c r="U691" s="226"/>
      <c r="V691" s="233"/>
    </row>
    <row r="692" customFormat="false" ht="12.75" hidden="false" customHeight="false" outlineLevel="0" collapsed="false">
      <c r="B692" s="228"/>
      <c r="C692" s="236"/>
      <c r="D692" s="219"/>
      <c r="E692" s="220"/>
      <c r="F692" s="229"/>
      <c r="G692" s="220"/>
      <c r="H692" s="220"/>
      <c r="I692" s="220"/>
      <c r="J692" s="220"/>
      <c r="K692" s="220"/>
      <c r="L692" s="220"/>
      <c r="M692" s="220"/>
      <c r="N692" s="220"/>
      <c r="O692" s="220"/>
      <c r="P692" s="220"/>
      <c r="Q692" s="220"/>
      <c r="R692" s="220"/>
      <c r="S692" s="220"/>
      <c r="T692" s="225"/>
      <c r="U692" s="226"/>
      <c r="V692" s="233"/>
    </row>
    <row r="693" customFormat="false" ht="12.75" hidden="false" customHeight="false" outlineLevel="0" collapsed="false">
      <c r="B693" s="228"/>
      <c r="C693" s="236"/>
      <c r="D693" s="219"/>
      <c r="E693" s="220"/>
      <c r="F693" s="229"/>
      <c r="G693" s="220"/>
      <c r="H693" s="220"/>
      <c r="I693" s="220"/>
      <c r="J693" s="220"/>
      <c r="K693" s="220"/>
      <c r="L693" s="220"/>
      <c r="M693" s="220"/>
      <c r="N693" s="220"/>
      <c r="O693" s="220"/>
      <c r="P693" s="220"/>
      <c r="Q693" s="220"/>
      <c r="R693" s="220"/>
      <c r="S693" s="220"/>
      <c r="T693" s="225"/>
      <c r="U693" s="226"/>
      <c r="V693" s="233"/>
    </row>
    <row r="694" customFormat="false" ht="12.75" hidden="false" customHeight="false" outlineLevel="0" collapsed="false">
      <c r="B694" s="228"/>
      <c r="C694" s="236"/>
      <c r="D694" s="219"/>
      <c r="E694" s="220"/>
      <c r="F694" s="229"/>
      <c r="G694" s="220"/>
      <c r="H694" s="220"/>
      <c r="I694" s="220"/>
      <c r="J694" s="220"/>
      <c r="K694" s="220"/>
      <c r="L694" s="220"/>
      <c r="M694" s="220"/>
      <c r="N694" s="220"/>
      <c r="O694" s="220"/>
      <c r="P694" s="220"/>
      <c r="Q694" s="220"/>
      <c r="R694" s="220"/>
      <c r="S694" s="220"/>
      <c r="T694" s="225"/>
      <c r="U694" s="226"/>
      <c r="V694" s="233"/>
    </row>
    <row r="695" customFormat="false" ht="12.75" hidden="false" customHeight="false" outlineLevel="0" collapsed="false">
      <c r="B695" s="228"/>
      <c r="C695" s="236"/>
      <c r="D695" s="219"/>
      <c r="E695" s="220"/>
      <c r="F695" s="229"/>
      <c r="G695" s="220"/>
      <c r="H695" s="220"/>
      <c r="I695" s="220"/>
      <c r="J695" s="220"/>
      <c r="K695" s="220"/>
      <c r="L695" s="220"/>
      <c r="M695" s="220"/>
      <c r="N695" s="220"/>
      <c r="O695" s="220"/>
      <c r="P695" s="220"/>
      <c r="Q695" s="220"/>
      <c r="R695" s="220"/>
      <c r="S695" s="220"/>
      <c r="T695" s="225"/>
      <c r="U695" s="226"/>
      <c r="V695" s="233"/>
    </row>
    <row r="696" customFormat="false" ht="12.75" hidden="false" customHeight="false" outlineLevel="0" collapsed="false">
      <c r="B696" s="228"/>
      <c r="C696" s="236"/>
      <c r="D696" s="219"/>
      <c r="E696" s="220"/>
      <c r="F696" s="229"/>
      <c r="G696" s="220"/>
      <c r="H696" s="220"/>
      <c r="I696" s="220"/>
      <c r="J696" s="220"/>
      <c r="K696" s="220"/>
      <c r="L696" s="220"/>
      <c r="M696" s="220"/>
      <c r="N696" s="220"/>
      <c r="O696" s="220"/>
      <c r="P696" s="220"/>
      <c r="Q696" s="220"/>
      <c r="R696" s="220"/>
      <c r="S696" s="220"/>
      <c r="T696" s="225"/>
      <c r="U696" s="226"/>
      <c r="V696" s="233"/>
    </row>
    <row r="697" customFormat="false" ht="12.75" hidden="false" customHeight="false" outlineLevel="0" collapsed="false">
      <c r="B697" s="228"/>
      <c r="C697" s="236"/>
      <c r="D697" s="219"/>
      <c r="E697" s="220"/>
      <c r="F697" s="229"/>
      <c r="G697" s="220"/>
      <c r="H697" s="220"/>
      <c r="I697" s="220"/>
      <c r="J697" s="220"/>
      <c r="K697" s="220"/>
      <c r="L697" s="220"/>
      <c r="M697" s="220"/>
      <c r="N697" s="220"/>
      <c r="O697" s="220"/>
      <c r="P697" s="220"/>
      <c r="Q697" s="220"/>
      <c r="R697" s="220"/>
      <c r="S697" s="220"/>
      <c r="T697" s="225"/>
      <c r="U697" s="226"/>
      <c r="V697" s="233"/>
    </row>
    <row r="698" customFormat="false" ht="12.75" hidden="false" customHeight="false" outlineLevel="0" collapsed="false">
      <c r="B698" s="228"/>
      <c r="C698" s="236"/>
      <c r="D698" s="219"/>
      <c r="E698" s="220"/>
      <c r="F698" s="229"/>
      <c r="G698" s="220"/>
      <c r="H698" s="220"/>
      <c r="I698" s="220"/>
      <c r="J698" s="220"/>
      <c r="K698" s="220"/>
      <c r="L698" s="220"/>
      <c r="M698" s="220"/>
      <c r="N698" s="220"/>
      <c r="O698" s="220"/>
      <c r="P698" s="220"/>
      <c r="Q698" s="220"/>
      <c r="R698" s="220"/>
      <c r="S698" s="220"/>
      <c r="T698" s="225"/>
      <c r="U698" s="226"/>
      <c r="V698" s="233"/>
    </row>
    <row r="699" customFormat="false" ht="12.75" hidden="false" customHeight="false" outlineLevel="0" collapsed="false">
      <c r="B699" s="228"/>
      <c r="C699" s="236"/>
      <c r="D699" s="219"/>
      <c r="E699" s="220"/>
      <c r="F699" s="229"/>
      <c r="G699" s="220"/>
      <c r="H699" s="220"/>
      <c r="I699" s="220"/>
      <c r="J699" s="220"/>
      <c r="K699" s="220"/>
      <c r="L699" s="220"/>
      <c r="M699" s="220"/>
      <c r="N699" s="220"/>
      <c r="O699" s="220"/>
      <c r="P699" s="220"/>
      <c r="Q699" s="220"/>
      <c r="R699" s="220"/>
      <c r="S699" s="220"/>
      <c r="T699" s="225"/>
      <c r="U699" s="226"/>
      <c r="V699" s="233"/>
    </row>
    <row r="700" customFormat="false" ht="12.75" hidden="false" customHeight="false" outlineLevel="0" collapsed="false">
      <c r="B700" s="228"/>
      <c r="C700" s="236"/>
      <c r="D700" s="219"/>
      <c r="E700" s="220"/>
      <c r="F700" s="229"/>
      <c r="G700" s="220"/>
      <c r="H700" s="220"/>
      <c r="I700" s="220"/>
      <c r="J700" s="220"/>
      <c r="K700" s="220"/>
      <c r="L700" s="220"/>
      <c r="M700" s="220"/>
      <c r="N700" s="220"/>
      <c r="O700" s="220"/>
      <c r="P700" s="220"/>
      <c r="Q700" s="220"/>
      <c r="R700" s="220"/>
      <c r="S700" s="220"/>
      <c r="T700" s="225"/>
      <c r="U700" s="226"/>
      <c r="V700" s="233"/>
    </row>
    <row r="701" customFormat="false" ht="12.75" hidden="false" customHeight="false" outlineLevel="0" collapsed="false">
      <c r="B701" s="228"/>
      <c r="C701" s="236"/>
      <c r="D701" s="219"/>
      <c r="E701" s="220"/>
      <c r="F701" s="229"/>
      <c r="G701" s="220"/>
      <c r="H701" s="220"/>
      <c r="I701" s="220"/>
      <c r="J701" s="220"/>
      <c r="K701" s="220"/>
      <c r="L701" s="220"/>
      <c r="M701" s="220"/>
      <c r="N701" s="220"/>
      <c r="O701" s="220"/>
      <c r="P701" s="220"/>
      <c r="Q701" s="220"/>
      <c r="R701" s="220"/>
      <c r="S701" s="220"/>
      <c r="T701" s="225"/>
      <c r="U701" s="226"/>
      <c r="V701" s="233"/>
    </row>
    <row r="702" customFormat="false" ht="12.75" hidden="false" customHeight="false" outlineLevel="0" collapsed="false">
      <c r="B702" s="228"/>
      <c r="C702" s="236"/>
      <c r="D702" s="219"/>
      <c r="E702" s="220"/>
      <c r="F702" s="229"/>
      <c r="G702" s="220"/>
      <c r="H702" s="220"/>
      <c r="I702" s="220"/>
      <c r="J702" s="220"/>
      <c r="K702" s="220"/>
      <c r="L702" s="220"/>
      <c r="M702" s="220"/>
      <c r="N702" s="220"/>
      <c r="O702" s="220"/>
      <c r="P702" s="220"/>
      <c r="Q702" s="220"/>
      <c r="R702" s="220"/>
      <c r="S702" s="220"/>
      <c r="T702" s="225"/>
      <c r="U702" s="226"/>
      <c r="V702" s="233"/>
    </row>
    <row r="703" customFormat="false" ht="12.75" hidden="false" customHeight="false" outlineLevel="0" collapsed="false">
      <c r="B703" s="228"/>
      <c r="C703" s="236"/>
      <c r="D703" s="219"/>
      <c r="E703" s="220"/>
      <c r="F703" s="229"/>
      <c r="G703" s="220"/>
      <c r="H703" s="220"/>
      <c r="I703" s="220"/>
      <c r="J703" s="220"/>
      <c r="K703" s="220"/>
      <c r="L703" s="220"/>
      <c r="M703" s="220"/>
      <c r="N703" s="220"/>
      <c r="O703" s="220"/>
      <c r="P703" s="220"/>
      <c r="Q703" s="220"/>
      <c r="R703" s="220"/>
      <c r="S703" s="220"/>
      <c r="T703" s="225"/>
      <c r="U703" s="226"/>
      <c r="V703" s="233"/>
    </row>
    <row r="704" customFormat="false" ht="12.75" hidden="false" customHeight="false" outlineLevel="0" collapsed="false">
      <c r="B704" s="228"/>
      <c r="C704" s="236"/>
      <c r="D704" s="219"/>
      <c r="E704" s="220"/>
      <c r="F704" s="229"/>
      <c r="G704" s="220"/>
      <c r="H704" s="220"/>
      <c r="I704" s="220"/>
      <c r="J704" s="220"/>
      <c r="K704" s="220"/>
      <c r="L704" s="220"/>
      <c r="M704" s="220"/>
      <c r="N704" s="220"/>
      <c r="O704" s="220"/>
      <c r="P704" s="220"/>
      <c r="Q704" s="220"/>
      <c r="R704" s="220"/>
      <c r="S704" s="220"/>
      <c r="T704" s="225"/>
      <c r="U704" s="226"/>
      <c r="V704" s="233"/>
    </row>
    <row r="705" customFormat="false" ht="12.75" hidden="false" customHeight="false" outlineLevel="0" collapsed="false">
      <c r="B705" s="228"/>
      <c r="C705" s="236"/>
      <c r="D705" s="219"/>
      <c r="E705" s="220"/>
      <c r="F705" s="229"/>
      <c r="G705" s="220"/>
      <c r="H705" s="220"/>
      <c r="I705" s="220"/>
      <c r="J705" s="220"/>
      <c r="K705" s="220"/>
      <c r="L705" s="220"/>
      <c r="M705" s="220"/>
      <c r="N705" s="220"/>
      <c r="O705" s="220"/>
      <c r="P705" s="220"/>
      <c r="Q705" s="220"/>
      <c r="R705" s="220"/>
      <c r="S705" s="220"/>
      <c r="T705" s="225"/>
      <c r="U705" s="226"/>
      <c r="V705" s="233"/>
    </row>
    <row r="706" customFormat="false" ht="12.75" hidden="false" customHeight="false" outlineLevel="0" collapsed="false">
      <c r="B706" s="228"/>
      <c r="C706" s="236"/>
      <c r="D706" s="219"/>
      <c r="E706" s="220"/>
      <c r="F706" s="229"/>
      <c r="G706" s="220"/>
      <c r="H706" s="220"/>
      <c r="I706" s="220"/>
      <c r="J706" s="220"/>
      <c r="K706" s="220"/>
      <c r="L706" s="220"/>
      <c r="M706" s="220"/>
      <c r="N706" s="220"/>
      <c r="O706" s="220"/>
      <c r="P706" s="220"/>
      <c r="Q706" s="220"/>
      <c r="R706" s="220"/>
      <c r="S706" s="220"/>
      <c r="T706" s="225"/>
      <c r="U706" s="226"/>
      <c r="V706" s="233"/>
    </row>
    <row r="707" customFormat="false" ht="12.75" hidden="false" customHeight="false" outlineLevel="0" collapsed="false">
      <c r="B707" s="228"/>
      <c r="C707" s="236"/>
      <c r="D707" s="219"/>
      <c r="E707" s="220"/>
      <c r="F707" s="229"/>
      <c r="G707" s="220"/>
      <c r="H707" s="220"/>
      <c r="I707" s="220"/>
      <c r="J707" s="220"/>
      <c r="K707" s="220"/>
      <c r="L707" s="220"/>
      <c r="M707" s="220"/>
      <c r="N707" s="220"/>
      <c r="O707" s="220"/>
      <c r="P707" s="220"/>
      <c r="Q707" s="220"/>
      <c r="R707" s="220"/>
      <c r="S707" s="220"/>
      <c r="T707" s="225"/>
      <c r="U707" s="226"/>
      <c r="V707" s="233"/>
    </row>
    <row r="708" customFormat="false" ht="12.75" hidden="false" customHeight="false" outlineLevel="0" collapsed="false">
      <c r="B708" s="228"/>
      <c r="C708" s="236"/>
      <c r="D708" s="219"/>
      <c r="E708" s="220"/>
      <c r="F708" s="229"/>
      <c r="G708" s="220"/>
      <c r="H708" s="220"/>
      <c r="I708" s="220"/>
      <c r="J708" s="220"/>
      <c r="K708" s="220"/>
      <c r="L708" s="220"/>
      <c r="M708" s="220"/>
      <c r="N708" s="220"/>
      <c r="O708" s="220"/>
      <c r="P708" s="220"/>
      <c r="Q708" s="220"/>
      <c r="R708" s="220"/>
      <c r="S708" s="220"/>
      <c r="T708" s="225"/>
      <c r="U708" s="226"/>
      <c r="V708" s="233"/>
    </row>
    <row r="709" customFormat="false" ht="12.75" hidden="false" customHeight="false" outlineLevel="0" collapsed="false">
      <c r="B709" s="228"/>
      <c r="C709" s="236"/>
      <c r="D709" s="219"/>
      <c r="E709" s="220"/>
      <c r="F709" s="229"/>
      <c r="G709" s="220"/>
      <c r="H709" s="220"/>
      <c r="I709" s="220"/>
      <c r="J709" s="220"/>
      <c r="K709" s="220"/>
      <c r="L709" s="220"/>
      <c r="M709" s="220"/>
      <c r="N709" s="220"/>
      <c r="O709" s="220"/>
      <c r="P709" s="220"/>
      <c r="Q709" s="220"/>
      <c r="R709" s="220"/>
      <c r="S709" s="220"/>
      <c r="T709" s="225"/>
      <c r="U709" s="226"/>
      <c r="V709" s="233"/>
    </row>
    <row r="710" customFormat="false" ht="12.75" hidden="false" customHeight="false" outlineLevel="0" collapsed="false">
      <c r="B710" s="228"/>
      <c r="C710" s="236"/>
      <c r="D710" s="219"/>
      <c r="E710" s="220"/>
      <c r="F710" s="229"/>
      <c r="G710" s="220"/>
      <c r="H710" s="220"/>
      <c r="I710" s="220"/>
      <c r="J710" s="220"/>
      <c r="K710" s="220"/>
      <c r="L710" s="220"/>
      <c r="M710" s="220"/>
      <c r="N710" s="220"/>
      <c r="O710" s="220"/>
      <c r="P710" s="220"/>
      <c r="Q710" s="220"/>
      <c r="R710" s="220"/>
      <c r="S710" s="220"/>
      <c r="T710" s="225"/>
      <c r="U710" s="226"/>
      <c r="V710" s="233"/>
    </row>
    <row r="711" customFormat="false" ht="12.75" hidden="false" customHeight="false" outlineLevel="0" collapsed="false">
      <c r="B711" s="228"/>
      <c r="C711" s="236"/>
      <c r="D711" s="219"/>
      <c r="E711" s="220"/>
      <c r="F711" s="229"/>
      <c r="G711" s="220"/>
      <c r="H711" s="220"/>
      <c r="I711" s="220"/>
      <c r="J711" s="220"/>
      <c r="K711" s="220"/>
      <c r="L711" s="220"/>
      <c r="M711" s="220"/>
      <c r="N711" s="220"/>
      <c r="O711" s="220"/>
      <c r="P711" s="220"/>
      <c r="Q711" s="220"/>
      <c r="R711" s="220"/>
      <c r="S711" s="220"/>
      <c r="T711" s="225"/>
      <c r="U711" s="226"/>
      <c r="V711" s="233"/>
    </row>
    <row r="712" customFormat="false" ht="12.75" hidden="false" customHeight="false" outlineLevel="0" collapsed="false">
      <c r="B712" s="228"/>
      <c r="C712" s="236"/>
      <c r="D712" s="219"/>
      <c r="E712" s="220"/>
      <c r="F712" s="229"/>
      <c r="G712" s="220"/>
      <c r="H712" s="220"/>
      <c r="I712" s="220"/>
      <c r="J712" s="220"/>
      <c r="K712" s="220"/>
      <c r="L712" s="220"/>
      <c r="M712" s="220"/>
      <c r="N712" s="220"/>
      <c r="O712" s="220"/>
      <c r="P712" s="220"/>
      <c r="Q712" s="220"/>
      <c r="R712" s="220"/>
      <c r="S712" s="220"/>
      <c r="T712" s="225"/>
      <c r="U712" s="226"/>
      <c r="V712" s="233"/>
    </row>
    <row r="713" customFormat="false" ht="12.75" hidden="false" customHeight="false" outlineLevel="0" collapsed="false">
      <c r="B713" s="228"/>
      <c r="C713" s="236"/>
      <c r="D713" s="219"/>
      <c r="E713" s="220"/>
      <c r="F713" s="229"/>
      <c r="G713" s="220"/>
      <c r="H713" s="220"/>
      <c r="I713" s="220"/>
      <c r="J713" s="220"/>
      <c r="K713" s="220"/>
      <c r="L713" s="220"/>
      <c r="M713" s="220"/>
      <c r="N713" s="220"/>
      <c r="O713" s="220"/>
      <c r="P713" s="220"/>
      <c r="Q713" s="220"/>
      <c r="R713" s="220"/>
      <c r="S713" s="220"/>
      <c r="T713" s="225"/>
      <c r="U713" s="226"/>
      <c r="V713" s="233"/>
    </row>
    <row r="714" customFormat="false" ht="12.75" hidden="false" customHeight="false" outlineLevel="0" collapsed="false">
      <c r="B714" s="228"/>
      <c r="C714" s="236"/>
      <c r="D714" s="219"/>
      <c r="E714" s="220"/>
      <c r="F714" s="229"/>
      <c r="G714" s="220"/>
      <c r="H714" s="220"/>
      <c r="I714" s="220"/>
      <c r="J714" s="220"/>
      <c r="K714" s="220"/>
      <c r="L714" s="220"/>
      <c r="M714" s="220"/>
      <c r="N714" s="220"/>
      <c r="O714" s="220"/>
      <c r="P714" s="220"/>
      <c r="Q714" s="220"/>
      <c r="R714" s="220"/>
      <c r="S714" s="220"/>
      <c r="T714" s="225"/>
      <c r="U714" s="226"/>
      <c r="V714" s="233"/>
    </row>
    <row r="715" customFormat="false" ht="12.75" hidden="false" customHeight="false" outlineLevel="0" collapsed="false">
      <c r="B715" s="228"/>
      <c r="C715" s="236"/>
      <c r="D715" s="219"/>
      <c r="E715" s="220"/>
      <c r="F715" s="229"/>
      <c r="G715" s="220"/>
      <c r="H715" s="220"/>
      <c r="I715" s="220"/>
      <c r="J715" s="220"/>
      <c r="K715" s="220"/>
      <c r="L715" s="220"/>
      <c r="M715" s="220"/>
      <c r="N715" s="220"/>
      <c r="O715" s="220"/>
      <c r="P715" s="220"/>
      <c r="Q715" s="220"/>
      <c r="R715" s="220"/>
      <c r="S715" s="220"/>
      <c r="T715" s="225"/>
      <c r="U715" s="226"/>
      <c r="V715" s="233"/>
    </row>
    <row r="716" customFormat="false" ht="12.75" hidden="false" customHeight="false" outlineLevel="0" collapsed="false">
      <c r="B716" s="228"/>
      <c r="C716" s="236"/>
      <c r="D716" s="219"/>
      <c r="E716" s="220"/>
      <c r="F716" s="229"/>
      <c r="G716" s="220"/>
      <c r="H716" s="220"/>
      <c r="I716" s="220"/>
      <c r="J716" s="220"/>
      <c r="K716" s="220"/>
      <c r="L716" s="220"/>
      <c r="M716" s="220"/>
      <c r="N716" s="220"/>
      <c r="O716" s="220"/>
      <c r="P716" s="220"/>
      <c r="Q716" s="220"/>
      <c r="R716" s="220"/>
      <c r="S716" s="220"/>
      <c r="T716" s="225"/>
      <c r="U716" s="226"/>
      <c r="V716" s="233"/>
    </row>
    <row r="717" customFormat="false" ht="12.75" hidden="false" customHeight="false" outlineLevel="0" collapsed="false">
      <c r="B717" s="228"/>
      <c r="C717" s="236"/>
      <c r="D717" s="219"/>
      <c r="E717" s="220"/>
      <c r="F717" s="229"/>
      <c r="G717" s="220"/>
      <c r="H717" s="220"/>
      <c r="I717" s="220"/>
      <c r="J717" s="220"/>
      <c r="K717" s="220"/>
      <c r="L717" s="220"/>
      <c r="M717" s="220"/>
      <c r="N717" s="220"/>
      <c r="O717" s="220"/>
      <c r="P717" s="220"/>
      <c r="Q717" s="220"/>
      <c r="R717" s="220"/>
      <c r="S717" s="220"/>
      <c r="T717" s="225"/>
      <c r="U717" s="226"/>
      <c r="V717" s="233"/>
    </row>
    <row r="718" customFormat="false" ht="12.75" hidden="false" customHeight="false" outlineLevel="0" collapsed="false">
      <c r="B718" s="228"/>
      <c r="C718" s="236"/>
      <c r="D718" s="219"/>
      <c r="E718" s="220"/>
      <c r="F718" s="229"/>
      <c r="G718" s="220"/>
      <c r="H718" s="220"/>
      <c r="I718" s="220"/>
      <c r="J718" s="220"/>
      <c r="K718" s="220"/>
      <c r="L718" s="220"/>
      <c r="M718" s="220"/>
      <c r="N718" s="220"/>
      <c r="O718" s="220"/>
      <c r="P718" s="220"/>
      <c r="Q718" s="220"/>
      <c r="R718" s="220"/>
      <c r="S718" s="220"/>
      <c r="T718" s="225"/>
      <c r="U718" s="226"/>
      <c r="V718" s="233"/>
    </row>
    <row r="719" customFormat="false" ht="12.75" hidden="false" customHeight="false" outlineLevel="0" collapsed="false">
      <c r="B719" s="228"/>
      <c r="C719" s="236"/>
      <c r="D719" s="219"/>
      <c r="E719" s="220"/>
      <c r="F719" s="229"/>
      <c r="G719" s="220"/>
      <c r="H719" s="220"/>
      <c r="I719" s="220"/>
      <c r="J719" s="220"/>
      <c r="K719" s="220"/>
      <c r="L719" s="220"/>
      <c r="M719" s="220"/>
      <c r="N719" s="220"/>
      <c r="O719" s="220"/>
      <c r="P719" s="220"/>
      <c r="Q719" s="220"/>
      <c r="R719" s="220"/>
      <c r="S719" s="220"/>
      <c r="T719" s="225"/>
      <c r="U719" s="226"/>
      <c r="V719" s="233"/>
    </row>
    <row r="720" customFormat="false" ht="12.75" hidden="false" customHeight="false" outlineLevel="0" collapsed="false">
      <c r="B720" s="228"/>
      <c r="C720" s="236"/>
      <c r="D720" s="219"/>
      <c r="E720" s="220"/>
      <c r="F720" s="229"/>
      <c r="G720" s="220"/>
      <c r="H720" s="220"/>
      <c r="I720" s="220"/>
      <c r="J720" s="220"/>
      <c r="K720" s="220"/>
      <c r="L720" s="220"/>
      <c r="M720" s="220"/>
      <c r="N720" s="220"/>
      <c r="O720" s="220"/>
      <c r="P720" s="220"/>
      <c r="Q720" s="220"/>
      <c r="R720" s="220"/>
      <c r="S720" s="220"/>
      <c r="T720" s="225"/>
      <c r="U720" s="226"/>
      <c r="V720" s="233"/>
    </row>
    <row r="721" customFormat="false" ht="12.75" hidden="false" customHeight="false" outlineLevel="0" collapsed="false">
      <c r="B721" s="228"/>
      <c r="C721" s="236"/>
      <c r="D721" s="219"/>
      <c r="E721" s="220"/>
      <c r="F721" s="229"/>
      <c r="G721" s="220"/>
      <c r="H721" s="220"/>
      <c r="I721" s="220"/>
      <c r="J721" s="220"/>
      <c r="K721" s="220"/>
      <c r="L721" s="220"/>
      <c r="M721" s="220"/>
      <c r="N721" s="220"/>
      <c r="O721" s="220"/>
      <c r="P721" s="220"/>
      <c r="Q721" s="220"/>
      <c r="R721" s="220"/>
      <c r="S721" s="220"/>
      <c r="T721" s="225"/>
      <c r="U721" s="226"/>
      <c r="V721" s="233"/>
    </row>
    <row r="722" customFormat="false" ht="12.75" hidden="false" customHeight="false" outlineLevel="0" collapsed="false">
      <c r="B722" s="228"/>
      <c r="C722" s="236"/>
      <c r="D722" s="219"/>
      <c r="E722" s="220"/>
      <c r="F722" s="229"/>
      <c r="G722" s="220"/>
      <c r="H722" s="220"/>
      <c r="I722" s="220"/>
      <c r="J722" s="220"/>
      <c r="K722" s="220"/>
      <c r="L722" s="220"/>
      <c r="M722" s="220"/>
      <c r="N722" s="220"/>
      <c r="O722" s="220"/>
      <c r="P722" s="220"/>
      <c r="Q722" s="220"/>
      <c r="R722" s="220"/>
      <c r="S722" s="220"/>
      <c r="T722" s="225"/>
      <c r="U722" s="226"/>
      <c r="V722" s="233"/>
    </row>
    <row r="723" customFormat="false" ht="12.75" hidden="false" customHeight="false" outlineLevel="0" collapsed="false">
      <c r="B723" s="228"/>
      <c r="C723" s="236"/>
      <c r="D723" s="219"/>
      <c r="E723" s="220"/>
      <c r="F723" s="229"/>
      <c r="G723" s="220"/>
      <c r="H723" s="220"/>
      <c r="I723" s="220"/>
      <c r="J723" s="220"/>
      <c r="K723" s="220"/>
      <c r="L723" s="220"/>
      <c r="M723" s="220"/>
      <c r="N723" s="220"/>
      <c r="O723" s="220"/>
      <c r="P723" s="220"/>
      <c r="Q723" s="220"/>
      <c r="R723" s="220"/>
      <c r="S723" s="220"/>
      <c r="T723" s="225"/>
      <c r="U723" s="226"/>
      <c r="V723" s="233"/>
    </row>
    <row r="724" customFormat="false" ht="12.75" hidden="false" customHeight="false" outlineLevel="0" collapsed="false">
      <c r="B724" s="228"/>
      <c r="C724" s="236"/>
      <c r="D724" s="219"/>
      <c r="E724" s="220"/>
      <c r="F724" s="229"/>
      <c r="G724" s="220"/>
      <c r="H724" s="220"/>
      <c r="I724" s="220"/>
      <c r="J724" s="220"/>
      <c r="K724" s="220"/>
      <c r="L724" s="220"/>
      <c r="M724" s="220"/>
      <c r="N724" s="220"/>
      <c r="O724" s="220"/>
      <c r="P724" s="220"/>
      <c r="Q724" s="220"/>
      <c r="R724" s="220"/>
      <c r="S724" s="220"/>
      <c r="T724" s="225"/>
      <c r="U724" s="226"/>
      <c r="V724" s="233"/>
    </row>
    <row r="725" customFormat="false" ht="12.75" hidden="false" customHeight="false" outlineLevel="0" collapsed="false">
      <c r="B725" s="228"/>
      <c r="C725" s="236"/>
      <c r="D725" s="219"/>
      <c r="E725" s="220"/>
      <c r="F725" s="229"/>
      <c r="G725" s="220"/>
      <c r="H725" s="220"/>
      <c r="I725" s="220"/>
      <c r="J725" s="220"/>
      <c r="K725" s="220"/>
      <c r="L725" s="220"/>
      <c r="M725" s="220"/>
      <c r="N725" s="220"/>
      <c r="O725" s="220"/>
      <c r="P725" s="220"/>
      <c r="Q725" s="220"/>
      <c r="R725" s="220"/>
      <c r="S725" s="220"/>
      <c r="T725" s="225"/>
      <c r="U725" s="226"/>
      <c r="V725" s="233"/>
    </row>
    <row r="726" customFormat="false" ht="12.75" hidden="false" customHeight="false" outlineLevel="0" collapsed="false">
      <c r="B726" s="228"/>
      <c r="C726" s="236"/>
      <c r="D726" s="219"/>
      <c r="E726" s="220"/>
      <c r="F726" s="229"/>
      <c r="G726" s="220"/>
      <c r="H726" s="220"/>
      <c r="I726" s="220"/>
      <c r="J726" s="220"/>
      <c r="K726" s="220"/>
      <c r="L726" s="220"/>
      <c r="M726" s="220"/>
      <c r="N726" s="220"/>
      <c r="O726" s="220"/>
      <c r="P726" s="220"/>
      <c r="Q726" s="220"/>
      <c r="R726" s="220"/>
      <c r="S726" s="220"/>
      <c r="T726" s="225"/>
      <c r="U726" s="226"/>
      <c r="V726" s="233"/>
    </row>
    <row r="727" customFormat="false" ht="12.75" hidden="false" customHeight="false" outlineLevel="0" collapsed="false">
      <c r="B727" s="228"/>
      <c r="C727" s="236"/>
      <c r="D727" s="219"/>
      <c r="E727" s="220"/>
      <c r="F727" s="229"/>
      <c r="G727" s="220"/>
      <c r="H727" s="220"/>
      <c r="I727" s="220"/>
      <c r="J727" s="220"/>
      <c r="K727" s="220"/>
      <c r="L727" s="220"/>
      <c r="M727" s="220"/>
      <c r="N727" s="220"/>
      <c r="O727" s="220"/>
      <c r="P727" s="220"/>
      <c r="Q727" s="220"/>
      <c r="R727" s="220"/>
      <c r="S727" s="220"/>
      <c r="T727" s="225"/>
      <c r="U727" s="226"/>
      <c r="V727" s="233"/>
    </row>
    <row r="728" customFormat="false" ht="12.75" hidden="false" customHeight="false" outlineLevel="0" collapsed="false">
      <c r="B728" s="228"/>
      <c r="C728" s="236"/>
      <c r="D728" s="219"/>
      <c r="E728" s="220"/>
      <c r="F728" s="229"/>
      <c r="G728" s="220"/>
      <c r="H728" s="220"/>
      <c r="I728" s="220"/>
      <c r="J728" s="220"/>
      <c r="K728" s="220"/>
      <c r="L728" s="220"/>
      <c r="M728" s="220"/>
      <c r="N728" s="220"/>
      <c r="O728" s="220"/>
      <c r="P728" s="220"/>
      <c r="Q728" s="220"/>
      <c r="R728" s="220"/>
      <c r="S728" s="220"/>
      <c r="T728" s="225"/>
      <c r="U728" s="226"/>
      <c r="V728" s="233"/>
    </row>
    <row r="729" customFormat="false" ht="12.75" hidden="false" customHeight="false" outlineLevel="0" collapsed="false">
      <c r="B729" s="228"/>
      <c r="C729" s="236"/>
      <c r="D729" s="219"/>
      <c r="E729" s="220"/>
      <c r="F729" s="229"/>
      <c r="G729" s="220"/>
      <c r="H729" s="220"/>
      <c r="I729" s="220"/>
      <c r="J729" s="220"/>
      <c r="K729" s="220"/>
      <c r="L729" s="220"/>
      <c r="M729" s="220"/>
      <c r="N729" s="220"/>
      <c r="O729" s="220"/>
      <c r="P729" s="220"/>
      <c r="Q729" s="220"/>
      <c r="R729" s="220"/>
      <c r="S729" s="220"/>
      <c r="T729" s="225"/>
      <c r="U729" s="226"/>
      <c r="V729" s="233"/>
    </row>
    <row r="730" customFormat="false" ht="12.75" hidden="false" customHeight="false" outlineLevel="0" collapsed="false">
      <c r="B730" s="228"/>
      <c r="C730" s="236"/>
      <c r="D730" s="219"/>
      <c r="E730" s="220"/>
      <c r="F730" s="229"/>
      <c r="G730" s="220"/>
      <c r="H730" s="220"/>
      <c r="I730" s="220"/>
      <c r="J730" s="220"/>
      <c r="K730" s="220"/>
      <c r="L730" s="220"/>
      <c r="M730" s="220"/>
      <c r="N730" s="220"/>
      <c r="O730" s="220"/>
      <c r="P730" s="220"/>
      <c r="Q730" s="220"/>
      <c r="R730" s="220"/>
      <c r="S730" s="220"/>
      <c r="T730" s="225"/>
      <c r="U730" s="226"/>
      <c r="V730" s="233"/>
    </row>
    <row r="731" customFormat="false" ht="12.75" hidden="false" customHeight="false" outlineLevel="0" collapsed="false">
      <c r="B731" s="228"/>
      <c r="C731" s="236"/>
      <c r="D731" s="219"/>
      <c r="E731" s="220"/>
      <c r="F731" s="229"/>
      <c r="G731" s="220"/>
      <c r="H731" s="220"/>
      <c r="I731" s="220"/>
      <c r="J731" s="220"/>
      <c r="K731" s="220"/>
      <c r="L731" s="220"/>
      <c r="M731" s="220"/>
      <c r="N731" s="220"/>
      <c r="O731" s="220"/>
      <c r="P731" s="220"/>
      <c r="Q731" s="220"/>
      <c r="R731" s="220"/>
      <c r="S731" s="220"/>
      <c r="T731" s="225"/>
      <c r="U731" s="226"/>
      <c r="V731" s="233"/>
    </row>
    <row r="732" customFormat="false" ht="12.75" hidden="false" customHeight="false" outlineLevel="0" collapsed="false">
      <c r="B732" s="228"/>
      <c r="C732" s="236"/>
      <c r="D732" s="219"/>
      <c r="E732" s="220"/>
      <c r="F732" s="229"/>
      <c r="G732" s="220"/>
      <c r="H732" s="220"/>
      <c r="I732" s="220"/>
      <c r="J732" s="220"/>
      <c r="K732" s="220"/>
      <c r="L732" s="220"/>
      <c r="M732" s="220"/>
      <c r="N732" s="220"/>
      <c r="O732" s="220"/>
      <c r="P732" s="220"/>
      <c r="Q732" s="220"/>
      <c r="R732" s="220"/>
      <c r="S732" s="220"/>
      <c r="T732" s="225"/>
      <c r="U732" s="226"/>
      <c r="V732" s="233"/>
    </row>
    <row r="733" customFormat="false" ht="12.75" hidden="false" customHeight="false" outlineLevel="0" collapsed="false">
      <c r="B733" s="228"/>
      <c r="C733" s="236"/>
      <c r="D733" s="219"/>
      <c r="E733" s="220"/>
      <c r="F733" s="229"/>
      <c r="G733" s="220"/>
      <c r="H733" s="220"/>
      <c r="I733" s="220"/>
      <c r="J733" s="220"/>
      <c r="K733" s="220"/>
      <c r="L733" s="220"/>
      <c r="M733" s="220"/>
      <c r="N733" s="220"/>
      <c r="O733" s="220"/>
      <c r="P733" s="220"/>
      <c r="Q733" s="220"/>
      <c r="R733" s="220"/>
      <c r="S733" s="220"/>
      <c r="T733" s="225"/>
      <c r="U733" s="226"/>
      <c r="V733" s="233"/>
    </row>
    <row r="734" customFormat="false" ht="12.75" hidden="false" customHeight="false" outlineLevel="0" collapsed="false">
      <c r="B734" s="228"/>
      <c r="C734" s="236"/>
      <c r="D734" s="219"/>
      <c r="E734" s="220"/>
      <c r="F734" s="229"/>
      <c r="G734" s="220"/>
      <c r="H734" s="220"/>
      <c r="I734" s="220"/>
      <c r="J734" s="220"/>
      <c r="K734" s="220"/>
      <c r="L734" s="220"/>
      <c r="M734" s="220"/>
      <c r="N734" s="220"/>
      <c r="O734" s="220"/>
      <c r="P734" s="220"/>
      <c r="Q734" s="220"/>
      <c r="R734" s="220"/>
      <c r="S734" s="220"/>
      <c r="T734" s="225"/>
      <c r="U734" s="226"/>
      <c r="V734" s="233"/>
    </row>
    <row r="735" customFormat="false" ht="12.75" hidden="false" customHeight="false" outlineLevel="0" collapsed="false">
      <c r="B735" s="228"/>
      <c r="C735" s="236"/>
      <c r="D735" s="219"/>
      <c r="E735" s="220"/>
      <c r="F735" s="229"/>
      <c r="G735" s="220"/>
      <c r="H735" s="220"/>
      <c r="I735" s="220"/>
      <c r="J735" s="220"/>
      <c r="K735" s="220"/>
      <c r="L735" s="220"/>
      <c r="M735" s="220"/>
      <c r="N735" s="220"/>
      <c r="O735" s="220"/>
      <c r="P735" s="220"/>
      <c r="Q735" s="220"/>
      <c r="R735" s="220"/>
      <c r="S735" s="220"/>
      <c r="T735" s="225"/>
      <c r="U735" s="226"/>
      <c r="V735" s="233"/>
    </row>
    <row r="736" customFormat="false" ht="12.75" hidden="false" customHeight="false" outlineLevel="0" collapsed="false">
      <c r="B736" s="228"/>
      <c r="C736" s="236"/>
      <c r="D736" s="219"/>
      <c r="E736" s="220"/>
      <c r="F736" s="229"/>
      <c r="G736" s="220"/>
      <c r="H736" s="220"/>
      <c r="I736" s="220"/>
      <c r="J736" s="220"/>
      <c r="K736" s="220"/>
      <c r="L736" s="220"/>
      <c r="M736" s="220"/>
      <c r="N736" s="220"/>
      <c r="O736" s="220"/>
      <c r="P736" s="220"/>
      <c r="Q736" s="220"/>
      <c r="R736" s="220"/>
      <c r="S736" s="220"/>
      <c r="T736" s="225"/>
      <c r="U736" s="226"/>
      <c r="V736" s="233"/>
    </row>
    <row r="737" customFormat="false" ht="12.75" hidden="false" customHeight="false" outlineLevel="0" collapsed="false">
      <c r="B737" s="228"/>
      <c r="C737" s="236"/>
      <c r="D737" s="219"/>
      <c r="E737" s="220"/>
      <c r="F737" s="229"/>
      <c r="G737" s="220"/>
      <c r="H737" s="220"/>
      <c r="I737" s="220"/>
      <c r="J737" s="220"/>
      <c r="K737" s="220"/>
      <c r="L737" s="220"/>
      <c r="M737" s="220"/>
      <c r="N737" s="220"/>
      <c r="O737" s="220"/>
      <c r="P737" s="220"/>
      <c r="Q737" s="220"/>
      <c r="R737" s="220"/>
      <c r="S737" s="220"/>
      <c r="T737" s="225"/>
      <c r="U737" s="226"/>
      <c r="V737" s="233"/>
    </row>
    <row r="738" customFormat="false" ht="12.75" hidden="false" customHeight="false" outlineLevel="0" collapsed="false">
      <c r="B738" s="228"/>
      <c r="C738" s="236"/>
      <c r="D738" s="219"/>
      <c r="E738" s="220"/>
      <c r="F738" s="229"/>
      <c r="G738" s="220"/>
      <c r="H738" s="220"/>
      <c r="I738" s="220"/>
      <c r="J738" s="220"/>
      <c r="K738" s="220"/>
      <c r="L738" s="220"/>
      <c r="M738" s="220"/>
      <c r="N738" s="220"/>
      <c r="O738" s="220"/>
      <c r="P738" s="220"/>
      <c r="Q738" s="220"/>
      <c r="R738" s="220"/>
      <c r="S738" s="220"/>
      <c r="T738" s="225"/>
      <c r="U738" s="226"/>
      <c r="V738" s="233"/>
    </row>
    <row r="739" customFormat="false" ht="12.75" hidden="false" customHeight="false" outlineLevel="0" collapsed="false">
      <c r="B739" s="228"/>
      <c r="C739" s="236"/>
      <c r="D739" s="219"/>
      <c r="E739" s="220"/>
      <c r="F739" s="229"/>
      <c r="G739" s="220"/>
      <c r="H739" s="220"/>
      <c r="I739" s="220"/>
      <c r="J739" s="220"/>
      <c r="K739" s="220"/>
      <c r="L739" s="220"/>
      <c r="M739" s="220"/>
      <c r="N739" s="220"/>
      <c r="O739" s="220"/>
      <c r="P739" s="220"/>
      <c r="Q739" s="220"/>
      <c r="R739" s="220"/>
      <c r="S739" s="220"/>
      <c r="T739" s="225"/>
      <c r="U739" s="226"/>
      <c r="V739" s="233"/>
    </row>
    <row r="740" customFormat="false" ht="12.75" hidden="false" customHeight="false" outlineLevel="0" collapsed="false">
      <c r="B740" s="228"/>
      <c r="C740" s="236"/>
      <c r="D740" s="219"/>
      <c r="E740" s="220"/>
      <c r="F740" s="229"/>
      <c r="G740" s="220"/>
      <c r="H740" s="220"/>
      <c r="I740" s="220"/>
      <c r="J740" s="220"/>
      <c r="K740" s="220"/>
      <c r="L740" s="220"/>
      <c r="M740" s="220"/>
      <c r="N740" s="220"/>
      <c r="O740" s="220"/>
      <c r="P740" s="220"/>
      <c r="Q740" s="220"/>
      <c r="R740" s="220"/>
      <c r="S740" s="220"/>
      <c r="T740" s="225"/>
      <c r="U740" s="226"/>
      <c r="V740" s="233"/>
    </row>
    <row r="741" customFormat="false" ht="12.75" hidden="false" customHeight="false" outlineLevel="0" collapsed="false">
      <c r="B741" s="228"/>
      <c r="C741" s="236"/>
      <c r="D741" s="219"/>
      <c r="E741" s="220"/>
      <c r="F741" s="229"/>
      <c r="G741" s="220"/>
      <c r="H741" s="220"/>
      <c r="I741" s="220"/>
      <c r="J741" s="220"/>
      <c r="K741" s="220"/>
      <c r="L741" s="220"/>
      <c r="M741" s="220"/>
      <c r="N741" s="220"/>
      <c r="O741" s="220"/>
      <c r="P741" s="220"/>
      <c r="Q741" s="220"/>
      <c r="R741" s="220"/>
      <c r="S741" s="220"/>
      <c r="T741" s="225"/>
      <c r="U741" s="226"/>
      <c r="V741" s="233"/>
    </row>
    <row r="742" customFormat="false" ht="12.75" hidden="false" customHeight="false" outlineLevel="0" collapsed="false">
      <c r="B742" s="228"/>
      <c r="C742" s="236"/>
      <c r="D742" s="219"/>
      <c r="E742" s="220"/>
      <c r="F742" s="229"/>
      <c r="G742" s="220"/>
      <c r="H742" s="220"/>
      <c r="I742" s="220"/>
      <c r="J742" s="220"/>
      <c r="K742" s="220"/>
      <c r="L742" s="220"/>
      <c r="M742" s="220"/>
      <c r="N742" s="220"/>
      <c r="O742" s="220"/>
      <c r="P742" s="220"/>
      <c r="Q742" s="220"/>
      <c r="R742" s="220"/>
      <c r="S742" s="220"/>
      <c r="T742" s="225"/>
      <c r="U742" s="226"/>
      <c r="V742" s="233"/>
    </row>
    <row r="743" customFormat="false" ht="12.75" hidden="false" customHeight="false" outlineLevel="0" collapsed="false">
      <c r="B743" s="228"/>
      <c r="C743" s="236"/>
      <c r="D743" s="219"/>
      <c r="E743" s="220"/>
      <c r="F743" s="229"/>
      <c r="G743" s="220"/>
      <c r="H743" s="220"/>
      <c r="I743" s="220"/>
      <c r="J743" s="220"/>
      <c r="K743" s="220"/>
      <c r="L743" s="220"/>
      <c r="M743" s="220"/>
      <c r="N743" s="220"/>
      <c r="O743" s="220"/>
      <c r="P743" s="220"/>
      <c r="Q743" s="220"/>
      <c r="R743" s="220"/>
      <c r="S743" s="220"/>
      <c r="T743" s="225"/>
      <c r="U743" s="226"/>
      <c r="V743" s="233"/>
    </row>
    <row r="744" customFormat="false" ht="12.75" hidden="false" customHeight="false" outlineLevel="0" collapsed="false">
      <c r="B744" s="228"/>
      <c r="C744" s="236"/>
      <c r="D744" s="219"/>
      <c r="E744" s="220"/>
      <c r="F744" s="229"/>
      <c r="G744" s="220"/>
      <c r="H744" s="220"/>
      <c r="I744" s="220"/>
      <c r="J744" s="220"/>
      <c r="K744" s="220"/>
      <c r="L744" s="220"/>
      <c r="M744" s="220"/>
      <c r="N744" s="220"/>
      <c r="O744" s="220"/>
      <c r="P744" s="220"/>
      <c r="Q744" s="220"/>
      <c r="R744" s="220"/>
      <c r="S744" s="220"/>
      <c r="T744" s="225"/>
      <c r="U744" s="226"/>
      <c r="V744" s="233"/>
    </row>
    <row r="745" customFormat="false" ht="12.75" hidden="false" customHeight="false" outlineLevel="0" collapsed="false">
      <c r="B745" s="228"/>
      <c r="C745" s="236"/>
      <c r="D745" s="219"/>
      <c r="E745" s="220"/>
      <c r="F745" s="229"/>
      <c r="G745" s="220"/>
      <c r="H745" s="220"/>
      <c r="I745" s="220"/>
      <c r="J745" s="220"/>
      <c r="K745" s="220"/>
      <c r="L745" s="220"/>
      <c r="M745" s="220"/>
      <c r="N745" s="220"/>
      <c r="O745" s="220"/>
      <c r="P745" s="220"/>
      <c r="Q745" s="220"/>
      <c r="R745" s="220"/>
      <c r="S745" s="220"/>
      <c r="T745" s="225"/>
      <c r="U745" s="226"/>
      <c r="V745" s="233"/>
    </row>
    <row r="746" customFormat="false" ht="12.75" hidden="false" customHeight="false" outlineLevel="0" collapsed="false">
      <c r="B746" s="228"/>
      <c r="C746" s="236"/>
      <c r="D746" s="219"/>
      <c r="E746" s="220"/>
      <c r="F746" s="229"/>
      <c r="G746" s="220"/>
      <c r="H746" s="220"/>
      <c r="I746" s="220"/>
      <c r="J746" s="220"/>
      <c r="K746" s="220"/>
      <c r="L746" s="220"/>
      <c r="M746" s="220"/>
      <c r="N746" s="220"/>
      <c r="O746" s="220"/>
      <c r="P746" s="220"/>
      <c r="Q746" s="220"/>
      <c r="R746" s="220"/>
      <c r="S746" s="220"/>
      <c r="T746" s="225"/>
      <c r="U746" s="226"/>
      <c r="V746" s="233"/>
    </row>
    <row r="747" customFormat="false" ht="12.75" hidden="false" customHeight="false" outlineLevel="0" collapsed="false">
      <c r="B747" s="228"/>
      <c r="C747" s="236"/>
      <c r="D747" s="219"/>
      <c r="E747" s="220"/>
      <c r="F747" s="229"/>
      <c r="G747" s="220"/>
      <c r="H747" s="220"/>
      <c r="I747" s="220"/>
      <c r="J747" s="220"/>
      <c r="K747" s="220"/>
      <c r="L747" s="220"/>
      <c r="M747" s="220"/>
      <c r="N747" s="220"/>
      <c r="O747" s="220"/>
      <c r="P747" s="220"/>
      <c r="Q747" s="220"/>
      <c r="R747" s="220"/>
      <c r="S747" s="220"/>
      <c r="T747" s="225"/>
      <c r="U747" s="226"/>
      <c r="V747" s="233"/>
    </row>
    <row r="748" customFormat="false" ht="12.75" hidden="false" customHeight="false" outlineLevel="0" collapsed="false">
      <c r="B748" s="228"/>
      <c r="C748" s="236"/>
      <c r="D748" s="219"/>
      <c r="E748" s="220"/>
      <c r="F748" s="229"/>
      <c r="G748" s="220"/>
      <c r="H748" s="220"/>
      <c r="I748" s="220"/>
      <c r="J748" s="220"/>
      <c r="K748" s="220"/>
      <c r="L748" s="220"/>
      <c r="M748" s="220"/>
      <c r="N748" s="220"/>
      <c r="O748" s="220"/>
      <c r="P748" s="220"/>
      <c r="Q748" s="220"/>
      <c r="R748" s="220"/>
      <c r="S748" s="220"/>
      <c r="T748" s="225"/>
      <c r="U748" s="226"/>
      <c r="V748" s="233"/>
    </row>
    <row r="749" customFormat="false" ht="12.75" hidden="false" customHeight="false" outlineLevel="0" collapsed="false">
      <c r="B749" s="228"/>
      <c r="C749" s="236"/>
      <c r="D749" s="219"/>
      <c r="E749" s="220"/>
      <c r="F749" s="229"/>
      <c r="G749" s="220"/>
      <c r="H749" s="220"/>
      <c r="I749" s="220"/>
      <c r="J749" s="220"/>
      <c r="K749" s="220"/>
      <c r="L749" s="220"/>
      <c r="M749" s="220"/>
      <c r="N749" s="220"/>
      <c r="O749" s="220"/>
      <c r="P749" s="220"/>
      <c r="Q749" s="220"/>
      <c r="R749" s="220"/>
      <c r="S749" s="220"/>
      <c r="T749" s="225"/>
      <c r="U749" s="226"/>
      <c r="V749" s="233"/>
    </row>
    <row r="750" customFormat="false" ht="12.75" hidden="false" customHeight="false" outlineLevel="0" collapsed="false">
      <c r="B750" s="228"/>
      <c r="C750" s="236"/>
      <c r="D750" s="219"/>
      <c r="E750" s="220"/>
      <c r="F750" s="229"/>
      <c r="G750" s="220"/>
      <c r="H750" s="220"/>
      <c r="I750" s="220"/>
      <c r="J750" s="220"/>
      <c r="K750" s="220"/>
      <c r="L750" s="220"/>
      <c r="M750" s="220"/>
      <c r="N750" s="220"/>
      <c r="O750" s="220"/>
      <c r="P750" s="220"/>
      <c r="Q750" s="220"/>
      <c r="R750" s="220"/>
      <c r="S750" s="220"/>
      <c r="T750" s="225"/>
      <c r="U750" s="226"/>
      <c r="V750" s="233"/>
    </row>
    <row r="751" customFormat="false" ht="12.75" hidden="false" customHeight="false" outlineLevel="0" collapsed="false">
      <c r="B751" s="228"/>
      <c r="C751" s="236"/>
      <c r="D751" s="219"/>
      <c r="E751" s="220"/>
      <c r="F751" s="229"/>
      <c r="G751" s="220"/>
      <c r="H751" s="220"/>
      <c r="I751" s="220"/>
      <c r="J751" s="220"/>
      <c r="K751" s="220"/>
      <c r="L751" s="220"/>
      <c r="M751" s="220"/>
      <c r="N751" s="220"/>
      <c r="O751" s="220"/>
      <c r="P751" s="220"/>
      <c r="Q751" s="220"/>
      <c r="R751" s="220"/>
      <c r="S751" s="220"/>
      <c r="T751" s="225"/>
      <c r="U751" s="226"/>
      <c r="V751" s="233"/>
    </row>
    <row r="752" customFormat="false" ht="12.75" hidden="false" customHeight="false" outlineLevel="0" collapsed="false">
      <c r="B752" s="228"/>
      <c r="C752" s="236"/>
      <c r="D752" s="219"/>
      <c r="E752" s="220"/>
      <c r="F752" s="229"/>
      <c r="G752" s="220"/>
      <c r="H752" s="220"/>
      <c r="I752" s="220"/>
      <c r="J752" s="220"/>
      <c r="K752" s="220"/>
      <c r="L752" s="220"/>
      <c r="M752" s="220"/>
      <c r="N752" s="220"/>
      <c r="O752" s="220"/>
      <c r="P752" s="220"/>
      <c r="Q752" s="220"/>
      <c r="R752" s="220"/>
      <c r="S752" s="220"/>
      <c r="T752" s="225"/>
      <c r="U752" s="226"/>
      <c r="V752" s="233"/>
    </row>
    <row r="753" customFormat="false" ht="12.75" hidden="false" customHeight="false" outlineLevel="0" collapsed="false">
      <c r="B753" s="228"/>
      <c r="C753" s="236"/>
      <c r="D753" s="219"/>
      <c r="E753" s="220"/>
      <c r="F753" s="229"/>
      <c r="G753" s="220"/>
      <c r="H753" s="220"/>
      <c r="I753" s="220"/>
      <c r="J753" s="220"/>
      <c r="K753" s="220"/>
      <c r="L753" s="220"/>
      <c r="M753" s="220"/>
      <c r="N753" s="220"/>
      <c r="O753" s="220"/>
      <c r="P753" s="220"/>
      <c r="Q753" s="220"/>
      <c r="R753" s="220"/>
      <c r="S753" s="220"/>
      <c r="T753" s="225"/>
      <c r="U753" s="226"/>
      <c r="V753" s="233"/>
    </row>
    <row r="754" customFormat="false" ht="12.75" hidden="false" customHeight="false" outlineLevel="0" collapsed="false">
      <c r="B754" s="228"/>
      <c r="C754" s="236"/>
      <c r="D754" s="219"/>
      <c r="E754" s="220"/>
      <c r="F754" s="229"/>
      <c r="G754" s="220"/>
      <c r="H754" s="220"/>
      <c r="I754" s="220"/>
      <c r="J754" s="220"/>
      <c r="K754" s="220"/>
      <c r="L754" s="220"/>
      <c r="M754" s="220"/>
      <c r="N754" s="220"/>
      <c r="O754" s="220"/>
      <c r="P754" s="220"/>
      <c r="Q754" s="220"/>
      <c r="R754" s="220"/>
      <c r="S754" s="220"/>
      <c r="T754" s="225"/>
      <c r="U754" s="226"/>
      <c r="V754" s="233"/>
    </row>
    <row r="755" customFormat="false" ht="12.75" hidden="false" customHeight="false" outlineLevel="0" collapsed="false">
      <c r="B755" s="228"/>
      <c r="C755" s="236"/>
      <c r="D755" s="219"/>
      <c r="E755" s="220"/>
      <c r="F755" s="229"/>
      <c r="G755" s="220"/>
      <c r="H755" s="220"/>
      <c r="I755" s="220"/>
      <c r="J755" s="220"/>
      <c r="K755" s="220"/>
      <c r="L755" s="220"/>
      <c r="M755" s="220"/>
      <c r="N755" s="220"/>
      <c r="O755" s="220"/>
      <c r="P755" s="220"/>
      <c r="Q755" s="220"/>
      <c r="R755" s="220"/>
      <c r="S755" s="220"/>
      <c r="T755" s="225"/>
      <c r="U755" s="226"/>
      <c r="V755" s="233"/>
    </row>
    <row r="756" customFormat="false" ht="12.75" hidden="false" customHeight="false" outlineLevel="0" collapsed="false">
      <c r="B756" s="228"/>
      <c r="C756" s="236"/>
      <c r="D756" s="219"/>
      <c r="E756" s="220"/>
      <c r="F756" s="229"/>
      <c r="G756" s="220"/>
      <c r="H756" s="220"/>
      <c r="I756" s="220"/>
      <c r="J756" s="220"/>
      <c r="K756" s="220"/>
      <c r="L756" s="220"/>
      <c r="M756" s="220"/>
      <c r="N756" s="220"/>
      <c r="O756" s="220"/>
      <c r="P756" s="220"/>
      <c r="Q756" s="220"/>
      <c r="R756" s="220"/>
      <c r="S756" s="220"/>
      <c r="T756" s="225"/>
      <c r="U756" s="226"/>
      <c r="V756" s="233"/>
    </row>
    <row r="757" customFormat="false" ht="12.75" hidden="false" customHeight="false" outlineLevel="0" collapsed="false">
      <c r="B757" s="228"/>
      <c r="C757" s="229"/>
      <c r="D757" s="219"/>
      <c r="E757" s="220"/>
      <c r="F757" s="229"/>
      <c r="G757" s="220"/>
      <c r="H757" s="220"/>
      <c r="I757" s="220"/>
      <c r="J757" s="220"/>
      <c r="K757" s="220"/>
      <c r="L757" s="220"/>
      <c r="M757" s="220"/>
      <c r="N757" s="220"/>
      <c r="O757" s="220"/>
      <c r="P757" s="220"/>
      <c r="Q757" s="220"/>
      <c r="R757" s="220"/>
      <c r="S757" s="220"/>
      <c r="T757" s="225"/>
      <c r="U757" s="226"/>
      <c r="V757" s="253"/>
    </row>
    <row r="758" customFormat="false" ht="12.75" hidden="false" customHeight="false" outlineLevel="0" collapsed="false">
      <c r="B758" s="228"/>
      <c r="C758" s="229"/>
      <c r="D758" s="219"/>
      <c r="E758" s="220"/>
      <c r="F758" s="229"/>
      <c r="G758" s="220"/>
      <c r="H758" s="220"/>
      <c r="I758" s="220"/>
      <c r="J758" s="220"/>
      <c r="K758" s="220"/>
      <c r="L758" s="220"/>
      <c r="M758" s="220"/>
      <c r="N758" s="220"/>
      <c r="O758" s="220"/>
      <c r="P758" s="220"/>
      <c r="Q758" s="220"/>
      <c r="R758" s="220"/>
      <c r="S758" s="220"/>
      <c r="T758" s="225"/>
      <c r="U758" s="226"/>
      <c r="V758" s="253"/>
    </row>
    <row r="759" customFormat="false" ht="12.75" hidden="false" customHeight="false" outlineLevel="0" collapsed="false">
      <c r="B759" s="228"/>
      <c r="C759" s="229"/>
      <c r="D759" s="219"/>
      <c r="E759" s="220"/>
      <c r="F759" s="229"/>
      <c r="G759" s="220"/>
      <c r="H759" s="220"/>
      <c r="I759" s="220"/>
      <c r="J759" s="220"/>
      <c r="K759" s="220"/>
      <c r="L759" s="220"/>
      <c r="M759" s="220"/>
      <c r="N759" s="220"/>
      <c r="O759" s="220"/>
      <c r="P759" s="220"/>
      <c r="Q759" s="220"/>
      <c r="R759" s="220"/>
      <c r="S759" s="220"/>
      <c r="T759" s="225"/>
      <c r="U759" s="226"/>
      <c r="V759" s="253"/>
    </row>
    <row r="760" customFormat="false" ht="12.75" hidden="false" customHeight="false" outlineLevel="0" collapsed="false">
      <c r="B760" s="228"/>
      <c r="C760" s="229"/>
      <c r="D760" s="219"/>
      <c r="E760" s="220"/>
      <c r="F760" s="229"/>
      <c r="G760" s="220"/>
      <c r="H760" s="220"/>
      <c r="I760" s="220"/>
      <c r="J760" s="220"/>
      <c r="K760" s="220"/>
      <c r="L760" s="220"/>
      <c r="M760" s="220"/>
      <c r="N760" s="220"/>
      <c r="O760" s="220"/>
      <c r="P760" s="220"/>
      <c r="Q760" s="220"/>
      <c r="R760" s="220"/>
      <c r="S760" s="220"/>
      <c r="T760" s="225"/>
      <c r="U760" s="226"/>
      <c r="V760" s="253"/>
    </row>
    <row r="761" customFormat="false" ht="12.75" hidden="false" customHeight="false" outlineLevel="0" collapsed="false">
      <c r="B761" s="228"/>
      <c r="C761" s="229"/>
      <c r="D761" s="219"/>
      <c r="E761" s="220"/>
      <c r="F761" s="229"/>
      <c r="G761" s="220"/>
      <c r="H761" s="220"/>
      <c r="I761" s="220"/>
      <c r="J761" s="220"/>
      <c r="K761" s="220"/>
      <c r="L761" s="220"/>
      <c r="M761" s="220"/>
      <c r="N761" s="220"/>
      <c r="O761" s="220"/>
      <c r="P761" s="220"/>
      <c r="Q761" s="220"/>
      <c r="R761" s="220"/>
      <c r="S761" s="220"/>
      <c r="T761" s="225"/>
      <c r="U761" s="226"/>
      <c r="V761" s="253"/>
    </row>
    <row r="762" customFormat="false" ht="12.75" hidden="false" customHeight="false" outlineLevel="0" collapsed="false">
      <c r="B762" s="228"/>
      <c r="C762" s="229"/>
      <c r="D762" s="219"/>
      <c r="E762" s="220"/>
      <c r="F762" s="229"/>
      <c r="G762" s="220"/>
      <c r="H762" s="220"/>
      <c r="I762" s="220"/>
      <c r="J762" s="220"/>
      <c r="K762" s="220"/>
      <c r="L762" s="220"/>
      <c r="M762" s="220"/>
      <c r="N762" s="220"/>
      <c r="O762" s="220"/>
      <c r="P762" s="220"/>
      <c r="Q762" s="220"/>
      <c r="R762" s="220"/>
      <c r="S762" s="220"/>
      <c r="T762" s="225"/>
      <c r="U762" s="226"/>
      <c r="V762" s="253"/>
    </row>
    <row r="763" customFormat="false" ht="12.75" hidden="false" customHeight="false" outlineLevel="0" collapsed="false">
      <c r="B763" s="228"/>
      <c r="C763" s="229"/>
      <c r="D763" s="219"/>
      <c r="E763" s="220"/>
      <c r="F763" s="229"/>
      <c r="G763" s="220"/>
      <c r="H763" s="220"/>
      <c r="I763" s="220"/>
      <c r="J763" s="220"/>
      <c r="K763" s="220"/>
      <c r="L763" s="220"/>
      <c r="M763" s="220"/>
      <c r="N763" s="220"/>
      <c r="O763" s="220"/>
      <c r="P763" s="220"/>
      <c r="Q763" s="220"/>
      <c r="R763" s="220"/>
      <c r="S763" s="220"/>
      <c r="T763" s="225"/>
      <c r="U763" s="226"/>
      <c r="V763" s="253"/>
    </row>
    <row r="764" customFormat="false" ht="12.75" hidden="false" customHeight="false" outlineLevel="0" collapsed="false">
      <c r="B764" s="228"/>
      <c r="C764" s="229"/>
      <c r="D764" s="219"/>
      <c r="E764" s="220"/>
      <c r="F764" s="229"/>
      <c r="G764" s="220"/>
      <c r="H764" s="220"/>
      <c r="I764" s="220"/>
      <c r="J764" s="220"/>
      <c r="K764" s="220"/>
      <c r="L764" s="220"/>
      <c r="M764" s="220"/>
      <c r="N764" s="220"/>
      <c r="O764" s="220"/>
      <c r="P764" s="220"/>
      <c r="Q764" s="220"/>
      <c r="R764" s="220"/>
      <c r="S764" s="220"/>
      <c r="T764" s="225"/>
      <c r="U764" s="226"/>
      <c r="V764" s="253"/>
    </row>
    <row r="765" customFormat="false" ht="12.75" hidden="false" customHeight="false" outlineLevel="0" collapsed="false">
      <c r="B765" s="228"/>
      <c r="C765" s="229"/>
      <c r="D765" s="219"/>
      <c r="E765" s="220"/>
      <c r="F765" s="229"/>
      <c r="G765" s="220"/>
      <c r="H765" s="220"/>
      <c r="I765" s="220"/>
      <c r="J765" s="220"/>
      <c r="K765" s="220"/>
      <c r="L765" s="220"/>
      <c r="M765" s="220"/>
      <c r="N765" s="220"/>
      <c r="O765" s="220"/>
      <c r="P765" s="220"/>
      <c r="Q765" s="220"/>
      <c r="R765" s="220"/>
      <c r="S765" s="220"/>
      <c r="T765" s="225"/>
      <c r="U765" s="226"/>
      <c r="V765" s="253"/>
    </row>
    <row r="766" customFormat="false" ht="12.75" hidden="false" customHeight="false" outlineLevel="0" collapsed="false">
      <c r="B766" s="228"/>
      <c r="C766" s="229"/>
      <c r="D766" s="219"/>
      <c r="E766" s="220"/>
      <c r="F766" s="229"/>
      <c r="G766" s="220"/>
      <c r="H766" s="220"/>
      <c r="I766" s="220"/>
      <c r="J766" s="220"/>
      <c r="K766" s="220"/>
      <c r="L766" s="220"/>
      <c r="M766" s="220"/>
      <c r="N766" s="220"/>
      <c r="O766" s="220"/>
      <c r="P766" s="220"/>
      <c r="Q766" s="220"/>
      <c r="R766" s="220"/>
      <c r="S766" s="220"/>
      <c r="T766" s="225"/>
      <c r="U766" s="226"/>
      <c r="V766" s="253"/>
    </row>
    <row r="767" customFormat="false" ht="12.75" hidden="false" customHeight="false" outlineLevel="0" collapsed="false">
      <c r="B767" s="228"/>
      <c r="C767" s="229"/>
      <c r="D767" s="219"/>
      <c r="E767" s="220"/>
      <c r="F767" s="229"/>
      <c r="G767" s="220"/>
      <c r="H767" s="220"/>
      <c r="I767" s="220"/>
      <c r="J767" s="220"/>
      <c r="K767" s="220"/>
      <c r="L767" s="220"/>
      <c r="M767" s="220"/>
      <c r="N767" s="220"/>
      <c r="O767" s="220"/>
      <c r="P767" s="220"/>
      <c r="Q767" s="220"/>
      <c r="R767" s="220"/>
      <c r="S767" s="220"/>
      <c r="T767" s="225"/>
      <c r="U767" s="226"/>
      <c r="V767" s="253"/>
    </row>
    <row r="768" customFormat="false" ht="12.75" hidden="false" customHeight="false" outlineLevel="0" collapsed="false">
      <c r="B768" s="228"/>
      <c r="C768" s="229"/>
      <c r="D768" s="219"/>
      <c r="E768" s="220"/>
      <c r="F768" s="229"/>
      <c r="G768" s="220"/>
      <c r="H768" s="220"/>
      <c r="I768" s="220"/>
      <c r="J768" s="220"/>
      <c r="K768" s="220"/>
      <c r="L768" s="220"/>
      <c r="M768" s="220"/>
      <c r="N768" s="220"/>
      <c r="O768" s="220"/>
      <c r="P768" s="220"/>
      <c r="Q768" s="220"/>
      <c r="R768" s="220"/>
      <c r="S768" s="220"/>
      <c r="T768" s="225"/>
      <c r="U768" s="226"/>
      <c r="V768" s="253"/>
    </row>
    <row r="769" customFormat="false" ht="12.75" hidden="false" customHeight="false" outlineLevel="0" collapsed="false">
      <c r="B769" s="228"/>
      <c r="C769" s="229"/>
      <c r="D769" s="219"/>
      <c r="E769" s="220"/>
      <c r="F769" s="229"/>
      <c r="G769" s="220"/>
      <c r="H769" s="220"/>
      <c r="I769" s="220"/>
      <c r="J769" s="220"/>
      <c r="K769" s="220"/>
      <c r="L769" s="220"/>
      <c r="M769" s="220"/>
      <c r="N769" s="220"/>
      <c r="O769" s="220"/>
      <c r="P769" s="220"/>
      <c r="Q769" s="220"/>
      <c r="R769" s="220"/>
      <c r="S769" s="220"/>
      <c r="T769" s="225"/>
      <c r="U769" s="226"/>
      <c r="V769" s="253"/>
    </row>
    <row r="770" customFormat="false" ht="12.75" hidden="false" customHeight="false" outlineLevel="0" collapsed="false">
      <c r="B770" s="228"/>
      <c r="C770" s="229"/>
      <c r="D770" s="219"/>
      <c r="E770" s="220"/>
      <c r="F770" s="229"/>
      <c r="G770" s="220"/>
      <c r="H770" s="220"/>
      <c r="I770" s="220"/>
      <c r="J770" s="220"/>
      <c r="K770" s="220"/>
      <c r="L770" s="220"/>
      <c r="M770" s="220"/>
      <c r="N770" s="220"/>
      <c r="O770" s="220"/>
      <c r="P770" s="220"/>
      <c r="Q770" s="220"/>
      <c r="R770" s="220"/>
      <c r="S770" s="220"/>
      <c r="T770" s="225"/>
      <c r="U770" s="226"/>
      <c r="V770" s="253"/>
    </row>
    <row r="771" customFormat="false" ht="12.75" hidden="false" customHeight="false" outlineLevel="0" collapsed="false">
      <c r="B771" s="228"/>
      <c r="C771" s="229"/>
      <c r="D771" s="219"/>
      <c r="E771" s="220"/>
      <c r="F771" s="229"/>
      <c r="G771" s="220"/>
      <c r="H771" s="220"/>
      <c r="I771" s="220"/>
      <c r="J771" s="220"/>
      <c r="K771" s="220"/>
      <c r="L771" s="220"/>
      <c r="M771" s="220"/>
      <c r="N771" s="220"/>
      <c r="O771" s="220"/>
      <c r="P771" s="220"/>
      <c r="Q771" s="220"/>
      <c r="R771" s="220"/>
      <c r="S771" s="220"/>
      <c r="T771" s="225"/>
      <c r="U771" s="226"/>
      <c r="V771" s="253"/>
    </row>
    <row r="772" customFormat="false" ht="12.75" hidden="false" customHeight="false" outlineLevel="0" collapsed="false">
      <c r="B772" s="228"/>
      <c r="C772" s="229"/>
      <c r="D772" s="219"/>
      <c r="E772" s="220"/>
      <c r="F772" s="229"/>
      <c r="G772" s="220"/>
      <c r="H772" s="220"/>
      <c r="I772" s="220"/>
      <c r="J772" s="220"/>
      <c r="K772" s="220"/>
      <c r="L772" s="220"/>
      <c r="M772" s="220"/>
      <c r="N772" s="220"/>
      <c r="O772" s="220"/>
      <c r="P772" s="220"/>
      <c r="Q772" s="220"/>
      <c r="R772" s="220"/>
      <c r="S772" s="220"/>
      <c r="T772" s="225"/>
      <c r="U772" s="226"/>
      <c r="V772" s="253"/>
    </row>
    <row r="773" customFormat="false" ht="12.75" hidden="false" customHeight="false" outlineLevel="0" collapsed="false">
      <c r="B773" s="228"/>
      <c r="C773" s="229"/>
      <c r="D773" s="219"/>
      <c r="E773" s="220"/>
      <c r="F773" s="229"/>
      <c r="G773" s="220"/>
      <c r="H773" s="220"/>
      <c r="I773" s="220"/>
      <c r="J773" s="220"/>
      <c r="K773" s="220"/>
      <c r="L773" s="220"/>
      <c r="M773" s="220"/>
      <c r="N773" s="220"/>
      <c r="O773" s="220"/>
      <c r="P773" s="220"/>
      <c r="Q773" s="220"/>
      <c r="R773" s="220"/>
      <c r="S773" s="220"/>
      <c r="T773" s="225"/>
      <c r="U773" s="226"/>
      <c r="V773" s="253"/>
    </row>
    <row r="774" customFormat="false" ht="12.75" hidden="false" customHeight="false" outlineLevel="0" collapsed="false">
      <c r="B774" s="228"/>
      <c r="C774" s="229"/>
      <c r="D774" s="219"/>
      <c r="E774" s="220"/>
      <c r="F774" s="229"/>
      <c r="G774" s="220"/>
      <c r="H774" s="220"/>
      <c r="I774" s="220"/>
      <c r="J774" s="220"/>
      <c r="K774" s="220"/>
      <c r="L774" s="220"/>
      <c r="M774" s="220"/>
      <c r="N774" s="220"/>
      <c r="O774" s="220"/>
      <c r="P774" s="220"/>
      <c r="Q774" s="220"/>
      <c r="R774" s="220"/>
      <c r="S774" s="220"/>
      <c r="T774" s="225"/>
      <c r="U774" s="226"/>
      <c r="V774" s="253"/>
    </row>
    <row r="775" customFormat="false" ht="12.75" hidden="false" customHeight="false" outlineLevel="0" collapsed="false">
      <c r="B775" s="228"/>
      <c r="C775" s="229"/>
      <c r="D775" s="219"/>
      <c r="E775" s="220"/>
      <c r="F775" s="229"/>
      <c r="G775" s="220"/>
      <c r="H775" s="220"/>
      <c r="I775" s="220"/>
      <c r="J775" s="220"/>
      <c r="K775" s="220"/>
      <c r="L775" s="220"/>
      <c r="M775" s="220"/>
      <c r="N775" s="220"/>
      <c r="O775" s="220"/>
      <c r="P775" s="220"/>
      <c r="Q775" s="220"/>
      <c r="R775" s="220"/>
      <c r="S775" s="220"/>
      <c r="T775" s="225"/>
      <c r="U775" s="226"/>
      <c r="V775" s="253"/>
    </row>
    <row r="776" customFormat="false" ht="12.75" hidden="false" customHeight="false" outlineLevel="0" collapsed="false">
      <c r="B776" s="228"/>
      <c r="C776" s="229"/>
      <c r="D776" s="219"/>
      <c r="E776" s="220"/>
      <c r="F776" s="229"/>
      <c r="G776" s="220"/>
      <c r="H776" s="220"/>
      <c r="I776" s="220"/>
      <c r="J776" s="220"/>
      <c r="K776" s="220"/>
      <c r="L776" s="220"/>
      <c r="M776" s="220"/>
      <c r="N776" s="220"/>
      <c r="O776" s="220"/>
      <c r="P776" s="220"/>
      <c r="Q776" s="220"/>
      <c r="R776" s="220"/>
      <c r="S776" s="220"/>
      <c r="T776" s="225"/>
      <c r="U776" s="226"/>
      <c r="V776" s="253"/>
    </row>
    <row r="777" customFormat="false" ht="12.75" hidden="false" customHeight="false" outlineLevel="0" collapsed="false">
      <c r="B777" s="228"/>
      <c r="C777" s="229"/>
      <c r="D777" s="219"/>
      <c r="E777" s="220"/>
      <c r="F777" s="229"/>
      <c r="G777" s="220"/>
      <c r="H777" s="220"/>
      <c r="I777" s="220"/>
      <c r="J777" s="220"/>
      <c r="K777" s="220"/>
      <c r="L777" s="220"/>
      <c r="M777" s="220"/>
      <c r="N777" s="220"/>
      <c r="O777" s="220"/>
      <c r="P777" s="220"/>
      <c r="Q777" s="220"/>
      <c r="R777" s="220"/>
      <c r="S777" s="220"/>
      <c r="T777" s="225"/>
      <c r="U777" s="226"/>
      <c r="V777" s="253"/>
    </row>
    <row r="778" customFormat="false" ht="12.75" hidden="false" customHeight="false" outlineLevel="0" collapsed="false">
      <c r="B778" s="228"/>
      <c r="C778" s="229"/>
      <c r="D778" s="219"/>
      <c r="E778" s="220"/>
      <c r="F778" s="229"/>
      <c r="G778" s="220"/>
      <c r="H778" s="220"/>
      <c r="I778" s="220"/>
      <c r="J778" s="220"/>
      <c r="K778" s="220"/>
      <c r="L778" s="220"/>
      <c r="M778" s="220"/>
      <c r="N778" s="220"/>
      <c r="O778" s="220"/>
      <c r="P778" s="220"/>
      <c r="Q778" s="220"/>
      <c r="R778" s="220"/>
      <c r="S778" s="220"/>
      <c r="T778" s="225"/>
      <c r="U778" s="226"/>
      <c r="V778" s="253"/>
    </row>
    <row r="779" customFormat="false" ht="12.75" hidden="false" customHeight="false" outlineLevel="0" collapsed="false">
      <c r="B779" s="228"/>
      <c r="C779" s="229"/>
      <c r="D779" s="219"/>
      <c r="E779" s="220"/>
      <c r="F779" s="229"/>
      <c r="G779" s="220"/>
      <c r="H779" s="220"/>
      <c r="I779" s="220"/>
      <c r="J779" s="220"/>
      <c r="K779" s="220"/>
      <c r="L779" s="220"/>
      <c r="M779" s="220"/>
      <c r="N779" s="220"/>
      <c r="O779" s="220"/>
      <c r="P779" s="220"/>
      <c r="Q779" s="220"/>
      <c r="R779" s="220"/>
      <c r="S779" s="220"/>
      <c r="T779" s="225"/>
      <c r="U779" s="226"/>
      <c r="V779" s="253"/>
    </row>
    <row r="780" customFormat="false" ht="12.75" hidden="false" customHeight="false" outlineLevel="0" collapsed="false">
      <c r="B780" s="228"/>
      <c r="C780" s="229"/>
      <c r="D780" s="219"/>
      <c r="E780" s="220"/>
      <c r="F780" s="229"/>
      <c r="G780" s="220"/>
      <c r="H780" s="220"/>
      <c r="I780" s="220"/>
      <c r="J780" s="220"/>
      <c r="K780" s="220"/>
      <c r="L780" s="220"/>
      <c r="M780" s="220"/>
      <c r="N780" s="220"/>
      <c r="O780" s="220"/>
      <c r="P780" s="220"/>
      <c r="Q780" s="220"/>
      <c r="R780" s="220"/>
      <c r="S780" s="220"/>
      <c r="T780" s="225"/>
      <c r="U780" s="226"/>
      <c r="V780" s="253"/>
    </row>
    <row r="781" customFormat="false" ht="12.75" hidden="false" customHeight="false" outlineLevel="0" collapsed="false">
      <c r="B781" s="228"/>
      <c r="C781" s="229"/>
      <c r="D781" s="219"/>
      <c r="E781" s="220"/>
      <c r="F781" s="229"/>
      <c r="G781" s="220"/>
      <c r="H781" s="220"/>
      <c r="I781" s="220"/>
      <c r="J781" s="220"/>
      <c r="K781" s="220"/>
      <c r="L781" s="220"/>
      <c r="M781" s="220"/>
      <c r="N781" s="220"/>
      <c r="O781" s="220"/>
      <c r="P781" s="220"/>
      <c r="Q781" s="220"/>
      <c r="R781" s="220"/>
      <c r="S781" s="220"/>
      <c r="T781" s="225"/>
      <c r="U781" s="226"/>
      <c r="V781" s="253"/>
    </row>
    <row r="782" customFormat="false" ht="12.75" hidden="false" customHeight="false" outlineLevel="0" collapsed="false">
      <c r="B782" s="228"/>
      <c r="C782" s="229"/>
      <c r="D782" s="219"/>
      <c r="E782" s="220"/>
      <c r="F782" s="229"/>
      <c r="G782" s="220"/>
      <c r="H782" s="220"/>
      <c r="I782" s="220"/>
      <c r="J782" s="220"/>
      <c r="K782" s="220"/>
      <c r="L782" s="220"/>
      <c r="M782" s="220"/>
      <c r="N782" s="220"/>
      <c r="O782" s="220"/>
      <c r="P782" s="220"/>
      <c r="Q782" s="220"/>
      <c r="R782" s="220"/>
      <c r="S782" s="220"/>
      <c r="T782" s="225"/>
      <c r="U782" s="226"/>
      <c r="V782" s="253"/>
    </row>
    <row r="783" customFormat="false" ht="12.75" hidden="false" customHeight="false" outlineLevel="0" collapsed="false">
      <c r="B783" s="228"/>
      <c r="C783" s="229"/>
      <c r="D783" s="219"/>
      <c r="E783" s="220"/>
      <c r="F783" s="229"/>
      <c r="G783" s="220"/>
      <c r="H783" s="220"/>
      <c r="I783" s="220"/>
      <c r="J783" s="220"/>
      <c r="K783" s="220"/>
      <c r="L783" s="220"/>
      <c r="M783" s="220"/>
      <c r="N783" s="220"/>
      <c r="O783" s="220"/>
      <c r="P783" s="220"/>
      <c r="Q783" s="220"/>
      <c r="R783" s="220"/>
      <c r="S783" s="220"/>
      <c r="T783" s="225"/>
      <c r="U783" s="226"/>
      <c r="V783" s="253"/>
    </row>
    <row r="784" customFormat="false" ht="12.75" hidden="false" customHeight="false" outlineLevel="0" collapsed="false">
      <c r="B784" s="228"/>
      <c r="C784" s="229"/>
      <c r="D784" s="219"/>
      <c r="E784" s="220"/>
      <c r="F784" s="229"/>
      <c r="G784" s="220"/>
      <c r="H784" s="220"/>
      <c r="I784" s="220"/>
      <c r="J784" s="220"/>
      <c r="K784" s="220"/>
      <c r="L784" s="220"/>
      <c r="M784" s="220"/>
      <c r="N784" s="220"/>
      <c r="O784" s="220"/>
      <c r="P784" s="220"/>
      <c r="Q784" s="220"/>
      <c r="R784" s="220"/>
      <c r="S784" s="220"/>
      <c r="T784" s="225"/>
      <c r="U784" s="226"/>
      <c r="V784" s="253"/>
    </row>
    <row r="785" customFormat="false" ht="12.75" hidden="false" customHeight="false" outlineLevel="0" collapsed="false">
      <c r="B785" s="228"/>
      <c r="C785" s="229"/>
      <c r="D785" s="219"/>
      <c r="E785" s="220"/>
      <c r="F785" s="229"/>
      <c r="G785" s="220"/>
      <c r="H785" s="220"/>
      <c r="I785" s="220"/>
      <c r="J785" s="220"/>
      <c r="K785" s="220"/>
      <c r="L785" s="220"/>
      <c r="M785" s="220"/>
      <c r="N785" s="220"/>
      <c r="O785" s="220"/>
      <c r="P785" s="220"/>
      <c r="Q785" s="220"/>
      <c r="R785" s="220"/>
      <c r="S785" s="220"/>
      <c r="T785" s="225"/>
      <c r="U785" s="226"/>
      <c r="V785" s="253"/>
    </row>
    <row r="786" customFormat="false" ht="12.75" hidden="false" customHeight="false" outlineLevel="0" collapsed="false">
      <c r="B786" s="228"/>
      <c r="C786" s="229"/>
      <c r="D786" s="219"/>
      <c r="E786" s="220"/>
      <c r="F786" s="229"/>
      <c r="G786" s="220"/>
      <c r="H786" s="220"/>
      <c r="I786" s="220"/>
      <c r="J786" s="220"/>
      <c r="K786" s="220"/>
      <c r="L786" s="220"/>
      <c r="M786" s="220"/>
      <c r="N786" s="220"/>
      <c r="O786" s="220"/>
      <c r="P786" s="220"/>
      <c r="Q786" s="220"/>
      <c r="R786" s="220"/>
      <c r="S786" s="220"/>
      <c r="T786" s="225"/>
      <c r="U786" s="226"/>
      <c r="V786" s="253"/>
    </row>
    <row r="787" customFormat="false" ht="12.75" hidden="false" customHeight="false" outlineLevel="0" collapsed="false">
      <c r="B787" s="228"/>
      <c r="C787" s="229"/>
      <c r="D787" s="219"/>
      <c r="E787" s="220"/>
      <c r="F787" s="229"/>
      <c r="G787" s="220"/>
      <c r="H787" s="220"/>
      <c r="I787" s="220"/>
      <c r="J787" s="220"/>
      <c r="K787" s="220"/>
      <c r="L787" s="220"/>
      <c r="M787" s="220"/>
      <c r="N787" s="220"/>
      <c r="O787" s="220"/>
      <c r="P787" s="220"/>
      <c r="Q787" s="220"/>
      <c r="R787" s="220"/>
      <c r="S787" s="220"/>
      <c r="T787" s="225"/>
      <c r="U787" s="226"/>
      <c r="V787" s="253"/>
    </row>
    <row r="788" customFormat="false" ht="12.75" hidden="false" customHeight="false" outlineLevel="0" collapsed="false">
      <c r="B788" s="228"/>
      <c r="C788" s="229"/>
      <c r="D788" s="219"/>
      <c r="E788" s="220"/>
      <c r="F788" s="229"/>
      <c r="G788" s="220"/>
      <c r="H788" s="220"/>
      <c r="I788" s="220"/>
      <c r="J788" s="220"/>
      <c r="K788" s="220"/>
      <c r="L788" s="220"/>
      <c r="M788" s="220"/>
      <c r="N788" s="220"/>
      <c r="O788" s="220"/>
      <c r="P788" s="220"/>
      <c r="Q788" s="220"/>
      <c r="R788" s="220"/>
      <c r="S788" s="220"/>
      <c r="T788" s="225"/>
      <c r="U788" s="226"/>
      <c r="V788" s="253"/>
    </row>
    <row r="789" customFormat="false" ht="12.75" hidden="false" customHeight="false" outlineLevel="0" collapsed="false">
      <c r="B789" s="228"/>
      <c r="C789" s="229"/>
      <c r="D789" s="219"/>
      <c r="E789" s="220"/>
      <c r="F789" s="229"/>
      <c r="G789" s="220"/>
      <c r="H789" s="220"/>
      <c r="I789" s="220"/>
      <c r="J789" s="220"/>
      <c r="K789" s="220"/>
      <c r="L789" s="220"/>
      <c r="M789" s="220"/>
      <c r="N789" s="220"/>
      <c r="O789" s="220"/>
      <c r="P789" s="220"/>
      <c r="Q789" s="220"/>
      <c r="R789" s="220"/>
      <c r="S789" s="220"/>
      <c r="T789" s="225"/>
      <c r="U789" s="226"/>
      <c r="V789" s="253"/>
    </row>
    <row r="790" customFormat="false" ht="12.75" hidden="false" customHeight="false" outlineLevel="0" collapsed="false">
      <c r="B790" s="228"/>
      <c r="C790" s="229"/>
      <c r="D790" s="219"/>
      <c r="E790" s="220"/>
      <c r="F790" s="229"/>
      <c r="G790" s="220"/>
      <c r="H790" s="220"/>
      <c r="I790" s="220"/>
      <c r="J790" s="220"/>
      <c r="K790" s="220"/>
      <c r="L790" s="220"/>
      <c r="M790" s="220"/>
      <c r="N790" s="220"/>
      <c r="O790" s="220"/>
      <c r="P790" s="220"/>
      <c r="Q790" s="220"/>
      <c r="R790" s="220"/>
      <c r="S790" s="220"/>
      <c r="T790" s="225"/>
      <c r="U790" s="226"/>
      <c r="V790" s="253"/>
    </row>
    <row r="791" customFormat="false" ht="12.75" hidden="false" customHeight="false" outlineLevel="0" collapsed="false">
      <c r="B791" s="228"/>
      <c r="C791" s="229"/>
      <c r="D791" s="219"/>
      <c r="E791" s="220"/>
      <c r="F791" s="229"/>
      <c r="G791" s="220"/>
      <c r="H791" s="220"/>
      <c r="I791" s="220"/>
      <c r="J791" s="220"/>
      <c r="K791" s="220"/>
      <c r="L791" s="220"/>
      <c r="M791" s="220"/>
      <c r="N791" s="220"/>
      <c r="O791" s="220"/>
      <c r="P791" s="220"/>
      <c r="Q791" s="220"/>
      <c r="R791" s="220"/>
      <c r="S791" s="220"/>
      <c r="T791" s="225"/>
      <c r="U791" s="226"/>
      <c r="V791" s="253"/>
    </row>
    <row r="792" customFormat="false" ht="12.75" hidden="false" customHeight="false" outlineLevel="0" collapsed="false">
      <c r="B792" s="228"/>
      <c r="C792" s="229"/>
      <c r="D792" s="219"/>
      <c r="E792" s="220"/>
      <c r="F792" s="229"/>
      <c r="G792" s="220"/>
      <c r="H792" s="220"/>
      <c r="I792" s="220"/>
      <c r="J792" s="220"/>
      <c r="K792" s="220"/>
      <c r="L792" s="220"/>
      <c r="M792" s="220"/>
      <c r="N792" s="220"/>
      <c r="O792" s="220"/>
      <c r="P792" s="220"/>
      <c r="Q792" s="220"/>
      <c r="R792" s="220"/>
      <c r="S792" s="220"/>
      <c r="T792" s="225"/>
      <c r="U792" s="226"/>
      <c r="V792" s="253"/>
    </row>
    <row r="793" customFormat="false" ht="12.75" hidden="false" customHeight="false" outlineLevel="0" collapsed="false">
      <c r="B793" s="228"/>
      <c r="C793" s="229"/>
      <c r="D793" s="219"/>
      <c r="E793" s="220"/>
      <c r="F793" s="229"/>
      <c r="G793" s="220"/>
      <c r="H793" s="220"/>
      <c r="I793" s="220"/>
      <c r="J793" s="220"/>
      <c r="K793" s="220"/>
      <c r="L793" s="220"/>
      <c r="M793" s="220"/>
      <c r="N793" s="220"/>
      <c r="O793" s="220"/>
      <c r="P793" s="220"/>
      <c r="Q793" s="220"/>
      <c r="R793" s="220"/>
      <c r="S793" s="220"/>
      <c r="T793" s="225"/>
      <c r="U793" s="226"/>
      <c r="V793" s="253"/>
    </row>
    <row r="794" customFormat="false" ht="12.75" hidden="false" customHeight="false" outlineLevel="0" collapsed="false">
      <c r="B794" s="228"/>
      <c r="C794" s="229"/>
      <c r="D794" s="219"/>
      <c r="E794" s="220"/>
      <c r="F794" s="229"/>
      <c r="G794" s="220"/>
      <c r="H794" s="220"/>
      <c r="I794" s="220"/>
      <c r="J794" s="220"/>
      <c r="K794" s="220"/>
      <c r="L794" s="220"/>
      <c r="M794" s="220"/>
      <c r="N794" s="220"/>
      <c r="O794" s="220"/>
      <c r="P794" s="220"/>
      <c r="Q794" s="220"/>
      <c r="R794" s="220"/>
      <c r="S794" s="220"/>
      <c r="T794" s="225"/>
      <c r="U794" s="226"/>
      <c r="V794" s="253"/>
    </row>
    <row r="795" customFormat="false" ht="12.75" hidden="false" customHeight="false" outlineLevel="0" collapsed="false">
      <c r="B795" s="228"/>
      <c r="C795" s="229"/>
      <c r="D795" s="219"/>
      <c r="E795" s="220"/>
      <c r="F795" s="229"/>
      <c r="G795" s="220"/>
      <c r="H795" s="220"/>
      <c r="I795" s="220"/>
      <c r="J795" s="220"/>
      <c r="K795" s="220"/>
      <c r="L795" s="220"/>
      <c r="M795" s="220"/>
      <c r="N795" s="220"/>
      <c r="O795" s="220"/>
      <c r="P795" s="220"/>
      <c r="Q795" s="220"/>
      <c r="R795" s="220"/>
      <c r="S795" s="220"/>
      <c r="T795" s="225"/>
      <c r="U795" s="226"/>
      <c r="V795" s="253"/>
    </row>
    <row r="796" customFormat="false" ht="12.75" hidden="false" customHeight="false" outlineLevel="0" collapsed="false">
      <c r="B796" s="228"/>
      <c r="C796" s="229"/>
      <c r="D796" s="219"/>
      <c r="E796" s="220"/>
      <c r="F796" s="229"/>
      <c r="G796" s="220"/>
      <c r="H796" s="220"/>
      <c r="I796" s="220"/>
      <c r="J796" s="220"/>
      <c r="K796" s="220"/>
      <c r="L796" s="220"/>
      <c r="M796" s="220"/>
      <c r="N796" s="220"/>
      <c r="O796" s="220"/>
      <c r="P796" s="220"/>
      <c r="Q796" s="220"/>
      <c r="R796" s="220"/>
      <c r="S796" s="220"/>
      <c r="T796" s="225"/>
      <c r="U796" s="226"/>
      <c r="V796" s="253"/>
    </row>
    <row r="797" customFormat="false" ht="12.75" hidden="false" customHeight="false" outlineLevel="0" collapsed="false">
      <c r="B797" s="228"/>
      <c r="C797" s="229"/>
      <c r="D797" s="219"/>
      <c r="E797" s="220"/>
      <c r="F797" s="229"/>
      <c r="G797" s="220"/>
      <c r="H797" s="220"/>
      <c r="I797" s="220"/>
      <c r="J797" s="220"/>
      <c r="K797" s="220"/>
      <c r="L797" s="220"/>
      <c r="M797" s="220"/>
      <c r="N797" s="220"/>
      <c r="O797" s="220"/>
      <c r="P797" s="220"/>
      <c r="Q797" s="220"/>
      <c r="R797" s="220"/>
      <c r="S797" s="220"/>
      <c r="T797" s="225"/>
      <c r="U797" s="226"/>
      <c r="V797" s="253"/>
    </row>
    <row r="798" customFormat="false" ht="12.75" hidden="false" customHeight="false" outlineLevel="0" collapsed="false">
      <c r="B798" s="228"/>
      <c r="C798" s="229"/>
      <c r="D798" s="219"/>
      <c r="E798" s="220"/>
      <c r="F798" s="229"/>
      <c r="G798" s="220"/>
      <c r="H798" s="220"/>
      <c r="I798" s="220"/>
      <c r="J798" s="220"/>
      <c r="K798" s="220"/>
      <c r="L798" s="220"/>
      <c r="M798" s="220"/>
      <c r="N798" s="220"/>
      <c r="O798" s="220"/>
      <c r="P798" s="220"/>
      <c r="Q798" s="220"/>
      <c r="R798" s="220"/>
      <c r="S798" s="220"/>
      <c r="T798" s="225"/>
      <c r="U798" s="226"/>
      <c r="V798" s="253"/>
    </row>
    <row r="799" customFormat="false" ht="12.75" hidden="false" customHeight="false" outlineLevel="0" collapsed="false">
      <c r="B799" s="228"/>
      <c r="C799" s="229"/>
      <c r="D799" s="219"/>
      <c r="E799" s="220"/>
      <c r="F799" s="229"/>
      <c r="G799" s="220"/>
      <c r="H799" s="220"/>
      <c r="I799" s="220"/>
      <c r="J799" s="220"/>
      <c r="K799" s="220"/>
      <c r="L799" s="220"/>
      <c r="M799" s="220"/>
      <c r="N799" s="220"/>
      <c r="O799" s="220"/>
      <c r="P799" s="220"/>
      <c r="Q799" s="220"/>
      <c r="R799" s="220"/>
      <c r="S799" s="220"/>
      <c r="T799" s="225"/>
      <c r="U799" s="226"/>
      <c r="V799" s="253"/>
    </row>
    <row r="800" customFormat="false" ht="12.75" hidden="false" customHeight="false" outlineLevel="0" collapsed="false">
      <c r="B800" s="228"/>
      <c r="C800" s="229"/>
      <c r="D800" s="219"/>
      <c r="E800" s="220"/>
      <c r="F800" s="229"/>
      <c r="G800" s="220"/>
      <c r="H800" s="220"/>
      <c r="I800" s="220"/>
      <c r="J800" s="220"/>
      <c r="K800" s="220"/>
      <c r="L800" s="220"/>
      <c r="M800" s="220"/>
      <c r="N800" s="220"/>
      <c r="O800" s="220"/>
      <c r="P800" s="220"/>
      <c r="Q800" s="220"/>
      <c r="R800" s="220"/>
      <c r="S800" s="220"/>
      <c r="T800" s="225"/>
      <c r="U800" s="226"/>
      <c r="V800" s="253"/>
    </row>
    <row r="801" customFormat="false" ht="12.75" hidden="false" customHeight="false" outlineLevel="0" collapsed="false">
      <c r="B801" s="228"/>
      <c r="C801" s="229"/>
      <c r="D801" s="219"/>
      <c r="E801" s="220"/>
      <c r="F801" s="229"/>
      <c r="G801" s="220"/>
      <c r="H801" s="220"/>
      <c r="I801" s="220"/>
      <c r="J801" s="220"/>
      <c r="K801" s="220"/>
      <c r="L801" s="220"/>
      <c r="M801" s="220"/>
      <c r="N801" s="220"/>
      <c r="O801" s="220"/>
      <c r="P801" s="220"/>
      <c r="Q801" s="220"/>
      <c r="R801" s="220"/>
      <c r="S801" s="220"/>
      <c r="T801" s="225"/>
      <c r="U801" s="226"/>
      <c r="V801" s="253"/>
    </row>
    <row r="802" customFormat="false" ht="12.75" hidden="false" customHeight="false" outlineLevel="0" collapsed="false">
      <c r="B802" s="228"/>
      <c r="C802" s="229"/>
      <c r="D802" s="219"/>
      <c r="E802" s="220"/>
      <c r="F802" s="229"/>
      <c r="G802" s="220"/>
      <c r="H802" s="220"/>
      <c r="I802" s="220"/>
      <c r="J802" s="220"/>
      <c r="K802" s="220"/>
      <c r="L802" s="220"/>
      <c r="M802" s="220"/>
      <c r="N802" s="220"/>
      <c r="O802" s="220"/>
      <c r="P802" s="220"/>
      <c r="Q802" s="220"/>
      <c r="R802" s="220"/>
      <c r="S802" s="220"/>
      <c r="T802" s="225"/>
      <c r="U802" s="226"/>
      <c r="V802" s="253"/>
    </row>
    <row r="803" customFormat="false" ht="12.75" hidden="false" customHeight="false" outlineLevel="0" collapsed="false">
      <c r="B803" s="228"/>
      <c r="C803" s="229"/>
      <c r="D803" s="219"/>
      <c r="E803" s="220"/>
      <c r="F803" s="229"/>
      <c r="G803" s="220"/>
      <c r="H803" s="220"/>
      <c r="I803" s="220"/>
      <c r="J803" s="220"/>
      <c r="K803" s="220"/>
      <c r="L803" s="220"/>
      <c r="M803" s="220"/>
      <c r="N803" s="220"/>
      <c r="O803" s="220"/>
      <c r="P803" s="220"/>
      <c r="Q803" s="220"/>
      <c r="R803" s="220"/>
      <c r="S803" s="220"/>
      <c r="T803" s="225"/>
      <c r="U803" s="226"/>
      <c r="V803" s="253"/>
    </row>
    <row r="804" customFormat="false" ht="12.75" hidden="false" customHeight="false" outlineLevel="0" collapsed="false">
      <c r="B804" s="228"/>
      <c r="C804" s="229"/>
      <c r="D804" s="219"/>
      <c r="E804" s="220"/>
      <c r="F804" s="229"/>
      <c r="G804" s="220"/>
      <c r="H804" s="220"/>
      <c r="I804" s="220"/>
      <c r="J804" s="220"/>
      <c r="K804" s="220"/>
      <c r="L804" s="220"/>
      <c r="M804" s="220"/>
      <c r="N804" s="220"/>
      <c r="O804" s="220"/>
      <c r="P804" s="220"/>
      <c r="Q804" s="220"/>
      <c r="R804" s="220"/>
      <c r="S804" s="220"/>
      <c r="T804" s="225"/>
      <c r="U804" s="226"/>
      <c r="V804" s="253"/>
    </row>
    <row r="805" customFormat="false" ht="12.75" hidden="false" customHeight="false" outlineLevel="0" collapsed="false">
      <c r="B805" s="228"/>
      <c r="C805" s="229"/>
      <c r="D805" s="219"/>
      <c r="E805" s="220"/>
      <c r="F805" s="229"/>
      <c r="G805" s="220"/>
      <c r="H805" s="220"/>
      <c r="I805" s="220"/>
      <c r="J805" s="220"/>
      <c r="K805" s="220"/>
      <c r="L805" s="220"/>
      <c r="M805" s="220"/>
      <c r="N805" s="220"/>
      <c r="O805" s="220"/>
      <c r="P805" s="220"/>
      <c r="Q805" s="220"/>
      <c r="R805" s="220"/>
      <c r="S805" s="220"/>
      <c r="T805" s="225"/>
      <c r="U805" s="226"/>
      <c r="V805" s="253"/>
    </row>
    <row r="806" customFormat="false" ht="12.75" hidden="false" customHeight="false" outlineLevel="0" collapsed="false">
      <c r="B806" s="228"/>
      <c r="C806" s="229"/>
      <c r="D806" s="219"/>
      <c r="E806" s="220"/>
      <c r="F806" s="229"/>
      <c r="G806" s="220"/>
      <c r="H806" s="220"/>
      <c r="I806" s="220"/>
      <c r="J806" s="220"/>
      <c r="K806" s="220"/>
      <c r="L806" s="220"/>
      <c r="M806" s="220"/>
      <c r="N806" s="220"/>
      <c r="O806" s="220"/>
      <c r="P806" s="220"/>
      <c r="Q806" s="220"/>
      <c r="R806" s="220"/>
      <c r="S806" s="220"/>
      <c r="T806" s="225"/>
      <c r="U806" s="226"/>
      <c r="V806" s="253"/>
    </row>
    <row r="807" customFormat="false" ht="12.75" hidden="false" customHeight="false" outlineLevel="0" collapsed="false">
      <c r="B807" s="228"/>
      <c r="C807" s="229"/>
      <c r="D807" s="219"/>
      <c r="E807" s="220"/>
      <c r="F807" s="229"/>
      <c r="G807" s="220"/>
      <c r="H807" s="220"/>
      <c r="I807" s="220"/>
      <c r="J807" s="220"/>
      <c r="K807" s="220"/>
      <c r="L807" s="220"/>
      <c r="M807" s="220"/>
      <c r="N807" s="220"/>
      <c r="O807" s="220"/>
      <c r="P807" s="220"/>
      <c r="Q807" s="220"/>
      <c r="R807" s="220"/>
      <c r="S807" s="220"/>
      <c r="T807" s="225"/>
      <c r="U807" s="226"/>
      <c r="V807" s="253"/>
    </row>
    <row r="808" customFormat="false" ht="12.75" hidden="false" customHeight="false" outlineLevel="0" collapsed="false">
      <c r="B808" s="228"/>
      <c r="C808" s="229"/>
      <c r="D808" s="219"/>
      <c r="E808" s="220"/>
      <c r="F808" s="229"/>
      <c r="G808" s="220"/>
      <c r="H808" s="220"/>
      <c r="I808" s="220"/>
      <c r="J808" s="220"/>
      <c r="K808" s="220"/>
      <c r="L808" s="220"/>
      <c r="M808" s="220"/>
      <c r="N808" s="220"/>
      <c r="O808" s="220"/>
      <c r="P808" s="220"/>
      <c r="Q808" s="220"/>
      <c r="R808" s="220"/>
      <c r="S808" s="220"/>
      <c r="T808" s="225"/>
      <c r="U808" s="226"/>
      <c r="V808" s="253"/>
    </row>
    <row r="809" customFormat="false" ht="12.75" hidden="false" customHeight="false" outlineLevel="0" collapsed="false">
      <c r="B809" s="228"/>
      <c r="C809" s="229"/>
      <c r="D809" s="219"/>
      <c r="E809" s="220"/>
      <c r="F809" s="229"/>
      <c r="G809" s="220"/>
      <c r="H809" s="220"/>
      <c r="I809" s="220"/>
      <c r="J809" s="220"/>
      <c r="K809" s="220"/>
      <c r="L809" s="220"/>
      <c r="M809" s="220"/>
      <c r="N809" s="220"/>
      <c r="O809" s="220"/>
      <c r="P809" s="220"/>
      <c r="Q809" s="220"/>
      <c r="R809" s="220"/>
      <c r="S809" s="220"/>
      <c r="T809" s="225"/>
      <c r="U809" s="226"/>
      <c r="V809" s="253"/>
    </row>
    <row r="810" customFormat="false" ht="12.75" hidden="false" customHeight="false" outlineLevel="0" collapsed="false">
      <c r="B810" s="228"/>
      <c r="C810" s="229"/>
      <c r="D810" s="219"/>
      <c r="E810" s="220"/>
      <c r="F810" s="229"/>
      <c r="G810" s="220"/>
      <c r="H810" s="220"/>
      <c r="I810" s="220"/>
      <c r="J810" s="220"/>
      <c r="K810" s="220"/>
      <c r="L810" s="220"/>
      <c r="M810" s="220"/>
      <c r="N810" s="220"/>
      <c r="O810" s="220"/>
      <c r="P810" s="220"/>
      <c r="Q810" s="220"/>
      <c r="R810" s="220"/>
      <c r="S810" s="220"/>
      <c r="T810" s="225"/>
      <c r="U810" s="226"/>
      <c r="V810" s="253"/>
    </row>
    <row r="811" customFormat="false" ht="12.75" hidden="false" customHeight="false" outlineLevel="0" collapsed="false">
      <c r="B811" s="228"/>
      <c r="C811" s="229"/>
      <c r="D811" s="219"/>
      <c r="E811" s="220"/>
      <c r="F811" s="229"/>
      <c r="G811" s="220"/>
      <c r="H811" s="220"/>
      <c r="I811" s="220"/>
      <c r="J811" s="220"/>
      <c r="K811" s="220"/>
      <c r="L811" s="220"/>
      <c r="M811" s="220"/>
      <c r="N811" s="220"/>
      <c r="O811" s="220"/>
      <c r="P811" s="220"/>
      <c r="Q811" s="220"/>
      <c r="R811" s="220"/>
      <c r="S811" s="220"/>
      <c r="T811" s="225"/>
      <c r="U811" s="226"/>
      <c r="V811" s="253"/>
    </row>
    <row r="812" customFormat="false" ht="12.75" hidden="false" customHeight="false" outlineLevel="0" collapsed="false">
      <c r="B812" s="228"/>
      <c r="C812" s="229"/>
      <c r="D812" s="219"/>
      <c r="E812" s="220"/>
      <c r="F812" s="229"/>
      <c r="G812" s="220"/>
      <c r="H812" s="220"/>
      <c r="I812" s="220"/>
      <c r="J812" s="220"/>
      <c r="K812" s="220"/>
      <c r="L812" s="220"/>
      <c r="M812" s="220"/>
      <c r="N812" s="220"/>
      <c r="O812" s="220"/>
      <c r="P812" s="220"/>
      <c r="Q812" s="220"/>
      <c r="R812" s="220"/>
      <c r="S812" s="220"/>
      <c r="T812" s="225"/>
      <c r="U812" s="226"/>
      <c r="V812" s="253"/>
    </row>
    <row r="813" customFormat="false" ht="12.75" hidden="false" customHeight="false" outlineLevel="0" collapsed="false">
      <c r="B813" s="228"/>
      <c r="C813" s="229"/>
      <c r="D813" s="219"/>
      <c r="E813" s="220"/>
      <c r="F813" s="229"/>
      <c r="G813" s="220"/>
      <c r="H813" s="220"/>
      <c r="I813" s="220"/>
      <c r="J813" s="220"/>
      <c r="K813" s="220"/>
      <c r="L813" s="220"/>
      <c r="M813" s="220"/>
      <c r="N813" s="220"/>
      <c r="O813" s="220"/>
      <c r="P813" s="220"/>
      <c r="Q813" s="220"/>
      <c r="R813" s="220"/>
      <c r="S813" s="220"/>
      <c r="T813" s="225"/>
      <c r="U813" s="226"/>
      <c r="V813" s="253"/>
    </row>
    <row r="814" customFormat="false" ht="12.75" hidden="false" customHeight="false" outlineLevel="0" collapsed="false">
      <c r="B814" s="228"/>
      <c r="C814" s="229"/>
      <c r="D814" s="219"/>
      <c r="E814" s="220"/>
      <c r="F814" s="229"/>
      <c r="G814" s="220"/>
      <c r="H814" s="220"/>
      <c r="I814" s="220"/>
      <c r="J814" s="220"/>
      <c r="K814" s="220"/>
      <c r="L814" s="220"/>
      <c r="M814" s="220"/>
      <c r="N814" s="220"/>
      <c r="O814" s="220"/>
      <c r="P814" s="220"/>
      <c r="Q814" s="220"/>
      <c r="R814" s="220"/>
      <c r="S814" s="220"/>
      <c r="T814" s="225"/>
      <c r="U814" s="226"/>
      <c r="V814" s="253"/>
    </row>
    <row r="815" customFormat="false" ht="12.75" hidden="false" customHeight="false" outlineLevel="0" collapsed="false">
      <c r="B815" s="228"/>
      <c r="C815" s="229"/>
      <c r="D815" s="219"/>
      <c r="E815" s="220"/>
      <c r="F815" s="229"/>
      <c r="G815" s="220"/>
      <c r="H815" s="220"/>
      <c r="I815" s="220"/>
      <c r="J815" s="220"/>
      <c r="K815" s="220"/>
      <c r="L815" s="220"/>
      <c r="M815" s="220"/>
      <c r="N815" s="220"/>
      <c r="O815" s="220"/>
      <c r="P815" s="220"/>
      <c r="Q815" s="220"/>
      <c r="R815" s="220"/>
      <c r="S815" s="220"/>
      <c r="T815" s="225"/>
      <c r="U815" s="226"/>
      <c r="V815" s="253"/>
    </row>
    <row r="816" customFormat="false" ht="12.75" hidden="false" customHeight="false" outlineLevel="0" collapsed="false">
      <c r="B816" s="228"/>
      <c r="C816" s="229"/>
      <c r="D816" s="219"/>
      <c r="E816" s="220"/>
      <c r="F816" s="229"/>
      <c r="G816" s="220"/>
      <c r="H816" s="220"/>
      <c r="I816" s="220"/>
      <c r="J816" s="220"/>
      <c r="K816" s="220"/>
      <c r="L816" s="220"/>
      <c r="M816" s="220"/>
      <c r="N816" s="220"/>
      <c r="O816" s="220"/>
      <c r="P816" s="220"/>
      <c r="Q816" s="220"/>
      <c r="R816" s="220"/>
      <c r="S816" s="220"/>
      <c r="T816" s="225"/>
      <c r="U816" s="226"/>
      <c r="V816" s="253"/>
    </row>
    <row r="817" customFormat="false" ht="12.75" hidden="false" customHeight="false" outlineLevel="0" collapsed="false">
      <c r="B817" s="228"/>
      <c r="C817" s="229"/>
      <c r="D817" s="219"/>
      <c r="E817" s="220"/>
      <c r="F817" s="229"/>
      <c r="G817" s="220"/>
      <c r="H817" s="220"/>
      <c r="I817" s="220"/>
      <c r="J817" s="220"/>
      <c r="K817" s="220"/>
      <c r="L817" s="220"/>
      <c r="M817" s="220"/>
      <c r="N817" s="220"/>
      <c r="O817" s="220"/>
      <c r="P817" s="220"/>
      <c r="Q817" s="220"/>
      <c r="R817" s="220"/>
      <c r="S817" s="220"/>
      <c r="T817" s="225"/>
      <c r="U817" s="226"/>
      <c r="V817" s="253"/>
    </row>
    <row r="818" customFormat="false" ht="12.75" hidden="false" customHeight="false" outlineLevel="0" collapsed="false">
      <c r="B818" s="228"/>
      <c r="C818" s="229"/>
      <c r="D818" s="219"/>
      <c r="E818" s="220"/>
      <c r="F818" s="229"/>
      <c r="G818" s="220"/>
      <c r="H818" s="220"/>
      <c r="I818" s="220"/>
      <c r="J818" s="220"/>
      <c r="K818" s="220"/>
      <c r="L818" s="220"/>
      <c r="M818" s="220"/>
      <c r="N818" s="220"/>
      <c r="O818" s="220"/>
      <c r="P818" s="220"/>
      <c r="Q818" s="220"/>
      <c r="R818" s="220"/>
      <c r="S818" s="220"/>
      <c r="T818" s="225"/>
      <c r="U818" s="226"/>
      <c r="V818" s="253"/>
    </row>
    <row r="819" customFormat="false" ht="12.75" hidden="false" customHeight="false" outlineLevel="0" collapsed="false">
      <c r="B819" s="228"/>
      <c r="C819" s="229"/>
      <c r="D819" s="219"/>
      <c r="E819" s="220"/>
      <c r="F819" s="229"/>
      <c r="G819" s="220"/>
      <c r="H819" s="220"/>
      <c r="I819" s="220"/>
      <c r="J819" s="220"/>
      <c r="K819" s="220"/>
      <c r="L819" s="220"/>
      <c r="M819" s="220"/>
      <c r="N819" s="220"/>
      <c r="O819" s="220"/>
      <c r="P819" s="220"/>
      <c r="Q819" s="220"/>
      <c r="R819" s="220"/>
      <c r="S819" s="220"/>
      <c r="T819" s="225"/>
      <c r="U819" s="226"/>
      <c r="V819" s="253"/>
    </row>
    <row r="820" customFormat="false" ht="12.75" hidden="false" customHeight="false" outlineLevel="0" collapsed="false">
      <c r="B820" s="228"/>
      <c r="C820" s="229"/>
      <c r="D820" s="219"/>
      <c r="E820" s="220"/>
      <c r="F820" s="229"/>
      <c r="G820" s="220"/>
      <c r="H820" s="220"/>
      <c r="I820" s="220"/>
      <c r="J820" s="220"/>
      <c r="K820" s="220"/>
      <c r="L820" s="220"/>
      <c r="M820" s="220"/>
      <c r="N820" s="220"/>
      <c r="O820" s="220"/>
      <c r="P820" s="220"/>
      <c r="Q820" s="220"/>
      <c r="R820" s="220"/>
      <c r="S820" s="220"/>
      <c r="T820" s="225"/>
      <c r="U820" s="226"/>
      <c r="V820" s="253"/>
    </row>
    <row r="821" customFormat="false" ht="12.75" hidden="false" customHeight="false" outlineLevel="0" collapsed="false">
      <c r="B821" s="228"/>
      <c r="C821" s="229"/>
      <c r="D821" s="219"/>
      <c r="E821" s="220"/>
      <c r="F821" s="229"/>
      <c r="G821" s="220"/>
      <c r="H821" s="220"/>
      <c r="I821" s="220"/>
      <c r="J821" s="220"/>
      <c r="K821" s="220"/>
      <c r="L821" s="220"/>
      <c r="M821" s="220"/>
      <c r="N821" s="220"/>
      <c r="O821" s="220"/>
      <c r="P821" s="220"/>
      <c r="Q821" s="220"/>
      <c r="R821" s="220"/>
      <c r="S821" s="220"/>
      <c r="T821" s="225"/>
      <c r="U821" s="226"/>
      <c r="V821" s="253"/>
    </row>
    <row r="822" customFormat="false" ht="12.75" hidden="false" customHeight="false" outlineLevel="0" collapsed="false">
      <c r="B822" s="228"/>
      <c r="C822" s="229"/>
      <c r="D822" s="219"/>
      <c r="E822" s="220"/>
      <c r="F822" s="229"/>
      <c r="G822" s="220"/>
      <c r="H822" s="220"/>
      <c r="I822" s="220"/>
      <c r="J822" s="220"/>
      <c r="K822" s="220"/>
      <c r="L822" s="220"/>
      <c r="M822" s="220"/>
      <c r="N822" s="220"/>
      <c r="O822" s="220"/>
      <c r="P822" s="220"/>
      <c r="Q822" s="220"/>
      <c r="R822" s="220"/>
      <c r="S822" s="220"/>
      <c r="T822" s="225"/>
      <c r="U822" s="226"/>
      <c r="V822" s="253"/>
    </row>
    <row r="823" customFormat="false" ht="12.75" hidden="false" customHeight="false" outlineLevel="0" collapsed="false">
      <c r="B823" s="228"/>
      <c r="C823" s="229"/>
      <c r="D823" s="219"/>
      <c r="E823" s="220"/>
      <c r="F823" s="229"/>
      <c r="G823" s="220"/>
      <c r="H823" s="220"/>
      <c r="I823" s="220"/>
      <c r="J823" s="220"/>
      <c r="K823" s="220"/>
      <c r="L823" s="220"/>
      <c r="M823" s="220"/>
      <c r="N823" s="220"/>
      <c r="O823" s="220"/>
      <c r="P823" s="220"/>
      <c r="Q823" s="220"/>
      <c r="R823" s="220"/>
      <c r="S823" s="220"/>
      <c r="T823" s="225"/>
      <c r="U823" s="226"/>
      <c r="V823" s="253"/>
    </row>
    <row r="824" customFormat="false" ht="12.75" hidden="false" customHeight="false" outlineLevel="0" collapsed="false">
      <c r="B824" s="228"/>
      <c r="C824" s="229"/>
      <c r="D824" s="219"/>
      <c r="E824" s="220"/>
      <c r="F824" s="229"/>
      <c r="G824" s="220"/>
      <c r="H824" s="220"/>
      <c r="I824" s="220"/>
      <c r="J824" s="220"/>
      <c r="K824" s="220"/>
      <c r="L824" s="220"/>
      <c r="M824" s="220"/>
      <c r="N824" s="220"/>
      <c r="O824" s="220"/>
      <c r="P824" s="220"/>
      <c r="Q824" s="220"/>
      <c r="R824" s="220"/>
      <c r="S824" s="220"/>
      <c r="T824" s="225"/>
      <c r="U824" s="226"/>
      <c r="V824" s="253"/>
    </row>
    <row r="825" customFormat="false" ht="12.75" hidden="false" customHeight="false" outlineLevel="0" collapsed="false">
      <c r="B825" s="228"/>
      <c r="C825" s="229"/>
      <c r="D825" s="219"/>
      <c r="E825" s="220"/>
      <c r="F825" s="229"/>
      <c r="G825" s="220"/>
      <c r="H825" s="220"/>
      <c r="I825" s="220"/>
      <c r="J825" s="220"/>
      <c r="K825" s="220"/>
      <c r="L825" s="220"/>
      <c r="M825" s="220"/>
      <c r="N825" s="220"/>
      <c r="O825" s="220"/>
      <c r="P825" s="220"/>
      <c r="Q825" s="220"/>
      <c r="R825" s="220"/>
      <c r="S825" s="220"/>
      <c r="T825" s="225"/>
      <c r="U825" s="226"/>
      <c r="V825" s="253"/>
    </row>
    <row r="826" customFormat="false" ht="12.75" hidden="false" customHeight="false" outlineLevel="0" collapsed="false">
      <c r="B826" s="228"/>
      <c r="C826" s="229"/>
      <c r="D826" s="219"/>
      <c r="E826" s="220"/>
      <c r="F826" s="229"/>
      <c r="G826" s="220"/>
      <c r="H826" s="220"/>
      <c r="I826" s="220"/>
      <c r="J826" s="220"/>
      <c r="K826" s="220"/>
      <c r="L826" s="220"/>
      <c r="M826" s="220"/>
      <c r="N826" s="220"/>
      <c r="O826" s="220"/>
      <c r="P826" s="220"/>
      <c r="Q826" s="220"/>
      <c r="R826" s="220"/>
      <c r="S826" s="220"/>
      <c r="T826" s="225"/>
      <c r="U826" s="226"/>
      <c r="V826" s="253"/>
    </row>
    <row r="827" customFormat="false" ht="12.75" hidden="false" customHeight="false" outlineLevel="0" collapsed="false">
      <c r="B827" s="228"/>
      <c r="C827" s="229"/>
      <c r="D827" s="219"/>
      <c r="E827" s="220"/>
      <c r="F827" s="229"/>
      <c r="G827" s="220"/>
      <c r="H827" s="220"/>
      <c r="I827" s="220"/>
      <c r="J827" s="220"/>
      <c r="K827" s="220"/>
      <c r="L827" s="220"/>
      <c r="M827" s="220"/>
      <c r="N827" s="220"/>
      <c r="O827" s="220"/>
      <c r="P827" s="220"/>
      <c r="Q827" s="220"/>
      <c r="R827" s="220"/>
      <c r="S827" s="220"/>
      <c r="T827" s="225"/>
      <c r="U827" s="226"/>
      <c r="V827" s="253"/>
    </row>
    <row r="828" customFormat="false" ht="12.75" hidden="false" customHeight="false" outlineLevel="0" collapsed="false">
      <c r="B828" s="228"/>
      <c r="C828" s="229"/>
      <c r="D828" s="219"/>
      <c r="E828" s="220"/>
      <c r="F828" s="229"/>
      <c r="G828" s="220"/>
      <c r="H828" s="220"/>
      <c r="I828" s="220"/>
      <c r="J828" s="220"/>
      <c r="K828" s="220"/>
      <c r="L828" s="220"/>
      <c r="M828" s="220"/>
      <c r="N828" s="220"/>
      <c r="O828" s="220"/>
      <c r="P828" s="220"/>
      <c r="Q828" s="220"/>
      <c r="R828" s="220"/>
      <c r="S828" s="220"/>
      <c r="T828" s="225"/>
      <c r="U828" s="226"/>
      <c r="V828" s="253"/>
    </row>
    <row r="829" customFormat="false" ht="12.75" hidden="false" customHeight="false" outlineLevel="0" collapsed="false">
      <c r="B829" s="228"/>
      <c r="C829" s="229"/>
      <c r="D829" s="219"/>
      <c r="E829" s="220"/>
      <c r="F829" s="229"/>
      <c r="G829" s="220"/>
      <c r="H829" s="220"/>
      <c r="I829" s="220"/>
      <c r="J829" s="220"/>
      <c r="K829" s="220"/>
      <c r="L829" s="220"/>
      <c r="M829" s="220"/>
      <c r="N829" s="220"/>
      <c r="O829" s="220"/>
      <c r="P829" s="220"/>
      <c r="Q829" s="220"/>
      <c r="R829" s="220"/>
      <c r="S829" s="220"/>
      <c r="T829" s="225"/>
      <c r="U829" s="226"/>
      <c r="V829" s="253"/>
    </row>
    <row r="830" customFormat="false" ht="12.75" hidden="false" customHeight="false" outlineLevel="0" collapsed="false">
      <c r="B830" s="228"/>
      <c r="C830" s="229"/>
      <c r="D830" s="219"/>
      <c r="E830" s="220"/>
      <c r="F830" s="229"/>
      <c r="G830" s="220"/>
      <c r="H830" s="220"/>
      <c r="I830" s="220"/>
      <c r="J830" s="220"/>
      <c r="K830" s="220"/>
      <c r="L830" s="220"/>
      <c r="M830" s="220"/>
      <c r="N830" s="220"/>
      <c r="O830" s="220"/>
      <c r="P830" s="220"/>
      <c r="Q830" s="220"/>
      <c r="R830" s="220"/>
      <c r="S830" s="220"/>
      <c r="T830" s="225"/>
      <c r="U830" s="226"/>
      <c r="V830" s="253"/>
    </row>
    <row r="831" customFormat="false" ht="12.75" hidden="false" customHeight="false" outlineLevel="0" collapsed="false">
      <c r="B831" s="228"/>
      <c r="C831" s="229"/>
      <c r="D831" s="219"/>
      <c r="E831" s="220"/>
      <c r="F831" s="229"/>
      <c r="G831" s="220"/>
      <c r="H831" s="220"/>
      <c r="I831" s="220"/>
      <c r="J831" s="220"/>
      <c r="K831" s="220"/>
      <c r="L831" s="220"/>
      <c r="M831" s="220"/>
      <c r="N831" s="220"/>
      <c r="O831" s="220"/>
      <c r="P831" s="220"/>
      <c r="Q831" s="220"/>
      <c r="R831" s="220"/>
      <c r="S831" s="220"/>
      <c r="T831" s="225"/>
      <c r="U831" s="226"/>
      <c r="V831" s="253"/>
    </row>
    <row r="832" customFormat="false" ht="12.75" hidden="false" customHeight="false" outlineLevel="0" collapsed="false">
      <c r="B832" s="228"/>
      <c r="C832" s="229"/>
      <c r="D832" s="219"/>
      <c r="E832" s="220"/>
      <c r="F832" s="229"/>
      <c r="G832" s="220"/>
      <c r="H832" s="220"/>
      <c r="I832" s="220"/>
      <c r="J832" s="220"/>
      <c r="K832" s="220"/>
      <c r="L832" s="220"/>
      <c r="M832" s="220"/>
      <c r="N832" s="220"/>
      <c r="O832" s="220"/>
      <c r="P832" s="220"/>
      <c r="Q832" s="220"/>
      <c r="R832" s="220"/>
      <c r="S832" s="220"/>
      <c r="T832" s="225"/>
      <c r="U832" s="226"/>
      <c r="V832" s="253"/>
    </row>
    <row r="833" customFormat="false" ht="12.75" hidden="false" customHeight="false" outlineLevel="0" collapsed="false">
      <c r="B833" s="228"/>
      <c r="C833" s="229"/>
      <c r="D833" s="219"/>
      <c r="E833" s="220"/>
      <c r="F833" s="229"/>
      <c r="G833" s="220"/>
      <c r="H833" s="220"/>
      <c r="I833" s="220"/>
      <c r="J833" s="220"/>
      <c r="K833" s="220"/>
      <c r="L833" s="220"/>
      <c r="M833" s="220"/>
      <c r="N833" s="220"/>
      <c r="O833" s="220"/>
      <c r="P833" s="220"/>
      <c r="Q833" s="220"/>
      <c r="R833" s="220"/>
      <c r="S833" s="220"/>
      <c r="T833" s="225"/>
      <c r="U833" s="226"/>
      <c r="V833" s="253"/>
    </row>
    <row r="834" customFormat="false" ht="12.75" hidden="false" customHeight="false" outlineLevel="0" collapsed="false">
      <c r="B834" s="228"/>
      <c r="C834" s="229"/>
      <c r="D834" s="219"/>
      <c r="E834" s="220"/>
      <c r="F834" s="229"/>
      <c r="G834" s="220"/>
      <c r="H834" s="220"/>
      <c r="I834" s="220"/>
      <c r="J834" s="220"/>
      <c r="K834" s="220"/>
      <c r="L834" s="220"/>
      <c r="M834" s="220"/>
      <c r="N834" s="220"/>
      <c r="O834" s="220"/>
      <c r="P834" s="220"/>
      <c r="Q834" s="220"/>
      <c r="R834" s="220"/>
      <c r="S834" s="220"/>
      <c r="T834" s="225"/>
      <c r="U834" s="226"/>
      <c r="V834" s="253"/>
    </row>
    <row r="835" customFormat="false" ht="12.75" hidden="false" customHeight="false" outlineLevel="0" collapsed="false">
      <c r="B835" s="228"/>
      <c r="C835" s="229"/>
      <c r="D835" s="219"/>
      <c r="E835" s="220"/>
      <c r="F835" s="229"/>
      <c r="G835" s="220"/>
      <c r="H835" s="220"/>
      <c r="I835" s="220"/>
      <c r="J835" s="220"/>
      <c r="K835" s="220"/>
      <c r="L835" s="220"/>
      <c r="M835" s="220"/>
      <c r="N835" s="220"/>
      <c r="O835" s="220"/>
      <c r="P835" s="220"/>
      <c r="Q835" s="220"/>
      <c r="R835" s="220"/>
      <c r="S835" s="220"/>
      <c r="T835" s="225"/>
      <c r="U835" s="226"/>
      <c r="V835" s="253"/>
    </row>
    <row r="836" customFormat="false" ht="12.75" hidden="false" customHeight="false" outlineLevel="0" collapsed="false">
      <c r="B836" s="228"/>
      <c r="C836" s="229"/>
      <c r="D836" s="219"/>
      <c r="E836" s="220"/>
      <c r="F836" s="229"/>
      <c r="G836" s="220"/>
      <c r="H836" s="220"/>
      <c r="I836" s="220"/>
      <c r="J836" s="220"/>
      <c r="K836" s="220"/>
      <c r="L836" s="220"/>
      <c r="M836" s="220"/>
      <c r="N836" s="220"/>
      <c r="O836" s="220"/>
      <c r="P836" s="220"/>
      <c r="Q836" s="220"/>
      <c r="R836" s="220"/>
      <c r="S836" s="220"/>
      <c r="T836" s="225"/>
      <c r="U836" s="226"/>
      <c r="V836" s="253"/>
    </row>
    <row r="837" customFormat="false" ht="12.75" hidden="false" customHeight="false" outlineLevel="0" collapsed="false">
      <c r="B837" s="228"/>
      <c r="C837" s="229"/>
      <c r="D837" s="219"/>
      <c r="E837" s="220"/>
      <c r="F837" s="229"/>
      <c r="G837" s="220"/>
      <c r="H837" s="220"/>
      <c r="I837" s="220"/>
      <c r="J837" s="220"/>
      <c r="K837" s="220"/>
      <c r="L837" s="220"/>
      <c r="M837" s="220"/>
      <c r="N837" s="220"/>
      <c r="O837" s="220"/>
      <c r="P837" s="220"/>
      <c r="Q837" s="220"/>
      <c r="R837" s="220"/>
      <c r="S837" s="220"/>
      <c r="T837" s="225"/>
      <c r="U837" s="226"/>
      <c r="V837" s="253"/>
    </row>
    <row r="838" customFormat="false" ht="12.75" hidden="false" customHeight="false" outlineLevel="0" collapsed="false">
      <c r="B838" s="228"/>
      <c r="C838" s="229"/>
      <c r="D838" s="219"/>
      <c r="E838" s="220"/>
      <c r="F838" s="229"/>
      <c r="G838" s="220"/>
      <c r="H838" s="220"/>
      <c r="I838" s="220"/>
      <c r="J838" s="220"/>
      <c r="K838" s="220"/>
      <c r="L838" s="220"/>
      <c r="M838" s="220"/>
      <c r="N838" s="220"/>
      <c r="O838" s="220"/>
      <c r="P838" s="220"/>
      <c r="Q838" s="220"/>
      <c r="R838" s="220"/>
      <c r="S838" s="220"/>
      <c r="T838" s="225"/>
      <c r="U838" s="226"/>
      <c r="V838" s="253"/>
    </row>
    <row r="839" customFormat="false" ht="12.75" hidden="false" customHeight="false" outlineLevel="0" collapsed="false">
      <c r="B839" s="228"/>
      <c r="C839" s="229"/>
      <c r="D839" s="219"/>
      <c r="E839" s="220"/>
      <c r="F839" s="229"/>
      <c r="G839" s="220"/>
      <c r="H839" s="220"/>
      <c r="I839" s="220"/>
      <c r="J839" s="220"/>
      <c r="K839" s="220"/>
      <c r="L839" s="220"/>
      <c r="M839" s="220"/>
      <c r="N839" s="220"/>
      <c r="O839" s="220"/>
      <c r="P839" s="220"/>
      <c r="Q839" s="220"/>
      <c r="R839" s="220"/>
      <c r="S839" s="220"/>
      <c r="T839" s="225"/>
      <c r="U839" s="226"/>
      <c r="V839" s="253"/>
    </row>
    <row r="840" customFormat="false" ht="12.75" hidden="false" customHeight="false" outlineLevel="0" collapsed="false">
      <c r="B840" s="228"/>
      <c r="C840" s="229"/>
      <c r="D840" s="219"/>
      <c r="E840" s="220"/>
      <c r="F840" s="229"/>
      <c r="G840" s="220"/>
      <c r="H840" s="220"/>
      <c r="I840" s="220"/>
      <c r="J840" s="220"/>
      <c r="K840" s="220"/>
      <c r="L840" s="220"/>
      <c r="M840" s="220"/>
      <c r="N840" s="220"/>
      <c r="O840" s="220"/>
      <c r="P840" s="220"/>
      <c r="Q840" s="220"/>
      <c r="R840" s="220"/>
      <c r="S840" s="220"/>
      <c r="T840" s="225"/>
      <c r="U840" s="226"/>
      <c r="V840" s="253"/>
    </row>
    <row r="841" customFormat="false" ht="12.75" hidden="false" customHeight="false" outlineLevel="0" collapsed="false">
      <c r="B841" s="228"/>
      <c r="C841" s="229"/>
      <c r="D841" s="219"/>
      <c r="E841" s="220"/>
      <c r="F841" s="229"/>
      <c r="G841" s="220"/>
      <c r="H841" s="220"/>
      <c r="I841" s="220"/>
      <c r="J841" s="220"/>
      <c r="K841" s="220"/>
      <c r="L841" s="220"/>
      <c r="M841" s="220"/>
      <c r="N841" s="220"/>
      <c r="O841" s="220"/>
      <c r="P841" s="220"/>
      <c r="Q841" s="220"/>
      <c r="R841" s="220"/>
      <c r="S841" s="220"/>
      <c r="T841" s="225"/>
      <c r="U841" s="226"/>
      <c r="V841" s="253"/>
    </row>
    <row r="842" customFormat="false" ht="12.75" hidden="false" customHeight="false" outlineLevel="0" collapsed="false">
      <c r="B842" s="228"/>
      <c r="C842" s="229"/>
      <c r="D842" s="219"/>
      <c r="E842" s="220"/>
      <c r="F842" s="229"/>
      <c r="G842" s="220"/>
      <c r="H842" s="220"/>
      <c r="I842" s="220"/>
      <c r="J842" s="220"/>
      <c r="K842" s="220"/>
      <c r="L842" s="220"/>
      <c r="M842" s="220"/>
      <c r="N842" s="220"/>
      <c r="O842" s="220"/>
      <c r="P842" s="220"/>
      <c r="Q842" s="220"/>
      <c r="R842" s="220"/>
      <c r="S842" s="220"/>
      <c r="T842" s="225"/>
      <c r="U842" s="226"/>
      <c r="V842" s="253"/>
    </row>
    <row r="843" customFormat="false" ht="12.75" hidden="false" customHeight="false" outlineLevel="0" collapsed="false">
      <c r="B843" s="228"/>
      <c r="C843" s="229"/>
      <c r="D843" s="219"/>
      <c r="E843" s="220"/>
      <c r="F843" s="229"/>
      <c r="G843" s="220"/>
      <c r="H843" s="220"/>
      <c r="I843" s="220"/>
      <c r="J843" s="220"/>
      <c r="K843" s="220"/>
      <c r="L843" s="220"/>
      <c r="M843" s="220"/>
      <c r="N843" s="220"/>
      <c r="O843" s="220"/>
      <c r="P843" s="220"/>
      <c r="Q843" s="220"/>
      <c r="R843" s="220"/>
      <c r="S843" s="220"/>
      <c r="T843" s="225"/>
      <c r="U843" s="226"/>
      <c r="V843" s="253"/>
    </row>
    <row r="844" customFormat="false" ht="12.75" hidden="false" customHeight="false" outlineLevel="0" collapsed="false">
      <c r="B844" s="228"/>
      <c r="C844" s="229"/>
      <c r="D844" s="219"/>
      <c r="E844" s="220"/>
      <c r="F844" s="229"/>
      <c r="G844" s="220"/>
      <c r="H844" s="220"/>
      <c r="I844" s="220"/>
      <c r="J844" s="220"/>
      <c r="K844" s="220"/>
      <c r="L844" s="220"/>
      <c r="M844" s="220"/>
      <c r="N844" s="220"/>
      <c r="O844" s="220"/>
      <c r="P844" s="220"/>
      <c r="Q844" s="220"/>
      <c r="R844" s="220"/>
      <c r="S844" s="220"/>
      <c r="T844" s="225"/>
      <c r="U844" s="226"/>
      <c r="V844" s="253"/>
    </row>
    <row r="845" customFormat="false" ht="12.75" hidden="false" customHeight="false" outlineLevel="0" collapsed="false">
      <c r="B845" s="228"/>
      <c r="C845" s="229"/>
      <c r="D845" s="219"/>
      <c r="E845" s="220"/>
      <c r="F845" s="229"/>
      <c r="G845" s="220"/>
      <c r="H845" s="220"/>
      <c r="I845" s="220"/>
      <c r="J845" s="220"/>
      <c r="K845" s="220"/>
      <c r="L845" s="220"/>
      <c r="M845" s="220"/>
      <c r="N845" s="220"/>
      <c r="O845" s="220"/>
      <c r="P845" s="220"/>
      <c r="Q845" s="220"/>
      <c r="R845" s="220"/>
      <c r="S845" s="220"/>
      <c r="T845" s="225"/>
      <c r="U845" s="226"/>
      <c r="V845" s="253"/>
    </row>
    <row r="846" customFormat="false" ht="12.75" hidden="false" customHeight="false" outlineLevel="0" collapsed="false">
      <c r="B846" s="228"/>
      <c r="C846" s="229"/>
      <c r="D846" s="219"/>
      <c r="E846" s="220"/>
      <c r="F846" s="229"/>
      <c r="G846" s="220"/>
      <c r="H846" s="220"/>
      <c r="I846" s="220"/>
      <c r="J846" s="220"/>
      <c r="K846" s="220"/>
      <c r="L846" s="220"/>
      <c r="M846" s="220"/>
      <c r="N846" s="220"/>
      <c r="O846" s="220"/>
      <c r="P846" s="220"/>
      <c r="Q846" s="220"/>
      <c r="R846" s="220"/>
      <c r="S846" s="220"/>
      <c r="T846" s="225"/>
      <c r="U846" s="226"/>
      <c r="V846" s="253"/>
    </row>
    <row r="847" customFormat="false" ht="12.75" hidden="false" customHeight="false" outlineLevel="0" collapsed="false">
      <c r="B847" s="228"/>
      <c r="C847" s="229"/>
      <c r="D847" s="219"/>
      <c r="E847" s="220"/>
      <c r="F847" s="229"/>
      <c r="G847" s="220"/>
      <c r="H847" s="220"/>
      <c r="I847" s="220"/>
      <c r="J847" s="220"/>
      <c r="K847" s="220"/>
      <c r="L847" s="220"/>
      <c r="M847" s="220"/>
      <c r="N847" s="220"/>
      <c r="O847" s="220"/>
      <c r="P847" s="220"/>
      <c r="Q847" s="220"/>
      <c r="R847" s="220"/>
      <c r="S847" s="220"/>
      <c r="T847" s="225"/>
      <c r="U847" s="226"/>
      <c r="V847" s="253"/>
    </row>
    <row r="848" customFormat="false" ht="12.75" hidden="false" customHeight="false" outlineLevel="0" collapsed="false">
      <c r="B848" s="228"/>
      <c r="C848" s="229"/>
      <c r="D848" s="219"/>
      <c r="E848" s="220"/>
      <c r="F848" s="229"/>
      <c r="G848" s="220"/>
      <c r="H848" s="220"/>
      <c r="I848" s="220"/>
      <c r="J848" s="220"/>
      <c r="K848" s="220"/>
      <c r="L848" s="220"/>
      <c r="M848" s="220"/>
      <c r="N848" s="220"/>
      <c r="O848" s="220"/>
      <c r="P848" s="220"/>
      <c r="Q848" s="220"/>
      <c r="R848" s="220"/>
      <c r="S848" s="220"/>
      <c r="T848" s="225"/>
      <c r="U848" s="226"/>
      <c r="V848" s="253"/>
    </row>
    <row r="849" customFormat="false" ht="12.75" hidden="false" customHeight="false" outlineLevel="0" collapsed="false">
      <c r="B849" s="228"/>
      <c r="C849" s="229"/>
      <c r="D849" s="219"/>
      <c r="E849" s="220"/>
      <c r="F849" s="229"/>
      <c r="G849" s="220"/>
      <c r="H849" s="220"/>
      <c r="I849" s="220"/>
      <c r="J849" s="220"/>
      <c r="K849" s="220"/>
      <c r="L849" s="220"/>
      <c r="M849" s="220"/>
      <c r="N849" s="220"/>
      <c r="O849" s="220"/>
      <c r="P849" s="220"/>
      <c r="Q849" s="220"/>
      <c r="R849" s="220"/>
      <c r="S849" s="220"/>
      <c r="T849" s="225"/>
      <c r="U849" s="226"/>
      <c r="V849" s="253"/>
    </row>
    <row r="850" customFormat="false" ht="12.75" hidden="false" customHeight="false" outlineLevel="0" collapsed="false">
      <c r="B850" s="228"/>
      <c r="C850" s="229"/>
      <c r="D850" s="219"/>
      <c r="E850" s="220"/>
      <c r="F850" s="229"/>
      <c r="G850" s="220"/>
      <c r="H850" s="220"/>
      <c r="I850" s="220"/>
      <c r="J850" s="220"/>
      <c r="K850" s="220"/>
      <c r="L850" s="220"/>
      <c r="M850" s="220"/>
      <c r="N850" s="220"/>
      <c r="O850" s="220"/>
      <c r="P850" s="220"/>
      <c r="Q850" s="220"/>
      <c r="R850" s="220"/>
      <c r="S850" s="220"/>
      <c r="T850" s="225"/>
      <c r="U850" s="226"/>
      <c r="V850" s="253"/>
    </row>
    <row r="851" customFormat="false" ht="12.75" hidden="false" customHeight="false" outlineLevel="0" collapsed="false">
      <c r="B851" s="228"/>
      <c r="C851" s="229"/>
      <c r="D851" s="219"/>
      <c r="E851" s="220"/>
      <c r="F851" s="229"/>
      <c r="G851" s="220"/>
      <c r="H851" s="220"/>
      <c r="I851" s="220"/>
      <c r="J851" s="220"/>
      <c r="K851" s="220"/>
      <c r="L851" s="220"/>
      <c r="M851" s="220"/>
      <c r="N851" s="220"/>
      <c r="O851" s="220"/>
      <c r="P851" s="220"/>
      <c r="Q851" s="220"/>
      <c r="R851" s="220"/>
      <c r="S851" s="220"/>
      <c r="T851" s="225"/>
      <c r="U851" s="226"/>
      <c r="V851" s="253"/>
    </row>
    <row r="852" customFormat="false" ht="12.75" hidden="false" customHeight="false" outlineLevel="0" collapsed="false">
      <c r="B852" s="228"/>
      <c r="C852" s="229"/>
      <c r="D852" s="219"/>
      <c r="E852" s="220"/>
      <c r="F852" s="229"/>
      <c r="G852" s="220"/>
      <c r="H852" s="220"/>
      <c r="I852" s="220"/>
      <c r="J852" s="220"/>
      <c r="K852" s="220"/>
      <c r="L852" s="220"/>
      <c r="M852" s="220"/>
      <c r="N852" s="220"/>
      <c r="O852" s="220"/>
      <c r="P852" s="220"/>
      <c r="Q852" s="220"/>
      <c r="R852" s="220"/>
      <c r="S852" s="220"/>
      <c r="T852" s="225"/>
      <c r="U852" s="226"/>
      <c r="V852" s="253"/>
    </row>
    <row r="853" customFormat="false" ht="12.75" hidden="false" customHeight="false" outlineLevel="0" collapsed="false">
      <c r="B853" s="228"/>
      <c r="C853" s="229"/>
      <c r="D853" s="219"/>
      <c r="E853" s="220"/>
      <c r="F853" s="229"/>
      <c r="G853" s="220"/>
      <c r="H853" s="220"/>
      <c r="I853" s="220"/>
      <c r="J853" s="220"/>
      <c r="K853" s="220"/>
      <c r="L853" s="220"/>
      <c r="M853" s="220"/>
      <c r="N853" s="220"/>
      <c r="O853" s="220"/>
      <c r="P853" s="220"/>
      <c r="Q853" s="220"/>
      <c r="R853" s="220"/>
      <c r="S853" s="220"/>
      <c r="T853" s="225"/>
      <c r="U853" s="226"/>
      <c r="V853" s="253"/>
    </row>
    <row r="854" customFormat="false" ht="12.75" hidden="false" customHeight="false" outlineLevel="0" collapsed="false">
      <c r="B854" s="228"/>
      <c r="C854" s="229"/>
      <c r="D854" s="219"/>
      <c r="E854" s="220"/>
      <c r="F854" s="229"/>
      <c r="G854" s="220"/>
      <c r="H854" s="220"/>
      <c r="I854" s="220"/>
      <c r="J854" s="220"/>
      <c r="K854" s="220"/>
      <c r="L854" s="220"/>
      <c r="M854" s="220"/>
      <c r="N854" s="220"/>
      <c r="O854" s="220"/>
      <c r="P854" s="220"/>
      <c r="Q854" s="220"/>
      <c r="R854" s="220"/>
      <c r="S854" s="220"/>
      <c r="T854" s="225"/>
      <c r="U854" s="226"/>
      <c r="V854" s="253"/>
    </row>
    <row r="855" customFormat="false" ht="12.75" hidden="false" customHeight="false" outlineLevel="0" collapsed="false">
      <c r="B855" s="228"/>
      <c r="C855" s="229"/>
      <c r="D855" s="219"/>
      <c r="E855" s="220"/>
      <c r="F855" s="229"/>
      <c r="G855" s="220"/>
      <c r="H855" s="220"/>
      <c r="I855" s="220"/>
      <c r="J855" s="220"/>
      <c r="K855" s="220"/>
      <c r="L855" s="220"/>
      <c r="M855" s="220"/>
      <c r="N855" s="220"/>
      <c r="O855" s="220"/>
      <c r="P855" s="220"/>
      <c r="Q855" s="220"/>
      <c r="R855" s="220"/>
      <c r="S855" s="220"/>
      <c r="T855" s="225"/>
      <c r="U855" s="226"/>
      <c r="V855" s="253"/>
    </row>
    <row r="856" customFormat="false" ht="12.75" hidden="false" customHeight="false" outlineLevel="0" collapsed="false">
      <c r="B856" s="228"/>
      <c r="C856" s="229"/>
      <c r="D856" s="219"/>
      <c r="E856" s="220"/>
      <c r="F856" s="229"/>
      <c r="G856" s="220"/>
      <c r="H856" s="220"/>
      <c r="I856" s="220"/>
      <c r="J856" s="220"/>
      <c r="K856" s="220"/>
      <c r="L856" s="220"/>
      <c r="M856" s="220"/>
      <c r="N856" s="220"/>
      <c r="O856" s="220"/>
      <c r="P856" s="220"/>
      <c r="Q856" s="220"/>
      <c r="R856" s="220"/>
      <c r="S856" s="220"/>
      <c r="T856" s="225"/>
      <c r="U856" s="226"/>
      <c r="V856" s="253"/>
    </row>
    <row r="857" customFormat="false" ht="12.75" hidden="false" customHeight="false" outlineLevel="0" collapsed="false">
      <c r="B857" s="228"/>
      <c r="C857" s="229"/>
      <c r="D857" s="219"/>
      <c r="E857" s="220"/>
      <c r="F857" s="229"/>
      <c r="G857" s="220"/>
      <c r="H857" s="220"/>
      <c r="I857" s="220"/>
      <c r="J857" s="220"/>
      <c r="K857" s="220"/>
      <c r="L857" s="220"/>
      <c r="M857" s="220"/>
      <c r="N857" s="220"/>
      <c r="O857" s="220"/>
      <c r="P857" s="220"/>
      <c r="Q857" s="220"/>
      <c r="R857" s="220"/>
      <c r="S857" s="220"/>
      <c r="T857" s="225"/>
      <c r="U857" s="226"/>
      <c r="V857" s="253"/>
    </row>
    <row r="858" customFormat="false" ht="12.75" hidden="false" customHeight="false" outlineLevel="0" collapsed="false">
      <c r="B858" s="228"/>
      <c r="C858" s="229"/>
      <c r="D858" s="219"/>
      <c r="E858" s="220"/>
      <c r="F858" s="229"/>
      <c r="G858" s="220"/>
      <c r="H858" s="220"/>
      <c r="I858" s="220"/>
      <c r="J858" s="220"/>
      <c r="K858" s="220"/>
      <c r="L858" s="220"/>
      <c r="M858" s="220"/>
      <c r="N858" s="220"/>
      <c r="O858" s="220"/>
      <c r="P858" s="220"/>
      <c r="Q858" s="220"/>
      <c r="R858" s="220"/>
      <c r="S858" s="220"/>
      <c r="T858" s="225"/>
      <c r="U858" s="226"/>
      <c r="V858" s="253"/>
    </row>
    <row r="859" customFormat="false" ht="12.75" hidden="false" customHeight="false" outlineLevel="0" collapsed="false">
      <c r="B859" s="228"/>
      <c r="C859" s="229"/>
      <c r="D859" s="219"/>
      <c r="E859" s="220"/>
      <c r="F859" s="229"/>
      <c r="G859" s="220"/>
      <c r="H859" s="220"/>
      <c r="I859" s="220"/>
      <c r="J859" s="220"/>
      <c r="K859" s="220"/>
      <c r="L859" s="220"/>
      <c r="M859" s="220"/>
      <c r="N859" s="220"/>
      <c r="O859" s="220"/>
      <c r="P859" s="220"/>
      <c r="Q859" s="220"/>
      <c r="R859" s="220"/>
      <c r="S859" s="220"/>
      <c r="T859" s="225"/>
      <c r="U859" s="226"/>
      <c r="V859" s="253"/>
    </row>
    <row r="860" customFormat="false" ht="12.75" hidden="false" customHeight="false" outlineLevel="0" collapsed="false">
      <c r="B860" s="228"/>
      <c r="C860" s="229"/>
      <c r="D860" s="219"/>
      <c r="E860" s="220"/>
      <c r="F860" s="229"/>
      <c r="G860" s="220"/>
      <c r="H860" s="220"/>
      <c r="I860" s="220"/>
      <c r="J860" s="220"/>
      <c r="K860" s="220"/>
      <c r="L860" s="220"/>
      <c r="M860" s="220"/>
      <c r="N860" s="220"/>
      <c r="O860" s="220"/>
      <c r="P860" s="220"/>
      <c r="Q860" s="220"/>
      <c r="R860" s="220"/>
      <c r="S860" s="220"/>
      <c r="T860" s="225"/>
      <c r="U860" s="226"/>
      <c r="V860" s="253"/>
    </row>
    <row r="861" customFormat="false" ht="12.75" hidden="false" customHeight="false" outlineLevel="0" collapsed="false">
      <c r="B861" s="228"/>
      <c r="C861" s="229"/>
      <c r="D861" s="219"/>
      <c r="E861" s="220"/>
      <c r="F861" s="229"/>
      <c r="G861" s="220"/>
      <c r="H861" s="220"/>
      <c r="I861" s="220"/>
      <c r="J861" s="220"/>
      <c r="K861" s="220"/>
      <c r="L861" s="220"/>
      <c r="M861" s="220"/>
      <c r="N861" s="220"/>
      <c r="O861" s="220"/>
      <c r="P861" s="220"/>
      <c r="Q861" s="220"/>
      <c r="R861" s="220"/>
      <c r="S861" s="220"/>
      <c r="T861" s="225"/>
      <c r="U861" s="226"/>
      <c r="V861" s="253"/>
    </row>
    <row r="862" customFormat="false" ht="12.75" hidden="false" customHeight="false" outlineLevel="0" collapsed="false">
      <c r="B862" s="228"/>
      <c r="C862" s="229"/>
      <c r="D862" s="219"/>
      <c r="E862" s="220"/>
      <c r="F862" s="229"/>
      <c r="G862" s="220"/>
      <c r="H862" s="220"/>
      <c r="I862" s="220"/>
      <c r="J862" s="220"/>
      <c r="K862" s="220"/>
      <c r="L862" s="220"/>
      <c r="M862" s="220"/>
      <c r="N862" s="220"/>
      <c r="O862" s="220"/>
      <c r="P862" s="220"/>
      <c r="Q862" s="220"/>
      <c r="R862" s="220"/>
      <c r="S862" s="220"/>
      <c r="T862" s="225"/>
      <c r="U862" s="226"/>
      <c r="V862" s="253"/>
    </row>
    <row r="863" customFormat="false" ht="12.75" hidden="false" customHeight="false" outlineLevel="0" collapsed="false">
      <c r="B863" s="228"/>
      <c r="C863" s="229"/>
      <c r="D863" s="219"/>
      <c r="E863" s="220"/>
      <c r="F863" s="229"/>
      <c r="G863" s="220"/>
      <c r="H863" s="220"/>
      <c r="I863" s="220"/>
      <c r="J863" s="220"/>
      <c r="K863" s="220"/>
      <c r="L863" s="220"/>
      <c r="M863" s="220"/>
      <c r="N863" s="220"/>
      <c r="O863" s="220"/>
      <c r="P863" s="220"/>
      <c r="Q863" s="220"/>
      <c r="R863" s="220"/>
      <c r="S863" s="220"/>
      <c r="T863" s="225"/>
      <c r="U863" s="226"/>
      <c r="V863" s="253"/>
    </row>
    <row r="864" customFormat="false" ht="12.75" hidden="false" customHeight="false" outlineLevel="0" collapsed="false">
      <c r="B864" s="228"/>
      <c r="C864" s="229"/>
      <c r="D864" s="219"/>
      <c r="E864" s="220"/>
      <c r="F864" s="229"/>
      <c r="G864" s="220"/>
      <c r="H864" s="220"/>
      <c r="I864" s="220"/>
      <c r="J864" s="220"/>
      <c r="K864" s="220"/>
      <c r="L864" s="220"/>
      <c r="M864" s="220"/>
      <c r="N864" s="220"/>
      <c r="O864" s="220"/>
      <c r="P864" s="220"/>
      <c r="Q864" s="220"/>
      <c r="R864" s="220"/>
      <c r="S864" s="220"/>
      <c r="T864" s="225"/>
      <c r="U864" s="226"/>
      <c r="V864" s="253"/>
    </row>
    <row r="865" customFormat="false" ht="12.75" hidden="false" customHeight="false" outlineLevel="0" collapsed="false">
      <c r="B865" s="228"/>
      <c r="C865" s="229"/>
      <c r="D865" s="219"/>
      <c r="E865" s="220"/>
      <c r="F865" s="229"/>
      <c r="G865" s="220"/>
      <c r="H865" s="220"/>
      <c r="I865" s="220"/>
      <c r="J865" s="220"/>
      <c r="K865" s="220"/>
      <c r="L865" s="220"/>
      <c r="M865" s="220"/>
      <c r="N865" s="220"/>
      <c r="O865" s="220"/>
      <c r="P865" s="220"/>
      <c r="Q865" s="220"/>
      <c r="R865" s="220"/>
      <c r="S865" s="220"/>
      <c r="T865" s="225"/>
      <c r="U865" s="226"/>
      <c r="V865" s="253"/>
    </row>
    <row r="866" customFormat="false" ht="12.75" hidden="false" customHeight="false" outlineLevel="0" collapsed="false">
      <c r="B866" s="228"/>
      <c r="C866" s="229"/>
      <c r="D866" s="219"/>
      <c r="E866" s="220"/>
      <c r="F866" s="229"/>
      <c r="G866" s="220"/>
      <c r="H866" s="220"/>
      <c r="I866" s="220"/>
      <c r="J866" s="220"/>
      <c r="K866" s="220"/>
      <c r="L866" s="220"/>
      <c r="M866" s="220"/>
      <c r="N866" s="220"/>
      <c r="O866" s="220"/>
      <c r="P866" s="220"/>
      <c r="Q866" s="220"/>
      <c r="R866" s="220"/>
      <c r="S866" s="220"/>
      <c r="T866" s="225"/>
      <c r="U866" s="226"/>
      <c r="V866" s="253"/>
    </row>
    <row r="867" customFormat="false" ht="12.75" hidden="false" customHeight="false" outlineLevel="0" collapsed="false">
      <c r="B867" s="228"/>
      <c r="C867" s="229"/>
      <c r="D867" s="219"/>
      <c r="E867" s="220"/>
      <c r="F867" s="229"/>
      <c r="G867" s="220"/>
      <c r="H867" s="220"/>
      <c r="I867" s="220"/>
      <c r="J867" s="220"/>
      <c r="K867" s="220"/>
      <c r="L867" s="220"/>
      <c r="M867" s="220"/>
      <c r="N867" s="220"/>
      <c r="O867" s="220"/>
      <c r="P867" s="220"/>
      <c r="Q867" s="220"/>
      <c r="R867" s="220"/>
      <c r="S867" s="220"/>
      <c r="T867" s="225"/>
      <c r="U867" s="226"/>
      <c r="V867" s="253"/>
    </row>
    <row r="868" customFormat="false" ht="12.75" hidden="false" customHeight="false" outlineLevel="0" collapsed="false">
      <c r="B868" s="228"/>
      <c r="C868" s="229"/>
      <c r="D868" s="219"/>
      <c r="E868" s="220"/>
      <c r="F868" s="229"/>
      <c r="G868" s="220"/>
      <c r="H868" s="220"/>
      <c r="I868" s="220"/>
      <c r="J868" s="220"/>
      <c r="K868" s="220"/>
      <c r="L868" s="220"/>
      <c r="M868" s="220"/>
      <c r="N868" s="220"/>
      <c r="O868" s="220"/>
      <c r="P868" s="220"/>
      <c r="Q868" s="220"/>
      <c r="R868" s="220"/>
      <c r="S868" s="220"/>
      <c r="T868" s="225"/>
      <c r="U868" s="226"/>
      <c r="V868" s="253"/>
    </row>
    <row r="869" customFormat="false" ht="12.75" hidden="false" customHeight="false" outlineLevel="0" collapsed="false">
      <c r="B869" s="228"/>
      <c r="C869" s="229"/>
      <c r="D869" s="219"/>
      <c r="E869" s="220"/>
      <c r="F869" s="229"/>
      <c r="G869" s="220"/>
      <c r="H869" s="220"/>
      <c r="I869" s="220"/>
      <c r="J869" s="220"/>
      <c r="K869" s="220"/>
      <c r="L869" s="220"/>
      <c r="M869" s="220"/>
      <c r="N869" s="220"/>
      <c r="O869" s="220"/>
      <c r="P869" s="220"/>
      <c r="Q869" s="220"/>
      <c r="R869" s="220"/>
      <c r="S869" s="220"/>
      <c r="T869" s="225"/>
      <c r="U869" s="226"/>
      <c r="V869" s="253"/>
    </row>
    <row r="870" customFormat="false" ht="12.75" hidden="false" customHeight="false" outlineLevel="0" collapsed="false">
      <c r="B870" s="228"/>
      <c r="C870" s="229"/>
      <c r="D870" s="219"/>
      <c r="E870" s="220"/>
      <c r="F870" s="229"/>
      <c r="G870" s="220"/>
      <c r="H870" s="220"/>
      <c r="I870" s="220"/>
      <c r="J870" s="220"/>
      <c r="K870" s="220"/>
      <c r="L870" s="220"/>
      <c r="M870" s="220"/>
      <c r="N870" s="220"/>
      <c r="O870" s="220"/>
      <c r="P870" s="220"/>
      <c r="Q870" s="220"/>
      <c r="R870" s="220"/>
      <c r="S870" s="220"/>
      <c r="T870" s="225"/>
      <c r="U870" s="226"/>
      <c r="V870" s="253"/>
    </row>
    <row r="871" customFormat="false" ht="12.75" hidden="false" customHeight="false" outlineLevel="0" collapsed="false">
      <c r="B871" s="228"/>
      <c r="C871" s="229"/>
      <c r="D871" s="219"/>
      <c r="E871" s="220"/>
      <c r="F871" s="229"/>
      <c r="G871" s="220"/>
      <c r="H871" s="220"/>
      <c r="I871" s="220"/>
      <c r="J871" s="220"/>
      <c r="K871" s="220"/>
      <c r="L871" s="220"/>
      <c r="M871" s="220"/>
      <c r="N871" s="220"/>
      <c r="O871" s="220"/>
      <c r="P871" s="220"/>
      <c r="Q871" s="220"/>
      <c r="R871" s="220"/>
      <c r="S871" s="220"/>
      <c r="T871" s="225"/>
      <c r="U871" s="226"/>
      <c r="V871" s="253"/>
    </row>
    <row r="872" customFormat="false" ht="12.75" hidden="false" customHeight="false" outlineLevel="0" collapsed="false">
      <c r="B872" s="228"/>
      <c r="C872" s="229"/>
      <c r="D872" s="219"/>
      <c r="E872" s="220"/>
      <c r="F872" s="229"/>
      <c r="G872" s="220"/>
      <c r="H872" s="220"/>
      <c r="I872" s="220"/>
      <c r="J872" s="220"/>
      <c r="K872" s="220"/>
      <c r="L872" s="220"/>
      <c r="M872" s="220"/>
      <c r="N872" s="220"/>
      <c r="O872" s="220"/>
      <c r="P872" s="220"/>
      <c r="Q872" s="220"/>
      <c r="R872" s="220"/>
      <c r="S872" s="220"/>
      <c r="T872" s="225"/>
      <c r="U872" s="226"/>
      <c r="V872" s="253"/>
    </row>
    <row r="873" customFormat="false" ht="12.75" hidden="false" customHeight="false" outlineLevel="0" collapsed="false">
      <c r="B873" s="228"/>
      <c r="C873" s="229"/>
      <c r="D873" s="219"/>
      <c r="E873" s="220"/>
      <c r="F873" s="229"/>
      <c r="G873" s="220"/>
      <c r="H873" s="220"/>
      <c r="I873" s="220"/>
      <c r="J873" s="220"/>
      <c r="K873" s="220"/>
      <c r="L873" s="220"/>
      <c r="M873" s="220"/>
      <c r="N873" s="220"/>
      <c r="O873" s="220"/>
      <c r="P873" s="220"/>
      <c r="Q873" s="220"/>
      <c r="R873" s="220"/>
      <c r="S873" s="220"/>
      <c r="T873" s="225"/>
      <c r="U873" s="226"/>
      <c r="V873" s="253"/>
    </row>
    <row r="874" customFormat="false" ht="12.75" hidden="false" customHeight="false" outlineLevel="0" collapsed="false">
      <c r="B874" s="228"/>
      <c r="C874" s="229"/>
      <c r="D874" s="219"/>
      <c r="E874" s="220"/>
      <c r="F874" s="229"/>
      <c r="G874" s="220"/>
      <c r="H874" s="220"/>
      <c r="I874" s="220"/>
      <c r="J874" s="220"/>
      <c r="K874" s="220"/>
      <c r="L874" s="220"/>
      <c r="M874" s="220"/>
      <c r="N874" s="220"/>
      <c r="O874" s="220"/>
      <c r="P874" s="220"/>
      <c r="Q874" s="220"/>
      <c r="R874" s="220"/>
      <c r="S874" s="220"/>
      <c r="T874" s="225"/>
      <c r="U874" s="226"/>
      <c r="V874" s="253"/>
    </row>
    <row r="875" customFormat="false" ht="12.75" hidden="false" customHeight="false" outlineLevel="0" collapsed="false">
      <c r="B875" s="228"/>
      <c r="C875" s="229"/>
      <c r="D875" s="219"/>
      <c r="E875" s="220"/>
      <c r="F875" s="229"/>
      <c r="G875" s="220"/>
      <c r="H875" s="220"/>
      <c r="I875" s="220"/>
      <c r="J875" s="220"/>
      <c r="K875" s="220"/>
      <c r="L875" s="220"/>
      <c r="M875" s="220"/>
      <c r="N875" s="220"/>
      <c r="O875" s="220"/>
      <c r="P875" s="220"/>
      <c r="Q875" s="220"/>
      <c r="R875" s="220"/>
      <c r="S875" s="220"/>
      <c r="T875" s="225"/>
      <c r="U875" s="226"/>
      <c r="V875" s="253"/>
    </row>
    <row r="876" customFormat="false" ht="12.75" hidden="false" customHeight="false" outlineLevel="0" collapsed="false">
      <c r="B876" s="228"/>
      <c r="C876" s="229"/>
      <c r="D876" s="219"/>
      <c r="E876" s="220"/>
      <c r="F876" s="229"/>
      <c r="G876" s="220"/>
      <c r="H876" s="220"/>
      <c r="I876" s="220"/>
      <c r="J876" s="220"/>
      <c r="K876" s="220"/>
      <c r="L876" s="220"/>
      <c r="M876" s="220"/>
      <c r="N876" s="220"/>
      <c r="O876" s="220"/>
      <c r="P876" s="220"/>
      <c r="Q876" s="220"/>
      <c r="R876" s="220"/>
      <c r="S876" s="220"/>
      <c r="T876" s="225"/>
      <c r="U876" s="226"/>
      <c r="V876" s="253"/>
    </row>
    <row r="877" customFormat="false" ht="12.75" hidden="false" customHeight="false" outlineLevel="0" collapsed="false">
      <c r="B877" s="228"/>
      <c r="C877" s="229"/>
      <c r="D877" s="219"/>
      <c r="E877" s="220"/>
      <c r="F877" s="229"/>
      <c r="G877" s="220"/>
      <c r="H877" s="220"/>
      <c r="I877" s="220"/>
      <c r="J877" s="220"/>
      <c r="K877" s="220"/>
      <c r="L877" s="220"/>
      <c r="M877" s="220"/>
      <c r="N877" s="220"/>
      <c r="O877" s="220"/>
      <c r="P877" s="220"/>
      <c r="Q877" s="220"/>
      <c r="R877" s="220"/>
      <c r="S877" s="220"/>
      <c r="T877" s="225"/>
      <c r="U877" s="226"/>
      <c r="V877" s="253"/>
    </row>
    <row r="878" customFormat="false" ht="12.75" hidden="false" customHeight="false" outlineLevel="0" collapsed="false">
      <c r="B878" s="228"/>
      <c r="C878" s="229"/>
      <c r="D878" s="219"/>
      <c r="E878" s="220"/>
      <c r="F878" s="229"/>
      <c r="G878" s="220"/>
      <c r="H878" s="220"/>
      <c r="I878" s="220"/>
      <c r="J878" s="220"/>
      <c r="K878" s="220"/>
      <c r="L878" s="220"/>
      <c r="M878" s="220"/>
      <c r="N878" s="220"/>
      <c r="O878" s="220"/>
      <c r="P878" s="220"/>
      <c r="Q878" s="220"/>
      <c r="R878" s="220"/>
      <c r="S878" s="220"/>
      <c r="T878" s="225"/>
      <c r="U878" s="226"/>
      <c r="V878" s="253"/>
    </row>
    <row r="879" customFormat="false" ht="12.75" hidden="false" customHeight="false" outlineLevel="0" collapsed="false">
      <c r="B879" s="228"/>
      <c r="C879" s="229"/>
      <c r="D879" s="219"/>
      <c r="E879" s="220"/>
      <c r="F879" s="229"/>
      <c r="G879" s="220"/>
      <c r="H879" s="220"/>
      <c r="I879" s="220"/>
      <c r="J879" s="220"/>
      <c r="K879" s="220"/>
      <c r="L879" s="220"/>
      <c r="M879" s="220"/>
      <c r="N879" s="220"/>
      <c r="O879" s="220"/>
      <c r="P879" s="220"/>
      <c r="Q879" s="220"/>
      <c r="R879" s="220"/>
      <c r="S879" s="220"/>
      <c r="T879" s="225"/>
      <c r="U879" s="226"/>
      <c r="V879" s="253"/>
    </row>
    <row r="880" customFormat="false" ht="12.75" hidden="false" customHeight="false" outlineLevel="0" collapsed="false">
      <c r="B880" s="228"/>
      <c r="C880" s="229"/>
      <c r="D880" s="219"/>
      <c r="E880" s="220"/>
      <c r="F880" s="229"/>
      <c r="G880" s="220"/>
      <c r="H880" s="220"/>
      <c r="I880" s="220"/>
      <c r="J880" s="220"/>
      <c r="K880" s="220"/>
      <c r="L880" s="220"/>
      <c r="M880" s="220"/>
      <c r="N880" s="220"/>
      <c r="O880" s="220"/>
      <c r="P880" s="220"/>
      <c r="Q880" s="220"/>
      <c r="R880" s="220"/>
      <c r="S880" s="220"/>
      <c r="T880" s="225"/>
      <c r="U880" s="226"/>
      <c r="V880" s="253"/>
    </row>
    <row r="881" customFormat="false" ht="12.75" hidden="false" customHeight="false" outlineLevel="0" collapsed="false">
      <c r="B881" s="228"/>
      <c r="C881" s="229"/>
      <c r="D881" s="219"/>
      <c r="E881" s="220"/>
      <c r="F881" s="229"/>
      <c r="G881" s="220"/>
      <c r="H881" s="220"/>
      <c r="I881" s="220"/>
      <c r="J881" s="220"/>
      <c r="K881" s="220"/>
      <c r="L881" s="220"/>
      <c r="M881" s="220"/>
      <c r="N881" s="220"/>
      <c r="O881" s="220"/>
      <c r="P881" s="220"/>
      <c r="Q881" s="220"/>
      <c r="R881" s="220"/>
      <c r="S881" s="220"/>
      <c r="T881" s="225"/>
      <c r="U881" s="226"/>
      <c r="V881" s="253"/>
    </row>
    <row r="882" customFormat="false" ht="12.75" hidden="false" customHeight="false" outlineLevel="0" collapsed="false">
      <c r="B882" s="228"/>
      <c r="C882" s="229"/>
      <c r="D882" s="219"/>
      <c r="E882" s="220"/>
      <c r="F882" s="229"/>
      <c r="G882" s="220"/>
      <c r="H882" s="220"/>
      <c r="I882" s="220"/>
      <c r="J882" s="220"/>
      <c r="K882" s="220"/>
      <c r="L882" s="220"/>
      <c r="M882" s="220"/>
      <c r="N882" s="220"/>
      <c r="O882" s="220"/>
      <c r="P882" s="220"/>
      <c r="Q882" s="220"/>
      <c r="R882" s="220"/>
      <c r="S882" s="220"/>
      <c r="T882" s="225"/>
      <c r="U882" s="226"/>
      <c r="V882" s="253"/>
    </row>
    <row r="883" customFormat="false" ht="12.75" hidden="false" customHeight="false" outlineLevel="0" collapsed="false">
      <c r="B883" s="228"/>
      <c r="C883" s="229"/>
      <c r="D883" s="219"/>
      <c r="E883" s="220"/>
      <c r="F883" s="229"/>
      <c r="G883" s="220"/>
      <c r="H883" s="220"/>
      <c r="I883" s="220"/>
      <c r="J883" s="220"/>
      <c r="K883" s="220"/>
      <c r="L883" s="220"/>
      <c r="M883" s="220"/>
      <c r="N883" s="220"/>
      <c r="O883" s="220"/>
      <c r="P883" s="220"/>
      <c r="Q883" s="220"/>
      <c r="R883" s="220"/>
      <c r="S883" s="220"/>
      <c r="T883" s="225"/>
      <c r="U883" s="226"/>
      <c r="V883" s="253"/>
    </row>
    <row r="884" customFormat="false" ht="12.75" hidden="false" customHeight="false" outlineLevel="0" collapsed="false">
      <c r="B884" s="228"/>
      <c r="C884" s="229"/>
      <c r="D884" s="219"/>
      <c r="E884" s="220"/>
      <c r="F884" s="229"/>
      <c r="G884" s="220"/>
      <c r="H884" s="220"/>
      <c r="I884" s="220"/>
      <c r="J884" s="220"/>
      <c r="K884" s="220"/>
      <c r="L884" s="220"/>
      <c r="M884" s="220"/>
      <c r="N884" s="220"/>
      <c r="O884" s="220"/>
      <c r="P884" s="220"/>
      <c r="Q884" s="220"/>
      <c r="R884" s="220"/>
      <c r="S884" s="220"/>
      <c r="T884" s="225"/>
      <c r="U884" s="226"/>
      <c r="V884" s="253"/>
    </row>
    <row r="885" customFormat="false" ht="12.75" hidden="false" customHeight="false" outlineLevel="0" collapsed="false">
      <c r="B885" s="228"/>
      <c r="C885" s="229"/>
      <c r="D885" s="219"/>
      <c r="E885" s="220"/>
      <c r="F885" s="229"/>
      <c r="G885" s="220"/>
      <c r="H885" s="220"/>
      <c r="I885" s="220"/>
      <c r="J885" s="220"/>
      <c r="K885" s="220"/>
      <c r="L885" s="220"/>
      <c r="M885" s="220"/>
      <c r="N885" s="220"/>
      <c r="O885" s="220"/>
      <c r="P885" s="220"/>
      <c r="Q885" s="220"/>
      <c r="R885" s="220"/>
      <c r="S885" s="220"/>
      <c r="T885" s="225"/>
      <c r="U885" s="226"/>
      <c r="V885" s="253"/>
    </row>
    <row r="886" customFormat="false" ht="12.75" hidden="false" customHeight="false" outlineLevel="0" collapsed="false">
      <c r="B886" s="228"/>
      <c r="C886" s="229"/>
      <c r="D886" s="219"/>
      <c r="E886" s="220"/>
      <c r="F886" s="229"/>
      <c r="G886" s="220"/>
      <c r="H886" s="220"/>
      <c r="I886" s="220"/>
      <c r="J886" s="220"/>
      <c r="K886" s="220"/>
      <c r="L886" s="220"/>
      <c r="M886" s="220"/>
      <c r="N886" s="220"/>
      <c r="O886" s="220"/>
      <c r="P886" s="220"/>
      <c r="Q886" s="220"/>
      <c r="R886" s="220"/>
      <c r="S886" s="220"/>
      <c r="T886" s="225"/>
      <c r="U886" s="226"/>
      <c r="V886" s="253"/>
    </row>
    <row r="887" customFormat="false" ht="12.75" hidden="false" customHeight="false" outlineLevel="0" collapsed="false">
      <c r="B887" s="228"/>
      <c r="C887" s="229"/>
      <c r="D887" s="219"/>
      <c r="E887" s="220"/>
      <c r="F887" s="229"/>
      <c r="G887" s="220"/>
      <c r="H887" s="220"/>
      <c r="I887" s="220"/>
      <c r="J887" s="220"/>
      <c r="K887" s="220"/>
      <c r="L887" s="220"/>
      <c r="M887" s="220"/>
      <c r="N887" s="220"/>
      <c r="O887" s="220"/>
      <c r="P887" s="220"/>
      <c r="Q887" s="220"/>
      <c r="R887" s="220"/>
      <c r="S887" s="220"/>
      <c r="T887" s="225"/>
      <c r="U887" s="226"/>
      <c r="V887" s="253"/>
    </row>
    <row r="888" customFormat="false" ht="12.75" hidden="false" customHeight="false" outlineLevel="0" collapsed="false">
      <c r="B888" s="228"/>
      <c r="C888" s="229"/>
      <c r="D888" s="219"/>
      <c r="E888" s="220"/>
      <c r="F888" s="229"/>
      <c r="G888" s="220"/>
      <c r="H888" s="220"/>
      <c r="I888" s="220"/>
      <c r="J888" s="220"/>
      <c r="K888" s="220"/>
      <c r="L888" s="220"/>
      <c r="M888" s="220"/>
      <c r="N888" s="220"/>
      <c r="O888" s="220"/>
      <c r="P888" s="220"/>
      <c r="Q888" s="220"/>
      <c r="R888" s="220"/>
      <c r="S888" s="220"/>
      <c r="T888" s="225"/>
      <c r="U888" s="226"/>
      <c r="V888" s="253"/>
    </row>
    <row r="889" customFormat="false" ht="12.75" hidden="false" customHeight="false" outlineLevel="0" collapsed="false">
      <c r="B889" s="228"/>
      <c r="C889" s="229"/>
      <c r="D889" s="219"/>
      <c r="E889" s="220"/>
      <c r="F889" s="229"/>
      <c r="G889" s="220"/>
      <c r="H889" s="220"/>
      <c r="I889" s="220"/>
      <c r="J889" s="220"/>
      <c r="K889" s="220"/>
      <c r="L889" s="220"/>
      <c r="M889" s="220"/>
      <c r="N889" s="220"/>
      <c r="O889" s="220"/>
      <c r="P889" s="220"/>
      <c r="Q889" s="220"/>
      <c r="R889" s="220"/>
      <c r="S889" s="220"/>
      <c r="T889" s="225"/>
      <c r="U889" s="226"/>
      <c r="V889" s="253"/>
    </row>
    <row r="890" customFormat="false" ht="12.75" hidden="false" customHeight="false" outlineLevel="0" collapsed="false">
      <c r="B890" s="228"/>
      <c r="C890" s="229"/>
      <c r="D890" s="219"/>
      <c r="E890" s="220"/>
      <c r="F890" s="229"/>
      <c r="G890" s="220"/>
      <c r="H890" s="220"/>
      <c r="I890" s="220"/>
      <c r="J890" s="220"/>
      <c r="K890" s="220"/>
      <c r="L890" s="220"/>
      <c r="M890" s="220"/>
      <c r="N890" s="220"/>
      <c r="O890" s="220"/>
      <c r="P890" s="220"/>
      <c r="Q890" s="220"/>
      <c r="R890" s="220"/>
      <c r="S890" s="220"/>
      <c r="T890" s="225"/>
      <c r="U890" s="226"/>
      <c r="V890" s="253"/>
    </row>
    <row r="891" customFormat="false" ht="12.75" hidden="false" customHeight="false" outlineLevel="0" collapsed="false">
      <c r="B891" s="228"/>
      <c r="C891" s="229"/>
      <c r="D891" s="219"/>
      <c r="E891" s="220"/>
      <c r="F891" s="229"/>
      <c r="G891" s="220"/>
      <c r="H891" s="220"/>
      <c r="I891" s="220"/>
      <c r="J891" s="220"/>
      <c r="K891" s="220"/>
      <c r="L891" s="220"/>
      <c r="M891" s="220"/>
      <c r="N891" s="220"/>
      <c r="O891" s="220"/>
      <c r="P891" s="220"/>
      <c r="Q891" s="220"/>
      <c r="R891" s="220"/>
      <c r="S891" s="220"/>
      <c r="T891" s="225"/>
      <c r="U891" s="226"/>
      <c r="V891" s="253"/>
    </row>
    <row r="892" customFormat="false" ht="12.75" hidden="false" customHeight="false" outlineLevel="0" collapsed="false">
      <c r="B892" s="228"/>
      <c r="C892" s="229"/>
      <c r="D892" s="219"/>
      <c r="E892" s="220"/>
      <c r="F892" s="229"/>
      <c r="G892" s="220"/>
      <c r="H892" s="220"/>
      <c r="I892" s="220"/>
      <c r="J892" s="220"/>
      <c r="K892" s="220"/>
      <c r="L892" s="220"/>
      <c r="M892" s="220"/>
      <c r="N892" s="220"/>
      <c r="O892" s="220"/>
      <c r="P892" s="220"/>
      <c r="Q892" s="220"/>
      <c r="R892" s="220"/>
      <c r="S892" s="220"/>
      <c r="T892" s="225"/>
      <c r="U892" s="226"/>
      <c r="V892" s="253"/>
    </row>
    <row r="893" customFormat="false" ht="12.75" hidden="false" customHeight="false" outlineLevel="0" collapsed="false">
      <c r="B893" s="228"/>
      <c r="C893" s="229"/>
      <c r="D893" s="219"/>
      <c r="E893" s="220"/>
      <c r="F893" s="229"/>
      <c r="G893" s="220"/>
      <c r="H893" s="220"/>
      <c r="I893" s="220"/>
      <c r="J893" s="220"/>
      <c r="K893" s="220"/>
      <c r="L893" s="220"/>
      <c r="M893" s="220"/>
      <c r="N893" s="220"/>
      <c r="O893" s="220"/>
      <c r="P893" s="220"/>
      <c r="Q893" s="220"/>
      <c r="R893" s="220"/>
      <c r="S893" s="220"/>
      <c r="T893" s="225"/>
      <c r="U893" s="226"/>
      <c r="V893" s="253"/>
    </row>
    <row r="894" customFormat="false" ht="12.75" hidden="false" customHeight="false" outlineLevel="0" collapsed="false">
      <c r="B894" s="228"/>
      <c r="C894" s="229"/>
      <c r="D894" s="219"/>
      <c r="E894" s="220"/>
      <c r="F894" s="229"/>
      <c r="G894" s="220"/>
      <c r="H894" s="220"/>
      <c r="I894" s="220"/>
      <c r="J894" s="220"/>
      <c r="K894" s="220"/>
      <c r="L894" s="220"/>
      <c r="M894" s="220"/>
      <c r="N894" s="220"/>
      <c r="O894" s="220"/>
      <c r="P894" s="220"/>
      <c r="Q894" s="220"/>
      <c r="R894" s="220"/>
      <c r="S894" s="220"/>
      <c r="T894" s="225"/>
      <c r="U894" s="226"/>
      <c r="V894" s="253"/>
    </row>
    <row r="895" customFormat="false" ht="12.75" hidden="false" customHeight="false" outlineLevel="0" collapsed="false">
      <c r="B895" s="228"/>
      <c r="C895" s="229"/>
      <c r="D895" s="219"/>
      <c r="E895" s="220"/>
      <c r="F895" s="229"/>
      <c r="G895" s="220"/>
      <c r="H895" s="220"/>
      <c r="I895" s="220"/>
      <c r="J895" s="220"/>
      <c r="K895" s="220"/>
      <c r="L895" s="220"/>
      <c r="M895" s="220"/>
      <c r="N895" s="220"/>
      <c r="O895" s="220"/>
      <c r="P895" s="220"/>
      <c r="Q895" s="220"/>
      <c r="R895" s="220"/>
      <c r="S895" s="220"/>
      <c r="T895" s="225"/>
      <c r="U895" s="226"/>
      <c r="V895" s="253"/>
    </row>
    <row r="896" customFormat="false" ht="12.75" hidden="false" customHeight="false" outlineLevel="0" collapsed="false">
      <c r="B896" s="228"/>
      <c r="C896" s="229"/>
      <c r="D896" s="219"/>
      <c r="E896" s="220"/>
      <c r="F896" s="229"/>
      <c r="G896" s="220"/>
      <c r="H896" s="220"/>
      <c r="I896" s="220"/>
      <c r="J896" s="220"/>
      <c r="K896" s="220"/>
      <c r="L896" s="220"/>
      <c r="M896" s="220"/>
      <c r="N896" s="220"/>
      <c r="O896" s="220"/>
      <c r="P896" s="220"/>
      <c r="Q896" s="220"/>
      <c r="R896" s="220"/>
      <c r="S896" s="220"/>
      <c r="T896" s="225"/>
      <c r="U896" s="226"/>
      <c r="V896" s="253"/>
    </row>
    <row r="897" customFormat="false" ht="12.75" hidden="false" customHeight="false" outlineLevel="0" collapsed="false">
      <c r="B897" s="228"/>
      <c r="C897" s="229"/>
      <c r="D897" s="219"/>
      <c r="E897" s="220"/>
      <c r="F897" s="229"/>
      <c r="G897" s="220"/>
      <c r="H897" s="220"/>
      <c r="I897" s="220"/>
      <c r="J897" s="220"/>
      <c r="K897" s="220"/>
      <c r="L897" s="220"/>
      <c r="M897" s="220"/>
      <c r="N897" s="220"/>
      <c r="O897" s="220"/>
      <c r="P897" s="220"/>
      <c r="Q897" s="220"/>
      <c r="R897" s="220"/>
      <c r="S897" s="220"/>
      <c r="T897" s="225"/>
      <c r="U897" s="226"/>
      <c r="V897" s="253"/>
    </row>
    <row r="898" customFormat="false" ht="12.75" hidden="false" customHeight="false" outlineLevel="0" collapsed="false">
      <c r="B898" s="228"/>
      <c r="C898" s="229"/>
      <c r="D898" s="219"/>
      <c r="E898" s="220"/>
      <c r="F898" s="229"/>
      <c r="G898" s="220"/>
      <c r="H898" s="220"/>
      <c r="I898" s="220"/>
      <c r="J898" s="220"/>
      <c r="K898" s="220"/>
      <c r="L898" s="220"/>
      <c r="M898" s="220"/>
      <c r="N898" s="220"/>
      <c r="O898" s="220"/>
      <c r="P898" s="220"/>
      <c r="Q898" s="220"/>
      <c r="R898" s="220"/>
      <c r="S898" s="220"/>
      <c r="T898" s="225"/>
      <c r="U898" s="226"/>
      <c r="V898" s="253"/>
    </row>
    <row r="899" customFormat="false" ht="12.75" hidden="false" customHeight="false" outlineLevel="0" collapsed="false">
      <c r="B899" s="228"/>
      <c r="C899" s="229"/>
      <c r="D899" s="219"/>
      <c r="E899" s="220"/>
      <c r="F899" s="229"/>
      <c r="G899" s="220"/>
      <c r="H899" s="220"/>
      <c r="I899" s="220"/>
      <c r="J899" s="220"/>
      <c r="K899" s="220"/>
      <c r="L899" s="220"/>
      <c r="M899" s="220"/>
      <c r="N899" s="220"/>
      <c r="O899" s="220"/>
      <c r="P899" s="220"/>
      <c r="Q899" s="220"/>
      <c r="R899" s="220"/>
      <c r="S899" s="220"/>
      <c r="T899" s="225"/>
      <c r="U899" s="226"/>
      <c r="V899" s="253"/>
    </row>
    <row r="900" customFormat="false" ht="12.75" hidden="false" customHeight="false" outlineLevel="0" collapsed="false">
      <c r="B900" s="228"/>
      <c r="C900" s="229"/>
      <c r="D900" s="219"/>
      <c r="E900" s="220"/>
      <c r="F900" s="229"/>
      <c r="G900" s="220"/>
      <c r="H900" s="220"/>
      <c r="I900" s="220"/>
      <c r="J900" s="220"/>
      <c r="K900" s="220"/>
      <c r="L900" s="220"/>
      <c r="M900" s="220"/>
      <c r="N900" s="220"/>
      <c r="O900" s="220"/>
      <c r="P900" s="220"/>
      <c r="Q900" s="220"/>
      <c r="R900" s="220"/>
      <c r="S900" s="220"/>
      <c r="T900" s="225"/>
      <c r="U900" s="226"/>
      <c r="V900" s="253"/>
    </row>
    <row r="901" customFormat="false" ht="12.75" hidden="false" customHeight="false" outlineLevel="0" collapsed="false">
      <c r="B901" s="228"/>
      <c r="C901" s="229"/>
      <c r="D901" s="219"/>
      <c r="E901" s="220"/>
      <c r="F901" s="229"/>
      <c r="G901" s="220"/>
      <c r="H901" s="220"/>
      <c r="I901" s="220"/>
      <c r="J901" s="220"/>
      <c r="K901" s="220"/>
      <c r="L901" s="220"/>
      <c r="M901" s="220"/>
      <c r="N901" s="220"/>
      <c r="O901" s="220"/>
      <c r="P901" s="220"/>
      <c r="Q901" s="220"/>
      <c r="R901" s="220"/>
      <c r="S901" s="220"/>
      <c r="T901" s="225"/>
      <c r="U901" s="226"/>
      <c r="V901" s="253"/>
    </row>
    <row r="902" customFormat="false" ht="12.75" hidden="false" customHeight="false" outlineLevel="0" collapsed="false">
      <c r="B902" s="228"/>
      <c r="C902" s="229"/>
      <c r="D902" s="219"/>
      <c r="E902" s="220"/>
      <c r="F902" s="229"/>
      <c r="G902" s="220"/>
      <c r="H902" s="220"/>
      <c r="I902" s="220"/>
      <c r="J902" s="220"/>
      <c r="K902" s="220"/>
      <c r="L902" s="220"/>
      <c r="M902" s="220"/>
      <c r="N902" s="220"/>
      <c r="O902" s="220"/>
      <c r="P902" s="220"/>
      <c r="Q902" s="220"/>
      <c r="R902" s="220"/>
      <c r="S902" s="220"/>
      <c r="T902" s="225"/>
      <c r="U902" s="226"/>
      <c r="V902" s="253"/>
    </row>
    <row r="903" customFormat="false" ht="12.75" hidden="false" customHeight="false" outlineLevel="0" collapsed="false">
      <c r="B903" s="228"/>
      <c r="C903" s="229"/>
      <c r="D903" s="219"/>
      <c r="E903" s="220"/>
      <c r="F903" s="229"/>
      <c r="G903" s="220"/>
      <c r="H903" s="220"/>
      <c r="I903" s="220"/>
      <c r="J903" s="220"/>
      <c r="K903" s="220"/>
      <c r="L903" s="220"/>
      <c r="M903" s="220"/>
      <c r="N903" s="220"/>
      <c r="O903" s="220"/>
      <c r="P903" s="220"/>
      <c r="Q903" s="220"/>
      <c r="R903" s="220"/>
      <c r="S903" s="220"/>
      <c r="T903" s="225"/>
      <c r="U903" s="226"/>
      <c r="V903" s="253"/>
    </row>
    <row r="904" customFormat="false" ht="12.75" hidden="false" customHeight="false" outlineLevel="0" collapsed="false">
      <c r="B904" s="228"/>
      <c r="C904" s="229"/>
      <c r="D904" s="219"/>
      <c r="E904" s="220"/>
      <c r="F904" s="229"/>
      <c r="G904" s="220"/>
      <c r="H904" s="220"/>
      <c r="I904" s="220"/>
      <c r="J904" s="220"/>
      <c r="K904" s="220"/>
      <c r="L904" s="220"/>
      <c r="M904" s="220"/>
      <c r="N904" s="220"/>
      <c r="O904" s="220"/>
      <c r="P904" s="220"/>
      <c r="Q904" s="220"/>
      <c r="R904" s="220"/>
      <c r="S904" s="220"/>
      <c r="T904" s="225"/>
      <c r="U904" s="226"/>
      <c r="V904" s="253"/>
    </row>
    <row r="905" customFormat="false" ht="12.75" hidden="false" customHeight="false" outlineLevel="0" collapsed="false">
      <c r="B905" s="228"/>
      <c r="C905" s="229"/>
      <c r="D905" s="219"/>
      <c r="E905" s="220"/>
      <c r="F905" s="229"/>
      <c r="G905" s="220"/>
      <c r="H905" s="220"/>
      <c r="I905" s="220"/>
      <c r="J905" s="220"/>
      <c r="K905" s="220"/>
      <c r="L905" s="220"/>
      <c r="M905" s="220"/>
      <c r="N905" s="220"/>
      <c r="O905" s="220"/>
      <c r="P905" s="220"/>
      <c r="Q905" s="220"/>
      <c r="R905" s="220"/>
      <c r="S905" s="220"/>
      <c r="T905" s="225"/>
      <c r="U905" s="226"/>
      <c r="V905" s="253"/>
    </row>
    <row r="906" customFormat="false" ht="12.75" hidden="false" customHeight="false" outlineLevel="0" collapsed="false">
      <c r="B906" s="228"/>
      <c r="C906" s="229"/>
      <c r="D906" s="219"/>
      <c r="E906" s="220"/>
      <c r="F906" s="229"/>
      <c r="G906" s="220"/>
      <c r="H906" s="220"/>
      <c r="I906" s="220"/>
      <c r="J906" s="220"/>
      <c r="K906" s="220"/>
      <c r="L906" s="220"/>
      <c r="M906" s="220"/>
      <c r="N906" s="220"/>
      <c r="O906" s="220"/>
      <c r="P906" s="220"/>
      <c r="Q906" s="220"/>
      <c r="R906" s="220"/>
      <c r="S906" s="220"/>
      <c r="T906" s="225"/>
      <c r="U906" s="226"/>
      <c r="V906" s="253"/>
    </row>
    <row r="907" customFormat="false" ht="12.75" hidden="false" customHeight="false" outlineLevel="0" collapsed="false">
      <c r="B907" s="228"/>
      <c r="C907" s="229"/>
      <c r="D907" s="219"/>
      <c r="E907" s="220"/>
      <c r="F907" s="229"/>
      <c r="G907" s="220"/>
      <c r="H907" s="220"/>
      <c r="I907" s="220"/>
      <c r="J907" s="220"/>
      <c r="K907" s="220"/>
      <c r="L907" s="220"/>
      <c r="M907" s="220"/>
      <c r="N907" s="220"/>
      <c r="O907" s="220"/>
      <c r="P907" s="220"/>
      <c r="Q907" s="220"/>
      <c r="R907" s="220"/>
      <c r="S907" s="220"/>
      <c r="T907" s="225"/>
      <c r="U907" s="226"/>
      <c r="V907" s="253"/>
    </row>
    <row r="908" customFormat="false" ht="12.75" hidden="false" customHeight="false" outlineLevel="0" collapsed="false">
      <c r="B908" s="228"/>
      <c r="C908" s="229"/>
      <c r="D908" s="219"/>
      <c r="E908" s="220"/>
      <c r="F908" s="229"/>
      <c r="G908" s="220"/>
      <c r="H908" s="220"/>
      <c r="I908" s="220"/>
      <c r="J908" s="220"/>
      <c r="K908" s="220"/>
      <c r="L908" s="220"/>
      <c r="M908" s="220"/>
      <c r="N908" s="220"/>
      <c r="O908" s="220"/>
      <c r="P908" s="220"/>
      <c r="Q908" s="220"/>
      <c r="R908" s="220"/>
      <c r="S908" s="220"/>
      <c r="T908" s="225"/>
      <c r="U908" s="226"/>
      <c r="V908" s="253"/>
    </row>
    <row r="909" customFormat="false" ht="12.75" hidden="false" customHeight="false" outlineLevel="0" collapsed="false">
      <c r="B909" s="228"/>
      <c r="C909" s="229"/>
      <c r="D909" s="219"/>
      <c r="E909" s="220"/>
      <c r="F909" s="229"/>
      <c r="G909" s="220"/>
      <c r="H909" s="220"/>
      <c r="I909" s="220"/>
      <c r="J909" s="220"/>
      <c r="K909" s="220"/>
      <c r="L909" s="220"/>
      <c r="M909" s="220"/>
      <c r="N909" s="220"/>
      <c r="O909" s="220"/>
      <c r="P909" s="220"/>
      <c r="Q909" s="220"/>
      <c r="R909" s="220"/>
      <c r="S909" s="220"/>
      <c r="T909" s="225"/>
      <c r="U909" s="226"/>
      <c r="V909" s="253"/>
    </row>
    <row r="910" customFormat="false" ht="12.75" hidden="false" customHeight="false" outlineLevel="0" collapsed="false">
      <c r="B910" s="228"/>
      <c r="C910" s="229"/>
      <c r="D910" s="219"/>
      <c r="E910" s="220"/>
      <c r="F910" s="229"/>
      <c r="G910" s="220"/>
      <c r="H910" s="220"/>
      <c r="I910" s="220"/>
      <c r="J910" s="220"/>
      <c r="K910" s="220"/>
      <c r="L910" s="220"/>
      <c r="M910" s="220"/>
      <c r="N910" s="220"/>
      <c r="O910" s="220"/>
      <c r="P910" s="220"/>
      <c r="Q910" s="220"/>
      <c r="R910" s="220"/>
      <c r="S910" s="220"/>
      <c r="T910" s="225"/>
      <c r="U910" s="226"/>
      <c r="V910" s="253"/>
    </row>
    <row r="911" customFormat="false" ht="12.75" hidden="false" customHeight="false" outlineLevel="0" collapsed="false">
      <c r="B911" s="228"/>
      <c r="C911" s="229"/>
      <c r="D911" s="219"/>
      <c r="E911" s="220"/>
      <c r="F911" s="229"/>
      <c r="G911" s="220"/>
      <c r="H911" s="220"/>
      <c r="I911" s="220"/>
      <c r="J911" s="220"/>
      <c r="K911" s="220"/>
      <c r="L911" s="220"/>
      <c r="M911" s="220"/>
      <c r="N911" s="220"/>
      <c r="O911" s="220"/>
      <c r="P911" s="220"/>
      <c r="Q911" s="220"/>
      <c r="R911" s="220"/>
      <c r="S911" s="220"/>
      <c r="T911" s="225"/>
      <c r="U911" s="226"/>
      <c r="V911" s="253"/>
    </row>
    <row r="912" customFormat="false" ht="12.75" hidden="false" customHeight="false" outlineLevel="0" collapsed="false">
      <c r="B912" s="228"/>
      <c r="C912" s="229"/>
      <c r="D912" s="219"/>
      <c r="E912" s="220"/>
      <c r="F912" s="229"/>
      <c r="G912" s="220"/>
      <c r="H912" s="220"/>
      <c r="I912" s="220"/>
      <c r="J912" s="220"/>
      <c r="K912" s="220"/>
      <c r="L912" s="220"/>
      <c r="M912" s="220"/>
      <c r="N912" s="220"/>
      <c r="O912" s="220"/>
      <c r="P912" s="220"/>
      <c r="Q912" s="220"/>
      <c r="R912" s="220"/>
      <c r="S912" s="220"/>
      <c r="T912" s="225"/>
      <c r="U912" s="226"/>
      <c r="V912" s="253"/>
    </row>
    <row r="913" customFormat="false" ht="12.75" hidden="false" customHeight="false" outlineLevel="0" collapsed="false">
      <c r="B913" s="228"/>
      <c r="C913" s="229"/>
      <c r="D913" s="219"/>
      <c r="E913" s="220"/>
      <c r="F913" s="229"/>
      <c r="G913" s="220"/>
      <c r="H913" s="220"/>
      <c r="I913" s="220"/>
      <c r="J913" s="220"/>
      <c r="K913" s="220"/>
      <c r="L913" s="220"/>
      <c r="M913" s="220"/>
      <c r="N913" s="220"/>
      <c r="O913" s="220"/>
      <c r="P913" s="220"/>
      <c r="Q913" s="220"/>
      <c r="R913" s="220"/>
      <c r="S913" s="220"/>
      <c r="T913" s="225"/>
      <c r="U913" s="226"/>
      <c r="V913" s="253"/>
    </row>
    <row r="914" customFormat="false" ht="12.75" hidden="false" customHeight="false" outlineLevel="0" collapsed="false">
      <c r="B914" s="228"/>
      <c r="C914" s="229"/>
      <c r="D914" s="219"/>
      <c r="E914" s="220"/>
      <c r="F914" s="229"/>
      <c r="G914" s="220"/>
      <c r="H914" s="220"/>
      <c r="I914" s="220"/>
      <c r="J914" s="220"/>
      <c r="K914" s="220"/>
      <c r="L914" s="220"/>
      <c r="M914" s="220"/>
      <c r="N914" s="220"/>
      <c r="O914" s="220"/>
      <c r="P914" s="220"/>
      <c r="Q914" s="220"/>
      <c r="R914" s="220"/>
      <c r="S914" s="220"/>
      <c r="T914" s="225"/>
      <c r="U914" s="226"/>
      <c r="V914" s="253"/>
    </row>
    <row r="915" customFormat="false" ht="12.75" hidden="false" customHeight="false" outlineLevel="0" collapsed="false">
      <c r="B915" s="228"/>
      <c r="C915" s="229"/>
      <c r="D915" s="219"/>
      <c r="E915" s="220"/>
      <c r="F915" s="229"/>
      <c r="G915" s="220"/>
      <c r="H915" s="220"/>
      <c r="I915" s="220"/>
      <c r="J915" s="220"/>
      <c r="K915" s="220"/>
      <c r="L915" s="220"/>
      <c r="M915" s="220"/>
      <c r="N915" s="220"/>
      <c r="O915" s="220"/>
      <c r="P915" s="220"/>
      <c r="Q915" s="220"/>
      <c r="R915" s="220"/>
      <c r="S915" s="220"/>
      <c r="T915" s="225"/>
      <c r="U915" s="226"/>
      <c r="V915" s="253"/>
    </row>
    <row r="916" customFormat="false" ht="12.75" hidden="false" customHeight="false" outlineLevel="0" collapsed="false">
      <c r="B916" s="228"/>
      <c r="C916" s="229"/>
      <c r="D916" s="219"/>
      <c r="E916" s="220"/>
      <c r="F916" s="229"/>
      <c r="G916" s="220"/>
      <c r="H916" s="220"/>
      <c r="I916" s="220"/>
      <c r="J916" s="220"/>
      <c r="K916" s="220"/>
      <c r="L916" s="220"/>
      <c r="M916" s="220"/>
      <c r="N916" s="220"/>
      <c r="O916" s="220"/>
      <c r="P916" s="220"/>
      <c r="Q916" s="220"/>
      <c r="R916" s="220"/>
      <c r="S916" s="220"/>
      <c r="T916" s="225"/>
      <c r="U916" s="226"/>
      <c r="V916" s="253"/>
    </row>
    <row r="917" customFormat="false" ht="12.75" hidden="false" customHeight="false" outlineLevel="0" collapsed="false">
      <c r="B917" s="228"/>
      <c r="C917" s="229"/>
      <c r="D917" s="219"/>
      <c r="E917" s="220"/>
      <c r="F917" s="229"/>
      <c r="G917" s="220"/>
      <c r="H917" s="220"/>
      <c r="I917" s="220"/>
      <c r="J917" s="220"/>
      <c r="K917" s="220"/>
      <c r="L917" s="220"/>
      <c r="M917" s="220"/>
      <c r="N917" s="220"/>
      <c r="O917" s="220"/>
      <c r="P917" s="220"/>
      <c r="Q917" s="220"/>
      <c r="R917" s="220"/>
      <c r="S917" s="220"/>
      <c r="T917" s="225"/>
      <c r="U917" s="226"/>
      <c r="V917" s="253"/>
    </row>
    <row r="918" customFormat="false" ht="12.75" hidden="false" customHeight="false" outlineLevel="0" collapsed="false">
      <c r="B918" s="228"/>
      <c r="C918" s="229"/>
      <c r="D918" s="219"/>
      <c r="E918" s="220"/>
      <c r="F918" s="229"/>
      <c r="G918" s="220"/>
      <c r="H918" s="220"/>
      <c r="I918" s="220"/>
      <c r="J918" s="220"/>
      <c r="K918" s="220"/>
      <c r="L918" s="220"/>
      <c r="M918" s="220"/>
      <c r="N918" s="220"/>
      <c r="O918" s="220"/>
      <c r="P918" s="220"/>
      <c r="Q918" s="220"/>
      <c r="R918" s="220"/>
      <c r="S918" s="220"/>
      <c r="T918" s="225"/>
      <c r="U918" s="226"/>
      <c r="V918" s="253"/>
    </row>
    <row r="919" customFormat="false" ht="12.75" hidden="false" customHeight="false" outlineLevel="0" collapsed="false">
      <c r="B919" s="228"/>
      <c r="C919" s="229"/>
      <c r="D919" s="219"/>
      <c r="E919" s="220"/>
      <c r="F919" s="229"/>
      <c r="G919" s="220"/>
      <c r="H919" s="220"/>
      <c r="I919" s="220"/>
      <c r="J919" s="220"/>
      <c r="K919" s="220"/>
      <c r="L919" s="220"/>
      <c r="M919" s="220"/>
      <c r="N919" s="220"/>
      <c r="O919" s="220"/>
      <c r="P919" s="220"/>
      <c r="Q919" s="220"/>
      <c r="R919" s="220"/>
      <c r="S919" s="220"/>
      <c r="T919" s="225"/>
      <c r="U919" s="226"/>
      <c r="V919" s="253"/>
    </row>
    <row r="920" customFormat="false" ht="12.75" hidden="false" customHeight="false" outlineLevel="0" collapsed="false">
      <c r="B920" s="228"/>
      <c r="C920" s="229"/>
      <c r="D920" s="219"/>
      <c r="E920" s="220"/>
      <c r="F920" s="229"/>
      <c r="G920" s="220"/>
      <c r="H920" s="220"/>
      <c r="I920" s="220"/>
      <c r="J920" s="220"/>
      <c r="K920" s="220"/>
      <c r="L920" s="220"/>
      <c r="M920" s="220"/>
      <c r="N920" s="220"/>
      <c r="O920" s="220"/>
      <c r="P920" s="220"/>
      <c r="Q920" s="220"/>
      <c r="R920" s="220"/>
      <c r="S920" s="220"/>
      <c r="T920" s="225"/>
      <c r="U920" s="226"/>
      <c r="V920" s="253"/>
    </row>
    <row r="921" customFormat="false" ht="12.75" hidden="false" customHeight="false" outlineLevel="0" collapsed="false">
      <c r="B921" s="228"/>
      <c r="C921" s="229"/>
      <c r="D921" s="219"/>
      <c r="E921" s="220"/>
      <c r="F921" s="229"/>
      <c r="G921" s="220"/>
      <c r="H921" s="220"/>
      <c r="I921" s="220"/>
      <c r="J921" s="220"/>
      <c r="K921" s="220"/>
      <c r="L921" s="220"/>
      <c r="M921" s="220"/>
      <c r="N921" s="220"/>
      <c r="O921" s="220"/>
      <c r="P921" s="220"/>
      <c r="Q921" s="220"/>
      <c r="R921" s="220"/>
      <c r="S921" s="220"/>
      <c r="T921" s="225"/>
      <c r="U921" s="226"/>
      <c r="V921" s="253"/>
    </row>
    <row r="922" customFormat="false" ht="12.75" hidden="false" customHeight="false" outlineLevel="0" collapsed="false">
      <c r="B922" s="228"/>
      <c r="C922" s="229"/>
      <c r="D922" s="219"/>
      <c r="E922" s="220"/>
      <c r="F922" s="229"/>
      <c r="G922" s="220"/>
      <c r="H922" s="220"/>
      <c r="I922" s="220"/>
      <c r="J922" s="220"/>
      <c r="K922" s="220"/>
      <c r="L922" s="220"/>
      <c r="M922" s="220"/>
      <c r="N922" s="220"/>
      <c r="O922" s="220"/>
      <c r="P922" s="220"/>
      <c r="Q922" s="220"/>
      <c r="R922" s="220"/>
      <c r="S922" s="220"/>
      <c r="T922" s="225"/>
      <c r="U922" s="226"/>
      <c r="V922" s="253"/>
    </row>
    <row r="923" customFormat="false" ht="12.75" hidden="false" customHeight="false" outlineLevel="0" collapsed="false">
      <c r="B923" s="228"/>
      <c r="C923" s="229"/>
      <c r="D923" s="219"/>
      <c r="E923" s="220"/>
      <c r="F923" s="229"/>
      <c r="G923" s="220"/>
      <c r="H923" s="220"/>
      <c r="I923" s="220"/>
      <c r="J923" s="220"/>
      <c r="K923" s="220"/>
      <c r="L923" s="220"/>
      <c r="M923" s="220"/>
      <c r="N923" s="220"/>
      <c r="O923" s="220"/>
      <c r="P923" s="220"/>
      <c r="Q923" s="220"/>
      <c r="R923" s="220"/>
      <c r="S923" s="220"/>
      <c r="T923" s="225"/>
      <c r="U923" s="226"/>
      <c r="V923" s="253"/>
    </row>
    <row r="924" customFormat="false" ht="12.75" hidden="false" customHeight="false" outlineLevel="0" collapsed="false">
      <c r="B924" s="228"/>
      <c r="C924" s="229"/>
      <c r="D924" s="219"/>
      <c r="E924" s="220"/>
      <c r="F924" s="229"/>
      <c r="G924" s="220"/>
      <c r="H924" s="220"/>
      <c r="I924" s="220"/>
      <c r="J924" s="220"/>
      <c r="K924" s="220"/>
      <c r="L924" s="220"/>
      <c r="M924" s="220"/>
      <c r="N924" s="220"/>
      <c r="O924" s="220"/>
      <c r="P924" s="220"/>
      <c r="Q924" s="220"/>
      <c r="R924" s="220"/>
      <c r="S924" s="220"/>
      <c r="T924" s="225"/>
      <c r="U924" s="226"/>
      <c r="V924" s="253"/>
    </row>
    <row r="925" customFormat="false" ht="12.75" hidden="false" customHeight="false" outlineLevel="0" collapsed="false">
      <c r="B925" s="228"/>
      <c r="C925" s="229"/>
      <c r="D925" s="219"/>
      <c r="E925" s="220"/>
      <c r="F925" s="229"/>
      <c r="G925" s="220"/>
      <c r="H925" s="220"/>
      <c r="I925" s="220"/>
      <c r="J925" s="220"/>
      <c r="K925" s="220"/>
      <c r="L925" s="220"/>
      <c r="M925" s="220"/>
      <c r="N925" s="220"/>
      <c r="O925" s="220"/>
      <c r="P925" s="220"/>
      <c r="Q925" s="220"/>
      <c r="R925" s="220"/>
      <c r="S925" s="220"/>
      <c r="T925" s="225"/>
      <c r="U925" s="226"/>
      <c r="V925" s="253"/>
    </row>
    <row r="926" customFormat="false" ht="12.75" hidden="false" customHeight="false" outlineLevel="0" collapsed="false">
      <c r="B926" s="228"/>
      <c r="C926" s="229"/>
      <c r="D926" s="219"/>
      <c r="E926" s="220"/>
      <c r="F926" s="229"/>
      <c r="G926" s="220"/>
      <c r="H926" s="220"/>
      <c r="I926" s="220"/>
      <c r="J926" s="220"/>
      <c r="K926" s="220"/>
      <c r="L926" s="220"/>
      <c r="M926" s="220"/>
      <c r="N926" s="220"/>
      <c r="O926" s="220"/>
      <c r="P926" s="220"/>
      <c r="Q926" s="220"/>
      <c r="R926" s="220"/>
      <c r="S926" s="220"/>
      <c r="T926" s="225"/>
      <c r="U926" s="226"/>
      <c r="V926" s="253"/>
    </row>
    <row r="927" customFormat="false" ht="12.75" hidden="false" customHeight="false" outlineLevel="0" collapsed="false">
      <c r="B927" s="228"/>
      <c r="C927" s="229"/>
      <c r="D927" s="219"/>
      <c r="E927" s="220"/>
      <c r="F927" s="229"/>
      <c r="G927" s="220"/>
      <c r="H927" s="220"/>
      <c r="I927" s="220"/>
      <c r="J927" s="220"/>
      <c r="K927" s="220"/>
      <c r="L927" s="220"/>
      <c r="M927" s="220"/>
      <c r="N927" s="220"/>
      <c r="O927" s="220"/>
      <c r="P927" s="220"/>
      <c r="Q927" s="220"/>
      <c r="R927" s="220"/>
      <c r="S927" s="220"/>
      <c r="T927" s="225"/>
      <c r="U927" s="226"/>
      <c r="V927" s="253"/>
    </row>
    <row r="928" customFormat="false" ht="12.75" hidden="false" customHeight="false" outlineLevel="0" collapsed="false">
      <c r="B928" s="228"/>
      <c r="C928" s="229"/>
      <c r="D928" s="219"/>
      <c r="E928" s="220"/>
      <c r="F928" s="229"/>
      <c r="G928" s="220"/>
      <c r="H928" s="220"/>
      <c r="I928" s="220"/>
      <c r="J928" s="220"/>
      <c r="K928" s="220"/>
      <c r="L928" s="220"/>
      <c r="M928" s="220"/>
      <c r="N928" s="220"/>
      <c r="O928" s="220"/>
      <c r="P928" s="220"/>
      <c r="Q928" s="220"/>
      <c r="R928" s="220"/>
      <c r="S928" s="220"/>
      <c r="T928" s="225"/>
      <c r="U928" s="226"/>
      <c r="V928" s="253"/>
    </row>
    <row r="929" customFormat="false" ht="12.75" hidden="false" customHeight="false" outlineLevel="0" collapsed="false">
      <c r="B929" s="228"/>
      <c r="C929" s="229"/>
      <c r="D929" s="219"/>
      <c r="E929" s="220"/>
      <c r="F929" s="229"/>
      <c r="G929" s="220"/>
      <c r="H929" s="220"/>
      <c r="I929" s="220"/>
      <c r="J929" s="220"/>
      <c r="K929" s="220"/>
      <c r="L929" s="220"/>
      <c r="M929" s="220"/>
      <c r="N929" s="220"/>
      <c r="O929" s="220"/>
      <c r="P929" s="220"/>
      <c r="Q929" s="220"/>
      <c r="R929" s="220"/>
      <c r="S929" s="220"/>
      <c r="T929" s="225"/>
      <c r="U929" s="226"/>
      <c r="V929" s="253"/>
    </row>
    <row r="930" customFormat="false" ht="12.75" hidden="false" customHeight="false" outlineLevel="0" collapsed="false">
      <c r="B930" s="228"/>
      <c r="C930" s="229"/>
      <c r="D930" s="219"/>
      <c r="E930" s="220"/>
      <c r="F930" s="229"/>
      <c r="G930" s="220"/>
      <c r="H930" s="220"/>
      <c r="I930" s="220"/>
      <c r="J930" s="220"/>
      <c r="K930" s="220"/>
      <c r="L930" s="220"/>
      <c r="M930" s="220"/>
      <c r="N930" s="220"/>
      <c r="O930" s="220"/>
      <c r="P930" s="220"/>
      <c r="Q930" s="220"/>
      <c r="R930" s="220"/>
      <c r="S930" s="220"/>
      <c r="T930" s="225"/>
      <c r="U930" s="226"/>
      <c r="V930" s="253"/>
    </row>
    <row r="931" customFormat="false" ht="12.75" hidden="false" customHeight="false" outlineLevel="0" collapsed="false">
      <c r="B931" s="228"/>
      <c r="C931" s="229"/>
      <c r="D931" s="219"/>
      <c r="E931" s="220"/>
      <c r="F931" s="229"/>
      <c r="G931" s="220"/>
      <c r="H931" s="220"/>
      <c r="I931" s="220"/>
      <c r="J931" s="220"/>
      <c r="K931" s="220"/>
      <c r="L931" s="220"/>
      <c r="M931" s="220"/>
      <c r="N931" s="220"/>
      <c r="O931" s="220"/>
      <c r="P931" s="220"/>
      <c r="Q931" s="220"/>
      <c r="R931" s="220"/>
      <c r="S931" s="220"/>
      <c r="T931" s="225"/>
      <c r="U931" s="226"/>
      <c r="V931" s="253"/>
    </row>
    <row r="932" customFormat="false" ht="12.75" hidden="false" customHeight="false" outlineLevel="0" collapsed="false">
      <c r="B932" s="228"/>
      <c r="C932" s="229"/>
      <c r="D932" s="219"/>
      <c r="E932" s="220"/>
      <c r="F932" s="229"/>
      <c r="G932" s="220"/>
      <c r="H932" s="220"/>
      <c r="I932" s="220"/>
      <c r="J932" s="220"/>
      <c r="K932" s="220"/>
      <c r="L932" s="220"/>
      <c r="M932" s="220"/>
      <c r="N932" s="220"/>
      <c r="O932" s="220"/>
      <c r="P932" s="220"/>
      <c r="Q932" s="220"/>
      <c r="R932" s="220"/>
      <c r="S932" s="220"/>
      <c r="T932" s="225"/>
      <c r="U932" s="226"/>
      <c r="V932" s="253"/>
    </row>
    <row r="933" customFormat="false" ht="12.75" hidden="false" customHeight="false" outlineLevel="0" collapsed="false">
      <c r="B933" s="228"/>
      <c r="C933" s="229"/>
      <c r="D933" s="219"/>
      <c r="E933" s="220"/>
      <c r="F933" s="229"/>
      <c r="G933" s="220"/>
      <c r="H933" s="220"/>
      <c r="I933" s="220"/>
      <c r="J933" s="220"/>
      <c r="K933" s="220"/>
      <c r="L933" s="220"/>
      <c r="M933" s="220"/>
      <c r="N933" s="220"/>
      <c r="O933" s="220"/>
      <c r="P933" s="220"/>
      <c r="Q933" s="220"/>
      <c r="R933" s="220"/>
      <c r="S933" s="220"/>
      <c r="T933" s="225"/>
      <c r="U933" s="226"/>
      <c r="V933" s="253"/>
    </row>
    <row r="934" customFormat="false" ht="12.75" hidden="false" customHeight="false" outlineLevel="0" collapsed="false">
      <c r="B934" s="228"/>
      <c r="C934" s="229"/>
      <c r="D934" s="219"/>
      <c r="E934" s="220"/>
      <c r="F934" s="229"/>
      <c r="G934" s="220"/>
      <c r="H934" s="220"/>
      <c r="I934" s="220"/>
      <c r="J934" s="220"/>
      <c r="K934" s="220"/>
      <c r="L934" s="220"/>
      <c r="M934" s="220"/>
      <c r="N934" s="220"/>
      <c r="O934" s="220"/>
      <c r="P934" s="220"/>
      <c r="Q934" s="220"/>
      <c r="R934" s="220"/>
      <c r="S934" s="220"/>
      <c r="T934" s="225"/>
      <c r="U934" s="226"/>
      <c r="V934" s="253"/>
    </row>
    <row r="935" customFormat="false" ht="12.75" hidden="false" customHeight="false" outlineLevel="0" collapsed="false">
      <c r="B935" s="228"/>
      <c r="C935" s="229"/>
      <c r="D935" s="219"/>
      <c r="E935" s="220"/>
      <c r="F935" s="229"/>
      <c r="G935" s="220"/>
      <c r="H935" s="220"/>
      <c r="I935" s="220"/>
      <c r="J935" s="220"/>
      <c r="K935" s="220"/>
      <c r="L935" s="220"/>
      <c r="M935" s="220"/>
      <c r="N935" s="220"/>
      <c r="O935" s="220"/>
      <c r="P935" s="220"/>
      <c r="Q935" s="220"/>
      <c r="R935" s="220"/>
      <c r="S935" s="220"/>
      <c r="T935" s="225"/>
      <c r="U935" s="226"/>
      <c r="V935" s="253"/>
    </row>
    <row r="936" customFormat="false" ht="12.75" hidden="false" customHeight="false" outlineLevel="0" collapsed="false">
      <c r="B936" s="228"/>
      <c r="C936" s="229"/>
      <c r="D936" s="219"/>
      <c r="E936" s="220"/>
      <c r="F936" s="229"/>
      <c r="G936" s="220"/>
      <c r="H936" s="220"/>
      <c r="I936" s="220"/>
      <c r="J936" s="220"/>
      <c r="K936" s="220"/>
      <c r="L936" s="220"/>
      <c r="M936" s="220"/>
      <c r="N936" s="220"/>
      <c r="O936" s="220"/>
      <c r="P936" s="220"/>
      <c r="Q936" s="220"/>
      <c r="R936" s="220"/>
      <c r="S936" s="220"/>
      <c r="T936" s="225"/>
      <c r="U936" s="226"/>
      <c r="V936" s="253"/>
    </row>
    <row r="937" customFormat="false" ht="12.75" hidden="false" customHeight="false" outlineLevel="0" collapsed="false">
      <c r="B937" s="228"/>
      <c r="C937" s="229"/>
      <c r="D937" s="219"/>
      <c r="E937" s="220"/>
      <c r="F937" s="229"/>
      <c r="G937" s="220"/>
      <c r="H937" s="220"/>
      <c r="I937" s="220"/>
      <c r="J937" s="220"/>
      <c r="K937" s="220"/>
      <c r="L937" s="220"/>
      <c r="M937" s="220"/>
      <c r="N937" s="220"/>
      <c r="O937" s="220"/>
      <c r="P937" s="220"/>
      <c r="Q937" s="220"/>
      <c r="R937" s="220"/>
      <c r="S937" s="220"/>
      <c r="T937" s="225"/>
      <c r="U937" s="226"/>
      <c r="V937" s="253"/>
    </row>
    <row r="938" customFormat="false" ht="12.75" hidden="false" customHeight="false" outlineLevel="0" collapsed="false">
      <c r="B938" s="228"/>
      <c r="C938" s="229"/>
      <c r="D938" s="219"/>
      <c r="E938" s="220"/>
      <c r="F938" s="229"/>
      <c r="G938" s="220"/>
      <c r="H938" s="220"/>
      <c r="I938" s="220"/>
      <c r="J938" s="220"/>
      <c r="K938" s="220"/>
      <c r="L938" s="220"/>
      <c r="M938" s="220"/>
      <c r="N938" s="220"/>
      <c r="O938" s="220"/>
      <c r="P938" s="220"/>
      <c r="Q938" s="220"/>
      <c r="R938" s="220"/>
      <c r="S938" s="220"/>
      <c r="T938" s="225"/>
      <c r="U938" s="226"/>
      <c r="V938" s="253"/>
    </row>
    <row r="939" customFormat="false" ht="12.75" hidden="false" customHeight="false" outlineLevel="0" collapsed="false">
      <c r="B939" s="228"/>
      <c r="C939" s="229"/>
      <c r="D939" s="219"/>
      <c r="E939" s="220"/>
      <c r="F939" s="229"/>
      <c r="G939" s="220"/>
      <c r="H939" s="220"/>
      <c r="I939" s="220"/>
      <c r="J939" s="220"/>
      <c r="K939" s="220"/>
      <c r="L939" s="220"/>
      <c r="M939" s="220"/>
      <c r="N939" s="220"/>
      <c r="O939" s="220"/>
      <c r="P939" s="220"/>
      <c r="Q939" s="220"/>
      <c r="R939" s="220"/>
      <c r="S939" s="220"/>
      <c r="T939" s="225"/>
      <c r="U939" s="226"/>
      <c r="V939" s="253"/>
    </row>
    <row r="940" customFormat="false" ht="12.75" hidden="false" customHeight="false" outlineLevel="0" collapsed="false">
      <c r="B940" s="228"/>
      <c r="C940" s="229"/>
      <c r="D940" s="219"/>
      <c r="E940" s="220"/>
      <c r="F940" s="229"/>
      <c r="G940" s="220"/>
      <c r="H940" s="220"/>
      <c r="I940" s="220"/>
      <c r="J940" s="220"/>
      <c r="K940" s="220"/>
      <c r="L940" s="220"/>
      <c r="M940" s="220"/>
      <c r="N940" s="220"/>
      <c r="O940" s="220"/>
      <c r="P940" s="220"/>
      <c r="Q940" s="220"/>
      <c r="R940" s="220"/>
      <c r="S940" s="220"/>
      <c r="T940" s="225"/>
      <c r="U940" s="226"/>
      <c r="V940" s="253"/>
    </row>
    <row r="941" customFormat="false" ht="12.75" hidden="false" customHeight="false" outlineLevel="0" collapsed="false">
      <c r="B941" s="228"/>
      <c r="C941" s="229"/>
      <c r="D941" s="219"/>
      <c r="E941" s="220"/>
      <c r="F941" s="229"/>
      <c r="G941" s="220"/>
      <c r="H941" s="220"/>
      <c r="I941" s="220"/>
      <c r="J941" s="220"/>
      <c r="K941" s="220"/>
      <c r="L941" s="220"/>
      <c r="M941" s="220"/>
      <c r="N941" s="220"/>
      <c r="O941" s="220"/>
      <c r="P941" s="220"/>
      <c r="Q941" s="220"/>
      <c r="R941" s="220"/>
      <c r="S941" s="220"/>
      <c r="T941" s="225"/>
      <c r="U941" s="226"/>
      <c r="V941" s="253"/>
    </row>
    <row r="942" customFormat="false" ht="12.75" hidden="false" customHeight="false" outlineLevel="0" collapsed="false">
      <c r="B942" s="228"/>
      <c r="C942" s="229"/>
      <c r="D942" s="219"/>
      <c r="E942" s="220"/>
      <c r="F942" s="229"/>
      <c r="G942" s="220"/>
      <c r="H942" s="220"/>
      <c r="I942" s="220"/>
      <c r="J942" s="220"/>
      <c r="K942" s="220"/>
      <c r="L942" s="220"/>
      <c r="M942" s="220"/>
      <c r="N942" s="220"/>
      <c r="O942" s="220"/>
      <c r="P942" s="220"/>
      <c r="Q942" s="220"/>
      <c r="R942" s="220"/>
      <c r="S942" s="220"/>
      <c r="T942" s="225"/>
      <c r="U942" s="226"/>
      <c r="V942" s="253"/>
    </row>
    <row r="943" customFormat="false" ht="12.75" hidden="false" customHeight="false" outlineLevel="0" collapsed="false">
      <c r="B943" s="228"/>
      <c r="C943" s="229"/>
      <c r="D943" s="219"/>
      <c r="E943" s="220"/>
      <c r="F943" s="229"/>
      <c r="G943" s="220"/>
      <c r="H943" s="220"/>
      <c r="I943" s="220"/>
      <c r="J943" s="220"/>
      <c r="K943" s="220"/>
      <c r="L943" s="220"/>
      <c r="M943" s="220"/>
      <c r="N943" s="220"/>
      <c r="O943" s="220"/>
      <c r="P943" s="220"/>
      <c r="Q943" s="220"/>
      <c r="R943" s="220"/>
      <c r="S943" s="220"/>
      <c r="T943" s="225"/>
      <c r="U943" s="226"/>
      <c r="V943" s="253"/>
    </row>
    <row r="944" customFormat="false" ht="12.75" hidden="false" customHeight="false" outlineLevel="0" collapsed="false">
      <c r="B944" s="228"/>
      <c r="C944" s="229"/>
      <c r="D944" s="219"/>
      <c r="E944" s="220"/>
      <c r="F944" s="229"/>
      <c r="G944" s="220"/>
      <c r="H944" s="220"/>
      <c r="I944" s="220"/>
      <c r="J944" s="220"/>
      <c r="K944" s="220"/>
      <c r="L944" s="220"/>
      <c r="M944" s="220"/>
      <c r="N944" s="220"/>
      <c r="O944" s="220"/>
      <c r="P944" s="220"/>
      <c r="Q944" s="220"/>
      <c r="R944" s="220"/>
      <c r="S944" s="220"/>
      <c r="T944" s="225"/>
      <c r="U944" s="226"/>
      <c r="V944" s="253"/>
    </row>
    <row r="945" customFormat="false" ht="12.75" hidden="false" customHeight="false" outlineLevel="0" collapsed="false">
      <c r="B945" s="228"/>
      <c r="C945" s="229"/>
      <c r="D945" s="219"/>
      <c r="E945" s="220"/>
      <c r="F945" s="229"/>
      <c r="G945" s="220"/>
      <c r="H945" s="220"/>
      <c r="I945" s="220"/>
      <c r="J945" s="220"/>
      <c r="K945" s="220"/>
      <c r="L945" s="220"/>
      <c r="M945" s="220"/>
      <c r="N945" s="220"/>
      <c r="O945" s="220"/>
      <c r="P945" s="220"/>
      <c r="Q945" s="220"/>
      <c r="R945" s="220"/>
      <c r="S945" s="220"/>
      <c r="T945" s="225"/>
      <c r="U945" s="226"/>
      <c r="V945" s="253"/>
    </row>
    <row r="946" customFormat="false" ht="12.75" hidden="false" customHeight="false" outlineLevel="0" collapsed="false">
      <c r="B946" s="228"/>
      <c r="C946" s="229"/>
      <c r="D946" s="219"/>
      <c r="E946" s="220"/>
      <c r="F946" s="229"/>
      <c r="G946" s="220"/>
      <c r="H946" s="220"/>
      <c r="I946" s="220"/>
      <c r="J946" s="220"/>
      <c r="K946" s="220"/>
      <c r="L946" s="220"/>
      <c r="M946" s="220"/>
      <c r="N946" s="220"/>
      <c r="O946" s="220"/>
      <c r="P946" s="220"/>
      <c r="Q946" s="220"/>
      <c r="R946" s="220"/>
      <c r="S946" s="220"/>
      <c r="T946" s="225"/>
      <c r="U946" s="226"/>
      <c r="V946" s="253"/>
    </row>
    <row r="947" customFormat="false" ht="12.75" hidden="false" customHeight="false" outlineLevel="0" collapsed="false">
      <c r="B947" s="228"/>
      <c r="C947" s="229"/>
      <c r="D947" s="219"/>
      <c r="E947" s="220"/>
      <c r="F947" s="229"/>
      <c r="G947" s="220"/>
      <c r="H947" s="220"/>
      <c r="I947" s="220"/>
      <c r="J947" s="220"/>
      <c r="K947" s="220"/>
      <c r="L947" s="220"/>
      <c r="M947" s="220"/>
      <c r="N947" s="220"/>
      <c r="O947" s="220"/>
      <c r="P947" s="220"/>
      <c r="Q947" s="220"/>
      <c r="R947" s="220"/>
      <c r="S947" s="220"/>
      <c r="T947" s="225"/>
      <c r="U947" s="226"/>
      <c r="V947" s="253"/>
    </row>
    <row r="948" customFormat="false" ht="12.75" hidden="false" customHeight="false" outlineLevel="0" collapsed="false">
      <c r="B948" s="228"/>
      <c r="C948" s="229"/>
      <c r="D948" s="219"/>
      <c r="E948" s="220"/>
      <c r="F948" s="229"/>
      <c r="G948" s="220"/>
      <c r="H948" s="220"/>
      <c r="I948" s="220"/>
      <c r="J948" s="220"/>
      <c r="K948" s="220"/>
      <c r="L948" s="220"/>
      <c r="M948" s="220"/>
      <c r="N948" s="220"/>
      <c r="O948" s="220"/>
      <c r="P948" s="220"/>
      <c r="Q948" s="220"/>
      <c r="R948" s="220"/>
      <c r="S948" s="220"/>
      <c r="T948" s="225"/>
      <c r="U948" s="226"/>
      <c r="V948" s="253"/>
    </row>
    <row r="949" customFormat="false" ht="12.75" hidden="false" customHeight="false" outlineLevel="0" collapsed="false">
      <c r="B949" s="228"/>
      <c r="C949" s="229"/>
      <c r="D949" s="219"/>
      <c r="E949" s="220"/>
      <c r="F949" s="229"/>
      <c r="G949" s="220"/>
      <c r="H949" s="220"/>
      <c r="I949" s="220"/>
      <c r="J949" s="220"/>
      <c r="K949" s="220"/>
      <c r="L949" s="220"/>
      <c r="M949" s="220"/>
      <c r="N949" s="220"/>
      <c r="O949" s="220"/>
      <c r="P949" s="220"/>
      <c r="Q949" s="220"/>
      <c r="R949" s="220"/>
      <c r="S949" s="220"/>
      <c r="T949" s="225"/>
      <c r="U949" s="226"/>
      <c r="V949" s="253"/>
    </row>
    <row r="950" customFormat="false" ht="12.75" hidden="false" customHeight="false" outlineLevel="0" collapsed="false">
      <c r="B950" s="228"/>
      <c r="C950" s="229"/>
      <c r="D950" s="219"/>
      <c r="E950" s="220"/>
      <c r="F950" s="229"/>
      <c r="G950" s="220"/>
      <c r="H950" s="220"/>
      <c r="I950" s="220"/>
      <c r="J950" s="220"/>
      <c r="K950" s="220"/>
      <c r="L950" s="220"/>
      <c r="M950" s="220"/>
      <c r="N950" s="220"/>
      <c r="O950" s="220"/>
      <c r="P950" s="220"/>
      <c r="Q950" s="220"/>
      <c r="R950" s="220"/>
      <c r="S950" s="220"/>
      <c r="T950" s="225"/>
      <c r="U950" s="226"/>
      <c r="V950" s="253"/>
    </row>
    <row r="951" customFormat="false" ht="12.75" hidden="false" customHeight="false" outlineLevel="0" collapsed="false">
      <c r="B951" s="228"/>
      <c r="C951" s="229"/>
      <c r="D951" s="219"/>
      <c r="E951" s="220"/>
      <c r="F951" s="229"/>
      <c r="G951" s="220"/>
      <c r="H951" s="220"/>
      <c r="I951" s="220"/>
      <c r="J951" s="220"/>
      <c r="K951" s="220"/>
      <c r="L951" s="220"/>
      <c r="M951" s="220"/>
      <c r="N951" s="220"/>
      <c r="O951" s="220"/>
      <c r="P951" s="220"/>
      <c r="Q951" s="220"/>
      <c r="R951" s="220"/>
      <c r="S951" s="220"/>
      <c r="T951" s="225"/>
      <c r="U951" s="226"/>
      <c r="V951" s="253"/>
    </row>
    <row r="952" customFormat="false" ht="12.75" hidden="false" customHeight="false" outlineLevel="0" collapsed="false">
      <c r="B952" s="228"/>
      <c r="C952" s="229"/>
      <c r="D952" s="219"/>
      <c r="E952" s="220"/>
      <c r="F952" s="229"/>
      <c r="G952" s="220"/>
      <c r="H952" s="220"/>
      <c r="I952" s="220"/>
      <c r="J952" s="220"/>
      <c r="K952" s="220"/>
      <c r="L952" s="220"/>
      <c r="M952" s="220"/>
      <c r="N952" s="220"/>
      <c r="O952" s="220"/>
      <c r="P952" s="220"/>
      <c r="Q952" s="220"/>
      <c r="R952" s="220"/>
      <c r="S952" s="220"/>
      <c r="T952" s="225"/>
      <c r="U952" s="226"/>
      <c r="V952" s="253"/>
    </row>
    <row r="953" customFormat="false" ht="12.75" hidden="false" customHeight="false" outlineLevel="0" collapsed="false">
      <c r="B953" s="228"/>
      <c r="C953" s="229"/>
      <c r="D953" s="219"/>
      <c r="E953" s="220"/>
      <c r="F953" s="229"/>
      <c r="G953" s="220"/>
      <c r="H953" s="220"/>
      <c r="I953" s="220"/>
      <c r="J953" s="220"/>
      <c r="K953" s="220"/>
      <c r="L953" s="220"/>
      <c r="M953" s="220"/>
      <c r="N953" s="220"/>
      <c r="O953" s="220"/>
      <c r="P953" s="220"/>
      <c r="Q953" s="220"/>
      <c r="R953" s="220"/>
      <c r="S953" s="220"/>
      <c r="T953" s="225"/>
      <c r="U953" s="226"/>
      <c r="V953" s="253"/>
    </row>
    <row r="954" customFormat="false" ht="12.75" hidden="false" customHeight="false" outlineLevel="0" collapsed="false">
      <c r="B954" s="228"/>
      <c r="C954" s="229"/>
      <c r="D954" s="219"/>
      <c r="E954" s="220"/>
      <c r="F954" s="229"/>
      <c r="G954" s="220"/>
      <c r="H954" s="220"/>
      <c r="I954" s="220"/>
      <c r="J954" s="220"/>
      <c r="K954" s="220"/>
      <c r="L954" s="220"/>
      <c r="M954" s="220"/>
      <c r="N954" s="220"/>
      <c r="O954" s="220"/>
      <c r="P954" s="220"/>
      <c r="Q954" s="220"/>
      <c r="R954" s="220"/>
      <c r="S954" s="220"/>
      <c r="T954" s="225"/>
      <c r="U954" s="226"/>
      <c r="V954" s="253"/>
    </row>
    <row r="955" customFormat="false" ht="12.75" hidden="false" customHeight="false" outlineLevel="0" collapsed="false">
      <c r="B955" s="228"/>
      <c r="C955" s="229"/>
      <c r="D955" s="219"/>
      <c r="E955" s="220"/>
      <c r="F955" s="229"/>
      <c r="G955" s="220"/>
      <c r="H955" s="220"/>
      <c r="I955" s="220"/>
      <c r="J955" s="220"/>
      <c r="K955" s="220"/>
      <c r="L955" s="220"/>
      <c r="M955" s="220"/>
      <c r="N955" s="220"/>
      <c r="O955" s="220"/>
      <c r="P955" s="220"/>
      <c r="Q955" s="220"/>
      <c r="R955" s="220"/>
      <c r="S955" s="220"/>
      <c r="T955" s="225"/>
      <c r="U955" s="226"/>
      <c r="V955" s="253"/>
    </row>
    <row r="956" customFormat="false" ht="12.75" hidden="false" customHeight="false" outlineLevel="0" collapsed="false">
      <c r="B956" s="228"/>
      <c r="C956" s="229"/>
      <c r="D956" s="219"/>
      <c r="E956" s="220"/>
      <c r="F956" s="229"/>
      <c r="G956" s="220"/>
      <c r="H956" s="220"/>
      <c r="I956" s="220"/>
      <c r="J956" s="220"/>
      <c r="K956" s="220"/>
      <c r="L956" s="220"/>
      <c r="M956" s="220"/>
      <c r="N956" s="220"/>
      <c r="O956" s="220"/>
      <c r="P956" s="220"/>
      <c r="Q956" s="220"/>
      <c r="R956" s="220"/>
      <c r="S956" s="220"/>
      <c r="T956" s="225"/>
      <c r="U956" s="226"/>
      <c r="V956" s="253"/>
    </row>
    <row r="957" customFormat="false" ht="12.75" hidden="false" customHeight="false" outlineLevel="0" collapsed="false">
      <c r="B957" s="228"/>
      <c r="C957" s="229"/>
      <c r="D957" s="219"/>
      <c r="E957" s="220"/>
      <c r="F957" s="229"/>
      <c r="G957" s="220"/>
      <c r="H957" s="220"/>
      <c r="I957" s="220"/>
      <c r="J957" s="220"/>
      <c r="K957" s="220"/>
      <c r="L957" s="220"/>
      <c r="M957" s="220"/>
      <c r="N957" s="220"/>
      <c r="O957" s="220"/>
      <c r="P957" s="220"/>
      <c r="Q957" s="220"/>
      <c r="R957" s="220"/>
      <c r="S957" s="220"/>
      <c r="T957" s="225"/>
      <c r="U957" s="226"/>
      <c r="V957" s="253"/>
    </row>
    <row r="958" customFormat="false" ht="12.75" hidden="false" customHeight="false" outlineLevel="0" collapsed="false">
      <c r="B958" s="228"/>
      <c r="C958" s="229"/>
      <c r="D958" s="219"/>
      <c r="E958" s="220"/>
      <c r="F958" s="229"/>
      <c r="G958" s="220"/>
      <c r="H958" s="220"/>
      <c r="I958" s="220"/>
      <c r="J958" s="220"/>
      <c r="K958" s="220"/>
      <c r="L958" s="220"/>
      <c r="M958" s="220"/>
      <c r="N958" s="220"/>
      <c r="O958" s="220"/>
      <c r="P958" s="220"/>
      <c r="Q958" s="220"/>
      <c r="R958" s="220"/>
      <c r="S958" s="220"/>
      <c r="T958" s="225"/>
      <c r="U958" s="226"/>
      <c r="V958" s="253"/>
    </row>
    <row r="959" customFormat="false" ht="12.75" hidden="false" customHeight="false" outlineLevel="0" collapsed="false">
      <c r="B959" s="228"/>
      <c r="C959" s="229"/>
      <c r="D959" s="219"/>
      <c r="E959" s="220"/>
      <c r="F959" s="229"/>
      <c r="G959" s="220"/>
      <c r="H959" s="220"/>
      <c r="I959" s="220"/>
      <c r="J959" s="220"/>
      <c r="K959" s="220"/>
      <c r="L959" s="220"/>
      <c r="M959" s="220"/>
      <c r="N959" s="220"/>
      <c r="O959" s="220"/>
      <c r="P959" s="220"/>
      <c r="Q959" s="220"/>
      <c r="R959" s="220"/>
      <c r="S959" s="220"/>
      <c r="T959" s="225"/>
      <c r="U959" s="226"/>
      <c r="V959" s="253"/>
    </row>
    <row r="960" customFormat="false" ht="12.75" hidden="false" customHeight="false" outlineLevel="0" collapsed="false">
      <c r="B960" s="228"/>
      <c r="C960" s="229"/>
      <c r="D960" s="219"/>
      <c r="E960" s="220"/>
      <c r="F960" s="229"/>
      <c r="G960" s="220"/>
      <c r="H960" s="220"/>
      <c r="I960" s="220"/>
      <c r="J960" s="220"/>
      <c r="K960" s="220"/>
      <c r="L960" s="220"/>
      <c r="M960" s="220"/>
      <c r="N960" s="220"/>
      <c r="O960" s="220"/>
      <c r="P960" s="220"/>
      <c r="Q960" s="220"/>
      <c r="R960" s="220"/>
      <c r="S960" s="220"/>
      <c r="T960" s="225"/>
      <c r="U960" s="226"/>
      <c r="V960" s="253"/>
    </row>
    <row r="961" customFormat="false" ht="12.75" hidden="false" customHeight="false" outlineLevel="0" collapsed="false">
      <c r="B961" s="228"/>
      <c r="C961" s="229"/>
      <c r="D961" s="219"/>
      <c r="E961" s="220"/>
      <c r="F961" s="229"/>
      <c r="G961" s="220"/>
      <c r="H961" s="220"/>
      <c r="I961" s="220"/>
      <c r="J961" s="220"/>
      <c r="K961" s="220"/>
      <c r="L961" s="220"/>
      <c r="M961" s="220"/>
      <c r="N961" s="220"/>
      <c r="O961" s="220"/>
      <c r="P961" s="220"/>
      <c r="Q961" s="220"/>
      <c r="R961" s="220"/>
      <c r="S961" s="220"/>
      <c r="T961" s="225"/>
      <c r="U961" s="226"/>
      <c r="V961" s="253"/>
    </row>
    <row r="962" customFormat="false" ht="12.75" hidden="false" customHeight="false" outlineLevel="0" collapsed="false">
      <c r="B962" s="228"/>
      <c r="C962" s="229"/>
      <c r="D962" s="219"/>
      <c r="E962" s="220"/>
      <c r="F962" s="229"/>
      <c r="G962" s="220"/>
      <c r="H962" s="220"/>
      <c r="I962" s="220"/>
      <c r="J962" s="220"/>
      <c r="K962" s="220"/>
      <c r="L962" s="220"/>
      <c r="M962" s="220"/>
      <c r="N962" s="220"/>
      <c r="O962" s="220"/>
      <c r="P962" s="220"/>
      <c r="Q962" s="220"/>
      <c r="R962" s="220"/>
      <c r="S962" s="220"/>
      <c r="T962" s="225"/>
      <c r="U962" s="226"/>
      <c r="V962" s="253"/>
    </row>
    <row r="963" customFormat="false" ht="12.75" hidden="false" customHeight="false" outlineLevel="0" collapsed="false">
      <c r="B963" s="228"/>
      <c r="C963" s="229"/>
      <c r="D963" s="219"/>
      <c r="E963" s="220"/>
      <c r="F963" s="229"/>
      <c r="G963" s="220"/>
      <c r="H963" s="220"/>
      <c r="I963" s="220"/>
      <c r="J963" s="220"/>
      <c r="K963" s="220"/>
      <c r="L963" s="220"/>
      <c r="M963" s="220"/>
      <c r="N963" s="220"/>
      <c r="O963" s="220"/>
      <c r="P963" s="220"/>
      <c r="Q963" s="220"/>
      <c r="R963" s="220"/>
      <c r="S963" s="220"/>
      <c r="T963" s="225"/>
      <c r="U963" s="226"/>
      <c r="V963" s="253"/>
    </row>
    <row r="964" customFormat="false" ht="12.75" hidden="false" customHeight="false" outlineLevel="0" collapsed="false">
      <c r="B964" s="228"/>
      <c r="C964" s="229"/>
      <c r="D964" s="219"/>
      <c r="E964" s="220"/>
      <c r="F964" s="229"/>
      <c r="G964" s="220"/>
      <c r="H964" s="220"/>
      <c r="I964" s="220"/>
      <c r="J964" s="220"/>
      <c r="K964" s="220"/>
      <c r="L964" s="220"/>
      <c r="M964" s="220"/>
      <c r="N964" s="220"/>
      <c r="O964" s="220"/>
      <c r="P964" s="220"/>
      <c r="Q964" s="220"/>
      <c r="R964" s="220"/>
      <c r="S964" s="220"/>
      <c r="T964" s="225"/>
      <c r="U964" s="226"/>
      <c r="V964" s="253"/>
    </row>
    <row r="965" customFormat="false" ht="12.75" hidden="false" customHeight="false" outlineLevel="0" collapsed="false">
      <c r="B965" s="228"/>
      <c r="C965" s="229"/>
      <c r="D965" s="219"/>
      <c r="E965" s="220"/>
      <c r="F965" s="229"/>
      <c r="G965" s="220"/>
      <c r="H965" s="220"/>
      <c r="I965" s="220"/>
      <c r="J965" s="220"/>
      <c r="K965" s="220"/>
      <c r="L965" s="220"/>
      <c r="M965" s="220"/>
      <c r="N965" s="220"/>
      <c r="O965" s="220"/>
      <c r="P965" s="220"/>
      <c r="Q965" s="220"/>
      <c r="R965" s="220"/>
      <c r="S965" s="220"/>
      <c r="T965" s="225"/>
      <c r="U965" s="226"/>
      <c r="V965" s="253"/>
    </row>
    <row r="966" customFormat="false" ht="12.75" hidden="false" customHeight="false" outlineLevel="0" collapsed="false">
      <c r="B966" s="228"/>
      <c r="C966" s="229"/>
      <c r="D966" s="219"/>
      <c r="E966" s="220"/>
      <c r="F966" s="229"/>
      <c r="G966" s="220"/>
      <c r="H966" s="220"/>
      <c r="I966" s="220"/>
      <c r="J966" s="220"/>
      <c r="K966" s="220"/>
      <c r="L966" s="220"/>
      <c r="M966" s="220"/>
      <c r="N966" s="220"/>
      <c r="O966" s="220"/>
      <c r="P966" s="220"/>
      <c r="Q966" s="220"/>
      <c r="R966" s="220"/>
      <c r="S966" s="220"/>
      <c r="T966" s="225"/>
      <c r="U966" s="226"/>
      <c r="V966" s="253"/>
    </row>
    <row r="967" customFormat="false" ht="12.75" hidden="false" customHeight="false" outlineLevel="0" collapsed="false">
      <c r="B967" s="228"/>
      <c r="C967" s="229"/>
      <c r="D967" s="219"/>
      <c r="E967" s="220"/>
      <c r="F967" s="229"/>
      <c r="G967" s="220"/>
      <c r="H967" s="220"/>
      <c r="I967" s="220"/>
      <c r="J967" s="220"/>
      <c r="K967" s="220"/>
      <c r="L967" s="220"/>
      <c r="M967" s="220"/>
      <c r="N967" s="220"/>
      <c r="O967" s="220"/>
      <c r="P967" s="220"/>
      <c r="Q967" s="220"/>
      <c r="R967" s="220"/>
      <c r="S967" s="220"/>
      <c r="T967" s="225"/>
      <c r="U967" s="226"/>
      <c r="V967" s="253"/>
    </row>
    <row r="968" customFormat="false" ht="12.75" hidden="false" customHeight="false" outlineLevel="0" collapsed="false">
      <c r="B968" s="228"/>
      <c r="C968" s="229"/>
      <c r="D968" s="219"/>
      <c r="E968" s="220"/>
      <c r="F968" s="229"/>
      <c r="G968" s="220"/>
      <c r="H968" s="220"/>
      <c r="I968" s="220"/>
      <c r="J968" s="220"/>
      <c r="K968" s="220"/>
      <c r="L968" s="220"/>
      <c r="M968" s="220"/>
      <c r="N968" s="220"/>
      <c r="O968" s="220"/>
      <c r="P968" s="220"/>
      <c r="Q968" s="220"/>
      <c r="R968" s="220"/>
      <c r="S968" s="220"/>
      <c r="T968" s="225"/>
      <c r="U968" s="226"/>
      <c r="V968" s="253"/>
    </row>
    <row r="969" customFormat="false" ht="12.75" hidden="false" customHeight="false" outlineLevel="0" collapsed="false">
      <c r="B969" s="228"/>
      <c r="C969" s="229"/>
      <c r="D969" s="219"/>
      <c r="E969" s="220"/>
      <c r="F969" s="229"/>
      <c r="G969" s="220"/>
      <c r="H969" s="220"/>
      <c r="I969" s="220"/>
      <c r="J969" s="220"/>
      <c r="K969" s="220"/>
      <c r="L969" s="220"/>
      <c r="M969" s="220"/>
      <c r="N969" s="220"/>
      <c r="O969" s="220"/>
      <c r="P969" s="220"/>
      <c r="Q969" s="220"/>
      <c r="R969" s="220"/>
      <c r="S969" s="220"/>
      <c r="T969" s="225"/>
      <c r="U969" s="226"/>
      <c r="V969" s="253"/>
    </row>
    <row r="970" customFormat="false" ht="12.75" hidden="false" customHeight="false" outlineLevel="0" collapsed="false">
      <c r="B970" s="228"/>
      <c r="C970" s="229"/>
      <c r="D970" s="219"/>
      <c r="E970" s="220"/>
      <c r="F970" s="229"/>
      <c r="G970" s="220"/>
      <c r="H970" s="220"/>
      <c r="I970" s="220"/>
      <c r="J970" s="220"/>
      <c r="K970" s="220"/>
      <c r="L970" s="220"/>
      <c r="M970" s="220"/>
      <c r="N970" s="220"/>
      <c r="O970" s="220"/>
      <c r="P970" s="220"/>
      <c r="Q970" s="220"/>
      <c r="R970" s="220"/>
      <c r="S970" s="220"/>
      <c r="T970" s="225"/>
      <c r="U970" s="226"/>
      <c r="V970" s="253"/>
    </row>
    <row r="971" customFormat="false" ht="12.75" hidden="false" customHeight="false" outlineLevel="0" collapsed="false">
      <c r="B971" s="228"/>
      <c r="C971" s="229"/>
      <c r="D971" s="219"/>
      <c r="E971" s="220"/>
      <c r="F971" s="229"/>
      <c r="G971" s="220"/>
      <c r="H971" s="220"/>
      <c r="I971" s="220"/>
      <c r="J971" s="220"/>
      <c r="K971" s="220"/>
      <c r="L971" s="220"/>
      <c r="M971" s="220"/>
      <c r="N971" s="220"/>
      <c r="O971" s="220"/>
      <c r="P971" s="220"/>
      <c r="Q971" s="220"/>
      <c r="R971" s="220"/>
      <c r="S971" s="220"/>
      <c r="T971" s="225"/>
      <c r="U971" s="226"/>
      <c r="V971" s="253"/>
    </row>
    <row r="972" customFormat="false" ht="12.75" hidden="false" customHeight="false" outlineLevel="0" collapsed="false">
      <c r="B972" s="228"/>
      <c r="C972" s="229"/>
      <c r="D972" s="219"/>
      <c r="E972" s="220"/>
      <c r="F972" s="229"/>
      <c r="G972" s="220"/>
      <c r="H972" s="220"/>
      <c r="I972" s="220"/>
      <c r="J972" s="220"/>
      <c r="K972" s="220"/>
      <c r="L972" s="220"/>
      <c r="M972" s="220"/>
      <c r="N972" s="220"/>
      <c r="O972" s="220"/>
      <c r="P972" s="220"/>
      <c r="Q972" s="220"/>
      <c r="R972" s="220"/>
      <c r="S972" s="220"/>
      <c r="T972" s="225"/>
      <c r="U972" s="226"/>
      <c r="V972" s="253"/>
    </row>
    <row r="973" customFormat="false" ht="12.75" hidden="false" customHeight="false" outlineLevel="0" collapsed="false">
      <c r="B973" s="228"/>
      <c r="C973" s="229"/>
      <c r="D973" s="219"/>
      <c r="E973" s="220"/>
      <c r="F973" s="229"/>
      <c r="G973" s="220"/>
      <c r="H973" s="220"/>
      <c r="I973" s="220"/>
      <c r="J973" s="220"/>
      <c r="K973" s="220"/>
      <c r="L973" s="220"/>
      <c r="M973" s="220"/>
      <c r="N973" s="220"/>
      <c r="O973" s="220"/>
      <c r="P973" s="220"/>
      <c r="Q973" s="220"/>
      <c r="R973" s="220"/>
      <c r="S973" s="220"/>
      <c r="T973" s="225"/>
      <c r="U973" s="226"/>
      <c r="V973" s="253"/>
    </row>
    <row r="974" customFormat="false" ht="12.75" hidden="false" customHeight="false" outlineLevel="0" collapsed="false">
      <c r="B974" s="228"/>
      <c r="C974" s="229"/>
      <c r="D974" s="219"/>
      <c r="E974" s="220"/>
      <c r="F974" s="229"/>
      <c r="G974" s="220"/>
      <c r="H974" s="220"/>
      <c r="I974" s="220"/>
      <c r="J974" s="220"/>
      <c r="K974" s="220"/>
      <c r="L974" s="220"/>
      <c r="M974" s="220"/>
      <c r="N974" s="220"/>
      <c r="O974" s="220"/>
      <c r="P974" s="220"/>
      <c r="Q974" s="220"/>
      <c r="R974" s="220"/>
      <c r="S974" s="220"/>
      <c r="T974" s="225"/>
      <c r="U974" s="226"/>
      <c r="V974" s="253"/>
    </row>
    <row r="975" customFormat="false" ht="12.75" hidden="false" customHeight="false" outlineLevel="0" collapsed="false">
      <c r="B975" s="228"/>
      <c r="C975" s="229"/>
      <c r="D975" s="219"/>
      <c r="E975" s="220"/>
      <c r="F975" s="229"/>
      <c r="G975" s="220"/>
      <c r="H975" s="220"/>
      <c r="I975" s="220"/>
      <c r="J975" s="220"/>
      <c r="K975" s="220"/>
      <c r="L975" s="220"/>
      <c r="M975" s="220"/>
      <c r="N975" s="220"/>
      <c r="O975" s="220"/>
      <c r="P975" s="220"/>
      <c r="Q975" s="220"/>
      <c r="R975" s="220"/>
      <c r="S975" s="220"/>
      <c r="T975" s="225"/>
      <c r="U975" s="226"/>
      <c r="V975" s="253"/>
    </row>
    <row r="976" customFormat="false" ht="12.75" hidden="false" customHeight="false" outlineLevel="0" collapsed="false">
      <c r="B976" s="228"/>
      <c r="C976" s="229"/>
      <c r="D976" s="219"/>
      <c r="E976" s="220"/>
      <c r="F976" s="229"/>
      <c r="G976" s="220"/>
      <c r="H976" s="220"/>
      <c r="I976" s="220"/>
      <c r="J976" s="220"/>
      <c r="K976" s="220"/>
      <c r="L976" s="220"/>
      <c r="M976" s="220"/>
      <c r="N976" s="220"/>
      <c r="O976" s="220"/>
      <c r="P976" s="220"/>
      <c r="Q976" s="220"/>
      <c r="R976" s="220"/>
      <c r="S976" s="220"/>
      <c r="T976" s="225"/>
      <c r="U976" s="226"/>
      <c r="V976" s="253"/>
    </row>
    <row r="977" customFormat="false" ht="12.75" hidden="false" customHeight="false" outlineLevel="0" collapsed="false">
      <c r="B977" s="228"/>
      <c r="C977" s="229"/>
      <c r="D977" s="219"/>
      <c r="E977" s="220"/>
      <c r="F977" s="229"/>
      <c r="G977" s="220"/>
      <c r="H977" s="220"/>
      <c r="I977" s="220"/>
      <c r="J977" s="220"/>
      <c r="K977" s="220"/>
      <c r="L977" s="220"/>
      <c r="M977" s="220"/>
      <c r="N977" s="220"/>
      <c r="O977" s="220"/>
      <c r="P977" s="220"/>
      <c r="Q977" s="220"/>
      <c r="R977" s="220"/>
      <c r="S977" s="220"/>
      <c r="T977" s="225"/>
      <c r="U977" s="226"/>
      <c r="V977" s="253"/>
    </row>
    <row r="978" customFormat="false" ht="12.75" hidden="false" customHeight="false" outlineLevel="0" collapsed="false">
      <c r="B978" s="228"/>
      <c r="C978" s="229"/>
      <c r="D978" s="219"/>
      <c r="E978" s="220"/>
      <c r="F978" s="229"/>
      <c r="G978" s="220"/>
      <c r="H978" s="220"/>
      <c r="I978" s="220"/>
      <c r="J978" s="220"/>
      <c r="K978" s="220"/>
      <c r="L978" s="220"/>
      <c r="M978" s="220"/>
      <c r="N978" s="220"/>
      <c r="O978" s="220"/>
      <c r="P978" s="220"/>
      <c r="Q978" s="220"/>
      <c r="R978" s="220"/>
      <c r="S978" s="220"/>
      <c r="T978" s="225"/>
      <c r="U978" s="226"/>
      <c r="V978" s="253"/>
    </row>
    <row r="979" customFormat="false" ht="12.75" hidden="false" customHeight="false" outlineLevel="0" collapsed="false">
      <c r="B979" s="228"/>
      <c r="C979" s="229"/>
      <c r="D979" s="219"/>
      <c r="E979" s="220"/>
      <c r="F979" s="229"/>
      <c r="G979" s="220"/>
      <c r="H979" s="220"/>
      <c r="I979" s="220"/>
      <c r="J979" s="220"/>
      <c r="K979" s="220"/>
      <c r="L979" s="220"/>
      <c r="M979" s="220"/>
      <c r="N979" s="220"/>
      <c r="O979" s="220"/>
      <c r="P979" s="220"/>
      <c r="Q979" s="220"/>
      <c r="R979" s="220"/>
      <c r="S979" s="220"/>
      <c r="T979" s="225"/>
      <c r="U979" s="226"/>
      <c r="V979" s="253"/>
    </row>
    <row r="980" customFormat="false" ht="12.75" hidden="false" customHeight="false" outlineLevel="0" collapsed="false">
      <c r="B980" s="228"/>
      <c r="C980" s="229"/>
      <c r="D980" s="219"/>
      <c r="E980" s="220"/>
      <c r="F980" s="229"/>
      <c r="G980" s="220"/>
      <c r="H980" s="220"/>
      <c r="I980" s="220"/>
      <c r="J980" s="220"/>
      <c r="K980" s="220"/>
      <c r="L980" s="220"/>
      <c r="M980" s="220"/>
      <c r="N980" s="220"/>
      <c r="O980" s="220"/>
      <c r="P980" s="220"/>
      <c r="Q980" s="220"/>
      <c r="R980" s="220"/>
      <c r="S980" s="220"/>
      <c r="T980" s="225"/>
      <c r="U980" s="226"/>
      <c r="V980" s="253"/>
    </row>
    <row r="981" customFormat="false" ht="12.75" hidden="false" customHeight="false" outlineLevel="0" collapsed="false">
      <c r="B981" s="228"/>
      <c r="C981" s="229"/>
      <c r="D981" s="219"/>
      <c r="E981" s="220"/>
      <c r="F981" s="229"/>
      <c r="G981" s="220"/>
      <c r="H981" s="220"/>
      <c r="I981" s="220"/>
      <c r="J981" s="220"/>
      <c r="K981" s="220"/>
      <c r="L981" s="220"/>
      <c r="M981" s="220"/>
      <c r="N981" s="220"/>
      <c r="O981" s="220"/>
      <c r="P981" s="220"/>
      <c r="Q981" s="220"/>
      <c r="R981" s="220"/>
      <c r="S981" s="220"/>
      <c r="T981" s="225"/>
      <c r="U981" s="226"/>
      <c r="V981" s="253"/>
    </row>
    <row r="982" customFormat="false" ht="12.75" hidden="false" customHeight="false" outlineLevel="0" collapsed="false">
      <c r="B982" s="228"/>
      <c r="C982" s="229"/>
      <c r="D982" s="219"/>
      <c r="E982" s="220"/>
      <c r="F982" s="229"/>
      <c r="G982" s="220"/>
      <c r="H982" s="220"/>
      <c r="I982" s="220"/>
      <c r="J982" s="220"/>
      <c r="K982" s="220"/>
      <c r="L982" s="220"/>
      <c r="M982" s="220"/>
      <c r="N982" s="220"/>
      <c r="O982" s="220"/>
      <c r="P982" s="220"/>
      <c r="Q982" s="220"/>
      <c r="R982" s="220"/>
      <c r="S982" s="220"/>
      <c r="T982" s="225"/>
      <c r="U982" s="226"/>
      <c r="V982" s="253"/>
    </row>
    <row r="983" customFormat="false" ht="12.75" hidden="false" customHeight="false" outlineLevel="0" collapsed="false">
      <c r="B983" s="228"/>
      <c r="C983" s="229"/>
      <c r="D983" s="219"/>
      <c r="E983" s="220"/>
      <c r="F983" s="229"/>
      <c r="G983" s="220"/>
      <c r="H983" s="220"/>
      <c r="I983" s="220"/>
      <c r="J983" s="220"/>
      <c r="K983" s="220"/>
      <c r="L983" s="220"/>
      <c r="M983" s="220"/>
      <c r="N983" s="220"/>
      <c r="O983" s="220"/>
      <c r="P983" s="220"/>
      <c r="Q983" s="220"/>
      <c r="R983" s="220"/>
      <c r="S983" s="220"/>
      <c r="T983" s="225"/>
      <c r="U983" s="226"/>
      <c r="V983" s="253"/>
    </row>
    <row r="984" customFormat="false" ht="12.75" hidden="false" customHeight="false" outlineLevel="0" collapsed="false">
      <c r="B984" s="228"/>
      <c r="C984" s="229"/>
      <c r="D984" s="219"/>
      <c r="E984" s="220"/>
      <c r="F984" s="229"/>
      <c r="G984" s="220"/>
      <c r="H984" s="220"/>
      <c r="I984" s="220"/>
      <c r="J984" s="220"/>
      <c r="K984" s="220"/>
      <c r="L984" s="220"/>
      <c r="M984" s="220"/>
      <c r="N984" s="220"/>
      <c r="O984" s="220"/>
      <c r="P984" s="220"/>
      <c r="Q984" s="220"/>
      <c r="R984" s="220"/>
      <c r="S984" s="220"/>
      <c r="T984" s="225"/>
      <c r="U984" s="226"/>
      <c r="V984" s="253"/>
    </row>
    <row r="985" customFormat="false" ht="12.75" hidden="false" customHeight="false" outlineLevel="0" collapsed="false">
      <c r="B985" s="228"/>
      <c r="C985" s="229"/>
      <c r="D985" s="219"/>
      <c r="E985" s="220"/>
      <c r="F985" s="229"/>
      <c r="G985" s="220"/>
      <c r="H985" s="220"/>
      <c r="I985" s="220"/>
      <c r="J985" s="220"/>
      <c r="K985" s="220"/>
      <c r="L985" s="220"/>
      <c r="M985" s="220"/>
      <c r="N985" s="220"/>
      <c r="O985" s="220"/>
      <c r="P985" s="220"/>
      <c r="Q985" s="220"/>
      <c r="R985" s="220"/>
      <c r="S985" s="220"/>
      <c r="T985" s="225"/>
      <c r="U985" s="226"/>
      <c r="V985" s="253"/>
    </row>
    <row r="986" customFormat="false" ht="12.75" hidden="false" customHeight="false" outlineLevel="0" collapsed="false">
      <c r="B986" s="228"/>
      <c r="C986" s="229"/>
      <c r="D986" s="219"/>
      <c r="E986" s="220"/>
      <c r="F986" s="229"/>
      <c r="G986" s="220"/>
      <c r="H986" s="220"/>
      <c r="I986" s="220"/>
      <c r="J986" s="220"/>
      <c r="K986" s="220"/>
      <c r="L986" s="220"/>
      <c r="M986" s="220"/>
      <c r="N986" s="220"/>
      <c r="O986" s="220"/>
      <c r="P986" s="220"/>
      <c r="Q986" s="220"/>
      <c r="R986" s="220"/>
      <c r="S986" s="220"/>
      <c r="T986" s="225"/>
      <c r="U986" s="226"/>
      <c r="V986" s="253"/>
    </row>
    <row r="987" customFormat="false" ht="12.75" hidden="false" customHeight="false" outlineLevel="0" collapsed="false">
      <c r="B987" s="228"/>
      <c r="C987" s="229"/>
      <c r="D987" s="219"/>
      <c r="E987" s="220"/>
      <c r="F987" s="229"/>
      <c r="G987" s="220"/>
      <c r="H987" s="220"/>
      <c r="I987" s="220"/>
      <c r="J987" s="220"/>
      <c r="K987" s="220"/>
      <c r="L987" s="220"/>
      <c r="M987" s="220"/>
      <c r="N987" s="220"/>
      <c r="O987" s="220"/>
      <c r="P987" s="220"/>
      <c r="Q987" s="220"/>
      <c r="R987" s="220"/>
      <c r="S987" s="220"/>
      <c r="T987" s="225"/>
      <c r="U987" s="226"/>
      <c r="V987" s="253"/>
    </row>
    <row r="988" customFormat="false" ht="12.75" hidden="false" customHeight="false" outlineLevel="0" collapsed="false">
      <c r="B988" s="228"/>
      <c r="C988" s="229"/>
      <c r="D988" s="219"/>
      <c r="E988" s="220"/>
      <c r="F988" s="229"/>
      <c r="G988" s="220"/>
      <c r="H988" s="220"/>
      <c r="I988" s="220"/>
      <c r="J988" s="220"/>
      <c r="K988" s="220"/>
      <c r="L988" s="220"/>
      <c r="M988" s="220"/>
      <c r="N988" s="220"/>
      <c r="O988" s="220"/>
      <c r="P988" s="220"/>
      <c r="Q988" s="220"/>
      <c r="R988" s="220"/>
      <c r="S988" s="220"/>
      <c r="T988" s="225"/>
      <c r="U988" s="226"/>
      <c r="V988" s="253"/>
    </row>
    <row r="989" customFormat="false" ht="12.75" hidden="false" customHeight="false" outlineLevel="0" collapsed="false">
      <c r="B989" s="228"/>
      <c r="C989" s="229"/>
      <c r="D989" s="219"/>
      <c r="E989" s="220"/>
      <c r="F989" s="229"/>
      <c r="G989" s="220"/>
      <c r="H989" s="220"/>
      <c r="I989" s="220"/>
      <c r="J989" s="220"/>
      <c r="K989" s="220"/>
      <c r="L989" s="220"/>
      <c r="M989" s="220"/>
      <c r="N989" s="220"/>
      <c r="O989" s="220"/>
      <c r="P989" s="220"/>
      <c r="Q989" s="220"/>
      <c r="R989" s="220"/>
      <c r="S989" s="220"/>
      <c r="T989" s="225"/>
      <c r="U989" s="226"/>
      <c r="V989" s="253"/>
    </row>
    <row r="990" customFormat="false" ht="12.75" hidden="false" customHeight="false" outlineLevel="0" collapsed="false">
      <c r="B990" s="228"/>
      <c r="C990" s="229"/>
      <c r="D990" s="219"/>
      <c r="E990" s="220"/>
      <c r="F990" s="229"/>
      <c r="G990" s="220"/>
      <c r="H990" s="220"/>
      <c r="I990" s="220"/>
      <c r="J990" s="220"/>
      <c r="K990" s="220"/>
      <c r="L990" s="220"/>
      <c r="M990" s="220"/>
      <c r="N990" s="220"/>
      <c r="O990" s="220"/>
      <c r="P990" s="220"/>
      <c r="Q990" s="220"/>
      <c r="R990" s="220"/>
      <c r="S990" s="220"/>
      <c r="T990" s="225"/>
      <c r="U990" s="226"/>
      <c r="V990" s="253"/>
    </row>
    <row r="991" customFormat="false" ht="12.75" hidden="false" customHeight="false" outlineLevel="0" collapsed="false">
      <c r="B991" s="228"/>
      <c r="C991" s="229"/>
      <c r="D991" s="219"/>
      <c r="E991" s="220"/>
      <c r="F991" s="229"/>
      <c r="G991" s="220"/>
      <c r="H991" s="220"/>
      <c r="I991" s="220"/>
      <c r="J991" s="220"/>
      <c r="K991" s="220"/>
      <c r="L991" s="220"/>
      <c r="M991" s="220"/>
      <c r="N991" s="220"/>
      <c r="O991" s="220"/>
      <c r="P991" s="220"/>
      <c r="Q991" s="220"/>
      <c r="R991" s="220"/>
      <c r="S991" s="220"/>
      <c r="T991" s="225"/>
      <c r="U991" s="226"/>
      <c r="V991" s="253"/>
    </row>
    <row r="992" customFormat="false" ht="12.75" hidden="false" customHeight="false" outlineLevel="0" collapsed="false">
      <c r="B992" s="228"/>
      <c r="C992" s="229"/>
      <c r="D992" s="219"/>
      <c r="E992" s="220"/>
      <c r="F992" s="229"/>
      <c r="G992" s="220"/>
      <c r="H992" s="220"/>
      <c r="I992" s="220"/>
      <c r="J992" s="220"/>
      <c r="K992" s="220"/>
      <c r="L992" s="220"/>
      <c r="M992" s="220"/>
      <c r="N992" s="220"/>
      <c r="O992" s="220"/>
      <c r="P992" s="220"/>
      <c r="Q992" s="220"/>
      <c r="R992" s="220"/>
      <c r="S992" s="220"/>
      <c r="T992" s="225"/>
      <c r="U992" s="226"/>
      <c r="V992" s="253"/>
    </row>
    <row r="993" customFormat="false" ht="12.75" hidden="false" customHeight="false" outlineLevel="0" collapsed="false">
      <c r="B993" s="228"/>
      <c r="C993" s="229"/>
      <c r="D993" s="219"/>
      <c r="E993" s="220"/>
      <c r="F993" s="229"/>
      <c r="G993" s="220"/>
      <c r="H993" s="220"/>
      <c r="I993" s="220"/>
      <c r="J993" s="220"/>
      <c r="K993" s="220"/>
      <c r="L993" s="220"/>
      <c r="M993" s="220"/>
      <c r="N993" s="220"/>
      <c r="O993" s="220"/>
      <c r="P993" s="220"/>
      <c r="Q993" s="220"/>
      <c r="R993" s="220"/>
      <c r="S993" s="220"/>
      <c r="T993" s="225"/>
      <c r="U993" s="226"/>
      <c r="V993" s="253"/>
    </row>
    <row r="994" customFormat="false" ht="12.75" hidden="false" customHeight="false" outlineLevel="0" collapsed="false">
      <c r="B994" s="228"/>
      <c r="C994" s="229"/>
      <c r="D994" s="219"/>
      <c r="E994" s="220"/>
      <c r="F994" s="229"/>
      <c r="G994" s="220"/>
      <c r="H994" s="220"/>
      <c r="I994" s="220"/>
      <c r="J994" s="220"/>
      <c r="K994" s="220"/>
      <c r="L994" s="220"/>
      <c r="M994" s="220"/>
      <c r="N994" s="220"/>
      <c r="O994" s="220"/>
      <c r="P994" s="220"/>
      <c r="Q994" s="220"/>
      <c r="R994" s="220"/>
      <c r="S994" s="220"/>
      <c r="T994" s="225"/>
      <c r="U994" s="226"/>
      <c r="V994" s="253"/>
    </row>
    <row r="995" customFormat="false" ht="12.75" hidden="false" customHeight="false" outlineLevel="0" collapsed="false">
      <c r="B995" s="228"/>
      <c r="C995" s="229"/>
      <c r="D995" s="219"/>
      <c r="E995" s="220"/>
      <c r="F995" s="229"/>
      <c r="G995" s="220"/>
      <c r="H995" s="220"/>
      <c r="I995" s="220"/>
      <c r="J995" s="220"/>
      <c r="K995" s="220"/>
      <c r="L995" s="220"/>
      <c r="M995" s="220"/>
      <c r="N995" s="220"/>
      <c r="O995" s="220"/>
      <c r="P995" s="220"/>
      <c r="Q995" s="220"/>
      <c r="R995" s="220"/>
      <c r="S995" s="220"/>
      <c r="T995" s="225"/>
      <c r="U995" s="226"/>
      <c r="V995" s="253"/>
    </row>
    <row r="996" customFormat="false" ht="12.75" hidden="false" customHeight="false" outlineLevel="0" collapsed="false">
      <c r="B996" s="228"/>
      <c r="C996" s="229"/>
      <c r="D996" s="219"/>
      <c r="E996" s="220"/>
      <c r="F996" s="229"/>
      <c r="G996" s="220"/>
      <c r="H996" s="220"/>
      <c r="I996" s="220"/>
      <c r="J996" s="220"/>
      <c r="K996" s="220"/>
      <c r="L996" s="220"/>
      <c r="M996" s="220"/>
      <c r="N996" s="220"/>
      <c r="O996" s="220"/>
      <c r="P996" s="220"/>
      <c r="Q996" s="220"/>
      <c r="R996" s="220"/>
      <c r="S996" s="220"/>
      <c r="T996" s="225"/>
      <c r="U996" s="226"/>
      <c r="V996" s="253"/>
    </row>
    <row r="997" customFormat="false" ht="12.75" hidden="false" customHeight="false" outlineLevel="0" collapsed="false">
      <c r="B997" s="228"/>
      <c r="C997" s="229"/>
      <c r="D997" s="219"/>
      <c r="E997" s="220"/>
      <c r="F997" s="229"/>
      <c r="G997" s="220"/>
      <c r="H997" s="220"/>
      <c r="I997" s="220"/>
      <c r="J997" s="220"/>
      <c r="K997" s="220"/>
      <c r="L997" s="220"/>
      <c r="M997" s="220"/>
      <c r="N997" s="220"/>
      <c r="O997" s="220"/>
      <c r="P997" s="220"/>
      <c r="Q997" s="220"/>
      <c r="R997" s="220"/>
      <c r="S997" s="220"/>
      <c r="T997" s="225"/>
      <c r="U997" s="226"/>
      <c r="V997" s="253"/>
    </row>
    <row r="998" customFormat="false" ht="12.75" hidden="false" customHeight="false" outlineLevel="0" collapsed="false">
      <c r="B998" s="228"/>
      <c r="C998" s="229"/>
      <c r="D998" s="219"/>
      <c r="E998" s="220"/>
      <c r="F998" s="229"/>
      <c r="G998" s="220"/>
      <c r="H998" s="220"/>
      <c r="I998" s="220"/>
      <c r="J998" s="220"/>
      <c r="K998" s="220"/>
      <c r="L998" s="220"/>
      <c r="M998" s="220"/>
      <c r="N998" s="220"/>
      <c r="O998" s="220"/>
      <c r="P998" s="220"/>
      <c r="Q998" s="220"/>
      <c r="R998" s="220"/>
      <c r="S998" s="220"/>
      <c r="T998" s="225"/>
      <c r="U998" s="226"/>
      <c r="V998" s="253"/>
    </row>
    <row r="999" customFormat="false" ht="12.75" hidden="false" customHeight="false" outlineLevel="0" collapsed="false">
      <c r="B999" s="228"/>
      <c r="C999" s="229"/>
      <c r="D999" s="219"/>
      <c r="E999" s="220"/>
      <c r="F999" s="229"/>
      <c r="G999" s="220"/>
      <c r="H999" s="220"/>
      <c r="I999" s="220"/>
      <c r="J999" s="220"/>
      <c r="K999" s="220"/>
      <c r="L999" s="220"/>
      <c r="M999" s="220"/>
      <c r="N999" s="220"/>
      <c r="O999" s="220"/>
      <c r="P999" s="220"/>
      <c r="Q999" s="220"/>
      <c r="R999" s="220"/>
      <c r="S999" s="220"/>
      <c r="T999" s="225"/>
      <c r="U999" s="226"/>
      <c r="V999" s="253"/>
    </row>
    <row r="1000" customFormat="false" ht="12.75" hidden="false" customHeight="false" outlineLevel="0" collapsed="false">
      <c r="B1000" s="228"/>
      <c r="C1000" s="229"/>
      <c r="D1000" s="219"/>
      <c r="E1000" s="220"/>
      <c r="F1000" s="229"/>
      <c r="G1000" s="220"/>
      <c r="H1000" s="220"/>
      <c r="I1000" s="220"/>
      <c r="J1000" s="220"/>
      <c r="K1000" s="220"/>
      <c r="L1000" s="220"/>
      <c r="M1000" s="220"/>
      <c r="N1000" s="220"/>
      <c r="O1000" s="220"/>
      <c r="P1000" s="220"/>
      <c r="Q1000" s="220"/>
      <c r="R1000" s="220"/>
      <c r="S1000" s="220"/>
      <c r="T1000" s="225"/>
      <c r="U1000" s="226"/>
      <c r="V1000" s="253"/>
    </row>
    <row r="1001" customFormat="false" ht="12.75" hidden="false" customHeight="false" outlineLevel="0" collapsed="false">
      <c r="B1001" s="228"/>
      <c r="C1001" s="229"/>
      <c r="D1001" s="219"/>
      <c r="E1001" s="220"/>
      <c r="F1001" s="229"/>
      <c r="G1001" s="220"/>
      <c r="H1001" s="220"/>
      <c r="I1001" s="220"/>
      <c r="J1001" s="220"/>
      <c r="K1001" s="220"/>
      <c r="L1001" s="220"/>
      <c r="M1001" s="220"/>
      <c r="N1001" s="220"/>
      <c r="O1001" s="220"/>
      <c r="P1001" s="220"/>
      <c r="Q1001" s="220"/>
      <c r="R1001" s="220"/>
      <c r="S1001" s="220"/>
      <c r="T1001" s="225"/>
      <c r="U1001" s="226"/>
      <c r="V1001" s="253"/>
    </row>
    <row r="1002" customFormat="false" ht="12.75" hidden="false" customHeight="false" outlineLevel="0" collapsed="false">
      <c r="B1002" s="228"/>
      <c r="C1002" s="229"/>
      <c r="D1002" s="219"/>
      <c r="E1002" s="220"/>
      <c r="F1002" s="229"/>
      <c r="G1002" s="220"/>
      <c r="H1002" s="220"/>
      <c r="I1002" s="220"/>
      <c r="J1002" s="220"/>
      <c r="K1002" s="220"/>
      <c r="L1002" s="220"/>
      <c r="M1002" s="220"/>
      <c r="N1002" s="220"/>
      <c r="O1002" s="220"/>
      <c r="P1002" s="220"/>
      <c r="Q1002" s="220"/>
      <c r="R1002" s="220"/>
      <c r="S1002" s="220"/>
      <c r="T1002" s="225"/>
      <c r="U1002" s="226"/>
      <c r="V1002" s="253"/>
    </row>
    <row r="1003" customFormat="false" ht="12.75" hidden="false" customHeight="false" outlineLevel="0" collapsed="false">
      <c r="B1003" s="228"/>
      <c r="C1003" s="229"/>
      <c r="D1003" s="219"/>
      <c r="E1003" s="220"/>
      <c r="F1003" s="229"/>
      <c r="G1003" s="220"/>
      <c r="H1003" s="220"/>
      <c r="I1003" s="220"/>
      <c r="J1003" s="220"/>
      <c r="K1003" s="220"/>
      <c r="L1003" s="220"/>
      <c r="M1003" s="220"/>
      <c r="N1003" s="220"/>
      <c r="O1003" s="220"/>
      <c r="P1003" s="220"/>
      <c r="Q1003" s="220"/>
      <c r="R1003" s="220"/>
      <c r="S1003" s="220"/>
      <c r="T1003" s="225"/>
      <c r="U1003" s="226"/>
      <c r="V1003" s="253"/>
    </row>
    <row r="1004" customFormat="false" ht="12.75" hidden="false" customHeight="false" outlineLevel="0" collapsed="false">
      <c r="B1004" s="228"/>
      <c r="C1004" s="229"/>
      <c r="D1004" s="219"/>
      <c r="E1004" s="220"/>
      <c r="F1004" s="229"/>
      <c r="G1004" s="220"/>
      <c r="H1004" s="220"/>
      <c r="I1004" s="220"/>
      <c r="J1004" s="220"/>
      <c r="K1004" s="220"/>
      <c r="L1004" s="220"/>
      <c r="M1004" s="220"/>
      <c r="N1004" s="220"/>
      <c r="O1004" s="220"/>
      <c r="P1004" s="220"/>
      <c r="Q1004" s="220"/>
      <c r="R1004" s="220"/>
      <c r="S1004" s="220"/>
      <c r="T1004" s="225"/>
      <c r="U1004" s="226"/>
      <c r="V1004" s="253"/>
    </row>
    <row r="1005" customFormat="false" ht="12.75" hidden="false" customHeight="false" outlineLevel="0" collapsed="false">
      <c r="B1005" s="228"/>
      <c r="C1005" s="229"/>
      <c r="D1005" s="219"/>
      <c r="E1005" s="220"/>
      <c r="F1005" s="229"/>
      <c r="G1005" s="220"/>
      <c r="H1005" s="220"/>
      <c r="I1005" s="220"/>
      <c r="J1005" s="220"/>
      <c r="K1005" s="220"/>
      <c r="L1005" s="220"/>
      <c r="M1005" s="220"/>
      <c r="N1005" s="220"/>
      <c r="O1005" s="220"/>
      <c r="P1005" s="220"/>
      <c r="Q1005" s="220"/>
      <c r="R1005" s="220"/>
      <c r="S1005" s="220"/>
      <c r="T1005" s="225"/>
      <c r="U1005" s="226"/>
      <c r="V1005" s="253"/>
    </row>
    <row r="1006" customFormat="false" ht="12.75" hidden="false" customHeight="false" outlineLevel="0" collapsed="false">
      <c r="B1006" s="228"/>
      <c r="C1006" s="229"/>
      <c r="D1006" s="219"/>
      <c r="E1006" s="220"/>
      <c r="F1006" s="229"/>
      <c r="G1006" s="220"/>
      <c r="H1006" s="220"/>
      <c r="I1006" s="220"/>
      <c r="J1006" s="220"/>
      <c r="K1006" s="220"/>
      <c r="L1006" s="220"/>
      <c r="M1006" s="220"/>
      <c r="N1006" s="220"/>
      <c r="O1006" s="220"/>
      <c r="P1006" s="220"/>
      <c r="Q1006" s="220"/>
      <c r="R1006" s="220"/>
      <c r="S1006" s="220"/>
      <c r="T1006" s="225"/>
      <c r="U1006" s="226"/>
      <c r="V1006" s="253"/>
    </row>
    <row r="1007" customFormat="false" ht="12.75" hidden="false" customHeight="false" outlineLevel="0" collapsed="false">
      <c r="B1007" s="228"/>
      <c r="C1007" s="229"/>
      <c r="D1007" s="219"/>
      <c r="E1007" s="220"/>
      <c r="F1007" s="229"/>
      <c r="G1007" s="220"/>
      <c r="H1007" s="220"/>
      <c r="I1007" s="220"/>
      <c r="J1007" s="220"/>
      <c r="K1007" s="220"/>
      <c r="L1007" s="220"/>
      <c r="M1007" s="220"/>
      <c r="N1007" s="220"/>
      <c r="O1007" s="220"/>
      <c r="P1007" s="220"/>
      <c r="Q1007" s="220"/>
      <c r="R1007" s="220"/>
      <c r="S1007" s="220"/>
      <c r="T1007" s="225"/>
      <c r="U1007" s="226"/>
      <c r="V1007" s="253"/>
    </row>
    <row r="1008" customFormat="false" ht="12.75" hidden="false" customHeight="false" outlineLevel="0" collapsed="false">
      <c r="B1008" s="228"/>
      <c r="C1008" s="229"/>
      <c r="D1008" s="219"/>
      <c r="E1008" s="220"/>
      <c r="F1008" s="229"/>
      <c r="G1008" s="220"/>
      <c r="H1008" s="220"/>
      <c r="I1008" s="220"/>
      <c r="J1008" s="220"/>
      <c r="K1008" s="220"/>
      <c r="L1008" s="220"/>
      <c r="M1008" s="220"/>
      <c r="N1008" s="220"/>
      <c r="O1008" s="220"/>
      <c r="P1008" s="220"/>
      <c r="Q1008" s="220"/>
      <c r="R1008" s="220"/>
      <c r="S1008" s="220"/>
      <c r="T1008" s="225"/>
      <c r="U1008" s="226"/>
      <c r="V1008" s="253"/>
    </row>
    <row r="1009" customFormat="false" ht="12.75" hidden="false" customHeight="false" outlineLevel="0" collapsed="false">
      <c r="B1009" s="228"/>
      <c r="C1009" s="229"/>
      <c r="D1009" s="219"/>
      <c r="E1009" s="220"/>
      <c r="F1009" s="229"/>
      <c r="G1009" s="220"/>
      <c r="H1009" s="220"/>
      <c r="I1009" s="220"/>
      <c r="J1009" s="220"/>
      <c r="K1009" s="220"/>
      <c r="L1009" s="220"/>
      <c r="M1009" s="220"/>
      <c r="N1009" s="220"/>
      <c r="O1009" s="220"/>
      <c r="P1009" s="220"/>
      <c r="Q1009" s="220"/>
      <c r="R1009" s="220"/>
      <c r="S1009" s="220"/>
      <c r="T1009" s="225"/>
      <c r="U1009" s="226"/>
      <c r="V1009" s="253"/>
    </row>
    <row r="1010" customFormat="false" ht="12.75" hidden="false" customHeight="false" outlineLevel="0" collapsed="false">
      <c r="B1010" s="228"/>
      <c r="C1010" s="229"/>
      <c r="D1010" s="219"/>
      <c r="E1010" s="220"/>
      <c r="F1010" s="229"/>
      <c r="G1010" s="220"/>
      <c r="H1010" s="220"/>
      <c r="I1010" s="220"/>
      <c r="J1010" s="220"/>
      <c r="K1010" s="220"/>
      <c r="L1010" s="220"/>
      <c r="M1010" s="220"/>
      <c r="N1010" s="220"/>
      <c r="O1010" s="220"/>
      <c r="P1010" s="220"/>
      <c r="Q1010" s="220"/>
      <c r="R1010" s="220"/>
      <c r="S1010" s="220"/>
      <c r="T1010" s="225"/>
      <c r="U1010" s="226"/>
      <c r="V1010" s="253"/>
    </row>
    <row r="1011" customFormat="false" ht="12.75" hidden="false" customHeight="false" outlineLevel="0" collapsed="false">
      <c r="B1011" s="228"/>
      <c r="C1011" s="229"/>
      <c r="D1011" s="219"/>
      <c r="E1011" s="220"/>
      <c r="F1011" s="229"/>
      <c r="G1011" s="220"/>
      <c r="H1011" s="220"/>
      <c r="I1011" s="220"/>
      <c r="J1011" s="220"/>
      <c r="K1011" s="220"/>
      <c r="L1011" s="220"/>
      <c r="M1011" s="220"/>
      <c r="N1011" s="220"/>
      <c r="O1011" s="220"/>
      <c r="P1011" s="220"/>
      <c r="Q1011" s="220"/>
      <c r="R1011" s="220"/>
      <c r="S1011" s="220"/>
      <c r="T1011" s="225"/>
      <c r="U1011" s="226"/>
      <c r="V1011" s="253"/>
    </row>
    <row r="1012" customFormat="false" ht="12.75" hidden="false" customHeight="false" outlineLevel="0" collapsed="false">
      <c r="B1012" s="228"/>
      <c r="C1012" s="229"/>
      <c r="D1012" s="219"/>
      <c r="E1012" s="220"/>
      <c r="F1012" s="229"/>
      <c r="G1012" s="220"/>
      <c r="H1012" s="220"/>
      <c r="I1012" s="220"/>
      <c r="J1012" s="220"/>
      <c r="K1012" s="220"/>
      <c r="L1012" s="220"/>
      <c r="M1012" s="220"/>
      <c r="N1012" s="220"/>
      <c r="O1012" s="220"/>
      <c r="P1012" s="220"/>
      <c r="Q1012" s="220"/>
      <c r="R1012" s="220"/>
      <c r="S1012" s="220"/>
      <c r="T1012" s="225"/>
      <c r="U1012" s="226"/>
      <c r="V1012" s="253"/>
    </row>
    <row r="1013" customFormat="false" ht="12.75" hidden="false" customHeight="false" outlineLevel="0" collapsed="false">
      <c r="B1013" s="228"/>
      <c r="C1013" s="229"/>
      <c r="D1013" s="219"/>
      <c r="E1013" s="220"/>
      <c r="F1013" s="229"/>
      <c r="G1013" s="220"/>
      <c r="H1013" s="220"/>
      <c r="I1013" s="220"/>
      <c r="J1013" s="220"/>
      <c r="K1013" s="220"/>
      <c r="L1013" s="220"/>
      <c r="M1013" s="220"/>
      <c r="N1013" s="220"/>
      <c r="O1013" s="220"/>
      <c r="P1013" s="220"/>
      <c r="Q1013" s="220"/>
      <c r="R1013" s="220"/>
      <c r="S1013" s="220"/>
      <c r="T1013" s="225"/>
      <c r="U1013" s="226"/>
      <c r="V1013" s="253"/>
    </row>
    <row r="1014" customFormat="false" ht="12.75" hidden="false" customHeight="false" outlineLevel="0" collapsed="false">
      <c r="B1014" s="228"/>
      <c r="C1014" s="229"/>
      <c r="D1014" s="219"/>
      <c r="E1014" s="220"/>
      <c r="F1014" s="229"/>
      <c r="G1014" s="220"/>
      <c r="H1014" s="220"/>
      <c r="I1014" s="220"/>
      <c r="J1014" s="220"/>
      <c r="K1014" s="220"/>
      <c r="L1014" s="220"/>
      <c r="M1014" s="220"/>
      <c r="N1014" s="220"/>
      <c r="O1014" s="220"/>
      <c r="P1014" s="220"/>
      <c r="Q1014" s="220"/>
      <c r="R1014" s="220"/>
      <c r="S1014" s="220"/>
      <c r="T1014" s="225"/>
      <c r="U1014" s="226"/>
      <c r="V1014" s="253"/>
    </row>
    <row r="1015" customFormat="false" ht="12.75" hidden="false" customHeight="false" outlineLevel="0" collapsed="false">
      <c r="B1015" s="228"/>
      <c r="C1015" s="229"/>
      <c r="D1015" s="219"/>
      <c r="E1015" s="220"/>
      <c r="F1015" s="229"/>
      <c r="G1015" s="220"/>
      <c r="H1015" s="220"/>
      <c r="I1015" s="220"/>
      <c r="J1015" s="220"/>
      <c r="K1015" s="220"/>
      <c r="L1015" s="220"/>
      <c r="M1015" s="220"/>
      <c r="N1015" s="220"/>
      <c r="O1015" s="220"/>
      <c r="P1015" s="220"/>
      <c r="Q1015" s="220"/>
      <c r="R1015" s="220"/>
      <c r="S1015" s="220"/>
      <c r="T1015" s="225"/>
      <c r="U1015" s="226"/>
      <c r="V1015" s="253"/>
    </row>
    <row r="1016" customFormat="false" ht="12.75" hidden="false" customHeight="false" outlineLevel="0" collapsed="false">
      <c r="B1016" s="228"/>
      <c r="C1016" s="229"/>
      <c r="D1016" s="219"/>
      <c r="E1016" s="220"/>
      <c r="F1016" s="229"/>
      <c r="G1016" s="220"/>
      <c r="H1016" s="220"/>
      <c r="I1016" s="220"/>
      <c r="J1016" s="220"/>
      <c r="K1016" s="220"/>
      <c r="L1016" s="220"/>
      <c r="M1016" s="220"/>
      <c r="N1016" s="220"/>
      <c r="O1016" s="220"/>
      <c r="P1016" s="220"/>
      <c r="Q1016" s="220"/>
      <c r="R1016" s="220"/>
      <c r="S1016" s="220"/>
      <c r="T1016" s="225"/>
      <c r="U1016" s="226"/>
      <c r="V1016" s="253"/>
    </row>
    <row r="1017" customFormat="false" ht="12.75" hidden="false" customHeight="false" outlineLevel="0" collapsed="false">
      <c r="B1017" s="228"/>
      <c r="C1017" s="229"/>
      <c r="D1017" s="219"/>
      <c r="E1017" s="220"/>
      <c r="F1017" s="229"/>
      <c r="G1017" s="220"/>
      <c r="H1017" s="220"/>
      <c r="I1017" s="220"/>
      <c r="J1017" s="220"/>
      <c r="K1017" s="220"/>
      <c r="L1017" s="220"/>
      <c r="M1017" s="220"/>
      <c r="N1017" s="220"/>
      <c r="O1017" s="220"/>
      <c r="P1017" s="220"/>
      <c r="Q1017" s="220"/>
      <c r="R1017" s="220"/>
      <c r="S1017" s="220"/>
      <c r="T1017" s="225"/>
      <c r="U1017" s="226"/>
      <c r="V1017" s="253"/>
    </row>
    <row r="1018" customFormat="false" ht="12.75" hidden="false" customHeight="false" outlineLevel="0" collapsed="false">
      <c r="B1018" s="228"/>
      <c r="C1018" s="229"/>
      <c r="D1018" s="219"/>
      <c r="E1018" s="220"/>
      <c r="F1018" s="229"/>
      <c r="G1018" s="220"/>
      <c r="H1018" s="220"/>
      <c r="I1018" s="220"/>
      <c r="J1018" s="220"/>
      <c r="K1018" s="220"/>
      <c r="L1018" s="220"/>
      <c r="M1018" s="220"/>
      <c r="N1018" s="220"/>
      <c r="O1018" s="220"/>
      <c r="P1018" s="220"/>
      <c r="Q1018" s="220"/>
      <c r="R1018" s="220"/>
      <c r="S1018" s="220"/>
      <c r="T1018" s="225"/>
      <c r="U1018" s="226"/>
      <c r="V1018" s="253"/>
    </row>
    <row r="1019" customFormat="false" ht="12.75" hidden="false" customHeight="false" outlineLevel="0" collapsed="false">
      <c r="B1019" s="228"/>
      <c r="C1019" s="229"/>
      <c r="D1019" s="219"/>
      <c r="E1019" s="220"/>
      <c r="F1019" s="229"/>
      <c r="G1019" s="220"/>
      <c r="H1019" s="220"/>
      <c r="I1019" s="220"/>
      <c r="J1019" s="220"/>
      <c r="K1019" s="220"/>
      <c r="L1019" s="220"/>
      <c r="M1019" s="220"/>
      <c r="N1019" s="220"/>
      <c r="O1019" s="220"/>
      <c r="P1019" s="220"/>
      <c r="Q1019" s="220"/>
      <c r="R1019" s="220"/>
      <c r="S1019" s="220"/>
      <c r="T1019" s="225"/>
      <c r="U1019" s="226"/>
      <c r="V1019" s="253"/>
    </row>
    <row r="1020" customFormat="false" ht="12.75" hidden="false" customHeight="false" outlineLevel="0" collapsed="false">
      <c r="B1020" s="228"/>
      <c r="C1020" s="229"/>
      <c r="D1020" s="219"/>
      <c r="E1020" s="220"/>
      <c r="F1020" s="229"/>
      <c r="G1020" s="220"/>
      <c r="H1020" s="220"/>
      <c r="I1020" s="220"/>
      <c r="J1020" s="220"/>
      <c r="K1020" s="220"/>
      <c r="L1020" s="220"/>
      <c r="M1020" s="220"/>
      <c r="N1020" s="220"/>
      <c r="O1020" s="220"/>
      <c r="P1020" s="220"/>
      <c r="Q1020" s="220"/>
      <c r="R1020" s="220"/>
      <c r="S1020" s="220"/>
      <c r="T1020" s="225"/>
      <c r="U1020" s="226"/>
      <c r="V1020" s="253"/>
    </row>
    <row r="1021" customFormat="false" ht="12.75" hidden="false" customHeight="false" outlineLevel="0" collapsed="false">
      <c r="B1021" s="228"/>
      <c r="C1021" s="229"/>
      <c r="D1021" s="219"/>
      <c r="E1021" s="220"/>
      <c r="F1021" s="229"/>
      <c r="G1021" s="220"/>
      <c r="H1021" s="220"/>
      <c r="I1021" s="220"/>
      <c r="J1021" s="220"/>
      <c r="K1021" s="220"/>
      <c r="L1021" s="220"/>
      <c r="M1021" s="220"/>
      <c r="N1021" s="220"/>
      <c r="O1021" s="220"/>
      <c r="P1021" s="220"/>
      <c r="Q1021" s="220"/>
      <c r="R1021" s="220"/>
      <c r="S1021" s="220"/>
      <c r="T1021" s="225"/>
      <c r="U1021" s="226"/>
      <c r="V1021" s="253"/>
    </row>
    <row r="1022" customFormat="false" ht="12.75" hidden="false" customHeight="false" outlineLevel="0" collapsed="false">
      <c r="B1022" s="228"/>
      <c r="C1022" s="229"/>
      <c r="D1022" s="219"/>
      <c r="E1022" s="220"/>
      <c r="F1022" s="229"/>
      <c r="G1022" s="220"/>
      <c r="H1022" s="220"/>
      <c r="I1022" s="220"/>
      <c r="J1022" s="220"/>
      <c r="K1022" s="220"/>
      <c r="L1022" s="220"/>
      <c r="M1022" s="220"/>
      <c r="N1022" s="220"/>
      <c r="O1022" s="220"/>
      <c r="P1022" s="220"/>
      <c r="Q1022" s="220"/>
      <c r="R1022" s="220"/>
      <c r="S1022" s="220"/>
      <c r="T1022" s="225"/>
      <c r="U1022" s="226"/>
      <c r="V1022" s="253"/>
    </row>
    <row r="1023" customFormat="false" ht="12.75" hidden="false" customHeight="false" outlineLevel="0" collapsed="false">
      <c r="B1023" s="228"/>
      <c r="C1023" s="229"/>
      <c r="D1023" s="219"/>
      <c r="E1023" s="220"/>
      <c r="F1023" s="229"/>
      <c r="G1023" s="220"/>
      <c r="H1023" s="220"/>
      <c r="I1023" s="220"/>
      <c r="J1023" s="220"/>
      <c r="K1023" s="220"/>
      <c r="L1023" s="220"/>
      <c r="M1023" s="220"/>
      <c r="N1023" s="220"/>
      <c r="O1023" s="220"/>
      <c r="P1023" s="220"/>
      <c r="Q1023" s="220"/>
      <c r="R1023" s="220"/>
      <c r="S1023" s="220"/>
      <c r="T1023" s="225"/>
      <c r="U1023" s="226"/>
      <c r="V1023" s="253"/>
    </row>
    <row r="1024" customFormat="false" ht="12.75" hidden="false" customHeight="false" outlineLevel="0" collapsed="false">
      <c r="B1024" s="228"/>
      <c r="C1024" s="229"/>
      <c r="D1024" s="219"/>
      <c r="E1024" s="220"/>
      <c r="F1024" s="229"/>
      <c r="G1024" s="220"/>
      <c r="H1024" s="220"/>
      <c r="I1024" s="220"/>
      <c r="J1024" s="220"/>
      <c r="K1024" s="220"/>
      <c r="L1024" s="220"/>
      <c r="M1024" s="220"/>
      <c r="N1024" s="220"/>
      <c r="O1024" s="220"/>
      <c r="P1024" s="220"/>
      <c r="Q1024" s="220"/>
      <c r="R1024" s="220"/>
      <c r="S1024" s="220"/>
      <c r="T1024" s="225"/>
      <c r="U1024" s="226"/>
      <c r="V1024" s="253"/>
    </row>
    <row r="1025" customFormat="false" ht="12.75" hidden="false" customHeight="false" outlineLevel="0" collapsed="false">
      <c r="B1025" s="228"/>
      <c r="C1025" s="229"/>
      <c r="D1025" s="219"/>
      <c r="E1025" s="220"/>
      <c r="F1025" s="229"/>
      <c r="G1025" s="220"/>
      <c r="H1025" s="220"/>
      <c r="I1025" s="220"/>
      <c r="J1025" s="220"/>
      <c r="K1025" s="220"/>
      <c r="L1025" s="220"/>
      <c r="M1025" s="220"/>
      <c r="N1025" s="220"/>
      <c r="O1025" s="220"/>
      <c r="P1025" s="220"/>
      <c r="Q1025" s="220"/>
      <c r="R1025" s="220"/>
      <c r="S1025" s="220"/>
      <c r="T1025" s="225"/>
      <c r="U1025" s="226"/>
      <c r="V1025" s="253"/>
    </row>
    <row r="1026" customFormat="false" ht="12.75" hidden="false" customHeight="false" outlineLevel="0" collapsed="false">
      <c r="B1026" s="228"/>
      <c r="C1026" s="229"/>
      <c r="D1026" s="219"/>
      <c r="E1026" s="220"/>
      <c r="F1026" s="229"/>
      <c r="G1026" s="220"/>
      <c r="H1026" s="220"/>
      <c r="I1026" s="220"/>
      <c r="J1026" s="220"/>
      <c r="K1026" s="220"/>
      <c r="L1026" s="220"/>
      <c r="M1026" s="220"/>
      <c r="N1026" s="220"/>
      <c r="O1026" s="220"/>
      <c r="P1026" s="220"/>
      <c r="Q1026" s="220"/>
      <c r="R1026" s="220"/>
      <c r="S1026" s="220"/>
      <c r="T1026" s="225"/>
      <c r="U1026" s="226"/>
      <c r="V1026" s="253"/>
    </row>
    <row r="1027" customFormat="false" ht="12.75" hidden="false" customHeight="false" outlineLevel="0" collapsed="false">
      <c r="B1027" s="228"/>
      <c r="C1027" s="229"/>
      <c r="D1027" s="219"/>
      <c r="E1027" s="220"/>
      <c r="F1027" s="229"/>
      <c r="G1027" s="220"/>
      <c r="H1027" s="220"/>
      <c r="I1027" s="220"/>
      <c r="J1027" s="220"/>
      <c r="K1027" s="220"/>
      <c r="L1027" s="220"/>
      <c r="M1027" s="220"/>
      <c r="N1027" s="220"/>
      <c r="O1027" s="220"/>
      <c r="P1027" s="220"/>
      <c r="Q1027" s="220"/>
      <c r="R1027" s="220"/>
      <c r="S1027" s="220"/>
      <c r="T1027" s="225"/>
      <c r="U1027" s="226"/>
      <c r="V1027" s="253"/>
    </row>
    <row r="1028" customFormat="false" ht="12.75" hidden="false" customHeight="false" outlineLevel="0" collapsed="false">
      <c r="B1028" s="228"/>
      <c r="C1028" s="229"/>
      <c r="D1028" s="219"/>
      <c r="E1028" s="220"/>
      <c r="F1028" s="229"/>
      <c r="G1028" s="220"/>
      <c r="H1028" s="220"/>
      <c r="I1028" s="220"/>
      <c r="J1028" s="220"/>
      <c r="K1028" s="220"/>
      <c r="L1028" s="220"/>
      <c r="M1028" s="220"/>
      <c r="N1028" s="220"/>
      <c r="O1028" s="220"/>
      <c r="P1028" s="220"/>
      <c r="Q1028" s="220"/>
      <c r="R1028" s="220"/>
      <c r="S1028" s="220"/>
      <c r="T1028" s="225"/>
      <c r="U1028" s="226"/>
      <c r="V1028" s="253"/>
    </row>
    <row r="1029" customFormat="false" ht="12.75" hidden="false" customHeight="false" outlineLevel="0" collapsed="false">
      <c r="B1029" s="228"/>
      <c r="C1029" s="229"/>
      <c r="D1029" s="219"/>
      <c r="E1029" s="220"/>
      <c r="F1029" s="229"/>
      <c r="G1029" s="220"/>
      <c r="H1029" s="220"/>
      <c r="I1029" s="220"/>
      <c r="J1029" s="220"/>
      <c r="K1029" s="220"/>
      <c r="L1029" s="220"/>
      <c r="M1029" s="220"/>
      <c r="N1029" s="220"/>
      <c r="O1029" s="220"/>
      <c r="P1029" s="220"/>
      <c r="Q1029" s="220"/>
      <c r="R1029" s="220"/>
      <c r="S1029" s="220"/>
      <c r="T1029" s="225"/>
      <c r="U1029" s="226"/>
      <c r="V1029" s="253"/>
    </row>
    <row r="1030" customFormat="false" ht="12.75" hidden="false" customHeight="false" outlineLevel="0" collapsed="false">
      <c r="B1030" s="228"/>
      <c r="C1030" s="229"/>
      <c r="D1030" s="219"/>
      <c r="E1030" s="220"/>
      <c r="F1030" s="229"/>
      <c r="G1030" s="220"/>
      <c r="H1030" s="220"/>
      <c r="I1030" s="220"/>
      <c r="J1030" s="220"/>
      <c r="K1030" s="220"/>
      <c r="L1030" s="220"/>
      <c r="M1030" s="220"/>
      <c r="N1030" s="220"/>
      <c r="O1030" s="220"/>
      <c r="P1030" s="220"/>
      <c r="Q1030" s="220"/>
      <c r="R1030" s="220"/>
      <c r="S1030" s="220"/>
      <c r="T1030" s="225"/>
      <c r="U1030" s="226"/>
      <c r="V1030" s="253"/>
    </row>
    <row r="1031" customFormat="false" ht="12.75" hidden="false" customHeight="false" outlineLevel="0" collapsed="false">
      <c r="B1031" s="228"/>
      <c r="C1031" s="229"/>
      <c r="D1031" s="219"/>
      <c r="E1031" s="220"/>
      <c r="F1031" s="229"/>
      <c r="G1031" s="220"/>
      <c r="H1031" s="220"/>
      <c r="I1031" s="220"/>
      <c r="J1031" s="220"/>
      <c r="K1031" s="220"/>
      <c r="L1031" s="220"/>
      <c r="M1031" s="220"/>
      <c r="N1031" s="220"/>
      <c r="O1031" s="220"/>
      <c r="P1031" s="220"/>
      <c r="Q1031" s="220"/>
      <c r="R1031" s="220"/>
      <c r="S1031" s="220"/>
      <c r="T1031" s="225"/>
      <c r="U1031" s="226"/>
      <c r="V1031" s="253"/>
    </row>
    <row r="1032" customFormat="false" ht="12.75" hidden="false" customHeight="false" outlineLevel="0" collapsed="false">
      <c r="B1032" s="228"/>
      <c r="C1032" s="229"/>
      <c r="D1032" s="219"/>
      <c r="E1032" s="220"/>
      <c r="F1032" s="229"/>
      <c r="G1032" s="220"/>
      <c r="H1032" s="220"/>
      <c r="I1032" s="220"/>
      <c r="J1032" s="220"/>
      <c r="K1032" s="220"/>
      <c r="L1032" s="220"/>
      <c r="M1032" s="220"/>
      <c r="N1032" s="220"/>
      <c r="O1032" s="220"/>
      <c r="P1032" s="220"/>
      <c r="Q1032" s="220"/>
      <c r="R1032" s="220"/>
      <c r="S1032" s="220"/>
      <c r="T1032" s="225"/>
      <c r="U1032" s="226"/>
      <c r="V1032" s="253"/>
    </row>
    <row r="1033" customFormat="false" ht="12.75" hidden="false" customHeight="false" outlineLevel="0" collapsed="false">
      <c r="B1033" s="228"/>
      <c r="C1033" s="229"/>
      <c r="D1033" s="219"/>
      <c r="E1033" s="220"/>
      <c r="F1033" s="229"/>
      <c r="G1033" s="220"/>
      <c r="H1033" s="220"/>
      <c r="I1033" s="220"/>
      <c r="J1033" s="220"/>
      <c r="K1033" s="220"/>
      <c r="L1033" s="220"/>
      <c r="M1033" s="220"/>
      <c r="N1033" s="220"/>
      <c r="O1033" s="220"/>
      <c r="P1033" s="220"/>
      <c r="Q1033" s="220"/>
      <c r="R1033" s="220"/>
      <c r="S1033" s="220"/>
      <c r="T1033" s="225"/>
      <c r="U1033" s="226"/>
      <c r="V1033" s="253"/>
    </row>
    <row r="1034" customFormat="false" ht="12.75" hidden="false" customHeight="false" outlineLevel="0" collapsed="false">
      <c r="B1034" s="228"/>
      <c r="C1034" s="229"/>
      <c r="D1034" s="219"/>
      <c r="E1034" s="220"/>
      <c r="F1034" s="229"/>
      <c r="G1034" s="220"/>
      <c r="H1034" s="220"/>
      <c r="I1034" s="220"/>
      <c r="J1034" s="220"/>
      <c r="K1034" s="220"/>
      <c r="L1034" s="220"/>
      <c r="M1034" s="220"/>
      <c r="N1034" s="220"/>
      <c r="O1034" s="220"/>
      <c r="P1034" s="220"/>
      <c r="Q1034" s="220"/>
      <c r="R1034" s="220"/>
      <c r="S1034" s="220"/>
      <c r="T1034" s="225"/>
      <c r="U1034" s="226"/>
      <c r="V1034" s="253"/>
    </row>
    <row r="1035" customFormat="false" ht="12.75" hidden="false" customHeight="false" outlineLevel="0" collapsed="false">
      <c r="B1035" s="228"/>
      <c r="C1035" s="229"/>
      <c r="D1035" s="219"/>
      <c r="E1035" s="220"/>
      <c r="F1035" s="229"/>
      <c r="G1035" s="220"/>
      <c r="H1035" s="220"/>
      <c r="I1035" s="220"/>
      <c r="J1035" s="220"/>
      <c r="K1035" s="220"/>
      <c r="L1035" s="220"/>
      <c r="M1035" s="220"/>
      <c r="N1035" s="220"/>
      <c r="O1035" s="220"/>
      <c r="P1035" s="220"/>
      <c r="Q1035" s="220"/>
      <c r="R1035" s="220"/>
      <c r="S1035" s="220"/>
      <c r="T1035" s="225"/>
      <c r="U1035" s="226"/>
      <c r="V1035" s="253"/>
    </row>
    <row r="1036" customFormat="false" ht="12.75" hidden="false" customHeight="false" outlineLevel="0" collapsed="false">
      <c r="B1036" s="228"/>
      <c r="C1036" s="229"/>
      <c r="D1036" s="219"/>
      <c r="E1036" s="220"/>
      <c r="F1036" s="229"/>
      <c r="G1036" s="220"/>
      <c r="H1036" s="220"/>
      <c r="I1036" s="220"/>
      <c r="J1036" s="220"/>
      <c r="K1036" s="220"/>
      <c r="L1036" s="220"/>
      <c r="M1036" s="220"/>
      <c r="N1036" s="220"/>
      <c r="O1036" s="220"/>
      <c r="P1036" s="220"/>
      <c r="Q1036" s="220"/>
      <c r="R1036" s="220"/>
      <c r="S1036" s="220"/>
      <c r="T1036" s="225"/>
      <c r="U1036" s="226"/>
      <c r="V1036" s="253"/>
    </row>
    <row r="1037" customFormat="false" ht="12.75" hidden="false" customHeight="false" outlineLevel="0" collapsed="false">
      <c r="B1037" s="228"/>
      <c r="C1037" s="229"/>
      <c r="D1037" s="219"/>
      <c r="E1037" s="220"/>
      <c r="F1037" s="229"/>
      <c r="G1037" s="220"/>
      <c r="H1037" s="220"/>
      <c r="I1037" s="220"/>
      <c r="J1037" s="220"/>
      <c r="K1037" s="220"/>
      <c r="L1037" s="220"/>
      <c r="M1037" s="220"/>
      <c r="N1037" s="220"/>
      <c r="O1037" s="220"/>
      <c r="P1037" s="220"/>
      <c r="Q1037" s="220"/>
      <c r="R1037" s="220"/>
      <c r="S1037" s="220"/>
      <c r="T1037" s="225"/>
      <c r="U1037" s="226"/>
      <c r="V1037" s="253"/>
    </row>
    <row r="1038" customFormat="false" ht="12.75" hidden="false" customHeight="false" outlineLevel="0" collapsed="false">
      <c r="B1038" s="228"/>
      <c r="C1038" s="229"/>
      <c r="D1038" s="219"/>
      <c r="E1038" s="220"/>
      <c r="F1038" s="229"/>
      <c r="G1038" s="220"/>
      <c r="H1038" s="220"/>
      <c r="I1038" s="220"/>
      <c r="J1038" s="220"/>
      <c r="K1038" s="220"/>
      <c r="L1038" s="220"/>
      <c r="M1038" s="220"/>
      <c r="N1038" s="220"/>
      <c r="O1038" s="220"/>
      <c r="P1038" s="220"/>
      <c r="Q1038" s="220"/>
      <c r="R1038" s="220"/>
      <c r="S1038" s="220"/>
      <c r="T1038" s="225"/>
      <c r="U1038" s="226"/>
      <c r="V1038" s="253"/>
    </row>
    <row r="1039" customFormat="false" ht="12.75" hidden="false" customHeight="false" outlineLevel="0" collapsed="false">
      <c r="B1039" s="228"/>
      <c r="C1039" s="229"/>
      <c r="D1039" s="219"/>
      <c r="E1039" s="220"/>
      <c r="F1039" s="229"/>
      <c r="G1039" s="220"/>
      <c r="H1039" s="220"/>
      <c r="I1039" s="220"/>
      <c r="J1039" s="220"/>
      <c r="K1039" s="220"/>
      <c r="L1039" s="220"/>
      <c r="M1039" s="220"/>
      <c r="N1039" s="220"/>
      <c r="O1039" s="220"/>
      <c r="P1039" s="220"/>
      <c r="Q1039" s="220"/>
      <c r="R1039" s="220"/>
      <c r="S1039" s="220"/>
      <c r="T1039" s="225"/>
      <c r="U1039" s="226"/>
      <c r="V1039" s="253"/>
    </row>
    <row r="1040" customFormat="false" ht="12.75" hidden="false" customHeight="false" outlineLevel="0" collapsed="false">
      <c r="B1040" s="228"/>
      <c r="C1040" s="229"/>
      <c r="D1040" s="219"/>
      <c r="E1040" s="220"/>
      <c r="F1040" s="229"/>
      <c r="G1040" s="220"/>
      <c r="H1040" s="220"/>
      <c r="I1040" s="220"/>
      <c r="J1040" s="220"/>
      <c r="K1040" s="220"/>
      <c r="L1040" s="220"/>
      <c r="M1040" s="220"/>
      <c r="N1040" s="220"/>
      <c r="O1040" s="220"/>
      <c r="P1040" s="220"/>
      <c r="Q1040" s="220"/>
      <c r="R1040" s="220"/>
      <c r="S1040" s="220"/>
      <c r="T1040" s="225"/>
      <c r="U1040" s="226"/>
      <c r="V1040" s="253"/>
    </row>
    <row r="1041" customFormat="false" ht="12.75" hidden="false" customHeight="false" outlineLevel="0" collapsed="false">
      <c r="B1041" s="228"/>
      <c r="C1041" s="229"/>
      <c r="D1041" s="219"/>
      <c r="E1041" s="220"/>
      <c r="F1041" s="229"/>
      <c r="G1041" s="220"/>
      <c r="H1041" s="220"/>
      <c r="I1041" s="220"/>
      <c r="J1041" s="220"/>
      <c r="K1041" s="220"/>
      <c r="L1041" s="220"/>
      <c r="M1041" s="220"/>
      <c r="N1041" s="220"/>
      <c r="O1041" s="220"/>
      <c r="P1041" s="220"/>
      <c r="Q1041" s="220"/>
      <c r="R1041" s="220"/>
      <c r="S1041" s="220"/>
      <c r="T1041" s="225"/>
      <c r="U1041" s="226"/>
      <c r="V1041" s="253"/>
    </row>
    <row r="1042" customFormat="false" ht="12.75" hidden="false" customHeight="false" outlineLevel="0" collapsed="false">
      <c r="B1042" s="228"/>
      <c r="C1042" s="229"/>
      <c r="D1042" s="219"/>
      <c r="E1042" s="220"/>
      <c r="F1042" s="229"/>
      <c r="G1042" s="220"/>
      <c r="H1042" s="220"/>
      <c r="I1042" s="220"/>
      <c r="J1042" s="220"/>
      <c r="K1042" s="220"/>
      <c r="L1042" s="220"/>
      <c r="M1042" s="220"/>
      <c r="N1042" s="220"/>
      <c r="O1042" s="220"/>
      <c r="P1042" s="220"/>
      <c r="Q1042" s="220"/>
      <c r="R1042" s="220"/>
      <c r="S1042" s="220"/>
      <c r="T1042" s="225"/>
      <c r="U1042" s="226"/>
      <c r="V1042" s="253"/>
    </row>
    <row r="1043" customFormat="false" ht="12.75" hidden="false" customHeight="false" outlineLevel="0" collapsed="false">
      <c r="B1043" s="228"/>
      <c r="C1043" s="229"/>
      <c r="D1043" s="219"/>
      <c r="E1043" s="220"/>
      <c r="F1043" s="229"/>
      <c r="G1043" s="220"/>
      <c r="H1043" s="220"/>
      <c r="I1043" s="220"/>
      <c r="J1043" s="220"/>
      <c r="K1043" s="220"/>
      <c r="L1043" s="220"/>
      <c r="M1043" s="220"/>
      <c r="N1043" s="220"/>
      <c r="O1043" s="220"/>
      <c r="P1043" s="220"/>
      <c r="Q1043" s="220"/>
      <c r="R1043" s="220"/>
      <c r="S1043" s="220"/>
      <c r="T1043" s="225"/>
      <c r="U1043" s="226"/>
      <c r="V1043" s="253"/>
    </row>
    <row r="1044" customFormat="false" ht="12.75" hidden="false" customHeight="false" outlineLevel="0" collapsed="false">
      <c r="B1044" s="228"/>
      <c r="C1044" s="229"/>
      <c r="D1044" s="219"/>
      <c r="E1044" s="220"/>
      <c r="F1044" s="229"/>
      <c r="G1044" s="220"/>
      <c r="H1044" s="220"/>
      <c r="I1044" s="220"/>
      <c r="J1044" s="220"/>
      <c r="K1044" s="220"/>
      <c r="L1044" s="220"/>
      <c r="M1044" s="220"/>
      <c r="N1044" s="220"/>
      <c r="O1044" s="220"/>
      <c r="P1044" s="220"/>
      <c r="Q1044" s="220"/>
      <c r="R1044" s="220"/>
      <c r="S1044" s="220"/>
      <c r="T1044" s="225"/>
      <c r="U1044" s="226"/>
      <c r="V1044" s="253"/>
    </row>
    <row r="1045" customFormat="false" ht="12.75" hidden="false" customHeight="false" outlineLevel="0" collapsed="false">
      <c r="B1045" s="228"/>
      <c r="C1045" s="229"/>
      <c r="D1045" s="219"/>
      <c r="E1045" s="220"/>
      <c r="F1045" s="229"/>
      <c r="G1045" s="220"/>
      <c r="H1045" s="220"/>
      <c r="I1045" s="220"/>
      <c r="J1045" s="220"/>
      <c r="K1045" s="220"/>
      <c r="L1045" s="220"/>
      <c r="M1045" s="220"/>
      <c r="N1045" s="220"/>
      <c r="O1045" s="220"/>
      <c r="P1045" s="220"/>
      <c r="Q1045" s="220"/>
      <c r="R1045" s="220"/>
      <c r="S1045" s="220"/>
      <c r="T1045" s="225"/>
      <c r="U1045" s="226"/>
      <c r="V1045" s="253"/>
    </row>
    <row r="1046" customFormat="false" ht="12.75" hidden="false" customHeight="false" outlineLevel="0" collapsed="false">
      <c r="B1046" s="228"/>
      <c r="C1046" s="229"/>
      <c r="D1046" s="219"/>
      <c r="E1046" s="220"/>
      <c r="F1046" s="229"/>
      <c r="G1046" s="220"/>
      <c r="H1046" s="220"/>
      <c r="I1046" s="220"/>
      <c r="J1046" s="220"/>
      <c r="K1046" s="220"/>
      <c r="L1046" s="220"/>
      <c r="M1046" s="220"/>
      <c r="N1046" s="220"/>
      <c r="O1046" s="220"/>
      <c r="P1046" s="220"/>
      <c r="Q1046" s="220"/>
      <c r="R1046" s="220"/>
      <c r="S1046" s="220"/>
      <c r="T1046" s="225"/>
      <c r="U1046" s="226"/>
      <c r="V1046" s="253"/>
    </row>
    <row r="1047" customFormat="false" ht="12.75" hidden="false" customHeight="false" outlineLevel="0" collapsed="false">
      <c r="B1047" s="228"/>
      <c r="C1047" s="229"/>
      <c r="D1047" s="219"/>
      <c r="E1047" s="220"/>
      <c r="F1047" s="229"/>
      <c r="G1047" s="220"/>
      <c r="H1047" s="220"/>
      <c r="I1047" s="220"/>
      <c r="J1047" s="220"/>
      <c r="K1047" s="220"/>
      <c r="L1047" s="220"/>
      <c r="M1047" s="220"/>
      <c r="N1047" s="220"/>
      <c r="O1047" s="220"/>
      <c r="P1047" s="220"/>
      <c r="Q1047" s="220"/>
      <c r="R1047" s="220"/>
      <c r="S1047" s="220"/>
      <c r="T1047" s="225"/>
      <c r="U1047" s="226"/>
      <c r="V1047" s="253"/>
    </row>
    <row r="1048" customFormat="false" ht="12.75" hidden="false" customHeight="false" outlineLevel="0" collapsed="false">
      <c r="B1048" s="228"/>
      <c r="C1048" s="229"/>
      <c r="D1048" s="219"/>
      <c r="E1048" s="220"/>
      <c r="F1048" s="229"/>
      <c r="G1048" s="220"/>
      <c r="H1048" s="220"/>
      <c r="I1048" s="220"/>
      <c r="J1048" s="220"/>
      <c r="K1048" s="220"/>
      <c r="L1048" s="220"/>
      <c r="M1048" s="220"/>
      <c r="N1048" s="220"/>
      <c r="O1048" s="220"/>
      <c r="P1048" s="220"/>
      <c r="Q1048" s="220"/>
      <c r="R1048" s="220"/>
      <c r="S1048" s="220"/>
      <c r="T1048" s="225"/>
      <c r="U1048" s="226"/>
      <c r="V1048" s="253"/>
    </row>
    <row r="1049" customFormat="false" ht="12.75" hidden="false" customHeight="false" outlineLevel="0" collapsed="false">
      <c r="B1049" s="228"/>
      <c r="C1049" s="229"/>
      <c r="D1049" s="219"/>
      <c r="E1049" s="220"/>
      <c r="F1049" s="229"/>
      <c r="G1049" s="220"/>
      <c r="H1049" s="220"/>
      <c r="I1049" s="220"/>
      <c r="J1049" s="220"/>
      <c r="K1049" s="220"/>
      <c r="L1049" s="220"/>
      <c r="M1049" s="220"/>
      <c r="N1049" s="220"/>
      <c r="O1049" s="220"/>
      <c r="P1049" s="220"/>
      <c r="Q1049" s="220"/>
      <c r="R1049" s="220"/>
      <c r="S1049" s="220"/>
      <c r="T1049" s="225"/>
      <c r="U1049" s="226"/>
      <c r="V1049" s="253"/>
    </row>
    <row r="1050" customFormat="false" ht="12.75" hidden="false" customHeight="false" outlineLevel="0" collapsed="false">
      <c r="B1050" s="228"/>
      <c r="C1050" s="229"/>
      <c r="D1050" s="219"/>
      <c r="E1050" s="220"/>
      <c r="F1050" s="229"/>
      <c r="G1050" s="220"/>
      <c r="H1050" s="220"/>
      <c r="I1050" s="220"/>
      <c r="J1050" s="220"/>
      <c r="K1050" s="220"/>
      <c r="L1050" s="220"/>
      <c r="M1050" s="220"/>
      <c r="N1050" s="220"/>
      <c r="O1050" s="220"/>
      <c r="P1050" s="220"/>
      <c r="Q1050" s="220"/>
      <c r="R1050" s="220"/>
      <c r="S1050" s="220"/>
      <c r="T1050" s="225"/>
      <c r="U1050" s="226"/>
      <c r="V1050" s="253"/>
    </row>
    <row r="1051" customFormat="false" ht="12.75" hidden="false" customHeight="false" outlineLevel="0" collapsed="false">
      <c r="B1051" s="228"/>
      <c r="C1051" s="229"/>
      <c r="D1051" s="219"/>
      <c r="E1051" s="220"/>
      <c r="F1051" s="229"/>
      <c r="G1051" s="220"/>
      <c r="H1051" s="220"/>
      <c r="I1051" s="220"/>
      <c r="J1051" s="220"/>
      <c r="K1051" s="220"/>
      <c r="L1051" s="220"/>
      <c r="M1051" s="220"/>
      <c r="N1051" s="220"/>
      <c r="O1051" s="220"/>
      <c r="P1051" s="220"/>
      <c r="Q1051" s="220"/>
      <c r="R1051" s="220"/>
      <c r="S1051" s="220"/>
      <c r="T1051" s="225"/>
      <c r="U1051" s="226"/>
      <c r="V1051" s="253"/>
    </row>
    <row r="1052" customFormat="false" ht="12.75" hidden="false" customHeight="false" outlineLevel="0" collapsed="false">
      <c r="B1052" s="228"/>
      <c r="C1052" s="229"/>
      <c r="D1052" s="219"/>
      <c r="E1052" s="220"/>
      <c r="F1052" s="229"/>
      <c r="G1052" s="220"/>
      <c r="H1052" s="220"/>
      <c r="I1052" s="220"/>
      <c r="J1052" s="220"/>
      <c r="K1052" s="220"/>
      <c r="L1052" s="220"/>
      <c r="M1052" s="220"/>
      <c r="N1052" s="220"/>
      <c r="O1052" s="220"/>
      <c r="P1052" s="220"/>
      <c r="Q1052" s="220"/>
      <c r="R1052" s="220"/>
      <c r="S1052" s="220"/>
      <c r="T1052" s="225"/>
      <c r="U1052" s="226"/>
      <c r="V1052" s="253"/>
    </row>
    <row r="1053" customFormat="false" ht="12.75" hidden="false" customHeight="false" outlineLevel="0" collapsed="false">
      <c r="B1053" s="228"/>
      <c r="C1053" s="229"/>
      <c r="D1053" s="219"/>
      <c r="E1053" s="220"/>
      <c r="F1053" s="229"/>
      <c r="G1053" s="220"/>
      <c r="H1053" s="220"/>
      <c r="I1053" s="220"/>
      <c r="J1053" s="220"/>
      <c r="K1053" s="220"/>
      <c r="L1053" s="220"/>
      <c r="M1053" s="220"/>
      <c r="N1053" s="220"/>
      <c r="O1053" s="220"/>
      <c r="P1053" s="220"/>
      <c r="Q1053" s="220"/>
      <c r="R1053" s="220"/>
      <c r="S1053" s="220"/>
      <c r="T1053" s="225"/>
      <c r="U1053" s="226"/>
      <c r="V1053" s="253"/>
    </row>
    <row r="1054" customFormat="false" ht="12.75" hidden="false" customHeight="false" outlineLevel="0" collapsed="false">
      <c r="B1054" s="228"/>
      <c r="C1054" s="229"/>
      <c r="D1054" s="219"/>
      <c r="E1054" s="220"/>
      <c r="F1054" s="229"/>
      <c r="G1054" s="220"/>
      <c r="H1054" s="220"/>
      <c r="I1054" s="220"/>
      <c r="J1054" s="220"/>
      <c r="K1054" s="220"/>
      <c r="L1054" s="220"/>
      <c r="M1054" s="220"/>
      <c r="N1054" s="220"/>
      <c r="O1054" s="220"/>
      <c r="P1054" s="220"/>
      <c r="Q1054" s="220"/>
      <c r="R1054" s="220"/>
      <c r="S1054" s="220"/>
      <c r="T1054" s="225"/>
      <c r="U1054" s="226"/>
      <c r="V1054" s="253"/>
    </row>
    <row r="1055" customFormat="false" ht="12.75" hidden="false" customHeight="false" outlineLevel="0" collapsed="false">
      <c r="B1055" s="228"/>
      <c r="C1055" s="229"/>
      <c r="D1055" s="219"/>
      <c r="E1055" s="220"/>
      <c r="F1055" s="229"/>
      <c r="G1055" s="220"/>
      <c r="H1055" s="220"/>
      <c r="I1055" s="220"/>
      <c r="J1055" s="220"/>
      <c r="K1055" s="220"/>
      <c r="L1055" s="220"/>
      <c r="M1055" s="220"/>
      <c r="N1055" s="220"/>
      <c r="O1055" s="220"/>
      <c r="P1055" s="220"/>
      <c r="Q1055" s="220"/>
      <c r="R1055" s="220"/>
      <c r="S1055" s="220"/>
      <c r="T1055" s="225"/>
      <c r="U1055" s="226"/>
      <c r="V1055" s="253"/>
    </row>
    <row r="1056" customFormat="false" ht="12.75" hidden="false" customHeight="false" outlineLevel="0" collapsed="false">
      <c r="B1056" s="228"/>
      <c r="C1056" s="229"/>
      <c r="D1056" s="219"/>
      <c r="E1056" s="220"/>
      <c r="F1056" s="229"/>
      <c r="G1056" s="220"/>
      <c r="H1056" s="220"/>
      <c r="I1056" s="220"/>
      <c r="J1056" s="220"/>
      <c r="K1056" s="220"/>
      <c r="L1056" s="220"/>
      <c r="M1056" s="220"/>
      <c r="N1056" s="220"/>
      <c r="O1056" s="220"/>
      <c r="P1056" s="220"/>
      <c r="Q1056" s="220"/>
      <c r="R1056" s="220"/>
      <c r="S1056" s="220"/>
      <c r="T1056" s="225"/>
      <c r="U1056" s="226"/>
      <c r="V1056" s="253"/>
    </row>
    <row r="1057" customFormat="false" ht="12.75" hidden="false" customHeight="false" outlineLevel="0" collapsed="false">
      <c r="B1057" s="228"/>
      <c r="C1057" s="229"/>
      <c r="D1057" s="219"/>
      <c r="E1057" s="220"/>
      <c r="F1057" s="229"/>
      <c r="G1057" s="220"/>
      <c r="H1057" s="220"/>
      <c r="I1057" s="220"/>
      <c r="J1057" s="220"/>
      <c r="K1057" s="220"/>
      <c r="L1057" s="220"/>
      <c r="M1057" s="220"/>
      <c r="N1057" s="220"/>
      <c r="O1057" s="220"/>
      <c r="P1057" s="220"/>
      <c r="Q1057" s="220"/>
      <c r="R1057" s="220"/>
      <c r="S1057" s="220"/>
      <c r="T1057" s="225"/>
      <c r="U1057" s="226"/>
      <c r="V1057" s="253"/>
    </row>
    <row r="1058" customFormat="false" ht="12.75" hidden="false" customHeight="false" outlineLevel="0" collapsed="false">
      <c r="B1058" s="228"/>
      <c r="C1058" s="229"/>
      <c r="D1058" s="219"/>
      <c r="E1058" s="220"/>
      <c r="F1058" s="229"/>
      <c r="G1058" s="220"/>
      <c r="H1058" s="220"/>
      <c r="I1058" s="220"/>
      <c r="J1058" s="220"/>
      <c r="K1058" s="220"/>
      <c r="L1058" s="220"/>
      <c r="M1058" s="220"/>
      <c r="N1058" s="220"/>
      <c r="O1058" s="220"/>
      <c r="P1058" s="220"/>
      <c r="Q1058" s="220"/>
      <c r="R1058" s="220"/>
      <c r="S1058" s="220"/>
      <c r="T1058" s="225"/>
      <c r="U1058" s="226"/>
      <c r="V1058" s="253"/>
    </row>
    <row r="1059" customFormat="false" ht="12.75" hidden="false" customHeight="false" outlineLevel="0" collapsed="false">
      <c r="B1059" s="228"/>
      <c r="C1059" s="229"/>
      <c r="D1059" s="219"/>
      <c r="E1059" s="220"/>
      <c r="F1059" s="229"/>
      <c r="G1059" s="220"/>
      <c r="H1059" s="220"/>
      <c r="I1059" s="220"/>
      <c r="J1059" s="220"/>
      <c r="K1059" s="220"/>
      <c r="L1059" s="220"/>
      <c r="M1059" s="220"/>
      <c r="N1059" s="220"/>
      <c r="O1059" s="220"/>
      <c r="P1059" s="220"/>
      <c r="Q1059" s="220"/>
      <c r="R1059" s="220"/>
      <c r="S1059" s="220"/>
      <c r="T1059" s="225"/>
      <c r="U1059" s="226"/>
      <c r="V1059" s="253"/>
    </row>
    <row r="1060" customFormat="false" ht="12.75" hidden="false" customHeight="false" outlineLevel="0" collapsed="false">
      <c r="B1060" s="228"/>
      <c r="C1060" s="229"/>
      <c r="D1060" s="219"/>
      <c r="E1060" s="220"/>
      <c r="F1060" s="229"/>
      <c r="G1060" s="220"/>
      <c r="H1060" s="220"/>
      <c r="I1060" s="220"/>
      <c r="J1060" s="220"/>
      <c r="K1060" s="220"/>
      <c r="L1060" s="220"/>
      <c r="M1060" s="220"/>
      <c r="N1060" s="220"/>
      <c r="O1060" s="220"/>
      <c r="P1060" s="220"/>
      <c r="Q1060" s="220"/>
      <c r="R1060" s="220"/>
      <c r="S1060" s="220"/>
      <c r="T1060" s="225"/>
      <c r="U1060" s="226"/>
      <c r="V1060" s="253"/>
    </row>
    <row r="1061" customFormat="false" ht="12.75" hidden="false" customHeight="false" outlineLevel="0" collapsed="false">
      <c r="B1061" s="228"/>
      <c r="C1061" s="229"/>
      <c r="D1061" s="219"/>
      <c r="E1061" s="220"/>
      <c r="F1061" s="229"/>
      <c r="G1061" s="220"/>
      <c r="H1061" s="220"/>
      <c r="I1061" s="220"/>
      <c r="J1061" s="220"/>
      <c r="K1061" s="220"/>
      <c r="L1061" s="220"/>
      <c r="M1061" s="220"/>
      <c r="N1061" s="220"/>
      <c r="O1061" s="220"/>
      <c r="P1061" s="220"/>
      <c r="Q1061" s="220"/>
      <c r="R1061" s="220"/>
      <c r="S1061" s="220"/>
      <c r="T1061" s="225"/>
      <c r="U1061" s="226"/>
      <c r="V1061" s="253"/>
    </row>
    <row r="1062" customFormat="false" ht="12.75" hidden="false" customHeight="false" outlineLevel="0" collapsed="false">
      <c r="B1062" s="228"/>
      <c r="C1062" s="229"/>
      <c r="D1062" s="219"/>
      <c r="E1062" s="220"/>
      <c r="F1062" s="229"/>
      <c r="G1062" s="220"/>
      <c r="H1062" s="220"/>
      <c r="I1062" s="220"/>
      <c r="J1062" s="220"/>
      <c r="K1062" s="220"/>
      <c r="L1062" s="220"/>
      <c r="M1062" s="220"/>
      <c r="N1062" s="220"/>
      <c r="O1062" s="220"/>
      <c r="P1062" s="220"/>
      <c r="Q1062" s="220"/>
      <c r="R1062" s="220"/>
      <c r="S1062" s="220"/>
      <c r="T1062" s="225"/>
      <c r="U1062" s="226"/>
      <c r="V1062" s="253"/>
    </row>
    <row r="1063" customFormat="false" ht="12.75" hidden="false" customHeight="false" outlineLevel="0" collapsed="false">
      <c r="B1063" s="228"/>
      <c r="C1063" s="229"/>
      <c r="D1063" s="219"/>
      <c r="E1063" s="220"/>
      <c r="F1063" s="229"/>
      <c r="G1063" s="220"/>
      <c r="H1063" s="220"/>
      <c r="I1063" s="220"/>
      <c r="J1063" s="220"/>
      <c r="K1063" s="220"/>
      <c r="L1063" s="220"/>
      <c r="M1063" s="220"/>
      <c r="N1063" s="220"/>
      <c r="O1063" s="220"/>
      <c r="P1063" s="220"/>
      <c r="Q1063" s="220"/>
      <c r="R1063" s="220"/>
      <c r="S1063" s="220"/>
      <c r="T1063" s="225"/>
      <c r="U1063" s="226"/>
      <c r="V1063" s="253"/>
    </row>
    <row r="1064" customFormat="false" ht="12.75" hidden="false" customHeight="false" outlineLevel="0" collapsed="false">
      <c r="B1064" s="228"/>
      <c r="C1064" s="229"/>
      <c r="D1064" s="219"/>
      <c r="E1064" s="220"/>
      <c r="F1064" s="229"/>
      <c r="G1064" s="220"/>
      <c r="H1064" s="220"/>
      <c r="I1064" s="220"/>
      <c r="J1064" s="220"/>
      <c r="K1064" s="220"/>
      <c r="L1064" s="220"/>
      <c r="M1064" s="220"/>
      <c r="N1064" s="220"/>
      <c r="O1064" s="220"/>
      <c r="P1064" s="220"/>
      <c r="Q1064" s="220"/>
      <c r="R1064" s="220"/>
      <c r="S1064" s="220"/>
      <c r="T1064" s="225"/>
      <c r="U1064" s="226"/>
      <c r="V1064" s="253"/>
    </row>
    <row r="1065" customFormat="false" ht="12.75" hidden="false" customHeight="false" outlineLevel="0" collapsed="false">
      <c r="B1065" s="228"/>
      <c r="C1065" s="229"/>
      <c r="D1065" s="219"/>
      <c r="E1065" s="220"/>
      <c r="F1065" s="229"/>
      <c r="G1065" s="220"/>
      <c r="H1065" s="220"/>
      <c r="I1065" s="220"/>
      <c r="J1065" s="220"/>
      <c r="K1065" s="220"/>
      <c r="L1065" s="220"/>
      <c r="M1065" s="220"/>
      <c r="N1065" s="220"/>
      <c r="O1065" s="220"/>
      <c r="P1065" s="220"/>
      <c r="Q1065" s="220"/>
      <c r="R1065" s="220"/>
      <c r="S1065" s="220"/>
      <c r="T1065" s="225"/>
      <c r="U1065" s="226"/>
      <c r="V1065" s="253"/>
    </row>
    <row r="1066" customFormat="false" ht="12.75" hidden="false" customHeight="false" outlineLevel="0" collapsed="false">
      <c r="B1066" s="228"/>
      <c r="C1066" s="229"/>
      <c r="D1066" s="219"/>
      <c r="E1066" s="220"/>
      <c r="F1066" s="229"/>
      <c r="G1066" s="220"/>
      <c r="H1066" s="220"/>
      <c r="I1066" s="220"/>
      <c r="J1066" s="220"/>
      <c r="K1066" s="220"/>
      <c r="L1066" s="220"/>
      <c r="M1066" s="220"/>
      <c r="N1066" s="220"/>
      <c r="O1066" s="220"/>
      <c r="P1066" s="220"/>
      <c r="Q1066" s="220"/>
      <c r="R1066" s="220"/>
      <c r="S1066" s="220"/>
      <c r="T1066" s="225"/>
      <c r="U1066" s="226"/>
      <c r="V1066" s="253"/>
    </row>
    <row r="1067" customFormat="false" ht="12.75" hidden="false" customHeight="false" outlineLevel="0" collapsed="false">
      <c r="B1067" s="228"/>
      <c r="C1067" s="229"/>
      <c r="D1067" s="219"/>
      <c r="E1067" s="220"/>
      <c r="F1067" s="229"/>
      <c r="G1067" s="220"/>
      <c r="H1067" s="220"/>
      <c r="I1067" s="220"/>
      <c r="J1067" s="220"/>
      <c r="K1067" s="220"/>
      <c r="L1067" s="220"/>
      <c r="M1067" s="220"/>
      <c r="N1067" s="220"/>
      <c r="O1067" s="220"/>
      <c r="P1067" s="220"/>
      <c r="Q1067" s="220"/>
      <c r="R1067" s="220"/>
      <c r="S1067" s="220"/>
      <c r="T1067" s="225"/>
      <c r="U1067" s="226"/>
      <c r="V1067" s="253"/>
    </row>
    <row r="1068" customFormat="false" ht="12.75" hidden="false" customHeight="false" outlineLevel="0" collapsed="false">
      <c r="B1068" s="228"/>
      <c r="C1068" s="229"/>
      <c r="D1068" s="219"/>
      <c r="E1068" s="220"/>
      <c r="F1068" s="229"/>
      <c r="G1068" s="220"/>
      <c r="H1068" s="220"/>
      <c r="I1068" s="220"/>
      <c r="J1068" s="220"/>
      <c r="K1068" s="220"/>
      <c r="L1068" s="220"/>
      <c r="M1068" s="220"/>
      <c r="N1068" s="220"/>
      <c r="O1068" s="220"/>
      <c r="P1068" s="220"/>
      <c r="Q1068" s="220"/>
      <c r="R1068" s="220"/>
      <c r="S1068" s="220"/>
      <c r="T1068" s="225"/>
      <c r="U1068" s="226"/>
      <c r="V1068" s="253"/>
    </row>
    <row r="1069" customFormat="false" ht="12.75" hidden="false" customHeight="false" outlineLevel="0" collapsed="false">
      <c r="B1069" s="228"/>
      <c r="C1069" s="229"/>
      <c r="D1069" s="219"/>
      <c r="E1069" s="220"/>
      <c r="F1069" s="229"/>
      <c r="G1069" s="220"/>
      <c r="H1069" s="220"/>
      <c r="I1069" s="220"/>
      <c r="J1069" s="220"/>
      <c r="K1069" s="220"/>
      <c r="L1069" s="220"/>
      <c r="M1069" s="220"/>
      <c r="N1069" s="220"/>
      <c r="O1069" s="220"/>
      <c r="P1069" s="220"/>
      <c r="Q1069" s="220"/>
      <c r="R1069" s="220"/>
      <c r="S1069" s="220"/>
      <c r="T1069" s="225"/>
      <c r="U1069" s="226"/>
      <c r="V1069" s="253"/>
    </row>
    <row r="1070" customFormat="false" ht="12.75" hidden="false" customHeight="false" outlineLevel="0" collapsed="false">
      <c r="B1070" s="228"/>
      <c r="C1070" s="229"/>
      <c r="D1070" s="219"/>
      <c r="E1070" s="220"/>
      <c r="F1070" s="229"/>
      <c r="G1070" s="220"/>
      <c r="H1070" s="220"/>
      <c r="I1070" s="220"/>
      <c r="J1070" s="220"/>
      <c r="K1070" s="220"/>
      <c r="L1070" s="220"/>
      <c r="M1070" s="220"/>
      <c r="N1070" s="220"/>
      <c r="O1070" s="220"/>
      <c r="P1070" s="220"/>
      <c r="Q1070" s="220"/>
      <c r="R1070" s="220"/>
      <c r="S1070" s="220"/>
      <c r="T1070" s="225"/>
      <c r="U1070" s="226"/>
      <c r="V1070" s="253"/>
    </row>
    <row r="1071" customFormat="false" ht="12.75" hidden="false" customHeight="false" outlineLevel="0" collapsed="false">
      <c r="B1071" s="228"/>
      <c r="C1071" s="229"/>
      <c r="D1071" s="219"/>
      <c r="E1071" s="220"/>
      <c r="F1071" s="229"/>
      <c r="G1071" s="220"/>
      <c r="H1071" s="220"/>
      <c r="I1071" s="220"/>
      <c r="J1071" s="220"/>
      <c r="K1071" s="220"/>
      <c r="L1071" s="220"/>
      <c r="M1071" s="220"/>
      <c r="N1071" s="220"/>
      <c r="O1071" s="220"/>
      <c r="P1071" s="220"/>
      <c r="Q1071" s="220"/>
      <c r="R1071" s="220"/>
      <c r="S1071" s="220"/>
      <c r="T1071" s="225"/>
      <c r="U1071" s="226"/>
      <c r="V1071" s="253"/>
    </row>
    <row r="1072" customFormat="false" ht="12.75" hidden="false" customHeight="false" outlineLevel="0" collapsed="false">
      <c r="B1072" s="228"/>
      <c r="C1072" s="229"/>
      <c r="D1072" s="219"/>
      <c r="E1072" s="220"/>
      <c r="F1072" s="229"/>
      <c r="G1072" s="220"/>
      <c r="H1072" s="220"/>
      <c r="I1072" s="220"/>
      <c r="J1072" s="220"/>
      <c r="K1072" s="220"/>
      <c r="L1072" s="220"/>
      <c r="M1072" s="220"/>
      <c r="N1072" s="220"/>
      <c r="O1072" s="220"/>
      <c r="P1072" s="220"/>
      <c r="Q1072" s="220"/>
      <c r="R1072" s="220"/>
      <c r="S1072" s="220"/>
      <c r="T1072" s="225"/>
      <c r="U1072" s="226"/>
      <c r="V1072" s="253"/>
    </row>
    <row r="1073" customFormat="false" ht="12.75" hidden="false" customHeight="false" outlineLevel="0" collapsed="false">
      <c r="B1073" s="228"/>
      <c r="C1073" s="229"/>
      <c r="D1073" s="219"/>
      <c r="E1073" s="220"/>
      <c r="F1073" s="229"/>
      <c r="G1073" s="220"/>
      <c r="H1073" s="220"/>
      <c r="I1073" s="220"/>
      <c r="J1073" s="220"/>
      <c r="K1073" s="220"/>
      <c r="L1073" s="220"/>
      <c r="M1073" s="220"/>
      <c r="N1073" s="220"/>
      <c r="O1073" s="220"/>
      <c r="P1073" s="220"/>
      <c r="Q1073" s="220"/>
      <c r="R1073" s="220"/>
      <c r="S1073" s="220"/>
      <c r="T1073" s="225"/>
      <c r="U1073" s="226"/>
      <c r="V1073" s="253"/>
    </row>
    <row r="1074" customFormat="false" ht="12.75" hidden="false" customHeight="false" outlineLevel="0" collapsed="false">
      <c r="B1074" s="228"/>
      <c r="C1074" s="229"/>
      <c r="D1074" s="219"/>
      <c r="E1074" s="220"/>
      <c r="F1074" s="229"/>
      <c r="G1074" s="220"/>
      <c r="H1074" s="220"/>
      <c r="I1074" s="220"/>
      <c r="J1074" s="220"/>
      <c r="K1074" s="220"/>
      <c r="L1074" s="220"/>
      <c r="M1074" s="220"/>
      <c r="N1074" s="220"/>
      <c r="O1074" s="220"/>
      <c r="P1074" s="220"/>
      <c r="Q1074" s="220"/>
      <c r="R1074" s="220"/>
      <c r="S1074" s="220"/>
      <c r="T1074" s="225"/>
      <c r="U1074" s="226"/>
      <c r="V1074" s="253"/>
    </row>
    <row r="1075" customFormat="false" ht="12.75" hidden="false" customHeight="false" outlineLevel="0" collapsed="false">
      <c r="B1075" s="228"/>
      <c r="C1075" s="229"/>
      <c r="D1075" s="219"/>
      <c r="E1075" s="220"/>
      <c r="F1075" s="229"/>
      <c r="G1075" s="220"/>
      <c r="H1075" s="220"/>
      <c r="I1075" s="220"/>
      <c r="J1075" s="220"/>
      <c r="K1075" s="220"/>
      <c r="L1075" s="220"/>
      <c r="M1075" s="220"/>
      <c r="N1075" s="220"/>
      <c r="O1075" s="220"/>
      <c r="P1075" s="220"/>
      <c r="Q1075" s="220"/>
      <c r="R1075" s="220"/>
      <c r="S1075" s="220"/>
      <c r="T1075" s="225"/>
      <c r="U1075" s="226"/>
      <c r="V1075" s="253"/>
    </row>
    <row r="1076" customFormat="false" ht="12.75" hidden="false" customHeight="false" outlineLevel="0" collapsed="false">
      <c r="B1076" s="228"/>
      <c r="C1076" s="229"/>
      <c r="D1076" s="219"/>
      <c r="E1076" s="220"/>
      <c r="F1076" s="229"/>
      <c r="G1076" s="220"/>
      <c r="H1076" s="220"/>
      <c r="I1076" s="220"/>
      <c r="J1076" s="220"/>
      <c r="K1076" s="220"/>
      <c r="L1076" s="220"/>
      <c r="M1076" s="220"/>
      <c r="N1076" s="220"/>
      <c r="O1076" s="220"/>
      <c r="P1076" s="220"/>
      <c r="Q1076" s="220"/>
      <c r="R1076" s="220"/>
      <c r="S1076" s="220"/>
      <c r="T1076" s="225"/>
      <c r="U1076" s="226"/>
      <c r="V1076" s="253"/>
    </row>
    <row r="1077" customFormat="false" ht="12.75" hidden="false" customHeight="false" outlineLevel="0" collapsed="false">
      <c r="B1077" s="228"/>
      <c r="C1077" s="229"/>
      <c r="D1077" s="219"/>
      <c r="E1077" s="220"/>
      <c r="F1077" s="229"/>
      <c r="G1077" s="220"/>
      <c r="H1077" s="220"/>
      <c r="I1077" s="220"/>
      <c r="J1077" s="220"/>
      <c r="K1077" s="220"/>
      <c r="L1077" s="220"/>
      <c r="M1077" s="220"/>
      <c r="N1077" s="220"/>
      <c r="O1077" s="220"/>
      <c r="P1077" s="220"/>
      <c r="Q1077" s="220"/>
      <c r="R1077" s="220"/>
      <c r="S1077" s="220"/>
      <c r="T1077" s="225"/>
      <c r="U1077" s="226"/>
      <c r="V1077" s="253"/>
    </row>
    <row r="1078" customFormat="false" ht="12.75" hidden="false" customHeight="false" outlineLevel="0" collapsed="false">
      <c r="B1078" s="228"/>
      <c r="C1078" s="229"/>
      <c r="D1078" s="219"/>
      <c r="E1078" s="220"/>
      <c r="F1078" s="229"/>
      <c r="G1078" s="220"/>
      <c r="H1078" s="220"/>
      <c r="I1078" s="220"/>
      <c r="J1078" s="220"/>
      <c r="K1078" s="220"/>
      <c r="L1078" s="220"/>
      <c r="M1078" s="220"/>
      <c r="N1078" s="220"/>
      <c r="O1078" s="220"/>
      <c r="P1078" s="220"/>
      <c r="Q1078" s="220"/>
      <c r="R1078" s="220"/>
      <c r="S1078" s="220"/>
      <c r="T1078" s="225"/>
      <c r="U1078" s="226"/>
      <c r="V1078" s="253"/>
    </row>
    <row r="1079" customFormat="false" ht="12.75" hidden="false" customHeight="false" outlineLevel="0" collapsed="false">
      <c r="B1079" s="228"/>
      <c r="C1079" s="229"/>
      <c r="D1079" s="219"/>
      <c r="E1079" s="220"/>
      <c r="F1079" s="229"/>
      <c r="G1079" s="220"/>
      <c r="H1079" s="220"/>
      <c r="I1079" s="220"/>
      <c r="J1079" s="220"/>
      <c r="K1079" s="220"/>
      <c r="L1079" s="220"/>
      <c r="M1079" s="220"/>
      <c r="N1079" s="220"/>
      <c r="O1079" s="220"/>
      <c r="P1079" s="220"/>
      <c r="Q1079" s="220"/>
      <c r="R1079" s="220"/>
      <c r="S1079" s="220"/>
      <c r="T1079" s="225"/>
      <c r="U1079" s="226"/>
      <c r="V1079" s="253"/>
    </row>
    <row r="1080" customFormat="false" ht="12.75" hidden="false" customHeight="false" outlineLevel="0" collapsed="false">
      <c r="B1080" s="228"/>
      <c r="C1080" s="229"/>
      <c r="D1080" s="219"/>
      <c r="E1080" s="220"/>
      <c r="F1080" s="229"/>
      <c r="G1080" s="220"/>
      <c r="H1080" s="220"/>
      <c r="I1080" s="220"/>
      <c r="J1080" s="220"/>
      <c r="K1080" s="220"/>
      <c r="L1080" s="220"/>
      <c r="M1080" s="220"/>
      <c r="N1080" s="220"/>
      <c r="O1080" s="220"/>
      <c r="P1080" s="220"/>
      <c r="Q1080" s="220"/>
      <c r="R1080" s="220"/>
      <c r="S1080" s="220"/>
      <c r="T1080" s="225"/>
      <c r="U1080" s="226"/>
      <c r="V1080" s="253"/>
    </row>
    <row r="1081" customFormat="false" ht="12.75" hidden="false" customHeight="false" outlineLevel="0" collapsed="false">
      <c r="B1081" s="228"/>
      <c r="C1081" s="229"/>
      <c r="D1081" s="219"/>
      <c r="E1081" s="220"/>
      <c r="F1081" s="229"/>
      <c r="G1081" s="220"/>
      <c r="H1081" s="220"/>
      <c r="I1081" s="220"/>
      <c r="J1081" s="220"/>
      <c r="K1081" s="220"/>
      <c r="L1081" s="220"/>
      <c r="M1081" s="220"/>
      <c r="N1081" s="220"/>
      <c r="O1081" s="220"/>
      <c r="P1081" s="220"/>
      <c r="Q1081" s="220"/>
      <c r="R1081" s="220"/>
      <c r="S1081" s="220"/>
      <c r="T1081" s="225"/>
      <c r="U1081" s="226"/>
      <c r="V1081" s="253"/>
    </row>
    <row r="1082" customFormat="false" ht="12.75" hidden="false" customHeight="false" outlineLevel="0" collapsed="false">
      <c r="B1082" s="228"/>
      <c r="C1082" s="229"/>
      <c r="D1082" s="219"/>
      <c r="E1082" s="220"/>
      <c r="F1082" s="229"/>
      <c r="G1082" s="220"/>
      <c r="H1082" s="220"/>
      <c r="I1082" s="220"/>
      <c r="J1082" s="220"/>
      <c r="K1082" s="220"/>
      <c r="L1082" s="220"/>
      <c r="M1082" s="220"/>
      <c r="N1082" s="220"/>
      <c r="O1082" s="220"/>
      <c r="P1082" s="220"/>
      <c r="Q1082" s="220"/>
      <c r="R1082" s="220"/>
      <c r="S1082" s="220"/>
      <c r="T1082" s="225"/>
      <c r="U1082" s="226"/>
      <c r="V1082" s="253"/>
    </row>
    <row r="1083" customFormat="false" ht="12.75" hidden="false" customHeight="false" outlineLevel="0" collapsed="false">
      <c r="B1083" s="228"/>
      <c r="C1083" s="229"/>
      <c r="D1083" s="219"/>
      <c r="E1083" s="220"/>
      <c r="F1083" s="229"/>
      <c r="G1083" s="220"/>
      <c r="H1083" s="220"/>
      <c r="I1083" s="220"/>
      <c r="J1083" s="220"/>
      <c r="K1083" s="220"/>
      <c r="L1083" s="220"/>
      <c r="M1083" s="220"/>
      <c r="N1083" s="220"/>
      <c r="O1083" s="220"/>
      <c r="P1083" s="220"/>
      <c r="Q1083" s="220"/>
      <c r="R1083" s="220"/>
      <c r="S1083" s="220"/>
      <c r="T1083" s="225"/>
      <c r="U1083" s="226"/>
      <c r="V1083" s="253"/>
    </row>
    <row r="1084" customFormat="false" ht="12.75" hidden="false" customHeight="false" outlineLevel="0" collapsed="false">
      <c r="B1084" s="228"/>
      <c r="C1084" s="229"/>
      <c r="D1084" s="219"/>
      <c r="E1084" s="220"/>
      <c r="F1084" s="229"/>
      <c r="G1084" s="220"/>
      <c r="H1084" s="220"/>
      <c r="I1084" s="220"/>
      <c r="J1084" s="220"/>
      <c r="K1084" s="220"/>
      <c r="L1084" s="220"/>
      <c r="M1084" s="220"/>
      <c r="N1084" s="220"/>
      <c r="O1084" s="220"/>
      <c r="P1084" s="220"/>
      <c r="Q1084" s="220"/>
      <c r="R1084" s="220"/>
      <c r="S1084" s="220"/>
      <c r="T1084" s="225"/>
      <c r="U1084" s="226"/>
      <c r="V1084" s="253"/>
    </row>
    <row r="1085" customFormat="false" ht="12.75" hidden="false" customHeight="false" outlineLevel="0" collapsed="false">
      <c r="B1085" s="228"/>
      <c r="C1085" s="229"/>
      <c r="D1085" s="219"/>
      <c r="E1085" s="220"/>
      <c r="F1085" s="229"/>
      <c r="G1085" s="220"/>
      <c r="H1085" s="220"/>
      <c r="I1085" s="220"/>
      <c r="J1085" s="220"/>
      <c r="K1085" s="220"/>
      <c r="L1085" s="220"/>
      <c r="M1085" s="220"/>
      <c r="N1085" s="220"/>
      <c r="O1085" s="220"/>
      <c r="P1085" s="220"/>
      <c r="Q1085" s="220"/>
      <c r="R1085" s="220"/>
      <c r="S1085" s="220"/>
      <c r="T1085" s="225"/>
      <c r="U1085" s="226"/>
      <c r="V1085" s="253"/>
    </row>
    <row r="1086" customFormat="false" ht="12.75" hidden="false" customHeight="false" outlineLevel="0" collapsed="false">
      <c r="B1086" s="228"/>
      <c r="C1086" s="229"/>
      <c r="D1086" s="219"/>
      <c r="E1086" s="220"/>
      <c r="F1086" s="229"/>
      <c r="G1086" s="220"/>
      <c r="H1086" s="220"/>
      <c r="I1086" s="220"/>
      <c r="J1086" s="220"/>
      <c r="K1086" s="220"/>
      <c r="L1086" s="220"/>
      <c r="M1086" s="220"/>
      <c r="N1086" s="220"/>
      <c r="O1086" s="220"/>
      <c r="P1086" s="220"/>
      <c r="Q1086" s="220"/>
      <c r="R1086" s="220"/>
      <c r="S1086" s="220"/>
      <c r="T1086" s="225"/>
      <c r="U1086" s="226"/>
      <c r="V1086" s="253"/>
    </row>
    <row r="1087" customFormat="false" ht="12.75" hidden="false" customHeight="false" outlineLevel="0" collapsed="false">
      <c r="B1087" s="228"/>
      <c r="C1087" s="229"/>
      <c r="D1087" s="219"/>
      <c r="E1087" s="220"/>
      <c r="F1087" s="229"/>
      <c r="G1087" s="220"/>
      <c r="H1087" s="220"/>
      <c r="I1087" s="220"/>
      <c r="J1087" s="220"/>
      <c r="K1087" s="220"/>
      <c r="L1087" s="220"/>
      <c r="M1087" s="220"/>
      <c r="N1087" s="220"/>
      <c r="O1087" s="220"/>
      <c r="P1087" s="220"/>
      <c r="Q1087" s="220"/>
      <c r="R1087" s="220"/>
      <c r="S1087" s="220"/>
      <c r="T1087" s="225"/>
      <c r="U1087" s="226"/>
      <c r="V1087" s="253"/>
    </row>
    <row r="1088" customFormat="false" ht="12.75" hidden="false" customHeight="false" outlineLevel="0" collapsed="false">
      <c r="B1088" s="228"/>
      <c r="C1088" s="229"/>
      <c r="D1088" s="219"/>
      <c r="E1088" s="220"/>
      <c r="F1088" s="229"/>
      <c r="G1088" s="220"/>
      <c r="H1088" s="220"/>
      <c r="I1088" s="220"/>
      <c r="J1088" s="220"/>
      <c r="K1088" s="220"/>
      <c r="L1088" s="220"/>
      <c r="M1088" s="220"/>
      <c r="N1088" s="220"/>
      <c r="O1088" s="220"/>
      <c r="P1088" s="220"/>
      <c r="Q1088" s="220"/>
      <c r="R1088" s="220"/>
      <c r="S1088" s="220"/>
      <c r="T1088" s="225"/>
      <c r="U1088" s="226"/>
      <c r="V1088" s="253"/>
    </row>
    <row r="1089" customFormat="false" ht="12.75" hidden="false" customHeight="false" outlineLevel="0" collapsed="false">
      <c r="B1089" s="228"/>
      <c r="C1089" s="229"/>
      <c r="D1089" s="219"/>
      <c r="E1089" s="220"/>
      <c r="F1089" s="229"/>
      <c r="G1089" s="220"/>
      <c r="H1089" s="220"/>
      <c r="I1089" s="220"/>
      <c r="J1089" s="220"/>
      <c r="K1089" s="220"/>
      <c r="L1089" s="220"/>
      <c r="M1089" s="220"/>
      <c r="N1089" s="220"/>
      <c r="O1089" s="220"/>
      <c r="P1089" s="220"/>
      <c r="Q1089" s="220"/>
      <c r="R1089" s="220"/>
      <c r="S1089" s="220"/>
      <c r="T1089" s="225"/>
      <c r="U1089" s="226"/>
      <c r="V1089" s="253"/>
    </row>
    <row r="1090" customFormat="false" ht="12.75" hidden="false" customHeight="false" outlineLevel="0" collapsed="false">
      <c r="B1090" s="228"/>
      <c r="C1090" s="229"/>
      <c r="D1090" s="219"/>
      <c r="E1090" s="220"/>
      <c r="F1090" s="229"/>
      <c r="G1090" s="220"/>
      <c r="H1090" s="220"/>
      <c r="I1090" s="220"/>
      <c r="J1090" s="220"/>
      <c r="K1090" s="220"/>
      <c r="L1090" s="220"/>
      <c r="M1090" s="220"/>
      <c r="N1090" s="220"/>
      <c r="O1090" s="220"/>
      <c r="P1090" s="220"/>
      <c r="Q1090" s="220"/>
      <c r="R1090" s="220"/>
      <c r="S1090" s="220"/>
      <c r="T1090" s="225"/>
      <c r="U1090" s="226"/>
      <c r="V1090" s="253"/>
    </row>
    <row r="1091" customFormat="false" ht="12.75" hidden="false" customHeight="false" outlineLevel="0" collapsed="false">
      <c r="B1091" s="228"/>
      <c r="C1091" s="229"/>
      <c r="D1091" s="219"/>
      <c r="E1091" s="220"/>
      <c r="F1091" s="229"/>
      <c r="G1091" s="220"/>
      <c r="H1091" s="220"/>
      <c r="I1091" s="220"/>
      <c r="J1091" s="220"/>
      <c r="K1091" s="220"/>
      <c r="L1091" s="220"/>
      <c r="M1091" s="220"/>
      <c r="N1091" s="220"/>
      <c r="O1091" s="220"/>
      <c r="P1091" s="220"/>
      <c r="Q1091" s="220"/>
      <c r="R1091" s="220"/>
      <c r="S1091" s="220"/>
      <c r="T1091" s="225"/>
      <c r="U1091" s="226"/>
      <c r="V1091" s="253"/>
    </row>
    <row r="1092" customFormat="false" ht="12.75" hidden="false" customHeight="false" outlineLevel="0" collapsed="false">
      <c r="B1092" s="228"/>
      <c r="C1092" s="229"/>
      <c r="D1092" s="219"/>
      <c r="E1092" s="220"/>
      <c r="F1092" s="229"/>
      <c r="G1092" s="220"/>
      <c r="H1092" s="220"/>
      <c r="I1092" s="220"/>
      <c r="J1092" s="220"/>
      <c r="K1092" s="220"/>
      <c r="L1092" s="220"/>
      <c r="M1092" s="220"/>
      <c r="N1092" s="220"/>
      <c r="O1092" s="220"/>
      <c r="P1092" s="220"/>
      <c r="Q1092" s="220"/>
      <c r="R1092" s="220"/>
      <c r="S1092" s="220"/>
      <c r="T1092" s="225"/>
      <c r="U1092" s="226"/>
      <c r="V1092" s="253"/>
    </row>
    <row r="1093" customFormat="false" ht="12.75" hidden="false" customHeight="false" outlineLevel="0" collapsed="false">
      <c r="B1093" s="228"/>
      <c r="C1093" s="229"/>
      <c r="D1093" s="219"/>
      <c r="E1093" s="220"/>
      <c r="F1093" s="229"/>
      <c r="G1093" s="220"/>
      <c r="H1093" s="220"/>
      <c r="I1093" s="220"/>
      <c r="J1093" s="220"/>
      <c r="K1093" s="220"/>
      <c r="L1093" s="220"/>
      <c r="M1093" s="220"/>
      <c r="N1093" s="220"/>
      <c r="O1093" s="220"/>
      <c r="P1093" s="220"/>
      <c r="Q1093" s="220"/>
      <c r="R1093" s="220"/>
      <c r="S1093" s="220"/>
      <c r="T1093" s="225"/>
      <c r="U1093" s="226"/>
      <c r="V1093" s="253"/>
    </row>
    <row r="1094" customFormat="false" ht="12.75" hidden="false" customHeight="false" outlineLevel="0" collapsed="false">
      <c r="B1094" s="228"/>
      <c r="C1094" s="229"/>
      <c r="D1094" s="219"/>
      <c r="E1094" s="220"/>
      <c r="F1094" s="229"/>
      <c r="G1094" s="220"/>
      <c r="H1094" s="220"/>
      <c r="I1094" s="220"/>
      <c r="J1094" s="220"/>
      <c r="K1094" s="220"/>
      <c r="L1094" s="220"/>
      <c r="M1094" s="220"/>
      <c r="N1094" s="220"/>
      <c r="O1094" s="220"/>
      <c r="P1094" s="220"/>
      <c r="Q1094" s="220"/>
      <c r="R1094" s="220"/>
      <c r="S1094" s="220"/>
      <c r="T1094" s="225"/>
      <c r="U1094" s="226"/>
      <c r="V1094" s="253"/>
    </row>
    <row r="1095" customFormat="false" ht="12.75" hidden="false" customHeight="false" outlineLevel="0" collapsed="false">
      <c r="B1095" s="228"/>
      <c r="C1095" s="229"/>
      <c r="D1095" s="219"/>
      <c r="E1095" s="220"/>
      <c r="F1095" s="229"/>
      <c r="G1095" s="220"/>
      <c r="H1095" s="220"/>
      <c r="I1095" s="220"/>
      <c r="J1095" s="220"/>
      <c r="K1095" s="220"/>
      <c r="L1095" s="220"/>
      <c r="M1095" s="220"/>
      <c r="N1095" s="220"/>
      <c r="O1095" s="220"/>
      <c r="P1095" s="220"/>
      <c r="Q1095" s="220"/>
      <c r="R1095" s="220"/>
      <c r="S1095" s="220"/>
      <c r="T1095" s="225"/>
      <c r="U1095" s="226"/>
      <c r="V1095" s="253"/>
    </row>
    <row r="1096" customFormat="false" ht="12.75" hidden="false" customHeight="false" outlineLevel="0" collapsed="false">
      <c r="B1096" s="228"/>
      <c r="C1096" s="229"/>
      <c r="D1096" s="219"/>
      <c r="E1096" s="220"/>
      <c r="F1096" s="229"/>
      <c r="G1096" s="220"/>
      <c r="H1096" s="220"/>
      <c r="I1096" s="220"/>
      <c r="J1096" s="220"/>
      <c r="K1096" s="220"/>
      <c r="L1096" s="220"/>
      <c r="M1096" s="220"/>
      <c r="N1096" s="220"/>
      <c r="O1096" s="220"/>
      <c r="P1096" s="220"/>
      <c r="Q1096" s="220"/>
      <c r="R1096" s="220"/>
      <c r="S1096" s="220"/>
      <c r="T1096" s="225"/>
      <c r="U1096" s="226"/>
      <c r="V1096" s="253"/>
    </row>
    <row r="1097" customFormat="false" ht="12.75" hidden="false" customHeight="false" outlineLevel="0" collapsed="false">
      <c r="B1097" s="228"/>
      <c r="C1097" s="229"/>
      <c r="D1097" s="219"/>
      <c r="E1097" s="220"/>
      <c r="F1097" s="229"/>
      <c r="G1097" s="220"/>
      <c r="H1097" s="220"/>
      <c r="I1097" s="220"/>
      <c r="J1097" s="220"/>
      <c r="K1097" s="220"/>
      <c r="L1097" s="220"/>
      <c r="M1097" s="220"/>
      <c r="N1097" s="220"/>
      <c r="O1097" s="220"/>
      <c r="P1097" s="220"/>
      <c r="Q1097" s="220"/>
      <c r="R1097" s="220"/>
      <c r="S1097" s="220"/>
      <c r="T1097" s="225"/>
      <c r="U1097" s="226"/>
      <c r="V1097" s="253"/>
    </row>
    <row r="1098" customFormat="false" ht="12.75" hidden="false" customHeight="false" outlineLevel="0" collapsed="false">
      <c r="B1098" s="228"/>
      <c r="C1098" s="229"/>
      <c r="D1098" s="219"/>
      <c r="E1098" s="220"/>
      <c r="F1098" s="229"/>
      <c r="G1098" s="220"/>
      <c r="H1098" s="220"/>
      <c r="I1098" s="220"/>
      <c r="J1098" s="220"/>
      <c r="K1098" s="220"/>
      <c r="L1098" s="220"/>
      <c r="M1098" s="220"/>
      <c r="N1098" s="220"/>
      <c r="O1098" s="220"/>
      <c r="P1098" s="220"/>
      <c r="Q1098" s="220"/>
      <c r="R1098" s="220"/>
      <c r="S1098" s="220"/>
      <c r="T1098" s="225"/>
      <c r="U1098" s="226"/>
      <c r="V1098" s="253"/>
    </row>
    <row r="1099" customFormat="false" ht="12.75" hidden="false" customHeight="false" outlineLevel="0" collapsed="false">
      <c r="B1099" s="228"/>
      <c r="C1099" s="229"/>
      <c r="D1099" s="219"/>
      <c r="E1099" s="220"/>
      <c r="F1099" s="229"/>
      <c r="G1099" s="220"/>
      <c r="H1099" s="220"/>
      <c r="I1099" s="220"/>
      <c r="J1099" s="220"/>
      <c r="K1099" s="220"/>
      <c r="L1099" s="220"/>
      <c r="M1099" s="220"/>
      <c r="N1099" s="220"/>
      <c r="O1099" s="220"/>
      <c r="P1099" s="220"/>
      <c r="Q1099" s="220"/>
      <c r="R1099" s="220"/>
      <c r="S1099" s="220"/>
      <c r="T1099" s="225"/>
      <c r="U1099" s="226"/>
      <c r="V1099" s="253"/>
    </row>
    <row r="1100" customFormat="false" ht="12.75" hidden="false" customHeight="false" outlineLevel="0" collapsed="false">
      <c r="B1100" s="228"/>
      <c r="C1100" s="229"/>
      <c r="D1100" s="219"/>
      <c r="E1100" s="220"/>
      <c r="F1100" s="229"/>
      <c r="G1100" s="220"/>
      <c r="H1100" s="220"/>
      <c r="I1100" s="220"/>
      <c r="J1100" s="220"/>
      <c r="K1100" s="220"/>
      <c r="L1100" s="220"/>
      <c r="M1100" s="220"/>
      <c r="N1100" s="220"/>
      <c r="O1100" s="220"/>
      <c r="P1100" s="220"/>
      <c r="Q1100" s="220"/>
      <c r="R1100" s="220"/>
      <c r="S1100" s="220"/>
      <c r="T1100" s="225"/>
      <c r="U1100" s="226"/>
      <c r="V1100" s="253"/>
    </row>
    <row r="1101" customFormat="false" ht="12.75" hidden="false" customHeight="false" outlineLevel="0" collapsed="false">
      <c r="B1101" s="228"/>
      <c r="C1101" s="229"/>
      <c r="D1101" s="219"/>
      <c r="E1101" s="220"/>
      <c r="F1101" s="229"/>
      <c r="G1101" s="220"/>
      <c r="H1101" s="220"/>
      <c r="I1101" s="220"/>
      <c r="J1101" s="220"/>
      <c r="K1101" s="220"/>
      <c r="L1101" s="220"/>
      <c r="M1101" s="220"/>
      <c r="N1101" s="220"/>
      <c r="O1101" s="220"/>
      <c r="P1101" s="220"/>
      <c r="Q1101" s="220"/>
      <c r="R1101" s="220"/>
      <c r="S1101" s="220"/>
      <c r="T1101" s="225"/>
      <c r="U1101" s="226"/>
      <c r="V1101" s="253"/>
    </row>
    <row r="1102" customFormat="false" ht="12.75" hidden="false" customHeight="false" outlineLevel="0" collapsed="false">
      <c r="B1102" s="228"/>
      <c r="C1102" s="229"/>
      <c r="D1102" s="219"/>
      <c r="E1102" s="220"/>
      <c r="F1102" s="229"/>
      <c r="G1102" s="220"/>
      <c r="H1102" s="220"/>
      <c r="I1102" s="220"/>
      <c r="J1102" s="220"/>
      <c r="K1102" s="220"/>
      <c r="L1102" s="220"/>
      <c r="M1102" s="220"/>
      <c r="N1102" s="220"/>
      <c r="O1102" s="220"/>
      <c r="P1102" s="220"/>
      <c r="Q1102" s="220"/>
      <c r="R1102" s="220"/>
      <c r="S1102" s="220"/>
      <c r="T1102" s="225"/>
      <c r="U1102" s="226"/>
      <c r="V1102" s="253"/>
    </row>
    <row r="1103" customFormat="false" ht="12.75" hidden="false" customHeight="false" outlineLevel="0" collapsed="false">
      <c r="B1103" s="228"/>
      <c r="C1103" s="229"/>
      <c r="D1103" s="219"/>
      <c r="E1103" s="220"/>
      <c r="F1103" s="229"/>
      <c r="G1103" s="220"/>
      <c r="H1103" s="220"/>
      <c r="I1103" s="220"/>
      <c r="J1103" s="220"/>
      <c r="K1103" s="220"/>
      <c r="L1103" s="220"/>
      <c r="M1103" s="220"/>
      <c r="N1103" s="220"/>
      <c r="O1103" s="220"/>
      <c r="P1103" s="220"/>
      <c r="Q1103" s="220"/>
      <c r="R1103" s="220"/>
      <c r="S1103" s="220"/>
      <c r="T1103" s="225"/>
      <c r="U1103" s="226"/>
      <c r="V1103" s="253"/>
    </row>
    <row r="1104" customFormat="false" ht="12.75" hidden="false" customHeight="false" outlineLevel="0" collapsed="false">
      <c r="B1104" s="228"/>
      <c r="C1104" s="229"/>
      <c r="D1104" s="219"/>
      <c r="E1104" s="220"/>
      <c r="F1104" s="229"/>
      <c r="G1104" s="220"/>
      <c r="H1104" s="220"/>
      <c r="I1104" s="220"/>
      <c r="J1104" s="220"/>
      <c r="K1104" s="220"/>
      <c r="L1104" s="220"/>
      <c r="M1104" s="220"/>
      <c r="N1104" s="220"/>
      <c r="O1104" s="220"/>
      <c r="P1104" s="220"/>
      <c r="Q1104" s="220"/>
      <c r="R1104" s="220"/>
      <c r="S1104" s="220"/>
      <c r="T1104" s="225"/>
      <c r="U1104" s="226"/>
      <c r="V1104" s="253"/>
    </row>
    <row r="1105" customFormat="false" ht="12.75" hidden="false" customHeight="false" outlineLevel="0" collapsed="false">
      <c r="B1105" s="228"/>
      <c r="C1105" s="229"/>
      <c r="D1105" s="219"/>
      <c r="E1105" s="220"/>
      <c r="F1105" s="229"/>
      <c r="G1105" s="220"/>
      <c r="H1105" s="220"/>
      <c r="I1105" s="220"/>
      <c r="J1105" s="220"/>
      <c r="K1105" s="220"/>
      <c r="L1105" s="220"/>
      <c r="M1105" s="220"/>
      <c r="N1105" s="220"/>
      <c r="O1105" s="220"/>
      <c r="P1105" s="220"/>
      <c r="Q1105" s="220"/>
      <c r="R1105" s="220"/>
      <c r="S1105" s="220"/>
      <c r="T1105" s="225"/>
      <c r="U1105" s="226"/>
      <c r="V1105" s="253"/>
    </row>
    <row r="1106" customFormat="false" ht="12.75" hidden="false" customHeight="false" outlineLevel="0" collapsed="false">
      <c r="B1106" s="228"/>
      <c r="C1106" s="229"/>
      <c r="D1106" s="219"/>
      <c r="E1106" s="220"/>
      <c r="F1106" s="229"/>
      <c r="G1106" s="220"/>
      <c r="H1106" s="220"/>
      <c r="I1106" s="220"/>
      <c r="J1106" s="220"/>
      <c r="K1106" s="220"/>
      <c r="L1106" s="220"/>
      <c r="M1106" s="220"/>
      <c r="N1106" s="220"/>
      <c r="O1106" s="220"/>
      <c r="P1106" s="220"/>
      <c r="Q1106" s="220"/>
      <c r="R1106" s="220"/>
      <c r="S1106" s="220"/>
      <c r="T1106" s="225"/>
      <c r="U1106" s="226"/>
      <c r="V1106" s="253"/>
    </row>
    <row r="1107" customFormat="false" ht="12.75" hidden="false" customHeight="false" outlineLevel="0" collapsed="false">
      <c r="B1107" s="228"/>
      <c r="C1107" s="229"/>
      <c r="D1107" s="219"/>
      <c r="E1107" s="220"/>
      <c r="F1107" s="229"/>
      <c r="G1107" s="220"/>
      <c r="H1107" s="220"/>
      <c r="I1107" s="220"/>
      <c r="J1107" s="220"/>
      <c r="K1107" s="220"/>
      <c r="L1107" s="220"/>
      <c r="M1107" s="220"/>
      <c r="N1107" s="220"/>
      <c r="O1107" s="220"/>
      <c r="P1107" s="220"/>
      <c r="Q1107" s="220"/>
      <c r="R1107" s="220"/>
      <c r="S1107" s="220"/>
      <c r="T1107" s="225"/>
      <c r="U1107" s="226"/>
      <c r="V1107" s="253"/>
    </row>
    <row r="1108" customFormat="false" ht="12.75" hidden="false" customHeight="false" outlineLevel="0" collapsed="false">
      <c r="B1108" s="228"/>
      <c r="C1108" s="229"/>
      <c r="D1108" s="219"/>
      <c r="E1108" s="220"/>
      <c r="F1108" s="229"/>
      <c r="G1108" s="220"/>
      <c r="H1108" s="220"/>
      <c r="I1108" s="220"/>
      <c r="J1108" s="220"/>
      <c r="K1108" s="220"/>
      <c r="L1108" s="220"/>
      <c r="M1108" s="220"/>
      <c r="N1108" s="220"/>
      <c r="O1108" s="220"/>
      <c r="P1108" s="220"/>
      <c r="Q1108" s="220"/>
      <c r="R1108" s="220"/>
      <c r="S1108" s="220"/>
      <c r="T1108" s="225"/>
      <c r="U1108" s="226"/>
      <c r="V1108" s="253"/>
    </row>
    <row r="1109" customFormat="false" ht="12.75" hidden="false" customHeight="false" outlineLevel="0" collapsed="false">
      <c r="B1109" s="228"/>
      <c r="C1109" s="229"/>
      <c r="D1109" s="219"/>
      <c r="E1109" s="220"/>
      <c r="F1109" s="229"/>
      <c r="G1109" s="220"/>
      <c r="H1109" s="220"/>
      <c r="I1109" s="220"/>
      <c r="J1109" s="220"/>
      <c r="K1109" s="220"/>
      <c r="L1109" s="220"/>
      <c r="M1109" s="220"/>
      <c r="N1109" s="220"/>
      <c r="O1109" s="220"/>
      <c r="P1109" s="220"/>
      <c r="Q1109" s="220"/>
      <c r="R1109" s="220"/>
      <c r="S1109" s="220"/>
      <c r="T1109" s="225"/>
      <c r="U1109" s="226"/>
      <c r="V1109" s="253"/>
    </row>
    <row r="1110" customFormat="false" ht="12.75" hidden="false" customHeight="false" outlineLevel="0" collapsed="false">
      <c r="B1110" s="228"/>
      <c r="C1110" s="229"/>
      <c r="D1110" s="219"/>
      <c r="E1110" s="220"/>
      <c r="F1110" s="229"/>
      <c r="G1110" s="220"/>
      <c r="H1110" s="220"/>
      <c r="I1110" s="220"/>
      <c r="J1110" s="220"/>
      <c r="K1110" s="220"/>
      <c r="L1110" s="220"/>
      <c r="M1110" s="220"/>
      <c r="N1110" s="220"/>
      <c r="O1110" s="220"/>
      <c r="P1110" s="220"/>
      <c r="Q1110" s="220"/>
      <c r="R1110" s="220"/>
      <c r="S1110" s="220"/>
      <c r="T1110" s="225"/>
      <c r="U1110" s="226"/>
      <c r="V1110" s="253"/>
    </row>
    <row r="1111" customFormat="false" ht="12.75" hidden="false" customHeight="false" outlineLevel="0" collapsed="false">
      <c r="B1111" s="228"/>
      <c r="C1111" s="229"/>
      <c r="D1111" s="219"/>
      <c r="E1111" s="220"/>
      <c r="F1111" s="229"/>
      <c r="G1111" s="220"/>
      <c r="H1111" s="220"/>
      <c r="I1111" s="220"/>
      <c r="J1111" s="220"/>
      <c r="K1111" s="220"/>
      <c r="L1111" s="220"/>
      <c r="M1111" s="220"/>
      <c r="N1111" s="220"/>
      <c r="O1111" s="220"/>
      <c r="P1111" s="220"/>
      <c r="Q1111" s="220"/>
      <c r="R1111" s="220"/>
      <c r="S1111" s="220"/>
      <c r="T1111" s="225"/>
      <c r="U1111" s="226"/>
      <c r="V1111" s="253"/>
    </row>
    <row r="1112" customFormat="false" ht="12.75" hidden="false" customHeight="false" outlineLevel="0" collapsed="false">
      <c r="B1112" s="228"/>
      <c r="C1112" s="229"/>
      <c r="D1112" s="219"/>
      <c r="E1112" s="220"/>
      <c r="F1112" s="229"/>
      <c r="G1112" s="220"/>
      <c r="H1112" s="220"/>
      <c r="I1112" s="220"/>
      <c r="J1112" s="220"/>
      <c r="K1112" s="220"/>
      <c r="L1112" s="220"/>
      <c r="M1112" s="220"/>
      <c r="N1112" s="220"/>
      <c r="O1112" s="220"/>
      <c r="P1112" s="220"/>
      <c r="Q1112" s="220"/>
      <c r="R1112" s="220"/>
      <c r="S1112" s="220"/>
      <c r="T1112" s="225"/>
      <c r="U1112" s="226"/>
      <c r="V1112" s="253"/>
    </row>
    <row r="1113" customFormat="false" ht="12.75" hidden="false" customHeight="false" outlineLevel="0" collapsed="false">
      <c r="B1113" s="228"/>
      <c r="C1113" s="229"/>
      <c r="D1113" s="219"/>
      <c r="E1113" s="220"/>
      <c r="F1113" s="229"/>
      <c r="G1113" s="220"/>
      <c r="H1113" s="220"/>
      <c r="I1113" s="220"/>
      <c r="J1113" s="220"/>
      <c r="K1113" s="220"/>
      <c r="L1113" s="220"/>
      <c r="M1113" s="220"/>
      <c r="N1113" s="220"/>
      <c r="O1113" s="220"/>
      <c r="P1113" s="220"/>
      <c r="Q1113" s="220"/>
      <c r="R1113" s="220"/>
      <c r="S1113" s="220"/>
      <c r="T1113" s="225"/>
      <c r="U1113" s="226"/>
      <c r="V1113" s="253"/>
    </row>
    <row r="1114" customFormat="false" ht="12.75" hidden="false" customHeight="false" outlineLevel="0" collapsed="false">
      <c r="B1114" s="228"/>
      <c r="C1114" s="229"/>
      <c r="D1114" s="219"/>
      <c r="E1114" s="220"/>
      <c r="F1114" s="229"/>
      <c r="G1114" s="220"/>
      <c r="H1114" s="220"/>
      <c r="I1114" s="220"/>
      <c r="J1114" s="220"/>
      <c r="K1114" s="220"/>
      <c r="L1114" s="220"/>
      <c r="M1114" s="220"/>
      <c r="N1114" s="220"/>
      <c r="O1114" s="220"/>
      <c r="P1114" s="220"/>
      <c r="Q1114" s="220"/>
      <c r="R1114" s="220"/>
      <c r="S1114" s="220"/>
      <c r="T1114" s="225"/>
      <c r="U1114" s="226"/>
      <c r="V1114" s="253"/>
    </row>
    <row r="1115" customFormat="false" ht="12.75" hidden="false" customHeight="false" outlineLevel="0" collapsed="false">
      <c r="B1115" s="228"/>
      <c r="C1115" s="229"/>
      <c r="D1115" s="219"/>
      <c r="E1115" s="220"/>
      <c r="F1115" s="229"/>
      <c r="G1115" s="220"/>
      <c r="H1115" s="220"/>
      <c r="I1115" s="220"/>
      <c r="J1115" s="220"/>
      <c r="K1115" s="220"/>
      <c r="L1115" s="220"/>
      <c r="M1115" s="220"/>
      <c r="N1115" s="220"/>
      <c r="O1115" s="220"/>
      <c r="P1115" s="220"/>
      <c r="Q1115" s="220"/>
      <c r="R1115" s="220"/>
      <c r="S1115" s="220"/>
      <c r="T1115" s="225"/>
      <c r="U1115" s="226"/>
      <c r="V1115" s="253"/>
    </row>
    <row r="1116" customFormat="false" ht="12.75" hidden="false" customHeight="false" outlineLevel="0" collapsed="false">
      <c r="B1116" s="228"/>
      <c r="C1116" s="229"/>
      <c r="D1116" s="219"/>
      <c r="E1116" s="220"/>
      <c r="F1116" s="229"/>
      <c r="G1116" s="220"/>
      <c r="H1116" s="220"/>
      <c r="I1116" s="220"/>
      <c r="J1116" s="220"/>
      <c r="K1116" s="220"/>
      <c r="L1116" s="220"/>
      <c r="M1116" s="220"/>
      <c r="N1116" s="220"/>
      <c r="O1116" s="220"/>
      <c r="P1116" s="220"/>
      <c r="Q1116" s="220"/>
      <c r="R1116" s="220"/>
      <c r="S1116" s="220"/>
      <c r="T1116" s="225"/>
      <c r="U1116" s="226"/>
      <c r="V1116" s="253"/>
    </row>
    <row r="1117" customFormat="false" ht="12.75" hidden="false" customHeight="false" outlineLevel="0" collapsed="false">
      <c r="B1117" s="228"/>
      <c r="C1117" s="229"/>
      <c r="D1117" s="219"/>
      <c r="E1117" s="220"/>
      <c r="F1117" s="229"/>
      <c r="G1117" s="220"/>
      <c r="H1117" s="220"/>
      <c r="I1117" s="220"/>
      <c r="J1117" s="220"/>
      <c r="K1117" s="220"/>
      <c r="L1117" s="220"/>
      <c r="M1117" s="220"/>
      <c r="N1117" s="220"/>
      <c r="O1117" s="220"/>
      <c r="P1117" s="220"/>
      <c r="Q1117" s="220"/>
      <c r="R1117" s="220"/>
      <c r="S1117" s="220"/>
      <c r="T1117" s="225"/>
      <c r="U1117" s="226"/>
      <c r="V1117" s="253"/>
    </row>
    <row r="1118" customFormat="false" ht="12.75" hidden="false" customHeight="false" outlineLevel="0" collapsed="false">
      <c r="B1118" s="228"/>
      <c r="C1118" s="229"/>
      <c r="D1118" s="219"/>
      <c r="E1118" s="220"/>
      <c r="F1118" s="229"/>
      <c r="G1118" s="220"/>
      <c r="H1118" s="220"/>
      <c r="I1118" s="220"/>
      <c r="J1118" s="220"/>
      <c r="K1118" s="220"/>
      <c r="L1118" s="220"/>
      <c r="M1118" s="220"/>
      <c r="N1118" s="220"/>
      <c r="O1118" s="220"/>
      <c r="P1118" s="220"/>
      <c r="Q1118" s="220"/>
      <c r="R1118" s="220"/>
      <c r="S1118" s="220"/>
      <c r="T1118" s="225"/>
      <c r="U1118" s="226"/>
      <c r="V1118" s="253"/>
    </row>
    <row r="1119" customFormat="false" ht="12.75" hidden="false" customHeight="false" outlineLevel="0" collapsed="false">
      <c r="B1119" s="228"/>
      <c r="C1119" s="229"/>
      <c r="D1119" s="219"/>
      <c r="E1119" s="220"/>
      <c r="F1119" s="229"/>
      <c r="G1119" s="220"/>
      <c r="H1119" s="220"/>
      <c r="I1119" s="220"/>
      <c r="J1119" s="220"/>
      <c r="K1119" s="220"/>
      <c r="L1119" s="220"/>
      <c r="M1119" s="220"/>
      <c r="N1119" s="220"/>
      <c r="O1119" s="220"/>
      <c r="P1119" s="220"/>
      <c r="Q1119" s="220"/>
      <c r="R1119" s="220"/>
      <c r="S1119" s="220"/>
      <c r="T1119" s="225"/>
      <c r="U1119" s="226"/>
      <c r="V1119" s="253"/>
    </row>
    <row r="1120" customFormat="false" ht="12.75" hidden="false" customHeight="false" outlineLevel="0" collapsed="false">
      <c r="B1120" s="228"/>
      <c r="C1120" s="229"/>
      <c r="D1120" s="219"/>
      <c r="E1120" s="220"/>
      <c r="F1120" s="229"/>
      <c r="G1120" s="220"/>
      <c r="H1120" s="220"/>
      <c r="I1120" s="220"/>
      <c r="J1120" s="220"/>
      <c r="K1120" s="220"/>
      <c r="L1120" s="220"/>
      <c r="M1120" s="220"/>
      <c r="N1120" s="220"/>
      <c r="O1120" s="220"/>
      <c r="P1120" s="220"/>
      <c r="Q1120" s="220"/>
      <c r="R1120" s="220"/>
      <c r="S1120" s="220"/>
      <c r="T1120" s="225"/>
      <c r="U1120" s="226"/>
      <c r="V1120" s="253"/>
    </row>
    <row r="1121" customFormat="false" ht="12.75" hidden="false" customHeight="false" outlineLevel="0" collapsed="false">
      <c r="B1121" s="228"/>
      <c r="C1121" s="229"/>
      <c r="D1121" s="219"/>
      <c r="E1121" s="220"/>
      <c r="F1121" s="229"/>
      <c r="G1121" s="220"/>
      <c r="H1121" s="220"/>
      <c r="I1121" s="220"/>
      <c r="J1121" s="220"/>
      <c r="K1121" s="220"/>
      <c r="L1121" s="220"/>
      <c r="M1121" s="220"/>
      <c r="N1121" s="220"/>
      <c r="O1121" s="220"/>
      <c r="P1121" s="220"/>
      <c r="Q1121" s="220"/>
      <c r="R1121" s="220"/>
      <c r="S1121" s="220"/>
      <c r="T1121" s="225"/>
      <c r="U1121" s="226"/>
      <c r="V1121" s="253"/>
    </row>
    <row r="1122" customFormat="false" ht="12.75" hidden="false" customHeight="false" outlineLevel="0" collapsed="false">
      <c r="B1122" s="228"/>
      <c r="C1122" s="229"/>
      <c r="D1122" s="219"/>
      <c r="E1122" s="220"/>
      <c r="F1122" s="229"/>
      <c r="G1122" s="220"/>
      <c r="H1122" s="220"/>
      <c r="I1122" s="220"/>
      <c r="J1122" s="220"/>
      <c r="K1122" s="220"/>
      <c r="L1122" s="220"/>
      <c r="M1122" s="220"/>
      <c r="N1122" s="220"/>
      <c r="O1122" s="220"/>
      <c r="P1122" s="220"/>
      <c r="Q1122" s="220"/>
      <c r="R1122" s="220"/>
      <c r="S1122" s="220"/>
      <c r="T1122" s="225"/>
      <c r="U1122" s="226"/>
      <c r="V1122" s="253"/>
    </row>
    <row r="1123" customFormat="false" ht="12.75" hidden="false" customHeight="false" outlineLevel="0" collapsed="false">
      <c r="B1123" s="228"/>
      <c r="C1123" s="229"/>
      <c r="D1123" s="219"/>
      <c r="E1123" s="220"/>
      <c r="F1123" s="229"/>
      <c r="G1123" s="220"/>
      <c r="H1123" s="220"/>
      <c r="I1123" s="220"/>
      <c r="J1123" s="220"/>
      <c r="K1123" s="220"/>
      <c r="L1123" s="220"/>
      <c r="M1123" s="220"/>
      <c r="N1123" s="220"/>
      <c r="O1123" s="220"/>
      <c r="P1123" s="220"/>
      <c r="Q1123" s="220"/>
      <c r="R1123" s="220"/>
      <c r="S1123" s="220"/>
      <c r="T1123" s="225"/>
      <c r="U1123" s="226"/>
      <c r="V1123" s="253"/>
    </row>
    <row r="1124" customFormat="false" ht="12.75" hidden="false" customHeight="false" outlineLevel="0" collapsed="false">
      <c r="B1124" s="228"/>
      <c r="C1124" s="229"/>
      <c r="D1124" s="219"/>
      <c r="E1124" s="220"/>
      <c r="F1124" s="229"/>
      <c r="G1124" s="220"/>
      <c r="H1124" s="220"/>
      <c r="I1124" s="220"/>
      <c r="J1124" s="220"/>
      <c r="K1124" s="220"/>
      <c r="L1124" s="220"/>
      <c r="M1124" s="220"/>
      <c r="N1124" s="220"/>
      <c r="O1124" s="220"/>
      <c r="P1124" s="220"/>
      <c r="Q1124" s="220"/>
      <c r="R1124" s="220"/>
      <c r="S1124" s="220"/>
      <c r="T1124" s="225"/>
      <c r="U1124" s="226"/>
      <c r="V1124" s="253"/>
    </row>
    <row r="1125" customFormat="false" ht="12.75" hidden="false" customHeight="false" outlineLevel="0" collapsed="false">
      <c r="B1125" s="228"/>
      <c r="C1125" s="229"/>
      <c r="D1125" s="219"/>
      <c r="E1125" s="220"/>
      <c r="F1125" s="229"/>
      <c r="G1125" s="220"/>
      <c r="H1125" s="220"/>
      <c r="I1125" s="220"/>
      <c r="J1125" s="220"/>
      <c r="K1125" s="220"/>
      <c r="L1125" s="220"/>
      <c r="M1125" s="220"/>
      <c r="N1125" s="220"/>
      <c r="O1125" s="220"/>
      <c r="P1125" s="220"/>
      <c r="Q1125" s="220"/>
      <c r="R1125" s="220"/>
      <c r="S1125" s="220"/>
      <c r="T1125" s="225"/>
      <c r="U1125" s="226"/>
      <c r="V1125" s="253"/>
    </row>
    <row r="1126" customFormat="false" ht="12.75" hidden="false" customHeight="false" outlineLevel="0" collapsed="false">
      <c r="B1126" s="228"/>
      <c r="C1126" s="229"/>
      <c r="D1126" s="219"/>
      <c r="E1126" s="220"/>
      <c r="F1126" s="229"/>
      <c r="G1126" s="220"/>
      <c r="H1126" s="220"/>
      <c r="I1126" s="220"/>
      <c r="J1126" s="220"/>
      <c r="K1126" s="220"/>
      <c r="L1126" s="220"/>
      <c r="M1126" s="220"/>
      <c r="N1126" s="220"/>
      <c r="O1126" s="220"/>
      <c r="P1126" s="220"/>
      <c r="Q1126" s="220"/>
      <c r="R1126" s="220"/>
      <c r="S1126" s="220"/>
      <c r="T1126" s="225"/>
      <c r="U1126" s="226"/>
      <c r="V1126" s="253"/>
    </row>
    <row r="1127" customFormat="false" ht="12.75" hidden="false" customHeight="false" outlineLevel="0" collapsed="false">
      <c r="B1127" s="228"/>
      <c r="C1127" s="229"/>
      <c r="D1127" s="219"/>
      <c r="E1127" s="220"/>
      <c r="F1127" s="229"/>
      <c r="G1127" s="220"/>
      <c r="H1127" s="220"/>
      <c r="I1127" s="220"/>
      <c r="J1127" s="220"/>
      <c r="K1127" s="220"/>
      <c r="L1127" s="220"/>
      <c r="M1127" s="220"/>
      <c r="N1127" s="220"/>
      <c r="O1127" s="220"/>
      <c r="P1127" s="220"/>
      <c r="Q1127" s="220"/>
      <c r="R1127" s="220"/>
      <c r="S1127" s="220"/>
      <c r="T1127" s="225"/>
      <c r="U1127" s="226"/>
      <c r="V1127" s="253"/>
    </row>
    <row r="1128" customFormat="false" ht="12.75" hidden="false" customHeight="false" outlineLevel="0" collapsed="false">
      <c r="B1128" s="228"/>
      <c r="C1128" s="229"/>
      <c r="D1128" s="219"/>
      <c r="E1128" s="220"/>
      <c r="F1128" s="229"/>
      <c r="G1128" s="220"/>
      <c r="H1128" s="220"/>
      <c r="I1128" s="220"/>
      <c r="J1128" s="220"/>
      <c r="K1128" s="220"/>
      <c r="L1128" s="220"/>
      <c r="M1128" s="220"/>
      <c r="N1128" s="220"/>
      <c r="O1128" s="220"/>
      <c r="P1128" s="220"/>
      <c r="Q1128" s="220"/>
      <c r="R1128" s="220"/>
      <c r="S1128" s="220"/>
      <c r="T1128" s="225"/>
      <c r="U1128" s="226"/>
      <c r="V1128" s="253"/>
    </row>
    <row r="1129" customFormat="false" ht="12.75" hidden="false" customHeight="false" outlineLevel="0" collapsed="false">
      <c r="B1129" s="228"/>
      <c r="C1129" s="229"/>
      <c r="D1129" s="219"/>
      <c r="E1129" s="220"/>
      <c r="F1129" s="229"/>
      <c r="G1129" s="220"/>
      <c r="H1129" s="220"/>
      <c r="I1129" s="220"/>
      <c r="J1129" s="220"/>
      <c r="K1129" s="220"/>
      <c r="L1129" s="220"/>
      <c r="M1129" s="220"/>
      <c r="N1129" s="220"/>
      <c r="O1129" s="220"/>
      <c r="P1129" s="220"/>
      <c r="Q1129" s="220"/>
      <c r="R1129" s="220"/>
      <c r="S1129" s="220"/>
      <c r="T1129" s="225"/>
      <c r="U1129" s="226"/>
      <c r="V1129" s="253"/>
    </row>
    <row r="1130" customFormat="false" ht="12.75" hidden="false" customHeight="false" outlineLevel="0" collapsed="false">
      <c r="B1130" s="228"/>
      <c r="C1130" s="229"/>
      <c r="D1130" s="219"/>
      <c r="E1130" s="220"/>
      <c r="F1130" s="229"/>
      <c r="G1130" s="220"/>
      <c r="H1130" s="220"/>
      <c r="I1130" s="220"/>
      <c r="J1130" s="220"/>
      <c r="K1130" s="220"/>
      <c r="L1130" s="220"/>
      <c r="M1130" s="220"/>
      <c r="N1130" s="220"/>
      <c r="O1130" s="220"/>
      <c r="P1130" s="220"/>
      <c r="Q1130" s="220"/>
      <c r="R1130" s="220"/>
      <c r="S1130" s="220"/>
      <c r="T1130" s="225"/>
      <c r="U1130" s="226"/>
      <c r="V1130" s="253"/>
    </row>
    <row r="1131" customFormat="false" ht="12.75" hidden="false" customHeight="false" outlineLevel="0" collapsed="false">
      <c r="B1131" s="228"/>
      <c r="C1131" s="229"/>
      <c r="D1131" s="219"/>
      <c r="E1131" s="220"/>
      <c r="F1131" s="229"/>
      <c r="G1131" s="220"/>
      <c r="H1131" s="220"/>
      <c r="I1131" s="220"/>
      <c r="J1131" s="220"/>
      <c r="K1131" s="220"/>
      <c r="L1131" s="220"/>
      <c r="M1131" s="220"/>
      <c r="N1131" s="220"/>
      <c r="O1131" s="220"/>
      <c r="P1131" s="220"/>
      <c r="Q1131" s="220"/>
      <c r="R1131" s="220"/>
      <c r="S1131" s="220"/>
      <c r="T1131" s="225"/>
      <c r="U1131" s="226"/>
      <c r="V1131" s="253"/>
    </row>
    <row r="1132" customFormat="false" ht="12.75" hidden="false" customHeight="false" outlineLevel="0" collapsed="false">
      <c r="B1132" s="228"/>
      <c r="C1132" s="229"/>
      <c r="D1132" s="219"/>
      <c r="E1132" s="220"/>
      <c r="F1132" s="229"/>
      <c r="G1132" s="220"/>
      <c r="H1132" s="220"/>
      <c r="I1132" s="220"/>
      <c r="J1132" s="220"/>
      <c r="K1132" s="220"/>
      <c r="L1132" s="220"/>
      <c r="M1132" s="220"/>
      <c r="N1132" s="220"/>
      <c r="O1132" s="220"/>
      <c r="P1132" s="220"/>
      <c r="Q1132" s="220"/>
      <c r="R1132" s="220"/>
      <c r="S1132" s="220"/>
      <c r="T1132" s="225"/>
      <c r="U1132" s="226"/>
      <c r="V1132" s="253"/>
    </row>
    <row r="1133" customFormat="false" ht="12.75" hidden="false" customHeight="false" outlineLevel="0" collapsed="false">
      <c r="B1133" s="228"/>
      <c r="C1133" s="229"/>
      <c r="D1133" s="219"/>
      <c r="E1133" s="220"/>
      <c r="F1133" s="229"/>
      <c r="G1133" s="220"/>
      <c r="H1133" s="220"/>
      <c r="I1133" s="220"/>
      <c r="J1133" s="220"/>
      <c r="K1133" s="220"/>
      <c r="L1133" s="220"/>
      <c r="M1133" s="220"/>
      <c r="N1133" s="220"/>
      <c r="O1133" s="220"/>
      <c r="P1133" s="220"/>
      <c r="Q1133" s="220"/>
      <c r="R1133" s="220"/>
      <c r="S1133" s="220"/>
      <c r="T1133" s="225"/>
      <c r="U1133" s="226"/>
      <c r="V1133" s="253"/>
    </row>
    <row r="1134" customFormat="false" ht="12.75" hidden="false" customHeight="false" outlineLevel="0" collapsed="false">
      <c r="B1134" s="228"/>
      <c r="C1134" s="229"/>
      <c r="D1134" s="219"/>
      <c r="E1134" s="220"/>
      <c r="F1134" s="229"/>
      <c r="G1134" s="220"/>
      <c r="H1134" s="220"/>
      <c r="I1134" s="220"/>
      <c r="J1134" s="220"/>
      <c r="K1134" s="220"/>
      <c r="L1134" s="220"/>
      <c r="M1134" s="220"/>
      <c r="N1134" s="220"/>
      <c r="O1134" s="220"/>
      <c r="P1134" s="220"/>
      <c r="Q1134" s="220"/>
      <c r="R1134" s="220"/>
      <c r="S1134" s="220"/>
      <c r="T1134" s="225"/>
      <c r="U1134" s="226"/>
      <c r="V1134" s="253"/>
    </row>
    <row r="1135" customFormat="false" ht="12.75" hidden="false" customHeight="false" outlineLevel="0" collapsed="false">
      <c r="B1135" s="228"/>
      <c r="C1135" s="229"/>
      <c r="D1135" s="219"/>
      <c r="E1135" s="220"/>
      <c r="F1135" s="229"/>
      <c r="G1135" s="220"/>
      <c r="H1135" s="220"/>
      <c r="I1135" s="220"/>
      <c r="J1135" s="220"/>
      <c r="K1135" s="220"/>
      <c r="L1135" s="220"/>
      <c r="M1135" s="220"/>
      <c r="N1135" s="220"/>
      <c r="O1135" s="220"/>
      <c r="P1135" s="220"/>
      <c r="Q1135" s="220"/>
      <c r="R1135" s="220"/>
      <c r="S1135" s="220"/>
      <c r="T1135" s="225"/>
      <c r="U1135" s="226"/>
      <c r="V1135" s="253"/>
    </row>
    <row r="1136" customFormat="false" ht="12.75" hidden="false" customHeight="false" outlineLevel="0" collapsed="false">
      <c r="B1136" s="228"/>
      <c r="C1136" s="229"/>
      <c r="D1136" s="219"/>
      <c r="E1136" s="220"/>
      <c r="F1136" s="229"/>
      <c r="G1136" s="220"/>
      <c r="H1136" s="220"/>
      <c r="I1136" s="220"/>
      <c r="J1136" s="220"/>
      <c r="K1136" s="220"/>
      <c r="L1136" s="220"/>
      <c r="M1136" s="220"/>
      <c r="N1136" s="220"/>
      <c r="O1136" s="220"/>
      <c r="P1136" s="220"/>
      <c r="Q1136" s="220"/>
      <c r="R1136" s="220"/>
      <c r="S1136" s="220"/>
      <c r="T1136" s="225"/>
      <c r="U1136" s="226"/>
      <c r="V1136" s="253"/>
    </row>
    <row r="1137" customFormat="false" ht="12.75" hidden="false" customHeight="false" outlineLevel="0" collapsed="false">
      <c r="B1137" s="228"/>
      <c r="C1137" s="229"/>
      <c r="D1137" s="219"/>
      <c r="E1137" s="220"/>
      <c r="F1137" s="229"/>
      <c r="G1137" s="220"/>
      <c r="H1137" s="220"/>
      <c r="I1137" s="220"/>
      <c r="J1137" s="220"/>
      <c r="K1137" s="220"/>
      <c r="L1137" s="220"/>
      <c r="M1137" s="220"/>
      <c r="N1137" s="220"/>
      <c r="O1137" s="220"/>
      <c r="P1137" s="220"/>
      <c r="Q1137" s="220"/>
      <c r="R1137" s="220"/>
      <c r="S1137" s="220"/>
      <c r="T1137" s="225"/>
      <c r="U1137" s="226"/>
      <c r="V1137" s="253"/>
    </row>
    <row r="1138" customFormat="false" ht="12.75" hidden="false" customHeight="false" outlineLevel="0" collapsed="false">
      <c r="B1138" s="228"/>
      <c r="C1138" s="229"/>
      <c r="D1138" s="219"/>
      <c r="E1138" s="220"/>
      <c r="F1138" s="229"/>
      <c r="G1138" s="220"/>
      <c r="H1138" s="220"/>
      <c r="I1138" s="220"/>
      <c r="J1138" s="220"/>
      <c r="K1138" s="220"/>
      <c r="L1138" s="220"/>
      <c r="M1138" s="220"/>
      <c r="N1138" s="220"/>
      <c r="O1138" s="220"/>
      <c r="P1138" s="220"/>
      <c r="Q1138" s="220"/>
      <c r="R1138" s="220"/>
      <c r="S1138" s="220"/>
      <c r="T1138" s="225"/>
      <c r="U1138" s="226"/>
      <c r="V1138" s="253"/>
    </row>
    <row r="1139" customFormat="false" ht="12.75" hidden="false" customHeight="false" outlineLevel="0" collapsed="false">
      <c r="B1139" s="228"/>
      <c r="C1139" s="229"/>
      <c r="D1139" s="219"/>
      <c r="E1139" s="220"/>
      <c r="F1139" s="229"/>
      <c r="G1139" s="220"/>
      <c r="H1139" s="220"/>
      <c r="I1139" s="220"/>
      <c r="J1139" s="220"/>
      <c r="K1139" s="220"/>
      <c r="L1139" s="220"/>
      <c r="M1139" s="220"/>
      <c r="N1139" s="220"/>
      <c r="O1139" s="220"/>
      <c r="P1139" s="220"/>
      <c r="Q1139" s="220"/>
      <c r="R1139" s="220"/>
      <c r="S1139" s="220"/>
      <c r="T1139" s="225"/>
      <c r="U1139" s="226"/>
      <c r="V1139" s="253"/>
    </row>
    <row r="1140" customFormat="false" ht="12.75" hidden="false" customHeight="false" outlineLevel="0" collapsed="false">
      <c r="B1140" s="228"/>
      <c r="C1140" s="229"/>
      <c r="D1140" s="219"/>
      <c r="E1140" s="220"/>
      <c r="F1140" s="229"/>
      <c r="G1140" s="220"/>
      <c r="H1140" s="220"/>
      <c r="I1140" s="220"/>
      <c r="J1140" s="220"/>
      <c r="K1140" s="220"/>
      <c r="L1140" s="220"/>
      <c r="M1140" s="220"/>
      <c r="N1140" s="220"/>
      <c r="O1140" s="220"/>
      <c r="P1140" s="220"/>
      <c r="Q1140" s="220"/>
      <c r="R1140" s="220"/>
      <c r="S1140" s="220"/>
      <c r="T1140" s="225"/>
      <c r="U1140" s="226"/>
      <c r="V1140" s="253"/>
    </row>
    <row r="1141" customFormat="false" ht="12.75" hidden="false" customHeight="false" outlineLevel="0" collapsed="false">
      <c r="B1141" s="228"/>
      <c r="C1141" s="229"/>
      <c r="D1141" s="219"/>
      <c r="E1141" s="220"/>
      <c r="F1141" s="229"/>
      <c r="G1141" s="220"/>
      <c r="H1141" s="220"/>
      <c r="I1141" s="220"/>
      <c r="J1141" s="220"/>
      <c r="K1141" s="220"/>
      <c r="L1141" s="220"/>
      <c r="M1141" s="220"/>
      <c r="N1141" s="220"/>
      <c r="O1141" s="220"/>
      <c r="P1141" s="220"/>
      <c r="Q1141" s="220"/>
      <c r="R1141" s="220"/>
      <c r="S1141" s="220"/>
      <c r="T1141" s="225"/>
      <c r="U1141" s="226"/>
      <c r="V1141" s="253"/>
    </row>
    <row r="1142" customFormat="false" ht="12.75" hidden="false" customHeight="false" outlineLevel="0" collapsed="false">
      <c r="B1142" s="228"/>
      <c r="C1142" s="229"/>
      <c r="D1142" s="219"/>
      <c r="E1142" s="220"/>
      <c r="F1142" s="229"/>
      <c r="G1142" s="220"/>
      <c r="H1142" s="220"/>
      <c r="I1142" s="220"/>
      <c r="J1142" s="220"/>
      <c r="K1142" s="220"/>
      <c r="L1142" s="220"/>
      <c r="M1142" s="220"/>
      <c r="N1142" s="220"/>
      <c r="O1142" s="220"/>
      <c r="P1142" s="220"/>
      <c r="Q1142" s="220"/>
      <c r="R1142" s="220"/>
      <c r="S1142" s="220"/>
      <c r="T1142" s="225"/>
      <c r="U1142" s="226"/>
      <c r="V1142" s="253"/>
    </row>
    <row r="1143" customFormat="false" ht="12.75" hidden="false" customHeight="false" outlineLevel="0" collapsed="false">
      <c r="B1143" s="228"/>
      <c r="C1143" s="229"/>
      <c r="D1143" s="219"/>
      <c r="E1143" s="220"/>
      <c r="F1143" s="229"/>
      <c r="G1143" s="220"/>
      <c r="H1143" s="220"/>
      <c r="I1143" s="220"/>
      <c r="J1143" s="220"/>
      <c r="K1143" s="220"/>
      <c r="L1143" s="220"/>
      <c r="M1143" s="220"/>
      <c r="N1143" s="220"/>
      <c r="O1143" s="220"/>
      <c r="P1143" s="220"/>
      <c r="Q1143" s="220"/>
      <c r="R1143" s="220"/>
      <c r="S1143" s="220"/>
      <c r="T1143" s="225"/>
      <c r="U1143" s="226"/>
      <c r="V1143" s="253"/>
    </row>
    <row r="1144" customFormat="false" ht="12.75" hidden="false" customHeight="false" outlineLevel="0" collapsed="false">
      <c r="B1144" s="228"/>
      <c r="C1144" s="229"/>
      <c r="D1144" s="219"/>
      <c r="E1144" s="220"/>
      <c r="F1144" s="229"/>
      <c r="G1144" s="220"/>
      <c r="H1144" s="220"/>
      <c r="I1144" s="220"/>
      <c r="J1144" s="220"/>
      <c r="K1144" s="220"/>
      <c r="L1144" s="220"/>
      <c r="M1144" s="220"/>
      <c r="N1144" s="220"/>
      <c r="O1144" s="220"/>
      <c r="P1144" s="220"/>
      <c r="Q1144" s="220"/>
      <c r="R1144" s="220"/>
      <c r="S1144" s="220"/>
      <c r="T1144" s="225"/>
      <c r="U1144" s="226"/>
      <c r="V1144" s="253"/>
    </row>
    <row r="1145" customFormat="false" ht="12.75" hidden="false" customHeight="false" outlineLevel="0" collapsed="false">
      <c r="B1145" s="228"/>
      <c r="C1145" s="229"/>
      <c r="D1145" s="219"/>
      <c r="E1145" s="220"/>
      <c r="F1145" s="229"/>
      <c r="G1145" s="220"/>
      <c r="H1145" s="220"/>
      <c r="I1145" s="220"/>
      <c r="J1145" s="220"/>
      <c r="K1145" s="220"/>
      <c r="L1145" s="220"/>
      <c r="M1145" s="220"/>
      <c r="N1145" s="220"/>
      <c r="O1145" s="220"/>
      <c r="P1145" s="220"/>
      <c r="Q1145" s="220"/>
      <c r="R1145" s="220"/>
      <c r="S1145" s="220"/>
      <c r="T1145" s="225"/>
      <c r="U1145" s="226"/>
      <c r="V1145" s="253"/>
    </row>
    <row r="1146" customFormat="false" ht="12.75" hidden="false" customHeight="false" outlineLevel="0" collapsed="false">
      <c r="B1146" s="228"/>
      <c r="C1146" s="229"/>
      <c r="D1146" s="219"/>
      <c r="E1146" s="220"/>
      <c r="F1146" s="229"/>
      <c r="G1146" s="220"/>
      <c r="H1146" s="220"/>
      <c r="I1146" s="220"/>
      <c r="J1146" s="220"/>
      <c r="K1146" s="220"/>
      <c r="L1146" s="220"/>
      <c r="M1146" s="220"/>
      <c r="N1146" s="220"/>
      <c r="O1146" s="220"/>
      <c r="P1146" s="220"/>
      <c r="Q1146" s="220"/>
      <c r="R1146" s="220"/>
      <c r="S1146" s="220"/>
      <c r="T1146" s="225"/>
      <c r="U1146" s="226"/>
      <c r="V1146" s="253"/>
    </row>
    <row r="1147" customFormat="false" ht="12.75" hidden="false" customHeight="false" outlineLevel="0" collapsed="false">
      <c r="B1147" s="228"/>
      <c r="C1147" s="229"/>
      <c r="D1147" s="219"/>
      <c r="E1147" s="220"/>
      <c r="F1147" s="229"/>
      <c r="G1147" s="220"/>
      <c r="H1147" s="220"/>
      <c r="I1147" s="220"/>
      <c r="J1147" s="220"/>
      <c r="K1147" s="220"/>
      <c r="L1147" s="220"/>
      <c r="M1147" s="220"/>
      <c r="N1147" s="220"/>
      <c r="O1147" s="220"/>
      <c r="P1147" s="220"/>
      <c r="Q1147" s="220"/>
      <c r="R1147" s="220"/>
      <c r="S1147" s="220"/>
      <c r="T1147" s="225"/>
      <c r="U1147" s="226"/>
      <c r="V1147" s="253"/>
    </row>
    <row r="1148" customFormat="false" ht="12.75" hidden="false" customHeight="false" outlineLevel="0" collapsed="false">
      <c r="B1148" s="228"/>
      <c r="C1148" s="229"/>
      <c r="D1148" s="219"/>
      <c r="E1148" s="220"/>
      <c r="F1148" s="229"/>
      <c r="G1148" s="220"/>
      <c r="H1148" s="220"/>
      <c r="I1148" s="220"/>
      <c r="J1148" s="220"/>
      <c r="K1148" s="220"/>
      <c r="L1148" s="220"/>
      <c r="M1148" s="220"/>
      <c r="N1148" s="220"/>
      <c r="O1148" s="220"/>
      <c r="P1148" s="220"/>
      <c r="Q1148" s="220"/>
      <c r="R1148" s="220"/>
      <c r="S1148" s="220"/>
      <c r="T1148" s="225"/>
      <c r="U1148" s="226"/>
      <c r="V1148" s="253"/>
    </row>
    <row r="1149" customFormat="false" ht="12.75" hidden="false" customHeight="false" outlineLevel="0" collapsed="false">
      <c r="B1149" s="228"/>
      <c r="C1149" s="229"/>
      <c r="D1149" s="219"/>
      <c r="E1149" s="220"/>
      <c r="F1149" s="229"/>
      <c r="G1149" s="220"/>
      <c r="H1149" s="220"/>
      <c r="I1149" s="220"/>
      <c r="J1149" s="220"/>
      <c r="K1149" s="220"/>
      <c r="L1149" s="220"/>
      <c r="M1149" s="220"/>
      <c r="N1149" s="220"/>
      <c r="O1149" s="220"/>
      <c r="P1149" s="220"/>
      <c r="Q1149" s="220"/>
      <c r="R1149" s="220"/>
      <c r="S1149" s="220"/>
      <c r="T1149" s="225"/>
      <c r="U1149" s="226"/>
      <c r="V1149" s="253"/>
    </row>
    <row r="1150" customFormat="false" ht="12.75" hidden="false" customHeight="false" outlineLevel="0" collapsed="false">
      <c r="B1150" s="228"/>
      <c r="C1150" s="229"/>
      <c r="D1150" s="219"/>
      <c r="E1150" s="220"/>
      <c r="F1150" s="229"/>
      <c r="G1150" s="220"/>
      <c r="H1150" s="220"/>
      <c r="I1150" s="220"/>
      <c r="J1150" s="220"/>
      <c r="K1150" s="220"/>
      <c r="L1150" s="220"/>
      <c r="M1150" s="220"/>
      <c r="N1150" s="220"/>
      <c r="O1150" s="220"/>
      <c r="P1150" s="220"/>
      <c r="Q1150" s="220"/>
      <c r="R1150" s="220"/>
      <c r="S1150" s="220"/>
      <c r="T1150" s="225"/>
      <c r="U1150" s="226"/>
      <c r="V1150" s="253"/>
    </row>
    <row r="1151" customFormat="false" ht="12.75" hidden="false" customHeight="false" outlineLevel="0" collapsed="false">
      <c r="B1151" s="228"/>
      <c r="C1151" s="229"/>
      <c r="D1151" s="219"/>
      <c r="E1151" s="220"/>
      <c r="F1151" s="229"/>
      <c r="G1151" s="220"/>
      <c r="H1151" s="220"/>
      <c r="I1151" s="220"/>
      <c r="J1151" s="220"/>
      <c r="K1151" s="220"/>
      <c r="L1151" s="220"/>
      <c r="M1151" s="220"/>
      <c r="N1151" s="220"/>
      <c r="O1151" s="220"/>
      <c r="P1151" s="220"/>
      <c r="Q1151" s="220"/>
      <c r="R1151" s="220"/>
      <c r="S1151" s="220"/>
      <c r="T1151" s="225"/>
      <c r="U1151" s="226"/>
      <c r="V1151" s="253"/>
    </row>
    <row r="1152" customFormat="false" ht="12.75" hidden="false" customHeight="false" outlineLevel="0" collapsed="false">
      <c r="B1152" s="228"/>
      <c r="C1152" s="229"/>
      <c r="D1152" s="219"/>
      <c r="E1152" s="220"/>
      <c r="F1152" s="229"/>
      <c r="G1152" s="220"/>
      <c r="H1152" s="220"/>
      <c r="I1152" s="220"/>
      <c r="J1152" s="220"/>
      <c r="K1152" s="220"/>
      <c r="L1152" s="220"/>
      <c r="M1152" s="220"/>
      <c r="N1152" s="220"/>
      <c r="O1152" s="220"/>
      <c r="P1152" s="220"/>
      <c r="Q1152" s="220"/>
      <c r="R1152" s="220"/>
      <c r="S1152" s="220"/>
      <c r="T1152" s="225"/>
      <c r="U1152" s="226"/>
      <c r="V1152" s="253"/>
    </row>
    <row r="1153" customFormat="false" ht="12.75" hidden="false" customHeight="false" outlineLevel="0" collapsed="false">
      <c r="B1153" s="228"/>
      <c r="C1153" s="229"/>
      <c r="D1153" s="219"/>
      <c r="E1153" s="220"/>
      <c r="F1153" s="229"/>
      <c r="G1153" s="220"/>
      <c r="H1153" s="220"/>
      <c r="I1153" s="220"/>
      <c r="J1153" s="220"/>
      <c r="K1153" s="220"/>
      <c r="L1153" s="220"/>
      <c r="M1153" s="220"/>
      <c r="N1153" s="220"/>
      <c r="O1153" s="220"/>
      <c r="P1153" s="220"/>
      <c r="Q1153" s="220"/>
      <c r="R1153" s="220"/>
      <c r="S1153" s="220"/>
      <c r="T1153" s="225"/>
      <c r="U1153" s="226"/>
      <c r="V1153" s="253"/>
    </row>
    <row r="1154" customFormat="false" ht="12.75" hidden="false" customHeight="false" outlineLevel="0" collapsed="false">
      <c r="B1154" s="228"/>
      <c r="C1154" s="229"/>
      <c r="D1154" s="219"/>
      <c r="E1154" s="220"/>
      <c r="F1154" s="229"/>
      <c r="G1154" s="220"/>
      <c r="H1154" s="220"/>
      <c r="I1154" s="220"/>
      <c r="J1154" s="220"/>
      <c r="K1154" s="220"/>
      <c r="L1154" s="220"/>
      <c r="M1154" s="220"/>
      <c r="N1154" s="220"/>
      <c r="O1154" s="220"/>
      <c r="P1154" s="220"/>
      <c r="Q1154" s="220"/>
      <c r="R1154" s="220"/>
      <c r="S1154" s="220"/>
      <c r="T1154" s="225"/>
      <c r="U1154" s="226"/>
      <c r="V1154" s="253"/>
    </row>
    <row r="1155" customFormat="false" ht="12.75" hidden="false" customHeight="false" outlineLevel="0" collapsed="false">
      <c r="B1155" s="228"/>
      <c r="C1155" s="229"/>
      <c r="D1155" s="219"/>
      <c r="E1155" s="220"/>
      <c r="F1155" s="229"/>
      <c r="G1155" s="220"/>
      <c r="H1155" s="220"/>
      <c r="I1155" s="220"/>
      <c r="J1155" s="220"/>
      <c r="K1155" s="220"/>
      <c r="L1155" s="220"/>
      <c r="M1155" s="220"/>
      <c r="N1155" s="220"/>
      <c r="O1155" s="220"/>
      <c r="P1155" s="220"/>
      <c r="Q1155" s="220"/>
      <c r="R1155" s="220"/>
      <c r="S1155" s="220"/>
      <c r="T1155" s="225"/>
      <c r="U1155" s="226"/>
      <c r="V1155" s="253"/>
    </row>
    <row r="1156" customFormat="false" ht="12.75" hidden="false" customHeight="false" outlineLevel="0" collapsed="false">
      <c r="B1156" s="228"/>
      <c r="C1156" s="229"/>
      <c r="D1156" s="219"/>
      <c r="E1156" s="220"/>
      <c r="F1156" s="229"/>
      <c r="G1156" s="220"/>
      <c r="H1156" s="220"/>
      <c r="I1156" s="220"/>
      <c r="J1156" s="220"/>
      <c r="K1156" s="220"/>
      <c r="L1156" s="220"/>
      <c r="M1156" s="220"/>
      <c r="N1156" s="220"/>
      <c r="O1156" s="220"/>
      <c r="P1156" s="220"/>
      <c r="Q1156" s="220"/>
      <c r="R1156" s="220"/>
      <c r="S1156" s="220"/>
      <c r="T1156" s="225"/>
      <c r="U1156" s="226"/>
      <c r="V1156" s="253"/>
    </row>
    <row r="1157" customFormat="false" ht="12.75" hidden="false" customHeight="false" outlineLevel="0" collapsed="false">
      <c r="B1157" s="228"/>
      <c r="C1157" s="229"/>
      <c r="D1157" s="219"/>
      <c r="E1157" s="220"/>
      <c r="F1157" s="229"/>
      <c r="G1157" s="220"/>
      <c r="H1157" s="220"/>
      <c r="I1157" s="220"/>
      <c r="J1157" s="220"/>
      <c r="K1157" s="220"/>
      <c r="L1157" s="220"/>
      <c r="M1157" s="220"/>
      <c r="N1157" s="220"/>
      <c r="O1157" s="220"/>
      <c r="P1157" s="220"/>
      <c r="Q1157" s="220"/>
      <c r="R1157" s="220"/>
      <c r="S1157" s="220"/>
      <c r="T1157" s="225"/>
      <c r="U1157" s="226"/>
      <c r="V1157" s="253"/>
    </row>
    <row r="1158" customFormat="false" ht="12.75" hidden="false" customHeight="false" outlineLevel="0" collapsed="false">
      <c r="B1158" s="228"/>
      <c r="C1158" s="229"/>
      <c r="D1158" s="219"/>
      <c r="E1158" s="220"/>
      <c r="F1158" s="229"/>
      <c r="G1158" s="220"/>
      <c r="H1158" s="220"/>
      <c r="I1158" s="220"/>
      <c r="J1158" s="220"/>
      <c r="K1158" s="220"/>
      <c r="L1158" s="220"/>
      <c r="M1158" s="220"/>
      <c r="N1158" s="220"/>
      <c r="O1158" s="220"/>
      <c r="P1158" s="220"/>
      <c r="Q1158" s="220"/>
      <c r="R1158" s="220"/>
      <c r="S1158" s="220"/>
      <c r="T1158" s="225"/>
      <c r="U1158" s="226"/>
      <c r="V1158" s="253"/>
    </row>
    <row r="1159" customFormat="false" ht="12.75" hidden="false" customHeight="false" outlineLevel="0" collapsed="false">
      <c r="B1159" s="228"/>
      <c r="C1159" s="229"/>
      <c r="D1159" s="219"/>
      <c r="E1159" s="220"/>
      <c r="F1159" s="229"/>
      <c r="G1159" s="220"/>
      <c r="H1159" s="220"/>
      <c r="I1159" s="220"/>
      <c r="J1159" s="220"/>
      <c r="K1159" s="220"/>
      <c r="L1159" s="220"/>
      <c r="M1159" s="220"/>
      <c r="N1159" s="220"/>
      <c r="O1159" s="220"/>
      <c r="P1159" s="220"/>
      <c r="Q1159" s="220"/>
      <c r="R1159" s="220"/>
      <c r="S1159" s="220"/>
      <c r="T1159" s="225"/>
      <c r="U1159" s="226"/>
      <c r="V1159" s="253"/>
    </row>
    <row r="1160" customFormat="false" ht="12.75" hidden="false" customHeight="false" outlineLevel="0" collapsed="false">
      <c r="B1160" s="228"/>
      <c r="C1160" s="229"/>
      <c r="D1160" s="219"/>
      <c r="E1160" s="220"/>
      <c r="F1160" s="229"/>
      <c r="G1160" s="220"/>
      <c r="H1160" s="220"/>
      <c r="I1160" s="220"/>
      <c r="J1160" s="220"/>
      <c r="K1160" s="220"/>
      <c r="L1160" s="220"/>
      <c r="M1160" s="220"/>
      <c r="N1160" s="220"/>
      <c r="O1160" s="220"/>
      <c r="P1160" s="220"/>
      <c r="Q1160" s="220"/>
      <c r="R1160" s="220"/>
      <c r="S1160" s="220"/>
      <c r="T1160" s="225"/>
      <c r="U1160" s="226"/>
      <c r="V1160" s="253"/>
    </row>
    <row r="1161" customFormat="false" ht="12.75" hidden="false" customHeight="false" outlineLevel="0" collapsed="false">
      <c r="B1161" s="228"/>
      <c r="C1161" s="229"/>
      <c r="D1161" s="219"/>
      <c r="E1161" s="220"/>
      <c r="F1161" s="229"/>
      <c r="G1161" s="220"/>
      <c r="H1161" s="220"/>
      <c r="I1161" s="220"/>
      <c r="J1161" s="220"/>
      <c r="K1161" s="220"/>
      <c r="L1161" s="220"/>
      <c r="M1161" s="220"/>
      <c r="N1161" s="220"/>
      <c r="O1161" s="220"/>
      <c r="P1161" s="220"/>
      <c r="Q1161" s="220"/>
      <c r="R1161" s="220"/>
      <c r="S1161" s="220"/>
      <c r="T1161" s="225"/>
      <c r="U1161" s="226"/>
      <c r="V1161" s="253"/>
    </row>
    <row r="1162" customFormat="false" ht="12.75" hidden="false" customHeight="false" outlineLevel="0" collapsed="false">
      <c r="B1162" s="228"/>
      <c r="C1162" s="229"/>
      <c r="D1162" s="219"/>
      <c r="E1162" s="220"/>
      <c r="F1162" s="229"/>
      <c r="G1162" s="220"/>
      <c r="H1162" s="220"/>
      <c r="I1162" s="220"/>
      <c r="J1162" s="220"/>
      <c r="K1162" s="220"/>
      <c r="L1162" s="220"/>
      <c r="M1162" s="220"/>
      <c r="N1162" s="220"/>
      <c r="O1162" s="220"/>
      <c r="P1162" s="220"/>
      <c r="Q1162" s="220"/>
      <c r="R1162" s="220"/>
      <c r="S1162" s="220"/>
      <c r="T1162" s="225"/>
      <c r="U1162" s="226"/>
      <c r="V1162" s="253"/>
    </row>
    <row r="1163" customFormat="false" ht="12.75" hidden="false" customHeight="false" outlineLevel="0" collapsed="false">
      <c r="B1163" s="228"/>
      <c r="C1163" s="229"/>
      <c r="D1163" s="219"/>
      <c r="E1163" s="220"/>
      <c r="F1163" s="229"/>
      <c r="G1163" s="220"/>
      <c r="H1163" s="220"/>
      <c r="I1163" s="220"/>
      <c r="J1163" s="220"/>
      <c r="K1163" s="220"/>
      <c r="L1163" s="220"/>
      <c r="M1163" s="220"/>
      <c r="N1163" s="220"/>
      <c r="O1163" s="220"/>
      <c r="P1163" s="220"/>
      <c r="Q1163" s="220"/>
      <c r="R1163" s="220"/>
      <c r="S1163" s="220"/>
      <c r="T1163" s="225"/>
      <c r="U1163" s="226"/>
      <c r="V1163" s="253"/>
    </row>
    <row r="1164" customFormat="false" ht="12.75" hidden="false" customHeight="false" outlineLevel="0" collapsed="false">
      <c r="B1164" s="228"/>
      <c r="C1164" s="229"/>
      <c r="D1164" s="219"/>
      <c r="E1164" s="220"/>
      <c r="F1164" s="229"/>
      <c r="G1164" s="220"/>
      <c r="H1164" s="220"/>
      <c r="I1164" s="220"/>
      <c r="J1164" s="220"/>
      <c r="K1164" s="220"/>
      <c r="L1164" s="220"/>
      <c r="M1164" s="220"/>
      <c r="N1164" s="220"/>
      <c r="O1164" s="220"/>
      <c r="P1164" s="220"/>
      <c r="Q1164" s="220"/>
      <c r="R1164" s="220"/>
      <c r="S1164" s="220"/>
      <c r="T1164" s="225"/>
      <c r="U1164" s="226"/>
      <c r="V1164" s="253"/>
    </row>
    <row r="1165" customFormat="false" ht="12.75" hidden="false" customHeight="false" outlineLevel="0" collapsed="false">
      <c r="B1165" s="228"/>
      <c r="C1165" s="229"/>
      <c r="D1165" s="219"/>
      <c r="E1165" s="220"/>
      <c r="F1165" s="229"/>
      <c r="G1165" s="220"/>
      <c r="H1165" s="220"/>
      <c r="I1165" s="220"/>
      <c r="J1165" s="220"/>
      <c r="K1165" s="220"/>
      <c r="L1165" s="220"/>
      <c r="M1165" s="220"/>
      <c r="N1165" s="220"/>
      <c r="O1165" s="220"/>
      <c r="P1165" s="220"/>
      <c r="Q1165" s="220"/>
      <c r="R1165" s="220"/>
      <c r="S1165" s="220"/>
      <c r="T1165" s="225"/>
      <c r="U1165" s="226"/>
      <c r="V1165" s="253"/>
    </row>
    <row r="1166" customFormat="false" ht="12.75" hidden="false" customHeight="false" outlineLevel="0" collapsed="false">
      <c r="B1166" s="228"/>
      <c r="C1166" s="229"/>
      <c r="D1166" s="219"/>
      <c r="E1166" s="220"/>
      <c r="F1166" s="229"/>
      <c r="G1166" s="220"/>
      <c r="H1166" s="220"/>
      <c r="I1166" s="220"/>
      <c r="J1166" s="220"/>
      <c r="K1166" s="220"/>
      <c r="L1166" s="220"/>
      <c r="M1166" s="220"/>
      <c r="N1166" s="220"/>
      <c r="O1166" s="220"/>
      <c r="P1166" s="220"/>
      <c r="Q1166" s="220"/>
      <c r="R1166" s="220"/>
      <c r="S1166" s="220"/>
      <c r="T1166" s="225"/>
      <c r="U1166" s="226"/>
      <c r="V1166" s="253"/>
    </row>
    <row r="1167" customFormat="false" ht="12.75" hidden="false" customHeight="false" outlineLevel="0" collapsed="false">
      <c r="B1167" s="228"/>
      <c r="C1167" s="229"/>
      <c r="D1167" s="219"/>
      <c r="E1167" s="220"/>
      <c r="F1167" s="229"/>
      <c r="G1167" s="220"/>
      <c r="H1167" s="220"/>
      <c r="I1167" s="220"/>
      <c r="J1167" s="220"/>
      <c r="K1167" s="220"/>
      <c r="L1167" s="220"/>
      <c r="M1167" s="220"/>
      <c r="N1167" s="220"/>
      <c r="O1167" s="220"/>
      <c r="P1167" s="220"/>
      <c r="Q1167" s="220"/>
      <c r="R1167" s="220"/>
      <c r="S1167" s="220"/>
      <c r="T1167" s="225"/>
      <c r="U1167" s="226"/>
      <c r="V1167" s="253"/>
    </row>
    <row r="1168" customFormat="false" ht="12.75" hidden="false" customHeight="false" outlineLevel="0" collapsed="false">
      <c r="B1168" s="228"/>
      <c r="C1168" s="229"/>
      <c r="D1168" s="219"/>
      <c r="E1168" s="220"/>
      <c r="F1168" s="229"/>
      <c r="G1168" s="220"/>
      <c r="H1168" s="220"/>
      <c r="I1168" s="220"/>
      <c r="J1168" s="220"/>
      <c r="K1168" s="220"/>
      <c r="L1168" s="220"/>
      <c r="M1168" s="220"/>
      <c r="N1168" s="220"/>
      <c r="O1168" s="220"/>
      <c r="P1168" s="220"/>
      <c r="Q1168" s="220"/>
      <c r="R1168" s="220"/>
      <c r="S1168" s="220"/>
      <c r="T1168" s="225"/>
      <c r="U1168" s="226"/>
      <c r="V1168" s="253"/>
    </row>
    <row r="1169" customFormat="false" ht="12.75" hidden="false" customHeight="false" outlineLevel="0" collapsed="false">
      <c r="B1169" s="228"/>
      <c r="C1169" s="229"/>
      <c r="D1169" s="219"/>
      <c r="E1169" s="220"/>
      <c r="F1169" s="229"/>
      <c r="G1169" s="220"/>
      <c r="H1169" s="220"/>
      <c r="I1169" s="220"/>
      <c r="J1169" s="220"/>
      <c r="K1169" s="220"/>
      <c r="L1169" s="220"/>
      <c r="M1169" s="220"/>
      <c r="N1169" s="220"/>
      <c r="O1169" s="220"/>
      <c r="P1169" s="220"/>
      <c r="Q1169" s="220"/>
      <c r="R1169" s="220"/>
      <c r="S1169" s="220"/>
      <c r="T1169" s="225"/>
      <c r="U1169" s="226"/>
      <c r="V1169" s="253"/>
    </row>
    <row r="1170" customFormat="false" ht="12.75" hidden="false" customHeight="false" outlineLevel="0" collapsed="false">
      <c r="B1170" s="228"/>
      <c r="C1170" s="229"/>
      <c r="D1170" s="219"/>
      <c r="E1170" s="220"/>
      <c r="F1170" s="229"/>
      <c r="G1170" s="220"/>
      <c r="H1170" s="220"/>
      <c r="I1170" s="220"/>
      <c r="J1170" s="220"/>
      <c r="K1170" s="220"/>
      <c r="L1170" s="220"/>
      <c r="M1170" s="220"/>
      <c r="N1170" s="220"/>
      <c r="O1170" s="220"/>
      <c r="P1170" s="220"/>
      <c r="Q1170" s="220"/>
      <c r="R1170" s="220"/>
      <c r="S1170" s="220"/>
      <c r="T1170" s="225"/>
      <c r="U1170" s="226"/>
      <c r="V1170" s="253"/>
    </row>
    <row r="1171" customFormat="false" ht="12.75" hidden="false" customHeight="false" outlineLevel="0" collapsed="false">
      <c r="B1171" s="228"/>
      <c r="C1171" s="229"/>
      <c r="D1171" s="219"/>
      <c r="E1171" s="220"/>
      <c r="F1171" s="229"/>
      <c r="G1171" s="220"/>
      <c r="H1171" s="220"/>
      <c r="I1171" s="220"/>
      <c r="J1171" s="220"/>
      <c r="K1171" s="220"/>
      <c r="L1171" s="220"/>
      <c r="M1171" s="220"/>
      <c r="N1171" s="220"/>
      <c r="O1171" s="220"/>
      <c r="P1171" s="220"/>
      <c r="Q1171" s="220"/>
      <c r="R1171" s="220"/>
      <c r="S1171" s="220"/>
      <c r="T1171" s="225"/>
      <c r="U1171" s="226"/>
      <c r="V1171" s="253"/>
    </row>
    <row r="1172" customFormat="false" ht="12.75" hidden="false" customHeight="false" outlineLevel="0" collapsed="false">
      <c r="B1172" s="228"/>
      <c r="C1172" s="229"/>
      <c r="D1172" s="219"/>
      <c r="E1172" s="220"/>
      <c r="F1172" s="229"/>
      <c r="G1172" s="220"/>
      <c r="H1172" s="220"/>
      <c r="I1172" s="220"/>
      <c r="J1172" s="220"/>
      <c r="K1172" s="220"/>
      <c r="L1172" s="220"/>
      <c r="M1172" s="220"/>
      <c r="N1172" s="220"/>
      <c r="O1172" s="220"/>
      <c r="P1172" s="220"/>
      <c r="Q1172" s="220"/>
      <c r="R1172" s="220"/>
      <c r="S1172" s="220"/>
      <c r="T1172" s="225"/>
      <c r="U1172" s="226"/>
      <c r="V1172" s="253"/>
    </row>
    <row r="1173" customFormat="false" ht="12.75" hidden="false" customHeight="false" outlineLevel="0" collapsed="false">
      <c r="B1173" s="228"/>
      <c r="C1173" s="229"/>
      <c r="D1173" s="219"/>
      <c r="E1173" s="220"/>
      <c r="F1173" s="229"/>
      <c r="G1173" s="220"/>
      <c r="H1173" s="220"/>
      <c r="I1173" s="220"/>
      <c r="J1173" s="220"/>
      <c r="K1173" s="220"/>
      <c r="L1173" s="220"/>
      <c r="M1173" s="220"/>
      <c r="N1173" s="220"/>
      <c r="O1173" s="220"/>
      <c r="P1173" s="220"/>
      <c r="Q1173" s="220"/>
      <c r="R1173" s="220"/>
      <c r="S1173" s="220"/>
      <c r="T1173" s="225"/>
      <c r="U1173" s="226"/>
      <c r="V1173" s="253"/>
    </row>
    <row r="1174" customFormat="false" ht="12.75" hidden="false" customHeight="false" outlineLevel="0" collapsed="false">
      <c r="B1174" s="228"/>
      <c r="C1174" s="229"/>
      <c r="D1174" s="219"/>
      <c r="E1174" s="220"/>
      <c r="F1174" s="229"/>
      <c r="G1174" s="220"/>
      <c r="H1174" s="220"/>
      <c r="I1174" s="220"/>
      <c r="J1174" s="220"/>
      <c r="K1174" s="220"/>
      <c r="L1174" s="220"/>
      <c r="M1174" s="220"/>
      <c r="N1174" s="220"/>
      <c r="O1174" s="220"/>
      <c r="P1174" s="220"/>
      <c r="Q1174" s="220"/>
      <c r="R1174" s="220"/>
      <c r="S1174" s="220"/>
      <c r="T1174" s="225"/>
      <c r="U1174" s="226"/>
      <c r="V1174" s="253"/>
    </row>
    <row r="1175" customFormat="false" ht="12.75" hidden="false" customHeight="false" outlineLevel="0" collapsed="false">
      <c r="B1175" s="228"/>
      <c r="C1175" s="229"/>
      <c r="D1175" s="219"/>
      <c r="E1175" s="220"/>
      <c r="F1175" s="229"/>
      <c r="G1175" s="220"/>
      <c r="H1175" s="220"/>
      <c r="I1175" s="220"/>
      <c r="J1175" s="220"/>
      <c r="K1175" s="220"/>
      <c r="L1175" s="220"/>
      <c r="M1175" s="220"/>
      <c r="N1175" s="220"/>
      <c r="O1175" s="220"/>
      <c r="P1175" s="220"/>
      <c r="Q1175" s="220"/>
      <c r="R1175" s="220"/>
      <c r="S1175" s="220"/>
      <c r="T1175" s="225"/>
      <c r="U1175" s="226"/>
      <c r="V1175" s="253"/>
    </row>
    <row r="1176" customFormat="false" ht="12.75" hidden="false" customHeight="false" outlineLevel="0" collapsed="false">
      <c r="B1176" s="228"/>
      <c r="C1176" s="229"/>
      <c r="D1176" s="219"/>
      <c r="E1176" s="220"/>
      <c r="F1176" s="229"/>
      <c r="G1176" s="220"/>
      <c r="H1176" s="220"/>
      <c r="I1176" s="220"/>
      <c r="J1176" s="220"/>
      <c r="K1176" s="220"/>
      <c r="L1176" s="220"/>
      <c r="M1176" s="220"/>
      <c r="N1176" s="220"/>
      <c r="O1176" s="220"/>
      <c r="P1176" s="220"/>
      <c r="Q1176" s="220"/>
      <c r="R1176" s="220"/>
      <c r="S1176" s="220"/>
      <c r="T1176" s="225"/>
      <c r="U1176" s="226"/>
      <c r="V1176" s="253"/>
    </row>
    <row r="1177" customFormat="false" ht="12.75" hidden="false" customHeight="false" outlineLevel="0" collapsed="false">
      <c r="B1177" s="228"/>
      <c r="C1177" s="229"/>
      <c r="D1177" s="219"/>
      <c r="E1177" s="220"/>
      <c r="F1177" s="229"/>
      <c r="G1177" s="220"/>
      <c r="H1177" s="220"/>
      <c r="I1177" s="220"/>
      <c r="J1177" s="220"/>
      <c r="K1177" s="220"/>
      <c r="L1177" s="220"/>
      <c r="M1177" s="220"/>
      <c r="N1177" s="220"/>
      <c r="O1177" s="220"/>
      <c r="P1177" s="220"/>
      <c r="Q1177" s="220"/>
      <c r="R1177" s="220"/>
      <c r="S1177" s="220"/>
      <c r="T1177" s="225"/>
      <c r="U1177" s="226"/>
      <c r="V1177" s="253"/>
    </row>
    <row r="1178" customFormat="false" ht="12.75" hidden="false" customHeight="false" outlineLevel="0" collapsed="false">
      <c r="B1178" s="228"/>
      <c r="C1178" s="229"/>
      <c r="D1178" s="219"/>
      <c r="E1178" s="220"/>
      <c r="F1178" s="229"/>
      <c r="G1178" s="220"/>
      <c r="H1178" s="220"/>
      <c r="I1178" s="220"/>
      <c r="J1178" s="220"/>
      <c r="K1178" s="220"/>
      <c r="L1178" s="220"/>
      <c r="M1178" s="220"/>
      <c r="N1178" s="220"/>
      <c r="O1178" s="220"/>
      <c r="P1178" s="220"/>
      <c r="Q1178" s="220"/>
      <c r="R1178" s="220"/>
      <c r="S1178" s="220"/>
      <c r="T1178" s="225"/>
      <c r="U1178" s="226"/>
      <c r="V1178" s="253"/>
    </row>
    <row r="1179" customFormat="false" ht="12.75" hidden="false" customHeight="false" outlineLevel="0" collapsed="false">
      <c r="B1179" s="228"/>
      <c r="C1179" s="229"/>
      <c r="D1179" s="219"/>
      <c r="E1179" s="220"/>
      <c r="F1179" s="229"/>
      <c r="G1179" s="220"/>
      <c r="H1179" s="220"/>
      <c r="I1179" s="220"/>
      <c r="J1179" s="220"/>
      <c r="K1179" s="220"/>
      <c r="L1179" s="220"/>
      <c r="M1179" s="220"/>
      <c r="N1179" s="220"/>
      <c r="O1179" s="220"/>
      <c r="P1179" s="220"/>
      <c r="Q1179" s="220"/>
      <c r="R1179" s="220"/>
      <c r="S1179" s="220"/>
      <c r="T1179" s="225"/>
      <c r="U1179" s="226"/>
      <c r="V1179" s="253"/>
    </row>
    <row r="1180" customFormat="false" ht="12.75" hidden="false" customHeight="false" outlineLevel="0" collapsed="false">
      <c r="B1180" s="228"/>
      <c r="C1180" s="229"/>
      <c r="D1180" s="219"/>
      <c r="E1180" s="220"/>
      <c r="F1180" s="229"/>
      <c r="G1180" s="220"/>
      <c r="H1180" s="220"/>
      <c r="I1180" s="220"/>
      <c r="J1180" s="220"/>
      <c r="K1180" s="220"/>
      <c r="L1180" s="220"/>
      <c r="M1180" s="220"/>
      <c r="N1180" s="220"/>
      <c r="O1180" s="220"/>
      <c r="P1180" s="220"/>
      <c r="Q1180" s="220"/>
      <c r="R1180" s="220"/>
      <c r="S1180" s="220"/>
      <c r="T1180" s="225"/>
      <c r="U1180" s="226"/>
      <c r="V1180" s="253"/>
    </row>
    <row r="1181" customFormat="false" ht="12.75" hidden="false" customHeight="false" outlineLevel="0" collapsed="false">
      <c r="B1181" s="228"/>
      <c r="C1181" s="229"/>
      <c r="D1181" s="219"/>
      <c r="E1181" s="220"/>
      <c r="F1181" s="229"/>
      <c r="G1181" s="220"/>
      <c r="H1181" s="220"/>
      <c r="I1181" s="220"/>
      <c r="J1181" s="220"/>
      <c r="K1181" s="220"/>
      <c r="L1181" s="220"/>
      <c r="M1181" s="220"/>
      <c r="N1181" s="220"/>
      <c r="O1181" s="220"/>
      <c r="P1181" s="220"/>
      <c r="Q1181" s="220"/>
      <c r="R1181" s="220"/>
      <c r="S1181" s="220"/>
      <c r="T1181" s="225"/>
      <c r="U1181" s="226"/>
      <c r="V1181" s="253"/>
    </row>
    <row r="1182" customFormat="false" ht="12.75" hidden="false" customHeight="false" outlineLevel="0" collapsed="false">
      <c r="B1182" s="228"/>
      <c r="C1182" s="229"/>
      <c r="D1182" s="219"/>
      <c r="E1182" s="220"/>
      <c r="F1182" s="229"/>
      <c r="G1182" s="220"/>
      <c r="H1182" s="220"/>
      <c r="I1182" s="220"/>
      <c r="J1182" s="220"/>
      <c r="K1182" s="220"/>
      <c r="L1182" s="220"/>
      <c r="M1182" s="220"/>
      <c r="N1182" s="220"/>
      <c r="O1182" s="220"/>
      <c r="P1182" s="220"/>
      <c r="Q1182" s="220"/>
      <c r="R1182" s="220"/>
      <c r="S1182" s="220"/>
      <c r="T1182" s="225"/>
      <c r="U1182" s="226"/>
      <c r="V1182" s="253"/>
    </row>
    <row r="1183" customFormat="false" ht="12.75" hidden="false" customHeight="false" outlineLevel="0" collapsed="false">
      <c r="B1183" s="228"/>
      <c r="C1183" s="229"/>
      <c r="D1183" s="219"/>
      <c r="E1183" s="220"/>
      <c r="F1183" s="229"/>
      <c r="G1183" s="220"/>
      <c r="H1183" s="220"/>
      <c r="I1183" s="220"/>
      <c r="J1183" s="220"/>
      <c r="K1183" s="220"/>
      <c r="L1183" s="220"/>
      <c r="M1183" s="220"/>
      <c r="N1183" s="220"/>
      <c r="O1183" s="220"/>
      <c r="P1183" s="220"/>
      <c r="Q1183" s="220"/>
      <c r="R1183" s="220"/>
      <c r="S1183" s="220"/>
      <c r="T1183" s="225"/>
      <c r="U1183" s="226"/>
      <c r="V1183" s="253"/>
    </row>
    <row r="1184" customFormat="false" ht="12.75" hidden="false" customHeight="false" outlineLevel="0" collapsed="false">
      <c r="B1184" s="228"/>
      <c r="C1184" s="229"/>
      <c r="D1184" s="219"/>
      <c r="E1184" s="220"/>
      <c r="F1184" s="229"/>
      <c r="G1184" s="220"/>
      <c r="H1184" s="220"/>
      <c r="I1184" s="220"/>
      <c r="J1184" s="220"/>
      <c r="K1184" s="220"/>
      <c r="L1184" s="220"/>
      <c r="M1184" s="220"/>
      <c r="N1184" s="220"/>
      <c r="O1184" s="220"/>
      <c r="P1184" s="220"/>
      <c r="Q1184" s="220"/>
      <c r="R1184" s="220"/>
      <c r="S1184" s="220"/>
      <c r="T1184" s="225"/>
      <c r="U1184" s="226"/>
      <c r="V1184" s="253"/>
    </row>
    <row r="1185" customFormat="false" ht="12.75" hidden="false" customHeight="false" outlineLevel="0" collapsed="false">
      <c r="B1185" s="228"/>
      <c r="C1185" s="229"/>
      <c r="D1185" s="219"/>
      <c r="E1185" s="220"/>
      <c r="F1185" s="229"/>
      <c r="G1185" s="220"/>
      <c r="H1185" s="220"/>
      <c r="I1185" s="220"/>
      <c r="J1185" s="220"/>
      <c r="K1185" s="220"/>
      <c r="L1185" s="220"/>
      <c r="M1185" s="220"/>
      <c r="N1185" s="220"/>
      <c r="O1185" s="220"/>
      <c r="P1185" s="220"/>
      <c r="Q1185" s="220"/>
      <c r="R1185" s="220"/>
      <c r="S1185" s="220"/>
      <c r="T1185" s="225"/>
      <c r="U1185" s="226"/>
      <c r="V1185" s="253"/>
    </row>
    <row r="1186" customFormat="false" ht="12.75" hidden="false" customHeight="false" outlineLevel="0" collapsed="false">
      <c r="B1186" s="228"/>
      <c r="C1186" s="229"/>
      <c r="D1186" s="219"/>
      <c r="E1186" s="220"/>
      <c r="F1186" s="229"/>
      <c r="G1186" s="220"/>
      <c r="H1186" s="220"/>
      <c r="I1186" s="220"/>
      <c r="J1186" s="220"/>
      <c r="K1186" s="220"/>
      <c r="L1186" s="220"/>
      <c r="M1186" s="220"/>
      <c r="N1186" s="220"/>
      <c r="O1186" s="220"/>
      <c r="P1186" s="220"/>
      <c r="Q1186" s="220"/>
      <c r="R1186" s="220"/>
      <c r="S1186" s="220"/>
      <c r="T1186" s="225"/>
      <c r="U1186" s="226"/>
      <c r="V1186" s="253"/>
    </row>
    <row r="1187" customFormat="false" ht="12.75" hidden="false" customHeight="false" outlineLevel="0" collapsed="false">
      <c r="B1187" s="228"/>
      <c r="C1187" s="229"/>
      <c r="D1187" s="219"/>
      <c r="E1187" s="220"/>
      <c r="F1187" s="229"/>
      <c r="G1187" s="220"/>
      <c r="H1187" s="220"/>
      <c r="I1187" s="220"/>
      <c r="J1187" s="220"/>
      <c r="K1187" s="220"/>
      <c r="L1187" s="220"/>
      <c r="M1187" s="220"/>
      <c r="N1187" s="220"/>
      <c r="O1187" s="220"/>
      <c r="P1187" s="220"/>
      <c r="Q1187" s="220"/>
      <c r="R1187" s="220"/>
      <c r="S1187" s="220"/>
      <c r="T1187" s="225"/>
      <c r="U1187" s="226"/>
      <c r="V1187" s="253"/>
    </row>
    <row r="1188" customFormat="false" ht="12.75" hidden="false" customHeight="false" outlineLevel="0" collapsed="false">
      <c r="B1188" s="228"/>
      <c r="C1188" s="229"/>
      <c r="D1188" s="219"/>
      <c r="E1188" s="220"/>
      <c r="F1188" s="229"/>
      <c r="G1188" s="220"/>
      <c r="H1188" s="220"/>
      <c r="I1188" s="220"/>
      <c r="J1188" s="220"/>
      <c r="K1188" s="220"/>
      <c r="L1188" s="220"/>
      <c r="M1188" s="220"/>
      <c r="N1188" s="220"/>
      <c r="O1188" s="220"/>
      <c r="P1188" s="220"/>
      <c r="Q1188" s="220"/>
      <c r="R1188" s="220"/>
      <c r="S1188" s="220"/>
      <c r="T1188" s="225"/>
      <c r="U1188" s="226"/>
      <c r="V1188" s="253"/>
    </row>
    <row r="1189" customFormat="false" ht="12.75" hidden="false" customHeight="false" outlineLevel="0" collapsed="false">
      <c r="B1189" s="228"/>
      <c r="C1189" s="229"/>
      <c r="D1189" s="219"/>
      <c r="E1189" s="220"/>
      <c r="F1189" s="229"/>
      <c r="G1189" s="220"/>
      <c r="H1189" s="220"/>
      <c r="I1189" s="220"/>
      <c r="J1189" s="220"/>
      <c r="K1189" s="220"/>
      <c r="L1189" s="220"/>
      <c r="M1189" s="220"/>
      <c r="N1189" s="220"/>
      <c r="O1189" s="220"/>
      <c r="P1189" s="220"/>
      <c r="Q1189" s="220"/>
      <c r="R1189" s="220"/>
      <c r="S1189" s="220"/>
      <c r="T1189" s="225"/>
      <c r="U1189" s="226"/>
      <c r="V1189" s="253"/>
    </row>
    <row r="1190" customFormat="false" ht="12.75" hidden="false" customHeight="false" outlineLevel="0" collapsed="false">
      <c r="B1190" s="228"/>
      <c r="C1190" s="229"/>
      <c r="D1190" s="219"/>
      <c r="E1190" s="220"/>
      <c r="F1190" s="229"/>
      <c r="G1190" s="220"/>
      <c r="H1190" s="220"/>
      <c r="I1190" s="220"/>
      <c r="J1190" s="220"/>
      <c r="K1190" s="220"/>
      <c r="L1190" s="220"/>
      <c r="M1190" s="220"/>
      <c r="N1190" s="220"/>
      <c r="O1190" s="220"/>
      <c r="P1190" s="220"/>
      <c r="Q1190" s="220"/>
      <c r="R1190" s="220"/>
      <c r="S1190" s="220"/>
      <c r="T1190" s="225"/>
      <c r="U1190" s="226"/>
      <c r="V1190" s="253"/>
    </row>
    <row r="1191" customFormat="false" ht="12.75" hidden="false" customHeight="false" outlineLevel="0" collapsed="false">
      <c r="B1191" s="228"/>
      <c r="C1191" s="229"/>
      <c r="D1191" s="219"/>
      <c r="E1191" s="220"/>
      <c r="F1191" s="229"/>
      <c r="G1191" s="220"/>
      <c r="H1191" s="220"/>
      <c r="I1191" s="220"/>
      <c r="J1191" s="220"/>
      <c r="K1191" s="220"/>
      <c r="L1191" s="220"/>
      <c r="M1191" s="220"/>
      <c r="N1191" s="220"/>
      <c r="O1191" s="220"/>
      <c r="P1191" s="220"/>
      <c r="Q1191" s="220"/>
      <c r="R1191" s="220"/>
      <c r="S1191" s="220"/>
      <c r="T1191" s="225"/>
      <c r="U1191" s="226"/>
      <c r="V1191" s="253"/>
    </row>
    <row r="1192" customFormat="false" ht="12.75" hidden="false" customHeight="false" outlineLevel="0" collapsed="false">
      <c r="B1192" s="228"/>
      <c r="C1192" s="229"/>
      <c r="D1192" s="219"/>
      <c r="E1192" s="220"/>
      <c r="F1192" s="229"/>
      <c r="G1192" s="220"/>
      <c r="H1192" s="220"/>
      <c r="I1192" s="220"/>
      <c r="J1192" s="220"/>
      <c r="K1192" s="220"/>
      <c r="L1192" s="220"/>
      <c r="M1192" s="220"/>
      <c r="N1192" s="220"/>
      <c r="O1192" s="220"/>
      <c r="P1192" s="220"/>
      <c r="Q1192" s="220"/>
      <c r="R1192" s="220"/>
      <c r="S1192" s="220"/>
      <c r="T1192" s="225"/>
      <c r="U1192" s="226"/>
      <c r="V1192" s="253"/>
    </row>
    <row r="1193" customFormat="false" ht="12.75" hidden="false" customHeight="false" outlineLevel="0" collapsed="false">
      <c r="B1193" s="228"/>
      <c r="C1193" s="229"/>
      <c r="D1193" s="219"/>
      <c r="E1193" s="220"/>
      <c r="F1193" s="229"/>
      <c r="G1193" s="220"/>
      <c r="H1193" s="220"/>
      <c r="I1193" s="220"/>
      <c r="J1193" s="220"/>
      <c r="K1193" s="220"/>
      <c r="L1193" s="220"/>
      <c r="M1193" s="220"/>
      <c r="N1193" s="220"/>
      <c r="O1193" s="220"/>
      <c r="P1193" s="220"/>
      <c r="Q1193" s="220"/>
      <c r="R1193" s="220"/>
      <c r="S1193" s="220"/>
      <c r="T1193" s="225"/>
      <c r="U1193" s="226"/>
      <c r="V1193" s="253"/>
    </row>
    <row r="1194" customFormat="false" ht="12.75" hidden="false" customHeight="false" outlineLevel="0" collapsed="false">
      <c r="B1194" s="228"/>
      <c r="C1194" s="229"/>
      <c r="D1194" s="219"/>
      <c r="E1194" s="220"/>
      <c r="F1194" s="229"/>
      <c r="G1194" s="220"/>
      <c r="H1194" s="220"/>
      <c r="I1194" s="220"/>
      <c r="J1194" s="220"/>
      <c r="K1194" s="220"/>
      <c r="L1194" s="220"/>
      <c r="M1194" s="220"/>
      <c r="N1194" s="220"/>
      <c r="O1194" s="220"/>
      <c r="P1194" s="220"/>
      <c r="Q1194" s="220"/>
      <c r="R1194" s="220"/>
      <c r="S1194" s="220"/>
      <c r="T1194" s="225"/>
      <c r="U1194" s="226"/>
      <c r="V1194" s="253"/>
    </row>
    <row r="1195" customFormat="false" ht="12.75" hidden="false" customHeight="false" outlineLevel="0" collapsed="false">
      <c r="B1195" s="228"/>
      <c r="C1195" s="229"/>
      <c r="D1195" s="219"/>
      <c r="E1195" s="220"/>
      <c r="F1195" s="229"/>
      <c r="G1195" s="220"/>
      <c r="H1195" s="220"/>
      <c r="I1195" s="220"/>
      <c r="J1195" s="220"/>
      <c r="K1195" s="220"/>
      <c r="L1195" s="220"/>
      <c r="M1195" s="220"/>
      <c r="N1195" s="220"/>
      <c r="O1195" s="220"/>
      <c r="P1195" s="220"/>
      <c r="Q1195" s="220"/>
      <c r="R1195" s="220"/>
      <c r="S1195" s="220"/>
      <c r="T1195" s="225"/>
      <c r="U1195" s="226"/>
      <c r="V1195" s="253"/>
    </row>
    <row r="1196" customFormat="false" ht="12.75" hidden="false" customHeight="false" outlineLevel="0" collapsed="false">
      <c r="B1196" s="228"/>
      <c r="C1196" s="229"/>
      <c r="D1196" s="219"/>
      <c r="E1196" s="220"/>
      <c r="F1196" s="229"/>
      <c r="G1196" s="220"/>
      <c r="H1196" s="220"/>
      <c r="I1196" s="220"/>
      <c r="J1196" s="220"/>
      <c r="K1196" s="220"/>
      <c r="L1196" s="220"/>
      <c r="M1196" s="220"/>
      <c r="N1196" s="220"/>
      <c r="O1196" s="220"/>
      <c r="P1196" s="220"/>
      <c r="Q1196" s="220"/>
      <c r="R1196" s="220"/>
      <c r="S1196" s="220"/>
      <c r="T1196" s="225"/>
      <c r="U1196" s="226"/>
      <c r="V1196" s="253"/>
    </row>
    <row r="1197" customFormat="false" ht="12.75" hidden="false" customHeight="false" outlineLevel="0" collapsed="false">
      <c r="B1197" s="228"/>
      <c r="C1197" s="229"/>
      <c r="D1197" s="219"/>
      <c r="E1197" s="220"/>
      <c r="F1197" s="229"/>
      <c r="G1197" s="220"/>
      <c r="H1197" s="220"/>
      <c r="I1197" s="220"/>
      <c r="J1197" s="220"/>
      <c r="K1197" s="220"/>
      <c r="L1197" s="220"/>
      <c r="M1197" s="220"/>
      <c r="N1197" s="220"/>
      <c r="O1197" s="220"/>
      <c r="P1197" s="220"/>
      <c r="Q1197" s="220"/>
      <c r="R1197" s="220"/>
      <c r="S1197" s="220"/>
      <c r="T1197" s="225"/>
      <c r="U1197" s="226"/>
      <c r="V1197" s="253"/>
    </row>
    <row r="1198" customFormat="false" ht="12.75" hidden="false" customHeight="false" outlineLevel="0" collapsed="false">
      <c r="B1198" s="228"/>
      <c r="C1198" s="229"/>
      <c r="D1198" s="219"/>
      <c r="E1198" s="220"/>
      <c r="F1198" s="229"/>
      <c r="G1198" s="220"/>
      <c r="H1198" s="220"/>
      <c r="I1198" s="220"/>
      <c r="J1198" s="220"/>
      <c r="K1198" s="220"/>
      <c r="L1198" s="220"/>
      <c r="M1198" s="220"/>
      <c r="N1198" s="220"/>
      <c r="O1198" s="220"/>
      <c r="P1198" s="220"/>
      <c r="Q1198" s="220"/>
      <c r="R1198" s="220"/>
      <c r="S1198" s="220"/>
      <c r="T1198" s="225"/>
      <c r="U1198" s="226"/>
      <c r="V1198" s="253"/>
    </row>
    <row r="1199" customFormat="false" ht="12.75" hidden="false" customHeight="false" outlineLevel="0" collapsed="false">
      <c r="B1199" s="228"/>
      <c r="C1199" s="229"/>
      <c r="D1199" s="219"/>
      <c r="E1199" s="220"/>
      <c r="F1199" s="229"/>
      <c r="G1199" s="220"/>
      <c r="H1199" s="220"/>
      <c r="I1199" s="220"/>
      <c r="J1199" s="220"/>
      <c r="K1199" s="220"/>
      <c r="L1199" s="220"/>
      <c r="M1199" s="220"/>
      <c r="N1199" s="220"/>
      <c r="O1199" s="220"/>
      <c r="P1199" s="220"/>
      <c r="Q1199" s="220"/>
      <c r="R1199" s="220"/>
      <c r="S1199" s="220"/>
      <c r="T1199" s="225"/>
      <c r="U1199" s="226"/>
      <c r="V1199" s="253"/>
    </row>
    <row r="1200" customFormat="false" ht="12.75" hidden="false" customHeight="false" outlineLevel="0" collapsed="false">
      <c r="B1200" s="228"/>
      <c r="C1200" s="229"/>
      <c r="D1200" s="219"/>
      <c r="E1200" s="220"/>
      <c r="F1200" s="229"/>
      <c r="G1200" s="220"/>
      <c r="H1200" s="220"/>
      <c r="I1200" s="220"/>
      <c r="J1200" s="220"/>
      <c r="K1200" s="220"/>
      <c r="L1200" s="220"/>
      <c r="M1200" s="220"/>
      <c r="N1200" s="220"/>
      <c r="O1200" s="220"/>
      <c r="P1200" s="220"/>
      <c r="Q1200" s="220"/>
      <c r="R1200" s="220"/>
      <c r="S1200" s="220"/>
      <c r="T1200" s="225"/>
      <c r="U1200" s="226"/>
      <c r="V1200" s="253"/>
    </row>
    <row r="1201" customFormat="false" ht="12.75" hidden="false" customHeight="false" outlineLevel="0" collapsed="false">
      <c r="B1201" s="228"/>
      <c r="C1201" s="229"/>
      <c r="D1201" s="219"/>
      <c r="E1201" s="220"/>
      <c r="F1201" s="229"/>
      <c r="G1201" s="220"/>
      <c r="H1201" s="220"/>
      <c r="I1201" s="220"/>
      <c r="J1201" s="220"/>
      <c r="K1201" s="220"/>
      <c r="L1201" s="220"/>
      <c r="M1201" s="220"/>
      <c r="N1201" s="220"/>
      <c r="O1201" s="220"/>
      <c r="P1201" s="220"/>
      <c r="Q1201" s="220"/>
      <c r="R1201" s="220"/>
      <c r="S1201" s="220"/>
      <c r="T1201" s="225"/>
      <c r="U1201" s="226"/>
      <c r="V1201" s="253"/>
    </row>
    <row r="1202" customFormat="false" ht="12.75" hidden="false" customHeight="false" outlineLevel="0" collapsed="false">
      <c r="B1202" s="228"/>
      <c r="C1202" s="229"/>
      <c r="D1202" s="219"/>
      <c r="E1202" s="220"/>
      <c r="F1202" s="229"/>
      <c r="G1202" s="220"/>
      <c r="H1202" s="220"/>
      <c r="I1202" s="220"/>
      <c r="J1202" s="220"/>
      <c r="K1202" s="220"/>
      <c r="L1202" s="220"/>
      <c r="M1202" s="220"/>
      <c r="N1202" s="220"/>
      <c r="O1202" s="220"/>
      <c r="P1202" s="220"/>
      <c r="Q1202" s="220"/>
      <c r="R1202" s="220"/>
      <c r="S1202" s="220"/>
      <c r="T1202" s="225"/>
      <c r="U1202" s="226"/>
      <c r="V1202" s="253"/>
    </row>
    <row r="1203" customFormat="false" ht="12.75" hidden="false" customHeight="false" outlineLevel="0" collapsed="false">
      <c r="B1203" s="228"/>
      <c r="C1203" s="229"/>
      <c r="D1203" s="219"/>
      <c r="E1203" s="220"/>
      <c r="F1203" s="229"/>
      <c r="G1203" s="220"/>
      <c r="H1203" s="220"/>
      <c r="I1203" s="220"/>
      <c r="J1203" s="220"/>
      <c r="K1203" s="220"/>
      <c r="L1203" s="220"/>
      <c r="M1203" s="220"/>
      <c r="N1203" s="220"/>
      <c r="O1203" s="220"/>
      <c r="P1203" s="220"/>
      <c r="Q1203" s="220"/>
      <c r="R1203" s="220"/>
      <c r="S1203" s="220"/>
      <c r="T1203" s="225"/>
      <c r="U1203" s="226"/>
      <c r="V1203" s="253"/>
    </row>
    <row r="1204" customFormat="false" ht="12.75" hidden="false" customHeight="false" outlineLevel="0" collapsed="false">
      <c r="B1204" s="228"/>
      <c r="C1204" s="229"/>
      <c r="D1204" s="219"/>
      <c r="E1204" s="220"/>
      <c r="F1204" s="229"/>
      <c r="G1204" s="220"/>
      <c r="H1204" s="220"/>
      <c r="I1204" s="220"/>
      <c r="J1204" s="220"/>
      <c r="K1204" s="220"/>
      <c r="L1204" s="220"/>
      <c r="M1204" s="220"/>
      <c r="N1204" s="220"/>
      <c r="O1204" s="220"/>
      <c r="P1204" s="220"/>
      <c r="Q1204" s="220"/>
      <c r="R1204" s="220"/>
      <c r="S1204" s="220"/>
      <c r="T1204" s="225"/>
      <c r="U1204" s="226"/>
      <c r="V1204" s="253"/>
    </row>
    <row r="1205" customFormat="false" ht="12.75" hidden="false" customHeight="false" outlineLevel="0" collapsed="false">
      <c r="B1205" s="228"/>
      <c r="C1205" s="229"/>
      <c r="D1205" s="219"/>
      <c r="E1205" s="220"/>
      <c r="F1205" s="229"/>
      <c r="G1205" s="220"/>
      <c r="H1205" s="220"/>
      <c r="I1205" s="220"/>
      <c r="J1205" s="220"/>
      <c r="K1205" s="220"/>
      <c r="L1205" s="220"/>
      <c r="M1205" s="220"/>
      <c r="N1205" s="220"/>
      <c r="O1205" s="220"/>
      <c r="P1205" s="220"/>
      <c r="Q1205" s="220"/>
      <c r="R1205" s="220"/>
      <c r="S1205" s="220"/>
      <c r="T1205" s="225"/>
      <c r="U1205" s="226"/>
      <c r="V1205" s="253"/>
    </row>
    <row r="1206" customFormat="false" ht="12.75" hidden="false" customHeight="false" outlineLevel="0" collapsed="false">
      <c r="B1206" s="228"/>
      <c r="C1206" s="229"/>
      <c r="D1206" s="219"/>
      <c r="E1206" s="220"/>
      <c r="F1206" s="229"/>
      <c r="G1206" s="220"/>
      <c r="H1206" s="220"/>
      <c r="I1206" s="220"/>
      <c r="J1206" s="220"/>
      <c r="K1206" s="220"/>
      <c r="L1206" s="220"/>
      <c r="M1206" s="220"/>
      <c r="N1206" s="220"/>
      <c r="O1206" s="220"/>
      <c r="P1206" s="220"/>
      <c r="Q1206" s="220"/>
      <c r="R1206" s="220"/>
      <c r="S1206" s="220"/>
      <c r="T1206" s="225"/>
      <c r="U1206" s="226"/>
      <c r="V1206" s="253"/>
    </row>
    <row r="1207" customFormat="false" ht="12.75" hidden="false" customHeight="false" outlineLevel="0" collapsed="false">
      <c r="B1207" s="228"/>
      <c r="C1207" s="229"/>
      <c r="D1207" s="219"/>
      <c r="E1207" s="220"/>
      <c r="F1207" s="229"/>
      <c r="G1207" s="220"/>
      <c r="H1207" s="220"/>
      <c r="I1207" s="220"/>
      <c r="J1207" s="220"/>
      <c r="K1207" s="220"/>
      <c r="L1207" s="220"/>
      <c r="M1207" s="220"/>
      <c r="N1207" s="220"/>
      <c r="O1207" s="220"/>
      <c r="P1207" s="220"/>
      <c r="Q1207" s="220"/>
      <c r="R1207" s="220"/>
      <c r="S1207" s="220"/>
      <c r="T1207" s="225"/>
      <c r="U1207" s="226"/>
      <c r="V1207" s="253"/>
    </row>
    <row r="1208" customFormat="false" ht="12.75" hidden="false" customHeight="false" outlineLevel="0" collapsed="false">
      <c r="B1208" s="228"/>
      <c r="C1208" s="229"/>
      <c r="D1208" s="219"/>
      <c r="E1208" s="220"/>
      <c r="F1208" s="229"/>
      <c r="G1208" s="220"/>
      <c r="H1208" s="220"/>
      <c r="I1208" s="220"/>
      <c r="J1208" s="220"/>
      <c r="K1208" s="220"/>
      <c r="L1208" s="220"/>
      <c r="M1208" s="220"/>
      <c r="N1208" s="220"/>
      <c r="O1208" s="220"/>
      <c r="P1208" s="220"/>
      <c r="Q1208" s="220"/>
      <c r="R1208" s="220"/>
      <c r="S1208" s="220"/>
      <c r="T1208" s="225"/>
      <c r="U1208" s="226"/>
      <c r="V1208" s="253"/>
    </row>
    <row r="1209" customFormat="false" ht="12.75" hidden="false" customHeight="false" outlineLevel="0" collapsed="false">
      <c r="B1209" s="228"/>
      <c r="C1209" s="229"/>
      <c r="D1209" s="219"/>
      <c r="E1209" s="220"/>
      <c r="F1209" s="229"/>
      <c r="G1209" s="220"/>
      <c r="H1209" s="220"/>
      <c r="I1209" s="220"/>
      <c r="J1209" s="220"/>
      <c r="K1209" s="220"/>
      <c r="L1209" s="220"/>
      <c r="M1209" s="220"/>
      <c r="N1209" s="220"/>
      <c r="O1209" s="220"/>
      <c r="P1209" s="220"/>
      <c r="Q1209" s="220"/>
      <c r="R1209" s="220"/>
      <c r="S1209" s="220"/>
      <c r="T1209" s="225"/>
      <c r="U1209" s="226"/>
      <c r="V1209" s="253"/>
    </row>
    <row r="1210" customFormat="false" ht="12.75" hidden="false" customHeight="false" outlineLevel="0" collapsed="false">
      <c r="B1210" s="228"/>
      <c r="C1210" s="229"/>
      <c r="D1210" s="219"/>
      <c r="E1210" s="220"/>
      <c r="F1210" s="229"/>
      <c r="G1210" s="220"/>
      <c r="H1210" s="220"/>
      <c r="I1210" s="220"/>
      <c r="J1210" s="220"/>
      <c r="K1210" s="220"/>
      <c r="L1210" s="220"/>
      <c r="M1210" s="220"/>
      <c r="N1210" s="220"/>
      <c r="O1210" s="220"/>
      <c r="P1210" s="220"/>
      <c r="Q1210" s="220"/>
      <c r="R1210" s="220"/>
      <c r="S1210" s="220"/>
      <c r="T1210" s="225"/>
      <c r="U1210" s="226"/>
      <c r="V1210" s="253"/>
    </row>
    <row r="1211" customFormat="false" ht="12.75" hidden="false" customHeight="false" outlineLevel="0" collapsed="false">
      <c r="B1211" s="228"/>
      <c r="C1211" s="229"/>
      <c r="D1211" s="219"/>
      <c r="E1211" s="220"/>
      <c r="F1211" s="229"/>
      <c r="G1211" s="220"/>
      <c r="H1211" s="220"/>
      <c r="I1211" s="220"/>
      <c r="J1211" s="220"/>
      <c r="K1211" s="220"/>
      <c r="L1211" s="220"/>
      <c r="M1211" s="220"/>
      <c r="N1211" s="220"/>
      <c r="O1211" s="220"/>
      <c r="P1211" s="220"/>
      <c r="Q1211" s="220"/>
      <c r="R1211" s="220"/>
      <c r="S1211" s="220"/>
      <c r="T1211" s="225"/>
      <c r="U1211" s="226"/>
      <c r="V1211" s="253"/>
    </row>
    <row r="1212" customFormat="false" ht="12.75" hidden="false" customHeight="false" outlineLevel="0" collapsed="false">
      <c r="B1212" s="228"/>
      <c r="C1212" s="229"/>
      <c r="D1212" s="219"/>
      <c r="E1212" s="220"/>
      <c r="F1212" s="229"/>
      <c r="G1212" s="220"/>
      <c r="H1212" s="220"/>
      <c r="I1212" s="220"/>
      <c r="J1212" s="220"/>
      <c r="K1212" s="220"/>
      <c r="L1212" s="220"/>
      <c r="M1212" s="220"/>
      <c r="N1212" s="220"/>
      <c r="O1212" s="220"/>
      <c r="P1212" s="220"/>
      <c r="Q1212" s="220"/>
      <c r="R1212" s="220"/>
      <c r="S1212" s="220"/>
      <c r="T1212" s="225"/>
      <c r="U1212" s="226"/>
      <c r="V1212" s="253"/>
    </row>
    <row r="1213" customFormat="false" ht="12.75" hidden="false" customHeight="false" outlineLevel="0" collapsed="false">
      <c r="B1213" s="228"/>
      <c r="C1213" s="229"/>
      <c r="D1213" s="219"/>
      <c r="E1213" s="220"/>
      <c r="F1213" s="229"/>
      <c r="G1213" s="220"/>
      <c r="H1213" s="220"/>
      <c r="I1213" s="220"/>
      <c r="J1213" s="220"/>
      <c r="K1213" s="220"/>
      <c r="L1213" s="220"/>
      <c r="M1213" s="220"/>
      <c r="N1213" s="220"/>
      <c r="O1213" s="220"/>
      <c r="P1213" s="220"/>
      <c r="Q1213" s="220"/>
      <c r="R1213" s="220"/>
      <c r="S1213" s="220"/>
      <c r="T1213" s="225"/>
      <c r="U1213" s="226"/>
      <c r="V1213" s="253"/>
    </row>
    <row r="1214" customFormat="false" ht="12.75" hidden="false" customHeight="false" outlineLevel="0" collapsed="false">
      <c r="B1214" s="228"/>
      <c r="C1214" s="229"/>
      <c r="D1214" s="219"/>
      <c r="E1214" s="220"/>
      <c r="F1214" s="229"/>
      <c r="G1214" s="220"/>
      <c r="H1214" s="220"/>
      <c r="I1214" s="220"/>
      <c r="J1214" s="220"/>
      <c r="K1214" s="220"/>
      <c r="L1214" s="220"/>
      <c r="M1214" s="220"/>
      <c r="N1214" s="220"/>
      <c r="O1214" s="220"/>
      <c r="P1214" s="220"/>
      <c r="Q1214" s="220"/>
      <c r="R1214" s="220"/>
      <c r="S1214" s="220"/>
      <c r="T1214" s="225"/>
      <c r="U1214" s="226"/>
      <c r="V1214" s="253"/>
    </row>
    <row r="1215" customFormat="false" ht="12.75" hidden="false" customHeight="false" outlineLevel="0" collapsed="false">
      <c r="B1215" s="228"/>
      <c r="C1215" s="229"/>
      <c r="D1215" s="219"/>
      <c r="E1215" s="220"/>
      <c r="F1215" s="229"/>
      <c r="G1215" s="220"/>
      <c r="H1215" s="220"/>
      <c r="I1215" s="220"/>
      <c r="J1215" s="220"/>
      <c r="K1215" s="220"/>
      <c r="L1215" s="220"/>
      <c r="M1215" s="220"/>
      <c r="N1215" s="220"/>
      <c r="O1215" s="220"/>
      <c r="P1215" s="220"/>
      <c r="Q1215" s="220"/>
      <c r="R1215" s="220"/>
      <c r="S1215" s="220"/>
      <c r="T1215" s="225"/>
      <c r="U1215" s="226"/>
      <c r="V1215" s="253"/>
    </row>
    <row r="1216" customFormat="false" ht="12.75" hidden="false" customHeight="false" outlineLevel="0" collapsed="false">
      <c r="B1216" s="228"/>
      <c r="C1216" s="229"/>
      <c r="D1216" s="219"/>
      <c r="E1216" s="220"/>
      <c r="F1216" s="229"/>
      <c r="G1216" s="220"/>
      <c r="H1216" s="220"/>
      <c r="I1216" s="220"/>
      <c r="J1216" s="220"/>
      <c r="K1216" s="220"/>
      <c r="L1216" s="220"/>
      <c r="M1216" s="220"/>
      <c r="N1216" s="220"/>
      <c r="O1216" s="220"/>
      <c r="P1216" s="220"/>
      <c r="Q1216" s="220"/>
      <c r="R1216" s="220"/>
      <c r="S1216" s="220"/>
      <c r="T1216" s="225"/>
      <c r="U1216" s="226"/>
      <c r="V1216" s="253"/>
    </row>
    <row r="1217" customFormat="false" ht="12.75" hidden="false" customHeight="false" outlineLevel="0" collapsed="false">
      <c r="B1217" s="228"/>
      <c r="C1217" s="229"/>
      <c r="D1217" s="219"/>
      <c r="E1217" s="220"/>
      <c r="F1217" s="229"/>
      <c r="G1217" s="220"/>
      <c r="H1217" s="220"/>
      <c r="I1217" s="220"/>
      <c r="J1217" s="220"/>
      <c r="K1217" s="220"/>
      <c r="L1217" s="220"/>
      <c r="M1217" s="220"/>
      <c r="N1217" s="220"/>
      <c r="O1217" s="220"/>
      <c r="P1217" s="220"/>
      <c r="Q1217" s="220"/>
      <c r="R1217" s="220"/>
      <c r="S1217" s="220"/>
      <c r="T1217" s="225"/>
      <c r="U1217" s="226"/>
      <c r="V1217" s="253"/>
    </row>
    <row r="1218" customFormat="false" ht="12.75" hidden="false" customHeight="false" outlineLevel="0" collapsed="false">
      <c r="B1218" s="228"/>
      <c r="C1218" s="229"/>
      <c r="D1218" s="219"/>
      <c r="E1218" s="220"/>
      <c r="F1218" s="229"/>
      <c r="G1218" s="220"/>
      <c r="H1218" s="220"/>
      <c r="I1218" s="220"/>
      <c r="J1218" s="220"/>
      <c r="K1218" s="220"/>
      <c r="L1218" s="220"/>
      <c r="M1218" s="220"/>
      <c r="N1218" s="220"/>
      <c r="O1218" s="220"/>
      <c r="P1218" s="220"/>
      <c r="Q1218" s="220"/>
      <c r="R1218" s="220"/>
      <c r="S1218" s="220"/>
      <c r="T1218" s="225"/>
      <c r="U1218" s="226"/>
      <c r="V1218" s="253"/>
    </row>
    <row r="1219" customFormat="false" ht="12.75" hidden="false" customHeight="false" outlineLevel="0" collapsed="false">
      <c r="B1219" s="228"/>
      <c r="C1219" s="229"/>
      <c r="D1219" s="219"/>
      <c r="E1219" s="220"/>
      <c r="F1219" s="229"/>
      <c r="G1219" s="220"/>
      <c r="H1219" s="220"/>
      <c r="I1219" s="220"/>
      <c r="J1219" s="220"/>
      <c r="K1219" s="220"/>
      <c r="L1219" s="220"/>
      <c r="M1219" s="220"/>
      <c r="N1219" s="220"/>
      <c r="O1219" s="220"/>
      <c r="P1219" s="220"/>
      <c r="Q1219" s="220"/>
      <c r="R1219" s="220"/>
      <c r="S1219" s="220"/>
      <c r="T1219" s="225"/>
      <c r="U1219" s="226"/>
      <c r="V1219" s="253"/>
    </row>
    <row r="1220" customFormat="false" ht="12.75" hidden="false" customHeight="false" outlineLevel="0" collapsed="false">
      <c r="B1220" s="228"/>
      <c r="C1220" s="229"/>
      <c r="D1220" s="219"/>
      <c r="E1220" s="220"/>
      <c r="F1220" s="229"/>
      <c r="G1220" s="220"/>
      <c r="H1220" s="220"/>
      <c r="I1220" s="220"/>
      <c r="J1220" s="220"/>
      <c r="K1220" s="220"/>
      <c r="L1220" s="220"/>
      <c r="M1220" s="220"/>
      <c r="N1220" s="220"/>
      <c r="O1220" s="220"/>
      <c r="P1220" s="220"/>
      <c r="Q1220" s="220"/>
      <c r="R1220" s="220"/>
      <c r="S1220" s="220"/>
      <c r="T1220" s="225"/>
      <c r="U1220" s="226"/>
      <c r="V1220" s="253"/>
    </row>
    <row r="1221" customFormat="false" ht="12.75" hidden="false" customHeight="false" outlineLevel="0" collapsed="false">
      <c r="B1221" s="228"/>
      <c r="C1221" s="229"/>
      <c r="D1221" s="219"/>
      <c r="E1221" s="220"/>
      <c r="F1221" s="229"/>
      <c r="G1221" s="220"/>
      <c r="H1221" s="220"/>
      <c r="I1221" s="220"/>
      <c r="J1221" s="220"/>
      <c r="K1221" s="220"/>
      <c r="L1221" s="220"/>
      <c r="M1221" s="220"/>
      <c r="N1221" s="220"/>
      <c r="O1221" s="220"/>
      <c r="P1221" s="220"/>
      <c r="Q1221" s="220"/>
      <c r="R1221" s="220"/>
      <c r="S1221" s="220"/>
      <c r="T1221" s="225"/>
      <c r="U1221" s="226"/>
      <c r="V1221" s="253"/>
    </row>
    <row r="1222" customFormat="false" ht="12.75" hidden="false" customHeight="false" outlineLevel="0" collapsed="false">
      <c r="B1222" s="228"/>
      <c r="C1222" s="229"/>
      <c r="D1222" s="219"/>
      <c r="E1222" s="220"/>
      <c r="F1222" s="229"/>
      <c r="G1222" s="220"/>
      <c r="H1222" s="220"/>
      <c r="I1222" s="220"/>
      <c r="J1222" s="220"/>
      <c r="K1222" s="220"/>
      <c r="L1222" s="220"/>
      <c r="M1222" s="220"/>
      <c r="N1222" s="220"/>
      <c r="O1222" s="220"/>
      <c r="P1222" s="220"/>
      <c r="Q1222" s="220"/>
      <c r="R1222" s="220"/>
      <c r="S1222" s="220"/>
      <c r="T1222" s="225"/>
      <c r="U1222" s="226"/>
      <c r="V1222" s="253"/>
    </row>
    <row r="1223" customFormat="false" ht="12.75" hidden="false" customHeight="false" outlineLevel="0" collapsed="false">
      <c r="B1223" s="228"/>
      <c r="C1223" s="229"/>
      <c r="D1223" s="219"/>
      <c r="E1223" s="220"/>
      <c r="F1223" s="229"/>
      <c r="G1223" s="220"/>
      <c r="H1223" s="220"/>
      <c r="I1223" s="220"/>
      <c r="J1223" s="220"/>
      <c r="K1223" s="220"/>
      <c r="L1223" s="220"/>
      <c r="M1223" s="220"/>
      <c r="N1223" s="220"/>
      <c r="O1223" s="220"/>
      <c r="P1223" s="220"/>
      <c r="Q1223" s="220"/>
      <c r="R1223" s="220"/>
      <c r="S1223" s="220"/>
      <c r="T1223" s="225"/>
      <c r="U1223" s="226"/>
      <c r="V1223" s="253"/>
    </row>
    <row r="1224" customFormat="false" ht="12.75" hidden="false" customHeight="false" outlineLevel="0" collapsed="false">
      <c r="B1224" s="228"/>
      <c r="C1224" s="229"/>
      <c r="D1224" s="219"/>
      <c r="E1224" s="220"/>
      <c r="F1224" s="229"/>
      <c r="G1224" s="220"/>
      <c r="H1224" s="220"/>
      <c r="I1224" s="220"/>
      <c r="J1224" s="220"/>
      <c r="K1224" s="220"/>
      <c r="L1224" s="220"/>
      <c r="M1224" s="220"/>
      <c r="N1224" s="220"/>
      <c r="O1224" s="220"/>
      <c r="P1224" s="220"/>
      <c r="Q1224" s="220"/>
      <c r="R1224" s="220"/>
      <c r="S1224" s="220"/>
      <c r="T1224" s="225"/>
      <c r="U1224" s="226"/>
      <c r="V1224" s="253"/>
    </row>
    <row r="1225" customFormat="false" ht="12.75" hidden="false" customHeight="false" outlineLevel="0" collapsed="false">
      <c r="B1225" s="228"/>
      <c r="C1225" s="229"/>
      <c r="D1225" s="219"/>
      <c r="E1225" s="220"/>
      <c r="F1225" s="229"/>
      <c r="G1225" s="220"/>
      <c r="H1225" s="220"/>
      <c r="I1225" s="220"/>
      <c r="J1225" s="220"/>
      <c r="K1225" s="220"/>
      <c r="L1225" s="220"/>
      <c r="M1225" s="220"/>
      <c r="N1225" s="220"/>
      <c r="O1225" s="220"/>
      <c r="P1225" s="220"/>
      <c r="Q1225" s="220"/>
      <c r="R1225" s="220"/>
      <c r="S1225" s="220"/>
      <c r="T1225" s="225"/>
      <c r="U1225" s="226"/>
      <c r="V1225" s="253"/>
    </row>
    <row r="1226" customFormat="false" ht="12.75" hidden="false" customHeight="false" outlineLevel="0" collapsed="false">
      <c r="B1226" s="228"/>
      <c r="C1226" s="229"/>
      <c r="D1226" s="219"/>
      <c r="E1226" s="220"/>
      <c r="F1226" s="229"/>
      <c r="G1226" s="220"/>
      <c r="H1226" s="220"/>
      <c r="I1226" s="220"/>
      <c r="J1226" s="220"/>
      <c r="K1226" s="220"/>
      <c r="L1226" s="220"/>
      <c r="M1226" s="220"/>
      <c r="N1226" s="220"/>
      <c r="O1226" s="220"/>
      <c r="P1226" s="220"/>
      <c r="Q1226" s="220"/>
      <c r="R1226" s="220"/>
      <c r="S1226" s="220"/>
      <c r="T1226" s="225"/>
      <c r="U1226" s="226"/>
      <c r="V1226" s="253"/>
    </row>
    <row r="1227" customFormat="false" ht="12.75" hidden="false" customHeight="false" outlineLevel="0" collapsed="false">
      <c r="B1227" s="228"/>
      <c r="C1227" s="229"/>
      <c r="D1227" s="219"/>
      <c r="E1227" s="220"/>
      <c r="F1227" s="229"/>
      <c r="G1227" s="220"/>
      <c r="H1227" s="220"/>
      <c r="I1227" s="220"/>
      <c r="J1227" s="220"/>
      <c r="K1227" s="220"/>
      <c r="L1227" s="220"/>
      <c r="M1227" s="220"/>
      <c r="N1227" s="220"/>
      <c r="O1227" s="220"/>
      <c r="P1227" s="220"/>
      <c r="Q1227" s="220"/>
      <c r="R1227" s="220"/>
      <c r="S1227" s="220"/>
      <c r="T1227" s="225"/>
      <c r="U1227" s="226"/>
      <c r="V1227" s="253"/>
    </row>
    <row r="1228" customFormat="false" ht="12.75" hidden="false" customHeight="false" outlineLevel="0" collapsed="false">
      <c r="B1228" s="228"/>
      <c r="C1228" s="229"/>
      <c r="D1228" s="219"/>
      <c r="E1228" s="220"/>
      <c r="F1228" s="229"/>
      <c r="G1228" s="220"/>
      <c r="H1228" s="220"/>
      <c r="I1228" s="220"/>
      <c r="J1228" s="220"/>
      <c r="K1228" s="220"/>
      <c r="L1228" s="220"/>
      <c r="M1228" s="220"/>
      <c r="N1228" s="220"/>
      <c r="O1228" s="220"/>
      <c r="P1228" s="220"/>
      <c r="Q1228" s="220"/>
      <c r="R1228" s="220"/>
      <c r="S1228" s="220"/>
      <c r="T1228" s="225"/>
      <c r="U1228" s="226"/>
      <c r="V1228" s="253"/>
    </row>
    <row r="1229" customFormat="false" ht="12.75" hidden="false" customHeight="false" outlineLevel="0" collapsed="false">
      <c r="B1229" s="228"/>
      <c r="C1229" s="229"/>
      <c r="D1229" s="219"/>
      <c r="E1229" s="220"/>
      <c r="F1229" s="229"/>
      <c r="G1229" s="220"/>
      <c r="H1229" s="220"/>
      <c r="I1229" s="220"/>
      <c r="J1229" s="220"/>
      <c r="K1229" s="220"/>
      <c r="L1229" s="220"/>
      <c r="M1229" s="220"/>
      <c r="N1229" s="220"/>
      <c r="O1229" s="220"/>
      <c r="P1229" s="220"/>
      <c r="Q1229" s="220"/>
      <c r="R1229" s="220"/>
      <c r="S1229" s="220"/>
      <c r="T1229" s="225"/>
      <c r="U1229" s="226"/>
      <c r="V1229" s="253"/>
    </row>
    <row r="1230" customFormat="false" ht="12.75" hidden="false" customHeight="false" outlineLevel="0" collapsed="false">
      <c r="B1230" s="228"/>
      <c r="C1230" s="229"/>
      <c r="D1230" s="219"/>
      <c r="E1230" s="220"/>
      <c r="F1230" s="229"/>
      <c r="G1230" s="220"/>
      <c r="H1230" s="220"/>
      <c r="I1230" s="220"/>
      <c r="J1230" s="220"/>
      <c r="K1230" s="220"/>
      <c r="L1230" s="220"/>
      <c r="M1230" s="220"/>
      <c r="N1230" s="220"/>
      <c r="O1230" s="220"/>
      <c r="P1230" s="220"/>
      <c r="Q1230" s="220"/>
      <c r="R1230" s="220"/>
      <c r="S1230" s="220"/>
      <c r="T1230" s="225"/>
      <c r="U1230" s="226"/>
      <c r="V1230" s="253"/>
    </row>
    <row r="1231" customFormat="false" ht="12.75" hidden="false" customHeight="false" outlineLevel="0" collapsed="false">
      <c r="B1231" s="228"/>
      <c r="C1231" s="229"/>
      <c r="D1231" s="219"/>
      <c r="E1231" s="220"/>
      <c r="F1231" s="229"/>
      <c r="G1231" s="220"/>
      <c r="H1231" s="220"/>
      <c r="I1231" s="220"/>
      <c r="J1231" s="220"/>
      <c r="K1231" s="220"/>
      <c r="L1231" s="220"/>
      <c r="M1231" s="220"/>
      <c r="N1231" s="220"/>
      <c r="O1231" s="220"/>
      <c r="P1231" s="220"/>
      <c r="Q1231" s="220"/>
      <c r="R1231" s="220"/>
      <c r="S1231" s="220"/>
      <c r="T1231" s="225"/>
      <c r="U1231" s="226"/>
      <c r="V1231" s="253"/>
    </row>
    <row r="1232" customFormat="false" ht="12.75" hidden="false" customHeight="false" outlineLevel="0" collapsed="false">
      <c r="B1232" s="228"/>
      <c r="C1232" s="229"/>
      <c r="D1232" s="219"/>
      <c r="E1232" s="220"/>
      <c r="F1232" s="229"/>
      <c r="G1232" s="220"/>
      <c r="H1232" s="220"/>
      <c r="I1232" s="220"/>
      <c r="J1232" s="220"/>
      <c r="K1232" s="220"/>
      <c r="L1232" s="220"/>
      <c r="M1232" s="220"/>
      <c r="N1232" s="220"/>
      <c r="O1232" s="220"/>
      <c r="P1232" s="220"/>
      <c r="Q1232" s="220"/>
      <c r="R1232" s="220"/>
      <c r="S1232" s="220"/>
      <c r="T1232" s="225"/>
      <c r="U1232" s="226"/>
      <c r="V1232" s="253"/>
    </row>
    <row r="1233" customFormat="false" ht="12.75" hidden="false" customHeight="false" outlineLevel="0" collapsed="false">
      <c r="B1233" s="228"/>
      <c r="C1233" s="229"/>
      <c r="D1233" s="219"/>
      <c r="E1233" s="220"/>
      <c r="F1233" s="229"/>
      <c r="G1233" s="220"/>
      <c r="H1233" s="220"/>
      <c r="I1233" s="220"/>
      <c r="J1233" s="220"/>
      <c r="K1233" s="220"/>
      <c r="L1233" s="220"/>
      <c r="M1233" s="220"/>
      <c r="N1233" s="220"/>
      <c r="O1233" s="220"/>
      <c r="P1233" s="220"/>
      <c r="Q1233" s="220"/>
      <c r="R1233" s="220"/>
      <c r="S1233" s="220"/>
      <c r="T1233" s="225"/>
      <c r="U1233" s="226"/>
      <c r="V1233" s="253"/>
    </row>
    <row r="1234" customFormat="false" ht="12.75" hidden="false" customHeight="false" outlineLevel="0" collapsed="false">
      <c r="B1234" s="228"/>
      <c r="C1234" s="229"/>
      <c r="D1234" s="219"/>
      <c r="E1234" s="220"/>
      <c r="F1234" s="229"/>
      <c r="G1234" s="220"/>
      <c r="H1234" s="220"/>
      <c r="I1234" s="220"/>
      <c r="J1234" s="220"/>
      <c r="K1234" s="220"/>
      <c r="L1234" s="220"/>
      <c r="M1234" s="220"/>
      <c r="N1234" s="220"/>
      <c r="O1234" s="220"/>
      <c r="P1234" s="220"/>
      <c r="Q1234" s="220"/>
      <c r="R1234" s="220"/>
      <c r="S1234" s="220"/>
      <c r="T1234" s="225"/>
      <c r="U1234" s="226"/>
      <c r="V1234" s="253"/>
    </row>
    <row r="1235" customFormat="false" ht="12.75" hidden="false" customHeight="false" outlineLevel="0" collapsed="false">
      <c r="B1235" s="228"/>
      <c r="C1235" s="229"/>
      <c r="D1235" s="219"/>
      <c r="E1235" s="220"/>
      <c r="F1235" s="229"/>
      <c r="G1235" s="220"/>
      <c r="H1235" s="220"/>
      <c r="I1235" s="220"/>
      <c r="J1235" s="220"/>
      <c r="K1235" s="220"/>
      <c r="L1235" s="220"/>
      <c r="M1235" s="220"/>
      <c r="N1235" s="220"/>
      <c r="O1235" s="220"/>
      <c r="P1235" s="220"/>
      <c r="Q1235" s="220"/>
      <c r="R1235" s="220"/>
      <c r="S1235" s="220"/>
      <c r="T1235" s="225"/>
      <c r="U1235" s="226"/>
      <c r="V1235" s="253"/>
    </row>
    <row r="1236" customFormat="false" ht="12.75" hidden="false" customHeight="false" outlineLevel="0" collapsed="false">
      <c r="B1236" s="228"/>
      <c r="C1236" s="229"/>
      <c r="D1236" s="219"/>
      <c r="E1236" s="220"/>
      <c r="F1236" s="229"/>
      <c r="G1236" s="220"/>
      <c r="H1236" s="220"/>
      <c r="I1236" s="220"/>
      <c r="J1236" s="220"/>
      <c r="K1236" s="220"/>
      <c r="L1236" s="220"/>
      <c r="M1236" s="220"/>
      <c r="N1236" s="220"/>
      <c r="O1236" s="220"/>
      <c r="P1236" s="220"/>
      <c r="Q1236" s="220"/>
      <c r="R1236" s="220"/>
      <c r="S1236" s="220"/>
      <c r="T1236" s="225"/>
      <c r="U1236" s="226"/>
      <c r="V1236" s="253"/>
    </row>
    <row r="1237" customFormat="false" ht="12.75" hidden="false" customHeight="false" outlineLevel="0" collapsed="false">
      <c r="B1237" s="228"/>
      <c r="C1237" s="229"/>
      <c r="D1237" s="219"/>
      <c r="E1237" s="220"/>
      <c r="F1237" s="229"/>
      <c r="G1237" s="220"/>
      <c r="H1237" s="220"/>
      <c r="I1237" s="220"/>
      <c r="J1237" s="220"/>
      <c r="K1237" s="220"/>
      <c r="L1237" s="220"/>
      <c r="M1237" s="220"/>
      <c r="N1237" s="220"/>
      <c r="O1237" s="220"/>
      <c r="P1237" s="220"/>
      <c r="Q1237" s="220"/>
      <c r="R1237" s="220"/>
      <c r="S1237" s="220"/>
      <c r="T1237" s="225"/>
      <c r="U1237" s="226"/>
      <c r="V1237" s="253"/>
    </row>
    <row r="1238" customFormat="false" ht="12.75" hidden="false" customHeight="false" outlineLevel="0" collapsed="false">
      <c r="B1238" s="228"/>
      <c r="C1238" s="229"/>
      <c r="D1238" s="219"/>
      <c r="E1238" s="220"/>
      <c r="F1238" s="229"/>
      <c r="G1238" s="220"/>
      <c r="H1238" s="220"/>
      <c r="I1238" s="220"/>
      <c r="J1238" s="220"/>
      <c r="K1238" s="220"/>
      <c r="L1238" s="220"/>
      <c r="M1238" s="220"/>
      <c r="N1238" s="220"/>
      <c r="O1238" s="220"/>
      <c r="P1238" s="220"/>
      <c r="Q1238" s="220"/>
      <c r="R1238" s="220"/>
      <c r="S1238" s="220"/>
      <c r="T1238" s="225"/>
      <c r="U1238" s="226"/>
      <c r="V1238" s="253"/>
    </row>
    <row r="1239" customFormat="false" ht="12.75" hidden="false" customHeight="false" outlineLevel="0" collapsed="false">
      <c r="B1239" s="228"/>
      <c r="C1239" s="229"/>
      <c r="D1239" s="219"/>
      <c r="E1239" s="220"/>
      <c r="F1239" s="229"/>
      <c r="G1239" s="220"/>
      <c r="H1239" s="220"/>
      <c r="I1239" s="220"/>
      <c r="J1239" s="220"/>
      <c r="K1239" s="220"/>
      <c r="L1239" s="220"/>
      <c r="M1239" s="220"/>
      <c r="N1239" s="220"/>
      <c r="O1239" s="220"/>
      <c r="P1239" s="220"/>
      <c r="Q1239" s="220"/>
      <c r="R1239" s="220"/>
      <c r="S1239" s="220"/>
      <c r="T1239" s="225"/>
      <c r="U1239" s="226"/>
      <c r="V1239" s="253"/>
    </row>
    <row r="1240" customFormat="false" ht="12.75" hidden="false" customHeight="false" outlineLevel="0" collapsed="false">
      <c r="B1240" s="228"/>
      <c r="C1240" s="229"/>
      <c r="D1240" s="219"/>
      <c r="E1240" s="220"/>
      <c r="F1240" s="229"/>
      <c r="G1240" s="220"/>
      <c r="H1240" s="220"/>
      <c r="I1240" s="220"/>
      <c r="J1240" s="220"/>
      <c r="K1240" s="220"/>
      <c r="L1240" s="220"/>
      <c r="M1240" s="220"/>
      <c r="N1240" s="220"/>
      <c r="O1240" s="220"/>
      <c r="P1240" s="220"/>
      <c r="Q1240" s="220"/>
      <c r="R1240" s="220"/>
      <c r="S1240" s="220"/>
      <c r="T1240" s="225"/>
      <c r="U1240" s="226"/>
      <c r="V1240" s="253"/>
    </row>
    <row r="1241" customFormat="false" ht="12.75" hidden="false" customHeight="false" outlineLevel="0" collapsed="false">
      <c r="B1241" s="228"/>
      <c r="C1241" s="229"/>
      <c r="D1241" s="219"/>
      <c r="E1241" s="220"/>
      <c r="F1241" s="229"/>
      <c r="G1241" s="220"/>
      <c r="H1241" s="220"/>
      <c r="I1241" s="220"/>
      <c r="J1241" s="220"/>
      <c r="K1241" s="220"/>
      <c r="L1241" s="220"/>
      <c r="M1241" s="220"/>
      <c r="N1241" s="220"/>
      <c r="O1241" s="220"/>
      <c r="P1241" s="220"/>
      <c r="Q1241" s="220"/>
      <c r="R1241" s="220"/>
      <c r="S1241" s="220"/>
      <c r="T1241" s="225"/>
      <c r="U1241" s="226"/>
      <c r="V1241" s="253"/>
    </row>
    <row r="1242" customFormat="false" ht="12.75" hidden="false" customHeight="false" outlineLevel="0" collapsed="false">
      <c r="B1242" s="228"/>
      <c r="C1242" s="229"/>
      <c r="D1242" s="219"/>
      <c r="E1242" s="220"/>
      <c r="F1242" s="229"/>
      <c r="G1242" s="220"/>
      <c r="H1242" s="220"/>
      <c r="I1242" s="220"/>
      <c r="J1242" s="220"/>
      <c r="K1242" s="220"/>
      <c r="L1242" s="220"/>
      <c r="M1242" s="220"/>
      <c r="N1242" s="220"/>
      <c r="O1242" s="220"/>
      <c r="P1242" s="220"/>
      <c r="Q1242" s="220"/>
      <c r="R1242" s="220"/>
      <c r="S1242" s="220"/>
      <c r="T1242" s="225"/>
      <c r="U1242" s="226"/>
      <c r="V1242" s="253"/>
    </row>
    <row r="1243" customFormat="false" ht="12.75" hidden="false" customHeight="false" outlineLevel="0" collapsed="false">
      <c r="B1243" s="228"/>
      <c r="C1243" s="229"/>
      <c r="D1243" s="219"/>
      <c r="E1243" s="220"/>
      <c r="F1243" s="229"/>
      <c r="G1243" s="220"/>
      <c r="H1243" s="220"/>
      <c r="I1243" s="220"/>
      <c r="J1243" s="220"/>
      <c r="K1243" s="220"/>
      <c r="L1243" s="220"/>
      <c r="M1243" s="220"/>
      <c r="N1243" s="220"/>
      <c r="O1243" s="220"/>
      <c r="P1243" s="220"/>
      <c r="Q1243" s="220"/>
      <c r="R1243" s="220"/>
      <c r="S1243" s="220"/>
      <c r="T1243" s="225"/>
      <c r="U1243" s="226"/>
      <c r="V1243" s="253"/>
    </row>
    <row r="1244" customFormat="false" ht="12.75" hidden="false" customHeight="false" outlineLevel="0" collapsed="false">
      <c r="B1244" s="228"/>
      <c r="C1244" s="229"/>
      <c r="D1244" s="219"/>
      <c r="E1244" s="220"/>
      <c r="F1244" s="229"/>
      <c r="G1244" s="220"/>
      <c r="H1244" s="220"/>
      <c r="I1244" s="220"/>
      <c r="J1244" s="220"/>
      <c r="K1244" s="220"/>
      <c r="L1244" s="220"/>
      <c r="M1244" s="220"/>
      <c r="N1244" s="220"/>
      <c r="O1244" s="220"/>
      <c r="P1244" s="220"/>
      <c r="Q1244" s="220"/>
      <c r="R1244" s="220"/>
      <c r="S1244" s="220"/>
      <c r="T1244" s="225"/>
      <c r="U1244" s="226"/>
      <c r="V1244" s="253"/>
    </row>
    <row r="1245" customFormat="false" ht="12.75" hidden="false" customHeight="false" outlineLevel="0" collapsed="false">
      <c r="B1245" s="228"/>
      <c r="C1245" s="229"/>
      <c r="D1245" s="219"/>
      <c r="E1245" s="220"/>
      <c r="F1245" s="229"/>
      <c r="G1245" s="220"/>
      <c r="H1245" s="220"/>
      <c r="I1245" s="220"/>
      <c r="J1245" s="220"/>
      <c r="K1245" s="220"/>
      <c r="L1245" s="220"/>
      <c r="M1245" s="220"/>
      <c r="N1245" s="220"/>
      <c r="O1245" s="220"/>
      <c r="P1245" s="220"/>
      <c r="Q1245" s="220"/>
      <c r="R1245" s="220"/>
      <c r="S1245" s="220"/>
      <c r="T1245" s="225"/>
      <c r="U1245" s="226"/>
      <c r="V1245" s="253"/>
    </row>
    <row r="1246" customFormat="false" ht="12.75" hidden="false" customHeight="false" outlineLevel="0" collapsed="false">
      <c r="B1246" s="228"/>
      <c r="C1246" s="229"/>
      <c r="D1246" s="219"/>
      <c r="E1246" s="220"/>
      <c r="F1246" s="229"/>
      <c r="G1246" s="220"/>
      <c r="H1246" s="220"/>
      <c r="I1246" s="220"/>
      <c r="J1246" s="220"/>
      <c r="K1246" s="220"/>
      <c r="L1246" s="220"/>
      <c r="M1246" s="220"/>
      <c r="N1246" s="220"/>
      <c r="O1246" s="220"/>
      <c r="P1246" s="220"/>
      <c r="Q1246" s="220"/>
      <c r="R1246" s="220"/>
      <c r="S1246" s="220"/>
      <c r="T1246" s="225"/>
      <c r="U1246" s="226"/>
      <c r="V1246" s="253"/>
    </row>
    <row r="1247" customFormat="false" ht="12.75" hidden="false" customHeight="false" outlineLevel="0" collapsed="false">
      <c r="B1247" s="228"/>
      <c r="C1247" s="229"/>
      <c r="D1247" s="219"/>
      <c r="E1247" s="220"/>
      <c r="F1247" s="229"/>
      <c r="G1247" s="220"/>
      <c r="H1247" s="220"/>
      <c r="I1247" s="220"/>
      <c r="J1247" s="220"/>
      <c r="K1247" s="220"/>
      <c r="L1247" s="220"/>
      <c r="M1247" s="220"/>
      <c r="N1247" s="220"/>
      <c r="O1247" s="220"/>
      <c r="P1247" s="220"/>
      <c r="Q1247" s="220"/>
      <c r="R1247" s="220"/>
      <c r="S1247" s="220"/>
      <c r="T1247" s="225"/>
      <c r="U1247" s="226"/>
      <c r="V1247" s="253"/>
    </row>
    <row r="1248" customFormat="false" ht="12.75" hidden="false" customHeight="false" outlineLevel="0" collapsed="false">
      <c r="B1248" s="228"/>
      <c r="C1248" s="229"/>
      <c r="D1248" s="219"/>
      <c r="E1248" s="220"/>
      <c r="F1248" s="229"/>
      <c r="G1248" s="220"/>
      <c r="H1248" s="220"/>
      <c r="I1248" s="220"/>
      <c r="J1248" s="220"/>
      <c r="K1248" s="220"/>
      <c r="L1248" s="220"/>
      <c r="M1248" s="220"/>
      <c r="N1248" s="220"/>
      <c r="O1248" s="220"/>
      <c r="P1248" s="220"/>
      <c r="Q1248" s="220"/>
      <c r="R1248" s="220"/>
      <c r="S1248" s="220"/>
      <c r="T1248" s="225"/>
      <c r="U1248" s="226"/>
      <c r="V1248" s="253"/>
    </row>
    <row r="1249" customFormat="false" ht="12.75" hidden="false" customHeight="false" outlineLevel="0" collapsed="false">
      <c r="B1249" s="228"/>
      <c r="C1249" s="229"/>
      <c r="D1249" s="219"/>
      <c r="E1249" s="220"/>
      <c r="F1249" s="229"/>
      <c r="G1249" s="220"/>
      <c r="H1249" s="220"/>
      <c r="I1249" s="220"/>
      <c r="J1249" s="220"/>
      <c r="K1249" s="220"/>
      <c r="L1249" s="220"/>
      <c r="M1249" s="220"/>
      <c r="N1249" s="220"/>
      <c r="O1249" s="220"/>
      <c r="P1249" s="220"/>
      <c r="Q1249" s="220"/>
      <c r="R1249" s="220"/>
      <c r="S1249" s="220"/>
      <c r="T1249" s="225"/>
      <c r="U1249" s="226"/>
      <c r="V1249" s="253"/>
    </row>
    <row r="1250" customFormat="false" ht="12.75" hidden="false" customHeight="false" outlineLevel="0" collapsed="false">
      <c r="B1250" s="228"/>
      <c r="C1250" s="229"/>
      <c r="D1250" s="219"/>
      <c r="E1250" s="220"/>
      <c r="F1250" s="229"/>
      <c r="G1250" s="220"/>
      <c r="H1250" s="220"/>
      <c r="I1250" s="220"/>
      <c r="J1250" s="220"/>
      <c r="K1250" s="220"/>
      <c r="L1250" s="220"/>
      <c r="M1250" s="220"/>
      <c r="N1250" s="220"/>
      <c r="O1250" s="220"/>
      <c r="P1250" s="220"/>
      <c r="Q1250" s="220"/>
      <c r="R1250" s="220"/>
      <c r="S1250" s="220"/>
      <c r="T1250" s="225"/>
      <c r="U1250" s="226"/>
      <c r="V1250" s="253"/>
    </row>
    <row r="1251" customFormat="false" ht="12.75" hidden="false" customHeight="false" outlineLevel="0" collapsed="false">
      <c r="B1251" s="228"/>
      <c r="C1251" s="229"/>
      <c r="D1251" s="219"/>
      <c r="E1251" s="220"/>
      <c r="F1251" s="229"/>
      <c r="G1251" s="220"/>
      <c r="H1251" s="220"/>
      <c r="I1251" s="220"/>
      <c r="J1251" s="220"/>
      <c r="K1251" s="220"/>
      <c r="L1251" s="220"/>
      <c r="M1251" s="220"/>
      <c r="N1251" s="220"/>
      <c r="O1251" s="220"/>
      <c r="P1251" s="220"/>
      <c r="Q1251" s="220"/>
      <c r="R1251" s="220"/>
      <c r="S1251" s="220"/>
      <c r="T1251" s="225"/>
      <c r="U1251" s="226"/>
      <c r="V1251" s="253"/>
    </row>
    <row r="1252" customFormat="false" ht="12.75" hidden="false" customHeight="false" outlineLevel="0" collapsed="false">
      <c r="B1252" s="228"/>
      <c r="C1252" s="229"/>
      <c r="D1252" s="219"/>
      <c r="E1252" s="220"/>
      <c r="F1252" s="229"/>
      <c r="G1252" s="220"/>
      <c r="H1252" s="220"/>
      <c r="I1252" s="220"/>
      <c r="J1252" s="220"/>
      <c r="K1252" s="220"/>
      <c r="L1252" s="220"/>
      <c r="M1252" s="220"/>
      <c r="N1252" s="220"/>
      <c r="O1252" s="220"/>
      <c r="P1252" s="220"/>
      <c r="Q1252" s="220"/>
      <c r="R1252" s="220"/>
      <c r="S1252" s="220"/>
      <c r="T1252" s="225"/>
      <c r="U1252" s="226"/>
      <c r="V1252" s="253"/>
    </row>
    <row r="1253" customFormat="false" ht="12.75" hidden="false" customHeight="false" outlineLevel="0" collapsed="false">
      <c r="B1253" s="228"/>
      <c r="C1253" s="229"/>
      <c r="D1253" s="219"/>
      <c r="E1253" s="220"/>
      <c r="F1253" s="229"/>
      <c r="G1253" s="220"/>
      <c r="H1253" s="220"/>
      <c r="I1253" s="220"/>
      <c r="J1253" s="220"/>
      <c r="K1253" s="220"/>
      <c r="L1253" s="220"/>
      <c r="M1253" s="220"/>
      <c r="N1253" s="220"/>
      <c r="O1253" s="220"/>
      <c r="P1253" s="220"/>
      <c r="Q1253" s="220"/>
      <c r="R1253" s="220"/>
      <c r="S1253" s="220"/>
      <c r="T1253" s="225"/>
      <c r="U1253" s="226"/>
      <c r="V1253" s="253"/>
    </row>
    <row r="1254" customFormat="false" ht="12.75" hidden="false" customHeight="false" outlineLevel="0" collapsed="false">
      <c r="B1254" s="228"/>
      <c r="C1254" s="229"/>
      <c r="D1254" s="219"/>
      <c r="E1254" s="220"/>
      <c r="F1254" s="229"/>
      <c r="G1254" s="220"/>
      <c r="H1254" s="220"/>
      <c r="I1254" s="220"/>
      <c r="J1254" s="220"/>
      <c r="K1254" s="220"/>
      <c r="L1254" s="220"/>
      <c r="M1254" s="220"/>
      <c r="N1254" s="220"/>
      <c r="O1254" s="220"/>
      <c r="P1254" s="220"/>
      <c r="Q1254" s="220"/>
      <c r="R1254" s="220"/>
      <c r="S1254" s="220"/>
      <c r="T1254" s="225"/>
      <c r="U1254" s="226"/>
      <c r="V1254" s="253"/>
    </row>
    <row r="1255" customFormat="false" ht="12.75" hidden="false" customHeight="false" outlineLevel="0" collapsed="false">
      <c r="B1255" s="228"/>
      <c r="C1255" s="229"/>
      <c r="D1255" s="219"/>
      <c r="E1255" s="220"/>
      <c r="F1255" s="229"/>
      <c r="G1255" s="220"/>
      <c r="H1255" s="220"/>
      <c r="I1255" s="220"/>
      <c r="J1255" s="220"/>
      <c r="K1255" s="220"/>
      <c r="L1255" s="220"/>
      <c r="M1255" s="220"/>
      <c r="N1255" s="220"/>
      <c r="O1255" s="220"/>
      <c r="P1255" s="220"/>
      <c r="Q1255" s="220"/>
      <c r="R1255" s="220"/>
      <c r="S1255" s="220"/>
      <c r="T1255" s="225"/>
      <c r="U1255" s="226"/>
      <c r="V1255" s="253"/>
    </row>
    <row r="1256" customFormat="false" ht="12.75" hidden="false" customHeight="false" outlineLevel="0" collapsed="false">
      <c r="B1256" s="228"/>
      <c r="C1256" s="229"/>
      <c r="D1256" s="219"/>
      <c r="E1256" s="220"/>
      <c r="F1256" s="229"/>
      <c r="G1256" s="220"/>
      <c r="H1256" s="220"/>
      <c r="I1256" s="220"/>
      <c r="J1256" s="220"/>
      <c r="K1256" s="220"/>
      <c r="L1256" s="220"/>
      <c r="M1256" s="220"/>
      <c r="N1256" s="220"/>
      <c r="O1256" s="220"/>
      <c r="P1256" s="220"/>
      <c r="Q1256" s="220"/>
      <c r="R1256" s="220"/>
      <c r="S1256" s="220"/>
      <c r="T1256" s="225"/>
      <c r="U1256" s="226"/>
      <c r="V1256" s="253"/>
    </row>
    <row r="1257" customFormat="false" ht="12.75" hidden="false" customHeight="false" outlineLevel="0" collapsed="false">
      <c r="B1257" s="228"/>
      <c r="C1257" s="229"/>
      <c r="D1257" s="219"/>
      <c r="E1257" s="220"/>
      <c r="F1257" s="229"/>
      <c r="G1257" s="220"/>
      <c r="H1257" s="220"/>
      <c r="I1257" s="220"/>
      <c r="J1257" s="220"/>
      <c r="K1257" s="220"/>
      <c r="L1257" s="220"/>
      <c r="M1257" s="220"/>
      <c r="N1257" s="220"/>
      <c r="O1257" s="220"/>
      <c r="P1257" s="220"/>
      <c r="Q1257" s="220"/>
      <c r="R1257" s="220"/>
      <c r="S1257" s="220"/>
      <c r="T1257" s="225"/>
      <c r="U1257" s="226"/>
      <c r="V1257" s="253"/>
    </row>
    <row r="1258" customFormat="false" ht="12.75" hidden="false" customHeight="false" outlineLevel="0" collapsed="false">
      <c r="B1258" s="228"/>
      <c r="C1258" s="229"/>
      <c r="D1258" s="219"/>
      <c r="E1258" s="220"/>
      <c r="F1258" s="229"/>
      <c r="G1258" s="220"/>
      <c r="H1258" s="220"/>
      <c r="I1258" s="220"/>
      <c r="J1258" s="220"/>
      <c r="K1258" s="220"/>
      <c r="L1258" s="220"/>
      <c r="M1258" s="220"/>
      <c r="N1258" s="220"/>
      <c r="O1258" s="220"/>
      <c r="P1258" s="220"/>
      <c r="Q1258" s="220"/>
      <c r="R1258" s="220"/>
      <c r="S1258" s="220"/>
      <c r="T1258" s="225"/>
      <c r="U1258" s="226"/>
      <c r="V1258" s="253"/>
    </row>
    <row r="1259" customFormat="false" ht="12.75" hidden="false" customHeight="false" outlineLevel="0" collapsed="false">
      <c r="B1259" s="228"/>
      <c r="C1259" s="229"/>
      <c r="D1259" s="219"/>
      <c r="E1259" s="220"/>
      <c r="F1259" s="229"/>
      <c r="G1259" s="220"/>
      <c r="H1259" s="220"/>
      <c r="I1259" s="220"/>
      <c r="J1259" s="220"/>
      <c r="K1259" s="220"/>
      <c r="L1259" s="220"/>
      <c r="M1259" s="220"/>
      <c r="N1259" s="220"/>
      <c r="O1259" s="220"/>
      <c r="P1259" s="220"/>
      <c r="Q1259" s="220"/>
      <c r="R1259" s="220"/>
      <c r="S1259" s="220"/>
      <c r="T1259" s="225"/>
      <c r="U1259" s="226"/>
      <c r="V1259" s="253"/>
    </row>
    <row r="1260" customFormat="false" ht="12.75" hidden="false" customHeight="false" outlineLevel="0" collapsed="false">
      <c r="B1260" s="228"/>
      <c r="C1260" s="229"/>
      <c r="D1260" s="219"/>
      <c r="E1260" s="220"/>
      <c r="F1260" s="229"/>
      <c r="G1260" s="220"/>
      <c r="H1260" s="220"/>
      <c r="I1260" s="220"/>
      <c r="J1260" s="220"/>
      <c r="K1260" s="220"/>
      <c r="L1260" s="220"/>
      <c r="M1260" s="220"/>
      <c r="N1260" s="220"/>
      <c r="O1260" s="220"/>
      <c r="P1260" s="220"/>
      <c r="Q1260" s="220"/>
      <c r="R1260" s="220"/>
      <c r="S1260" s="220"/>
      <c r="T1260" s="225"/>
      <c r="U1260" s="226"/>
      <c r="V1260" s="253"/>
    </row>
    <row r="1261" customFormat="false" ht="12.75" hidden="false" customHeight="false" outlineLevel="0" collapsed="false">
      <c r="B1261" s="228"/>
      <c r="C1261" s="229"/>
      <c r="D1261" s="219"/>
      <c r="E1261" s="220"/>
      <c r="F1261" s="229"/>
      <c r="G1261" s="220"/>
      <c r="H1261" s="220"/>
      <c r="I1261" s="220"/>
      <c r="J1261" s="220"/>
      <c r="K1261" s="220"/>
      <c r="L1261" s="220"/>
      <c r="M1261" s="220"/>
      <c r="N1261" s="220"/>
      <c r="O1261" s="220"/>
      <c r="P1261" s="220"/>
      <c r="Q1261" s="220"/>
      <c r="R1261" s="220"/>
      <c r="S1261" s="220"/>
      <c r="T1261" s="225"/>
      <c r="U1261" s="226"/>
      <c r="V1261" s="253"/>
    </row>
    <row r="1262" customFormat="false" ht="12.75" hidden="false" customHeight="false" outlineLevel="0" collapsed="false">
      <c r="B1262" s="228"/>
      <c r="C1262" s="229"/>
      <c r="D1262" s="219"/>
      <c r="E1262" s="220"/>
      <c r="F1262" s="229"/>
      <c r="G1262" s="220"/>
      <c r="H1262" s="220"/>
      <c r="I1262" s="220"/>
      <c r="J1262" s="220"/>
      <c r="K1262" s="220"/>
      <c r="L1262" s="220"/>
      <c r="M1262" s="220"/>
      <c r="N1262" s="220"/>
      <c r="O1262" s="220"/>
      <c r="P1262" s="220"/>
      <c r="Q1262" s="220"/>
      <c r="R1262" s="220"/>
      <c r="S1262" s="220"/>
      <c r="T1262" s="225"/>
      <c r="U1262" s="226"/>
      <c r="V1262" s="253"/>
    </row>
    <row r="1263" customFormat="false" ht="12.75" hidden="false" customHeight="false" outlineLevel="0" collapsed="false">
      <c r="B1263" s="228"/>
      <c r="C1263" s="229"/>
      <c r="D1263" s="219"/>
      <c r="E1263" s="220"/>
      <c r="F1263" s="229"/>
      <c r="G1263" s="220"/>
      <c r="H1263" s="220"/>
      <c r="I1263" s="220"/>
      <c r="J1263" s="220"/>
      <c r="K1263" s="220"/>
      <c r="L1263" s="220"/>
      <c r="M1263" s="220"/>
      <c r="N1263" s="220"/>
      <c r="O1263" s="220"/>
      <c r="P1263" s="220"/>
      <c r="Q1263" s="220"/>
      <c r="R1263" s="220"/>
      <c r="S1263" s="220"/>
      <c r="T1263" s="225"/>
      <c r="U1263" s="226"/>
      <c r="V1263" s="253"/>
    </row>
    <row r="1264" customFormat="false" ht="12.75" hidden="false" customHeight="false" outlineLevel="0" collapsed="false">
      <c r="B1264" s="228"/>
      <c r="C1264" s="229"/>
      <c r="D1264" s="219"/>
      <c r="E1264" s="220"/>
      <c r="F1264" s="229"/>
      <c r="G1264" s="220"/>
      <c r="H1264" s="220"/>
      <c r="I1264" s="220"/>
      <c r="J1264" s="220"/>
      <c r="K1264" s="220"/>
      <c r="L1264" s="220"/>
      <c r="M1264" s="220"/>
      <c r="N1264" s="220"/>
      <c r="O1264" s="220"/>
      <c r="P1264" s="220"/>
      <c r="Q1264" s="220"/>
      <c r="R1264" s="220"/>
      <c r="S1264" s="220"/>
      <c r="T1264" s="225"/>
      <c r="U1264" s="226"/>
      <c r="V1264" s="253"/>
    </row>
    <row r="1265" customFormat="false" ht="12.75" hidden="false" customHeight="false" outlineLevel="0" collapsed="false">
      <c r="B1265" s="228"/>
      <c r="C1265" s="229"/>
      <c r="D1265" s="219"/>
      <c r="E1265" s="220"/>
      <c r="F1265" s="229"/>
      <c r="G1265" s="220"/>
      <c r="H1265" s="220"/>
      <c r="I1265" s="220"/>
      <c r="J1265" s="220"/>
      <c r="K1265" s="220"/>
      <c r="L1265" s="220"/>
      <c r="M1265" s="220"/>
      <c r="N1265" s="220"/>
      <c r="O1265" s="220"/>
      <c r="P1265" s="220"/>
      <c r="Q1265" s="220"/>
      <c r="R1265" s="220"/>
      <c r="S1265" s="220"/>
      <c r="T1265" s="225"/>
      <c r="U1265" s="226"/>
      <c r="V1265" s="253"/>
    </row>
    <row r="1266" customFormat="false" ht="12.75" hidden="false" customHeight="false" outlineLevel="0" collapsed="false">
      <c r="B1266" s="228"/>
      <c r="C1266" s="229"/>
      <c r="D1266" s="219"/>
      <c r="E1266" s="220"/>
      <c r="F1266" s="229"/>
      <c r="G1266" s="220"/>
      <c r="H1266" s="220"/>
      <c r="I1266" s="220"/>
      <c r="J1266" s="220"/>
      <c r="K1266" s="220"/>
      <c r="L1266" s="220"/>
      <c r="M1266" s="220"/>
      <c r="N1266" s="220"/>
      <c r="O1266" s="220"/>
      <c r="P1266" s="220"/>
      <c r="Q1266" s="220"/>
      <c r="R1266" s="220"/>
      <c r="S1266" s="220"/>
      <c r="T1266" s="225"/>
      <c r="U1266" s="226"/>
      <c r="V1266" s="253"/>
    </row>
    <row r="1267" customFormat="false" ht="12.75" hidden="false" customHeight="false" outlineLevel="0" collapsed="false">
      <c r="B1267" s="228"/>
      <c r="C1267" s="229"/>
      <c r="D1267" s="219"/>
      <c r="E1267" s="220"/>
      <c r="F1267" s="229"/>
      <c r="G1267" s="220"/>
      <c r="H1267" s="220"/>
      <c r="I1267" s="220"/>
      <c r="J1267" s="220"/>
      <c r="K1267" s="220"/>
      <c r="L1267" s="220"/>
      <c r="M1267" s="220"/>
      <c r="N1267" s="220"/>
      <c r="O1267" s="220"/>
      <c r="P1267" s="220"/>
      <c r="Q1267" s="220"/>
      <c r="R1267" s="220"/>
      <c r="S1267" s="220"/>
      <c r="T1267" s="225"/>
      <c r="U1267" s="226"/>
      <c r="V1267" s="253"/>
    </row>
    <row r="1268" customFormat="false" ht="12.75" hidden="false" customHeight="false" outlineLevel="0" collapsed="false">
      <c r="B1268" s="228"/>
      <c r="C1268" s="229"/>
      <c r="D1268" s="219"/>
      <c r="E1268" s="220"/>
      <c r="F1268" s="229"/>
      <c r="G1268" s="220"/>
      <c r="H1268" s="220"/>
      <c r="I1268" s="220"/>
      <c r="J1268" s="220"/>
      <c r="K1268" s="220"/>
      <c r="L1268" s="220"/>
      <c r="M1268" s="220"/>
      <c r="N1268" s="220"/>
      <c r="O1268" s="220"/>
      <c r="P1268" s="220"/>
      <c r="Q1268" s="220"/>
      <c r="R1268" s="220"/>
      <c r="S1268" s="220"/>
      <c r="T1268" s="225"/>
      <c r="U1268" s="226"/>
      <c r="V1268" s="253"/>
    </row>
    <row r="1269" customFormat="false" ht="12.75" hidden="false" customHeight="false" outlineLevel="0" collapsed="false">
      <c r="B1269" s="228"/>
      <c r="C1269" s="229"/>
      <c r="D1269" s="219"/>
      <c r="E1269" s="220"/>
      <c r="F1269" s="229"/>
      <c r="G1269" s="220"/>
      <c r="H1269" s="220"/>
      <c r="I1269" s="220"/>
      <c r="J1269" s="220"/>
      <c r="K1269" s="220"/>
      <c r="L1269" s="220"/>
      <c r="M1269" s="220"/>
      <c r="N1269" s="220"/>
      <c r="O1269" s="220"/>
      <c r="P1269" s="220"/>
      <c r="Q1269" s="220"/>
      <c r="R1269" s="220"/>
      <c r="S1269" s="220"/>
      <c r="T1269" s="225"/>
      <c r="U1269" s="226"/>
      <c r="V1269" s="253"/>
    </row>
    <row r="1270" customFormat="false" ht="12.75" hidden="false" customHeight="false" outlineLevel="0" collapsed="false">
      <c r="B1270" s="228"/>
      <c r="C1270" s="229"/>
      <c r="D1270" s="219"/>
      <c r="E1270" s="220"/>
      <c r="F1270" s="229"/>
      <c r="G1270" s="220"/>
      <c r="H1270" s="220"/>
      <c r="I1270" s="220"/>
      <c r="J1270" s="220"/>
      <c r="K1270" s="220"/>
      <c r="L1270" s="220"/>
      <c r="M1270" s="220"/>
      <c r="N1270" s="220"/>
      <c r="O1270" s="220"/>
      <c r="P1270" s="220"/>
      <c r="Q1270" s="220"/>
      <c r="R1270" s="220"/>
      <c r="S1270" s="220"/>
      <c r="T1270" s="225"/>
      <c r="U1270" s="226"/>
      <c r="V1270" s="253"/>
    </row>
    <row r="1271" customFormat="false" ht="12.75" hidden="false" customHeight="false" outlineLevel="0" collapsed="false">
      <c r="B1271" s="228"/>
      <c r="C1271" s="229"/>
      <c r="D1271" s="219"/>
      <c r="E1271" s="220"/>
      <c r="F1271" s="229"/>
      <c r="G1271" s="220"/>
      <c r="H1271" s="220"/>
      <c r="I1271" s="220"/>
      <c r="J1271" s="220"/>
      <c r="K1271" s="220"/>
      <c r="L1271" s="220"/>
      <c r="M1271" s="220"/>
      <c r="N1271" s="220"/>
      <c r="O1271" s="220"/>
      <c r="P1271" s="220"/>
      <c r="Q1271" s="220"/>
      <c r="R1271" s="220"/>
      <c r="S1271" s="220"/>
      <c r="T1271" s="225"/>
      <c r="U1271" s="226"/>
      <c r="V1271" s="253"/>
    </row>
    <row r="1272" customFormat="false" ht="12.75" hidden="false" customHeight="false" outlineLevel="0" collapsed="false">
      <c r="B1272" s="228"/>
      <c r="C1272" s="229"/>
      <c r="D1272" s="219"/>
      <c r="E1272" s="220"/>
      <c r="F1272" s="229"/>
      <c r="G1272" s="220"/>
      <c r="H1272" s="220"/>
      <c r="I1272" s="220"/>
      <c r="J1272" s="220"/>
      <c r="K1272" s="220"/>
      <c r="L1272" s="220"/>
      <c r="M1272" s="220"/>
      <c r="N1272" s="220"/>
      <c r="O1272" s="220"/>
      <c r="P1272" s="220"/>
      <c r="Q1272" s="220"/>
      <c r="R1272" s="220"/>
      <c r="S1272" s="220"/>
      <c r="T1272" s="225"/>
      <c r="U1272" s="226"/>
      <c r="V1272" s="253"/>
    </row>
    <row r="1273" customFormat="false" ht="12.75" hidden="false" customHeight="false" outlineLevel="0" collapsed="false">
      <c r="B1273" s="228"/>
      <c r="C1273" s="229"/>
      <c r="D1273" s="219"/>
      <c r="E1273" s="220"/>
      <c r="F1273" s="229"/>
      <c r="G1273" s="220"/>
      <c r="H1273" s="220"/>
      <c r="I1273" s="220"/>
      <c r="J1273" s="220"/>
      <c r="K1273" s="220"/>
      <c r="L1273" s="220"/>
      <c r="M1273" s="220"/>
      <c r="N1273" s="220"/>
      <c r="O1273" s="220"/>
      <c r="P1273" s="220"/>
      <c r="Q1273" s="220"/>
      <c r="R1273" s="220"/>
      <c r="S1273" s="220"/>
      <c r="T1273" s="225"/>
      <c r="U1273" s="226"/>
      <c r="V1273" s="253"/>
    </row>
    <row r="1274" customFormat="false" ht="12.75" hidden="false" customHeight="false" outlineLevel="0" collapsed="false">
      <c r="B1274" s="228"/>
      <c r="C1274" s="229"/>
      <c r="D1274" s="219"/>
      <c r="E1274" s="220"/>
      <c r="F1274" s="229"/>
      <c r="G1274" s="220"/>
      <c r="H1274" s="220"/>
      <c r="I1274" s="220"/>
      <c r="J1274" s="220"/>
      <c r="K1274" s="220"/>
      <c r="L1274" s="220"/>
      <c r="M1274" s="220"/>
      <c r="N1274" s="220"/>
      <c r="O1274" s="220"/>
      <c r="P1274" s="220"/>
      <c r="Q1274" s="220"/>
      <c r="R1274" s="220"/>
      <c r="S1274" s="220"/>
      <c r="T1274" s="225"/>
      <c r="U1274" s="226"/>
      <c r="V1274" s="253"/>
    </row>
    <row r="1275" customFormat="false" ht="12.75" hidden="false" customHeight="false" outlineLevel="0" collapsed="false">
      <c r="B1275" s="228"/>
      <c r="C1275" s="229"/>
      <c r="D1275" s="219"/>
      <c r="E1275" s="220"/>
      <c r="F1275" s="229"/>
      <c r="G1275" s="220"/>
      <c r="H1275" s="220"/>
      <c r="I1275" s="220"/>
      <c r="J1275" s="220"/>
      <c r="K1275" s="220"/>
      <c r="L1275" s="220"/>
      <c r="M1275" s="220"/>
      <c r="N1275" s="220"/>
      <c r="O1275" s="220"/>
      <c r="P1275" s="220"/>
      <c r="Q1275" s="220"/>
      <c r="R1275" s="220"/>
      <c r="S1275" s="220"/>
      <c r="T1275" s="225"/>
      <c r="U1275" s="226"/>
      <c r="V1275" s="253"/>
    </row>
    <row r="1276" customFormat="false" ht="12.75" hidden="false" customHeight="false" outlineLevel="0" collapsed="false">
      <c r="B1276" s="228"/>
      <c r="C1276" s="229"/>
      <c r="D1276" s="219"/>
      <c r="E1276" s="220"/>
      <c r="F1276" s="229"/>
      <c r="G1276" s="220"/>
      <c r="H1276" s="220"/>
      <c r="I1276" s="220"/>
      <c r="J1276" s="220"/>
      <c r="K1276" s="220"/>
      <c r="L1276" s="220"/>
      <c r="M1276" s="220"/>
      <c r="N1276" s="220"/>
      <c r="O1276" s="220"/>
      <c r="P1276" s="220"/>
      <c r="Q1276" s="220"/>
      <c r="R1276" s="220"/>
      <c r="S1276" s="220"/>
      <c r="T1276" s="225"/>
      <c r="U1276" s="226"/>
      <c r="V1276" s="253"/>
    </row>
    <row r="1277" customFormat="false" ht="12.75" hidden="false" customHeight="false" outlineLevel="0" collapsed="false">
      <c r="B1277" s="228"/>
      <c r="C1277" s="229"/>
      <c r="D1277" s="219"/>
      <c r="E1277" s="220"/>
      <c r="F1277" s="229"/>
      <c r="G1277" s="220"/>
      <c r="H1277" s="220"/>
      <c r="I1277" s="220"/>
      <c r="J1277" s="220"/>
      <c r="K1277" s="220"/>
      <c r="L1277" s="220"/>
      <c r="M1277" s="220"/>
      <c r="N1277" s="220"/>
      <c r="O1277" s="220"/>
      <c r="P1277" s="220"/>
      <c r="Q1277" s="220"/>
      <c r="R1277" s="220"/>
      <c r="S1277" s="220"/>
      <c r="T1277" s="225"/>
      <c r="U1277" s="226"/>
      <c r="V1277" s="253"/>
    </row>
    <row r="1278" customFormat="false" ht="12.75" hidden="false" customHeight="false" outlineLevel="0" collapsed="false">
      <c r="B1278" s="228"/>
      <c r="C1278" s="229"/>
      <c r="D1278" s="219"/>
      <c r="E1278" s="220"/>
      <c r="F1278" s="229"/>
      <c r="G1278" s="220"/>
      <c r="H1278" s="220"/>
      <c r="I1278" s="220"/>
      <c r="J1278" s="220"/>
      <c r="K1278" s="220"/>
      <c r="L1278" s="220"/>
      <c r="M1278" s="220"/>
      <c r="N1278" s="220"/>
      <c r="O1278" s="220"/>
      <c r="P1278" s="220"/>
      <c r="Q1278" s="220"/>
      <c r="R1278" s="220"/>
      <c r="S1278" s="220"/>
      <c r="T1278" s="225"/>
      <c r="U1278" s="226"/>
      <c r="V1278" s="253"/>
    </row>
    <row r="1279" customFormat="false" ht="12.75" hidden="false" customHeight="false" outlineLevel="0" collapsed="false">
      <c r="B1279" s="228"/>
      <c r="C1279" s="229"/>
      <c r="D1279" s="219"/>
      <c r="E1279" s="220"/>
      <c r="F1279" s="229"/>
      <c r="G1279" s="220"/>
      <c r="H1279" s="220"/>
      <c r="I1279" s="220"/>
      <c r="J1279" s="220"/>
      <c r="K1279" s="220"/>
      <c r="L1279" s="220"/>
      <c r="M1279" s="220"/>
      <c r="N1279" s="220"/>
      <c r="O1279" s="220"/>
      <c r="P1279" s="220"/>
      <c r="Q1279" s="220"/>
      <c r="R1279" s="220"/>
      <c r="S1279" s="220"/>
      <c r="T1279" s="225"/>
      <c r="U1279" s="226"/>
      <c r="V1279" s="253"/>
    </row>
    <row r="1280" customFormat="false" ht="12.75" hidden="false" customHeight="false" outlineLevel="0" collapsed="false">
      <c r="B1280" s="228"/>
      <c r="C1280" s="229"/>
      <c r="D1280" s="219"/>
      <c r="E1280" s="220"/>
      <c r="F1280" s="229"/>
      <c r="G1280" s="220"/>
      <c r="H1280" s="220"/>
      <c r="I1280" s="220"/>
      <c r="J1280" s="220"/>
      <c r="K1280" s="220"/>
      <c r="L1280" s="220"/>
      <c r="M1280" s="220"/>
      <c r="N1280" s="220"/>
      <c r="O1280" s="220"/>
      <c r="P1280" s="220"/>
      <c r="Q1280" s="220"/>
      <c r="R1280" s="220"/>
      <c r="S1280" s="220"/>
      <c r="T1280" s="225"/>
      <c r="U1280" s="226"/>
      <c r="V1280" s="253"/>
    </row>
    <row r="1281" customFormat="false" ht="12.75" hidden="false" customHeight="false" outlineLevel="0" collapsed="false">
      <c r="B1281" s="228"/>
      <c r="C1281" s="229"/>
      <c r="D1281" s="219"/>
      <c r="E1281" s="220"/>
      <c r="F1281" s="229"/>
      <c r="G1281" s="220"/>
      <c r="H1281" s="220"/>
      <c r="I1281" s="220"/>
      <c r="J1281" s="220"/>
      <c r="K1281" s="220"/>
      <c r="L1281" s="220"/>
      <c r="M1281" s="220"/>
      <c r="N1281" s="220"/>
      <c r="O1281" s="220"/>
      <c r="P1281" s="220"/>
      <c r="Q1281" s="220"/>
      <c r="R1281" s="220"/>
      <c r="S1281" s="220"/>
      <c r="T1281" s="225"/>
      <c r="U1281" s="226"/>
      <c r="V1281" s="253"/>
    </row>
    <row r="1282" customFormat="false" ht="12.75" hidden="false" customHeight="false" outlineLevel="0" collapsed="false">
      <c r="B1282" s="228"/>
      <c r="C1282" s="229"/>
      <c r="D1282" s="219"/>
      <c r="E1282" s="220"/>
      <c r="F1282" s="229"/>
      <c r="G1282" s="220"/>
      <c r="H1282" s="220"/>
      <c r="I1282" s="220"/>
      <c r="J1282" s="220"/>
      <c r="K1282" s="220"/>
      <c r="L1282" s="220"/>
      <c r="M1282" s="220"/>
      <c r="N1282" s="220"/>
      <c r="O1282" s="220"/>
      <c r="P1282" s="220"/>
      <c r="Q1282" s="220"/>
      <c r="R1282" s="220"/>
      <c r="S1282" s="220"/>
      <c r="T1282" s="225"/>
      <c r="U1282" s="226"/>
      <c r="V1282" s="253"/>
    </row>
    <row r="1283" customFormat="false" ht="12.75" hidden="false" customHeight="false" outlineLevel="0" collapsed="false">
      <c r="B1283" s="228"/>
      <c r="C1283" s="229"/>
      <c r="D1283" s="219"/>
      <c r="E1283" s="220"/>
      <c r="F1283" s="229"/>
      <c r="G1283" s="220"/>
      <c r="H1283" s="220"/>
      <c r="I1283" s="220"/>
      <c r="J1283" s="220"/>
      <c r="K1283" s="220"/>
      <c r="L1283" s="220"/>
      <c r="M1283" s="220"/>
      <c r="N1283" s="220"/>
      <c r="O1283" s="220"/>
      <c r="P1283" s="220"/>
      <c r="Q1283" s="220"/>
      <c r="R1283" s="220"/>
      <c r="S1283" s="220"/>
      <c r="T1283" s="225"/>
      <c r="U1283" s="226"/>
      <c r="V1283" s="253"/>
    </row>
    <row r="1284" customFormat="false" ht="12.75" hidden="false" customHeight="false" outlineLevel="0" collapsed="false">
      <c r="B1284" s="228"/>
      <c r="C1284" s="229"/>
      <c r="D1284" s="219"/>
      <c r="E1284" s="220"/>
      <c r="F1284" s="229"/>
      <c r="G1284" s="220"/>
      <c r="H1284" s="220"/>
      <c r="I1284" s="220"/>
      <c r="J1284" s="220"/>
      <c r="K1284" s="220"/>
      <c r="L1284" s="220"/>
      <c r="M1284" s="220"/>
      <c r="N1284" s="220"/>
      <c r="O1284" s="220"/>
      <c r="P1284" s="220"/>
      <c r="Q1284" s="220"/>
      <c r="R1284" s="220"/>
      <c r="S1284" s="220"/>
      <c r="T1284" s="225"/>
      <c r="U1284" s="226"/>
      <c r="V1284" s="253"/>
    </row>
    <row r="1285" customFormat="false" ht="12.75" hidden="false" customHeight="false" outlineLevel="0" collapsed="false">
      <c r="B1285" s="228"/>
      <c r="C1285" s="229"/>
      <c r="D1285" s="219"/>
      <c r="E1285" s="220"/>
      <c r="F1285" s="229"/>
      <c r="G1285" s="220"/>
      <c r="H1285" s="220"/>
      <c r="I1285" s="220"/>
      <c r="J1285" s="220"/>
      <c r="K1285" s="220"/>
      <c r="L1285" s="220"/>
      <c r="M1285" s="220"/>
      <c r="N1285" s="220"/>
      <c r="O1285" s="220"/>
      <c r="P1285" s="220"/>
      <c r="Q1285" s="220"/>
      <c r="R1285" s="220"/>
      <c r="S1285" s="220"/>
      <c r="T1285" s="225"/>
      <c r="U1285" s="226"/>
      <c r="V1285" s="253"/>
    </row>
    <row r="1286" customFormat="false" ht="12.75" hidden="false" customHeight="false" outlineLevel="0" collapsed="false">
      <c r="B1286" s="228"/>
      <c r="C1286" s="229"/>
      <c r="D1286" s="219"/>
      <c r="E1286" s="220"/>
      <c r="F1286" s="229"/>
      <c r="G1286" s="220"/>
      <c r="H1286" s="220"/>
      <c r="I1286" s="220"/>
      <c r="J1286" s="220"/>
      <c r="K1286" s="220"/>
      <c r="L1286" s="220"/>
      <c r="M1286" s="220"/>
      <c r="N1286" s="220"/>
      <c r="O1286" s="220"/>
      <c r="P1286" s="220"/>
      <c r="Q1286" s="220"/>
      <c r="R1286" s="220"/>
      <c r="S1286" s="220"/>
      <c r="T1286" s="225"/>
      <c r="U1286" s="226"/>
      <c r="V1286" s="253"/>
    </row>
    <row r="1287" customFormat="false" ht="12.75" hidden="false" customHeight="false" outlineLevel="0" collapsed="false">
      <c r="B1287" s="228"/>
      <c r="C1287" s="229"/>
      <c r="D1287" s="219"/>
      <c r="E1287" s="220"/>
      <c r="F1287" s="229"/>
      <c r="G1287" s="220"/>
      <c r="H1287" s="220"/>
      <c r="I1287" s="220"/>
      <c r="J1287" s="220"/>
      <c r="K1287" s="220"/>
      <c r="L1287" s="220"/>
      <c r="M1287" s="220"/>
      <c r="N1287" s="220"/>
      <c r="O1287" s="220"/>
      <c r="P1287" s="220"/>
      <c r="Q1287" s="220"/>
      <c r="R1287" s="220"/>
      <c r="S1287" s="220"/>
      <c r="T1287" s="225"/>
      <c r="U1287" s="226"/>
      <c r="V1287" s="253"/>
    </row>
    <row r="1288" customFormat="false" ht="12.75" hidden="false" customHeight="false" outlineLevel="0" collapsed="false">
      <c r="B1288" s="228"/>
      <c r="C1288" s="229"/>
      <c r="D1288" s="219"/>
      <c r="E1288" s="220"/>
      <c r="F1288" s="229"/>
      <c r="G1288" s="220"/>
      <c r="H1288" s="220"/>
      <c r="I1288" s="220"/>
      <c r="J1288" s="220"/>
      <c r="K1288" s="220"/>
      <c r="L1288" s="220"/>
      <c r="M1288" s="220"/>
      <c r="N1288" s="220"/>
      <c r="O1288" s="220"/>
      <c r="P1288" s="220"/>
      <c r="Q1288" s="220"/>
      <c r="R1288" s="220"/>
      <c r="S1288" s="220"/>
      <c r="T1288" s="225"/>
      <c r="U1288" s="226"/>
      <c r="V1288" s="253"/>
    </row>
    <row r="1289" customFormat="false" ht="12.75" hidden="false" customHeight="false" outlineLevel="0" collapsed="false">
      <c r="B1289" s="228"/>
      <c r="C1289" s="229"/>
      <c r="D1289" s="219"/>
      <c r="E1289" s="220"/>
      <c r="F1289" s="229"/>
      <c r="G1289" s="220"/>
      <c r="H1289" s="220"/>
      <c r="I1289" s="220"/>
      <c r="J1289" s="220"/>
      <c r="K1289" s="220"/>
      <c r="L1289" s="220"/>
      <c r="M1289" s="220"/>
      <c r="N1289" s="220"/>
      <c r="O1289" s="220"/>
      <c r="P1289" s="220"/>
      <c r="Q1289" s="220"/>
      <c r="R1289" s="220"/>
      <c r="S1289" s="220"/>
      <c r="T1289" s="225"/>
      <c r="U1289" s="226"/>
      <c r="V1289" s="253"/>
    </row>
    <row r="1290" customFormat="false" ht="12.75" hidden="false" customHeight="false" outlineLevel="0" collapsed="false">
      <c r="B1290" s="228"/>
      <c r="C1290" s="229"/>
      <c r="D1290" s="219"/>
      <c r="E1290" s="220"/>
      <c r="F1290" s="229"/>
      <c r="G1290" s="220"/>
      <c r="H1290" s="220"/>
      <c r="I1290" s="220"/>
      <c r="J1290" s="220"/>
      <c r="K1290" s="220"/>
      <c r="L1290" s="220"/>
      <c r="M1290" s="220"/>
      <c r="N1290" s="220"/>
      <c r="O1290" s="220"/>
      <c r="P1290" s="220"/>
      <c r="Q1290" s="220"/>
      <c r="R1290" s="220"/>
      <c r="S1290" s="220"/>
      <c r="T1290" s="225"/>
      <c r="U1290" s="226"/>
      <c r="V1290" s="253"/>
    </row>
    <row r="1291" customFormat="false" ht="12.75" hidden="false" customHeight="false" outlineLevel="0" collapsed="false">
      <c r="B1291" s="228"/>
      <c r="C1291" s="229"/>
      <c r="D1291" s="219"/>
      <c r="E1291" s="220"/>
      <c r="F1291" s="229"/>
      <c r="G1291" s="220"/>
      <c r="H1291" s="220"/>
      <c r="I1291" s="220"/>
      <c r="J1291" s="220"/>
      <c r="K1291" s="220"/>
      <c r="L1291" s="220"/>
      <c r="M1291" s="220"/>
      <c r="N1291" s="220"/>
      <c r="O1291" s="220"/>
      <c r="P1291" s="220"/>
      <c r="Q1291" s="220"/>
      <c r="R1291" s="220"/>
      <c r="S1291" s="220"/>
      <c r="T1291" s="225"/>
      <c r="U1291" s="226"/>
      <c r="V1291" s="253"/>
    </row>
    <row r="1292" customFormat="false" ht="12.75" hidden="false" customHeight="false" outlineLevel="0" collapsed="false">
      <c r="B1292" s="228"/>
      <c r="C1292" s="229"/>
      <c r="D1292" s="219"/>
      <c r="E1292" s="220"/>
      <c r="F1292" s="229"/>
      <c r="G1292" s="220"/>
      <c r="H1292" s="220"/>
      <c r="I1292" s="220"/>
      <c r="J1292" s="220"/>
      <c r="K1292" s="220"/>
      <c r="L1292" s="220"/>
      <c r="M1292" s="220"/>
      <c r="N1292" s="220"/>
      <c r="O1292" s="220"/>
      <c r="P1292" s="220"/>
      <c r="Q1292" s="220"/>
      <c r="R1292" s="220"/>
      <c r="S1292" s="220"/>
      <c r="T1292" s="225"/>
      <c r="U1292" s="226"/>
      <c r="V1292" s="253"/>
    </row>
    <row r="1293" customFormat="false" ht="12.75" hidden="false" customHeight="false" outlineLevel="0" collapsed="false">
      <c r="B1293" s="228"/>
      <c r="C1293" s="229"/>
      <c r="D1293" s="219"/>
      <c r="E1293" s="220"/>
      <c r="F1293" s="229"/>
      <c r="G1293" s="220"/>
      <c r="H1293" s="220"/>
      <c r="I1293" s="220"/>
      <c r="J1293" s="220"/>
      <c r="K1293" s="220"/>
      <c r="L1293" s="220"/>
      <c r="M1293" s="220"/>
      <c r="N1293" s="220"/>
      <c r="O1293" s="220"/>
      <c r="P1293" s="220"/>
      <c r="Q1293" s="220"/>
      <c r="R1293" s="220"/>
      <c r="S1293" s="220"/>
      <c r="T1293" s="225"/>
      <c r="U1293" s="226"/>
      <c r="V1293" s="253"/>
    </row>
    <row r="1294" customFormat="false" ht="12.75" hidden="false" customHeight="false" outlineLevel="0" collapsed="false">
      <c r="B1294" s="228"/>
      <c r="C1294" s="229"/>
      <c r="D1294" s="219"/>
      <c r="E1294" s="220"/>
      <c r="F1294" s="229"/>
      <c r="G1294" s="220"/>
      <c r="H1294" s="220"/>
      <c r="I1294" s="220"/>
      <c r="J1294" s="220"/>
      <c r="K1294" s="220"/>
      <c r="L1294" s="220"/>
      <c r="M1294" s="220"/>
      <c r="N1294" s="220"/>
      <c r="O1294" s="220"/>
      <c r="P1294" s="220"/>
      <c r="Q1294" s="220"/>
      <c r="R1294" s="220"/>
      <c r="S1294" s="220"/>
      <c r="T1294" s="225"/>
      <c r="U1294" s="226"/>
      <c r="V1294" s="253"/>
    </row>
    <row r="1295" customFormat="false" ht="12.75" hidden="false" customHeight="false" outlineLevel="0" collapsed="false">
      <c r="B1295" s="228"/>
      <c r="C1295" s="229"/>
      <c r="D1295" s="219"/>
      <c r="E1295" s="220"/>
      <c r="F1295" s="229"/>
      <c r="G1295" s="220"/>
      <c r="H1295" s="220"/>
      <c r="I1295" s="220"/>
      <c r="J1295" s="220"/>
      <c r="K1295" s="220"/>
      <c r="L1295" s="220"/>
      <c r="M1295" s="220"/>
      <c r="N1295" s="220"/>
      <c r="O1295" s="220"/>
      <c r="P1295" s="220"/>
      <c r="Q1295" s="220"/>
      <c r="R1295" s="220"/>
      <c r="S1295" s="220"/>
      <c r="T1295" s="225"/>
      <c r="U1295" s="226"/>
      <c r="V1295" s="253"/>
    </row>
    <row r="1296" customFormat="false" ht="12.75" hidden="false" customHeight="false" outlineLevel="0" collapsed="false">
      <c r="B1296" s="228"/>
      <c r="C1296" s="229"/>
      <c r="D1296" s="219"/>
      <c r="E1296" s="220"/>
      <c r="F1296" s="229"/>
      <c r="G1296" s="220"/>
      <c r="H1296" s="220"/>
      <c r="I1296" s="220"/>
      <c r="J1296" s="220"/>
      <c r="K1296" s="220"/>
      <c r="L1296" s="220"/>
      <c r="M1296" s="220"/>
      <c r="N1296" s="220"/>
      <c r="O1296" s="220"/>
      <c r="P1296" s="220"/>
      <c r="Q1296" s="220"/>
      <c r="R1296" s="220"/>
      <c r="S1296" s="220"/>
      <c r="T1296" s="225"/>
      <c r="U1296" s="226"/>
      <c r="V1296" s="253"/>
    </row>
    <row r="1297" customFormat="false" ht="12.75" hidden="false" customHeight="false" outlineLevel="0" collapsed="false">
      <c r="B1297" s="228"/>
      <c r="C1297" s="229"/>
      <c r="D1297" s="219"/>
      <c r="E1297" s="220"/>
      <c r="F1297" s="229"/>
      <c r="G1297" s="220"/>
      <c r="H1297" s="220"/>
      <c r="I1297" s="220"/>
      <c r="J1297" s="220"/>
      <c r="K1297" s="220"/>
      <c r="L1297" s="220"/>
      <c r="M1297" s="220"/>
      <c r="N1297" s="220"/>
      <c r="O1297" s="220"/>
      <c r="P1297" s="220"/>
      <c r="Q1297" s="220"/>
      <c r="R1297" s="220"/>
      <c r="S1297" s="220"/>
      <c r="T1297" s="225"/>
      <c r="U1297" s="226"/>
      <c r="V1297" s="253"/>
    </row>
    <row r="1298" customFormat="false" ht="12.75" hidden="false" customHeight="false" outlineLevel="0" collapsed="false">
      <c r="B1298" s="228"/>
      <c r="C1298" s="229"/>
      <c r="D1298" s="219"/>
      <c r="E1298" s="220"/>
      <c r="F1298" s="229"/>
      <c r="G1298" s="220"/>
      <c r="H1298" s="220"/>
      <c r="I1298" s="220"/>
      <c r="J1298" s="220"/>
      <c r="K1298" s="220"/>
      <c r="L1298" s="220"/>
      <c r="M1298" s="220"/>
      <c r="N1298" s="220"/>
      <c r="O1298" s="220"/>
      <c r="P1298" s="220"/>
      <c r="Q1298" s="220"/>
      <c r="R1298" s="220"/>
      <c r="S1298" s="220"/>
      <c r="T1298" s="225"/>
      <c r="U1298" s="226"/>
      <c r="V1298" s="253"/>
    </row>
    <row r="1299" customFormat="false" ht="12.75" hidden="false" customHeight="false" outlineLevel="0" collapsed="false">
      <c r="B1299" s="228"/>
      <c r="C1299" s="229"/>
      <c r="D1299" s="219"/>
      <c r="E1299" s="220"/>
      <c r="F1299" s="229"/>
      <c r="G1299" s="220"/>
      <c r="H1299" s="220"/>
      <c r="I1299" s="220"/>
      <c r="J1299" s="220"/>
      <c r="K1299" s="220"/>
      <c r="L1299" s="220"/>
      <c r="M1299" s="220"/>
      <c r="N1299" s="220"/>
      <c r="O1299" s="220"/>
      <c r="P1299" s="220"/>
      <c r="Q1299" s="220"/>
      <c r="R1299" s="220"/>
      <c r="S1299" s="220"/>
      <c r="T1299" s="225"/>
      <c r="U1299" s="226"/>
      <c r="V1299" s="253"/>
    </row>
    <row r="1300" customFormat="false" ht="12.75" hidden="false" customHeight="false" outlineLevel="0" collapsed="false">
      <c r="B1300" s="228"/>
      <c r="C1300" s="229"/>
      <c r="D1300" s="219"/>
      <c r="E1300" s="220"/>
      <c r="F1300" s="229"/>
      <c r="G1300" s="220"/>
      <c r="H1300" s="220"/>
      <c r="I1300" s="220"/>
      <c r="J1300" s="220"/>
      <c r="K1300" s="220"/>
      <c r="L1300" s="220"/>
      <c r="M1300" s="220"/>
      <c r="N1300" s="220"/>
      <c r="O1300" s="220"/>
      <c r="P1300" s="220"/>
      <c r="Q1300" s="220"/>
      <c r="R1300" s="220"/>
      <c r="S1300" s="220"/>
      <c r="T1300" s="225"/>
      <c r="U1300" s="226"/>
      <c r="V1300" s="253"/>
    </row>
    <row r="1301" customFormat="false" ht="12.75" hidden="false" customHeight="false" outlineLevel="0" collapsed="false">
      <c r="B1301" s="228"/>
      <c r="C1301" s="229"/>
      <c r="D1301" s="219"/>
      <c r="E1301" s="220"/>
      <c r="F1301" s="229"/>
      <c r="G1301" s="220"/>
      <c r="H1301" s="220"/>
      <c r="I1301" s="220"/>
      <c r="J1301" s="220"/>
      <c r="K1301" s="220"/>
      <c r="L1301" s="220"/>
      <c r="M1301" s="220"/>
      <c r="N1301" s="220"/>
      <c r="O1301" s="220"/>
      <c r="P1301" s="220"/>
      <c r="Q1301" s="220"/>
      <c r="R1301" s="220"/>
      <c r="S1301" s="220"/>
      <c r="T1301" s="225"/>
      <c r="U1301" s="226"/>
      <c r="V1301" s="253"/>
    </row>
    <row r="1302" customFormat="false" ht="12.75" hidden="false" customHeight="false" outlineLevel="0" collapsed="false">
      <c r="B1302" s="228"/>
      <c r="C1302" s="229"/>
      <c r="D1302" s="219"/>
      <c r="E1302" s="220"/>
      <c r="F1302" s="229"/>
      <c r="G1302" s="220"/>
      <c r="H1302" s="220"/>
      <c r="I1302" s="220"/>
      <c r="J1302" s="220"/>
      <c r="K1302" s="220"/>
      <c r="L1302" s="220"/>
      <c r="M1302" s="220"/>
      <c r="N1302" s="220"/>
      <c r="O1302" s="220"/>
      <c r="P1302" s="220"/>
      <c r="Q1302" s="220"/>
      <c r="R1302" s="220"/>
      <c r="S1302" s="220"/>
      <c r="T1302" s="225"/>
      <c r="U1302" s="226"/>
      <c r="V1302" s="253"/>
    </row>
    <row r="1303" customFormat="false" ht="12.75" hidden="false" customHeight="false" outlineLevel="0" collapsed="false">
      <c r="B1303" s="228"/>
      <c r="C1303" s="229"/>
      <c r="D1303" s="219"/>
      <c r="E1303" s="220"/>
      <c r="F1303" s="229"/>
      <c r="G1303" s="220"/>
      <c r="H1303" s="220"/>
      <c r="I1303" s="220"/>
      <c r="J1303" s="220"/>
      <c r="K1303" s="220"/>
      <c r="L1303" s="220"/>
      <c r="M1303" s="220"/>
      <c r="N1303" s="220"/>
      <c r="O1303" s="220"/>
      <c r="P1303" s="220"/>
      <c r="Q1303" s="220"/>
      <c r="R1303" s="220"/>
      <c r="S1303" s="220"/>
      <c r="T1303" s="225"/>
      <c r="U1303" s="226"/>
      <c r="V1303" s="253"/>
    </row>
    <row r="1304" customFormat="false" ht="12.75" hidden="false" customHeight="false" outlineLevel="0" collapsed="false">
      <c r="B1304" s="228"/>
      <c r="C1304" s="229"/>
      <c r="D1304" s="219"/>
      <c r="E1304" s="220"/>
      <c r="F1304" s="229"/>
      <c r="G1304" s="220"/>
      <c r="H1304" s="220"/>
      <c r="I1304" s="220"/>
      <c r="J1304" s="220"/>
      <c r="K1304" s="220"/>
      <c r="L1304" s="220"/>
      <c r="M1304" s="220"/>
      <c r="N1304" s="220"/>
      <c r="O1304" s="220"/>
      <c r="P1304" s="220"/>
      <c r="Q1304" s="220"/>
      <c r="R1304" s="220"/>
      <c r="S1304" s="220"/>
      <c r="T1304" s="225"/>
      <c r="U1304" s="226"/>
      <c r="V1304" s="253"/>
    </row>
    <row r="1305" customFormat="false" ht="12.75" hidden="false" customHeight="false" outlineLevel="0" collapsed="false">
      <c r="B1305" s="228"/>
      <c r="C1305" s="229"/>
      <c r="D1305" s="219"/>
      <c r="E1305" s="220"/>
      <c r="F1305" s="229"/>
      <c r="G1305" s="220"/>
      <c r="H1305" s="220"/>
      <c r="I1305" s="220"/>
      <c r="J1305" s="220"/>
      <c r="K1305" s="220"/>
      <c r="L1305" s="220"/>
      <c r="M1305" s="220"/>
      <c r="N1305" s="220"/>
      <c r="O1305" s="220"/>
      <c r="P1305" s="220"/>
      <c r="Q1305" s="220"/>
      <c r="R1305" s="220"/>
      <c r="S1305" s="220"/>
      <c r="T1305" s="225"/>
      <c r="U1305" s="226"/>
      <c r="V1305" s="253"/>
    </row>
    <row r="1306" customFormat="false" ht="12.75" hidden="false" customHeight="false" outlineLevel="0" collapsed="false">
      <c r="B1306" s="228"/>
      <c r="C1306" s="229"/>
      <c r="D1306" s="219"/>
      <c r="E1306" s="220"/>
      <c r="F1306" s="229"/>
      <c r="G1306" s="220"/>
      <c r="H1306" s="220"/>
      <c r="I1306" s="220"/>
      <c r="J1306" s="220"/>
      <c r="K1306" s="220"/>
      <c r="L1306" s="220"/>
      <c r="M1306" s="220"/>
      <c r="N1306" s="220"/>
      <c r="O1306" s="220"/>
      <c r="P1306" s="220"/>
      <c r="Q1306" s="220"/>
      <c r="R1306" s="220"/>
      <c r="S1306" s="220"/>
      <c r="T1306" s="225"/>
      <c r="U1306" s="226"/>
      <c r="V1306" s="253"/>
    </row>
    <row r="1307" customFormat="false" ht="12.75" hidden="false" customHeight="false" outlineLevel="0" collapsed="false">
      <c r="B1307" s="228"/>
      <c r="C1307" s="229"/>
      <c r="D1307" s="219"/>
      <c r="E1307" s="220"/>
      <c r="F1307" s="229"/>
      <c r="G1307" s="220"/>
      <c r="H1307" s="220"/>
      <c r="I1307" s="220"/>
      <c r="J1307" s="220"/>
      <c r="K1307" s="220"/>
      <c r="L1307" s="220"/>
      <c r="M1307" s="220"/>
      <c r="N1307" s="220"/>
      <c r="O1307" s="220"/>
      <c r="P1307" s="220"/>
      <c r="Q1307" s="220"/>
      <c r="R1307" s="220"/>
      <c r="S1307" s="220"/>
      <c r="T1307" s="225"/>
      <c r="U1307" s="226"/>
      <c r="V1307" s="253"/>
    </row>
    <row r="1308" customFormat="false" ht="12.75" hidden="false" customHeight="false" outlineLevel="0" collapsed="false">
      <c r="B1308" s="228"/>
      <c r="C1308" s="229"/>
      <c r="D1308" s="219"/>
      <c r="E1308" s="220"/>
      <c r="F1308" s="229"/>
      <c r="G1308" s="220"/>
      <c r="H1308" s="220"/>
      <c r="I1308" s="220"/>
      <c r="J1308" s="220"/>
      <c r="K1308" s="220"/>
      <c r="L1308" s="220"/>
      <c r="M1308" s="220"/>
      <c r="N1308" s="220"/>
      <c r="O1308" s="220"/>
      <c r="P1308" s="220"/>
      <c r="Q1308" s="220"/>
      <c r="R1308" s="220"/>
      <c r="S1308" s="220"/>
      <c r="T1308" s="225"/>
      <c r="U1308" s="226"/>
      <c r="V1308" s="253"/>
    </row>
    <row r="1309" customFormat="false" ht="12.75" hidden="false" customHeight="false" outlineLevel="0" collapsed="false">
      <c r="B1309" s="228"/>
      <c r="C1309" s="229"/>
      <c r="D1309" s="219"/>
      <c r="E1309" s="220"/>
      <c r="F1309" s="229"/>
      <c r="G1309" s="220"/>
      <c r="H1309" s="220"/>
      <c r="I1309" s="220"/>
      <c r="J1309" s="220"/>
      <c r="K1309" s="220"/>
      <c r="L1309" s="220"/>
      <c r="M1309" s="220"/>
      <c r="N1309" s="220"/>
      <c r="O1309" s="220"/>
      <c r="P1309" s="220"/>
      <c r="Q1309" s="220"/>
      <c r="R1309" s="220"/>
      <c r="S1309" s="220"/>
      <c r="T1309" s="225"/>
      <c r="U1309" s="226"/>
      <c r="V1309" s="253"/>
    </row>
    <row r="1310" customFormat="false" ht="12.75" hidden="false" customHeight="false" outlineLevel="0" collapsed="false">
      <c r="B1310" s="228"/>
      <c r="C1310" s="229"/>
      <c r="D1310" s="219"/>
      <c r="E1310" s="220"/>
      <c r="F1310" s="229"/>
      <c r="G1310" s="220"/>
      <c r="H1310" s="220"/>
      <c r="I1310" s="220"/>
      <c r="J1310" s="220"/>
      <c r="K1310" s="220"/>
      <c r="L1310" s="220"/>
      <c r="M1310" s="220"/>
      <c r="N1310" s="220"/>
      <c r="O1310" s="220"/>
      <c r="P1310" s="220"/>
      <c r="Q1310" s="220"/>
      <c r="R1310" s="220"/>
      <c r="S1310" s="220"/>
      <c r="T1310" s="225"/>
      <c r="U1310" s="226"/>
      <c r="V1310" s="253"/>
    </row>
    <row r="1311" customFormat="false" ht="12.75" hidden="false" customHeight="false" outlineLevel="0" collapsed="false">
      <c r="B1311" s="228"/>
      <c r="C1311" s="229"/>
      <c r="D1311" s="219"/>
      <c r="E1311" s="220"/>
      <c r="F1311" s="229"/>
      <c r="G1311" s="220"/>
      <c r="H1311" s="220"/>
      <c r="I1311" s="220"/>
      <c r="J1311" s="220"/>
      <c r="K1311" s="220"/>
      <c r="L1311" s="220"/>
      <c r="M1311" s="220"/>
      <c r="N1311" s="220"/>
      <c r="O1311" s="220"/>
      <c r="P1311" s="220"/>
      <c r="Q1311" s="220"/>
      <c r="R1311" s="220"/>
      <c r="S1311" s="220"/>
      <c r="T1311" s="225"/>
      <c r="U1311" s="226"/>
      <c r="V1311" s="253"/>
    </row>
    <row r="1312" customFormat="false" ht="12.75" hidden="false" customHeight="false" outlineLevel="0" collapsed="false">
      <c r="B1312" s="228"/>
      <c r="C1312" s="229"/>
      <c r="D1312" s="219"/>
      <c r="E1312" s="220"/>
      <c r="F1312" s="229"/>
      <c r="G1312" s="220"/>
      <c r="H1312" s="220"/>
      <c r="I1312" s="220"/>
      <c r="J1312" s="220"/>
      <c r="K1312" s="220"/>
      <c r="L1312" s="220"/>
      <c r="M1312" s="220"/>
      <c r="N1312" s="220"/>
      <c r="O1312" s="220"/>
      <c r="P1312" s="220"/>
      <c r="Q1312" s="220"/>
      <c r="R1312" s="220"/>
      <c r="S1312" s="220"/>
      <c r="T1312" s="225"/>
      <c r="U1312" s="226"/>
      <c r="V1312" s="253"/>
    </row>
    <row r="1313" customFormat="false" ht="12.75" hidden="false" customHeight="false" outlineLevel="0" collapsed="false">
      <c r="B1313" s="228"/>
      <c r="C1313" s="229"/>
      <c r="D1313" s="219"/>
      <c r="E1313" s="220"/>
      <c r="F1313" s="229"/>
      <c r="G1313" s="220"/>
      <c r="H1313" s="220"/>
      <c r="I1313" s="220"/>
      <c r="J1313" s="220"/>
      <c r="K1313" s="220"/>
      <c r="L1313" s="220"/>
      <c r="M1313" s="220"/>
      <c r="N1313" s="220"/>
      <c r="O1313" s="220"/>
      <c r="P1313" s="220"/>
      <c r="Q1313" s="220"/>
      <c r="R1313" s="220"/>
      <c r="S1313" s="220"/>
      <c r="T1313" s="225"/>
      <c r="U1313" s="226"/>
      <c r="V1313" s="253"/>
    </row>
    <row r="1314" customFormat="false" ht="12.75" hidden="false" customHeight="false" outlineLevel="0" collapsed="false">
      <c r="B1314" s="228"/>
      <c r="C1314" s="229"/>
      <c r="D1314" s="219"/>
      <c r="E1314" s="220"/>
      <c r="F1314" s="229"/>
      <c r="G1314" s="220"/>
      <c r="H1314" s="220"/>
      <c r="I1314" s="220"/>
      <c r="J1314" s="220"/>
      <c r="K1314" s="220"/>
      <c r="L1314" s="220"/>
      <c r="M1314" s="220"/>
      <c r="N1314" s="220"/>
      <c r="O1314" s="220"/>
      <c r="P1314" s="220"/>
      <c r="Q1314" s="220"/>
      <c r="R1314" s="220"/>
      <c r="S1314" s="220"/>
      <c r="T1314" s="225"/>
      <c r="U1314" s="226"/>
      <c r="V1314" s="253"/>
    </row>
    <row r="1315" customFormat="false" ht="12.75" hidden="false" customHeight="false" outlineLevel="0" collapsed="false">
      <c r="B1315" s="228"/>
      <c r="C1315" s="229"/>
      <c r="D1315" s="219"/>
      <c r="E1315" s="220"/>
      <c r="F1315" s="229"/>
      <c r="G1315" s="220"/>
      <c r="H1315" s="220"/>
      <c r="I1315" s="220"/>
      <c r="J1315" s="220"/>
      <c r="K1315" s="220"/>
      <c r="L1315" s="220"/>
      <c r="M1315" s="220"/>
      <c r="N1315" s="220"/>
      <c r="O1315" s="220"/>
      <c r="P1315" s="220"/>
      <c r="Q1315" s="220"/>
      <c r="R1315" s="220"/>
      <c r="S1315" s="220"/>
      <c r="T1315" s="225"/>
      <c r="U1315" s="226"/>
      <c r="V1315" s="253"/>
    </row>
    <row r="1316" customFormat="false" ht="12.75" hidden="false" customHeight="false" outlineLevel="0" collapsed="false">
      <c r="B1316" s="228"/>
      <c r="C1316" s="229"/>
      <c r="D1316" s="219"/>
      <c r="E1316" s="220"/>
      <c r="F1316" s="229"/>
      <c r="G1316" s="220"/>
      <c r="H1316" s="220"/>
      <c r="I1316" s="220"/>
      <c r="J1316" s="220"/>
      <c r="K1316" s="220"/>
      <c r="L1316" s="220"/>
      <c r="M1316" s="220"/>
      <c r="N1316" s="220"/>
      <c r="O1316" s="220"/>
      <c r="P1316" s="220"/>
      <c r="Q1316" s="220"/>
      <c r="R1316" s="220"/>
      <c r="S1316" s="220"/>
      <c r="T1316" s="225"/>
      <c r="U1316" s="226"/>
      <c r="V1316" s="253"/>
    </row>
    <row r="1317" customFormat="false" ht="12.75" hidden="false" customHeight="false" outlineLevel="0" collapsed="false">
      <c r="B1317" s="228"/>
      <c r="C1317" s="229"/>
      <c r="D1317" s="219"/>
      <c r="E1317" s="220"/>
      <c r="F1317" s="229"/>
      <c r="G1317" s="220"/>
      <c r="H1317" s="220"/>
      <c r="I1317" s="220"/>
      <c r="J1317" s="220"/>
      <c r="K1317" s="220"/>
      <c r="L1317" s="220"/>
      <c r="M1317" s="220"/>
      <c r="N1317" s="220"/>
      <c r="O1317" s="220"/>
      <c r="P1317" s="220"/>
      <c r="Q1317" s="220"/>
      <c r="R1317" s="220"/>
      <c r="S1317" s="220"/>
      <c r="T1317" s="225"/>
      <c r="U1317" s="226"/>
      <c r="V1317" s="253"/>
    </row>
    <row r="1318" customFormat="false" ht="12.75" hidden="false" customHeight="false" outlineLevel="0" collapsed="false">
      <c r="B1318" s="228"/>
      <c r="C1318" s="229"/>
      <c r="D1318" s="219"/>
      <c r="E1318" s="220"/>
      <c r="F1318" s="229"/>
      <c r="G1318" s="220"/>
      <c r="H1318" s="220"/>
      <c r="I1318" s="220"/>
      <c r="J1318" s="220"/>
      <c r="K1318" s="220"/>
      <c r="L1318" s="220"/>
      <c r="M1318" s="220"/>
      <c r="N1318" s="220"/>
      <c r="O1318" s="220"/>
      <c r="P1318" s="220"/>
      <c r="Q1318" s="220"/>
      <c r="R1318" s="220"/>
      <c r="S1318" s="220"/>
      <c r="T1318" s="225"/>
      <c r="U1318" s="226"/>
      <c r="V1318" s="253"/>
    </row>
    <row r="1319" customFormat="false" ht="12.75" hidden="false" customHeight="false" outlineLevel="0" collapsed="false">
      <c r="B1319" s="228"/>
      <c r="C1319" s="229"/>
      <c r="D1319" s="219"/>
      <c r="E1319" s="220"/>
      <c r="F1319" s="229"/>
      <c r="G1319" s="220"/>
      <c r="H1319" s="220"/>
      <c r="I1319" s="220"/>
      <c r="J1319" s="220"/>
      <c r="K1319" s="220"/>
      <c r="L1319" s="220"/>
      <c r="M1319" s="220"/>
      <c r="N1319" s="220"/>
      <c r="O1319" s="220"/>
      <c r="P1319" s="220"/>
      <c r="Q1319" s="220"/>
      <c r="R1319" s="220"/>
      <c r="S1319" s="220"/>
      <c r="T1319" s="225"/>
      <c r="U1319" s="226"/>
      <c r="V1319" s="253"/>
    </row>
    <row r="1320" customFormat="false" ht="12.75" hidden="false" customHeight="false" outlineLevel="0" collapsed="false">
      <c r="B1320" s="228"/>
      <c r="C1320" s="229"/>
      <c r="D1320" s="219"/>
      <c r="E1320" s="220"/>
      <c r="F1320" s="229"/>
      <c r="G1320" s="220"/>
      <c r="H1320" s="220"/>
      <c r="I1320" s="220"/>
      <c r="J1320" s="220"/>
      <c r="K1320" s="220"/>
      <c r="L1320" s="220"/>
      <c r="M1320" s="220"/>
      <c r="N1320" s="220"/>
      <c r="O1320" s="220"/>
      <c r="P1320" s="220"/>
      <c r="Q1320" s="220"/>
      <c r="R1320" s="220"/>
      <c r="S1320" s="220"/>
      <c r="T1320" s="225"/>
      <c r="U1320" s="226"/>
      <c r="V1320" s="253"/>
    </row>
    <row r="1321" customFormat="false" ht="12.75" hidden="false" customHeight="false" outlineLevel="0" collapsed="false">
      <c r="B1321" s="228"/>
      <c r="C1321" s="229"/>
      <c r="D1321" s="219"/>
      <c r="E1321" s="220"/>
      <c r="F1321" s="229"/>
      <c r="G1321" s="220"/>
      <c r="H1321" s="220"/>
      <c r="I1321" s="220"/>
      <c r="J1321" s="220"/>
      <c r="K1321" s="220"/>
      <c r="L1321" s="220"/>
      <c r="M1321" s="220"/>
      <c r="N1321" s="220"/>
      <c r="O1321" s="220"/>
      <c r="P1321" s="220"/>
      <c r="Q1321" s="220"/>
      <c r="R1321" s="220"/>
      <c r="S1321" s="220"/>
      <c r="T1321" s="225"/>
      <c r="U1321" s="226"/>
      <c r="V1321" s="253"/>
    </row>
    <row r="1322" customFormat="false" ht="12.75" hidden="false" customHeight="false" outlineLevel="0" collapsed="false">
      <c r="B1322" s="228"/>
      <c r="C1322" s="229"/>
      <c r="D1322" s="219"/>
      <c r="E1322" s="220"/>
      <c r="F1322" s="229"/>
      <c r="G1322" s="220"/>
      <c r="H1322" s="220"/>
      <c r="I1322" s="220"/>
      <c r="J1322" s="220"/>
      <c r="K1322" s="220"/>
      <c r="L1322" s="220"/>
      <c r="M1322" s="220"/>
      <c r="N1322" s="220"/>
      <c r="O1322" s="220"/>
      <c r="P1322" s="220"/>
      <c r="Q1322" s="220"/>
      <c r="R1322" s="220"/>
      <c r="S1322" s="220"/>
      <c r="T1322" s="225"/>
      <c r="U1322" s="226"/>
      <c r="V1322" s="253"/>
    </row>
    <row r="1323" customFormat="false" ht="12.75" hidden="false" customHeight="false" outlineLevel="0" collapsed="false">
      <c r="B1323" s="228"/>
      <c r="C1323" s="229"/>
      <c r="D1323" s="219"/>
      <c r="E1323" s="220"/>
      <c r="F1323" s="229"/>
      <c r="G1323" s="220"/>
      <c r="H1323" s="220"/>
      <c r="I1323" s="220"/>
      <c r="J1323" s="220"/>
      <c r="K1323" s="220"/>
      <c r="L1323" s="220"/>
      <c r="M1323" s="220"/>
      <c r="N1323" s="220"/>
      <c r="O1323" s="220"/>
      <c r="P1323" s="220"/>
      <c r="Q1323" s="220"/>
      <c r="R1323" s="220"/>
      <c r="S1323" s="220"/>
      <c r="T1323" s="225"/>
      <c r="U1323" s="226"/>
      <c r="V1323" s="253"/>
    </row>
    <row r="1324" customFormat="false" ht="12.75" hidden="false" customHeight="false" outlineLevel="0" collapsed="false">
      <c r="B1324" s="228"/>
      <c r="C1324" s="229"/>
      <c r="D1324" s="219"/>
      <c r="E1324" s="220"/>
      <c r="F1324" s="229"/>
      <c r="G1324" s="220"/>
      <c r="H1324" s="220"/>
      <c r="I1324" s="220"/>
      <c r="J1324" s="220"/>
      <c r="K1324" s="220"/>
      <c r="L1324" s="220"/>
      <c r="M1324" s="220"/>
      <c r="N1324" s="220"/>
      <c r="O1324" s="220"/>
      <c r="P1324" s="220"/>
      <c r="Q1324" s="220"/>
      <c r="R1324" s="220"/>
      <c r="S1324" s="220"/>
      <c r="T1324" s="225"/>
      <c r="U1324" s="226"/>
      <c r="V1324" s="253"/>
    </row>
    <row r="1325" customFormat="false" ht="12.75" hidden="false" customHeight="false" outlineLevel="0" collapsed="false">
      <c r="B1325" s="228"/>
      <c r="C1325" s="229"/>
      <c r="D1325" s="219"/>
      <c r="E1325" s="220"/>
      <c r="F1325" s="229"/>
      <c r="G1325" s="220"/>
      <c r="H1325" s="220"/>
      <c r="I1325" s="220"/>
      <c r="J1325" s="220"/>
      <c r="K1325" s="220"/>
      <c r="L1325" s="220"/>
      <c r="M1325" s="220"/>
      <c r="N1325" s="220"/>
      <c r="O1325" s="220"/>
      <c r="P1325" s="220"/>
      <c r="Q1325" s="220"/>
      <c r="R1325" s="220"/>
      <c r="S1325" s="220"/>
      <c r="T1325" s="225"/>
      <c r="U1325" s="226"/>
      <c r="V1325" s="253"/>
    </row>
    <row r="1326" customFormat="false" ht="12.75" hidden="false" customHeight="false" outlineLevel="0" collapsed="false">
      <c r="B1326" s="228"/>
      <c r="C1326" s="229"/>
      <c r="D1326" s="219"/>
      <c r="E1326" s="220"/>
      <c r="F1326" s="229"/>
      <c r="G1326" s="220"/>
      <c r="H1326" s="220"/>
      <c r="I1326" s="220"/>
      <c r="J1326" s="220"/>
      <c r="K1326" s="220"/>
      <c r="L1326" s="220"/>
      <c r="M1326" s="220"/>
      <c r="N1326" s="220"/>
      <c r="O1326" s="220"/>
      <c r="P1326" s="220"/>
      <c r="Q1326" s="220"/>
      <c r="R1326" s="220"/>
      <c r="S1326" s="220"/>
      <c r="T1326" s="225"/>
      <c r="U1326" s="226"/>
      <c r="V1326" s="253"/>
    </row>
    <row r="1327" customFormat="false" ht="12.75" hidden="false" customHeight="false" outlineLevel="0" collapsed="false">
      <c r="B1327" s="228"/>
      <c r="C1327" s="229"/>
      <c r="D1327" s="219"/>
      <c r="E1327" s="220"/>
      <c r="F1327" s="229"/>
      <c r="G1327" s="220"/>
      <c r="H1327" s="220"/>
      <c r="I1327" s="220"/>
      <c r="J1327" s="220"/>
      <c r="K1327" s="220"/>
      <c r="L1327" s="220"/>
      <c r="M1327" s="220"/>
      <c r="N1327" s="220"/>
      <c r="O1327" s="220"/>
      <c r="P1327" s="220"/>
      <c r="Q1327" s="220"/>
      <c r="R1327" s="220"/>
      <c r="S1327" s="220"/>
      <c r="T1327" s="225"/>
      <c r="U1327" s="226"/>
      <c r="V1327" s="253"/>
    </row>
    <row r="1328" customFormat="false" ht="12.75" hidden="false" customHeight="false" outlineLevel="0" collapsed="false">
      <c r="B1328" s="228"/>
      <c r="C1328" s="229"/>
      <c r="D1328" s="219"/>
      <c r="E1328" s="220"/>
      <c r="F1328" s="229"/>
      <c r="G1328" s="220"/>
      <c r="H1328" s="220"/>
      <c r="I1328" s="220"/>
      <c r="J1328" s="220"/>
      <c r="K1328" s="220"/>
      <c r="L1328" s="220"/>
      <c r="M1328" s="220"/>
      <c r="N1328" s="220"/>
      <c r="O1328" s="220"/>
      <c r="P1328" s="220"/>
      <c r="Q1328" s="220"/>
      <c r="R1328" s="220"/>
      <c r="S1328" s="220"/>
      <c r="T1328" s="225"/>
      <c r="U1328" s="226"/>
      <c r="V1328" s="253"/>
    </row>
    <row r="1329" customFormat="false" ht="12.75" hidden="false" customHeight="false" outlineLevel="0" collapsed="false">
      <c r="B1329" s="228"/>
      <c r="C1329" s="229"/>
      <c r="D1329" s="219"/>
      <c r="E1329" s="220"/>
      <c r="F1329" s="229"/>
      <c r="G1329" s="220"/>
      <c r="H1329" s="220"/>
      <c r="I1329" s="220"/>
      <c r="J1329" s="220"/>
      <c r="K1329" s="220"/>
      <c r="L1329" s="220"/>
      <c r="M1329" s="220"/>
      <c r="N1329" s="220"/>
      <c r="O1329" s="220"/>
      <c r="P1329" s="220"/>
      <c r="Q1329" s="220"/>
      <c r="R1329" s="220"/>
      <c r="S1329" s="220"/>
      <c r="T1329" s="225"/>
      <c r="U1329" s="226"/>
      <c r="V1329" s="253"/>
    </row>
    <row r="1330" customFormat="false" ht="12.75" hidden="false" customHeight="false" outlineLevel="0" collapsed="false">
      <c r="B1330" s="228"/>
      <c r="C1330" s="229"/>
      <c r="D1330" s="219"/>
      <c r="E1330" s="220"/>
      <c r="F1330" s="229"/>
      <c r="G1330" s="220"/>
      <c r="H1330" s="220"/>
      <c r="I1330" s="220"/>
      <c r="J1330" s="220"/>
      <c r="K1330" s="220"/>
      <c r="L1330" s="220"/>
      <c r="M1330" s="220"/>
      <c r="N1330" s="220"/>
      <c r="O1330" s="220"/>
      <c r="P1330" s="220"/>
      <c r="Q1330" s="220"/>
      <c r="R1330" s="220"/>
      <c r="S1330" s="220"/>
      <c r="T1330" s="225"/>
      <c r="U1330" s="226"/>
      <c r="V1330" s="253"/>
    </row>
    <row r="1331" customFormat="false" ht="12.75" hidden="false" customHeight="false" outlineLevel="0" collapsed="false">
      <c r="B1331" s="228"/>
      <c r="C1331" s="229"/>
      <c r="D1331" s="219"/>
      <c r="E1331" s="220"/>
      <c r="F1331" s="229"/>
      <c r="G1331" s="220"/>
      <c r="H1331" s="220"/>
      <c r="I1331" s="220"/>
      <c r="J1331" s="220"/>
      <c r="K1331" s="220"/>
      <c r="L1331" s="220"/>
      <c r="M1331" s="220"/>
      <c r="N1331" s="220"/>
      <c r="O1331" s="220"/>
      <c r="P1331" s="220"/>
      <c r="Q1331" s="220"/>
      <c r="R1331" s="220"/>
      <c r="S1331" s="220"/>
      <c r="T1331" s="225"/>
      <c r="U1331" s="226"/>
      <c r="V1331" s="253"/>
    </row>
    <row r="1332" customFormat="false" ht="12.75" hidden="false" customHeight="false" outlineLevel="0" collapsed="false">
      <c r="B1332" s="228"/>
      <c r="C1332" s="229"/>
      <c r="D1332" s="219"/>
      <c r="E1332" s="220"/>
      <c r="F1332" s="229"/>
      <c r="G1332" s="220"/>
      <c r="H1332" s="220"/>
      <c r="I1332" s="220"/>
      <c r="J1332" s="220"/>
      <c r="K1332" s="220"/>
      <c r="L1332" s="220"/>
      <c r="M1332" s="220"/>
      <c r="N1332" s="220"/>
      <c r="O1332" s="220"/>
      <c r="P1332" s="220"/>
      <c r="Q1332" s="220"/>
      <c r="R1332" s="220"/>
      <c r="S1332" s="220"/>
      <c r="T1332" s="225"/>
      <c r="U1332" s="226"/>
      <c r="V1332" s="253"/>
    </row>
    <row r="1333" customFormat="false" ht="12.75" hidden="false" customHeight="false" outlineLevel="0" collapsed="false">
      <c r="B1333" s="228"/>
      <c r="C1333" s="229"/>
      <c r="D1333" s="219"/>
      <c r="E1333" s="220"/>
      <c r="F1333" s="229"/>
      <c r="G1333" s="220"/>
      <c r="H1333" s="220"/>
      <c r="I1333" s="220"/>
      <c r="J1333" s="220"/>
      <c r="K1333" s="220"/>
      <c r="L1333" s="220"/>
      <c r="M1333" s="220"/>
      <c r="N1333" s="220"/>
      <c r="O1333" s="220"/>
      <c r="P1333" s="220"/>
      <c r="Q1333" s="220"/>
      <c r="R1333" s="220"/>
      <c r="S1333" s="220"/>
      <c r="T1333" s="225"/>
      <c r="U1333" s="226"/>
      <c r="V1333" s="253"/>
    </row>
    <row r="1334" customFormat="false" ht="12.75" hidden="false" customHeight="false" outlineLevel="0" collapsed="false">
      <c r="B1334" s="228"/>
      <c r="C1334" s="229"/>
      <c r="D1334" s="219"/>
      <c r="E1334" s="220"/>
      <c r="F1334" s="229"/>
      <c r="G1334" s="220"/>
      <c r="H1334" s="220"/>
      <c r="I1334" s="220"/>
      <c r="J1334" s="220"/>
      <c r="K1334" s="220"/>
      <c r="L1334" s="220"/>
      <c r="M1334" s="220"/>
      <c r="N1334" s="220"/>
      <c r="O1334" s="220"/>
      <c r="P1334" s="220"/>
      <c r="Q1334" s="220"/>
      <c r="R1334" s="220"/>
      <c r="S1334" s="220"/>
      <c r="T1334" s="225"/>
      <c r="U1334" s="226"/>
      <c r="V1334" s="253"/>
    </row>
    <row r="1335" customFormat="false" ht="12.75" hidden="false" customHeight="false" outlineLevel="0" collapsed="false">
      <c r="B1335" s="228"/>
      <c r="C1335" s="229"/>
      <c r="D1335" s="219"/>
      <c r="E1335" s="220"/>
      <c r="F1335" s="229"/>
      <c r="G1335" s="220"/>
      <c r="H1335" s="220"/>
      <c r="I1335" s="220"/>
      <c r="J1335" s="220"/>
      <c r="K1335" s="220"/>
      <c r="L1335" s="220"/>
      <c r="M1335" s="220"/>
      <c r="N1335" s="220"/>
      <c r="O1335" s="220"/>
      <c r="P1335" s="220"/>
      <c r="Q1335" s="220"/>
      <c r="R1335" s="220"/>
      <c r="S1335" s="220"/>
      <c r="T1335" s="225"/>
      <c r="U1335" s="226"/>
      <c r="V1335" s="253"/>
    </row>
    <row r="1336" customFormat="false" ht="12.75" hidden="false" customHeight="false" outlineLevel="0" collapsed="false">
      <c r="B1336" s="228"/>
      <c r="C1336" s="229"/>
      <c r="D1336" s="219"/>
      <c r="E1336" s="220"/>
      <c r="F1336" s="229"/>
      <c r="G1336" s="220"/>
      <c r="H1336" s="220"/>
      <c r="I1336" s="220"/>
      <c r="J1336" s="220"/>
      <c r="K1336" s="220"/>
      <c r="L1336" s="220"/>
      <c r="M1336" s="220"/>
      <c r="N1336" s="220"/>
      <c r="O1336" s="220"/>
      <c r="P1336" s="220"/>
      <c r="Q1336" s="220"/>
      <c r="R1336" s="220"/>
      <c r="S1336" s="220"/>
      <c r="T1336" s="225"/>
      <c r="U1336" s="226"/>
      <c r="V1336" s="253"/>
    </row>
    <row r="1337" customFormat="false" ht="12.75" hidden="false" customHeight="false" outlineLevel="0" collapsed="false">
      <c r="B1337" s="228"/>
      <c r="C1337" s="229"/>
      <c r="D1337" s="219"/>
      <c r="E1337" s="220"/>
      <c r="F1337" s="229"/>
      <c r="G1337" s="220"/>
      <c r="H1337" s="220"/>
      <c r="I1337" s="220"/>
      <c r="J1337" s="220"/>
      <c r="K1337" s="220"/>
      <c r="L1337" s="220"/>
      <c r="M1337" s="220"/>
      <c r="N1337" s="220"/>
      <c r="O1337" s="220"/>
      <c r="P1337" s="220"/>
      <c r="Q1337" s="220"/>
      <c r="R1337" s="220"/>
      <c r="S1337" s="220"/>
      <c r="T1337" s="225"/>
      <c r="U1337" s="226"/>
      <c r="V1337" s="253"/>
    </row>
    <row r="1338" customFormat="false" ht="12.75" hidden="false" customHeight="false" outlineLevel="0" collapsed="false">
      <c r="B1338" s="228"/>
      <c r="C1338" s="229"/>
      <c r="D1338" s="219"/>
      <c r="E1338" s="220"/>
      <c r="F1338" s="229"/>
      <c r="G1338" s="220"/>
      <c r="H1338" s="220"/>
      <c r="I1338" s="220"/>
      <c r="J1338" s="220"/>
      <c r="K1338" s="220"/>
      <c r="L1338" s="220"/>
      <c r="M1338" s="220"/>
      <c r="N1338" s="220"/>
      <c r="O1338" s="220"/>
      <c r="P1338" s="220"/>
      <c r="Q1338" s="220"/>
      <c r="R1338" s="220"/>
      <c r="S1338" s="220"/>
      <c r="T1338" s="225"/>
      <c r="U1338" s="226"/>
      <c r="V1338" s="253"/>
    </row>
    <row r="1339" customFormat="false" ht="12.75" hidden="false" customHeight="false" outlineLevel="0" collapsed="false">
      <c r="B1339" s="228"/>
      <c r="C1339" s="229"/>
      <c r="D1339" s="219"/>
      <c r="E1339" s="220"/>
      <c r="F1339" s="229"/>
      <c r="G1339" s="220"/>
      <c r="H1339" s="220"/>
      <c r="I1339" s="220"/>
      <c r="J1339" s="220"/>
      <c r="K1339" s="220"/>
      <c r="L1339" s="220"/>
      <c r="M1339" s="220"/>
      <c r="N1339" s="220"/>
      <c r="O1339" s="220"/>
      <c r="P1339" s="220"/>
      <c r="Q1339" s="220"/>
      <c r="R1339" s="220"/>
      <c r="S1339" s="220"/>
      <c r="T1339" s="225"/>
      <c r="U1339" s="226"/>
      <c r="V1339" s="253"/>
    </row>
    <row r="1340" customFormat="false" ht="12.75" hidden="false" customHeight="false" outlineLevel="0" collapsed="false">
      <c r="B1340" s="228"/>
      <c r="C1340" s="229"/>
      <c r="D1340" s="219"/>
      <c r="E1340" s="220"/>
      <c r="F1340" s="229"/>
      <c r="G1340" s="220"/>
      <c r="H1340" s="220"/>
      <c r="I1340" s="220"/>
      <c r="J1340" s="220"/>
      <c r="K1340" s="220"/>
      <c r="L1340" s="220"/>
      <c r="M1340" s="220"/>
      <c r="N1340" s="220"/>
      <c r="O1340" s="220"/>
      <c r="P1340" s="220"/>
      <c r="Q1340" s="220"/>
      <c r="R1340" s="220"/>
      <c r="S1340" s="220"/>
      <c r="T1340" s="225"/>
      <c r="U1340" s="226"/>
      <c r="V1340" s="253"/>
    </row>
    <row r="1341" customFormat="false" ht="12.75" hidden="false" customHeight="false" outlineLevel="0" collapsed="false">
      <c r="B1341" s="228"/>
      <c r="C1341" s="229"/>
      <c r="D1341" s="219"/>
      <c r="E1341" s="220"/>
      <c r="F1341" s="229"/>
      <c r="G1341" s="220"/>
      <c r="H1341" s="220"/>
      <c r="I1341" s="220"/>
      <c r="J1341" s="220"/>
      <c r="K1341" s="220"/>
      <c r="L1341" s="220"/>
      <c r="M1341" s="220"/>
      <c r="N1341" s="220"/>
      <c r="O1341" s="220"/>
      <c r="P1341" s="220"/>
      <c r="Q1341" s="220"/>
      <c r="R1341" s="220"/>
      <c r="S1341" s="220"/>
      <c r="T1341" s="225"/>
      <c r="U1341" s="226"/>
      <c r="V1341" s="253"/>
    </row>
    <row r="1342" customFormat="false" ht="12.75" hidden="false" customHeight="false" outlineLevel="0" collapsed="false">
      <c r="B1342" s="228"/>
      <c r="C1342" s="229"/>
      <c r="D1342" s="219"/>
      <c r="E1342" s="220"/>
      <c r="F1342" s="229"/>
      <c r="G1342" s="220"/>
      <c r="H1342" s="220"/>
      <c r="I1342" s="220"/>
      <c r="J1342" s="220"/>
      <c r="K1342" s="220"/>
      <c r="L1342" s="220"/>
      <c r="M1342" s="220"/>
      <c r="N1342" s="220"/>
      <c r="O1342" s="220"/>
      <c r="P1342" s="220"/>
      <c r="Q1342" s="220"/>
      <c r="R1342" s="220"/>
      <c r="S1342" s="220"/>
      <c r="T1342" s="225"/>
      <c r="U1342" s="226"/>
      <c r="V1342" s="253"/>
    </row>
    <row r="1343" customFormat="false" ht="12.75" hidden="false" customHeight="false" outlineLevel="0" collapsed="false">
      <c r="B1343" s="228"/>
      <c r="C1343" s="229"/>
      <c r="D1343" s="219"/>
      <c r="E1343" s="220"/>
      <c r="F1343" s="229"/>
      <c r="G1343" s="220"/>
      <c r="H1343" s="220"/>
      <c r="I1343" s="220"/>
      <c r="J1343" s="220"/>
      <c r="K1343" s="220"/>
      <c r="L1343" s="220"/>
      <c r="M1343" s="220"/>
      <c r="N1343" s="220"/>
      <c r="O1343" s="220"/>
      <c r="P1343" s="220"/>
      <c r="Q1343" s="220"/>
      <c r="R1343" s="220"/>
      <c r="S1343" s="220"/>
      <c r="T1343" s="225"/>
      <c r="U1343" s="226"/>
      <c r="V1343" s="253"/>
    </row>
    <row r="1344" customFormat="false" ht="12.75" hidden="false" customHeight="false" outlineLevel="0" collapsed="false">
      <c r="B1344" s="228"/>
      <c r="C1344" s="229"/>
      <c r="D1344" s="219"/>
      <c r="E1344" s="220"/>
      <c r="F1344" s="229"/>
      <c r="G1344" s="220"/>
      <c r="H1344" s="220"/>
      <c r="I1344" s="220"/>
      <c r="J1344" s="220"/>
      <c r="K1344" s="220"/>
      <c r="L1344" s="220"/>
      <c r="M1344" s="220"/>
      <c r="N1344" s="220"/>
      <c r="O1344" s="220"/>
      <c r="P1344" s="220"/>
      <c r="Q1344" s="220"/>
      <c r="R1344" s="220"/>
      <c r="S1344" s="220"/>
      <c r="T1344" s="225"/>
      <c r="U1344" s="226"/>
      <c r="V1344" s="253"/>
    </row>
    <row r="1345" customFormat="false" ht="12.75" hidden="false" customHeight="false" outlineLevel="0" collapsed="false">
      <c r="B1345" s="228"/>
      <c r="C1345" s="229"/>
      <c r="D1345" s="219"/>
      <c r="E1345" s="220"/>
      <c r="F1345" s="229"/>
      <c r="G1345" s="220"/>
      <c r="H1345" s="220"/>
      <c r="I1345" s="220"/>
      <c r="J1345" s="220"/>
      <c r="K1345" s="220"/>
      <c r="L1345" s="220"/>
      <c r="M1345" s="220"/>
      <c r="N1345" s="220"/>
      <c r="O1345" s="220"/>
      <c r="P1345" s="220"/>
      <c r="Q1345" s="220"/>
      <c r="R1345" s="220"/>
      <c r="S1345" s="220"/>
      <c r="T1345" s="225"/>
      <c r="U1345" s="226"/>
      <c r="V1345" s="253"/>
    </row>
    <row r="1346" customFormat="false" ht="12.75" hidden="false" customHeight="false" outlineLevel="0" collapsed="false">
      <c r="B1346" s="228"/>
      <c r="C1346" s="229"/>
      <c r="D1346" s="219"/>
      <c r="E1346" s="220"/>
      <c r="F1346" s="229"/>
      <c r="G1346" s="220"/>
      <c r="H1346" s="220"/>
      <c r="I1346" s="220"/>
      <c r="J1346" s="220"/>
      <c r="K1346" s="220"/>
      <c r="L1346" s="220"/>
      <c r="M1346" s="220"/>
      <c r="N1346" s="220"/>
      <c r="O1346" s="220"/>
      <c r="P1346" s="220"/>
      <c r="Q1346" s="220"/>
      <c r="R1346" s="220"/>
      <c r="S1346" s="220"/>
      <c r="T1346" s="225"/>
      <c r="U1346" s="226"/>
      <c r="V1346" s="253"/>
    </row>
    <row r="1347" customFormat="false" ht="12.75" hidden="false" customHeight="false" outlineLevel="0" collapsed="false">
      <c r="B1347" s="228"/>
      <c r="C1347" s="229"/>
      <c r="D1347" s="219"/>
      <c r="E1347" s="220"/>
      <c r="F1347" s="229"/>
      <c r="G1347" s="220"/>
      <c r="H1347" s="220"/>
      <c r="I1347" s="220"/>
      <c r="J1347" s="220"/>
      <c r="K1347" s="220"/>
      <c r="L1347" s="220"/>
      <c r="M1347" s="220"/>
      <c r="N1347" s="220"/>
      <c r="O1347" s="220"/>
      <c r="P1347" s="220"/>
      <c r="Q1347" s="220"/>
      <c r="R1347" s="220"/>
      <c r="S1347" s="220"/>
      <c r="T1347" s="225"/>
      <c r="U1347" s="226"/>
      <c r="V1347" s="253"/>
    </row>
    <row r="1348" customFormat="false" ht="12.75" hidden="false" customHeight="false" outlineLevel="0" collapsed="false">
      <c r="B1348" s="228"/>
      <c r="C1348" s="229"/>
      <c r="D1348" s="219"/>
      <c r="E1348" s="220"/>
      <c r="F1348" s="229"/>
      <c r="G1348" s="220"/>
      <c r="H1348" s="220"/>
      <c r="I1348" s="220"/>
      <c r="J1348" s="220"/>
      <c r="K1348" s="220"/>
      <c r="L1348" s="220"/>
      <c r="M1348" s="220"/>
      <c r="N1348" s="220"/>
      <c r="O1348" s="220"/>
      <c r="P1348" s="220"/>
      <c r="Q1348" s="220"/>
      <c r="R1348" s="220"/>
      <c r="S1348" s="220"/>
      <c r="T1348" s="225"/>
      <c r="U1348" s="226"/>
      <c r="V1348" s="253"/>
    </row>
    <row r="1349" customFormat="false" ht="12.75" hidden="false" customHeight="false" outlineLevel="0" collapsed="false">
      <c r="B1349" s="228"/>
      <c r="C1349" s="229"/>
      <c r="D1349" s="219"/>
      <c r="E1349" s="220"/>
      <c r="F1349" s="229"/>
      <c r="G1349" s="220"/>
      <c r="H1349" s="220"/>
      <c r="I1349" s="220"/>
      <c r="J1349" s="220"/>
      <c r="K1349" s="220"/>
      <c r="L1349" s="220"/>
      <c r="M1349" s="220"/>
      <c r="N1349" s="220"/>
      <c r="O1349" s="220"/>
      <c r="P1349" s="220"/>
      <c r="Q1349" s="220"/>
      <c r="R1349" s="220"/>
      <c r="S1349" s="220"/>
      <c r="T1349" s="225"/>
      <c r="U1349" s="226"/>
      <c r="V1349" s="253"/>
    </row>
    <row r="1350" customFormat="false" ht="12.75" hidden="false" customHeight="false" outlineLevel="0" collapsed="false">
      <c r="B1350" s="228"/>
      <c r="C1350" s="229"/>
      <c r="D1350" s="219"/>
      <c r="E1350" s="220"/>
      <c r="F1350" s="229"/>
      <c r="G1350" s="220"/>
      <c r="H1350" s="220"/>
      <c r="I1350" s="220"/>
      <c r="J1350" s="220"/>
      <c r="K1350" s="220"/>
      <c r="L1350" s="220"/>
      <c r="M1350" s="220"/>
      <c r="N1350" s="220"/>
      <c r="O1350" s="220"/>
      <c r="P1350" s="220"/>
      <c r="Q1350" s="220"/>
      <c r="R1350" s="220"/>
      <c r="S1350" s="220"/>
      <c r="T1350" s="225"/>
      <c r="U1350" s="226"/>
      <c r="V1350" s="253"/>
    </row>
    <row r="1351" customFormat="false" ht="12.75" hidden="false" customHeight="false" outlineLevel="0" collapsed="false">
      <c r="B1351" s="228"/>
      <c r="C1351" s="229"/>
      <c r="D1351" s="219"/>
      <c r="E1351" s="220"/>
      <c r="F1351" s="229"/>
      <c r="G1351" s="220"/>
      <c r="H1351" s="220"/>
      <c r="I1351" s="220"/>
      <c r="J1351" s="220"/>
      <c r="K1351" s="220"/>
      <c r="L1351" s="220"/>
      <c r="M1351" s="220"/>
      <c r="N1351" s="220"/>
      <c r="O1351" s="220"/>
      <c r="P1351" s="220"/>
      <c r="Q1351" s="220"/>
      <c r="R1351" s="220"/>
      <c r="S1351" s="220"/>
      <c r="T1351" s="225"/>
      <c r="U1351" s="226"/>
      <c r="V1351" s="253"/>
    </row>
    <row r="1352" customFormat="false" ht="12.75" hidden="false" customHeight="false" outlineLevel="0" collapsed="false">
      <c r="B1352" s="228"/>
      <c r="C1352" s="229"/>
      <c r="D1352" s="219"/>
      <c r="E1352" s="220"/>
      <c r="F1352" s="229"/>
      <c r="G1352" s="220"/>
      <c r="H1352" s="220"/>
      <c r="I1352" s="220"/>
      <c r="J1352" s="220"/>
      <c r="K1352" s="220"/>
      <c r="L1352" s="220"/>
      <c r="M1352" s="220"/>
      <c r="N1352" s="220"/>
      <c r="O1352" s="220"/>
      <c r="P1352" s="220"/>
      <c r="Q1352" s="220"/>
      <c r="R1352" s="220"/>
      <c r="S1352" s="220"/>
      <c r="T1352" s="225"/>
      <c r="U1352" s="226"/>
      <c r="V1352" s="253"/>
    </row>
    <row r="1353" customFormat="false" ht="12.75" hidden="false" customHeight="false" outlineLevel="0" collapsed="false">
      <c r="B1353" s="228"/>
      <c r="C1353" s="229"/>
      <c r="D1353" s="219"/>
      <c r="E1353" s="220"/>
      <c r="F1353" s="229"/>
      <c r="G1353" s="220"/>
      <c r="H1353" s="220"/>
      <c r="I1353" s="220"/>
      <c r="J1353" s="220"/>
      <c r="K1353" s="220"/>
      <c r="L1353" s="220"/>
      <c r="M1353" s="220"/>
      <c r="N1353" s="220"/>
      <c r="O1353" s="220"/>
      <c r="P1353" s="220"/>
      <c r="Q1353" s="220"/>
      <c r="R1353" s="220"/>
      <c r="S1353" s="220"/>
      <c r="T1353" s="225"/>
      <c r="U1353" s="226"/>
      <c r="V1353" s="253"/>
    </row>
    <row r="1354" customFormat="false" ht="12.75" hidden="false" customHeight="false" outlineLevel="0" collapsed="false">
      <c r="B1354" s="228"/>
      <c r="C1354" s="229"/>
      <c r="D1354" s="219"/>
      <c r="E1354" s="220"/>
      <c r="F1354" s="229"/>
      <c r="G1354" s="220"/>
      <c r="H1354" s="220"/>
      <c r="I1354" s="220"/>
      <c r="J1354" s="220"/>
      <c r="K1354" s="220"/>
      <c r="L1354" s="220"/>
      <c r="M1354" s="220"/>
      <c r="N1354" s="220"/>
      <c r="O1354" s="220"/>
      <c r="P1354" s="220"/>
      <c r="Q1354" s="220"/>
      <c r="R1354" s="220"/>
      <c r="S1354" s="220"/>
      <c r="T1354" s="225"/>
      <c r="U1354" s="226"/>
      <c r="V1354" s="253"/>
    </row>
    <row r="1355" customFormat="false" ht="12.75" hidden="false" customHeight="false" outlineLevel="0" collapsed="false">
      <c r="B1355" s="228"/>
      <c r="C1355" s="229"/>
      <c r="D1355" s="219"/>
      <c r="E1355" s="220"/>
      <c r="F1355" s="229"/>
      <c r="G1355" s="220"/>
      <c r="H1355" s="220"/>
      <c r="I1355" s="220"/>
      <c r="J1355" s="220"/>
      <c r="K1355" s="220"/>
      <c r="L1355" s="220"/>
      <c r="M1355" s="220"/>
      <c r="N1355" s="220"/>
      <c r="O1355" s="220"/>
      <c r="P1355" s="220"/>
      <c r="Q1355" s="220"/>
      <c r="R1355" s="220"/>
      <c r="S1355" s="220"/>
      <c r="T1355" s="225"/>
      <c r="U1355" s="226"/>
      <c r="V1355" s="253"/>
    </row>
    <row r="1356" customFormat="false" ht="12.75" hidden="false" customHeight="false" outlineLevel="0" collapsed="false">
      <c r="B1356" s="228"/>
      <c r="C1356" s="229"/>
      <c r="D1356" s="219"/>
      <c r="E1356" s="220"/>
      <c r="F1356" s="229"/>
      <c r="G1356" s="220"/>
      <c r="H1356" s="220"/>
      <c r="I1356" s="220"/>
      <c r="J1356" s="220"/>
      <c r="K1356" s="220"/>
      <c r="L1356" s="220"/>
      <c r="M1356" s="220"/>
      <c r="N1356" s="220"/>
      <c r="O1356" s="220"/>
      <c r="P1356" s="220"/>
      <c r="Q1356" s="220"/>
      <c r="R1356" s="220"/>
      <c r="S1356" s="220"/>
      <c r="T1356" s="225"/>
      <c r="U1356" s="226"/>
      <c r="V1356" s="253"/>
    </row>
    <row r="1357" customFormat="false" ht="12.75" hidden="false" customHeight="false" outlineLevel="0" collapsed="false">
      <c r="B1357" s="228"/>
      <c r="C1357" s="229"/>
      <c r="D1357" s="219"/>
      <c r="E1357" s="220"/>
      <c r="F1357" s="229"/>
      <c r="G1357" s="220"/>
      <c r="H1357" s="220"/>
      <c r="I1357" s="220"/>
      <c r="J1357" s="220"/>
      <c r="K1357" s="220"/>
      <c r="L1357" s="220"/>
      <c r="M1357" s="220"/>
      <c r="N1357" s="220"/>
      <c r="O1357" s="220"/>
      <c r="P1357" s="220"/>
      <c r="Q1357" s="220"/>
      <c r="R1357" s="220"/>
      <c r="S1357" s="220"/>
      <c r="T1357" s="225"/>
      <c r="U1357" s="226"/>
      <c r="V1357" s="253"/>
    </row>
    <row r="1358" customFormat="false" ht="12.75" hidden="false" customHeight="false" outlineLevel="0" collapsed="false">
      <c r="B1358" s="228"/>
      <c r="C1358" s="229"/>
      <c r="D1358" s="219"/>
      <c r="E1358" s="220"/>
      <c r="F1358" s="229"/>
      <c r="G1358" s="220"/>
      <c r="H1358" s="220"/>
      <c r="I1358" s="220"/>
      <c r="J1358" s="220"/>
      <c r="K1358" s="220"/>
      <c r="L1358" s="220"/>
      <c r="M1358" s="220"/>
      <c r="N1358" s="220"/>
      <c r="O1358" s="220"/>
      <c r="P1358" s="220"/>
      <c r="Q1358" s="220"/>
      <c r="R1358" s="220"/>
      <c r="S1358" s="220"/>
      <c r="T1358" s="225"/>
      <c r="U1358" s="226"/>
      <c r="V1358" s="253"/>
    </row>
    <row r="1359" customFormat="false" ht="12.75" hidden="false" customHeight="false" outlineLevel="0" collapsed="false">
      <c r="B1359" s="228"/>
      <c r="C1359" s="229"/>
      <c r="D1359" s="219"/>
      <c r="E1359" s="220"/>
      <c r="F1359" s="229"/>
      <c r="G1359" s="220"/>
      <c r="H1359" s="220"/>
      <c r="I1359" s="220"/>
      <c r="J1359" s="220"/>
      <c r="K1359" s="220"/>
      <c r="L1359" s="220"/>
      <c r="M1359" s="220"/>
      <c r="N1359" s="220"/>
      <c r="O1359" s="220"/>
      <c r="P1359" s="220"/>
      <c r="Q1359" s="220"/>
      <c r="R1359" s="220"/>
      <c r="S1359" s="220"/>
      <c r="T1359" s="225"/>
      <c r="U1359" s="226"/>
      <c r="V1359" s="253"/>
    </row>
    <row r="1360" customFormat="false" ht="12.75" hidden="false" customHeight="false" outlineLevel="0" collapsed="false">
      <c r="B1360" s="228"/>
      <c r="C1360" s="229"/>
      <c r="D1360" s="219"/>
      <c r="E1360" s="220"/>
      <c r="F1360" s="229"/>
      <c r="G1360" s="220"/>
      <c r="H1360" s="220"/>
      <c r="I1360" s="220"/>
      <c r="J1360" s="220"/>
      <c r="K1360" s="220"/>
      <c r="L1360" s="220"/>
      <c r="M1360" s="220"/>
      <c r="N1360" s="220"/>
      <c r="O1360" s="220"/>
      <c r="P1360" s="220"/>
      <c r="Q1360" s="220"/>
      <c r="R1360" s="220"/>
      <c r="S1360" s="220"/>
      <c r="T1360" s="225"/>
      <c r="U1360" s="226"/>
      <c r="V1360" s="253"/>
    </row>
    <row r="1361" customFormat="false" ht="12.75" hidden="false" customHeight="false" outlineLevel="0" collapsed="false">
      <c r="B1361" s="228"/>
      <c r="C1361" s="229"/>
      <c r="D1361" s="219"/>
      <c r="E1361" s="220"/>
      <c r="F1361" s="229"/>
      <c r="G1361" s="220"/>
      <c r="H1361" s="220"/>
      <c r="I1361" s="220"/>
      <c r="J1361" s="220"/>
      <c r="K1361" s="220"/>
      <c r="L1361" s="220"/>
      <c r="M1361" s="220"/>
      <c r="N1361" s="220"/>
      <c r="O1361" s="220"/>
      <c r="P1361" s="220"/>
      <c r="Q1361" s="220"/>
      <c r="R1361" s="220"/>
      <c r="S1361" s="220"/>
      <c r="T1361" s="225"/>
      <c r="U1361" s="226"/>
      <c r="V1361" s="253"/>
    </row>
    <row r="1362" customFormat="false" ht="12.75" hidden="false" customHeight="false" outlineLevel="0" collapsed="false">
      <c r="B1362" s="228"/>
      <c r="C1362" s="229"/>
      <c r="D1362" s="219"/>
      <c r="E1362" s="220"/>
      <c r="F1362" s="229"/>
      <c r="G1362" s="220"/>
      <c r="H1362" s="220"/>
      <c r="I1362" s="220"/>
      <c r="J1362" s="220"/>
      <c r="K1362" s="220"/>
      <c r="L1362" s="220"/>
      <c r="M1362" s="220"/>
      <c r="N1362" s="220"/>
      <c r="O1362" s="220"/>
      <c r="P1362" s="220"/>
      <c r="Q1362" s="220"/>
      <c r="R1362" s="220"/>
      <c r="S1362" s="220"/>
      <c r="T1362" s="225"/>
      <c r="U1362" s="226"/>
      <c r="V1362" s="253"/>
    </row>
    <row r="1363" customFormat="false" ht="12.75" hidden="false" customHeight="false" outlineLevel="0" collapsed="false">
      <c r="B1363" s="228"/>
      <c r="C1363" s="229"/>
      <c r="D1363" s="219"/>
      <c r="E1363" s="220"/>
      <c r="F1363" s="229"/>
      <c r="G1363" s="220"/>
      <c r="H1363" s="220"/>
      <c r="I1363" s="220"/>
      <c r="J1363" s="220"/>
      <c r="K1363" s="220"/>
      <c r="L1363" s="220"/>
      <c r="M1363" s="220"/>
      <c r="N1363" s="220"/>
      <c r="O1363" s="220"/>
      <c r="P1363" s="220"/>
      <c r="Q1363" s="220"/>
      <c r="R1363" s="220"/>
      <c r="S1363" s="220"/>
      <c r="T1363" s="225"/>
      <c r="U1363" s="226"/>
      <c r="V1363" s="253"/>
    </row>
    <row r="1364" customFormat="false" ht="12.75" hidden="false" customHeight="false" outlineLevel="0" collapsed="false">
      <c r="B1364" s="228"/>
      <c r="C1364" s="229"/>
      <c r="D1364" s="219"/>
      <c r="E1364" s="220"/>
      <c r="F1364" s="229"/>
      <c r="G1364" s="220"/>
      <c r="H1364" s="220"/>
      <c r="I1364" s="220"/>
      <c r="J1364" s="220"/>
      <c r="K1364" s="220"/>
      <c r="L1364" s="220"/>
      <c r="M1364" s="220"/>
      <c r="N1364" s="220"/>
      <c r="O1364" s="220"/>
      <c r="P1364" s="220"/>
      <c r="Q1364" s="220"/>
      <c r="R1364" s="220"/>
      <c r="S1364" s="220"/>
      <c r="T1364" s="225"/>
      <c r="U1364" s="226"/>
      <c r="V1364" s="253"/>
    </row>
    <row r="1365" customFormat="false" ht="12.75" hidden="false" customHeight="false" outlineLevel="0" collapsed="false">
      <c r="B1365" s="228"/>
      <c r="C1365" s="229"/>
      <c r="D1365" s="219"/>
      <c r="E1365" s="220"/>
      <c r="F1365" s="229"/>
      <c r="G1365" s="220"/>
      <c r="H1365" s="220"/>
      <c r="I1365" s="220"/>
      <c r="J1365" s="220"/>
      <c r="K1365" s="220"/>
      <c r="L1365" s="220"/>
      <c r="M1365" s="220"/>
      <c r="N1365" s="220"/>
      <c r="O1365" s="220"/>
      <c r="P1365" s="220"/>
      <c r="Q1365" s="220"/>
      <c r="R1365" s="220"/>
      <c r="S1365" s="220"/>
      <c r="T1365" s="225"/>
      <c r="U1365" s="226"/>
      <c r="V1365" s="253"/>
    </row>
    <row r="1366" customFormat="false" ht="12.75" hidden="false" customHeight="false" outlineLevel="0" collapsed="false">
      <c r="B1366" s="228"/>
      <c r="C1366" s="229"/>
      <c r="D1366" s="219"/>
      <c r="E1366" s="220"/>
      <c r="F1366" s="229"/>
      <c r="G1366" s="220"/>
      <c r="H1366" s="220"/>
      <c r="I1366" s="220"/>
      <c r="J1366" s="220"/>
      <c r="K1366" s="220"/>
      <c r="L1366" s="220"/>
      <c r="M1366" s="220"/>
      <c r="N1366" s="220"/>
      <c r="O1366" s="220"/>
      <c r="P1366" s="220"/>
      <c r="Q1366" s="220"/>
      <c r="R1366" s="220"/>
      <c r="S1366" s="220"/>
      <c r="T1366" s="225"/>
      <c r="U1366" s="226"/>
      <c r="V1366" s="253"/>
    </row>
    <row r="1367" customFormat="false" ht="12.75" hidden="false" customHeight="false" outlineLevel="0" collapsed="false">
      <c r="B1367" s="228"/>
      <c r="C1367" s="229"/>
      <c r="D1367" s="219"/>
      <c r="E1367" s="220"/>
      <c r="F1367" s="229"/>
      <c r="G1367" s="220"/>
      <c r="H1367" s="220"/>
      <c r="I1367" s="220"/>
      <c r="J1367" s="220"/>
      <c r="K1367" s="220"/>
      <c r="L1367" s="220"/>
      <c r="M1367" s="220"/>
      <c r="N1367" s="220"/>
      <c r="O1367" s="220"/>
      <c r="P1367" s="220"/>
      <c r="Q1367" s="220"/>
      <c r="R1367" s="220"/>
      <c r="S1367" s="220"/>
      <c r="T1367" s="225"/>
      <c r="U1367" s="226"/>
      <c r="V1367" s="253"/>
    </row>
    <row r="1368" customFormat="false" ht="12.75" hidden="false" customHeight="false" outlineLevel="0" collapsed="false">
      <c r="B1368" s="228"/>
      <c r="C1368" s="229"/>
      <c r="D1368" s="219"/>
      <c r="E1368" s="220"/>
      <c r="F1368" s="229"/>
      <c r="G1368" s="220"/>
      <c r="H1368" s="220"/>
      <c r="I1368" s="220"/>
      <c r="J1368" s="220"/>
      <c r="K1368" s="220"/>
      <c r="L1368" s="220"/>
      <c r="M1368" s="220"/>
      <c r="N1368" s="220"/>
      <c r="O1368" s="220"/>
      <c r="P1368" s="220"/>
      <c r="Q1368" s="220"/>
      <c r="R1368" s="220"/>
      <c r="S1368" s="220"/>
      <c r="T1368" s="225"/>
      <c r="U1368" s="226"/>
      <c r="V1368" s="253"/>
    </row>
    <row r="1369" customFormat="false" ht="12.75" hidden="false" customHeight="false" outlineLevel="0" collapsed="false">
      <c r="B1369" s="228"/>
      <c r="C1369" s="229"/>
      <c r="D1369" s="219"/>
      <c r="E1369" s="220"/>
      <c r="F1369" s="229"/>
      <c r="G1369" s="220"/>
      <c r="H1369" s="220"/>
      <c r="I1369" s="220"/>
      <c r="J1369" s="220"/>
      <c r="K1369" s="220"/>
      <c r="L1369" s="220"/>
      <c r="M1369" s="220"/>
      <c r="N1369" s="220"/>
      <c r="O1369" s="220"/>
      <c r="P1369" s="220"/>
      <c r="Q1369" s="220"/>
      <c r="R1369" s="220"/>
      <c r="S1369" s="220"/>
      <c r="T1369" s="225"/>
      <c r="U1369" s="226"/>
      <c r="V1369" s="253"/>
    </row>
    <row r="1370" customFormat="false" ht="12.75" hidden="false" customHeight="false" outlineLevel="0" collapsed="false">
      <c r="B1370" s="228"/>
      <c r="C1370" s="229"/>
      <c r="D1370" s="219"/>
      <c r="E1370" s="220"/>
      <c r="F1370" s="229"/>
      <c r="G1370" s="220"/>
      <c r="H1370" s="220"/>
      <c r="I1370" s="220"/>
      <c r="J1370" s="220"/>
      <c r="K1370" s="220"/>
      <c r="L1370" s="220"/>
      <c r="M1370" s="220"/>
      <c r="N1370" s="220"/>
      <c r="O1370" s="220"/>
      <c r="P1370" s="220"/>
      <c r="Q1370" s="220"/>
      <c r="R1370" s="220"/>
      <c r="S1370" s="220"/>
      <c r="T1370" s="225"/>
      <c r="U1370" s="226"/>
      <c r="V1370" s="253"/>
    </row>
    <row r="1371" customFormat="false" ht="12.75" hidden="false" customHeight="false" outlineLevel="0" collapsed="false">
      <c r="B1371" s="228"/>
      <c r="C1371" s="229"/>
      <c r="D1371" s="219"/>
      <c r="E1371" s="220"/>
      <c r="F1371" s="229"/>
      <c r="G1371" s="220"/>
      <c r="H1371" s="220"/>
      <c r="I1371" s="220"/>
      <c r="J1371" s="220"/>
      <c r="K1371" s="220"/>
      <c r="L1371" s="220"/>
      <c r="M1371" s="220"/>
      <c r="N1371" s="220"/>
      <c r="O1371" s="220"/>
      <c r="P1371" s="220"/>
      <c r="Q1371" s="220"/>
      <c r="R1371" s="220"/>
      <c r="S1371" s="220"/>
      <c r="T1371" s="225"/>
      <c r="U1371" s="226"/>
      <c r="V1371" s="253"/>
    </row>
    <row r="1372" customFormat="false" ht="12.75" hidden="false" customHeight="false" outlineLevel="0" collapsed="false">
      <c r="B1372" s="228"/>
      <c r="C1372" s="229"/>
      <c r="D1372" s="219"/>
      <c r="E1372" s="220"/>
      <c r="F1372" s="229"/>
      <c r="G1372" s="220"/>
      <c r="H1372" s="220"/>
      <c r="I1372" s="220"/>
      <c r="J1372" s="220"/>
      <c r="K1372" s="220"/>
      <c r="L1372" s="220"/>
      <c r="M1372" s="220"/>
      <c r="N1372" s="220"/>
      <c r="O1372" s="220"/>
      <c r="P1372" s="220"/>
      <c r="Q1372" s="220"/>
      <c r="R1372" s="220"/>
      <c r="S1372" s="220"/>
      <c r="T1372" s="225"/>
      <c r="U1372" s="226"/>
      <c r="V1372" s="253"/>
    </row>
    <row r="1373" customFormat="false" ht="12.75" hidden="false" customHeight="false" outlineLevel="0" collapsed="false">
      <c r="B1373" s="228"/>
      <c r="C1373" s="229"/>
      <c r="D1373" s="219"/>
      <c r="E1373" s="220"/>
      <c r="F1373" s="229"/>
      <c r="G1373" s="220"/>
      <c r="H1373" s="220"/>
      <c r="I1373" s="220"/>
      <c r="J1373" s="220"/>
      <c r="K1373" s="220"/>
      <c r="L1373" s="220"/>
      <c r="M1373" s="220"/>
      <c r="N1373" s="220"/>
      <c r="O1373" s="220"/>
      <c r="P1373" s="220"/>
      <c r="Q1373" s="220"/>
      <c r="R1373" s="220"/>
      <c r="S1373" s="220"/>
      <c r="T1373" s="225"/>
      <c r="U1373" s="226"/>
      <c r="V1373" s="253"/>
    </row>
    <row r="1374" customFormat="false" ht="12.75" hidden="false" customHeight="false" outlineLevel="0" collapsed="false">
      <c r="B1374" s="228"/>
      <c r="C1374" s="229"/>
      <c r="D1374" s="219"/>
      <c r="E1374" s="220"/>
      <c r="F1374" s="229"/>
      <c r="G1374" s="220"/>
      <c r="H1374" s="220"/>
      <c r="I1374" s="220"/>
      <c r="J1374" s="220"/>
      <c r="K1374" s="220"/>
      <c r="L1374" s="220"/>
      <c r="M1374" s="220"/>
      <c r="N1374" s="220"/>
      <c r="O1374" s="220"/>
      <c r="P1374" s="220"/>
      <c r="Q1374" s="220"/>
      <c r="R1374" s="220"/>
      <c r="S1374" s="220"/>
      <c r="T1374" s="225"/>
      <c r="U1374" s="226"/>
      <c r="V1374" s="253"/>
    </row>
    <row r="1375" customFormat="false" ht="12.75" hidden="false" customHeight="false" outlineLevel="0" collapsed="false">
      <c r="B1375" s="228"/>
      <c r="C1375" s="229"/>
      <c r="D1375" s="219"/>
      <c r="E1375" s="220"/>
      <c r="F1375" s="229"/>
      <c r="G1375" s="220"/>
      <c r="H1375" s="220"/>
      <c r="I1375" s="220"/>
      <c r="J1375" s="220"/>
      <c r="K1375" s="220"/>
      <c r="L1375" s="220"/>
      <c r="M1375" s="220"/>
      <c r="N1375" s="220"/>
      <c r="O1375" s="220"/>
      <c r="P1375" s="220"/>
      <c r="Q1375" s="220"/>
      <c r="R1375" s="220"/>
      <c r="S1375" s="220"/>
      <c r="T1375" s="225"/>
      <c r="U1375" s="226"/>
      <c r="V1375" s="253"/>
    </row>
    <row r="1376" customFormat="false" ht="12.75" hidden="false" customHeight="false" outlineLevel="0" collapsed="false">
      <c r="B1376" s="228"/>
      <c r="C1376" s="229"/>
      <c r="D1376" s="219"/>
      <c r="E1376" s="220"/>
      <c r="F1376" s="229"/>
      <c r="G1376" s="220"/>
      <c r="H1376" s="220"/>
      <c r="I1376" s="220"/>
      <c r="J1376" s="220"/>
      <c r="K1376" s="220"/>
      <c r="L1376" s="220"/>
      <c r="M1376" s="220"/>
      <c r="N1376" s="220"/>
      <c r="O1376" s="220"/>
      <c r="P1376" s="220"/>
      <c r="Q1376" s="220"/>
      <c r="R1376" s="220"/>
      <c r="S1376" s="220"/>
      <c r="T1376" s="225"/>
      <c r="U1376" s="226"/>
      <c r="V1376" s="253"/>
    </row>
    <row r="1377" customFormat="false" ht="12.75" hidden="false" customHeight="false" outlineLevel="0" collapsed="false">
      <c r="B1377" s="228"/>
      <c r="C1377" s="229"/>
      <c r="D1377" s="219"/>
      <c r="E1377" s="220"/>
      <c r="F1377" s="229"/>
      <c r="G1377" s="220"/>
      <c r="H1377" s="220"/>
      <c r="I1377" s="220"/>
      <c r="J1377" s="220"/>
      <c r="K1377" s="220"/>
      <c r="L1377" s="220"/>
      <c r="M1377" s="220"/>
      <c r="N1377" s="220"/>
      <c r="O1377" s="220"/>
      <c r="P1377" s="220"/>
      <c r="Q1377" s="220"/>
      <c r="R1377" s="220"/>
      <c r="S1377" s="220"/>
      <c r="T1377" s="225"/>
      <c r="U1377" s="226"/>
      <c r="V1377" s="253"/>
    </row>
    <row r="1378" customFormat="false" ht="12.75" hidden="false" customHeight="false" outlineLevel="0" collapsed="false">
      <c r="B1378" s="228"/>
      <c r="C1378" s="229"/>
      <c r="D1378" s="219"/>
      <c r="E1378" s="220"/>
      <c r="F1378" s="229"/>
      <c r="G1378" s="220"/>
      <c r="H1378" s="220"/>
      <c r="I1378" s="220"/>
      <c r="J1378" s="220"/>
      <c r="K1378" s="220"/>
      <c r="L1378" s="220"/>
      <c r="M1378" s="220"/>
      <c r="N1378" s="220"/>
      <c r="O1378" s="220"/>
      <c r="P1378" s="220"/>
      <c r="Q1378" s="220"/>
      <c r="R1378" s="220"/>
      <c r="S1378" s="220"/>
      <c r="T1378" s="225"/>
      <c r="U1378" s="226"/>
      <c r="V1378" s="253"/>
    </row>
    <row r="1379" customFormat="false" ht="12.75" hidden="false" customHeight="false" outlineLevel="0" collapsed="false">
      <c r="B1379" s="228"/>
      <c r="C1379" s="229"/>
      <c r="D1379" s="219"/>
      <c r="E1379" s="220"/>
      <c r="F1379" s="229"/>
      <c r="G1379" s="220"/>
      <c r="H1379" s="220"/>
      <c r="I1379" s="220"/>
      <c r="J1379" s="220"/>
      <c r="K1379" s="220"/>
      <c r="L1379" s="220"/>
      <c r="M1379" s="220"/>
      <c r="N1379" s="220"/>
      <c r="O1379" s="220"/>
      <c r="P1379" s="220"/>
      <c r="Q1379" s="220"/>
      <c r="R1379" s="220"/>
      <c r="S1379" s="220"/>
      <c r="T1379" s="225"/>
      <c r="U1379" s="226"/>
      <c r="V1379" s="253"/>
    </row>
    <row r="1380" customFormat="false" ht="12.75" hidden="false" customHeight="false" outlineLevel="0" collapsed="false">
      <c r="B1380" s="228"/>
      <c r="C1380" s="229"/>
      <c r="D1380" s="219"/>
      <c r="E1380" s="220"/>
      <c r="F1380" s="229"/>
      <c r="G1380" s="220"/>
      <c r="H1380" s="220"/>
      <c r="I1380" s="220"/>
      <c r="J1380" s="220"/>
      <c r="K1380" s="220"/>
      <c r="L1380" s="220"/>
      <c r="M1380" s="220"/>
      <c r="N1380" s="220"/>
      <c r="O1380" s="220"/>
      <c r="P1380" s="220"/>
      <c r="Q1380" s="220"/>
      <c r="R1380" s="220"/>
      <c r="S1380" s="220"/>
      <c r="T1380" s="225"/>
      <c r="U1380" s="226"/>
      <c r="V1380" s="253"/>
    </row>
    <row r="1381" customFormat="false" ht="12.75" hidden="false" customHeight="false" outlineLevel="0" collapsed="false">
      <c r="B1381" s="228"/>
      <c r="C1381" s="229"/>
      <c r="D1381" s="219"/>
      <c r="E1381" s="220"/>
      <c r="F1381" s="229"/>
      <c r="G1381" s="220"/>
      <c r="H1381" s="220"/>
      <c r="I1381" s="220"/>
      <c r="J1381" s="220"/>
      <c r="K1381" s="220"/>
      <c r="L1381" s="220"/>
      <c r="M1381" s="220"/>
      <c r="N1381" s="220"/>
      <c r="O1381" s="220"/>
      <c r="P1381" s="220"/>
      <c r="Q1381" s="220"/>
      <c r="R1381" s="220"/>
      <c r="S1381" s="220"/>
      <c r="T1381" s="225"/>
      <c r="U1381" s="226"/>
      <c r="V1381" s="253"/>
    </row>
    <row r="1382" customFormat="false" ht="12.75" hidden="false" customHeight="false" outlineLevel="0" collapsed="false">
      <c r="B1382" s="228"/>
      <c r="C1382" s="229"/>
      <c r="D1382" s="219"/>
      <c r="E1382" s="220"/>
      <c r="F1382" s="229"/>
      <c r="G1382" s="220"/>
      <c r="H1382" s="220"/>
      <c r="I1382" s="220"/>
      <c r="J1382" s="220"/>
      <c r="K1382" s="220"/>
      <c r="L1382" s="220"/>
      <c r="M1382" s="220"/>
      <c r="N1382" s="220"/>
      <c r="O1382" s="220"/>
      <c r="P1382" s="220"/>
      <c r="Q1382" s="220"/>
      <c r="R1382" s="220"/>
      <c r="S1382" s="220"/>
      <c r="T1382" s="225"/>
      <c r="U1382" s="226"/>
      <c r="V1382" s="253"/>
    </row>
    <row r="1383" customFormat="false" ht="12.75" hidden="false" customHeight="false" outlineLevel="0" collapsed="false">
      <c r="B1383" s="228"/>
      <c r="C1383" s="229"/>
      <c r="D1383" s="219"/>
      <c r="E1383" s="220"/>
      <c r="F1383" s="229"/>
      <c r="G1383" s="220"/>
      <c r="H1383" s="220"/>
      <c r="I1383" s="220"/>
      <c r="J1383" s="220"/>
      <c r="K1383" s="220"/>
      <c r="L1383" s="220"/>
      <c r="M1383" s="220"/>
      <c r="N1383" s="220"/>
      <c r="O1383" s="220"/>
      <c r="P1383" s="220"/>
      <c r="Q1383" s="220"/>
      <c r="R1383" s="220"/>
      <c r="S1383" s="220"/>
      <c r="T1383" s="225"/>
      <c r="U1383" s="226"/>
      <c r="V1383" s="253"/>
    </row>
    <row r="1384" customFormat="false" ht="12.75" hidden="false" customHeight="false" outlineLevel="0" collapsed="false">
      <c r="B1384" s="228"/>
      <c r="C1384" s="229"/>
      <c r="D1384" s="219"/>
      <c r="E1384" s="220"/>
      <c r="F1384" s="229"/>
      <c r="G1384" s="220"/>
      <c r="H1384" s="220"/>
      <c r="I1384" s="220"/>
      <c r="J1384" s="220"/>
      <c r="K1384" s="220"/>
      <c r="L1384" s="220"/>
      <c r="M1384" s="220"/>
      <c r="N1384" s="220"/>
      <c r="O1384" s="220"/>
      <c r="P1384" s="220"/>
      <c r="Q1384" s="220"/>
      <c r="R1384" s="220"/>
      <c r="S1384" s="220"/>
      <c r="T1384" s="225"/>
      <c r="U1384" s="226"/>
      <c r="V1384" s="253"/>
    </row>
    <row r="1385" customFormat="false" ht="12.75" hidden="false" customHeight="false" outlineLevel="0" collapsed="false">
      <c r="B1385" s="228"/>
      <c r="C1385" s="229"/>
      <c r="D1385" s="219"/>
      <c r="E1385" s="220"/>
      <c r="F1385" s="229"/>
      <c r="G1385" s="220"/>
      <c r="H1385" s="220"/>
      <c r="I1385" s="220"/>
      <c r="J1385" s="220"/>
      <c r="K1385" s="220"/>
      <c r="L1385" s="220"/>
      <c r="M1385" s="220"/>
      <c r="N1385" s="220"/>
      <c r="O1385" s="220"/>
      <c r="P1385" s="220"/>
      <c r="Q1385" s="220"/>
      <c r="R1385" s="220"/>
      <c r="S1385" s="220"/>
      <c r="T1385" s="225"/>
      <c r="U1385" s="226"/>
      <c r="V1385" s="253"/>
    </row>
    <row r="1386" customFormat="false" ht="12.75" hidden="false" customHeight="false" outlineLevel="0" collapsed="false">
      <c r="B1386" s="228"/>
      <c r="C1386" s="229"/>
      <c r="D1386" s="219"/>
      <c r="E1386" s="220"/>
      <c r="F1386" s="229"/>
      <c r="G1386" s="220"/>
      <c r="H1386" s="220"/>
      <c r="I1386" s="220"/>
      <c r="J1386" s="220"/>
      <c r="K1386" s="220"/>
      <c r="L1386" s="220"/>
      <c r="M1386" s="220"/>
      <c r="N1386" s="220"/>
      <c r="O1386" s="220"/>
      <c r="P1386" s="220"/>
      <c r="Q1386" s="220"/>
      <c r="R1386" s="220"/>
      <c r="S1386" s="220"/>
      <c r="T1386" s="225"/>
      <c r="U1386" s="226"/>
      <c r="V1386" s="253"/>
    </row>
    <row r="1387" customFormat="false" ht="12.75" hidden="false" customHeight="false" outlineLevel="0" collapsed="false">
      <c r="B1387" s="228"/>
      <c r="C1387" s="229"/>
      <c r="D1387" s="219"/>
      <c r="E1387" s="220"/>
      <c r="F1387" s="229"/>
      <c r="G1387" s="220"/>
      <c r="H1387" s="220"/>
      <c r="I1387" s="220"/>
      <c r="J1387" s="220"/>
      <c r="K1387" s="220"/>
      <c r="L1387" s="220"/>
      <c r="M1387" s="220"/>
      <c r="N1387" s="220"/>
      <c r="O1387" s="220"/>
      <c r="P1387" s="220"/>
      <c r="Q1387" s="220"/>
      <c r="R1387" s="220"/>
      <c r="S1387" s="220"/>
      <c r="T1387" s="225"/>
      <c r="U1387" s="226"/>
      <c r="V1387" s="253"/>
    </row>
    <row r="1388" customFormat="false" ht="12.75" hidden="false" customHeight="false" outlineLevel="0" collapsed="false">
      <c r="B1388" s="228"/>
      <c r="C1388" s="229"/>
      <c r="D1388" s="219"/>
      <c r="E1388" s="220"/>
      <c r="F1388" s="229"/>
      <c r="G1388" s="220"/>
      <c r="H1388" s="220"/>
      <c r="I1388" s="220"/>
      <c r="J1388" s="220"/>
      <c r="K1388" s="220"/>
      <c r="L1388" s="220"/>
      <c r="M1388" s="220"/>
      <c r="N1388" s="220"/>
      <c r="O1388" s="220"/>
      <c r="P1388" s="220"/>
      <c r="Q1388" s="220"/>
      <c r="R1388" s="220"/>
      <c r="S1388" s="220"/>
      <c r="T1388" s="225"/>
      <c r="U1388" s="226"/>
      <c r="V1388" s="253"/>
    </row>
    <row r="1389" customFormat="false" ht="12.75" hidden="false" customHeight="false" outlineLevel="0" collapsed="false">
      <c r="B1389" s="228"/>
      <c r="C1389" s="229"/>
      <c r="D1389" s="219"/>
      <c r="E1389" s="220"/>
      <c r="F1389" s="229"/>
      <c r="G1389" s="220"/>
      <c r="H1389" s="220"/>
      <c r="I1389" s="220"/>
      <c r="J1389" s="220"/>
      <c r="K1389" s="220"/>
      <c r="L1389" s="220"/>
      <c r="M1389" s="220"/>
      <c r="N1389" s="220"/>
      <c r="O1389" s="220"/>
      <c r="P1389" s="220"/>
      <c r="Q1389" s="220"/>
      <c r="R1389" s="220"/>
      <c r="S1389" s="220"/>
      <c r="T1389" s="225"/>
      <c r="U1389" s="226"/>
      <c r="V1389" s="253"/>
    </row>
    <row r="1390" customFormat="false" ht="12.75" hidden="false" customHeight="false" outlineLevel="0" collapsed="false">
      <c r="B1390" s="228"/>
      <c r="C1390" s="229"/>
      <c r="D1390" s="219"/>
      <c r="E1390" s="220"/>
      <c r="F1390" s="229"/>
      <c r="G1390" s="220"/>
      <c r="H1390" s="220"/>
      <c r="I1390" s="220"/>
      <c r="J1390" s="220"/>
      <c r="K1390" s="220"/>
      <c r="L1390" s="220"/>
      <c r="M1390" s="220"/>
      <c r="N1390" s="220"/>
      <c r="O1390" s="220"/>
      <c r="P1390" s="220"/>
      <c r="Q1390" s="220"/>
      <c r="R1390" s="220"/>
      <c r="S1390" s="220"/>
      <c r="T1390" s="225"/>
      <c r="U1390" s="226"/>
      <c r="V1390" s="253"/>
    </row>
    <row r="1391" customFormat="false" ht="12.75" hidden="false" customHeight="false" outlineLevel="0" collapsed="false">
      <c r="B1391" s="228"/>
      <c r="C1391" s="229"/>
      <c r="D1391" s="219"/>
      <c r="E1391" s="220"/>
      <c r="F1391" s="229"/>
      <c r="G1391" s="220"/>
      <c r="H1391" s="220"/>
      <c r="I1391" s="220"/>
      <c r="J1391" s="220"/>
      <c r="K1391" s="220"/>
      <c r="L1391" s="220"/>
      <c r="M1391" s="220"/>
      <c r="N1391" s="220"/>
      <c r="O1391" s="220"/>
      <c r="P1391" s="220"/>
      <c r="Q1391" s="220"/>
      <c r="R1391" s="220"/>
      <c r="S1391" s="220"/>
      <c r="T1391" s="225"/>
      <c r="U1391" s="226"/>
      <c r="V1391" s="253"/>
    </row>
    <row r="1392" customFormat="false" ht="12.75" hidden="false" customHeight="false" outlineLevel="0" collapsed="false">
      <c r="B1392" s="228"/>
      <c r="C1392" s="229"/>
      <c r="D1392" s="219"/>
      <c r="E1392" s="220"/>
      <c r="F1392" s="229"/>
      <c r="G1392" s="220"/>
      <c r="H1392" s="220"/>
      <c r="I1392" s="220"/>
      <c r="J1392" s="220"/>
      <c r="K1392" s="220"/>
      <c r="L1392" s="220"/>
      <c r="M1392" s="220"/>
      <c r="N1392" s="220"/>
      <c r="O1392" s="220"/>
      <c r="P1392" s="220"/>
      <c r="Q1392" s="220"/>
      <c r="R1392" s="220"/>
      <c r="S1392" s="220"/>
      <c r="T1392" s="225"/>
      <c r="U1392" s="226"/>
      <c r="V1392" s="253"/>
    </row>
    <row r="1393" customFormat="false" ht="12.75" hidden="false" customHeight="false" outlineLevel="0" collapsed="false">
      <c r="B1393" s="228"/>
      <c r="C1393" s="229"/>
      <c r="D1393" s="219"/>
      <c r="E1393" s="220"/>
      <c r="F1393" s="229"/>
      <c r="G1393" s="220"/>
      <c r="H1393" s="220"/>
      <c r="I1393" s="220"/>
      <c r="J1393" s="220"/>
      <c r="K1393" s="220"/>
      <c r="L1393" s="220"/>
      <c r="M1393" s="220"/>
      <c r="N1393" s="220"/>
      <c r="O1393" s="220"/>
      <c r="P1393" s="220"/>
      <c r="Q1393" s="220"/>
      <c r="R1393" s="220"/>
      <c r="S1393" s="220"/>
      <c r="T1393" s="225"/>
      <c r="U1393" s="226"/>
      <c r="V1393" s="253"/>
    </row>
    <row r="1394" customFormat="false" ht="12.75" hidden="false" customHeight="false" outlineLevel="0" collapsed="false">
      <c r="B1394" s="228"/>
      <c r="C1394" s="229"/>
      <c r="D1394" s="219"/>
      <c r="E1394" s="220"/>
      <c r="F1394" s="229"/>
      <c r="G1394" s="220"/>
      <c r="H1394" s="220"/>
      <c r="I1394" s="220"/>
      <c r="J1394" s="220"/>
      <c r="K1394" s="220"/>
      <c r="L1394" s="220"/>
      <c r="M1394" s="220"/>
      <c r="N1394" s="220"/>
      <c r="O1394" s="220"/>
      <c r="P1394" s="220"/>
      <c r="Q1394" s="220"/>
      <c r="R1394" s="220"/>
      <c r="S1394" s="220"/>
      <c r="T1394" s="225"/>
      <c r="U1394" s="226"/>
      <c r="V1394" s="253"/>
    </row>
    <row r="1395" customFormat="false" ht="12.75" hidden="false" customHeight="false" outlineLevel="0" collapsed="false">
      <c r="B1395" s="228"/>
      <c r="C1395" s="229"/>
      <c r="D1395" s="219"/>
      <c r="E1395" s="220"/>
      <c r="F1395" s="229"/>
      <c r="G1395" s="220"/>
      <c r="H1395" s="220"/>
      <c r="I1395" s="220"/>
      <c r="J1395" s="220"/>
      <c r="K1395" s="220"/>
      <c r="L1395" s="220"/>
      <c r="M1395" s="220"/>
      <c r="N1395" s="220"/>
      <c r="O1395" s="220"/>
      <c r="P1395" s="220"/>
      <c r="Q1395" s="220"/>
      <c r="R1395" s="220"/>
      <c r="S1395" s="220"/>
      <c r="T1395" s="225"/>
      <c r="U1395" s="226"/>
      <c r="V1395" s="253"/>
    </row>
    <row r="1396" customFormat="false" ht="12.75" hidden="false" customHeight="false" outlineLevel="0" collapsed="false">
      <c r="B1396" s="228"/>
      <c r="C1396" s="229"/>
      <c r="D1396" s="219"/>
      <c r="E1396" s="220"/>
      <c r="F1396" s="229"/>
      <c r="G1396" s="220"/>
      <c r="H1396" s="220"/>
      <c r="I1396" s="220"/>
      <c r="J1396" s="220"/>
      <c r="K1396" s="220"/>
      <c r="L1396" s="220"/>
      <c r="M1396" s="220"/>
      <c r="N1396" s="220"/>
      <c r="O1396" s="220"/>
      <c r="P1396" s="220"/>
      <c r="Q1396" s="220"/>
      <c r="R1396" s="220"/>
      <c r="S1396" s="220"/>
      <c r="T1396" s="225"/>
      <c r="U1396" s="226"/>
      <c r="V1396" s="253"/>
    </row>
    <row r="1397" customFormat="false" ht="12.75" hidden="false" customHeight="false" outlineLevel="0" collapsed="false">
      <c r="B1397" s="228"/>
      <c r="C1397" s="229"/>
      <c r="D1397" s="219"/>
      <c r="E1397" s="220"/>
      <c r="F1397" s="229"/>
      <c r="G1397" s="220"/>
      <c r="H1397" s="220"/>
      <c r="I1397" s="220"/>
      <c r="J1397" s="220"/>
      <c r="K1397" s="220"/>
      <c r="L1397" s="220"/>
      <c r="M1397" s="220"/>
      <c r="N1397" s="220"/>
      <c r="O1397" s="220"/>
      <c r="P1397" s="220"/>
      <c r="Q1397" s="220"/>
      <c r="R1397" s="220"/>
      <c r="S1397" s="220"/>
      <c r="T1397" s="225"/>
      <c r="U1397" s="226"/>
      <c r="V1397" s="253"/>
    </row>
    <row r="1398" customFormat="false" ht="12.75" hidden="false" customHeight="false" outlineLevel="0" collapsed="false">
      <c r="B1398" s="228"/>
      <c r="C1398" s="229"/>
      <c r="D1398" s="219"/>
      <c r="E1398" s="220"/>
      <c r="F1398" s="229"/>
      <c r="G1398" s="220"/>
      <c r="H1398" s="220"/>
      <c r="I1398" s="220"/>
      <c r="J1398" s="220"/>
      <c r="K1398" s="220"/>
      <c r="L1398" s="220"/>
      <c r="M1398" s="220"/>
      <c r="N1398" s="220"/>
      <c r="O1398" s="220"/>
      <c r="P1398" s="220"/>
      <c r="Q1398" s="220"/>
      <c r="R1398" s="220"/>
      <c r="S1398" s="220"/>
      <c r="T1398" s="225"/>
      <c r="U1398" s="226"/>
      <c r="V1398" s="253"/>
    </row>
    <row r="1399" customFormat="false" ht="12.75" hidden="false" customHeight="false" outlineLevel="0" collapsed="false">
      <c r="B1399" s="228"/>
      <c r="C1399" s="229"/>
      <c r="D1399" s="219"/>
      <c r="E1399" s="220"/>
      <c r="F1399" s="229"/>
      <c r="G1399" s="220"/>
      <c r="H1399" s="220"/>
      <c r="I1399" s="220"/>
      <c r="J1399" s="220"/>
      <c r="K1399" s="220"/>
      <c r="L1399" s="220"/>
      <c r="M1399" s="220"/>
      <c r="N1399" s="220"/>
      <c r="O1399" s="220"/>
      <c r="P1399" s="220"/>
      <c r="Q1399" s="220"/>
      <c r="R1399" s="220"/>
      <c r="S1399" s="220"/>
      <c r="T1399" s="225"/>
      <c r="U1399" s="226"/>
      <c r="V1399" s="253"/>
    </row>
    <row r="1400" customFormat="false" ht="12.75" hidden="false" customHeight="false" outlineLevel="0" collapsed="false">
      <c r="B1400" s="228"/>
      <c r="C1400" s="229"/>
      <c r="D1400" s="219"/>
      <c r="E1400" s="220"/>
      <c r="F1400" s="229"/>
      <c r="G1400" s="220"/>
      <c r="H1400" s="220"/>
      <c r="I1400" s="220"/>
      <c r="J1400" s="220"/>
      <c r="K1400" s="220"/>
      <c r="L1400" s="220"/>
      <c r="M1400" s="220"/>
      <c r="N1400" s="220"/>
      <c r="O1400" s="220"/>
      <c r="P1400" s="220"/>
      <c r="Q1400" s="220"/>
      <c r="R1400" s="220"/>
      <c r="S1400" s="220"/>
      <c r="T1400" s="225"/>
      <c r="U1400" s="226"/>
      <c r="V1400" s="253"/>
    </row>
    <row r="1401" customFormat="false" ht="12.75" hidden="false" customHeight="false" outlineLevel="0" collapsed="false">
      <c r="B1401" s="228"/>
      <c r="C1401" s="229"/>
      <c r="D1401" s="219"/>
      <c r="E1401" s="220"/>
      <c r="F1401" s="229"/>
      <c r="G1401" s="220"/>
      <c r="H1401" s="220"/>
      <c r="I1401" s="220"/>
      <c r="J1401" s="220"/>
      <c r="K1401" s="220"/>
      <c r="L1401" s="220"/>
      <c r="M1401" s="220"/>
      <c r="N1401" s="220"/>
      <c r="O1401" s="220"/>
      <c r="P1401" s="220"/>
      <c r="Q1401" s="220"/>
      <c r="R1401" s="220"/>
      <c r="S1401" s="220"/>
      <c r="T1401" s="225"/>
      <c r="U1401" s="226"/>
      <c r="V1401" s="253"/>
    </row>
    <row r="1402" customFormat="false" ht="12.75" hidden="false" customHeight="false" outlineLevel="0" collapsed="false">
      <c r="B1402" s="228"/>
      <c r="C1402" s="229"/>
      <c r="D1402" s="219"/>
      <c r="E1402" s="220"/>
      <c r="F1402" s="229"/>
      <c r="G1402" s="220"/>
      <c r="H1402" s="220"/>
      <c r="I1402" s="220"/>
      <c r="J1402" s="220"/>
      <c r="K1402" s="220"/>
      <c r="L1402" s="220"/>
      <c r="M1402" s="220"/>
      <c r="N1402" s="220"/>
      <c r="O1402" s="220"/>
      <c r="P1402" s="220"/>
      <c r="Q1402" s="220"/>
      <c r="R1402" s="220"/>
      <c r="S1402" s="220"/>
      <c r="T1402" s="225"/>
      <c r="U1402" s="226"/>
      <c r="V1402" s="253"/>
    </row>
    <row r="1403" customFormat="false" ht="12.75" hidden="false" customHeight="false" outlineLevel="0" collapsed="false">
      <c r="B1403" s="228"/>
      <c r="C1403" s="229"/>
      <c r="D1403" s="219"/>
      <c r="E1403" s="220"/>
      <c r="F1403" s="229"/>
      <c r="G1403" s="220"/>
      <c r="H1403" s="220"/>
      <c r="I1403" s="220"/>
      <c r="J1403" s="220"/>
      <c r="K1403" s="220"/>
      <c r="L1403" s="220"/>
      <c r="M1403" s="220"/>
      <c r="N1403" s="220"/>
      <c r="O1403" s="220"/>
      <c r="P1403" s="220"/>
      <c r="Q1403" s="220"/>
      <c r="R1403" s="220"/>
      <c r="S1403" s="220"/>
      <c r="T1403" s="225"/>
      <c r="U1403" s="226"/>
      <c r="V1403" s="253"/>
    </row>
    <row r="1404" customFormat="false" ht="12.75" hidden="false" customHeight="false" outlineLevel="0" collapsed="false">
      <c r="B1404" s="228"/>
      <c r="C1404" s="229"/>
      <c r="D1404" s="219"/>
      <c r="E1404" s="220"/>
      <c r="F1404" s="229"/>
      <c r="G1404" s="220"/>
      <c r="H1404" s="220"/>
      <c r="I1404" s="220"/>
      <c r="J1404" s="220"/>
      <c r="K1404" s="220"/>
      <c r="L1404" s="220"/>
      <c r="M1404" s="220"/>
      <c r="N1404" s="220"/>
      <c r="O1404" s="220"/>
      <c r="P1404" s="220"/>
      <c r="Q1404" s="220"/>
      <c r="R1404" s="220"/>
      <c r="S1404" s="220"/>
      <c r="T1404" s="225"/>
      <c r="U1404" s="226"/>
      <c r="V1404" s="253"/>
    </row>
    <row r="1405" customFormat="false" ht="12.75" hidden="false" customHeight="false" outlineLevel="0" collapsed="false">
      <c r="B1405" s="228"/>
      <c r="C1405" s="229"/>
      <c r="D1405" s="219"/>
      <c r="E1405" s="220"/>
      <c r="F1405" s="229"/>
      <c r="G1405" s="220"/>
      <c r="H1405" s="220"/>
      <c r="I1405" s="220"/>
      <c r="J1405" s="220"/>
      <c r="K1405" s="220"/>
      <c r="L1405" s="220"/>
      <c r="M1405" s="220"/>
      <c r="N1405" s="220"/>
      <c r="O1405" s="220"/>
      <c r="P1405" s="220"/>
      <c r="Q1405" s="220"/>
      <c r="R1405" s="220"/>
      <c r="S1405" s="220"/>
      <c r="T1405" s="225"/>
      <c r="U1405" s="226"/>
      <c r="V1405" s="253"/>
    </row>
    <row r="1406" customFormat="false" ht="12.75" hidden="false" customHeight="false" outlineLevel="0" collapsed="false">
      <c r="B1406" s="228"/>
      <c r="C1406" s="229"/>
      <c r="D1406" s="219"/>
      <c r="E1406" s="220"/>
      <c r="F1406" s="229"/>
      <c r="G1406" s="220"/>
      <c r="H1406" s="220"/>
      <c r="I1406" s="220"/>
      <c r="J1406" s="220"/>
      <c r="K1406" s="220"/>
      <c r="L1406" s="220"/>
      <c r="M1406" s="220"/>
      <c r="N1406" s="220"/>
      <c r="O1406" s="220"/>
      <c r="P1406" s="220"/>
      <c r="Q1406" s="220"/>
      <c r="R1406" s="220"/>
      <c r="S1406" s="220"/>
      <c r="T1406" s="225"/>
      <c r="U1406" s="226"/>
      <c r="V1406" s="253"/>
    </row>
    <row r="1407" customFormat="false" ht="12.75" hidden="false" customHeight="false" outlineLevel="0" collapsed="false">
      <c r="B1407" s="228"/>
      <c r="C1407" s="229"/>
      <c r="D1407" s="219"/>
      <c r="E1407" s="220"/>
      <c r="F1407" s="229"/>
      <c r="G1407" s="220"/>
      <c r="H1407" s="220"/>
      <c r="I1407" s="220"/>
      <c r="J1407" s="220"/>
      <c r="K1407" s="220"/>
      <c r="L1407" s="220"/>
      <c r="M1407" s="220"/>
      <c r="N1407" s="220"/>
      <c r="O1407" s="220"/>
      <c r="P1407" s="220"/>
      <c r="Q1407" s="220"/>
      <c r="R1407" s="220"/>
      <c r="S1407" s="220"/>
      <c r="T1407" s="225"/>
      <c r="U1407" s="226"/>
      <c r="V1407" s="253"/>
    </row>
    <row r="1408" customFormat="false" ht="12.75" hidden="false" customHeight="false" outlineLevel="0" collapsed="false">
      <c r="B1408" s="228"/>
      <c r="C1408" s="229"/>
      <c r="D1408" s="219"/>
      <c r="E1408" s="220"/>
      <c r="F1408" s="229"/>
      <c r="G1408" s="220"/>
      <c r="H1408" s="220"/>
      <c r="I1408" s="220"/>
      <c r="J1408" s="220"/>
      <c r="K1408" s="220"/>
      <c r="L1408" s="220"/>
      <c r="M1408" s="220"/>
      <c r="N1408" s="220"/>
      <c r="O1408" s="220"/>
      <c r="P1408" s="220"/>
      <c r="Q1408" s="220"/>
      <c r="R1408" s="220"/>
      <c r="S1408" s="220"/>
      <c r="T1408" s="225"/>
      <c r="U1408" s="226"/>
      <c r="V1408" s="253"/>
    </row>
    <row r="1409" customFormat="false" ht="12.75" hidden="false" customHeight="false" outlineLevel="0" collapsed="false">
      <c r="B1409" s="228"/>
      <c r="C1409" s="229"/>
      <c r="D1409" s="219"/>
      <c r="E1409" s="220"/>
      <c r="F1409" s="229"/>
      <c r="G1409" s="220"/>
      <c r="H1409" s="220"/>
      <c r="I1409" s="220"/>
      <c r="J1409" s="220"/>
      <c r="K1409" s="220"/>
      <c r="L1409" s="220"/>
      <c r="M1409" s="220"/>
      <c r="N1409" s="220"/>
      <c r="O1409" s="220"/>
      <c r="P1409" s="220"/>
      <c r="Q1409" s="220"/>
      <c r="R1409" s="220"/>
      <c r="S1409" s="220"/>
      <c r="T1409" s="225"/>
      <c r="U1409" s="226"/>
      <c r="V1409" s="253"/>
    </row>
    <row r="1410" customFormat="false" ht="12.75" hidden="false" customHeight="false" outlineLevel="0" collapsed="false">
      <c r="B1410" s="228"/>
      <c r="C1410" s="229"/>
      <c r="D1410" s="219"/>
      <c r="E1410" s="220"/>
      <c r="F1410" s="229"/>
      <c r="G1410" s="220"/>
      <c r="H1410" s="220"/>
      <c r="I1410" s="220"/>
      <c r="J1410" s="220"/>
      <c r="K1410" s="220"/>
      <c r="L1410" s="220"/>
      <c r="M1410" s="220"/>
      <c r="N1410" s="220"/>
      <c r="O1410" s="220"/>
      <c r="P1410" s="220"/>
      <c r="Q1410" s="220"/>
      <c r="R1410" s="220"/>
      <c r="S1410" s="220"/>
      <c r="T1410" s="225"/>
      <c r="U1410" s="226"/>
      <c r="V1410" s="253"/>
    </row>
    <row r="1411" customFormat="false" ht="12.75" hidden="false" customHeight="false" outlineLevel="0" collapsed="false">
      <c r="B1411" s="228"/>
      <c r="C1411" s="229"/>
      <c r="D1411" s="219"/>
      <c r="E1411" s="220"/>
      <c r="F1411" s="229"/>
      <c r="G1411" s="220"/>
      <c r="H1411" s="220"/>
      <c r="I1411" s="220"/>
      <c r="J1411" s="220"/>
      <c r="K1411" s="220"/>
      <c r="L1411" s="220"/>
      <c r="M1411" s="220"/>
      <c r="N1411" s="220"/>
      <c r="O1411" s="220"/>
      <c r="P1411" s="220"/>
      <c r="Q1411" s="220"/>
      <c r="R1411" s="220"/>
      <c r="S1411" s="220"/>
      <c r="T1411" s="225"/>
      <c r="U1411" s="226"/>
      <c r="V1411" s="253"/>
    </row>
    <row r="1412" customFormat="false" ht="12.75" hidden="false" customHeight="false" outlineLevel="0" collapsed="false">
      <c r="B1412" s="228"/>
      <c r="C1412" s="229"/>
      <c r="D1412" s="219"/>
      <c r="E1412" s="220"/>
      <c r="F1412" s="229"/>
      <c r="G1412" s="220"/>
      <c r="H1412" s="220"/>
      <c r="I1412" s="220"/>
      <c r="J1412" s="220"/>
      <c r="K1412" s="220"/>
      <c r="L1412" s="220"/>
      <c r="M1412" s="220"/>
      <c r="N1412" s="220"/>
      <c r="O1412" s="220"/>
      <c r="P1412" s="220"/>
      <c r="Q1412" s="220"/>
      <c r="R1412" s="220"/>
      <c r="S1412" s="220"/>
      <c r="T1412" s="225"/>
      <c r="U1412" s="226"/>
      <c r="V1412" s="253"/>
    </row>
    <row r="1413" customFormat="false" ht="12.75" hidden="false" customHeight="false" outlineLevel="0" collapsed="false">
      <c r="B1413" s="228"/>
      <c r="C1413" s="229"/>
      <c r="D1413" s="219"/>
      <c r="E1413" s="220"/>
      <c r="F1413" s="229"/>
      <c r="G1413" s="220"/>
      <c r="H1413" s="220"/>
      <c r="I1413" s="220"/>
      <c r="J1413" s="220"/>
      <c r="K1413" s="220"/>
      <c r="L1413" s="220"/>
      <c r="M1413" s="220"/>
      <c r="N1413" s="220"/>
      <c r="O1413" s="220"/>
      <c r="P1413" s="220"/>
      <c r="Q1413" s="220"/>
      <c r="R1413" s="220"/>
      <c r="S1413" s="220"/>
      <c r="T1413" s="225"/>
      <c r="U1413" s="226"/>
      <c r="V1413" s="253"/>
    </row>
    <row r="1414" customFormat="false" ht="12.75" hidden="false" customHeight="false" outlineLevel="0" collapsed="false">
      <c r="B1414" s="228"/>
      <c r="C1414" s="229"/>
      <c r="D1414" s="219"/>
      <c r="E1414" s="220"/>
      <c r="F1414" s="229"/>
      <c r="G1414" s="220"/>
      <c r="H1414" s="220"/>
      <c r="I1414" s="220"/>
      <c r="J1414" s="220"/>
      <c r="K1414" s="220"/>
      <c r="L1414" s="220"/>
      <c r="M1414" s="220"/>
      <c r="N1414" s="220"/>
      <c r="O1414" s="220"/>
      <c r="P1414" s="220"/>
      <c r="Q1414" s="220"/>
      <c r="R1414" s="220"/>
      <c r="S1414" s="220"/>
      <c r="T1414" s="225"/>
      <c r="U1414" s="226"/>
      <c r="V1414" s="253"/>
    </row>
    <row r="1415" customFormat="false" ht="12.75" hidden="false" customHeight="false" outlineLevel="0" collapsed="false">
      <c r="B1415" s="228"/>
      <c r="C1415" s="229"/>
      <c r="D1415" s="219"/>
      <c r="E1415" s="220"/>
      <c r="F1415" s="229"/>
      <c r="G1415" s="220"/>
      <c r="H1415" s="220"/>
      <c r="I1415" s="220"/>
      <c r="J1415" s="220"/>
      <c r="K1415" s="220"/>
      <c r="L1415" s="220"/>
      <c r="M1415" s="220"/>
      <c r="N1415" s="220"/>
      <c r="O1415" s="220"/>
      <c r="P1415" s="220"/>
      <c r="Q1415" s="220"/>
      <c r="R1415" s="220"/>
      <c r="S1415" s="220"/>
      <c r="T1415" s="225"/>
      <c r="U1415" s="226"/>
      <c r="V1415" s="253"/>
    </row>
    <row r="1416" customFormat="false" ht="12.75" hidden="false" customHeight="false" outlineLevel="0" collapsed="false">
      <c r="B1416" s="228"/>
      <c r="C1416" s="229"/>
      <c r="D1416" s="219"/>
      <c r="E1416" s="220"/>
      <c r="F1416" s="229"/>
      <c r="G1416" s="220"/>
      <c r="H1416" s="220"/>
      <c r="I1416" s="220"/>
      <c r="J1416" s="220"/>
      <c r="K1416" s="220"/>
      <c r="L1416" s="220"/>
      <c r="M1416" s="220"/>
      <c r="N1416" s="220"/>
      <c r="O1416" s="220"/>
      <c r="P1416" s="220"/>
      <c r="Q1416" s="220"/>
      <c r="R1416" s="220"/>
      <c r="S1416" s="220"/>
      <c r="T1416" s="225"/>
      <c r="U1416" s="226"/>
      <c r="V1416" s="253"/>
    </row>
    <row r="1417" customFormat="false" ht="12.75" hidden="false" customHeight="false" outlineLevel="0" collapsed="false">
      <c r="B1417" s="228"/>
      <c r="C1417" s="229"/>
      <c r="D1417" s="219"/>
      <c r="E1417" s="220"/>
      <c r="F1417" s="229"/>
      <c r="G1417" s="220"/>
      <c r="H1417" s="220"/>
      <c r="I1417" s="220"/>
      <c r="J1417" s="220"/>
      <c r="K1417" s="220"/>
      <c r="L1417" s="220"/>
      <c r="M1417" s="220"/>
      <c r="N1417" s="220"/>
      <c r="O1417" s="220"/>
      <c r="P1417" s="220"/>
      <c r="Q1417" s="220"/>
      <c r="R1417" s="220"/>
      <c r="S1417" s="220"/>
      <c r="T1417" s="225"/>
      <c r="U1417" s="226"/>
      <c r="V1417" s="253"/>
    </row>
    <row r="1418" customFormat="false" ht="12.75" hidden="false" customHeight="false" outlineLevel="0" collapsed="false">
      <c r="B1418" s="228"/>
      <c r="C1418" s="229"/>
      <c r="D1418" s="219"/>
      <c r="E1418" s="220"/>
      <c r="F1418" s="229"/>
      <c r="G1418" s="220"/>
      <c r="H1418" s="220"/>
      <c r="I1418" s="220"/>
      <c r="J1418" s="220"/>
      <c r="K1418" s="220"/>
      <c r="L1418" s="220"/>
      <c r="M1418" s="220"/>
      <c r="N1418" s="220"/>
      <c r="O1418" s="220"/>
      <c r="P1418" s="220"/>
      <c r="Q1418" s="220"/>
      <c r="R1418" s="220"/>
      <c r="S1418" s="220"/>
      <c r="T1418" s="225"/>
      <c r="U1418" s="226"/>
      <c r="V1418" s="253"/>
    </row>
    <row r="1419" customFormat="false" ht="12.75" hidden="false" customHeight="false" outlineLevel="0" collapsed="false">
      <c r="B1419" s="228"/>
      <c r="C1419" s="229"/>
      <c r="D1419" s="219"/>
      <c r="E1419" s="220"/>
      <c r="F1419" s="229"/>
      <c r="G1419" s="220"/>
      <c r="H1419" s="220"/>
      <c r="I1419" s="220"/>
      <c r="J1419" s="220"/>
      <c r="K1419" s="220"/>
      <c r="L1419" s="220"/>
      <c r="M1419" s="220"/>
      <c r="N1419" s="220"/>
      <c r="O1419" s="220"/>
      <c r="P1419" s="220"/>
      <c r="Q1419" s="220"/>
      <c r="R1419" s="220"/>
      <c r="S1419" s="220"/>
      <c r="T1419" s="225"/>
      <c r="U1419" s="226"/>
      <c r="V1419" s="253"/>
    </row>
    <row r="1420" customFormat="false" ht="12.75" hidden="false" customHeight="false" outlineLevel="0" collapsed="false">
      <c r="B1420" s="228"/>
      <c r="C1420" s="229"/>
      <c r="D1420" s="219"/>
      <c r="E1420" s="220"/>
      <c r="F1420" s="229"/>
      <c r="G1420" s="220"/>
      <c r="H1420" s="220"/>
      <c r="I1420" s="220"/>
      <c r="J1420" s="220"/>
      <c r="K1420" s="220"/>
      <c r="L1420" s="220"/>
      <c r="M1420" s="220"/>
      <c r="N1420" s="220"/>
      <c r="O1420" s="220"/>
      <c r="P1420" s="220"/>
      <c r="Q1420" s="220"/>
      <c r="R1420" s="220"/>
      <c r="S1420" s="220"/>
      <c r="T1420" s="225"/>
      <c r="U1420" s="226"/>
      <c r="V1420" s="253"/>
    </row>
    <row r="1421" customFormat="false" ht="12.75" hidden="false" customHeight="false" outlineLevel="0" collapsed="false">
      <c r="B1421" s="228"/>
      <c r="C1421" s="229"/>
      <c r="D1421" s="219"/>
      <c r="E1421" s="220"/>
      <c r="F1421" s="229"/>
      <c r="G1421" s="220"/>
      <c r="H1421" s="220"/>
      <c r="I1421" s="220"/>
      <c r="J1421" s="220"/>
      <c r="K1421" s="220"/>
      <c r="L1421" s="220"/>
      <c r="M1421" s="220"/>
      <c r="N1421" s="220"/>
      <c r="O1421" s="220"/>
      <c r="P1421" s="220"/>
      <c r="Q1421" s="220"/>
      <c r="R1421" s="220"/>
      <c r="S1421" s="220"/>
      <c r="T1421" s="225"/>
      <c r="U1421" s="226"/>
      <c r="V1421" s="253"/>
    </row>
    <row r="1422" customFormat="false" ht="12.75" hidden="false" customHeight="false" outlineLevel="0" collapsed="false">
      <c r="B1422" s="228"/>
      <c r="C1422" s="229"/>
      <c r="D1422" s="219"/>
      <c r="E1422" s="220"/>
      <c r="F1422" s="229"/>
      <c r="G1422" s="220"/>
      <c r="H1422" s="220"/>
      <c r="I1422" s="220"/>
      <c r="J1422" s="220"/>
      <c r="K1422" s="220"/>
      <c r="L1422" s="220"/>
      <c r="M1422" s="220"/>
      <c r="N1422" s="220"/>
      <c r="O1422" s="220"/>
      <c r="P1422" s="220"/>
      <c r="Q1422" s="220"/>
      <c r="R1422" s="220"/>
      <c r="S1422" s="220"/>
      <c r="T1422" s="225"/>
      <c r="U1422" s="226"/>
      <c r="V1422" s="253"/>
    </row>
    <row r="1423" customFormat="false" ht="12.75" hidden="false" customHeight="false" outlineLevel="0" collapsed="false">
      <c r="B1423" s="228"/>
      <c r="C1423" s="229"/>
      <c r="D1423" s="219"/>
      <c r="E1423" s="220"/>
      <c r="F1423" s="229"/>
      <c r="G1423" s="220"/>
      <c r="H1423" s="220"/>
      <c r="I1423" s="220"/>
      <c r="J1423" s="220"/>
      <c r="K1423" s="220"/>
      <c r="L1423" s="220"/>
      <c r="M1423" s="220"/>
      <c r="N1423" s="220"/>
      <c r="O1423" s="220"/>
      <c r="P1423" s="220"/>
      <c r="Q1423" s="220"/>
      <c r="R1423" s="220"/>
      <c r="S1423" s="220"/>
      <c r="T1423" s="225"/>
      <c r="U1423" s="226"/>
      <c r="V1423" s="253"/>
    </row>
    <row r="1424" customFormat="false" ht="12.75" hidden="false" customHeight="false" outlineLevel="0" collapsed="false">
      <c r="B1424" s="228"/>
      <c r="C1424" s="229"/>
      <c r="D1424" s="219"/>
      <c r="E1424" s="220"/>
      <c r="F1424" s="229"/>
      <c r="G1424" s="220"/>
      <c r="H1424" s="220"/>
      <c r="I1424" s="220"/>
      <c r="J1424" s="220"/>
      <c r="K1424" s="220"/>
      <c r="L1424" s="220"/>
      <c r="M1424" s="220"/>
      <c r="N1424" s="220"/>
      <c r="O1424" s="220"/>
      <c r="P1424" s="220"/>
      <c r="Q1424" s="220"/>
      <c r="R1424" s="220"/>
      <c r="S1424" s="220"/>
      <c r="T1424" s="225"/>
      <c r="U1424" s="226"/>
      <c r="V1424" s="253"/>
    </row>
    <row r="1425" customFormat="false" ht="12.75" hidden="false" customHeight="false" outlineLevel="0" collapsed="false">
      <c r="B1425" s="228"/>
      <c r="C1425" s="229"/>
      <c r="D1425" s="219"/>
      <c r="E1425" s="220"/>
      <c r="F1425" s="229"/>
      <c r="G1425" s="220"/>
      <c r="H1425" s="220"/>
      <c r="I1425" s="220"/>
      <c r="J1425" s="220"/>
      <c r="K1425" s="220"/>
      <c r="L1425" s="220"/>
      <c r="M1425" s="220"/>
      <c r="N1425" s="220"/>
      <c r="O1425" s="220"/>
      <c r="P1425" s="220"/>
      <c r="Q1425" s="220"/>
      <c r="R1425" s="220"/>
      <c r="S1425" s="220"/>
      <c r="T1425" s="225"/>
      <c r="U1425" s="226"/>
      <c r="V1425" s="253"/>
    </row>
    <row r="1426" customFormat="false" ht="12.75" hidden="false" customHeight="false" outlineLevel="0" collapsed="false">
      <c r="B1426" s="228"/>
      <c r="C1426" s="229"/>
      <c r="D1426" s="219"/>
      <c r="E1426" s="220"/>
      <c r="F1426" s="229"/>
      <c r="G1426" s="220"/>
      <c r="H1426" s="220"/>
      <c r="I1426" s="220"/>
      <c r="J1426" s="220"/>
      <c r="K1426" s="220"/>
      <c r="L1426" s="220"/>
      <c r="M1426" s="220"/>
      <c r="N1426" s="220"/>
      <c r="O1426" s="220"/>
      <c r="P1426" s="220"/>
      <c r="Q1426" s="220"/>
      <c r="R1426" s="220"/>
      <c r="S1426" s="220"/>
      <c r="T1426" s="225"/>
      <c r="U1426" s="226"/>
      <c r="V1426" s="253"/>
    </row>
    <row r="1427" customFormat="false" ht="12.75" hidden="false" customHeight="false" outlineLevel="0" collapsed="false">
      <c r="B1427" s="228"/>
      <c r="C1427" s="229"/>
      <c r="D1427" s="219"/>
      <c r="E1427" s="220"/>
      <c r="F1427" s="229"/>
      <c r="G1427" s="220"/>
      <c r="H1427" s="220"/>
      <c r="I1427" s="220"/>
      <c r="J1427" s="220"/>
      <c r="K1427" s="220"/>
      <c r="L1427" s="220"/>
      <c r="M1427" s="220"/>
      <c r="N1427" s="220"/>
      <c r="O1427" s="220"/>
      <c r="P1427" s="220"/>
      <c r="Q1427" s="220"/>
      <c r="R1427" s="220"/>
      <c r="S1427" s="220"/>
      <c r="T1427" s="225"/>
      <c r="U1427" s="226"/>
      <c r="V1427" s="253"/>
    </row>
    <row r="1428" customFormat="false" ht="12.75" hidden="false" customHeight="false" outlineLevel="0" collapsed="false">
      <c r="B1428" s="228"/>
      <c r="C1428" s="229"/>
      <c r="D1428" s="219"/>
      <c r="E1428" s="220"/>
      <c r="F1428" s="229"/>
      <c r="G1428" s="220"/>
      <c r="H1428" s="220"/>
      <c r="I1428" s="220"/>
      <c r="J1428" s="220"/>
      <c r="K1428" s="220"/>
      <c r="L1428" s="220"/>
      <c r="M1428" s="220"/>
      <c r="N1428" s="220"/>
      <c r="O1428" s="220"/>
      <c r="P1428" s="220"/>
      <c r="Q1428" s="220"/>
      <c r="R1428" s="220"/>
      <c r="S1428" s="220"/>
      <c r="T1428" s="225"/>
      <c r="U1428" s="226"/>
      <c r="V1428" s="253"/>
    </row>
    <row r="1429" customFormat="false" ht="12.75" hidden="false" customHeight="false" outlineLevel="0" collapsed="false">
      <c r="B1429" s="228"/>
      <c r="C1429" s="229"/>
      <c r="D1429" s="219"/>
      <c r="E1429" s="220"/>
      <c r="F1429" s="229"/>
      <c r="G1429" s="220"/>
      <c r="H1429" s="220"/>
      <c r="I1429" s="220"/>
      <c r="J1429" s="220"/>
      <c r="K1429" s="220"/>
      <c r="L1429" s="220"/>
      <c r="M1429" s="220"/>
      <c r="N1429" s="220"/>
      <c r="O1429" s="220"/>
      <c r="P1429" s="220"/>
      <c r="Q1429" s="220"/>
      <c r="R1429" s="220"/>
      <c r="S1429" s="220"/>
      <c r="T1429" s="225"/>
      <c r="U1429" s="226"/>
      <c r="V1429" s="253"/>
    </row>
    <row r="1430" customFormat="false" ht="12.75" hidden="false" customHeight="false" outlineLevel="0" collapsed="false">
      <c r="B1430" s="228"/>
      <c r="C1430" s="229"/>
      <c r="D1430" s="219"/>
      <c r="E1430" s="220"/>
      <c r="F1430" s="229"/>
      <c r="G1430" s="220"/>
      <c r="H1430" s="220"/>
      <c r="I1430" s="220"/>
      <c r="J1430" s="220"/>
      <c r="K1430" s="220"/>
      <c r="L1430" s="220"/>
      <c r="M1430" s="220"/>
      <c r="N1430" s="220"/>
      <c r="O1430" s="220"/>
      <c r="P1430" s="220"/>
      <c r="Q1430" s="220"/>
      <c r="R1430" s="220"/>
      <c r="S1430" s="220"/>
      <c r="T1430" s="225"/>
      <c r="U1430" s="226"/>
      <c r="V1430" s="253"/>
    </row>
    <row r="1431" customFormat="false" ht="12.75" hidden="false" customHeight="false" outlineLevel="0" collapsed="false">
      <c r="B1431" s="228"/>
      <c r="C1431" s="229"/>
      <c r="D1431" s="219"/>
      <c r="E1431" s="220"/>
      <c r="F1431" s="229"/>
      <c r="G1431" s="220"/>
      <c r="H1431" s="220"/>
      <c r="I1431" s="220"/>
      <c r="J1431" s="220"/>
      <c r="K1431" s="220"/>
      <c r="L1431" s="220"/>
      <c r="M1431" s="220"/>
      <c r="N1431" s="220"/>
      <c r="O1431" s="220"/>
      <c r="P1431" s="220"/>
      <c r="Q1431" s="220"/>
      <c r="R1431" s="220"/>
      <c r="S1431" s="220"/>
      <c r="T1431" s="225"/>
      <c r="U1431" s="226"/>
      <c r="V1431" s="253"/>
    </row>
    <row r="1432" customFormat="false" ht="12.75" hidden="false" customHeight="false" outlineLevel="0" collapsed="false">
      <c r="B1432" s="228"/>
      <c r="C1432" s="229"/>
      <c r="D1432" s="219"/>
      <c r="E1432" s="220"/>
      <c r="F1432" s="229"/>
      <c r="G1432" s="220"/>
      <c r="H1432" s="220"/>
      <c r="I1432" s="220"/>
      <c r="J1432" s="220"/>
      <c r="K1432" s="220"/>
      <c r="L1432" s="220"/>
      <c r="M1432" s="220"/>
      <c r="N1432" s="220"/>
      <c r="O1432" s="220"/>
      <c r="P1432" s="220"/>
      <c r="Q1432" s="220"/>
      <c r="R1432" s="220"/>
      <c r="S1432" s="220"/>
      <c r="T1432" s="225"/>
      <c r="U1432" s="226"/>
      <c r="V1432" s="253"/>
    </row>
    <row r="1433" customFormat="false" ht="12.75" hidden="false" customHeight="false" outlineLevel="0" collapsed="false">
      <c r="B1433" s="228"/>
      <c r="C1433" s="229"/>
      <c r="D1433" s="219"/>
      <c r="E1433" s="220"/>
      <c r="F1433" s="229"/>
      <c r="G1433" s="220"/>
      <c r="H1433" s="220"/>
      <c r="I1433" s="220"/>
      <c r="J1433" s="220"/>
      <c r="K1433" s="220"/>
      <c r="L1433" s="220"/>
      <c r="M1433" s="220"/>
      <c r="N1433" s="220"/>
      <c r="O1433" s="220"/>
      <c r="P1433" s="220"/>
      <c r="Q1433" s="220"/>
      <c r="R1433" s="220"/>
      <c r="S1433" s="220"/>
      <c r="T1433" s="225"/>
      <c r="U1433" s="226"/>
      <c r="V1433" s="253"/>
    </row>
    <row r="1434" customFormat="false" ht="12.75" hidden="false" customHeight="false" outlineLevel="0" collapsed="false">
      <c r="B1434" s="228"/>
      <c r="C1434" s="229"/>
      <c r="D1434" s="219"/>
      <c r="E1434" s="220"/>
      <c r="F1434" s="229"/>
      <c r="G1434" s="220"/>
      <c r="H1434" s="220"/>
      <c r="I1434" s="220"/>
      <c r="J1434" s="220"/>
      <c r="K1434" s="220"/>
      <c r="L1434" s="220"/>
      <c r="M1434" s="220"/>
      <c r="N1434" s="220"/>
      <c r="O1434" s="220"/>
      <c r="P1434" s="220"/>
      <c r="Q1434" s="220"/>
      <c r="R1434" s="220"/>
      <c r="S1434" s="220"/>
      <c r="T1434" s="225"/>
      <c r="U1434" s="226"/>
      <c r="V1434" s="253"/>
    </row>
    <row r="1435" customFormat="false" ht="12.75" hidden="false" customHeight="false" outlineLevel="0" collapsed="false">
      <c r="B1435" s="228"/>
      <c r="C1435" s="229"/>
      <c r="D1435" s="219"/>
      <c r="E1435" s="220"/>
      <c r="F1435" s="229"/>
      <c r="G1435" s="220"/>
      <c r="H1435" s="220"/>
      <c r="I1435" s="220"/>
      <c r="J1435" s="220"/>
      <c r="K1435" s="220"/>
      <c r="L1435" s="220"/>
      <c r="M1435" s="220"/>
      <c r="N1435" s="220"/>
      <c r="O1435" s="220"/>
      <c r="P1435" s="220"/>
      <c r="Q1435" s="220"/>
      <c r="R1435" s="220"/>
      <c r="S1435" s="220"/>
      <c r="T1435" s="225"/>
      <c r="U1435" s="226"/>
      <c r="V1435" s="253"/>
    </row>
    <row r="1436" customFormat="false" ht="12.75" hidden="false" customHeight="false" outlineLevel="0" collapsed="false">
      <c r="B1436" s="228"/>
      <c r="C1436" s="229"/>
      <c r="D1436" s="219"/>
      <c r="E1436" s="220"/>
      <c r="F1436" s="229"/>
      <c r="G1436" s="220"/>
      <c r="H1436" s="220"/>
      <c r="I1436" s="220"/>
      <c r="J1436" s="220"/>
      <c r="K1436" s="220"/>
      <c r="L1436" s="220"/>
      <c r="M1436" s="220"/>
      <c r="N1436" s="220"/>
      <c r="O1436" s="220"/>
      <c r="P1436" s="220"/>
      <c r="Q1436" s="220"/>
      <c r="R1436" s="220"/>
      <c r="S1436" s="220"/>
      <c r="T1436" s="225"/>
      <c r="U1436" s="226"/>
      <c r="V1436" s="253"/>
    </row>
    <row r="1437" customFormat="false" ht="12.75" hidden="false" customHeight="false" outlineLevel="0" collapsed="false">
      <c r="B1437" s="228"/>
      <c r="C1437" s="229"/>
      <c r="D1437" s="219"/>
      <c r="E1437" s="220"/>
      <c r="F1437" s="229"/>
      <c r="G1437" s="220"/>
      <c r="H1437" s="220"/>
      <c r="I1437" s="220"/>
      <c r="J1437" s="220"/>
      <c r="K1437" s="220"/>
      <c r="L1437" s="220"/>
      <c r="M1437" s="220"/>
      <c r="N1437" s="220"/>
      <c r="O1437" s="220"/>
      <c r="P1437" s="220"/>
      <c r="Q1437" s="220"/>
      <c r="R1437" s="220"/>
      <c r="S1437" s="220"/>
      <c r="T1437" s="225"/>
      <c r="U1437" s="226"/>
      <c r="V1437" s="253"/>
    </row>
    <row r="1438" customFormat="false" ht="12.75" hidden="false" customHeight="false" outlineLevel="0" collapsed="false">
      <c r="B1438" s="228"/>
      <c r="C1438" s="229"/>
      <c r="D1438" s="219"/>
      <c r="E1438" s="220"/>
      <c r="F1438" s="229"/>
      <c r="G1438" s="220"/>
      <c r="H1438" s="220"/>
      <c r="I1438" s="220"/>
      <c r="J1438" s="220"/>
      <c r="K1438" s="220"/>
      <c r="L1438" s="220"/>
      <c r="M1438" s="220"/>
      <c r="N1438" s="220"/>
      <c r="O1438" s="220"/>
      <c r="P1438" s="220"/>
      <c r="Q1438" s="220"/>
      <c r="R1438" s="220"/>
      <c r="S1438" s="220"/>
      <c r="T1438" s="225"/>
      <c r="U1438" s="226"/>
      <c r="V1438" s="253"/>
    </row>
    <row r="1439" customFormat="false" ht="12.75" hidden="false" customHeight="false" outlineLevel="0" collapsed="false">
      <c r="B1439" s="228"/>
      <c r="C1439" s="229"/>
      <c r="D1439" s="219"/>
      <c r="E1439" s="220"/>
      <c r="F1439" s="229"/>
      <c r="G1439" s="220"/>
      <c r="H1439" s="220"/>
      <c r="I1439" s="220"/>
      <c r="J1439" s="220"/>
      <c r="K1439" s="220"/>
      <c r="L1439" s="220"/>
      <c r="M1439" s="220"/>
      <c r="N1439" s="220"/>
      <c r="O1439" s="220"/>
      <c r="P1439" s="220"/>
      <c r="Q1439" s="220"/>
      <c r="R1439" s="220"/>
      <c r="S1439" s="220"/>
      <c r="T1439" s="225"/>
      <c r="U1439" s="226"/>
      <c r="V1439" s="253"/>
    </row>
    <row r="1440" customFormat="false" ht="12.75" hidden="false" customHeight="false" outlineLevel="0" collapsed="false">
      <c r="B1440" s="228"/>
      <c r="C1440" s="229"/>
      <c r="D1440" s="219"/>
      <c r="E1440" s="220"/>
      <c r="F1440" s="229"/>
      <c r="G1440" s="220"/>
      <c r="H1440" s="220"/>
      <c r="I1440" s="220"/>
      <c r="J1440" s="220"/>
      <c r="K1440" s="220"/>
      <c r="L1440" s="220"/>
      <c r="M1440" s="220"/>
      <c r="N1440" s="220"/>
      <c r="O1440" s="220"/>
      <c r="P1440" s="220"/>
      <c r="Q1440" s="220"/>
      <c r="R1440" s="220"/>
      <c r="S1440" s="220"/>
      <c r="T1440" s="225"/>
      <c r="U1440" s="226"/>
      <c r="V1440" s="253"/>
    </row>
    <row r="1441" customFormat="false" ht="12.75" hidden="false" customHeight="false" outlineLevel="0" collapsed="false">
      <c r="B1441" s="228"/>
      <c r="C1441" s="229"/>
      <c r="D1441" s="219"/>
      <c r="E1441" s="220"/>
      <c r="F1441" s="229"/>
      <c r="G1441" s="220"/>
      <c r="H1441" s="220"/>
      <c r="I1441" s="220"/>
      <c r="J1441" s="220"/>
      <c r="K1441" s="220"/>
      <c r="L1441" s="220"/>
      <c r="M1441" s="220"/>
      <c r="N1441" s="220"/>
      <c r="O1441" s="220"/>
      <c r="P1441" s="220"/>
      <c r="Q1441" s="220"/>
      <c r="R1441" s="220"/>
      <c r="S1441" s="220"/>
      <c r="T1441" s="225"/>
      <c r="U1441" s="226"/>
      <c r="V1441" s="253"/>
    </row>
    <row r="1442" customFormat="false" ht="12.75" hidden="false" customHeight="false" outlineLevel="0" collapsed="false">
      <c r="B1442" s="228"/>
      <c r="C1442" s="229"/>
      <c r="D1442" s="219"/>
      <c r="E1442" s="220"/>
      <c r="F1442" s="229"/>
      <c r="G1442" s="220"/>
      <c r="H1442" s="220"/>
      <c r="I1442" s="220"/>
      <c r="J1442" s="220"/>
      <c r="K1442" s="220"/>
      <c r="L1442" s="220"/>
      <c r="M1442" s="220"/>
      <c r="N1442" s="220"/>
      <c r="O1442" s="220"/>
      <c r="P1442" s="220"/>
      <c r="Q1442" s="220"/>
      <c r="R1442" s="220"/>
      <c r="S1442" s="220"/>
      <c r="T1442" s="225"/>
      <c r="U1442" s="226"/>
      <c r="V1442" s="253"/>
    </row>
    <row r="1443" customFormat="false" ht="12.75" hidden="false" customHeight="false" outlineLevel="0" collapsed="false">
      <c r="B1443" s="228"/>
      <c r="C1443" s="229"/>
      <c r="D1443" s="219"/>
      <c r="E1443" s="220"/>
      <c r="F1443" s="229"/>
      <c r="G1443" s="220"/>
      <c r="H1443" s="220"/>
      <c r="I1443" s="220"/>
      <c r="J1443" s="220"/>
      <c r="K1443" s="220"/>
      <c r="L1443" s="220"/>
      <c r="M1443" s="220"/>
      <c r="N1443" s="220"/>
      <c r="O1443" s="220"/>
      <c r="P1443" s="220"/>
      <c r="Q1443" s="220"/>
      <c r="R1443" s="220"/>
      <c r="S1443" s="220"/>
      <c r="T1443" s="225"/>
      <c r="U1443" s="226"/>
      <c r="V1443" s="253"/>
    </row>
    <row r="1444" customFormat="false" ht="12.75" hidden="false" customHeight="false" outlineLevel="0" collapsed="false">
      <c r="B1444" s="228"/>
      <c r="C1444" s="229"/>
      <c r="D1444" s="219"/>
      <c r="E1444" s="220"/>
      <c r="F1444" s="229"/>
      <c r="G1444" s="220"/>
      <c r="H1444" s="220"/>
      <c r="I1444" s="220"/>
      <c r="J1444" s="220"/>
      <c r="K1444" s="220"/>
      <c r="L1444" s="220"/>
      <c r="M1444" s="220"/>
      <c r="N1444" s="220"/>
      <c r="O1444" s="220"/>
      <c r="P1444" s="220"/>
      <c r="Q1444" s="220"/>
      <c r="R1444" s="220"/>
      <c r="S1444" s="220"/>
      <c r="T1444" s="225"/>
      <c r="U1444" s="226"/>
      <c r="V1444" s="253"/>
    </row>
    <row r="1445" customFormat="false" ht="12.75" hidden="false" customHeight="false" outlineLevel="0" collapsed="false">
      <c r="B1445" s="228"/>
      <c r="C1445" s="229"/>
      <c r="D1445" s="219"/>
      <c r="E1445" s="220"/>
      <c r="F1445" s="229"/>
      <c r="G1445" s="220"/>
      <c r="H1445" s="220"/>
      <c r="I1445" s="220"/>
      <c r="J1445" s="220"/>
      <c r="K1445" s="220"/>
      <c r="L1445" s="220"/>
      <c r="M1445" s="220"/>
      <c r="N1445" s="220"/>
      <c r="O1445" s="220"/>
      <c r="P1445" s="220"/>
      <c r="Q1445" s="220"/>
      <c r="R1445" s="220"/>
      <c r="S1445" s="220"/>
      <c r="T1445" s="225"/>
      <c r="U1445" s="226"/>
      <c r="V1445" s="253"/>
    </row>
    <row r="1446" customFormat="false" ht="12.75" hidden="false" customHeight="false" outlineLevel="0" collapsed="false">
      <c r="B1446" s="228"/>
      <c r="C1446" s="229"/>
      <c r="D1446" s="219"/>
      <c r="E1446" s="220"/>
      <c r="F1446" s="229"/>
      <c r="G1446" s="220"/>
      <c r="H1446" s="220"/>
      <c r="I1446" s="220"/>
      <c r="J1446" s="220"/>
      <c r="K1446" s="220"/>
      <c r="L1446" s="220"/>
      <c r="M1446" s="220"/>
      <c r="N1446" s="220"/>
      <c r="O1446" s="220"/>
      <c r="P1446" s="220"/>
      <c r="Q1446" s="220"/>
      <c r="R1446" s="220"/>
      <c r="S1446" s="220"/>
      <c r="T1446" s="225"/>
      <c r="U1446" s="226"/>
      <c r="V1446" s="253"/>
    </row>
    <row r="1447" customFormat="false" ht="12.75" hidden="false" customHeight="false" outlineLevel="0" collapsed="false">
      <c r="B1447" s="228"/>
      <c r="C1447" s="229"/>
      <c r="D1447" s="219"/>
      <c r="E1447" s="220"/>
      <c r="F1447" s="229"/>
      <c r="G1447" s="220"/>
      <c r="H1447" s="220"/>
      <c r="I1447" s="220"/>
      <c r="J1447" s="220"/>
      <c r="K1447" s="220"/>
      <c r="L1447" s="220"/>
      <c r="M1447" s="220"/>
      <c r="N1447" s="220"/>
      <c r="O1447" s="220"/>
      <c r="P1447" s="220"/>
      <c r="Q1447" s="220"/>
      <c r="R1447" s="220"/>
      <c r="S1447" s="220"/>
      <c r="T1447" s="225"/>
      <c r="U1447" s="226"/>
      <c r="V1447" s="253"/>
    </row>
    <row r="1448" customFormat="false" ht="12.75" hidden="false" customHeight="false" outlineLevel="0" collapsed="false">
      <c r="B1448" s="228"/>
      <c r="C1448" s="229"/>
      <c r="D1448" s="219"/>
      <c r="E1448" s="220"/>
      <c r="F1448" s="229"/>
      <c r="G1448" s="220"/>
      <c r="H1448" s="220"/>
      <c r="I1448" s="220"/>
      <c r="J1448" s="220"/>
      <c r="K1448" s="220"/>
      <c r="L1448" s="220"/>
      <c r="M1448" s="220"/>
      <c r="N1448" s="220"/>
      <c r="O1448" s="220"/>
      <c r="P1448" s="220"/>
      <c r="Q1448" s="220"/>
      <c r="R1448" s="220"/>
      <c r="S1448" s="220"/>
      <c r="T1448" s="225"/>
      <c r="U1448" s="226"/>
      <c r="V1448" s="253"/>
    </row>
    <row r="1449" customFormat="false" ht="12.75" hidden="false" customHeight="false" outlineLevel="0" collapsed="false">
      <c r="B1449" s="228"/>
      <c r="C1449" s="229"/>
      <c r="D1449" s="219"/>
      <c r="E1449" s="220"/>
      <c r="F1449" s="229"/>
      <c r="G1449" s="220"/>
      <c r="H1449" s="220"/>
      <c r="I1449" s="220"/>
      <c r="J1449" s="220"/>
      <c r="K1449" s="220"/>
      <c r="L1449" s="220"/>
      <c r="M1449" s="220"/>
      <c r="N1449" s="220"/>
      <c r="O1449" s="220"/>
      <c r="P1449" s="220"/>
      <c r="Q1449" s="220"/>
      <c r="R1449" s="220"/>
      <c r="S1449" s="220"/>
      <c r="T1449" s="225"/>
      <c r="U1449" s="226"/>
      <c r="V1449" s="253"/>
    </row>
    <row r="1450" customFormat="false" ht="12.75" hidden="false" customHeight="false" outlineLevel="0" collapsed="false">
      <c r="B1450" s="228"/>
      <c r="C1450" s="229"/>
      <c r="D1450" s="219"/>
      <c r="E1450" s="220"/>
      <c r="F1450" s="229"/>
      <c r="G1450" s="220"/>
      <c r="H1450" s="220"/>
      <c r="I1450" s="220"/>
      <c r="J1450" s="220"/>
      <c r="K1450" s="220"/>
      <c r="L1450" s="220"/>
      <c r="M1450" s="220"/>
      <c r="N1450" s="220"/>
      <c r="O1450" s="220"/>
      <c r="P1450" s="220"/>
      <c r="Q1450" s="220"/>
      <c r="R1450" s="220"/>
      <c r="S1450" s="220"/>
      <c r="T1450" s="225"/>
      <c r="U1450" s="226"/>
      <c r="V1450" s="253"/>
    </row>
    <row r="1451" customFormat="false" ht="12.75" hidden="false" customHeight="false" outlineLevel="0" collapsed="false">
      <c r="B1451" s="228"/>
      <c r="C1451" s="229"/>
      <c r="D1451" s="219"/>
      <c r="E1451" s="220"/>
      <c r="F1451" s="229"/>
      <c r="G1451" s="220"/>
      <c r="H1451" s="220"/>
      <c r="I1451" s="220"/>
      <c r="J1451" s="220"/>
      <c r="K1451" s="220"/>
      <c r="L1451" s="220"/>
      <c r="M1451" s="220"/>
      <c r="N1451" s="220"/>
      <c r="O1451" s="220"/>
      <c r="P1451" s="220"/>
      <c r="Q1451" s="220"/>
      <c r="R1451" s="220"/>
      <c r="S1451" s="220"/>
      <c r="T1451" s="225"/>
      <c r="U1451" s="226"/>
      <c r="V1451" s="253"/>
    </row>
    <row r="1452" customFormat="false" ht="12.75" hidden="false" customHeight="false" outlineLevel="0" collapsed="false">
      <c r="B1452" s="228"/>
      <c r="C1452" s="229"/>
      <c r="D1452" s="219"/>
      <c r="E1452" s="220"/>
      <c r="F1452" s="229"/>
      <c r="G1452" s="220"/>
      <c r="H1452" s="220"/>
      <c r="I1452" s="220"/>
      <c r="J1452" s="220"/>
      <c r="K1452" s="220"/>
      <c r="L1452" s="220"/>
      <c r="M1452" s="220"/>
      <c r="N1452" s="220"/>
      <c r="O1452" s="220"/>
      <c r="P1452" s="220"/>
      <c r="Q1452" s="220"/>
      <c r="R1452" s="220"/>
      <c r="S1452" s="220"/>
      <c r="T1452" s="225"/>
      <c r="U1452" s="226"/>
      <c r="V1452" s="253"/>
    </row>
    <row r="1453" customFormat="false" ht="12.75" hidden="false" customHeight="false" outlineLevel="0" collapsed="false">
      <c r="B1453" s="228"/>
      <c r="C1453" s="229"/>
      <c r="D1453" s="219"/>
      <c r="E1453" s="220"/>
      <c r="F1453" s="229"/>
      <c r="G1453" s="220"/>
      <c r="H1453" s="220"/>
      <c r="I1453" s="220"/>
      <c r="J1453" s="220"/>
      <c r="K1453" s="220"/>
      <c r="L1453" s="220"/>
      <c r="M1453" s="220"/>
      <c r="N1453" s="220"/>
      <c r="O1453" s="220"/>
      <c r="P1453" s="220"/>
      <c r="Q1453" s="220"/>
      <c r="R1453" s="220"/>
      <c r="S1453" s="220"/>
      <c r="T1453" s="225"/>
      <c r="U1453" s="226"/>
      <c r="V1453" s="253"/>
    </row>
    <row r="1454" customFormat="false" ht="12.75" hidden="false" customHeight="false" outlineLevel="0" collapsed="false">
      <c r="B1454" s="228"/>
      <c r="C1454" s="229"/>
      <c r="D1454" s="219"/>
      <c r="E1454" s="220"/>
      <c r="F1454" s="229"/>
      <c r="G1454" s="220"/>
      <c r="H1454" s="220"/>
      <c r="I1454" s="220"/>
      <c r="J1454" s="220"/>
      <c r="K1454" s="220"/>
      <c r="L1454" s="220"/>
      <c r="M1454" s="220"/>
      <c r="N1454" s="220"/>
      <c r="O1454" s="220"/>
      <c r="P1454" s="220"/>
      <c r="Q1454" s="220"/>
      <c r="R1454" s="220"/>
      <c r="S1454" s="220"/>
      <c r="T1454" s="225"/>
      <c r="U1454" s="226"/>
      <c r="V1454" s="253"/>
    </row>
    <row r="1455" customFormat="false" ht="12.75" hidden="false" customHeight="false" outlineLevel="0" collapsed="false">
      <c r="B1455" s="228"/>
      <c r="C1455" s="229"/>
      <c r="D1455" s="219"/>
      <c r="E1455" s="220"/>
      <c r="F1455" s="229"/>
      <c r="G1455" s="220"/>
      <c r="H1455" s="220"/>
      <c r="I1455" s="220"/>
      <c r="J1455" s="220"/>
      <c r="K1455" s="220"/>
      <c r="L1455" s="220"/>
      <c r="M1455" s="220"/>
      <c r="N1455" s="220"/>
      <c r="O1455" s="220"/>
      <c r="P1455" s="220"/>
      <c r="Q1455" s="220"/>
      <c r="R1455" s="220"/>
      <c r="S1455" s="220"/>
      <c r="T1455" s="225"/>
      <c r="U1455" s="226"/>
      <c r="V1455" s="253"/>
    </row>
    <row r="1456" customFormat="false" ht="12.75" hidden="false" customHeight="false" outlineLevel="0" collapsed="false">
      <c r="B1456" s="228"/>
      <c r="C1456" s="229"/>
      <c r="D1456" s="219"/>
      <c r="E1456" s="220"/>
      <c r="F1456" s="229"/>
      <c r="G1456" s="220"/>
      <c r="H1456" s="220"/>
      <c r="I1456" s="220"/>
      <c r="J1456" s="220"/>
      <c r="K1456" s="220"/>
      <c r="L1456" s="220"/>
      <c r="M1456" s="220"/>
      <c r="N1456" s="220"/>
      <c r="O1456" s="220"/>
      <c r="P1456" s="220"/>
      <c r="Q1456" s="220"/>
      <c r="R1456" s="220"/>
      <c r="S1456" s="220"/>
      <c r="T1456" s="225"/>
      <c r="U1456" s="226"/>
      <c r="V1456" s="253"/>
    </row>
    <row r="1457" customFormat="false" ht="12.75" hidden="false" customHeight="false" outlineLevel="0" collapsed="false">
      <c r="B1457" s="228"/>
      <c r="C1457" s="229"/>
      <c r="D1457" s="219"/>
      <c r="E1457" s="220"/>
      <c r="F1457" s="229"/>
      <c r="G1457" s="220"/>
      <c r="H1457" s="220"/>
      <c r="I1457" s="220"/>
      <c r="J1457" s="220"/>
      <c r="K1457" s="220"/>
      <c r="L1457" s="220"/>
      <c r="M1457" s="220"/>
      <c r="N1457" s="220"/>
      <c r="O1457" s="220"/>
      <c r="P1457" s="220"/>
      <c r="Q1457" s="220"/>
      <c r="R1457" s="220"/>
      <c r="S1457" s="220"/>
      <c r="T1457" s="225"/>
      <c r="U1457" s="226"/>
      <c r="V1457" s="253"/>
    </row>
    <row r="1458" customFormat="false" ht="12.75" hidden="false" customHeight="false" outlineLevel="0" collapsed="false">
      <c r="B1458" s="228"/>
      <c r="C1458" s="229"/>
      <c r="D1458" s="219"/>
      <c r="E1458" s="220"/>
      <c r="F1458" s="229"/>
      <c r="G1458" s="220"/>
      <c r="H1458" s="220"/>
      <c r="I1458" s="220"/>
      <c r="J1458" s="220"/>
      <c r="K1458" s="220"/>
      <c r="L1458" s="220"/>
      <c r="M1458" s="220"/>
      <c r="N1458" s="220"/>
      <c r="O1458" s="220"/>
      <c r="P1458" s="220"/>
      <c r="Q1458" s="220"/>
      <c r="R1458" s="220"/>
      <c r="S1458" s="220"/>
      <c r="T1458" s="225"/>
      <c r="U1458" s="226"/>
      <c r="V1458" s="253"/>
    </row>
    <row r="1459" customFormat="false" ht="12.75" hidden="false" customHeight="false" outlineLevel="0" collapsed="false">
      <c r="B1459" s="228"/>
      <c r="C1459" s="229"/>
      <c r="D1459" s="219"/>
      <c r="E1459" s="220"/>
      <c r="F1459" s="229"/>
      <c r="G1459" s="220"/>
      <c r="H1459" s="220"/>
      <c r="I1459" s="220"/>
      <c r="J1459" s="220"/>
      <c r="K1459" s="220"/>
      <c r="L1459" s="220"/>
      <c r="M1459" s="220"/>
      <c r="N1459" s="220"/>
      <c r="O1459" s="220"/>
      <c r="P1459" s="220"/>
      <c r="Q1459" s="220"/>
      <c r="R1459" s="220"/>
      <c r="S1459" s="220"/>
      <c r="T1459" s="225"/>
      <c r="U1459" s="226"/>
      <c r="V1459" s="253"/>
    </row>
    <row r="1460" customFormat="false" ht="12.75" hidden="false" customHeight="false" outlineLevel="0" collapsed="false">
      <c r="B1460" s="228"/>
      <c r="C1460" s="229"/>
      <c r="D1460" s="219"/>
      <c r="E1460" s="220"/>
      <c r="F1460" s="229"/>
      <c r="G1460" s="220"/>
      <c r="H1460" s="220"/>
      <c r="I1460" s="220"/>
      <c r="J1460" s="220"/>
      <c r="K1460" s="220"/>
      <c r="L1460" s="220"/>
      <c r="M1460" s="220"/>
      <c r="N1460" s="220"/>
      <c r="O1460" s="220"/>
      <c r="P1460" s="220"/>
      <c r="Q1460" s="220"/>
      <c r="R1460" s="220"/>
      <c r="S1460" s="220"/>
      <c r="T1460" s="225"/>
      <c r="U1460" s="226"/>
      <c r="V1460" s="253"/>
    </row>
    <row r="1461" customFormat="false" ht="12.75" hidden="false" customHeight="false" outlineLevel="0" collapsed="false">
      <c r="B1461" s="228"/>
      <c r="C1461" s="229"/>
      <c r="D1461" s="219"/>
      <c r="E1461" s="220"/>
      <c r="F1461" s="229"/>
      <c r="G1461" s="220"/>
      <c r="H1461" s="220"/>
      <c r="I1461" s="220"/>
      <c r="J1461" s="220"/>
      <c r="K1461" s="220"/>
      <c r="L1461" s="220"/>
      <c r="M1461" s="220"/>
      <c r="N1461" s="220"/>
      <c r="O1461" s="220"/>
      <c r="P1461" s="220"/>
      <c r="Q1461" s="220"/>
      <c r="R1461" s="220"/>
      <c r="S1461" s="220"/>
      <c r="T1461" s="225"/>
      <c r="U1461" s="226"/>
      <c r="V1461" s="253"/>
    </row>
    <row r="1462" customFormat="false" ht="12.75" hidden="false" customHeight="false" outlineLevel="0" collapsed="false">
      <c r="B1462" s="228"/>
      <c r="C1462" s="229"/>
      <c r="D1462" s="219"/>
      <c r="E1462" s="220"/>
      <c r="F1462" s="229"/>
      <c r="G1462" s="220"/>
      <c r="H1462" s="220"/>
      <c r="I1462" s="220"/>
      <c r="J1462" s="220"/>
      <c r="K1462" s="220"/>
      <c r="L1462" s="220"/>
      <c r="M1462" s="220"/>
      <c r="N1462" s="220"/>
      <c r="O1462" s="220"/>
      <c r="P1462" s="220"/>
      <c r="Q1462" s="220"/>
      <c r="R1462" s="220"/>
      <c r="S1462" s="220"/>
      <c r="T1462" s="225"/>
      <c r="U1462" s="226"/>
      <c r="V1462" s="253"/>
    </row>
    <row r="1463" customFormat="false" ht="12.75" hidden="false" customHeight="false" outlineLevel="0" collapsed="false">
      <c r="B1463" s="228"/>
      <c r="C1463" s="229"/>
      <c r="D1463" s="219"/>
      <c r="E1463" s="220"/>
      <c r="F1463" s="229"/>
      <c r="G1463" s="220"/>
      <c r="H1463" s="220"/>
      <c r="I1463" s="220"/>
      <c r="J1463" s="220"/>
      <c r="K1463" s="220"/>
      <c r="L1463" s="220"/>
      <c r="M1463" s="220"/>
      <c r="N1463" s="220"/>
      <c r="O1463" s="220"/>
      <c r="P1463" s="220"/>
      <c r="Q1463" s="220"/>
      <c r="R1463" s="220"/>
      <c r="S1463" s="220"/>
      <c r="T1463" s="225"/>
      <c r="U1463" s="226"/>
      <c r="V1463" s="253"/>
    </row>
    <row r="1464" customFormat="false" ht="12.75" hidden="false" customHeight="false" outlineLevel="0" collapsed="false">
      <c r="B1464" s="228"/>
      <c r="C1464" s="229"/>
      <c r="D1464" s="219"/>
      <c r="E1464" s="220"/>
      <c r="F1464" s="229"/>
      <c r="G1464" s="220"/>
      <c r="H1464" s="220"/>
      <c r="I1464" s="220"/>
      <c r="J1464" s="220"/>
      <c r="K1464" s="220"/>
      <c r="L1464" s="220"/>
      <c r="M1464" s="220"/>
      <c r="N1464" s="220"/>
      <c r="O1464" s="220"/>
      <c r="P1464" s="220"/>
      <c r="Q1464" s="220"/>
      <c r="R1464" s="220"/>
      <c r="S1464" s="220"/>
      <c r="T1464" s="225"/>
      <c r="U1464" s="226"/>
      <c r="V1464" s="253"/>
    </row>
    <row r="1465" customFormat="false" ht="12.75" hidden="false" customHeight="false" outlineLevel="0" collapsed="false">
      <c r="B1465" s="228"/>
      <c r="C1465" s="229"/>
      <c r="D1465" s="219"/>
      <c r="E1465" s="220"/>
      <c r="F1465" s="229"/>
      <c r="G1465" s="220"/>
      <c r="H1465" s="220"/>
      <c r="I1465" s="220"/>
      <c r="J1465" s="220"/>
      <c r="K1465" s="220"/>
      <c r="L1465" s="220"/>
      <c r="M1465" s="220"/>
      <c r="N1465" s="220"/>
      <c r="O1465" s="220"/>
      <c r="P1465" s="220"/>
      <c r="Q1465" s="220"/>
      <c r="R1465" s="220"/>
      <c r="S1465" s="220"/>
      <c r="T1465" s="225"/>
      <c r="U1465" s="226"/>
      <c r="V1465" s="253"/>
    </row>
    <row r="1466" customFormat="false" ht="12.75" hidden="false" customHeight="false" outlineLevel="0" collapsed="false">
      <c r="B1466" s="228"/>
      <c r="C1466" s="229"/>
      <c r="D1466" s="219"/>
      <c r="E1466" s="220"/>
      <c r="F1466" s="229"/>
      <c r="G1466" s="220"/>
      <c r="H1466" s="220"/>
      <c r="I1466" s="220"/>
      <c r="J1466" s="220"/>
      <c r="K1466" s="220"/>
      <c r="L1466" s="220"/>
      <c r="M1466" s="220"/>
      <c r="N1466" s="220"/>
      <c r="O1466" s="220"/>
      <c r="P1466" s="220"/>
      <c r="Q1466" s="220"/>
      <c r="R1466" s="220"/>
      <c r="S1466" s="220"/>
      <c r="T1466" s="225"/>
      <c r="U1466" s="226"/>
      <c r="V1466" s="253"/>
    </row>
    <row r="1467" customFormat="false" ht="12.75" hidden="false" customHeight="false" outlineLevel="0" collapsed="false">
      <c r="B1467" s="228"/>
      <c r="C1467" s="229"/>
      <c r="D1467" s="219"/>
      <c r="E1467" s="220"/>
      <c r="F1467" s="229"/>
      <c r="G1467" s="220"/>
      <c r="H1467" s="220"/>
      <c r="I1467" s="220"/>
      <c r="J1467" s="220"/>
      <c r="K1467" s="220"/>
      <c r="L1467" s="220"/>
      <c r="M1467" s="220"/>
      <c r="N1467" s="220"/>
      <c r="O1467" s="220"/>
      <c r="P1467" s="220"/>
      <c r="Q1467" s="220"/>
      <c r="R1467" s="220"/>
      <c r="S1467" s="220"/>
      <c r="T1467" s="225"/>
      <c r="U1467" s="226"/>
      <c r="V1467" s="253"/>
    </row>
    <row r="1468" customFormat="false" ht="12.75" hidden="false" customHeight="false" outlineLevel="0" collapsed="false">
      <c r="B1468" s="228"/>
      <c r="C1468" s="229"/>
      <c r="D1468" s="219"/>
      <c r="E1468" s="220"/>
      <c r="F1468" s="229"/>
      <c r="G1468" s="220"/>
      <c r="H1468" s="220"/>
      <c r="I1468" s="220"/>
      <c r="J1468" s="220"/>
      <c r="K1468" s="220"/>
      <c r="L1468" s="220"/>
      <c r="M1468" s="220"/>
      <c r="N1468" s="220"/>
      <c r="O1468" s="220"/>
      <c r="P1468" s="220"/>
      <c r="Q1468" s="220"/>
      <c r="R1468" s="220"/>
      <c r="S1468" s="220"/>
      <c r="T1468" s="225"/>
      <c r="U1468" s="226"/>
      <c r="V1468" s="253"/>
    </row>
    <row r="1469" customFormat="false" ht="12.75" hidden="false" customHeight="false" outlineLevel="0" collapsed="false">
      <c r="B1469" s="228"/>
      <c r="C1469" s="229"/>
      <c r="D1469" s="219"/>
      <c r="E1469" s="220"/>
      <c r="F1469" s="229"/>
      <c r="G1469" s="220"/>
      <c r="H1469" s="220"/>
      <c r="I1469" s="220"/>
      <c r="J1469" s="220"/>
      <c r="K1469" s="220"/>
      <c r="L1469" s="220"/>
      <c r="M1469" s="220"/>
      <c r="N1469" s="220"/>
      <c r="O1469" s="220"/>
      <c r="P1469" s="220"/>
      <c r="Q1469" s="220"/>
      <c r="R1469" s="220"/>
      <c r="S1469" s="220"/>
      <c r="T1469" s="225"/>
      <c r="U1469" s="226"/>
      <c r="V1469" s="253"/>
    </row>
    <row r="1470" customFormat="false" ht="12.75" hidden="false" customHeight="false" outlineLevel="0" collapsed="false">
      <c r="B1470" s="228"/>
      <c r="C1470" s="229"/>
      <c r="D1470" s="219"/>
      <c r="E1470" s="220"/>
      <c r="F1470" s="229"/>
      <c r="G1470" s="220"/>
      <c r="H1470" s="220"/>
      <c r="I1470" s="220"/>
      <c r="J1470" s="220"/>
      <c r="K1470" s="220"/>
      <c r="L1470" s="220"/>
      <c r="M1470" s="220"/>
      <c r="N1470" s="220"/>
      <c r="O1470" s="220"/>
      <c r="P1470" s="220"/>
      <c r="Q1470" s="220"/>
      <c r="R1470" s="220"/>
      <c r="S1470" s="220"/>
      <c r="T1470" s="225"/>
      <c r="U1470" s="226"/>
      <c r="V1470" s="253"/>
    </row>
    <row r="1471" customFormat="false" ht="12.75" hidden="false" customHeight="false" outlineLevel="0" collapsed="false">
      <c r="B1471" s="228"/>
      <c r="C1471" s="229"/>
      <c r="D1471" s="219"/>
      <c r="E1471" s="220"/>
      <c r="F1471" s="229"/>
      <c r="G1471" s="220"/>
      <c r="H1471" s="220"/>
      <c r="I1471" s="220"/>
      <c r="J1471" s="220"/>
      <c r="K1471" s="220"/>
      <c r="L1471" s="220"/>
      <c r="M1471" s="220"/>
      <c r="N1471" s="220"/>
      <c r="O1471" s="220"/>
      <c r="P1471" s="220"/>
      <c r="Q1471" s="220"/>
      <c r="R1471" s="220"/>
      <c r="S1471" s="220"/>
      <c r="T1471" s="225"/>
      <c r="U1471" s="226"/>
      <c r="V1471" s="253"/>
    </row>
    <row r="1472" customFormat="false" ht="12.75" hidden="false" customHeight="false" outlineLevel="0" collapsed="false">
      <c r="B1472" s="228"/>
      <c r="C1472" s="229"/>
      <c r="D1472" s="219"/>
      <c r="E1472" s="220"/>
      <c r="F1472" s="229"/>
      <c r="G1472" s="220"/>
      <c r="H1472" s="220"/>
      <c r="I1472" s="220"/>
      <c r="J1472" s="220"/>
      <c r="K1472" s="220"/>
      <c r="L1472" s="220"/>
      <c r="M1472" s="220"/>
      <c r="N1472" s="220"/>
      <c r="O1472" s="220"/>
      <c r="P1472" s="220"/>
      <c r="Q1472" s="220"/>
      <c r="R1472" s="220"/>
      <c r="S1472" s="220"/>
      <c r="T1472" s="225"/>
      <c r="U1472" s="226"/>
      <c r="V1472" s="253"/>
    </row>
    <row r="1473" customFormat="false" ht="12.75" hidden="false" customHeight="false" outlineLevel="0" collapsed="false">
      <c r="B1473" s="228"/>
      <c r="C1473" s="229"/>
      <c r="D1473" s="219"/>
      <c r="E1473" s="220"/>
      <c r="F1473" s="229"/>
      <c r="G1473" s="220"/>
      <c r="H1473" s="220"/>
      <c r="I1473" s="220"/>
      <c r="J1473" s="220"/>
      <c r="K1473" s="220"/>
      <c r="L1473" s="220"/>
      <c r="M1473" s="220"/>
      <c r="N1473" s="220"/>
      <c r="O1473" s="220"/>
      <c r="P1473" s="220"/>
      <c r="Q1473" s="220"/>
      <c r="R1473" s="220"/>
      <c r="S1473" s="220"/>
      <c r="T1473" s="225"/>
      <c r="U1473" s="226"/>
      <c r="V1473" s="253"/>
    </row>
    <row r="1474" customFormat="false" ht="12.75" hidden="false" customHeight="false" outlineLevel="0" collapsed="false">
      <c r="B1474" s="228"/>
      <c r="C1474" s="229"/>
      <c r="D1474" s="219"/>
      <c r="E1474" s="220"/>
      <c r="F1474" s="229"/>
      <c r="G1474" s="220"/>
      <c r="H1474" s="220"/>
      <c r="I1474" s="220"/>
      <c r="J1474" s="220"/>
      <c r="K1474" s="220"/>
      <c r="L1474" s="220"/>
      <c r="M1474" s="220"/>
      <c r="N1474" s="220"/>
      <c r="O1474" s="220"/>
      <c r="P1474" s="220"/>
      <c r="Q1474" s="220"/>
      <c r="R1474" s="220"/>
      <c r="S1474" s="220"/>
      <c r="T1474" s="225"/>
      <c r="U1474" s="226"/>
      <c r="V1474" s="253"/>
    </row>
    <row r="1475" customFormat="false" ht="12.75" hidden="false" customHeight="false" outlineLevel="0" collapsed="false">
      <c r="B1475" s="228"/>
      <c r="C1475" s="229"/>
      <c r="D1475" s="219"/>
      <c r="E1475" s="220"/>
      <c r="F1475" s="229"/>
      <c r="G1475" s="220"/>
      <c r="H1475" s="220"/>
      <c r="I1475" s="220"/>
      <c r="J1475" s="220"/>
      <c r="K1475" s="220"/>
      <c r="L1475" s="220"/>
      <c r="M1475" s="220"/>
      <c r="N1475" s="220"/>
      <c r="O1475" s="220"/>
      <c r="P1475" s="220"/>
      <c r="Q1475" s="220"/>
      <c r="R1475" s="220"/>
      <c r="S1475" s="220"/>
      <c r="T1475" s="225"/>
      <c r="U1475" s="226"/>
      <c r="V1475" s="253"/>
    </row>
    <row r="1476" customFormat="false" ht="12.75" hidden="false" customHeight="false" outlineLevel="0" collapsed="false">
      <c r="B1476" s="228"/>
      <c r="C1476" s="229"/>
      <c r="D1476" s="219"/>
      <c r="E1476" s="220"/>
      <c r="F1476" s="229"/>
      <c r="G1476" s="220"/>
      <c r="H1476" s="220"/>
      <c r="I1476" s="220"/>
      <c r="J1476" s="220"/>
      <c r="K1476" s="220"/>
      <c r="L1476" s="220"/>
      <c r="M1476" s="220"/>
      <c r="N1476" s="220"/>
      <c r="O1476" s="220"/>
      <c r="P1476" s="220"/>
      <c r="Q1476" s="220"/>
      <c r="R1476" s="220"/>
      <c r="S1476" s="220"/>
      <c r="T1476" s="225"/>
      <c r="U1476" s="226"/>
      <c r="V1476" s="253"/>
    </row>
    <row r="1477" customFormat="false" ht="12.75" hidden="false" customHeight="false" outlineLevel="0" collapsed="false">
      <c r="B1477" s="228"/>
      <c r="C1477" s="229"/>
      <c r="D1477" s="219"/>
      <c r="E1477" s="220"/>
      <c r="F1477" s="229"/>
      <c r="G1477" s="220"/>
      <c r="H1477" s="220"/>
      <c r="I1477" s="220"/>
      <c r="J1477" s="220"/>
      <c r="K1477" s="220"/>
      <c r="L1477" s="220"/>
      <c r="M1477" s="220"/>
      <c r="N1477" s="220"/>
      <c r="O1477" s="220"/>
      <c r="P1477" s="220"/>
      <c r="Q1477" s="220"/>
      <c r="R1477" s="220"/>
      <c r="S1477" s="220"/>
      <c r="T1477" s="225"/>
      <c r="U1477" s="226"/>
      <c r="V1477" s="253"/>
    </row>
    <row r="1478" customFormat="false" ht="12.75" hidden="false" customHeight="false" outlineLevel="0" collapsed="false">
      <c r="B1478" s="228"/>
      <c r="C1478" s="229"/>
      <c r="D1478" s="219"/>
      <c r="E1478" s="220"/>
      <c r="F1478" s="229"/>
      <c r="G1478" s="220"/>
      <c r="H1478" s="220"/>
      <c r="I1478" s="220"/>
      <c r="J1478" s="220"/>
      <c r="K1478" s="220"/>
      <c r="L1478" s="220"/>
      <c r="M1478" s="220"/>
      <c r="N1478" s="220"/>
      <c r="O1478" s="220"/>
      <c r="P1478" s="220"/>
      <c r="Q1478" s="220"/>
      <c r="R1478" s="220"/>
      <c r="S1478" s="220"/>
      <c r="T1478" s="225"/>
      <c r="U1478" s="226"/>
      <c r="V1478" s="253"/>
    </row>
    <row r="1479" customFormat="false" ht="12.75" hidden="false" customHeight="false" outlineLevel="0" collapsed="false">
      <c r="B1479" s="228"/>
      <c r="C1479" s="229"/>
      <c r="D1479" s="219"/>
      <c r="E1479" s="220"/>
      <c r="F1479" s="229"/>
      <c r="G1479" s="220"/>
      <c r="H1479" s="220"/>
      <c r="I1479" s="220"/>
      <c r="J1479" s="220"/>
      <c r="K1479" s="220"/>
      <c r="L1479" s="220"/>
      <c r="M1479" s="220"/>
      <c r="N1479" s="220"/>
      <c r="O1479" s="220"/>
      <c r="P1479" s="220"/>
      <c r="Q1479" s="220"/>
      <c r="R1479" s="220"/>
      <c r="S1479" s="220"/>
      <c r="T1479" s="225"/>
      <c r="U1479" s="226"/>
      <c r="V1479" s="253"/>
    </row>
    <row r="1480" customFormat="false" ht="12.75" hidden="false" customHeight="false" outlineLevel="0" collapsed="false">
      <c r="B1480" s="228"/>
      <c r="C1480" s="229"/>
      <c r="D1480" s="219"/>
      <c r="E1480" s="220"/>
      <c r="F1480" s="229"/>
      <c r="G1480" s="220"/>
      <c r="H1480" s="220"/>
      <c r="I1480" s="220"/>
      <c r="J1480" s="220"/>
      <c r="K1480" s="220"/>
      <c r="L1480" s="220"/>
      <c r="M1480" s="220"/>
      <c r="N1480" s="220"/>
      <c r="O1480" s="220"/>
      <c r="P1480" s="220"/>
      <c r="Q1480" s="220"/>
      <c r="R1480" s="220"/>
      <c r="S1480" s="220"/>
      <c r="T1480" s="225"/>
      <c r="U1480" s="226"/>
      <c r="V1480" s="253"/>
    </row>
    <row r="1481" customFormat="false" ht="12.75" hidden="false" customHeight="false" outlineLevel="0" collapsed="false">
      <c r="B1481" s="228"/>
      <c r="C1481" s="229"/>
      <c r="D1481" s="219"/>
      <c r="E1481" s="220"/>
      <c r="F1481" s="229"/>
      <c r="G1481" s="220"/>
      <c r="H1481" s="220"/>
      <c r="I1481" s="220"/>
      <c r="J1481" s="220"/>
      <c r="K1481" s="220"/>
      <c r="L1481" s="220"/>
      <c r="M1481" s="220"/>
      <c r="N1481" s="220"/>
      <c r="O1481" s="220"/>
      <c r="P1481" s="220"/>
      <c r="Q1481" s="220"/>
      <c r="R1481" s="220"/>
      <c r="S1481" s="220"/>
      <c r="T1481" s="225"/>
      <c r="U1481" s="226"/>
      <c r="V1481" s="253"/>
    </row>
    <row r="1482" customFormat="false" ht="12.75" hidden="false" customHeight="false" outlineLevel="0" collapsed="false">
      <c r="B1482" s="228"/>
      <c r="C1482" s="229"/>
      <c r="D1482" s="219"/>
      <c r="E1482" s="220"/>
      <c r="F1482" s="229"/>
      <c r="G1482" s="220"/>
      <c r="H1482" s="220"/>
      <c r="I1482" s="220"/>
      <c r="J1482" s="220"/>
      <c r="K1482" s="220"/>
      <c r="L1482" s="220"/>
      <c r="M1482" s="220"/>
      <c r="N1482" s="220"/>
      <c r="O1482" s="220"/>
      <c r="P1482" s="220"/>
      <c r="Q1482" s="220"/>
      <c r="R1482" s="220"/>
      <c r="S1482" s="220"/>
      <c r="T1482" s="225"/>
      <c r="U1482" s="226"/>
      <c r="V1482" s="253"/>
    </row>
    <row r="1483" customFormat="false" ht="12.75" hidden="false" customHeight="false" outlineLevel="0" collapsed="false">
      <c r="B1483" s="228"/>
      <c r="C1483" s="229"/>
      <c r="D1483" s="219"/>
      <c r="E1483" s="220"/>
      <c r="F1483" s="229"/>
      <c r="G1483" s="220"/>
      <c r="H1483" s="220"/>
      <c r="I1483" s="220"/>
      <c r="J1483" s="220"/>
      <c r="K1483" s="220"/>
      <c r="L1483" s="220"/>
      <c r="M1483" s="220"/>
      <c r="N1483" s="220"/>
      <c r="O1483" s="220"/>
      <c r="P1483" s="220"/>
      <c r="Q1483" s="220"/>
      <c r="R1483" s="220"/>
      <c r="S1483" s="220"/>
      <c r="T1483" s="225"/>
      <c r="U1483" s="226"/>
      <c r="V1483" s="253"/>
    </row>
    <row r="1484" customFormat="false" ht="12.75" hidden="false" customHeight="false" outlineLevel="0" collapsed="false">
      <c r="B1484" s="228"/>
      <c r="C1484" s="229"/>
      <c r="D1484" s="219"/>
      <c r="E1484" s="220"/>
      <c r="F1484" s="229"/>
      <c r="G1484" s="220"/>
      <c r="H1484" s="220"/>
      <c r="I1484" s="220"/>
      <c r="J1484" s="220"/>
      <c r="K1484" s="220"/>
      <c r="L1484" s="220"/>
      <c r="M1484" s="220"/>
      <c r="N1484" s="220"/>
      <c r="O1484" s="220"/>
      <c r="P1484" s="220"/>
      <c r="Q1484" s="220"/>
      <c r="R1484" s="220"/>
      <c r="S1484" s="220"/>
      <c r="T1484" s="225"/>
      <c r="U1484" s="226"/>
      <c r="V1484" s="253"/>
    </row>
    <row r="1485" customFormat="false" ht="12.75" hidden="false" customHeight="false" outlineLevel="0" collapsed="false">
      <c r="B1485" s="228"/>
      <c r="C1485" s="229"/>
      <c r="D1485" s="219"/>
      <c r="E1485" s="220"/>
      <c r="F1485" s="229"/>
      <c r="G1485" s="220"/>
      <c r="H1485" s="220"/>
      <c r="I1485" s="220"/>
      <c r="J1485" s="220"/>
      <c r="K1485" s="220"/>
      <c r="L1485" s="220"/>
      <c r="M1485" s="220"/>
      <c r="N1485" s="220"/>
      <c r="O1485" s="220"/>
      <c r="P1485" s="220"/>
      <c r="Q1485" s="220"/>
      <c r="R1485" s="220"/>
      <c r="S1485" s="220"/>
      <c r="T1485" s="225"/>
      <c r="U1485" s="226"/>
      <c r="V1485" s="253"/>
    </row>
    <row r="1486" customFormat="false" ht="12.75" hidden="false" customHeight="false" outlineLevel="0" collapsed="false">
      <c r="B1486" s="228"/>
      <c r="C1486" s="229"/>
      <c r="D1486" s="219"/>
      <c r="E1486" s="220"/>
      <c r="F1486" s="229"/>
      <c r="G1486" s="220"/>
      <c r="H1486" s="220"/>
      <c r="I1486" s="220"/>
      <c r="J1486" s="220"/>
      <c r="K1486" s="220"/>
      <c r="L1486" s="220"/>
      <c r="M1486" s="220"/>
      <c r="N1486" s="220"/>
      <c r="O1486" s="220"/>
      <c r="P1486" s="220"/>
      <c r="Q1486" s="220"/>
      <c r="R1486" s="220"/>
      <c r="S1486" s="220"/>
      <c r="T1486" s="225"/>
      <c r="U1486" s="226"/>
      <c r="V1486" s="253"/>
    </row>
    <row r="1487" customFormat="false" ht="12.75" hidden="false" customHeight="false" outlineLevel="0" collapsed="false">
      <c r="B1487" s="228"/>
      <c r="C1487" s="229"/>
      <c r="D1487" s="219"/>
      <c r="E1487" s="220"/>
      <c r="F1487" s="229"/>
      <c r="G1487" s="220"/>
      <c r="H1487" s="220"/>
      <c r="I1487" s="220"/>
      <c r="J1487" s="220"/>
      <c r="K1487" s="220"/>
      <c r="L1487" s="220"/>
      <c r="M1487" s="220"/>
      <c r="N1487" s="220"/>
      <c r="O1487" s="220"/>
      <c r="P1487" s="220"/>
      <c r="Q1487" s="220"/>
      <c r="R1487" s="220"/>
      <c r="S1487" s="220"/>
      <c r="T1487" s="225"/>
      <c r="U1487" s="226"/>
      <c r="V1487" s="253"/>
    </row>
    <row r="1488" customFormat="false" ht="12.75" hidden="false" customHeight="false" outlineLevel="0" collapsed="false">
      <c r="B1488" s="228"/>
      <c r="C1488" s="229"/>
      <c r="D1488" s="219"/>
      <c r="E1488" s="220"/>
      <c r="F1488" s="229"/>
      <c r="G1488" s="220"/>
      <c r="H1488" s="220"/>
      <c r="I1488" s="220"/>
      <c r="J1488" s="220"/>
      <c r="K1488" s="220"/>
      <c r="L1488" s="220"/>
      <c r="M1488" s="220"/>
      <c r="N1488" s="220"/>
      <c r="O1488" s="220"/>
      <c r="P1488" s="220"/>
      <c r="Q1488" s="220"/>
      <c r="R1488" s="220"/>
      <c r="S1488" s="220"/>
      <c r="T1488" s="225"/>
      <c r="U1488" s="226"/>
      <c r="V1488" s="253"/>
    </row>
    <row r="1489" customFormat="false" ht="12.75" hidden="false" customHeight="false" outlineLevel="0" collapsed="false">
      <c r="B1489" s="228"/>
      <c r="C1489" s="229"/>
      <c r="D1489" s="219"/>
      <c r="E1489" s="220"/>
      <c r="F1489" s="229"/>
      <c r="G1489" s="220"/>
      <c r="H1489" s="220"/>
      <c r="I1489" s="220"/>
      <c r="J1489" s="220"/>
      <c r="K1489" s="220"/>
      <c r="L1489" s="220"/>
      <c r="M1489" s="220"/>
      <c r="N1489" s="220"/>
      <c r="O1489" s="220"/>
      <c r="P1489" s="220"/>
      <c r="Q1489" s="220"/>
      <c r="R1489" s="220"/>
      <c r="S1489" s="220"/>
      <c r="T1489" s="225"/>
      <c r="U1489" s="226"/>
      <c r="V1489" s="253"/>
    </row>
    <row r="1490" customFormat="false" ht="12.75" hidden="false" customHeight="false" outlineLevel="0" collapsed="false">
      <c r="B1490" s="228"/>
      <c r="C1490" s="229"/>
      <c r="D1490" s="219"/>
      <c r="E1490" s="220"/>
      <c r="F1490" s="229"/>
      <c r="G1490" s="220"/>
      <c r="H1490" s="220"/>
      <c r="I1490" s="220"/>
      <c r="J1490" s="220"/>
      <c r="K1490" s="220"/>
      <c r="L1490" s="220"/>
      <c r="M1490" s="220"/>
      <c r="N1490" s="220"/>
      <c r="O1490" s="220"/>
      <c r="P1490" s="220"/>
      <c r="Q1490" s="220"/>
      <c r="R1490" s="220"/>
      <c r="S1490" s="220"/>
      <c r="T1490" s="225"/>
      <c r="U1490" s="226"/>
      <c r="V1490" s="253"/>
    </row>
    <row r="1491" customFormat="false" ht="12.75" hidden="false" customHeight="false" outlineLevel="0" collapsed="false">
      <c r="B1491" s="228"/>
      <c r="C1491" s="229"/>
      <c r="D1491" s="219"/>
      <c r="E1491" s="220"/>
      <c r="F1491" s="229"/>
      <c r="G1491" s="220"/>
      <c r="H1491" s="220"/>
      <c r="I1491" s="220"/>
      <c r="J1491" s="220"/>
      <c r="K1491" s="220"/>
      <c r="L1491" s="220"/>
      <c r="M1491" s="220"/>
      <c r="N1491" s="220"/>
      <c r="O1491" s="220"/>
      <c r="P1491" s="220"/>
      <c r="Q1491" s="220"/>
      <c r="R1491" s="220"/>
      <c r="S1491" s="220"/>
      <c r="T1491" s="225"/>
      <c r="U1491" s="226"/>
      <c r="V1491" s="253"/>
    </row>
    <row r="1492" customFormat="false" ht="12.75" hidden="false" customHeight="false" outlineLevel="0" collapsed="false">
      <c r="B1492" s="228"/>
      <c r="C1492" s="229"/>
      <c r="D1492" s="219"/>
      <c r="E1492" s="220"/>
      <c r="F1492" s="229"/>
      <c r="G1492" s="220"/>
      <c r="H1492" s="220"/>
      <c r="I1492" s="220"/>
      <c r="J1492" s="220"/>
      <c r="K1492" s="220"/>
      <c r="L1492" s="220"/>
      <c r="M1492" s="220"/>
      <c r="N1492" s="220"/>
      <c r="O1492" s="220"/>
      <c r="P1492" s="220"/>
      <c r="Q1492" s="220"/>
      <c r="R1492" s="220"/>
      <c r="S1492" s="220"/>
      <c r="T1492" s="225"/>
      <c r="U1492" s="226"/>
      <c r="V1492" s="253"/>
    </row>
    <row r="1493" customFormat="false" ht="12.75" hidden="false" customHeight="false" outlineLevel="0" collapsed="false">
      <c r="B1493" s="228"/>
      <c r="C1493" s="229"/>
      <c r="D1493" s="219"/>
      <c r="E1493" s="220"/>
      <c r="F1493" s="229"/>
      <c r="G1493" s="220"/>
      <c r="H1493" s="220"/>
      <c r="I1493" s="220"/>
      <c r="J1493" s="220"/>
      <c r="K1493" s="220"/>
      <c r="L1493" s="220"/>
      <c r="M1493" s="220"/>
      <c r="N1493" s="220"/>
      <c r="O1493" s="220"/>
      <c r="P1493" s="220"/>
      <c r="Q1493" s="220"/>
      <c r="R1493" s="220"/>
      <c r="S1493" s="220"/>
      <c r="T1493" s="225"/>
      <c r="U1493" s="226"/>
      <c r="V1493" s="253"/>
    </row>
    <row r="1494" customFormat="false" ht="12.75" hidden="false" customHeight="false" outlineLevel="0" collapsed="false">
      <c r="B1494" s="228"/>
      <c r="C1494" s="229"/>
      <c r="D1494" s="219"/>
      <c r="E1494" s="220"/>
      <c r="F1494" s="229"/>
      <c r="G1494" s="220"/>
      <c r="H1494" s="220"/>
      <c r="I1494" s="220"/>
      <c r="J1494" s="220"/>
      <c r="K1494" s="220"/>
      <c r="L1494" s="220"/>
      <c r="M1494" s="220"/>
      <c r="N1494" s="220"/>
      <c r="O1494" s="220"/>
      <c r="P1494" s="220"/>
      <c r="Q1494" s="220"/>
      <c r="R1494" s="220"/>
      <c r="S1494" s="220"/>
      <c r="T1494" s="225"/>
      <c r="U1494" s="226"/>
      <c r="V1494" s="253"/>
    </row>
    <row r="1495" customFormat="false" ht="12.75" hidden="false" customHeight="false" outlineLevel="0" collapsed="false">
      <c r="B1495" s="228"/>
      <c r="C1495" s="229"/>
      <c r="D1495" s="219"/>
      <c r="E1495" s="220"/>
      <c r="F1495" s="229"/>
      <c r="G1495" s="220"/>
      <c r="H1495" s="220"/>
      <c r="I1495" s="220"/>
      <c r="J1495" s="220"/>
      <c r="K1495" s="220"/>
      <c r="L1495" s="220"/>
      <c r="M1495" s="220"/>
      <c r="N1495" s="220"/>
      <c r="O1495" s="220"/>
      <c r="P1495" s="220"/>
      <c r="Q1495" s="220"/>
      <c r="R1495" s="220"/>
      <c r="S1495" s="220"/>
      <c r="T1495" s="225"/>
      <c r="U1495" s="226"/>
      <c r="V1495" s="253"/>
    </row>
    <row r="1496" customFormat="false" ht="12.75" hidden="false" customHeight="false" outlineLevel="0" collapsed="false">
      <c r="B1496" s="228"/>
      <c r="C1496" s="229"/>
      <c r="D1496" s="219"/>
      <c r="E1496" s="220"/>
      <c r="F1496" s="229"/>
      <c r="G1496" s="220"/>
      <c r="H1496" s="220"/>
      <c r="I1496" s="220"/>
      <c r="J1496" s="220"/>
      <c r="K1496" s="220"/>
      <c r="L1496" s="220"/>
      <c r="M1496" s="220"/>
      <c r="N1496" s="220"/>
      <c r="O1496" s="220"/>
      <c r="P1496" s="220"/>
      <c r="Q1496" s="220"/>
      <c r="R1496" s="220"/>
      <c r="S1496" s="220"/>
      <c r="T1496" s="225"/>
      <c r="U1496" s="226"/>
      <c r="V1496" s="253"/>
    </row>
    <row r="1497" customFormat="false" ht="12.75" hidden="false" customHeight="false" outlineLevel="0" collapsed="false">
      <c r="B1497" s="228"/>
      <c r="C1497" s="229"/>
      <c r="D1497" s="219"/>
      <c r="E1497" s="220"/>
      <c r="F1497" s="229"/>
      <c r="G1497" s="220"/>
      <c r="H1497" s="220"/>
      <c r="I1497" s="220"/>
      <c r="J1497" s="220"/>
      <c r="K1497" s="220"/>
      <c r="L1497" s="220"/>
      <c r="M1497" s="220"/>
      <c r="N1497" s="220"/>
      <c r="O1497" s="220"/>
      <c r="P1497" s="220"/>
      <c r="Q1497" s="220"/>
      <c r="R1497" s="220"/>
      <c r="S1497" s="220"/>
      <c r="T1497" s="225"/>
      <c r="U1497" s="226"/>
      <c r="V1497" s="253"/>
    </row>
    <row r="1498" customFormat="false" ht="12.75" hidden="false" customHeight="false" outlineLevel="0" collapsed="false">
      <c r="B1498" s="228"/>
      <c r="C1498" s="229"/>
      <c r="D1498" s="219"/>
      <c r="E1498" s="220"/>
      <c r="F1498" s="229"/>
      <c r="G1498" s="220"/>
      <c r="H1498" s="220"/>
      <c r="I1498" s="220"/>
      <c r="J1498" s="220"/>
      <c r="K1498" s="220"/>
      <c r="L1498" s="220"/>
      <c r="M1498" s="220"/>
      <c r="N1498" s="220"/>
      <c r="O1498" s="220"/>
      <c r="P1498" s="220"/>
      <c r="Q1498" s="220"/>
      <c r="R1498" s="220"/>
      <c r="S1498" s="220"/>
      <c r="T1498" s="225"/>
      <c r="U1498" s="226"/>
      <c r="V1498" s="253"/>
    </row>
    <row r="1499" customFormat="false" ht="12.75" hidden="false" customHeight="false" outlineLevel="0" collapsed="false">
      <c r="B1499" s="228"/>
      <c r="C1499" s="229"/>
      <c r="D1499" s="219"/>
      <c r="E1499" s="220"/>
      <c r="F1499" s="229"/>
      <c r="G1499" s="220"/>
      <c r="H1499" s="220"/>
      <c r="I1499" s="220"/>
      <c r="J1499" s="220"/>
      <c r="K1499" s="220"/>
      <c r="L1499" s="220"/>
      <c r="M1499" s="220"/>
      <c r="N1499" s="220"/>
      <c r="O1499" s="220"/>
      <c r="P1499" s="220"/>
      <c r="Q1499" s="220"/>
      <c r="R1499" s="220"/>
      <c r="S1499" s="220"/>
      <c r="T1499" s="225"/>
      <c r="U1499" s="226"/>
      <c r="V1499" s="253"/>
    </row>
    <row r="1500" customFormat="false" ht="12.75" hidden="false" customHeight="false" outlineLevel="0" collapsed="false">
      <c r="B1500" s="228"/>
      <c r="C1500" s="229"/>
      <c r="D1500" s="219"/>
      <c r="E1500" s="220"/>
      <c r="F1500" s="229"/>
      <c r="G1500" s="220"/>
      <c r="H1500" s="220"/>
      <c r="I1500" s="220"/>
      <c r="J1500" s="220"/>
      <c r="K1500" s="220"/>
      <c r="L1500" s="220"/>
      <c r="M1500" s="220"/>
      <c r="N1500" s="220"/>
      <c r="O1500" s="220"/>
      <c r="P1500" s="220"/>
      <c r="Q1500" s="220"/>
      <c r="R1500" s="220"/>
      <c r="S1500" s="220"/>
      <c r="T1500" s="225"/>
      <c r="U1500" s="226"/>
      <c r="V1500" s="253"/>
    </row>
    <row r="1501" customFormat="false" ht="12.75" hidden="false" customHeight="false" outlineLevel="0" collapsed="false">
      <c r="B1501" s="228"/>
      <c r="C1501" s="229"/>
      <c r="D1501" s="219"/>
      <c r="E1501" s="220"/>
      <c r="F1501" s="229"/>
      <c r="G1501" s="220"/>
      <c r="H1501" s="220"/>
      <c r="I1501" s="220"/>
      <c r="J1501" s="220"/>
      <c r="K1501" s="220"/>
      <c r="L1501" s="220"/>
      <c r="M1501" s="220"/>
      <c r="N1501" s="220"/>
      <c r="O1501" s="220"/>
      <c r="P1501" s="220"/>
      <c r="Q1501" s="220"/>
      <c r="R1501" s="220"/>
      <c r="S1501" s="220"/>
      <c r="T1501" s="225"/>
      <c r="U1501" s="226"/>
      <c r="V1501" s="253"/>
    </row>
    <row r="1502" customFormat="false" ht="12.75" hidden="false" customHeight="false" outlineLevel="0" collapsed="false">
      <c r="B1502" s="228"/>
      <c r="C1502" s="229"/>
      <c r="D1502" s="219"/>
      <c r="E1502" s="220"/>
      <c r="F1502" s="229"/>
      <c r="G1502" s="220"/>
      <c r="H1502" s="220"/>
      <c r="I1502" s="220"/>
      <c r="J1502" s="220"/>
      <c r="K1502" s="220"/>
      <c r="L1502" s="220"/>
      <c r="M1502" s="220"/>
      <c r="N1502" s="220"/>
      <c r="O1502" s="220"/>
      <c r="P1502" s="220"/>
      <c r="Q1502" s="220"/>
      <c r="R1502" s="220"/>
      <c r="S1502" s="220"/>
      <c r="T1502" s="225"/>
      <c r="U1502" s="226"/>
      <c r="V1502" s="253"/>
    </row>
    <row r="1503" customFormat="false" ht="12.75" hidden="false" customHeight="false" outlineLevel="0" collapsed="false">
      <c r="B1503" s="228"/>
      <c r="C1503" s="229"/>
      <c r="D1503" s="219"/>
      <c r="E1503" s="220"/>
      <c r="F1503" s="229"/>
      <c r="G1503" s="220"/>
      <c r="H1503" s="220"/>
      <c r="I1503" s="220"/>
      <c r="J1503" s="220"/>
      <c r="K1503" s="220"/>
      <c r="L1503" s="220"/>
      <c r="M1503" s="220"/>
      <c r="N1503" s="220"/>
      <c r="O1503" s="220"/>
      <c r="P1503" s="220"/>
      <c r="Q1503" s="220"/>
      <c r="R1503" s="220"/>
      <c r="S1503" s="220"/>
      <c r="T1503" s="225"/>
      <c r="U1503" s="226"/>
      <c r="V1503" s="253"/>
    </row>
    <row r="1504" customFormat="false" ht="12.75" hidden="false" customHeight="false" outlineLevel="0" collapsed="false">
      <c r="B1504" s="228"/>
      <c r="C1504" s="229"/>
      <c r="D1504" s="219"/>
      <c r="E1504" s="220"/>
      <c r="F1504" s="229"/>
      <c r="G1504" s="220"/>
      <c r="H1504" s="220"/>
      <c r="I1504" s="220"/>
      <c r="J1504" s="220"/>
      <c r="K1504" s="220"/>
      <c r="L1504" s="220"/>
      <c r="M1504" s="220"/>
      <c r="N1504" s="220"/>
      <c r="O1504" s="220"/>
      <c r="P1504" s="220"/>
      <c r="Q1504" s="220"/>
      <c r="R1504" s="220"/>
      <c r="S1504" s="220"/>
      <c r="T1504" s="225"/>
      <c r="U1504" s="226"/>
      <c r="V1504" s="253"/>
    </row>
    <row r="1505" customFormat="false" ht="12.75" hidden="false" customHeight="false" outlineLevel="0" collapsed="false">
      <c r="B1505" s="228"/>
      <c r="C1505" s="229"/>
      <c r="D1505" s="219"/>
      <c r="E1505" s="220"/>
      <c r="F1505" s="229"/>
      <c r="G1505" s="220"/>
      <c r="H1505" s="220"/>
      <c r="I1505" s="220"/>
      <c r="J1505" s="220"/>
      <c r="K1505" s="220"/>
      <c r="L1505" s="220"/>
      <c r="M1505" s="220"/>
      <c r="N1505" s="220"/>
      <c r="O1505" s="220"/>
      <c r="P1505" s="220"/>
      <c r="Q1505" s="220"/>
      <c r="R1505" s="220"/>
      <c r="S1505" s="220"/>
      <c r="T1505" s="225"/>
      <c r="U1505" s="226"/>
      <c r="V1505" s="253"/>
    </row>
    <row r="1506" customFormat="false" ht="12.75" hidden="false" customHeight="false" outlineLevel="0" collapsed="false">
      <c r="B1506" s="228"/>
      <c r="C1506" s="229"/>
      <c r="D1506" s="219"/>
      <c r="E1506" s="220"/>
      <c r="F1506" s="229"/>
      <c r="G1506" s="220"/>
      <c r="H1506" s="220"/>
      <c r="I1506" s="220"/>
      <c r="J1506" s="220"/>
      <c r="K1506" s="220"/>
      <c r="L1506" s="220"/>
      <c r="M1506" s="220"/>
      <c r="N1506" s="220"/>
      <c r="O1506" s="220"/>
      <c r="P1506" s="220"/>
      <c r="Q1506" s="220"/>
      <c r="R1506" s="220"/>
      <c r="S1506" s="220"/>
      <c r="T1506" s="225"/>
      <c r="U1506" s="226"/>
      <c r="V1506" s="253"/>
    </row>
    <row r="1507" customFormat="false" ht="12.75" hidden="false" customHeight="false" outlineLevel="0" collapsed="false">
      <c r="B1507" s="228"/>
      <c r="C1507" s="229"/>
      <c r="D1507" s="219"/>
      <c r="E1507" s="220"/>
      <c r="F1507" s="229"/>
      <c r="G1507" s="220"/>
      <c r="H1507" s="220"/>
      <c r="I1507" s="220"/>
      <c r="J1507" s="220"/>
      <c r="K1507" s="220"/>
      <c r="L1507" s="220"/>
      <c r="M1507" s="220"/>
      <c r="N1507" s="220"/>
      <c r="O1507" s="220"/>
      <c r="P1507" s="220"/>
      <c r="Q1507" s="220"/>
      <c r="R1507" s="220"/>
      <c r="S1507" s="220"/>
      <c r="T1507" s="225"/>
      <c r="U1507" s="226"/>
      <c r="V1507" s="253"/>
    </row>
    <row r="1048576" customFormat="false" ht="12.75" hidden="false" customHeight="true" outlineLevel="0" collapsed="false"/>
  </sheetData>
  <autoFilter ref="B1:W1852"/>
  <conditionalFormatting sqref="D2:D1852">
    <cfRule type="cellIs" priority="2" operator="equal" aboveAverage="0" equalAverage="0" bottom="0" percent="0" rank="0" text="" dxfId="14">
      <formula>21175</formula>
    </cfRule>
    <cfRule type="cellIs" priority="3" operator="equal" aboveAverage="0" equalAverage="0" bottom="0" percent="0" rank="0" text="" dxfId="15">
      <formula>21358</formula>
    </cfRule>
    <cfRule type="cellIs" priority="4" operator="equal" aboveAverage="0" equalAverage="0" bottom="0" percent="0" rank="0" text="" dxfId="16">
      <formula>21820</formula>
    </cfRule>
    <cfRule type="cellIs" priority="5" operator="equal" aboveAverage="0" equalAverage="0" bottom="0" percent="0" rank="0" text="" dxfId="17">
      <formula>14345</formula>
    </cfRule>
    <cfRule type="cellIs" priority="6" operator="equal" aboveAverage="0" equalAverage="0" bottom="0" percent="0" rank="0" text="" dxfId="18">
      <formula>"CSP"</formula>
    </cfRule>
    <cfRule type="cellIs" priority="7" operator="equal" aboveAverage="0" equalAverage="0" bottom="0" percent="0" rank="0" text="" dxfId="19">
      <formula>21451</formula>
    </cfRule>
    <cfRule type="cellIs" priority="8" operator="equal" aboveAverage="0" equalAverage="0" bottom="0" percent="0" rank="0" text="" dxfId="20">
      <formula>44112</formula>
    </cfRule>
    <cfRule type="cellIs" priority="9" operator="equal" aboveAverage="0" equalAverage="0" bottom="0" percent="0" rank="0" text="" dxfId="21">
      <formula>21710</formula>
    </cfRule>
    <cfRule type="cellIs" priority="10" operator="equal" aboveAverage="0" equalAverage="0" bottom="0" percent="0" rank="0" text="" dxfId="22">
      <formula>0</formula>
    </cfRule>
    <cfRule type="cellIs" priority="11" operator="notEqual" aboveAverage="0" equalAverage="0" bottom="0" percent="0" rank="0" text="" dxfId="23">
      <formula>0</formula>
    </cfRule>
  </conditionalFormatting>
  <printOptions headings="false" gridLines="false" gridLinesSet="true" horizontalCentered="false" verticalCentered="false"/>
  <pageMargins left="0.75" right="0.5" top="0.75" bottom="0.5" header="0" footer="0.3"/>
  <pageSetup paperSize="1" scale="31" fitToWidth="1" fitToHeight="1" pageOrder="downThenOver" orientation="landscape"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F772"/>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B21" activeCellId="0" sqref="B21"/>
    </sheetView>
  </sheetViews>
  <sheetFormatPr defaultColWidth="2.859375" defaultRowHeight="15.75" zeroHeight="false" outlineLevelRow="0" outlineLevelCol="0"/>
  <cols>
    <col collapsed="false" customWidth="false" hidden="false" outlineLevel="0" max="2" min="1" style="254" width="2.86"/>
    <col collapsed="false" customWidth="false" hidden="false" outlineLevel="0" max="3" min="3" style="255" width="2.86"/>
    <col collapsed="false" customWidth="false" hidden="false" outlineLevel="0" max="16384" min="4" style="254" width="2.86"/>
  </cols>
  <sheetData>
    <row r="1" customFormat="false" ht="15.75" hidden="false" customHeight="true" outlineLevel="0" collapsed="false">
      <c r="A1" s="256" t="s">
        <v>1519</v>
      </c>
      <c r="B1" s="256"/>
      <c r="C1" s="256"/>
      <c r="D1" s="256"/>
      <c r="E1" s="256"/>
      <c r="F1" s="256"/>
      <c r="G1" s="256"/>
      <c r="H1" s="256"/>
      <c r="I1" s="256"/>
      <c r="J1" s="256"/>
      <c r="K1" s="256"/>
      <c r="L1" s="256"/>
      <c r="M1" s="256"/>
      <c r="N1" s="256"/>
      <c r="O1" s="256"/>
      <c r="P1" s="256"/>
      <c r="Q1" s="256"/>
      <c r="R1" s="256"/>
      <c r="S1" s="256"/>
      <c r="T1" s="256"/>
      <c r="U1" s="256"/>
      <c r="V1" s="256"/>
      <c r="W1" s="256"/>
      <c r="X1" s="256"/>
      <c r="Y1" s="256"/>
      <c r="Z1" s="256"/>
      <c r="AA1" s="256"/>
      <c r="AB1" s="256"/>
      <c r="AC1" s="256"/>
      <c r="AD1" s="256"/>
      <c r="AE1" s="256"/>
      <c r="AF1" s="256"/>
    </row>
    <row r="2" customFormat="false" ht="15.75" hidden="false" customHeight="true" outlineLevel="0" collapsed="false">
      <c r="A2" s="256"/>
      <c r="B2" s="256"/>
      <c r="C2" s="256"/>
      <c r="D2" s="256"/>
      <c r="E2" s="256"/>
      <c r="F2" s="256"/>
      <c r="G2" s="256"/>
      <c r="H2" s="256"/>
      <c r="I2" s="256"/>
      <c r="J2" s="256"/>
      <c r="K2" s="256"/>
      <c r="L2" s="256"/>
      <c r="M2" s="256"/>
      <c r="N2" s="256"/>
      <c r="O2" s="256"/>
      <c r="P2" s="256"/>
      <c r="Q2" s="256"/>
      <c r="R2" s="256"/>
      <c r="S2" s="256"/>
      <c r="T2" s="256"/>
      <c r="U2" s="256"/>
      <c r="V2" s="256"/>
      <c r="W2" s="256"/>
      <c r="X2" s="256"/>
      <c r="Y2" s="256"/>
      <c r="Z2" s="256"/>
      <c r="AA2" s="256"/>
      <c r="AB2" s="256"/>
      <c r="AC2" s="256"/>
      <c r="AD2" s="256"/>
      <c r="AE2" s="256"/>
      <c r="AF2" s="256"/>
    </row>
    <row r="3" s="258" customFormat="true" ht="15.75" hidden="false" customHeight="true" outlineLevel="0" collapsed="false">
      <c r="A3" s="6" t="s">
        <v>1</v>
      </c>
      <c r="B3" s="6"/>
      <c r="C3" s="6"/>
      <c r="D3" s="6"/>
      <c r="E3" s="6"/>
      <c r="F3" s="257" t="s">
        <v>1520</v>
      </c>
      <c r="G3" s="257"/>
      <c r="H3" s="257"/>
      <c r="I3" s="257"/>
      <c r="J3" s="257"/>
      <c r="K3" s="257"/>
      <c r="L3" s="257"/>
      <c r="M3" s="6" t="s">
        <v>3</v>
      </c>
      <c r="N3" s="6"/>
      <c r="O3" s="6"/>
      <c r="P3" s="6"/>
      <c r="Q3" s="6"/>
      <c r="R3" s="257" t="s">
        <v>1521</v>
      </c>
      <c r="S3" s="257"/>
      <c r="T3" s="257"/>
      <c r="U3" s="257"/>
      <c r="V3" s="257"/>
      <c r="W3" s="257"/>
      <c r="X3" s="257"/>
      <c r="Y3" s="1"/>
      <c r="Z3" s="1"/>
      <c r="AA3" s="1"/>
      <c r="AB3" s="1"/>
      <c r="AC3" s="1"/>
      <c r="AD3" s="1"/>
      <c r="AE3" s="7"/>
      <c r="AF3" s="7"/>
    </row>
    <row r="4" s="258" customFormat="true" ht="15.75" hidden="false" customHeight="true" outlineLevel="0" collapsed="false">
      <c r="A4" s="6" t="s">
        <v>5</v>
      </c>
      <c r="B4" s="6"/>
      <c r="C4" s="6"/>
      <c r="D4" s="6"/>
      <c r="E4" s="6"/>
      <c r="F4" s="257" t="s">
        <v>6</v>
      </c>
      <c r="G4" s="257"/>
      <c r="H4" s="257"/>
      <c r="I4" s="257"/>
      <c r="J4" s="257"/>
      <c r="K4" s="257"/>
      <c r="L4" s="257"/>
      <c r="M4" s="6" t="s">
        <v>7</v>
      </c>
      <c r="N4" s="6"/>
      <c r="O4" s="6"/>
      <c r="P4" s="6"/>
      <c r="Q4" s="6"/>
      <c r="R4" s="257" t="s">
        <v>8</v>
      </c>
      <c r="S4" s="257"/>
      <c r="T4" s="257"/>
      <c r="U4" s="257"/>
      <c r="V4" s="257"/>
      <c r="W4" s="257"/>
      <c r="X4" s="257"/>
      <c r="Y4" s="9" t="s">
        <v>9</v>
      </c>
      <c r="Z4" s="9"/>
      <c r="AA4" s="9"/>
      <c r="AB4" s="9"/>
      <c r="AC4" s="9"/>
      <c r="AD4" s="9"/>
      <c r="AE4" s="7" t="s">
        <v>10</v>
      </c>
      <c r="AF4" s="7"/>
    </row>
    <row r="5" customFormat="false" ht="15.75" hidden="false" customHeight="true" outlineLevel="0" collapsed="false">
      <c r="A5" s="259" t="s">
        <v>1522</v>
      </c>
      <c r="B5" s="259"/>
      <c r="C5" s="260" t="n">
        <v>14312</v>
      </c>
      <c r="D5" s="260"/>
      <c r="E5" s="260"/>
      <c r="F5" s="260"/>
      <c r="G5" s="260"/>
      <c r="H5" s="260"/>
      <c r="I5" s="260"/>
      <c r="J5" s="260"/>
      <c r="K5" s="260"/>
      <c r="L5" s="260"/>
      <c r="M5" s="259" t="s">
        <v>1523</v>
      </c>
      <c r="N5" s="259"/>
      <c r="O5" s="259"/>
      <c r="P5" s="259"/>
      <c r="Q5" s="259"/>
      <c r="R5" s="260" t="s">
        <v>21</v>
      </c>
      <c r="S5" s="260"/>
      <c r="T5" s="260"/>
      <c r="U5" s="260"/>
      <c r="V5" s="260"/>
      <c r="W5" s="260"/>
      <c r="X5" s="260"/>
      <c r="Y5" s="260"/>
      <c r="Z5" s="260"/>
      <c r="AA5" s="260"/>
      <c r="AB5" s="260"/>
      <c r="AC5" s="260"/>
      <c r="AD5" s="260"/>
      <c r="AE5" s="260"/>
      <c r="AF5" s="260"/>
    </row>
    <row r="6" customFormat="false" ht="15.75" hidden="false" customHeight="true" outlineLevel="0" collapsed="false">
      <c r="A6" s="261" t="s">
        <v>1524</v>
      </c>
      <c r="B6" s="261"/>
      <c r="C6" s="261"/>
      <c r="D6" s="261"/>
      <c r="E6" s="261"/>
      <c r="F6" s="261"/>
      <c r="G6" s="261"/>
      <c r="H6" s="261"/>
      <c r="I6" s="261"/>
      <c r="J6" s="261"/>
      <c r="K6" s="261"/>
      <c r="L6" s="261"/>
      <c r="M6" s="261"/>
      <c r="N6" s="261"/>
      <c r="O6" s="261"/>
      <c r="P6" s="261"/>
      <c r="Q6" s="261"/>
      <c r="R6" s="261"/>
      <c r="S6" s="261"/>
      <c r="T6" s="261"/>
      <c r="U6" s="261"/>
      <c r="V6" s="261"/>
      <c r="W6" s="261"/>
      <c r="X6" s="261"/>
      <c r="Y6" s="261"/>
      <c r="Z6" s="261"/>
      <c r="AA6" s="261"/>
      <c r="AB6" s="261"/>
      <c r="AC6" s="261"/>
      <c r="AD6" s="261"/>
      <c r="AE6" s="261"/>
      <c r="AF6" s="261"/>
    </row>
    <row r="7" customFormat="false" ht="15.75" hidden="false" customHeight="true" outlineLevel="0" collapsed="false">
      <c r="A7" s="6" t="s">
        <v>1525</v>
      </c>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row>
    <row r="8" customFormat="false" ht="21.75" hidden="false" customHeight="true" outlineLevel="0" collapsed="false">
      <c r="A8" s="262"/>
      <c r="B8" s="263" t="s">
        <v>1526</v>
      </c>
      <c r="C8" s="263"/>
      <c r="D8" s="263"/>
      <c r="E8" s="263"/>
      <c r="F8" s="263"/>
      <c r="G8" s="263"/>
      <c r="H8" s="263"/>
      <c r="I8" s="263"/>
      <c r="J8" s="263"/>
      <c r="K8" s="263"/>
      <c r="L8" s="263"/>
      <c r="M8" s="263"/>
      <c r="N8" s="263"/>
      <c r="O8" s="263"/>
      <c r="P8" s="263"/>
      <c r="Q8" s="263"/>
      <c r="R8" s="263"/>
      <c r="S8" s="263"/>
      <c r="T8" s="263"/>
      <c r="U8" s="263"/>
      <c r="V8" s="263"/>
      <c r="W8" s="263"/>
      <c r="X8" s="263"/>
      <c r="Y8" s="263"/>
      <c r="Z8" s="263"/>
      <c r="AA8" s="263"/>
      <c r="AB8" s="263"/>
      <c r="AC8" s="263"/>
      <c r="AD8" s="263"/>
      <c r="AE8" s="263"/>
      <c r="AF8" s="263"/>
    </row>
    <row r="9" customFormat="false" ht="21.75" hidden="false" customHeight="true" outlineLevel="0" collapsed="false">
      <c r="A9" s="262"/>
      <c r="B9" s="262"/>
      <c r="C9" s="263"/>
      <c r="D9" s="263"/>
      <c r="E9" s="263"/>
      <c r="F9" s="263"/>
      <c r="G9" s="263"/>
      <c r="H9" s="263"/>
      <c r="I9" s="263"/>
      <c r="J9" s="263"/>
      <c r="K9" s="263"/>
      <c r="L9" s="263"/>
      <c r="M9" s="263"/>
      <c r="N9" s="263"/>
      <c r="O9" s="263"/>
      <c r="P9" s="263"/>
      <c r="Q9" s="263"/>
      <c r="R9" s="263"/>
      <c r="S9" s="263"/>
      <c r="T9" s="263"/>
      <c r="U9" s="263"/>
      <c r="V9" s="263"/>
      <c r="W9" s="263"/>
      <c r="X9" s="263"/>
      <c r="Y9" s="263"/>
      <c r="Z9" s="263"/>
      <c r="AA9" s="263"/>
      <c r="AB9" s="263"/>
      <c r="AC9" s="263"/>
      <c r="AD9" s="263"/>
      <c r="AE9" s="263"/>
      <c r="AF9" s="263"/>
    </row>
    <row r="10" customFormat="false" ht="21.75" hidden="false" customHeight="true" outlineLevel="0" collapsed="false">
      <c r="A10" s="262"/>
      <c r="B10" s="262"/>
      <c r="C10" s="263"/>
      <c r="D10" s="263"/>
      <c r="E10" s="263"/>
      <c r="F10" s="263"/>
      <c r="G10" s="263"/>
      <c r="H10" s="263"/>
      <c r="I10" s="263"/>
      <c r="J10" s="263"/>
      <c r="K10" s="263"/>
      <c r="L10" s="263"/>
      <c r="M10" s="263"/>
      <c r="N10" s="263"/>
      <c r="O10" s="263"/>
      <c r="P10" s="263"/>
      <c r="Q10" s="263"/>
      <c r="R10" s="263"/>
      <c r="S10" s="263"/>
      <c r="T10" s="263"/>
      <c r="U10" s="263"/>
      <c r="V10" s="263"/>
      <c r="W10" s="263"/>
      <c r="X10" s="263"/>
      <c r="Y10" s="263"/>
      <c r="Z10" s="263"/>
      <c r="AA10" s="263"/>
      <c r="AB10" s="263"/>
      <c r="AC10" s="263"/>
      <c r="AD10" s="263"/>
      <c r="AE10" s="263"/>
      <c r="AF10" s="263"/>
    </row>
    <row r="11" customFormat="false" ht="21.75" hidden="false" customHeight="true" outlineLevel="0" collapsed="false">
      <c r="A11" s="262"/>
      <c r="B11" s="262"/>
      <c r="C11" s="263"/>
      <c r="D11" s="263"/>
      <c r="E11" s="263"/>
      <c r="F11" s="263"/>
      <c r="G11" s="263"/>
      <c r="H11" s="263"/>
      <c r="I11" s="263"/>
      <c r="J11" s="263"/>
      <c r="K11" s="263"/>
      <c r="L11" s="263"/>
      <c r="M11" s="263"/>
      <c r="N11" s="263"/>
      <c r="O11" s="263"/>
      <c r="P11" s="263"/>
      <c r="Q11" s="263"/>
      <c r="R11" s="263"/>
      <c r="S11" s="263"/>
      <c r="T11" s="263"/>
      <c r="U11" s="263"/>
      <c r="V11" s="263"/>
      <c r="W11" s="263"/>
      <c r="X11" s="263"/>
      <c r="Y11" s="263"/>
      <c r="Z11" s="263"/>
      <c r="AA11" s="263"/>
      <c r="AB11" s="263"/>
      <c r="AC11" s="263"/>
      <c r="AD11" s="263"/>
      <c r="AE11" s="263"/>
      <c r="AF11" s="263"/>
    </row>
    <row r="12" customFormat="false" ht="21.75" hidden="false" customHeight="true" outlineLevel="0" collapsed="false">
      <c r="A12" s="262"/>
      <c r="B12" s="262"/>
      <c r="C12" s="263"/>
      <c r="D12" s="263"/>
      <c r="E12" s="263"/>
      <c r="F12" s="263"/>
      <c r="G12" s="263"/>
      <c r="H12" s="263"/>
      <c r="I12" s="263"/>
      <c r="J12" s="263"/>
      <c r="K12" s="263"/>
      <c r="L12" s="263"/>
      <c r="M12" s="263"/>
      <c r="N12" s="263"/>
      <c r="O12" s="263"/>
      <c r="P12" s="263"/>
      <c r="Q12" s="263"/>
      <c r="R12" s="263"/>
      <c r="S12" s="263"/>
      <c r="T12" s="263"/>
      <c r="U12" s="263"/>
      <c r="V12" s="263"/>
      <c r="W12" s="263"/>
      <c r="X12" s="263"/>
      <c r="Y12" s="263"/>
      <c r="Z12" s="263"/>
      <c r="AA12" s="263"/>
      <c r="AB12" s="263"/>
      <c r="AC12" s="263"/>
      <c r="AD12" s="263"/>
      <c r="AE12" s="263"/>
      <c r="AF12" s="263"/>
    </row>
    <row r="13" customFormat="false" ht="21.75" hidden="false" customHeight="true" outlineLevel="0" collapsed="false">
      <c r="A13" s="262"/>
      <c r="B13" s="262"/>
      <c r="C13" s="263"/>
      <c r="D13" s="263"/>
      <c r="E13" s="263"/>
      <c r="F13" s="263"/>
      <c r="G13" s="263"/>
      <c r="H13" s="263"/>
      <c r="I13" s="263"/>
      <c r="J13" s="263"/>
      <c r="K13" s="263"/>
      <c r="L13" s="263"/>
      <c r="M13" s="263"/>
      <c r="N13" s="263"/>
      <c r="O13" s="263"/>
      <c r="P13" s="263"/>
      <c r="Q13" s="263"/>
      <c r="R13" s="263"/>
      <c r="S13" s="263"/>
      <c r="T13" s="263"/>
      <c r="U13" s="263"/>
      <c r="V13" s="263"/>
      <c r="W13" s="263"/>
      <c r="X13" s="263"/>
      <c r="Y13" s="263"/>
      <c r="Z13" s="263"/>
      <c r="AA13" s="263"/>
      <c r="AB13" s="263"/>
      <c r="AC13" s="263"/>
      <c r="AD13" s="263"/>
      <c r="AE13" s="263"/>
      <c r="AF13" s="263"/>
    </row>
    <row r="14" customFormat="false" ht="15.75" hidden="false" customHeight="true" outlineLevel="0" collapsed="false">
      <c r="A14" s="6" t="s">
        <v>1527</v>
      </c>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row>
    <row r="15" s="266" customFormat="true" ht="15.75" hidden="false" customHeight="true" outlineLevel="0" collapsed="false">
      <c r="A15" s="264"/>
      <c r="B15" s="265" t="s">
        <v>1528</v>
      </c>
      <c r="C15" s="265"/>
      <c r="D15" s="265"/>
      <c r="E15" s="265"/>
      <c r="F15" s="265"/>
      <c r="G15" s="265"/>
      <c r="H15" s="265"/>
      <c r="I15" s="265"/>
      <c r="J15" s="265"/>
      <c r="K15" s="265"/>
      <c r="L15" s="265"/>
      <c r="M15" s="265"/>
      <c r="N15" s="265"/>
      <c r="O15" s="265"/>
      <c r="P15" s="265"/>
      <c r="Q15" s="265"/>
      <c r="R15" s="265"/>
      <c r="S15" s="265"/>
      <c r="T15" s="265"/>
      <c r="U15" s="265"/>
      <c r="V15" s="265"/>
      <c r="W15" s="265"/>
      <c r="X15" s="265"/>
      <c r="Y15" s="265"/>
      <c r="Z15" s="265"/>
      <c r="AA15" s="265"/>
      <c r="AB15" s="265"/>
      <c r="AC15" s="265"/>
      <c r="AD15" s="265"/>
      <c r="AE15" s="265"/>
      <c r="AF15" s="265"/>
    </row>
    <row r="16" s="266" customFormat="true" ht="15.75" hidden="false" customHeight="true" outlineLevel="0" collapsed="false">
      <c r="A16" s="267" t="s">
        <v>1529</v>
      </c>
      <c r="B16" s="267"/>
      <c r="C16" s="268"/>
      <c r="D16" s="267"/>
      <c r="E16" s="267"/>
      <c r="F16" s="269"/>
      <c r="G16" s="267"/>
      <c r="H16" s="267"/>
      <c r="I16" s="267"/>
      <c r="J16" s="267"/>
      <c r="K16" s="267"/>
      <c r="L16" s="267"/>
      <c r="M16" s="267"/>
      <c r="N16" s="267"/>
      <c r="O16" s="267"/>
      <c r="P16" s="267"/>
      <c r="Q16" s="267"/>
      <c r="R16" s="267"/>
      <c r="S16" s="267"/>
      <c r="T16" s="267"/>
      <c r="U16" s="267"/>
      <c r="V16" s="267"/>
      <c r="W16" s="270"/>
      <c r="X16" s="270"/>
      <c r="Y16" s="267"/>
      <c r="Z16" s="267"/>
      <c r="AA16" s="267"/>
      <c r="AB16" s="267"/>
      <c r="AC16" s="270"/>
      <c r="AD16" s="270"/>
      <c r="AE16" s="270"/>
      <c r="AF16" s="267"/>
    </row>
    <row r="17" s="266" customFormat="true" ht="15.75" hidden="false" customHeight="true" outlineLevel="0" collapsed="false">
      <c r="A17" s="39"/>
      <c r="B17" s="265" t="s">
        <v>1530</v>
      </c>
      <c r="C17" s="265"/>
      <c r="D17" s="265"/>
      <c r="E17" s="265"/>
      <c r="F17" s="265"/>
      <c r="G17" s="265"/>
      <c r="H17" s="265"/>
      <c r="I17" s="265"/>
      <c r="J17" s="265"/>
      <c r="K17" s="265"/>
      <c r="L17" s="265"/>
      <c r="M17" s="265"/>
      <c r="N17" s="265"/>
      <c r="O17" s="265"/>
      <c r="P17" s="265"/>
      <c r="Q17" s="265"/>
      <c r="R17" s="265"/>
      <c r="S17" s="265"/>
      <c r="T17" s="265"/>
      <c r="U17" s="265"/>
      <c r="V17" s="265"/>
      <c r="W17" s="265"/>
      <c r="X17" s="265"/>
      <c r="Y17" s="265"/>
      <c r="Z17" s="265"/>
      <c r="AA17" s="265"/>
      <c r="AB17" s="265"/>
      <c r="AC17" s="265"/>
      <c r="AD17" s="265"/>
      <c r="AE17" s="265"/>
      <c r="AF17" s="265"/>
    </row>
    <row r="18" s="266" customFormat="true" ht="15.75" hidden="false" customHeight="true" outlineLevel="0" collapsed="false">
      <c r="A18" s="39"/>
      <c r="B18" s="265" t="s">
        <v>1531</v>
      </c>
      <c r="C18" s="265"/>
      <c r="D18" s="265"/>
      <c r="E18" s="265"/>
      <c r="F18" s="265"/>
      <c r="G18" s="265"/>
      <c r="H18" s="265"/>
      <c r="I18" s="265"/>
      <c r="J18" s="265"/>
      <c r="K18" s="265"/>
      <c r="L18" s="265"/>
      <c r="M18" s="265"/>
      <c r="N18" s="265"/>
      <c r="O18" s="265"/>
      <c r="P18" s="265"/>
      <c r="Q18" s="265"/>
      <c r="R18" s="265"/>
      <c r="S18" s="265"/>
      <c r="T18" s="265"/>
      <c r="U18" s="265"/>
      <c r="V18" s="265"/>
      <c r="W18" s="265"/>
      <c r="X18" s="265"/>
      <c r="Y18" s="265"/>
      <c r="Z18" s="265"/>
      <c r="AA18" s="265"/>
      <c r="AB18" s="265"/>
      <c r="AC18" s="265"/>
      <c r="AD18" s="265"/>
      <c r="AE18" s="265"/>
      <c r="AF18" s="265"/>
    </row>
    <row r="19" s="266" customFormat="true" ht="15.75" hidden="false" customHeight="true" outlineLevel="0" collapsed="false">
      <c r="A19" s="267" t="s">
        <v>1532</v>
      </c>
      <c r="B19" s="267"/>
      <c r="C19" s="268"/>
      <c r="D19" s="267"/>
      <c r="E19" s="267"/>
      <c r="F19" s="269"/>
      <c r="G19" s="267"/>
      <c r="H19" s="267"/>
      <c r="I19" s="267"/>
      <c r="J19" s="267"/>
      <c r="K19" s="267"/>
      <c r="L19" s="267"/>
      <c r="M19" s="267"/>
      <c r="N19" s="267"/>
      <c r="O19" s="267"/>
      <c r="P19" s="267"/>
      <c r="Q19" s="267"/>
      <c r="R19" s="267"/>
      <c r="S19" s="267"/>
      <c r="T19" s="267"/>
      <c r="U19" s="267"/>
      <c r="V19" s="267"/>
      <c r="W19" s="270"/>
      <c r="X19" s="270"/>
      <c r="Y19" s="267"/>
      <c r="Z19" s="267"/>
      <c r="AA19" s="267"/>
      <c r="AB19" s="267"/>
      <c r="AC19" s="270"/>
      <c r="AD19" s="270"/>
      <c r="AE19" s="270"/>
      <c r="AF19" s="267"/>
    </row>
    <row r="20" s="266" customFormat="true" ht="15.75" hidden="false" customHeight="true" outlineLevel="0" collapsed="false">
      <c r="A20" s="271"/>
      <c r="B20" s="272" t="s">
        <v>1533</v>
      </c>
      <c r="C20" s="273"/>
      <c r="D20" s="273"/>
      <c r="E20" s="274"/>
      <c r="F20" s="274"/>
      <c r="G20" s="274"/>
      <c r="H20" s="274"/>
      <c r="I20" s="274"/>
      <c r="J20" s="274"/>
      <c r="K20" s="274"/>
      <c r="L20" s="274"/>
      <c r="M20" s="275" t="s">
        <v>1534</v>
      </c>
      <c r="N20" s="275"/>
      <c r="O20" s="275"/>
      <c r="P20" s="275"/>
      <c r="Q20" s="276"/>
      <c r="R20" s="276"/>
      <c r="S20" s="276"/>
      <c r="T20" s="276"/>
      <c r="U20" s="276"/>
      <c r="V20" s="276"/>
      <c r="W20" s="277"/>
      <c r="X20" s="277"/>
      <c r="Y20" s="276"/>
      <c r="Z20" s="276"/>
      <c r="AA20" s="276"/>
      <c r="AB20" s="276"/>
      <c r="AC20" s="277"/>
      <c r="AD20" s="277"/>
      <c r="AE20" s="277"/>
      <c r="AF20" s="276"/>
    </row>
    <row r="21" s="266" customFormat="true" ht="15.75" hidden="false" customHeight="true" outlineLevel="0" collapsed="false">
      <c r="A21" s="271"/>
      <c r="B21" s="278" t="s">
        <v>1069</v>
      </c>
      <c r="C21" s="278"/>
      <c r="D21" s="278"/>
      <c r="E21" s="279" t="s">
        <v>1535</v>
      </c>
      <c r="F21" s="279"/>
      <c r="G21" s="279"/>
      <c r="H21" s="279"/>
      <c r="I21" s="279"/>
      <c r="J21" s="279"/>
      <c r="K21" s="279"/>
      <c r="L21" s="279"/>
      <c r="M21" s="280" t="n">
        <f aca="false">AB218</f>
        <v>0</v>
      </c>
      <c r="N21" s="280"/>
      <c r="O21" s="280"/>
      <c r="P21" s="280"/>
      <c r="Q21" s="276"/>
      <c r="R21" s="276"/>
      <c r="S21" s="276"/>
      <c r="T21" s="276"/>
      <c r="U21" s="276"/>
      <c r="V21" s="276"/>
      <c r="W21" s="277"/>
      <c r="X21" s="277"/>
      <c r="Y21" s="276"/>
      <c r="Z21" s="276"/>
      <c r="AA21" s="276"/>
      <c r="AB21" s="276"/>
      <c r="AC21" s="277"/>
      <c r="AD21" s="277"/>
      <c r="AE21" s="277"/>
      <c r="AF21" s="276"/>
    </row>
    <row r="22" s="266" customFormat="true" ht="15.75" hidden="false" customHeight="true" outlineLevel="0" collapsed="false">
      <c r="A22" s="271"/>
      <c r="B22" s="281" t="s">
        <v>1478</v>
      </c>
      <c r="C22" s="281"/>
      <c r="D22" s="281"/>
      <c r="E22" s="282" t="s">
        <v>1536</v>
      </c>
      <c r="F22" s="282"/>
      <c r="G22" s="282"/>
      <c r="H22" s="282"/>
      <c r="I22" s="282"/>
      <c r="J22" s="282"/>
      <c r="K22" s="282"/>
      <c r="L22" s="282"/>
      <c r="M22" s="280" t="n">
        <f aca="false">AB402</f>
        <v>0</v>
      </c>
      <c r="N22" s="280"/>
      <c r="O22" s="280"/>
      <c r="P22" s="280"/>
      <c r="Q22" s="276"/>
      <c r="R22" s="276"/>
      <c r="S22" s="276"/>
      <c r="T22" s="276"/>
      <c r="U22" s="276"/>
      <c r="V22" s="276"/>
      <c r="W22" s="277"/>
      <c r="X22" s="277"/>
      <c r="Y22" s="276"/>
      <c r="Z22" s="276"/>
      <c r="AA22" s="276"/>
      <c r="AB22" s="276"/>
      <c r="AC22" s="277"/>
      <c r="AD22" s="277"/>
      <c r="AE22" s="277"/>
      <c r="AF22" s="276"/>
    </row>
    <row r="23" s="266" customFormat="true" ht="15.75" hidden="false" customHeight="true" outlineLevel="0" collapsed="false">
      <c r="A23" s="271"/>
      <c r="B23" s="281" t="s">
        <v>1516</v>
      </c>
      <c r="C23" s="281"/>
      <c r="D23" s="281"/>
      <c r="E23" s="282" t="s">
        <v>1537</v>
      </c>
      <c r="F23" s="282"/>
      <c r="G23" s="282"/>
      <c r="H23" s="282"/>
      <c r="I23" s="282"/>
      <c r="J23" s="282"/>
      <c r="K23" s="282"/>
      <c r="L23" s="282"/>
      <c r="M23" s="280" t="n">
        <f aca="false">AB586</f>
        <v>0</v>
      </c>
      <c r="N23" s="280"/>
      <c r="O23" s="280"/>
      <c r="P23" s="280"/>
      <c r="Q23" s="276"/>
      <c r="R23" s="276"/>
      <c r="S23" s="276"/>
      <c r="T23" s="276"/>
      <c r="U23" s="276"/>
      <c r="V23" s="276"/>
      <c r="W23" s="277"/>
      <c r="X23" s="277"/>
      <c r="Y23" s="276"/>
      <c r="Z23" s="276"/>
      <c r="AA23" s="276"/>
      <c r="AB23" s="276"/>
      <c r="AC23" s="277"/>
      <c r="AD23" s="277"/>
      <c r="AE23" s="277"/>
      <c r="AF23" s="276"/>
    </row>
    <row r="24" s="266" customFormat="true" ht="15.75" hidden="false" customHeight="true" outlineLevel="0" collapsed="false">
      <c r="A24" s="271"/>
      <c r="B24" s="283"/>
      <c r="C24" s="283"/>
      <c r="D24" s="283"/>
      <c r="E24" s="284"/>
      <c r="F24" s="284"/>
      <c r="G24" s="284"/>
      <c r="H24" s="284"/>
      <c r="I24" s="284"/>
      <c r="J24" s="284"/>
      <c r="K24" s="284"/>
      <c r="L24" s="284"/>
      <c r="M24" s="285" t="n">
        <f aca="false">AB770</f>
        <v>0</v>
      </c>
      <c r="N24" s="285"/>
      <c r="O24" s="285"/>
      <c r="P24" s="285"/>
      <c r="Q24" s="276"/>
      <c r="R24" s="276"/>
      <c r="S24" s="276"/>
      <c r="T24" s="276"/>
      <c r="U24" s="276"/>
      <c r="V24" s="276"/>
      <c r="W24" s="277"/>
      <c r="X24" s="277"/>
      <c r="Y24" s="276"/>
      <c r="Z24" s="276"/>
      <c r="AA24" s="276"/>
      <c r="AB24" s="276"/>
      <c r="AC24" s="277"/>
      <c r="AD24" s="277"/>
      <c r="AE24" s="277"/>
      <c r="AF24" s="276"/>
    </row>
    <row r="25" s="266" customFormat="true" ht="15.75" hidden="false" customHeight="true" outlineLevel="0" collapsed="false">
      <c r="A25" s="271"/>
      <c r="B25" s="286" t="s">
        <v>1538</v>
      </c>
      <c r="C25" s="286"/>
      <c r="D25" s="286"/>
      <c r="E25" s="286"/>
      <c r="F25" s="286"/>
      <c r="G25" s="286"/>
      <c r="H25" s="286"/>
      <c r="I25" s="286"/>
      <c r="J25" s="286"/>
      <c r="K25" s="286"/>
      <c r="L25" s="286"/>
      <c r="M25" s="287" t="n">
        <f aca="false">SUM(M21:P24)</f>
        <v>0</v>
      </c>
      <c r="N25" s="287"/>
      <c r="O25" s="287"/>
      <c r="P25" s="287"/>
      <c r="Q25" s="276"/>
      <c r="R25" s="276"/>
      <c r="S25" s="276"/>
      <c r="T25" s="276"/>
      <c r="U25" s="276"/>
      <c r="V25" s="276"/>
      <c r="W25" s="277"/>
      <c r="X25" s="277"/>
      <c r="Y25" s="276"/>
      <c r="Z25" s="276"/>
      <c r="AA25" s="276"/>
      <c r="AB25" s="276"/>
      <c r="AC25" s="277"/>
      <c r="AD25" s="277"/>
      <c r="AE25" s="277"/>
      <c r="AF25" s="276"/>
    </row>
    <row r="26" s="266" customFormat="true" ht="15.75" hidden="false" customHeight="true" outlineLevel="0" collapsed="false">
      <c r="A26" s="271"/>
      <c r="B26" s="288"/>
      <c r="C26" s="289"/>
      <c r="D26" s="288"/>
      <c r="E26" s="288"/>
      <c r="F26" s="289"/>
      <c r="G26" s="288"/>
      <c r="H26" s="288"/>
      <c r="I26" s="288"/>
      <c r="J26" s="288"/>
      <c r="K26" s="288"/>
      <c r="L26" s="288"/>
      <c r="M26" s="290"/>
      <c r="N26" s="290"/>
      <c r="O26" s="290"/>
      <c r="P26" s="290"/>
      <c r="Q26" s="276"/>
      <c r="R26" s="276"/>
      <c r="S26" s="276"/>
      <c r="T26" s="276"/>
      <c r="U26" s="276"/>
      <c r="V26" s="276"/>
      <c r="W26" s="277"/>
      <c r="X26" s="277"/>
      <c r="Y26" s="276"/>
      <c r="Z26" s="276"/>
      <c r="AA26" s="276"/>
      <c r="AB26" s="276"/>
      <c r="AC26" s="277"/>
      <c r="AD26" s="277"/>
      <c r="AE26" s="277"/>
      <c r="AF26" s="276"/>
    </row>
    <row r="27" customFormat="false" ht="15.75" hidden="false" customHeight="true" outlineLevel="0" collapsed="false">
      <c r="A27" s="271"/>
      <c r="B27" s="291"/>
      <c r="C27" s="291"/>
      <c r="D27" s="291"/>
      <c r="E27" s="292"/>
      <c r="F27" s="292"/>
      <c r="G27" s="292"/>
      <c r="H27" s="292"/>
      <c r="I27" s="292"/>
      <c r="J27" s="292"/>
      <c r="K27" s="292"/>
      <c r="L27" s="292"/>
      <c r="M27" s="293"/>
      <c r="N27" s="293"/>
      <c r="O27" s="293"/>
      <c r="P27" s="293"/>
      <c r="Q27" s="276"/>
      <c r="R27" s="276"/>
      <c r="S27" s="276"/>
      <c r="T27" s="276"/>
      <c r="U27" s="276"/>
      <c r="V27" s="276"/>
      <c r="W27" s="277"/>
      <c r="X27" s="277"/>
      <c r="Y27" s="276"/>
      <c r="Z27" s="276"/>
      <c r="AA27" s="276"/>
      <c r="AB27" s="276"/>
      <c r="AC27" s="277"/>
      <c r="AD27" s="277"/>
      <c r="AE27" s="277"/>
      <c r="AF27" s="276"/>
    </row>
    <row r="28" customFormat="false" ht="15.75" hidden="false" customHeight="true" outlineLevel="0" collapsed="false">
      <c r="A28" s="271"/>
      <c r="B28" s="294" t="s">
        <v>1539</v>
      </c>
      <c r="C28" s="294"/>
      <c r="D28" s="294"/>
      <c r="E28" s="294"/>
      <c r="F28" s="294"/>
      <c r="G28" s="294"/>
      <c r="H28" s="294"/>
      <c r="I28" s="294"/>
      <c r="J28" s="294"/>
      <c r="K28" s="294"/>
      <c r="L28" s="294"/>
      <c r="M28" s="294"/>
      <c r="N28" s="294"/>
      <c r="O28" s="294"/>
      <c r="P28" s="294"/>
      <c r="Q28" s="294"/>
      <c r="R28" s="294"/>
      <c r="S28" s="294"/>
      <c r="T28" s="294"/>
      <c r="U28" s="294"/>
      <c r="V28" s="294"/>
      <c r="W28" s="277"/>
      <c r="X28" s="277"/>
      <c r="Y28" s="276"/>
      <c r="Z28" s="276"/>
      <c r="AA28" s="276"/>
      <c r="AB28" s="276"/>
      <c r="AC28" s="277"/>
      <c r="AD28" s="277"/>
      <c r="AE28" s="277"/>
      <c r="AF28" s="276"/>
    </row>
    <row r="29" customFormat="false" ht="15.75" hidden="false" customHeight="true" outlineLevel="0" collapsed="false">
      <c r="A29" s="271"/>
      <c r="B29" s="295"/>
      <c r="C29" s="296"/>
      <c r="D29" s="276"/>
      <c r="E29" s="276"/>
      <c r="F29" s="296"/>
      <c r="G29" s="276"/>
      <c r="H29" s="276"/>
      <c r="I29" s="276"/>
      <c r="J29" s="276"/>
      <c r="K29" s="276"/>
      <c r="L29" s="276"/>
      <c r="M29" s="276"/>
      <c r="N29" s="276"/>
      <c r="O29" s="276"/>
      <c r="P29" s="276"/>
      <c r="Q29" s="276"/>
      <c r="R29" s="276"/>
      <c r="S29" s="276"/>
      <c r="T29" s="276"/>
      <c r="U29" s="276"/>
      <c r="V29" s="276"/>
      <c r="W29" s="277"/>
      <c r="X29" s="277"/>
      <c r="Y29" s="276"/>
      <c r="Z29" s="276"/>
      <c r="AA29" s="276"/>
      <c r="AB29" s="276"/>
      <c r="AC29" s="277"/>
      <c r="AD29" s="277"/>
      <c r="AE29" s="277"/>
      <c r="AF29" s="276"/>
    </row>
    <row r="30" customFormat="false" ht="15.75" hidden="false" customHeight="true" outlineLevel="0" collapsed="false">
      <c r="A30" s="271"/>
      <c r="B30" s="297" t="s">
        <v>1540</v>
      </c>
      <c r="C30" s="297"/>
      <c r="D30" s="297"/>
      <c r="E30" s="297"/>
      <c r="F30" s="297"/>
      <c r="G30" s="297"/>
      <c r="H30" s="297"/>
      <c r="I30" s="297"/>
      <c r="J30" s="297"/>
      <c r="K30" s="297"/>
      <c r="L30" s="297"/>
      <c r="M30" s="297"/>
      <c r="N30" s="297"/>
      <c r="O30" s="297"/>
      <c r="P30" s="297"/>
      <c r="Q30" s="297"/>
      <c r="R30" s="297"/>
      <c r="S30" s="297"/>
      <c r="T30" s="297"/>
      <c r="U30" s="297"/>
      <c r="V30" s="297"/>
      <c r="W30" s="297"/>
      <c r="X30" s="297"/>
      <c r="Y30" s="297"/>
      <c r="Z30" s="297"/>
      <c r="AA30" s="297"/>
      <c r="AB30" s="297"/>
      <c r="AC30" s="297"/>
      <c r="AD30" s="297"/>
      <c r="AE30" s="297"/>
      <c r="AF30" s="297"/>
    </row>
    <row r="31" customFormat="false" ht="15.75" hidden="false" customHeight="true" outlineLevel="0" collapsed="false">
      <c r="A31" s="271"/>
      <c r="B31" s="297"/>
      <c r="C31" s="297"/>
      <c r="D31" s="297"/>
      <c r="E31" s="297"/>
      <c r="F31" s="297"/>
      <c r="G31" s="297"/>
      <c r="H31" s="297"/>
      <c r="I31" s="297"/>
      <c r="J31" s="297"/>
      <c r="K31" s="297"/>
      <c r="L31" s="297"/>
      <c r="M31" s="297"/>
      <c r="N31" s="297"/>
      <c r="O31" s="297"/>
      <c r="P31" s="297"/>
      <c r="Q31" s="297"/>
      <c r="R31" s="297"/>
      <c r="S31" s="297"/>
      <c r="T31" s="297"/>
      <c r="U31" s="297"/>
      <c r="V31" s="297"/>
      <c r="W31" s="297"/>
      <c r="X31" s="297"/>
      <c r="Y31" s="297"/>
      <c r="Z31" s="297"/>
      <c r="AA31" s="297"/>
      <c r="AB31" s="297"/>
      <c r="AC31" s="297"/>
      <c r="AD31" s="297"/>
      <c r="AE31" s="297"/>
      <c r="AF31" s="297"/>
    </row>
    <row r="32" customFormat="false" ht="15.75" hidden="false" customHeight="true" outlineLevel="0" collapsed="false">
      <c r="A32" s="271"/>
      <c r="B32" s="297"/>
      <c r="C32" s="297"/>
      <c r="D32" s="297"/>
      <c r="E32" s="297"/>
      <c r="F32" s="297"/>
      <c r="G32" s="297"/>
      <c r="H32" s="297"/>
      <c r="I32" s="297"/>
      <c r="J32" s="297"/>
      <c r="K32" s="297"/>
      <c r="L32" s="297"/>
      <c r="M32" s="297"/>
      <c r="N32" s="297"/>
      <c r="O32" s="297"/>
      <c r="P32" s="297"/>
      <c r="Q32" s="297"/>
      <c r="R32" s="297"/>
      <c r="S32" s="297"/>
      <c r="T32" s="297"/>
      <c r="U32" s="297"/>
      <c r="V32" s="297"/>
      <c r="W32" s="297"/>
      <c r="X32" s="297"/>
      <c r="Y32" s="297"/>
      <c r="Z32" s="297"/>
      <c r="AA32" s="297"/>
      <c r="AB32" s="297"/>
      <c r="AC32" s="297"/>
      <c r="AD32" s="297"/>
      <c r="AE32" s="297"/>
      <c r="AF32" s="297"/>
    </row>
    <row r="33" customFormat="false" ht="15.75" hidden="false" customHeight="true" outlineLevel="0" collapsed="false">
      <c r="A33" s="271"/>
      <c r="B33" s="298"/>
      <c r="C33" s="299"/>
      <c r="D33" s="298"/>
      <c r="E33" s="298"/>
      <c r="F33" s="300"/>
      <c r="G33" s="298"/>
      <c r="H33" s="298"/>
      <c r="I33" s="298"/>
      <c r="J33" s="298"/>
      <c r="K33" s="298"/>
      <c r="L33" s="298"/>
      <c r="M33" s="298"/>
      <c r="N33" s="298"/>
      <c r="O33" s="298"/>
      <c r="P33" s="298"/>
      <c r="Q33" s="298"/>
      <c r="R33" s="298"/>
      <c r="S33" s="298"/>
      <c r="T33" s="298"/>
      <c r="U33" s="298"/>
      <c r="V33" s="298"/>
      <c r="W33" s="301"/>
      <c r="X33" s="301"/>
      <c r="Y33" s="298"/>
      <c r="Z33" s="298"/>
      <c r="AA33" s="298"/>
      <c r="AB33" s="298"/>
      <c r="AC33" s="301"/>
      <c r="AD33" s="301"/>
      <c r="AE33" s="301"/>
      <c r="AF33" s="298"/>
    </row>
    <row r="34" customFormat="false" ht="15.75" hidden="false" customHeight="true" outlineLevel="0" collapsed="false">
      <c r="A34" s="271"/>
      <c r="B34" s="302"/>
      <c r="C34" s="303"/>
      <c r="D34" s="303"/>
      <c r="E34" s="303"/>
      <c r="F34" s="304"/>
      <c r="G34" s="303"/>
      <c r="H34" s="303"/>
      <c r="I34" s="303"/>
      <c r="J34" s="303"/>
      <c r="K34" s="39"/>
      <c r="L34" s="39"/>
      <c r="M34" s="39"/>
      <c r="N34" s="305"/>
      <c r="O34" s="305"/>
      <c r="P34" s="306"/>
      <c r="Q34" s="306"/>
      <c r="R34" s="306"/>
      <c r="S34" s="306"/>
      <c r="T34" s="306"/>
      <c r="U34" s="306"/>
      <c r="V34" s="306"/>
      <c r="W34" s="307"/>
      <c r="X34" s="307"/>
      <c r="Y34" s="306"/>
      <c r="Z34" s="306"/>
      <c r="AA34" s="306"/>
      <c r="AB34" s="306"/>
      <c r="AC34" s="307"/>
      <c r="AD34" s="307"/>
      <c r="AE34" s="307"/>
      <c r="AF34" s="276"/>
    </row>
    <row r="35" customFormat="false" ht="15.75" hidden="false" customHeight="true" outlineLevel="0" collapsed="false">
      <c r="A35" s="271"/>
      <c r="B35" s="302"/>
      <c r="C35" s="308"/>
      <c r="D35" s="308"/>
      <c r="E35" s="308"/>
      <c r="F35" s="309"/>
      <c r="G35" s="310"/>
      <c r="H35" s="310"/>
      <c r="I35" s="310"/>
      <c r="J35" s="310"/>
      <c r="K35" s="311"/>
      <c r="L35" s="310"/>
      <c r="M35" s="310"/>
      <c r="N35" s="310"/>
      <c r="O35" s="310"/>
      <c r="P35" s="312"/>
      <c r="Q35" s="312"/>
      <c r="R35" s="312"/>
      <c r="S35" s="312"/>
      <c r="T35" s="312"/>
      <c r="U35" s="312"/>
      <c r="V35" s="312"/>
      <c r="W35" s="313"/>
      <c r="X35" s="313"/>
      <c r="Y35" s="312"/>
      <c r="Z35" s="312"/>
      <c r="AA35" s="312"/>
      <c r="AB35" s="312"/>
      <c r="AC35" s="313"/>
      <c r="AD35" s="313"/>
      <c r="AE35" s="313"/>
      <c r="AF35" s="276"/>
    </row>
    <row r="36" customFormat="false" ht="15.75" hidden="false" customHeight="true" outlineLevel="0" collapsed="false">
      <c r="A36" s="314" t="s">
        <v>26</v>
      </c>
      <c r="B36" s="314"/>
      <c r="C36" s="314"/>
      <c r="D36" s="314"/>
      <c r="E36" s="314"/>
      <c r="F36" s="314"/>
      <c r="G36" s="314"/>
      <c r="H36" s="315" t="n">
        <f aca="false">M25</f>
        <v>0</v>
      </c>
      <c r="I36" s="315"/>
      <c r="J36" s="315"/>
      <c r="K36" s="315"/>
      <c r="L36" s="316" t="s">
        <v>1541</v>
      </c>
      <c r="M36" s="317"/>
      <c r="N36" s="317"/>
      <c r="O36" s="318"/>
      <c r="P36" s="318"/>
      <c r="Q36" s="318"/>
      <c r="R36" s="316"/>
      <c r="S36" s="316"/>
      <c r="T36" s="316"/>
      <c r="U36" s="316"/>
      <c r="V36" s="316"/>
      <c r="W36" s="317"/>
      <c r="X36" s="317"/>
      <c r="Y36" s="319"/>
      <c r="Z36" s="320"/>
      <c r="AA36" s="320"/>
      <c r="AB36" s="320"/>
      <c r="AC36" s="321"/>
      <c r="AD36" s="322"/>
      <c r="AE36" s="322"/>
      <c r="AF36" s="322"/>
    </row>
    <row r="37" customFormat="false" ht="15.75" hidden="false" customHeight="true" outlineLevel="0" collapsed="false">
      <c r="A37" s="259" t="s">
        <v>1522</v>
      </c>
      <c r="B37" s="259"/>
      <c r="C37" s="323" t="n">
        <f aca="false">$C$5</f>
        <v>14312</v>
      </c>
      <c r="D37" s="323"/>
      <c r="E37" s="323"/>
      <c r="F37" s="323"/>
      <c r="G37" s="323"/>
      <c r="H37" s="323"/>
      <c r="I37" s="323"/>
      <c r="J37" s="323"/>
      <c r="K37" s="323"/>
      <c r="L37" s="323"/>
      <c r="M37" s="259" t="s">
        <v>1523</v>
      </c>
      <c r="N37" s="259"/>
      <c r="O37" s="259"/>
      <c r="P37" s="259"/>
      <c r="Q37" s="259"/>
      <c r="R37" s="324" t="str">
        <f aca="false">$R$5</f>
        <v>Operational Vehicle Laydown Area</v>
      </c>
      <c r="S37" s="324"/>
      <c r="T37" s="324"/>
      <c r="U37" s="324"/>
      <c r="V37" s="324"/>
      <c r="W37" s="324"/>
      <c r="X37" s="324"/>
      <c r="Y37" s="324"/>
      <c r="Z37" s="324"/>
      <c r="AA37" s="324"/>
      <c r="AB37" s="324"/>
      <c r="AC37" s="324"/>
      <c r="AD37" s="324"/>
      <c r="AE37" s="324"/>
      <c r="AF37" s="324"/>
    </row>
    <row r="38" customFormat="false" ht="15.75" hidden="false" customHeight="true" outlineLevel="0" collapsed="false">
      <c r="A38" s="276"/>
      <c r="B38" s="276"/>
      <c r="C38" s="296"/>
      <c r="D38" s="276"/>
      <c r="E38" s="276"/>
      <c r="F38" s="296"/>
      <c r="G38" s="276"/>
      <c r="H38" s="276"/>
      <c r="I38" s="276"/>
      <c r="J38" s="276"/>
      <c r="K38" s="276"/>
      <c r="L38" s="276"/>
      <c r="M38" s="276"/>
      <c r="N38" s="276"/>
      <c r="O38" s="276"/>
      <c r="P38" s="276"/>
      <c r="Q38" s="276"/>
      <c r="R38" s="276"/>
      <c r="S38" s="276"/>
      <c r="T38" s="276"/>
      <c r="U38" s="276"/>
      <c r="V38" s="276"/>
      <c r="W38" s="277"/>
      <c r="X38" s="277"/>
      <c r="Y38" s="276"/>
      <c r="Z38" s="276"/>
      <c r="AA38" s="276"/>
      <c r="AB38" s="276"/>
      <c r="AC38" s="277"/>
      <c r="AD38" s="277"/>
      <c r="AE38" s="277"/>
      <c r="AF38" s="276"/>
    </row>
    <row r="39" customFormat="false" ht="15.75" hidden="false" customHeight="true" outlineLevel="0" collapsed="false">
      <c r="A39" s="276"/>
      <c r="B39" s="276"/>
      <c r="C39" s="325" t="s">
        <v>1542</v>
      </c>
      <c r="D39" s="276"/>
      <c r="E39" s="276"/>
      <c r="F39" s="296"/>
      <c r="G39" s="276"/>
      <c r="H39" s="276"/>
      <c r="I39" s="276"/>
      <c r="J39" s="276"/>
      <c r="K39" s="276"/>
      <c r="L39" s="276"/>
      <c r="M39" s="276"/>
      <c r="N39" s="276"/>
      <c r="O39" s="276"/>
      <c r="P39" s="276"/>
      <c r="Q39" s="276"/>
      <c r="R39" s="276"/>
      <c r="S39" s="276"/>
      <c r="T39" s="276"/>
      <c r="U39" s="276"/>
      <c r="V39" s="276"/>
      <c r="W39" s="277"/>
      <c r="X39" s="277"/>
      <c r="Y39" s="276"/>
      <c r="Z39" s="276"/>
      <c r="AA39" s="276"/>
      <c r="AB39" s="276"/>
      <c r="AC39" s="277"/>
      <c r="AD39" s="277"/>
      <c r="AE39" s="277"/>
      <c r="AF39" s="276"/>
    </row>
    <row r="40" customFormat="false" ht="15.75" hidden="false" customHeight="true" outlineLevel="0" collapsed="false">
      <c r="A40" s="276"/>
      <c r="B40" s="276"/>
      <c r="C40" s="326" t="str">
        <f aca="false">B21</f>
        <v>M28261</v>
      </c>
      <c r="D40" s="326"/>
      <c r="E40" s="326"/>
      <c r="F40" s="327" t="str">
        <f aca="false">E21</f>
        <v>H&amp;S CO</v>
      </c>
      <c r="G40" s="327"/>
      <c r="H40" s="327"/>
      <c r="I40" s="327"/>
      <c r="J40" s="327"/>
      <c r="K40" s="327"/>
      <c r="L40" s="327"/>
      <c r="M40" s="327"/>
      <c r="N40" s="328"/>
      <c r="O40" s="329"/>
      <c r="P40" s="329"/>
      <c r="Q40" s="329"/>
      <c r="R40" s="329"/>
      <c r="S40" s="330"/>
      <c r="T40" s="295"/>
      <c r="U40" s="295"/>
      <c r="V40" s="295"/>
      <c r="W40" s="331"/>
      <c r="X40" s="331"/>
      <c r="Y40" s="295"/>
      <c r="Z40" s="295"/>
      <c r="AA40" s="295"/>
      <c r="AB40" s="295"/>
      <c r="AC40" s="332"/>
      <c r="AD40" s="332"/>
      <c r="AE40" s="332"/>
      <c r="AF40" s="276"/>
    </row>
    <row r="41" customFormat="false" ht="15.75" hidden="false" customHeight="true" outlineLevel="0" collapsed="false">
      <c r="A41" s="276"/>
      <c r="B41" s="276"/>
      <c r="C41" s="333" t="s">
        <v>1055</v>
      </c>
      <c r="D41" s="333"/>
      <c r="E41" s="333"/>
      <c r="F41" s="334" t="s">
        <v>13</v>
      </c>
      <c r="G41" s="334"/>
      <c r="H41" s="334"/>
      <c r="I41" s="334"/>
      <c r="J41" s="334"/>
      <c r="K41" s="334"/>
      <c r="L41" s="334"/>
      <c r="M41" s="334"/>
      <c r="N41" s="334"/>
      <c r="O41" s="334"/>
      <c r="P41" s="334"/>
      <c r="Q41" s="334"/>
      <c r="R41" s="334"/>
      <c r="S41" s="334"/>
      <c r="T41" s="334"/>
      <c r="U41" s="335" t="s">
        <v>1543</v>
      </c>
      <c r="V41" s="335"/>
      <c r="W41" s="335" t="s">
        <v>1544</v>
      </c>
      <c r="X41" s="335"/>
      <c r="Y41" s="335" t="s">
        <v>1545</v>
      </c>
      <c r="Z41" s="335"/>
      <c r="AA41" s="335" t="s">
        <v>1546</v>
      </c>
      <c r="AB41" s="335"/>
      <c r="AC41" s="336" t="s">
        <v>1547</v>
      </c>
      <c r="AD41" s="336"/>
      <c r="AE41" s="336"/>
      <c r="AF41" s="276"/>
    </row>
    <row r="42" customFormat="false" ht="15.75" hidden="false" customHeight="true" outlineLevel="0" collapsed="false">
      <c r="A42" s="276"/>
      <c r="B42" s="276"/>
      <c r="C42" s="333"/>
      <c r="D42" s="333"/>
      <c r="E42" s="333"/>
      <c r="F42" s="334"/>
      <c r="G42" s="334"/>
      <c r="H42" s="334"/>
      <c r="I42" s="334"/>
      <c r="J42" s="334"/>
      <c r="K42" s="334"/>
      <c r="L42" s="334"/>
      <c r="M42" s="334"/>
      <c r="N42" s="334"/>
      <c r="O42" s="334"/>
      <c r="P42" s="334"/>
      <c r="Q42" s="334"/>
      <c r="R42" s="334"/>
      <c r="S42" s="334"/>
      <c r="T42" s="334"/>
      <c r="U42" s="335"/>
      <c r="V42" s="335"/>
      <c r="W42" s="335"/>
      <c r="X42" s="335"/>
      <c r="Y42" s="335"/>
      <c r="Z42" s="335"/>
      <c r="AA42" s="335"/>
      <c r="AB42" s="335"/>
      <c r="AC42" s="336"/>
      <c r="AD42" s="336"/>
      <c r="AE42" s="336"/>
      <c r="AF42" s="276"/>
    </row>
    <row r="43" customFormat="false" ht="15.75" hidden="false" customHeight="true" outlineLevel="0" collapsed="false">
      <c r="A43" s="276"/>
      <c r="B43" s="276"/>
      <c r="C43" s="337" t="s">
        <v>1548</v>
      </c>
      <c r="D43" s="338"/>
      <c r="E43" s="338"/>
      <c r="F43" s="339" t="str">
        <f aca="false">IFERROR(VLOOKUP(C43,TE!$H:$Y,2,FALSE()),"(Not on TE)")</f>
        <v>(Not on TE)</v>
      </c>
      <c r="G43" s="338"/>
      <c r="H43" s="338"/>
      <c r="I43" s="338"/>
      <c r="J43" s="338"/>
      <c r="K43" s="338"/>
      <c r="L43" s="338"/>
      <c r="M43" s="338"/>
      <c r="N43" s="338"/>
      <c r="O43" s="338"/>
      <c r="P43" s="338"/>
      <c r="Q43" s="338"/>
      <c r="R43" s="338"/>
      <c r="S43" s="338"/>
      <c r="T43" s="338"/>
      <c r="U43" s="340" t="str">
        <f aca="false">IFERROR(VLOOKUP(C43,TE!$H:$Y,9,FALSE()),"0")</f>
        <v>0</v>
      </c>
      <c r="V43" s="340"/>
      <c r="W43" s="341" t="n">
        <f aca="false">SUMIFS(TE!$O:$O,TE!$G:$G,$C$40,TE!$I:$I,C43,TE!$D:$D,$C$5)</f>
        <v>0</v>
      </c>
      <c r="X43" s="341"/>
      <c r="Y43" s="341" t="str">
        <f aca="false">IFERROR(VLOOKUP(C43,TE!$H:$Y,16,FALSE()),"0")</f>
        <v>0</v>
      </c>
      <c r="Z43" s="341"/>
      <c r="AA43" s="342" t="str">
        <f aca="false">IFERROR(VLOOKUP(C43,TE!$H:$Y,17,FALSE()),"0")</f>
        <v>0</v>
      </c>
      <c r="AB43" s="342"/>
      <c r="AC43" s="343" t="n">
        <f aca="false">IFERROR((W43*Y43*AA43),"")</f>
        <v>0</v>
      </c>
      <c r="AD43" s="343"/>
      <c r="AE43" s="343"/>
      <c r="AF43" s="276"/>
    </row>
    <row r="44" customFormat="false" ht="15.75" hidden="false" customHeight="true" outlineLevel="0" collapsed="false">
      <c r="A44" s="276"/>
      <c r="B44" s="276"/>
      <c r="C44" s="344" t="s">
        <v>1549</v>
      </c>
      <c r="D44" s="338"/>
      <c r="E44" s="338"/>
      <c r="F44" s="339" t="str">
        <f aca="false">IFERROR(VLOOKUP(C44,TE!$H:$Y,2,FALSE()),"(Not on TE)")</f>
        <v>(Not on TE)</v>
      </c>
      <c r="G44" s="338"/>
      <c r="H44" s="338"/>
      <c r="I44" s="338"/>
      <c r="J44" s="338"/>
      <c r="K44" s="338"/>
      <c r="L44" s="338"/>
      <c r="M44" s="338"/>
      <c r="N44" s="338"/>
      <c r="O44" s="338"/>
      <c r="P44" s="338"/>
      <c r="Q44" s="338"/>
      <c r="R44" s="338"/>
      <c r="S44" s="338"/>
      <c r="T44" s="338"/>
      <c r="U44" s="340" t="str">
        <f aca="false">IFERROR(VLOOKUP(C44,TE!$H:$Y,9,FALSE()),"0")</f>
        <v>0</v>
      </c>
      <c r="V44" s="340"/>
      <c r="W44" s="341" t="n">
        <f aca="false">SUMIFS(TE!$O:$O,TE!$G:$G,$C$40,TE!$I:$I,C44,TE!$D:$D,$C$5)</f>
        <v>0</v>
      </c>
      <c r="X44" s="341"/>
      <c r="Y44" s="341" t="str">
        <f aca="false">IFERROR(VLOOKUP(C44,TE!$H:$Y,16,FALSE()),"0")</f>
        <v>0</v>
      </c>
      <c r="Z44" s="341"/>
      <c r="AA44" s="342" t="str">
        <f aca="false">IFERROR(VLOOKUP(C44,TE!$H:$Y,17,FALSE()),"0")</f>
        <v>0</v>
      </c>
      <c r="AB44" s="342"/>
      <c r="AC44" s="343" t="n">
        <f aca="false">IFERROR((W44*Y44*AA44),"")</f>
        <v>0</v>
      </c>
      <c r="AD44" s="343"/>
      <c r="AE44" s="343"/>
      <c r="AF44" s="276"/>
    </row>
    <row r="45" customFormat="false" ht="15.75" hidden="false" customHeight="true" outlineLevel="0" collapsed="false">
      <c r="A45" s="276"/>
      <c r="B45" s="276"/>
      <c r="C45" s="344" t="s">
        <v>1550</v>
      </c>
      <c r="D45" s="338"/>
      <c r="E45" s="338"/>
      <c r="F45" s="339" t="str">
        <f aca="false">IFERROR(VLOOKUP(C45,TE!$H:$Y,2,FALSE()),"(Not on TE)")</f>
        <v>(Not on TE)</v>
      </c>
      <c r="G45" s="338"/>
      <c r="H45" s="338"/>
      <c r="I45" s="338"/>
      <c r="J45" s="338"/>
      <c r="K45" s="338"/>
      <c r="L45" s="338"/>
      <c r="M45" s="338"/>
      <c r="N45" s="338"/>
      <c r="O45" s="338"/>
      <c r="P45" s="338"/>
      <c r="Q45" s="338"/>
      <c r="R45" s="338"/>
      <c r="S45" s="338"/>
      <c r="T45" s="338"/>
      <c r="U45" s="340" t="str">
        <f aca="false">IFERROR(VLOOKUP(C45,TE!$H:$Y,9,FALSE()),"0")</f>
        <v>0</v>
      </c>
      <c r="V45" s="340"/>
      <c r="W45" s="341" t="n">
        <f aca="false">SUMIFS(TE!$O:$O,TE!$G:$G,$C$40,TE!$I:$I,C45,TE!$D:$D,$C$5)</f>
        <v>0</v>
      </c>
      <c r="X45" s="341"/>
      <c r="Y45" s="341" t="str">
        <f aca="false">IFERROR(VLOOKUP(C45,TE!$H:$Y,16,FALSE()),"0")</f>
        <v>0</v>
      </c>
      <c r="Z45" s="341"/>
      <c r="AA45" s="342" t="str">
        <f aca="false">IFERROR(VLOOKUP(C45,TE!$H:$Y,17,FALSE()),"0")</f>
        <v>0</v>
      </c>
      <c r="AB45" s="342"/>
      <c r="AC45" s="343" t="n">
        <f aca="false">IFERROR((W45*Y45*AA45),"")</f>
        <v>0</v>
      </c>
      <c r="AD45" s="343"/>
      <c r="AE45" s="343"/>
      <c r="AF45" s="276"/>
    </row>
    <row r="46" customFormat="false" ht="15.75" hidden="false" customHeight="true" outlineLevel="0" collapsed="false">
      <c r="A46" s="276"/>
      <c r="B46" s="276"/>
      <c r="C46" s="344" t="s">
        <v>1551</v>
      </c>
      <c r="D46" s="338"/>
      <c r="E46" s="338"/>
      <c r="F46" s="339" t="str">
        <f aca="false">IFERROR(VLOOKUP(C46,TE!$H:$Y,2,FALSE()),"(Not on TE)")</f>
        <v>(Not on TE)</v>
      </c>
      <c r="G46" s="338"/>
      <c r="H46" s="338"/>
      <c r="I46" s="338"/>
      <c r="J46" s="338"/>
      <c r="K46" s="338"/>
      <c r="L46" s="338"/>
      <c r="M46" s="338"/>
      <c r="N46" s="338"/>
      <c r="O46" s="338"/>
      <c r="P46" s="338"/>
      <c r="Q46" s="338"/>
      <c r="R46" s="338"/>
      <c r="S46" s="338"/>
      <c r="T46" s="338"/>
      <c r="U46" s="340" t="str">
        <f aca="false">IFERROR(VLOOKUP(C46,TE!$H:$Y,9,FALSE()),"0")</f>
        <v>0</v>
      </c>
      <c r="V46" s="340"/>
      <c r="W46" s="341" t="n">
        <f aca="false">SUMIFS(TE!$O:$O,TE!$G:$G,$C$40,TE!$I:$I,C46,TE!$D:$D,$C$5)</f>
        <v>0</v>
      </c>
      <c r="X46" s="341"/>
      <c r="Y46" s="341" t="str">
        <f aca="false">IFERROR(VLOOKUP(C46,TE!$H:$Y,16,FALSE()),"0")</f>
        <v>0</v>
      </c>
      <c r="Z46" s="341"/>
      <c r="AA46" s="342" t="str">
        <f aca="false">IFERROR(VLOOKUP(C46,TE!$H:$Y,17,FALSE()),"0")</f>
        <v>0</v>
      </c>
      <c r="AB46" s="342"/>
      <c r="AC46" s="343" t="n">
        <f aca="false">IFERROR((W46*Y46*AA46),"")</f>
        <v>0</v>
      </c>
      <c r="AD46" s="343"/>
      <c r="AE46" s="343"/>
      <c r="AF46" s="276"/>
    </row>
    <row r="47" customFormat="false" ht="15.75" hidden="false" customHeight="true" outlineLevel="0" collapsed="false">
      <c r="A47" s="276"/>
      <c r="B47" s="276"/>
      <c r="C47" s="344" t="s">
        <v>1552</v>
      </c>
      <c r="D47" s="338"/>
      <c r="E47" s="338"/>
      <c r="F47" s="339" t="str">
        <f aca="false">IFERROR(VLOOKUP(C47,TE!$H:$Y,2,FALSE()),"(Not on TE)")</f>
        <v>(Not on TE)</v>
      </c>
      <c r="G47" s="338"/>
      <c r="H47" s="338"/>
      <c r="I47" s="338"/>
      <c r="J47" s="338"/>
      <c r="K47" s="338"/>
      <c r="L47" s="338"/>
      <c r="M47" s="338"/>
      <c r="N47" s="338"/>
      <c r="O47" s="338"/>
      <c r="P47" s="338"/>
      <c r="Q47" s="338"/>
      <c r="R47" s="338"/>
      <c r="S47" s="338"/>
      <c r="T47" s="338"/>
      <c r="U47" s="340" t="str">
        <f aca="false">IFERROR(VLOOKUP(C47,TE!$H:$Y,9,FALSE()),"0")</f>
        <v>0</v>
      </c>
      <c r="V47" s="340"/>
      <c r="W47" s="341" t="n">
        <f aca="false">SUMIFS(TE!$O:$O,TE!$G:$G,$C$40,TE!$I:$I,C47,TE!$D:$D,$C$5)</f>
        <v>0</v>
      </c>
      <c r="X47" s="341"/>
      <c r="Y47" s="341" t="str">
        <f aca="false">IFERROR(VLOOKUP(C47,TE!$H:$Y,16,FALSE()),"0")</f>
        <v>0</v>
      </c>
      <c r="Z47" s="341"/>
      <c r="AA47" s="342" t="str">
        <f aca="false">IFERROR(VLOOKUP(C47,TE!$H:$Y,17,FALSE()),"0")</f>
        <v>0</v>
      </c>
      <c r="AB47" s="342"/>
      <c r="AC47" s="343" t="n">
        <f aca="false">IFERROR((W47*Y47*AA47),"")</f>
        <v>0</v>
      </c>
      <c r="AD47" s="343"/>
      <c r="AE47" s="343"/>
      <c r="AF47" s="276"/>
    </row>
    <row r="48" customFormat="false" ht="15.75" hidden="false" customHeight="true" outlineLevel="0" collapsed="false">
      <c r="A48" s="276"/>
      <c r="B48" s="276"/>
      <c r="C48" s="344" t="s">
        <v>1553</v>
      </c>
      <c r="D48" s="338"/>
      <c r="E48" s="338"/>
      <c r="F48" s="339" t="str">
        <f aca="false">IFERROR(VLOOKUP(C48,TE!$H:$Y,2,FALSE()),"(Not on TE)")</f>
        <v>(Not on TE)</v>
      </c>
      <c r="G48" s="338"/>
      <c r="H48" s="338"/>
      <c r="I48" s="338"/>
      <c r="J48" s="338"/>
      <c r="K48" s="338"/>
      <c r="L48" s="338"/>
      <c r="M48" s="338"/>
      <c r="N48" s="338"/>
      <c r="O48" s="338"/>
      <c r="P48" s="338"/>
      <c r="Q48" s="338"/>
      <c r="R48" s="338"/>
      <c r="S48" s="338"/>
      <c r="T48" s="338"/>
      <c r="U48" s="340" t="str">
        <f aca="false">IFERROR(VLOOKUP(C48,TE!$H:$Y,9,FALSE()),"0")</f>
        <v>0</v>
      </c>
      <c r="V48" s="340"/>
      <c r="W48" s="341" t="n">
        <f aca="false">SUMIFS(TE!$O:$O,TE!$G:$G,$C$40,TE!$I:$I,C48,TE!$D:$D,$C$5)</f>
        <v>0</v>
      </c>
      <c r="X48" s="341"/>
      <c r="Y48" s="341" t="str">
        <f aca="false">IFERROR(VLOOKUP(C48,TE!$H:$Y,16,FALSE()),"0")</f>
        <v>0</v>
      </c>
      <c r="Z48" s="341"/>
      <c r="AA48" s="342" t="str">
        <f aca="false">IFERROR(VLOOKUP(C48,TE!$H:$Y,17,FALSE()),"0")</f>
        <v>0</v>
      </c>
      <c r="AB48" s="342"/>
      <c r="AC48" s="343" t="n">
        <f aca="false">IFERROR((W48*Y48*AA48),"")</f>
        <v>0</v>
      </c>
      <c r="AD48" s="343"/>
      <c r="AE48" s="343"/>
      <c r="AF48" s="276"/>
    </row>
    <row r="49" customFormat="false" ht="15.75" hidden="false" customHeight="true" outlineLevel="0" collapsed="false">
      <c r="A49" s="276"/>
      <c r="B49" s="276"/>
      <c r="C49" s="344" t="s">
        <v>1554</v>
      </c>
      <c r="D49" s="338"/>
      <c r="E49" s="338"/>
      <c r="F49" s="339" t="str">
        <f aca="false">IFERROR(VLOOKUP(C49,TE!$H:$Y,2,FALSE()),"(Not on TE)")</f>
        <v>(Not on TE)</v>
      </c>
      <c r="G49" s="338"/>
      <c r="H49" s="338"/>
      <c r="I49" s="338"/>
      <c r="J49" s="338"/>
      <c r="K49" s="338"/>
      <c r="L49" s="338"/>
      <c r="M49" s="338"/>
      <c r="N49" s="338"/>
      <c r="O49" s="338"/>
      <c r="P49" s="338"/>
      <c r="Q49" s="338"/>
      <c r="R49" s="338"/>
      <c r="S49" s="338"/>
      <c r="T49" s="338"/>
      <c r="U49" s="340" t="str">
        <f aca="false">IFERROR(VLOOKUP(C49,TE!$H:$Y,9,FALSE()),"0")</f>
        <v>0</v>
      </c>
      <c r="V49" s="340"/>
      <c r="W49" s="341" t="n">
        <f aca="false">SUMIFS(TE!$O:$O,TE!$G:$G,$C$40,TE!$I:$I,C49,TE!$D:$D,$C$5)</f>
        <v>0</v>
      </c>
      <c r="X49" s="341"/>
      <c r="Y49" s="341" t="str">
        <f aca="false">IFERROR(VLOOKUP(C49,TE!$H:$Y,16,FALSE()),"0")</f>
        <v>0</v>
      </c>
      <c r="Z49" s="341"/>
      <c r="AA49" s="342" t="str">
        <f aca="false">IFERROR(VLOOKUP(C49,TE!$H:$Y,17,FALSE()),"0")</f>
        <v>0</v>
      </c>
      <c r="AB49" s="342"/>
      <c r="AC49" s="343" t="n">
        <f aca="false">IFERROR((W49*Y49*AA49),"")</f>
        <v>0</v>
      </c>
      <c r="AD49" s="343"/>
      <c r="AE49" s="343"/>
      <c r="AF49" s="276"/>
    </row>
    <row r="50" customFormat="false" ht="15.75" hidden="false" customHeight="true" outlineLevel="0" collapsed="false">
      <c r="A50" s="276"/>
      <c r="B50" s="276"/>
      <c r="C50" s="344" t="s">
        <v>1555</v>
      </c>
      <c r="D50" s="338"/>
      <c r="E50" s="338"/>
      <c r="F50" s="339" t="str">
        <f aca="false">IFERROR(VLOOKUP(C50,TE!$H:$Y,2,FALSE()),"(Not on TE)")</f>
        <v>(Not on TE)</v>
      </c>
      <c r="G50" s="338"/>
      <c r="H50" s="338"/>
      <c r="I50" s="338"/>
      <c r="J50" s="338"/>
      <c r="K50" s="338"/>
      <c r="L50" s="338"/>
      <c r="M50" s="338"/>
      <c r="N50" s="338"/>
      <c r="O50" s="338"/>
      <c r="P50" s="338"/>
      <c r="Q50" s="338"/>
      <c r="R50" s="338"/>
      <c r="S50" s="338"/>
      <c r="T50" s="338"/>
      <c r="U50" s="340" t="str">
        <f aca="false">IFERROR(VLOOKUP(C50,TE!$H:$Y,9,FALSE()),"0")</f>
        <v>0</v>
      </c>
      <c r="V50" s="340"/>
      <c r="W50" s="341" t="n">
        <f aca="false">SUMIFS(TE!$O:$O,TE!$G:$G,$C$40,TE!$I:$I,C50,TE!$D:$D,$C$5)</f>
        <v>0</v>
      </c>
      <c r="X50" s="341"/>
      <c r="Y50" s="341" t="str">
        <f aca="false">IFERROR(VLOOKUP(C50,TE!$H:$Y,16,FALSE()),"0")</f>
        <v>0</v>
      </c>
      <c r="Z50" s="341"/>
      <c r="AA50" s="342" t="str">
        <f aca="false">IFERROR(VLOOKUP(C50,TE!$H:$Y,17,FALSE()),"0")</f>
        <v>0</v>
      </c>
      <c r="AB50" s="342"/>
      <c r="AC50" s="343" t="n">
        <f aca="false">IFERROR((W50*Y50*AA50),"")</f>
        <v>0</v>
      </c>
      <c r="AD50" s="343"/>
      <c r="AE50" s="343"/>
      <c r="AF50" s="276"/>
    </row>
    <row r="51" customFormat="false" ht="15.75" hidden="false" customHeight="true" outlineLevel="0" collapsed="false">
      <c r="A51" s="276"/>
      <c r="B51" s="276"/>
      <c r="C51" s="344" t="s">
        <v>1556</v>
      </c>
      <c r="D51" s="338"/>
      <c r="E51" s="338"/>
      <c r="F51" s="339" t="str">
        <f aca="false">IFERROR(VLOOKUP(C51,TE!$H:$Y,2,FALSE()),"(Not on TE)")</f>
        <v>(Not on TE)</v>
      </c>
      <c r="G51" s="338"/>
      <c r="H51" s="338"/>
      <c r="I51" s="338"/>
      <c r="J51" s="338"/>
      <c r="K51" s="338"/>
      <c r="L51" s="338"/>
      <c r="M51" s="338"/>
      <c r="N51" s="338"/>
      <c r="O51" s="338"/>
      <c r="P51" s="338"/>
      <c r="Q51" s="338"/>
      <c r="R51" s="338"/>
      <c r="S51" s="338"/>
      <c r="T51" s="338"/>
      <c r="U51" s="340" t="str">
        <f aca="false">IFERROR(VLOOKUP(C51,TE!$H:$Y,9,FALSE()),"0")</f>
        <v>0</v>
      </c>
      <c r="V51" s="340"/>
      <c r="W51" s="341" t="n">
        <f aca="false">SUMIFS(TE!$O:$O,TE!$G:$G,$C$40,TE!$I:$I,C51,TE!$D:$D,$C$5)</f>
        <v>0</v>
      </c>
      <c r="X51" s="341"/>
      <c r="Y51" s="341" t="str">
        <f aca="false">IFERROR(VLOOKUP(C51,TE!$H:$Y,16,FALSE()),"0")</f>
        <v>0</v>
      </c>
      <c r="Z51" s="341"/>
      <c r="AA51" s="342" t="str">
        <f aca="false">IFERROR(VLOOKUP(C51,TE!$H:$Y,17,FALSE()),"0")</f>
        <v>0</v>
      </c>
      <c r="AB51" s="342"/>
      <c r="AC51" s="343" t="n">
        <f aca="false">IFERROR((W51*Y51*AA51),"")</f>
        <v>0</v>
      </c>
      <c r="AD51" s="343"/>
      <c r="AE51" s="343"/>
      <c r="AF51" s="276"/>
    </row>
    <row r="52" customFormat="false" ht="15.75" hidden="false" customHeight="true" outlineLevel="0" collapsed="false">
      <c r="A52" s="276"/>
      <c r="B52" s="276"/>
      <c r="C52" s="344" t="s">
        <v>1557</v>
      </c>
      <c r="D52" s="338"/>
      <c r="E52" s="338"/>
      <c r="F52" s="339" t="str">
        <f aca="false">IFERROR(VLOOKUP(C52,TE!$H:$Y,2,FALSE()),"(Not on TE)")</f>
        <v>(Not on TE)</v>
      </c>
      <c r="G52" s="338"/>
      <c r="H52" s="338"/>
      <c r="I52" s="338"/>
      <c r="J52" s="338"/>
      <c r="K52" s="338"/>
      <c r="L52" s="338"/>
      <c r="M52" s="338"/>
      <c r="N52" s="338"/>
      <c r="O52" s="338"/>
      <c r="P52" s="338"/>
      <c r="Q52" s="338"/>
      <c r="R52" s="338"/>
      <c r="S52" s="338"/>
      <c r="T52" s="338"/>
      <c r="U52" s="340" t="str">
        <f aca="false">IFERROR(VLOOKUP(C52,TE!$H:$Y,9,FALSE()),"0")</f>
        <v>0</v>
      </c>
      <c r="V52" s="340"/>
      <c r="W52" s="341" t="n">
        <f aca="false">SUMIFS(TE!$O:$O,TE!$G:$G,$C$40,TE!$I:$I,C52,TE!$D:$D,$C$5)</f>
        <v>0</v>
      </c>
      <c r="X52" s="341"/>
      <c r="Y52" s="341" t="str">
        <f aca="false">IFERROR(VLOOKUP(C52,TE!$H:$Y,16,FALSE()),"0")</f>
        <v>0</v>
      </c>
      <c r="Z52" s="341"/>
      <c r="AA52" s="342" t="str">
        <f aca="false">IFERROR(VLOOKUP(C52,TE!$H:$Y,17,FALSE()),"0")</f>
        <v>0</v>
      </c>
      <c r="AB52" s="342"/>
      <c r="AC52" s="343" t="n">
        <f aca="false">IFERROR((W52*Y52*AA52),"")</f>
        <v>0</v>
      </c>
      <c r="AD52" s="343"/>
      <c r="AE52" s="343"/>
      <c r="AF52" s="276"/>
    </row>
    <row r="53" customFormat="false" ht="15.75" hidden="false" customHeight="true" outlineLevel="0" collapsed="false">
      <c r="A53" s="276"/>
      <c r="B53" s="276"/>
      <c r="C53" s="344" t="s">
        <v>1558</v>
      </c>
      <c r="D53" s="338"/>
      <c r="E53" s="338"/>
      <c r="F53" s="339" t="str">
        <f aca="false">IFERROR(VLOOKUP(C53,TE!$H:$Y,2,FALSE()),"(Not on TE)")</f>
        <v>(Not on TE)</v>
      </c>
      <c r="G53" s="338"/>
      <c r="H53" s="338"/>
      <c r="I53" s="338"/>
      <c r="J53" s="338"/>
      <c r="K53" s="338"/>
      <c r="L53" s="338"/>
      <c r="M53" s="338"/>
      <c r="N53" s="338"/>
      <c r="O53" s="338"/>
      <c r="P53" s="338"/>
      <c r="Q53" s="338"/>
      <c r="R53" s="338"/>
      <c r="S53" s="338"/>
      <c r="T53" s="338"/>
      <c r="U53" s="340" t="str">
        <f aca="false">IFERROR(VLOOKUP(C53,TE!$H:$Y,9,FALSE()),"0")</f>
        <v>0</v>
      </c>
      <c r="V53" s="340"/>
      <c r="W53" s="341" t="n">
        <f aca="false">SUMIFS(TE!$O:$O,TE!$G:$G,$C$40,TE!$I:$I,C53,TE!$D:$D,$C$5)</f>
        <v>0</v>
      </c>
      <c r="X53" s="341"/>
      <c r="Y53" s="341" t="str">
        <f aca="false">IFERROR(VLOOKUP(C53,TE!$H:$Y,16,FALSE()),"0")</f>
        <v>0</v>
      </c>
      <c r="Z53" s="341"/>
      <c r="AA53" s="342" t="str">
        <f aca="false">IFERROR(VLOOKUP(C53,TE!$H:$Y,17,FALSE()),"0")</f>
        <v>0</v>
      </c>
      <c r="AB53" s="342"/>
      <c r="AC53" s="343" t="n">
        <f aca="false">IFERROR((W53*Y53*AA53),"")</f>
        <v>0</v>
      </c>
      <c r="AD53" s="343"/>
      <c r="AE53" s="343"/>
      <c r="AF53" s="276"/>
    </row>
    <row r="54" customFormat="false" ht="15.75" hidden="false" customHeight="true" outlineLevel="0" collapsed="false">
      <c r="A54" s="276"/>
      <c r="B54" s="276"/>
      <c r="C54" s="344" t="s">
        <v>1559</v>
      </c>
      <c r="D54" s="338"/>
      <c r="E54" s="338"/>
      <c r="F54" s="339" t="str">
        <f aca="false">IFERROR(VLOOKUP(C54,TE!$H:$Y,2,FALSE()),"(Not on TE)")</f>
        <v>(Not on TE)</v>
      </c>
      <c r="G54" s="338"/>
      <c r="H54" s="338"/>
      <c r="I54" s="338"/>
      <c r="J54" s="338"/>
      <c r="K54" s="338"/>
      <c r="L54" s="338"/>
      <c r="M54" s="338"/>
      <c r="N54" s="338"/>
      <c r="O54" s="338"/>
      <c r="P54" s="338"/>
      <c r="Q54" s="338"/>
      <c r="R54" s="338"/>
      <c r="S54" s="338"/>
      <c r="T54" s="338"/>
      <c r="U54" s="340" t="str">
        <f aca="false">IFERROR(VLOOKUP(C54,TE!$H:$Y,9,FALSE()),"0")</f>
        <v>0</v>
      </c>
      <c r="V54" s="340"/>
      <c r="W54" s="341" t="n">
        <f aca="false">SUMIFS(TE!$O:$O,TE!$G:$G,$C$40,TE!$I:$I,C54,TE!$D:$D,$C$5)</f>
        <v>0</v>
      </c>
      <c r="X54" s="341"/>
      <c r="Y54" s="341" t="str">
        <f aca="false">IFERROR(VLOOKUP(C54,TE!$H:$Y,16,FALSE()),"0")</f>
        <v>0</v>
      </c>
      <c r="Z54" s="341"/>
      <c r="AA54" s="342" t="str">
        <f aca="false">IFERROR(VLOOKUP(C54,TE!$H:$Y,17,FALSE()),"0")</f>
        <v>0</v>
      </c>
      <c r="AB54" s="342"/>
      <c r="AC54" s="343" t="n">
        <f aca="false">IFERROR((W54*Y54*AA54),"")</f>
        <v>0</v>
      </c>
      <c r="AD54" s="343"/>
      <c r="AE54" s="343"/>
      <c r="AF54" s="276"/>
    </row>
    <row r="55" customFormat="false" ht="15.75" hidden="false" customHeight="true" outlineLevel="0" collapsed="false">
      <c r="A55" s="276"/>
      <c r="B55" s="276"/>
      <c r="C55" s="344" t="s">
        <v>1560</v>
      </c>
      <c r="D55" s="338"/>
      <c r="E55" s="338"/>
      <c r="F55" s="339" t="str">
        <f aca="false">IFERROR(VLOOKUP(C55,TE!$H:$Y,2,FALSE()),"(Not on TE)")</f>
        <v>(Not on TE)</v>
      </c>
      <c r="G55" s="338"/>
      <c r="H55" s="338"/>
      <c r="I55" s="338"/>
      <c r="J55" s="338"/>
      <c r="K55" s="338"/>
      <c r="L55" s="338"/>
      <c r="M55" s="338"/>
      <c r="N55" s="338"/>
      <c r="O55" s="338"/>
      <c r="P55" s="338"/>
      <c r="Q55" s="338"/>
      <c r="R55" s="338"/>
      <c r="S55" s="338"/>
      <c r="T55" s="338"/>
      <c r="U55" s="340" t="str">
        <f aca="false">IFERROR(VLOOKUP(C55,TE!$H:$Y,9,FALSE()),"0")</f>
        <v>0</v>
      </c>
      <c r="V55" s="340"/>
      <c r="W55" s="341" t="n">
        <f aca="false">SUMIFS(TE!$O:$O,TE!$G:$G,$C$40,TE!$I:$I,C55,TE!$D:$D,$C$5)</f>
        <v>0</v>
      </c>
      <c r="X55" s="341"/>
      <c r="Y55" s="341" t="str">
        <f aca="false">IFERROR(VLOOKUP(C55,TE!$H:$Y,16,FALSE()),"0")</f>
        <v>0</v>
      </c>
      <c r="Z55" s="341"/>
      <c r="AA55" s="342" t="str">
        <f aca="false">IFERROR(VLOOKUP(C55,TE!$H:$Y,17,FALSE()),"0")</f>
        <v>0</v>
      </c>
      <c r="AB55" s="342"/>
      <c r="AC55" s="343" t="n">
        <f aca="false">IFERROR((W55*Y55*AA55),"")</f>
        <v>0</v>
      </c>
      <c r="AD55" s="343"/>
      <c r="AE55" s="343"/>
      <c r="AF55" s="276"/>
    </row>
    <row r="56" customFormat="false" ht="15.75" hidden="false" customHeight="true" outlineLevel="0" collapsed="false">
      <c r="A56" s="276"/>
      <c r="B56" s="276"/>
      <c r="C56" s="344" t="s">
        <v>1561</v>
      </c>
      <c r="D56" s="338"/>
      <c r="E56" s="338"/>
      <c r="F56" s="339" t="str">
        <f aca="false">IFERROR(VLOOKUP(C56,TE!$H:$Y,2,FALSE()),"(Not on TE)")</f>
        <v>(Not on TE)</v>
      </c>
      <c r="G56" s="338"/>
      <c r="H56" s="338"/>
      <c r="I56" s="338"/>
      <c r="J56" s="338"/>
      <c r="K56" s="338"/>
      <c r="L56" s="338"/>
      <c r="M56" s="338"/>
      <c r="N56" s="338"/>
      <c r="O56" s="338"/>
      <c r="P56" s="338"/>
      <c r="Q56" s="338"/>
      <c r="R56" s="338"/>
      <c r="S56" s="338"/>
      <c r="T56" s="338"/>
      <c r="U56" s="340" t="str">
        <f aca="false">IFERROR(VLOOKUP(C56,TE!$H:$Y,9,FALSE()),"0")</f>
        <v>0</v>
      </c>
      <c r="V56" s="340"/>
      <c r="W56" s="341" t="n">
        <f aca="false">SUMIFS(TE!$O:$O,TE!$G:$G,$C$40,TE!$I:$I,C56,TE!$D:$D,$C$5)</f>
        <v>0</v>
      </c>
      <c r="X56" s="341"/>
      <c r="Y56" s="341" t="str">
        <f aca="false">IFERROR(VLOOKUP(C56,TE!$H:$Y,16,FALSE()),"0")</f>
        <v>0</v>
      </c>
      <c r="Z56" s="341"/>
      <c r="AA56" s="342" t="str">
        <f aca="false">IFERROR(VLOOKUP(C56,TE!$H:$Y,17,FALSE()),"0")</f>
        <v>0</v>
      </c>
      <c r="AB56" s="342"/>
      <c r="AC56" s="343" t="n">
        <f aca="false">IFERROR((W56*Y56*AA56),"")</f>
        <v>0</v>
      </c>
      <c r="AD56" s="343"/>
      <c r="AE56" s="343"/>
      <c r="AF56" s="276"/>
    </row>
    <row r="57" customFormat="false" ht="15.75" hidden="false" customHeight="true" outlineLevel="0" collapsed="false">
      <c r="A57" s="276"/>
      <c r="B57" s="276"/>
      <c r="C57" s="344" t="s">
        <v>1562</v>
      </c>
      <c r="D57" s="338"/>
      <c r="E57" s="338"/>
      <c r="F57" s="339" t="str">
        <f aca="false">IFERROR(VLOOKUP(C57,TE!$H:$Y,2,FALSE()),"(Not on TE)")</f>
        <v>(Not on TE)</v>
      </c>
      <c r="G57" s="338"/>
      <c r="H57" s="338"/>
      <c r="I57" s="338"/>
      <c r="J57" s="338"/>
      <c r="K57" s="338"/>
      <c r="L57" s="338"/>
      <c r="M57" s="338"/>
      <c r="N57" s="338"/>
      <c r="O57" s="338"/>
      <c r="P57" s="338"/>
      <c r="Q57" s="338"/>
      <c r="R57" s="338"/>
      <c r="S57" s="338"/>
      <c r="T57" s="338"/>
      <c r="U57" s="340" t="str">
        <f aca="false">IFERROR(VLOOKUP(C57,TE!$H:$Y,9,FALSE()),"0")</f>
        <v>0</v>
      </c>
      <c r="V57" s="340"/>
      <c r="W57" s="341" t="n">
        <f aca="false">SUMIFS(TE!$O:$O,TE!$G:$G,$C$40,TE!$I:$I,C57,TE!$D:$D,$C$5)</f>
        <v>0</v>
      </c>
      <c r="X57" s="341"/>
      <c r="Y57" s="341" t="str">
        <f aca="false">IFERROR(VLOOKUP(C57,TE!$H:$Y,16,FALSE()),"0")</f>
        <v>0</v>
      </c>
      <c r="Z57" s="341"/>
      <c r="AA57" s="342" t="str">
        <f aca="false">IFERROR(VLOOKUP(C57,TE!$H:$Y,17,FALSE()),"0")</f>
        <v>0</v>
      </c>
      <c r="AB57" s="342"/>
      <c r="AC57" s="343" t="n">
        <f aca="false">IFERROR((W57*Y57*AA57),"")</f>
        <v>0</v>
      </c>
      <c r="AD57" s="343"/>
      <c r="AE57" s="343"/>
      <c r="AF57" s="276"/>
    </row>
    <row r="58" customFormat="false" ht="15.75" hidden="false" customHeight="true" outlineLevel="0" collapsed="false">
      <c r="A58" s="276"/>
      <c r="B58" s="276"/>
      <c r="C58" s="344" t="s">
        <v>1563</v>
      </c>
      <c r="D58" s="338"/>
      <c r="E58" s="338"/>
      <c r="F58" s="339" t="str">
        <f aca="false">IFERROR(VLOOKUP(C58,TE!$H:$Y,2,FALSE()),"(Not on TE)")</f>
        <v>(Not on TE)</v>
      </c>
      <c r="G58" s="338"/>
      <c r="H58" s="338"/>
      <c r="I58" s="338"/>
      <c r="J58" s="338"/>
      <c r="K58" s="338"/>
      <c r="L58" s="338"/>
      <c r="M58" s="338"/>
      <c r="N58" s="338"/>
      <c r="O58" s="338"/>
      <c r="P58" s="338"/>
      <c r="Q58" s="338"/>
      <c r="R58" s="338"/>
      <c r="S58" s="338"/>
      <c r="T58" s="338"/>
      <c r="U58" s="340" t="str">
        <f aca="false">IFERROR(VLOOKUP(C58,TE!$H:$Y,9,FALSE()),"0")</f>
        <v>0</v>
      </c>
      <c r="V58" s="340"/>
      <c r="W58" s="341" t="n">
        <f aca="false">SUMIFS(TE!$O:$O,TE!$G:$G,$C$40,TE!$I:$I,C58,TE!$D:$D,$C$5)</f>
        <v>0</v>
      </c>
      <c r="X58" s="341"/>
      <c r="Y58" s="341" t="str">
        <f aca="false">IFERROR(VLOOKUP(C58,TE!$H:$Y,16,FALSE()),"0")</f>
        <v>0</v>
      </c>
      <c r="Z58" s="341"/>
      <c r="AA58" s="342" t="str">
        <f aca="false">IFERROR(VLOOKUP(C58,TE!$H:$Y,17,FALSE()),"0")</f>
        <v>0</v>
      </c>
      <c r="AB58" s="342"/>
      <c r="AC58" s="343" t="n">
        <f aca="false">IFERROR((W58*Y58*AA58),"")</f>
        <v>0</v>
      </c>
      <c r="AD58" s="343"/>
      <c r="AE58" s="343"/>
      <c r="AF58" s="276"/>
    </row>
    <row r="59" customFormat="false" ht="15.75" hidden="false" customHeight="true" outlineLevel="0" collapsed="false">
      <c r="A59" s="276"/>
      <c r="B59" s="276"/>
      <c r="C59" s="344" t="s">
        <v>1564</v>
      </c>
      <c r="D59" s="338"/>
      <c r="E59" s="338"/>
      <c r="F59" s="339" t="str">
        <f aca="false">IFERROR(VLOOKUP(C59,TE!$H:$Y,2,FALSE()),"(Not on TE)")</f>
        <v>(Not on TE)</v>
      </c>
      <c r="G59" s="338"/>
      <c r="H59" s="338"/>
      <c r="I59" s="338"/>
      <c r="J59" s="338"/>
      <c r="K59" s="338"/>
      <c r="L59" s="338"/>
      <c r="M59" s="338"/>
      <c r="N59" s="338"/>
      <c r="O59" s="338"/>
      <c r="P59" s="338"/>
      <c r="Q59" s="338"/>
      <c r="R59" s="338"/>
      <c r="S59" s="338"/>
      <c r="T59" s="338"/>
      <c r="U59" s="340" t="str">
        <f aca="false">IFERROR(VLOOKUP(C59,TE!$H:$Y,9,FALSE()),"0")</f>
        <v>0</v>
      </c>
      <c r="V59" s="340"/>
      <c r="W59" s="341" t="n">
        <f aca="false">SUMIFS(TE!$O:$O,TE!$G:$G,$C$40,TE!$I:$I,C59,TE!$D:$D,$C$5)</f>
        <v>0</v>
      </c>
      <c r="X59" s="341"/>
      <c r="Y59" s="341" t="str">
        <f aca="false">IFERROR(VLOOKUP(C59,TE!$H:$Y,16,FALSE()),"0")</f>
        <v>0</v>
      </c>
      <c r="Z59" s="341"/>
      <c r="AA59" s="342" t="str">
        <f aca="false">IFERROR(VLOOKUP(C59,TE!$H:$Y,17,FALSE()),"0")</f>
        <v>0</v>
      </c>
      <c r="AB59" s="342"/>
      <c r="AC59" s="343" t="n">
        <f aca="false">IFERROR((W59*Y59*AA59),"")</f>
        <v>0</v>
      </c>
      <c r="AD59" s="343"/>
      <c r="AE59" s="343"/>
      <c r="AF59" s="276"/>
    </row>
    <row r="60" customFormat="false" ht="15.75" hidden="false" customHeight="true" outlineLevel="0" collapsed="false">
      <c r="A60" s="276"/>
      <c r="B60" s="276"/>
      <c r="C60" s="344" t="s">
        <v>1157</v>
      </c>
      <c r="D60" s="338"/>
      <c r="E60" s="338"/>
      <c r="F60" s="339" t="str">
        <f aca="false">IFERROR(VLOOKUP(C60,TE!$H:$Y,2,FALSE()),"(Not on TE)")</f>
        <v>(Not on TE)</v>
      </c>
      <c r="G60" s="338"/>
      <c r="H60" s="338"/>
      <c r="I60" s="338"/>
      <c r="J60" s="338"/>
      <c r="K60" s="338"/>
      <c r="L60" s="338"/>
      <c r="M60" s="338"/>
      <c r="N60" s="338"/>
      <c r="O60" s="338"/>
      <c r="P60" s="338"/>
      <c r="Q60" s="338"/>
      <c r="R60" s="338"/>
      <c r="S60" s="338"/>
      <c r="T60" s="338"/>
      <c r="U60" s="340" t="str">
        <f aca="false">IFERROR(VLOOKUP(C60,TE!$H:$Y,9,FALSE()),"0")</f>
        <v>0</v>
      </c>
      <c r="V60" s="340"/>
      <c r="W60" s="341" t="n">
        <f aca="false">SUMIFS(TE!$O:$O,TE!$G:$G,$C$40,TE!$I:$I,C60,TE!$D:$D,$C$5)</f>
        <v>0</v>
      </c>
      <c r="X60" s="341"/>
      <c r="Y60" s="341" t="str">
        <f aca="false">IFERROR(VLOOKUP(C60,TE!$H:$Y,16,FALSE()),"0")</f>
        <v>0</v>
      </c>
      <c r="Z60" s="341"/>
      <c r="AA60" s="342" t="str">
        <f aca="false">IFERROR(VLOOKUP(C60,TE!$H:$Y,17,FALSE()),"0")</f>
        <v>0</v>
      </c>
      <c r="AB60" s="342"/>
      <c r="AC60" s="343" t="n">
        <f aca="false">IFERROR((W60*Y60*AA60),"")</f>
        <v>0</v>
      </c>
      <c r="AD60" s="343"/>
      <c r="AE60" s="343"/>
      <c r="AF60" s="276"/>
    </row>
    <row r="61" customFormat="false" ht="15.75" hidden="false" customHeight="true" outlineLevel="0" collapsed="false">
      <c r="A61" s="276"/>
      <c r="B61" s="276"/>
      <c r="C61" s="344" t="s">
        <v>1565</v>
      </c>
      <c r="D61" s="338"/>
      <c r="E61" s="338"/>
      <c r="F61" s="339" t="str">
        <f aca="false">IFERROR(VLOOKUP(C61,TE!$H:$Y,2,FALSE()),"(Not on TE)")</f>
        <v>(Not on TE)</v>
      </c>
      <c r="G61" s="338"/>
      <c r="H61" s="338"/>
      <c r="I61" s="338"/>
      <c r="J61" s="338"/>
      <c r="K61" s="338"/>
      <c r="L61" s="338"/>
      <c r="M61" s="338"/>
      <c r="N61" s="338"/>
      <c r="O61" s="338"/>
      <c r="P61" s="338"/>
      <c r="Q61" s="338"/>
      <c r="R61" s="338"/>
      <c r="S61" s="338"/>
      <c r="T61" s="338"/>
      <c r="U61" s="340" t="str">
        <f aca="false">IFERROR(VLOOKUP(C61,TE!$H:$Y,9,FALSE()),"0")</f>
        <v>0</v>
      </c>
      <c r="V61" s="340"/>
      <c r="W61" s="341" t="n">
        <f aca="false">SUMIFS(TE!$O:$O,TE!$G:$G,$C$40,TE!$I:$I,C61,TE!$D:$D,$C$5)</f>
        <v>0</v>
      </c>
      <c r="X61" s="341"/>
      <c r="Y61" s="341" t="str">
        <f aca="false">IFERROR(VLOOKUP(C61,TE!$H:$Y,16,FALSE()),"0")</f>
        <v>0</v>
      </c>
      <c r="Z61" s="341"/>
      <c r="AA61" s="342" t="str">
        <f aca="false">IFERROR(VLOOKUP(C61,TE!$H:$Y,17,FALSE()),"0")</f>
        <v>0</v>
      </c>
      <c r="AB61" s="342"/>
      <c r="AC61" s="343" t="n">
        <f aca="false">IFERROR((W61*Y61*AA61),"")</f>
        <v>0</v>
      </c>
      <c r="AD61" s="343"/>
      <c r="AE61" s="343"/>
      <c r="AF61" s="276"/>
    </row>
    <row r="62" customFormat="false" ht="15.75" hidden="false" customHeight="true" outlineLevel="0" collapsed="false">
      <c r="A62" s="276"/>
      <c r="B62" s="276"/>
      <c r="C62" s="344" t="s">
        <v>1566</v>
      </c>
      <c r="D62" s="338"/>
      <c r="E62" s="338"/>
      <c r="F62" s="339" t="str">
        <f aca="false">IFERROR(VLOOKUP(C62,TE!$H:$Y,2,FALSE()),"(Not on TE)")</f>
        <v>(Not on TE)</v>
      </c>
      <c r="G62" s="338"/>
      <c r="H62" s="338"/>
      <c r="I62" s="338"/>
      <c r="J62" s="338"/>
      <c r="K62" s="338"/>
      <c r="L62" s="338"/>
      <c r="M62" s="338"/>
      <c r="N62" s="338"/>
      <c r="O62" s="338"/>
      <c r="P62" s="338"/>
      <c r="Q62" s="338"/>
      <c r="R62" s="338"/>
      <c r="S62" s="338"/>
      <c r="T62" s="338"/>
      <c r="U62" s="340" t="str">
        <f aca="false">IFERROR(VLOOKUP(C62,TE!$H:$Y,9,FALSE()),"0")</f>
        <v>0</v>
      </c>
      <c r="V62" s="340"/>
      <c r="W62" s="341" t="n">
        <f aca="false">SUMIFS(TE!$O:$O,TE!$G:$G,$C$40,TE!$I:$I,C62,TE!$D:$D,$C$5)</f>
        <v>0</v>
      </c>
      <c r="X62" s="341"/>
      <c r="Y62" s="341" t="str">
        <f aca="false">IFERROR(VLOOKUP(C62,TE!$H:$Y,16,FALSE()),"0")</f>
        <v>0</v>
      </c>
      <c r="Z62" s="341"/>
      <c r="AA62" s="342" t="str">
        <f aca="false">IFERROR(VLOOKUP(C62,TE!$H:$Y,17,FALSE()),"0")</f>
        <v>0</v>
      </c>
      <c r="AB62" s="342"/>
      <c r="AC62" s="343" t="n">
        <f aca="false">IFERROR((W62*Y62*AA62),"")</f>
        <v>0</v>
      </c>
      <c r="AD62" s="343"/>
      <c r="AE62" s="343"/>
      <c r="AF62" s="276"/>
    </row>
    <row r="63" customFormat="false" ht="15.75" hidden="false" customHeight="true" outlineLevel="0" collapsed="false">
      <c r="A63" s="276"/>
      <c r="B63" s="276"/>
      <c r="C63" s="344" t="s">
        <v>1149</v>
      </c>
      <c r="D63" s="338"/>
      <c r="E63" s="338"/>
      <c r="F63" s="339" t="str">
        <f aca="false">IFERROR(VLOOKUP(C63,TE!$H:$Y,2,FALSE()),"(Not on TE)")</f>
        <v>(Not on TE)</v>
      </c>
      <c r="G63" s="338"/>
      <c r="H63" s="338"/>
      <c r="I63" s="338"/>
      <c r="J63" s="338"/>
      <c r="K63" s="338"/>
      <c r="L63" s="338"/>
      <c r="M63" s="338"/>
      <c r="N63" s="338"/>
      <c r="O63" s="338"/>
      <c r="P63" s="338"/>
      <c r="Q63" s="338"/>
      <c r="R63" s="338"/>
      <c r="S63" s="338"/>
      <c r="T63" s="338"/>
      <c r="U63" s="340" t="str">
        <f aca="false">IFERROR(VLOOKUP(C63,TE!$H:$Y,9,FALSE()),"0")</f>
        <v>0</v>
      </c>
      <c r="V63" s="340"/>
      <c r="W63" s="341" t="n">
        <f aca="false">SUMIFS(TE!$O:$O,TE!$G:$G,$C$40,TE!$I:$I,C63,TE!$D:$D,$C$5)</f>
        <v>0</v>
      </c>
      <c r="X63" s="341"/>
      <c r="Y63" s="341" t="str">
        <f aca="false">IFERROR(VLOOKUP(C63,TE!$H:$Y,16,FALSE()),"0")</f>
        <v>0</v>
      </c>
      <c r="Z63" s="341"/>
      <c r="AA63" s="342" t="str">
        <f aca="false">IFERROR(VLOOKUP(C63,TE!$H:$Y,17,FALSE()),"0")</f>
        <v>0</v>
      </c>
      <c r="AB63" s="342"/>
      <c r="AC63" s="343" t="n">
        <f aca="false">IFERROR((W63*Y63*AA63),"")</f>
        <v>0</v>
      </c>
      <c r="AD63" s="343"/>
      <c r="AE63" s="343"/>
      <c r="AF63" s="276"/>
    </row>
    <row r="64" customFormat="false" ht="15.75" hidden="false" customHeight="true" outlineLevel="0" collapsed="false">
      <c r="A64" s="276"/>
      <c r="B64" s="276"/>
      <c r="C64" s="344" t="s">
        <v>1253</v>
      </c>
      <c r="D64" s="338"/>
      <c r="E64" s="338"/>
      <c r="F64" s="339" t="str">
        <f aca="false">IFERROR(VLOOKUP(C64,TE!$H:$Y,2,FALSE()),"(Not on TE)")</f>
        <v>(Not on TE)</v>
      </c>
      <c r="G64" s="338"/>
      <c r="H64" s="338"/>
      <c r="I64" s="338"/>
      <c r="J64" s="338"/>
      <c r="K64" s="338"/>
      <c r="L64" s="338"/>
      <c r="M64" s="338"/>
      <c r="N64" s="338"/>
      <c r="O64" s="338"/>
      <c r="P64" s="338"/>
      <c r="Q64" s="338"/>
      <c r="R64" s="338"/>
      <c r="S64" s="338"/>
      <c r="T64" s="338"/>
      <c r="U64" s="340" t="str">
        <f aca="false">IFERROR(VLOOKUP(C64,TE!$H:$Y,9,FALSE()),"0")</f>
        <v>0</v>
      </c>
      <c r="V64" s="340"/>
      <c r="W64" s="341" t="n">
        <f aca="false">SUMIFS(TE!$O:$O,TE!$G:$G,$C$40,TE!$I:$I,C64,TE!$D:$D,$C$5)</f>
        <v>0</v>
      </c>
      <c r="X64" s="341"/>
      <c r="Y64" s="341" t="str">
        <f aca="false">IFERROR(VLOOKUP(C64,TE!$H:$Y,16,FALSE()),"0")</f>
        <v>0</v>
      </c>
      <c r="Z64" s="341"/>
      <c r="AA64" s="342" t="str">
        <f aca="false">IFERROR(VLOOKUP(C64,TE!$H:$Y,17,FALSE()),"0")</f>
        <v>0</v>
      </c>
      <c r="AB64" s="342"/>
      <c r="AC64" s="343" t="n">
        <f aca="false">IFERROR((W64*Y64*AA64),"")</f>
        <v>0</v>
      </c>
      <c r="AD64" s="343"/>
      <c r="AE64" s="343"/>
      <c r="AF64" s="276"/>
    </row>
    <row r="65" customFormat="false" ht="15.75" hidden="false" customHeight="true" outlineLevel="0" collapsed="false">
      <c r="A65" s="276"/>
      <c r="B65" s="276"/>
      <c r="C65" s="345" t="s">
        <v>1255</v>
      </c>
      <c r="D65" s="346"/>
      <c r="E65" s="346"/>
      <c r="F65" s="339" t="str">
        <f aca="false">IFERROR(VLOOKUP(C65,TE!$H:$Y,2,FALSE()),"(Not on TE)")</f>
        <v>(Not on TE)</v>
      </c>
      <c r="G65" s="347"/>
      <c r="H65" s="347"/>
      <c r="I65" s="347"/>
      <c r="J65" s="347"/>
      <c r="K65" s="347"/>
      <c r="L65" s="347"/>
      <c r="M65" s="347"/>
      <c r="N65" s="347"/>
      <c r="O65" s="347"/>
      <c r="P65" s="347"/>
      <c r="Q65" s="347"/>
      <c r="R65" s="347"/>
      <c r="S65" s="347"/>
      <c r="T65" s="347"/>
      <c r="U65" s="340" t="str">
        <f aca="false">IFERROR(VLOOKUP(C65,TE!$H:$Y,9,FALSE()),"0")</f>
        <v>0</v>
      </c>
      <c r="V65" s="340"/>
      <c r="W65" s="341" t="n">
        <f aca="false">SUMIFS(TE!$O:$O,TE!$G:$G,$C$40,TE!$I:$I,C65,TE!$D:$D,$C$5)</f>
        <v>0</v>
      </c>
      <c r="X65" s="341"/>
      <c r="Y65" s="341" t="str">
        <f aca="false">IFERROR(VLOOKUP(C65,TE!$H:$Y,16,FALSE()),"0")</f>
        <v>0</v>
      </c>
      <c r="Z65" s="341"/>
      <c r="AA65" s="342" t="str">
        <f aca="false">IFERROR(VLOOKUP(C65,TE!$H:$Y,17,FALSE()),"0")</f>
        <v>0</v>
      </c>
      <c r="AB65" s="342"/>
      <c r="AC65" s="343" t="n">
        <f aca="false">IFERROR((W65*Y65*AA65),"")</f>
        <v>0</v>
      </c>
      <c r="AD65" s="343"/>
      <c r="AE65" s="343"/>
      <c r="AF65" s="276"/>
    </row>
    <row r="66" customFormat="false" ht="15.75" hidden="false" customHeight="true" outlineLevel="0" collapsed="false">
      <c r="A66" s="276"/>
      <c r="B66" s="276"/>
      <c r="C66" s="345" t="s">
        <v>1458</v>
      </c>
      <c r="D66" s="346"/>
      <c r="E66" s="346"/>
      <c r="F66" s="339" t="str">
        <f aca="false">IFERROR(VLOOKUP(C66,TE!$H:$Y,2,FALSE()),"(Not on TE)")</f>
        <v>(Not on TE)</v>
      </c>
      <c r="G66" s="347"/>
      <c r="H66" s="347"/>
      <c r="I66" s="347"/>
      <c r="J66" s="347"/>
      <c r="K66" s="347"/>
      <c r="L66" s="347"/>
      <c r="M66" s="347"/>
      <c r="N66" s="347"/>
      <c r="O66" s="347"/>
      <c r="P66" s="347"/>
      <c r="Q66" s="347"/>
      <c r="R66" s="347"/>
      <c r="S66" s="347"/>
      <c r="T66" s="347"/>
      <c r="U66" s="340" t="str">
        <f aca="false">IFERROR(VLOOKUP(C66,TE!$H:$Y,9,FALSE()),"0")</f>
        <v>0</v>
      </c>
      <c r="V66" s="340"/>
      <c r="W66" s="341" t="n">
        <f aca="false">SUMIFS(TE!$O:$O,TE!$G:$G,$C$40,TE!$I:$I,C66,TE!$D:$D,$C$5)</f>
        <v>0</v>
      </c>
      <c r="X66" s="341"/>
      <c r="Y66" s="341" t="str">
        <f aca="false">IFERROR(VLOOKUP(C66,TE!$H:$Y,16,FALSE()),"0")</f>
        <v>0</v>
      </c>
      <c r="Z66" s="341"/>
      <c r="AA66" s="342" t="str">
        <f aca="false">IFERROR(VLOOKUP(C66,TE!$H:$Y,17,FALSE()),"0")</f>
        <v>0</v>
      </c>
      <c r="AB66" s="342"/>
      <c r="AC66" s="343" t="n">
        <f aca="false">IFERROR((W66*Y66*AA66),"")</f>
        <v>0</v>
      </c>
      <c r="AD66" s="343"/>
      <c r="AE66" s="343"/>
      <c r="AF66" s="276"/>
    </row>
    <row r="67" customFormat="false" ht="15.75" hidden="false" customHeight="true" outlineLevel="0" collapsed="false">
      <c r="A67" s="276"/>
      <c r="B67" s="276"/>
      <c r="C67" s="345" t="s">
        <v>1199</v>
      </c>
      <c r="D67" s="346"/>
      <c r="E67" s="346"/>
      <c r="F67" s="339" t="str">
        <f aca="false">IFERROR(VLOOKUP(C67,TE!$H:$Y,2,FALSE()),"(Not on TE)")</f>
        <v>(Not on TE)</v>
      </c>
      <c r="G67" s="347"/>
      <c r="H67" s="347"/>
      <c r="I67" s="347"/>
      <c r="J67" s="347"/>
      <c r="K67" s="347"/>
      <c r="L67" s="347"/>
      <c r="M67" s="347"/>
      <c r="N67" s="347"/>
      <c r="O67" s="347"/>
      <c r="P67" s="347"/>
      <c r="Q67" s="347"/>
      <c r="R67" s="347"/>
      <c r="S67" s="347"/>
      <c r="T67" s="347"/>
      <c r="U67" s="340" t="str">
        <f aca="false">IFERROR(VLOOKUP(C67,TE!$H:$Y,9,FALSE()),"0")</f>
        <v>0</v>
      </c>
      <c r="V67" s="340"/>
      <c r="W67" s="341" t="n">
        <f aca="false">SUMIFS(TE!$O:$O,TE!$G:$G,$C$40,TE!$I:$I,C67,TE!$D:$D,$C$5)</f>
        <v>0</v>
      </c>
      <c r="X67" s="341"/>
      <c r="Y67" s="341" t="str">
        <f aca="false">IFERROR(VLOOKUP(C67,TE!$H:$Y,16,FALSE()),"0")</f>
        <v>0</v>
      </c>
      <c r="Z67" s="341"/>
      <c r="AA67" s="342" t="str">
        <f aca="false">IFERROR(VLOOKUP(C67,TE!$H:$Y,17,FALSE()),"0")</f>
        <v>0</v>
      </c>
      <c r="AB67" s="342"/>
      <c r="AC67" s="343" t="n">
        <f aca="false">IFERROR((W67*Y67*AA67),"")</f>
        <v>0</v>
      </c>
      <c r="AD67" s="343"/>
      <c r="AE67" s="343"/>
      <c r="AF67" s="276"/>
    </row>
    <row r="68" customFormat="false" ht="15.75" hidden="false" customHeight="true" outlineLevel="0" collapsed="false">
      <c r="A68" s="276"/>
      <c r="B68" s="276"/>
      <c r="C68" s="345" t="s">
        <v>1567</v>
      </c>
      <c r="D68" s="346"/>
      <c r="E68" s="346"/>
      <c r="F68" s="339" t="str">
        <f aca="false">IFERROR(VLOOKUP(C68,TE!$H:$Y,2,FALSE()),"(Not on TE)")</f>
        <v>(Not on TE)</v>
      </c>
      <c r="G68" s="347"/>
      <c r="H68" s="347"/>
      <c r="I68" s="347"/>
      <c r="J68" s="347"/>
      <c r="K68" s="347"/>
      <c r="L68" s="347"/>
      <c r="M68" s="347"/>
      <c r="N68" s="347"/>
      <c r="O68" s="347"/>
      <c r="P68" s="347"/>
      <c r="Q68" s="347"/>
      <c r="R68" s="347"/>
      <c r="S68" s="347"/>
      <c r="T68" s="347"/>
      <c r="U68" s="340" t="str">
        <f aca="false">IFERROR(VLOOKUP(C68,TE!$H:$Y,9,FALSE()),"0")</f>
        <v>0</v>
      </c>
      <c r="V68" s="340"/>
      <c r="W68" s="341" t="n">
        <f aca="false">SUMIFS(TE!$O:$O,TE!$G:$G,$C$40,TE!$I:$I,C68,TE!$D:$D,$C$5)</f>
        <v>0</v>
      </c>
      <c r="X68" s="341"/>
      <c r="Y68" s="341" t="str">
        <f aca="false">IFERROR(VLOOKUP(C68,TE!$H:$Y,16,FALSE()),"0")</f>
        <v>0</v>
      </c>
      <c r="Z68" s="341"/>
      <c r="AA68" s="342" t="str">
        <f aca="false">IFERROR(VLOOKUP(C68,TE!$H:$Y,17,FALSE()),"0")</f>
        <v>0</v>
      </c>
      <c r="AB68" s="342"/>
      <c r="AC68" s="343" t="n">
        <f aca="false">IFERROR((W68*Y68*AA68),"")</f>
        <v>0</v>
      </c>
      <c r="AD68" s="343"/>
      <c r="AE68" s="343"/>
      <c r="AF68" s="276"/>
    </row>
    <row r="69" customFormat="false" ht="15.75" hidden="false" customHeight="true" outlineLevel="0" collapsed="false">
      <c r="A69" s="276"/>
      <c r="B69" s="276"/>
      <c r="C69" s="345" t="s">
        <v>1568</v>
      </c>
      <c r="D69" s="346"/>
      <c r="E69" s="346"/>
      <c r="F69" s="339" t="str">
        <f aca="false">IFERROR(VLOOKUP(C69,TE!$H:$Y,2,FALSE()),"(Not on TE)")</f>
        <v>(Not on TE)</v>
      </c>
      <c r="G69" s="347"/>
      <c r="H69" s="347"/>
      <c r="I69" s="347"/>
      <c r="J69" s="347"/>
      <c r="K69" s="347"/>
      <c r="L69" s="347"/>
      <c r="M69" s="347"/>
      <c r="N69" s="347"/>
      <c r="O69" s="347"/>
      <c r="P69" s="347"/>
      <c r="Q69" s="347"/>
      <c r="R69" s="347"/>
      <c r="S69" s="347"/>
      <c r="T69" s="347"/>
      <c r="U69" s="340" t="str">
        <f aca="false">IFERROR(VLOOKUP(C69,TE!$H:$Y,9,FALSE()),"0")</f>
        <v>0</v>
      </c>
      <c r="V69" s="340"/>
      <c r="W69" s="341" t="n">
        <f aca="false">SUMIFS(TE!$O:$O,TE!$G:$G,$C$40,TE!$I:$I,C69,TE!$D:$D,$C$5)</f>
        <v>0</v>
      </c>
      <c r="X69" s="341"/>
      <c r="Y69" s="341" t="str">
        <f aca="false">IFERROR(VLOOKUP(C69,TE!$H:$Y,16,FALSE()),"0")</f>
        <v>0</v>
      </c>
      <c r="Z69" s="341"/>
      <c r="AA69" s="342" t="str">
        <f aca="false">IFERROR(VLOOKUP(C69,TE!$H:$Y,17,FALSE()),"0")</f>
        <v>0</v>
      </c>
      <c r="AB69" s="342"/>
      <c r="AC69" s="343" t="n">
        <f aca="false">IFERROR((W69*Y69*AA69),"")</f>
        <v>0</v>
      </c>
      <c r="AD69" s="343"/>
      <c r="AE69" s="343"/>
      <c r="AF69" s="276"/>
    </row>
    <row r="70" customFormat="false" ht="15.75" hidden="false" customHeight="true" outlineLevel="0" collapsed="false">
      <c r="A70" s="276"/>
      <c r="B70" s="276"/>
      <c r="C70" s="345" t="s">
        <v>1569</v>
      </c>
      <c r="D70" s="346"/>
      <c r="E70" s="346"/>
      <c r="F70" s="339" t="str">
        <f aca="false">IFERROR(VLOOKUP(C70,TE!$H:$Y,2,FALSE()),"(Not on TE)")</f>
        <v>(Not on TE)</v>
      </c>
      <c r="G70" s="347"/>
      <c r="H70" s="347"/>
      <c r="I70" s="347"/>
      <c r="J70" s="347"/>
      <c r="K70" s="347"/>
      <c r="L70" s="347"/>
      <c r="M70" s="347"/>
      <c r="N70" s="347"/>
      <c r="O70" s="347"/>
      <c r="P70" s="347"/>
      <c r="Q70" s="347"/>
      <c r="R70" s="347"/>
      <c r="S70" s="347"/>
      <c r="T70" s="347"/>
      <c r="U70" s="340" t="str">
        <f aca="false">IFERROR(VLOOKUP(C70,TE!$H:$Y,9,FALSE()),"0")</f>
        <v>0</v>
      </c>
      <c r="V70" s="340"/>
      <c r="W70" s="341" t="n">
        <f aca="false">SUMIFS(TE!$O:$O,TE!$G:$G,$C$40,TE!$I:$I,C70,TE!$D:$D,$C$5)</f>
        <v>0</v>
      </c>
      <c r="X70" s="341"/>
      <c r="Y70" s="341" t="str">
        <f aca="false">IFERROR(VLOOKUP(C70,TE!$H:$Y,16,FALSE()),"0")</f>
        <v>0</v>
      </c>
      <c r="Z70" s="341"/>
      <c r="AA70" s="342" t="str">
        <f aca="false">IFERROR(VLOOKUP(C70,TE!$H:$Y,17,FALSE()),"0")</f>
        <v>0</v>
      </c>
      <c r="AB70" s="342"/>
      <c r="AC70" s="343" t="n">
        <f aca="false">IFERROR((W70*Y70*AA70),"")</f>
        <v>0</v>
      </c>
      <c r="AD70" s="343"/>
      <c r="AE70" s="343"/>
      <c r="AF70" s="276"/>
    </row>
    <row r="71" customFormat="false" ht="15.75" hidden="false" customHeight="true" outlineLevel="0" collapsed="false">
      <c r="A71" s="276"/>
      <c r="B71" s="276"/>
      <c r="C71" s="345" t="s">
        <v>1570</v>
      </c>
      <c r="D71" s="346"/>
      <c r="E71" s="346"/>
      <c r="F71" s="339" t="str">
        <f aca="false">IFERROR(VLOOKUP(C71,TE!$H:$Y,2,FALSE()),"(Not on TE)")</f>
        <v>(Not on TE)</v>
      </c>
      <c r="G71" s="347"/>
      <c r="H71" s="347"/>
      <c r="I71" s="347"/>
      <c r="J71" s="347"/>
      <c r="K71" s="347"/>
      <c r="L71" s="347"/>
      <c r="M71" s="347"/>
      <c r="N71" s="347"/>
      <c r="O71" s="347"/>
      <c r="P71" s="347"/>
      <c r="Q71" s="347"/>
      <c r="R71" s="347"/>
      <c r="S71" s="347"/>
      <c r="T71" s="347"/>
      <c r="U71" s="340" t="str">
        <f aca="false">IFERROR(VLOOKUP(C71,TE!$H:$Y,9,FALSE()),"0")</f>
        <v>0</v>
      </c>
      <c r="V71" s="340"/>
      <c r="W71" s="341" t="n">
        <f aca="false">SUMIFS(TE!$O:$O,TE!$G:$G,$C$40,TE!$I:$I,C71,TE!$D:$D,$C$5)</f>
        <v>0</v>
      </c>
      <c r="X71" s="341"/>
      <c r="Y71" s="341" t="str">
        <f aca="false">IFERROR(VLOOKUP(C71,TE!$H:$Y,16,FALSE()),"0")</f>
        <v>0</v>
      </c>
      <c r="Z71" s="341"/>
      <c r="AA71" s="342" t="str">
        <f aca="false">IFERROR(VLOOKUP(C71,TE!$H:$Y,17,FALSE()),"0")</f>
        <v>0</v>
      </c>
      <c r="AB71" s="342"/>
      <c r="AC71" s="343" t="n">
        <f aca="false">IFERROR((W71*Y71*AA71),"")</f>
        <v>0</v>
      </c>
      <c r="AD71" s="343"/>
      <c r="AE71" s="343"/>
      <c r="AF71" s="276"/>
    </row>
    <row r="72" customFormat="false" ht="15.75" hidden="false" customHeight="true" outlineLevel="0" collapsed="false">
      <c r="A72" s="276"/>
      <c r="B72" s="276"/>
      <c r="C72" s="344" t="s">
        <v>1305</v>
      </c>
      <c r="D72" s="346"/>
      <c r="E72" s="346"/>
      <c r="F72" s="339" t="str">
        <f aca="false">IFERROR(VLOOKUP(C72,TE!$H:$Y,2,FALSE()),"(Not on TE)")</f>
        <v>(Not on TE)</v>
      </c>
      <c r="G72" s="347"/>
      <c r="H72" s="347"/>
      <c r="I72" s="347"/>
      <c r="J72" s="347"/>
      <c r="K72" s="347"/>
      <c r="L72" s="347"/>
      <c r="M72" s="347"/>
      <c r="N72" s="347"/>
      <c r="O72" s="347"/>
      <c r="P72" s="347"/>
      <c r="Q72" s="347"/>
      <c r="R72" s="347"/>
      <c r="S72" s="347"/>
      <c r="T72" s="347"/>
      <c r="U72" s="340" t="str">
        <f aca="false">IFERROR(VLOOKUP(C72,TE!$H:$Y,9,FALSE()),"0")</f>
        <v>0</v>
      </c>
      <c r="V72" s="340"/>
      <c r="W72" s="341" t="n">
        <f aca="false">SUMIFS(TE!$O:$O,TE!$G:$G,$C$40,TE!$I:$I,C72,TE!$D:$D,$C$5)</f>
        <v>2</v>
      </c>
      <c r="X72" s="341"/>
      <c r="Y72" s="341" t="str">
        <f aca="false">IFERROR(VLOOKUP(C72,TE!$H:$Y,16,FALSE()),"0")</f>
        <v>0</v>
      </c>
      <c r="Z72" s="341"/>
      <c r="AA72" s="342" t="str">
        <f aca="false">IFERROR(VLOOKUP(C72,TE!$H:$Y,17,FALSE()),"0")</f>
        <v>0</v>
      </c>
      <c r="AB72" s="342"/>
      <c r="AC72" s="343" t="n">
        <f aca="false">IFERROR((W72*Y72*AA72),"")</f>
        <v>0</v>
      </c>
      <c r="AD72" s="343"/>
      <c r="AE72" s="343"/>
      <c r="AF72" s="276"/>
    </row>
    <row r="73" customFormat="false" ht="15.75" hidden="false" customHeight="true" outlineLevel="0" collapsed="false">
      <c r="A73" s="276"/>
      <c r="B73" s="276"/>
      <c r="C73" s="344" t="s">
        <v>1104</v>
      </c>
      <c r="D73" s="346"/>
      <c r="E73" s="346"/>
      <c r="F73" s="339" t="str">
        <f aca="false">IFERROR(VLOOKUP(C73,TE!$H:$Y,2,FALSE()),"(Not on TE)")</f>
        <v>(Not on TE)</v>
      </c>
      <c r="G73" s="347"/>
      <c r="H73" s="347"/>
      <c r="I73" s="347"/>
      <c r="J73" s="347"/>
      <c r="K73" s="347"/>
      <c r="L73" s="347"/>
      <c r="M73" s="347"/>
      <c r="N73" s="347"/>
      <c r="O73" s="347"/>
      <c r="P73" s="347"/>
      <c r="Q73" s="347"/>
      <c r="R73" s="347"/>
      <c r="S73" s="347"/>
      <c r="T73" s="347"/>
      <c r="U73" s="340" t="str">
        <f aca="false">IFERROR(VLOOKUP(C73,TE!$H:$Y,9,FALSE()),"0")</f>
        <v>0</v>
      </c>
      <c r="V73" s="340"/>
      <c r="W73" s="341" t="n">
        <f aca="false">SUMIFS(TE!$O:$O,TE!$G:$G,$C$40,TE!$I:$I,C73,TE!$D:$D,$C$5)</f>
        <v>0</v>
      </c>
      <c r="X73" s="341"/>
      <c r="Y73" s="341" t="str">
        <f aca="false">IFERROR(VLOOKUP(C73,TE!$H:$Y,16,FALSE()),"0")</f>
        <v>0</v>
      </c>
      <c r="Z73" s="341"/>
      <c r="AA73" s="342" t="str">
        <f aca="false">IFERROR(VLOOKUP(C73,TE!$H:$Y,17,FALSE()),"0")</f>
        <v>0</v>
      </c>
      <c r="AB73" s="342"/>
      <c r="AC73" s="343" t="n">
        <f aca="false">IFERROR((W73*Y73*AA73),"")</f>
        <v>0</v>
      </c>
      <c r="AD73" s="343"/>
      <c r="AE73" s="343"/>
      <c r="AF73" s="276"/>
    </row>
    <row r="74" customFormat="false" ht="15.75" hidden="false" customHeight="true" outlineLevel="0" collapsed="false">
      <c r="A74" s="276"/>
      <c r="B74" s="276"/>
      <c r="C74" s="344" t="s">
        <v>1571</v>
      </c>
      <c r="D74" s="346"/>
      <c r="E74" s="346"/>
      <c r="F74" s="339" t="str">
        <f aca="false">IFERROR(VLOOKUP(C74,TE!$H:$Y,2,FALSE()),"(Not on TE)")</f>
        <v>(Not on TE)</v>
      </c>
      <c r="G74" s="347"/>
      <c r="H74" s="347"/>
      <c r="I74" s="347"/>
      <c r="J74" s="347"/>
      <c r="K74" s="347"/>
      <c r="L74" s="347"/>
      <c r="M74" s="347"/>
      <c r="N74" s="347"/>
      <c r="O74" s="347"/>
      <c r="P74" s="347"/>
      <c r="Q74" s="347"/>
      <c r="R74" s="347"/>
      <c r="S74" s="347"/>
      <c r="T74" s="347"/>
      <c r="U74" s="340" t="str">
        <f aca="false">IFERROR(VLOOKUP(C74,TE!$H:$Y,9,FALSE()),"0")</f>
        <v>0</v>
      </c>
      <c r="V74" s="340"/>
      <c r="W74" s="341" t="n">
        <f aca="false">SUMIFS(TE!$O:$O,TE!$G:$G,$C$40,TE!$I:$I,C74,TE!$D:$D,$C$5)</f>
        <v>0</v>
      </c>
      <c r="X74" s="341"/>
      <c r="Y74" s="341" t="str">
        <f aca="false">IFERROR(VLOOKUP(C74,TE!$H:$Y,16,FALSE()),"0")</f>
        <v>0</v>
      </c>
      <c r="Z74" s="341"/>
      <c r="AA74" s="342" t="str">
        <f aca="false">IFERROR(VLOOKUP(C74,TE!$H:$Y,17,FALSE()),"0")</f>
        <v>0</v>
      </c>
      <c r="AB74" s="342"/>
      <c r="AC74" s="343" t="n">
        <f aca="false">IFERROR((W74*Y74*AA74),"")</f>
        <v>0</v>
      </c>
      <c r="AD74" s="343"/>
      <c r="AE74" s="343"/>
      <c r="AF74" s="276"/>
    </row>
    <row r="75" customFormat="false" ht="15.75" hidden="false" customHeight="true" outlineLevel="0" collapsed="false">
      <c r="A75" s="276"/>
      <c r="B75" s="276"/>
      <c r="C75" s="344" t="s">
        <v>1572</v>
      </c>
      <c r="D75" s="346"/>
      <c r="E75" s="346"/>
      <c r="F75" s="339" t="str">
        <f aca="false">IFERROR(VLOOKUP(C75,TE!$H:$Y,2,FALSE()),"(Not on TE)")</f>
        <v>(Not on TE)</v>
      </c>
      <c r="G75" s="347"/>
      <c r="H75" s="347"/>
      <c r="I75" s="347"/>
      <c r="J75" s="347"/>
      <c r="K75" s="347"/>
      <c r="L75" s="347"/>
      <c r="M75" s="347"/>
      <c r="N75" s="347"/>
      <c r="O75" s="347"/>
      <c r="P75" s="347"/>
      <c r="Q75" s="347"/>
      <c r="R75" s="347"/>
      <c r="S75" s="347"/>
      <c r="T75" s="347"/>
      <c r="U75" s="340" t="str">
        <f aca="false">IFERROR(VLOOKUP(C75,TE!$H:$Y,9,FALSE()),"0")</f>
        <v>0</v>
      </c>
      <c r="V75" s="340"/>
      <c r="W75" s="341" t="n">
        <f aca="false">SUMIFS(TE!$O:$O,TE!$G:$G,$C$40,TE!$I:$I,C75,TE!$D:$D,$C$5)</f>
        <v>0</v>
      </c>
      <c r="X75" s="341"/>
      <c r="Y75" s="341" t="str">
        <f aca="false">IFERROR(VLOOKUP(C75,TE!$H:$Y,16,FALSE()),"0")</f>
        <v>0</v>
      </c>
      <c r="Z75" s="341"/>
      <c r="AA75" s="342" t="str">
        <f aca="false">IFERROR(VLOOKUP(C75,TE!$H:$Y,17,FALSE()),"0")</f>
        <v>0</v>
      </c>
      <c r="AB75" s="342"/>
      <c r="AC75" s="343" t="n">
        <f aca="false">IFERROR((W75*Y75*AA75),"")</f>
        <v>0</v>
      </c>
      <c r="AD75" s="343"/>
      <c r="AE75" s="343"/>
      <c r="AF75" s="276"/>
    </row>
    <row r="76" customFormat="false" ht="15.75" hidden="false" customHeight="true" outlineLevel="0" collapsed="false">
      <c r="A76" s="276"/>
      <c r="B76" s="276"/>
      <c r="C76" s="344" t="s">
        <v>1316</v>
      </c>
      <c r="D76" s="346"/>
      <c r="E76" s="346"/>
      <c r="F76" s="339" t="str">
        <f aca="false">IFERROR(VLOOKUP(C76,TE!$H:$Y,2,FALSE()),"(Not on TE)")</f>
        <v>(Not on TE)</v>
      </c>
      <c r="G76" s="347"/>
      <c r="H76" s="347"/>
      <c r="I76" s="347"/>
      <c r="J76" s="347"/>
      <c r="K76" s="347"/>
      <c r="L76" s="347"/>
      <c r="M76" s="347"/>
      <c r="N76" s="347"/>
      <c r="O76" s="347"/>
      <c r="P76" s="347"/>
      <c r="Q76" s="347"/>
      <c r="R76" s="347"/>
      <c r="S76" s="347"/>
      <c r="T76" s="347"/>
      <c r="U76" s="340" t="str">
        <f aca="false">IFERROR(VLOOKUP(C76,TE!$H:$Y,9,FALSE()),"0")</f>
        <v>0</v>
      </c>
      <c r="V76" s="340"/>
      <c r="W76" s="341" t="n">
        <f aca="false">SUMIFS(TE!$O:$O,TE!$G:$G,$C$40,TE!$I:$I,C76,TE!$D:$D,$C$5)</f>
        <v>3</v>
      </c>
      <c r="X76" s="341"/>
      <c r="Y76" s="341" t="str">
        <f aca="false">IFERROR(VLOOKUP(C76,TE!$H:$Y,16,FALSE()),"0")</f>
        <v>0</v>
      </c>
      <c r="Z76" s="341"/>
      <c r="AA76" s="342" t="str">
        <f aca="false">IFERROR(VLOOKUP(C76,TE!$H:$Y,17,FALSE()),"0")</f>
        <v>0</v>
      </c>
      <c r="AB76" s="342"/>
      <c r="AC76" s="343" t="n">
        <f aca="false">IFERROR((W76*Y76*AA76),"")</f>
        <v>0</v>
      </c>
      <c r="AD76" s="343"/>
      <c r="AE76" s="343"/>
      <c r="AF76" s="276"/>
    </row>
    <row r="77" customFormat="false" ht="15.75" hidden="false" customHeight="true" outlineLevel="0" collapsed="false">
      <c r="A77" s="276"/>
      <c r="B77" s="276"/>
      <c r="C77" s="345" t="s">
        <v>1573</v>
      </c>
      <c r="D77" s="346"/>
      <c r="E77" s="346"/>
      <c r="F77" s="339" t="str">
        <f aca="false">IFERROR(VLOOKUP(C77,TE!$H:$Y,2,FALSE()),"(Not on TE)")</f>
        <v>(Not on TE)</v>
      </c>
      <c r="G77" s="347"/>
      <c r="H77" s="347"/>
      <c r="I77" s="347"/>
      <c r="J77" s="347"/>
      <c r="K77" s="347"/>
      <c r="L77" s="347"/>
      <c r="M77" s="347"/>
      <c r="N77" s="347"/>
      <c r="O77" s="347"/>
      <c r="P77" s="347"/>
      <c r="Q77" s="347"/>
      <c r="R77" s="347"/>
      <c r="S77" s="347"/>
      <c r="T77" s="347"/>
      <c r="U77" s="340" t="str">
        <f aca="false">IFERROR(VLOOKUP(C77,TE!$H:$Y,9,FALSE()),"0")</f>
        <v>0</v>
      </c>
      <c r="V77" s="340"/>
      <c r="W77" s="341" t="n">
        <f aca="false">SUMIFS(TE!$O:$O,TE!$G:$G,$C$40,TE!$I:$I,C77,TE!$D:$D,$C$5)</f>
        <v>0</v>
      </c>
      <c r="X77" s="341"/>
      <c r="Y77" s="341" t="str">
        <f aca="false">IFERROR(VLOOKUP(C77,TE!$H:$Y,16,FALSE()),"0")</f>
        <v>0</v>
      </c>
      <c r="Z77" s="341"/>
      <c r="AA77" s="342" t="str">
        <f aca="false">IFERROR(VLOOKUP(C77,TE!$H:$Y,17,FALSE()),"0")</f>
        <v>0</v>
      </c>
      <c r="AB77" s="342"/>
      <c r="AC77" s="343" t="n">
        <f aca="false">IFERROR((W77*Y77*AA77),"")</f>
        <v>0</v>
      </c>
      <c r="AD77" s="343"/>
      <c r="AE77" s="343"/>
      <c r="AF77" s="276"/>
    </row>
    <row r="78" customFormat="false" ht="15.75" hidden="false" customHeight="true" outlineLevel="0" collapsed="false">
      <c r="A78" s="276"/>
      <c r="B78" s="276"/>
      <c r="C78" s="345" t="s">
        <v>1574</v>
      </c>
      <c r="D78" s="346"/>
      <c r="E78" s="346"/>
      <c r="F78" s="339" t="str">
        <f aca="false">IFERROR(VLOOKUP(C78,TE!$H:$Y,2,FALSE()),"(Not on TE)")</f>
        <v>(Not on TE)</v>
      </c>
      <c r="G78" s="347"/>
      <c r="H78" s="347"/>
      <c r="I78" s="347"/>
      <c r="J78" s="347"/>
      <c r="K78" s="347"/>
      <c r="L78" s="347"/>
      <c r="M78" s="347"/>
      <c r="N78" s="347"/>
      <c r="O78" s="347"/>
      <c r="P78" s="347"/>
      <c r="Q78" s="347"/>
      <c r="R78" s="347"/>
      <c r="S78" s="347"/>
      <c r="T78" s="347"/>
      <c r="U78" s="340" t="str">
        <f aca="false">IFERROR(VLOOKUP(C78,TE!$H:$Y,9,FALSE()),"0")</f>
        <v>0</v>
      </c>
      <c r="V78" s="340"/>
      <c r="W78" s="341" t="n">
        <f aca="false">SUMIFS(TE!$O:$O,TE!$G:$G,$C$40,TE!$I:$I,C78,TE!$D:$D,$C$5)</f>
        <v>0</v>
      </c>
      <c r="X78" s="341"/>
      <c r="Y78" s="341" t="str">
        <f aca="false">IFERROR(VLOOKUP(C78,TE!$H:$Y,16,FALSE()),"0")</f>
        <v>0</v>
      </c>
      <c r="Z78" s="341"/>
      <c r="AA78" s="342" t="str">
        <f aca="false">IFERROR(VLOOKUP(C78,TE!$H:$Y,17,FALSE()),"0")</f>
        <v>0</v>
      </c>
      <c r="AB78" s="342"/>
      <c r="AC78" s="343" t="n">
        <f aca="false">IFERROR((W78*Y78*AA78),"")</f>
        <v>0</v>
      </c>
      <c r="AD78" s="343"/>
      <c r="AE78" s="343"/>
      <c r="AF78" s="276"/>
    </row>
    <row r="79" customFormat="false" ht="15.75" hidden="false" customHeight="true" outlineLevel="0" collapsed="false">
      <c r="A79" s="276"/>
      <c r="B79" s="276"/>
      <c r="C79" s="348" t="s">
        <v>1575</v>
      </c>
      <c r="D79" s="349"/>
      <c r="E79" s="349"/>
      <c r="F79" s="350" t="str">
        <f aca="false">IFERROR(VLOOKUP(C79,TE!$H:$Y,2,FALSE()),"(Not on TE)")</f>
        <v>(Not on TE)</v>
      </c>
      <c r="G79" s="351"/>
      <c r="H79" s="351"/>
      <c r="I79" s="351"/>
      <c r="J79" s="351"/>
      <c r="K79" s="351"/>
      <c r="L79" s="351"/>
      <c r="M79" s="351"/>
      <c r="N79" s="351"/>
      <c r="O79" s="351"/>
      <c r="P79" s="351"/>
      <c r="Q79" s="351"/>
      <c r="R79" s="351"/>
      <c r="S79" s="351"/>
      <c r="T79" s="351"/>
      <c r="U79" s="352" t="str">
        <f aca="false">IFERROR(VLOOKUP(C79,TE!$H:$Y,9,FALSE()),"0")</f>
        <v>0</v>
      </c>
      <c r="V79" s="352"/>
      <c r="W79" s="353" t="n">
        <f aca="false">SUMIFS(TE!$O:$O,TE!$G:$G,$C$40,TE!$I:$I,C79,TE!$D:$D,$C$5)</f>
        <v>0</v>
      </c>
      <c r="X79" s="353"/>
      <c r="Y79" s="353" t="str">
        <f aca="false">IFERROR(VLOOKUP(C79,TE!$H:$Y,16,FALSE()),"0")</f>
        <v>0</v>
      </c>
      <c r="Z79" s="353"/>
      <c r="AA79" s="354" t="str">
        <f aca="false">IFERROR(VLOOKUP(C79,TE!$H:$Y,17,FALSE()),"0")</f>
        <v>0</v>
      </c>
      <c r="AB79" s="354"/>
      <c r="AC79" s="355" t="n">
        <f aca="false">IFERROR((W79*Y79*AA79),"")</f>
        <v>0</v>
      </c>
      <c r="AD79" s="355"/>
      <c r="AE79" s="355"/>
      <c r="AF79" s="276"/>
    </row>
    <row r="80" customFormat="false" ht="15.75" hidden="false" customHeight="true" outlineLevel="0" collapsed="false">
      <c r="A80" s="276"/>
      <c r="B80" s="276"/>
      <c r="C80" s="338"/>
      <c r="D80" s="346"/>
      <c r="E80" s="346"/>
      <c r="F80" s="347"/>
      <c r="G80" s="347"/>
      <c r="H80" s="347"/>
      <c r="I80" s="347"/>
      <c r="J80" s="347"/>
      <c r="K80" s="347"/>
      <c r="L80" s="347"/>
      <c r="M80" s="347"/>
      <c r="N80" s="347"/>
      <c r="O80" s="347"/>
      <c r="P80" s="347"/>
      <c r="Q80" s="347"/>
      <c r="R80" s="347"/>
      <c r="S80" s="347"/>
      <c r="T80" s="347"/>
      <c r="U80" s="356"/>
      <c r="V80" s="356"/>
      <c r="W80" s="357"/>
      <c r="X80" s="357"/>
      <c r="Y80" s="357"/>
      <c r="Z80" s="296"/>
      <c r="AA80" s="358" t="s">
        <v>1576</v>
      </c>
      <c r="AB80" s="358"/>
      <c r="AC80" s="358"/>
      <c r="AD80" s="358"/>
      <c r="AE80" s="358"/>
      <c r="AF80" s="276"/>
    </row>
    <row r="81" customFormat="false" ht="15.75" hidden="false" customHeight="true" outlineLevel="0" collapsed="false">
      <c r="A81" s="276"/>
      <c r="B81" s="276"/>
      <c r="C81" s="359"/>
      <c r="D81" s="349"/>
      <c r="E81" s="349"/>
      <c r="F81" s="351"/>
      <c r="G81" s="351"/>
      <c r="H81" s="351"/>
      <c r="I81" s="351"/>
      <c r="J81" s="351"/>
      <c r="K81" s="351"/>
      <c r="L81" s="351"/>
      <c r="M81" s="351"/>
      <c r="N81" s="351"/>
      <c r="O81" s="351"/>
      <c r="P81" s="351"/>
      <c r="Q81" s="351"/>
      <c r="R81" s="351"/>
      <c r="S81" s="351"/>
      <c r="T81" s="351"/>
      <c r="U81" s="360"/>
      <c r="V81" s="360"/>
      <c r="W81" s="361"/>
      <c r="X81" s="361"/>
      <c r="Y81" s="361"/>
      <c r="Z81" s="361"/>
      <c r="AA81" s="362"/>
      <c r="AB81" s="362"/>
      <c r="AC81" s="363"/>
      <c r="AD81" s="363"/>
      <c r="AE81" s="363"/>
      <c r="AF81" s="276"/>
    </row>
    <row r="82" customFormat="false" ht="15.75" hidden="false" customHeight="true" outlineLevel="0" collapsed="false">
      <c r="A82" s="364"/>
      <c r="B82" s="364"/>
      <c r="C82" s="365"/>
      <c r="D82" s="366"/>
      <c r="E82" s="366"/>
      <c r="F82" s="367"/>
      <c r="G82" s="367"/>
      <c r="H82" s="367"/>
      <c r="I82" s="367"/>
      <c r="J82" s="367"/>
      <c r="K82" s="367"/>
      <c r="L82" s="367"/>
      <c r="M82" s="367"/>
      <c r="N82" s="367"/>
      <c r="O82" s="367"/>
      <c r="P82" s="367"/>
      <c r="Q82" s="367"/>
      <c r="R82" s="367"/>
      <c r="S82" s="367"/>
      <c r="T82" s="367"/>
      <c r="U82" s="368"/>
      <c r="V82" s="368"/>
      <c r="W82" s="369"/>
      <c r="X82" s="369"/>
      <c r="Y82" s="369"/>
      <c r="Z82" s="369"/>
      <c r="AA82" s="370"/>
      <c r="AB82" s="370"/>
      <c r="AC82" s="371"/>
      <c r="AD82" s="371"/>
      <c r="AE82" s="371"/>
      <c r="AF82" s="372"/>
    </row>
    <row r="83" customFormat="false" ht="15.75" hidden="false" customHeight="true" outlineLevel="0" collapsed="false">
      <c r="A83" s="259" t="s">
        <v>1522</v>
      </c>
      <c r="B83" s="259"/>
      <c r="C83" s="323" t="n">
        <f aca="false">$C$5</f>
        <v>14312</v>
      </c>
      <c r="D83" s="323"/>
      <c r="E83" s="323"/>
      <c r="F83" s="323"/>
      <c r="G83" s="323"/>
      <c r="H83" s="323"/>
      <c r="I83" s="323"/>
      <c r="J83" s="323"/>
      <c r="K83" s="323"/>
      <c r="L83" s="323"/>
      <c r="M83" s="259" t="s">
        <v>1523</v>
      </c>
      <c r="N83" s="259"/>
      <c r="O83" s="259"/>
      <c r="P83" s="259"/>
      <c r="Q83" s="259"/>
      <c r="R83" s="324" t="str">
        <f aca="false">$R$5</f>
        <v>Operational Vehicle Laydown Area</v>
      </c>
      <c r="S83" s="324"/>
      <c r="T83" s="324"/>
      <c r="U83" s="324"/>
      <c r="V83" s="324"/>
      <c r="W83" s="324"/>
      <c r="X83" s="324"/>
      <c r="Y83" s="324"/>
      <c r="Z83" s="324"/>
      <c r="AA83" s="324"/>
      <c r="AB83" s="324"/>
      <c r="AC83" s="324"/>
      <c r="AD83" s="324"/>
      <c r="AE83" s="324"/>
      <c r="AF83" s="324"/>
    </row>
    <row r="84" customFormat="false" ht="15.75" hidden="false" customHeight="true" outlineLevel="0" collapsed="false">
      <c r="A84" s="276"/>
      <c r="B84" s="276"/>
      <c r="C84" s="296"/>
      <c r="D84" s="276"/>
      <c r="E84" s="276"/>
      <c r="F84" s="296"/>
      <c r="G84" s="276"/>
      <c r="H84" s="276"/>
      <c r="I84" s="276"/>
      <c r="J84" s="276"/>
      <c r="K84" s="276"/>
      <c r="L84" s="276"/>
      <c r="M84" s="276"/>
      <c r="N84" s="276"/>
      <c r="O84" s="276"/>
      <c r="P84" s="276"/>
      <c r="Q84" s="276"/>
      <c r="R84" s="276"/>
      <c r="S84" s="276"/>
      <c r="T84" s="276"/>
      <c r="U84" s="276"/>
      <c r="V84" s="276"/>
      <c r="W84" s="277"/>
      <c r="X84" s="277"/>
      <c r="Y84" s="276"/>
      <c r="Z84" s="276"/>
      <c r="AA84" s="276"/>
      <c r="AB84" s="276"/>
      <c r="AC84" s="277"/>
      <c r="AD84" s="277"/>
      <c r="AE84" s="277"/>
      <c r="AF84" s="276"/>
    </row>
    <row r="85" customFormat="false" ht="15.75" hidden="false" customHeight="true" outlineLevel="0" collapsed="false">
      <c r="A85" s="276"/>
      <c r="B85" s="276"/>
      <c r="C85" s="325" t="s">
        <v>1542</v>
      </c>
      <c r="D85" s="276"/>
      <c r="E85" s="276"/>
      <c r="F85" s="296"/>
      <c r="G85" s="276"/>
      <c r="H85" s="276"/>
      <c r="I85" s="276"/>
      <c r="J85" s="276"/>
      <c r="K85" s="276"/>
      <c r="L85" s="276"/>
      <c r="M85" s="276"/>
      <c r="N85" s="276"/>
      <c r="O85" s="276"/>
      <c r="P85" s="276"/>
      <c r="Q85" s="276"/>
      <c r="R85" s="276"/>
      <c r="S85" s="276"/>
      <c r="T85" s="276"/>
      <c r="U85" s="276"/>
      <c r="V85" s="276"/>
      <c r="W85" s="277"/>
      <c r="X85" s="277"/>
      <c r="Y85" s="276"/>
      <c r="Z85" s="276"/>
      <c r="AA85" s="276"/>
      <c r="AB85" s="276"/>
      <c r="AC85" s="277"/>
      <c r="AD85" s="277"/>
      <c r="AE85" s="277"/>
      <c r="AF85" s="276"/>
    </row>
    <row r="86" customFormat="false" ht="15.75" hidden="false" customHeight="true" outlineLevel="0" collapsed="false">
      <c r="A86" s="276"/>
      <c r="B86" s="276"/>
      <c r="C86" s="326" t="str">
        <f aca="false">B21</f>
        <v>M28261</v>
      </c>
      <c r="D86" s="326"/>
      <c r="E86" s="326"/>
      <c r="F86" s="327" t="str">
        <f aca="false">F40</f>
        <v>H&amp;S CO</v>
      </c>
      <c r="G86" s="327"/>
      <c r="H86" s="327"/>
      <c r="I86" s="327"/>
      <c r="J86" s="327"/>
      <c r="K86" s="327"/>
      <c r="L86" s="327"/>
      <c r="M86" s="327"/>
      <c r="N86" s="328"/>
      <c r="O86" s="329"/>
      <c r="P86" s="329"/>
      <c r="Q86" s="329"/>
      <c r="R86" s="329"/>
      <c r="S86" s="330"/>
      <c r="T86" s="295"/>
      <c r="U86" s="295"/>
      <c r="V86" s="295"/>
      <c r="W86" s="331"/>
      <c r="X86" s="331"/>
      <c r="Y86" s="295"/>
      <c r="Z86" s="295"/>
      <c r="AA86" s="295"/>
      <c r="AB86" s="295"/>
      <c r="AC86" s="332"/>
      <c r="AD86" s="332"/>
      <c r="AE86" s="332"/>
      <c r="AF86" s="276"/>
    </row>
    <row r="87" customFormat="false" ht="15.75" hidden="false" customHeight="true" outlineLevel="0" collapsed="false">
      <c r="A87" s="276"/>
      <c r="B87" s="276"/>
      <c r="C87" s="333" t="s">
        <v>1055</v>
      </c>
      <c r="D87" s="333"/>
      <c r="E87" s="333"/>
      <c r="F87" s="334" t="s">
        <v>13</v>
      </c>
      <c r="G87" s="334"/>
      <c r="H87" s="334"/>
      <c r="I87" s="334"/>
      <c r="J87" s="334"/>
      <c r="K87" s="334"/>
      <c r="L87" s="334"/>
      <c r="M87" s="334"/>
      <c r="N87" s="334"/>
      <c r="O87" s="334"/>
      <c r="P87" s="334"/>
      <c r="Q87" s="334"/>
      <c r="R87" s="334"/>
      <c r="S87" s="334"/>
      <c r="T87" s="334"/>
      <c r="U87" s="335" t="s">
        <v>1543</v>
      </c>
      <c r="V87" s="335"/>
      <c r="W87" s="335" t="s">
        <v>1544</v>
      </c>
      <c r="X87" s="335"/>
      <c r="Y87" s="335" t="s">
        <v>1545</v>
      </c>
      <c r="Z87" s="335"/>
      <c r="AA87" s="335" t="s">
        <v>1546</v>
      </c>
      <c r="AB87" s="335"/>
      <c r="AC87" s="336" t="s">
        <v>1547</v>
      </c>
      <c r="AD87" s="336"/>
      <c r="AE87" s="336"/>
      <c r="AF87" s="276"/>
    </row>
    <row r="88" customFormat="false" ht="15.75" hidden="false" customHeight="true" outlineLevel="0" collapsed="false">
      <c r="A88" s="276"/>
      <c r="B88" s="276"/>
      <c r="C88" s="333"/>
      <c r="D88" s="333"/>
      <c r="E88" s="333"/>
      <c r="F88" s="334"/>
      <c r="G88" s="334"/>
      <c r="H88" s="334"/>
      <c r="I88" s="334"/>
      <c r="J88" s="334"/>
      <c r="K88" s="334"/>
      <c r="L88" s="334"/>
      <c r="M88" s="334"/>
      <c r="N88" s="334"/>
      <c r="O88" s="334"/>
      <c r="P88" s="334"/>
      <c r="Q88" s="334"/>
      <c r="R88" s="334"/>
      <c r="S88" s="334"/>
      <c r="T88" s="334"/>
      <c r="U88" s="335"/>
      <c r="V88" s="335"/>
      <c r="W88" s="335"/>
      <c r="X88" s="335"/>
      <c r="Y88" s="335"/>
      <c r="Z88" s="335"/>
      <c r="AA88" s="335"/>
      <c r="AB88" s="335"/>
      <c r="AC88" s="336"/>
      <c r="AD88" s="336"/>
      <c r="AE88" s="336"/>
      <c r="AF88" s="276"/>
    </row>
    <row r="89" customFormat="false" ht="15.75" hidden="false" customHeight="true" outlineLevel="0" collapsed="false">
      <c r="A89" s="276"/>
      <c r="B89" s="276"/>
      <c r="C89" s="337" t="s">
        <v>1577</v>
      </c>
      <c r="D89" s="338"/>
      <c r="E89" s="338"/>
      <c r="F89" s="339" t="str">
        <f aca="false">IFERROR(VLOOKUP(C89,TE!$H:$Y,2,FALSE()),"(Not on TE)")</f>
        <v>(Not on TE)</v>
      </c>
      <c r="G89" s="338"/>
      <c r="H89" s="338"/>
      <c r="I89" s="338"/>
      <c r="J89" s="338"/>
      <c r="K89" s="338"/>
      <c r="L89" s="338"/>
      <c r="M89" s="338"/>
      <c r="N89" s="338"/>
      <c r="O89" s="338"/>
      <c r="P89" s="338"/>
      <c r="Q89" s="338"/>
      <c r="R89" s="338"/>
      <c r="S89" s="338"/>
      <c r="T89" s="338"/>
      <c r="U89" s="340" t="str">
        <f aca="false">IFERROR(VLOOKUP(C89,TE!$H:$Y,9,FALSE()),"0")</f>
        <v>0</v>
      </c>
      <c r="V89" s="340"/>
      <c r="W89" s="341" t="n">
        <f aca="false">SUMIFS(TE!$O:$O,TE!$G:$G,$C$40,TE!$I:$I,C89,TE!$D:$D,$C$5)</f>
        <v>0</v>
      </c>
      <c r="X89" s="341"/>
      <c r="Y89" s="341" t="str">
        <f aca="false">IFERROR(VLOOKUP(C89,TE!$H:$Y,16,FALSE()),"0")</f>
        <v>0</v>
      </c>
      <c r="Z89" s="341"/>
      <c r="AA89" s="342" t="str">
        <f aca="false">IFERROR(VLOOKUP(C89,TE!$H:$Y,17,FALSE()),"0")</f>
        <v>0</v>
      </c>
      <c r="AB89" s="342"/>
      <c r="AC89" s="343" t="n">
        <f aca="false">IFERROR((W89*Y89*AA89),"")</f>
        <v>0</v>
      </c>
      <c r="AD89" s="343"/>
      <c r="AE89" s="343"/>
      <c r="AF89" s="276"/>
    </row>
    <row r="90" customFormat="false" ht="15.75" hidden="false" customHeight="true" outlineLevel="0" collapsed="false">
      <c r="A90" s="276"/>
      <c r="B90" s="276"/>
      <c r="C90" s="344" t="s">
        <v>1578</v>
      </c>
      <c r="D90" s="338"/>
      <c r="E90" s="338"/>
      <c r="F90" s="339" t="str">
        <f aca="false">IFERROR(VLOOKUP(C90,TE!$H:$Y,2,FALSE()),"(Not on TE)")</f>
        <v>(Not on TE)</v>
      </c>
      <c r="G90" s="338"/>
      <c r="H90" s="338"/>
      <c r="I90" s="338"/>
      <c r="J90" s="338"/>
      <c r="K90" s="338"/>
      <c r="L90" s="338"/>
      <c r="M90" s="338"/>
      <c r="N90" s="338"/>
      <c r="O90" s="338"/>
      <c r="P90" s="338"/>
      <c r="Q90" s="338"/>
      <c r="R90" s="338"/>
      <c r="S90" s="338"/>
      <c r="T90" s="338"/>
      <c r="U90" s="340" t="str">
        <f aca="false">IFERROR(VLOOKUP(C90,TE!$H:$Y,9,FALSE()),"0")</f>
        <v>0</v>
      </c>
      <c r="V90" s="340"/>
      <c r="W90" s="341" t="n">
        <f aca="false">SUMIFS(TE!$O:$O,TE!$G:$G,$C$40,TE!$I:$I,C90,TE!$D:$D,$C$5)</f>
        <v>0</v>
      </c>
      <c r="X90" s="341"/>
      <c r="Y90" s="341" t="str">
        <f aca="false">IFERROR(VLOOKUP(C90,TE!$H:$Y,16,FALSE()),"0")</f>
        <v>0</v>
      </c>
      <c r="Z90" s="341"/>
      <c r="AA90" s="342" t="str">
        <f aca="false">IFERROR(VLOOKUP(C90,TE!$H:$Y,17,FALSE()),"0")</f>
        <v>0</v>
      </c>
      <c r="AB90" s="342"/>
      <c r="AC90" s="343" t="n">
        <f aca="false">IFERROR((W90*Y90*AA90),"")</f>
        <v>0</v>
      </c>
      <c r="AD90" s="343"/>
      <c r="AE90" s="343"/>
      <c r="AF90" s="276"/>
    </row>
    <row r="91" customFormat="false" ht="15.75" hidden="false" customHeight="true" outlineLevel="0" collapsed="false">
      <c r="A91" s="276"/>
      <c r="B91" s="276"/>
      <c r="C91" s="344" t="s">
        <v>1579</v>
      </c>
      <c r="D91" s="338"/>
      <c r="E91" s="338"/>
      <c r="F91" s="339" t="str">
        <f aca="false">IFERROR(VLOOKUP(C91,TE!$H:$Y,2,FALSE()),"(Not on TE)")</f>
        <v>(Not on TE)</v>
      </c>
      <c r="G91" s="338"/>
      <c r="H91" s="338"/>
      <c r="I91" s="338"/>
      <c r="J91" s="338"/>
      <c r="K91" s="338"/>
      <c r="L91" s="338"/>
      <c r="M91" s="338"/>
      <c r="N91" s="338"/>
      <c r="O91" s="338"/>
      <c r="P91" s="338"/>
      <c r="Q91" s="338"/>
      <c r="R91" s="338"/>
      <c r="S91" s="338"/>
      <c r="T91" s="338"/>
      <c r="U91" s="340" t="str">
        <f aca="false">IFERROR(VLOOKUP(C91,TE!$H:$Y,9,FALSE()),"0")</f>
        <v>0</v>
      </c>
      <c r="V91" s="340"/>
      <c r="W91" s="341" t="n">
        <f aca="false">SUMIFS(TE!$O:$O,TE!$G:$G,$C$40,TE!$I:$I,C91,TE!$D:$D,$C$5)</f>
        <v>0</v>
      </c>
      <c r="X91" s="341"/>
      <c r="Y91" s="341" t="str">
        <f aca="false">IFERROR(VLOOKUP(C91,TE!$H:$Y,16,FALSE()),"0")</f>
        <v>0</v>
      </c>
      <c r="Z91" s="341"/>
      <c r="AA91" s="342" t="str">
        <f aca="false">IFERROR(VLOOKUP(C91,TE!$H:$Y,17,FALSE()),"0")</f>
        <v>0</v>
      </c>
      <c r="AB91" s="342"/>
      <c r="AC91" s="343" t="n">
        <f aca="false">IFERROR((W91*Y91*AA91),"")</f>
        <v>0</v>
      </c>
      <c r="AD91" s="343"/>
      <c r="AE91" s="343"/>
      <c r="AF91" s="276"/>
    </row>
    <row r="92" customFormat="false" ht="15.75" hidden="false" customHeight="true" outlineLevel="0" collapsed="false">
      <c r="A92" s="276"/>
      <c r="B92" s="276"/>
      <c r="C92" s="344" t="s">
        <v>1580</v>
      </c>
      <c r="D92" s="338"/>
      <c r="E92" s="338"/>
      <c r="F92" s="339" t="str">
        <f aca="false">IFERROR(VLOOKUP(C92,TE!$H:$Y,2,FALSE()),"(Not on TE)")</f>
        <v>(Not on TE)</v>
      </c>
      <c r="G92" s="338"/>
      <c r="H92" s="338"/>
      <c r="I92" s="338"/>
      <c r="J92" s="338"/>
      <c r="K92" s="338"/>
      <c r="L92" s="338"/>
      <c r="M92" s="338"/>
      <c r="N92" s="338"/>
      <c r="O92" s="338"/>
      <c r="P92" s="338"/>
      <c r="Q92" s="338"/>
      <c r="R92" s="338"/>
      <c r="S92" s="338"/>
      <c r="T92" s="338"/>
      <c r="U92" s="340" t="str">
        <f aca="false">IFERROR(VLOOKUP(C92,TE!$H:$Y,9,FALSE()),"0")</f>
        <v>0</v>
      </c>
      <c r="V92" s="340"/>
      <c r="W92" s="341" t="n">
        <f aca="false">SUMIFS(TE!$O:$O,TE!$G:$G,$C$40,TE!$I:$I,C92,TE!$D:$D,$C$5)</f>
        <v>0</v>
      </c>
      <c r="X92" s="341"/>
      <c r="Y92" s="341" t="str">
        <f aca="false">IFERROR(VLOOKUP(C92,TE!$H:$Y,16,FALSE()),"0")</f>
        <v>0</v>
      </c>
      <c r="Z92" s="341"/>
      <c r="AA92" s="342" t="str">
        <f aca="false">IFERROR(VLOOKUP(C92,TE!$H:$Y,17,FALSE()),"0")</f>
        <v>0</v>
      </c>
      <c r="AB92" s="342"/>
      <c r="AC92" s="343" t="n">
        <f aca="false">IFERROR((W92*Y92*AA92),"")</f>
        <v>0</v>
      </c>
      <c r="AD92" s="343"/>
      <c r="AE92" s="343"/>
      <c r="AF92" s="276"/>
    </row>
    <row r="93" customFormat="false" ht="15.75" hidden="false" customHeight="true" outlineLevel="0" collapsed="false">
      <c r="A93" s="276"/>
      <c r="B93" s="276"/>
      <c r="C93" s="344" t="s">
        <v>1581</v>
      </c>
      <c r="D93" s="338"/>
      <c r="E93" s="338"/>
      <c r="F93" s="339" t="str">
        <f aca="false">IFERROR(VLOOKUP(C93,TE!$H:$Y,2,FALSE()),"(Not on TE)")</f>
        <v>(Not on TE)</v>
      </c>
      <c r="G93" s="338"/>
      <c r="H93" s="338"/>
      <c r="I93" s="338"/>
      <c r="J93" s="338"/>
      <c r="K93" s="338"/>
      <c r="L93" s="338"/>
      <c r="M93" s="338"/>
      <c r="N93" s="338"/>
      <c r="O93" s="338"/>
      <c r="P93" s="338"/>
      <c r="Q93" s="338"/>
      <c r="R93" s="338"/>
      <c r="S93" s="338"/>
      <c r="T93" s="338"/>
      <c r="U93" s="340" t="str">
        <f aca="false">IFERROR(VLOOKUP(C93,TE!$H:$Y,9,FALSE()),"0")</f>
        <v>0</v>
      </c>
      <c r="V93" s="340"/>
      <c r="W93" s="341" t="n">
        <f aca="false">SUMIFS(TE!$O:$O,TE!$G:$G,$C$40,TE!$I:$I,C93,TE!$D:$D,$C$5)</f>
        <v>0</v>
      </c>
      <c r="X93" s="341"/>
      <c r="Y93" s="341" t="str">
        <f aca="false">IFERROR(VLOOKUP(C93,TE!$H:$Y,16,FALSE()),"0")</f>
        <v>0</v>
      </c>
      <c r="Z93" s="341"/>
      <c r="AA93" s="342" t="str">
        <f aca="false">IFERROR(VLOOKUP(C93,TE!$H:$Y,17,FALSE()),"0")</f>
        <v>0</v>
      </c>
      <c r="AB93" s="342"/>
      <c r="AC93" s="343" t="n">
        <f aca="false">IFERROR((W93*Y93*AA93),"")</f>
        <v>0</v>
      </c>
      <c r="AD93" s="343"/>
      <c r="AE93" s="343"/>
      <c r="AF93" s="276"/>
    </row>
    <row r="94" customFormat="false" ht="15.75" hidden="false" customHeight="true" outlineLevel="0" collapsed="false">
      <c r="A94" s="276"/>
      <c r="B94" s="276"/>
      <c r="C94" s="344" t="s">
        <v>1132</v>
      </c>
      <c r="D94" s="338"/>
      <c r="E94" s="338"/>
      <c r="F94" s="339" t="str">
        <f aca="false">IFERROR(VLOOKUP(C94,TE!$H:$Y,2,FALSE()),"(Not on TE)")</f>
        <v>(Not on TE)</v>
      </c>
      <c r="G94" s="338"/>
      <c r="H94" s="338"/>
      <c r="I94" s="338"/>
      <c r="J94" s="338"/>
      <c r="K94" s="338"/>
      <c r="L94" s="338"/>
      <c r="M94" s="338"/>
      <c r="N94" s="338"/>
      <c r="O94" s="338"/>
      <c r="P94" s="338"/>
      <c r="Q94" s="338"/>
      <c r="R94" s="338"/>
      <c r="S94" s="338"/>
      <c r="T94" s="338"/>
      <c r="U94" s="340" t="str">
        <f aca="false">IFERROR(VLOOKUP(C94,TE!$H:$Y,9,FALSE()),"0")</f>
        <v>0</v>
      </c>
      <c r="V94" s="340"/>
      <c r="W94" s="341" t="n">
        <f aca="false">SUMIFS(TE!$O:$O,TE!$G:$G,$C$40,TE!$I:$I,C94,TE!$D:$D,$C$5)</f>
        <v>21</v>
      </c>
      <c r="X94" s="341"/>
      <c r="Y94" s="341" t="str">
        <f aca="false">IFERROR(VLOOKUP(C94,TE!$H:$Y,16,FALSE()),"0")</f>
        <v>0</v>
      </c>
      <c r="Z94" s="341"/>
      <c r="AA94" s="342" t="str">
        <f aca="false">IFERROR(VLOOKUP(C94,TE!$H:$Y,17,FALSE()),"0")</f>
        <v>0</v>
      </c>
      <c r="AB94" s="342"/>
      <c r="AC94" s="343" t="n">
        <f aca="false">IFERROR((W94*Y94*AA94),"")</f>
        <v>0</v>
      </c>
      <c r="AD94" s="343"/>
      <c r="AE94" s="343"/>
      <c r="AF94" s="276"/>
    </row>
    <row r="95" customFormat="false" ht="15.75" hidden="false" customHeight="true" outlineLevel="0" collapsed="false">
      <c r="A95" s="276"/>
      <c r="B95" s="276"/>
      <c r="C95" s="344" t="s">
        <v>1582</v>
      </c>
      <c r="D95" s="338"/>
      <c r="E95" s="338"/>
      <c r="F95" s="339" t="str">
        <f aca="false">IFERROR(VLOOKUP(C95,TE!$H:$Y,2,FALSE()),"(Not on TE)")</f>
        <v>(Not on TE)</v>
      </c>
      <c r="G95" s="338"/>
      <c r="H95" s="338"/>
      <c r="I95" s="338"/>
      <c r="J95" s="338"/>
      <c r="K95" s="338"/>
      <c r="L95" s="338"/>
      <c r="M95" s="338"/>
      <c r="N95" s="338"/>
      <c r="O95" s="338"/>
      <c r="P95" s="338"/>
      <c r="Q95" s="338"/>
      <c r="R95" s="338"/>
      <c r="S95" s="338"/>
      <c r="T95" s="338"/>
      <c r="U95" s="340" t="str">
        <f aca="false">IFERROR(VLOOKUP(C95,TE!$H:$Y,9,FALSE()),"0")</f>
        <v>0</v>
      </c>
      <c r="V95" s="340"/>
      <c r="W95" s="341" t="n">
        <f aca="false">SUMIFS(TE!$O:$O,TE!$G:$G,$C$40,TE!$I:$I,C95,TE!$D:$D,$C$5)</f>
        <v>0</v>
      </c>
      <c r="X95" s="341"/>
      <c r="Y95" s="341" t="str">
        <f aca="false">IFERROR(VLOOKUP(C95,TE!$H:$Y,16,FALSE()),"0")</f>
        <v>0</v>
      </c>
      <c r="Z95" s="341"/>
      <c r="AA95" s="342" t="str">
        <f aca="false">IFERROR(VLOOKUP(C95,TE!$H:$Y,17,FALSE()),"0")</f>
        <v>0</v>
      </c>
      <c r="AB95" s="342"/>
      <c r="AC95" s="343" t="n">
        <f aca="false">IFERROR((W95*Y95*AA95),"")</f>
        <v>0</v>
      </c>
      <c r="AD95" s="343"/>
      <c r="AE95" s="343"/>
      <c r="AF95" s="276"/>
    </row>
    <row r="96" customFormat="false" ht="15.75" hidden="false" customHeight="true" outlineLevel="0" collapsed="false">
      <c r="A96" s="276"/>
      <c r="B96" s="276"/>
      <c r="C96" s="344" t="s">
        <v>1583</v>
      </c>
      <c r="D96" s="338"/>
      <c r="E96" s="338"/>
      <c r="F96" s="339" t="str">
        <f aca="false">IFERROR(VLOOKUP(C96,TE!$H:$Y,2,FALSE()),"(Not on TE)")</f>
        <v>(Not on TE)</v>
      </c>
      <c r="G96" s="338"/>
      <c r="H96" s="338"/>
      <c r="I96" s="338"/>
      <c r="J96" s="338"/>
      <c r="K96" s="338"/>
      <c r="L96" s="338"/>
      <c r="M96" s="338"/>
      <c r="N96" s="338"/>
      <c r="O96" s="338"/>
      <c r="P96" s="338"/>
      <c r="Q96" s="338"/>
      <c r="R96" s="338"/>
      <c r="S96" s="338"/>
      <c r="T96" s="338"/>
      <c r="U96" s="340" t="str">
        <f aca="false">IFERROR(VLOOKUP(C96,TE!$H:$Y,9,FALSE()),"0")</f>
        <v>0</v>
      </c>
      <c r="V96" s="340"/>
      <c r="W96" s="341" t="n">
        <f aca="false">SUMIFS(TE!$O:$O,TE!$G:$G,$C$40,TE!$I:$I,C96,TE!$D:$D,$C$5)</f>
        <v>0</v>
      </c>
      <c r="X96" s="341"/>
      <c r="Y96" s="341" t="str">
        <f aca="false">IFERROR(VLOOKUP(C96,TE!$H:$Y,16,FALSE()),"0")</f>
        <v>0</v>
      </c>
      <c r="Z96" s="341"/>
      <c r="AA96" s="342" t="str">
        <f aca="false">IFERROR(VLOOKUP(C96,TE!$H:$Y,17,FALSE()),"0")</f>
        <v>0</v>
      </c>
      <c r="AB96" s="342"/>
      <c r="AC96" s="343" t="n">
        <f aca="false">IFERROR((W96*Y96*AA96),"")</f>
        <v>0</v>
      </c>
      <c r="AD96" s="343"/>
      <c r="AE96" s="343"/>
      <c r="AF96" s="276"/>
    </row>
    <row r="97" customFormat="false" ht="15.75" hidden="false" customHeight="true" outlineLevel="0" collapsed="false">
      <c r="A97" s="276"/>
      <c r="B97" s="276"/>
      <c r="C97" s="344" t="s">
        <v>1584</v>
      </c>
      <c r="D97" s="338"/>
      <c r="E97" s="338"/>
      <c r="F97" s="339" t="str">
        <f aca="false">IFERROR(VLOOKUP(C97,TE!$H:$Y,2,FALSE()),"(Not on TE)")</f>
        <v>(Not on TE)</v>
      </c>
      <c r="G97" s="338"/>
      <c r="H97" s="338"/>
      <c r="I97" s="338"/>
      <c r="J97" s="338"/>
      <c r="K97" s="338"/>
      <c r="L97" s="338"/>
      <c r="M97" s="338"/>
      <c r="N97" s="338"/>
      <c r="O97" s="338"/>
      <c r="P97" s="338"/>
      <c r="Q97" s="338"/>
      <c r="R97" s="338"/>
      <c r="S97" s="338"/>
      <c r="T97" s="338"/>
      <c r="U97" s="340" t="str">
        <f aca="false">IFERROR(VLOOKUP(C97,TE!$H:$Y,9,FALSE()),"0")</f>
        <v>0</v>
      </c>
      <c r="V97" s="340"/>
      <c r="W97" s="341" t="n">
        <f aca="false">SUMIFS(TE!$O:$O,TE!$G:$G,$C$40,TE!$I:$I,C97,TE!$D:$D,$C$5)</f>
        <v>0</v>
      </c>
      <c r="X97" s="341"/>
      <c r="Y97" s="341" t="str">
        <f aca="false">IFERROR(VLOOKUP(C97,TE!$H:$Y,16,FALSE()),"0")</f>
        <v>0</v>
      </c>
      <c r="Z97" s="341"/>
      <c r="AA97" s="342" t="str">
        <f aca="false">IFERROR(VLOOKUP(C97,TE!$H:$Y,17,FALSE()),"0")</f>
        <v>0</v>
      </c>
      <c r="AB97" s="342"/>
      <c r="AC97" s="343" t="n">
        <f aca="false">IFERROR((W97*Y97*AA97),"")</f>
        <v>0</v>
      </c>
      <c r="AD97" s="343"/>
      <c r="AE97" s="343"/>
      <c r="AF97" s="276"/>
    </row>
    <row r="98" customFormat="false" ht="15.75" hidden="false" customHeight="true" outlineLevel="0" collapsed="false">
      <c r="A98" s="276"/>
      <c r="B98" s="276"/>
      <c r="C98" s="344" t="s">
        <v>1585</v>
      </c>
      <c r="D98" s="338"/>
      <c r="E98" s="338"/>
      <c r="F98" s="339" t="str">
        <f aca="false">IFERROR(VLOOKUP(C98,TE!$H:$Y,2,FALSE()),"(Not on TE)")</f>
        <v>(Not on TE)</v>
      </c>
      <c r="G98" s="338"/>
      <c r="H98" s="338"/>
      <c r="I98" s="338"/>
      <c r="J98" s="338"/>
      <c r="K98" s="338"/>
      <c r="L98" s="338"/>
      <c r="M98" s="338"/>
      <c r="N98" s="338"/>
      <c r="O98" s="338"/>
      <c r="P98" s="338"/>
      <c r="Q98" s="338"/>
      <c r="R98" s="338"/>
      <c r="S98" s="338"/>
      <c r="T98" s="338"/>
      <c r="U98" s="340" t="str">
        <f aca="false">IFERROR(VLOOKUP(C98,TE!$H:$Y,9,FALSE()),"0")</f>
        <v>0</v>
      </c>
      <c r="V98" s="340"/>
      <c r="W98" s="341" t="n">
        <f aca="false">SUMIFS(TE!$O:$O,TE!$G:$G,$C$40,TE!$I:$I,C98,TE!$D:$D,$C$5)</f>
        <v>0</v>
      </c>
      <c r="X98" s="341"/>
      <c r="Y98" s="341" t="str">
        <f aca="false">IFERROR(VLOOKUP(C98,TE!$H:$Y,16,FALSE()),"0")</f>
        <v>0</v>
      </c>
      <c r="Z98" s="341"/>
      <c r="AA98" s="342" t="str">
        <f aca="false">IFERROR(VLOOKUP(C98,TE!$H:$Y,17,FALSE()),"0")</f>
        <v>0</v>
      </c>
      <c r="AB98" s="342"/>
      <c r="AC98" s="343" t="n">
        <f aca="false">IFERROR((W98*Y98*AA98),"")</f>
        <v>0</v>
      </c>
      <c r="AD98" s="343"/>
      <c r="AE98" s="343"/>
      <c r="AF98" s="276"/>
    </row>
    <row r="99" customFormat="false" ht="15.75" hidden="false" customHeight="true" outlineLevel="0" collapsed="false">
      <c r="A99" s="276"/>
      <c r="B99" s="276"/>
      <c r="C99" s="344" t="s">
        <v>1450</v>
      </c>
      <c r="D99" s="338"/>
      <c r="E99" s="338"/>
      <c r="F99" s="339" t="str">
        <f aca="false">IFERROR(VLOOKUP(C99,TE!$H:$Y,2,FALSE()),"(Not on TE)")</f>
        <v>(Not on TE)</v>
      </c>
      <c r="G99" s="338"/>
      <c r="H99" s="338"/>
      <c r="I99" s="338"/>
      <c r="J99" s="338"/>
      <c r="K99" s="338"/>
      <c r="L99" s="338"/>
      <c r="M99" s="338"/>
      <c r="N99" s="338"/>
      <c r="O99" s="338"/>
      <c r="P99" s="338"/>
      <c r="Q99" s="338"/>
      <c r="R99" s="338"/>
      <c r="S99" s="338"/>
      <c r="T99" s="338"/>
      <c r="U99" s="340" t="str">
        <f aca="false">IFERROR(VLOOKUP(C99,TE!$H:$Y,9,FALSE()),"0")</f>
        <v>0</v>
      </c>
      <c r="V99" s="340"/>
      <c r="W99" s="341" t="n">
        <f aca="false">SUMIFS(TE!$O:$O,TE!$G:$G,$C$40,TE!$I:$I,C99,TE!$D:$D,$C$5)</f>
        <v>6</v>
      </c>
      <c r="X99" s="341"/>
      <c r="Y99" s="341" t="str">
        <f aca="false">IFERROR(VLOOKUP(C99,TE!$H:$Y,16,FALSE()),"0")</f>
        <v>0</v>
      </c>
      <c r="Z99" s="341"/>
      <c r="AA99" s="342" t="str">
        <f aca="false">IFERROR(VLOOKUP(C99,TE!$H:$Y,17,FALSE()),"0")</f>
        <v>0</v>
      </c>
      <c r="AB99" s="342"/>
      <c r="AC99" s="343" t="n">
        <f aca="false">IFERROR((W99*Y99*AA99),"")</f>
        <v>0</v>
      </c>
      <c r="AD99" s="343"/>
      <c r="AE99" s="343"/>
      <c r="AF99" s="276"/>
    </row>
    <row r="100" customFormat="false" ht="15.75" hidden="false" customHeight="true" outlineLevel="0" collapsed="false">
      <c r="A100" s="276"/>
      <c r="B100" s="276"/>
      <c r="C100" s="344" t="s">
        <v>1586</v>
      </c>
      <c r="D100" s="338"/>
      <c r="E100" s="338"/>
      <c r="F100" s="339" t="str">
        <f aca="false">IFERROR(VLOOKUP(C100,TE!$H:$Y,2,FALSE()),"(Not on TE)")</f>
        <v>(Not on TE)</v>
      </c>
      <c r="G100" s="338"/>
      <c r="H100" s="338"/>
      <c r="I100" s="338"/>
      <c r="J100" s="338"/>
      <c r="K100" s="338"/>
      <c r="L100" s="338"/>
      <c r="M100" s="338"/>
      <c r="N100" s="338"/>
      <c r="O100" s="338"/>
      <c r="P100" s="338"/>
      <c r="Q100" s="338"/>
      <c r="R100" s="338"/>
      <c r="S100" s="338"/>
      <c r="T100" s="338"/>
      <c r="U100" s="340" t="str">
        <f aca="false">IFERROR(VLOOKUP(C100,TE!$H:$Y,9,FALSE()),"0")</f>
        <v>0</v>
      </c>
      <c r="V100" s="340"/>
      <c r="W100" s="341" t="n">
        <f aca="false">SUMIFS(TE!$O:$O,TE!$G:$G,$C$40,TE!$I:$I,C100,TE!$D:$D,$C$5)</f>
        <v>0</v>
      </c>
      <c r="X100" s="341"/>
      <c r="Y100" s="341" t="str">
        <f aca="false">IFERROR(VLOOKUP(C100,TE!$H:$Y,16,FALSE()),"0")</f>
        <v>0</v>
      </c>
      <c r="Z100" s="341"/>
      <c r="AA100" s="342" t="str">
        <f aca="false">IFERROR(VLOOKUP(C100,TE!$H:$Y,17,FALSE()),"0")</f>
        <v>0</v>
      </c>
      <c r="AB100" s="342"/>
      <c r="AC100" s="343" t="n">
        <f aca="false">IFERROR((W100*Y100*AA100),"")</f>
        <v>0</v>
      </c>
      <c r="AD100" s="343"/>
      <c r="AE100" s="343"/>
      <c r="AF100" s="276"/>
    </row>
    <row r="101" customFormat="false" ht="15.75" hidden="false" customHeight="true" outlineLevel="0" collapsed="false">
      <c r="A101" s="276"/>
      <c r="B101" s="276"/>
      <c r="C101" s="344" t="s">
        <v>1587</v>
      </c>
      <c r="D101" s="338"/>
      <c r="E101" s="338"/>
      <c r="F101" s="339" t="str">
        <f aca="false">IFERROR(VLOOKUP(C101,TE!$H:$Y,2,FALSE()),"(Not on TE)")</f>
        <v>(Not on TE)</v>
      </c>
      <c r="G101" s="338"/>
      <c r="H101" s="338"/>
      <c r="I101" s="338"/>
      <c r="J101" s="338"/>
      <c r="K101" s="338"/>
      <c r="L101" s="338"/>
      <c r="M101" s="338"/>
      <c r="N101" s="338"/>
      <c r="O101" s="338"/>
      <c r="P101" s="338"/>
      <c r="Q101" s="338"/>
      <c r="R101" s="338"/>
      <c r="S101" s="338"/>
      <c r="T101" s="338"/>
      <c r="U101" s="340" t="str">
        <f aca="false">IFERROR(VLOOKUP(C101,TE!$H:$Y,9,FALSE()),"0")</f>
        <v>0</v>
      </c>
      <c r="V101" s="340"/>
      <c r="W101" s="341" t="n">
        <f aca="false">SUMIFS(TE!$O:$O,TE!$G:$G,$C$40,TE!$I:$I,C101,TE!$D:$D,$C$5)</f>
        <v>0</v>
      </c>
      <c r="X101" s="341"/>
      <c r="Y101" s="341" t="str">
        <f aca="false">IFERROR(VLOOKUP(C101,TE!$H:$Y,16,FALSE()),"0")</f>
        <v>0</v>
      </c>
      <c r="Z101" s="341"/>
      <c r="AA101" s="342" t="str">
        <f aca="false">IFERROR(VLOOKUP(C101,TE!$H:$Y,17,FALSE()),"0")</f>
        <v>0</v>
      </c>
      <c r="AB101" s="342"/>
      <c r="AC101" s="343" t="n">
        <f aca="false">IFERROR((W101*Y101*AA101),"")</f>
        <v>0</v>
      </c>
      <c r="AD101" s="343"/>
      <c r="AE101" s="343"/>
      <c r="AF101" s="276"/>
    </row>
    <row r="102" customFormat="false" ht="15.75" hidden="false" customHeight="true" outlineLevel="0" collapsed="false">
      <c r="A102" s="276"/>
      <c r="B102" s="276"/>
      <c r="C102" s="344" t="s">
        <v>1436</v>
      </c>
      <c r="D102" s="338"/>
      <c r="E102" s="338"/>
      <c r="F102" s="339" t="str">
        <f aca="false">IFERROR(VLOOKUP(C102,TE!$H:$Y,2,FALSE()),"(Not on TE)")</f>
        <v>(Not on TE)</v>
      </c>
      <c r="G102" s="338"/>
      <c r="H102" s="338"/>
      <c r="I102" s="338"/>
      <c r="J102" s="338"/>
      <c r="K102" s="338"/>
      <c r="L102" s="338"/>
      <c r="M102" s="338"/>
      <c r="N102" s="338"/>
      <c r="O102" s="338"/>
      <c r="P102" s="338"/>
      <c r="Q102" s="338"/>
      <c r="R102" s="338"/>
      <c r="S102" s="338"/>
      <c r="T102" s="338"/>
      <c r="U102" s="340" t="str">
        <f aca="false">IFERROR(VLOOKUP(C102,TE!$H:$Y,9,FALSE()),"0")</f>
        <v>0</v>
      </c>
      <c r="V102" s="340"/>
      <c r="W102" s="341" t="n">
        <f aca="false">SUMIFS(TE!$O:$O,TE!$G:$G,$C$40,TE!$I:$I,C102,TE!$D:$D,$C$5)</f>
        <v>3</v>
      </c>
      <c r="X102" s="341"/>
      <c r="Y102" s="341" t="str">
        <f aca="false">IFERROR(VLOOKUP(C102,TE!$H:$Y,16,FALSE()),"0")</f>
        <v>0</v>
      </c>
      <c r="Z102" s="341"/>
      <c r="AA102" s="342" t="str">
        <f aca="false">IFERROR(VLOOKUP(C102,TE!$H:$Y,17,FALSE()),"0")</f>
        <v>0</v>
      </c>
      <c r="AB102" s="342"/>
      <c r="AC102" s="343" t="n">
        <f aca="false">IFERROR((W102*Y102*AA102),"")</f>
        <v>0</v>
      </c>
      <c r="AD102" s="343"/>
      <c r="AE102" s="343"/>
      <c r="AF102" s="276"/>
    </row>
    <row r="103" customFormat="false" ht="15.75" hidden="false" customHeight="true" outlineLevel="0" collapsed="false">
      <c r="A103" s="276"/>
      <c r="B103" s="276"/>
      <c r="C103" s="344" t="s">
        <v>1588</v>
      </c>
      <c r="D103" s="338"/>
      <c r="E103" s="338"/>
      <c r="F103" s="339" t="str">
        <f aca="false">IFERROR(VLOOKUP(C103,TE!$H:$Y,2,FALSE()),"(Not on TE)")</f>
        <v>(Not on TE)</v>
      </c>
      <c r="G103" s="338"/>
      <c r="H103" s="338"/>
      <c r="I103" s="338"/>
      <c r="J103" s="338"/>
      <c r="K103" s="338"/>
      <c r="L103" s="338"/>
      <c r="M103" s="338"/>
      <c r="N103" s="338"/>
      <c r="O103" s="338"/>
      <c r="P103" s="338"/>
      <c r="Q103" s="338"/>
      <c r="R103" s="338"/>
      <c r="S103" s="338"/>
      <c r="T103" s="338"/>
      <c r="U103" s="340" t="str">
        <f aca="false">IFERROR(VLOOKUP(C103,TE!$H:$Y,9,FALSE()),"0")</f>
        <v>0</v>
      </c>
      <c r="V103" s="340"/>
      <c r="W103" s="341" t="n">
        <f aca="false">SUMIFS(TE!$O:$O,TE!$G:$G,$C$40,TE!$I:$I,C103,TE!$D:$D,$C$5)</f>
        <v>0</v>
      </c>
      <c r="X103" s="341"/>
      <c r="Y103" s="341" t="str">
        <f aca="false">IFERROR(VLOOKUP(C103,TE!$H:$Y,16,FALSE()),"0")</f>
        <v>0</v>
      </c>
      <c r="Z103" s="341"/>
      <c r="AA103" s="342" t="str">
        <f aca="false">IFERROR(VLOOKUP(C103,TE!$H:$Y,17,FALSE()),"0")</f>
        <v>0</v>
      </c>
      <c r="AB103" s="342"/>
      <c r="AC103" s="343" t="n">
        <f aca="false">IFERROR((W103*Y103*AA103),"")</f>
        <v>0</v>
      </c>
      <c r="AD103" s="343"/>
      <c r="AE103" s="343"/>
      <c r="AF103" s="276"/>
    </row>
    <row r="104" customFormat="false" ht="15.75" hidden="false" customHeight="true" outlineLevel="0" collapsed="false">
      <c r="A104" s="276"/>
      <c r="B104" s="276"/>
      <c r="C104" s="344" t="s">
        <v>1589</v>
      </c>
      <c r="D104" s="338"/>
      <c r="E104" s="338"/>
      <c r="F104" s="339" t="str">
        <f aca="false">IFERROR(VLOOKUP(C104,TE!$H:$Y,2,FALSE()),"(Not on TE)")</f>
        <v>(Not on TE)</v>
      </c>
      <c r="G104" s="338"/>
      <c r="H104" s="338"/>
      <c r="I104" s="338"/>
      <c r="J104" s="338"/>
      <c r="K104" s="338"/>
      <c r="L104" s="338"/>
      <c r="M104" s="338"/>
      <c r="N104" s="338"/>
      <c r="O104" s="338"/>
      <c r="P104" s="338"/>
      <c r="Q104" s="338"/>
      <c r="R104" s="338"/>
      <c r="S104" s="338"/>
      <c r="T104" s="338"/>
      <c r="U104" s="340" t="str">
        <f aca="false">IFERROR(VLOOKUP(C104,TE!$H:$Y,9,FALSE()),"0")</f>
        <v>0</v>
      </c>
      <c r="V104" s="340"/>
      <c r="W104" s="341" t="n">
        <f aca="false">SUMIFS(TE!$O:$O,TE!$G:$G,$C$40,TE!$I:$I,C104,TE!$D:$D,$C$5)</f>
        <v>0</v>
      </c>
      <c r="X104" s="341"/>
      <c r="Y104" s="341" t="str">
        <f aca="false">IFERROR(VLOOKUP(C104,TE!$H:$Y,16,FALSE()),"0")</f>
        <v>0</v>
      </c>
      <c r="Z104" s="341"/>
      <c r="AA104" s="342" t="str">
        <f aca="false">IFERROR(VLOOKUP(C104,TE!$H:$Y,17,FALSE()),"0")</f>
        <v>0</v>
      </c>
      <c r="AB104" s="342"/>
      <c r="AC104" s="343" t="n">
        <f aca="false">IFERROR((W104*Y104*AA104),"")</f>
        <v>0</v>
      </c>
      <c r="AD104" s="343"/>
      <c r="AE104" s="343"/>
      <c r="AF104" s="276"/>
    </row>
    <row r="105" customFormat="false" ht="15.75" hidden="false" customHeight="true" outlineLevel="0" collapsed="false">
      <c r="A105" s="276"/>
      <c r="B105" s="276"/>
      <c r="C105" s="344" t="s">
        <v>1590</v>
      </c>
      <c r="D105" s="338"/>
      <c r="E105" s="338"/>
      <c r="F105" s="339" t="str">
        <f aca="false">IFERROR(VLOOKUP(C105,TE!$H:$Y,2,FALSE()),"(Not on TE)")</f>
        <v>(Not on TE)</v>
      </c>
      <c r="G105" s="338"/>
      <c r="H105" s="338"/>
      <c r="I105" s="338"/>
      <c r="J105" s="338"/>
      <c r="K105" s="338"/>
      <c r="L105" s="338"/>
      <c r="M105" s="338"/>
      <c r="N105" s="338"/>
      <c r="O105" s="338"/>
      <c r="P105" s="338"/>
      <c r="Q105" s="338"/>
      <c r="R105" s="338"/>
      <c r="S105" s="338"/>
      <c r="T105" s="338"/>
      <c r="U105" s="340" t="str">
        <f aca="false">IFERROR(VLOOKUP(C105,TE!$H:$Y,9,FALSE()),"0")</f>
        <v>0</v>
      </c>
      <c r="V105" s="340"/>
      <c r="W105" s="341" t="n">
        <f aca="false">SUMIFS(TE!$O:$O,TE!$G:$G,$C$40,TE!$I:$I,C105,TE!$D:$D,$C$5)</f>
        <v>0</v>
      </c>
      <c r="X105" s="341"/>
      <c r="Y105" s="341" t="str">
        <f aca="false">IFERROR(VLOOKUP(C105,TE!$H:$Y,16,FALSE()),"0")</f>
        <v>0</v>
      </c>
      <c r="Z105" s="341"/>
      <c r="AA105" s="342" t="str">
        <f aca="false">IFERROR(VLOOKUP(C105,TE!$H:$Y,17,FALSE()),"0")</f>
        <v>0</v>
      </c>
      <c r="AB105" s="342"/>
      <c r="AC105" s="343" t="n">
        <f aca="false">IFERROR((W105*Y105*AA105),"")</f>
        <v>0</v>
      </c>
      <c r="AD105" s="343"/>
      <c r="AE105" s="343"/>
      <c r="AF105" s="276"/>
    </row>
    <row r="106" customFormat="false" ht="15.75" hidden="false" customHeight="true" outlineLevel="0" collapsed="false">
      <c r="A106" s="276"/>
      <c r="B106" s="276"/>
      <c r="C106" s="344" t="s">
        <v>1591</v>
      </c>
      <c r="D106" s="338"/>
      <c r="E106" s="338"/>
      <c r="F106" s="339" t="str">
        <f aca="false">IFERROR(VLOOKUP(C106,TE!$H:$Y,2,FALSE()),"(Not on TE)")</f>
        <v>(Not on TE)</v>
      </c>
      <c r="G106" s="338"/>
      <c r="H106" s="338"/>
      <c r="I106" s="338"/>
      <c r="J106" s="338"/>
      <c r="K106" s="338"/>
      <c r="L106" s="338"/>
      <c r="M106" s="338"/>
      <c r="N106" s="338"/>
      <c r="O106" s="338"/>
      <c r="P106" s="338"/>
      <c r="Q106" s="338"/>
      <c r="R106" s="338"/>
      <c r="S106" s="338"/>
      <c r="T106" s="338"/>
      <c r="U106" s="340" t="str">
        <f aca="false">IFERROR(VLOOKUP(C106,TE!$H:$Y,9,FALSE()),"0")</f>
        <v>0</v>
      </c>
      <c r="V106" s="340"/>
      <c r="W106" s="341" t="n">
        <f aca="false">SUMIFS(TE!$O:$O,TE!$G:$G,$C$40,TE!$I:$I,C106,TE!$D:$D,$C$5)</f>
        <v>0</v>
      </c>
      <c r="X106" s="341"/>
      <c r="Y106" s="341" t="str">
        <f aca="false">IFERROR(VLOOKUP(C106,TE!$H:$Y,16,FALSE()),"0")</f>
        <v>0</v>
      </c>
      <c r="Z106" s="341"/>
      <c r="AA106" s="342" t="str">
        <f aca="false">IFERROR(VLOOKUP(C106,TE!$H:$Y,17,FALSE()),"0")</f>
        <v>0</v>
      </c>
      <c r="AB106" s="342"/>
      <c r="AC106" s="343" t="n">
        <f aca="false">IFERROR((W106*Y106*AA106),"")</f>
        <v>0</v>
      </c>
      <c r="AD106" s="343"/>
      <c r="AE106" s="343"/>
      <c r="AF106" s="276"/>
    </row>
    <row r="107" customFormat="false" ht="15.75" hidden="false" customHeight="true" outlineLevel="0" collapsed="false">
      <c r="A107" s="276"/>
      <c r="B107" s="276"/>
      <c r="C107" s="344" t="s">
        <v>1592</v>
      </c>
      <c r="D107" s="338"/>
      <c r="E107" s="338"/>
      <c r="F107" s="339" t="str">
        <f aca="false">IFERROR(VLOOKUP(C107,TE!$H:$Y,2,FALSE()),"(Not on TE)")</f>
        <v>(Not on TE)</v>
      </c>
      <c r="G107" s="338"/>
      <c r="H107" s="338"/>
      <c r="I107" s="338"/>
      <c r="J107" s="338"/>
      <c r="K107" s="338"/>
      <c r="L107" s="338"/>
      <c r="M107" s="338"/>
      <c r="N107" s="338"/>
      <c r="O107" s="338"/>
      <c r="P107" s="338"/>
      <c r="Q107" s="338"/>
      <c r="R107" s="338"/>
      <c r="S107" s="338"/>
      <c r="T107" s="338"/>
      <c r="U107" s="340" t="str">
        <f aca="false">IFERROR(VLOOKUP(C107,TE!$H:$Y,9,FALSE()),"0")</f>
        <v>0</v>
      </c>
      <c r="V107" s="340"/>
      <c r="W107" s="341" t="n">
        <f aca="false">SUMIFS(TE!$O:$O,TE!$G:$G,$C$40,TE!$I:$I,C107,TE!$D:$D,$C$5)</f>
        <v>0</v>
      </c>
      <c r="X107" s="341"/>
      <c r="Y107" s="341" t="str">
        <f aca="false">IFERROR(VLOOKUP(C107,TE!$H:$Y,16,FALSE()),"0")</f>
        <v>0</v>
      </c>
      <c r="Z107" s="341"/>
      <c r="AA107" s="342" t="str">
        <f aca="false">IFERROR(VLOOKUP(C107,TE!$H:$Y,17,FALSE()),"0")</f>
        <v>0</v>
      </c>
      <c r="AB107" s="342"/>
      <c r="AC107" s="343" t="n">
        <f aca="false">IFERROR((W107*Y107*AA107),"")</f>
        <v>0</v>
      </c>
      <c r="AD107" s="343"/>
      <c r="AE107" s="343"/>
      <c r="AF107" s="276"/>
    </row>
    <row r="108" customFormat="false" ht="15.75" hidden="false" customHeight="true" outlineLevel="0" collapsed="false">
      <c r="A108" s="276"/>
      <c r="B108" s="276"/>
      <c r="C108" s="344" t="s">
        <v>1593</v>
      </c>
      <c r="D108" s="338"/>
      <c r="E108" s="338"/>
      <c r="F108" s="339" t="str">
        <f aca="false">IFERROR(VLOOKUP(C108,TE!$H:$Y,2,FALSE()),"(Not on TE)")</f>
        <v>(Not on TE)</v>
      </c>
      <c r="G108" s="338"/>
      <c r="H108" s="338"/>
      <c r="I108" s="338"/>
      <c r="J108" s="338"/>
      <c r="K108" s="338"/>
      <c r="L108" s="338"/>
      <c r="M108" s="338"/>
      <c r="N108" s="338"/>
      <c r="O108" s="338"/>
      <c r="P108" s="338"/>
      <c r="Q108" s="338"/>
      <c r="R108" s="338"/>
      <c r="S108" s="338"/>
      <c r="T108" s="338"/>
      <c r="U108" s="340" t="str">
        <f aca="false">IFERROR(VLOOKUP(C108,TE!$H:$Y,9,FALSE()),"0")</f>
        <v>0</v>
      </c>
      <c r="V108" s="340"/>
      <c r="W108" s="341" t="n">
        <f aca="false">SUMIFS(TE!$O:$O,TE!$G:$G,$C$40,TE!$I:$I,C108,TE!$D:$D,$C$5)</f>
        <v>0</v>
      </c>
      <c r="X108" s="341"/>
      <c r="Y108" s="341" t="str">
        <f aca="false">IFERROR(VLOOKUP(C108,TE!$H:$Y,16,FALSE()),"0")</f>
        <v>0</v>
      </c>
      <c r="Z108" s="341"/>
      <c r="AA108" s="342" t="str">
        <f aca="false">IFERROR(VLOOKUP(C108,TE!$H:$Y,17,FALSE()),"0")</f>
        <v>0</v>
      </c>
      <c r="AB108" s="342"/>
      <c r="AC108" s="343" t="n">
        <f aca="false">IFERROR((W108*Y108*AA108),"")</f>
        <v>0</v>
      </c>
      <c r="AD108" s="343"/>
      <c r="AE108" s="343"/>
      <c r="AF108" s="276"/>
    </row>
    <row r="109" customFormat="false" ht="15.75" hidden="false" customHeight="true" outlineLevel="0" collapsed="false">
      <c r="A109" s="276"/>
      <c r="B109" s="276"/>
      <c r="C109" s="344" t="s">
        <v>1594</v>
      </c>
      <c r="D109" s="338"/>
      <c r="E109" s="338"/>
      <c r="F109" s="339" t="str">
        <f aca="false">IFERROR(VLOOKUP(C109,TE!$H:$Y,2,FALSE()),"(Not on TE)")</f>
        <v>(Not on TE)</v>
      </c>
      <c r="G109" s="338"/>
      <c r="H109" s="338"/>
      <c r="I109" s="338"/>
      <c r="J109" s="338"/>
      <c r="K109" s="338"/>
      <c r="L109" s="338"/>
      <c r="M109" s="338"/>
      <c r="N109" s="338"/>
      <c r="O109" s="338"/>
      <c r="P109" s="338"/>
      <c r="Q109" s="338"/>
      <c r="R109" s="338"/>
      <c r="S109" s="338"/>
      <c r="T109" s="338"/>
      <c r="U109" s="340" t="str">
        <f aca="false">IFERROR(VLOOKUP(C109,TE!$H:$Y,9,FALSE()),"0")</f>
        <v>0</v>
      </c>
      <c r="V109" s="340"/>
      <c r="W109" s="341" t="n">
        <f aca="false">SUMIFS(TE!$O:$O,TE!$G:$G,$C$40,TE!$I:$I,C109,TE!$D:$D,$C$5)</f>
        <v>0</v>
      </c>
      <c r="X109" s="341"/>
      <c r="Y109" s="341" t="str">
        <f aca="false">IFERROR(VLOOKUP(C109,TE!$H:$Y,16,FALSE()),"0")</f>
        <v>0</v>
      </c>
      <c r="Z109" s="341"/>
      <c r="AA109" s="342" t="str">
        <f aca="false">IFERROR(VLOOKUP(C109,TE!$H:$Y,17,FALSE()),"0")</f>
        <v>0</v>
      </c>
      <c r="AB109" s="342"/>
      <c r="AC109" s="343" t="n">
        <f aca="false">IFERROR((W109*Y109*AA109),"")</f>
        <v>0</v>
      </c>
      <c r="AD109" s="343"/>
      <c r="AE109" s="343"/>
      <c r="AF109" s="276"/>
    </row>
    <row r="110" customFormat="false" ht="15.75" hidden="false" customHeight="true" outlineLevel="0" collapsed="false">
      <c r="A110" s="276"/>
      <c r="B110" s="276"/>
      <c r="C110" s="344" t="s">
        <v>1595</v>
      </c>
      <c r="D110" s="338"/>
      <c r="E110" s="338"/>
      <c r="F110" s="339" t="str">
        <f aca="false">IFERROR(VLOOKUP(C110,TE!$H:$Y,2,FALSE()),"(Not on TE)")</f>
        <v>(Not on TE)</v>
      </c>
      <c r="G110" s="338"/>
      <c r="H110" s="338"/>
      <c r="I110" s="338"/>
      <c r="J110" s="338"/>
      <c r="K110" s="338"/>
      <c r="L110" s="338"/>
      <c r="M110" s="338"/>
      <c r="N110" s="338"/>
      <c r="O110" s="338"/>
      <c r="P110" s="338"/>
      <c r="Q110" s="338"/>
      <c r="R110" s="338"/>
      <c r="S110" s="338"/>
      <c r="T110" s="338"/>
      <c r="U110" s="340" t="str">
        <f aca="false">IFERROR(VLOOKUP(C110,TE!$H:$Y,9,FALSE()),"0")</f>
        <v>0</v>
      </c>
      <c r="V110" s="340"/>
      <c r="W110" s="341" t="n">
        <f aca="false">SUMIFS(TE!$O:$O,TE!$G:$G,$C$40,TE!$I:$I,C110,TE!$D:$D,$C$5)</f>
        <v>0</v>
      </c>
      <c r="X110" s="341"/>
      <c r="Y110" s="341" t="str">
        <f aca="false">IFERROR(VLOOKUP(C110,TE!$H:$Y,16,FALSE()),"0")</f>
        <v>0</v>
      </c>
      <c r="Z110" s="341"/>
      <c r="AA110" s="342" t="str">
        <f aca="false">IFERROR(VLOOKUP(C110,TE!$H:$Y,17,FALSE()),"0")</f>
        <v>0</v>
      </c>
      <c r="AB110" s="342"/>
      <c r="AC110" s="343" t="n">
        <f aca="false">IFERROR((W110*Y110*AA110),"")</f>
        <v>0</v>
      </c>
      <c r="AD110" s="343"/>
      <c r="AE110" s="343"/>
      <c r="AF110" s="276"/>
    </row>
    <row r="111" customFormat="false" ht="15.75" hidden="false" customHeight="true" outlineLevel="0" collapsed="false">
      <c r="A111" s="276"/>
      <c r="B111" s="276"/>
      <c r="C111" s="345" t="s">
        <v>1153</v>
      </c>
      <c r="D111" s="346"/>
      <c r="E111" s="346"/>
      <c r="F111" s="339" t="str">
        <f aca="false">IFERROR(VLOOKUP(C111,TE!$H:$Y,2,FALSE()),"(Not on TE)")</f>
        <v>(Not on TE)</v>
      </c>
      <c r="G111" s="347"/>
      <c r="H111" s="347"/>
      <c r="I111" s="347"/>
      <c r="J111" s="347"/>
      <c r="K111" s="347"/>
      <c r="L111" s="347"/>
      <c r="M111" s="347"/>
      <c r="N111" s="347"/>
      <c r="O111" s="347"/>
      <c r="P111" s="347"/>
      <c r="Q111" s="347"/>
      <c r="R111" s="347"/>
      <c r="S111" s="347"/>
      <c r="T111" s="347"/>
      <c r="U111" s="340" t="str">
        <f aca="false">IFERROR(VLOOKUP(C111,TE!$H:$Y,9,FALSE()),"0")</f>
        <v>0</v>
      </c>
      <c r="V111" s="340"/>
      <c r="W111" s="341" t="n">
        <f aca="false">SUMIFS(TE!$O:$O,TE!$G:$G,$C$40,TE!$I:$I,C111,TE!$D:$D,$C$5)</f>
        <v>0</v>
      </c>
      <c r="X111" s="341"/>
      <c r="Y111" s="341" t="str">
        <f aca="false">IFERROR(VLOOKUP(C111,TE!$H:$Y,16,FALSE()),"0")</f>
        <v>0</v>
      </c>
      <c r="Z111" s="341"/>
      <c r="AA111" s="342" t="str">
        <f aca="false">IFERROR(VLOOKUP(C111,TE!$H:$Y,17,FALSE()),"0")</f>
        <v>0</v>
      </c>
      <c r="AB111" s="342"/>
      <c r="AC111" s="343" t="n">
        <f aca="false">IFERROR((W111*Y111*AA111),"")</f>
        <v>0</v>
      </c>
      <c r="AD111" s="343"/>
      <c r="AE111" s="343"/>
      <c r="AF111" s="276"/>
    </row>
    <row r="112" customFormat="false" ht="15.75" hidden="false" customHeight="true" outlineLevel="0" collapsed="false">
      <c r="A112" s="276"/>
      <c r="B112" s="276"/>
      <c r="C112" s="345" t="s">
        <v>1596</v>
      </c>
      <c r="D112" s="346"/>
      <c r="E112" s="346"/>
      <c r="F112" s="339" t="str">
        <f aca="false">IFERROR(VLOOKUP(C112,TE!$H:$Y,2,FALSE()),"(Not on TE)")</f>
        <v>(Not on TE)</v>
      </c>
      <c r="G112" s="347"/>
      <c r="H112" s="347"/>
      <c r="I112" s="347"/>
      <c r="J112" s="347"/>
      <c r="K112" s="347"/>
      <c r="L112" s="347"/>
      <c r="M112" s="347"/>
      <c r="N112" s="347"/>
      <c r="O112" s="347"/>
      <c r="P112" s="347"/>
      <c r="Q112" s="347"/>
      <c r="R112" s="347"/>
      <c r="S112" s="347"/>
      <c r="T112" s="347"/>
      <c r="U112" s="340" t="str">
        <f aca="false">IFERROR(VLOOKUP(C112,TE!$H:$Y,9,FALSE()),"0")</f>
        <v>0</v>
      </c>
      <c r="V112" s="340"/>
      <c r="W112" s="341" t="n">
        <f aca="false">SUMIFS(TE!$O:$O,TE!$G:$G,$C$40,TE!$I:$I,C112,TE!$D:$D,$C$5)</f>
        <v>0</v>
      </c>
      <c r="X112" s="341"/>
      <c r="Y112" s="341" t="str">
        <f aca="false">IFERROR(VLOOKUP(C112,TE!$H:$Y,16,FALSE()),"0")</f>
        <v>0</v>
      </c>
      <c r="Z112" s="341"/>
      <c r="AA112" s="342" t="str">
        <f aca="false">IFERROR(VLOOKUP(C112,TE!$H:$Y,17,FALSE()),"0")</f>
        <v>0</v>
      </c>
      <c r="AB112" s="342"/>
      <c r="AC112" s="343" t="n">
        <f aca="false">IFERROR((W112*Y112*AA112),"")</f>
        <v>0</v>
      </c>
      <c r="AD112" s="343"/>
      <c r="AE112" s="343"/>
      <c r="AF112" s="276"/>
    </row>
    <row r="113" customFormat="false" ht="15.75" hidden="false" customHeight="true" outlineLevel="0" collapsed="false">
      <c r="A113" s="276"/>
      <c r="B113" s="276"/>
      <c r="C113" s="345" t="s">
        <v>1597</v>
      </c>
      <c r="D113" s="346"/>
      <c r="E113" s="346"/>
      <c r="F113" s="339" t="str">
        <f aca="false">IFERROR(VLOOKUP(C113,TE!$H:$Y,2,FALSE()),"(Not on TE)")</f>
        <v>(Not on TE)</v>
      </c>
      <c r="G113" s="347"/>
      <c r="H113" s="347"/>
      <c r="I113" s="347"/>
      <c r="J113" s="347"/>
      <c r="K113" s="347"/>
      <c r="L113" s="347"/>
      <c r="M113" s="347"/>
      <c r="N113" s="347"/>
      <c r="O113" s="347"/>
      <c r="P113" s="347"/>
      <c r="Q113" s="347"/>
      <c r="R113" s="347"/>
      <c r="S113" s="347"/>
      <c r="T113" s="347"/>
      <c r="U113" s="340" t="str">
        <f aca="false">IFERROR(VLOOKUP(C113,TE!$H:$Y,9,FALSE()),"0")</f>
        <v>0</v>
      </c>
      <c r="V113" s="340"/>
      <c r="W113" s="341" t="n">
        <f aca="false">SUMIFS(TE!$O:$O,TE!$G:$G,$C$40,TE!$I:$I,C113,TE!$D:$D,$C$5)</f>
        <v>0</v>
      </c>
      <c r="X113" s="341"/>
      <c r="Y113" s="341" t="str">
        <f aca="false">IFERROR(VLOOKUP(C113,TE!$H:$Y,16,FALSE()),"0")</f>
        <v>0</v>
      </c>
      <c r="Z113" s="341"/>
      <c r="AA113" s="342" t="str">
        <f aca="false">IFERROR(VLOOKUP(C113,TE!$H:$Y,17,FALSE()),"0")</f>
        <v>0</v>
      </c>
      <c r="AB113" s="342"/>
      <c r="AC113" s="343" t="n">
        <f aca="false">IFERROR((W113*Y113*AA113),"")</f>
        <v>0</v>
      </c>
      <c r="AD113" s="343"/>
      <c r="AE113" s="343"/>
      <c r="AF113" s="276"/>
    </row>
    <row r="114" customFormat="false" ht="15.75" hidden="false" customHeight="true" outlineLevel="0" collapsed="false">
      <c r="A114" s="276"/>
      <c r="B114" s="276"/>
      <c r="C114" s="345" t="s">
        <v>1598</v>
      </c>
      <c r="D114" s="346"/>
      <c r="E114" s="346"/>
      <c r="F114" s="339" t="str">
        <f aca="false">IFERROR(VLOOKUP(C114,TE!$H:$Y,2,FALSE()),"(Not on TE)")</f>
        <v>(Not on TE)</v>
      </c>
      <c r="G114" s="347"/>
      <c r="H114" s="347"/>
      <c r="I114" s="347"/>
      <c r="J114" s="347"/>
      <c r="K114" s="347"/>
      <c r="L114" s="347"/>
      <c r="M114" s="347"/>
      <c r="N114" s="347"/>
      <c r="O114" s="347"/>
      <c r="P114" s="347"/>
      <c r="Q114" s="347"/>
      <c r="R114" s="347"/>
      <c r="S114" s="347"/>
      <c r="T114" s="347"/>
      <c r="U114" s="340" t="str">
        <f aca="false">IFERROR(VLOOKUP(C114,TE!$H:$Y,9,FALSE()),"0")</f>
        <v>0</v>
      </c>
      <c r="V114" s="340"/>
      <c r="W114" s="341" t="n">
        <f aca="false">SUMIFS(TE!$O:$O,TE!$G:$G,$C$40,TE!$I:$I,C114,TE!$D:$D,$C$5)</f>
        <v>0</v>
      </c>
      <c r="X114" s="341"/>
      <c r="Y114" s="341" t="str">
        <f aca="false">IFERROR(VLOOKUP(C114,TE!$H:$Y,16,FALSE()),"0")</f>
        <v>0</v>
      </c>
      <c r="Z114" s="341"/>
      <c r="AA114" s="342" t="str">
        <f aca="false">IFERROR(VLOOKUP(C114,TE!$H:$Y,17,FALSE()),"0")</f>
        <v>0</v>
      </c>
      <c r="AB114" s="342"/>
      <c r="AC114" s="343" t="n">
        <f aca="false">IFERROR((W114*Y114*AA114),"")</f>
        <v>0</v>
      </c>
      <c r="AD114" s="343"/>
      <c r="AE114" s="343"/>
      <c r="AF114" s="276"/>
    </row>
    <row r="115" customFormat="false" ht="15.75" hidden="false" customHeight="true" outlineLevel="0" collapsed="false">
      <c r="A115" s="276"/>
      <c r="B115" s="276"/>
      <c r="C115" s="345" t="s">
        <v>1599</v>
      </c>
      <c r="D115" s="346"/>
      <c r="E115" s="346"/>
      <c r="F115" s="339" t="str">
        <f aca="false">IFERROR(VLOOKUP(C115,TE!$H:$Y,2,FALSE()),"(Not on TE)")</f>
        <v>(Not on TE)</v>
      </c>
      <c r="G115" s="347"/>
      <c r="H115" s="347"/>
      <c r="I115" s="347"/>
      <c r="J115" s="347"/>
      <c r="K115" s="347"/>
      <c r="L115" s="347"/>
      <c r="M115" s="347"/>
      <c r="N115" s="347"/>
      <c r="O115" s="347"/>
      <c r="P115" s="347"/>
      <c r="Q115" s="347"/>
      <c r="R115" s="347"/>
      <c r="S115" s="347"/>
      <c r="T115" s="347"/>
      <c r="U115" s="340" t="str">
        <f aca="false">IFERROR(VLOOKUP(C115,TE!$H:$Y,9,FALSE()),"0")</f>
        <v>0</v>
      </c>
      <c r="V115" s="340"/>
      <c r="W115" s="341" t="n">
        <f aca="false">SUMIFS(TE!$O:$O,TE!$G:$G,$C$40,TE!$I:$I,C115,TE!$D:$D,$C$5)</f>
        <v>0</v>
      </c>
      <c r="X115" s="341"/>
      <c r="Y115" s="341" t="str">
        <f aca="false">IFERROR(VLOOKUP(C115,TE!$H:$Y,16,FALSE()),"0")</f>
        <v>0</v>
      </c>
      <c r="Z115" s="341"/>
      <c r="AA115" s="342" t="str">
        <f aca="false">IFERROR(VLOOKUP(C115,TE!$H:$Y,17,FALSE()),"0")</f>
        <v>0</v>
      </c>
      <c r="AB115" s="342"/>
      <c r="AC115" s="343" t="n">
        <f aca="false">IFERROR((W115*Y115*AA115),"")</f>
        <v>0</v>
      </c>
      <c r="AD115" s="343"/>
      <c r="AE115" s="343"/>
      <c r="AF115" s="276"/>
    </row>
    <row r="116" customFormat="false" ht="15.75" hidden="false" customHeight="true" outlineLevel="0" collapsed="false">
      <c r="A116" s="276"/>
      <c r="B116" s="276"/>
      <c r="C116" s="345" t="s">
        <v>1600</v>
      </c>
      <c r="D116" s="346"/>
      <c r="E116" s="346"/>
      <c r="F116" s="339" t="str">
        <f aca="false">IFERROR(VLOOKUP(C116,TE!$H:$Y,2,FALSE()),"(Not on TE)")</f>
        <v>(Not on TE)</v>
      </c>
      <c r="G116" s="347"/>
      <c r="H116" s="347"/>
      <c r="I116" s="347"/>
      <c r="J116" s="347"/>
      <c r="K116" s="347"/>
      <c r="L116" s="347"/>
      <c r="M116" s="347"/>
      <c r="N116" s="347"/>
      <c r="O116" s="347"/>
      <c r="P116" s="347"/>
      <c r="Q116" s="347"/>
      <c r="R116" s="347"/>
      <c r="S116" s="347"/>
      <c r="T116" s="347"/>
      <c r="U116" s="340" t="str">
        <f aca="false">IFERROR(VLOOKUP(C116,TE!$H:$Y,9,FALSE()),"0")</f>
        <v>0</v>
      </c>
      <c r="V116" s="340"/>
      <c r="W116" s="341" t="n">
        <f aca="false">SUMIFS(TE!$O:$O,TE!$G:$G,$C$40,TE!$I:$I,C116,TE!$D:$D,$C$5)</f>
        <v>0</v>
      </c>
      <c r="X116" s="341"/>
      <c r="Y116" s="341" t="str">
        <f aca="false">IFERROR(VLOOKUP(C116,TE!$H:$Y,16,FALSE()),"0")</f>
        <v>0</v>
      </c>
      <c r="Z116" s="341"/>
      <c r="AA116" s="342" t="str">
        <f aca="false">IFERROR(VLOOKUP(C116,TE!$H:$Y,17,FALSE()),"0")</f>
        <v>0</v>
      </c>
      <c r="AB116" s="342"/>
      <c r="AC116" s="343" t="n">
        <f aca="false">IFERROR((W116*Y116*AA116),"")</f>
        <v>0</v>
      </c>
      <c r="AD116" s="343"/>
      <c r="AE116" s="343"/>
      <c r="AF116" s="276"/>
    </row>
    <row r="117" customFormat="false" ht="15.75" hidden="false" customHeight="true" outlineLevel="0" collapsed="false">
      <c r="A117" s="276"/>
      <c r="B117" s="276"/>
      <c r="C117" s="345" t="s">
        <v>1601</v>
      </c>
      <c r="D117" s="346"/>
      <c r="E117" s="346"/>
      <c r="F117" s="339" t="str">
        <f aca="false">IFERROR(VLOOKUP(C117,TE!$H:$Y,2,FALSE()),"(Not on TE)")</f>
        <v>(Not on TE)</v>
      </c>
      <c r="G117" s="347"/>
      <c r="H117" s="347"/>
      <c r="I117" s="347"/>
      <c r="J117" s="347"/>
      <c r="K117" s="347"/>
      <c r="L117" s="347"/>
      <c r="M117" s="347"/>
      <c r="N117" s="347"/>
      <c r="O117" s="347"/>
      <c r="P117" s="347"/>
      <c r="Q117" s="347"/>
      <c r="R117" s="347"/>
      <c r="S117" s="347"/>
      <c r="T117" s="347"/>
      <c r="U117" s="340" t="str">
        <f aca="false">IFERROR(VLOOKUP(C117,TE!$H:$Y,9,FALSE()),"0")</f>
        <v>0</v>
      </c>
      <c r="V117" s="340"/>
      <c r="W117" s="341" t="n">
        <f aca="false">SUMIFS(TE!$O:$O,TE!$G:$G,$C$40,TE!$I:$I,C117,TE!$D:$D,$C$5)</f>
        <v>0</v>
      </c>
      <c r="X117" s="341"/>
      <c r="Y117" s="341" t="str">
        <f aca="false">IFERROR(VLOOKUP(C117,TE!$H:$Y,16,FALSE()),"0")</f>
        <v>0</v>
      </c>
      <c r="Z117" s="341"/>
      <c r="AA117" s="342" t="str">
        <f aca="false">IFERROR(VLOOKUP(C117,TE!$H:$Y,17,FALSE()),"0")</f>
        <v>0</v>
      </c>
      <c r="AB117" s="342"/>
      <c r="AC117" s="343" t="n">
        <f aca="false">IFERROR((W117*Y117*AA117),"")</f>
        <v>0</v>
      </c>
      <c r="AD117" s="343"/>
      <c r="AE117" s="343"/>
      <c r="AF117" s="276"/>
    </row>
    <row r="118" customFormat="false" ht="15.75" hidden="false" customHeight="true" outlineLevel="0" collapsed="false">
      <c r="A118" s="276"/>
      <c r="B118" s="276"/>
      <c r="C118" s="344" t="s">
        <v>1602</v>
      </c>
      <c r="D118" s="346"/>
      <c r="E118" s="346"/>
      <c r="F118" s="339" t="str">
        <f aca="false">IFERROR(VLOOKUP(C118,TE!$H:$Y,2,FALSE()),"(Not on TE)")</f>
        <v>(Not on TE)</v>
      </c>
      <c r="G118" s="347"/>
      <c r="H118" s="347"/>
      <c r="I118" s="347"/>
      <c r="J118" s="347"/>
      <c r="K118" s="347"/>
      <c r="L118" s="347"/>
      <c r="M118" s="347"/>
      <c r="N118" s="347"/>
      <c r="O118" s="347"/>
      <c r="P118" s="347"/>
      <c r="Q118" s="347"/>
      <c r="R118" s="347"/>
      <c r="S118" s="347"/>
      <c r="T118" s="347"/>
      <c r="U118" s="340" t="str">
        <f aca="false">IFERROR(VLOOKUP(C118,TE!$H:$Y,9,FALSE()),"0")</f>
        <v>0</v>
      </c>
      <c r="V118" s="340"/>
      <c r="W118" s="341" t="n">
        <f aca="false">SUMIFS(TE!$O:$O,TE!$G:$G,$C$40,TE!$I:$I,C118,TE!$D:$D,$C$5)</f>
        <v>0</v>
      </c>
      <c r="X118" s="341"/>
      <c r="Y118" s="341" t="str">
        <f aca="false">IFERROR(VLOOKUP(C118,TE!$H:$Y,16,FALSE()),"0")</f>
        <v>0</v>
      </c>
      <c r="Z118" s="341"/>
      <c r="AA118" s="342" t="str">
        <f aca="false">IFERROR(VLOOKUP(C118,TE!$H:$Y,17,FALSE()),"0")</f>
        <v>0</v>
      </c>
      <c r="AB118" s="342"/>
      <c r="AC118" s="343" t="n">
        <f aca="false">IFERROR((W118*Y118*AA118),"")</f>
        <v>0</v>
      </c>
      <c r="AD118" s="343"/>
      <c r="AE118" s="343"/>
      <c r="AF118" s="276"/>
    </row>
    <row r="119" customFormat="false" ht="15.75" hidden="false" customHeight="true" outlineLevel="0" collapsed="false">
      <c r="A119" s="276"/>
      <c r="B119" s="276"/>
      <c r="C119" s="344" t="s">
        <v>1603</v>
      </c>
      <c r="D119" s="346"/>
      <c r="E119" s="346"/>
      <c r="F119" s="339" t="str">
        <f aca="false">IFERROR(VLOOKUP(C119,TE!$H:$Y,2,FALSE()),"(Not on TE)")</f>
        <v>(Not on TE)</v>
      </c>
      <c r="G119" s="347"/>
      <c r="H119" s="347"/>
      <c r="I119" s="347"/>
      <c r="J119" s="347"/>
      <c r="K119" s="347"/>
      <c r="L119" s="347"/>
      <c r="M119" s="347"/>
      <c r="N119" s="347"/>
      <c r="O119" s="347"/>
      <c r="P119" s="347"/>
      <c r="Q119" s="347"/>
      <c r="R119" s="347"/>
      <c r="S119" s="347"/>
      <c r="T119" s="347"/>
      <c r="U119" s="340" t="str">
        <f aca="false">IFERROR(VLOOKUP(C119,TE!$H:$Y,9,FALSE()),"0")</f>
        <v>0</v>
      </c>
      <c r="V119" s="340"/>
      <c r="W119" s="341" t="n">
        <f aca="false">SUMIFS(TE!$O:$O,TE!$G:$G,$C$40,TE!$I:$I,C119,TE!$D:$D,$C$5)</f>
        <v>0</v>
      </c>
      <c r="X119" s="341"/>
      <c r="Y119" s="341" t="str">
        <f aca="false">IFERROR(VLOOKUP(C119,TE!$H:$Y,16,FALSE()),"0")</f>
        <v>0</v>
      </c>
      <c r="Z119" s="341"/>
      <c r="AA119" s="342" t="str">
        <f aca="false">IFERROR(VLOOKUP(C119,TE!$H:$Y,17,FALSE()),"0")</f>
        <v>0</v>
      </c>
      <c r="AB119" s="342"/>
      <c r="AC119" s="343" t="n">
        <f aca="false">IFERROR((W119*Y119*AA119),"")</f>
        <v>0</v>
      </c>
      <c r="AD119" s="343"/>
      <c r="AE119" s="343"/>
      <c r="AF119" s="276"/>
    </row>
    <row r="120" customFormat="false" ht="15.75" hidden="false" customHeight="true" outlineLevel="0" collapsed="false">
      <c r="A120" s="276"/>
      <c r="B120" s="276"/>
      <c r="C120" s="345" t="s">
        <v>1604</v>
      </c>
      <c r="D120" s="346"/>
      <c r="E120" s="346"/>
      <c r="F120" s="339" t="str">
        <f aca="false">IFERROR(VLOOKUP(C120,TE!$H:$Y,2,FALSE()),"(Not on TE)")</f>
        <v>(Not on TE)</v>
      </c>
      <c r="G120" s="347"/>
      <c r="H120" s="347"/>
      <c r="I120" s="347"/>
      <c r="J120" s="347"/>
      <c r="K120" s="347"/>
      <c r="L120" s="347"/>
      <c r="M120" s="347"/>
      <c r="N120" s="347"/>
      <c r="O120" s="347"/>
      <c r="P120" s="347"/>
      <c r="Q120" s="347"/>
      <c r="R120" s="347"/>
      <c r="S120" s="347"/>
      <c r="T120" s="347"/>
      <c r="U120" s="340" t="str">
        <f aca="false">IFERROR(VLOOKUP(C120,TE!$H:$Y,9,FALSE()),"0")</f>
        <v>0</v>
      </c>
      <c r="V120" s="340"/>
      <c r="W120" s="341" t="n">
        <f aca="false">SUMIFS(TE!$O:$O,TE!$G:$G,$C$40,TE!$I:$I,C120,TE!$D:$D,$C$5)</f>
        <v>0</v>
      </c>
      <c r="X120" s="341"/>
      <c r="Y120" s="341" t="str">
        <f aca="false">IFERROR(VLOOKUP(C120,TE!$H:$Y,16,FALSE()),"0")</f>
        <v>0</v>
      </c>
      <c r="Z120" s="341"/>
      <c r="AA120" s="342" t="str">
        <f aca="false">IFERROR(VLOOKUP(C120,TE!$H:$Y,17,FALSE()),"0")</f>
        <v>0</v>
      </c>
      <c r="AB120" s="342"/>
      <c r="AC120" s="343" t="n">
        <f aca="false">IFERROR((W120*Y120*AA120),"")</f>
        <v>0</v>
      </c>
      <c r="AD120" s="343"/>
      <c r="AE120" s="343"/>
      <c r="AF120" s="276"/>
    </row>
    <row r="121" customFormat="false" ht="15.75" hidden="false" customHeight="true" outlineLevel="0" collapsed="false">
      <c r="A121" s="276"/>
      <c r="B121" s="276"/>
      <c r="C121" s="345" t="s">
        <v>1605</v>
      </c>
      <c r="D121" s="346"/>
      <c r="E121" s="346"/>
      <c r="F121" s="339" t="str">
        <f aca="false">IFERROR(VLOOKUP(C121,TE!$H:$Y,2,FALSE()),"(Not on TE)")</f>
        <v>(Not on TE)</v>
      </c>
      <c r="G121" s="347"/>
      <c r="H121" s="347"/>
      <c r="I121" s="347"/>
      <c r="J121" s="347"/>
      <c r="K121" s="347"/>
      <c r="L121" s="347"/>
      <c r="M121" s="347"/>
      <c r="N121" s="347"/>
      <c r="O121" s="347"/>
      <c r="P121" s="347"/>
      <c r="Q121" s="347"/>
      <c r="R121" s="347"/>
      <c r="S121" s="347"/>
      <c r="T121" s="347"/>
      <c r="U121" s="340" t="str">
        <f aca="false">IFERROR(VLOOKUP(C121,TE!$H:$Y,9,FALSE()),"0")</f>
        <v>0</v>
      </c>
      <c r="V121" s="340"/>
      <c r="W121" s="341" t="n">
        <f aca="false">SUMIFS(TE!$O:$O,TE!$G:$G,$C$40,TE!$I:$I,C121,TE!$D:$D,$C$5)</f>
        <v>0</v>
      </c>
      <c r="X121" s="341"/>
      <c r="Y121" s="341" t="str">
        <f aca="false">IFERROR(VLOOKUP(C121,TE!$H:$Y,16,FALSE()),"0")</f>
        <v>0</v>
      </c>
      <c r="Z121" s="341"/>
      <c r="AA121" s="342" t="str">
        <f aca="false">IFERROR(VLOOKUP(C121,TE!$H:$Y,17,FALSE()),"0")</f>
        <v>0</v>
      </c>
      <c r="AB121" s="342"/>
      <c r="AC121" s="343" t="n">
        <f aca="false">IFERROR((W121*Y121*AA121),"")</f>
        <v>0</v>
      </c>
      <c r="AD121" s="343"/>
      <c r="AE121" s="343"/>
      <c r="AF121" s="276"/>
    </row>
    <row r="122" customFormat="false" ht="15.75" hidden="false" customHeight="true" outlineLevel="0" collapsed="false">
      <c r="A122" s="276"/>
      <c r="B122" s="276"/>
      <c r="C122" s="345" t="s">
        <v>1606</v>
      </c>
      <c r="D122" s="346"/>
      <c r="E122" s="346"/>
      <c r="F122" s="339" t="str">
        <f aca="false">IFERROR(VLOOKUP(C122,TE!$H:$Y,2,FALSE()),"(Not on TE)")</f>
        <v>(Not on TE)</v>
      </c>
      <c r="G122" s="347"/>
      <c r="H122" s="347"/>
      <c r="I122" s="347"/>
      <c r="J122" s="347"/>
      <c r="K122" s="347"/>
      <c r="L122" s="347"/>
      <c r="M122" s="347"/>
      <c r="N122" s="347"/>
      <c r="O122" s="347"/>
      <c r="P122" s="347"/>
      <c r="Q122" s="347"/>
      <c r="R122" s="347"/>
      <c r="S122" s="347"/>
      <c r="T122" s="347"/>
      <c r="U122" s="340" t="str">
        <f aca="false">IFERROR(VLOOKUP(C122,TE!$H:$Y,9,FALSE()),"0")</f>
        <v>0</v>
      </c>
      <c r="V122" s="340"/>
      <c r="W122" s="341" t="n">
        <f aca="false">SUMIFS(TE!$O:$O,TE!$G:$G,$C$40,TE!$I:$I,C122,TE!$D:$D,$C$5)</f>
        <v>0</v>
      </c>
      <c r="X122" s="341"/>
      <c r="Y122" s="341" t="str">
        <f aca="false">IFERROR(VLOOKUP(C122,TE!$H:$Y,16,FALSE()),"0")</f>
        <v>0</v>
      </c>
      <c r="Z122" s="341"/>
      <c r="AA122" s="342" t="str">
        <f aca="false">IFERROR(VLOOKUP(C122,TE!$H:$Y,17,FALSE()),"0")</f>
        <v>0</v>
      </c>
      <c r="AB122" s="342"/>
      <c r="AC122" s="343" t="n">
        <f aca="false">IFERROR((W122*Y122*AA122),"")</f>
        <v>0</v>
      </c>
      <c r="AD122" s="343"/>
      <c r="AE122" s="343"/>
      <c r="AF122" s="276"/>
    </row>
    <row r="123" customFormat="false" ht="15.75" hidden="false" customHeight="true" outlineLevel="0" collapsed="false">
      <c r="A123" s="276"/>
      <c r="B123" s="276"/>
      <c r="C123" s="345" t="s">
        <v>1607</v>
      </c>
      <c r="D123" s="346"/>
      <c r="E123" s="346"/>
      <c r="F123" s="339" t="str">
        <f aca="false">IFERROR(VLOOKUP(C123,TE!$H:$Y,2,FALSE()),"(Not on TE)")</f>
        <v>(Not on TE)</v>
      </c>
      <c r="G123" s="347"/>
      <c r="H123" s="347"/>
      <c r="I123" s="347"/>
      <c r="J123" s="347"/>
      <c r="K123" s="347"/>
      <c r="L123" s="347"/>
      <c r="M123" s="347"/>
      <c r="N123" s="347"/>
      <c r="O123" s="347"/>
      <c r="P123" s="347"/>
      <c r="Q123" s="347"/>
      <c r="R123" s="347"/>
      <c r="S123" s="347"/>
      <c r="T123" s="347"/>
      <c r="U123" s="340" t="str">
        <f aca="false">IFERROR(VLOOKUP(C123,TE!$H:$Y,9,FALSE()),"0")</f>
        <v>0</v>
      </c>
      <c r="V123" s="340"/>
      <c r="W123" s="341" t="n">
        <f aca="false">SUMIFS(TE!$O:$O,TE!$G:$G,$C$40,TE!$I:$I,C123,TE!$D:$D,$C$5)</f>
        <v>0</v>
      </c>
      <c r="X123" s="341"/>
      <c r="Y123" s="341" t="str">
        <f aca="false">IFERROR(VLOOKUP(C123,TE!$H:$Y,16,FALSE()),"0")</f>
        <v>0</v>
      </c>
      <c r="Z123" s="341"/>
      <c r="AA123" s="342" t="str">
        <f aca="false">IFERROR(VLOOKUP(C123,TE!$H:$Y,17,FALSE()),"0")</f>
        <v>0</v>
      </c>
      <c r="AB123" s="342"/>
      <c r="AC123" s="343" t="n">
        <f aca="false">IFERROR((W123*Y123*AA123),"")</f>
        <v>0</v>
      </c>
      <c r="AD123" s="343"/>
      <c r="AE123" s="343"/>
      <c r="AF123" s="276"/>
    </row>
    <row r="124" customFormat="false" ht="15.75" hidden="false" customHeight="true" outlineLevel="0" collapsed="false">
      <c r="A124" s="276"/>
      <c r="B124" s="276"/>
      <c r="C124" s="345" t="s">
        <v>1608</v>
      </c>
      <c r="D124" s="346"/>
      <c r="E124" s="346"/>
      <c r="F124" s="339" t="str">
        <f aca="false">IFERROR(VLOOKUP(C124,TE!$H:$Y,2,FALSE()),"(Not on TE)")</f>
        <v>(Not on TE)</v>
      </c>
      <c r="G124" s="347"/>
      <c r="H124" s="347"/>
      <c r="I124" s="347"/>
      <c r="J124" s="347"/>
      <c r="K124" s="347"/>
      <c r="L124" s="347"/>
      <c r="M124" s="347"/>
      <c r="N124" s="347"/>
      <c r="O124" s="347"/>
      <c r="P124" s="347"/>
      <c r="Q124" s="347"/>
      <c r="R124" s="347"/>
      <c r="S124" s="347"/>
      <c r="T124" s="347"/>
      <c r="U124" s="340" t="str">
        <f aca="false">IFERROR(VLOOKUP(C124,TE!$H:$Y,9,FALSE()),"0")</f>
        <v>0</v>
      </c>
      <c r="V124" s="340"/>
      <c r="W124" s="341" t="n">
        <f aca="false">SUMIFS(TE!$O:$O,TE!$G:$G,$C$40,TE!$I:$I,C124,TE!$D:$D,$C$5)</f>
        <v>0</v>
      </c>
      <c r="X124" s="341"/>
      <c r="Y124" s="341" t="str">
        <f aca="false">IFERROR(VLOOKUP(C124,TE!$H:$Y,16,FALSE()),"0")</f>
        <v>0</v>
      </c>
      <c r="Z124" s="341"/>
      <c r="AA124" s="342" t="str">
        <f aca="false">IFERROR(VLOOKUP(C124,TE!$H:$Y,17,FALSE()),"0")</f>
        <v>0</v>
      </c>
      <c r="AB124" s="342"/>
      <c r="AC124" s="343" t="n">
        <f aca="false">IFERROR((W124*Y124*AA124),"")</f>
        <v>0</v>
      </c>
      <c r="AD124" s="343"/>
      <c r="AE124" s="343"/>
      <c r="AF124" s="276"/>
    </row>
    <row r="125" customFormat="false" ht="15.75" hidden="false" customHeight="true" outlineLevel="0" collapsed="false">
      <c r="A125" s="276"/>
      <c r="B125" s="276"/>
      <c r="C125" s="348" t="s">
        <v>1609</v>
      </c>
      <c r="D125" s="349"/>
      <c r="E125" s="349"/>
      <c r="F125" s="350" t="str">
        <f aca="false">IFERROR(VLOOKUP(C125,TE!$H:$Y,2,FALSE()),"(Not on TE)")</f>
        <v>(Not on TE)</v>
      </c>
      <c r="G125" s="351"/>
      <c r="H125" s="351"/>
      <c r="I125" s="351"/>
      <c r="J125" s="351"/>
      <c r="K125" s="351"/>
      <c r="L125" s="351"/>
      <c r="M125" s="351"/>
      <c r="N125" s="351"/>
      <c r="O125" s="351"/>
      <c r="P125" s="351"/>
      <c r="Q125" s="351"/>
      <c r="R125" s="351"/>
      <c r="S125" s="351"/>
      <c r="T125" s="351"/>
      <c r="U125" s="352" t="str">
        <f aca="false">IFERROR(VLOOKUP(C125,TE!$H:$Y,9,FALSE()),"0")</f>
        <v>0</v>
      </c>
      <c r="V125" s="352"/>
      <c r="W125" s="353" t="n">
        <f aca="false">SUMIFS(TE!$O:$O,TE!$G:$G,$C$40,TE!$I:$I,C125,TE!$D:$D,$C$5)</f>
        <v>0</v>
      </c>
      <c r="X125" s="353"/>
      <c r="Y125" s="353" t="str">
        <f aca="false">IFERROR(VLOOKUP(C125,TE!$H:$Y,16,FALSE()),"0")</f>
        <v>0</v>
      </c>
      <c r="Z125" s="353"/>
      <c r="AA125" s="354" t="str">
        <f aca="false">IFERROR(VLOOKUP(C125,TE!$H:$Y,17,FALSE()),"0")</f>
        <v>0</v>
      </c>
      <c r="AB125" s="354"/>
      <c r="AC125" s="355" t="n">
        <f aca="false">IFERROR((W125*Y125*AA125),"")</f>
        <v>0</v>
      </c>
      <c r="AD125" s="355"/>
      <c r="AE125" s="355"/>
      <c r="AF125" s="276"/>
    </row>
    <row r="126" customFormat="false" ht="15.75" hidden="false" customHeight="true" outlineLevel="0" collapsed="false">
      <c r="A126" s="276"/>
      <c r="B126" s="276"/>
      <c r="C126" s="338"/>
      <c r="D126" s="346"/>
      <c r="E126" s="346"/>
      <c r="F126" s="347"/>
      <c r="G126" s="347"/>
      <c r="H126" s="347"/>
      <c r="I126" s="347"/>
      <c r="J126" s="347"/>
      <c r="K126" s="347"/>
      <c r="L126" s="347"/>
      <c r="M126" s="347"/>
      <c r="N126" s="347"/>
      <c r="O126" s="347"/>
      <c r="P126" s="347"/>
      <c r="Q126" s="347"/>
      <c r="R126" s="347"/>
      <c r="S126" s="347"/>
      <c r="T126" s="347"/>
      <c r="U126" s="356"/>
      <c r="V126" s="356"/>
      <c r="W126" s="357"/>
      <c r="X126" s="357"/>
      <c r="Y126" s="357"/>
      <c r="Z126" s="296"/>
      <c r="AA126" s="373" t="s">
        <v>1576</v>
      </c>
      <c r="AB126" s="373"/>
      <c r="AC126" s="373"/>
      <c r="AD126" s="373"/>
      <c r="AE126" s="373"/>
      <c r="AF126" s="276"/>
    </row>
    <row r="127" customFormat="false" ht="15.75" hidden="false" customHeight="true" outlineLevel="0" collapsed="false">
      <c r="A127" s="276"/>
      <c r="B127" s="276"/>
      <c r="C127" s="338"/>
      <c r="D127" s="346"/>
      <c r="E127" s="346"/>
      <c r="F127" s="347"/>
      <c r="G127" s="347"/>
      <c r="H127" s="347"/>
      <c r="I127" s="347"/>
      <c r="J127" s="347"/>
      <c r="K127" s="347"/>
      <c r="L127" s="347"/>
      <c r="M127" s="347"/>
      <c r="N127" s="347"/>
      <c r="O127" s="347"/>
      <c r="P127" s="347"/>
      <c r="Q127" s="347"/>
      <c r="R127" s="347"/>
      <c r="S127" s="347"/>
      <c r="T127" s="347"/>
      <c r="U127" s="356"/>
      <c r="V127" s="356"/>
      <c r="W127" s="357"/>
      <c r="X127" s="357"/>
      <c r="Y127" s="357"/>
      <c r="Z127" s="357"/>
      <c r="AA127" s="374"/>
      <c r="AB127" s="374"/>
      <c r="AC127" s="375"/>
      <c r="AD127" s="375"/>
      <c r="AE127" s="375"/>
      <c r="AF127" s="276"/>
    </row>
    <row r="128" customFormat="false" ht="15.75" hidden="false" customHeight="true" outlineLevel="0" collapsed="false">
      <c r="A128" s="364"/>
      <c r="B128" s="364"/>
      <c r="C128" s="365"/>
      <c r="D128" s="366"/>
      <c r="E128" s="366"/>
      <c r="F128" s="367"/>
      <c r="G128" s="367"/>
      <c r="H128" s="367"/>
      <c r="I128" s="367"/>
      <c r="J128" s="367"/>
      <c r="K128" s="367"/>
      <c r="L128" s="367"/>
      <c r="M128" s="367"/>
      <c r="N128" s="367"/>
      <c r="O128" s="367"/>
      <c r="P128" s="367"/>
      <c r="Q128" s="367"/>
      <c r="R128" s="367"/>
      <c r="S128" s="367"/>
      <c r="T128" s="367"/>
      <c r="U128" s="368"/>
      <c r="V128" s="368"/>
      <c r="W128" s="369"/>
      <c r="X128" s="369"/>
      <c r="Y128" s="369"/>
      <c r="Z128" s="369"/>
      <c r="AA128" s="370"/>
      <c r="AB128" s="370"/>
      <c r="AC128" s="371"/>
      <c r="AD128" s="371"/>
      <c r="AE128" s="371"/>
      <c r="AF128" s="372"/>
    </row>
    <row r="129" customFormat="false" ht="15.75" hidden="false" customHeight="true" outlineLevel="0" collapsed="false">
      <c r="A129" s="259" t="s">
        <v>1522</v>
      </c>
      <c r="B129" s="259"/>
      <c r="C129" s="323" t="n">
        <f aca="false">$C$5</f>
        <v>14312</v>
      </c>
      <c r="D129" s="323"/>
      <c r="E129" s="323"/>
      <c r="F129" s="323"/>
      <c r="G129" s="323"/>
      <c r="H129" s="323"/>
      <c r="I129" s="323"/>
      <c r="J129" s="323"/>
      <c r="K129" s="323"/>
      <c r="L129" s="323"/>
      <c r="M129" s="259" t="s">
        <v>1523</v>
      </c>
      <c r="N129" s="259"/>
      <c r="O129" s="259"/>
      <c r="P129" s="259"/>
      <c r="Q129" s="259"/>
      <c r="R129" s="324" t="str">
        <f aca="false">$R$5</f>
        <v>Operational Vehicle Laydown Area</v>
      </c>
      <c r="S129" s="324"/>
      <c r="T129" s="324"/>
      <c r="U129" s="324"/>
      <c r="V129" s="324"/>
      <c r="W129" s="324"/>
      <c r="X129" s="324"/>
      <c r="Y129" s="324"/>
      <c r="Z129" s="324"/>
      <c r="AA129" s="324"/>
      <c r="AB129" s="324"/>
      <c r="AC129" s="324"/>
      <c r="AD129" s="324"/>
      <c r="AE129" s="324"/>
      <c r="AF129" s="324"/>
    </row>
    <row r="130" customFormat="false" ht="15.75" hidden="false" customHeight="true" outlineLevel="0" collapsed="false">
      <c r="A130" s="276"/>
      <c r="B130" s="276"/>
      <c r="C130" s="296"/>
      <c r="D130" s="276"/>
      <c r="E130" s="276"/>
      <c r="F130" s="296"/>
      <c r="G130" s="276"/>
      <c r="H130" s="276"/>
      <c r="I130" s="276"/>
      <c r="J130" s="276"/>
      <c r="K130" s="276"/>
      <c r="L130" s="276"/>
      <c r="M130" s="276"/>
      <c r="N130" s="276"/>
      <c r="O130" s="276"/>
      <c r="P130" s="276"/>
      <c r="Q130" s="276"/>
      <c r="R130" s="276"/>
      <c r="S130" s="276"/>
      <c r="T130" s="276"/>
      <c r="U130" s="276"/>
      <c r="V130" s="276"/>
      <c r="W130" s="277"/>
      <c r="X130" s="277"/>
      <c r="Y130" s="276"/>
      <c r="Z130" s="276"/>
      <c r="AA130" s="276"/>
      <c r="AB130" s="276"/>
      <c r="AC130" s="277"/>
      <c r="AD130" s="277"/>
      <c r="AE130" s="277"/>
      <c r="AF130" s="276"/>
    </row>
    <row r="131" customFormat="false" ht="15.75" hidden="false" customHeight="true" outlineLevel="0" collapsed="false">
      <c r="A131" s="276"/>
      <c r="B131" s="276"/>
      <c r="C131" s="325" t="s">
        <v>1542</v>
      </c>
      <c r="D131" s="276"/>
      <c r="E131" s="276"/>
      <c r="F131" s="296"/>
      <c r="G131" s="276"/>
      <c r="H131" s="276"/>
      <c r="I131" s="276"/>
      <c r="J131" s="276"/>
      <c r="K131" s="276"/>
      <c r="L131" s="276"/>
      <c r="M131" s="276"/>
      <c r="N131" s="276"/>
      <c r="O131" s="276"/>
      <c r="P131" s="276"/>
      <c r="Q131" s="276"/>
      <c r="R131" s="276"/>
      <c r="S131" s="276"/>
      <c r="T131" s="276"/>
      <c r="U131" s="276"/>
      <c r="V131" s="276"/>
      <c r="W131" s="277"/>
      <c r="X131" s="277"/>
      <c r="Y131" s="276"/>
      <c r="Z131" s="276"/>
      <c r="AA131" s="276"/>
      <c r="AB131" s="276"/>
      <c r="AC131" s="277"/>
      <c r="AD131" s="277"/>
      <c r="AE131" s="277"/>
      <c r="AF131" s="276"/>
    </row>
    <row r="132" customFormat="false" ht="15.75" hidden="false" customHeight="true" outlineLevel="0" collapsed="false">
      <c r="A132" s="276"/>
      <c r="B132" s="276"/>
      <c r="C132" s="326" t="str">
        <f aca="false">C86</f>
        <v>M28261</v>
      </c>
      <c r="D132" s="326"/>
      <c r="E132" s="326"/>
      <c r="F132" s="327" t="str">
        <f aca="false">F86</f>
        <v>H&amp;S CO</v>
      </c>
      <c r="G132" s="327"/>
      <c r="H132" s="327"/>
      <c r="I132" s="327"/>
      <c r="J132" s="327"/>
      <c r="K132" s="327"/>
      <c r="L132" s="327"/>
      <c r="M132" s="327"/>
      <c r="N132" s="328"/>
      <c r="O132" s="329"/>
      <c r="P132" s="329"/>
      <c r="Q132" s="329"/>
      <c r="R132" s="329"/>
      <c r="S132" s="330"/>
      <c r="T132" s="295"/>
      <c r="U132" s="295"/>
      <c r="V132" s="295"/>
      <c r="W132" s="331"/>
      <c r="X132" s="331"/>
      <c r="Y132" s="295"/>
      <c r="Z132" s="295"/>
      <c r="AA132" s="295"/>
      <c r="AB132" s="295"/>
      <c r="AC132" s="332"/>
      <c r="AD132" s="332"/>
      <c r="AE132" s="332"/>
      <c r="AF132" s="276"/>
    </row>
    <row r="133" customFormat="false" ht="15.75" hidden="false" customHeight="true" outlineLevel="0" collapsed="false">
      <c r="A133" s="276"/>
      <c r="B133" s="276"/>
      <c r="C133" s="376" t="s">
        <v>1055</v>
      </c>
      <c r="D133" s="376"/>
      <c r="E133" s="376"/>
      <c r="F133" s="334" t="s">
        <v>13</v>
      </c>
      <c r="G133" s="334"/>
      <c r="H133" s="334"/>
      <c r="I133" s="334"/>
      <c r="J133" s="334"/>
      <c r="K133" s="334"/>
      <c r="L133" s="334"/>
      <c r="M133" s="334"/>
      <c r="N133" s="334"/>
      <c r="O133" s="334"/>
      <c r="P133" s="334"/>
      <c r="Q133" s="334"/>
      <c r="R133" s="334"/>
      <c r="S133" s="334"/>
      <c r="T133" s="334"/>
      <c r="U133" s="335" t="s">
        <v>1543</v>
      </c>
      <c r="V133" s="335"/>
      <c r="W133" s="335" t="s">
        <v>1544</v>
      </c>
      <c r="X133" s="335"/>
      <c r="Y133" s="335" t="s">
        <v>1545</v>
      </c>
      <c r="Z133" s="335"/>
      <c r="AA133" s="335" t="s">
        <v>1546</v>
      </c>
      <c r="AB133" s="335"/>
      <c r="AC133" s="336" t="s">
        <v>1547</v>
      </c>
      <c r="AD133" s="336"/>
      <c r="AE133" s="336"/>
      <c r="AF133" s="276"/>
    </row>
    <row r="134" customFormat="false" ht="15.75" hidden="false" customHeight="true" outlineLevel="0" collapsed="false">
      <c r="A134" s="276"/>
      <c r="B134" s="276"/>
      <c r="C134" s="376"/>
      <c r="D134" s="376"/>
      <c r="E134" s="376"/>
      <c r="F134" s="334"/>
      <c r="G134" s="334"/>
      <c r="H134" s="334"/>
      <c r="I134" s="334"/>
      <c r="J134" s="334"/>
      <c r="K134" s="334"/>
      <c r="L134" s="334"/>
      <c r="M134" s="334"/>
      <c r="N134" s="334"/>
      <c r="O134" s="334"/>
      <c r="P134" s="334"/>
      <c r="Q134" s="334"/>
      <c r="R134" s="334"/>
      <c r="S134" s="334"/>
      <c r="T134" s="334"/>
      <c r="U134" s="335"/>
      <c r="V134" s="335"/>
      <c r="W134" s="335"/>
      <c r="X134" s="335"/>
      <c r="Y134" s="335"/>
      <c r="Z134" s="335"/>
      <c r="AA134" s="335"/>
      <c r="AB134" s="335"/>
      <c r="AC134" s="336"/>
      <c r="AD134" s="336"/>
      <c r="AE134" s="336"/>
      <c r="AF134" s="276"/>
    </row>
    <row r="135" customFormat="false" ht="15.75" hidden="false" customHeight="true" outlineLevel="0" collapsed="false">
      <c r="A135" s="276"/>
      <c r="B135" s="276"/>
      <c r="C135" s="377" t="s">
        <v>1610</v>
      </c>
      <c r="D135" s="338"/>
      <c r="E135" s="338"/>
      <c r="F135" s="339" t="str">
        <f aca="false">IFERROR(VLOOKUP(C135,TE!$H:$Y,2,FALSE()),"(Not on TE)")</f>
        <v>(Not on TE)</v>
      </c>
      <c r="G135" s="338"/>
      <c r="H135" s="338"/>
      <c r="I135" s="338"/>
      <c r="J135" s="338"/>
      <c r="K135" s="338"/>
      <c r="L135" s="338"/>
      <c r="M135" s="338"/>
      <c r="N135" s="338"/>
      <c r="O135" s="338"/>
      <c r="P135" s="338"/>
      <c r="Q135" s="338"/>
      <c r="R135" s="338"/>
      <c r="S135" s="338"/>
      <c r="T135" s="338"/>
      <c r="U135" s="340" t="str">
        <f aca="false">IFERROR(VLOOKUP(C135,TE!$H:$Y,9,FALSE()),"0")</f>
        <v>0</v>
      </c>
      <c r="V135" s="340"/>
      <c r="W135" s="341" t="n">
        <f aca="false">SUMIFS(TE!$O:$O,TE!$G:$G,$C$40,TE!$I:$I,C135,TE!$D:$D,$C$5)</f>
        <v>0</v>
      </c>
      <c r="X135" s="341"/>
      <c r="Y135" s="341" t="str">
        <f aca="false">IFERROR(VLOOKUP(C135,TE!$H:$Y,16,FALSE()),"0")</f>
        <v>0</v>
      </c>
      <c r="Z135" s="341"/>
      <c r="AA135" s="342" t="str">
        <f aca="false">IFERROR(VLOOKUP(C135,TE!$H:$Y,17,FALSE()),"0")</f>
        <v>0</v>
      </c>
      <c r="AB135" s="342"/>
      <c r="AC135" s="343" t="n">
        <f aca="false">IFERROR((W135*Y135*AA135),"")</f>
        <v>0</v>
      </c>
      <c r="AD135" s="343"/>
      <c r="AE135" s="343"/>
      <c r="AF135" s="276"/>
    </row>
    <row r="136" customFormat="false" ht="15.75" hidden="false" customHeight="true" outlineLevel="0" collapsed="false">
      <c r="A136" s="276"/>
      <c r="B136" s="276"/>
      <c r="C136" s="377" t="s">
        <v>1611</v>
      </c>
      <c r="D136" s="338"/>
      <c r="E136" s="338"/>
      <c r="F136" s="339" t="str">
        <f aca="false">IFERROR(VLOOKUP(C136,TE!$H:$Y,2,FALSE()),"(Not on TE)")</f>
        <v>(Not on TE)</v>
      </c>
      <c r="G136" s="338"/>
      <c r="H136" s="338"/>
      <c r="I136" s="338"/>
      <c r="J136" s="338"/>
      <c r="K136" s="338"/>
      <c r="L136" s="338"/>
      <c r="M136" s="338"/>
      <c r="N136" s="338"/>
      <c r="O136" s="338"/>
      <c r="P136" s="338"/>
      <c r="Q136" s="338"/>
      <c r="R136" s="338"/>
      <c r="S136" s="338"/>
      <c r="T136" s="338"/>
      <c r="U136" s="340" t="str">
        <f aca="false">IFERROR(VLOOKUP(C136,TE!$H:$Y,9,FALSE()),"0")</f>
        <v>0</v>
      </c>
      <c r="V136" s="340"/>
      <c r="W136" s="341" t="n">
        <f aca="false">SUMIFS(TE!$O:$O,TE!$G:$G,$C$40,TE!$I:$I,C136,TE!$D:$D,$C$5)</f>
        <v>0</v>
      </c>
      <c r="X136" s="341"/>
      <c r="Y136" s="341" t="str">
        <f aca="false">IFERROR(VLOOKUP(C136,TE!$H:$Y,16,FALSE()),"0")</f>
        <v>0</v>
      </c>
      <c r="Z136" s="341"/>
      <c r="AA136" s="342" t="str">
        <f aca="false">IFERROR(VLOOKUP(C136,TE!$H:$Y,17,FALSE()),"0")</f>
        <v>0</v>
      </c>
      <c r="AB136" s="342"/>
      <c r="AC136" s="343" t="n">
        <f aca="false">IFERROR((W136*Y136*AA136),"")</f>
        <v>0</v>
      </c>
      <c r="AD136" s="343"/>
      <c r="AE136" s="343"/>
      <c r="AF136" s="276"/>
    </row>
    <row r="137" customFormat="false" ht="15.75" hidden="false" customHeight="true" outlineLevel="0" collapsed="false">
      <c r="A137" s="276"/>
      <c r="B137" s="276"/>
      <c r="C137" s="377" t="s">
        <v>1612</v>
      </c>
      <c r="D137" s="338"/>
      <c r="E137" s="338"/>
      <c r="F137" s="339" t="str">
        <f aca="false">IFERROR(VLOOKUP(C137,TE!$H:$Y,2,FALSE()),"(Not on TE)")</f>
        <v>(Not on TE)</v>
      </c>
      <c r="G137" s="338"/>
      <c r="H137" s="338"/>
      <c r="I137" s="338"/>
      <c r="J137" s="338"/>
      <c r="K137" s="338"/>
      <c r="L137" s="338"/>
      <c r="M137" s="338"/>
      <c r="N137" s="338"/>
      <c r="O137" s="338"/>
      <c r="P137" s="338"/>
      <c r="Q137" s="338"/>
      <c r="R137" s="338"/>
      <c r="S137" s="338"/>
      <c r="T137" s="338"/>
      <c r="U137" s="340" t="str">
        <f aca="false">IFERROR(VLOOKUP(C137,TE!$H:$Y,9,FALSE()),"0")</f>
        <v>0</v>
      </c>
      <c r="V137" s="340"/>
      <c r="W137" s="341" t="n">
        <f aca="false">SUMIFS(TE!$O:$O,TE!$G:$G,$C$40,TE!$I:$I,C137,TE!$D:$D,$C$5)</f>
        <v>0</v>
      </c>
      <c r="X137" s="341"/>
      <c r="Y137" s="341" t="str">
        <f aca="false">IFERROR(VLOOKUP(C137,TE!$H:$Y,16,FALSE()),"0")</f>
        <v>0</v>
      </c>
      <c r="Z137" s="341"/>
      <c r="AA137" s="342" t="str">
        <f aca="false">IFERROR(VLOOKUP(C137,TE!$H:$Y,17,FALSE()),"0")</f>
        <v>0</v>
      </c>
      <c r="AB137" s="342"/>
      <c r="AC137" s="343" t="n">
        <f aca="false">IFERROR((W137*Y137*AA137),"")</f>
        <v>0</v>
      </c>
      <c r="AD137" s="343"/>
      <c r="AE137" s="343"/>
      <c r="AF137" s="276"/>
    </row>
    <row r="138" customFormat="false" ht="15.75" hidden="false" customHeight="true" outlineLevel="0" collapsed="false">
      <c r="A138" s="276"/>
      <c r="B138" s="276"/>
      <c r="C138" s="377" t="s">
        <v>1613</v>
      </c>
      <c r="D138" s="338"/>
      <c r="E138" s="338"/>
      <c r="F138" s="339" t="str">
        <f aca="false">IFERROR(VLOOKUP(C138,TE!$H:$Y,2,FALSE()),"(Not on TE)")</f>
        <v>(Not on TE)</v>
      </c>
      <c r="G138" s="338"/>
      <c r="H138" s="338"/>
      <c r="I138" s="338"/>
      <c r="J138" s="338"/>
      <c r="K138" s="338"/>
      <c r="L138" s="338"/>
      <c r="M138" s="338"/>
      <c r="N138" s="338"/>
      <c r="O138" s="338"/>
      <c r="P138" s="338"/>
      <c r="Q138" s="338"/>
      <c r="R138" s="338"/>
      <c r="S138" s="338"/>
      <c r="T138" s="338"/>
      <c r="U138" s="340" t="str">
        <f aca="false">IFERROR(VLOOKUP(C138,TE!$H:$Y,9,FALSE()),"0")</f>
        <v>0</v>
      </c>
      <c r="V138" s="340"/>
      <c r="W138" s="341" t="n">
        <f aca="false">SUMIFS(TE!$O:$O,TE!$G:$G,$C$40,TE!$I:$I,C138,TE!$D:$D,$C$5)</f>
        <v>0</v>
      </c>
      <c r="X138" s="341"/>
      <c r="Y138" s="341" t="str">
        <f aca="false">IFERROR(VLOOKUP(C138,TE!$H:$Y,16,FALSE()),"0")</f>
        <v>0</v>
      </c>
      <c r="Z138" s="341"/>
      <c r="AA138" s="342" t="str">
        <f aca="false">IFERROR(VLOOKUP(C138,TE!$H:$Y,17,FALSE()),"0")</f>
        <v>0</v>
      </c>
      <c r="AB138" s="342"/>
      <c r="AC138" s="343" t="n">
        <f aca="false">IFERROR((W138*Y138*AA138),"")</f>
        <v>0</v>
      </c>
      <c r="AD138" s="343"/>
      <c r="AE138" s="343"/>
      <c r="AF138" s="276"/>
    </row>
    <row r="139" customFormat="false" ht="15.75" hidden="false" customHeight="true" outlineLevel="0" collapsed="false">
      <c r="A139" s="276"/>
      <c r="B139" s="276"/>
      <c r="C139" s="377" t="s">
        <v>1614</v>
      </c>
      <c r="D139" s="338"/>
      <c r="E139" s="338"/>
      <c r="F139" s="339" t="str">
        <f aca="false">IFERROR(VLOOKUP(C139,TE!$H:$Y,2,FALSE()),"(Not on TE)")</f>
        <v>(Not on TE)</v>
      </c>
      <c r="G139" s="338"/>
      <c r="H139" s="338"/>
      <c r="I139" s="338"/>
      <c r="J139" s="338"/>
      <c r="K139" s="338"/>
      <c r="L139" s="338"/>
      <c r="M139" s="338"/>
      <c r="N139" s="338"/>
      <c r="O139" s="338"/>
      <c r="P139" s="338"/>
      <c r="Q139" s="338"/>
      <c r="R139" s="338"/>
      <c r="S139" s="338"/>
      <c r="T139" s="338"/>
      <c r="U139" s="340" t="str">
        <f aca="false">IFERROR(VLOOKUP(C139,TE!$H:$Y,9,FALSE()),"0")</f>
        <v>0</v>
      </c>
      <c r="V139" s="340"/>
      <c r="W139" s="341" t="n">
        <f aca="false">SUMIFS(TE!$O:$O,TE!$G:$G,$C$40,TE!$I:$I,C139,TE!$D:$D,$C$5)</f>
        <v>0</v>
      </c>
      <c r="X139" s="341"/>
      <c r="Y139" s="341" t="str">
        <f aca="false">IFERROR(VLOOKUP(C139,TE!$H:$Y,16,FALSE()),"0")</f>
        <v>0</v>
      </c>
      <c r="Z139" s="341"/>
      <c r="AA139" s="342" t="str">
        <f aca="false">IFERROR(VLOOKUP(C139,TE!$H:$Y,17,FALSE()),"0")</f>
        <v>0</v>
      </c>
      <c r="AB139" s="342"/>
      <c r="AC139" s="343" t="n">
        <f aca="false">IFERROR((W139*Y139*AA139),"")</f>
        <v>0</v>
      </c>
      <c r="AD139" s="343"/>
      <c r="AE139" s="343"/>
      <c r="AF139" s="276"/>
    </row>
    <row r="140" customFormat="false" ht="15.75" hidden="false" customHeight="true" outlineLevel="0" collapsed="false">
      <c r="A140" s="276"/>
      <c r="B140" s="276"/>
      <c r="C140" s="377" t="s">
        <v>1615</v>
      </c>
      <c r="D140" s="338"/>
      <c r="E140" s="338"/>
      <c r="F140" s="339" t="str">
        <f aca="false">IFERROR(VLOOKUP(C140,TE!$H:$Y,2,FALSE()),"(Not on TE)")</f>
        <v>(Not on TE)</v>
      </c>
      <c r="G140" s="338"/>
      <c r="H140" s="338"/>
      <c r="I140" s="338"/>
      <c r="J140" s="338"/>
      <c r="K140" s="338"/>
      <c r="L140" s="338"/>
      <c r="M140" s="338"/>
      <c r="N140" s="338"/>
      <c r="O140" s="338"/>
      <c r="P140" s="338"/>
      <c r="Q140" s="338"/>
      <c r="R140" s="338"/>
      <c r="S140" s="338"/>
      <c r="T140" s="338"/>
      <c r="U140" s="340" t="str">
        <f aca="false">IFERROR(VLOOKUP(C140,TE!$H:$Y,9,FALSE()),"0")</f>
        <v>0</v>
      </c>
      <c r="V140" s="340"/>
      <c r="W140" s="341" t="n">
        <f aca="false">SUMIFS(TE!$O:$O,TE!$G:$G,$C$40,TE!$I:$I,C140,TE!$D:$D,$C$5)</f>
        <v>0</v>
      </c>
      <c r="X140" s="341"/>
      <c r="Y140" s="341" t="str">
        <f aca="false">IFERROR(VLOOKUP(C140,TE!$H:$Y,16,FALSE()),"0")</f>
        <v>0</v>
      </c>
      <c r="Z140" s="341"/>
      <c r="AA140" s="342" t="str">
        <f aca="false">IFERROR(VLOOKUP(C140,TE!$H:$Y,17,FALSE()),"0")</f>
        <v>0</v>
      </c>
      <c r="AB140" s="342"/>
      <c r="AC140" s="343" t="n">
        <f aca="false">IFERROR((W140*Y140*AA140),"")</f>
        <v>0</v>
      </c>
      <c r="AD140" s="343"/>
      <c r="AE140" s="343"/>
      <c r="AF140" s="276"/>
    </row>
    <row r="141" customFormat="false" ht="15.75" hidden="false" customHeight="true" outlineLevel="0" collapsed="false">
      <c r="A141" s="276"/>
      <c r="B141" s="276"/>
      <c r="C141" s="377" t="s">
        <v>1616</v>
      </c>
      <c r="D141" s="338"/>
      <c r="E141" s="338"/>
      <c r="F141" s="339" t="str">
        <f aca="false">IFERROR(VLOOKUP(C141,TE!$H:$Y,2,FALSE()),"(Not on TE)")</f>
        <v>(Not on TE)</v>
      </c>
      <c r="G141" s="338"/>
      <c r="H141" s="338"/>
      <c r="I141" s="338"/>
      <c r="J141" s="338"/>
      <c r="K141" s="338"/>
      <c r="L141" s="338"/>
      <c r="M141" s="338"/>
      <c r="N141" s="338"/>
      <c r="O141" s="338"/>
      <c r="P141" s="338"/>
      <c r="Q141" s="338"/>
      <c r="R141" s="338"/>
      <c r="S141" s="338"/>
      <c r="T141" s="338"/>
      <c r="U141" s="340" t="str">
        <f aca="false">IFERROR(VLOOKUP(C141,TE!$H:$Y,9,FALSE()),"0")</f>
        <v>0</v>
      </c>
      <c r="V141" s="340"/>
      <c r="W141" s="341" t="n">
        <f aca="false">SUMIFS(TE!$O:$O,TE!$G:$G,$C$40,TE!$I:$I,C141,TE!$D:$D,$C$5)</f>
        <v>0</v>
      </c>
      <c r="X141" s="341"/>
      <c r="Y141" s="341" t="str">
        <f aca="false">IFERROR(VLOOKUP(C141,TE!$H:$Y,16,FALSE()),"0")</f>
        <v>0</v>
      </c>
      <c r="Z141" s="341"/>
      <c r="AA141" s="342" t="str">
        <f aca="false">IFERROR(VLOOKUP(C141,TE!$H:$Y,17,FALSE()),"0")</f>
        <v>0</v>
      </c>
      <c r="AB141" s="342"/>
      <c r="AC141" s="343" t="n">
        <f aca="false">IFERROR((W141*Y141*AA141),"")</f>
        <v>0</v>
      </c>
      <c r="AD141" s="343"/>
      <c r="AE141" s="343"/>
      <c r="AF141" s="276"/>
    </row>
    <row r="142" customFormat="false" ht="15.75" hidden="false" customHeight="true" outlineLevel="0" collapsed="false">
      <c r="A142" s="276"/>
      <c r="B142" s="276"/>
      <c r="C142" s="377" t="s">
        <v>1617</v>
      </c>
      <c r="D142" s="338"/>
      <c r="E142" s="338"/>
      <c r="F142" s="339" t="str">
        <f aca="false">IFERROR(VLOOKUP(C142,TE!$H:$Y,2,FALSE()),"(Not on TE)")</f>
        <v>(Not on TE)</v>
      </c>
      <c r="G142" s="338"/>
      <c r="H142" s="338"/>
      <c r="I142" s="338"/>
      <c r="J142" s="338"/>
      <c r="K142" s="338"/>
      <c r="L142" s="338"/>
      <c r="M142" s="338"/>
      <c r="N142" s="338"/>
      <c r="O142" s="338"/>
      <c r="P142" s="338"/>
      <c r="Q142" s="338"/>
      <c r="R142" s="338"/>
      <c r="S142" s="338"/>
      <c r="T142" s="338"/>
      <c r="U142" s="340" t="str">
        <f aca="false">IFERROR(VLOOKUP(C142,TE!$H:$Y,9,FALSE()),"0")</f>
        <v>0</v>
      </c>
      <c r="V142" s="340"/>
      <c r="W142" s="341" t="n">
        <f aca="false">SUMIFS(TE!$O:$O,TE!$G:$G,$C$40,TE!$I:$I,C142,TE!$D:$D,$C$5)</f>
        <v>0</v>
      </c>
      <c r="X142" s="341"/>
      <c r="Y142" s="341" t="str">
        <f aca="false">IFERROR(VLOOKUP(C142,TE!$H:$Y,16,FALSE()),"0")</f>
        <v>0</v>
      </c>
      <c r="Z142" s="341"/>
      <c r="AA142" s="342" t="str">
        <f aca="false">IFERROR(VLOOKUP(C142,TE!$H:$Y,17,FALSE()),"0")</f>
        <v>0</v>
      </c>
      <c r="AB142" s="342"/>
      <c r="AC142" s="343" t="n">
        <f aca="false">IFERROR((W142*Y142*AA142),"")</f>
        <v>0</v>
      </c>
      <c r="AD142" s="343"/>
      <c r="AE142" s="343"/>
      <c r="AF142" s="276"/>
    </row>
    <row r="143" customFormat="false" ht="15.75" hidden="false" customHeight="true" outlineLevel="0" collapsed="false">
      <c r="A143" s="276"/>
      <c r="B143" s="276"/>
      <c r="C143" s="377" t="s">
        <v>1167</v>
      </c>
      <c r="D143" s="338"/>
      <c r="E143" s="338"/>
      <c r="F143" s="339" t="str">
        <f aca="false">IFERROR(VLOOKUP(C143,TE!$H:$Y,2,FALSE()),"(Not on TE)")</f>
        <v>(Not on TE)</v>
      </c>
      <c r="G143" s="338"/>
      <c r="H143" s="338"/>
      <c r="I143" s="338"/>
      <c r="J143" s="338"/>
      <c r="K143" s="338"/>
      <c r="L143" s="338"/>
      <c r="M143" s="338"/>
      <c r="N143" s="338"/>
      <c r="O143" s="338"/>
      <c r="P143" s="338"/>
      <c r="Q143" s="338"/>
      <c r="R143" s="338"/>
      <c r="S143" s="338"/>
      <c r="T143" s="338"/>
      <c r="U143" s="340" t="str">
        <f aca="false">IFERROR(VLOOKUP(C143,TE!$H:$Y,9,FALSE()),"0")</f>
        <v>0</v>
      </c>
      <c r="V143" s="340"/>
      <c r="W143" s="341" t="n">
        <f aca="false">SUMIFS(TE!$O:$O,TE!$G:$G,$C$40,TE!$I:$I,C143,TE!$D:$D,$C$5)</f>
        <v>0</v>
      </c>
      <c r="X143" s="341"/>
      <c r="Y143" s="341" t="str">
        <f aca="false">IFERROR(VLOOKUP(C143,TE!$H:$Y,16,FALSE()),"0")</f>
        <v>0</v>
      </c>
      <c r="Z143" s="341"/>
      <c r="AA143" s="342" t="str">
        <f aca="false">IFERROR(VLOOKUP(C143,TE!$H:$Y,17,FALSE()),"0")</f>
        <v>0</v>
      </c>
      <c r="AB143" s="342"/>
      <c r="AC143" s="343" t="n">
        <f aca="false">IFERROR((W143*Y143*AA143),"")</f>
        <v>0</v>
      </c>
      <c r="AD143" s="343"/>
      <c r="AE143" s="343"/>
      <c r="AF143" s="276"/>
    </row>
    <row r="144" customFormat="false" ht="15.75" hidden="false" customHeight="true" outlineLevel="0" collapsed="false">
      <c r="A144" s="276"/>
      <c r="B144" s="276"/>
      <c r="C144" s="377" t="s">
        <v>1618</v>
      </c>
      <c r="D144" s="338"/>
      <c r="E144" s="338"/>
      <c r="F144" s="339" t="str">
        <f aca="false">IFERROR(VLOOKUP(C144,TE!$H:$Y,2,FALSE()),"(Not on TE)")</f>
        <v>(Not on TE)</v>
      </c>
      <c r="G144" s="338"/>
      <c r="H144" s="338"/>
      <c r="I144" s="338"/>
      <c r="J144" s="338"/>
      <c r="K144" s="338"/>
      <c r="L144" s="338"/>
      <c r="M144" s="338"/>
      <c r="N144" s="338"/>
      <c r="O144" s="338"/>
      <c r="P144" s="338"/>
      <c r="Q144" s="338"/>
      <c r="R144" s="338"/>
      <c r="S144" s="338"/>
      <c r="T144" s="338"/>
      <c r="U144" s="340" t="str">
        <f aca="false">IFERROR(VLOOKUP(C144,TE!$H:$Y,9,FALSE()),"0")</f>
        <v>0</v>
      </c>
      <c r="V144" s="340"/>
      <c r="W144" s="341" t="n">
        <f aca="false">SUMIFS(TE!$O:$O,TE!$G:$G,$C$40,TE!$I:$I,C144,TE!$D:$D,$C$5)</f>
        <v>0</v>
      </c>
      <c r="X144" s="341"/>
      <c r="Y144" s="341" t="str">
        <f aca="false">IFERROR(VLOOKUP(C144,TE!$H:$Y,16,FALSE()),"0")</f>
        <v>0</v>
      </c>
      <c r="Z144" s="341"/>
      <c r="AA144" s="342" t="str">
        <f aca="false">IFERROR(VLOOKUP(C144,TE!$H:$Y,17,FALSE()),"0")</f>
        <v>0</v>
      </c>
      <c r="AB144" s="342"/>
      <c r="AC144" s="343" t="n">
        <f aca="false">IFERROR((W144*Y144*AA144),"")</f>
        <v>0</v>
      </c>
      <c r="AD144" s="343"/>
      <c r="AE144" s="343"/>
      <c r="AF144" s="276"/>
    </row>
    <row r="145" customFormat="false" ht="15.75" hidden="false" customHeight="true" outlineLevel="0" collapsed="false">
      <c r="A145" s="276"/>
      <c r="B145" s="276"/>
      <c r="C145" s="344" t="s">
        <v>1114</v>
      </c>
      <c r="D145" s="338"/>
      <c r="E145" s="338"/>
      <c r="F145" s="339" t="str">
        <f aca="false">IFERROR(VLOOKUP(C145,TE!$H:$Y,2,FALSE()),"(Not on TE)")</f>
        <v>(Not on TE)</v>
      </c>
      <c r="G145" s="338"/>
      <c r="H145" s="338"/>
      <c r="I145" s="338"/>
      <c r="J145" s="338"/>
      <c r="K145" s="338"/>
      <c r="L145" s="338"/>
      <c r="M145" s="338"/>
      <c r="N145" s="338"/>
      <c r="O145" s="338"/>
      <c r="P145" s="338"/>
      <c r="Q145" s="338"/>
      <c r="R145" s="338"/>
      <c r="S145" s="338"/>
      <c r="T145" s="338"/>
      <c r="U145" s="340" t="str">
        <f aca="false">IFERROR(VLOOKUP(C145,TE!$H:$Y,9,FALSE()),"0")</f>
        <v>0</v>
      </c>
      <c r="V145" s="340"/>
      <c r="W145" s="341" t="n">
        <f aca="false">SUMIFS(TE!$O:$O,TE!$G:$G,$C$40,TE!$I:$I,C145,TE!$D:$D,$C$5)</f>
        <v>0</v>
      </c>
      <c r="X145" s="341"/>
      <c r="Y145" s="341" t="str">
        <f aca="false">IFERROR(VLOOKUP(C145,TE!$H:$Y,16,FALSE()),"0")</f>
        <v>0</v>
      </c>
      <c r="Z145" s="341"/>
      <c r="AA145" s="342" t="str">
        <f aca="false">IFERROR(VLOOKUP(C145,TE!$H:$Y,17,FALSE()),"0")</f>
        <v>0</v>
      </c>
      <c r="AB145" s="342"/>
      <c r="AC145" s="343" t="n">
        <f aca="false">IFERROR((W145*Y145*AA145),"")</f>
        <v>0</v>
      </c>
      <c r="AD145" s="343"/>
      <c r="AE145" s="343"/>
      <c r="AF145" s="276"/>
    </row>
    <row r="146" customFormat="false" ht="15.75" hidden="false" customHeight="true" outlineLevel="0" collapsed="false">
      <c r="A146" s="276"/>
      <c r="B146" s="276"/>
      <c r="C146" s="344" t="s">
        <v>1619</v>
      </c>
      <c r="D146" s="338"/>
      <c r="E146" s="338"/>
      <c r="F146" s="339" t="str">
        <f aca="false">IFERROR(VLOOKUP(C146,TE!$H:$Y,2,FALSE()),"(Not on TE)")</f>
        <v>(Not on TE)</v>
      </c>
      <c r="G146" s="338"/>
      <c r="H146" s="338"/>
      <c r="I146" s="338"/>
      <c r="J146" s="338"/>
      <c r="K146" s="338"/>
      <c r="L146" s="338"/>
      <c r="M146" s="338"/>
      <c r="N146" s="338"/>
      <c r="O146" s="338"/>
      <c r="P146" s="338"/>
      <c r="Q146" s="338"/>
      <c r="R146" s="338"/>
      <c r="S146" s="338"/>
      <c r="T146" s="338"/>
      <c r="U146" s="340" t="str">
        <f aca="false">IFERROR(VLOOKUP(C146,TE!$H:$Y,9,FALSE()),"0")</f>
        <v>0</v>
      </c>
      <c r="V146" s="340"/>
      <c r="W146" s="341" t="n">
        <f aca="false">SUMIFS(TE!$O:$O,TE!$G:$G,$C$40,TE!$I:$I,C146,TE!$D:$D,$C$5)</f>
        <v>0</v>
      </c>
      <c r="X146" s="341"/>
      <c r="Y146" s="341" t="str">
        <f aca="false">IFERROR(VLOOKUP(C146,TE!$H:$Y,16,FALSE()),"0")</f>
        <v>0</v>
      </c>
      <c r="Z146" s="341"/>
      <c r="AA146" s="342" t="str">
        <f aca="false">IFERROR(VLOOKUP(C146,TE!$H:$Y,17,FALSE()),"0")</f>
        <v>0</v>
      </c>
      <c r="AB146" s="342"/>
      <c r="AC146" s="343" t="n">
        <f aca="false">IFERROR((W146*Y146*AA146),"")</f>
        <v>0</v>
      </c>
      <c r="AD146" s="343"/>
      <c r="AE146" s="343"/>
      <c r="AF146" s="276"/>
    </row>
    <row r="147" customFormat="false" ht="15.75" hidden="false" customHeight="true" outlineLevel="0" collapsed="false">
      <c r="A147" s="276"/>
      <c r="B147" s="276"/>
      <c r="C147" s="344" t="s">
        <v>1620</v>
      </c>
      <c r="D147" s="338"/>
      <c r="E147" s="338"/>
      <c r="F147" s="339" t="str">
        <f aca="false">IFERROR(VLOOKUP(C147,TE!$H:$Y,2,FALSE()),"(Not on TE)")</f>
        <v>(Not on TE)</v>
      </c>
      <c r="G147" s="338"/>
      <c r="H147" s="338"/>
      <c r="I147" s="338"/>
      <c r="J147" s="338"/>
      <c r="K147" s="338"/>
      <c r="L147" s="338"/>
      <c r="M147" s="338"/>
      <c r="N147" s="338"/>
      <c r="O147" s="338"/>
      <c r="P147" s="338"/>
      <c r="Q147" s="338"/>
      <c r="R147" s="338"/>
      <c r="S147" s="338"/>
      <c r="T147" s="338"/>
      <c r="U147" s="340" t="str">
        <f aca="false">IFERROR(VLOOKUP(C147,TE!$H:$Y,9,FALSE()),"0")</f>
        <v>0</v>
      </c>
      <c r="V147" s="340"/>
      <c r="W147" s="341" t="n">
        <f aca="false">SUMIFS(TE!$O:$O,TE!$G:$G,$C$40,TE!$I:$I,C147,TE!$D:$D,$C$5)</f>
        <v>0</v>
      </c>
      <c r="X147" s="341"/>
      <c r="Y147" s="341" t="str">
        <f aca="false">IFERROR(VLOOKUP(C147,TE!$H:$Y,16,FALSE()),"0")</f>
        <v>0</v>
      </c>
      <c r="Z147" s="341"/>
      <c r="AA147" s="342" t="str">
        <f aca="false">IFERROR(VLOOKUP(C147,TE!$H:$Y,17,FALSE()),"0")</f>
        <v>0</v>
      </c>
      <c r="AB147" s="342"/>
      <c r="AC147" s="343" t="n">
        <f aca="false">IFERROR((W147*Y147*AA147),"")</f>
        <v>0</v>
      </c>
      <c r="AD147" s="343"/>
      <c r="AE147" s="343"/>
      <c r="AF147" s="276"/>
    </row>
    <row r="148" customFormat="false" ht="15.75" hidden="false" customHeight="true" outlineLevel="0" collapsed="false">
      <c r="A148" s="276"/>
      <c r="B148" s="276"/>
      <c r="C148" s="344" t="s">
        <v>1621</v>
      </c>
      <c r="D148" s="338"/>
      <c r="E148" s="338"/>
      <c r="F148" s="339" t="str">
        <f aca="false">IFERROR(VLOOKUP(C148,TE!$H:$Y,2,FALSE()),"(Not on TE)")</f>
        <v>(Not on TE)</v>
      </c>
      <c r="G148" s="338"/>
      <c r="H148" s="338"/>
      <c r="I148" s="338"/>
      <c r="J148" s="338"/>
      <c r="K148" s="338"/>
      <c r="L148" s="338"/>
      <c r="M148" s="338"/>
      <c r="N148" s="338"/>
      <c r="O148" s="338"/>
      <c r="P148" s="338"/>
      <c r="Q148" s="338"/>
      <c r="R148" s="338"/>
      <c r="S148" s="338"/>
      <c r="T148" s="338"/>
      <c r="U148" s="340" t="str">
        <f aca="false">IFERROR(VLOOKUP(C148,TE!$H:$Y,9,FALSE()),"0")</f>
        <v>0</v>
      </c>
      <c r="V148" s="340"/>
      <c r="W148" s="341" t="n">
        <f aca="false">SUMIFS(TE!$O:$O,TE!$G:$G,$C$40,TE!$I:$I,C148,TE!$D:$D,$C$5)</f>
        <v>0</v>
      </c>
      <c r="X148" s="341"/>
      <c r="Y148" s="341" t="str">
        <f aca="false">IFERROR(VLOOKUP(C148,TE!$H:$Y,16,FALSE()),"0")</f>
        <v>0</v>
      </c>
      <c r="Z148" s="341"/>
      <c r="AA148" s="342" t="str">
        <f aca="false">IFERROR(VLOOKUP(C148,TE!$H:$Y,17,FALSE()),"0")</f>
        <v>0</v>
      </c>
      <c r="AB148" s="342"/>
      <c r="AC148" s="343" t="n">
        <f aca="false">IFERROR((W148*Y148*AA148),"")</f>
        <v>0</v>
      </c>
      <c r="AD148" s="343"/>
      <c r="AE148" s="343"/>
      <c r="AF148" s="276"/>
    </row>
    <row r="149" customFormat="false" ht="15.75" hidden="false" customHeight="true" outlineLevel="0" collapsed="false">
      <c r="A149" s="276"/>
      <c r="B149" s="276"/>
      <c r="C149" s="344" t="s">
        <v>1622</v>
      </c>
      <c r="D149" s="338"/>
      <c r="E149" s="338"/>
      <c r="F149" s="339" t="str">
        <f aca="false">IFERROR(VLOOKUP(C149,TE!$H:$Y,2,FALSE()),"(Not on TE)")</f>
        <v>(Not on TE)</v>
      </c>
      <c r="G149" s="338"/>
      <c r="H149" s="338"/>
      <c r="I149" s="338"/>
      <c r="J149" s="338"/>
      <c r="K149" s="338"/>
      <c r="L149" s="338"/>
      <c r="M149" s="338"/>
      <c r="N149" s="338"/>
      <c r="O149" s="338"/>
      <c r="P149" s="338"/>
      <c r="Q149" s="338"/>
      <c r="R149" s="338"/>
      <c r="S149" s="338"/>
      <c r="T149" s="338"/>
      <c r="U149" s="340" t="str">
        <f aca="false">IFERROR(VLOOKUP(C149,TE!$H:$Y,9,FALSE()),"0")</f>
        <v>0</v>
      </c>
      <c r="V149" s="340"/>
      <c r="W149" s="341" t="n">
        <f aca="false">SUMIFS(TE!$O:$O,TE!$G:$G,$C$40,TE!$I:$I,C149,TE!$D:$D,$C$5)</f>
        <v>0</v>
      </c>
      <c r="X149" s="341"/>
      <c r="Y149" s="341" t="str">
        <f aca="false">IFERROR(VLOOKUP(C149,TE!$H:$Y,16,FALSE()),"0")</f>
        <v>0</v>
      </c>
      <c r="Z149" s="341"/>
      <c r="AA149" s="342" t="str">
        <f aca="false">IFERROR(VLOOKUP(C149,TE!$H:$Y,17,FALSE()),"0")</f>
        <v>0</v>
      </c>
      <c r="AB149" s="342"/>
      <c r="AC149" s="343" t="n">
        <f aca="false">IFERROR((W149*Y149*AA149),"")</f>
        <v>0</v>
      </c>
      <c r="AD149" s="343"/>
      <c r="AE149" s="343"/>
      <c r="AF149" s="276"/>
    </row>
    <row r="150" customFormat="false" ht="15.75" hidden="false" customHeight="true" outlineLevel="0" collapsed="false">
      <c r="A150" s="276"/>
      <c r="B150" s="276"/>
      <c r="C150" s="344" t="s">
        <v>1193</v>
      </c>
      <c r="D150" s="338"/>
      <c r="E150" s="338"/>
      <c r="F150" s="339" t="str">
        <f aca="false">IFERROR(VLOOKUP(C150,TE!$H:$Y,2,FALSE()),"(Not on TE)")</f>
        <v>(Not on TE)</v>
      </c>
      <c r="G150" s="338"/>
      <c r="H150" s="338"/>
      <c r="I150" s="338"/>
      <c r="J150" s="338"/>
      <c r="K150" s="338"/>
      <c r="L150" s="338"/>
      <c r="M150" s="338"/>
      <c r="N150" s="338"/>
      <c r="O150" s="338"/>
      <c r="P150" s="338"/>
      <c r="Q150" s="338"/>
      <c r="R150" s="338"/>
      <c r="S150" s="338"/>
      <c r="T150" s="338"/>
      <c r="U150" s="340" t="str">
        <f aca="false">IFERROR(VLOOKUP(C150,TE!$H:$Y,9,FALSE()),"0")</f>
        <v>0</v>
      </c>
      <c r="V150" s="340"/>
      <c r="W150" s="341" t="n">
        <f aca="false">SUMIFS(TE!$O:$O,TE!$G:$G,$C$40,TE!$I:$I,C150,TE!$D:$D,$C$5)</f>
        <v>0</v>
      </c>
      <c r="X150" s="341"/>
      <c r="Y150" s="341" t="str">
        <f aca="false">IFERROR(VLOOKUP(C150,TE!$H:$Y,16,FALSE()),"0")</f>
        <v>0</v>
      </c>
      <c r="Z150" s="341"/>
      <c r="AA150" s="342" t="str">
        <f aca="false">IFERROR(VLOOKUP(C150,TE!$H:$Y,17,FALSE()),"0")</f>
        <v>0</v>
      </c>
      <c r="AB150" s="342"/>
      <c r="AC150" s="343" t="n">
        <f aca="false">IFERROR((W150*Y150*AA150),"")</f>
        <v>0</v>
      </c>
      <c r="AD150" s="343"/>
      <c r="AE150" s="343"/>
      <c r="AF150" s="276"/>
    </row>
    <row r="151" customFormat="false" ht="15.75" hidden="false" customHeight="true" outlineLevel="0" collapsed="false">
      <c r="A151" s="276"/>
      <c r="B151" s="276"/>
      <c r="C151" s="344" t="s">
        <v>1623</v>
      </c>
      <c r="D151" s="338"/>
      <c r="E151" s="338"/>
      <c r="F151" s="339" t="str">
        <f aca="false">IFERROR(VLOOKUP(C151,TE!$H:$Y,2,FALSE()),"(Not on TE)")</f>
        <v>(Not on TE)</v>
      </c>
      <c r="G151" s="338"/>
      <c r="H151" s="338"/>
      <c r="I151" s="338"/>
      <c r="J151" s="338"/>
      <c r="K151" s="338"/>
      <c r="L151" s="338"/>
      <c r="M151" s="338"/>
      <c r="N151" s="338"/>
      <c r="O151" s="338"/>
      <c r="P151" s="338"/>
      <c r="Q151" s="338"/>
      <c r="R151" s="338"/>
      <c r="S151" s="338"/>
      <c r="T151" s="338"/>
      <c r="U151" s="340" t="str">
        <f aca="false">IFERROR(VLOOKUP(C151,TE!$H:$Y,9,FALSE()),"0")</f>
        <v>0</v>
      </c>
      <c r="V151" s="340"/>
      <c r="W151" s="341" t="n">
        <f aca="false">SUMIFS(TE!$O:$O,TE!$G:$G,$C$40,TE!$I:$I,C151,TE!$D:$D,$C$5)</f>
        <v>0</v>
      </c>
      <c r="X151" s="341"/>
      <c r="Y151" s="341" t="str">
        <f aca="false">IFERROR(VLOOKUP(C151,TE!$H:$Y,16,FALSE()),"0")</f>
        <v>0</v>
      </c>
      <c r="Z151" s="341"/>
      <c r="AA151" s="342" t="str">
        <f aca="false">IFERROR(VLOOKUP(C151,TE!$H:$Y,17,FALSE()),"0")</f>
        <v>0</v>
      </c>
      <c r="AB151" s="342"/>
      <c r="AC151" s="343" t="n">
        <f aca="false">IFERROR((W151*Y151*AA151),"")</f>
        <v>0</v>
      </c>
      <c r="AD151" s="343"/>
      <c r="AE151" s="343"/>
      <c r="AF151" s="276"/>
    </row>
    <row r="152" customFormat="false" ht="15.75" hidden="false" customHeight="true" outlineLevel="0" collapsed="false">
      <c r="A152" s="276"/>
      <c r="B152" s="276"/>
      <c r="C152" s="344" t="s">
        <v>1624</v>
      </c>
      <c r="D152" s="338"/>
      <c r="E152" s="338"/>
      <c r="F152" s="339" t="str">
        <f aca="false">IFERROR(VLOOKUP(C152,TE!$H:$Y,2,FALSE()),"(Not on TE)")</f>
        <v>(Not on TE)</v>
      </c>
      <c r="G152" s="338"/>
      <c r="H152" s="338"/>
      <c r="I152" s="338"/>
      <c r="J152" s="338"/>
      <c r="K152" s="338"/>
      <c r="L152" s="338"/>
      <c r="M152" s="338"/>
      <c r="N152" s="338"/>
      <c r="O152" s="338"/>
      <c r="P152" s="338"/>
      <c r="Q152" s="338"/>
      <c r="R152" s="338"/>
      <c r="S152" s="338"/>
      <c r="T152" s="338"/>
      <c r="U152" s="340" t="str">
        <f aca="false">IFERROR(VLOOKUP(C152,TE!$H:$Y,9,FALSE()),"0")</f>
        <v>0</v>
      </c>
      <c r="V152" s="340"/>
      <c r="W152" s="341" t="n">
        <f aca="false">SUMIFS(TE!$O:$O,TE!$G:$G,$C$40,TE!$I:$I,C152,TE!$D:$D,$C$5)</f>
        <v>0</v>
      </c>
      <c r="X152" s="341"/>
      <c r="Y152" s="341" t="str">
        <f aca="false">IFERROR(VLOOKUP(C152,TE!$H:$Y,16,FALSE()),"0")</f>
        <v>0</v>
      </c>
      <c r="Z152" s="341"/>
      <c r="AA152" s="342" t="str">
        <f aca="false">IFERROR(VLOOKUP(C152,TE!$H:$Y,17,FALSE()),"0")</f>
        <v>0</v>
      </c>
      <c r="AB152" s="342"/>
      <c r="AC152" s="343" t="n">
        <f aca="false">IFERROR((W152*Y152*AA152),"")</f>
        <v>0</v>
      </c>
      <c r="AD152" s="343"/>
      <c r="AE152" s="343"/>
      <c r="AF152" s="276"/>
    </row>
    <row r="153" customFormat="false" ht="15.75" hidden="false" customHeight="true" outlineLevel="0" collapsed="false">
      <c r="A153" s="276"/>
      <c r="B153" s="276"/>
      <c r="C153" s="344" t="s">
        <v>1625</v>
      </c>
      <c r="D153" s="338"/>
      <c r="E153" s="338"/>
      <c r="F153" s="339" t="str">
        <f aca="false">IFERROR(VLOOKUP(C153,TE!$H:$Y,2,FALSE()),"(Not on TE)")</f>
        <v>(Not on TE)</v>
      </c>
      <c r="G153" s="338"/>
      <c r="H153" s="338"/>
      <c r="I153" s="338"/>
      <c r="J153" s="338"/>
      <c r="K153" s="338"/>
      <c r="L153" s="338"/>
      <c r="M153" s="338"/>
      <c r="N153" s="338"/>
      <c r="O153" s="338"/>
      <c r="P153" s="338"/>
      <c r="Q153" s="338"/>
      <c r="R153" s="338"/>
      <c r="S153" s="338"/>
      <c r="T153" s="338"/>
      <c r="U153" s="340" t="str">
        <f aca="false">IFERROR(VLOOKUP(C153,TE!$H:$Y,9,FALSE()),"0")</f>
        <v>0</v>
      </c>
      <c r="V153" s="340"/>
      <c r="W153" s="341" t="n">
        <f aca="false">SUMIFS(TE!$O:$O,TE!$G:$G,$C$40,TE!$I:$I,C153,TE!$D:$D,$C$5)</f>
        <v>0</v>
      </c>
      <c r="X153" s="341"/>
      <c r="Y153" s="341" t="str">
        <f aca="false">IFERROR(VLOOKUP(C153,TE!$H:$Y,16,FALSE()),"0")</f>
        <v>0</v>
      </c>
      <c r="Z153" s="341"/>
      <c r="AA153" s="342" t="str">
        <f aca="false">IFERROR(VLOOKUP(C153,TE!$H:$Y,17,FALSE()),"0")</f>
        <v>0</v>
      </c>
      <c r="AB153" s="342"/>
      <c r="AC153" s="343" t="n">
        <f aca="false">IFERROR((W153*Y153*AA153),"")</f>
        <v>0</v>
      </c>
      <c r="AD153" s="343"/>
      <c r="AE153" s="343"/>
      <c r="AF153" s="276"/>
    </row>
    <row r="154" customFormat="false" ht="15.75" hidden="false" customHeight="true" outlineLevel="0" collapsed="false">
      <c r="A154" s="276"/>
      <c r="B154" s="276"/>
      <c r="C154" s="344" t="s">
        <v>1309</v>
      </c>
      <c r="D154" s="338"/>
      <c r="E154" s="338"/>
      <c r="F154" s="339" t="str">
        <f aca="false">IFERROR(VLOOKUP(C154,TE!$H:$Y,2,FALSE()),"(Not on TE)")</f>
        <v>(Not on TE)</v>
      </c>
      <c r="G154" s="338"/>
      <c r="H154" s="338"/>
      <c r="I154" s="338"/>
      <c r="J154" s="338"/>
      <c r="K154" s="338"/>
      <c r="L154" s="338"/>
      <c r="M154" s="338"/>
      <c r="N154" s="338"/>
      <c r="O154" s="338"/>
      <c r="P154" s="338"/>
      <c r="Q154" s="338"/>
      <c r="R154" s="338"/>
      <c r="S154" s="338"/>
      <c r="T154" s="338"/>
      <c r="U154" s="340" t="str">
        <f aca="false">IFERROR(VLOOKUP(C154,TE!$H:$Y,9,FALSE()),"0")</f>
        <v>0</v>
      </c>
      <c r="V154" s="340"/>
      <c r="W154" s="341" t="n">
        <f aca="false">SUMIFS(TE!$O:$O,TE!$G:$G,$C$40,TE!$I:$I,C154,TE!$D:$D,$C$5)</f>
        <v>0</v>
      </c>
      <c r="X154" s="341"/>
      <c r="Y154" s="341" t="str">
        <f aca="false">IFERROR(VLOOKUP(C154,TE!$H:$Y,16,FALSE()),"0")</f>
        <v>0</v>
      </c>
      <c r="Z154" s="341"/>
      <c r="AA154" s="342" t="str">
        <f aca="false">IFERROR(VLOOKUP(C154,TE!$H:$Y,17,FALSE()),"0")</f>
        <v>0</v>
      </c>
      <c r="AB154" s="342"/>
      <c r="AC154" s="343" t="n">
        <f aca="false">IFERROR((W154*Y154*AA154),"")</f>
        <v>0</v>
      </c>
      <c r="AD154" s="343"/>
      <c r="AE154" s="343"/>
      <c r="AF154" s="276"/>
    </row>
    <row r="155" customFormat="false" ht="15.75" hidden="false" customHeight="true" outlineLevel="0" collapsed="false">
      <c r="A155" s="276"/>
      <c r="B155" s="276"/>
      <c r="C155" s="344" t="s">
        <v>1626</v>
      </c>
      <c r="D155" s="338"/>
      <c r="E155" s="338"/>
      <c r="F155" s="339" t="str">
        <f aca="false">IFERROR(VLOOKUP(C155,TE!$H:$Y,2,FALSE()),"(Not on TE)")</f>
        <v>(Not on TE)</v>
      </c>
      <c r="G155" s="338"/>
      <c r="H155" s="338"/>
      <c r="I155" s="338"/>
      <c r="J155" s="338"/>
      <c r="K155" s="338"/>
      <c r="L155" s="338"/>
      <c r="M155" s="338"/>
      <c r="N155" s="338"/>
      <c r="O155" s="338"/>
      <c r="P155" s="338"/>
      <c r="Q155" s="338"/>
      <c r="R155" s="338"/>
      <c r="S155" s="338"/>
      <c r="T155" s="338"/>
      <c r="U155" s="340" t="str">
        <f aca="false">IFERROR(VLOOKUP(C155,TE!$H:$Y,9,FALSE()),"0")</f>
        <v>0</v>
      </c>
      <c r="V155" s="340"/>
      <c r="W155" s="341" t="n">
        <f aca="false">SUMIFS(TE!$O:$O,TE!$G:$G,$C$40,TE!$I:$I,C155,TE!$D:$D,$C$5)</f>
        <v>0</v>
      </c>
      <c r="X155" s="341"/>
      <c r="Y155" s="341" t="str">
        <f aca="false">IFERROR(VLOOKUP(C155,TE!$H:$Y,16,FALSE()),"0")</f>
        <v>0</v>
      </c>
      <c r="Z155" s="341"/>
      <c r="AA155" s="342" t="str">
        <f aca="false">IFERROR(VLOOKUP(C155,TE!$H:$Y,17,FALSE()),"0")</f>
        <v>0</v>
      </c>
      <c r="AB155" s="342"/>
      <c r="AC155" s="343" t="n">
        <f aca="false">IFERROR((W155*Y155*AA155),"")</f>
        <v>0</v>
      </c>
      <c r="AD155" s="343"/>
      <c r="AE155" s="343"/>
      <c r="AF155" s="276"/>
    </row>
    <row r="156" customFormat="false" ht="15.75" hidden="false" customHeight="true" outlineLevel="0" collapsed="false">
      <c r="A156" s="276"/>
      <c r="B156" s="276"/>
      <c r="C156" s="344" t="s">
        <v>1627</v>
      </c>
      <c r="D156" s="338"/>
      <c r="E156" s="338"/>
      <c r="F156" s="339" t="str">
        <f aca="false">IFERROR(VLOOKUP(C156,TE!$H:$Y,2,FALSE()),"(Not on TE)")</f>
        <v>(Not on TE)</v>
      </c>
      <c r="G156" s="338"/>
      <c r="H156" s="338"/>
      <c r="I156" s="338"/>
      <c r="J156" s="338"/>
      <c r="K156" s="338"/>
      <c r="L156" s="338"/>
      <c r="M156" s="338"/>
      <c r="N156" s="338"/>
      <c r="O156" s="338"/>
      <c r="P156" s="338"/>
      <c r="Q156" s="338"/>
      <c r="R156" s="338"/>
      <c r="S156" s="338"/>
      <c r="T156" s="338"/>
      <c r="U156" s="340" t="str">
        <f aca="false">IFERROR(VLOOKUP(C156,TE!$H:$Y,9,FALSE()),"0")</f>
        <v>0</v>
      </c>
      <c r="V156" s="340"/>
      <c r="W156" s="341" t="n">
        <f aca="false">SUMIFS(TE!$O:$O,TE!$G:$G,$C$40,TE!$I:$I,C156,TE!$D:$D,$C$5)</f>
        <v>0</v>
      </c>
      <c r="X156" s="341"/>
      <c r="Y156" s="341" t="str">
        <f aca="false">IFERROR(VLOOKUP(C156,TE!$H:$Y,16,FALSE()),"0")</f>
        <v>0</v>
      </c>
      <c r="Z156" s="341"/>
      <c r="AA156" s="342" t="str">
        <f aca="false">IFERROR(VLOOKUP(C156,TE!$H:$Y,17,FALSE()),"0")</f>
        <v>0</v>
      </c>
      <c r="AB156" s="342"/>
      <c r="AC156" s="343" t="n">
        <f aca="false">IFERROR((W156*Y156*AA156),"")</f>
        <v>0</v>
      </c>
      <c r="AD156" s="343"/>
      <c r="AE156" s="343"/>
      <c r="AF156" s="276"/>
    </row>
    <row r="157" customFormat="false" ht="15.75" hidden="false" customHeight="true" outlineLevel="0" collapsed="false">
      <c r="A157" s="276"/>
      <c r="B157" s="276"/>
      <c r="C157" s="345" t="s">
        <v>1628</v>
      </c>
      <c r="D157" s="346"/>
      <c r="E157" s="346"/>
      <c r="F157" s="339" t="str">
        <f aca="false">IFERROR(VLOOKUP(C157,TE!$H:$Y,2,FALSE()),"(Not on TE)")</f>
        <v>(Not on TE)</v>
      </c>
      <c r="G157" s="347"/>
      <c r="H157" s="347"/>
      <c r="I157" s="347"/>
      <c r="J157" s="347"/>
      <c r="K157" s="347"/>
      <c r="L157" s="347"/>
      <c r="M157" s="347"/>
      <c r="N157" s="347"/>
      <c r="O157" s="347"/>
      <c r="P157" s="347"/>
      <c r="Q157" s="347"/>
      <c r="R157" s="347"/>
      <c r="S157" s="347"/>
      <c r="T157" s="347"/>
      <c r="U157" s="340" t="str">
        <f aca="false">IFERROR(VLOOKUP(C157,TE!$H:$Y,9,FALSE()),"0")</f>
        <v>0</v>
      </c>
      <c r="V157" s="340"/>
      <c r="W157" s="341" t="n">
        <f aca="false">SUMIFS(TE!$O:$O,TE!$G:$G,$C$40,TE!$I:$I,C157,TE!$D:$D,$C$5)</f>
        <v>0</v>
      </c>
      <c r="X157" s="341"/>
      <c r="Y157" s="341" t="str">
        <f aca="false">IFERROR(VLOOKUP(C157,TE!$H:$Y,16,FALSE()),"0")</f>
        <v>0</v>
      </c>
      <c r="Z157" s="341"/>
      <c r="AA157" s="342" t="str">
        <f aca="false">IFERROR(VLOOKUP(C157,TE!$H:$Y,17,FALSE()),"0")</f>
        <v>0</v>
      </c>
      <c r="AB157" s="342"/>
      <c r="AC157" s="343" t="n">
        <f aca="false">IFERROR((W157*Y157*AA157),"")</f>
        <v>0</v>
      </c>
      <c r="AD157" s="343"/>
      <c r="AE157" s="343"/>
      <c r="AF157" s="276"/>
    </row>
    <row r="158" customFormat="false" ht="15.75" hidden="false" customHeight="true" outlineLevel="0" collapsed="false">
      <c r="A158" s="276"/>
      <c r="B158" s="276"/>
      <c r="C158" s="345" t="s">
        <v>1291</v>
      </c>
      <c r="D158" s="346"/>
      <c r="E158" s="346"/>
      <c r="F158" s="339" t="str">
        <f aca="false">IFERROR(VLOOKUP(C158,TE!$H:$Y,2,FALSE()),"(Not on TE)")</f>
        <v>(Not on TE)</v>
      </c>
      <c r="G158" s="347"/>
      <c r="H158" s="347"/>
      <c r="I158" s="347"/>
      <c r="J158" s="347"/>
      <c r="K158" s="347"/>
      <c r="L158" s="347"/>
      <c r="M158" s="347"/>
      <c r="N158" s="347"/>
      <c r="O158" s="347"/>
      <c r="P158" s="347"/>
      <c r="Q158" s="347"/>
      <c r="R158" s="347"/>
      <c r="S158" s="347"/>
      <c r="T158" s="347"/>
      <c r="U158" s="340" t="str">
        <f aca="false">IFERROR(VLOOKUP(C158,TE!$H:$Y,9,FALSE()),"0")</f>
        <v>0</v>
      </c>
      <c r="V158" s="340"/>
      <c r="W158" s="341" t="n">
        <f aca="false">SUMIFS(TE!$O:$O,TE!$G:$G,$C$40,TE!$I:$I,C158,TE!$D:$D,$C$5)</f>
        <v>0</v>
      </c>
      <c r="X158" s="341"/>
      <c r="Y158" s="341" t="str">
        <f aca="false">IFERROR(VLOOKUP(C158,TE!$H:$Y,16,FALSE()),"0")</f>
        <v>0</v>
      </c>
      <c r="Z158" s="341"/>
      <c r="AA158" s="342" t="str">
        <f aca="false">IFERROR(VLOOKUP(C158,TE!$H:$Y,17,FALSE()),"0")</f>
        <v>0</v>
      </c>
      <c r="AB158" s="342"/>
      <c r="AC158" s="343" t="n">
        <f aca="false">IFERROR((W158*Y158*AA158),"")</f>
        <v>0</v>
      </c>
      <c r="AD158" s="343"/>
      <c r="AE158" s="343"/>
      <c r="AF158" s="276"/>
    </row>
    <row r="159" customFormat="false" ht="15.75" hidden="false" customHeight="true" outlineLevel="0" collapsed="false">
      <c r="A159" s="276"/>
      <c r="B159" s="276"/>
      <c r="C159" s="345" t="s">
        <v>1418</v>
      </c>
      <c r="D159" s="346"/>
      <c r="E159" s="346"/>
      <c r="F159" s="339" t="str">
        <f aca="false">IFERROR(VLOOKUP(C159,TE!$H:$Y,2,FALSE()),"(Not on TE)")</f>
        <v>(Not on TE)</v>
      </c>
      <c r="G159" s="347"/>
      <c r="H159" s="347"/>
      <c r="I159" s="347"/>
      <c r="J159" s="347"/>
      <c r="K159" s="347"/>
      <c r="L159" s="347"/>
      <c r="M159" s="347"/>
      <c r="N159" s="347"/>
      <c r="O159" s="347"/>
      <c r="P159" s="347"/>
      <c r="Q159" s="347"/>
      <c r="R159" s="347"/>
      <c r="S159" s="347"/>
      <c r="T159" s="347"/>
      <c r="U159" s="340" t="str">
        <f aca="false">IFERROR(VLOOKUP(C159,TE!$H:$Y,9,FALSE()),"0")</f>
        <v>0</v>
      </c>
      <c r="V159" s="340"/>
      <c r="W159" s="341" t="n">
        <f aca="false">SUMIFS(TE!$O:$O,TE!$G:$G,$C$40,TE!$I:$I,C159,TE!$D:$D,$C$5)</f>
        <v>0</v>
      </c>
      <c r="X159" s="341"/>
      <c r="Y159" s="341" t="str">
        <f aca="false">IFERROR(VLOOKUP(C159,TE!$H:$Y,16,FALSE()),"0")</f>
        <v>0</v>
      </c>
      <c r="Z159" s="341"/>
      <c r="AA159" s="342" t="str">
        <f aca="false">IFERROR(VLOOKUP(C159,TE!$H:$Y,17,FALSE()),"0")</f>
        <v>0</v>
      </c>
      <c r="AB159" s="342"/>
      <c r="AC159" s="343" t="n">
        <f aca="false">IFERROR((W159*Y159*AA159),"")</f>
        <v>0</v>
      </c>
      <c r="AD159" s="343"/>
      <c r="AE159" s="343"/>
      <c r="AF159" s="276"/>
    </row>
    <row r="160" customFormat="false" ht="15.75" hidden="false" customHeight="true" outlineLevel="0" collapsed="false">
      <c r="A160" s="276"/>
      <c r="B160" s="276"/>
      <c r="C160" s="345" t="s">
        <v>1195</v>
      </c>
      <c r="D160" s="346"/>
      <c r="E160" s="346"/>
      <c r="F160" s="339" t="str">
        <f aca="false">IFERROR(VLOOKUP(C160,TE!$H:$Y,2,FALSE()),"(Not on TE)")</f>
        <v>(Not on TE)</v>
      </c>
      <c r="G160" s="347"/>
      <c r="H160" s="347"/>
      <c r="I160" s="347"/>
      <c r="J160" s="347"/>
      <c r="K160" s="347"/>
      <c r="L160" s="347"/>
      <c r="M160" s="347"/>
      <c r="N160" s="347"/>
      <c r="O160" s="347"/>
      <c r="P160" s="347"/>
      <c r="Q160" s="347"/>
      <c r="R160" s="347"/>
      <c r="S160" s="347"/>
      <c r="T160" s="347"/>
      <c r="U160" s="340" t="str">
        <f aca="false">IFERROR(VLOOKUP(C160,TE!$H:$Y,9,FALSE()),"0")</f>
        <v>0</v>
      </c>
      <c r="V160" s="340"/>
      <c r="W160" s="341" t="n">
        <f aca="false">SUMIFS(TE!$O:$O,TE!$G:$G,$C$40,TE!$I:$I,C160,TE!$D:$D,$C$5)</f>
        <v>0</v>
      </c>
      <c r="X160" s="341"/>
      <c r="Y160" s="341" t="str">
        <f aca="false">IFERROR(VLOOKUP(C160,TE!$H:$Y,16,FALSE()),"0")</f>
        <v>0</v>
      </c>
      <c r="Z160" s="341"/>
      <c r="AA160" s="342" t="str">
        <f aca="false">IFERROR(VLOOKUP(C160,TE!$H:$Y,17,FALSE()),"0")</f>
        <v>0</v>
      </c>
      <c r="AB160" s="342"/>
      <c r="AC160" s="343" t="n">
        <f aca="false">IFERROR((W160*Y160*AA160),"")</f>
        <v>0</v>
      </c>
      <c r="AD160" s="343"/>
      <c r="AE160" s="343"/>
      <c r="AF160" s="276"/>
    </row>
    <row r="161" customFormat="false" ht="15.75" hidden="false" customHeight="true" outlineLevel="0" collapsed="false">
      <c r="A161" s="276"/>
      <c r="B161" s="276"/>
      <c r="C161" s="345" t="s">
        <v>1629</v>
      </c>
      <c r="D161" s="346"/>
      <c r="E161" s="346"/>
      <c r="F161" s="339" t="str">
        <f aca="false">IFERROR(VLOOKUP(C161,TE!$H:$Y,2,FALSE()),"(Not on TE)")</f>
        <v>(Not on TE)</v>
      </c>
      <c r="G161" s="347"/>
      <c r="H161" s="347"/>
      <c r="I161" s="347"/>
      <c r="J161" s="347"/>
      <c r="K161" s="347"/>
      <c r="L161" s="347"/>
      <c r="M161" s="347"/>
      <c r="N161" s="347"/>
      <c r="O161" s="347"/>
      <c r="P161" s="347"/>
      <c r="Q161" s="347"/>
      <c r="R161" s="347"/>
      <c r="S161" s="347"/>
      <c r="T161" s="347"/>
      <c r="U161" s="340" t="str">
        <f aca="false">IFERROR(VLOOKUP(C161,TE!$H:$Y,9,FALSE()),"0")</f>
        <v>0</v>
      </c>
      <c r="V161" s="340"/>
      <c r="W161" s="341" t="n">
        <f aca="false">SUMIFS(TE!$O:$O,TE!$G:$G,$C$40,TE!$I:$I,C161,TE!$D:$D,$C$5)</f>
        <v>0</v>
      </c>
      <c r="X161" s="341"/>
      <c r="Y161" s="341" t="str">
        <f aca="false">IFERROR(VLOOKUP(C161,TE!$H:$Y,16,FALSE()),"0")</f>
        <v>0</v>
      </c>
      <c r="Z161" s="341"/>
      <c r="AA161" s="342" t="str">
        <f aca="false">IFERROR(VLOOKUP(C161,TE!$H:$Y,17,FALSE()),"0")</f>
        <v>0</v>
      </c>
      <c r="AB161" s="342"/>
      <c r="AC161" s="343" t="n">
        <f aca="false">IFERROR((W161*Y161*AA161),"")</f>
        <v>0</v>
      </c>
      <c r="AD161" s="343"/>
      <c r="AE161" s="343"/>
      <c r="AF161" s="276"/>
    </row>
    <row r="162" customFormat="false" ht="15.75" hidden="false" customHeight="true" outlineLevel="0" collapsed="false">
      <c r="A162" s="276"/>
      <c r="B162" s="276"/>
      <c r="C162" s="345" t="s">
        <v>1630</v>
      </c>
      <c r="D162" s="346"/>
      <c r="E162" s="346"/>
      <c r="F162" s="339" t="str">
        <f aca="false">IFERROR(VLOOKUP(C162,TE!$H:$Y,2,FALSE()),"(Not on TE)")</f>
        <v>(Not on TE)</v>
      </c>
      <c r="G162" s="347"/>
      <c r="H162" s="347"/>
      <c r="I162" s="347"/>
      <c r="J162" s="347"/>
      <c r="K162" s="347"/>
      <c r="L162" s="347"/>
      <c r="M162" s="347"/>
      <c r="N162" s="347"/>
      <c r="O162" s="347"/>
      <c r="P162" s="347"/>
      <c r="Q162" s="347"/>
      <c r="R162" s="347"/>
      <c r="S162" s="347"/>
      <c r="T162" s="347"/>
      <c r="U162" s="340" t="str">
        <f aca="false">IFERROR(VLOOKUP(C162,TE!$H:$Y,9,FALSE()),"0")</f>
        <v>0</v>
      </c>
      <c r="V162" s="340"/>
      <c r="W162" s="341" t="n">
        <f aca="false">SUMIFS(TE!$O:$O,TE!$G:$G,$C$40,TE!$I:$I,C162,TE!$D:$D,$C$5)</f>
        <v>0</v>
      </c>
      <c r="X162" s="341"/>
      <c r="Y162" s="341" t="str">
        <f aca="false">IFERROR(VLOOKUP(C162,TE!$H:$Y,16,FALSE()),"0")</f>
        <v>0</v>
      </c>
      <c r="Z162" s="341"/>
      <c r="AA162" s="342" t="str">
        <f aca="false">IFERROR(VLOOKUP(C162,TE!$H:$Y,17,FALSE()),"0")</f>
        <v>0</v>
      </c>
      <c r="AB162" s="342"/>
      <c r="AC162" s="343" t="n">
        <f aca="false">IFERROR((W162*Y162*AA162),"")</f>
        <v>0</v>
      </c>
      <c r="AD162" s="343"/>
      <c r="AE162" s="343"/>
      <c r="AF162" s="276"/>
    </row>
    <row r="163" customFormat="false" ht="15.75" hidden="false" customHeight="true" outlineLevel="0" collapsed="false">
      <c r="A163" s="276"/>
      <c r="B163" s="276"/>
      <c r="C163" s="345" t="s">
        <v>1403</v>
      </c>
      <c r="D163" s="346"/>
      <c r="E163" s="346"/>
      <c r="F163" s="339" t="str">
        <f aca="false">IFERROR(VLOOKUP(C163,TE!$H:$Y,2,FALSE()),"(Not on TE)")</f>
        <v>(Not on TE)</v>
      </c>
      <c r="G163" s="347"/>
      <c r="H163" s="347"/>
      <c r="I163" s="347"/>
      <c r="J163" s="347"/>
      <c r="K163" s="347"/>
      <c r="L163" s="347"/>
      <c r="M163" s="347"/>
      <c r="N163" s="347"/>
      <c r="O163" s="347"/>
      <c r="P163" s="347"/>
      <c r="Q163" s="347"/>
      <c r="R163" s="347"/>
      <c r="S163" s="347"/>
      <c r="T163" s="347"/>
      <c r="U163" s="340" t="str">
        <f aca="false">IFERROR(VLOOKUP(C163,TE!$H:$Y,9,FALSE()),"0")</f>
        <v>0</v>
      </c>
      <c r="V163" s="340"/>
      <c r="W163" s="341" t="n">
        <f aca="false">SUMIFS(TE!$O:$O,TE!$G:$G,$C$40,TE!$I:$I,C163,TE!$D:$D,$C$5)</f>
        <v>0</v>
      </c>
      <c r="X163" s="341"/>
      <c r="Y163" s="341" t="str">
        <f aca="false">IFERROR(VLOOKUP(C163,TE!$H:$Y,16,FALSE()),"0")</f>
        <v>0</v>
      </c>
      <c r="Z163" s="341"/>
      <c r="AA163" s="342" t="str">
        <f aca="false">IFERROR(VLOOKUP(C163,TE!$H:$Y,17,FALSE()),"0")</f>
        <v>0</v>
      </c>
      <c r="AB163" s="342"/>
      <c r="AC163" s="343" t="n">
        <f aca="false">IFERROR((W163*Y163*AA163),"")</f>
        <v>0</v>
      </c>
      <c r="AD163" s="343"/>
      <c r="AE163" s="343"/>
      <c r="AF163" s="276"/>
    </row>
    <row r="164" customFormat="false" ht="15.75" hidden="false" customHeight="true" outlineLevel="0" collapsed="false">
      <c r="A164" s="276"/>
      <c r="B164" s="276"/>
      <c r="C164" s="344" t="s">
        <v>1487</v>
      </c>
      <c r="D164" s="346"/>
      <c r="E164" s="346"/>
      <c r="F164" s="339" t="str">
        <f aca="false">IFERROR(VLOOKUP(C164,TE!$H:$Y,2,FALSE()),"(Not on TE)")</f>
        <v>(Not on TE)</v>
      </c>
      <c r="G164" s="347"/>
      <c r="H164" s="347"/>
      <c r="I164" s="347"/>
      <c r="J164" s="347"/>
      <c r="K164" s="347"/>
      <c r="L164" s="347"/>
      <c r="M164" s="347"/>
      <c r="N164" s="347"/>
      <c r="O164" s="347"/>
      <c r="P164" s="347"/>
      <c r="Q164" s="347"/>
      <c r="R164" s="347"/>
      <c r="S164" s="347"/>
      <c r="T164" s="347"/>
      <c r="U164" s="340" t="str">
        <f aca="false">IFERROR(VLOOKUP(C164,TE!$H:$Y,9,FALSE()),"0")</f>
        <v>0</v>
      </c>
      <c r="V164" s="340"/>
      <c r="W164" s="341" t="n">
        <f aca="false">SUMIFS(TE!$O:$O,TE!$G:$G,$C$40,TE!$I:$I,C164,TE!$D:$D,$C$5)</f>
        <v>0</v>
      </c>
      <c r="X164" s="341"/>
      <c r="Y164" s="341" t="str">
        <f aca="false">IFERROR(VLOOKUP(C164,TE!$H:$Y,16,FALSE()),"0")</f>
        <v>0</v>
      </c>
      <c r="Z164" s="341"/>
      <c r="AA164" s="342" t="str">
        <f aca="false">IFERROR(VLOOKUP(C164,TE!$H:$Y,17,FALSE()),"0")</f>
        <v>0</v>
      </c>
      <c r="AB164" s="342"/>
      <c r="AC164" s="343" t="n">
        <f aca="false">IFERROR((W164*Y164*AA164),"")</f>
        <v>0</v>
      </c>
      <c r="AD164" s="343"/>
      <c r="AE164" s="343"/>
      <c r="AF164" s="276"/>
    </row>
    <row r="165" customFormat="false" ht="15.75" hidden="false" customHeight="true" outlineLevel="0" collapsed="false">
      <c r="A165" s="276"/>
      <c r="B165" s="276"/>
      <c r="C165" s="344" t="s">
        <v>1631</v>
      </c>
      <c r="D165" s="346"/>
      <c r="E165" s="346"/>
      <c r="F165" s="339" t="str">
        <f aca="false">IFERROR(VLOOKUP(C165,TE!$H:$Y,2,FALSE()),"(Not on TE)")</f>
        <v>(Not on TE)</v>
      </c>
      <c r="G165" s="347"/>
      <c r="H165" s="347"/>
      <c r="I165" s="347"/>
      <c r="J165" s="347"/>
      <c r="K165" s="347"/>
      <c r="L165" s="347"/>
      <c r="M165" s="347"/>
      <c r="N165" s="347"/>
      <c r="O165" s="347"/>
      <c r="P165" s="347"/>
      <c r="Q165" s="347"/>
      <c r="R165" s="347"/>
      <c r="S165" s="347"/>
      <c r="T165" s="347"/>
      <c r="U165" s="340" t="str">
        <f aca="false">IFERROR(VLOOKUP(C165,TE!$H:$Y,9,FALSE()),"0")</f>
        <v>0</v>
      </c>
      <c r="V165" s="340"/>
      <c r="W165" s="341" t="n">
        <f aca="false">SUMIFS(TE!$O:$O,TE!$G:$G,$C$40,TE!$I:$I,C165,TE!$D:$D,$C$5)</f>
        <v>0</v>
      </c>
      <c r="X165" s="341"/>
      <c r="Y165" s="341" t="str">
        <f aca="false">IFERROR(VLOOKUP(C165,TE!$H:$Y,16,FALSE()),"0")</f>
        <v>0</v>
      </c>
      <c r="Z165" s="341"/>
      <c r="AA165" s="342" t="str">
        <f aca="false">IFERROR(VLOOKUP(C165,TE!$H:$Y,17,FALSE()),"0")</f>
        <v>0</v>
      </c>
      <c r="AB165" s="342"/>
      <c r="AC165" s="343" t="n">
        <f aca="false">IFERROR((W165*Y165*AA165),"")</f>
        <v>0</v>
      </c>
      <c r="AD165" s="343"/>
      <c r="AE165" s="343"/>
      <c r="AF165" s="276"/>
    </row>
    <row r="166" customFormat="false" ht="15.75" hidden="false" customHeight="true" outlineLevel="0" collapsed="false">
      <c r="A166" s="276"/>
      <c r="B166" s="276"/>
      <c r="C166" s="345" t="s">
        <v>1632</v>
      </c>
      <c r="D166" s="346"/>
      <c r="E166" s="346"/>
      <c r="F166" s="339" t="str">
        <f aca="false">IFERROR(VLOOKUP(C166,TE!$H:$Y,2,FALSE()),"(Not on TE)")</f>
        <v>(Not on TE)</v>
      </c>
      <c r="G166" s="347"/>
      <c r="H166" s="347"/>
      <c r="I166" s="347"/>
      <c r="J166" s="347"/>
      <c r="K166" s="347"/>
      <c r="L166" s="347"/>
      <c r="M166" s="347"/>
      <c r="N166" s="347"/>
      <c r="O166" s="347"/>
      <c r="P166" s="347"/>
      <c r="Q166" s="347"/>
      <c r="R166" s="347"/>
      <c r="S166" s="347"/>
      <c r="T166" s="347"/>
      <c r="U166" s="340" t="str">
        <f aca="false">IFERROR(VLOOKUP(C166,TE!$H:$Y,9,FALSE()),"0")</f>
        <v>0</v>
      </c>
      <c r="V166" s="340"/>
      <c r="W166" s="341" t="n">
        <f aca="false">SUMIFS(TE!$O:$O,TE!$G:$G,$C$40,TE!$I:$I,C166,TE!$D:$D,$C$5)</f>
        <v>0</v>
      </c>
      <c r="X166" s="341"/>
      <c r="Y166" s="341" t="str">
        <f aca="false">IFERROR(VLOOKUP(C166,TE!$H:$Y,16,FALSE()),"0")</f>
        <v>0</v>
      </c>
      <c r="Z166" s="341"/>
      <c r="AA166" s="342" t="str">
        <f aca="false">IFERROR(VLOOKUP(C166,TE!$H:$Y,17,FALSE()),"0")</f>
        <v>0</v>
      </c>
      <c r="AB166" s="342"/>
      <c r="AC166" s="343" t="n">
        <f aca="false">IFERROR((W166*Y166*AA166),"")</f>
        <v>0</v>
      </c>
      <c r="AD166" s="343"/>
      <c r="AE166" s="343"/>
      <c r="AF166" s="276"/>
    </row>
    <row r="167" customFormat="false" ht="15.75" hidden="false" customHeight="true" outlineLevel="0" collapsed="false">
      <c r="A167" s="276"/>
      <c r="B167" s="276"/>
      <c r="C167" s="345" t="s">
        <v>1633</v>
      </c>
      <c r="D167" s="346"/>
      <c r="E167" s="346"/>
      <c r="F167" s="339" t="str">
        <f aca="false">IFERROR(VLOOKUP(C167,TE!$H:$Y,2,FALSE()),"(Not on TE)")</f>
        <v>(Not on TE)</v>
      </c>
      <c r="G167" s="347"/>
      <c r="H167" s="347"/>
      <c r="I167" s="347"/>
      <c r="J167" s="347"/>
      <c r="K167" s="347"/>
      <c r="L167" s="347"/>
      <c r="M167" s="347"/>
      <c r="N167" s="347"/>
      <c r="O167" s="347"/>
      <c r="P167" s="347"/>
      <c r="Q167" s="347"/>
      <c r="R167" s="347"/>
      <c r="S167" s="347"/>
      <c r="T167" s="347"/>
      <c r="U167" s="340" t="str">
        <f aca="false">IFERROR(VLOOKUP(C167,TE!$H:$Y,9,FALSE()),"0")</f>
        <v>0</v>
      </c>
      <c r="V167" s="340"/>
      <c r="W167" s="341" t="n">
        <f aca="false">SUMIFS(TE!$O:$O,TE!$G:$G,$C$40,TE!$I:$I,C167,TE!$D:$D,$C$5)</f>
        <v>0</v>
      </c>
      <c r="X167" s="341"/>
      <c r="Y167" s="341" t="str">
        <f aca="false">IFERROR(VLOOKUP(C167,TE!$H:$Y,16,FALSE()),"0")</f>
        <v>0</v>
      </c>
      <c r="Z167" s="341"/>
      <c r="AA167" s="342" t="str">
        <f aca="false">IFERROR(VLOOKUP(C167,TE!$H:$Y,17,FALSE()),"0")</f>
        <v>0</v>
      </c>
      <c r="AB167" s="342"/>
      <c r="AC167" s="343" t="n">
        <f aca="false">IFERROR((W167*Y167*AA167),"")</f>
        <v>0</v>
      </c>
      <c r="AD167" s="343"/>
      <c r="AE167" s="343"/>
      <c r="AF167" s="276"/>
    </row>
    <row r="168" customFormat="false" ht="15.75" hidden="false" customHeight="true" outlineLevel="0" collapsed="false">
      <c r="A168" s="276"/>
      <c r="B168" s="276"/>
      <c r="C168" s="345" t="s">
        <v>1634</v>
      </c>
      <c r="D168" s="346"/>
      <c r="E168" s="346"/>
      <c r="F168" s="339" t="str">
        <f aca="false">IFERROR(VLOOKUP(C168,TE!$H:$Y,2,FALSE()),"(Not on TE)")</f>
        <v>(Not on TE)</v>
      </c>
      <c r="G168" s="347"/>
      <c r="H168" s="347"/>
      <c r="I168" s="347"/>
      <c r="J168" s="347"/>
      <c r="K168" s="347"/>
      <c r="L168" s="347"/>
      <c r="M168" s="347"/>
      <c r="N168" s="347"/>
      <c r="O168" s="347"/>
      <c r="P168" s="347"/>
      <c r="Q168" s="347"/>
      <c r="R168" s="347"/>
      <c r="S168" s="347"/>
      <c r="T168" s="347"/>
      <c r="U168" s="340" t="str">
        <f aca="false">IFERROR(VLOOKUP(C168,TE!$H:$Y,9,FALSE()),"0")</f>
        <v>0</v>
      </c>
      <c r="V168" s="340"/>
      <c r="W168" s="341" t="n">
        <f aca="false">SUMIFS(TE!$O:$O,TE!$G:$G,$C$40,TE!$I:$I,C168,TE!$D:$D,$C$5)</f>
        <v>0</v>
      </c>
      <c r="X168" s="341"/>
      <c r="Y168" s="341" t="str">
        <f aca="false">IFERROR(VLOOKUP(C168,TE!$H:$Y,16,FALSE()),"0")</f>
        <v>0</v>
      </c>
      <c r="Z168" s="341"/>
      <c r="AA168" s="342" t="str">
        <f aca="false">IFERROR(VLOOKUP(C168,TE!$H:$Y,17,FALSE()),"0")</f>
        <v>0</v>
      </c>
      <c r="AB168" s="342"/>
      <c r="AC168" s="343" t="n">
        <f aca="false">IFERROR((W168*Y168*AA168),"")</f>
        <v>0</v>
      </c>
      <c r="AD168" s="343"/>
      <c r="AE168" s="343"/>
      <c r="AF168" s="276"/>
    </row>
    <row r="169" customFormat="false" ht="15.75" hidden="false" customHeight="true" outlineLevel="0" collapsed="false">
      <c r="A169" s="276"/>
      <c r="B169" s="276"/>
      <c r="C169" s="345" t="s">
        <v>1635</v>
      </c>
      <c r="D169" s="346"/>
      <c r="E169" s="346"/>
      <c r="F169" s="339" t="str">
        <f aca="false">IFERROR(VLOOKUP(C169,TE!$H:$Y,2,FALSE()),"(Not on TE)")</f>
        <v>(Not on TE)</v>
      </c>
      <c r="G169" s="347"/>
      <c r="H169" s="347"/>
      <c r="I169" s="347"/>
      <c r="J169" s="347"/>
      <c r="K169" s="347"/>
      <c r="L169" s="347"/>
      <c r="M169" s="347"/>
      <c r="N169" s="347"/>
      <c r="O169" s="347"/>
      <c r="P169" s="347"/>
      <c r="Q169" s="347"/>
      <c r="R169" s="347"/>
      <c r="S169" s="347"/>
      <c r="T169" s="347"/>
      <c r="U169" s="340" t="str">
        <f aca="false">IFERROR(VLOOKUP(C169,TE!$H:$Y,9,FALSE()),"0")</f>
        <v>0</v>
      </c>
      <c r="V169" s="340"/>
      <c r="W169" s="341" t="n">
        <f aca="false">SUMIFS(TE!$O:$O,TE!$G:$G,$C$40,TE!$I:$I,C169,TE!$D:$D,$C$5)</f>
        <v>0</v>
      </c>
      <c r="X169" s="341"/>
      <c r="Y169" s="341" t="str">
        <f aca="false">IFERROR(VLOOKUP(C169,TE!$H:$Y,16,FALSE()),"0")</f>
        <v>0</v>
      </c>
      <c r="Z169" s="341"/>
      <c r="AA169" s="342" t="str">
        <f aca="false">IFERROR(VLOOKUP(C169,TE!$H:$Y,17,FALSE()),"0")</f>
        <v>0</v>
      </c>
      <c r="AB169" s="342"/>
      <c r="AC169" s="343" t="n">
        <f aca="false">IFERROR((W169*Y169*AA169),"")</f>
        <v>0</v>
      </c>
      <c r="AD169" s="343"/>
      <c r="AE169" s="343"/>
      <c r="AF169" s="276"/>
    </row>
    <row r="170" customFormat="false" ht="15.75" hidden="false" customHeight="true" outlineLevel="0" collapsed="false">
      <c r="A170" s="276"/>
      <c r="B170" s="276"/>
      <c r="C170" s="345" t="s">
        <v>1636</v>
      </c>
      <c r="D170" s="346"/>
      <c r="E170" s="346"/>
      <c r="F170" s="339" t="str">
        <f aca="false">IFERROR(VLOOKUP(C170,TE!$H:$Y,2,FALSE()),"(Not on TE)")</f>
        <v>(Not on TE)</v>
      </c>
      <c r="G170" s="347"/>
      <c r="H170" s="347"/>
      <c r="I170" s="347"/>
      <c r="J170" s="347"/>
      <c r="K170" s="347"/>
      <c r="L170" s="347"/>
      <c r="M170" s="347"/>
      <c r="N170" s="347"/>
      <c r="O170" s="347"/>
      <c r="P170" s="347"/>
      <c r="Q170" s="347"/>
      <c r="R170" s="347"/>
      <c r="S170" s="347"/>
      <c r="T170" s="347"/>
      <c r="U170" s="340" t="str">
        <f aca="false">IFERROR(VLOOKUP(C170,TE!$H:$Y,9,FALSE()),"0")</f>
        <v>0</v>
      </c>
      <c r="V170" s="340"/>
      <c r="W170" s="341" t="n">
        <f aca="false">SUMIFS(TE!$O:$O,TE!$G:$G,$C$40,TE!$I:$I,C170,TE!$D:$D,$C$5)</f>
        <v>0</v>
      </c>
      <c r="X170" s="341"/>
      <c r="Y170" s="341" t="str">
        <f aca="false">IFERROR(VLOOKUP(C170,TE!$H:$Y,16,FALSE()),"0")</f>
        <v>0</v>
      </c>
      <c r="Z170" s="341"/>
      <c r="AA170" s="342" t="str">
        <f aca="false">IFERROR(VLOOKUP(C170,TE!$H:$Y,17,FALSE()),"0")</f>
        <v>0</v>
      </c>
      <c r="AB170" s="342"/>
      <c r="AC170" s="343" t="n">
        <f aca="false">IFERROR((W170*Y170*AA170),"")</f>
        <v>0</v>
      </c>
      <c r="AD170" s="343"/>
      <c r="AE170" s="343"/>
      <c r="AF170" s="276"/>
    </row>
    <row r="171" customFormat="false" ht="15.75" hidden="false" customHeight="true" outlineLevel="0" collapsed="false">
      <c r="A171" s="378"/>
      <c r="B171" s="378"/>
      <c r="C171" s="348" t="s">
        <v>1637</v>
      </c>
      <c r="D171" s="379"/>
      <c r="E171" s="379"/>
      <c r="F171" s="350" t="str">
        <f aca="false">IFERROR(VLOOKUP(C171,TE!$H:$Y,2,FALSE()),"(Not on TE)")</f>
        <v>(Not on TE)</v>
      </c>
      <c r="G171" s="380"/>
      <c r="H171" s="380"/>
      <c r="I171" s="380"/>
      <c r="J171" s="380"/>
      <c r="K171" s="380"/>
      <c r="L171" s="380"/>
      <c r="M171" s="380"/>
      <c r="N171" s="380"/>
      <c r="O171" s="380"/>
      <c r="P171" s="380"/>
      <c r="Q171" s="380"/>
      <c r="R171" s="380"/>
      <c r="S171" s="380"/>
      <c r="T171" s="380"/>
      <c r="U171" s="352" t="str">
        <f aca="false">IFERROR(VLOOKUP(C171,TE!$H:$Y,9,FALSE()),"0")</f>
        <v>0</v>
      </c>
      <c r="V171" s="352"/>
      <c r="W171" s="353" t="n">
        <f aca="false">SUMIFS(TE!$O:$O,TE!$G:$G,$C$40,TE!$I:$I,C171,TE!$D:$D,$C$5)</f>
        <v>0</v>
      </c>
      <c r="X171" s="353"/>
      <c r="Y171" s="353" t="str">
        <f aca="false">IFERROR(VLOOKUP(C171,TE!$H:$Y,16,FALSE()),"0")</f>
        <v>0</v>
      </c>
      <c r="Z171" s="353"/>
      <c r="AA171" s="354" t="str">
        <f aca="false">IFERROR(VLOOKUP(C171,TE!$H:$Y,17,FALSE()),"0")</f>
        <v>0</v>
      </c>
      <c r="AB171" s="354"/>
      <c r="AC171" s="355" t="n">
        <f aca="false">IFERROR((W171*Y171*AA171),"")</f>
        <v>0</v>
      </c>
      <c r="AD171" s="355"/>
      <c r="AE171" s="355"/>
      <c r="AF171" s="381"/>
    </row>
    <row r="172" customFormat="false" ht="15.75" hidden="false" customHeight="true" outlineLevel="0" collapsed="false">
      <c r="A172" s="378"/>
      <c r="B172" s="378"/>
      <c r="C172" s="338"/>
      <c r="D172" s="382"/>
      <c r="E172" s="382"/>
      <c r="F172" s="383"/>
      <c r="G172" s="383"/>
      <c r="H172" s="383"/>
      <c r="I172" s="383"/>
      <c r="J172" s="383"/>
      <c r="K172" s="383"/>
      <c r="L172" s="383"/>
      <c r="M172" s="383"/>
      <c r="N172" s="383"/>
      <c r="O172" s="383"/>
      <c r="P172" s="383"/>
      <c r="Q172" s="383"/>
      <c r="R172" s="383"/>
      <c r="S172" s="383"/>
      <c r="T172" s="383"/>
      <c r="U172" s="384"/>
      <c r="V172" s="384"/>
      <c r="W172" s="385"/>
      <c r="X172" s="385"/>
      <c r="Y172" s="385"/>
      <c r="Z172" s="296"/>
      <c r="AA172" s="358" t="s">
        <v>1576</v>
      </c>
      <c r="AB172" s="358"/>
      <c r="AC172" s="358"/>
      <c r="AD172" s="358"/>
      <c r="AE172" s="358"/>
      <c r="AF172" s="386"/>
    </row>
    <row r="173" customFormat="false" ht="15.75" hidden="false" customHeight="true" outlineLevel="0" collapsed="false">
      <c r="A173" s="378"/>
      <c r="B173" s="378"/>
      <c r="C173" s="338"/>
      <c r="D173" s="382"/>
      <c r="E173" s="382"/>
      <c r="F173" s="383"/>
      <c r="G173" s="383"/>
      <c r="H173" s="383"/>
      <c r="I173" s="383"/>
      <c r="J173" s="383"/>
      <c r="K173" s="383"/>
      <c r="L173" s="383"/>
      <c r="M173" s="383"/>
      <c r="N173" s="383"/>
      <c r="O173" s="383"/>
      <c r="P173" s="383"/>
      <c r="Q173" s="383"/>
      <c r="R173" s="383"/>
      <c r="S173" s="383"/>
      <c r="T173" s="383"/>
      <c r="U173" s="384"/>
      <c r="V173" s="384"/>
      <c r="W173" s="385"/>
      <c r="X173" s="385"/>
      <c r="Y173" s="385"/>
      <c r="Z173" s="385"/>
      <c r="AA173" s="387"/>
      <c r="AB173" s="387"/>
      <c r="AC173" s="388"/>
      <c r="AD173" s="388"/>
      <c r="AE173" s="388"/>
      <c r="AF173" s="386"/>
    </row>
    <row r="174" customFormat="false" ht="15.75" hidden="false" customHeight="true" outlineLevel="0" collapsed="false">
      <c r="A174" s="364"/>
      <c r="B174" s="364"/>
      <c r="C174" s="365"/>
      <c r="D174" s="366"/>
      <c r="E174" s="366"/>
      <c r="F174" s="367"/>
      <c r="G174" s="367"/>
      <c r="H174" s="367"/>
      <c r="I174" s="367"/>
      <c r="J174" s="367"/>
      <c r="K174" s="367"/>
      <c r="L174" s="367"/>
      <c r="M174" s="367"/>
      <c r="N174" s="367"/>
      <c r="O174" s="367"/>
      <c r="P174" s="367"/>
      <c r="Q174" s="367"/>
      <c r="R174" s="367"/>
      <c r="S174" s="367"/>
      <c r="T174" s="367"/>
      <c r="U174" s="368"/>
      <c r="V174" s="368"/>
      <c r="W174" s="369"/>
      <c r="X174" s="369"/>
      <c r="Y174" s="369"/>
      <c r="Z174" s="369"/>
      <c r="AA174" s="370"/>
      <c r="AB174" s="370"/>
      <c r="AC174" s="371"/>
      <c r="AD174" s="371"/>
      <c r="AE174" s="371"/>
      <c r="AF174" s="372"/>
    </row>
    <row r="175" customFormat="false" ht="15.75" hidden="false" customHeight="true" outlineLevel="0" collapsed="false">
      <c r="A175" s="259" t="s">
        <v>1522</v>
      </c>
      <c r="B175" s="259"/>
      <c r="C175" s="323" t="n">
        <f aca="false">$C$5</f>
        <v>14312</v>
      </c>
      <c r="D175" s="323"/>
      <c r="E175" s="323"/>
      <c r="F175" s="323"/>
      <c r="G175" s="323"/>
      <c r="H175" s="323"/>
      <c r="I175" s="323"/>
      <c r="J175" s="323"/>
      <c r="K175" s="323"/>
      <c r="L175" s="323"/>
      <c r="M175" s="259" t="s">
        <v>1523</v>
      </c>
      <c r="N175" s="259"/>
      <c r="O175" s="259"/>
      <c r="P175" s="259"/>
      <c r="Q175" s="259"/>
      <c r="R175" s="324" t="str">
        <f aca="false">$R$5</f>
        <v>Operational Vehicle Laydown Area</v>
      </c>
      <c r="S175" s="324"/>
      <c r="T175" s="324"/>
      <c r="U175" s="324"/>
      <c r="V175" s="324"/>
      <c r="W175" s="324"/>
      <c r="X175" s="324"/>
      <c r="Y175" s="324"/>
      <c r="Z175" s="324"/>
      <c r="AA175" s="324"/>
      <c r="AB175" s="324"/>
      <c r="AC175" s="324"/>
      <c r="AD175" s="324"/>
      <c r="AE175" s="324"/>
      <c r="AF175" s="324"/>
    </row>
    <row r="176" customFormat="false" ht="15.75" hidden="false" customHeight="true" outlineLevel="0" collapsed="false">
      <c r="A176" s="276"/>
      <c r="B176" s="276"/>
      <c r="C176" s="296"/>
      <c r="D176" s="276"/>
      <c r="E176" s="276"/>
      <c r="F176" s="296"/>
      <c r="G176" s="276"/>
      <c r="H176" s="276"/>
      <c r="I176" s="276"/>
      <c r="J176" s="276"/>
      <c r="K176" s="276"/>
      <c r="L176" s="276"/>
      <c r="M176" s="276"/>
      <c r="N176" s="276"/>
      <c r="O176" s="276"/>
      <c r="P176" s="276"/>
      <c r="Q176" s="276"/>
      <c r="R176" s="276"/>
      <c r="S176" s="276"/>
      <c r="T176" s="276"/>
      <c r="U176" s="276"/>
      <c r="V176" s="276"/>
      <c r="W176" s="277"/>
      <c r="X176" s="277"/>
      <c r="Y176" s="276"/>
      <c r="Z176" s="276"/>
      <c r="AA176" s="276"/>
      <c r="AB176" s="276"/>
      <c r="AC176" s="277"/>
      <c r="AD176" s="277"/>
      <c r="AE176" s="277"/>
      <c r="AF176" s="276"/>
    </row>
    <row r="177" customFormat="false" ht="15.75" hidden="false" customHeight="true" outlineLevel="0" collapsed="false">
      <c r="A177" s="276"/>
      <c r="B177" s="276"/>
      <c r="C177" s="325" t="s">
        <v>1542</v>
      </c>
      <c r="D177" s="276"/>
      <c r="E177" s="276"/>
      <c r="F177" s="296"/>
      <c r="G177" s="276"/>
      <c r="H177" s="276"/>
      <c r="I177" s="276"/>
      <c r="J177" s="276"/>
      <c r="K177" s="276"/>
      <c r="L177" s="276"/>
      <c r="M177" s="276"/>
      <c r="N177" s="276"/>
      <c r="O177" s="276"/>
      <c r="P177" s="276"/>
      <c r="Q177" s="276"/>
      <c r="R177" s="276"/>
      <c r="S177" s="276"/>
      <c r="T177" s="276"/>
      <c r="U177" s="276"/>
      <c r="V177" s="276"/>
      <c r="W177" s="277"/>
      <c r="X177" s="277"/>
      <c r="Y177" s="276"/>
      <c r="Z177" s="276"/>
      <c r="AA177" s="276"/>
      <c r="AB177" s="276"/>
      <c r="AC177" s="277"/>
      <c r="AD177" s="277"/>
      <c r="AE177" s="277"/>
      <c r="AF177" s="276"/>
    </row>
    <row r="178" customFormat="false" ht="15.75" hidden="false" customHeight="true" outlineLevel="0" collapsed="false">
      <c r="A178" s="276"/>
      <c r="B178" s="276"/>
      <c r="C178" s="326" t="str">
        <f aca="false">C132</f>
        <v>M28261</v>
      </c>
      <c r="D178" s="326"/>
      <c r="E178" s="326"/>
      <c r="F178" s="327" t="str">
        <f aca="false">F132</f>
        <v>H&amp;S CO</v>
      </c>
      <c r="G178" s="327"/>
      <c r="H178" s="327"/>
      <c r="I178" s="327"/>
      <c r="J178" s="327"/>
      <c r="K178" s="327"/>
      <c r="L178" s="327"/>
      <c r="M178" s="327"/>
      <c r="N178" s="328"/>
      <c r="O178" s="329"/>
      <c r="P178" s="329"/>
      <c r="Q178" s="329"/>
      <c r="R178" s="329"/>
      <c r="S178" s="330"/>
      <c r="T178" s="295"/>
      <c r="U178" s="295"/>
      <c r="V178" s="295"/>
      <c r="W178" s="331"/>
      <c r="X178" s="331"/>
      <c r="Y178" s="295"/>
      <c r="Z178" s="295"/>
      <c r="AA178" s="295"/>
      <c r="AB178" s="295"/>
      <c r="AC178" s="332"/>
      <c r="AD178" s="332"/>
      <c r="AE178" s="332"/>
      <c r="AF178" s="276"/>
    </row>
    <row r="179" customFormat="false" ht="15.75" hidden="false" customHeight="true" outlineLevel="0" collapsed="false">
      <c r="A179" s="276"/>
      <c r="B179" s="276"/>
      <c r="C179" s="376" t="s">
        <v>1055</v>
      </c>
      <c r="D179" s="376"/>
      <c r="E179" s="376"/>
      <c r="F179" s="334" t="s">
        <v>13</v>
      </c>
      <c r="G179" s="334"/>
      <c r="H179" s="334"/>
      <c r="I179" s="334"/>
      <c r="J179" s="334"/>
      <c r="K179" s="334"/>
      <c r="L179" s="334"/>
      <c r="M179" s="334"/>
      <c r="N179" s="334"/>
      <c r="O179" s="334"/>
      <c r="P179" s="334"/>
      <c r="Q179" s="334"/>
      <c r="R179" s="334"/>
      <c r="S179" s="334"/>
      <c r="T179" s="334"/>
      <c r="U179" s="335" t="s">
        <v>1543</v>
      </c>
      <c r="V179" s="335"/>
      <c r="W179" s="335" t="s">
        <v>1544</v>
      </c>
      <c r="X179" s="335"/>
      <c r="Y179" s="335" t="s">
        <v>1545</v>
      </c>
      <c r="Z179" s="335"/>
      <c r="AA179" s="335" t="s">
        <v>1546</v>
      </c>
      <c r="AB179" s="335"/>
      <c r="AC179" s="336" t="s">
        <v>1547</v>
      </c>
      <c r="AD179" s="336"/>
      <c r="AE179" s="336"/>
      <c r="AF179" s="276"/>
    </row>
    <row r="180" customFormat="false" ht="15.75" hidden="false" customHeight="true" outlineLevel="0" collapsed="false">
      <c r="A180" s="276"/>
      <c r="B180" s="276"/>
      <c r="C180" s="376"/>
      <c r="D180" s="376"/>
      <c r="E180" s="376"/>
      <c r="F180" s="334"/>
      <c r="G180" s="334"/>
      <c r="H180" s="334"/>
      <c r="I180" s="334"/>
      <c r="J180" s="334"/>
      <c r="K180" s="334"/>
      <c r="L180" s="334"/>
      <c r="M180" s="334"/>
      <c r="N180" s="334"/>
      <c r="O180" s="334"/>
      <c r="P180" s="334"/>
      <c r="Q180" s="334"/>
      <c r="R180" s="334"/>
      <c r="S180" s="334"/>
      <c r="T180" s="334"/>
      <c r="U180" s="335"/>
      <c r="V180" s="335"/>
      <c r="W180" s="335"/>
      <c r="X180" s="335"/>
      <c r="Y180" s="335"/>
      <c r="Z180" s="335"/>
      <c r="AA180" s="335"/>
      <c r="AB180" s="335"/>
      <c r="AC180" s="336"/>
      <c r="AD180" s="336"/>
      <c r="AE180" s="336"/>
      <c r="AF180" s="276"/>
    </row>
    <row r="181" customFormat="false" ht="15.75" hidden="false" customHeight="true" outlineLevel="0" collapsed="false">
      <c r="A181" s="276"/>
      <c r="B181" s="276"/>
      <c r="C181" s="377" t="s">
        <v>1340</v>
      </c>
      <c r="D181" s="338"/>
      <c r="E181" s="338"/>
      <c r="F181" s="339" t="str">
        <f aca="false">IFERROR(VLOOKUP(C181,TE!$H:$Y,2,FALSE()),"(Not on TE)")</f>
        <v>(Not on TE)</v>
      </c>
      <c r="G181" s="338"/>
      <c r="H181" s="338"/>
      <c r="I181" s="338"/>
      <c r="J181" s="338"/>
      <c r="K181" s="338"/>
      <c r="L181" s="338"/>
      <c r="M181" s="338"/>
      <c r="N181" s="338"/>
      <c r="O181" s="338"/>
      <c r="P181" s="338"/>
      <c r="Q181" s="338"/>
      <c r="R181" s="338"/>
      <c r="S181" s="338"/>
      <c r="T181" s="338"/>
      <c r="U181" s="340" t="str">
        <f aca="false">IFERROR(VLOOKUP(C181,TE!$H:$Y,9,FALSE()),"0")</f>
        <v>0</v>
      </c>
      <c r="V181" s="340"/>
      <c r="W181" s="341" t="n">
        <f aca="false">SUMIFS(TE!$O:$O,TE!$G:$G,$C$40,TE!$I:$I,C181,TE!$D:$D,$C$5)</f>
        <v>0</v>
      </c>
      <c r="X181" s="341"/>
      <c r="Y181" s="341" t="str">
        <f aca="false">IFERROR(VLOOKUP(C181,TE!$H:$Y,16,FALSE()),"0")</f>
        <v>0</v>
      </c>
      <c r="Z181" s="341"/>
      <c r="AA181" s="342" t="str">
        <f aca="false">IFERROR(VLOOKUP(C181,TE!$H:$Y,17,FALSE()),"0")</f>
        <v>0</v>
      </c>
      <c r="AB181" s="342"/>
      <c r="AC181" s="343" t="n">
        <f aca="false">IFERROR((W181*Y181*AA181),"")</f>
        <v>0</v>
      </c>
      <c r="AD181" s="343"/>
      <c r="AE181" s="343"/>
      <c r="AF181" s="276"/>
    </row>
    <row r="182" customFormat="false" ht="15.75" hidden="false" customHeight="true" outlineLevel="0" collapsed="false">
      <c r="A182" s="276"/>
      <c r="B182" s="276"/>
      <c r="C182" s="377" t="s">
        <v>1638</v>
      </c>
      <c r="D182" s="338"/>
      <c r="E182" s="338"/>
      <c r="F182" s="339" t="str">
        <f aca="false">IFERROR(VLOOKUP(C182,TE!$H:$Y,2,FALSE()),"(Not on TE)")</f>
        <v>(Not on TE)</v>
      </c>
      <c r="G182" s="338"/>
      <c r="H182" s="338"/>
      <c r="I182" s="338"/>
      <c r="J182" s="338"/>
      <c r="K182" s="338"/>
      <c r="L182" s="338"/>
      <c r="M182" s="338"/>
      <c r="N182" s="338"/>
      <c r="O182" s="338"/>
      <c r="P182" s="338"/>
      <c r="Q182" s="338"/>
      <c r="R182" s="338"/>
      <c r="S182" s="338"/>
      <c r="T182" s="338"/>
      <c r="U182" s="340" t="str">
        <f aca="false">IFERROR(VLOOKUP(C182,TE!$H:$Y,9,FALSE()),"0")</f>
        <v>0</v>
      </c>
      <c r="V182" s="340"/>
      <c r="W182" s="341" t="n">
        <f aca="false">SUMIFS(TE!$O:$O,TE!$G:$G,$C$40,TE!$I:$I,C182,TE!$D:$D,$C$5)</f>
        <v>0</v>
      </c>
      <c r="X182" s="341"/>
      <c r="Y182" s="341" t="str">
        <f aca="false">IFERROR(VLOOKUP(C182,TE!$H:$Y,16,FALSE()),"0")</f>
        <v>0</v>
      </c>
      <c r="Z182" s="341"/>
      <c r="AA182" s="342" t="str">
        <f aca="false">IFERROR(VLOOKUP(C182,TE!$H:$Y,17,FALSE()),"0")</f>
        <v>0</v>
      </c>
      <c r="AB182" s="342"/>
      <c r="AC182" s="343" t="n">
        <f aca="false">IFERROR((W182*Y182*AA182),"")</f>
        <v>0</v>
      </c>
      <c r="AD182" s="343"/>
      <c r="AE182" s="343"/>
      <c r="AF182" s="276"/>
    </row>
    <row r="183" customFormat="false" ht="15.75" hidden="false" customHeight="true" outlineLevel="0" collapsed="false">
      <c r="A183" s="276"/>
      <c r="B183" s="276"/>
      <c r="C183" s="377" t="s">
        <v>1639</v>
      </c>
      <c r="D183" s="338"/>
      <c r="E183" s="338"/>
      <c r="F183" s="339" t="str">
        <f aca="false">IFERROR(VLOOKUP(C183,TE!$H:$Y,2,FALSE()),"(Not on TE)")</f>
        <v>(Not on TE)</v>
      </c>
      <c r="G183" s="338"/>
      <c r="H183" s="338"/>
      <c r="I183" s="338"/>
      <c r="J183" s="338"/>
      <c r="K183" s="338"/>
      <c r="L183" s="338"/>
      <c r="M183" s="338"/>
      <c r="N183" s="338"/>
      <c r="O183" s="338"/>
      <c r="P183" s="338"/>
      <c r="Q183" s="338"/>
      <c r="R183" s="338"/>
      <c r="S183" s="338"/>
      <c r="T183" s="338"/>
      <c r="U183" s="340" t="str">
        <f aca="false">IFERROR(VLOOKUP(C183,TE!$H:$Y,9,FALSE()),"0")</f>
        <v>0</v>
      </c>
      <c r="V183" s="340"/>
      <c r="W183" s="341" t="n">
        <f aca="false">SUMIFS(TE!$O:$O,TE!$G:$G,$C$40,TE!$I:$I,C183,TE!$D:$D,$C$5)</f>
        <v>0</v>
      </c>
      <c r="X183" s="341"/>
      <c r="Y183" s="341" t="str">
        <f aca="false">IFERROR(VLOOKUP(C183,TE!$H:$Y,16,FALSE()),"0")</f>
        <v>0</v>
      </c>
      <c r="Z183" s="341"/>
      <c r="AA183" s="342" t="str">
        <f aca="false">IFERROR(VLOOKUP(C183,TE!$H:$Y,17,FALSE()),"0")</f>
        <v>0</v>
      </c>
      <c r="AB183" s="342"/>
      <c r="AC183" s="343" t="n">
        <f aca="false">IFERROR((W183*Y183*AA183),"")</f>
        <v>0</v>
      </c>
      <c r="AD183" s="343"/>
      <c r="AE183" s="343"/>
      <c r="AF183" s="276"/>
    </row>
    <row r="184" customFormat="false" ht="15.75" hidden="false" customHeight="true" outlineLevel="0" collapsed="false">
      <c r="A184" s="276"/>
      <c r="B184" s="276"/>
      <c r="C184" s="377" t="s">
        <v>1514</v>
      </c>
      <c r="D184" s="338"/>
      <c r="E184" s="338"/>
      <c r="F184" s="339" t="str">
        <f aca="false">IFERROR(VLOOKUP(C184,TE!$H:$Y,2,FALSE()),"(Not on TE)")</f>
        <v>(Not on TE)</v>
      </c>
      <c r="G184" s="338"/>
      <c r="H184" s="338"/>
      <c r="I184" s="338"/>
      <c r="J184" s="338"/>
      <c r="K184" s="338"/>
      <c r="L184" s="338"/>
      <c r="M184" s="338"/>
      <c r="N184" s="338"/>
      <c r="O184" s="338"/>
      <c r="P184" s="338"/>
      <c r="Q184" s="338"/>
      <c r="R184" s="338"/>
      <c r="S184" s="338"/>
      <c r="T184" s="338"/>
      <c r="U184" s="340" t="str">
        <f aca="false">IFERROR(VLOOKUP(C184,TE!$H:$Y,9,FALSE()),"0")</f>
        <v>0</v>
      </c>
      <c r="V184" s="340"/>
      <c r="W184" s="341" t="n">
        <f aca="false">SUMIFS(TE!$O:$O,TE!$G:$G,$C$40,TE!$I:$I,C184,TE!$D:$D,$C$5)</f>
        <v>0</v>
      </c>
      <c r="X184" s="341"/>
      <c r="Y184" s="341" t="str">
        <f aca="false">IFERROR(VLOOKUP(C184,TE!$H:$Y,16,FALSE()),"0")</f>
        <v>0</v>
      </c>
      <c r="Z184" s="341"/>
      <c r="AA184" s="342" t="str">
        <f aca="false">IFERROR(VLOOKUP(C184,TE!$H:$Y,17,FALSE()),"0")</f>
        <v>0</v>
      </c>
      <c r="AB184" s="342"/>
      <c r="AC184" s="343" t="n">
        <f aca="false">IFERROR((W184*Y184*AA184),"")</f>
        <v>0</v>
      </c>
      <c r="AD184" s="343"/>
      <c r="AE184" s="343"/>
      <c r="AF184" s="276"/>
    </row>
    <row r="185" customFormat="false" ht="15.75" hidden="false" customHeight="true" outlineLevel="0" collapsed="false">
      <c r="A185" s="276"/>
      <c r="B185" s="276"/>
      <c r="C185" s="377" t="s">
        <v>1213</v>
      </c>
      <c r="D185" s="338"/>
      <c r="E185" s="338"/>
      <c r="F185" s="339" t="str">
        <f aca="false">IFERROR(VLOOKUP(C185,TE!$H:$Y,2,FALSE()),"(Not on TE)")</f>
        <v>(Not on TE)</v>
      </c>
      <c r="G185" s="338"/>
      <c r="H185" s="338"/>
      <c r="I185" s="338"/>
      <c r="J185" s="338"/>
      <c r="K185" s="338"/>
      <c r="L185" s="338"/>
      <c r="M185" s="338"/>
      <c r="N185" s="338"/>
      <c r="O185" s="338"/>
      <c r="P185" s="338"/>
      <c r="Q185" s="338"/>
      <c r="R185" s="338"/>
      <c r="S185" s="338"/>
      <c r="T185" s="338"/>
      <c r="U185" s="340" t="str">
        <f aca="false">IFERROR(VLOOKUP(C185,TE!$H:$Y,9,FALSE()),"0")</f>
        <v>0</v>
      </c>
      <c r="V185" s="340"/>
      <c r="W185" s="341" t="n">
        <f aca="false">SUMIFS(TE!$O:$O,TE!$G:$G,$C$40,TE!$I:$I,C185,TE!$D:$D,$C$5)</f>
        <v>0</v>
      </c>
      <c r="X185" s="341"/>
      <c r="Y185" s="341" t="str">
        <f aca="false">IFERROR(VLOOKUP(C185,TE!$H:$Y,16,FALSE()),"0")</f>
        <v>0</v>
      </c>
      <c r="Z185" s="341"/>
      <c r="AA185" s="342" t="str">
        <f aca="false">IFERROR(VLOOKUP(C185,TE!$H:$Y,17,FALSE()),"0")</f>
        <v>0</v>
      </c>
      <c r="AB185" s="342"/>
      <c r="AC185" s="343" t="n">
        <f aca="false">IFERROR((W185*Y185*AA185),"")</f>
        <v>0</v>
      </c>
      <c r="AD185" s="343"/>
      <c r="AE185" s="343"/>
      <c r="AF185" s="276"/>
    </row>
    <row r="186" customFormat="false" ht="15.75" hidden="false" customHeight="true" outlineLevel="0" collapsed="false">
      <c r="A186" s="276"/>
      <c r="B186" s="276"/>
      <c r="C186" s="377" t="s">
        <v>1236</v>
      </c>
      <c r="D186" s="338"/>
      <c r="E186" s="338"/>
      <c r="F186" s="339" t="str">
        <f aca="false">IFERROR(VLOOKUP(C186,TE!$H:$Y,2,FALSE()),"(Not on TE)")</f>
        <v>(Not on TE)</v>
      </c>
      <c r="G186" s="338"/>
      <c r="H186" s="338"/>
      <c r="I186" s="338"/>
      <c r="J186" s="338"/>
      <c r="K186" s="338"/>
      <c r="L186" s="338"/>
      <c r="M186" s="338"/>
      <c r="N186" s="338"/>
      <c r="O186" s="338"/>
      <c r="P186" s="338"/>
      <c r="Q186" s="338"/>
      <c r="R186" s="338"/>
      <c r="S186" s="338"/>
      <c r="T186" s="338"/>
      <c r="U186" s="340" t="str">
        <f aca="false">IFERROR(VLOOKUP(C186,TE!$H:$Y,9,FALSE()),"0")</f>
        <v>0</v>
      </c>
      <c r="V186" s="340"/>
      <c r="W186" s="341" t="n">
        <f aca="false">SUMIFS(TE!$O:$O,TE!$G:$G,$C$40,TE!$I:$I,C186,TE!$D:$D,$C$5)</f>
        <v>0</v>
      </c>
      <c r="X186" s="341"/>
      <c r="Y186" s="341" t="str">
        <f aca="false">IFERROR(VLOOKUP(C186,TE!$H:$Y,16,FALSE()),"0")</f>
        <v>0</v>
      </c>
      <c r="Z186" s="341"/>
      <c r="AA186" s="342" t="str">
        <f aca="false">IFERROR(VLOOKUP(C186,TE!$H:$Y,17,FALSE()),"0")</f>
        <v>0</v>
      </c>
      <c r="AB186" s="342"/>
      <c r="AC186" s="343" t="n">
        <f aca="false">IFERROR((W186*Y186*AA186),"")</f>
        <v>0</v>
      </c>
      <c r="AD186" s="343"/>
      <c r="AE186" s="343"/>
      <c r="AF186" s="276"/>
    </row>
    <row r="187" customFormat="false" ht="15.75" hidden="false" customHeight="true" outlineLevel="0" collapsed="false">
      <c r="A187" s="276"/>
      <c r="B187" s="276"/>
      <c r="C187" s="377" t="s">
        <v>1416</v>
      </c>
      <c r="D187" s="338"/>
      <c r="E187" s="338"/>
      <c r="F187" s="339" t="str">
        <f aca="false">IFERROR(VLOOKUP(C187,TE!$H:$Y,2,FALSE()),"(Not on TE)")</f>
        <v>(Not on TE)</v>
      </c>
      <c r="G187" s="338"/>
      <c r="H187" s="338"/>
      <c r="I187" s="338"/>
      <c r="J187" s="338"/>
      <c r="K187" s="338"/>
      <c r="L187" s="338"/>
      <c r="M187" s="338"/>
      <c r="N187" s="338"/>
      <c r="O187" s="338"/>
      <c r="P187" s="338"/>
      <c r="Q187" s="338"/>
      <c r="R187" s="338"/>
      <c r="S187" s="338"/>
      <c r="T187" s="338"/>
      <c r="U187" s="340" t="str">
        <f aca="false">IFERROR(VLOOKUP(C187,TE!$H:$Y,9,FALSE()),"0")</f>
        <v>0</v>
      </c>
      <c r="V187" s="340"/>
      <c r="W187" s="341" t="n">
        <f aca="false">SUMIFS(TE!$O:$O,TE!$G:$G,$C$40,TE!$I:$I,C187,TE!$D:$D,$C$5)</f>
        <v>2</v>
      </c>
      <c r="X187" s="341"/>
      <c r="Y187" s="341" t="str">
        <f aca="false">IFERROR(VLOOKUP(C187,TE!$H:$Y,16,FALSE()),"0")</f>
        <v>0</v>
      </c>
      <c r="Z187" s="341"/>
      <c r="AA187" s="342" t="str">
        <f aca="false">IFERROR(VLOOKUP(C187,TE!$H:$Y,17,FALSE()),"0")</f>
        <v>0</v>
      </c>
      <c r="AB187" s="342"/>
      <c r="AC187" s="343" t="n">
        <f aca="false">IFERROR((W187*Y187*AA187),"")</f>
        <v>0</v>
      </c>
      <c r="AD187" s="343"/>
      <c r="AE187" s="343"/>
      <c r="AF187" s="276"/>
    </row>
    <row r="188" customFormat="false" ht="15.75" hidden="false" customHeight="true" outlineLevel="0" collapsed="false">
      <c r="A188" s="276"/>
      <c r="B188" s="276"/>
      <c r="C188" s="377" t="s">
        <v>1640</v>
      </c>
      <c r="D188" s="338"/>
      <c r="E188" s="338"/>
      <c r="F188" s="339" t="str">
        <f aca="false">IFERROR(VLOOKUP(C188,TE!$H:$Y,2,FALSE()),"(Not on TE)")</f>
        <v>(Not on TE)</v>
      </c>
      <c r="G188" s="338"/>
      <c r="H188" s="338"/>
      <c r="I188" s="338"/>
      <c r="J188" s="338"/>
      <c r="K188" s="338"/>
      <c r="L188" s="338"/>
      <c r="M188" s="338"/>
      <c r="N188" s="338"/>
      <c r="O188" s="338"/>
      <c r="P188" s="338"/>
      <c r="Q188" s="338"/>
      <c r="R188" s="338"/>
      <c r="S188" s="338"/>
      <c r="T188" s="338"/>
      <c r="U188" s="340" t="str">
        <f aca="false">IFERROR(VLOOKUP(C188,TE!$H:$Y,9,FALSE()),"0")</f>
        <v>0</v>
      </c>
      <c r="V188" s="340"/>
      <c r="W188" s="341" t="n">
        <f aca="false">SUMIFS(TE!$O:$O,TE!$G:$G,$C$40,TE!$I:$I,C188,TE!$D:$D,$C$5)</f>
        <v>0</v>
      </c>
      <c r="X188" s="341"/>
      <c r="Y188" s="341" t="str">
        <f aca="false">IFERROR(VLOOKUP(C188,TE!$H:$Y,16,FALSE()),"0")</f>
        <v>0</v>
      </c>
      <c r="Z188" s="341"/>
      <c r="AA188" s="342" t="str">
        <f aca="false">IFERROR(VLOOKUP(C188,TE!$H:$Y,17,FALSE()),"0")</f>
        <v>0</v>
      </c>
      <c r="AB188" s="342"/>
      <c r="AC188" s="343" t="n">
        <f aca="false">IFERROR((W188*Y188*AA188),"")</f>
        <v>0</v>
      </c>
      <c r="AD188" s="343"/>
      <c r="AE188" s="343"/>
      <c r="AF188" s="276"/>
    </row>
    <row r="189" customFormat="false" ht="15.75" hidden="false" customHeight="true" outlineLevel="0" collapsed="false">
      <c r="A189" s="276"/>
      <c r="B189" s="276"/>
      <c r="C189" s="377" t="s">
        <v>1364</v>
      </c>
      <c r="D189" s="338"/>
      <c r="E189" s="338"/>
      <c r="F189" s="339" t="str">
        <f aca="false">IFERROR(VLOOKUP(C189,TE!$H:$Y,2,FALSE()),"(Not on TE)")</f>
        <v>(Not on TE)</v>
      </c>
      <c r="G189" s="338"/>
      <c r="H189" s="338"/>
      <c r="I189" s="338"/>
      <c r="J189" s="338"/>
      <c r="K189" s="338"/>
      <c r="L189" s="338"/>
      <c r="M189" s="338"/>
      <c r="N189" s="338"/>
      <c r="O189" s="338"/>
      <c r="P189" s="338"/>
      <c r="Q189" s="338"/>
      <c r="R189" s="338"/>
      <c r="S189" s="338"/>
      <c r="T189" s="338"/>
      <c r="U189" s="340" t="str">
        <f aca="false">IFERROR(VLOOKUP(C189,TE!$H:$Y,9,FALSE()),"0")</f>
        <v>0</v>
      </c>
      <c r="V189" s="340"/>
      <c r="W189" s="341" t="n">
        <f aca="false">SUMIFS(TE!$O:$O,TE!$G:$G,$C$40,TE!$I:$I,C189,TE!$D:$D,$C$5)</f>
        <v>0</v>
      </c>
      <c r="X189" s="341"/>
      <c r="Y189" s="341" t="str">
        <f aca="false">IFERROR(VLOOKUP(C189,TE!$H:$Y,16,FALSE()),"0")</f>
        <v>0</v>
      </c>
      <c r="Z189" s="341"/>
      <c r="AA189" s="342" t="str">
        <f aca="false">IFERROR(VLOOKUP(C189,TE!$H:$Y,17,FALSE()),"0")</f>
        <v>0</v>
      </c>
      <c r="AB189" s="342"/>
      <c r="AC189" s="343" t="n">
        <f aca="false">IFERROR((W189*Y189*AA189),"")</f>
        <v>0</v>
      </c>
      <c r="AD189" s="343"/>
      <c r="AE189" s="343"/>
      <c r="AF189" s="276"/>
    </row>
    <row r="190" customFormat="false" ht="15.75" hidden="false" customHeight="true" outlineLevel="0" collapsed="false">
      <c r="A190" s="276"/>
      <c r="B190" s="276"/>
      <c r="C190" s="377" t="s">
        <v>1222</v>
      </c>
      <c r="D190" s="338"/>
      <c r="E190" s="338"/>
      <c r="F190" s="339" t="str">
        <f aca="false">IFERROR(VLOOKUP(C190,TE!$H:$Y,2,FALSE()),"(Not on TE)")</f>
        <v>(Not on TE)</v>
      </c>
      <c r="G190" s="338"/>
      <c r="H190" s="338"/>
      <c r="I190" s="338"/>
      <c r="J190" s="338"/>
      <c r="K190" s="338"/>
      <c r="L190" s="338"/>
      <c r="M190" s="338"/>
      <c r="N190" s="338"/>
      <c r="O190" s="338"/>
      <c r="P190" s="338"/>
      <c r="Q190" s="338"/>
      <c r="R190" s="338"/>
      <c r="S190" s="338"/>
      <c r="T190" s="338"/>
      <c r="U190" s="340" t="str">
        <f aca="false">IFERROR(VLOOKUP(C190,TE!$H:$Y,9,FALSE()),"0")</f>
        <v>0</v>
      </c>
      <c r="V190" s="340"/>
      <c r="W190" s="341" t="n">
        <f aca="false">SUMIFS(TE!$O:$O,TE!$G:$G,$C$40,TE!$I:$I,C190,TE!$D:$D,$C$5)</f>
        <v>0</v>
      </c>
      <c r="X190" s="341"/>
      <c r="Y190" s="341" t="str">
        <f aca="false">IFERROR(VLOOKUP(C190,TE!$H:$Y,16,FALSE()),"0")</f>
        <v>0</v>
      </c>
      <c r="Z190" s="341"/>
      <c r="AA190" s="342" t="str">
        <f aca="false">IFERROR(VLOOKUP(C190,TE!$H:$Y,17,FALSE()),"0")</f>
        <v>0</v>
      </c>
      <c r="AB190" s="342"/>
      <c r="AC190" s="343" t="n">
        <f aca="false">IFERROR((W190*Y190*AA190),"")</f>
        <v>0</v>
      </c>
      <c r="AD190" s="343"/>
      <c r="AE190" s="343"/>
      <c r="AF190" s="276"/>
    </row>
    <row r="191" customFormat="false" ht="15.75" hidden="false" customHeight="true" outlineLevel="0" collapsed="false">
      <c r="A191" s="276"/>
      <c r="B191" s="276"/>
      <c r="C191" s="377"/>
      <c r="D191" s="338"/>
      <c r="E191" s="338"/>
      <c r="F191" s="339"/>
      <c r="G191" s="338"/>
      <c r="H191" s="338"/>
      <c r="I191" s="338"/>
      <c r="J191" s="338"/>
      <c r="K191" s="338"/>
      <c r="L191" s="338"/>
      <c r="M191" s="338"/>
      <c r="N191" s="338"/>
      <c r="O191" s="338"/>
      <c r="P191" s="338"/>
      <c r="Q191" s="338"/>
      <c r="R191" s="338"/>
      <c r="S191" s="338"/>
      <c r="T191" s="338"/>
      <c r="U191" s="340"/>
      <c r="V191" s="340"/>
      <c r="W191" s="341"/>
      <c r="X191" s="341"/>
      <c r="Y191" s="341"/>
      <c r="Z191" s="341"/>
      <c r="AA191" s="342"/>
      <c r="AB191" s="342"/>
      <c r="AC191" s="343"/>
      <c r="AD191" s="343"/>
      <c r="AE191" s="343"/>
      <c r="AF191" s="276"/>
    </row>
    <row r="192" customFormat="false" ht="15" hidden="false" customHeight="true" outlineLevel="0" collapsed="false">
      <c r="A192" s="276"/>
      <c r="B192" s="276"/>
      <c r="C192" s="344"/>
      <c r="D192" s="338"/>
      <c r="E192" s="338"/>
      <c r="F192" s="339"/>
      <c r="G192" s="338"/>
      <c r="H192" s="338"/>
      <c r="I192" s="338"/>
      <c r="J192" s="338"/>
      <c r="K192" s="338"/>
      <c r="L192" s="338"/>
      <c r="M192" s="338"/>
      <c r="N192" s="338"/>
      <c r="O192" s="338"/>
      <c r="P192" s="338"/>
      <c r="Q192" s="338"/>
      <c r="R192" s="338"/>
      <c r="S192" s="338"/>
      <c r="T192" s="338"/>
      <c r="U192" s="340"/>
      <c r="V192" s="340"/>
      <c r="W192" s="341"/>
      <c r="X192" s="341"/>
      <c r="Y192" s="341"/>
      <c r="Z192" s="341"/>
      <c r="AA192" s="389"/>
      <c r="AB192" s="389"/>
      <c r="AC192" s="343"/>
      <c r="AD192" s="343"/>
      <c r="AE192" s="343"/>
      <c r="AF192" s="276"/>
    </row>
    <row r="193" customFormat="false" ht="15.75" hidden="false" customHeight="true" outlineLevel="0" collapsed="false">
      <c r="A193" s="276"/>
      <c r="B193" s="276"/>
      <c r="C193" s="344"/>
      <c r="D193" s="338"/>
      <c r="E193" s="338"/>
      <c r="F193" s="339"/>
      <c r="G193" s="338"/>
      <c r="H193" s="338"/>
      <c r="I193" s="338"/>
      <c r="J193" s="338"/>
      <c r="K193" s="338"/>
      <c r="L193" s="338"/>
      <c r="M193" s="338"/>
      <c r="N193" s="338"/>
      <c r="O193" s="338"/>
      <c r="P193" s="338"/>
      <c r="Q193" s="338"/>
      <c r="R193" s="338"/>
      <c r="S193" s="338"/>
      <c r="T193" s="338"/>
      <c r="U193" s="340"/>
      <c r="V193" s="340"/>
      <c r="W193" s="341"/>
      <c r="X193" s="341"/>
      <c r="Y193" s="341"/>
      <c r="Z193" s="341"/>
      <c r="AA193" s="342"/>
      <c r="AB193" s="342"/>
      <c r="AC193" s="343"/>
      <c r="AD193" s="343"/>
      <c r="AE193" s="343"/>
      <c r="AF193" s="276"/>
    </row>
    <row r="194" customFormat="false" ht="15.75" hidden="false" customHeight="true" outlineLevel="0" collapsed="false">
      <c r="A194" s="276"/>
      <c r="B194" s="276"/>
      <c r="C194" s="344"/>
      <c r="D194" s="338"/>
      <c r="E194" s="338"/>
      <c r="F194" s="339"/>
      <c r="G194" s="338"/>
      <c r="H194" s="338"/>
      <c r="I194" s="338"/>
      <c r="J194" s="338"/>
      <c r="K194" s="338"/>
      <c r="L194" s="338"/>
      <c r="M194" s="338"/>
      <c r="N194" s="338"/>
      <c r="O194" s="338"/>
      <c r="P194" s="338"/>
      <c r="Q194" s="338"/>
      <c r="R194" s="338"/>
      <c r="S194" s="338"/>
      <c r="T194" s="338"/>
      <c r="U194" s="340"/>
      <c r="V194" s="340"/>
      <c r="W194" s="341"/>
      <c r="X194" s="341"/>
      <c r="Y194" s="341"/>
      <c r="Z194" s="341"/>
      <c r="AA194" s="389"/>
      <c r="AB194" s="389"/>
      <c r="AC194" s="343"/>
      <c r="AD194" s="343"/>
      <c r="AE194" s="343"/>
      <c r="AF194" s="276"/>
    </row>
    <row r="195" customFormat="false" ht="15.75" hidden="false" customHeight="true" outlineLevel="0" collapsed="false">
      <c r="A195" s="276"/>
      <c r="B195" s="276"/>
      <c r="C195" s="344"/>
      <c r="D195" s="338"/>
      <c r="E195" s="338"/>
      <c r="F195" s="339"/>
      <c r="G195" s="338"/>
      <c r="H195" s="338"/>
      <c r="I195" s="338"/>
      <c r="J195" s="338"/>
      <c r="K195" s="338"/>
      <c r="L195" s="338"/>
      <c r="M195" s="338"/>
      <c r="N195" s="338"/>
      <c r="O195" s="338"/>
      <c r="P195" s="338"/>
      <c r="Q195" s="338"/>
      <c r="R195" s="338"/>
      <c r="S195" s="338"/>
      <c r="T195" s="338"/>
      <c r="U195" s="340"/>
      <c r="V195" s="340"/>
      <c r="W195" s="341"/>
      <c r="X195" s="341"/>
      <c r="Y195" s="341"/>
      <c r="Z195" s="341"/>
      <c r="AA195" s="389"/>
      <c r="AB195" s="389"/>
      <c r="AC195" s="343"/>
      <c r="AD195" s="343"/>
      <c r="AE195" s="343"/>
      <c r="AF195" s="276"/>
    </row>
    <row r="196" customFormat="false" ht="15.75" hidden="false" customHeight="true" outlineLevel="0" collapsed="false">
      <c r="A196" s="276"/>
      <c r="B196" s="276"/>
      <c r="C196" s="344"/>
      <c r="D196" s="338"/>
      <c r="E196" s="338"/>
      <c r="F196" s="339"/>
      <c r="G196" s="338"/>
      <c r="H196" s="338"/>
      <c r="I196" s="338"/>
      <c r="J196" s="338"/>
      <c r="K196" s="338"/>
      <c r="L196" s="338"/>
      <c r="M196" s="338"/>
      <c r="N196" s="338"/>
      <c r="O196" s="338"/>
      <c r="P196" s="338"/>
      <c r="Q196" s="338"/>
      <c r="R196" s="338"/>
      <c r="S196" s="338"/>
      <c r="T196" s="338"/>
      <c r="U196" s="340"/>
      <c r="V196" s="340"/>
      <c r="W196" s="341"/>
      <c r="X196" s="341"/>
      <c r="Y196" s="341"/>
      <c r="Z196" s="341"/>
      <c r="AA196" s="389"/>
      <c r="AB196" s="389"/>
      <c r="AC196" s="343"/>
      <c r="AD196" s="343"/>
      <c r="AE196" s="343"/>
      <c r="AF196" s="276"/>
    </row>
    <row r="197" customFormat="false" ht="15.75" hidden="false" customHeight="true" outlineLevel="0" collapsed="false">
      <c r="A197" s="276"/>
      <c r="B197" s="276"/>
      <c r="C197" s="344"/>
      <c r="D197" s="338"/>
      <c r="E197" s="338"/>
      <c r="F197" s="339"/>
      <c r="G197" s="338"/>
      <c r="H197" s="338"/>
      <c r="I197" s="338"/>
      <c r="J197" s="338"/>
      <c r="K197" s="338"/>
      <c r="L197" s="338"/>
      <c r="M197" s="338"/>
      <c r="N197" s="338"/>
      <c r="O197" s="338"/>
      <c r="P197" s="338"/>
      <c r="Q197" s="338"/>
      <c r="R197" s="338"/>
      <c r="S197" s="338"/>
      <c r="T197" s="338"/>
      <c r="U197" s="340"/>
      <c r="V197" s="340"/>
      <c r="W197" s="341"/>
      <c r="X197" s="341"/>
      <c r="Y197" s="341"/>
      <c r="Z197" s="341"/>
      <c r="AA197" s="389"/>
      <c r="AB197" s="389"/>
      <c r="AC197" s="343"/>
      <c r="AD197" s="343"/>
      <c r="AE197" s="343"/>
      <c r="AF197" s="276"/>
    </row>
    <row r="198" customFormat="false" ht="15.75" hidden="false" customHeight="true" outlineLevel="0" collapsed="false">
      <c r="A198" s="276"/>
      <c r="B198" s="276"/>
      <c r="C198" s="344"/>
      <c r="D198" s="338"/>
      <c r="E198" s="338"/>
      <c r="F198" s="339"/>
      <c r="G198" s="338"/>
      <c r="H198" s="338"/>
      <c r="I198" s="338"/>
      <c r="J198" s="338"/>
      <c r="K198" s="338"/>
      <c r="L198" s="338"/>
      <c r="M198" s="338"/>
      <c r="N198" s="338"/>
      <c r="O198" s="338"/>
      <c r="P198" s="338"/>
      <c r="Q198" s="338"/>
      <c r="R198" s="338"/>
      <c r="S198" s="338"/>
      <c r="T198" s="338"/>
      <c r="U198" s="340"/>
      <c r="V198" s="340"/>
      <c r="W198" s="341"/>
      <c r="X198" s="341"/>
      <c r="Y198" s="341"/>
      <c r="Z198" s="341"/>
      <c r="AA198" s="389"/>
      <c r="AB198" s="389"/>
      <c r="AC198" s="343"/>
      <c r="AD198" s="343"/>
      <c r="AE198" s="343"/>
      <c r="AF198" s="276"/>
    </row>
    <row r="199" customFormat="false" ht="15.75" hidden="false" customHeight="true" outlineLevel="0" collapsed="false">
      <c r="A199" s="276"/>
      <c r="B199" s="276"/>
      <c r="C199" s="344"/>
      <c r="D199" s="338"/>
      <c r="E199" s="338"/>
      <c r="F199" s="339"/>
      <c r="G199" s="338"/>
      <c r="H199" s="338"/>
      <c r="I199" s="338"/>
      <c r="J199" s="338"/>
      <c r="K199" s="338"/>
      <c r="L199" s="338"/>
      <c r="M199" s="338"/>
      <c r="N199" s="338"/>
      <c r="O199" s="338"/>
      <c r="P199" s="338"/>
      <c r="Q199" s="338"/>
      <c r="R199" s="338"/>
      <c r="S199" s="338"/>
      <c r="T199" s="338"/>
      <c r="U199" s="340"/>
      <c r="V199" s="340"/>
      <c r="W199" s="341"/>
      <c r="X199" s="341"/>
      <c r="Y199" s="341"/>
      <c r="Z199" s="341"/>
      <c r="AA199" s="389"/>
      <c r="AB199" s="389"/>
      <c r="AC199" s="343"/>
      <c r="AD199" s="343"/>
      <c r="AE199" s="343"/>
      <c r="AF199" s="276"/>
    </row>
    <row r="200" customFormat="false" ht="15.75" hidden="false" customHeight="true" outlineLevel="0" collapsed="false">
      <c r="A200" s="276"/>
      <c r="B200" s="276"/>
      <c r="C200" s="344"/>
      <c r="D200" s="338"/>
      <c r="E200" s="338"/>
      <c r="F200" s="339"/>
      <c r="G200" s="338"/>
      <c r="H200" s="338"/>
      <c r="I200" s="338"/>
      <c r="J200" s="338"/>
      <c r="K200" s="338"/>
      <c r="L200" s="338"/>
      <c r="M200" s="338"/>
      <c r="N200" s="338"/>
      <c r="O200" s="338"/>
      <c r="P200" s="338"/>
      <c r="Q200" s="338"/>
      <c r="R200" s="338"/>
      <c r="S200" s="338"/>
      <c r="T200" s="338"/>
      <c r="U200" s="340"/>
      <c r="V200" s="340"/>
      <c r="W200" s="341"/>
      <c r="X200" s="341"/>
      <c r="Y200" s="341"/>
      <c r="Z200" s="341"/>
      <c r="AA200" s="389"/>
      <c r="AB200" s="389"/>
      <c r="AC200" s="343"/>
      <c r="AD200" s="343"/>
      <c r="AE200" s="343"/>
      <c r="AF200" s="276"/>
    </row>
    <row r="201" customFormat="false" ht="15.75" hidden="false" customHeight="true" outlineLevel="0" collapsed="false">
      <c r="A201" s="276"/>
      <c r="B201" s="276"/>
      <c r="C201" s="344"/>
      <c r="D201" s="338"/>
      <c r="E201" s="338"/>
      <c r="F201" s="339"/>
      <c r="G201" s="338"/>
      <c r="H201" s="338"/>
      <c r="I201" s="338"/>
      <c r="J201" s="338"/>
      <c r="K201" s="338"/>
      <c r="L201" s="338"/>
      <c r="M201" s="338"/>
      <c r="N201" s="338"/>
      <c r="O201" s="338"/>
      <c r="P201" s="338"/>
      <c r="Q201" s="338"/>
      <c r="R201" s="338"/>
      <c r="S201" s="338"/>
      <c r="T201" s="338"/>
      <c r="U201" s="340"/>
      <c r="V201" s="340"/>
      <c r="W201" s="341"/>
      <c r="X201" s="341"/>
      <c r="Y201" s="341"/>
      <c r="Z201" s="341"/>
      <c r="AA201" s="389"/>
      <c r="AB201" s="389"/>
      <c r="AC201" s="343"/>
      <c r="AD201" s="343"/>
      <c r="AE201" s="343"/>
      <c r="AF201" s="276"/>
    </row>
    <row r="202" customFormat="false" ht="15.75" hidden="false" customHeight="true" outlineLevel="0" collapsed="false">
      <c r="A202" s="276"/>
      <c r="B202" s="276"/>
      <c r="C202" s="344"/>
      <c r="D202" s="338"/>
      <c r="E202" s="338"/>
      <c r="F202" s="339"/>
      <c r="G202" s="338"/>
      <c r="H202" s="338"/>
      <c r="I202" s="338"/>
      <c r="J202" s="338"/>
      <c r="K202" s="338"/>
      <c r="L202" s="338"/>
      <c r="M202" s="338"/>
      <c r="N202" s="338"/>
      <c r="O202" s="338"/>
      <c r="P202" s="338"/>
      <c r="Q202" s="338"/>
      <c r="R202" s="338"/>
      <c r="S202" s="338"/>
      <c r="T202" s="338"/>
      <c r="U202" s="340"/>
      <c r="V202" s="340"/>
      <c r="W202" s="341"/>
      <c r="X202" s="341"/>
      <c r="Y202" s="341"/>
      <c r="Z202" s="341"/>
      <c r="AA202" s="389"/>
      <c r="AB202" s="389"/>
      <c r="AC202" s="343"/>
      <c r="AD202" s="343"/>
      <c r="AE202" s="343"/>
      <c r="AF202" s="276"/>
    </row>
    <row r="203" customFormat="false" ht="15.75" hidden="false" customHeight="true" outlineLevel="0" collapsed="false">
      <c r="A203" s="276"/>
      <c r="B203" s="276"/>
      <c r="C203" s="345"/>
      <c r="D203" s="346"/>
      <c r="E203" s="346"/>
      <c r="F203" s="339"/>
      <c r="G203" s="347"/>
      <c r="H203" s="347"/>
      <c r="I203" s="347"/>
      <c r="J203" s="347"/>
      <c r="K203" s="347"/>
      <c r="L203" s="347"/>
      <c r="M203" s="347"/>
      <c r="N203" s="347"/>
      <c r="O203" s="347"/>
      <c r="P203" s="347"/>
      <c r="Q203" s="347"/>
      <c r="R203" s="347"/>
      <c r="S203" s="347"/>
      <c r="T203" s="347"/>
      <c r="U203" s="340"/>
      <c r="V203" s="340"/>
      <c r="W203" s="341"/>
      <c r="X203" s="341"/>
      <c r="Y203" s="341"/>
      <c r="Z203" s="341"/>
      <c r="AA203" s="389"/>
      <c r="AB203" s="389"/>
      <c r="AC203" s="343"/>
      <c r="AD203" s="343"/>
      <c r="AE203" s="343"/>
      <c r="AF203" s="276"/>
    </row>
    <row r="204" customFormat="false" ht="15.75" hidden="false" customHeight="true" outlineLevel="0" collapsed="false">
      <c r="A204" s="276"/>
      <c r="B204" s="276"/>
      <c r="C204" s="345"/>
      <c r="D204" s="346"/>
      <c r="E204" s="346"/>
      <c r="F204" s="339"/>
      <c r="G204" s="347"/>
      <c r="H204" s="347"/>
      <c r="I204" s="347"/>
      <c r="J204" s="347"/>
      <c r="K204" s="347"/>
      <c r="L204" s="347"/>
      <c r="M204" s="347"/>
      <c r="N204" s="347"/>
      <c r="O204" s="347"/>
      <c r="P204" s="347"/>
      <c r="Q204" s="347"/>
      <c r="R204" s="347"/>
      <c r="S204" s="347"/>
      <c r="T204" s="347"/>
      <c r="U204" s="340"/>
      <c r="V204" s="340"/>
      <c r="W204" s="341"/>
      <c r="X204" s="341"/>
      <c r="Y204" s="341"/>
      <c r="Z204" s="341"/>
      <c r="AA204" s="389"/>
      <c r="AB204" s="389"/>
      <c r="AC204" s="343"/>
      <c r="AD204" s="343"/>
      <c r="AE204" s="343"/>
      <c r="AF204" s="276"/>
    </row>
    <row r="205" customFormat="false" ht="15.75" hidden="false" customHeight="true" outlineLevel="0" collapsed="false">
      <c r="A205" s="276"/>
      <c r="B205" s="276"/>
      <c r="C205" s="345"/>
      <c r="D205" s="346"/>
      <c r="E205" s="346"/>
      <c r="F205" s="339"/>
      <c r="G205" s="347"/>
      <c r="H205" s="347"/>
      <c r="I205" s="347"/>
      <c r="J205" s="347"/>
      <c r="K205" s="347"/>
      <c r="L205" s="347"/>
      <c r="M205" s="347"/>
      <c r="N205" s="347"/>
      <c r="O205" s="347"/>
      <c r="P205" s="347"/>
      <c r="Q205" s="347"/>
      <c r="R205" s="347"/>
      <c r="S205" s="347"/>
      <c r="T205" s="347"/>
      <c r="U205" s="340"/>
      <c r="V205" s="340"/>
      <c r="W205" s="341"/>
      <c r="X205" s="341"/>
      <c r="Y205" s="341"/>
      <c r="Z205" s="341"/>
      <c r="AA205" s="389"/>
      <c r="AB205" s="389"/>
      <c r="AC205" s="343"/>
      <c r="AD205" s="343"/>
      <c r="AE205" s="343"/>
      <c r="AF205" s="276"/>
    </row>
    <row r="206" customFormat="false" ht="15.75" hidden="false" customHeight="true" outlineLevel="0" collapsed="false">
      <c r="A206" s="276"/>
      <c r="B206" s="276"/>
      <c r="C206" s="345"/>
      <c r="D206" s="346"/>
      <c r="E206" s="346"/>
      <c r="F206" s="339"/>
      <c r="G206" s="347"/>
      <c r="H206" s="347"/>
      <c r="I206" s="347"/>
      <c r="J206" s="347"/>
      <c r="K206" s="347"/>
      <c r="L206" s="347"/>
      <c r="M206" s="347"/>
      <c r="N206" s="347"/>
      <c r="O206" s="347"/>
      <c r="P206" s="347"/>
      <c r="Q206" s="347"/>
      <c r="R206" s="347"/>
      <c r="S206" s="347"/>
      <c r="T206" s="347"/>
      <c r="U206" s="340"/>
      <c r="V206" s="340"/>
      <c r="W206" s="341"/>
      <c r="X206" s="341"/>
      <c r="Y206" s="341"/>
      <c r="Z206" s="341"/>
      <c r="AA206" s="389"/>
      <c r="AB206" s="389"/>
      <c r="AC206" s="343"/>
      <c r="AD206" s="343"/>
      <c r="AE206" s="343"/>
      <c r="AF206" s="276"/>
    </row>
    <row r="207" customFormat="false" ht="15.75" hidden="false" customHeight="true" outlineLevel="0" collapsed="false">
      <c r="A207" s="276"/>
      <c r="B207" s="276"/>
      <c r="C207" s="345"/>
      <c r="D207" s="346"/>
      <c r="E207" s="346"/>
      <c r="F207" s="339"/>
      <c r="G207" s="347"/>
      <c r="H207" s="347"/>
      <c r="I207" s="347"/>
      <c r="J207" s="347"/>
      <c r="K207" s="347"/>
      <c r="L207" s="347"/>
      <c r="M207" s="347"/>
      <c r="N207" s="347"/>
      <c r="O207" s="347"/>
      <c r="P207" s="347"/>
      <c r="Q207" s="347"/>
      <c r="R207" s="347"/>
      <c r="S207" s="347"/>
      <c r="T207" s="347"/>
      <c r="U207" s="340"/>
      <c r="V207" s="340"/>
      <c r="W207" s="341"/>
      <c r="X207" s="341"/>
      <c r="Y207" s="341"/>
      <c r="Z207" s="341"/>
      <c r="AA207" s="389"/>
      <c r="AB207" s="389"/>
      <c r="AC207" s="343"/>
      <c r="AD207" s="343"/>
      <c r="AE207" s="343"/>
      <c r="AF207" s="276"/>
    </row>
    <row r="208" customFormat="false" ht="15.75" hidden="false" customHeight="true" outlineLevel="0" collapsed="false">
      <c r="A208" s="276"/>
      <c r="B208" s="276"/>
      <c r="C208" s="345"/>
      <c r="D208" s="346"/>
      <c r="E208" s="346"/>
      <c r="F208" s="339"/>
      <c r="G208" s="347"/>
      <c r="H208" s="347"/>
      <c r="I208" s="347"/>
      <c r="J208" s="347"/>
      <c r="K208" s="347"/>
      <c r="L208" s="347"/>
      <c r="M208" s="347"/>
      <c r="N208" s="347"/>
      <c r="O208" s="347"/>
      <c r="P208" s="347"/>
      <c r="Q208" s="347"/>
      <c r="R208" s="347"/>
      <c r="S208" s="347"/>
      <c r="T208" s="347"/>
      <c r="U208" s="340"/>
      <c r="V208" s="340"/>
      <c r="W208" s="341"/>
      <c r="X208" s="341"/>
      <c r="Y208" s="341"/>
      <c r="Z208" s="341"/>
      <c r="AA208" s="389"/>
      <c r="AB208" s="389"/>
      <c r="AC208" s="343"/>
      <c r="AD208" s="343"/>
      <c r="AE208" s="343"/>
      <c r="AF208" s="276"/>
    </row>
    <row r="209" customFormat="false" ht="15.75" hidden="false" customHeight="true" outlineLevel="0" collapsed="false">
      <c r="A209" s="276"/>
      <c r="B209" s="276"/>
      <c r="C209" s="345"/>
      <c r="D209" s="346"/>
      <c r="E209" s="346"/>
      <c r="F209" s="339"/>
      <c r="G209" s="347"/>
      <c r="H209" s="347"/>
      <c r="I209" s="347"/>
      <c r="J209" s="347"/>
      <c r="K209" s="347"/>
      <c r="L209" s="347"/>
      <c r="M209" s="347"/>
      <c r="N209" s="347"/>
      <c r="O209" s="347"/>
      <c r="P209" s="347"/>
      <c r="Q209" s="347"/>
      <c r="R209" s="347"/>
      <c r="S209" s="347"/>
      <c r="T209" s="347"/>
      <c r="U209" s="340"/>
      <c r="V209" s="340"/>
      <c r="W209" s="341"/>
      <c r="X209" s="341"/>
      <c r="Y209" s="341"/>
      <c r="Z209" s="341"/>
      <c r="AA209" s="389"/>
      <c r="AB209" s="389"/>
      <c r="AC209" s="343"/>
      <c r="AD209" s="343"/>
      <c r="AE209" s="343"/>
      <c r="AF209" s="276"/>
    </row>
    <row r="210" customFormat="false" ht="15.75" hidden="false" customHeight="true" outlineLevel="0" collapsed="false">
      <c r="A210" s="276"/>
      <c r="B210" s="276"/>
      <c r="C210" s="344"/>
      <c r="D210" s="346"/>
      <c r="E210" s="346"/>
      <c r="F210" s="339"/>
      <c r="G210" s="347"/>
      <c r="H210" s="347"/>
      <c r="I210" s="347"/>
      <c r="J210" s="347"/>
      <c r="K210" s="347"/>
      <c r="L210" s="347"/>
      <c r="M210" s="347"/>
      <c r="N210" s="347"/>
      <c r="O210" s="347"/>
      <c r="P210" s="347"/>
      <c r="Q210" s="347"/>
      <c r="R210" s="347"/>
      <c r="S210" s="347"/>
      <c r="T210" s="347"/>
      <c r="U210" s="340"/>
      <c r="V210" s="340"/>
      <c r="W210" s="341"/>
      <c r="X210" s="341"/>
      <c r="Y210" s="341"/>
      <c r="Z210" s="341"/>
      <c r="AA210" s="389"/>
      <c r="AB210" s="389"/>
      <c r="AC210" s="343"/>
      <c r="AD210" s="343"/>
      <c r="AE210" s="343"/>
      <c r="AF210" s="276"/>
    </row>
    <row r="211" customFormat="false" ht="15.75" hidden="false" customHeight="true" outlineLevel="0" collapsed="false">
      <c r="A211" s="276"/>
      <c r="B211" s="276"/>
      <c r="C211" s="344"/>
      <c r="D211" s="346"/>
      <c r="E211" s="346"/>
      <c r="F211" s="339"/>
      <c r="G211" s="347"/>
      <c r="H211" s="347"/>
      <c r="I211" s="347"/>
      <c r="J211" s="347"/>
      <c r="K211" s="347"/>
      <c r="L211" s="347"/>
      <c r="M211" s="347"/>
      <c r="N211" s="347"/>
      <c r="O211" s="347"/>
      <c r="P211" s="347"/>
      <c r="Q211" s="347"/>
      <c r="R211" s="347"/>
      <c r="S211" s="347"/>
      <c r="T211" s="347"/>
      <c r="U211" s="340"/>
      <c r="V211" s="340"/>
      <c r="W211" s="341"/>
      <c r="X211" s="341"/>
      <c r="Y211" s="341"/>
      <c r="Z211" s="341"/>
      <c r="AA211" s="389"/>
      <c r="AB211" s="389"/>
      <c r="AC211" s="343"/>
      <c r="AD211" s="343"/>
      <c r="AE211" s="343"/>
      <c r="AF211" s="276"/>
    </row>
    <row r="212" customFormat="false" ht="15.75" hidden="false" customHeight="true" outlineLevel="0" collapsed="false">
      <c r="A212" s="276"/>
      <c r="B212" s="276"/>
      <c r="C212" s="345"/>
      <c r="D212" s="346"/>
      <c r="E212" s="346"/>
      <c r="F212" s="339"/>
      <c r="G212" s="347"/>
      <c r="H212" s="347"/>
      <c r="I212" s="347"/>
      <c r="J212" s="347"/>
      <c r="K212" s="347"/>
      <c r="L212" s="347"/>
      <c r="M212" s="347"/>
      <c r="N212" s="347"/>
      <c r="O212" s="347"/>
      <c r="P212" s="347"/>
      <c r="Q212" s="347"/>
      <c r="R212" s="347"/>
      <c r="S212" s="347"/>
      <c r="T212" s="347"/>
      <c r="U212" s="340"/>
      <c r="V212" s="340"/>
      <c r="W212" s="341"/>
      <c r="X212" s="341"/>
      <c r="Y212" s="341"/>
      <c r="Z212" s="341"/>
      <c r="AA212" s="389"/>
      <c r="AB212" s="389"/>
      <c r="AC212" s="343"/>
      <c r="AD212" s="343"/>
      <c r="AE212" s="343"/>
      <c r="AF212" s="276"/>
    </row>
    <row r="213" customFormat="false" ht="15.75" hidden="false" customHeight="true" outlineLevel="0" collapsed="false">
      <c r="A213" s="276"/>
      <c r="B213" s="276"/>
      <c r="C213" s="345"/>
      <c r="D213" s="346"/>
      <c r="E213" s="346"/>
      <c r="F213" s="339"/>
      <c r="G213" s="347"/>
      <c r="H213" s="347"/>
      <c r="I213" s="347"/>
      <c r="J213" s="347"/>
      <c r="K213" s="347"/>
      <c r="L213" s="347"/>
      <c r="M213" s="347"/>
      <c r="N213" s="347"/>
      <c r="O213" s="347"/>
      <c r="P213" s="347"/>
      <c r="Q213" s="347"/>
      <c r="R213" s="347"/>
      <c r="S213" s="347"/>
      <c r="T213" s="347"/>
      <c r="U213" s="340"/>
      <c r="V213" s="340"/>
      <c r="W213" s="341"/>
      <c r="X213" s="341"/>
      <c r="Y213" s="341"/>
      <c r="Z213" s="341"/>
      <c r="AA213" s="389"/>
      <c r="AB213" s="389"/>
      <c r="AC213" s="343"/>
      <c r="AD213" s="343"/>
      <c r="AE213" s="343"/>
      <c r="AF213" s="276"/>
    </row>
    <row r="214" customFormat="false" ht="15.75" hidden="false" customHeight="true" outlineLevel="0" collapsed="false">
      <c r="A214" s="276"/>
      <c r="B214" s="276"/>
      <c r="C214" s="345"/>
      <c r="D214" s="346"/>
      <c r="E214" s="346"/>
      <c r="F214" s="339"/>
      <c r="G214" s="347"/>
      <c r="H214" s="347"/>
      <c r="I214" s="347"/>
      <c r="J214" s="347"/>
      <c r="K214" s="347"/>
      <c r="L214" s="347"/>
      <c r="M214" s="347"/>
      <c r="N214" s="347"/>
      <c r="O214" s="347"/>
      <c r="P214" s="347"/>
      <c r="Q214" s="347"/>
      <c r="R214" s="347"/>
      <c r="S214" s="347"/>
      <c r="T214" s="347"/>
      <c r="U214" s="340"/>
      <c r="V214" s="340"/>
      <c r="W214" s="341"/>
      <c r="X214" s="341"/>
      <c r="Y214" s="341"/>
      <c r="Z214" s="341"/>
      <c r="AA214" s="389"/>
      <c r="AB214" s="389"/>
      <c r="AC214" s="343"/>
      <c r="AD214" s="343"/>
      <c r="AE214" s="343"/>
      <c r="AF214" s="276"/>
    </row>
    <row r="215" customFormat="false" ht="15.75" hidden="false" customHeight="true" outlineLevel="0" collapsed="false">
      <c r="A215" s="276"/>
      <c r="B215" s="276"/>
      <c r="C215" s="345"/>
      <c r="D215" s="346"/>
      <c r="E215" s="346"/>
      <c r="F215" s="339"/>
      <c r="G215" s="347"/>
      <c r="H215" s="347"/>
      <c r="I215" s="347"/>
      <c r="J215" s="347"/>
      <c r="K215" s="347"/>
      <c r="L215" s="347"/>
      <c r="M215" s="347"/>
      <c r="N215" s="347"/>
      <c r="O215" s="347"/>
      <c r="P215" s="347"/>
      <c r="Q215" s="347"/>
      <c r="R215" s="347"/>
      <c r="S215" s="347"/>
      <c r="T215" s="347"/>
      <c r="U215" s="340"/>
      <c r="V215" s="340"/>
      <c r="W215" s="341"/>
      <c r="X215" s="341"/>
      <c r="Y215" s="341"/>
      <c r="Z215" s="341"/>
      <c r="AA215" s="389"/>
      <c r="AB215" s="389"/>
      <c r="AC215" s="343"/>
      <c r="AD215" s="343"/>
      <c r="AE215" s="343"/>
      <c r="AF215" s="276"/>
    </row>
    <row r="216" customFormat="false" ht="15.75" hidden="false" customHeight="true" outlineLevel="0" collapsed="false">
      <c r="A216" s="276"/>
      <c r="B216" s="276"/>
      <c r="C216" s="345"/>
      <c r="D216" s="346"/>
      <c r="E216" s="346"/>
      <c r="F216" s="339"/>
      <c r="G216" s="347"/>
      <c r="H216" s="347"/>
      <c r="I216" s="347"/>
      <c r="J216" s="347"/>
      <c r="K216" s="347"/>
      <c r="L216" s="347"/>
      <c r="M216" s="347"/>
      <c r="N216" s="347"/>
      <c r="O216" s="347"/>
      <c r="P216" s="347"/>
      <c r="Q216" s="347"/>
      <c r="R216" s="347"/>
      <c r="S216" s="347"/>
      <c r="T216" s="347"/>
      <c r="U216" s="340"/>
      <c r="V216" s="340"/>
      <c r="W216" s="341"/>
      <c r="X216" s="341"/>
      <c r="Y216" s="341"/>
      <c r="Z216" s="341"/>
      <c r="AA216" s="389"/>
      <c r="AB216" s="389"/>
      <c r="AC216" s="343"/>
      <c r="AD216" s="343"/>
      <c r="AE216" s="343"/>
      <c r="AF216" s="276"/>
    </row>
    <row r="217" customFormat="false" ht="15.75" hidden="false" customHeight="true" outlineLevel="0" collapsed="false">
      <c r="A217" s="378"/>
      <c r="B217" s="378"/>
      <c r="C217" s="348"/>
      <c r="D217" s="379"/>
      <c r="E217" s="379"/>
      <c r="F217" s="350"/>
      <c r="G217" s="380"/>
      <c r="H217" s="380"/>
      <c r="I217" s="380"/>
      <c r="J217" s="380"/>
      <c r="K217" s="380"/>
      <c r="L217" s="380"/>
      <c r="M217" s="380"/>
      <c r="N217" s="380"/>
      <c r="O217" s="380"/>
      <c r="P217" s="380"/>
      <c r="Q217" s="380"/>
      <c r="R217" s="380"/>
      <c r="S217" s="380"/>
      <c r="T217" s="380"/>
      <c r="U217" s="352"/>
      <c r="V217" s="352"/>
      <c r="W217" s="353"/>
      <c r="X217" s="353"/>
      <c r="Y217" s="353"/>
      <c r="Z217" s="353"/>
      <c r="AA217" s="390"/>
      <c r="AB217" s="390"/>
      <c r="AC217" s="355"/>
      <c r="AD217" s="355"/>
      <c r="AE217" s="355"/>
      <c r="AF217" s="381"/>
    </row>
    <row r="218" customFormat="false" ht="15.75" hidden="false" customHeight="true" outlineLevel="0" collapsed="false">
      <c r="A218" s="378"/>
      <c r="B218" s="378"/>
      <c r="C218" s="338"/>
      <c r="D218" s="382"/>
      <c r="E218" s="382"/>
      <c r="F218" s="383"/>
      <c r="G218" s="383"/>
      <c r="H218" s="383"/>
      <c r="I218" s="383"/>
      <c r="J218" s="383"/>
      <c r="K218" s="383"/>
      <c r="L218" s="383"/>
      <c r="M218" s="383"/>
      <c r="N218" s="383"/>
      <c r="O218" s="383"/>
      <c r="P218" s="383"/>
      <c r="Q218" s="383"/>
      <c r="R218" s="383"/>
      <c r="S218" s="383"/>
      <c r="T218" s="383"/>
      <c r="U218" s="384"/>
      <c r="V218" s="384"/>
      <c r="W218" s="385"/>
      <c r="X218" s="385"/>
      <c r="Y218" s="385"/>
      <c r="Z218" s="296" t="s">
        <v>25</v>
      </c>
      <c r="AA218" s="276"/>
      <c r="AB218" s="358" t="n">
        <f aca="false">SUM(AC43:AE79)+SUM(AC89:AE125)+SUM(AC135:AE171)+SUM(AC181:AE191)</f>
        <v>0</v>
      </c>
      <c r="AC218" s="358"/>
      <c r="AD218" s="358"/>
      <c r="AE218" s="358"/>
      <c r="AF218" s="386"/>
    </row>
    <row r="219" customFormat="false" ht="15.75" hidden="false" customHeight="true" outlineLevel="0" collapsed="false">
      <c r="A219" s="378"/>
      <c r="B219" s="378"/>
      <c r="C219" s="338"/>
      <c r="D219" s="382"/>
      <c r="E219" s="382"/>
      <c r="F219" s="383"/>
      <c r="G219" s="383"/>
      <c r="H219" s="383"/>
      <c r="I219" s="383"/>
      <c r="J219" s="383"/>
      <c r="K219" s="383"/>
      <c r="L219" s="383"/>
      <c r="M219" s="383"/>
      <c r="N219" s="383"/>
      <c r="O219" s="383"/>
      <c r="P219" s="383"/>
      <c r="Q219" s="383"/>
      <c r="R219" s="383"/>
      <c r="S219" s="383"/>
      <c r="T219" s="383"/>
      <c r="U219" s="384"/>
      <c r="V219" s="384"/>
      <c r="W219" s="385"/>
      <c r="X219" s="385"/>
      <c r="Y219" s="385"/>
      <c r="Z219" s="385"/>
      <c r="AA219" s="387"/>
      <c r="AB219" s="387"/>
      <c r="AC219" s="388"/>
      <c r="AD219" s="388"/>
      <c r="AE219" s="388"/>
      <c r="AF219" s="386"/>
    </row>
    <row r="220" customFormat="false" ht="15.75" hidden="false" customHeight="true" outlineLevel="0" collapsed="false">
      <c r="A220" s="364"/>
      <c r="B220" s="364"/>
      <c r="C220" s="365"/>
      <c r="D220" s="366"/>
      <c r="E220" s="366"/>
      <c r="F220" s="367"/>
      <c r="G220" s="367"/>
      <c r="H220" s="367"/>
      <c r="I220" s="367"/>
      <c r="J220" s="367"/>
      <c r="K220" s="367"/>
      <c r="L220" s="367"/>
      <c r="M220" s="367"/>
      <c r="N220" s="367"/>
      <c r="O220" s="367"/>
      <c r="P220" s="367"/>
      <c r="Q220" s="367"/>
      <c r="R220" s="367"/>
      <c r="S220" s="367"/>
      <c r="T220" s="367"/>
      <c r="U220" s="368"/>
      <c r="V220" s="368"/>
      <c r="W220" s="369"/>
      <c r="X220" s="369"/>
      <c r="Y220" s="369"/>
      <c r="Z220" s="369"/>
      <c r="AA220" s="370"/>
      <c r="AB220" s="370"/>
      <c r="AC220" s="371"/>
      <c r="AD220" s="371"/>
      <c r="AE220" s="371"/>
      <c r="AF220" s="372"/>
    </row>
    <row r="221" customFormat="false" ht="15.75" hidden="false" customHeight="true" outlineLevel="0" collapsed="false">
      <c r="A221" s="259" t="s">
        <v>1522</v>
      </c>
      <c r="B221" s="259"/>
      <c r="C221" s="323" t="n">
        <f aca="false">$C$5</f>
        <v>14312</v>
      </c>
      <c r="D221" s="323"/>
      <c r="E221" s="323"/>
      <c r="F221" s="323"/>
      <c r="G221" s="323"/>
      <c r="H221" s="323"/>
      <c r="I221" s="323"/>
      <c r="J221" s="323"/>
      <c r="K221" s="323"/>
      <c r="L221" s="323"/>
      <c r="M221" s="259" t="s">
        <v>1523</v>
      </c>
      <c r="N221" s="259"/>
      <c r="O221" s="259"/>
      <c r="P221" s="259"/>
      <c r="Q221" s="259"/>
      <c r="R221" s="324" t="str">
        <f aca="false">$R$5</f>
        <v>Operational Vehicle Laydown Area</v>
      </c>
      <c r="S221" s="324"/>
      <c r="T221" s="324"/>
      <c r="U221" s="324"/>
      <c r="V221" s="324"/>
      <c r="W221" s="324"/>
      <c r="X221" s="324"/>
      <c r="Y221" s="324"/>
      <c r="Z221" s="324"/>
      <c r="AA221" s="324"/>
      <c r="AB221" s="324"/>
      <c r="AC221" s="324"/>
      <c r="AD221" s="324"/>
      <c r="AE221" s="324"/>
      <c r="AF221" s="324"/>
    </row>
    <row r="222" customFormat="false" ht="15.75" hidden="false" customHeight="true" outlineLevel="0" collapsed="false">
      <c r="A222" s="276"/>
      <c r="B222" s="276"/>
      <c r="C222" s="296"/>
      <c r="D222" s="276"/>
      <c r="E222" s="276"/>
      <c r="F222" s="296"/>
      <c r="G222" s="276"/>
      <c r="H222" s="276"/>
      <c r="I222" s="276"/>
      <c r="J222" s="276"/>
      <c r="K222" s="276"/>
      <c r="L222" s="276"/>
      <c r="M222" s="276"/>
      <c r="N222" s="276"/>
      <c r="O222" s="276"/>
      <c r="P222" s="276"/>
      <c r="Q222" s="276"/>
      <c r="R222" s="276"/>
      <c r="S222" s="276"/>
      <c r="T222" s="276"/>
      <c r="U222" s="276"/>
      <c r="V222" s="276"/>
      <c r="W222" s="277"/>
      <c r="X222" s="277"/>
      <c r="Y222" s="276"/>
      <c r="Z222" s="276"/>
      <c r="AA222" s="276"/>
      <c r="AB222" s="276"/>
      <c r="AC222" s="277"/>
      <c r="AD222" s="277"/>
      <c r="AE222" s="277"/>
      <c r="AF222" s="276"/>
    </row>
    <row r="223" customFormat="false" ht="15.75" hidden="false" customHeight="true" outlineLevel="0" collapsed="false">
      <c r="A223" s="276"/>
      <c r="B223" s="276"/>
      <c r="C223" s="325" t="s">
        <v>1542</v>
      </c>
      <c r="D223" s="276"/>
      <c r="E223" s="276"/>
      <c r="F223" s="296"/>
      <c r="G223" s="276"/>
      <c r="H223" s="276"/>
      <c r="I223" s="276"/>
      <c r="J223" s="276"/>
      <c r="K223" s="276"/>
      <c r="L223" s="276"/>
      <c r="M223" s="276"/>
      <c r="N223" s="276"/>
      <c r="O223" s="276"/>
      <c r="P223" s="276"/>
      <c r="Q223" s="276"/>
      <c r="R223" s="276"/>
      <c r="S223" s="276"/>
      <c r="T223" s="276"/>
      <c r="U223" s="276"/>
      <c r="V223" s="276"/>
      <c r="W223" s="277"/>
      <c r="X223" s="277"/>
      <c r="Y223" s="276"/>
      <c r="Z223" s="276"/>
      <c r="AA223" s="276"/>
      <c r="AB223" s="276"/>
      <c r="AC223" s="277"/>
      <c r="AD223" s="277"/>
      <c r="AE223" s="277"/>
      <c r="AF223" s="276"/>
    </row>
    <row r="224" customFormat="false" ht="15.75" hidden="false" customHeight="true" outlineLevel="0" collapsed="false">
      <c r="A224" s="276"/>
      <c r="B224" s="276"/>
      <c r="C224" s="391" t="str">
        <f aca="false">B22</f>
        <v>M28263</v>
      </c>
      <c r="D224" s="391"/>
      <c r="E224" s="391"/>
      <c r="F224" s="327" t="s">
        <v>1536</v>
      </c>
      <c r="G224" s="327"/>
      <c r="H224" s="327"/>
      <c r="I224" s="327"/>
      <c r="J224" s="327"/>
      <c r="K224" s="327"/>
      <c r="L224" s="327"/>
      <c r="M224" s="327"/>
      <c r="N224" s="328"/>
      <c r="O224" s="329"/>
      <c r="P224" s="329"/>
      <c r="Q224" s="329"/>
      <c r="R224" s="329"/>
      <c r="S224" s="330"/>
      <c r="T224" s="295"/>
      <c r="U224" s="295"/>
      <c r="V224" s="295"/>
      <c r="W224" s="331"/>
      <c r="X224" s="331"/>
      <c r="Y224" s="295"/>
      <c r="Z224" s="295"/>
      <c r="AA224" s="295"/>
      <c r="AB224" s="295"/>
      <c r="AC224" s="332"/>
      <c r="AD224" s="332"/>
      <c r="AE224" s="332"/>
      <c r="AF224" s="276"/>
    </row>
    <row r="225" customFormat="false" ht="15.75" hidden="false" customHeight="true" outlineLevel="0" collapsed="false">
      <c r="A225" s="276"/>
      <c r="B225" s="276"/>
      <c r="C225" s="333" t="s">
        <v>1055</v>
      </c>
      <c r="D225" s="333"/>
      <c r="E225" s="333"/>
      <c r="F225" s="334" t="s">
        <v>13</v>
      </c>
      <c r="G225" s="334"/>
      <c r="H225" s="334"/>
      <c r="I225" s="334"/>
      <c r="J225" s="334"/>
      <c r="K225" s="334"/>
      <c r="L225" s="334"/>
      <c r="M225" s="334"/>
      <c r="N225" s="334"/>
      <c r="O225" s="334"/>
      <c r="P225" s="334"/>
      <c r="Q225" s="334"/>
      <c r="R225" s="334"/>
      <c r="S225" s="334"/>
      <c r="T225" s="334"/>
      <c r="U225" s="335" t="s">
        <v>1543</v>
      </c>
      <c r="V225" s="335"/>
      <c r="W225" s="335" t="s">
        <v>1544</v>
      </c>
      <c r="X225" s="335"/>
      <c r="Y225" s="335" t="s">
        <v>1545</v>
      </c>
      <c r="Z225" s="335"/>
      <c r="AA225" s="335" t="s">
        <v>1546</v>
      </c>
      <c r="AB225" s="335"/>
      <c r="AC225" s="336" t="s">
        <v>1547</v>
      </c>
      <c r="AD225" s="336"/>
      <c r="AE225" s="336"/>
      <c r="AF225" s="276"/>
    </row>
    <row r="226" customFormat="false" ht="15.75" hidden="false" customHeight="true" outlineLevel="0" collapsed="false">
      <c r="A226" s="276"/>
      <c r="B226" s="276"/>
      <c r="C226" s="333"/>
      <c r="D226" s="333"/>
      <c r="E226" s="333"/>
      <c r="F226" s="334"/>
      <c r="G226" s="334"/>
      <c r="H226" s="334"/>
      <c r="I226" s="334"/>
      <c r="J226" s="334"/>
      <c r="K226" s="334"/>
      <c r="L226" s="334"/>
      <c r="M226" s="334"/>
      <c r="N226" s="334"/>
      <c r="O226" s="334"/>
      <c r="P226" s="334"/>
      <c r="Q226" s="334"/>
      <c r="R226" s="334"/>
      <c r="S226" s="334"/>
      <c r="T226" s="334"/>
      <c r="U226" s="335"/>
      <c r="V226" s="335"/>
      <c r="W226" s="335"/>
      <c r="X226" s="335"/>
      <c r="Y226" s="335"/>
      <c r="Z226" s="335"/>
      <c r="AA226" s="335"/>
      <c r="AB226" s="335"/>
      <c r="AC226" s="336"/>
      <c r="AD226" s="336"/>
      <c r="AE226" s="336"/>
      <c r="AF226" s="276"/>
    </row>
    <row r="227" customFormat="false" ht="15.75" hidden="false" customHeight="true" outlineLevel="0" collapsed="false">
      <c r="A227" s="276"/>
      <c r="B227" s="276"/>
      <c r="C227" s="337" t="s">
        <v>1548</v>
      </c>
      <c r="D227" s="338"/>
      <c r="E227" s="338"/>
      <c r="F227" s="339" t="str">
        <f aca="false">IFERROR(VLOOKUP(C227,TE!$H:$Y,2,FALSE()),"(Not on TE)")</f>
        <v>(Not on TE)</v>
      </c>
      <c r="G227" s="338"/>
      <c r="H227" s="338"/>
      <c r="I227" s="338"/>
      <c r="J227" s="338"/>
      <c r="K227" s="338"/>
      <c r="L227" s="338"/>
      <c r="M227" s="338"/>
      <c r="N227" s="338"/>
      <c r="O227" s="338"/>
      <c r="P227" s="338"/>
      <c r="Q227" s="338"/>
      <c r="R227" s="338"/>
      <c r="S227" s="338"/>
      <c r="T227" s="338"/>
      <c r="U227" s="340" t="str">
        <f aca="false">IFERROR(VLOOKUP(C227,TE!$H:$Y,9,FALSE()),"0")</f>
        <v>0</v>
      </c>
      <c r="V227" s="340"/>
      <c r="W227" s="341" t="n">
        <f aca="false">SUMIFS(TE!$O:$O,TE!$G:$G,$C$224,TE!$I:$I,C227,TE!$D:$D,$C$5)</f>
        <v>0</v>
      </c>
      <c r="X227" s="341"/>
      <c r="Y227" s="341" t="str">
        <f aca="false">IFERROR(VLOOKUP(C227,TE!$H:$Y,16,FALSE()),"0")</f>
        <v>0</v>
      </c>
      <c r="Z227" s="341"/>
      <c r="AA227" s="342" t="str">
        <f aca="false">IFERROR(VLOOKUP(C227,TE!$H:$Y,17,FALSE()),"0")</f>
        <v>0</v>
      </c>
      <c r="AB227" s="342"/>
      <c r="AC227" s="343" t="n">
        <f aca="false">IFERROR((W227*Y227*AA227),"")</f>
        <v>0</v>
      </c>
      <c r="AD227" s="343"/>
      <c r="AE227" s="343"/>
      <c r="AF227" s="276"/>
    </row>
    <row r="228" customFormat="false" ht="15.75" hidden="false" customHeight="true" outlineLevel="0" collapsed="false">
      <c r="A228" s="276"/>
      <c r="B228" s="276"/>
      <c r="C228" s="344" t="s">
        <v>1549</v>
      </c>
      <c r="D228" s="338"/>
      <c r="E228" s="338"/>
      <c r="F228" s="339" t="str">
        <f aca="false">IFERROR(VLOOKUP(C228,TE!$H:$Y,2,FALSE()),"(Not on TE)")</f>
        <v>(Not on TE)</v>
      </c>
      <c r="G228" s="338"/>
      <c r="H228" s="338"/>
      <c r="I228" s="338"/>
      <c r="J228" s="338"/>
      <c r="K228" s="338"/>
      <c r="L228" s="338"/>
      <c r="M228" s="338"/>
      <c r="N228" s="338"/>
      <c r="O228" s="338"/>
      <c r="P228" s="338"/>
      <c r="Q228" s="338"/>
      <c r="R228" s="338"/>
      <c r="S228" s="338"/>
      <c r="T228" s="338"/>
      <c r="U228" s="340" t="str">
        <f aca="false">IFERROR(VLOOKUP(C228,TE!$H:$Y,9,FALSE()),"0")</f>
        <v>0</v>
      </c>
      <c r="V228" s="340"/>
      <c r="W228" s="341" t="n">
        <f aca="false">SUMIFS(TE!$O:$O,TE!$G:$G,$C$224,TE!$I:$I,C228,TE!$D:$D,$C$5)</f>
        <v>0</v>
      </c>
      <c r="X228" s="341"/>
      <c r="Y228" s="341" t="str">
        <f aca="false">IFERROR(VLOOKUP(C228,TE!$H:$Y,16,FALSE()),"0")</f>
        <v>0</v>
      </c>
      <c r="Z228" s="341"/>
      <c r="AA228" s="342" t="str">
        <f aca="false">IFERROR(VLOOKUP(C228,TE!$H:$Y,17,FALSE()),"0")</f>
        <v>0</v>
      </c>
      <c r="AB228" s="342"/>
      <c r="AC228" s="343" t="n">
        <f aca="false">IFERROR((W228*Y228*AA228),"")</f>
        <v>0</v>
      </c>
      <c r="AD228" s="343"/>
      <c r="AE228" s="343"/>
      <c r="AF228" s="276"/>
    </row>
    <row r="229" customFormat="false" ht="15.75" hidden="false" customHeight="true" outlineLevel="0" collapsed="false">
      <c r="A229" s="276"/>
      <c r="B229" s="276"/>
      <c r="C229" s="344" t="s">
        <v>1550</v>
      </c>
      <c r="D229" s="338"/>
      <c r="E229" s="338"/>
      <c r="F229" s="339" t="str">
        <f aca="false">IFERROR(VLOOKUP(C229,TE!$H:$Y,2,FALSE()),"(Not on TE)")</f>
        <v>(Not on TE)</v>
      </c>
      <c r="G229" s="338"/>
      <c r="H229" s="338"/>
      <c r="I229" s="338"/>
      <c r="J229" s="338"/>
      <c r="K229" s="338"/>
      <c r="L229" s="338"/>
      <c r="M229" s="338"/>
      <c r="N229" s="338"/>
      <c r="O229" s="338"/>
      <c r="P229" s="338"/>
      <c r="Q229" s="338"/>
      <c r="R229" s="338"/>
      <c r="S229" s="338"/>
      <c r="T229" s="338"/>
      <c r="U229" s="340" t="str">
        <f aca="false">IFERROR(VLOOKUP(C229,TE!$H:$Y,9,FALSE()),"0")</f>
        <v>0</v>
      </c>
      <c r="V229" s="340"/>
      <c r="W229" s="341" t="n">
        <f aca="false">SUMIFS(TE!$O:$O,TE!$G:$G,$C$224,TE!$I:$I,C229,TE!$D:$D,$C$5)</f>
        <v>0</v>
      </c>
      <c r="X229" s="341"/>
      <c r="Y229" s="341" t="str">
        <f aca="false">IFERROR(VLOOKUP(C229,TE!$H:$Y,16,FALSE()),"0")</f>
        <v>0</v>
      </c>
      <c r="Z229" s="341"/>
      <c r="AA229" s="342" t="str">
        <f aca="false">IFERROR(VLOOKUP(C229,TE!$H:$Y,17,FALSE()),"0")</f>
        <v>0</v>
      </c>
      <c r="AB229" s="342"/>
      <c r="AC229" s="343" t="n">
        <f aca="false">IFERROR((W229*Y229*AA229),"")</f>
        <v>0</v>
      </c>
      <c r="AD229" s="343"/>
      <c r="AE229" s="343"/>
      <c r="AF229" s="276"/>
    </row>
    <row r="230" customFormat="false" ht="15.75" hidden="false" customHeight="true" outlineLevel="0" collapsed="false">
      <c r="A230" s="276"/>
      <c r="B230" s="276"/>
      <c r="C230" s="344" t="s">
        <v>1551</v>
      </c>
      <c r="D230" s="338"/>
      <c r="E230" s="338"/>
      <c r="F230" s="339" t="str">
        <f aca="false">IFERROR(VLOOKUP(C230,TE!$H:$Y,2,FALSE()),"(Not on TE)")</f>
        <v>(Not on TE)</v>
      </c>
      <c r="G230" s="338"/>
      <c r="H230" s="338"/>
      <c r="I230" s="338"/>
      <c r="J230" s="338"/>
      <c r="K230" s="338"/>
      <c r="L230" s="338"/>
      <c r="M230" s="338"/>
      <c r="N230" s="338"/>
      <c r="O230" s="338"/>
      <c r="P230" s="338"/>
      <c r="Q230" s="338"/>
      <c r="R230" s="338"/>
      <c r="S230" s="338"/>
      <c r="T230" s="338"/>
      <c r="U230" s="340" t="str">
        <f aca="false">IFERROR(VLOOKUP(C230,TE!$H:$Y,9,FALSE()),"0")</f>
        <v>0</v>
      </c>
      <c r="V230" s="340"/>
      <c r="W230" s="341" t="n">
        <f aca="false">SUMIFS(TE!$O:$O,TE!$G:$G,$C$224,TE!$I:$I,C230,TE!$D:$D,$C$5)</f>
        <v>0</v>
      </c>
      <c r="X230" s="341"/>
      <c r="Y230" s="341" t="str">
        <f aca="false">IFERROR(VLOOKUP(C230,TE!$H:$Y,16,FALSE()),"0")</f>
        <v>0</v>
      </c>
      <c r="Z230" s="341"/>
      <c r="AA230" s="342" t="str">
        <f aca="false">IFERROR(VLOOKUP(C230,TE!$H:$Y,17,FALSE()),"0")</f>
        <v>0</v>
      </c>
      <c r="AB230" s="342"/>
      <c r="AC230" s="343" t="n">
        <f aca="false">IFERROR((W230*Y230*AA230),"")</f>
        <v>0</v>
      </c>
      <c r="AD230" s="343"/>
      <c r="AE230" s="343"/>
      <c r="AF230" s="276"/>
    </row>
    <row r="231" customFormat="false" ht="15.75" hidden="false" customHeight="true" outlineLevel="0" collapsed="false">
      <c r="A231" s="276"/>
      <c r="B231" s="276"/>
      <c r="C231" s="344" t="s">
        <v>1552</v>
      </c>
      <c r="D231" s="338"/>
      <c r="E231" s="338"/>
      <c r="F231" s="339" t="str">
        <f aca="false">IFERROR(VLOOKUP(C231,TE!$H:$Y,2,FALSE()),"(Not on TE)")</f>
        <v>(Not on TE)</v>
      </c>
      <c r="G231" s="338"/>
      <c r="H231" s="338"/>
      <c r="I231" s="338"/>
      <c r="J231" s="338"/>
      <c r="K231" s="338"/>
      <c r="L231" s="338"/>
      <c r="M231" s="338"/>
      <c r="N231" s="338"/>
      <c r="O231" s="338"/>
      <c r="P231" s="338"/>
      <c r="Q231" s="338"/>
      <c r="R231" s="338"/>
      <c r="S231" s="338"/>
      <c r="T231" s="338"/>
      <c r="U231" s="340" t="str">
        <f aca="false">IFERROR(VLOOKUP(C231,TE!$H:$Y,9,FALSE()),"0")</f>
        <v>0</v>
      </c>
      <c r="V231" s="340"/>
      <c r="W231" s="341" t="n">
        <f aca="false">SUMIFS(TE!$O:$O,TE!$G:$G,$C$224,TE!$I:$I,C231,TE!$D:$D,$C$5)</f>
        <v>0</v>
      </c>
      <c r="X231" s="341"/>
      <c r="Y231" s="341" t="str">
        <f aca="false">IFERROR(VLOOKUP(C231,TE!$H:$Y,16,FALSE()),"0")</f>
        <v>0</v>
      </c>
      <c r="Z231" s="341"/>
      <c r="AA231" s="342" t="str">
        <f aca="false">IFERROR(VLOOKUP(C231,TE!$H:$Y,17,FALSE()),"0")</f>
        <v>0</v>
      </c>
      <c r="AB231" s="342"/>
      <c r="AC231" s="343" t="n">
        <f aca="false">IFERROR((W231*Y231*AA231),"")</f>
        <v>0</v>
      </c>
      <c r="AD231" s="343"/>
      <c r="AE231" s="343"/>
      <c r="AF231" s="276"/>
    </row>
    <row r="232" customFormat="false" ht="15.75" hidden="false" customHeight="true" outlineLevel="0" collapsed="false">
      <c r="A232" s="276"/>
      <c r="B232" s="276"/>
      <c r="C232" s="344" t="s">
        <v>1553</v>
      </c>
      <c r="D232" s="338"/>
      <c r="E232" s="338"/>
      <c r="F232" s="339" t="str">
        <f aca="false">IFERROR(VLOOKUP(C232,TE!$H:$Y,2,FALSE()),"(Not on TE)")</f>
        <v>(Not on TE)</v>
      </c>
      <c r="G232" s="338"/>
      <c r="H232" s="338"/>
      <c r="I232" s="338"/>
      <c r="J232" s="338"/>
      <c r="K232" s="338"/>
      <c r="L232" s="338"/>
      <c r="M232" s="338"/>
      <c r="N232" s="338"/>
      <c r="O232" s="338"/>
      <c r="P232" s="338"/>
      <c r="Q232" s="338"/>
      <c r="R232" s="338"/>
      <c r="S232" s="338"/>
      <c r="T232" s="338"/>
      <c r="U232" s="340" t="str">
        <f aca="false">IFERROR(VLOOKUP(C232,TE!$H:$Y,9,FALSE()),"0")</f>
        <v>0</v>
      </c>
      <c r="V232" s="340"/>
      <c r="W232" s="341" t="n">
        <f aca="false">SUMIFS(TE!$O:$O,TE!$G:$G,$C$224,TE!$I:$I,C232,TE!$D:$D,$C$5)</f>
        <v>0</v>
      </c>
      <c r="X232" s="341"/>
      <c r="Y232" s="341" t="str">
        <f aca="false">IFERROR(VLOOKUP(C232,TE!$H:$Y,16,FALSE()),"0")</f>
        <v>0</v>
      </c>
      <c r="Z232" s="341"/>
      <c r="AA232" s="342" t="str">
        <f aca="false">IFERROR(VLOOKUP(C232,TE!$H:$Y,17,FALSE()),"0")</f>
        <v>0</v>
      </c>
      <c r="AB232" s="342"/>
      <c r="AC232" s="343" t="n">
        <f aca="false">IFERROR((W232*Y232*AA232),"")</f>
        <v>0</v>
      </c>
      <c r="AD232" s="343"/>
      <c r="AE232" s="343"/>
      <c r="AF232" s="276"/>
    </row>
    <row r="233" customFormat="false" ht="15.75" hidden="false" customHeight="true" outlineLevel="0" collapsed="false">
      <c r="A233" s="276"/>
      <c r="B233" s="276"/>
      <c r="C233" s="344" t="s">
        <v>1554</v>
      </c>
      <c r="D233" s="338"/>
      <c r="E233" s="338"/>
      <c r="F233" s="339" t="str">
        <f aca="false">IFERROR(VLOOKUP(C233,TE!$H:$Y,2,FALSE()),"(Not on TE)")</f>
        <v>(Not on TE)</v>
      </c>
      <c r="G233" s="338"/>
      <c r="H233" s="338"/>
      <c r="I233" s="338"/>
      <c r="J233" s="338"/>
      <c r="K233" s="338"/>
      <c r="L233" s="338"/>
      <c r="M233" s="338"/>
      <c r="N233" s="338"/>
      <c r="O233" s="338"/>
      <c r="P233" s="338"/>
      <c r="Q233" s="338"/>
      <c r="R233" s="338"/>
      <c r="S233" s="338"/>
      <c r="T233" s="338"/>
      <c r="U233" s="340" t="str">
        <f aca="false">IFERROR(VLOOKUP(C233,TE!$H:$Y,9,FALSE()),"0")</f>
        <v>0</v>
      </c>
      <c r="V233" s="340"/>
      <c r="W233" s="341" t="n">
        <f aca="false">SUMIFS(TE!$O:$O,TE!$G:$G,$C$224,TE!$I:$I,C233,TE!$D:$D,$C$5)</f>
        <v>0</v>
      </c>
      <c r="X233" s="341"/>
      <c r="Y233" s="341" t="str">
        <f aca="false">IFERROR(VLOOKUP(C233,TE!$H:$Y,16,FALSE()),"0")</f>
        <v>0</v>
      </c>
      <c r="Z233" s="341"/>
      <c r="AA233" s="342" t="str">
        <f aca="false">IFERROR(VLOOKUP(C233,TE!$H:$Y,17,FALSE()),"0")</f>
        <v>0</v>
      </c>
      <c r="AB233" s="342"/>
      <c r="AC233" s="343" t="n">
        <f aca="false">IFERROR((W233*Y233*AA233),"")</f>
        <v>0</v>
      </c>
      <c r="AD233" s="343"/>
      <c r="AE233" s="343"/>
      <c r="AF233" s="276"/>
    </row>
    <row r="234" customFormat="false" ht="15.75" hidden="false" customHeight="true" outlineLevel="0" collapsed="false">
      <c r="A234" s="276"/>
      <c r="B234" s="276"/>
      <c r="C234" s="344" t="s">
        <v>1555</v>
      </c>
      <c r="D234" s="338"/>
      <c r="E234" s="338"/>
      <c r="F234" s="339" t="str">
        <f aca="false">IFERROR(VLOOKUP(C234,TE!$H:$Y,2,FALSE()),"(Not on TE)")</f>
        <v>(Not on TE)</v>
      </c>
      <c r="G234" s="338"/>
      <c r="H234" s="338"/>
      <c r="I234" s="338"/>
      <c r="J234" s="338"/>
      <c r="K234" s="338"/>
      <c r="L234" s="338"/>
      <c r="M234" s="338"/>
      <c r="N234" s="338"/>
      <c r="O234" s="338"/>
      <c r="P234" s="338"/>
      <c r="Q234" s="338"/>
      <c r="R234" s="338"/>
      <c r="S234" s="338"/>
      <c r="T234" s="338"/>
      <c r="U234" s="340" t="str">
        <f aca="false">IFERROR(VLOOKUP(C234,TE!$H:$Y,9,FALSE()),"0")</f>
        <v>0</v>
      </c>
      <c r="V234" s="340"/>
      <c r="W234" s="341" t="n">
        <f aca="false">SUMIFS(TE!$O:$O,TE!$G:$G,$C$224,TE!$I:$I,C234,TE!$D:$D,$C$5)</f>
        <v>0</v>
      </c>
      <c r="X234" s="341"/>
      <c r="Y234" s="341" t="str">
        <f aca="false">IFERROR(VLOOKUP(C234,TE!$H:$Y,16,FALSE()),"0")</f>
        <v>0</v>
      </c>
      <c r="Z234" s="341"/>
      <c r="AA234" s="342" t="str">
        <f aca="false">IFERROR(VLOOKUP(C234,TE!$H:$Y,17,FALSE()),"0")</f>
        <v>0</v>
      </c>
      <c r="AB234" s="342"/>
      <c r="AC234" s="343" t="n">
        <f aca="false">IFERROR((W234*Y234*AA234),"")</f>
        <v>0</v>
      </c>
      <c r="AD234" s="343"/>
      <c r="AE234" s="343"/>
      <c r="AF234" s="276"/>
    </row>
    <row r="235" customFormat="false" ht="15.75" hidden="false" customHeight="true" outlineLevel="0" collapsed="false">
      <c r="A235" s="276"/>
      <c r="B235" s="276"/>
      <c r="C235" s="344" t="s">
        <v>1556</v>
      </c>
      <c r="D235" s="338"/>
      <c r="E235" s="338"/>
      <c r="F235" s="339" t="str">
        <f aca="false">IFERROR(VLOOKUP(C235,TE!$H:$Y,2,FALSE()),"(Not on TE)")</f>
        <v>(Not on TE)</v>
      </c>
      <c r="G235" s="338"/>
      <c r="H235" s="338"/>
      <c r="I235" s="338"/>
      <c r="J235" s="338"/>
      <c r="K235" s="338"/>
      <c r="L235" s="338"/>
      <c r="M235" s="338"/>
      <c r="N235" s="338"/>
      <c r="O235" s="338"/>
      <c r="P235" s="338"/>
      <c r="Q235" s="338"/>
      <c r="R235" s="338"/>
      <c r="S235" s="338"/>
      <c r="T235" s="338"/>
      <c r="U235" s="340" t="str">
        <f aca="false">IFERROR(VLOOKUP(C235,TE!$H:$Y,9,FALSE()),"0")</f>
        <v>0</v>
      </c>
      <c r="V235" s="340"/>
      <c r="W235" s="341" t="n">
        <f aca="false">SUMIFS(TE!$O:$O,TE!$G:$G,$C$224,TE!$I:$I,C235,TE!$D:$D,$C$5)</f>
        <v>0</v>
      </c>
      <c r="X235" s="341"/>
      <c r="Y235" s="341" t="str">
        <f aca="false">IFERROR(VLOOKUP(C235,TE!$H:$Y,16,FALSE()),"0")</f>
        <v>0</v>
      </c>
      <c r="Z235" s="341"/>
      <c r="AA235" s="342" t="str">
        <f aca="false">IFERROR(VLOOKUP(C235,TE!$H:$Y,17,FALSE()),"0")</f>
        <v>0</v>
      </c>
      <c r="AB235" s="342"/>
      <c r="AC235" s="343" t="n">
        <f aca="false">IFERROR((W235*Y235*AA235),"")</f>
        <v>0</v>
      </c>
      <c r="AD235" s="343"/>
      <c r="AE235" s="343"/>
      <c r="AF235" s="276"/>
    </row>
    <row r="236" customFormat="false" ht="15.75" hidden="false" customHeight="true" outlineLevel="0" collapsed="false">
      <c r="A236" s="276"/>
      <c r="B236" s="276"/>
      <c r="C236" s="344" t="s">
        <v>1557</v>
      </c>
      <c r="D236" s="338"/>
      <c r="E236" s="338"/>
      <c r="F236" s="339" t="str">
        <f aca="false">IFERROR(VLOOKUP(C236,TE!$H:$Y,2,FALSE()),"(Not on TE)")</f>
        <v>(Not on TE)</v>
      </c>
      <c r="G236" s="338"/>
      <c r="H236" s="338"/>
      <c r="I236" s="338"/>
      <c r="J236" s="338"/>
      <c r="K236" s="338"/>
      <c r="L236" s="338"/>
      <c r="M236" s="338"/>
      <c r="N236" s="338"/>
      <c r="O236" s="338"/>
      <c r="P236" s="338"/>
      <c r="Q236" s="338"/>
      <c r="R236" s="338"/>
      <c r="S236" s="338"/>
      <c r="T236" s="338"/>
      <c r="U236" s="340" t="str">
        <f aca="false">IFERROR(VLOOKUP(C236,TE!$H:$Y,9,FALSE()),"0")</f>
        <v>0</v>
      </c>
      <c r="V236" s="340"/>
      <c r="W236" s="341" t="n">
        <f aca="false">SUMIFS(TE!$O:$O,TE!$G:$G,$C$224,TE!$I:$I,C236,TE!$D:$D,$C$5)</f>
        <v>0</v>
      </c>
      <c r="X236" s="341"/>
      <c r="Y236" s="341" t="str">
        <f aca="false">IFERROR(VLOOKUP(C236,TE!$H:$Y,16,FALSE()),"0")</f>
        <v>0</v>
      </c>
      <c r="Z236" s="341"/>
      <c r="AA236" s="342" t="str">
        <f aca="false">IFERROR(VLOOKUP(C236,TE!$H:$Y,17,FALSE()),"0")</f>
        <v>0</v>
      </c>
      <c r="AB236" s="342"/>
      <c r="AC236" s="343" t="n">
        <f aca="false">IFERROR((W236*Y236*AA236),"")</f>
        <v>0</v>
      </c>
      <c r="AD236" s="343"/>
      <c r="AE236" s="343"/>
      <c r="AF236" s="276"/>
    </row>
    <row r="237" customFormat="false" ht="15.75" hidden="false" customHeight="true" outlineLevel="0" collapsed="false">
      <c r="A237" s="276"/>
      <c r="B237" s="276"/>
      <c r="C237" s="344" t="s">
        <v>1558</v>
      </c>
      <c r="D237" s="338"/>
      <c r="E237" s="338"/>
      <c r="F237" s="339" t="str">
        <f aca="false">IFERROR(VLOOKUP(C237,TE!$H:$Y,2,FALSE()),"(Not on TE)")</f>
        <v>(Not on TE)</v>
      </c>
      <c r="G237" s="338"/>
      <c r="H237" s="338"/>
      <c r="I237" s="338"/>
      <c r="J237" s="338"/>
      <c r="K237" s="338"/>
      <c r="L237" s="338"/>
      <c r="M237" s="338"/>
      <c r="N237" s="338"/>
      <c r="O237" s="338"/>
      <c r="P237" s="338"/>
      <c r="Q237" s="338"/>
      <c r="R237" s="338"/>
      <c r="S237" s="338"/>
      <c r="T237" s="338"/>
      <c r="U237" s="340" t="str">
        <f aca="false">IFERROR(VLOOKUP(C237,TE!$H:$Y,9,FALSE()),"0")</f>
        <v>0</v>
      </c>
      <c r="V237" s="340"/>
      <c r="W237" s="341" t="n">
        <f aca="false">SUMIFS(TE!$O:$O,TE!$G:$G,$C$224,TE!$I:$I,C237,TE!$D:$D,$C$5)</f>
        <v>0</v>
      </c>
      <c r="X237" s="341"/>
      <c r="Y237" s="341" t="str">
        <f aca="false">IFERROR(VLOOKUP(C237,TE!$H:$Y,16,FALSE()),"0")</f>
        <v>0</v>
      </c>
      <c r="Z237" s="341"/>
      <c r="AA237" s="342" t="str">
        <f aca="false">IFERROR(VLOOKUP(C237,TE!$H:$Y,17,FALSE()),"0")</f>
        <v>0</v>
      </c>
      <c r="AB237" s="342"/>
      <c r="AC237" s="343" t="n">
        <f aca="false">IFERROR((W237*Y237*AA237),"")</f>
        <v>0</v>
      </c>
      <c r="AD237" s="343"/>
      <c r="AE237" s="343"/>
      <c r="AF237" s="276"/>
    </row>
    <row r="238" customFormat="false" ht="15.75" hidden="false" customHeight="true" outlineLevel="0" collapsed="false">
      <c r="A238" s="276"/>
      <c r="B238" s="276"/>
      <c r="C238" s="344" t="s">
        <v>1559</v>
      </c>
      <c r="D238" s="338"/>
      <c r="E238" s="338"/>
      <c r="F238" s="339" t="str">
        <f aca="false">IFERROR(VLOOKUP(C238,TE!$H:$Y,2,FALSE()),"(Not on TE)")</f>
        <v>(Not on TE)</v>
      </c>
      <c r="G238" s="338"/>
      <c r="H238" s="338"/>
      <c r="I238" s="338"/>
      <c r="J238" s="338"/>
      <c r="K238" s="338"/>
      <c r="L238" s="338"/>
      <c r="M238" s="338"/>
      <c r="N238" s="338"/>
      <c r="O238" s="338"/>
      <c r="P238" s="338"/>
      <c r="Q238" s="338"/>
      <c r="R238" s="338"/>
      <c r="S238" s="338"/>
      <c r="T238" s="338"/>
      <c r="U238" s="340" t="str">
        <f aca="false">IFERROR(VLOOKUP(C238,TE!$H:$Y,9,FALSE()),"0")</f>
        <v>0</v>
      </c>
      <c r="V238" s="340"/>
      <c r="W238" s="341" t="n">
        <f aca="false">SUMIFS(TE!$O:$O,TE!$G:$G,$C$224,TE!$I:$I,C238,TE!$D:$D,$C$5)</f>
        <v>0</v>
      </c>
      <c r="X238" s="341"/>
      <c r="Y238" s="341" t="str">
        <f aca="false">IFERROR(VLOOKUP(C238,TE!$H:$Y,16,FALSE()),"0")</f>
        <v>0</v>
      </c>
      <c r="Z238" s="341"/>
      <c r="AA238" s="342" t="str">
        <f aca="false">IFERROR(VLOOKUP(C238,TE!$H:$Y,17,FALSE()),"0")</f>
        <v>0</v>
      </c>
      <c r="AB238" s="342"/>
      <c r="AC238" s="343" t="n">
        <f aca="false">IFERROR((W238*Y238*AA238),"")</f>
        <v>0</v>
      </c>
      <c r="AD238" s="343"/>
      <c r="AE238" s="343"/>
      <c r="AF238" s="276"/>
    </row>
    <row r="239" customFormat="false" ht="15.75" hidden="false" customHeight="true" outlineLevel="0" collapsed="false">
      <c r="A239" s="276"/>
      <c r="B239" s="276"/>
      <c r="C239" s="344" t="s">
        <v>1560</v>
      </c>
      <c r="D239" s="338"/>
      <c r="E239" s="338"/>
      <c r="F239" s="339" t="str">
        <f aca="false">IFERROR(VLOOKUP(C239,TE!$H:$Y,2,FALSE()),"(Not on TE)")</f>
        <v>(Not on TE)</v>
      </c>
      <c r="G239" s="338"/>
      <c r="H239" s="338"/>
      <c r="I239" s="338"/>
      <c r="J239" s="338"/>
      <c r="K239" s="338"/>
      <c r="L239" s="338"/>
      <c r="M239" s="338"/>
      <c r="N239" s="338"/>
      <c r="O239" s="338"/>
      <c r="P239" s="338"/>
      <c r="Q239" s="338"/>
      <c r="R239" s="338"/>
      <c r="S239" s="338"/>
      <c r="T239" s="338"/>
      <c r="U239" s="340" t="str">
        <f aca="false">IFERROR(VLOOKUP(C239,TE!$H:$Y,9,FALSE()),"0")</f>
        <v>0</v>
      </c>
      <c r="V239" s="340"/>
      <c r="W239" s="341" t="n">
        <f aca="false">SUMIFS(TE!$O:$O,TE!$G:$G,$C$224,TE!$I:$I,C239,TE!$D:$D,$C$5)</f>
        <v>0</v>
      </c>
      <c r="X239" s="341"/>
      <c r="Y239" s="341" t="str">
        <f aca="false">IFERROR(VLOOKUP(C239,TE!$H:$Y,16,FALSE()),"0")</f>
        <v>0</v>
      </c>
      <c r="Z239" s="341"/>
      <c r="AA239" s="342" t="str">
        <f aca="false">IFERROR(VLOOKUP(C239,TE!$H:$Y,17,FALSE()),"0")</f>
        <v>0</v>
      </c>
      <c r="AB239" s="342"/>
      <c r="AC239" s="343" t="n">
        <f aca="false">IFERROR((W239*Y239*AA239),"")</f>
        <v>0</v>
      </c>
      <c r="AD239" s="343"/>
      <c r="AE239" s="343"/>
      <c r="AF239" s="276"/>
    </row>
    <row r="240" customFormat="false" ht="15.75" hidden="false" customHeight="true" outlineLevel="0" collapsed="false">
      <c r="A240" s="276"/>
      <c r="B240" s="276"/>
      <c r="C240" s="344" t="s">
        <v>1561</v>
      </c>
      <c r="D240" s="338"/>
      <c r="E240" s="338"/>
      <c r="F240" s="339" t="str">
        <f aca="false">IFERROR(VLOOKUP(C240,TE!$H:$Y,2,FALSE()),"(Not on TE)")</f>
        <v>(Not on TE)</v>
      </c>
      <c r="G240" s="338"/>
      <c r="H240" s="338"/>
      <c r="I240" s="338"/>
      <c r="J240" s="338"/>
      <c r="K240" s="338"/>
      <c r="L240" s="338"/>
      <c r="M240" s="338"/>
      <c r="N240" s="338"/>
      <c r="O240" s="338"/>
      <c r="P240" s="338"/>
      <c r="Q240" s="338"/>
      <c r="R240" s="338"/>
      <c r="S240" s="338"/>
      <c r="T240" s="338"/>
      <c r="U240" s="340" t="str">
        <f aca="false">IFERROR(VLOOKUP(C240,TE!$H:$Y,9,FALSE()),"0")</f>
        <v>0</v>
      </c>
      <c r="V240" s="340"/>
      <c r="W240" s="341" t="n">
        <f aca="false">SUMIFS(TE!$O:$O,TE!$G:$G,$C$224,TE!$I:$I,C240,TE!$D:$D,$C$5)</f>
        <v>0</v>
      </c>
      <c r="X240" s="341"/>
      <c r="Y240" s="341" t="str">
        <f aca="false">IFERROR(VLOOKUP(C240,TE!$H:$Y,16,FALSE()),"0")</f>
        <v>0</v>
      </c>
      <c r="Z240" s="341"/>
      <c r="AA240" s="342" t="str">
        <f aca="false">IFERROR(VLOOKUP(C240,TE!$H:$Y,17,FALSE()),"0")</f>
        <v>0</v>
      </c>
      <c r="AB240" s="342"/>
      <c r="AC240" s="343" t="n">
        <f aca="false">IFERROR((W240*Y240*AA240),"")</f>
        <v>0</v>
      </c>
      <c r="AD240" s="343"/>
      <c r="AE240" s="343"/>
      <c r="AF240" s="276"/>
    </row>
    <row r="241" customFormat="false" ht="15.75" hidden="false" customHeight="true" outlineLevel="0" collapsed="false">
      <c r="A241" s="276"/>
      <c r="B241" s="276"/>
      <c r="C241" s="344" t="s">
        <v>1562</v>
      </c>
      <c r="D241" s="338"/>
      <c r="E241" s="338"/>
      <c r="F241" s="339" t="str">
        <f aca="false">IFERROR(VLOOKUP(C241,TE!$H:$Y,2,FALSE()),"(Not on TE)")</f>
        <v>(Not on TE)</v>
      </c>
      <c r="G241" s="338"/>
      <c r="H241" s="338"/>
      <c r="I241" s="338"/>
      <c r="J241" s="338"/>
      <c r="K241" s="338"/>
      <c r="L241" s="338"/>
      <c r="M241" s="338"/>
      <c r="N241" s="338"/>
      <c r="O241" s="338"/>
      <c r="P241" s="338"/>
      <c r="Q241" s="338"/>
      <c r="R241" s="338"/>
      <c r="S241" s="338"/>
      <c r="T241" s="338"/>
      <c r="U241" s="340" t="str">
        <f aca="false">IFERROR(VLOOKUP(C241,TE!$H:$Y,9,FALSE()),"0")</f>
        <v>0</v>
      </c>
      <c r="V241" s="340"/>
      <c r="W241" s="341" t="n">
        <f aca="false">SUMIFS(TE!$O:$O,TE!$G:$G,$C$224,TE!$I:$I,C241,TE!$D:$D,$C$5)</f>
        <v>0</v>
      </c>
      <c r="X241" s="341"/>
      <c r="Y241" s="341" t="str">
        <f aca="false">IFERROR(VLOOKUP(C241,TE!$H:$Y,16,FALSE()),"0")</f>
        <v>0</v>
      </c>
      <c r="Z241" s="341"/>
      <c r="AA241" s="342" t="str">
        <f aca="false">IFERROR(VLOOKUP(C241,TE!$H:$Y,17,FALSE()),"0")</f>
        <v>0</v>
      </c>
      <c r="AB241" s="342"/>
      <c r="AC241" s="343" t="n">
        <f aca="false">IFERROR((W241*Y241*AA241),"")</f>
        <v>0</v>
      </c>
      <c r="AD241" s="343"/>
      <c r="AE241" s="343"/>
      <c r="AF241" s="276"/>
    </row>
    <row r="242" customFormat="false" ht="15.75" hidden="false" customHeight="true" outlineLevel="0" collapsed="false">
      <c r="A242" s="276"/>
      <c r="B242" s="276"/>
      <c r="C242" s="344" t="s">
        <v>1563</v>
      </c>
      <c r="D242" s="338"/>
      <c r="E242" s="338"/>
      <c r="F242" s="339" t="str">
        <f aca="false">IFERROR(VLOOKUP(C242,TE!$H:$Y,2,FALSE()),"(Not on TE)")</f>
        <v>(Not on TE)</v>
      </c>
      <c r="G242" s="338"/>
      <c r="H242" s="338"/>
      <c r="I242" s="338"/>
      <c r="J242" s="338"/>
      <c r="K242" s="338"/>
      <c r="L242" s="338"/>
      <c r="M242" s="338"/>
      <c r="N242" s="338"/>
      <c r="O242" s="338"/>
      <c r="P242" s="338"/>
      <c r="Q242" s="338"/>
      <c r="R242" s="338"/>
      <c r="S242" s="338"/>
      <c r="T242" s="338"/>
      <c r="U242" s="340" t="str">
        <f aca="false">IFERROR(VLOOKUP(C242,TE!$H:$Y,9,FALSE()),"0")</f>
        <v>0</v>
      </c>
      <c r="V242" s="340"/>
      <c r="W242" s="341" t="n">
        <f aca="false">SUMIFS(TE!$O:$O,TE!$G:$G,$C$224,TE!$I:$I,C242,TE!$D:$D,$C$5)</f>
        <v>0</v>
      </c>
      <c r="X242" s="341"/>
      <c r="Y242" s="341" t="str">
        <f aca="false">IFERROR(VLOOKUP(C242,TE!$H:$Y,16,FALSE()),"0")</f>
        <v>0</v>
      </c>
      <c r="Z242" s="341"/>
      <c r="AA242" s="342" t="str">
        <f aca="false">IFERROR(VLOOKUP(C242,TE!$H:$Y,17,FALSE()),"0")</f>
        <v>0</v>
      </c>
      <c r="AB242" s="342"/>
      <c r="AC242" s="343" t="n">
        <f aca="false">IFERROR((W242*Y242*AA242),"")</f>
        <v>0</v>
      </c>
      <c r="AD242" s="343"/>
      <c r="AE242" s="343"/>
      <c r="AF242" s="276"/>
    </row>
    <row r="243" customFormat="false" ht="15.75" hidden="false" customHeight="true" outlineLevel="0" collapsed="false">
      <c r="A243" s="276"/>
      <c r="B243" s="276"/>
      <c r="C243" s="344" t="s">
        <v>1564</v>
      </c>
      <c r="D243" s="338"/>
      <c r="E243" s="338"/>
      <c r="F243" s="339" t="str">
        <f aca="false">IFERROR(VLOOKUP(C243,TE!$H:$Y,2,FALSE()),"(Not on TE)")</f>
        <v>(Not on TE)</v>
      </c>
      <c r="G243" s="338"/>
      <c r="H243" s="338"/>
      <c r="I243" s="338"/>
      <c r="J243" s="338"/>
      <c r="K243" s="338"/>
      <c r="L243" s="338"/>
      <c r="M243" s="338"/>
      <c r="N243" s="338"/>
      <c r="O243" s="338"/>
      <c r="P243" s="338"/>
      <c r="Q243" s="338"/>
      <c r="R243" s="338"/>
      <c r="S243" s="338"/>
      <c r="T243" s="338"/>
      <c r="U243" s="340" t="str">
        <f aca="false">IFERROR(VLOOKUP(C243,TE!$H:$Y,9,FALSE()),"0")</f>
        <v>0</v>
      </c>
      <c r="V243" s="340"/>
      <c r="W243" s="341" t="n">
        <f aca="false">SUMIFS(TE!$O:$O,TE!$G:$G,$C$224,TE!$I:$I,C243,TE!$D:$D,$C$5)</f>
        <v>0</v>
      </c>
      <c r="X243" s="341"/>
      <c r="Y243" s="341" t="str">
        <f aca="false">IFERROR(VLOOKUP(C243,TE!$H:$Y,16,FALSE()),"0")</f>
        <v>0</v>
      </c>
      <c r="Z243" s="341"/>
      <c r="AA243" s="342" t="str">
        <f aca="false">IFERROR(VLOOKUP(C243,TE!$H:$Y,17,FALSE()),"0")</f>
        <v>0</v>
      </c>
      <c r="AB243" s="342"/>
      <c r="AC243" s="343" t="n">
        <f aca="false">IFERROR((W243*Y243*AA243),"")</f>
        <v>0</v>
      </c>
      <c r="AD243" s="343"/>
      <c r="AE243" s="343"/>
      <c r="AF243" s="276"/>
    </row>
    <row r="244" customFormat="false" ht="15.75" hidden="false" customHeight="true" outlineLevel="0" collapsed="false">
      <c r="A244" s="276"/>
      <c r="B244" s="276"/>
      <c r="C244" s="344" t="s">
        <v>1157</v>
      </c>
      <c r="D244" s="338"/>
      <c r="E244" s="338"/>
      <c r="F244" s="339" t="str">
        <f aca="false">IFERROR(VLOOKUP(C244,TE!$H:$Y,2,FALSE()),"(Not on TE)")</f>
        <v>(Not on TE)</v>
      </c>
      <c r="G244" s="338"/>
      <c r="H244" s="338"/>
      <c r="I244" s="338"/>
      <c r="J244" s="338"/>
      <c r="K244" s="338"/>
      <c r="L244" s="338"/>
      <c r="M244" s="338"/>
      <c r="N244" s="338"/>
      <c r="O244" s="338"/>
      <c r="P244" s="338"/>
      <c r="Q244" s="338"/>
      <c r="R244" s="338"/>
      <c r="S244" s="338"/>
      <c r="T244" s="338"/>
      <c r="U244" s="340" t="str">
        <f aca="false">IFERROR(VLOOKUP(C244,TE!$H:$Y,9,FALSE()),"0")</f>
        <v>0</v>
      </c>
      <c r="V244" s="340"/>
      <c r="W244" s="341" t="n">
        <f aca="false">SUMIFS(TE!$O:$O,TE!$G:$G,$C$224,TE!$I:$I,C244,TE!$D:$D,$C$5)</f>
        <v>0</v>
      </c>
      <c r="X244" s="341"/>
      <c r="Y244" s="341" t="str">
        <f aca="false">IFERROR(VLOOKUP(C244,TE!$H:$Y,16,FALSE()),"0")</f>
        <v>0</v>
      </c>
      <c r="Z244" s="341"/>
      <c r="AA244" s="342" t="str">
        <f aca="false">IFERROR(VLOOKUP(C244,TE!$H:$Y,17,FALSE()),"0")</f>
        <v>0</v>
      </c>
      <c r="AB244" s="342"/>
      <c r="AC244" s="343" t="n">
        <f aca="false">IFERROR((W244*Y244*AA244),"")</f>
        <v>0</v>
      </c>
      <c r="AD244" s="343"/>
      <c r="AE244" s="343"/>
      <c r="AF244" s="276"/>
    </row>
    <row r="245" customFormat="false" ht="15.75" hidden="false" customHeight="true" outlineLevel="0" collapsed="false">
      <c r="A245" s="276"/>
      <c r="B245" s="276"/>
      <c r="C245" s="344" t="s">
        <v>1565</v>
      </c>
      <c r="D245" s="338"/>
      <c r="E245" s="338"/>
      <c r="F245" s="339" t="str">
        <f aca="false">IFERROR(VLOOKUP(C245,TE!$H:$Y,2,FALSE()),"(Not on TE)")</f>
        <v>(Not on TE)</v>
      </c>
      <c r="G245" s="338"/>
      <c r="H245" s="338"/>
      <c r="I245" s="338"/>
      <c r="J245" s="338"/>
      <c r="K245" s="338"/>
      <c r="L245" s="338"/>
      <c r="M245" s="338"/>
      <c r="N245" s="338"/>
      <c r="O245" s="338"/>
      <c r="P245" s="338"/>
      <c r="Q245" s="338"/>
      <c r="R245" s="338"/>
      <c r="S245" s="338"/>
      <c r="T245" s="338"/>
      <c r="U245" s="340" t="str">
        <f aca="false">IFERROR(VLOOKUP(C245,TE!$H:$Y,9,FALSE()),"0")</f>
        <v>0</v>
      </c>
      <c r="V245" s="340"/>
      <c r="W245" s="341" t="n">
        <f aca="false">SUMIFS(TE!$O:$O,TE!$G:$G,$C$224,TE!$I:$I,C245,TE!$D:$D,$C$5)</f>
        <v>0</v>
      </c>
      <c r="X245" s="341"/>
      <c r="Y245" s="341" t="str">
        <f aca="false">IFERROR(VLOOKUP(C245,TE!$H:$Y,16,FALSE()),"0")</f>
        <v>0</v>
      </c>
      <c r="Z245" s="341"/>
      <c r="AA245" s="342" t="str">
        <f aca="false">IFERROR(VLOOKUP(C245,TE!$H:$Y,17,FALSE()),"0")</f>
        <v>0</v>
      </c>
      <c r="AB245" s="342"/>
      <c r="AC245" s="343" t="n">
        <f aca="false">IFERROR((W245*Y245*AA245),"")</f>
        <v>0</v>
      </c>
      <c r="AD245" s="343"/>
      <c r="AE245" s="343"/>
      <c r="AF245" s="276"/>
    </row>
    <row r="246" customFormat="false" ht="15.75" hidden="false" customHeight="true" outlineLevel="0" collapsed="false">
      <c r="A246" s="276"/>
      <c r="B246" s="276"/>
      <c r="C246" s="344" t="s">
        <v>1566</v>
      </c>
      <c r="D246" s="338"/>
      <c r="E246" s="338"/>
      <c r="F246" s="339" t="str">
        <f aca="false">IFERROR(VLOOKUP(C246,TE!$H:$Y,2,FALSE()),"(Not on TE)")</f>
        <v>(Not on TE)</v>
      </c>
      <c r="G246" s="338"/>
      <c r="H246" s="338"/>
      <c r="I246" s="338"/>
      <c r="J246" s="338"/>
      <c r="K246" s="338"/>
      <c r="L246" s="338"/>
      <c r="M246" s="338"/>
      <c r="N246" s="338"/>
      <c r="O246" s="338"/>
      <c r="P246" s="338"/>
      <c r="Q246" s="338"/>
      <c r="R246" s="338"/>
      <c r="S246" s="338"/>
      <c r="T246" s="338"/>
      <c r="U246" s="340" t="str">
        <f aca="false">IFERROR(VLOOKUP(C246,TE!$H:$Y,9,FALSE()),"0")</f>
        <v>0</v>
      </c>
      <c r="V246" s="340"/>
      <c r="W246" s="341" t="n">
        <f aca="false">SUMIFS(TE!$O:$O,TE!$G:$G,$C$224,TE!$I:$I,C246,TE!$D:$D,$C$5)</f>
        <v>0</v>
      </c>
      <c r="X246" s="341"/>
      <c r="Y246" s="341" t="str">
        <f aca="false">IFERROR(VLOOKUP(C246,TE!$H:$Y,16,FALSE()),"0")</f>
        <v>0</v>
      </c>
      <c r="Z246" s="341"/>
      <c r="AA246" s="342" t="str">
        <f aca="false">IFERROR(VLOOKUP(C246,TE!$H:$Y,17,FALSE()),"0")</f>
        <v>0</v>
      </c>
      <c r="AB246" s="342"/>
      <c r="AC246" s="343" t="n">
        <f aca="false">IFERROR((W246*Y246*AA246),"")</f>
        <v>0</v>
      </c>
      <c r="AD246" s="343"/>
      <c r="AE246" s="343"/>
      <c r="AF246" s="276"/>
    </row>
    <row r="247" customFormat="false" ht="15.75" hidden="false" customHeight="true" outlineLevel="0" collapsed="false">
      <c r="A247" s="276"/>
      <c r="B247" s="276"/>
      <c r="C247" s="344" t="s">
        <v>1149</v>
      </c>
      <c r="D247" s="338"/>
      <c r="E247" s="338"/>
      <c r="F247" s="339" t="str">
        <f aca="false">IFERROR(VLOOKUP(C247,TE!$H:$Y,2,FALSE()),"(Not on TE)")</f>
        <v>(Not on TE)</v>
      </c>
      <c r="G247" s="338"/>
      <c r="H247" s="338"/>
      <c r="I247" s="338"/>
      <c r="J247" s="338"/>
      <c r="K247" s="338"/>
      <c r="L247" s="338"/>
      <c r="M247" s="338"/>
      <c r="N247" s="338"/>
      <c r="O247" s="338"/>
      <c r="P247" s="338"/>
      <c r="Q247" s="338"/>
      <c r="R247" s="338"/>
      <c r="S247" s="338"/>
      <c r="T247" s="338"/>
      <c r="U247" s="340" t="str">
        <f aca="false">IFERROR(VLOOKUP(C247,TE!$H:$Y,9,FALSE()),"0")</f>
        <v>0</v>
      </c>
      <c r="V247" s="340"/>
      <c r="W247" s="341" t="n">
        <f aca="false">SUMIFS(TE!$O:$O,TE!$G:$G,$C$224,TE!$I:$I,C247,TE!$D:$D,$C$5)</f>
        <v>0</v>
      </c>
      <c r="X247" s="341"/>
      <c r="Y247" s="341" t="str">
        <f aca="false">IFERROR(VLOOKUP(C247,TE!$H:$Y,16,FALSE()),"0")</f>
        <v>0</v>
      </c>
      <c r="Z247" s="341"/>
      <c r="AA247" s="342" t="str">
        <f aca="false">IFERROR(VLOOKUP(C247,TE!$H:$Y,17,FALSE()),"0")</f>
        <v>0</v>
      </c>
      <c r="AB247" s="342"/>
      <c r="AC247" s="343" t="n">
        <f aca="false">IFERROR((W247*Y247*AA247),"")</f>
        <v>0</v>
      </c>
      <c r="AD247" s="343"/>
      <c r="AE247" s="343"/>
      <c r="AF247" s="276"/>
    </row>
    <row r="248" customFormat="false" ht="15.75" hidden="false" customHeight="true" outlineLevel="0" collapsed="false">
      <c r="A248" s="276"/>
      <c r="B248" s="276"/>
      <c r="C248" s="344" t="s">
        <v>1253</v>
      </c>
      <c r="D248" s="338"/>
      <c r="E248" s="338"/>
      <c r="F248" s="339" t="str">
        <f aca="false">IFERROR(VLOOKUP(C248,TE!$H:$Y,2,FALSE()),"(Not on TE)")</f>
        <v>(Not on TE)</v>
      </c>
      <c r="G248" s="338"/>
      <c r="H248" s="338"/>
      <c r="I248" s="338"/>
      <c r="J248" s="338"/>
      <c r="K248" s="338"/>
      <c r="L248" s="338"/>
      <c r="M248" s="338"/>
      <c r="N248" s="338"/>
      <c r="O248" s="338"/>
      <c r="P248" s="338"/>
      <c r="Q248" s="338"/>
      <c r="R248" s="338"/>
      <c r="S248" s="338"/>
      <c r="T248" s="338"/>
      <c r="U248" s="340" t="str">
        <f aca="false">IFERROR(VLOOKUP(C248,TE!$H:$Y,9,FALSE()),"0")</f>
        <v>0</v>
      </c>
      <c r="V248" s="340"/>
      <c r="W248" s="341" t="n">
        <f aca="false">SUMIFS(TE!$O:$O,TE!$G:$G,$C$224,TE!$I:$I,C248,TE!$D:$D,$C$5)</f>
        <v>0</v>
      </c>
      <c r="X248" s="341"/>
      <c r="Y248" s="341" t="str">
        <f aca="false">IFERROR(VLOOKUP(C248,TE!$H:$Y,16,FALSE()),"0")</f>
        <v>0</v>
      </c>
      <c r="Z248" s="341"/>
      <c r="AA248" s="342" t="str">
        <f aca="false">IFERROR(VLOOKUP(C248,TE!$H:$Y,17,FALSE()),"0")</f>
        <v>0</v>
      </c>
      <c r="AB248" s="342"/>
      <c r="AC248" s="343" t="n">
        <f aca="false">IFERROR((W248*Y248*AA248),"")</f>
        <v>0</v>
      </c>
      <c r="AD248" s="343"/>
      <c r="AE248" s="343"/>
      <c r="AF248" s="276"/>
    </row>
    <row r="249" customFormat="false" ht="15.75" hidden="false" customHeight="true" outlineLevel="0" collapsed="false">
      <c r="A249" s="276"/>
      <c r="B249" s="276"/>
      <c r="C249" s="345" t="s">
        <v>1255</v>
      </c>
      <c r="D249" s="346"/>
      <c r="E249" s="346"/>
      <c r="F249" s="339" t="str">
        <f aca="false">IFERROR(VLOOKUP(C249,TE!$H:$Y,2,FALSE()),"(Not on TE)")</f>
        <v>(Not on TE)</v>
      </c>
      <c r="G249" s="347"/>
      <c r="H249" s="347"/>
      <c r="I249" s="347"/>
      <c r="J249" s="347"/>
      <c r="K249" s="347"/>
      <c r="L249" s="347"/>
      <c r="M249" s="347"/>
      <c r="N249" s="347"/>
      <c r="O249" s="347"/>
      <c r="P249" s="347"/>
      <c r="Q249" s="347"/>
      <c r="R249" s="347"/>
      <c r="S249" s="347"/>
      <c r="T249" s="347"/>
      <c r="U249" s="340" t="str">
        <f aca="false">IFERROR(VLOOKUP(C249,TE!$H:$Y,9,FALSE()),"0")</f>
        <v>0</v>
      </c>
      <c r="V249" s="340"/>
      <c r="W249" s="341" t="n">
        <f aca="false">SUMIFS(TE!$O:$O,TE!$G:$G,$C$224,TE!$I:$I,C249,TE!$D:$D,$C$5)</f>
        <v>0</v>
      </c>
      <c r="X249" s="341"/>
      <c r="Y249" s="341" t="str">
        <f aca="false">IFERROR(VLOOKUP(C249,TE!$H:$Y,16,FALSE()),"0")</f>
        <v>0</v>
      </c>
      <c r="Z249" s="341"/>
      <c r="AA249" s="342" t="str">
        <f aca="false">IFERROR(VLOOKUP(C249,TE!$H:$Y,17,FALSE()),"0")</f>
        <v>0</v>
      </c>
      <c r="AB249" s="342"/>
      <c r="AC249" s="343" t="n">
        <f aca="false">IFERROR((W249*Y249*AA249),"")</f>
        <v>0</v>
      </c>
      <c r="AD249" s="343"/>
      <c r="AE249" s="343"/>
      <c r="AF249" s="276"/>
    </row>
    <row r="250" customFormat="false" ht="15.75" hidden="false" customHeight="true" outlineLevel="0" collapsed="false">
      <c r="A250" s="276"/>
      <c r="B250" s="276"/>
      <c r="C250" s="345" t="s">
        <v>1458</v>
      </c>
      <c r="D250" s="346"/>
      <c r="E250" s="346"/>
      <c r="F250" s="339" t="str">
        <f aca="false">IFERROR(VLOOKUP(C250,TE!$H:$Y,2,FALSE()),"(Not on TE)")</f>
        <v>(Not on TE)</v>
      </c>
      <c r="G250" s="347"/>
      <c r="H250" s="347"/>
      <c r="I250" s="347"/>
      <c r="J250" s="347"/>
      <c r="K250" s="347"/>
      <c r="L250" s="347"/>
      <c r="M250" s="347"/>
      <c r="N250" s="347"/>
      <c r="O250" s="347"/>
      <c r="P250" s="347"/>
      <c r="Q250" s="347"/>
      <c r="R250" s="347"/>
      <c r="S250" s="347"/>
      <c r="T250" s="347"/>
      <c r="U250" s="340" t="str">
        <f aca="false">IFERROR(VLOOKUP(C250,TE!$H:$Y,9,FALSE()),"0")</f>
        <v>0</v>
      </c>
      <c r="V250" s="340"/>
      <c r="W250" s="341" t="n">
        <f aca="false">SUMIFS(TE!$O:$O,TE!$G:$G,$C$224,TE!$I:$I,C250,TE!$D:$D,$C$5)</f>
        <v>0</v>
      </c>
      <c r="X250" s="341"/>
      <c r="Y250" s="341" t="str">
        <f aca="false">IFERROR(VLOOKUP(C250,TE!$H:$Y,16,FALSE()),"0")</f>
        <v>0</v>
      </c>
      <c r="Z250" s="341"/>
      <c r="AA250" s="342" t="str">
        <f aca="false">IFERROR(VLOOKUP(C250,TE!$H:$Y,17,FALSE()),"0")</f>
        <v>0</v>
      </c>
      <c r="AB250" s="342"/>
      <c r="AC250" s="343" t="n">
        <f aca="false">IFERROR((W250*Y250*AA250),"")</f>
        <v>0</v>
      </c>
      <c r="AD250" s="343"/>
      <c r="AE250" s="343"/>
      <c r="AF250" s="276"/>
    </row>
    <row r="251" customFormat="false" ht="15.75" hidden="false" customHeight="true" outlineLevel="0" collapsed="false">
      <c r="A251" s="276"/>
      <c r="B251" s="276"/>
      <c r="C251" s="345" t="s">
        <v>1199</v>
      </c>
      <c r="D251" s="346"/>
      <c r="E251" s="346"/>
      <c r="F251" s="339" t="str">
        <f aca="false">IFERROR(VLOOKUP(C251,TE!$H:$Y,2,FALSE()),"(Not on TE)")</f>
        <v>(Not on TE)</v>
      </c>
      <c r="G251" s="347"/>
      <c r="H251" s="347"/>
      <c r="I251" s="347"/>
      <c r="J251" s="347"/>
      <c r="K251" s="347"/>
      <c r="L251" s="347"/>
      <c r="M251" s="347"/>
      <c r="N251" s="347"/>
      <c r="O251" s="347"/>
      <c r="P251" s="347"/>
      <c r="Q251" s="347"/>
      <c r="R251" s="347"/>
      <c r="S251" s="347"/>
      <c r="T251" s="347"/>
      <c r="U251" s="340" t="str">
        <f aca="false">IFERROR(VLOOKUP(C251,TE!$H:$Y,9,FALSE()),"0")</f>
        <v>0</v>
      </c>
      <c r="V251" s="340"/>
      <c r="W251" s="341" t="n">
        <f aca="false">SUMIFS(TE!$O:$O,TE!$G:$G,$C$224,TE!$I:$I,C251,TE!$D:$D,$C$5)</f>
        <v>0</v>
      </c>
      <c r="X251" s="341"/>
      <c r="Y251" s="341" t="str">
        <f aca="false">IFERROR(VLOOKUP(C251,TE!$H:$Y,16,FALSE()),"0")</f>
        <v>0</v>
      </c>
      <c r="Z251" s="341"/>
      <c r="AA251" s="342" t="str">
        <f aca="false">IFERROR(VLOOKUP(C251,TE!$H:$Y,17,FALSE()),"0")</f>
        <v>0</v>
      </c>
      <c r="AB251" s="342"/>
      <c r="AC251" s="343" t="n">
        <f aca="false">IFERROR((W251*Y251*AA251),"")</f>
        <v>0</v>
      </c>
      <c r="AD251" s="343"/>
      <c r="AE251" s="343"/>
      <c r="AF251" s="276"/>
    </row>
    <row r="252" customFormat="false" ht="15.75" hidden="false" customHeight="true" outlineLevel="0" collapsed="false">
      <c r="A252" s="276"/>
      <c r="B252" s="276"/>
      <c r="C252" s="345" t="s">
        <v>1567</v>
      </c>
      <c r="D252" s="346"/>
      <c r="E252" s="346"/>
      <c r="F252" s="339" t="str">
        <f aca="false">IFERROR(VLOOKUP(C252,TE!$H:$Y,2,FALSE()),"(Not on TE)")</f>
        <v>(Not on TE)</v>
      </c>
      <c r="G252" s="347"/>
      <c r="H252" s="347"/>
      <c r="I252" s="347"/>
      <c r="J252" s="347"/>
      <c r="K252" s="347"/>
      <c r="L252" s="347"/>
      <c r="M252" s="347"/>
      <c r="N252" s="347"/>
      <c r="O252" s="347"/>
      <c r="P252" s="347"/>
      <c r="Q252" s="347"/>
      <c r="R252" s="347"/>
      <c r="S252" s="347"/>
      <c r="T252" s="347"/>
      <c r="U252" s="340" t="str">
        <f aca="false">IFERROR(VLOOKUP(C252,TE!$H:$Y,9,FALSE()),"0")</f>
        <v>0</v>
      </c>
      <c r="V252" s="340"/>
      <c r="W252" s="341" t="n">
        <f aca="false">SUMIFS(TE!$O:$O,TE!$G:$G,$C$224,TE!$I:$I,C252,TE!$D:$D,$C$5)</f>
        <v>0</v>
      </c>
      <c r="X252" s="341"/>
      <c r="Y252" s="341" t="str">
        <f aca="false">IFERROR(VLOOKUP(C252,TE!$H:$Y,16,FALSE()),"0")</f>
        <v>0</v>
      </c>
      <c r="Z252" s="341"/>
      <c r="AA252" s="342" t="str">
        <f aca="false">IFERROR(VLOOKUP(C252,TE!$H:$Y,17,FALSE()),"0")</f>
        <v>0</v>
      </c>
      <c r="AB252" s="342"/>
      <c r="AC252" s="343" t="n">
        <f aca="false">IFERROR((W252*Y252*AA252),"")</f>
        <v>0</v>
      </c>
      <c r="AD252" s="343"/>
      <c r="AE252" s="343"/>
      <c r="AF252" s="276"/>
    </row>
    <row r="253" customFormat="false" ht="15.75" hidden="false" customHeight="true" outlineLevel="0" collapsed="false">
      <c r="A253" s="276"/>
      <c r="B253" s="276"/>
      <c r="C253" s="345" t="s">
        <v>1568</v>
      </c>
      <c r="D253" s="346"/>
      <c r="E253" s="346"/>
      <c r="F253" s="339" t="str">
        <f aca="false">IFERROR(VLOOKUP(C253,TE!$H:$Y,2,FALSE()),"(Not on TE)")</f>
        <v>(Not on TE)</v>
      </c>
      <c r="G253" s="347"/>
      <c r="H253" s="347"/>
      <c r="I253" s="347"/>
      <c r="J253" s="347"/>
      <c r="K253" s="347"/>
      <c r="L253" s="347"/>
      <c r="M253" s="347"/>
      <c r="N253" s="347"/>
      <c r="O253" s="347"/>
      <c r="P253" s="347"/>
      <c r="Q253" s="347"/>
      <c r="R253" s="347"/>
      <c r="S253" s="347"/>
      <c r="T253" s="347"/>
      <c r="U253" s="340" t="str">
        <f aca="false">IFERROR(VLOOKUP(C253,TE!$H:$Y,9,FALSE()),"0")</f>
        <v>0</v>
      </c>
      <c r="V253" s="340"/>
      <c r="W253" s="341" t="n">
        <f aca="false">SUMIFS(TE!$O:$O,TE!$G:$G,$C$224,TE!$I:$I,C253,TE!$D:$D,$C$5)</f>
        <v>0</v>
      </c>
      <c r="X253" s="341"/>
      <c r="Y253" s="341" t="str">
        <f aca="false">IFERROR(VLOOKUP(C253,TE!$H:$Y,16,FALSE()),"0")</f>
        <v>0</v>
      </c>
      <c r="Z253" s="341"/>
      <c r="AA253" s="342" t="str">
        <f aca="false">IFERROR(VLOOKUP(C253,TE!$H:$Y,17,FALSE()),"0")</f>
        <v>0</v>
      </c>
      <c r="AB253" s="342"/>
      <c r="AC253" s="343" t="n">
        <f aca="false">IFERROR((W253*Y253*AA253),"")</f>
        <v>0</v>
      </c>
      <c r="AD253" s="343"/>
      <c r="AE253" s="343"/>
      <c r="AF253" s="276"/>
    </row>
    <row r="254" customFormat="false" ht="15.75" hidden="false" customHeight="true" outlineLevel="0" collapsed="false">
      <c r="A254" s="276"/>
      <c r="B254" s="276"/>
      <c r="C254" s="345" t="s">
        <v>1569</v>
      </c>
      <c r="D254" s="346"/>
      <c r="E254" s="346"/>
      <c r="F254" s="339" t="str">
        <f aca="false">IFERROR(VLOOKUP(C254,TE!$H:$Y,2,FALSE()),"(Not on TE)")</f>
        <v>(Not on TE)</v>
      </c>
      <c r="G254" s="347"/>
      <c r="H254" s="347"/>
      <c r="I254" s="347"/>
      <c r="J254" s="347"/>
      <c r="K254" s="347"/>
      <c r="L254" s="347"/>
      <c r="M254" s="347"/>
      <c r="N254" s="347"/>
      <c r="O254" s="347"/>
      <c r="P254" s="347"/>
      <c r="Q254" s="347"/>
      <c r="R254" s="347"/>
      <c r="S254" s="347"/>
      <c r="T254" s="347"/>
      <c r="U254" s="340" t="str">
        <f aca="false">IFERROR(VLOOKUP(C254,TE!$H:$Y,9,FALSE()),"0")</f>
        <v>0</v>
      </c>
      <c r="V254" s="340"/>
      <c r="W254" s="341" t="n">
        <f aca="false">SUMIFS(TE!$O:$O,TE!$G:$G,$C$224,TE!$I:$I,C254,TE!$D:$D,$C$5)</f>
        <v>0</v>
      </c>
      <c r="X254" s="341"/>
      <c r="Y254" s="341" t="str">
        <f aca="false">IFERROR(VLOOKUP(C254,TE!$H:$Y,16,FALSE()),"0")</f>
        <v>0</v>
      </c>
      <c r="Z254" s="341"/>
      <c r="AA254" s="342" t="str">
        <f aca="false">IFERROR(VLOOKUP(C254,TE!$H:$Y,17,FALSE()),"0")</f>
        <v>0</v>
      </c>
      <c r="AB254" s="342"/>
      <c r="AC254" s="343" t="n">
        <f aca="false">IFERROR((W254*Y254*AA254),"")</f>
        <v>0</v>
      </c>
      <c r="AD254" s="343"/>
      <c r="AE254" s="343"/>
      <c r="AF254" s="276"/>
    </row>
    <row r="255" customFormat="false" ht="15.75" hidden="false" customHeight="true" outlineLevel="0" collapsed="false">
      <c r="A255" s="276"/>
      <c r="B255" s="276"/>
      <c r="C255" s="345" t="s">
        <v>1570</v>
      </c>
      <c r="D255" s="346"/>
      <c r="E255" s="346"/>
      <c r="F255" s="339" t="str">
        <f aca="false">IFERROR(VLOOKUP(C255,TE!$H:$Y,2,FALSE()),"(Not on TE)")</f>
        <v>(Not on TE)</v>
      </c>
      <c r="G255" s="347"/>
      <c r="H255" s="347"/>
      <c r="I255" s="347"/>
      <c r="J255" s="347"/>
      <c r="K255" s="347"/>
      <c r="L255" s="347"/>
      <c r="M255" s="347"/>
      <c r="N255" s="347"/>
      <c r="O255" s="347"/>
      <c r="P255" s="347"/>
      <c r="Q255" s="347"/>
      <c r="R255" s="347"/>
      <c r="S255" s="347"/>
      <c r="T255" s="347"/>
      <c r="U255" s="340" t="str">
        <f aca="false">IFERROR(VLOOKUP(C255,TE!$H:$Y,9,FALSE()),"0")</f>
        <v>0</v>
      </c>
      <c r="V255" s="340"/>
      <c r="W255" s="341" t="n">
        <f aca="false">SUMIFS(TE!$O:$O,TE!$G:$G,$C$224,TE!$I:$I,C255,TE!$D:$D,$C$5)</f>
        <v>0</v>
      </c>
      <c r="X255" s="341"/>
      <c r="Y255" s="341" t="str">
        <f aca="false">IFERROR(VLOOKUP(C255,TE!$H:$Y,16,FALSE()),"0")</f>
        <v>0</v>
      </c>
      <c r="Z255" s="341"/>
      <c r="AA255" s="342" t="str">
        <f aca="false">IFERROR(VLOOKUP(C255,TE!$H:$Y,17,FALSE()),"0")</f>
        <v>0</v>
      </c>
      <c r="AB255" s="342"/>
      <c r="AC255" s="343" t="n">
        <f aca="false">IFERROR((W255*Y255*AA255),"")</f>
        <v>0</v>
      </c>
      <c r="AD255" s="343"/>
      <c r="AE255" s="343"/>
      <c r="AF255" s="276"/>
    </row>
    <row r="256" customFormat="false" ht="15.75" hidden="false" customHeight="true" outlineLevel="0" collapsed="false">
      <c r="A256" s="276"/>
      <c r="B256" s="276"/>
      <c r="C256" s="344" t="s">
        <v>1305</v>
      </c>
      <c r="D256" s="346"/>
      <c r="E256" s="346"/>
      <c r="F256" s="339" t="str">
        <f aca="false">IFERROR(VLOOKUP(C256,TE!$H:$Y,2,FALSE()),"(Not on TE)")</f>
        <v>(Not on TE)</v>
      </c>
      <c r="G256" s="347"/>
      <c r="H256" s="347"/>
      <c r="I256" s="347"/>
      <c r="J256" s="347"/>
      <c r="K256" s="347"/>
      <c r="L256" s="347"/>
      <c r="M256" s="347"/>
      <c r="N256" s="347"/>
      <c r="O256" s="347"/>
      <c r="P256" s="347"/>
      <c r="Q256" s="347"/>
      <c r="R256" s="347"/>
      <c r="S256" s="347"/>
      <c r="T256" s="347"/>
      <c r="U256" s="340" t="str">
        <f aca="false">IFERROR(VLOOKUP(C256,TE!$H:$Y,9,FALSE()),"0")</f>
        <v>0</v>
      </c>
      <c r="V256" s="340"/>
      <c r="W256" s="341" t="n">
        <f aca="false">SUMIFS(TE!$O:$O,TE!$G:$G,$C$224,TE!$I:$I,C256,TE!$D:$D,$C$5)</f>
        <v>0</v>
      </c>
      <c r="X256" s="341"/>
      <c r="Y256" s="341" t="str">
        <f aca="false">IFERROR(VLOOKUP(C256,TE!$H:$Y,16,FALSE()),"0")</f>
        <v>0</v>
      </c>
      <c r="Z256" s="341"/>
      <c r="AA256" s="342" t="str">
        <f aca="false">IFERROR(VLOOKUP(C256,TE!$H:$Y,17,FALSE()),"0")</f>
        <v>0</v>
      </c>
      <c r="AB256" s="342"/>
      <c r="AC256" s="343" t="n">
        <f aca="false">IFERROR((W256*Y256*AA256),"")</f>
        <v>0</v>
      </c>
      <c r="AD256" s="343"/>
      <c r="AE256" s="343"/>
      <c r="AF256" s="276"/>
    </row>
    <row r="257" customFormat="false" ht="15.75" hidden="false" customHeight="true" outlineLevel="0" collapsed="false">
      <c r="A257" s="276"/>
      <c r="B257" s="276"/>
      <c r="C257" s="344" t="s">
        <v>1104</v>
      </c>
      <c r="D257" s="346"/>
      <c r="E257" s="346"/>
      <c r="F257" s="339" t="str">
        <f aca="false">IFERROR(VLOOKUP(C257,TE!$H:$Y,2,FALSE()),"(Not on TE)")</f>
        <v>(Not on TE)</v>
      </c>
      <c r="G257" s="347"/>
      <c r="H257" s="347"/>
      <c r="I257" s="347"/>
      <c r="J257" s="347"/>
      <c r="K257" s="347"/>
      <c r="L257" s="347"/>
      <c r="M257" s="347"/>
      <c r="N257" s="347"/>
      <c r="O257" s="347"/>
      <c r="P257" s="347"/>
      <c r="Q257" s="347"/>
      <c r="R257" s="347"/>
      <c r="S257" s="347"/>
      <c r="T257" s="347"/>
      <c r="U257" s="340" t="str">
        <f aca="false">IFERROR(VLOOKUP(C257,TE!$H:$Y,9,FALSE()),"0")</f>
        <v>0</v>
      </c>
      <c r="V257" s="340"/>
      <c r="W257" s="341" t="n">
        <f aca="false">SUMIFS(TE!$O:$O,TE!$G:$G,$C$224,TE!$I:$I,C257,TE!$D:$D,$C$5)</f>
        <v>0</v>
      </c>
      <c r="X257" s="341"/>
      <c r="Y257" s="341" t="str">
        <f aca="false">IFERROR(VLOOKUP(C257,TE!$H:$Y,16,FALSE()),"0")</f>
        <v>0</v>
      </c>
      <c r="Z257" s="341"/>
      <c r="AA257" s="342" t="str">
        <f aca="false">IFERROR(VLOOKUP(C257,TE!$H:$Y,17,FALSE()),"0")</f>
        <v>0</v>
      </c>
      <c r="AB257" s="342"/>
      <c r="AC257" s="343" t="n">
        <f aca="false">IFERROR((W257*Y257*AA257),"")</f>
        <v>0</v>
      </c>
      <c r="AD257" s="343"/>
      <c r="AE257" s="343"/>
      <c r="AF257" s="276"/>
    </row>
    <row r="258" customFormat="false" ht="15.75" hidden="false" customHeight="true" outlineLevel="0" collapsed="false">
      <c r="A258" s="276"/>
      <c r="B258" s="276"/>
      <c r="C258" s="344" t="s">
        <v>1571</v>
      </c>
      <c r="D258" s="346"/>
      <c r="E258" s="346"/>
      <c r="F258" s="339" t="str">
        <f aca="false">IFERROR(VLOOKUP(C258,TE!$H:$Y,2,FALSE()),"(Not on TE)")</f>
        <v>(Not on TE)</v>
      </c>
      <c r="G258" s="347"/>
      <c r="H258" s="347"/>
      <c r="I258" s="347"/>
      <c r="J258" s="347"/>
      <c r="K258" s="347"/>
      <c r="L258" s="347"/>
      <c r="M258" s="347"/>
      <c r="N258" s="347"/>
      <c r="O258" s="347"/>
      <c r="P258" s="347"/>
      <c r="Q258" s="347"/>
      <c r="R258" s="347"/>
      <c r="S258" s="347"/>
      <c r="T258" s="347"/>
      <c r="U258" s="340" t="str">
        <f aca="false">IFERROR(VLOOKUP(C258,TE!$H:$Y,9,FALSE()),"0")</f>
        <v>0</v>
      </c>
      <c r="V258" s="340"/>
      <c r="W258" s="341" t="n">
        <f aca="false">SUMIFS(TE!$O:$O,TE!$G:$G,$C$224,TE!$I:$I,C258,TE!$D:$D,$C$5)</f>
        <v>0</v>
      </c>
      <c r="X258" s="341"/>
      <c r="Y258" s="341" t="str">
        <f aca="false">IFERROR(VLOOKUP(C258,TE!$H:$Y,16,FALSE()),"0")</f>
        <v>0</v>
      </c>
      <c r="Z258" s="341"/>
      <c r="AA258" s="342" t="str">
        <f aca="false">IFERROR(VLOOKUP(C258,TE!$H:$Y,17,FALSE()),"0")</f>
        <v>0</v>
      </c>
      <c r="AB258" s="342"/>
      <c r="AC258" s="343" t="n">
        <f aca="false">IFERROR((W258*Y258*AA258),"")</f>
        <v>0</v>
      </c>
      <c r="AD258" s="343"/>
      <c r="AE258" s="343"/>
      <c r="AF258" s="276"/>
    </row>
    <row r="259" customFormat="false" ht="15.75" hidden="false" customHeight="true" outlineLevel="0" collapsed="false">
      <c r="A259" s="276"/>
      <c r="B259" s="276"/>
      <c r="C259" s="344" t="s">
        <v>1572</v>
      </c>
      <c r="D259" s="346"/>
      <c r="E259" s="346"/>
      <c r="F259" s="339" t="str">
        <f aca="false">IFERROR(VLOOKUP(C259,TE!$H:$Y,2,FALSE()),"(Not on TE)")</f>
        <v>(Not on TE)</v>
      </c>
      <c r="G259" s="347"/>
      <c r="H259" s="347"/>
      <c r="I259" s="347"/>
      <c r="J259" s="347"/>
      <c r="K259" s="347"/>
      <c r="L259" s="347"/>
      <c r="M259" s="347"/>
      <c r="N259" s="347"/>
      <c r="O259" s="347"/>
      <c r="P259" s="347"/>
      <c r="Q259" s="347"/>
      <c r="R259" s="347"/>
      <c r="S259" s="347"/>
      <c r="T259" s="347"/>
      <c r="U259" s="340" t="str">
        <f aca="false">IFERROR(VLOOKUP(C259,TE!$H:$Y,9,FALSE()),"0")</f>
        <v>0</v>
      </c>
      <c r="V259" s="340"/>
      <c r="W259" s="341" t="n">
        <f aca="false">SUMIFS(TE!$O:$O,TE!$G:$G,$C$224,TE!$I:$I,C259,TE!$D:$D,$C$5)</f>
        <v>0</v>
      </c>
      <c r="X259" s="341"/>
      <c r="Y259" s="341" t="str">
        <f aca="false">IFERROR(VLOOKUP(C259,TE!$H:$Y,16,FALSE()),"0")</f>
        <v>0</v>
      </c>
      <c r="Z259" s="341"/>
      <c r="AA259" s="342" t="str">
        <f aca="false">IFERROR(VLOOKUP(C259,TE!$H:$Y,17,FALSE()),"0")</f>
        <v>0</v>
      </c>
      <c r="AB259" s="342"/>
      <c r="AC259" s="343" t="n">
        <f aca="false">IFERROR((W259*Y259*AA259),"")</f>
        <v>0</v>
      </c>
      <c r="AD259" s="343"/>
      <c r="AE259" s="343"/>
      <c r="AF259" s="276"/>
    </row>
    <row r="260" customFormat="false" ht="15.75" hidden="false" customHeight="true" outlineLevel="0" collapsed="false">
      <c r="A260" s="276"/>
      <c r="B260" s="276"/>
      <c r="C260" s="344" t="s">
        <v>1316</v>
      </c>
      <c r="D260" s="346"/>
      <c r="E260" s="346"/>
      <c r="F260" s="339" t="str">
        <f aca="false">IFERROR(VLOOKUP(C260,TE!$H:$Y,2,FALSE()),"(Not on TE)")</f>
        <v>(Not on TE)</v>
      </c>
      <c r="G260" s="347"/>
      <c r="H260" s="347"/>
      <c r="I260" s="347"/>
      <c r="J260" s="347"/>
      <c r="K260" s="347"/>
      <c r="L260" s="347"/>
      <c r="M260" s="347"/>
      <c r="N260" s="347"/>
      <c r="O260" s="347"/>
      <c r="P260" s="347"/>
      <c r="Q260" s="347"/>
      <c r="R260" s="347"/>
      <c r="S260" s="347"/>
      <c r="T260" s="347"/>
      <c r="U260" s="340" t="str">
        <f aca="false">IFERROR(VLOOKUP(C260,TE!$H:$Y,9,FALSE()),"0")</f>
        <v>0</v>
      </c>
      <c r="V260" s="340"/>
      <c r="W260" s="341" t="n">
        <f aca="false">SUMIFS(TE!$O:$O,TE!$G:$G,$C$224,TE!$I:$I,C260,TE!$D:$D,$C$5)</f>
        <v>0</v>
      </c>
      <c r="X260" s="341"/>
      <c r="Y260" s="341" t="str">
        <f aca="false">IFERROR(VLOOKUP(C260,TE!$H:$Y,16,FALSE()),"0")</f>
        <v>0</v>
      </c>
      <c r="Z260" s="341"/>
      <c r="AA260" s="342" t="str">
        <f aca="false">IFERROR(VLOOKUP(C260,TE!$H:$Y,17,FALSE()),"0")</f>
        <v>0</v>
      </c>
      <c r="AB260" s="342"/>
      <c r="AC260" s="343" t="n">
        <f aca="false">IFERROR((W260*Y260*AA260),"")</f>
        <v>0</v>
      </c>
      <c r="AD260" s="343"/>
      <c r="AE260" s="343"/>
      <c r="AF260" s="276"/>
    </row>
    <row r="261" customFormat="false" ht="15.75" hidden="false" customHeight="true" outlineLevel="0" collapsed="false">
      <c r="A261" s="276"/>
      <c r="B261" s="276"/>
      <c r="C261" s="345" t="s">
        <v>1573</v>
      </c>
      <c r="D261" s="346"/>
      <c r="E261" s="346"/>
      <c r="F261" s="339" t="str">
        <f aca="false">IFERROR(VLOOKUP(C261,TE!$H:$Y,2,FALSE()),"(Not on TE)")</f>
        <v>(Not on TE)</v>
      </c>
      <c r="G261" s="347"/>
      <c r="H261" s="347"/>
      <c r="I261" s="347"/>
      <c r="J261" s="347"/>
      <c r="K261" s="347"/>
      <c r="L261" s="347"/>
      <c r="M261" s="347"/>
      <c r="N261" s="347"/>
      <c r="O261" s="347"/>
      <c r="P261" s="347"/>
      <c r="Q261" s="347"/>
      <c r="R261" s="347"/>
      <c r="S261" s="347"/>
      <c r="T261" s="347"/>
      <c r="U261" s="340" t="str">
        <f aca="false">IFERROR(VLOOKUP(C261,TE!$H:$Y,9,FALSE()),"0")</f>
        <v>0</v>
      </c>
      <c r="V261" s="340"/>
      <c r="W261" s="341" t="n">
        <f aca="false">SUMIFS(TE!$O:$O,TE!$G:$G,$C$224,TE!$I:$I,C261,TE!$D:$D,$C$5)</f>
        <v>0</v>
      </c>
      <c r="X261" s="341"/>
      <c r="Y261" s="341" t="str">
        <f aca="false">IFERROR(VLOOKUP(C261,TE!$H:$Y,16,FALSE()),"0")</f>
        <v>0</v>
      </c>
      <c r="Z261" s="341"/>
      <c r="AA261" s="342" t="str">
        <f aca="false">IFERROR(VLOOKUP(C261,TE!$H:$Y,17,FALSE()),"0")</f>
        <v>0</v>
      </c>
      <c r="AB261" s="342"/>
      <c r="AC261" s="343" t="n">
        <f aca="false">IFERROR((W261*Y261*AA261),"")</f>
        <v>0</v>
      </c>
      <c r="AD261" s="343"/>
      <c r="AE261" s="343"/>
      <c r="AF261" s="276"/>
    </row>
    <row r="262" customFormat="false" ht="15.75" hidden="false" customHeight="true" outlineLevel="0" collapsed="false">
      <c r="A262" s="276"/>
      <c r="B262" s="276"/>
      <c r="C262" s="345" t="s">
        <v>1574</v>
      </c>
      <c r="D262" s="346"/>
      <c r="E262" s="346"/>
      <c r="F262" s="339" t="str">
        <f aca="false">IFERROR(VLOOKUP(C262,TE!$H:$Y,2,FALSE()),"(Not on TE)")</f>
        <v>(Not on TE)</v>
      </c>
      <c r="G262" s="347"/>
      <c r="H262" s="347"/>
      <c r="I262" s="347"/>
      <c r="J262" s="347"/>
      <c r="K262" s="347"/>
      <c r="L262" s="347"/>
      <c r="M262" s="347"/>
      <c r="N262" s="347"/>
      <c r="O262" s="347"/>
      <c r="P262" s="347"/>
      <c r="Q262" s="347"/>
      <c r="R262" s="347"/>
      <c r="S262" s="347"/>
      <c r="T262" s="347"/>
      <c r="U262" s="340" t="str">
        <f aca="false">IFERROR(VLOOKUP(C262,TE!$H:$Y,9,FALSE()),"0")</f>
        <v>0</v>
      </c>
      <c r="V262" s="340"/>
      <c r="W262" s="341" t="n">
        <f aca="false">SUMIFS(TE!$O:$O,TE!$G:$G,$C$224,TE!$I:$I,C262,TE!$D:$D,$C$5)</f>
        <v>0</v>
      </c>
      <c r="X262" s="341"/>
      <c r="Y262" s="341" t="str">
        <f aca="false">IFERROR(VLOOKUP(C262,TE!$H:$Y,16,FALSE()),"0")</f>
        <v>0</v>
      </c>
      <c r="Z262" s="341"/>
      <c r="AA262" s="342" t="str">
        <f aca="false">IFERROR(VLOOKUP(C262,TE!$H:$Y,17,FALSE()),"0")</f>
        <v>0</v>
      </c>
      <c r="AB262" s="342"/>
      <c r="AC262" s="343" t="n">
        <f aca="false">IFERROR((W262*Y262*AA262),"")</f>
        <v>0</v>
      </c>
      <c r="AD262" s="343"/>
      <c r="AE262" s="343"/>
      <c r="AF262" s="276"/>
    </row>
    <row r="263" customFormat="false" ht="15.75" hidden="false" customHeight="true" outlineLevel="0" collapsed="false">
      <c r="A263" s="276"/>
      <c r="B263" s="276"/>
      <c r="C263" s="348" t="s">
        <v>1575</v>
      </c>
      <c r="D263" s="349"/>
      <c r="E263" s="349"/>
      <c r="F263" s="350" t="str">
        <f aca="false">IFERROR(VLOOKUP(C263,TE!$H:$Y,2,FALSE()),"(Not on TE)")</f>
        <v>(Not on TE)</v>
      </c>
      <c r="G263" s="351"/>
      <c r="H263" s="351"/>
      <c r="I263" s="351"/>
      <c r="J263" s="351"/>
      <c r="K263" s="351"/>
      <c r="L263" s="351"/>
      <c r="M263" s="351"/>
      <c r="N263" s="351"/>
      <c r="O263" s="351"/>
      <c r="P263" s="351"/>
      <c r="Q263" s="351"/>
      <c r="R263" s="351"/>
      <c r="S263" s="351"/>
      <c r="T263" s="351"/>
      <c r="U263" s="352" t="str">
        <f aca="false">IFERROR(VLOOKUP(C263,TE!$H:$Y,9,FALSE()),"0")</f>
        <v>0</v>
      </c>
      <c r="V263" s="352"/>
      <c r="W263" s="353" t="n">
        <f aca="false">SUMIFS(TE!$O:$O,TE!$G:$G,$C$224,TE!$I:$I,C263,TE!$D:$D,$C$5)</f>
        <v>0</v>
      </c>
      <c r="X263" s="353"/>
      <c r="Y263" s="353" t="str">
        <f aca="false">IFERROR(VLOOKUP(C263,TE!$H:$Y,16,FALSE()),"0")</f>
        <v>0</v>
      </c>
      <c r="Z263" s="353"/>
      <c r="AA263" s="354" t="str">
        <f aca="false">IFERROR(VLOOKUP(C263,TE!$H:$Y,17,FALSE()),"0")</f>
        <v>0</v>
      </c>
      <c r="AB263" s="354"/>
      <c r="AC263" s="355" t="n">
        <f aca="false">IFERROR((W263*Y263*AA263),"")</f>
        <v>0</v>
      </c>
      <c r="AD263" s="355"/>
      <c r="AE263" s="355"/>
      <c r="AF263" s="276"/>
    </row>
    <row r="264" customFormat="false" ht="15.75" hidden="false" customHeight="true" outlineLevel="0" collapsed="false">
      <c r="A264" s="276"/>
      <c r="B264" s="276"/>
      <c r="C264" s="338"/>
      <c r="D264" s="346"/>
      <c r="E264" s="346"/>
      <c r="F264" s="347"/>
      <c r="G264" s="347"/>
      <c r="H264" s="347"/>
      <c r="I264" s="347"/>
      <c r="J264" s="347"/>
      <c r="K264" s="347"/>
      <c r="L264" s="347"/>
      <c r="M264" s="347"/>
      <c r="N264" s="347"/>
      <c r="O264" s="347"/>
      <c r="P264" s="347"/>
      <c r="Q264" s="347"/>
      <c r="R264" s="347"/>
      <c r="S264" s="347"/>
      <c r="T264" s="347"/>
      <c r="U264" s="356"/>
      <c r="V264" s="356"/>
      <c r="W264" s="357"/>
      <c r="X264" s="357"/>
      <c r="Y264" s="357"/>
      <c r="Z264" s="296"/>
      <c r="AA264" s="358" t="s">
        <v>1576</v>
      </c>
      <c r="AB264" s="358"/>
      <c r="AC264" s="358"/>
      <c r="AD264" s="358"/>
      <c r="AE264" s="358"/>
      <c r="AF264" s="276"/>
    </row>
    <row r="265" customFormat="false" ht="15.75" hidden="false" customHeight="true" outlineLevel="0" collapsed="false">
      <c r="A265" s="276"/>
      <c r="B265" s="276"/>
      <c r="C265" s="359"/>
      <c r="D265" s="349"/>
      <c r="E265" s="349"/>
      <c r="F265" s="351"/>
      <c r="G265" s="351"/>
      <c r="H265" s="351"/>
      <c r="I265" s="351"/>
      <c r="J265" s="351"/>
      <c r="K265" s="351"/>
      <c r="L265" s="351"/>
      <c r="M265" s="351"/>
      <c r="N265" s="351"/>
      <c r="O265" s="351"/>
      <c r="P265" s="351"/>
      <c r="Q265" s="351"/>
      <c r="R265" s="351"/>
      <c r="S265" s="351"/>
      <c r="T265" s="351"/>
      <c r="U265" s="360"/>
      <c r="V265" s="360"/>
      <c r="W265" s="361"/>
      <c r="X265" s="361"/>
      <c r="Y265" s="361"/>
      <c r="Z265" s="361"/>
      <c r="AA265" s="362"/>
      <c r="AB265" s="362"/>
      <c r="AC265" s="363"/>
      <c r="AD265" s="363"/>
      <c r="AE265" s="363"/>
      <c r="AF265" s="276"/>
    </row>
    <row r="266" customFormat="false" ht="15.75" hidden="false" customHeight="true" outlineLevel="0" collapsed="false">
      <c r="A266" s="364"/>
      <c r="B266" s="364"/>
      <c r="C266" s="365"/>
      <c r="D266" s="366"/>
      <c r="E266" s="366"/>
      <c r="F266" s="367"/>
      <c r="G266" s="367"/>
      <c r="H266" s="367"/>
      <c r="I266" s="367"/>
      <c r="J266" s="367"/>
      <c r="K266" s="367"/>
      <c r="L266" s="367"/>
      <c r="M266" s="367"/>
      <c r="N266" s="367"/>
      <c r="O266" s="367"/>
      <c r="P266" s="367"/>
      <c r="Q266" s="367"/>
      <c r="R266" s="367"/>
      <c r="S266" s="367"/>
      <c r="T266" s="367"/>
      <c r="U266" s="368"/>
      <c r="V266" s="368"/>
      <c r="W266" s="369"/>
      <c r="X266" s="369"/>
      <c r="Y266" s="369"/>
      <c r="Z266" s="369"/>
      <c r="AA266" s="370"/>
      <c r="AB266" s="370"/>
      <c r="AC266" s="371"/>
      <c r="AD266" s="371"/>
      <c r="AE266" s="371"/>
      <c r="AF266" s="372"/>
    </row>
    <row r="267" customFormat="false" ht="15.75" hidden="false" customHeight="true" outlineLevel="0" collapsed="false">
      <c r="A267" s="259" t="s">
        <v>1522</v>
      </c>
      <c r="B267" s="259"/>
      <c r="C267" s="323" t="n">
        <f aca="false">$C$5</f>
        <v>14312</v>
      </c>
      <c r="D267" s="323"/>
      <c r="E267" s="323"/>
      <c r="F267" s="323"/>
      <c r="G267" s="323"/>
      <c r="H267" s="323"/>
      <c r="I267" s="323"/>
      <c r="J267" s="323"/>
      <c r="K267" s="323"/>
      <c r="L267" s="323"/>
      <c r="M267" s="259" t="s">
        <v>1523</v>
      </c>
      <c r="N267" s="259"/>
      <c r="O267" s="259"/>
      <c r="P267" s="259"/>
      <c r="Q267" s="259"/>
      <c r="R267" s="324" t="str">
        <f aca="false">$R$5</f>
        <v>Operational Vehicle Laydown Area</v>
      </c>
      <c r="S267" s="324"/>
      <c r="T267" s="324"/>
      <c r="U267" s="324"/>
      <c r="V267" s="324"/>
      <c r="W267" s="324"/>
      <c r="X267" s="324"/>
      <c r="Y267" s="324"/>
      <c r="Z267" s="324"/>
      <c r="AA267" s="324"/>
      <c r="AB267" s="324"/>
      <c r="AC267" s="324"/>
      <c r="AD267" s="324"/>
      <c r="AE267" s="324"/>
      <c r="AF267" s="324"/>
    </row>
    <row r="268" customFormat="false" ht="15.75" hidden="false" customHeight="true" outlineLevel="0" collapsed="false">
      <c r="A268" s="276"/>
      <c r="B268" s="276"/>
      <c r="C268" s="296"/>
      <c r="D268" s="276"/>
      <c r="E268" s="276"/>
      <c r="F268" s="296"/>
      <c r="G268" s="276"/>
      <c r="H268" s="276"/>
      <c r="I268" s="276"/>
      <c r="J268" s="276"/>
      <c r="K268" s="276"/>
      <c r="L268" s="276"/>
      <c r="M268" s="276"/>
      <c r="N268" s="276"/>
      <c r="O268" s="276"/>
      <c r="P268" s="276"/>
      <c r="Q268" s="276"/>
      <c r="R268" s="276"/>
      <c r="S268" s="276"/>
      <c r="T268" s="276"/>
      <c r="U268" s="276"/>
      <c r="V268" s="276"/>
      <c r="W268" s="277"/>
      <c r="X268" s="277"/>
      <c r="Y268" s="276"/>
      <c r="Z268" s="276"/>
      <c r="AA268" s="276"/>
      <c r="AB268" s="276"/>
      <c r="AC268" s="277"/>
      <c r="AD268" s="277"/>
      <c r="AE268" s="277"/>
      <c r="AF268" s="276"/>
    </row>
    <row r="269" customFormat="false" ht="15.75" hidden="false" customHeight="true" outlineLevel="0" collapsed="false">
      <c r="A269" s="276"/>
      <c r="B269" s="276"/>
      <c r="C269" s="325" t="s">
        <v>1542</v>
      </c>
      <c r="D269" s="276"/>
      <c r="E269" s="276"/>
      <c r="F269" s="296"/>
      <c r="G269" s="276"/>
      <c r="H269" s="276"/>
      <c r="I269" s="276"/>
      <c r="J269" s="276"/>
      <c r="K269" s="276"/>
      <c r="L269" s="276"/>
      <c r="M269" s="276"/>
      <c r="N269" s="276"/>
      <c r="O269" s="276"/>
      <c r="P269" s="276"/>
      <c r="Q269" s="276"/>
      <c r="R269" s="276"/>
      <c r="S269" s="276"/>
      <c r="T269" s="276"/>
      <c r="U269" s="276"/>
      <c r="V269" s="276"/>
      <c r="W269" s="277"/>
      <c r="X269" s="277"/>
      <c r="Y269" s="276"/>
      <c r="Z269" s="276"/>
      <c r="AA269" s="276"/>
      <c r="AB269" s="276"/>
      <c r="AC269" s="277"/>
      <c r="AD269" s="277"/>
      <c r="AE269" s="277"/>
      <c r="AF269" s="276"/>
    </row>
    <row r="270" customFormat="false" ht="15.75" hidden="false" customHeight="true" outlineLevel="0" collapsed="false">
      <c r="A270" s="276"/>
      <c r="B270" s="276"/>
      <c r="C270" s="391" t="str">
        <f aca="false">C224</f>
        <v>M28263</v>
      </c>
      <c r="D270" s="391"/>
      <c r="E270" s="391"/>
      <c r="F270" s="327" t="str">
        <f aca="false">F224</f>
        <v>SURGICAL CO A</v>
      </c>
      <c r="G270" s="327"/>
      <c r="H270" s="327"/>
      <c r="I270" s="327"/>
      <c r="J270" s="327"/>
      <c r="K270" s="327"/>
      <c r="L270" s="327"/>
      <c r="M270" s="327"/>
      <c r="N270" s="328"/>
      <c r="O270" s="329"/>
      <c r="P270" s="329"/>
      <c r="Q270" s="329"/>
      <c r="R270" s="329"/>
      <c r="S270" s="330"/>
      <c r="T270" s="295"/>
      <c r="U270" s="295"/>
      <c r="V270" s="295"/>
      <c r="W270" s="331"/>
      <c r="X270" s="331"/>
      <c r="Y270" s="295"/>
      <c r="Z270" s="295"/>
      <c r="AA270" s="295"/>
      <c r="AB270" s="295"/>
      <c r="AC270" s="332"/>
      <c r="AD270" s="332"/>
      <c r="AE270" s="332"/>
      <c r="AF270" s="276"/>
    </row>
    <row r="271" customFormat="false" ht="15.75" hidden="false" customHeight="true" outlineLevel="0" collapsed="false">
      <c r="A271" s="276"/>
      <c r="B271" s="276"/>
      <c r="C271" s="333" t="s">
        <v>1055</v>
      </c>
      <c r="D271" s="333"/>
      <c r="E271" s="333"/>
      <c r="F271" s="334" t="s">
        <v>13</v>
      </c>
      <c r="G271" s="334"/>
      <c r="H271" s="334"/>
      <c r="I271" s="334"/>
      <c r="J271" s="334"/>
      <c r="K271" s="334"/>
      <c r="L271" s="334"/>
      <c r="M271" s="334"/>
      <c r="N271" s="334"/>
      <c r="O271" s="334"/>
      <c r="P271" s="334"/>
      <c r="Q271" s="334"/>
      <c r="R271" s="334"/>
      <c r="S271" s="334"/>
      <c r="T271" s="334"/>
      <c r="U271" s="335" t="s">
        <v>1543</v>
      </c>
      <c r="V271" s="335"/>
      <c r="W271" s="335" t="s">
        <v>1544</v>
      </c>
      <c r="X271" s="335"/>
      <c r="Y271" s="335" t="s">
        <v>1545</v>
      </c>
      <c r="Z271" s="335"/>
      <c r="AA271" s="335" t="s">
        <v>1546</v>
      </c>
      <c r="AB271" s="335"/>
      <c r="AC271" s="336" t="s">
        <v>1547</v>
      </c>
      <c r="AD271" s="336"/>
      <c r="AE271" s="336"/>
      <c r="AF271" s="276"/>
    </row>
    <row r="272" customFormat="false" ht="15.75" hidden="false" customHeight="true" outlineLevel="0" collapsed="false">
      <c r="A272" s="276"/>
      <c r="B272" s="276"/>
      <c r="C272" s="333"/>
      <c r="D272" s="333"/>
      <c r="E272" s="333"/>
      <c r="F272" s="334"/>
      <c r="G272" s="334"/>
      <c r="H272" s="334"/>
      <c r="I272" s="334"/>
      <c r="J272" s="334"/>
      <c r="K272" s="334"/>
      <c r="L272" s="334"/>
      <c r="M272" s="334"/>
      <c r="N272" s="334"/>
      <c r="O272" s="334"/>
      <c r="P272" s="334"/>
      <c r="Q272" s="334"/>
      <c r="R272" s="334"/>
      <c r="S272" s="334"/>
      <c r="T272" s="334"/>
      <c r="U272" s="335"/>
      <c r="V272" s="335"/>
      <c r="W272" s="335"/>
      <c r="X272" s="335"/>
      <c r="Y272" s="335"/>
      <c r="Z272" s="335"/>
      <c r="AA272" s="335"/>
      <c r="AB272" s="335"/>
      <c r="AC272" s="336"/>
      <c r="AD272" s="336"/>
      <c r="AE272" s="336"/>
      <c r="AF272" s="276"/>
    </row>
    <row r="273" customFormat="false" ht="15.75" hidden="false" customHeight="true" outlineLevel="0" collapsed="false">
      <c r="A273" s="276"/>
      <c r="B273" s="276"/>
      <c r="C273" s="337" t="s">
        <v>1577</v>
      </c>
      <c r="D273" s="338"/>
      <c r="E273" s="338"/>
      <c r="F273" s="339" t="str">
        <f aca="false">IFERROR(VLOOKUP(C273,TE!$H:$Y,2,FALSE()),"(Not on TE)")</f>
        <v>(Not on TE)</v>
      </c>
      <c r="G273" s="338"/>
      <c r="H273" s="338"/>
      <c r="I273" s="338"/>
      <c r="J273" s="338"/>
      <c r="K273" s="338"/>
      <c r="L273" s="338"/>
      <c r="M273" s="338"/>
      <c r="N273" s="338"/>
      <c r="O273" s="338"/>
      <c r="P273" s="338"/>
      <c r="Q273" s="338"/>
      <c r="R273" s="338"/>
      <c r="S273" s="338"/>
      <c r="T273" s="338"/>
      <c r="U273" s="340" t="str">
        <f aca="false">IFERROR(VLOOKUP(C273,TE!$H:$Y,9,FALSE()),"0")</f>
        <v>0</v>
      </c>
      <c r="V273" s="340"/>
      <c r="W273" s="341" t="n">
        <f aca="false">SUMIFS(TE!$O:$O,TE!$G:$G,$C$224,TE!$I:$I,C273,TE!$D:$D,$C$5)</f>
        <v>0</v>
      </c>
      <c r="X273" s="341"/>
      <c r="Y273" s="341" t="str">
        <f aca="false">IFERROR(VLOOKUP(C273,TE!$H:$Y,16,FALSE()),"0")</f>
        <v>0</v>
      </c>
      <c r="Z273" s="341"/>
      <c r="AA273" s="342" t="str">
        <f aca="false">IFERROR(VLOOKUP(C273,TE!$H:$Y,17,FALSE()),"0")</f>
        <v>0</v>
      </c>
      <c r="AB273" s="342"/>
      <c r="AC273" s="343" t="n">
        <f aca="false">IFERROR((W273*Y273*AA273),"")</f>
        <v>0</v>
      </c>
      <c r="AD273" s="343"/>
      <c r="AE273" s="343"/>
      <c r="AF273" s="276"/>
    </row>
    <row r="274" customFormat="false" ht="15.75" hidden="false" customHeight="true" outlineLevel="0" collapsed="false">
      <c r="A274" s="276"/>
      <c r="B274" s="276"/>
      <c r="C274" s="344" t="s">
        <v>1578</v>
      </c>
      <c r="D274" s="338"/>
      <c r="E274" s="338"/>
      <c r="F274" s="339" t="str">
        <f aca="false">IFERROR(VLOOKUP(C274,TE!$H:$Y,2,FALSE()),"(Not on TE)")</f>
        <v>(Not on TE)</v>
      </c>
      <c r="G274" s="338"/>
      <c r="H274" s="338"/>
      <c r="I274" s="338"/>
      <c r="J274" s="338"/>
      <c r="K274" s="338"/>
      <c r="L274" s="338"/>
      <c r="M274" s="338"/>
      <c r="N274" s="338"/>
      <c r="O274" s="338"/>
      <c r="P274" s="338"/>
      <c r="Q274" s="338"/>
      <c r="R274" s="338"/>
      <c r="S274" s="338"/>
      <c r="T274" s="338"/>
      <c r="U274" s="340" t="str">
        <f aca="false">IFERROR(VLOOKUP(C274,TE!$H:$Y,9,FALSE()),"0")</f>
        <v>0</v>
      </c>
      <c r="V274" s="340"/>
      <c r="W274" s="341" t="n">
        <f aca="false">SUMIFS(TE!$O:$O,TE!$G:$G,$C$224,TE!$I:$I,C274,TE!$D:$D,$C$5)</f>
        <v>0</v>
      </c>
      <c r="X274" s="341"/>
      <c r="Y274" s="341" t="str">
        <f aca="false">IFERROR(VLOOKUP(C274,TE!$H:$Y,16,FALSE()),"0")</f>
        <v>0</v>
      </c>
      <c r="Z274" s="341"/>
      <c r="AA274" s="342" t="str">
        <f aca="false">IFERROR(VLOOKUP(C274,TE!$H:$Y,17,FALSE()),"0")</f>
        <v>0</v>
      </c>
      <c r="AB274" s="342"/>
      <c r="AC274" s="343" t="n">
        <f aca="false">IFERROR((W274*Y274*AA274),"")</f>
        <v>0</v>
      </c>
      <c r="AD274" s="343"/>
      <c r="AE274" s="343"/>
      <c r="AF274" s="276"/>
    </row>
    <row r="275" customFormat="false" ht="15.75" hidden="false" customHeight="true" outlineLevel="0" collapsed="false">
      <c r="A275" s="276"/>
      <c r="B275" s="276"/>
      <c r="C275" s="344" t="s">
        <v>1579</v>
      </c>
      <c r="D275" s="338"/>
      <c r="E275" s="338"/>
      <c r="F275" s="339" t="str">
        <f aca="false">IFERROR(VLOOKUP(C275,TE!$H:$Y,2,FALSE()),"(Not on TE)")</f>
        <v>(Not on TE)</v>
      </c>
      <c r="G275" s="338"/>
      <c r="H275" s="338"/>
      <c r="I275" s="338"/>
      <c r="J275" s="338"/>
      <c r="K275" s="338"/>
      <c r="L275" s="338"/>
      <c r="M275" s="338"/>
      <c r="N275" s="338"/>
      <c r="O275" s="338"/>
      <c r="P275" s="338"/>
      <c r="Q275" s="338"/>
      <c r="R275" s="338"/>
      <c r="S275" s="338"/>
      <c r="T275" s="338"/>
      <c r="U275" s="340" t="str">
        <f aca="false">IFERROR(VLOOKUP(C275,TE!$H:$Y,9,FALSE()),"0")</f>
        <v>0</v>
      </c>
      <c r="V275" s="340"/>
      <c r="W275" s="341" t="n">
        <f aca="false">SUMIFS(TE!$O:$O,TE!$G:$G,$C$224,TE!$I:$I,C275,TE!$D:$D,$C$5)</f>
        <v>0</v>
      </c>
      <c r="X275" s="341"/>
      <c r="Y275" s="341" t="str">
        <f aca="false">IFERROR(VLOOKUP(C275,TE!$H:$Y,16,FALSE()),"0")</f>
        <v>0</v>
      </c>
      <c r="Z275" s="341"/>
      <c r="AA275" s="342" t="str">
        <f aca="false">IFERROR(VLOOKUP(C275,TE!$H:$Y,17,FALSE()),"0")</f>
        <v>0</v>
      </c>
      <c r="AB275" s="342"/>
      <c r="AC275" s="343" t="n">
        <f aca="false">IFERROR((W275*Y275*AA275),"")</f>
        <v>0</v>
      </c>
      <c r="AD275" s="343"/>
      <c r="AE275" s="343"/>
      <c r="AF275" s="276"/>
    </row>
    <row r="276" customFormat="false" ht="15.75" hidden="false" customHeight="true" outlineLevel="0" collapsed="false">
      <c r="A276" s="276"/>
      <c r="B276" s="276"/>
      <c r="C276" s="344" t="s">
        <v>1580</v>
      </c>
      <c r="D276" s="338"/>
      <c r="E276" s="338"/>
      <c r="F276" s="339" t="str">
        <f aca="false">IFERROR(VLOOKUP(C276,TE!$H:$Y,2,FALSE()),"(Not on TE)")</f>
        <v>(Not on TE)</v>
      </c>
      <c r="G276" s="338"/>
      <c r="H276" s="338"/>
      <c r="I276" s="338"/>
      <c r="J276" s="338"/>
      <c r="K276" s="338"/>
      <c r="L276" s="338"/>
      <c r="M276" s="338"/>
      <c r="N276" s="338"/>
      <c r="O276" s="338"/>
      <c r="P276" s="338"/>
      <c r="Q276" s="338"/>
      <c r="R276" s="338"/>
      <c r="S276" s="338"/>
      <c r="T276" s="338"/>
      <c r="U276" s="340" t="str">
        <f aca="false">IFERROR(VLOOKUP(C276,TE!$H:$Y,9,FALSE()),"0")</f>
        <v>0</v>
      </c>
      <c r="V276" s="340"/>
      <c r="W276" s="341" t="n">
        <f aca="false">SUMIFS(TE!$O:$O,TE!$G:$G,$C$224,TE!$I:$I,C276,TE!$D:$D,$C$5)</f>
        <v>0</v>
      </c>
      <c r="X276" s="341"/>
      <c r="Y276" s="341" t="str">
        <f aca="false">IFERROR(VLOOKUP(C276,TE!$H:$Y,16,FALSE()),"0")</f>
        <v>0</v>
      </c>
      <c r="Z276" s="341"/>
      <c r="AA276" s="342" t="str">
        <f aca="false">IFERROR(VLOOKUP(C276,TE!$H:$Y,17,FALSE()),"0")</f>
        <v>0</v>
      </c>
      <c r="AB276" s="342"/>
      <c r="AC276" s="343" t="n">
        <f aca="false">IFERROR((W276*Y276*AA276),"")</f>
        <v>0</v>
      </c>
      <c r="AD276" s="343"/>
      <c r="AE276" s="343"/>
      <c r="AF276" s="276"/>
    </row>
    <row r="277" customFormat="false" ht="15.75" hidden="false" customHeight="true" outlineLevel="0" collapsed="false">
      <c r="A277" s="276"/>
      <c r="B277" s="276"/>
      <c r="C277" s="344" t="s">
        <v>1581</v>
      </c>
      <c r="D277" s="338"/>
      <c r="E277" s="338"/>
      <c r="F277" s="339" t="str">
        <f aca="false">IFERROR(VLOOKUP(C277,TE!$H:$Y,2,FALSE()),"(Not on TE)")</f>
        <v>(Not on TE)</v>
      </c>
      <c r="G277" s="338"/>
      <c r="H277" s="338"/>
      <c r="I277" s="338"/>
      <c r="J277" s="338"/>
      <c r="K277" s="338"/>
      <c r="L277" s="338"/>
      <c r="M277" s="338"/>
      <c r="N277" s="338"/>
      <c r="O277" s="338"/>
      <c r="P277" s="338"/>
      <c r="Q277" s="338"/>
      <c r="R277" s="338"/>
      <c r="S277" s="338"/>
      <c r="T277" s="338"/>
      <c r="U277" s="340" t="str">
        <f aca="false">IFERROR(VLOOKUP(C277,TE!$H:$Y,9,FALSE()),"0")</f>
        <v>0</v>
      </c>
      <c r="V277" s="340"/>
      <c r="W277" s="341" t="n">
        <f aca="false">SUMIFS(TE!$O:$O,TE!$G:$G,$C$224,TE!$I:$I,C277,TE!$D:$D,$C$5)</f>
        <v>0</v>
      </c>
      <c r="X277" s="341"/>
      <c r="Y277" s="341" t="str">
        <f aca="false">IFERROR(VLOOKUP(C277,TE!$H:$Y,16,FALSE()),"0")</f>
        <v>0</v>
      </c>
      <c r="Z277" s="341"/>
      <c r="AA277" s="342" t="str">
        <f aca="false">IFERROR(VLOOKUP(C277,TE!$H:$Y,17,FALSE()),"0")</f>
        <v>0</v>
      </c>
      <c r="AB277" s="342"/>
      <c r="AC277" s="343" t="n">
        <f aca="false">IFERROR((W277*Y277*AA277),"")</f>
        <v>0</v>
      </c>
      <c r="AD277" s="343"/>
      <c r="AE277" s="343"/>
      <c r="AF277" s="276"/>
    </row>
    <row r="278" customFormat="false" ht="15.75" hidden="false" customHeight="true" outlineLevel="0" collapsed="false">
      <c r="A278" s="276"/>
      <c r="B278" s="276"/>
      <c r="C278" s="344" t="s">
        <v>1132</v>
      </c>
      <c r="D278" s="338"/>
      <c r="E278" s="338"/>
      <c r="F278" s="339" t="str">
        <f aca="false">IFERROR(VLOOKUP(C278,TE!$H:$Y,2,FALSE()),"(Not on TE)")</f>
        <v>(Not on TE)</v>
      </c>
      <c r="G278" s="338"/>
      <c r="H278" s="338"/>
      <c r="I278" s="338"/>
      <c r="J278" s="338"/>
      <c r="K278" s="338"/>
      <c r="L278" s="338"/>
      <c r="M278" s="338"/>
      <c r="N278" s="338"/>
      <c r="O278" s="338"/>
      <c r="P278" s="338"/>
      <c r="Q278" s="338"/>
      <c r="R278" s="338"/>
      <c r="S278" s="338"/>
      <c r="T278" s="338"/>
      <c r="U278" s="340" t="str">
        <f aca="false">IFERROR(VLOOKUP(C278,TE!$H:$Y,9,FALSE()),"0")</f>
        <v>0</v>
      </c>
      <c r="V278" s="340"/>
      <c r="W278" s="341" t="n">
        <f aca="false">SUMIFS(TE!$O:$O,TE!$G:$G,$C$224,TE!$I:$I,C278,TE!$D:$D,$C$5)</f>
        <v>0</v>
      </c>
      <c r="X278" s="341"/>
      <c r="Y278" s="341" t="str">
        <f aca="false">IFERROR(VLOOKUP(C278,TE!$H:$Y,16,FALSE()),"0")</f>
        <v>0</v>
      </c>
      <c r="Z278" s="341"/>
      <c r="AA278" s="342" t="str">
        <f aca="false">IFERROR(VLOOKUP(C278,TE!$H:$Y,17,FALSE()),"0")</f>
        <v>0</v>
      </c>
      <c r="AB278" s="342"/>
      <c r="AC278" s="343" t="n">
        <f aca="false">IFERROR((W278*Y278*AA278),"")</f>
        <v>0</v>
      </c>
      <c r="AD278" s="343"/>
      <c r="AE278" s="343"/>
      <c r="AF278" s="276"/>
    </row>
    <row r="279" customFormat="false" ht="15.75" hidden="false" customHeight="true" outlineLevel="0" collapsed="false">
      <c r="A279" s="276"/>
      <c r="B279" s="276"/>
      <c r="C279" s="344" t="s">
        <v>1582</v>
      </c>
      <c r="D279" s="338"/>
      <c r="E279" s="338"/>
      <c r="F279" s="339" t="str">
        <f aca="false">IFERROR(VLOOKUP(C279,TE!$H:$Y,2,FALSE()),"(Not on TE)")</f>
        <v>(Not on TE)</v>
      </c>
      <c r="G279" s="338"/>
      <c r="H279" s="338"/>
      <c r="I279" s="338"/>
      <c r="J279" s="338"/>
      <c r="K279" s="338"/>
      <c r="L279" s="338"/>
      <c r="M279" s="338"/>
      <c r="N279" s="338"/>
      <c r="O279" s="338"/>
      <c r="P279" s="338"/>
      <c r="Q279" s="338"/>
      <c r="R279" s="338"/>
      <c r="S279" s="338"/>
      <c r="T279" s="338"/>
      <c r="U279" s="340" t="str">
        <f aca="false">IFERROR(VLOOKUP(C279,TE!$H:$Y,9,FALSE()),"0")</f>
        <v>0</v>
      </c>
      <c r="V279" s="340"/>
      <c r="W279" s="341" t="n">
        <f aca="false">SUMIFS(TE!$O:$O,TE!$G:$G,$C$224,TE!$I:$I,C279,TE!$D:$D,$C$5)</f>
        <v>0</v>
      </c>
      <c r="X279" s="341"/>
      <c r="Y279" s="341" t="str">
        <f aca="false">IFERROR(VLOOKUP(C279,TE!$H:$Y,16,FALSE()),"0")</f>
        <v>0</v>
      </c>
      <c r="Z279" s="341"/>
      <c r="AA279" s="342" t="str">
        <f aca="false">IFERROR(VLOOKUP(C279,TE!$H:$Y,17,FALSE()),"0")</f>
        <v>0</v>
      </c>
      <c r="AB279" s="342"/>
      <c r="AC279" s="343" t="n">
        <f aca="false">IFERROR((W279*Y279*AA279),"")</f>
        <v>0</v>
      </c>
      <c r="AD279" s="343"/>
      <c r="AE279" s="343"/>
      <c r="AF279" s="276"/>
    </row>
    <row r="280" customFormat="false" ht="15.75" hidden="false" customHeight="true" outlineLevel="0" collapsed="false">
      <c r="A280" s="276"/>
      <c r="B280" s="276"/>
      <c r="C280" s="344" t="s">
        <v>1583</v>
      </c>
      <c r="D280" s="338"/>
      <c r="E280" s="338"/>
      <c r="F280" s="339" t="str">
        <f aca="false">IFERROR(VLOOKUP(C280,TE!$H:$Y,2,FALSE()),"(Not on TE)")</f>
        <v>(Not on TE)</v>
      </c>
      <c r="G280" s="338"/>
      <c r="H280" s="338"/>
      <c r="I280" s="338"/>
      <c r="J280" s="338"/>
      <c r="K280" s="338"/>
      <c r="L280" s="338"/>
      <c r="M280" s="338"/>
      <c r="N280" s="338"/>
      <c r="O280" s="338"/>
      <c r="P280" s="338"/>
      <c r="Q280" s="338"/>
      <c r="R280" s="338"/>
      <c r="S280" s="338"/>
      <c r="T280" s="338"/>
      <c r="U280" s="340" t="str">
        <f aca="false">IFERROR(VLOOKUP(C280,TE!$H:$Y,9,FALSE()),"0")</f>
        <v>0</v>
      </c>
      <c r="V280" s="340"/>
      <c r="W280" s="341" t="n">
        <f aca="false">SUMIFS(TE!$O:$O,TE!$G:$G,$C$224,TE!$I:$I,C280,TE!$D:$D,$C$5)</f>
        <v>0</v>
      </c>
      <c r="X280" s="341"/>
      <c r="Y280" s="341" t="str">
        <f aca="false">IFERROR(VLOOKUP(C280,TE!$H:$Y,16,FALSE()),"0")</f>
        <v>0</v>
      </c>
      <c r="Z280" s="341"/>
      <c r="AA280" s="342" t="str">
        <f aca="false">IFERROR(VLOOKUP(C280,TE!$H:$Y,17,FALSE()),"0")</f>
        <v>0</v>
      </c>
      <c r="AB280" s="342"/>
      <c r="AC280" s="343" t="n">
        <f aca="false">IFERROR((W280*Y280*AA280),"")</f>
        <v>0</v>
      </c>
      <c r="AD280" s="343"/>
      <c r="AE280" s="343"/>
      <c r="AF280" s="276"/>
    </row>
    <row r="281" customFormat="false" ht="15.75" hidden="false" customHeight="true" outlineLevel="0" collapsed="false">
      <c r="A281" s="276"/>
      <c r="B281" s="276"/>
      <c r="C281" s="344" t="s">
        <v>1584</v>
      </c>
      <c r="D281" s="338"/>
      <c r="E281" s="338"/>
      <c r="F281" s="339" t="str">
        <f aca="false">IFERROR(VLOOKUP(C281,TE!$H:$Y,2,FALSE()),"(Not on TE)")</f>
        <v>(Not on TE)</v>
      </c>
      <c r="G281" s="338"/>
      <c r="H281" s="338"/>
      <c r="I281" s="338"/>
      <c r="J281" s="338"/>
      <c r="K281" s="338"/>
      <c r="L281" s="338"/>
      <c r="M281" s="338"/>
      <c r="N281" s="338"/>
      <c r="O281" s="338"/>
      <c r="P281" s="338"/>
      <c r="Q281" s="338"/>
      <c r="R281" s="338"/>
      <c r="S281" s="338"/>
      <c r="T281" s="338"/>
      <c r="U281" s="340" t="str">
        <f aca="false">IFERROR(VLOOKUP(C281,TE!$H:$Y,9,FALSE()),"0")</f>
        <v>0</v>
      </c>
      <c r="V281" s="340"/>
      <c r="W281" s="341" t="n">
        <f aca="false">SUMIFS(TE!$O:$O,TE!$G:$G,$C$224,TE!$I:$I,C281,TE!$D:$D,$C$5)</f>
        <v>0</v>
      </c>
      <c r="X281" s="341"/>
      <c r="Y281" s="341" t="str">
        <f aca="false">IFERROR(VLOOKUP(C281,TE!$H:$Y,16,FALSE()),"0")</f>
        <v>0</v>
      </c>
      <c r="Z281" s="341"/>
      <c r="AA281" s="342" t="str">
        <f aca="false">IFERROR(VLOOKUP(C281,TE!$H:$Y,17,FALSE()),"0")</f>
        <v>0</v>
      </c>
      <c r="AB281" s="342"/>
      <c r="AC281" s="343" t="n">
        <f aca="false">IFERROR((W281*Y281*AA281),"")</f>
        <v>0</v>
      </c>
      <c r="AD281" s="343"/>
      <c r="AE281" s="343"/>
      <c r="AF281" s="276"/>
    </row>
    <row r="282" customFormat="false" ht="15.75" hidden="false" customHeight="true" outlineLevel="0" collapsed="false">
      <c r="A282" s="276"/>
      <c r="B282" s="276"/>
      <c r="C282" s="344" t="s">
        <v>1585</v>
      </c>
      <c r="D282" s="338"/>
      <c r="E282" s="338"/>
      <c r="F282" s="339" t="str">
        <f aca="false">IFERROR(VLOOKUP(C282,TE!$H:$Y,2,FALSE()),"(Not on TE)")</f>
        <v>(Not on TE)</v>
      </c>
      <c r="G282" s="338"/>
      <c r="H282" s="338"/>
      <c r="I282" s="338"/>
      <c r="J282" s="338"/>
      <c r="K282" s="338"/>
      <c r="L282" s="338"/>
      <c r="M282" s="338"/>
      <c r="N282" s="338"/>
      <c r="O282" s="338"/>
      <c r="P282" s="338"/>
      <c r="Q282" s="338"/>
      <c r="R282" s="338"/>
      <c r="S282" s="338"/>
      <c r="T282" s="338"/>
      <c r="U282" s="340" t="str">
        <f aca="false">IFERROR(VLOOKUP(C282,TE!$H:$Y,9,FALSE()),"0")</f>
        <v>0</v>
      </c>
      <c r="V282" s="340"/>
      <c r="W282" s="341" t="n">
        <f aca="false">SUMIFS(TE!$O:$O,TE!$G:$G,$C$224,TE!$I:$I,C282,TE!$D:$D,$C$5)</f>
        <v>0</v>
      </c>
      <c r="X282" s="341"/>
      <c r="Y282" s="341" t="str">
        <f aca="false">IFERROR(VLOOKUP(C282,TE!$H:$Y,16,FALSE()),"0")</f>
        <v>0</v>
      </c>
      <c r="Z282" s="341"/>
      <c r="AA282" s="342" t="str">
        <f aca="false">IFERROR(VLOOKUP(C282,TE!$H:$Y,17,FALSE()),"0")</f>
        <v>0</v>
      </c>
      <c r="AB282" s="342"/>
      <c r="AC282" s="343" t="n">
        <f aca="false">IFERROR((W282*Y282*AA282),"")</f>
        <v>0</v>
      </c>
      <c r="AD282" s="343"/>
      <c r="AE282" s="343"/>
      <c r="AF282" s="276"/>
    </row>
    <row r="283" customFormat="false" ht="15.75" hidden="false" customHeight="true" outlineLevel="0" collapsed="false">
      <c r="A283" s="276"/>
      <c r="B283" s="276"/>
      <c r="C283" s="344" t="s">
        <v>1450</v>
      </c>
      <c r="D283" s="338"/>
      <c r="E283" s="338"/>
      <c r="F283" s="339" t="str">
        <f aca="false">IFERROR(VLOOKUP(C283,TE!$H:$Y,2,FALSE()),"(Not on TE)")</f>
        <v>(Not on TE)</v>
      </c>
      <c r="G283" s="338"/>
      <c r="H283" s="338"/>
      <c r="I283" s="338"/>
      <c r="J283" s="338"/>
      <c r="K283" s="338"/>
      <c r="L283" s="338"/>
      <c r="M283" s="338"/>
      <c r="N283" s="338"/>
      <c r="O283" s="338"/>
      <c r="P283" s="338"/>
      <c r="Q283" s="338"/>
      <c r="R283" s="338"/>
      <c r="S283" s="338"/>
      <c r="T283" s="338"/>
      <c r="U283" s="340" t="str">
        <f aca="false">IFERROR(VLOOKUP(C283,TE!$H:$Y,9,FALSE()),"0")</f>
        <v>0</v>
      </c>
      <c r="V283" s="340"/>
      <c r="W283" s="341" t="n">
        <f aca="false">SUMIFS(TE!$O:$O,TE!$G:$G,$C$224,TE!$I:$I,C283,TE!$D:$D,$C$5)</f>
        <v>6</v>
      </c>
      <c r="X283" s="341"/>
      <c r="Y283" s="341" t="str">
        <f aca="false">IFERROR(VLOOKUP(C283,TE!$H:$Y,16,FALSE()),"0")</f>
        <v>0</v>
      </c>
      <c r="Z283" s="341"/>
      <c r="AA283" s="342" t="str">
        <f aca="false">IFERROR(VLOOKUP(C283,TE!$H:$Y,17,FALSE()),"0")</f>
        <v>0</v>
      </c>
      <c r="AB283" s="342"/>
      <c r="AC283" s="343" t="n">
        <f aca="false">IFERROR((W283*Y283*AA283),"")</f>
        <v>0</v>
      </c>
      <c r="AD283" s="343"/>
      <c r="AE283" s="343"/>
      <c r="AF283" s="276"/>
    </row>
    <row r="284" customFormat="false" ht="15.75" hidden="false" customHeight="true" outlineLevel="0" collapsed="false">
      <c r="A284" s="276"/>
      <c r="B284" s="276"/>
      <c r="C284" s="344" t="s">
        <v>1586</v>
      </c>
      <c r="D284" s="338"/>
      <c r="E284" s="338"/>
      <c r="F284" s="339" t="str">
        <f aca="false">IFERROR(VLOOKUP(C284,TE!$H:$Y,2,FALSE()),"(Not on TE)")</f>
        <v>(Not on TE)</v>
      </c>
      <c r="G284" s="338"/>
      <c r="H284" s="338"/>
      <c r="I284" s="338"/>
      <c r="J284" s="338"/>
      <c r="K284" s="338"/>
      <c r="L284" s="338"/>
      <c r="M284" s="338"/>
      <c r="N284" s="338"/>
      <c r="O284" s="338"/>
      <c r="P284" s="338"/>
      <c r="Q284" s="338"/>
      <c r="R284" s="338"/>
      <c r="S284" s="338"/>
      <c r="T284" s="338"/>
      <c r="U284" s="340" t="str">
        <f aca="false">IFERROR(VLOOKUP(C284,TE!$H:$Y,9,FALSE()),"0")</f>
        <v>0</v>
      </c>
      <c r="V284" s="340"/>
      <c r="W284" s="341" t="n">
        <f aca="false">SUMIFS(TE!$O:$O,TE!$G:$G,$C$224,TE!$I:$I,C284,TE!$D:$D,$C$5)</f>
        <v>0</v>
      </c>
      <c r="X284" s="341"/>
      <c r="Y284" s="341" t="str">
        <f aca="false">IFERROR(VLOOKUP(C284,TE!$H:$Y,16,FALSE()),"0")</f>
        <v>0</v>
      </c>
      <c r="Z284" s="341"/>
      <c r="AA284" s="342" t="str">
        <f aca="false">IFERROR(VLOOKUP(C284,TE!$H:$Y,17,FALSE()),"0")</f>
        <v>0</v>
      </c>
      <c r="AB284" s="342"/>
      <c r="AC284" s="343" t="n">
        <f aca="false">IFERROR((W284*Y284*AA284),"")</f>
        <v>0</v>
      </c>
      <c r="AD284" s="343"/>
      <c r="AE284" s="343"/>
      <c r="AF284" s="276"/>
    </row>
    <row r="285" customFormat="false" ht="15.75" hidden="false" customHeight="true" outlineLevel="0" collapsed="false">
      <c r="A285" s="276"/>
      <c r="B285" s="276"/>
      <c r="C285" s="344" t="s">
        <v>1587</v>
      </c>
      <c r="D285" s="338"/>
      <c r="E285" s="338"/>
      <c r="F285" s="339" t="str">
        <f aca="false">IFERROR(VLOOKUP(C285,TE!$H:$Y,2,FALSE()),"(Not on TE)")</f>
        <v>(Not on TE)</v>
      </c>
      <c r="G285" s="338"/>
      <c r="H285" s="338"/>
      <c r="I285" s="338"/>
      <c r="J285" s="338"/>
      <c r="K285" s="338"/>
      <c r="L285" s="338"/>
      <c r="M285" s="338"/>
      <c r="N285" s="338"/>
      <c r="O285" s="338"/>
      <c r="P285" s="338"/>
      <c r="Q285" s="338"/>
      <c r="R285" s="338"/>
      <c r="S285" s="338"/>
      <c r="T285" s="338"/>
      <c r="U285" s="340" t="str">
        <f aca="false">IFERROR(VLOOKUP(C285,TE!$H:$Y,9,FALSE()),"0")</f>
        <v>0</v>
      </c>
      <c r="V285" s="340"/>
      <c r="W285" s="341" t="n">
        <f aca="false">SUMIFS(TE!$O:$O,TE!$G:$G,$C$224,TE!$I:$I,C285,TE!$D:$D,$C$5)</f>
        <v>0</v>
      </c>
      <c r="X285" s="341"/>
      <c r="Y285" s="341" t="str">
        <f aca="false">IFERROR(VLOOKUP(C285,TE!$H:$Y,16,FALSE()),"0")</f>
        <v>0</v>
      </c>
      <c r="Z285" s="341"/>
      <c r="AA285" s="342" t="str">
        <f aca="false">IFERROR(VLOOKUP(C285,TE!$H:$Y,17,FALSE()),"0")</f>
        <v>0</v>
      </c>
      <c r="AB285" s="342"/>
      <c r="AC285" s="343" t="n">
        <f aca="false">IFERROR((W285*Y285*AA285),"")</f>
        <v>0</v>
      </c>
      <c r="AD285" s="343"/>
      <c r="AE285" s="343"/>
      <c r="AF285" s="276"/>
    </row>
    <row r="286" customFormat="false" ht="15.75" hidden="false" customHeight="true" outlineLevel="0" collapsed="false">
      <c r="A286" s="276"/>
      <c r="B286" s="276"/>
      <c r="C286" s="344" t="s">
        <v>1436</v>
      </c>
      <c r="D286" s="338"/>
      <c r="E286" s="338"/>
      <c r="F286" s="339" t="str">
        <f aca="false">IFERROR(VLOOKUP(C286,TE!$H:$Y,2,FALSE()),"(Not on TE)")</f>
        <v>(Not on TE)</v>
      </c>
      <c r="G286" s="338"/>
      <c r="H286" s="338"/>
      <c r="I286" s="338"/>
      <c r="J286" s="338"/>
      <c r="K286" s="338"/>
      <c r="L286" s="338"/>
      <c r="M286" s="338"/>
      <c r="N286" s="338"/>
      <c r="O286" s="338"/>
      <c r="P286" s="338"/>
      <c r="Q286" s="338"/>
      <c r="R286" s="338"/>
      <c r="S286" s="338"/>
      <c r="T286" s="338"/>
      <c r="U286" s="340" t="str">
        <f aca="false">IFERROR(VLOOKUP(C286,TE!$H:$Y,9,FALSE()),"0")</f>
        <v>0</v>
      </c>
      <c r="V286" s="340"/>
      <c r="W286" s="341" t="n">
        <f aca="false">SUMIFS(TE!$O:$O,TE!$G:$G,$C$224,TE!$I:$I,C286,TE!$D:$D,$C$5)</f>
        <v>0</v>
      </c>
      <c r="X286" s="341"/>
      <c r="Y286" s="341" t="str">
        <f aca="false">IFERROR(VLOOKUP(C286,TE!$H:$Y,16,FALSE()),"0")</f>
        <v>0</v>
      </c>
      <c r="Z286" s="341"/>
      <c r="AA286" s="342" t="str">
        <f aca="false">IFERROR(VLOOKUP(C286,TE!$H:$Y,17,FALSE()),"0")</f>
        <v>0</v>
      </c>
      <c r="AB286" s="342"/>
      <c r="AC286" s="343" t="n">
        <f aca="false">IFERROR((W286*Y286*AA286),"")</f>
        <v>0</v>
      </c>
      <c r="AD286" s="343"/>
      <c r="AE286" s="343"/>
      <c r="AF286" s="276"/>
    </row>
    <row r="287" customFormat="false" ht="15.75" hidden="false" customHeight="true" outlineLevel="0" collapsed="false">
      <c r="A287" s="276"/>
      <c r="B287" s="276"/>
      <c r="C287" s="344" t="s">
        <v>1588</v>
      </c>
      <c r="D287" s="338"/>
      <c r="E287" s="338"/>
      <c r="F287" s="339" t="str">
        <f aca="false">IFERROR(VLOOKUP(C287,TE!$H:$Y,2,FALSE()),"(Not on TE)")</f>
        <v>(Not on TE)</v>
      </c>
      <c r="G287" s="338"/>
      <c r="H287" s="338"/>
      <c r="I287" s="338"/>
      <c r="J287" s="338"/>
      <c r="K287" s="338"/>
      <c r="L287" s="338"/>
      <c r="M287" s="338"/>
      <c r="N287" s="338"/>
      <c r="O287" s="338"/>
      <c r="P287" s="338"/>
      <c r="Q287" s="338"/>
      <c r="R287" s="338"/>
      <c r="S287" s="338"/>
      <c r="T287" s="338"/>
      <c r="U287" s="340" t="str">
        <f aca="false">IFERROR(VLOOKUP(C287,TE!$H:$Y,9,FALSE()),"0")</f>
        <v>0</v>
      </c>
      <c r="V287" s="340"/>
      <c r="W287" s="341" t="n">
        <f aca="false">SUMIFS(TE!$O:$O,TE!$G:$G,$C$224,TE!$I:$I,C287,TE!$D:$D,$C$5)</f>
        <v>0</v>
      </c>
      <c r="X287" s="341"/>
      <c r="Y287" s="341" t="str">
        <f aca="false">IFERROR(VLOOKUP(C287,TE!$H:$Y,16,FALSE()),"0")</f>
        <v>0</v>
      </c>
      <c r="Z287" s="341"/>
      <c r="AA287" s="342" t="str">
        <f aca="false">IFERROR(VLOOKUP(C287,TE!$H:$Y,17,FALSE()),"0")</f>
        <v>0</v>
      </c>
      <c r="AB287" s="342"/>
      <c r="AC287" s="343" t="n">
        <f aca="false">IFERROR((W287*Y287*AA287),"")</f>
        <v>0</v>
      </c>
      <c r="AD287" s="343"/>
      <c r="AE287" s="343"/>
      <c r="AF287" s="276"/>
    </row>
    <row r="288" customFormat="false" ht="15.75" hidden="false" customHeight="true" outlineLevel="0" collapsed="false">
      <c r="A288" s="276"/>
      <c r="B288" s="276"/>
      <c r="C288" s="344" t="s">
        <v>1589</v>
      </c>
      <c r="D288" s="338"/>
      <c r="E288" s="338"/>
      <c r="F288" s="339" t="str">
        <f aca="false">IFERROR(VLOOKUP(C288,TE!$H:$Y,2,FALSE()),"(Not on TE)")</f>
        <v>(Not on TE)</v>
      </c>
      <c r="G288" s="338"/>
      <c r="H288" s="338"/>
      <c r="I288" s="338"/>
      <c r="J288" s="338"/>
      <c r="K288" s="338"/>
      <c r="L288" s="338"/>
      <c r="M288" s="338"/>
      <c r="N288" s="338"/>
      <c r="O288" s="338"/>
      <c r="P288" s="338"/>
      <c r="Q288" s="338"/>
      <c r="R288" s="338"/>
      <c r="S288" s="338"/>
      <c r="T288" s="338"/>
      <c r="U288" s="340" t="str">
        <f aca="false">IFERROR(VLOOKUP(C288,TE!$H:$Y,9,FALSE()),"0")</f>
        <v>0</v>
      </c>
      <c r="V288" s="340"/>
      <c r="W288" s="341" t="n">
        <f aca="false">SUMIFS(TE!$O:$O,TE!$G:$G,$C$224,TE!$I:$I,C288,TE!$D:$D,$C$5)</f>
        <v>0</v>
      </c>
      <c r="X288" s="341"/>
      <c r="Y288" s="341" t="str">
        <f aca="false">IFERROR(VLOOKUP(C288,TE!$H:$Y,16,FALSE()),"0")</f>
        <v>0</v>
      </c>
      <c r="Z288" s="341"/>
      <c r="AA288" s="342" t="str">
        <f aca="false">IFERROR(VLOOKUP(C288,TE!$H:$Y,17,FALSE()),"0")</f>
        <v>0</v>
      </c>
      <c r="AB288" s="342"/>
      <c r="AC288" s="343" t="n">
        <f aca="false">IFERROR((W288*Y288*AA288),"")</f>
        <v>0</v>
      </c>
      <c r="AD288" s="343"/>
      <c r="AE288" s="343"/>
      <c r="AF288" s="276"/>
    </row>
    <row r="289" customFormat="false" ht="15.75" hidden="false" customHeight="true" outlineLevel="0" collapsed="false">
      <c r="A289" s="276"/>
      <c r="B289" s="276"/>
      <c r="C289" s="344" t="s">
        <v>1590</v>
      </c>
      <c r="D289" s="338"/>
      <c r="E289" s="338"/>
      <c r="F289" s="339" t="str">
        <f aca="false">IFERROR(VLOOKUP(C289,TE!$H:$Y,2,FALSE()),"(Not on TE)")</f>
        <v>(Not on TE)</v>
      </c>
      <c r="G289" s="338"/>
      <c r="H289" s="338"/>
      <c r="I289" s="338"/>
      <c r="J289" s="338"/>
      <c r="K289" s="338"/>
      <c r="L289" s="338"/>
      <c r="M289" s="338"/>
      <c r="N289" s="338"/>
      <c r="O289" s="338"/>
      <c r="P289" s="338"/>
      <c r="Q289" s="338"/>
      <c r="R289" s="338"/>
      <c r="S289" s="338"/>
      <c r="T289" s="338"/>
      <c r="U289" s="340" t="str">
        <f aca="false">IFERROR(VLOOKUP(C289,TE!$H:$Y,9,FALSE()),"0")</f>
        <v>0</v>
      </c>
      <c r="V289" s="340"/>
      <c r="W289" s="341" t="n">
        <f aca="false">SUMIFS(TE!$O:$O,TE!$G:$G,$C$224,TE!$I:$I,C289,TE!$D:$D,$C$5)</f>
        <v>0</v>
      </c>
      <c r="X289" s="341"/>
      <c r="Y289" s="341" t="str">
        <f aca="false">IFERROR(VLOOKUP(C289,TE!$H:$Y,16,FALSE()),"0")</f>
        <v>0</v>
      </c>
      <c r="Z289" s="341"/>
      <c r="AA289" s="342" t="str">
        <f aca="false">IFERROR(VLOOKUP(C289,TE!$H:$Y,17,FALSE()),"0")</f>
        <v>0</v>
      </c>
      <c r="AB289" s="342"/>
      <c r="AC289" s="343" t="n">
        <f aca="false">IFERROR((W289*Y289*AA289),"")</f>
        <v>0</v>
      </c>
      <c r="AD289" s="343"/>
      <c r="AE289" s="343"/>
      <c r="AF289" s="276"/>
    </row>
    <row r="290" customFormat="false" ht="15.75" hidden="false" customHeight="true" outlineLevel="0" collapsed="false">
      <c r="A290" s="276"/>
      <c r="B290" s="276"/>
      <c r="C290" s="344" t="s">
        <v>1591</v>
      </c>
      <c r="D290" s="338"/>
      <c r="E290" s="338"/>
      <c r="F290" s="339" t="str">
        <f aca="false">IFERROR(VLOOKUP(C290,TE!$H:$Y,2,FALSE()),"(Not on TE)")</f>
        <v>(Not on TE)</v>
      </c>
      <c r="G290" s="338"/>
      <c r="H290" s="338"/>
      <c r="I290" s="338"/>
      <c r="J290" s="338"/>
      <c r="K290" s="338"/>
      <c r="L290" s="338"/>
      <c r="M290" s="338"/>
      <c r="N290" s="338"/>
      <c r="O290" s="338"/>
      <c r="P290" s="338"/>
      <c r="Q290" s="338"/>
      <c r="R290" s="338"/>
      <c r="S290" s="338"/>
      <c r="T290" s="338"/>
      <c r="U290" s="340" t="str">
        <f aca="false">IFERROR(VLOOKUP(C290,TE!$H:$Y,9,FALSE()),"0")</f>
        <v>0</v>
      </c>
      <c r="V290" s="340"/>
      <c r="W290" s="341" t="n">
        <f aca="false">SUMIFS(TE!$O:$O,TE!$G:$G,$C$224,TE!$I:$I,C290,TE!$D:$D,$C$5)</f>
        <v>0</v>
      </c>
      <c r="X290" s="341"/>
      <c r="Y290" s="341" t="str">
        <f aca="false">IFERROR(VLOOKUP(C290,TE!$H:$Y,16,FALSE()),"0")</f>
        <v>0</v>
      </c>
      <c r="Z290" s="341"/>
      <c r="AA290" s="342" t="str">
        <f aca="false">IFERROR(VLOOKUP(C290,TE!$H:$Y,17,FALSE()),"0")</f>
        <v>0</v>
      </c>
      <c r="AB290" s="342"/>
      <c r="AC290" s="343" t="n">
        <f aca="false">IFERROR((W290*Y290*AA290),"")</f>
        <v>0</v>
      </c>
      <c r="AD290" s="343"/>
      <c r="AE290" s="343"/>
      <c r="AF290" s="276"/>
    </row>
    <row r="291" customFormat="false" ht="15.75" hidden="false" customHeight="true" outlineLevel="0" collapsed="false">
      <c r="A291" s="276"/>
      <c r="B291" s="276"/>
      <c r="C291" s="344" t="s">
        <v>1592</v>
      </c>
      <c r="D291" s="338"/>
      <c r="E291" s="338"/>
      <c r="F291" s="339" t="str">
        <f aca="false">IFERROR(VLOOKUP(C291,TE!$H:$Y,2,FALSE()),"(Not on TE)")</f>
        <v>(Not on TE)</v>
      </c>
      <c r="G291" s="338"/>
      <c r="H291" s="338"/>
      <c r="I291" s="338"/>
      <c r="J291" s="338"/>
      <c r="K291" s="338"/>
      <c r="L291" s="338"/>
      <c r="M291" s="338"/>
      <c r="N291" s="338"/>
      <c r="O291" s="338"/>
      <c r="P291" s="338"/>
      <c r="Q291" s="338"/>
      <c r="R291" s="338"/>
      <c r="S291" s="338"/>
      <c r="T291" s="338"/>
      <c r="U291" s="340" t="str">
        <f aca="false">IFERROR(VLOOKUP(C291,TE!$H:$Y,9,FALSE()),"0")</f>
        <v>0</v>
      </c>
      <c r="V291" s="340"/>
      <c r="W291" s="341" t="n">
        <f aca="false">SUMIFS(TE!$O:$O,TE!$G:$G,$C$224,TE!$I:$I,C291,TE!$D:$D,$C$5)</f>
        <v>0</v>
      </c>
      <c r="X291" s="341"/>
      <c r="Y291" s="341" t="str">
        <f aca="false">IFERROR(VLOOKUP(C291,TE!$H:$Y,16,FALSE()),"0")</f>
        <v>0</v>
      </c>
      <c r="Z291" s="341"/>
      <c r="AA291" s="342" t="str">
        <f aca="false">IFERROR(VLOOKUP(C291,TE!$H:$Y,17,FALSE()),"0")</f>
        <v>0</v>
      </c>
      <c r="AB291" s="342"/>
      <c r="AC291" s="343" t="n">
        <f aca="false">IFERROR((W291*Y291*AA291),"")</f>
        <v>0</v>
      </c>
      <c r="AD291" s="343"/>
      <c r="AE291" s="343"/>
      <c r="AF291" s="276"/>
    </row>
    <row r="292" customFormat="false" ht="15.75" hidden="false" customHeight="true" outlineLevel="0" collapsed="false">
      <c r="A292" s="276"/>
      <c r="B292" s="276"/>
      <c r="C292" s="344" t="s">
        <v>1593</v>
      </c>
      <c r="D292" s="338"/>
      <c r="E292" s="338"/>
      <c r="F292" s="339" t="str">
        <f aca="false">IFERROR(VLOOKUP(C292,TE!$H:$Y,2,FALSE()),"(Not on TE)")</f>
        <v>(Not on TE)</v>
      </c>
      <c r="G292" s="338"/>
      <c r="H292" s="338"/>
      <c r="I292" s="338"/>
      <c r="J292" s="338"/>
      <c r="K292" s="338"/>
      <c r="L292" s="338"/>
      <c r="M292" s="338"/>
      <c r="N292" s="338"/>
      <c r="O292" s="338"/>
      <c r="P292" s="338"/>
      <c r="Q292" s="338"/>
      <c r="R292" s="338"/>
      <c r="S292" s="338"/>
      <c r="T292" s="338"/>
      <c r="U292" s="340" t="str">
        <f aca="false">IFERROR(VLOOKUP(C292,TE!$H:$Y,9,FALSE()),"0")</f>
        <v>0</v>
      </c>
      <c r="V292" s="340"/>
      <c r="W292" s="341" t="n">
        <f aca="false">SUMIFS(TE!$O:$O,TE!$G:$G,$C$224,TE!$I:$I,C292,TE!$D:$D,$C$5)</f>
        <v>0</v>
      </c>
      <c r="X292" s="341"/>
      <c r="Y292" s="341" t="str">
        <f aca="false">IFERROR(VLOOKUP(C292,TE!$H:$Y,16,FALSE()),"0")</f>
        <v>0</v>
      </c>
      <c r="Z292" s="341"/>
      <c r="AA292" s="342" t="str">
        <f aca="false">IFERROR(VLOOKUP(C292,TE!$H:$Y,17,FALSE()),"0")</f>
        <v>0</v>
      </c>
      <c r="AB292" s="342"/>
      <c r="AC292" s="343" t="n">
        <f aca="false">IFERROR((W292*Y292*AA292),"")</f>
        <v>0</v>
      </c>
      <c r="AD292" s="343"/>
      <c r="AE292" s="343"/>
      <c r="AF292" s="276"/>
    </row>
    <row r="293" customFormat="false" ht="15.75" hidden="false" customHeight="true" outlineLevel="0" collapsed="false">
      <c r="A293" s="276"/>
      <c r="B293" s="276"/>
      <c r="C293" s="344" t="s">
        <v>1594</v>
      </c>
      <c r="D293" s="338"/>
      <c r="E293" s="338"/>
      <c r="F293" s="339" t="str">
        <f aca="false">IFERROR(VLOOKUP(C293,TE!$H:$Y,2,FALSE()),"(Not on TE)")</f>
        <v>(Not on TE)</v>
      </c>
      <c r="G293" s="338"/>
      <c r="H293" s="338"/>
      <c r="I293" s="338"/>
      <c r="J293" s="338"/>
      <c r="K293" s="338"/>
      <c r="L293" s="338"/>
      <c r="M293" s="338"/>
      <c r="N293" s="338"/>
      <c r="O293" s="338"/>
      <c r="P293" s="338"/>
      <c r="Q293" s="338"/>
      <c r="R293" s="338"/>
      <c r="S293" s="338"/>
      <c r="T293" s="338"/>
      <c r="U293" s="340" t="str">
        <f aca="false">IFERROR(VLOOKUP(C293,TE!$H:$Y,9,FALSE()),"0")</f>
        <v>0</v>
      </c>
      <c r="V293" s="340"/>
      <c r="W293" s="341" t="n">
        <f aca="false">SUMIFS(TE!$O:$O,TE!$G:$G,$C$224,TE!$I:$I,C293,TE!$D:$D,$C$5)</f>
        <v>0</v>
      </c>
      <c r="X293" s="341"/>
      <c r="Y293" s="341" t="str">
        <f aca="false">IFERROR(VLOOKUP(C293,TE!$H:$Y,16,FALSE()),"0")</f>
        <v>0</v>
      </c>
      <c r="Z293" s="341"/>
      <c r="AA293" s="342" t="str">
        <f aca="false">IFERROR(VLOOKUP(C293,TE!$H:$Y,17,FALSE()),"0")</f>
        <v>0</v>
      </c>
      <c r="AB293" s="342"/>
      <c r="AC293" s="343" t="n">
        <f aca="false">IFERROR((W293*Y293*AA293),"")</f>
        <v>0</v>
      </c>
      <c r="AD293" s="343"/>
      <c r="AE293" s="343"/>
      <c r="AF293" s="276"/>
    </row>
    <row r="294" customFormat="false" ht="15.75" hidden="false" customHeight="true" outlineLevel="0" collapsed="false">
      <c r="A294" s="276"/>
      <c r="B294" s="276"/>
      <c r="C294" s="344" t="s">
        <v>1595</v>
      </c>
      <c r="D294" s="338"/>
      <c r="E294" s="338"/>
      <c r="F294" s="339" t="str">
        <f aca="false">IFERROR(VLOOKUP(C294,TE!$H:$Y,2,FALSE()),"(Not on TE)")</f>
        <v>(Not on TE)</v>
      </c>
      <c r="G294" s="338"/>
      <c r="H294" s="338"/>
      <c r="I294" s="338"/>
      <c r="J294" s="338"/>
      <c r="K294" s="338"/>
      <c r="L294" s="338"/>
      <c r="M294" s="338"/>
      <c r="N294" s="338"/>
      <c r="O294" s="338"/>
      <c r="P294" s="338"/>
      <c r="Q294" s="338"/>
      <c r="R294" s="338"/>
      <c r="S294" s="338"/>
      <c r="T294" s="338"/>
      <c r="U294" s="340" t="str">
        <f aca="false">IFERROR(VLOOKUP(C294,TE!$H:$Y,9,FALSE()),"0")</f>
        <v>0</v>
      </c>
      <c r="V294" s="340"/>
      <c r="W294" s="341" t="n">
        <f aca="false">SUMIFS(TE!$O:$O,TE!$G:$G,$C$224,TE!$I:$I,C294,TE!$D:$D,$C$5)</f>
        <v>0</v>
      </c>
      <c r="X294" s="341"/>
      <c r="Y294" s="341" t="str">
        <f aca="false">IFERROR(VLOOKUP(C294,TE!$H:$Y,16,FALSE()),"0")</f>
        <v>0</v>
      </c>
      <c r="Z294" s="341"/>
      <c r="AA294" s="342" t="str">
        <f aca="false">IFERROR(VLOOKUP(C294,TE!$H:$Y,17,FALSE()),"0")</f>
        <v>0</v>
      </c>
      <c r="AB294" s="342"/>
      <c r="AC294" s="343" t="n">
        <f aca="false">IFERROR((W294*Y294*AA294),"")</f>
        <v>0</v>
      </c>
      <c r="AD294" s="343"/>
      <c r="AE294" s="343"/>
      <c r="AF294" s="276"/>
    </row>
    <row r="295" customFormat="false" ht="15.75" hidden="false" customHeight="true" outlineLevel="0" collapsed="false">
      <c r="A295" s="276"/>
      <c r="B295" s="276"/>
      <c r="C295" s="345" t="s">
        <v>1153</v>
      </c>
      <c r="D295" s="346"/>
      <c r="E295" s="346"/>
      <c r="F295" s="339" t="str">
        <f aca="false">IFERROR(VLOOKUP(C295,TE!$H:$Y,2,FALSE()),"(Not on TE)")</f>
        <v>(Not on TE)</v>
      </c>
      <c r="G295" s="347"/>
      <c r="H295" s="347"/>
      <c r="I295" s="347"/>
      <c r="J295" s="347"/>
      <c r="K295" s="347"/>
      <c r="L295" s="347"/>
      <c r="M295" s="347"/>
      <c r="N295" s="347"/>
      <c r="O295" s="347"/>
      <c r="P295" s="347"/>
      <c r="Q295" s="347"/>
      <c r="R295" s="347"/>
      <c r="S295" s="347"/>
      <c r="T295" s="347"/>
      <c r="U295" s="340" t="str">
        <f aca="false">IFERROR(VLOOKUP(C295,TE!$H:$Y,9,FALSE()),"0")</f>
        <v>0</v>
      </c>
      <c r="V295" s="340"/>
      <c r="W295" s="341" t="n">
        <f aca="false">SUMIFS(TE!$O:$O,TE!$G:$G,$C$224,TE!$I:$I,C295,TE!$D:$D,$C$5)</f>
        <v>0</v>
      </c>
      <c r="X295" s="341"/>
      <c r="Y295" s="341" t="str">
        <f aca="false">IFERROR(VLOOKUP(C295,TE!$H:$Y,16,FALSE()),"0")</f>
        <v>0</v>
      </c>
      <c r="Z295" s="341"/>
      <c r="AA295" s="342" t="str">
        <f aca="false">IFERROR(VLOOKUP(C295,TE!$H:$Y,17,FALSE()),"0")</f>
        <v>0</v>
      </c>
      <c r="AB295" s="342"/>
      <c r="AC295" s="343" t="n">
        <f aca="false">IFERROR((W295*Y295*AA295),"")</f>
        <v>0</v>
      </c>
      <c r="AD295" s="343"/>
      <c r="AE295" s="343"/>
      <c r="AF295" s="276"/>
    </row>
    <row r="296" customFormat="false" ht="15.75" hidden="false" customHeight="true" outlineLevel="0" collapsed="false">
      <c r="A296" s="276"/>
      <c r="B296" s="276"/>
      <c r="C296" s="345" t="s">
        <v>1596</v>
      </c>
      <c r="D296" s="346"/>
      <c r="E296" s="346"/>
      <c r="F296" s="339" t="str">
        <f aca="false">IFERROR(VLOOKUP(C296,TE!$H:$Y,2,FALSE()),"(Not on TE)")</f>
        <v>(Not on TE)</v>
      </c>
      <c r="G296" s="347"/>
      <c r="H296" s="347"/>
      <c r="I296" s="347"/>
      <c r="J296" s="347"/>
      <c r="K296" s="347"/>
      <c r="L296" s="347"/>
      <c r="M296" s="347"/>
      <c r="N296" s="347"/>
      <c r="O296" s="347"/>
      <c r="P296" s="347"/>
      <c r="Q296" s="347"/>
      <c r="R296" s="347"/>
      <c r="S296" s="347"/>
      <c r="T296" s="347"/>
      <c r="U296" s="340" t="str">
        <f aca="false">IFERROR(VLOOKUP(C296,TE!$H:$Y,9,FALSE()),"0")</f>
        <v>0</v>
      </c>
      <c r="V296" s="340"/>
      <c r="W296" s="341" t="n">
        <f aca="false">SUMIFS(TE!$O:$O,TE!$G:$G,$C$224,TE!$I:$I,C296,TE!$D:$D,$C$5)</f>
        <v>0</v>
      </c>
      <c r="X296" s="341"/>
      <c r="Y296" s="341" t="str">
        <f aca="false">IFERROR(VLOOKUP(C296,TE!$H:$Y,16,FALSE()),"0")</f>
        <v>0</v>
      </c>
      <c r="Z296" s="341"/>
      <c r="AA296" s="342" t="str">
        <f aca="false">IFERROR(VLOOKUP(C296,TE!$H:$Y,17,FALSE()),"0")</f>
        <v>0</v>
      </c>
      <c r="AB296" s="342"/>
      <c r="AC296" s="343" t="n">
        <f aca="false">IFERROR((W296*Y296*AA296),"")</f>
        <v>0</v>
      </c>
      <c r="AD296" s="343"/>
      <c r="AE296" s="343"/>
      <c r="AF296" s="276"/>
    </row>
    <row r="297" customFormat="false" ht="15.75" hidden="false" customHeight="true" outlineLevel="0" collapsed="false">
      <c r="A297" s="276"/>
      <c r="B297" s="276"/>
      <c r="C297" s="345" t="s">
        <v>1597</v>
      </c>
      <c r="D297" s="346"/>
      <c r="E297" s="346"/>
      <c r="F297" s="339" t="str">
        <f aca="false">IFERROR(VLOOKUP(C297,TE!$H:$Y,2,FALSE()),"(Not on TE)")</f>
        <v>(Not on TE)</v>
      </c>
      <c r="G297" s="347"/>
      <c r="H297" s="347"/>
      <c r="I297" s="347"/>
      <c r="J297" s="347"/>
      <c r="K297" s="347"/>
      <c r="L297" s="347"/>
      <c r="M297" s="347"/>
      <c r="N297" s="347"/>
      <c r="O297" s="347"/>
      <c r="P297" s="347"/>
      <c r="Q297" s="347"/>
      <c r="R297" s="347"/>
      <c r="S297" s="347"/>
      <c r="T297" s="347"/>
      <c r="U297" s="340" t="str">
        <f aca="false">IFERROR(VLOOKUP(C297,TE!$H:$Y,9,FALSE()),"0")</f>
        <v>0</v>
      </c>
      <c r="V297" s="340"/>
      <c r="W297" s="341" t="n">
        <f aca="false">SUMIFS(TE!$O:$O,TE!$G:$G,$C$224,TE!$I:$I,C297,TE!$D:$D,$C$5)</f>
        <v>0</v>
      </c>
      <c r="X297" s="341"/>
      <c r="Y297" s="341" t="str">
        <f aca="false">IFERROR(VLOOKUP(C297,TE!$H:$Y,16,FALSE()),"0")</f>
        <v>0</v>
      </c>
      <c r="Z297" s="341"/>
      <c r="AA297" s="342" t="str">
        <f aca="false">IFERROR(VLOOKUP(C297,TE!$H:$Y,17,FALSE()),"0")</f>
        <v>0</v>
      </c>
      <c r="AB297" s="342"/>
      <c r="AC297" s="343" t="n">
        <f aca="false">IFERROR((W297*Y297*AA297),"")</f>
        <v>0</v>
      </c>
      <c r="AD297" s="343"/>
      <c r="AE297" s="343"/>
      <c r="AF297" s="276"/>
    </row>
    <row r="298" customFormat="false" ht="15.75" hidden="false" customHeight="true" outlineLevel="0" collapsed="false">
      <c r="A298" s="276"/>
      <c r="B298" s="276"/>
      <c r="C298" s="345" t="s">
        <v>1598</v>
      </c>
      <c r="D298" s="346"/>
      <c r="E298" s="346"/>
      <c r="F298" s="339" t="str">
        <f aca="false">IFERROR(VLOOKUP(C298,TE!$H:$Y,2,FALSE()),"(Not on TE)")</f>
        <v>(Not on TE)</v>
      </c>
      <c r="G298" s="347"/>
      <c r="H298" s="347"/>
      <c r="I298" s="347"/>
      <c r="J298" s="347"/>
      <c r="K298" s="347"/>
      <c r="L298" s="347"/>
      <c r="M298" s="347"/>
      <c r="N298" s="347"/>
      <c r="O298" s="347"/>
      <c r="P298" s="347"/>
      <c r="Q298" s="347"/>
      <c r="R298" s="347"/>
      <c r="S298" s="347"/>
      <c r="T298" s="347"/>
      <c r="U298" s="340" t="str">
        <f aca="false">IFERROR(VLOOKUP(C298,TE!$H:$Y,9,FALSE()),"0")</f>
        <v>0</v>
      </c>
      <c r="V298" s="340"/>
      <c r="W298" s="341" t="n">
        <f aca="false">SUMIFS(TE!$O:$O,TE!$G:$G,$C$224,TE!$I:$I,C298,TE!$D:$D,$C$5)</f>
        <v>0</v>
      </c>
      <c r="X298" s="341"/>
      <c r="Y298" s="341" t="str">
        <f aca="false">IFERROR(VLOOKUP(C298,TE!$H:$Y,16,FALSE()),"0")</f>
        <v>0</v>
      </c>
      <c r="Z298" s="341"/>
      <c r="AA298" s="342" t="str">
        <f aca="false">IFERROR(VLOOKUP(C298,TE!$H:$Y,17,FALSE()),"0")</f>
        <v>0</v>
      </c>
      <c r="AB298" s="342"/>
      <c r="AC298" s="343" t="n">
        <f aca="false">IFERROR((W298*Y298*AA298),"")</f>
        <v>0</v>
      </c>
      <c r="AD298" s="343"/>
      <c r="AE298" s="343"/>
      <c r="AF298" s="276"/>
    </row>
    <row r="299" customFormat="false" ht="15.75" hidden="false" customHeight="true" outlineLevel="0" collapsed="false">
      <c r="A299" s="276"/>
      <c r="B299" s="276"/>
      <c r="C299" s="345" t="s">
        <v>1599</v>
      </c>
      <c r="D299" s="346"/>
      <c r="E299" s="346"/>
      <c r="F299" s="339" t="str">
        <f aca="false">IFERROR(VLOOKUP(C299,TE!$H:$Y,2,FALSE()),"(Not on TE)")</f>
        <v>(Not on TE)</v>
      </c>
      <c r="G299" s="347"/>
      <c r="H299" s="347"/>
      <c r="I299" s="347"/>
      <c r="J299" s="347"/>
      <c r="K299" s="347"/>
      <c r="L299" s="347"/>
      <c r="M299" s="347"/>
      <c r="N299" s="347"/>
      <c r="O299" s="347"/>
      <c r="P299" s="347"/>
      <c r="Q299" s="347"/>
      <c r="R299" s="347"/>
      <c r="S299" s="347"/>
      <c r="T299" s="347"/>
      <c r="U299" s="340" t="str">
        <f aca="false">IFERROR(VLOOKUP(C299,TE!$H:$Y,9,FALSE()),"0")</f>
        <v>0</v>
      </c>
      <c r="V299" s="340"/>
      <c r="W299" s="341" t="n">
        <f aca="false">SUMIFS(TE!$O:$O,TE!$G:$G,$C$224,TE!$I:$I,C299,TE!$D:$D,$C$5)</f>
        <v>0</v>
      </c>
      <c r="X299" s="341"/>
      <c r="Y299" s="341" t="str">
        <f aca="false">IFERROR(VLOOKUP(C299,TE!$H:$Y,16,FALSE()),"0")</f>
        <v>0</v>
      </c>
      <c r="Z299" s="341"/>
      <c r="AA299" s="342" t="str">
        <f aca="false">IFERROR(VLOOKUP(C299,TE!$H:$Y,17,FALSE()),"0")</f>
        <v>0</v>
      </c>
      <c r="AB299" s="342"/>
      <c r="AC299" s="343" t="n">
        <f aca="false">IFERROR((W299*Y299*AA299),"")</f>
        <v>0</v>
      </c>
      <c r="AD299" s="343"/>
      <c r="AE299" s="343"/>
      <c r="AF299" s="276"/>
    </row>
    <row r="300" customFormat="false" ht="15.75" hidden="false" customHeight="true" outlineLevel="0" collapsed="false">
      <c r="A300" s="276"/>
      <c r="B300" s="276"/>
      <c r="C300" s="345" t="s">
        <v>1600</v>
      </c>
      <c r="D300" s="346"/>
      <c r="E300" s="346"/>
      <c r="F300" s="339" t="str">
        <f aca="false">IFERROR(VLOOKUP(C300,TE!$H:$Y,2,FALSE()),"(Not on TE)")</f>
        <v>(Not on TE)</v>
      </c>
      <c r="G300" s="347"/>
      <c r="H300" s="347"/>
      <c r="I300" s="347"/>
      <c r="J300" s="347"/>
      <c r="K300" s="347"/>
      <c r="L300" s="347"/>
      <c r="M300" s="347"/>
      <c r="N300" s="347"/>
      <c r="O300" s="347"/>
      <c r="P300" s="347"/>
      <c r="Q300" s="347"/>
      <c r="R300" s="347"/>
      <c r="S300" s="347"/>
      <c r="T300" s="347"/>
      <c r="U300" s="340" t="str">
        <f aca="false">IFERROR(VLOOKUP(C300,TE!$H:$Y,9,FALSE()),"0")</f>
        <v>0</v>
      </c>
      <c r="V300" s="340"/>
      <c r="W300" s="341" t="n">
        <f aca="false">SUMIFS(TE!$O:$O,TE!$G:$G,$C$224,TE!$I:$I,C300,TE!$D:$D,$C$5)</f>
        <v>0</v>
      </c>
      <c r="X300" s="341"/>
      <c r="Y300" s="341" t="str">
        <f aca="false">IFERROR(VLOOKUP(C300,TE!$H:$Y,16,FALSE()),"0")</f>
        <v>0</v>
      </c>
      <c r="Z300" s="341"/>
      <c r="AA300" s="342" t="str">
        <f aca="false">IFERROR(VLOOKUP(C300,TE!$H:$Y,17,FALSE()),"0")</f>
        <v>0</v>
      </c>
      <c r="AB300" s="342"/>
      <c r="AC300" s="343" t="n">
        <f aca="false">IFERROR((W300*Y300*AA300),"")</f>
        <v>0</v>
      </c>
      <c r="AD300" s="343"/>
      <c r="AE300" s="343"/>
      <c r="AF300" s="276"/>
    </row>
    <row r="301" customFormat="false" ht="15.75" hidden="false" customHeight="true" outlineLevel="0" collapsed="false">
      <c r="A301" s="276"/>
      <c r="B301" s="276"/>
      <c r="C301" s="345" t="s">
        <v>1601</v>
      </c>
      <c r="D301" s="346"/>
      <c r="E301" s="346"/>
      <c r="F301" s="339" t="str">
        <f aca="false">IFERROR(VLOOKUP(C301,TE!$H:$Y,2,FALSE()),"(Not on TE)")</f>
        <v>(Not on TE)</v>
      </c>
      <c r="G301" s="347"/>
      <c r="H301" s="347"/>
      <c r="I301" s="347"/>
      <c r="J301" s="347"/>
      <c r="K301" s="347"/>
      <c r="L301" s="347"/>
      <c r="M301" s="347"/>
      <c r="N301" s="347"/>
      <c r="O301" s="347"/>
      <c r="P301" s="347"/>
      <c r="Q301" s="347"/>
      <c r="R301" s="347"/>
      <c r="S301" s="347"/>
      <c r="T301" s="347"/>
      <c r="U301" s="340" t="str">
        <f aca="false">IFERROR(VLOOKUP(C301,TE!$H:$Y,9,FALSE()),"0")</f>
        <v>0</v>
      </c>
      <c r="V301" s="340"/>
      <c r="W301" s="341" t="n">
        <f aca="false">SUMIFS(TE!$O:$O,TE!$G:$G,$C$224,TE!$I:$I,C301,TE!$D:$D,$C$5)</f>
        <v>0</v>
      </c>
      <c r="X301" s="341"/>
      <c r="Y301" s="341" t="str">
        <f aca="false">IFERROR(VLOOKUP(C301,TE!$H:$Y,16,FALSE()),"0")</f>
        <v>0</v>
      </c>
      <c r="Z301" s="341"/>
      <c r="AA301" s="342" t="str">
        <f aca="false">IFERROR(VLOOKUP(C301,TE!$H:$Y,17,FALSE()),"0")</f>
        <v>0</v>
      </c>
      <c r="AB301" s="342"/>
      <c r="AC301" s="343" t="n">
        <f aca="false">IFERROR((W301*Y301*AA301),"")</f>
        <v>0</v>
      </c>
      <c r="AD301" s="343"/>
      <c r="AE301" s="343"/>
      <c r="AF301" s="276"/>
    </row>
    <row r="302" customFormat="false" ht="15.75" hidden="false" customHeight="true" outlineLevel="0" collapsed="false">
      <c r="A302" s="276"/>
      <c r="B302" s="276"/>
      <c r="C302" s="344" t="s">
        <v>1602</v>
      </c>
      <c r="D302" s="346"/>
      <c r="E302" s="346"/>
      <c r="F302" s="339" t="str">
        <f aca="false">IFERROR(VLOOKUP(C302,TE!$H:$Y,2,FALSE()),"(Not on TE)")</f>
        <v>(Not on TE)</v>
      </c>
      <c r="G302" s="347"/>
      <c r="H302" s="347"/>
      <c r="I302" s="347"/>
      <c r="J302" s="347"/>
      <c r="K302" s="347"/>
      <c r="L302" s="347"/>
      <c r="M302" s="347"/>
      <c r="N302" s="347"/>
      <c r="O302" s="347"/>
      <c r="P302" s="347"/>
      <c r="Q302" s="347"/>
      <c r="R302" s="347"/>
      <c r="S302" s="347"/>
      <c r="T302" s="347"/>
      <c r="U302" s="340" t="str">
        <f aca="false">IFERROR(VLOOKUP(C302,TE!$H:$Y,9,FALSE()),"0")</f>
        <v>0</v>
      </c>
      <c r="V302" s="340"/>
      <c r="W302" s="341" t="n">
        <f aca="false">SUMIFS(TE!$O:$O,TE!$G:$G,$C$224,TE!$I:$I,C302,TE!$D:$D,$C$5)</f>
        <v>0</v>
      </c>
      <c r="X302" s="341"/>
      <c r="Y302" s="341" t="str">
        <f aca="false">IFERROR(VLOOKUP(C302,TE!$H:$Y,16,FALSE()),"0")</f>
        <v>0</v>
      </c>
      <c r="Z302" s="341"/>
      <c r="AA302" s="342" t="str">
        <f aca="false">IFERROR(VLOOKUP(C302,TE!$H:$Y,17,FALSE()),"0")</f>
        <v>0</v>
      </c>
      <c r="AB302" s="342"/>
      <c r="AC302" s="343" t="n">
        <f aca="false">IFERROR((W302*Y302*AA302),"")</f>
        <v>0</v>
      </c>
      <c r="AD302" s="343"/>
      <c r="AE302" s="343"/>
      <c r="AF302" s="276"/>
    </row>
    <row r="303" customFormat="false" ht="15.75" hidden="false" customHeight="true" outlineLevel="0" collapsed="false">
      <c r="A303" s="276"/>
      <c r="B303" s="276"/>
      <c r="C303" s="344" t="s">
        <v>1603</v>
      </c>
      <c r="D303" s="346"/>
      <c r="E303" s="346"/>
      <c r="F303" s="339" t="str">
        <f aca="false">IFERROR(VLOOKUP(C303,TE!$H:$Y,2,FALSE()),"(Not on TE)")</f>
        <v>(Not on TE)</v>
      </c>
      <c r="G303" s="347"/>
      <c r="H303" s="347"/>
      <c r="I303" s="347"/>
      <c r="J303" s="347"/>
      <c r="K303" s="347"/>
      <c r="L303" s="347"/>
      <c r="M303" s="347"/>
      <c r="N303" s="347"/>
      <c r="O303" s="347"/>
      <c r="P303" s="347"/>
      <c r="Q303" s="347"/>
      <c r="R303" s="347"/>
      <c r="S303" s="347"/>
      <c r="T303" s="347"/>
      <c r="U303" s="340" t="str">
        <f aca="false">IFERROR(VLOOKUP(C303,TE!$H:$Y,9,FALSE()),"0")</f>
        <v>0</v>
      </c>
      <c r="V303" s="340"/>
      <c r="W303" s="341" t="n">
        <f aca="false">SUMIFS(TE!$O:$O,TE!$G:$G,$C$224,TE!$I:$I,C303,TE!$D:$D,$C$5)</f>
        <v>0</v>
      </c>
      <c r="X303" s="341"/>
      <c r="Y303" s="341" t="str">
        <f aca="false">IFERROR(VLOOKUP(C303,TE!$H:$Y,16,FALSE()),"0")</f>
        <v>0</v>
      </c>
      <c r="Z303" s="341"/>
      <c r="AA303" s="342" t="str">
        <f aca="false">IFERROR(VLOOKUP(C303,TE!$H:$Y,17,FALSE()),"0")</f>
        <v>0</v>
      </c>
      <c r="AB303" s="342"/>
      <c r="AC303" s="343" t="n">
        <f aca="false">IFERROR((W303*Y303*AA303),"")</f>
        <v>0</v>
      </c>
      <c r="AD303" s="343"/>
      <c r="AE303" s="343"/>
      <c r="AF303" s="276"/>
    </row>
    <row r="304" customFormat="false" ht="15.75" hidden="false" customHeight="true" outlineLevel="0" collapsed="false">
      <c r="A304" s="276"/>
      <c r="B304" s="276"/>
      <c r="C304" s="345" t="s">
        <v>1604</v>
      </c>
      <c r="D304" s="346"/>
      <c r="E304" s="346"/>
      <c r="F304" s="339" t="str">
        <f aca="false">IFERROR(VLOOKUP(C304,TE!$H:$Y,2,FALSE()),"(Not on TE)")</f>
        <v>(Not on TE)</v>
      </c>
      <c r="G304" s="347"/>
      <c r="H304" s="347"/>
      <c r="I304" s="347"/>
      <c r="J304" s="347"/>
      <c r="K304" s="347"/>
      <c r="L304" s="347"/>
      <c r="M304" s="347"/>
      <c r="N304" s="347"/>
      <c r="O304" s="347"/>
      <c r="P304" s="347"/>
      <c r="Q304" s="347"/>
      <c r="R304" s="347"/>
      <c r="S304" s="347"/>
      <c r="T304" s="347"/>
      <c r="U304" s="340" t="str">
        <f aca="false">IFERROR(VLOOKUP(C304,TE!$H:$Y,9,FALSE()),"0")</f>
        <v>0</v>
      </c>
      <c r="V304" s="340"/>
      <c r="W304" s="341" t="n">
        <f aca="false">SUMIFS(TE!$O:$O,TE!$G:$G,$C$224,TE!$I:$I,C304,TE!$D:$D,$C$5)</f>
        <v>0</v>
      </c>
      <c r="X304" s="341"/>
      <c r="Y304" s="341" t="str">
        <f aca="false">IFERROR(VLOOKUP(C304,TE!$H:$Y,16,FALSE()),"0")</f>
        <v>0</v>
      </c>
      <c r="Z304" s="341"/>
      <c r="AA304" s="342" t="str">
        <f aca="false">IFERROR(VLOOKUP(C304,TE!$H:$Y,17,FALSE()),"0")</f>
        <v>0</v>
      </c>
      <c r="AB304" s="342"/>
      <c r="AC304" s="343" t="n">
        <f aca="false">IFERROR((W304*Y304*AA304),"")</f>
        <v>0</v>
      </c>
      <c r="AD304" s="343"/>
      <c r="AE304" s="343"/>
      <c r="AF304" s="276"/>
    </row>
    <row r="305" customFormat="false" ht="15.75" hidden="false" customHeight="true" outlineLevel="0" collapsed="false">
      <c r="A305" s="276"/>
      <c r="B305" s="276"/>
      <c r="C305" s="345" t="s">
        <v>1605</v>
      </c>
      <c r="D305" s="346"/>
      <c r="E305" s="346"/>
      <c r="F305" s="339" t="str">
        <f aca="false">IFERROR(VLOOKUP(C305,TE!$H:$Y,2,FALSE()),"(Not on TE)")</f>
        <v>(Not on TE)</v>
      </c>
      <c r="G305" s="347"/>
      <c r="H305" s="347"/>
      <c r="I305" s="347"/>
      <c r="J305" s="347"/>
      <c r="K305" s="347"/>
      <c r="L305" s="347"/>
      <c r="M305" s="347"/>
      <c r="N305" s="347"/>
      <c r="O305" s="347"/>
      <c r="P305" s="347"/>
      <c r="Q305" s="347"/>
      <c r="R305" s="347"/>
      <c r="S305" s="347"/>
      <c r="T305" s="347"/>
      <c r="U305" s="340" t="str">
        <f aca="false">IFERROR(VLOOKUP(C305,TE!$H:$Y,9,FALSE()),"0")</f>
        <v>0</v>
      </c>
      <c r="V305" s="340"/>
      <c r="W305" s="341" t="n">
        <f aca="false">SUMIFS(TE!$O:$O,TE!$G:$G,$C$224,TE!$I:$I,C305,TE!$D:$D,$C$5)</f>
        <v>0</v>
      </c>
      <c r="X305" s="341"/>
      <c r="Y305" s="341" t="str">
        <f aca="false">IFERROR(VLOOKUP(C305,TE!$H:$Y,16,FALSE()),"0")</f>
        <v>0</v>
      </c>
      <c r="Z305" s="341"/>
      <c r="AA305" s="342" t="str">
        <f aca="false">IFERROR(VLOOKUP(C305,TE!$H:$Y,17,FALSE()),"0")</f>
        <v>0</v>
      </c>
      <c r="AB305" s="342"/>
      <c r="AC305" s="343" t="n">
        <f aca="false">IFERROR((W305*Y305*AA305),"")</f>
        <v>0</v>
      </c>
      <c r="AD305" s="343"/>
      <c r="AE305" s="343"/>
      <c r="AF305" s="276"/>
    </row>
    <row r="306" customFormat="false" ht="15.75" hidden="false" customHeight="true" outlineLevel="0" collapsed="false">
      <c r="A306" s="276"/>
      <c r="B306" s="276"/>
      <c r="C306" s="345" t="s">
        <v>1606</v>
      </c>
      <c r="D306" s="346"/>
      <c r="E306" s="346"/>
      <c r="F306" s="339" t="str">
        <f aca="false">IFERROR(VLOOKUP(C306,TE!$H:$Y,2,FALSE()),"(Not on TE)")</f>
        <v>(Not on TE)</v>
      </c>
      <c r="G306" s="347"/>
      <c r="H306" s="347"/>
      <c r="I306" s="347"/>
      <c r="J306" s="347"/>
      <c r="K306" s="347"/>
      <c r="L306" s="347"/>
      <c r="M306" s="347"/>
      <c r="N306" s="347"/>
      <c r="O306" s="347"/>
      <c r="P306" s="347"/>
      <c r="Q306" s="347"/>
      <c r="R306" s="347"/>
      <c r="S306" s="347"/>
      <c r="T306" s="347"/>
      <c r="U306" s="340" t="str">
        <f aca="false">IFERROR(VLOOKUP(C306,TE!$H:$Y,9,FALSE()),"0")</f>
        <v>0</v>
      </c>
      <c r="V306" s="340"/>
      <c r="W306" s="341" t="n">
        <f aca="false">SUMIFS(TE!$O:$O,TE!$G:$G,$C$224,TE!$I:$I,C306,TE!$D:$D,$C$5)</f>
        <v>0</v>
      </c>
      <c r="X306" s="341"/>
      <c r="Y306" s="341" t="str">
        <f aca="false">IFERROR(VLOOKUP(C306,TE!$H:$Y,16,FALSE()),"0")</f>
        <v>0</v>
      </c>
      <c r="Z306" s="341"/>
      <c r="AA306" s="342" t="str">
        <f aca="false">IFERROR(VLOOKUP(C306,TE!$H:$Y,17,FALSE()),"0")</f>
        <v>0</v>
      </c>
      <c r="AB306" s="342"/>
      <c r="AC306" s="343" t="n">
        <f aca="false">IFERROR((W306*Y306*AA306),"")</f>
        <v>0</v>
      </c>
      <c r="AD306" s="343"/>
      <c r="AE306" s="343"/>
      <c r="AF306" s="276"/>
    </row>
    <row r="307" customFormat="false" ht="15.75" hidden="false" customHeight="true" outlineLevel="0" collapsed="false">
      <c r="A307" s="276"/>
      <c r="B307" s="276"/>
      <c r="C307" s="345" t="s">
        <v>1607</v>
      </c>
      <c r="D307" s="346"/>
      <c r="E307" s="346"/>
      <c r="F307" s="339" t="str">
        <f aca="false">IFERROR(VLOOKUP(C307,TE!$H:$Y,2,FALSE()),"(Not on TE)")</f>
        <v>(Not on TE)</v>
      </c>
      <c r="G307" s="347"/>
      <c r="H307" s="347"/>
      <c r="I307" s="347"/>
      <c r="J307" s="347"/>
      <c r="K307" s="347"/>
      <c r="L307" s="347"/>
      <c r="M307" s="347"/>
      <c r="N307" s="347"/>
      <c r="O307" s="347"/>
      <c r="P307" s="347"/>
      <c r="Q307" s="347"/>
      <c r="R307" s="347"/>
      <c r="S307" s="347"/>
      <c r="T307" s="347"/>
      <c r="U307" s="340" t="str">
        <f aca="false">IFERROR(VLOOKUP(C307,TE!$H:$Y,9,FALSE()),"0")</f>
        <v>0</v>
      </c>
      <c r="V307" s="340"/>
      <c r="W307" s="341" t="n">
        <f aca="false">SUMIFS(TE!$O:$O,TE!$G:$G,$C$224,TE!$I:$I,C307,TE!$D:$D,$C$5)</f>
        <v>0</v>
      </c>
      <c r="X307" s="341"/>
      <c r="Y307" s="341" t="str">
        <f aca="false">IFERROR(VLOOKUP(C307,TE!$H:$Y,16,FALSE()),"0")</f>
        <v>0</v>
      </c>
      <c r="Z307" s="341"/>
      <c r="AA307" s="342" t="str">
        <f aca="false">IFERROR(VLOOKUP(C307,TE!$H:$Y,17,FALSE()),"0")</f>
        <v>0</v>
      </c>
      <c r="AB307" s="342"/>
      <c r="AC307" s="343" t="n">
        <f aca="false">IFERROR((W307*Y307*AA307),"")</f>
        <v>0</v>
      </c>
      <c r="AD307" s="343"/>
      <c r="AE307" s="343"/>
      <c r="AF307" s="276"/>
    </row>
    <row r="308" customFormat="false" ht="15.75" hidden="false" customHeight="true" outlineLevel="0" collapsed="false">
      <c r="A308" s="276"/>
      <c r="B308" s="276"/>
      <c r="C308" s="345" t="s">
        <v>1608</v>
      </c>
      <c r="D308" s="346"/>
      <c r="E308" s="346"/>
      <c r="F308" s="339" t="str">
        <f aca="false">IFERROR(VLOOKUP(C308,TE!$H:$Y,2,FALSE()),"(Not on TE)")</f>
        <v>(Not on TE)</v>
      </c>
      <c r="G308" s="347"/>
      <c r="H308" s="347"/>
      <c r="I308" s="347"/>
      <c r="J308" s="347"/>
      <c r="K308" s="347"/>
      <c r="L308" s="347"/>
      <c r="M308" s="347"/>
      <c r="N308" s="347"/>
      <c r="O308" s="347"/>
      <c r="P308" s="347"/>
      <c r="Q308" s="347"/>
      <c r="R308" s="347"/>
      <c r="S308" s="347"/>
      <c r="T308" s="347"/>
      <c r="U308" s="340" t="str">
        <f aca="false">IFERROR(VLOOKUP(C308,TE!$H:$Y,9,FALSE()),"0")</f>
        <v>0</v>
      </c>
      <c r="V308" s="340"/>
      <c r="W308" s="341" t="n">
        <f aca="false">SUMIFS(TE!$O:$O,TE!$G:$G,$C$224,TE!$I:$I,C308,TE!$D:$D,$C$5)</f>
        <v>0</v>
      </c>
      <c r="X308" s="341"/>
      <c r="Y308" s="341" t="str">
        <f aca="false">IFERROR(VLOOKUP(C308,TE!$H:$Y,16,FALSE()),"0")</f>
        <v>0</v>
      </c>
      <c r="Z308" s="341"/>
      <c r="AA308" s="342" t="str">
        <f aca="false">IFERROR(VLOOKUP(C308,TE!$H:$Y,17,FALSE()),"0")</f>
        <v>0</v>
      </c>
      <c r="AB308" s="342"/>
      <c r="AC308" s="343" t="n">
        <f aca="false">IFERROR((W308*Y308*AA308),"")</f>
        <v>0</v>
      </c>
      <c r="AD308" s="343"/>
      <c r="AE308" s="343"/>
      <c r="AF308" s="276"/>
    </row>
    <row r="309" customFormat="false" ht="15.75" hidden="false" customHeight="true" outlineLevel="0" collapsed="false">
      <c r="A309" s="276"/>
      <c r="B309" s="276"/>
      <c r="C309" s="348" t="s">
        <v>1609</v>
      </c>
      <c r="D309" s="349"/>
      <c r="E309" s="349"/>
      <c r="F309" s="350" t="str">
        <f aca="false">IFERROR(VLOOKUP(C309,TE!$H:$Y,2,FALSE()),"(Not on TE)")</f>
        <v>(Not on TE)</v>
      </c>
      <c r="G309" s="351"/>
      <c r="H309" s="351"/>
      <c r="I309" s="351"/>
      <c r="J309" s="351"/>
      <c r="K309" s="351"/>
      <c r="L309" s="351"/>
      <c r="M309" s="351"/>
      <c r="N309" s="351"/>
      <c r="O309" s="351"/>
      <c r="P309" s="351"/>
      <c r="Q309" s="351"/>
      <c r="R309" s="351"/>
      <c r="S309" s="351"/>
      <c r="T309" s="351"/>
      <c r="U309" s="352" t="str">
        <f aca="false">IFERROR(VLOOKUP(C309,TE!$H:$Y,9,FALSE()),"0")</f>
        <v>0</v>
      </c>
      <c r="V309" s="352"/>
      <c r="W309" s="353" t="n">
        <f aca="false">SUMIFS(TE!$O:$O,TE!$G:$G,$C$224,TE!$I:$I,C309,TE!$D:$D,$C$5)</f>
        <v>0</v>
      </c>
      <c r="X309" s="353"/>
      <c r="Y309" s="353" t="str">
        <f aca="false">IFERROR(VLOOKUP(C309,TE!$H:$Y,16,FALSE()),"0")</f>
        <v>0</v>
      </c>
      <c r="Z309" s="353"/>
      <c r="AA309" s="354" t="str">
        <f aca="false">IFERROR(VLOOKUP(C309,TE!$H:$Y,17,FALSE()),"0")</f>
        <v>0</v>
      </c>
      <c r="AB309" s="354"/>
      <c r="AC309" s="355" t="n">
        <f aca="false">IFERROR((W309*Y309*AA309),"")</f>
        <v>0</v>
      </c>
      <c r="AD309" s="355"/>
      <c r="AE309" s="355"/>
      <c r="AF309" s="276"/>
    </row>
    <row r="310" customFormat="false" ht="15.75" hidden="false" customHeight="true" outlineLevel="0" collapsed="false">
      <c r="A310" s="276"/>
      <c r="B310" s="276"/>
      <c r="C310" s="338"/>
      <c r="D310" s="346"/>
      <c r="E310" s="346"/>
      <c r="F310" s="347"/>
      <c r="G310" s="347"/>
      <c r="H310" s="347"/>
      <c r="I310" s="347"/>
      <c r="J310" s="347"/>
      <c r="K310" s="347"/>
      <c r="L310" s="347"/>
      <c r="M310" s="347"/>
      <c r="N310" s="347"/>
      <c r="O310" s="347"/>
      <c r="P310" s="347"/>
      <c r="Q310" s="347"/>
      <c r="R310" s="347"/>
      <c r="S310" s="347"/>
      <c r="T310" s="347"/>
      <c r="U310" s="356"/>
      <c r="V310" s="356"/>
      <c r="W310" s="357"/>
      <c r="X310" s="357"/>
      <c r="Y310" s="357"/>
      <c r="Z310" s="296"/>
      <c r="AA310" s="373" t="s">
        <v>1576</v>
      </c>
      <c r="AB310" s="373"/>
      <c r="AC310" s="373"/>
      <c r="AD310" s="373"/>
      <c r="AE310" s="373"/>
      <c r="AF310" s="276"/>
    </row>
    <row r="311" customFormat="false" ht="15.75" hidden="false" customHeight="true" outlineLevel="0" collapsed="false">
      <c r="A311" s="276"/>
      <c r="B311" s="276"/>
      <c r="C311" s="338"/>
      <c r="D311" s="346"/>
      <c r="E311" s="346"/>
      <c r="F311" s="347"/>
      <c r="G311" s="347"/>
      <c r="H311" s="347"/>
      <c r="I311" s="347"/>
      <c r="J311" s="347"/>
      <c r="K311" s="347"/>
      <c r="L311" s="347"/>
      <c r="M311" s="347"/>
      <c r="N311" s="347"/>
      <c r="O311" s="347"/>
      <c r="P311" s="347"/>
      <c r="Q311" s="347"/>
      <c r="R311" s="347"/>
      <c r="S311" s="347"/>
      <c r="T311" s="347"/>
      <c r="U311" s="356"/>
      <c r="V311" s="356"/>
      <c r="W311" s="357"/>
      <c r="X311" s="357"/>
      <c r="Y311" s="357"/>
      <c r="Z311" s="357"/>
      <c r="AA311" s="374"/>
      <c r="AB311" s="374"/>
      <c r="AC311" s="375"/>
      <c r="AD311" s="375"/>
      <c r="AE311" s="375"/>
      <c r="AF311" s="276"/>
    </row>
    <row r="312" customFormat="false" ht="15.75" hidden="false" customHeight="true" outlineLevel="0" collapsed="false">
      <c r="A312" s="364"/>
      <c r="B312" s="364"/>
      <c r="C312" s="365"/>
      <c r="D312" s="366"/>
      <c r="E312" s="366"/>
      <c r="F312" s="367"/>
      <c r="G312" s="367"/>
      <c r="H312" s="367"/>
      <c r="I312" s="367"/>
      <c r="J312" s="367"/>
      <c r="K312" s="367"/>
      <c r="L312" s="367"/>
      <c r="M312" s="367"/>
      <c r="N312" s="367"/>
      <c r="O312" s="367"/>
      <c r="P312" s="367"/>
      <c r="Q312" s="367"/>
      <c r="R312" s="367"/>
      <c r="S312" s="367"/>
      <c r="T312" s="367"/>
      <c r="U312" s="368"/>
      <c r="V312" s="368"/>
      <c r="W312" s="369"/>
      <c r="X312" s="369"/>
      <c r="Y312" s="369"/>
      <c r="Z312" s="369"/>
      <c r="AA312" s="370"/>
      <c r="AB312" s="370"/>
      <c r="AC312" s="371"/>
      <c r="AD312" s="371"/>
      <c r="AE312" s="371"/>
      <c r="AF312" s="372"/>
    </row>
    <row r="313" customFormat="false" ht="15.75" hidden="false" customHeight="true" outlineLevel="0" collapsed="false">
      <c r="A313" s="259" t="s">
        <v>1522</v>
      </c>
      <c r="B313" s="259"/>
      <c r="C313" s="323" t="n">
        <f aca="false">$C$5</f>
        <v>14312</v>
      </c>
      <c r="D313" s="323"/>
      <c r="E313" s="323"/>
      <c r="F313" s="323"/>
      <c r="G313" s="323"/>
      <c r="H313" s="323"/>
      <c r="I313" s="323"/>
      <c r="J313" s="323"/>
      <c r="K313" s="323"/>
      <c r="L313" s="323"/>
      <c r="M313" s="259" t="s">
        <v>1523</v>
      </c>
      <c r="N313" s="259"/>
      <c r="O313" s="259"/>
      <c r="P313" s="259"/>
      <c r="Q313" s="259"/>
      <c r="R313" s="324" t="str">
        <f aca="false">$R$5</f>
        <v>Operational Vehicle Laydown Area</v>
      </c>
      <c r="S313" s="324"/>
      <c r="T313" s="324"/>
      <c r="U313" s="324"/>
      <c r="V313" s="324"/>
      <c r="W313" s="324"/>
      <c r="X313" s="324"/>
      <c r="Y313" s="324"/>
      <c r="Z313" s="324"/>
      <c r="AA313" s="324"/>
      <c r="AB313" s="324"/>
      <c r="AC313" s="324"/>
      <c r="AD313" s="324"/>
      <c r="AE313" s="324"/>
      <c r="AF313" s="324"/>
    </row>
    <row r="314" customFormat="false" ht="15.75" hidden="false" customHeight="true" outlineLevel="0" collapsed="false">
      <c r="A314" s="276"/>
      <c r="B314" s="276"/>
      <c r="C314" s="296"/>
      <c r="D314" s="276"/>
      <c r="E314" s="276"/>
      <c r="F314" s="296"/>
      <c r="G314" s="276"/>
      <c r="H314" s="276"/>
      <c r="I314" s="276"/>
      <c r="J314" s="276"/>
      <c r="K314" s="276"/>
      <c r="L314" s="276"/>
      <c r="M314" s="276"/>
      <c r="N314" s="276"/>
      <c r="O314" s="276"/>
      <c r="P314" s="276"/>
      <c r="Q314" s="276"/>
      <c r="R314" s="276"/>
      <c r="S314" s="276"/>
      <c r="T314" s="276"/>
      <c r="U314" s="276"/>
      <c r="V314" s="276"/>
      <c r="W314" s="277"/>
      <c r="X314" s="277"/>
      <c r="Y314" s="276"/>
      <c r="Z314" s="276"/>
      <c r="AA314" s="276"/>
      <c r="AB314" s="276"/>
      <c r="AC314" s="277"/>
      <c r="AD314" s="277"/>
      <c r="AE314" s="277"/>
      <c r="AF314" s="276"/>
    </row>
    <row r="315" customFormat="false" ht="15.75" hidden="false" customHeight="true" outlineLevel="0" collapsed="false">
      <c r="A315" s="276"/>
      <c r="B315" s="276"/>
      <c r="C315" s="325" t="s">
        <v>1542</v>
      </c>
      <c r="D315" s="276"/>
      <c r="E315" s="276"/>
      <c r="F315" s="296"/>
      <c r="G315" s="276"/>
      <c r="H315" s="276"/>
      <c r="I315" s="276"/>
      <c r="J315" s="276"/>
      <c r="K315" s="276"/>
      <c r="L315" s="276"/>
      <c r="M315" s="276"/>
      <c r="N315" s="276"/>
      <c r="O315" s="276"/>
      <c r="P315" s="276"/>
      <c r="Q315" s="276"/>
      <c r="R315" s="276"/>
      <c r="S315" s="276"/>
      <c r="T315" s="276"/>
      <c r="U315" s="276"/>
      <c r="V315" s="276"/>
      <c r="W315" s="277"/>
      <c r="X315" s="277"/>
      <c r="Y315" s="276"/>
      <c r="Z315" s="276"/>
      <c r="AA315" s="276"/>
      <c r="AB315" s="276"/>
      <c r="AC315" s="277"/>
      <c r="AD315" s="277"/>
      <c r="AE315" s="277"/>
      <c r="AF315" s="276"/>
    </row>
    <row r="316" customFormat="false" ht="15.75" hidden="false" customHeight="true" outlineLevel="0" collapsed="false">
      <c r="A316" s="276"/>
      <c r="B316" s="276"/>
      <c r="C316" s="391" t="str">
        <f aca="false">C270</f>
        <v>M28263</v>
      </c>
      <c r="D316" s="391"/>
      <c r="E316" s="391"/>
      <c r="F316" s="327" t="str">
        <f aca="false">F270</f>
        <v>SURGICAL CO A</v>
      </c>
      <c r="G316" s="327"/>
      <c r="H316" s="327"/>
      <c r="I316" s="327"/>
      <c r="J316" s="327"/>
      <c r="K316" s="327"/>
      <c r="L316" s="327"/>
      <c r="M316" s="327"/>
      <c r="N316" s="328"/>
      <c r="O316" s="329"/>
      <c r="P316" s="329"/>
      <c r="Q316" s="329"/>
      <c r="R316" s="329"/>
      <c r="S316" s="330"/>
      <c r="T316" s="295"/>
      <c r="U316" s="295"/>
      <c r="V316" s="295"/>
      <c r="W316" s="331"/>
      <c r="X316" s="331"/>
      <c r="Y316" s="295"/>
      <c r="Z316" s="295"/>
      <c r="AA316" s="295"/>
      <c r="AB316" s="295"/>
      <c r="AC316" s="332"/>
      <c r="AD316" s="332"/>
      <c r="AE316" s="332"/>
      <c r="AF316" s="276"/>
    </row>
    <row r="317" customFormat="false" ht="15.75" hidden="false" customHeight="true" outlineLevel="0" collapsed="false">
      <c r="A317" s="276"/>
      <c r="B317" s="276"/>
      <c r="C317" s="376" t="s">
        <v>1055</v>
      </c>
      <c r="D317" s="376"/>
      <c r="E317" s="376"/>
      <c r="F317" s="334" t="s">
        <v>13</v>
      </c>
      <c r="G317" s="334"/>
      <c r="H317" s="334"/>
      <c r="I317" s="334"/>
      <c r="J317" s="334"/>
      <c r="K317" s="334"/>
      <c r="L317" s="334"/>
      <c r="M317" s="334"/>
      <c r="N317" s="334"/>
      <c r="O317" s="334"/>
      <c r="P317" s="334"/>
      <c r="Q317" s="334"/>
      <c r="R317" s="334"/>
      <c r="S317" s="334"/>
      <c r="T317" s="334"/>
      <c r="U317" s="335" t="s">
        <v>1543</v>
      </c>
      <c r="V317" s="335"/>
      <c r="W317" s="335" t="s">
        <v>1544</v>
      </c>
      <c r="X317" s="335"/>
      <c r="Y317" s="335" t="s">
        <v>1545</v>
      </c>
      <c r="Z317" s="335"/>
      <c r="AA317" s="335" t="s">
        <v>1546</v>
      </c>
      <c r="AB317" s="335"/>
      <c r="AC317" s="336" t="s">
        <v>1547</v>
      </c>
      <c r="AD317" s="336"/>
      <c r="AE317" s="336"/>
      <c r="AF317" s="276"/>
    </row>
    <row r="318" customFormat="false" ht="15.75" hidden="false" customHeight="true" outlineLevel="0" collapsed="false">
      <c r="A318" s="276"/>
      <c r="B318" s="276"/>
      <c r="C318" s="376"/>
      <c r="D318" s="376"/>
      <c r="E318" s="376"/>
      <c r="F318" s="334"/>
      <c r="G318" s="334"/>
      <c r="H318" s="334"/>
      <c r="I318" s="334"/>
      <c r="J318" s="334"/>
      <c r="K318" s="334"/>
      <c r="L318" s="334"/>
      <c r="M318" s="334"/>
      <c r="N318" s="334"/>
      <c r="O318" s="334"/>
      <c r="P318" s="334"/>
      <c r="Q318" s="334"/>
      <c r="R318" s="334"/>
      <c r="S318" s="334"/>
      <c r="T318" s="334"/>
      <c r="U318" s="335"/>
      <c r="V318" s="335"/>
      <c r="W318" s="335"/>
      <c r="X318" s="335"/>
      <c r="Y318" s="335"/>
      <c r="Z318" s="335"/>
      <c r="AA318" s="335"/>
      <c r="AB318" s="335"/>
      <c r="AC318" s="336"/>
      <c r="AD318" s="336"/>
      <c r="AE318" s="336"/>
      <c r="AF318" s="276"/>
    </row>
    <row r="319" customFormat="false" ht="15.75" hidden="false" customHeight="true" outlineLevel="0" collapsed="false">
      <c r="A319" s="276"/>
      <c r="B319" s="276"/>
      <c r="C319" s="377" t="s">
        <v>1610</v>
      </c>
      <c r="D319" s="338"/>
      <c r="E319" s="338"/>
      <c r="F319" s="339" t="str">
        <f aca="false">IFERROR(VLOOKUP(C319,TE!$H:$Y,2,FALSE()),"(Not on TE)")</f>
        <v>(Not on TE)</v>
      </c>
      <c r="G319" s="338"/>
      <c r="H319" s="338"/>
      <c r="I319" s="338"/>
      <c r="J319" s="338"/>
      <c r="K319" s="338"/>
      <c r="L319" s="338"/>
      <c r="M319" s="338"/>
      <c r="N319" s="338"/>
      <c r="O319" s="338"/>
      <c r="P319" s="338"/>
      <c r="Q319" s="338"/>
      <c r="R319" s="338"/>
      <c r="S319" s="338"/>
      <c r="T319" s="338"/>
      <c r="U319" s="340" t="str">
        <f aca="false">IFERROR(VLOOKUP(C319,TE!$H:$Y,9,FALSE()),"0")</f>
        <v>0</v>
      </c>
      <c r="V319" s="340"/>
      <c r="W319" s="341" t="n">
        <f aca="false">SUMIFS(TE!$O:$O,TE!$G:$G,$C$224,TE!$I:$I,C319,TE!$D:$D,$C$5)</f>
        <v>0</v>
      </c>
      <c r="X319" s="341"/>
      <c r="Y319" s="341" t="str">
        <f aca="false">IFERROR(VLOOKUP(C319,TE!$H:$Y,16,FALSE()),"0")</f>
        <v>0</v>
      </c>
      <c r="Z319" s="341"/>
      <c r="AA319" s="342" t="str">
        <f aca="false">IFERROR(VLOOKUP(C319,TE!$H:$Y,17,FALSE()),"0")</f>
        <v>0</v>
      </c>
      <c r="AB319" s="342"/>
      <c r="AC319" s="343" t="n">
        <f aca="false">IFERROR((W319*Y319*AA319),"")</f>
        <v>0</v>
      </c>
      <c r="AD319" s="343"/>
      <c r="AE319" s="343"/>
      <c r="AF319" s="276"/>
    </row>
    <row r="320" customFormat="false" ht="15.75" hidden="false" customHeight="true" outlineLevel="0" collapsed="false">
      <c r="A320" s="276"/>
      <c r="B320" s="276"/>
      <c r="C320" s="377" t="s">
        <v>1611</v>
      </c>
      <c r="D320" s="338"/>
      <c r="E320" s="338"/>
      <c r="F320" s="339" t="str">
        <f aca="false">IFERROR(VLOOKUP(C320,TE!$H:$Y,2,FALSE()),"(Not on TE)")</f>
        <v>(Not on TE)</v>
      </c>
      <c r="G320" s="338"/>
      <c r="H320" s="338"/>
      <c r="I320" s="338"/>
      <c r="J320" s="338"/>
      <c r="K320" s="338"/>
      <c r="L320" s="338"/>
      <c r="M320" s="338"/>
      <c r="N320" s="338"/>
      <c r="O320" s="338"/>
      <c r="P320" s="338"/>
      <c r="Q320" s="338"/>
      <c r="R320" s="338"/>
      <c r="S320" s="338"/>
      <c r="T320" s="338"/>
      <c r="U320" s="340" t="str">
        <f aca="false">IFERROR(VLOOKUP(C320,TE!$H:$Y,9,FALSE()),"0")</f>
        <v>0</v>
      </c>
      <c r="V320" s="340"/>
      <c r="W320" s="341" t="n">
        <f aca="false">SUMIFS(TE!$O:$O,TE!$G:$G,$C$224,TE!$I:$I,C320,TE!$D:$D,$C$5)</f>
        <v>0</v>
      </c>
      <c r="X320" s="341"/>
      <c r="Y320" s="341" t="str">
        <f aca="false">IFERROR(VLOOKUP(C320,TE!$H:$Y,16,FALSE()),"0")</f>
        <v>0</v>
      </c>
      <c r="Z320" s="341"/>
      <c r="AA320" s="342" t="str">
        <f aca="false">IFERROR(VLOOKUP(C320,TE!$H:$Y,17,FALSE()),"0")</f>
        <v>0</v>
      </c>
      <c r="AB320" s="342"/>
      <c r="AC320" s="343" t="n">
        <f aca="false">IFERROR((W320*Y320*AA320),"")</f>
        <v>0</v>
      </c>
      <c r="AD320" s="343"/>
      <c r="AE320" s="343"/>
      <c r="AF320" s="276"/>
    </row>
    <row r="321" customFormat="false" ht="15.75" hidden="false" customHeight="true" outlineLevel="0" collapsed="false">
      <c r="A321" s="276"/>
      <c r="B321" s="276"/>
      <c r="C321" s="377" t="s">
        <v>1612</v>
      </c>
      <c r="D321" s="338"/>
      <c r="E321" s="338"/>
      <c r="F321" s="339" t="str">
        <f aca="false">IFERROR(VLOOKUP(C321,TE!$H:$Y,2,FALSE()),"(Not on TE)")</f>
        <v>(Not on TE)</v>
      </c>
      <c r="G321" s="338"/>
      <c r="H321" s="338"/>
      <c r="I321" s="338"/>
      <c r="J321" s="338"/>
      <c r="K321" s="338"/>
      <c r="L321" s="338"/>
      <c r="M321" s="338"/>
      <c r="N321" s="338"/>
      <c r="O321" s="338"/>
      <c r="P321" s="338"/>
      <c r="Q321" s="338"/>
      <c r="R321" s="338"/>
      <c r="S321" s="338"/>
      <c r="T321" s="338"/>
      <c r="U321" s="340" t="str">
        <f aca="false">IFERROR(VLOOKUP(C321,TE!$H:$Y,9,FALSE()),"0")</f>
        <v>0</v>
      </c>
      <c r="V321" s="340"/>
      <c r="W321" s="341" t="n">
        <f aca="false">SUMIFS(TE!$O:$O,TE!$G:$G,$C$224,TE!$I:$I,C321,TE!$D:$D,$C$5)</f>
        <v>0</v>
      </c>
      <c r="X321" s="341"/>
      <c r="Y321" s="341" t="str">
        <f aca="false">IFERROR(VLOOKUP(C321,TE!$H:$Y,16,FALSE()),"0")</f>
        <v>0</v>
      </c>
      <c r="Z321" s="341"/>
      <c r="AA321" s="342" t="str">
        <f aca="false">IFERROR(VLOOKUP(C321,TE!$H:$Y,17,FALSE()),"0")</f>
        <v>0</v>
      </c>
      <c r="AB321" s="342"/>
      <c r="AC321" s="343" t="n">
        <f aca="false">IFERROR((W321*Y321*AA321),"")</f>
        <v>0</v>
      </c>
      <c r="AD321" s="343"/>
      <c r="AE321" s="343"/>
      <c r="AF321" s="276"/>
    </row>
    <row r="322" customFormat="false" ht="15.75" hidden="false" customHeight="true" outlineLevel="0" collapsed="false">
      <c r="A322" s="276"/>
      <c r="B322" s="276"/>
      <c r="C322" s="377" t="s">
        <v>1613</v>
      </c>
      <c r="D322" s="338"/>
      <c r="E322" s="338"/>
      <c r="F322" s="339" t="str">
        <f aca="false">IFERROR(VLOOKUP(C322,TE!$H:$Y,2,FALSE()),"(Not on TE)")</f>
        <v>(Not on TE)</v>
      </c>
      <c r="G322" s="338"/>
      <c r="H322" s="338"/>
      <c r="I322" s="338"/>
      <c r="J322" s="338"/>
      <c r="K322" s="338"/>
      <c r="L322" s="338"/>
      <c r="M322" s="338"/>
      <c r="N322" s="338"/>
      <c r="O322" s="338"/>
      <c r="P322" s="338"/>
      <c r="Q322" s="338"/>
      <c r="R322" s="338"/>
      <c r="S322" s="338"/>
      <c r="T322" s="338"/>
      <c r="U322" s="340" t="str">
        <f aca="false">IFERROR(VLOOKUP(C322,TE!$H:$Y,9,FALSE()),"0")</f>
        <v>0</v>
      </c>
      <c r="V322" s="340"/>
      <c r="W322" s="341" t="n">
        <f aca="false">SUMIFS(TE!$O:$O,TE!$G:$G,$C$224,TE!$I:$I,C322,TE!$D:$D,$C$5)</f>
        <v>0</v>
      </c>
      <c r="X322" s="341"/>
      <c r="Y322" s="341" t="str">
        <f aca="false">IFERROR(VLOOKUP(C322,TE!$H:$Y,16,FALSE()),"0")</f>
        <v>0</v>
      </c>
      <c r="Z322" s="341"/>
      <c r="AA322" s="342" t="str">
        <f aca="false">IFERROR(VLOOKUP(C322,TE!$H:$Y,17,FALSE()),"0")</f>
        <v>0</v>
      </c>
      <c r="AB322" s="342"/>
      <c r="AC322" s="343" t="n">
        <f aca="false">IFERROR((W322*Y322*AA322),"")</f>
        <v>0</v>
      </c>
      <c r="AD322" s="343"/>
      <c r="AE322" s="343"/>
      <c r="AF322" s="276"/>
    </row>
    <row r="323" customFormat="false" ht="15.75" hidden="false" customHeight="true" outlineLevel="0" collapsed="false">
      <c r="A323" s="276"/>
      <c r="B323" s="276"/>
      <c r="C323" s="377" t="s">
        <v>1614</v>
      </c>
      <c r="D323" s="338"/>
      <c r="E323" s="338"/>
      <c r="F323" s="339" t="str">
        <f aca="false">IFERROR(VLOOKUP(C323,TE!$H:$Y,2,FALSE()),"(Not on TE)")</f>
        <v>(Not on TE)</v>
      </c>
      <c r="G323" s="338"/>
      <c r="H323" s="338"/>
      <c r="I323" s="338"/>
      <c r="J323" s="338"/>
      <c r="K323" s="338"/>
      <c r="L323" s="338"/>
      <c r="M323" s="338"/>
      <c r="N323" s="338"/>
      <c r="O323" s="338"/>
      <c r="P323" s="338"/>
      <c r="Q323" s="338"/>
      <c r="R323" s="338"/>
      <c r="S323" s="338"/>
      <c r="T323" s="338"/>
      <c r="U323" s="340" t="str">
        <f aca="false">IFERROR(VLOOKUP(C323,TE!$H:$Y,9,FALSE()),"0")</f>
        <v>0</v>
      </c>
      <c r="V323" s="340"/>
      <c r="W323" s="341" t="n">
        <f aca="false">SUMIFS(TE!$O:$O,TE!$G:$G,$C$224,TE!$I:$I,C323,TE!$D:$D,$C$5)</f>
        <v>0</v>
      </c>
      <c r="X323" s="341"/>
      <c r="Y323" s="341" t="str">
        <f aca="false">IFERROR(VLOOKUP(C323,TE!$H:$Y,16,FALSE()),"0")</f>
        <v>0</v>
      </c>
      <c r="Z323" s="341"/>
      <c r="AA323" s="342" t="str">
        <f aca="false">IFERROR(VLOOKUP(C323,TE!$H:$Y,17,FALSE()),"0")</f>
        <v>0</v>
      </c>
      <c r="AB323" s="342"/>
      <c r="AC323" s="343" t="n">
        <f aca="false">IFERROR((W323*Y323*AA323),"")</f>
        <v>0</v>
      </c>
      <c r="AD323" s="343"/>
      <c r="AE323" s="343"/>
      <c r="AF323" s="276"/>
    </row>
    <row r="324" customFormat="false" ht="15.75" hidden="false" customHeight="true" outlineLevel="0" collapsed="false">
      <c r="A324" s="276"/>
      <c r="B324" s="276"/>
      <c r="C324" s="377" t="s">
        <v>1615</v>
      </c>
      <c r="D324" s="338"/>
      <c r="E324" s="338"/>
      <c r="F324" s="339" t="str">
        <f aca="false">IFERROR(VLOOKUP(C324,TE!$H:$Y,2,FALSE()),"(Not on TE)")</f>
        <v>(Not on TE)</v>
      </c>
      <c r="G324" s="338"/>
      <c r="H324" s="338"/>
      <c r="I324" s="338"/>
      <c r="J324" s="338"/>
      <c r="K324" s="338"/>
      <c r="L324" s="338"/>
      <c r="M324" s="338"/>
      <c r="N324" s="338"/>
      <c r="O324" s="338"/>
      <c r="P324" s="338"/>
      <c r="Q324" s="338"/>
      <c r="R324" s="338"/>
      <c r="S324" s="338"/>
      <c r="T324" s="338"/>
      <c r="U324" s="340" t="str">
        <f aca="false">IFERROR(VLOOKUP(C324,TE!$H:$Y,9,FALSE()),"0")</f>
        <v>0</v>
      </c>
      <c r="V324" s="340"/>
      <c r="W324" s="341" t="n">
        <f aca="false">SUMIFS(TE!$O:$O,TE!$G:$G,$C$224,TE!$I:$I,C324,TE!$D:$D,$C$5)</f>
        <v>0</v>
      </c>
      <c r="X324" s="341"/>
      <c r="Y324" s="341" t="str">
        <f aca="false">IFERROR(VLOOKUP(C324,TE!$H:$Y,16,FALSE()),"0")</f>
        <v>0</v>
      </c>
      <c r="Z324" s="341"/>
      <c r="AA324" s="342" t="str">
        <f aca="false">IFERROR(VLOOKUP(C324,TE!$H:$Y,17,FALSE()),"0")</f>
        <v>0</v>
      </c>
      <c r="AB324" s="342"/>
      <c r="AC324" s="343" t="n">
        <f aca="false">IFERROR((W324*Y324*AA324),"")</f>
        <v>0</v>
      </c>
      <c r="AD324" s="343"/>
      <c r="AE324" s="343"/>
      <c r="AF324" s="276"/>
    </row>
    <row r="325" customFormat="false" ht="15.75" hidden="false" customHeight="true" outlineLevel="0" collapsed="false">
      <c r="A325" s="276"/>
      <c r="B325" s="276"/>
      <c r="C325" s="377" t="s">
        <v>1616</v>
      </c>
      <c r="D325" s="338"/>
      <c r="E325" s="338"/>
      <c r="F325" s="339" t="str">
        <f aca="false">IFERROR(VLOOKUP(C325,TE!$H:$Y,2,FALSE()),"(Not on TE)")</f>
        <v>(Not on TE)</v>
      </c>
      <c r="G325" s="338"/>
      <c r="H325" s="338"/>
      <c r="I325" s="338"/>
      <c r="J325" s="338"/>
      <c r="K325" s="338"/>
      <c r="L325" s="338"/>
      <c r="M325" s="338"/>
      <c r="N325" s="338"/>
      <c r="O325" s="338"/>
      <c r="P325" s="338"/>
      <c r="Q325" s="338"/>
      <c r="R325" s="338"/>
      <c r="S325" s="338"/>
      <c r="T325" s="338"/>
      <c r="U325" s="340" t="str">
        <f aca="false">IFERROR(VLOOKUP(C325,TE!$H:$Y,9,FALSE()),"0")</f>
        <v>0</v>
      </c>
      <c r="V325" s="340"/>
      <c r="W325" s="341" t="n">
        <f aca="false">SUMIFS(TE!$O:$O,TE!$G:$G,$C$224,TE!$I:$I,C325,TE!$D:$D,$C$5)</f>
        <v>0</v>
      </c>
      <c r="X325" s="341"/>
      <c r="Y325" s="341" t="str">
        <f aca="false">IFERROR(VLOOKUP(C325,TE!$H:$Y,16,FALSE()),"0")</f>
        <v>0</v>
      </c>
      <c r="Z325" s="341"/>
      <c r="AA325" s="342" t="str">
        <f aca="false">IFERROR(VLOOKUP(C325,TE!$H:$Y,17,FALSE()),"0")</f>
        <v>0</v>
      </c>
      <c r="AB325" s="342"/>
      <c r="AC325" s="343" t="n">
        <f aca="false">IFERROR((W325*Y325*AA325),"")</f>
        <v>0</v>
      </c>
      <c r="AD325" s="343"/>
      <c r="AE325" s="343"/>
      <c r="AF325" s="276"/>
    </row>
    <row r="326" customFormat="false" ht="15.75" hidden="false" customHeight="true" outlineLevel="0" collapsed="false">
      <c r="A326" s="276"/>
      <c r="B326" s="276"/>
      <c r="C326" s="377" t="s">
        <v>1617</v>
      </c>
      <c r="D326" s="338"/>
      <c r="E326" s="338"/>
      <c r="F326" s="339" t="str">
        <f aca="false">IFERROR(VLOOKUP(C326,TE!$H:$Y,2,FALSE()),"(Not on TE)")</f>
        <v>(Not on TE)</v>
      </c>
      <c r="G326" s="338"/>
      <c r="H326" s="338"/>
      <c r="I326" s="338"/>
      <c r="J326" s="338"/>
      <c r="K326" s="338"/>
      <c r="L326" s="338"/>
      <c r="M326" s="338"/>
      <c r="N326" s="338"/>
      <c r="O326" s="338"/>
      <c r="P326" s="338"/>
      <c r="Q326" s="338"/>
      <c r="R326" s="338"/>
      <c r="S326" s="338"/>
      <c r="T326" s="338"/>
      <c r="U326" s="340" t="str">
        <f aca="false">IFERROR(VLOOKUP(C326,TE!$H:$Y,9,FALSE()),"0")</f>
        <v>0</v>
      </c>
      <c r="V326" s="340"/>
      <c r="W326" s="341" t="n">
        <f aca="false">SUMIFS(TE!$O:$O,TE!$G:$G,$C$224,TE!$I:$I,C326,TE!$D:$D,$C$5)</f>
        <v>0</v>
      </c>
      <c r="X326" s="341"/>
      <c r="Y326" s="341" t="str">
        <f aca="false">IFERROR(VLOOKUP(C326,TE!$H:$Y,16,FALSE()),"0")</f>
        <v>0</v>
      </c>
      <c r="Z326" s="341"/>
      <c r="AA326" s="342" t="str">
        <f aca="false">IFERROR(VLOOKUP(C326,TE!$H:$Y,17,FALSE()),"0")</f>
        <v>0</v>
      </c>
      <c r="AB326" s="342"/>
      <c r="AC326" s="343" t="n">
        <f aca="false">IFERROR((W326*Y326*AA326),"")</f>
        <v>0</v>
      </c>
      <c r="AD326" s="343"/>
      <c r="AE326" s="343"/>
      <c r="AF326" s="276"/>
    </row>
    <row r="327" customFormat="false" ht="15.75" hidden="false" customHeight="true" outlineLevel="0" collapsed="false">
      <c r="A327" s="276"/>
      <c r="B327" s="276"/>
      <c r="C327" s="377" t="s">
        <v>1167</v>
      </c>
      <c r="D327" s="338"/>
      <c r="E327" s="338"/>
      <c r="F327" s="339" t="str">
        <f aca="false">IFERROR(VLOOKUP(C327,TE!$H:$Y,2,FALSE()),"(Not on TE)")</f>
        <v>(Not on TE)</v>
      </c>
      <c r="G327" s="338"/>
      <c r="H327" s="338"/>
      <c r="I327" s="338"/>
      <c r="J327" s="338"/>
      <c r="K327" s="338"/>
      <c r="L327" s="338"/>
      <c r="M327" s="338"/>
      <c r="N327" s="338"/>
      <c r="O327" s="338"/>
      <c r="P327" s="338"/>
      <c r="Q327" s="338"/>
      <c r="R327" s="338"/>
      <c r="S327" s="338"/>
      <c r="T327" s="338"/>
      <c r="U327" s="340" t="str">
        <f aca="false">IFERROR(VLOOKUP(C327,TE!$H:$Y,9,FALSE()),"0")</f>
        <v>0</v>
      </c>
      <c r="V327" s="340"/>
      <c r="W327" s="341" t="n">
        <f aca="false">SUMIFS(TE!$O:$O,TE!$G:$G,$C$224,TE!$I:$I,C327,TE!$D:$D,$C$5)</f>
        <v>0</v>
      </c>
      <c r="X327" s="341"/>
      <c r="Y327" s="341" t="str">
        <f aca="false">IFERROR(VLOOKUP(C327,TE!$H:$Y,16,FALSE()),"0")</f>
        <v>0</v>
      </c>
      <c r="Z327" s="341"/>
      <c r="AA327" s="342" t="str">
        <f aca="false">IFERROR(VLOOKUP(C327,TE!$H:$Y,17,FALSE()),"0")</f>
        <v>0</v>
      </c>
      <c r="AB327" s="342"/>
      <c r="AC327" s="343" t="n">
        <f aca="false">IFERROR((W327*Y327*AA327),"")</f>
        <v>0</v>
      </c>
      <c r="AD327" s="343"/>
      <c r="AE327" s="343"/>
      <c r="AF327" s="276"/>
    </row>
    <row r="328" customFormat="false" ht="15.75" hidden="false" customHeight="true" outlineLevel="0" collapsed="false">
      <c r="A328" s="276"/>
      <c r="B328" s="276"/>
      <c r="C328" s="377" t="s">
        <v>1618</v>
      </c>
      <c r="D328" s="338"/>
      <c r="E328" s="338"/>
      <c r="F328" s="339" t="str">
        <f aca="false">IFERROR(VLOOKUP(C328,TE!$H:$Y,2,FALSE()),"(Not on TE)")</f>
        <v>(Not on TE)</v>
      </c>
      <c r="G328" s="338"/>
      <c r="H328" s="338"/>
      <c r="I328" s="338"/>
      <c r="J328" s="338"/>
      <c r="K328" s="338"/>
      <c r="L328" s="338"/>
      <c r="M328" s="338"/>
      <c r="N328" s="338"/>
      <c r="O328" s="338"/>
      <c r="P328" s="338"/>
      <c r="Q328" s="338"/>
      <c r="R328" s="338"/>
      <c r="S328" s="338"/>
      <c r="T328" s="338"/>
      <c r="U328" s="340" t="str">
        <f aca="false">IFERROR(VLOOKUP(C328,TE!$H:$Y,9,FALSE()),"0")</f>
        <v>0</v>
      </c>
      <c r="V328" s="340"/>
      <c r="W328" s="341" t="n">
        <f aca="false">SUMIFS(TE!$O:$O,TE!$G:$G,$C$224,TE!$I:$I,C328,TE!$D:$D,$C$5)</f>
        <v>0</v>
      </c>
      <c r="X328" s="341"/>
      <c r="Y328" s="341" t="str">
        <f aca="false">IFERROR(VLOOKUP(C328,TE!$H:$Y,16,FALSE()),"0")</f>
        <v>0</v>
      </c>
      <c r="Z328" s="341"/>
      <c r="AA328" s="342" t="str">
        <f aca="false">IFERROR(VLOOKUP(C328,TE!$H:$Y,17,FALSE()),"0")</f>
        <v>0</v>
      </c>
      <c r="AB328" s="342"/>
      <c r="AC328" s="343" t="n">
        <f aca="false">IFERROR((W328*Y328*AA328),"")</f>
        <v>0</v>
      </c>
      <c r="AD328" s="343"/>
      <c r="AE328" s="343"/>
      <c r="AF328" s="276"/>
    </row>
    <row r="329" customFormat="false" ht="15.75" hidden="false" customHeight="true" outlineLevel="0" collapsed="false">
      <c r="A329" s="276"/>
      <c r="B329" s="276"/>
      <c r="C329" s="344" t="s">
        <v>1114</v>
      </c>
      <c r="D329" s="338"/>
      <c r="E329" s="338"/>
      <c r="F329" s="339" t="str">
        <f aca="false">IFERROR(VLOOKUP(C329,TE!$H:$Y,2,FALSE()),"(Not on TE)")</f>
        <v>(Not on TE)</v>
      </c>
      <c r="G329" s="338"/>
      <c r="H329" s="338"/>
      <c r="I329" s="338"/>
      <c r="J329" s="338"/>
      <c r="K329" s="338"/>
      <c r="L329" s="338"/>
      <c r="M329" s="338"/>
      <c r="N329" s="338"/>
      <c r="O329" s="338"/>
      <c r="P329" s="338"/>
      <c r="Q329" s="338"/>
      <c r="R329" s="338"/>
      <c r="S329" s="338"/>
      <c r="T329" s="338"/>
      <c r="U329" s="340" t="str">
        <f aca="false">IFERROR(VLOOKUP(C329,TE!$H:$Y,9,FALSE()),"0")</f>
        <v>0</v>
      </c>
      <c r="V329" s="340"/>
      <c r="W329" s="341" t="n">
        <f aca="false">SUMIFS(TE!$O:$O,TE!$G:$G,$C$224,TE!$I:$I,C329,TE!$D:$D,$C$5)</f>
        <v>0</v>
      </c>
      <c r="X329" s="341"/>
      <c r="Y329" s="341" t="str">
        <f aca="false">IFERROR(VLOOKUP(C329,TE!$H:$Y,16,FALSE()),"0")</f>
        <v>0</v>
      </c>
      <c r="Z329" s="341"/>
      <c r="AA329" s="342" t="str">
        <f aca="false">IFERROR(VLOOKUP(C329,TE!$H:$Y,17,FALSE()),"0")</f>
        <v>0</v>
      </c>
      <c r="AB329" s="342"/>
      <c r="AC329" s="343" t="n">
        <f aca="false">IFERROR((W329*Y329*AA329),"")</f>
        <v>0</v>
      </c>
      <c r="AD329" s="343"/>
      <c r="AE329" s="343"/>
      <c r="AF329" s="276"/>
    </row>
    <row r="330" customFormat="false" ht="15.75" hidden="false" customHeight="true" outlineLevel="0" collapsed="false">
      <c r="A330" s="276"/>
      <c r="B330" s="276"/>
      <c r="C330" s="344" t="s">
        <v>1619</v>
      </c>
      <c r="D330" s="338"/>
      <c r="E330" s="338"/>
      <c r="F330" s="339" t="str">
        <f aca="false">IFERROR(VLOOKUP(C330,TE!$H:$Y,2,FALSE()),"(Not on TE)")</f>
        <v>(Not on TE)</v>
      </c>
      <c r="G330" s="338"/>
      <c r="H330" s="338"/>
      <c r="I330" s="338"/>
      <c r="J330" s="338"/>
      <c r="K330" s="338"/>
      <c r="L330" s="338"/>
      <c r="M330" s="338"/>
      <c r="N330" s="338"/>
      <c r="O330" s="338"/>
      <c r="P330" s="338"/>
      <c r="Q330" s="338"/>
      <c r="R330" s="338"/>
      <c r="S330" s="338"/>
      <c r="T330" s="338"/>
      <c r="U330" s="340" t="str">
        <f aca="false">IFERROR(VLOOKUP(C330,TE!$H:$Y,9,FALSE()),"0")</f>
        <v>0</v>
      </c>
      <c r="V330" s="340"/>
      <c r="W330" s="341" t="n">
        <f aca="false">SUMIFS(TE!$O:$O,TE!$G:$G,$C$224,TE!$I:$I,C330,TE!$D:$D,$C$5)</f>
        <v>0</v>
      </c>
      <c r="X330" s="341"/>
      <c r="Y330" s="341" t="str">
        <f aca="false">IFERROR(VLOOKUP(C330,TE!$H:$Y,16,FALSE()),"0")</f>
        <v>0</v>
      </c>
      <c r="Z330" s="341"/>
      <c r="AA330" s="342" t="str">
        <f aca="false">IFERROR(VLOOKUP(C330,TE!$H:$Y,17,FALSE()),"0")</f>
        <v>0</v>
      </c>
      <c r="AB330" s="342"/>
      <c r="AC330" s="343" t="n">
        <f aca="false">IFERROR((W330*Y330*AA330),"")</f>
        <v>0</v>
      </c>
      <c r="AD330" s="343"/>
      <c r="AE330" s="343"/>
      <c r="AF330" s="276"/>
    </row>
    <row r="331" customFormat="false" ht="15.75" hidden="false" customHeight="true" outlineLevel="0" collapsed="false">
      <c r="A331" s="276"/>
      <c r="B331" s="276"/>
      <c r="C331" s="344" t="s">
        <v>1620</v>
      </c>
      <c r="D331" s="338"/>
      <c r="E331" s="338"/>
      <c r="F331" s="339" t="str">
        <f aca="false">IFERROR(VLOOKUP(C331,TE!$H:$Y,2,FALSE()),"(Not on TE)")</f>
        <v>(Not on TE)</v>
      </c>
      <c r="G331" s="338"/>
      <c r="H331" s="338"/>
      <c r="I331" s="338"/>
      <c r="J331" s="338"/>
      <c r="K331" s="338"/>
      <c r="L331" s="338"/>
      <c r="M331" s="338"/>
      <c r="N331" s="338"/>
      <c r="O331" s="338"/>
      <c r="P331" s="338"/>
      <c r="Q331" s="338"/>
      <c r="R331" s="338"/>
      <c r="S331" s="338"/>
      <c r="T331" s="338"/>
      <c r="U331" s="340" t="str">
        <f aca="false">IFERROR(VLOOKUP(C331,TE!$H:$Y,9,FALSE()),"0")</f>
        <v>0</v>
      </c>
      <c r="V331" s="340"/>
      <c r="W331" s="341" t="n">
        <f aca="false">SUMIFS(TE!$O:$O,TE!$G:$G,$C$224,TE!$I:$I,C331,TE!$D:$D,$C$5)</f>
        <v>0</v>
      </c>
      <c r="X331" s="341"/>
      <c r="Y331" s="341" t="str">
        <f aca="false">IFERROR(VLOOKUP(C331,TE!$H:$Y,16,FALSE()),"0")</f>
        <v>0</v>
      </c>
      <c r="Z331" s="341"/>
      <c r="AA331" s="342" t="str">
        <f aca="false">IFERROR(VLOOKUP(C331,TE!$H:$Y,17,FALSE()),"0")</f>
        <v>0</v>
      </c>
      <c r="AB331" s="342"/>
      <c r="AC331" s="343" t="n">
        <f aca="false">IFERROR((W331*Y331*AA331),"")</f>
        <v>0</v>
      </c>
      <c r="AD331" s="343"/>
      <c r="AE331" s="343"/>
      <c r="AF331" s="276"/>
    </row>
    <row r="332" customFormat="false" ht="15.75" hidden="false" customHeight="true" outlineLevel="0" collapsed="false">
      <c r="A332" s="276"/>
      <c r="B332" s="276"/>
      <c r="C332" s="344" t="s">
        <v>1621</v>
      </c>
      <c r="D332" s="338"/>
      <c r="E332" s="338"/>
      <c r="F332" s="339" t="str">
        <f aca="false">IFERROR(VLOOKUP(C332,TE!$H:$Y,2,FALSE()),"(Not on TE)")</f>
        <v>(Not on TE)</v>
      </c>
      <c r="G332" s="338"/>
      <c r="H332" s="338"/>
      <c r="I332" s="338"/>
      <c r="J332" s="338"/>
      <c r="K332" s="338"/>
      <c r="L332" s="338"/>
      <c r="M332" s="338"/>
      <c r="N332" s="338"/>
      <c r="O332" s="338"/>
      <c r="P332" s="338"/>
      <c r="Q332" s="338"/>
      <c r="R332" s="338"/>
      <c r="S332" s="338"/>
      <c r="T332" s="338"/>
      <c r="U332" s="340" t="str">
        <f aca="false">IFERROR(VLOOKUP(C332,TE!$H:$Y,9,FALSE()),"0")</f>
        <v>0</v>
      </c>
      <c r="V332" s="340"/>
      <c r="W332" s="341" t="n">
        <f aca="false">SUMIFS(TE!$O:$O,TE!$G:$G,$C$224,TE!$I:$I,C332,TE!$D:$D,$C$5)</f>
        <v>0</v>
      </c>
      <c r="X332" s="341"/>
      <c r="Y332" s="341" t="str">
        <f aca="false">IFERROR(VLOOKUP(C332,TE!$H:$Y,16,FALSE()),"0")</f>
        <v>0</v>
      </c>
      <c r="Z332" s="341"/>
      <c r="AA332" s="342" t="str">
        <f aca="false">IFERROR(VLOOKUP(C332,TE!$H:$Y,17,FALSE()),"0")</f>
        <v>0</v>
      </c>
      <c r="AB332" s="342"/>
      <c r="AC332" s="343" t="n">
        <f aca="false">IFERROR((W332*Y332*AA332),"")</f>
        <v>0</v>
      </c>
      <c r="AD332" s="343"/>
      <c r="AE332" s="343"/>
      <c r="AF332" s="276"/>
    </row>
    <row r="333" customFormat="false" ht="15.75" hidden="false" customHeight="true" outlineLevel="0" collapsed="false">
      <c r="A333" s="276"/>
      <c r="B333" s="276"/>
      <c r="C333" s="344" t="s">
        <v>1622</v>
      </c>
      <c r="D333" s="338"/>
      <c r="E333" s="338"/>
      <c r="F333" s="339" t="str">
        <f aca="false">IFERROR(VLOOKUP(C333,TE!$H:$Y,2,FALSE()),"(Not on TE)")</f>
        <v>(Not on TE)</v>
      </c>
      <c r="G333" s="338"/>
      <c r="H333" s="338"/>
      <c r="I333" s="338"/>
      <c r="J333" s="338"/>
      <c r="K333" s="338"/>
      <c r="L333" s="338"/>
      <c r="M333" s="338"/>
      <c r="N333" s="338"/>
      <c r="O333" s="338"/>
      <c r="P333" s="338"/>
      <c r="Q333" s="338"/>
      <c r="R333" s="338"/>
      <c r="S333" s="338"/>
      <c r="T333" s="338"/>
      <c r="U333" s="340" t="str">
        <f aca="false">IFERROR(VLOOKUP(C333,TE!$H:$Y,9,FALSE()),"0")</f>
        <v>0</v>
      </c>
      <c r="V333" s="340"/>
      <c r="W333" s="341" t="n">
        <f aca="false">SUMIFS(TE!$O:$O,TE!$G:$G,$C$224,TE!$I:$I,C333,TE!$D:$D,$C$5)</f>
        <v>0</v>
      </c>
      <c r="X333" s="341"/>
      <c r="Y333" s="341" t="str">
        <f aca="false">IFERROR(VLOOKUP(C333,TE!$H:$Y,16,FALSE()),"0")</f>
        <v>0</v>
      </c>
      <c r="Z333" s="341"/>
      <c r="AA333" s="342" t="str">
        <f aca="false">IFERROR(VLOOKUP(C333,TE!$H:$Y,17,FALSE()),"0")</f>
        <v>0</v>
      </c>
      <c r="AB333" s="342"/>
      <c r="AC333" s="343" t="n">
        <f aca="false">IFERROR((W333*Y333*AA333),"")</f>
        <v>0</v>
      </c>
      <c r="AD333" s="343"/>
      <c r="AE333" s="343"/>
      <c r="AF333" s="276"/>
    </row>
    <row r="334" customFormat="false" ht="15.75" hidden="false" customHeight="true" outlineLevel="0" collapsed="false">
      <c r="A334" s="276"/>
      <c r="B334" s="276"/>
      <c r="C334" s="344" t="s">
        <v>1193</v>
      </c>
      <c r="D334" s="338"/>
      <c r="E334" s="338"/>
      <c r="F334" s="339" t="str">
        <f aca="false">IFERROR(VLOOKUP(C334,TE!$H:$Y,2,FALSE()),"(Not on TE)")</f>
        <v>(Not on TE)</v>
      </c>
      <c r="G334" s="338"/>
      <c r="H334" s="338"/>
      <c r="I334" s="338"/>
      <c r="J334" s="338"/>
      <c r="K334" s="338"/>
      <c r="L334" s="338"/>
      <c r="M334" s="338"/>
      <c r="N334" s="338"/>
      <c r="O334" s="338"/>
      <c r="P334" s="338"/>
      <c r="Q334" s="338"/>
      <c r="R334" s="338"/>
      <c r="S334" s="338"/>
      <c r="T334" s="338"/>
      <c r="U334" s="340" t="str">
        <f aca="false">IFERROR(VLOOKUP(C334,TE!$H:$Y,9,FALSE()),"0")</f>
        <v>0</v>
      </c>
      <c r="V334" s="340"/>
      <c r="W334" s="341" t="n">
        <f aca="false">SUMIFS(TE!$O:$O,TE!$G:$G,$C$224,TE!$I:$I,C334,TE!$D:$D,$C$5)</f>
        <v>0</v>
      </c>
      <c r="X334" s="341"/>
      <c r="Y334" s="341" t="str">
        <f aca="false">IFERROR(VLOOKUP(C334,TE!$H:$Y,16,FALSE()),"0")</f>
        <v>0</v>
      </c>
      <c r="Z334" s="341"/>
      <c r="AA334" s="342" t="str">
        <f aca="false">IFERROR(VLOOKUP(C334,TE!$H:$Y,17,FALSE()),"0")</f>
        <v>0</v>
      </c>
      <c r="AB334" s="342"/>
      <c r="AC334" s="343" t="n">
        <f aca="false">IFERROR((W334*Y334*AA334),"")</f>
        <v>0</v>
      </c>
      <c r="AD334" s="343"/>
      <c r="AE334" s="343"/>
      <c r="AF334" s="276"/>
    </row>
    <row r="335" customFormat="false" ht="15.75" hidden="false" customHeight="true" outlineLevel="0" collapsed="false">
      <c r="A335" s="276"/>
      <c r="B335" s="276"/>
      <c r="C335" s="344" t="s">
        <v>1623</v>
      </c>
      <c r="D335" s="338"/>
      <c r="E335" s="338"/>
      <c r="F335" s="339" t="str">
        <f aca="false">IFERROR(VLOOKUP(C335,TE!$H:$Y,2,FALSE()),"(Not on TE)")</f>
        <v>(Not on TE)</v>
      </c>
      <c r="G335" s="338"/>
      <c r="H335" s="338"/>
      <c r="I335" s="338"/>
      <c r="J335" s="338"/>
      <c r="K335" s="338"/>
      <c r="L335" s="338"/>
      <c r="M335" s="338"/>
      <c r="N335" s="338"/>
      <c r="O335" s="338"/>
      <c r="P335" s="338"/>
      <c r="Q335" s="338"/>
      <c r="R335" s="338"/>
      <c r="S335" s="338"/>
      <c r="T335" s="338"/>
      <c r="U335" s="340" t="str">
        <f aca="false">IFERROR(VLOOKUP(C335,TE!$H:$Y,9,FALSE()),"0")</f>
        <v>0</v>
      </c>
      <c r="V335" s="340"/>
      <c r="W335" s="341" t="n">
        <f aca="false">SUMIFS(TE!$O:$O,TE!$G:$G,$C$224,TE!$I:$I,C335,TE!$D:$D,$C$5)</f>
        <v>0</v>
      </c>
      <c r="X335" s="341"/>
      <c r="Y335" s="341" t="str">
        <f aca="false">IFERROR(VLOOKUP(C335,TE!$H:$Y,16,FALSE()),"0")</f>
        <v>0</v>
      </c>
      <c r="Z335" s="341"/>
      <c r="AA335" s="342" t="str">
        <f aca="false">IFERROR(VLOOKUP(C335,TE!$H:$Y,17,FALSE()),"0")</f>
        <v>0</v>
      </c>
      <c r="AB335" s="342"/>
      <c r="AC335" s="343" t="n">
        <f aca="false">IFERROR((W335*Y335*AA335),"")</f>
        <v>0</v>
      </c>
      <c r="AD335" s="343"/>
      <c r="AE335" s="343"/>
      <c r="AF335" s="276"/>
    </row>
    <row r="336" customFormat="false" ht="15.75" hidden="false" customHeight="true" outlineLevel="0" collapsed="false">
      <c r="A336" s="276"/>
      <c r="B336" s="276"/>
      <c r="C336" s="344" t="s">
        <v>1624</v>
      </c>
      <c r="D336" s="338"/>
      <c r="E336" s="338"/>
      <c r="F336" s="339" t="str">
        <f aca="false">IFERROR(VLOOKUP(C336,TE!$H:$Y,2,FALSE()),"(Not on TE)")</f>
        <v>(Not on TE)</v>
      </c>
      <c r="G336" s="338"/>
      <c r="H336" s="338"/>
      <c r="I336" s="338"/>
      <c r="J336" s="338"/>
      <c r="K336" s="338"/>
      <c r="L336" s="338"/>
      <c r="M336" s="338"/>
      <c r="N336" s="338"/>
      <c r="O336" s="338"/>
      <c r="P336" s="338"/>
      <c r="Q336" s="338"/>
      <c r="R336" s="338"/>
      <c r="S336" s="338"/>
      <c r="T336" s="338"/>
      <c r="U336" s="340" t="str">
        <f aca="false">IFERROR(VLOOKUP(C336,TE!$H:$Y,9,FALSE()),"0")</f>
        <v>0</v>
      </c>
      <c r="V336" s="340"/>
      <c r="W336" s="341" t="n">
        <f aca="false">SUMIFS(TE!$O:$O,TE!$G:$G,$C$224,TE!$I:$I,C336,TE!$D:$D,$C$5)</f>
        <v>0</v>
      </c>
      <c r="X336" s="341"/>
      <c r="Y336" s="341" t="str">
        <f aca="false">IFERROR(VLOOKUP(C336,TE!$H:$Y,16,FALSE()),"0")</f>
        <v>0</v>
      </c>
      <c r="Z336" s="341"/>
      <c r="AA336" s="342" t="str">
        <f aca="false">IFERROR(VLOOKUP(C336,TE!$H:$Y,17,FALSE()),"0")</f>
        <v>0</v>
      </c>
      <c r="AB336" s="342"/>
      <c r="AC336" s="343" t="n">
        <f aca="false">IFERROR((W336*Y336*AA336),"")</f>
        <v>0</v>
      </c>
      <c r="AD336" s="343"/>
      <c r="AE336" s="343"/>
      <c r="AF336" s="276"/>
    </row>
    <row r="337" customFormat="false" ht="15.75" hidden="false" customHeight="true" outlineLevel="0" collapsed="false">
      <c r="A337" s="276"/>
      <c r="B337" s="276"/>
      <c r="C337" s="344" t="s">
        <v>1625</v>
      </c>
      <c r="D337" s="338"/>
      <c r="E337" s="338"/>
      <c r="F337" s="339" t="str">
        <f aca="false">IFERROR(VLOOKUP(C337,TE!$H:$Y,2,FALSE()),"(Not on TE)")</f>
        <v>(Not on TE)</v>
      </c>
      <c r="G337" s="338"/>
      <c r="H337" s="338"/>
      <c r="I337" s="338"/>
      <c r="J337" s="338"/>
      <c r="K337" s="338"/>
      <c r="L337" s="338"/>
      <c r="M337" s="338"/>
      <c r="N337" s="338"/>
      <c r="O337" s="338"/>
      <c r="P337" s="338"/>
      <c r="Q337" s="338"/>
      <c r="R337" s="338"/>
      <c r="S337" s="338"/>
      <c r="T337" s="338"/>
      <c r="U337" s="340" t="str">
        <f aca="false">IFERROR(VLOOKUP(C337,TE!$H:$Y,9,FALSE()),"0")</f>
        <v>0</v>
      </c>
      <c r="V337" s="340"/>
      <c r="W337" s="341" t="n">
        <f aca="false">SUMIFS(TE!$O:$O,TE!$G:$G,$C$224,TE!$I:$I,C337,TE!$D:$D,$C$5)</f>
        <v>0</v>
      </c>
      <c r="X337" s="341"/>
      <c r="Y337" s="341" t="str">
        <f aca="false">IFERROR(VLOOKUP(C337,TE!$H:$Y,16,FALSE()),"0")</f>
        <v>0</v>
      </c>
      <c r="Z337" s="341"/>
      <c r="AA337" s="342" t="str">
        <f aca="false">IFERROR(VLOOKUP(C337,TE!$H:$Y,17,FALSE()),"0")</f>
        <v>0</v>
      </c>
      <c r="AB337" s="342"/>
      <c r="AC337" s="343" t="n">
        <f aca="false">IFERROR((W337*Y337*AA337),"")</f>
        <v>0</v>
      </c>
      <c r="AD337" s="343"/>
      <c r="AE337" s="343"/>
      <c r="AF337" s="276"/>
    </row>
    <row r="338" customFormat="false" ht="15.75" hidden="false" customHeight="true" outlineLevel="0" collapsed="false">
      <c r="A338" s="276"/>
      <c r="B338" s="276"/>
      <c r="C338" s="344" t="s">
        <v>1309</v>
      </c>
      <c r="D338" s="338"/>
      <c r="E338" s="338"/>
      <c r="F338" s="339" t="str">
        <f aca="false">IFERROR(VLOOKUP(C338,TE!$H:$Y,2,FALSE()),"(Not on TE)")</f>
        <v>(Not on TE)</v>
      </c>
      <c r="G338" s="338"/>
      <c r="H338" s="338"/>
      <c r="I338" s="338"/>
      <c r="J338" s="338"/>
      <c r="K338" s="338"/>
      <c r="L338" s="338"/>
      <c r="M338" s="338"/>
      <c r="N338" s="338"/>
      <c r="O338" s="338"/>
      <c r="P338" s="338"/>
      <c r="Q338" s="338"/>
      <c r="R338" s="338"/>
      <c r="S338" s="338"/>
      <c r="T338" s="338"/>
      <c r="U338" s="340" t="str">
        <f aca="false">IFERROR(VLOOKUP(C338,TE!$H:$Y,9,FALSE()),"0")</f>
        <v>0</v>
      </c>
      <c r="V338" s="340"/>
      <c r="W338" s="341" t="n">
        <f aca="false">SUMIFS(TE!$O:$O,TE!$G:$G,$C$224,TE!$I:$I,C338,TE!$D:$D,$C$5)</f>
        <v>0</v>
      </c>
      <c r="X338" s="341"/>
      <c r="Y338" s="341" t="str">
        <f aca="false">IFERROR(VLOOKUP(C338,TE!$H:$Y,16,FALSE()),"0")</f>
        <v>0</v>
      </c>
      <c r="Z338" s="341"/>
      <c r="AA338" s="342" t="str">
        <f aca="false">IFERROR(VLOOKUP(C338,TE!$H:$Y,17,FALSE()),"0")</f>
        <v>0</v>
      </c>
      <c r="AB338" s="342"/>
      <c r="AC338" s="343" t="n">
        <f aca="false">IFERROR((W338*Y338*AA338),"")</f>
        <v>0</v>
      </c>
      <c r="AD338" s="343"/>
      <c r="AE338" s="343"/>
      <c r="AF338" s="276"/>
    </row>
    <row r="339" customFormat="false" ht="15.75" hidden="false" customHeight="true" outlineLevel="0" collapsed="false">
      <c r="A339" s="276"/>
      <c r="B339" s="276"/>
      <c r="C339" s="344" t="s">
        <v>1626</v>
      </c>
      <c r="D339" s="338"/>
      <c r="E339" s="338"/>
      <c r="F339" s="339" t="str">
        <f aca="false">IFERROR(VLOOKUP(C339,TE!$H:$Y,2,FALSE()),"(Not on TE)")</f>
        <v>(Not on TE)</v>
      </c>
      <c r="G339" s="338"/>
      <c r="H339" s="338"/>
      <c r="I339" s="338"/>
      <c r="J339" s="338"/>
      <c r="K339" s="338"/>
      <c r="L339" s="338"/>
      <c r="M339" s="338"/>
      <c r="N339" s="338"/>
      <c r="O339" s="338"/>
      <c r="P339" s="338"/>
      <c r="Q339" s="338"/>
      <c r="R339" s="338"/>
      <c r="S339" s="338"/>
      <c r="T339" s="338"/>
      <c r="U339" s="340" t="str">
        <f aca="false">IFERROR(VLOOKUP(C339,TE!$H:$Y,9,FALSE()),"0")</f>
        <v>0</v>
      </c>
      <c r="V339" s="340"/>
      <c r="W339" s="341" t="n">
        <f aca="false">SUMIFS(TE!$O:$O,TE!$G:$G,$C$224,TE!$I:$I,C339,TE!$D:$D,$C$5)</f>
        <v>0</v>
      </c>
      <c r="X339" s="341"/>
      <c r="Y339" s="341" t="str">
        <f aca="false">IFERROR(VLOOKUP(C339,TE!$H:$Y,16,FALSE()),"0")</f>
        <v>0</v>
      </c>
      <c r="Z339" s="341"/>
      <c r="AA339" s="342" t="str">
        <f aca="false">IFERROR(VLOOKUP(C339,TE!$H:$Y,17,FALSE()),"0")</f>
        <v>0</v>
      </c>
      <c r="AB339" s="342"/>
      <c r="AC339" s="343" t="n">
        <f aca="false">IFERROR((W339*Y339*AA339),"")</f>
        <v>0</v>
      </c>
      <c r="AD339" s="343"/>
      <c r="AE339" s="343"/>
      <c r="AF339" s="276"/>
    </row>
    <row r="340" customFormat="false" ht="15.75" hidden="false" customHeight="true" outlineLevel="0" collapsed="false">
      <c r="A340" s="276"/>
      <c r="B340" s="276"/>
      <c r="C340" s="344" t="s">
        <v>1627</v>
      </c>
      <c r="D340" s="338"/>
      <c r="E340" s="338"/>
      <c r="F340" s="339" t="str">
        <f aca="false">IFERROR(VLOOKUP(C340,TE!$H:$Y,2,FALSE()),"(Not on TE)")</f>
        <v>(Not on TE)</v>
      </c>
      <c r="G340" s="338"/>
      <c r="H340" s="338"/>
      <c r="I340" s="338"/>
      <c r="J340" s="338"/>
      <c r="K340" s="338"/>
      <c r="L340" s="338"/>
      <c r="M340" s="338"/>
      <c r="N340" s="338"/>
      <c r="O340" s="338"/>
      <c r="P340" s="338"/>
      <c r="Q340" s="338"/>
      <c r="R340" s="338"/>
      <c r="S340" s="338"/>
      <c r="T340" s="338"/>
      <c r="U340" s="340" t="str">
        <f aca="false">IFERROR(VLOOKUP(C340,TE!$H:$Y,9,FALSE()),"0")</f>
        <v>0</v>
      </c>
      <c r="V340" s="340"/>
      <c r="W340" s="341" t="n">
        <f aca="false">SUMIFS(TE!$O:$O,TE!$G:$G,$C$224,TE!$I:$I,C340,TE!$D:$D,$C$5)</f>
        <v>0</v>
      </c>
      <c r="X340" s="341"/>
      <c r="Y340" s="341" t="str">
        <f aca="false">IFERROR(VLOOKUP(C340,TE!$H:$Y,16,FALSE()),"0")</f>
        <v>0</v>
      </c>
      <c r="Z340" s="341"/>
      <c r="AA340" s="342" t="str">
        <f aca="false">IFERROR(VLOOKUP(C340,TE!$H:$Y,17,FALSE()),"0")</f>
        <v>0</v>
      </c>
      <c r="AB340" s="342"/>
      <c r="AC340" s="343" t="n">
        <f aca="false">IFERROR((W340*Y340*AA340),"")</f>
        <v>0</v>
      </c>
      <c r="AD340" s="343"/>
      <c r="AE340" s="343"/>
      <c r="AF340" s="276"/>
    </row>
    <row r="341" customFormat="false" ht="15.75" hidden="false" customHeight="true" outlineLevel="0" collapsed="false">
      <c r="A341" s="276"/>
      <c r="B341" s="276"/>
      <c r="C341" s="345" t="s">
        <v>1628</v>
      </c>
      <c r="D341" s="346"/>
      <c r="E341" s="346"/>
      <c r="F341" s="339" t="str">
        <f aca="false">IFERROR(VLOOKUP(C341,TE!$H:$Y,2,FALSE()),"(Not on TE)")</f>
        <v>(Not on TE)</v>
      </c>
      <c r="G341" s="347"/>
      <c r="H341" s="347"/>
      <c r="I341" s="347"/>
      <c r="J341" s="347"/>
      <c r="K341" s="347"/>
      <c r="L341" s="347"/>
      <c r="M341" s="347"/>
      <c r="N341" s="347"/>
      <c r="O341" s="347"/>
      <c r="P341" s="347"/>
      <c r="Q341" s="347"/>
      <c r="R341" s="347"/>
      <c r="S341" s="347"/>
      <c r="T341" s="347"/>
      <c r="U341" s="340" t="str">
        <f aca="false">IFERROR(VLOOKUP(C341,TE!$H:$Y,9,FALSE()),"0")</f>
        <v>0</v>
      </c>
      <c r="V341" s="340"/>
      <c r="W341" s="341" t="n">
        <f aca="false">SUMIFS(TE!$O:$O,TE!$G:$G,$C$224,TE!$I:$I,C341,TE!$D:$D,$C$5)</f>
        <v>0</v>
      </c>
      <c r="X341" s="341"/>
      <c r="Y341" s="341" t="str">
        <f aca="false">IFERROR(VLOOKUP(C341,TE!$H:$Y,16,FALSE()),"0")</f>
        <v>0</v>
      </c>
      <c r="Z341" s="341"/>
      <c r="AA341" s="342" t="str">
        <f aca="false">IFERROR(VLOOKUP(C341,TE!$H:$Y,17,FALSE()),"0")</f>
        <v>0</v>
      </c>
      <c r="AB341" s="342"/>
      <c r="AC341" s="343" t="n">
        <f aca="false">IFERROR((W341*Y341*AA341),"")</f>
        <v>0</v>
      </c>
      <c r="AD341" s="343"/>
      <c r="AE341" s="343"/>
      <c r="AF341" s="276"/>
    </row>
    <row r="342" customFormat="false" ht="15.75" hidden="false" customHeight="true" outlineLevel="0" collapsed="false">
      <c r="A342" s="276"/>
      <c r="B342" s="276"/>
      <c r="C342" s="345" t="s">
        <v>1291</v>
      </c>
      <c r="D342" s="346"/>
      <c r="E342" s="346"/>
      <c r="F342" s="339" t="str">
        <f aca="false">IFERROR(VLOOKUP(C342,TE!$H:$Y,2,FALSE()),"(Not on TE)")</f>
        <v>(Not on TE)</v>
      </c>
      <c r="G342" s="347"/>
      <c r="H342" s="347"/>
      <c r="I342" s="347"/>
      <c r="J342" s="347"/>
      <c r="K342" s="347"/>
      <c r="L342" s="347"/>
      <c r="M342" s="347"/>
      <c r="N342" s="347"/>
      <c r="O342" s="347"/>
      <c r="P342" s="347"/>
      <c r="Q342" s="347"/>
      <c r="R342" s="347"/>
      <c r="S342" s="347"/>
      <c r="T342" s="347"/>
      <c r="U342" s="340" t="str">
        <f aca="false">IFERROR(VLOOKUP(C342,TE!$H:$Y,9,FALSE()),"0")</f>
        <v>0</v>
      </c>
      <c r="V342" s="340"/>
      <c r="W342" s="341" t="n">
        <f aca="false">SUMIFS(TE!$O:$O,TE!$G:$G,$C$224,TE!$I:$I,C342,TE!$D:$D,$C$5)</f>
        <v>0</v>
      </c>
      <c r="X342" s="341"/>
      <c r="Y342" s="341" t="str">
        <f aca="false">IFERROR(VLOOKUP(C342,TE!$H:$Y,16,FALSE()),"0")</f>
        <v>0</v>
      </c>
      <c r="Z342" s="341"/>
      <c r="AA342" s="342" t="str">
        <f aca="false">IFERROR(VLOOKUP(C342,TE!$H:$Y,17,FALSE()),"0")</f>
        <v>0</v>
      </c>
      <c r="AB342" s="342"/>
      <c r="AC342" s="343" t="n">
        <f aca="false">IFERROR((W342*Y342*AA342),"")</f>
        <v>0</v>
      </c>
      <c r="AD342" s="343"/>
      <c r="AE342" s="343"/>
      <c r="AF342" s="276"/>
    </row>
    <row r="343" customFormat="false" ht="15.75" hidden="false" customHeight="true" outlineLevel="0" collapsed="false">
      <c r="A343" s="276"/>
      <c r="B343" s="276"/>
      <c r="C343" s="345" t="s">
        <v>1418</v>
      </c>
      <c r="D343" s="346"/>
      <c r="E343" s="346"/>
      <c r="F343" s="339" t="str">
        <f aca="false">IFERROR(VLOOKUP(C343,TE!$H:$Y,2,FALSE()),"(Not on TE)")</f>
        <v>(Not on TE)</v>
      </c>
      <c r="G343" s="347"/>
      <c r="H343" s="347"/>
      <c r="I343" s="347"/>
      <c r="J343" s="347"/>
      <c r="K343" s="347"/>
      <c r="L343" s="347"/>
      <c r="M343" s="347"/>
      <c r="N343" s="347"/>
      <c r="O343" s="347"/>
      <c r="P343" s="347"/>
      <c r="Q343" s="347"/>
      <c r="R343" s="347"/>
      <c r="S343" s="347"/>
      <c r="T343" s="347"/>
      <c r="U343" s="340" t="str">
        <f aca="false">IFERROR(VLOOKUP(C343,TE!$H:$Y,9,FALSE()),"0")</f>
        <v>0</v>
      </c>
      <c r="V343" s="340"/>
      <c r="W343" s="341" t="n">
        <f aca="false">SUMIFS(TE!$O:$O,TE!$G:$G,$C$224,TE!$I:$I,C343,TE!$D:$D,$C$5)</f>
        <v>0</v>
      </c>
      <c r="X343" s="341"/>
      <c r="Y343" s="341" t="str">
        <f aca="false">IFERROR(VLOOKUP(C343,TE!$H:$Y,16,FALSE()),"0")</f>
        <v>0</v>
      </c>
      <c r="Z343" s="341"/>
      <c r="AA343" s="342" t="str">
        <f aca="false">IFERROR(VLOOKUP(C343,TE!$H:$Y,17,FALSE()),"0")</f>
        <v>0</v>
      </c>
      <c r="AB343" s="342"/>
      <c r="AC343" s="343" t="n">
        <f aca="false">IFERROR((W343*Y343*AA343),"")</f>
        <v>0</v>
      </c>
      <c r="AD343" s="343"/>
      <c r="AE343" s="343"/>
      <c r="AF343" s="276"/>
    </row>
    <row r="344" customFormat="false" ht="15.75" hidden="false" customHeight="true" outlineLevel="0" collapsed="false">
      <c r="A344" s="276"/>
      <c r="B344" s="276"/>
      <c r="C344" s="345" t="s">
        <v>1195</v>
      </c>
      <c r="D344" s="346"/>
      <c r="E344" s="346"/>
      <c r="F344" s="339" t="str">
        <f aca="false">IFERROR(VLOOKUP(C344,TE!$H:$Y,2,FALSE()),"(Not on TE)")</f>
        <v>(Not on TE)</v>
      </c>
      <c r="G344" s="347"/>
      <c r="H344" s="347"/>
      <c r="I344" s="347"/>
      <c r="J344" s="347"/>
      <c r="K344" s="347"/>
      <c r="L344" s="347"/>
      <c r="M344" s="347"/>
      <c r="N344" s="347"/>
      <c r="O344" s="347"/>
      <c r="P344" s="347"/>
      <c r="Q344" s="347"/>
      <c r="R344" s="347"/>
      <c r="S344" s="347"/>
      <c r="T344" s="347"/>
      <c r="U344" s="340" t="str">
        <f aca="false">IFERROR(VLOOKUP(C344,TE!$H:$Y,9,FALSE()),"0")</f>
        <v>0</v>
      </c>
      <c r="V344" s="340"/>
      <c r="W344" s="341" t="n">
        <f aca="false">SUMIFS(TE!$O:$O,TE!$G:$G,$C$224,TE!$I:$I,C344,TE!$D:$D,$C$5)</f>
        <v>0</v>
      </c>
      <c r="X344" s="341"/>
      <c r="Y344" s="341" t="str">
        <f aca="false">IFERROR(VLOOKUP(C344,TE!$H:$Y,16,FALSE()),"0")</f>
        <v>0</v>
      </c>
      <c r="Z344" s="341"/>
      <c r="AA344" s="342" t="str">
        <f aca="false">IFERROR(VLOOKUP(C344,TE!$H:$Y,17,FALSE()),"0")</f>
        <v>0</v>
      </c>
      <c r="AB344" s="342"/>
      <c r="AC344" s="343" t="n">
        <f aca="false">IFERROR((W344*Y344*AA344),"")</f>
        <v>0</v>
      </c>
      <c r="AD344" s="343"/>
      <c r="AE344" s="343"/>
      <c r="AF344" s="276"/>
    </row>
    <row r="345" customFormat="false" ht="15.75" hidden="false" customHeight="true" outlineLevel="0" collapsed="false">
      <c r="A345" s="276"/>
      <c r="B345" s="276"/>
      <c r="C345" s="345" t="s">
        <v>1629</v>
      </c>
      <c r="D345" s="346"/>
      <c r="E345" s="346"/>
      <c r="F345" s="339" t="str">
        <f aca="false">IFERROR(VLOOKUP(C345,TE!$H:$Y,2,FALSE()),"(Not on TE)")</f>
        <v>(Not on TE)</v>
      </c>
      <c r="G345" s="347"/>
      <c r="H345" s="347"/>
      <c r="I345" s="347"/>
      <c r="J345" s="347"/>
      <c r="K345" s="347"/>
      <c r="L345" s="347"/>
      <c r="M345" s="347"/>
      <c r="N345" s="347"/>
      <c r="O345" s="347"/>
      <c r="P345" s="347"/>
      <c r="Q345" s="347"/>
      <c r="R345" s="347"/>
      <c r="S345" s="347"/>
      <c r="T345" s="347"/>
      <c r="U345" s="340" t="str">
        <f aca="false">IFERROR(VLOOKUP(C345,TE!$H:$Y,9,FALSE()),"0")</f>
        <v>0</v>
      </c>
      <c r="V345" s="340"/>
      <c r="W345" s="341" t="n">
        <f aca="false">SUMIFS(TE!$O:$O,TE!$G:$G,$C$224,TE!$I:$I,C345,TE!$D:$D,$C$5)</f>
        <v>0</v>
      </c>
      <c r="X345" s="341"/>
      <c r="Y345" s="341" t="str">
        <f aca="false">IFERROR(VLOOKUP(C345,TE!$H:$Y,16,FALSE()),"0")</f>
        <v>0</v>
      </c>
      <c r="Z345" s="341"/>
      <c r="AA345" s="342" t="str">
        <f aca="false">IFERROR(VLOOKUP(C345,TE!$H:$Y,17,FALSE()),"0")</f>
        <v>0</v>
      </c>
      <c r="AB345" s="342"/>
      <c r="AC345" s="343" t="n">
        <f aca="false">IFERROR((W345*Y345*AA345),"")</f>
        <v>0</v>
      </c>
      <c r="AD345" s="343"/>
      <c r="AE345" s="343"/>
      <c r="AF345" s="276"/>
    </row>
    <row r="346" customFormat="false" ht="15.75" hidden="false" customHeight="true" outlineLevel="0" collapsed="false">
      <c r="A346" s="276"/>
      <c r="B346" s="276"/>
      <c r="C346" s="345" t="s">
        <v>1630</v>
      </c>
      <c r="D346" s="346"/>
      <c r="E346" s="346"/>
      <c r="F346" s="339" t="str">
        <f aca="false">IFERROR(VLOOKUP(C346,TE!$H:$Y,2,FALSE()),"(Not on TE)")</f>
        <v>(Not on TE)</v>
      </c>
      <c r="G346" s="347"/>
      <c r="H346" s="347"/>
      <c r="I346" s="347"/>
      <c r="J346" s="347"/>
      <c r="K346" s="347"/>
      <c r="L346" s="347"/>
      <c r="M346" s="347"/>
      <c r="N346" s="347"/>
      <c r="O346" s="347"/>
      <c r="P346" s="347"/>
      <c r="Q346" s="347"/>
      <c r="R346" s="347"/>
      <c r="S346" s="347"/>
      <c r="T346" s="347"/>
      <c r="U346" s="340" t="str">
        <f aca="false">IFERROR(VLOOKUP(C346,TE!$H:$Y,9,FALSE()),"0")</f>
        <v>0</v>
      </c>
      <c r="V346" s="340"/>
      <c r="W346" s="341" t="n">
        <f aca="false">SUMIFS(TE!$O:$O,TE!$G:$G,$C$224,TE!$I:$I,C346,TE!$D:$D,$C$5)</f>
        <v>0</v>
      </c>
      <c r="X346" s="341"/>
      <c r="Y346" s="341" t="str">
        <f aca="false">IFERROR(VLOOKUP(C346,TE!$H:$Y,16,FALSE()),"0")</f>
        <v>0</v>
      </c>
      <c r="Z346" s="341"/>
      <c r="AA346" s="342" t="str">
        <f aca="false">IFERROR(VLOOKUP(C346,TE!$H:$Y,17,FALSE()),"0")</f>
        <v>0</v>
      </c>
      <c r="AB346" s="342"/>
      <c r="AC346" s="343" t="n">
        <f aca="false">IFERROR((W346*Y346*AA346),"")</f>
        <v>0</v>
      </c>
      <c r="AD346" s="343"/>
      <c r="AE346" s="343"/>
      <c r="AF346" s="276"/>
    </row>
    <row r="347" customFormat="false" ht="15.75" hidden="false" customHeight="true" outlineLevel="0" collapsed="false">
      <c r="A347" s="276"/>
      <c r="B347" s="276"/>
      <c r="C347" s="345" t="s">
        <v>1403</v>
      </c>
      <c r="D347" s="346"/>
      <c r="E347" s="346"/>
      <c r="F347" s="339" t="str">
        <f aca="false">IFERROR(VLOOKUP(C347,TE!$H:$Y,2,FALSE()),"(Not on TE)")</f>
        <v>(Not on TE)</v>
      </c>
      <c r="G347" s="347"/>
      <c r="H347" s="347"/>
      <c r="I347" s="347"/>
      <c r="J347" s="347"/>
      <c r="K347" s="347"/>
      <c r="L347" s="347"/>
      <c r="M347" s="347"/>
      <c r="N347" s="347"/>
      <c r="O347" s="347"/>
      <c r="P347" s="347"/>
      <c r="Q347" s="347"/>
      <c r="R347" s="347"/>
      <c r="S347" s="347"/>
      <c r="T347" s="347"/>
      <c r="U347" s="340" t="str">
        <f aca="false">IFERROR(VLOOKUP(C347,TE!$H:$Y,9,FALSE()),"0")</f>
        <v>0</v>
      </c>
      <c r="V347" s="340"/>
      <c r="W347" s="341" t="n">
        <f aca="false">SUMIFS(TE!$O:$O,TE!$G:$G,$C$224,TE!$I:$I,C347,TE!$D:$D,$C$5)</f>
        <v>0</v>
      </c>
      <c r="X347" s="341"/>
      <c r="Y347" s="341" t="str">
        <f aca="false">IFERROR(VLOOKUP(C347,TE!$H:$Y,16,FALSE()),"0")</f>
        <v>0</v>
      </c>
      <c r="Z347" s="341"/>
      <c r="AA347" s="342" t="str">
        <f aca="false">IFERROR(VLOOKUP(C347,TE!$H:$Y,17,FALSE()),"0")</f>
        <v>0</v>
      </c>
      <c r="AB347" s="342"/>
      <c r="AC347" s="343" t="n">
        <f aca="false">IFERROR((W347*Y347*AA347),"")</f>
        <v>0</v>
      </c>
      <c r="AD347" s="343"/>
      <c r="AE347" s="343"/>
      <c r="AF347" s="276"/>
    </row>
    <row r="348" customFormat="false" ht="15.75" hidden="false" customHeight="true" outlineLevel="0" collapsed="false">
      <c r="A348" s="276"/>
      <c r="B348" s="276"/>
      <c r="C348" s="344" t="s">
        <v>1487</v>
      </c>
      <c r="D348" s="346"/>
      <c r="E348" s="346"/>
      <c r="F348" s="339" t="str">
        <f aca="false">IFERROR(VLOOKUP(C348,TE!$H:$Y,2,FALSE()),"(Not on TE)")</f>
        <v>(Not on TE)</v>
      </c>
      <c r="G348" s="347"/>
      <c r="H348" s="347"/>
      <c r="I348" s="347"/>
      <c r="J348" s="347"/>
      <c r="K348" s="347"/>
      <c r="L348" s="347"/>
      <c r="M348" s="347"/>
      <c r="N348" s="347"/>
      <c r="O348" s="347"/>
      <c r="P348" s="347"/>
      <c r="Q348" s="347"/>
      <c r="R348" s="347"/>
      <c r="S348" s="347"/>
      <c r="T348" s="347"/>
      <c r="U348" s="340" t="str">
        <f aca="false">IFERROR(VLOOKUP(C348,TE!$H:$Y,9,FALSE()),"0")</f>
        <v>0</v>
      </c>
      <c r="V348" s="340"/>
      <c r="W348" s="341" t="n">
        <f aca="false">SUMIFS(TE!$O:$O,TE!$G:$G,$C$224,TE!$I:$I,C348,TE!$D:$D,$C$5)</f>
        <v>0</v>
      </c>
      <c r="X348" s="341"/>
      <c r="Y348" s="341" t="str">
        <f aca="false">IFERROR(VLOOKUP(C348,TE!$H:$Y,16,FALSE()),"0")</f>
        <v>0</v>
      </c>
      <c r="Z348" s="341"/>
      <c r="AA348" s="342" t="str">
        <f aca="false">IFERROR(VLOOKUP(C348,TE!$H:$Y,17,FALSE()),"0")</f>
        <v>0</v>
      </c>
      <c r="AB348" s="342"/>
      <c r="AC348" s="343" t="n">
        <f aca="false">IFERROR((W348*Y348*AA348),"")</f>
        <v>0</v>
      </c>
      <c r="AD348" s="343"/>
      <c r="AE348" s="343"/>
      <c r="AF348" s="276"/>
    </row>
    <row r="349" customFormat="false" ht="15.75" hidden="false" customHeight="true" outlineLevel="0" collapsed="false">
      <c r="A349" s="276"/>
      <c r="B349" s="276"/>
      <c r="C349" s="344" t="s">
        <v>1631</v>
      </c>
      <c r="D349" s="346"/>
      <c r="E349" s="346"/>
      <c r="F349" s="339" t="str">
        <f aca="false">IFERROR(VLOOKUP(C349,TE!$H:$Y,2,FALSE()),"(Not on TE)")</f>
        <v>(Not on TE)</v>
      </c>
      <c r="G349" s="347"/>
      <c r="H349" s="347"/>
      <c r="I349" s="347"/>
      <c r="J349" s="347"/>
      <c r="K349" s="347"/>
      <c r="L349" s="347"/>
      <c r="M349" s="347"/>
      <c r="N349" s="347"/>
      <c r="O349" s="347"/>
      <c r="P349" s="347"/>
      <c r="Q349" s="347"/>
      <c r="R349" s="347"/>
      <c r="S349" s="347"/>
      <c r="T349" s="347"/>
      <c r="U349" s="340" t="str">
        <f aca="false">IFERROR(VLOOKUP(C349,TE!$H:$Y,9,FALSE()),"0")</f>
        <v>0</v>
      </c>
      <c r="V349" s="340"/>
      <c r="W349" s="341" t="n">
        <f aca="false">SUMIFS(TE!$O:$O,TE!$G:$G,$C$224,TE!$I:$I,C349,TE!$D:$D,$C$5)</f>
        <v>0</v>
      </c>
      <c r="X349" s="341"/>
      <c r="Y349" s="341" t="str">
        <f aca="false">IFERROR(VLOOKUP(C349,TE!$H:$Y,16,FALSE()),"0")</f>
        <v>0</v>
      </c>
      <c r="Z349" s="341"/>
      <c r="AA349" s="342" t="str">
        <f aca="false">IFERROR(VLOOKUP(C349,TE!$H:$Y,17,FALSE()),"0")</f>
        <v>0</v>
      </c>
      <c r="AB349" s="342"/>
      <c r="AC349" s="343" t="n">
        <f aca="false">IFERROR((W349*Y349*AA349),"")</f>
        <v>0</v>
      </c>
      <c r="AD349" s="343"/>
      <c r="AE349" s="343"/>
      <c r="AF349" s="276"/>
    </row>
    <row r="350" customFormat="false" ht="15.75" hidden="false" customHeight="true" outlineLevel="0" collapsed="false">
      <c r="A350" s="276"/>
      <c r="B350" s="276"/>
      <c r="C350" s="345" t="s">
        <v>1632</v>
      </c>
      <c r="D350" s="346"/>
      <c r="E350" s="346"/>
      <c r="F350" s="339" t="str">
        <f aca="false">IFERROR(VLOOKUP(C350,TE!$H:$Y,2,FALSE()),"(Not on TE)")</f>
        <v>(Not on TE)</v>
      </c>
      <c r="G350" s="347"/>
      <c r="H350" s="347"/>
      <c r="I350" s="347"/>
      <c r="J350" s="347"/>
      <c r="K350" s="347"/>
      <c r="L350" s="347"/>
      <c r="M350" s="347"/>
      <c r="N350" s="347"/>
      <c r="O350" s="347"/>
      <c r="P350" s="347"/>
      <c r="Q350" s="347"/>
      <c r="R350" s="347"/>
      <c r="S350" s="347"/>
      <c r="T350" s="347"/>
      <c r="U350" s="340" t="str">
        <f aca="false">IFERROR(VLOOKUP(C350,TE!$H:$Y,9,FALSE()),"0")</f>
        <v>0</v>
      </c>
      <c r="V350" s="340"/>
      <c r="W350" s="341" t="n">
        <f aca="false">SUMIFS(TE!$O:$O,TE!$G:$G,$C$224,TE!$I:$I,C350,TE!$D:$D,$C$5)</f>
        <v>0</v>
      </c>
      <c r="X350" s="341"/>
      <c r="Y350" s="341" t="str">
        <f aca="false">IFERROR(VLOOKUP(C350,TE!$H:$Y,16,FALSE()),"0")</f>
        <v>0</v>
      </c>
      <c r="Z350" s="341"/>
      <c r="AA350" s="342" t="str">
        <f aca="false">IFERROR(VLOOKUP(C350,TE!$H:$Y,17,FALSE()),"0")</f>
        <v>0</v>
      </c>
      <c r="AB350" s="342"/>
      <c r="AC350" s="343" t="n">
        <f aca="false">IFERROR((W350*Y350*AA350),"")</f>
        <v>0</v>
      </c>
      <c r="AD350" s="343"/>
      <c r="AE350" s="343"/>
      <c r="AF350" s="276"/>
    </row>
    <row r="351" customFormat="false" ht="15.75" hidden="false" customHeight="true" outlineLevel="0" collapsed="false">
      <c r="A351" s="276"/>
      <c r="B351" s="276"/>
      <c r="C351" s="345" t="s">
        <v>1633</v>
      </c>
      <c r="D351" s="346"/>
      <c r="E351" s="346"/>
      <c r="F351" s="339" t="str">
        <f aca="false">IFERROR(VLOOKUP(C351,TE!$H:$Y,2,FALSE()),"(Not on TE)")</f>
        <v>(Not on TE)</v>
      </c>
      <c r="G351" s="347"/>
      <c r="H351" s="347"/>
      <c r="I351" s="347"/>
      <c r="J351" s="347"/>
      <c r="K351" s="347"/>
      <c r="L351" s="347"/>
      <c r="M351" s="347"/>
      <c r="N351" s="347"/>
      <c r="O351" s="347"/>
      <c r="P351" s="347"/>
      <c r="Q351" s="347"/>
      <c r="R351" s="347"/>
      <c r="S351" s="347"/>
      <c r="T351" s="347"/>
      <c r="U351" s="340" t="str">
        <f aca="false">IFERROR(VLOOKUP(C351,TE!$H:$Y,9,FALSE()),"0")</f>
        <v>0</v>
      </c>
      <c r="V351" s="340"/>
      <c r="W351" s="341" t="n">
        <f aca="false">SUMIFS(TE!$O:$O,TE!$G:$G,$C$224,TE!$I:$I,C351,TE!$D:$D,$C$5)</f>
        <v>0</v>
      </c>
      <c r="X351" s="341"/>
      <c r="Y351" s="341" t="str">
        <f aca="false">IFERROR(VLOOKUP(C351,TE!$H:$Y,16,FALSE()),"0")</f>
        <v>0</v>
      </c>
      <c r="Z351" s="341"/>
      <c r="AA351" s="342" t="str">
        <f aca="false">IFERROR(VLOOKUP(C351,TE!$H:$Y,17,FALSE()),"0")</f>
        <v>0</v>
      </c>
      <c r="AB351" s="342"/>
      <c r="AC351" s="343" t="n">
        <f aca="false">IFERROR((W351*Y351*AA351),"")</f>
        <v>0</v>
      </c>
      <c r="AD351" s="343"/>
      <c r="AE351" s="343"/>
      <c r="AF351" s="276"/>
    </row>
    <row r="352" customFormat="false" ht="15.75" hidden="false" customHeight="true" outlineLevel="0" collapsed="false">
      <c r="A352" s="276"/>
      <c r="B352" s="276"/>
      <c r="C352" s="345" t="s">
        <v>1634</v>
      </c>
      <c r="D352" s="346"/>
      <c r="E352" s="346"/>
      <c r="F352" s="339" t="str">
        <f aca="false">IFERROR(VLOOKUP(C352,TE!$H:$Y,2,FALSE()),"(Not on TE)")</f>
        <v>(Not on TE)</v>
      </c>
      <c r="G352" s="347"/>
      <c r="H352" s="347"/>
      <c r="I352" s="347"/>
      <c r="J352" s="347"/>
      <c r="K352" s="347"/>
      <c r="L352" s="347"/>
      <c r="M352" s="347"/>
      <c r="N352" s="347"/>
      <c r="O352" s="347"/>
      <c r="P352" s="347"/>
      <c r="Q352" s="347"/>
      <c r="R352" s="347"/>
      <c r="S352" s="347"/>
      <c r="T352" s="347"/>
      <c r="U352" s="340" t="str">
        <f aca="false">IFERROR(VLOOKUP(C352,TE!$H:$Y,9,FALSE()),"0")</f>
        <v>0</v>
      </c>
      <c r="V352" s="340"/>
      <c r="W352" s="341" t="n">
        <f aca="false">SUMIFS(TE!$O:$O,TE!$G:$G,$C$224,TE!$I:$I,C352,TE!$D:$D,$C$5)</f>
        <v>0</v>
      </c>
      <c r="X352" s="341"/>
      <c r="Y352" s="341" t="str">
        <f aca="false">IFERROR(VLOOKUP(C352,TE!$H:$Y,16,FALSE()),"0")</f>
        <v>0</v>
      </c>
      <c r="Z352" s="341"/>
      <c r="AA352" s="342" t="str">
        <f aca="false">IFERROR(VLOOKUP(C352,TE!$H:$Y,17,FALSE()),"0")</f>
        <v>0</v>
      </c>
      <c r="AB352" s="342"/>
      <c r="AC352" s="343" t="n">
        <f aca="false">IFERROR((W352*Y352*AA352),"")</f>
        <v>0</v>
      </c>
      <c r="AD352" s="343"/>
      <c r="AE352" s="343"/>
      <c r="AF352" s="276"/>
    </row>
    <row r="353" customFormat="false" ht="15.75" hidden="false" customHeight="true" outlineLevel="0" collapsed="false">
      <c r="A353" s="276"/>
      <c r="B353" s="276"/>
      <c r="C353" s="345" t="s">
        <v>1635</v>
      </c>
      <c r="D353" s="346"/>
      <c r="E353" s="346"/>
      <c r="F353" s="339" t="str">
        <f aca="false">IFERROR(VLOOKUP(C353,TE!$H:$Y,2,FALSE()),"(Not on TE)")</f>
        <v>(Not on TE)</v>
      </c>
      <c r="G353" s="347"/>
      <c r="H353" s="347"/>
      <c r="I353" s="347"/>
      <c r="J353" s="347"/>
      <c r="K353" s="347"/>
      <c r="L353" s="347"/>
      <c r="M353" s="347"/>
      <c r="N353" s="347"/>
      <c r="O353" s="347"/>
      <c r="P353" s="347"/>
      <c r="Q353" s="347"/>
      <c r="R353" s="347"/>
      <c r="S353" s="347"/>
      <c r="T353" s="347"/>
      <c r="U353" s="340" t="str">
        <f aca="false">IFERROR(VLOOKUP(C353,TE!$H:$Y,9,FALSE()),"0")</f>
        <v>0</v>
      </c>
      <c r="V353" s="340"/>
      <c r="W353" s="341" t="n">
        <f aca="false">SUMIFS(TE!$O:$O,TE!$G:$G,$C$224,TE!$I:$I,C353,TE!$D:$D,$C$5)</f>
        <v>0</v>
      </c>
      <c r="X353" s="341"/>
      <c r="Y353" s="341" t="str">
        <f aca="false">IFERROR(VLOOKUP(C353,TE!$H:$Y,16,FALSE()),"0")</f>
        <v>0</v>
      </c>
      <c r="Z353" s="341"/>
      <c r="AA353" s="342" t="str">
        <f aca="false">IFERROR(VLOOKUP(C353,TE!$H:$Y,17,FALSE()),"0")</f>
        <v>0</v>
      </c>
      <c r="AB353" s="342"/>
      <c r="AC353" s="343" t="n">
        <f aca="false">IFERROR((W353*Y353*AA353),"")</f>
        <v>0</v>
      </c>
      <c r="AD353" s="343"/>
      <c r="AE353" s="343"/>
      <c r="AF353" s="276"/>
    </row>
    <row r="354" customFormat="false" ht="15.75" hidden="false" customHeight="true" outlineLevel="0" collapsed="false">
      <c r="A354" s="276"/>
      <c r="B354" s="276"/>
      <c r="C354" s="345" t="s">
        <v>1636</v>
      </c>
      <c r="D354" s="346"/>
      <c r="E354" s="346"/>
      <c r="F354" s="339" t="str">
        <f aca="false">IFERROR(VLOOKUP(C354,TE!$H:$Y,2,FALSE()),"(Not on TE)")</f>
        <v>(Not on TE)</v>
      </c>
      <c r="G354" s="347"/>
      <c r="H354" s="347"/>
      <c r="I354" s="347"/>
      <c r="J354" s="347"/>
      <c r="K354" s="347"/>
      <c r="L354" s="347"/>
      <c r="M354" s="347"/>
      <c r="N354" s="347"/>
      <c r="O354" s="347"/>
      <c r="P354" s="347"/>
      <c r="Q354" s="347"/>
      <c r="R354" s="347"/>
      <c r="S354" s="347"/>
      <c r="T354" s="347"/>
      <c r="U354" s="340" t="str">
        <f aca="false">IFERROR(VLOOKUP(C354,TE!$H:$Y,9,FALSE()),"0")</f>
        <v>0</v>
      </c>
      <c r="V354" s="340"/>
      <c r="W354" s="341" t="n">
        <f aca="false">SUMIFS(TE!$O:$O,TE!$G:$G,$C$224,TE!$I:$I,C354,TE!$D:$D,$C$5)</f>
        <v>0</v>
      </c>
      <c r="X354" s="341"/>
      <c r="Y354" s="341" t="str">
        <f aca="false">IFERROR(VLOOKUP(C354,TE!$H:$Y,16,FALSE()),"0")</f>
        <v>0</v>
      </c>
      <c r="Z354" s="341"/>
      <c r="AA354" s="342" t="str">
        <f aca="false">IFERROR(VLOOKUP(C354,TE!$H:$Y,17,FALSE()),"0")</f>
        <v>0</v>
      </c>
      <c r="AB354" s="342"/>
      <c r="AC354" s="343" t="n">
        <f aca="false">IFERROR((W354*Y354*AA354),"")</f>
        <v>0</v>
      </c>
      <c r="AD354" s="343"/>
      <c r="AE354" s="343"/>
      <c r="AF354" s="276"/>
    </row>
    <row r="355" customFormat="false" ht="15.75" hidden="false" customHeight="true" outlineLevel="0" collapsed="false">
      <c r="A355" s="378"/>
      <c r="B355" s="378"/>
      <c r="C355" s="348" t="s">
        <v>1637</v>
      </c>
      <c r="D355" s="379"/>
      <c r="E355" s="379"/>
      <c r="F355" s="350" t="str">
        <f aca="false">IFERROR(VLOOKUP(C355,TE!$H:$Y,2,FALSE()),"(Not on TE)")</f>
        <v>(Not on TE)</v>
      </c>
      <c r="G355" s="380"/>
      <c r="H355" s="380"/>
      <c r="I355" s="380"/>
      <c r="J355" s="380"/>
      <c r="K355" s="380"/>
      <c r="L355" s="380"/>
      <c r="M355" s="380"/>
      <c r="N355" s="380"/>
      <c r="O355" s="380"/>
      <c r="P355" s="380"/>
      <c r="Q355" s="380"/>
      <c r="R355" s="380"/>
      <c r="S355" s="380"/>
      <c r="T355" s="380"/>
      <c r="U355" s="352" t="str">
        <f aca="false">IFERROR(VLOOKUP(C355,TE!$H:$Y,9,FALSE()),"0")</f>
        <v>0</v>
      </c>
      <c r="V355" s="352"/>
      <c r="W355" s="353" t="n">
        <f aca="false">SUMIFS(TE!$O:$O,TE!$G:$G,$C$224,TE!$I:$I,C355,TE!$D:$D,$C$5)</f>
        <v>0</v>
      </c>
      <c r="X355" s="353"/>
      <c r="Y355" s="353" t="str">
        <f aca="false">IFERROR(VLOOKUP(C355,TE!$H:$Y,16,FALSE()),"0")</f>
        <v>0</v>
      </c>
      <c r="Z355" s="353"/>
      <c r="AA355" s="354" t="str">
        <f aca="false">IFERROR(VLOOKUP(C355,TE!$H:$Y,17,FALSE()),"0")</f>
        <v>0</v>
      </c>
      <c r="AB355" s="354"/>
      <c r="AC355" s="343" t="n">
        <f aca="false">IFERROR((W355*Y355*AA355),"")</f>
        <v>0</v>
      </c>
      <c r="AD355" s="343"/>
      <c r="AE355" s="343"/>
      <c r="AF355" s="276"/>
    </row>
    <row r="356" customFormat="false" ht="15.75" hidden="false" customHeight="true" outlineLevel="0" collapsed="false">
      <c r="A356" s="378"/>
      <c r="B356" s="378"/>
      <c r="C356" s="338"/>
      <c r="D356" s="382"/>
      <c r="E356" s="382"/>
      <c r="F356" s="383"/>
      <c r="G356" s="383"/>
      <c r="H356" s="383"/>
      <c r="I356" s="383"/>
      <c r="J356" s="383"/>
      <c r="K356" s="383"/>
      <c r="L356" s="383"/>
      <c r="M356" s="383"/>
      <c r="N356" s="383"/>
      <c r="O356" s="383"/>
      <c r="P356" s="383"/>
      <c r="Q356" s="383"/>
      <c r="R356" s="383"/>
      <c r="S356" s="383"/>
      <c r="T356" s="383"/>
      <c r="U356" s="384"/>
      <c r="V356" s="384"/>
      <c r="W356" s="385"/>
      <c r="X356" s="385"/>
      <c r="Y356" s="385"/>
      <c r="Z356" s="296"/>
      <c r="AA356" s="392" t="s">
        <v>1576</v>
      </c>
      <c r="AB356" s="392"/>
      <c r="AC356" s="392"/>
      <c r="AD356" s="392"/>
      <c r="AE356" s="392"/>
      <c r="AF356" s="386"/>
    </row>
    <row r="357" customFormat="false" ht="15.75" hidden="false" customHeight="true" outlineLevel="0" collapsed="false">
      <c r="A357" s="378"/>
      <c r="B357" s="378"/>
      <c r="C357" s="338"/>
      <c r="D357" s="382"/>
      <c r="E357" s="382"/>
      <c r="F357" s="383"/>
      <c r="G357" s="383"/>
      <c r="H357" s="383"/>
      <c r="I357" s="383"/>
      <c r="J357" s="383"/>
      <c r="K357" s="383"/>
      <c r="L357" s="383"/>
      <c r="M357" s="383"/>
      <c r="N357" s="383"/>
      <c r="O357" s="383"/>
      <c r="P357" s="383"/>
      <c r="Q357" s="383"/>
      <c r="R357" s="383"/>
      <c r="S357" s="383"/>
      <c r="T357" s="383"/>
      <c r="U357" s="384"/>
      <c r="V357" s="384"/>
      <c r="W357" s="385"/>
      <c r="X357" s="385"/>
      <c r="Y357" s="385"/>
      <c r="Z357" s="385"/>
      <c r="AA357" s="387"/>
      <c r="AB357" s="387"/>
      <c r="AC357" s="388"/>
      <c r="AD357" s="388"/>
      <c r="AE357" s="388"/>
      <c r="AF357" s="386"/>
    </row>
    <row r="358" customFormat="false" ht="15.75" hidden="false" customHeight="true" outlineLevel="0" collapsed="false">
      <c r="A358" s="364"/>
      <c r="B358" s="364"/>
      <c r="C358" s="365"/>
      <c r="D358" s="366"/>
      <c r="E358" s="366"/>
      <c r="F358" s="367"/>
      <c r="G358" s="367"/>
      <c r="H358" s="367"/>
      <c r="I358" s="367"/>
      <c r="J358" s="367"/>
      <c r="K358" s="367"/>
      <c r="L358" s="367"/>
      <c r="M358" s="367"/>
      <c r="N358" s="367"/>
      <c r="O358" s="367"/>
      <c r="P358" s="367"/>
      <c r="Q358" s="367"/>
      <c r="R358" s="367"/>
      <c r="S358" s="367"/>
      <c r="T358" s="367"/>
      <c r="U358" s="368"/>
      <c r="V358" s="368"/>
      <c r="W358" s="369"/>
      <c r="X358" s="369"/>
      <c r="Y358" s="369"/>
      <c r="Z358" s="369"/>
      <c r="AA358" s="370"/>
      <c r="AB358" s="370"/>
      <c r="AC358" s="371"/>
      <c r="AD358" s="371"/>
      <c r="AE358" s="371"/>
      <c r="AF358" s="372"/>
    </row>
    <row r="359" customFormat="false" ht="15.75" hidden="false" customHeight="true" outlineLevel="0" collapsed="false">
      <c r="A359" s="259" t="s">
        <v>1522</v>
      </c>
      <c r="B359" s="259"/>
      <c r="C359" s="323" t="n">
        <f aca="false">$C$5</f>
        <v>14312</v>
      </c>
      <c r="D359" s="323"/>
      <c r="E359" s="323"/>
      <c r="F359" s="323"/>
      <c r="G359" s="323"/>
      <c r="H359" s="323"/>
      <c r="I359" s="323"/>
      <c r="J359" s="323"/>
      <c r="K359" s="323"/>
      <c r="L359" s="323"/>
      <c r="M359" s="259" t="s">
        <v>1523</v>
      </c>
      <c r="N359" s="259"/>
      <c r="O359" s="259"/>
      <c r="P359" s="259"/>
      <c r="Q359" s="259"/>
      <c r="R359" s="324" t="str">
        <f aca="false">$R$5</f>
        <v>Operational Vehicle Laydown Area</v>
      </c>
      <c r="S359" s="324"/>
      <c r="T359" s="324"/>
      <c r="U359" s="324"/>
      <c r="V359" s="324"/>
      <c r="W359" s="324"/>
      <c r="X359" s="324"/>
      <c r="Y359" s="324"/>
      <c r="Z359" s="324"/>
      <c r="AA359" s="324"/>
      <c r="AB359" s="324"/>
      <c r="AC359" s="324"/>
      <c r="AD359" s="324"/>
      <c r="AE359" s="324"/>
      <c r="AF359" s="324"/>
    </row>
    <row r="360" customFormat="false" ht="15.75" hidden="false" customHeight="true" outlineLevel="0" collapsed="false">
      <c r="A360" s="276"/>
      <c r="B360" s="276"/>
      <c r="C360" s="296"/>
      <c r="D360" s="276"/>
      <c r="E360" s="276"/>
      <c r="F360" s="296"/>
      <c r="G360" s="276"/>
      <c r="H360" s="276"/>
      <c r="I360" s="276"/>
      <c r="J360" s="276"/>
      <c r="K360" s="276"/>
      <c r="L360" s="276"/>
      <c r="M360" s="276"/>
      <c r="N360" s="276"/>
      <c r="O360" s="276"/>
      <c r="P360" s="276"/>
      <c r="Q360" s="276"/>
      <c r="R360" s="276"/>
      <c r="S360" s="276"/>
      <c r="T360" s="276"/>
      <c r="U360" s="276"/>
      <c r="V360" s="276"/>
      <c r="W360" s="277"/>
      <c r="X360" s="277"/>
      <c r="Y360" s="276"/>
      <c r="Z360" s="276"/>
      <c r="AA360" s="276"/>
      <c r="AB360" s="276"/>
      <c r="AC360" s="277"/>
      <c r="AD360" s="277"/>
      <c r="AE360" s="277"/>
      <c r="AF360" s="276"/>
    </row>
    <row r="361" customFormat="false" ht="15.75" hidden="false" customHeight="true" outlineLevel="0" collapsed="false">
      <c r="A361" s="276"/>
      <c r="B361" s="276"/>
      <c r="C361" s="325" t="s">
        <v>1542</v>
      </c>
      <c r="D361" s="276"/>
      <c r="E361" s="276"/>
      <c r="F361" s="296"/>
      <c r="G361" s="276"/>
      <c r="H361" s="276"/>
      <c r="I361" s="276"/>
      <c r="J361" s="276"/>
      <c r="K361" s="276"/>
      <c r="L361" s="276"/>
      <c r="M361" s="276"/>
      <c r="N361" s="276"/>
      <c r="O361" s="276"/>
      <c r="P361" s="276"/>
      <c r="Q361" s="276"/>
      <c r="R361" s="276"/>
      <c r="S361" s="276"/>
      <c r="T361" s="276"/>
      <c r="U361" s="276"/>
      <c r="V361" s="276"/>
      <c r="W361" s="277"/>
      <c r="X361" s="277"/>
      <c r="Y361" s="276"/>
      <c r="Z361" s="276"/>
      <c r="AA361" s="276"/>
      <c r="AB361" s="276"/>
      <c r="AC361" s="277"/>
      <c r="AD361" s="277"/>
      <c r="AE361" s="277"/>
      <c r="AF361" s="276"/>
    </row>
    <row r="362" customFormat="false" ht="15.75" hidden="false" customHeight="true" outlineLevel="0" collapsed="false">
      <c r="A362" s="276"/>
      <c r="B362" s="276"/>
      <c r="C362" s="391" t="str">
        <f aca="false">C316</f>
        <v>M28263</v>
      </c>
      <c r="D362" s="391"/>
      <c r="E362" s="391"/>
      <c r="F362" s="327" t="str">
        <f aca="false">F316</f>
        <v>SURGICAL CO A</v>
      </c>
      <c r="G362" s="327"/>
      <c r="H362" s="327"/>
      <c r="I362" s="327"/>
      <c r="J362" s="327"/>
      <c r="K362" s="327"/>
      <c r="L362" s="327"/>
      <c r="M362" s="327"/>
      <c r="N362" s="328"/>
      <c r="O362" s="329"/>
      <c r="P362" s="329"/>
      <c r="Q362" s="329"/>
      <c r="R362" s="329"/>
      <c r="S362" s="330"/>
      <c r="T362" s="295"/>
      <c r="U362" s="295"/>
      <c r="V362" s="295"/>
      <c r="W362" s="331"/>
      <c r="X362" s="331"/>
      <c r="Y362" s="295"/>
      <c r="Z362" s="295"/>
      <c r="AA362" s="295"/>
      <c r="AB362" s="295"/>
      <c r="AC362" s="332"/>
      <c r="AD362" s="332"/>
      <c r="AE362" s="332"/>
      <c r="AF362" s="276"/>
    </row>
    <row r="363" customFormat="false" ht="15.75" hidden="false" customHeight="true" outlineLevel="0" collapsed="false">
      <c r="A363" s="276"/>
      <c r="B363" s="276"/>
      <c r="C363" s="376" t="s">
        <v>1055</v>
      </c>
      <c r="D363" s="376"/>
      <c r="E363" s="376"/>
      <c r="F363" s="334" t="s">
        <v>13</v>
      </c>
      <c r="G363" s="334"/>
      <c r="H363" s="334"/>
      <c r="I363" s="334"/>
      <c r="J363" s="334"/>
      <c r="K363" s="334"/>
      <c r="L363" s="334"/>
      <c r="M363" s="334"/>
      <c r="N363" s="334"/>
      <c r="O363" s="334"/>
      <c r="P363" s="334"/>
      <c r="Q363" s="334"/>
      <c r="R363" s="334"/>
      <c r="S363" s="334"/>
      <c r="T363" s="334"/>
      <c r="U363" s="335" t="s">
        <v>1543</v>
      </c>
      <c r="V363" s="335"/>
      <c r="W363" s="335" t="s">
        <v>1544</v>
      </c>
      <c r="X363" s="335"/>
      <c r="Y363" s="335" t="s">
        <v>1545</v>
      </c>
      <c r="Z363" s="335"/>
      <c r="AA363" s="335" t="s">
        <v>1546</v>
      </c>
      <c r="AB363" s="335"/>
      <c r="AC363" s="336" t="s">
        <v>1547</v>
      </c>
      <c r="AD363" s="336"/>
      <c r="AE363" s="336"/>
      <c r="AF363" s="276"/>
    </row>
    <row r="364" customFormat="false" ht="15.75" hidden="false" customHeight="true" outlineLevel="0" collapsed="false">
      <c r="A364" s="276"/>
      <c r="B364" s="276"/>
      <c r="C364" s="376"/>
      <c r="D364" s="376"/>
      <c r="E364" s="376"/>
      <c r="F364" s="334"/>
      <c r="G364" s="334"/>
      <c r="H364" s="334"/>
      <c r="I364" s="334"/>
      <c r="J364" s="334"/>
      <c r="K364" s="334"/>
      <c r="L364" s="334"/>
      <c r="M364" s="334"/>
      <c r="N364" s="334"/>
      <c r="O364" s="334"/>
      <c r="P364" s="334"/>
      <c r="Q364" s="334"/>
      <c r="R364" s="334"/>
      <c r="S364" s="334"/>
      <c r="T364" s="334"/>
      <c r="U364" s="335"/>
      <c r="V364" s="335"/>
      <c r="W364" s="335"/>
      <c r="X364" s="335"/>
      <c r="Y364" s="335"/>
      <c r="Z364" s="335"/>
      <c r="AA364" s="335"/>
      <c r="AB364" s="335"/>
      <c r="AC364" s="336"/>
      <c r="AD364" s="336"/>
      <c r="AE364" s="336"/>
      <c r="AF364" s="276"/>
    </row>
    <row r="365" customFormat="false" ht="15.75" hidden="false" customHeight="true" outlineLevel="0" collapsed="false">
      <c r="A365" s="276"/>
      <c r="B365" s="276"/>
      <c r="C365" s="377" t="s">
        <v>1340</v>
      </c>
      <c r="D365" s="338"/>
      <c r="E365" s="338"/>
      <c r="F365" s="339" t="str">
        <f aca="false">IFERROR(VLOOKUP(C365,TE!$H:$Y,2,FALSE()),"(Not on TE)")</f>
        <v>(Not on TE)</v>
      </c>
      <c r="G365" s="338"/>
      <c r="H365" s="338"/>
      <c r="I365" s="338"/>
      <c r="J365" s="338"/>
      <c r="K365" s="338"/>
      <c r="L365" s="338"/>
      <c r="M365" s="338"/>
      <c r="N365" s="338"/>
      <c r="O365" s="338"/>
      <c r="P365" s="338"/>
      <c r="Q365" s="338"/>
      <c r="R365" s="338"/>
      <c r="S365" s="338"/>
      <c r="T365" s="338"/>
      <c r="U365" s="340" t="str">
        <f aca="false">IFERROR(VLOOKUP(C365,TE!$H:$Y,9,FALSE()),"0")</f>
        <v>0</v>
      </c>
      <c r="V365" s="340"/>
      <c r="W365" s="341" t="n">
        <f aca="false">SUMIFS(TE!$O:$O,TE!$G:$G,$C$224,TE!$I:$I,C365,TE!$D:$D,$C$5)</f>
        <v>0</v>
      </c>
      <c r="X365" s="341"/>
      <c r="Y365" s="341" t="str">
        <f aca="false">IFERROR(VLOOKUP(C365,TE!$H:$Y,16,FALSE()),"0")</f>
        <v>0</v>
      </c>
      <c r="Z365" s="341"/>
      <c r="AA365" s="342" t="str">
        <f aca="false">IFERROR(VLOOKUP(C365,TE!$H:$Y,17,FALSE()),"0")</f>
        <v>0</v>
      </c>
      <c r="AB365" s="342"/>
      <c r="AC365" s="343" t="n">
        <f aca="false">IFERROR((W365*Y365*AA365),"")</f>
        <v>0</v>
      </c>
      <c r="AD365" s="343"/>
      <c r="AE365" s="343"/>
      <c r="AF365" s="276"/>
    </row>
    <row r="366" customFormat="false" ht="15.75" hidden="false" customHeight="true" outlineLevel="0" collapsed="false">
      <c r="A366" s="276"/>
      <c r="B366" s="276"/>
      <c r="C366" s="377" t="s">
        <v>1638</v>
      </c>
      <c r="D366" s="338"/>
      <c r="E366" s="338"/>
      <c r="F366" s="339" t="str">
        <f aca="false">IFERROR(VLOOKUP(C366,TE!$H:$Y,2,FALSE()),"(Not on TE)")</f>
        <v>(Not on TE)</v>
      </c>
      <c r="G366" s="338"/>
      <c r="H366" s="338"/>
      <c r="I366" s="338"/>
      <c r="J366" s="338"/>
      <c r="K366" s="338"/>
      <c r="L366" s="338"/>
      <c r="M366" s="338"/>
      <c r="N366" s="338"/>
      <c r="O366" s="338"/>
      <c r="P366" s="338"/>
      <c r="Q366" s="338"/>
      <c r="R366" s="338"/>
      <c r="S366" s="338"/>
      <c r="T366" s="338"/>
      <c r="U366" s="340" t="str">
        <f aca="false">IFERROR(VLOOKUP(C366,TE!$H:$Y,9,FALSE()),"0")</f>
        <v>0</v>
      </c>
      <c r="V366" s="340"/>
      <c r="W366" s="341" t="n">
        <f aca="false">SUMIFS(TE!$O:$O,TE!$G:$G,$C$224,TE!$I:$I,C366,TE!$D:$D,$C$5)</f>
        <v>0</v>
      </c>
      <c r="X366" s="341"/>
      <c r="Y366" s="341" t="str">
        <f aca="false">IFERROR(VLOOKUP(C366,TE!$H:$Y,16,FALSE()),"0")</f>
        <v>0</v>
      </c>
      <c r="Z366" s="341"/>
      <c r="AA366" s="342" t="str">
        <f aca="false">IFERROR(VLOOKUP(C366,TE!$H:$Y,17,FALSE()),"0")</f>
        <v>0</v>
      </c>
      <c r="AB366" s="342"/>
      <c r="AC366" s="343" t="n">
        <f aca="false">IFERROR((W366*Y366*AA366),"")</f>
        <v>0</v>
      </c>
      <c r="AD366" s="343"/>
      <c r="AE366" s="343"/>
      <c r="AF366" s="276"/>
    </row>
    <row r="367" customFormat="false" ht="15.75" hidden="false" customHeight="true" outlineLevel="0" collapsed="false">
      <c r="A367" s="276"/>
      <c r="B367" s="276"/>
      <c r="C367" s="377" t="s">
        <v>1639</v>
      </c>
      <c r="D367" s="338"/>
      <c r="E367" s="338"/>
      <c r="F367" s="339" t="str">
        <f aca="false">IFERROR(VLOOKUP(C367,TE!$H:$Y,2,FALSE()),"(Not on TE)")</f>
        <v>(Not on TE)</v>
      </c>
      <c r="G367" s="338"/>
      <c r="H367" s="338"/>
      <c r="I367" s="338"/>
      <c r="J367" s="338"/>
      <c r="K367" s="338"/>
      <c r="L367" s="338"/>
      <c r="M367" s="338"/>
      <c r="N367" s="338"/>
      <c r="O367" s="338"/>
      <c r="P367" s="338"/>
      <c r="Q367" s="338"/>
      <c r="R367" s="338"/>
      <c r="S367" s="338"/>
      <c r="T367" s="338"/>
      <c r="U367" s="340" t="str">
        <f aca="false">IFERROR(VLOOKUP(C367,TE!$H:$Y,9,FALSE()),"0")</f>
        <v>0</v>
      </c>
      <c r="V367" s="340"/>
      <c r="W367" s="341" t="n">
        <f aca="false">SUMIFS(TE!$O:$O,TE!$G:$G,$C$224,TE!$I:$I,C367,TE!$D:$D,$C$5)</f>
        <v>0</v>
      </c>
      <c r="X367" s="341"/>
      <c r="Y367" s="341" t="str">
        <f aca="false">IFERROR(VLOOKUP(C367,TE!$H:$Y,16,FALSE()),"0")</f>
        <v>0</v>
      </c>
      <c r="Z367" s="341"/>
      <c r="AA367" s="342" t="str">
        <f aca="false">IFERROR(VLOOKUP(C367,TE!$H:$Y,17,FALSE()),"0")</f>
        <v>0</v>
      </c>
      <c r="AB367" s="342"/>
      <c r="AC367" s="343" t="n">
        <f aca="false">IFERROR((W367*Y367*AA367),"")</f>
        <v>0</v>
      </c>
      <c r="AD367" s="343"/>
      <c r="AE367" s="343"/>
      <c r="AF367" s="276"/>
    </row>
    <row r="368" customFormat="false" ht="15.75" hidden="false" customHeight="true" outlineLevel="0" collapsed="false">
      <c r="A368" s="276"/>
      <c r="B368" s="276"/>
      <c r="C368" s="377" t="s">
        <v>1514</v>
      </c>
      <c r="D368" s="338"/>
      <c r="E368" s="338"/>
      <c r="F368" s="339" t="str">
        <f aca="false">IFERROR(VLOOKUP(C368,TE!$H:$Y,2,FALSE()),"(Not on TE)")</f>
        <v>(Not on TE)</v>
      </c>
      <c r="G368" s="338"/>
      <c r="H368" s="338"/>
      <c r="I368" s="338"/>
      <c r="J368" s="338"/>
      <c r="K368" s="338"/>
      <c r="L368" s="338"/>
      <c r="M368" s="338"/>
      <c r="N368" s="338"/>
      <c r="O368" s="338"/>
      <c r="P368" s="338"/>
      <c r="Q368" s="338"/>
      <c r="R368" s="338"/>
      <c r="S368" s="338"/>
      <c r="T368" s="338"/>
      <c r="U368" s="340" t="str">
        <f aca="false">IFERROR(VLOOKUP(C368,TE!$H:$Y,9,FALSE()),"0")</f>
        <v>0</v>
      </c>
      <c r="V368" s="340"/>
      <c r="W368" s="341" t="n">
        <f aca="false">SUMIFS(TE!$O:$O,TE!$G:$G,$C$224,TE!$I:$I,C368,TE!$D:$D,$C$5)</f>
        <v>0</v>
      </c>
      <c r="X368" s="341"/>
      <c r="Y368" s="341" t="str">
        <f aca="false">IFERROR(VLOOKUP(C368,TE!$H:$Y,16,FALSE()),"0")</f>
        <v>0</v>
      </c>
      <c r="Z368" s="341"/>
      <c r="AA368" s="342" t="str">
        <f aca="false">IFERROR(VLOOKUP(C368,TE!$H:$Y,17,FALSE()),"0")</f>
        <v>0</v>
      </c>
      <c r="AB368" s="342"/>
      <c r="AC368" s="343" t="n">
        <f aca="false">IFERROR((W368*Y368*AA368),"")</f>
        <v>0</v>
      </c>
      <c r="AD368" s="343"/>
      <c r="AE368" s="343"/>
      <c r="AF368" s="276"/>
    </row>
    <row r="369" customFormat="false" ht="15.75" hidden="false" customHeight="true" outlineLevel="0" collapsed="false">
      <c r="A369" s="276"/>
      <c r="B369" s="276"/>
      <c r="C369" s="377" t="s">
        <v>1236</v>
      </c>
      <c r="D369" s="338"/>
      <c r="E369" s="338"/>
      <c r="F369" s="339" t="str">
        <f aca="false">IFERROR(VLOOKUP(C369,TE!$H:$Y,2,FALSE()),"(Not on TE)")</f>
        <v>(Not on TE)</v>
      </c>
      <c r="G369" s="338"/>
      <c r="H369" s="338"/>
      <c r="I369" s="338"/>
      <c r="J369" s="338"/>
      <c r="K369" s="338"/>
      <c r="L369" s="338"/>
      <c r="M369" s="338"/>
      <c r="N369" s="338"/>
      <c r="O369" s="338"/>
      <c r="P369" s="338"/>
      <c r="Q369" s="338"/>
      <c r="R369" s="338"/>
      <c r="S369" s="338"/>
      <c r="T369" s="338"/>
      <c r="U369" s="340" t="str">
        <f aca="false">IFERROR(VLOOKUP(C369,TE!$H:$Y,9,FALSE()),"0")</f>
        <v>0</v>
      </c>
      <c r="V369" s="340"/>
      <c r="W369" s="341" t="n">
        <f aca="false">SUMIFS(TE!$O:$O,TE!$G:$G,$C$224,TE!$I:$I,C369,TE!$D:$D,$C$5)</f>
        <v>0</v>
      </c>
      <c r="X369" s="341"/>
      <c r="Y369" s="341" t="str">
        <f aca="false">IFERROR(VLOOKUP(C369,TE!$H:$Y,16,FALSE()),"0")</f>
        <v>0</v>
      </c>
      <c r="Z369" s="341"/>
      <c r="AA369" s="342" t="str">
        <f aca="false">IFERROR(VLOOKUP(C369,TE!$H:$Y,17,FALSE()),"0")</f>
        <v>0</v>
      </c>
      <c r="AB369" s="342"/>
      <c r="AC369" s="343" t="n">
        <f aca="false">IFERROR((W369*Y369*AA369),"")</f>
        <v>0</v>
      </c>
      <c r="AD369" s="343"/>
      <c r="AE369" s="343"/>
      <c r="AF369" s="276"/>
    </row>
    <row r="370" customFormat="false" ht="15.75" hidden="false" customHeight="true" outlineLevel="0" collapsed="false">
      <c r="A370" s="276"/>
      <c r="B370" s="276"/>
      <c r="C370" s="377" t="s">
        <v>1500</v>
      </c>
      <c r="D370" s="338"/>
      <c r="E370" s="338"/>
      <c r="F370" s="339" t="str">
        <f aca="false">IFERROR(VLOOKUP(C370,TE!$H:$Y,2,FALSE()),"(Not on TE)")</f>
        <v>(Not on TE)</v>
      </c>
      <c r="G370" s="338"/>
      <c r="H370" s="338"/>
      <c r="I370" s="338"/>
      <c r="J370" s="338"/>
      <c r="K370" s="338"/>
      <c r="L370" s="338"/>
      <c r="M370" s="338"/>
      <c r="N370" s="338"/>
      <c r="O370" s="338"/>
      <c r="P370" s="338"/>
      <c r="Q370" s="338"/>
      <c r="R370" s="338"/>
      <c r="S370" s="338"/>
      <c r="T370" s="338"/>
      <c r="U370" s="340" t="str">
        <f aca="false">IFERROR(VLOOKUP(C370,TE!$H:$Y,9,FALSE()),"0")</f>
        <v>0</v>
      </c>
      <c r="V370" s="340"/>
      <c r="W370" s="341" t="n">
        <f aca="false">SUMIFS(TE!$O:$O,TE!$G:$G,$C$224,TE!$I:$I,C370,TE!$D:$D,$C$5)</f>
        <v>0</v>
      </c>
      <c r="X370" s="341"/>
      <c r="Y370" s="341" t="str">
        <f aca="false">IFERROR(VLOOKUP(C370,TE!$H:$Y,16,FALSE()),"0")</f>
        <v>0</v>
      </c>
      <c r="Z370" s="341"/>
      <c r="AA370" s="342" t="str">
        <f aca="false">IFERROR(VLOOKUP(C370,TE!$H:$Y,17,FALSE()),"0")</f>
        <v>0</v>
      </c>
      <c r="AB370" s="342"/>
      <c r="AC370" s="343" t="n">
        <f aca="false">IFERROR((W370*Y370*AA370),"")</f>
        <v>0</v>
      </c>
      <c r="AD370" s="343"/>
      <c r="AE370" s="343"/>
      <c r="AF370" s="276"/>
    </row>
    <row r="371" customFormat="false" ht="15.75" hidden="false" customHeight="true" outlineLevel="0" collapsed="false">
      <c r="A371" s="276"/>
      <c r="B371" s="276"/>
      <c r="C371" s="377" t="s">
        <v>1640</v>
      </c>
      <c r="D371" s="338"/>
      <c r="E371" s="338"/>
      <c r="F371" s="339" t="str">
        <f aca="false">IFERROR(VLOOKUP(C371,TE!$H:$Y,2,FALSE()),"(Not on TE)")</f>
        <v>(Not on TE)</v>
      </c>
      <c r="G371" s="338"/>
      <c r="H371" s="338"/>
      <c r="I371" s="338"/>
      <c r="J371" s="338"/>
      <c r="K371" s="338"/>
      <c r="L371" s="338"/>
      <c r="M371" s="338"/>
      <c r="N371" s="338"/>
      <c r="O371" s="338"/>
      <c r="P371" s="338"/>
      <c r="Q371" s="338"/>
      <c r="R371" s="338"/>
      <c r="S371" s="338"/>
      <c r="T371" s="338"/>
      <c r="U371" s="340" t="str">
        <f aca="false">IFERROR(VLOOKUP(C371,TE!$H:$Y,9,FALSE()),"0")</f>
        <v>0</v>
      </c>
      <c r="V371" s="340"/>
      <c r="W371" s="341" t="n">
        <f aca="false">SUMIFS(TE!$O:$O,TE!$G:$G,$C$224,TE!$I:$I,C371,TE!$D:$D,$C$5)</f>
        <v>0</v>
      </c>
      <c r="X371" s="341"/>
      <c r="Y371" s="341" t="str">
        <f aca="false">IFERROR(VLOOKUP(C371,TE!$H:$Y,16,FALSE()),"0")</f>
        <v>0</v>
      </c>
      <c r="Z371" s="341"/>
      <c r="AA371" s="342" t="str">
        <f aca="false">IFERROR(VLOOKUP(C371,TE!$H:$Y,17,FALSE()),"0")</f>
        <v>0</v>
      </c>
      <c r="AB371" s="342"/>
      <c r="AC371" s="343" t="n">
        <f aca="false">IFERROR((W371*Y371*AA371),"")</f>
        <v>0</v>
      </c>
      <c r="AD371" s="343"/>
      <c r="AE371" s="343"/>
      <c r="AF371" s="276"/>
    </row>
    <row r="372" customFormat="false" ht="15.75" hidden="false" customHeight="true" outlineLevel="0" collapsed="false">
      <c r="A372" s="276"/>
      <c r="B372" s="276"/>
      <c r="C372" s="377" t="s">
        <v>1222</v>
      </c>
      <c r="D372" s="338"/>
      <c r="E372" s="338"/>
      <c r="F372" s="339" t="str">
        <f aca="false">IFERROR(VLOOKUP(C372,TE!$H:$Y,2,FALSE()),"(Not on TE)")</f>
        <v>(Not on TE)</v>
      </c>
      <c r="G372" s="338"/>
      <c r="H372" s="338"/>
      <c r="I372" s="338"/>
      <c r="J372" s="338"/>
      <c r="K372" s="338"/>
      <c r="L372" s="338"/>
      <c r="M372" s="338"/>
      <c r="N372" s="338"/>
      <c r="O372" s="338"/>
      <c r="P372" s="338"/>
      <c r="Q372" s="338"/>
      <c r="R372" s="338"/>
      <c r="S372" s="338"/>
      <c r="T372" s="338"/>
      <c r="U372" s="340" t="str">
        <f aca="false">IFERROR(VLOOKUP(C372,TE!$H:$Y,9,FALSE()),"0")</f>
        <v>0</v>
      </c>
      <c r="V372" s="340"/>
      <c r="W372" s="341" t="n">
        <f aca="false">SUMIFS(TE!$O:$O,TE!$G:$G,$C$224,TE!$I:$I,C372,TE!$D:$D,$C$5)</f>
        <v>0</v>
      </c>
      <c r="X372" s="341"/>
      <c r="Y372" s="341" t="str">
        <f aca="false">IFERROR(VLOOKUP(C372,TE!$H:$Y,16,FALSE()),"0")</f>
        <v>0</v>
      </c>
      <c r="Z372" s="341"/>
      <c r="AA372" s="342" t="str">
        <f aca="false">IFERROR(VLOOKUP(C372,TE!$H:$Y,17,FALSE()),"0")</f>
        <v>0</v>
      </c>
      <c r="AB372" s="342"/>
      <c r="AC372" s="343" t="n">
        <f aca="false">IFERROR((W372*Y372*AA372),"")</f>
        <v>0</v>
      </c>
      <c r="AD372" s="343"/>
      <c r="AE372" s="343"/>
      <c r="AF372" s="276"/>
    </row>
    <row r="373" customFormat="false" ht="15.75" hidden="false" customHeight="true" outlineLevel="0" collapsed="false">
      <c r="A373" s="276"/>
      <c r="B373" s="276"/>
      <c r="C373" s="377"/>
      <c r="D373" s="338"/>
      <c r="E373" s="338"/>
      <c r="F373" s="339"/>
      <c r="G373" s="338"/>
      <c r="H373" s="338"/>
      <c r="I373" s="338"/>
      <c r="J373" s="338"/>
      <c r="K373" s="338"/>
      <c r="L373" s="338"/>
      <c r="M373" s="338"/>
      <c r="N373" s="338"/>
      <c r="O373" s="338"/>
      <c r="P373" s="338"/>
      <c r="Q373" s="338"/>
      <c r="R373" s="338"/>
      <c r="S373" s="338"/>
      <c r="T373" s="338"/>
      <c r="U373" s="340"/>
      <c r="V373" s="340"/>
      <c r="W373" s="341"/>
      <c r="X373" s="341"/>
      <c r="Y373" s="341"/>
      <c r="Z373" s="341"/>
      <c r="AA373" s="389"/>
      <c r="AB373" s="389"/>
      <c r="AC373" s="343"/>
      <c r="AD373" s="343"/>
      <c r="AE373" s="343"/>
      <c r="AF373" s="276"/>
    </row>
    <row r="374" customFormat="false" ht="15.75" hidden="false" customHeight="true" outlineLevel="0" collapsed="false">
      <c r="A374" s="276"/>
      <c r="B374" s="276"/>
      <c r="C374" s="377"/>
      <c r="D374" s="338"/>
      <c r="E374" s="338"/>
      <c r="F374" s="339"/>
      <c r="G374" s="338"/>
      <c r="H374" s="338"/>
      <c r="I374" s="338"/>
      <c r="J374" s="338"/>
      <c r="K374" s="338"/>
      <c r="L374" s="338"/>
      <c r="M374" s="338"/>
      <c r="N374" s="338"/>
      <c r="O374" s="338"/>
      <c r="P374" s="338"/>
      <c r="Q374" s="338"/>
      <c r="R374" s="338"/>
      <c r="S374" s="338"/>
      <c r="T374" s="338"/>
      <c r="U374" s="340"/>
      <c r="V374" s="340"/>
      <c r="W374" s="341"/>
      <c r="X374" s="341"/>
      <c r="Y374" s="341"/>
      <c r="Z374" s="341"/>
      <c r="AA374" s="389"/>
      <c r="AB374" s="389"/>
      <c r="AC374" s="343"/>
      <c r="AD374" s="343"/>
      <c r="AE374" s="343"/>
      <c r="AF374" s="276"/>
    </row>
    <row r="375" customFormat="false" ht="15.75" hidden="false" customHeight="true" outlineLevel="0" collapsed="false">
      <c r="A375" s="276"/>
      <c r="B375" s="276"/>
      <c r="C375" s="344"/>
      <c r="D375" s="338"/>
      <c r="E375" s="338"/>
      <c r="F375" s="339"/>
      <c r="G375" s="338"/>
      <c r="H375" s="338"/>
      <c r="I375" s="338"/>
      <c r="J375" s="338"/>
      <c r="K375" s="338"/>
      <c r="L375" s="338"/>
      <c r="M375" s="338"/>
      <c r="N375" s="338"/>
      <c r="O375" s="338"/>
      <c r="P375" s="338"/>
      <c r="Q375" s="338"/>
      <c r="R375" s="338"/>
      <c r="S375" s="338"/>
      <c r="T375" s="338"/>
      <c r="U375" s="340"/>
      <c r="V375" s="340"/>
      <c r="W375" s="341"/>
      <c r="X375" s="341"/>
      <c r="Y375" s="341"/>
      <c r="Z375" s="341"/>
      <c r="AA375" s="389"/>
      <c r="AB375" s="389"/>
      <c r="AC375" s="343"/>
      <c r="AD375" s="343"/>
      <c r="AE375" s="343"/>
      <c r="AF375" s="276"/>
    </row>
    <row r="376" customFormat="false" ht="15.75" hidden="false" customHeight="true" outlineLevel="0" collapsed="false">
      <c r="A376" s="276"/>
      <c r="B376" s="276"/>
      <c r="C376" s="344"/>
      <c r="D376" s="338"/>
      <c r="E376" s="338"/>
      <c r="F376" s="339"/>
      <c r="G376" s="338"/>
      <c r="H376" s="338"/>
      <c r="I376" s="338"/>
      <c r="J376" s="338"/>
      <c r="K376" s="338"/>
      <c r="L376" s="338"/>
      <c r="M376" s="338"/>
      <c r="N376" s="338"/>
      <c r="O376" s="338"/>
      <c r="P376" s="338"/>
      <c r="Q376" s="338"/>
      <c r="R376" s="338"/>
      <c r="S376" s="338"/>
      <c r="T376" s="338"/>
      <c r="U376" s="340"/>
      <c r="V376" s="340"/>
      <c r="W376" s="341"/>
      <c r="X376" s="341"/>
      <c r="Y376" s="341"/>
      <c r="Z376" s="341"/>
      <c r="AA376" s="389"/>
      <c r="AB376" s="389"/>
      <c r="AC376" s="343"/>
      <c r="AD376" s="343"/>
      <c r="AE376" s="343"/>
      <c r="AF376" s="276"/>
    </row>
    <row r="377" customFormat="false" ht="15.75" hidden="false" customHeight="true" outlineLevel="0" collapsed="false">
      <c r="A377" s="276"/>
      <c r="B377" s="276"/>
      <c r="C377" s="344"/>
      <c r="D377" s="338"/>
      <c r="E377" s="338"/>
      <c r="F377" s="339"/>
      <c r="G377" s="338"/>
      <c r="H377" s="338"/>
      <c r="I377" s="338"/>
      <c r="J377" s="338"/>
      <c r="K377" s="338"/>
      <c r="L377" s="338"/>
      <c r="M377" s="338"/>
      <c r="N377" s="338"/>
      <c r="O377" s="338"/>
      <c r="P377" s="338"/>
      <c r="Q377" s="338"/>
      <c r="R377" s="338"/>
      <c r="S377" s="338"/>
      <c r="T377" s="338"/>
      <c r="U377" s="340"/>
      <c r="V377" s="340"/>
      <c r="W377" s="341"/>
      <c r="X377" s="341"/>
      <c r="Y377" s="341"/>
      <c r="Z377" s="341"/>
      <c r="AA377" s="389"/>
      <c r="AB377" s="389"/>
      <c r="AC377" s="343"/>
      <c r="AD377" s="343"/>
      <c r="AE377" s="343"/>
      <c r="AF377" s="276"/>
    </row>
    <row r="378" customFormat="false" ht="15.75" hidden="false" customHeight="true" outlineLevel="0" collapsed="false">
      <c r="A378" s="276"/>
      <c r="B378" s="276"/>
      <c r="C378" s="344"/>
      <c r="D378" s="338"/>
      <c r="E378" s="338"/>
      <c r="F378" s="339"/>
      <c r="G378" s="338"/>
      <c r="H378" s="338"/>
      <c r="I378" s="338"/>
      <c r="J378" s="338"/>
      <c r="K378" s="338"/>
      <c r="L378" s="338"/>
      <c r="M378" s="338"/>
      <c r="N378" s="338"/>
      <c r="O378" s="338"/>
      <c r="P378" s="338"/>
      <c r="Q378" s="338"/>
      <c r="R378" s="338"/>
      <c r="S378" s="338"/>
      <c r="T378" s="338"/>
      <c r="U378" s="340"/>
      <c r="V378" s="340"/>
      <c r="W378" s="341"/>
      <c r="X378" s="341"/>
      <c r="Y378" s="341"/>
      <c r="Z378" s="341"/>
      <c r="AA378" s="389"/>
      <c r="AB378" s="389"/>
      <c r="AC378" s="343"/>
      <c r="AD378" s="343"/>
      <c r="AE378" s="343"/>
      <c r="AF378" s="276"/>
    </row>
    <row r="379" customFormat="false" ht="15.75" hidden="false" customHeight="true" outlineLevel="0" collapsed="false">
      <c r="A379" s="276"/>
      <c r="B379" s="276"/>
      <c r="C379" s="344"/>
      <c r="D379" s="338"/>
      <c r="E379" s="338"/>
      <c r="F379" s="339"/>
      <c r="G379" s="338"/>
      <c r="H379" s="338"/>
      <c r="I379" s="338"/>
      <c r="J379" s="338"/>
      <c r="K379" s="338"/>
      <c r="L379" s="338"/>
      <c r="M379" s="338"/>
      <c r="N379" s="338"/>
      <c r="O379" s="338"/>
      <c r="P379" s="338"/>
      <c r="Q379" s="338"/>
      <c r="R379" s="338"/>
      <c r="S379" s="338"/>
      <c r="T379" s="338"/>
      <c r="U379" s="340"/>
      <c r="V379" s="340"/>
      <c r="W379" s="341"/>
      <c r="X379" s="341"/>
      <c r="Y379" s="341"/>
      <c r="Z379" s="341"/>
      <c r="AA379" s="389"/>
      <c r="AB379" s="389"/>
      <c r="AC379" s="343"/>
      <c r="AD379" s="343"/>
      <c r="AE379" s="343"/>
      <c r="AF379" s="276"/>
    </row>
    <row r="380" customFormat="false" ht="15.75" hidden="false" customHeight="true" outlineLevel="0" collapsed="false">
      <c r="A380" s="276"/>
      <c r="B380" s="276"/>
      <c r="C380" s="344"/>
      <c r="D380" s="338"/>
      <c r="E380" s="338"/>
      <c r="F380" s="339"/>
      <c r="G380" s="338"/>
      <c r="H380" s="338"/>
      <c r="I380" s="338"/>
      <c r="J380" s="338"/>
      <c r="K380" s="338"/>
      <c r="L380" s="338"/>
      <c r="M380" s="338"/>
      <c r="N380" s="338"/>
      <c r="O380" s="338"/>
      <c r="P380" s="338"/>
      <c r="Q380" s="338"/>
      <c r="R380" s="338"/>
      <c r="S380" s="338"/>
      <c r="T380" s="338"/>
      <c r="U380" s="340"/>
      <c r="V380" s="340"/>
      <c r="W380" s="341"/>
      <c r="X380" s="341"/>
      <c r="Y380" s="341"/>
      <c r="Z380" s="341"/>
      <c r="AA380" s="389"/>
      <c r="AB380" s="389"/>
      <c r="AC380" s="343"/>
      <c r="AD380" s="343"/>
      <c r="AE380" s="343"/>
      <c r="AF380" s="276"/>
    </row>
    <row r="381" customFormat="false" ht="15.75" hidden="false" customHeight="true" outlineLevel="0" collapsed="false">
      <c r="A381" s="276"/>
      <c r="B381" s="276"/>
      <c r="C381" s="344"/>
      <c r="D381" s="338"/>
      <c r="E381" s="338"/>
      <c r="F381" s="339"/>
      <c r="G381" s="338"/>
      <c r="H381" s="338"/>
      <c r="I381" s="338"/>
      <c r="J381" s="338"/>
      <c r="K381" s="338"/>
      <c r="L381" s="338"/>
      <c r="M381" s="338"/>
      <c r="N381" s="338"/>
      <c r="O381" s="338"/>
      <c r="P381" s="338"/>
      <c r="Q381" s="338"/>
      <c r="R381" s="338"/>
      <c r="S381" s="338"/>
      <c r="T381" s="338"/>
      <c r="U381" s="340"/>
      <c r="V381" s="340"/>
      <c r="W381" s="341"/>
      <c r="X381" s="341"/>
      <c r="Y381" s="341"/>
      <c r="Z381" s="341"/>
      <c r="AA381" s="389"/>
      <c r="AB381" s="389"/>
      <c r="AC381" s="343"/>
      <c r="AD381" s="343"/>
      <c r="AE381" s="343"/>
      <c r="AF381" s="276"/>
    </row>
    <row r="382" customFormat="false" ht="15.75" hidden="false" customHeight="true" outlineLevel="0" collapsed="false">
      <c r="A382" s="276"/>
      <c r="B382" s="276"/>
      <c r="C382" s="344"/>
      <c r="D382" s="338"/>
      <c r="E382" s="338"/>
      <c r="F382" s="339"/>
      <c r="G382" s="338"/>
      <c r="H382" s="338"/>
      <c r="I382" s="338"/>
      <c r="J382" s="338"/>
      <c r="K382" s="338"/>
      <c r="L382" s="338"/>
      <c r="M382" s="338"/>
      <c r="N382" s="338"/>
      <c r="O382" s="338"/>
      <c r="P382" s="338"/>
      <c r="Q382" s="338"/>
      <c r="R382" s="338"/>
      <c r="S382" s="338"/>
      <c r="T382" s="338"/>
      <c r="U382" s="340"/>
      <c r="V382" s="340"/>
      <c r="W382" s="341"/>
      <c r="X382" s="341"/>
      <c r="Y382" s="341"/>
      <c r="Z382" s="341"/>
      <c r="AA382" s="389"/>
      <c r="AB382" s="389"/>
      <c r="AC382" s="343"/>
      <c r="AD382" s="343"/>
      <c r="AE382" s="343"/>
      <c r="AF382" s="276"/>
    </row>
    <row r="383" customFormat="false" ht="15.75" hidden="false" customHeight="true" outlineLevel="0" collapsed="false">
      <c r="A383" s="276"/>
      <c r="B383" s="276"/>
      <c r="C383" s="344"/>
      <c r="D383" s="338"/>
      <c r="E383" s="338"/>
      <c r="F383" s="339"/>
      <c r="G383" s="338"/>
      <c r="H383" s="338"/>
      <c r="I383" s="338"/>
      <c r="J383" s="338"/>
      <c r="K383" s="338"/>
      <c r="L383" s="338"/>
      <c r="M383" s="338"/>
      <c r="N383" s="338"/>
      <c r="O383" s="338"/>
      <c r="P383" s="338"/>
      <c r="Q383" s="338"/>
      <c r="R383" s="338"/>
      <c r="S383" s="338"/>
      <c r="T383" s="338"/>
      <c r="U383" s="340"/>
      <c r="V383" s="340"/>
      <c r="W383" s="341"/>
      <c r="X383" s="341"/>
      <c r="Y383" s="341"/>
      <c r="Z383" s="341"/>
      <c r="AA383" s="389"/>
      <c r="AB383" s="389"/>
      <c r="AC383" s="343"/>
      <c r="AD383" s="343"/>
      <c r="AE383" s="343"/>
      <c r="AF383" s="276"/>
    </row>
    <row r="384" customFormat="false" ht="15.75" hidden="false" customHeight="true" outlineLevel="0" collapsed="false">
      <c r="A384" s="276"/>
      <c r="B384" s="276"/>
      <c r="C384" s="344"/>
      <c r="D384" s="338"/>
      <c r="E384" s="338"/>
      <c r="F384" s="339"/>
      <c r="G384" s="338"/>
      <c r="H384" s="338"/>
      <c r="I384" s="338"/>
      <c r="J384" s="338"/>
      <c r="K384" s="338"/>
      <c r="L384" s="338"/>
      <c r="M384" s="338"/>
      <c r="N384" s="338"/>
      <c r="O384" s="338"/>
      <c r="P384" s="338"/>
      <c r="Q384" s="338"/>
      <c r="R384" s="338"/>
      <c r="S384" s="338"/>
      <c r="T384" s="338"/>
      <c r="U384" s="340"/>
      <c r="V384" s="340"/>
      <c r="W384" s="341"/>
      <c r="X384" s="341"/>
      <c r="Y384" s="341"/>
      <c r="Z384" s="341"/>
      <c r="AA384" s="389"/>
      <c r="AB384" s="389"/>
      <c r="AC384" s="343"/>
      <c r="AD384" s="343"/>
      <c r="AE384" s="343"/>
      <c r="AF384" s="276"/>
    </row>
    <row r="385" customFormat="false" ht="15.75" hidden="false" customHeight="true" outlineLevel="0" collapsed="false">
      <c r="A385" s="276"/>
      <c r="B385" s="276"/>
      <c r="C385" s="344"/>
      <c r="D385" s="338"/>
      <c r="E385" s="338"/>
      <c r="F385" s="339"/>
      <c r="G385" s="338"/>
      <c r="H385" s="338"/>
      <c r="I385" s="338"/>
      <c r="J385" s="338"/>
      <c r="K385" s="338"/>
      <c r="L385" s="338"/>
      <c r="M385" s="338"/>
      <c r="N385" s="338"/>
      <c r="O385" s="338"/>
      <c r="P385" s="338"/>
      <c r="Q385" s="338"/>
      <c r="R385" s="338"/>
      <c r="S385" s="338"/>
      <c r="T385" s="338"/>
      <c r="U385" s="340"/>
      <c r="V385" s="340"/>
      <c r="W385" s="341"/>
      <c r="X385" s="341"/>
      <c r="Y385" s="341"/>
      <c r="Z385" s="341"/>
      <c r="AA385" s="389"/>
      <c r="AB385" s="389"/>
      <c r="AC385" s="343"/>
      <c r="AD385" s="343"/>
      <c r="AE385" s="343"/>
      <c r="AF385" s="276"/>
    </row>
    <row r="386" customFormat="false" ht="15.75" hidden="false" customHeight="true" outlineLevel="0" collapsed="false">
      <c r="A386" s="276"/>
      <c r="B386" s="276"/>
      <c r="C386" s="344"/>
      <c r="D386" s="338"/>
      <c r="E386" s="338"/>
      <c r="F386" s="339"/>
      <c r="G386" s="338"/>
      <c r="H386" s="338"/>
      <c r="I386" s="338"/>
      <c r="J386" s="338"/>
      <c r="K386" s="338"/>
      <c r="L386" s="338"/>
      <c r="M386" s="338"/>
      <c r="N386" s="338"/>
      <c r="O386" s="338"/>
      <c r="P386" s="338"/>
      <c r="Q386" s="338"/>
      <c r="R386" s="338"/>
      <c r="S386" s="338"/>
      <c r="T386" s="338"/>
      <c r="U386" s="340"/>
      <c r="V386" s="340"/>
      <c r="W386" s="341"/>
      <c r="X386" s="341"/>
      <c r="Y386" s="341"/>
      <c r="Z386" s="341"/>
      <c r="AA386" s="389"/>
      <c r="AB386" s="389"/>
      <c r="AC386" s="343"/>
      <c r="AD386" s="343"/>
      <c r="AE386" s="343"/>
      <c r="AF386" s="276"/>
    </row>
    <row r="387" customFormat="false" ht="15.75" hidden="false" customHeight="true" outlineLevel="0" collapsed="false">
      <c r="A387" s="276"/>
      <c r="B387" s="276"/>
      <c r="C387" s="345"/>
      <c r="D387" s="346"/>
      <c r="E387" s="346"/>
      <c r="F387" s="339"/>
      <c r="G387" s="347"/>
      <c r="H387" s="347"/>
      <c r="I387" s="347"/>
      <c r="J387" s="347"/>
      <c r="K387" s="347"/>
      <c r="L387" s="347"/>
      <c r="M387" s="347"/>
      <c r="N387" s="347"/>
      <c r="O387" s="347"/>
      <c r="P387" s="347"/>
      <c r="Q387" s="347"/>
      <c r="R387" s="347"/>
      <c r="S387" s="347"/>
      <c r="T387" s="347"/>
      <c r="U387" s="340"/>
      <c r="V387" s="340"/>
      <c r="W387" s="341"/>
      <c r="X387" s="341"/>
      <c r="Y387" s="341"/>
      <c r="Z387" s="341"/>
      <c r="AA387" s="389"/>
      <c r="AB387" s="389"/>
      <c r="AC387" s="343"/>
      <c r="AD387" s="343"/>
      <c r="AE387" s="343"/>
      <c r="AF387" s="276"/>
    </row>
    <row r="388" customFormat="false" ht="15.75" hidden="false" customHeight="true" outlineLevel="0" collapsed="false">
      <c r="A388" s="276"/>
      <c r="B388" s="276"/>
      <c r="C388" s="345"/>
      <c r="D388" s="346"/>
      <c r="E388" s="346"/>
      <c r="F388" s="339"/>
      <c r="G388" s="347"/>
      <c r="H388" s="347"/>
      <c r="I388" s="347"/>
      <c r="J388" s="347"/>
      <c r="K388" s="347"/>
      <c r="L388" s="347"/>
      <c r="M388" s="347"/>
      <c r="N388" s="347"/>
      <c r="O388" s="347"/>
      <c r="P388" s="347"/>
      <c r="Q388" s="347"/>
      <c r="R388" s="347"/>
      <c r="S388" s="347"/>
      <c r="T388" s="347"/>
      <c r="U388" s="340"/>
      <c r="V388" s="340"/>
      <c r="W388" s="341"/>
      <c r="X388" s="341"/>
      <c r="Y388" s="341"/>
      <c r="Z388" s="341"/>
      <c r="AA388" s="389"/>
      <c r="AB388" s="389"/>
      <c r="AC388" s="343"/>
      <c r="AD388" s="343"/>
      <c r="AE388" s="343"/>
      <c r="AF388" s="276"/>
    </row>
    <row r="389" customFormat="false" ht="15.75" hidden="false" customHeight="true" outlineLevel="0" collapsed="false">
      <c r="A389" s="276"/>
      <c r="B389" s="276"/>
      <c r="C389" s="345"/>
      <c r="D389" s="346"/>
      <c r="E389" s="346"/>
      <c r="F389" s="339"/>
      <c r="G389" s="347"/>
      <c r="H389" s="347"/>
      <c r="I389" s="347"/>
      <c r="J389" s="347"/>
      <c r="K389" s="347"/>
      <c r="L389" s="347"/>
      <c r="M389" s="347"/>
      <c r="N389" s="347"/>
      <c r="O389" s="347"/>
      <c r="P389" s="347"/>
      <c r="Q389" s="347"/>
      <c r="R389" s="347"/>
      <c r="S389" s="347"/>
      <c r="T389" s="347"/>
      <c r="U389" s="340"/>
      <c r="V389" s="340"/>
      <c r="W389" s="341"/>
      <c r="X389" s="341"/>
      <c r="Y389" s="341"/>
      <c r="Z389" s="341"/>
      <c r="AA389" s="389"/>
      <c r="AB389" s="389"/>
      <c r="AC389" s="343"/>
      <c r="AD389" s="343"/>
      <c r="AE389" s="343"/>
      <c r="AF389" s="276"/>
    </row>
    <row r="390" customFormat="false" ht="15.75" hidden="false" customHeight="true" outlineLevel="0" collapsed="false">
      <c r="A390" s="276"/>
      <c r="B390" s="276"/>
      <c r="C390" s="345"/>
      <c r="D390" s="346"/>
      <c r="E390" s="346"/>
      <c r="F390" s="339"/>
      <c r="G390" s="347"/>
      <c r="H390" s="347"/>
      <c r="I390" s="347"/>
      <c r="J390" s="347"/>
      <c r="K390" s="347"/>
      <c r="L390" s="347"/>
      <c r="M390" s="347"/>
      <c r="N390" s="347"/>
      <c r="O390" s="347"/>
      <c r="P390" s="347"/>
      <c r="Q390" s="347"/>
      <c r="R390" s="347"/>
      <c r="S390" s="347"/>
      <c r="T390" s="347"/>
      <c r="U390" s="340"/>
      <c r="V390" s="340"/>
      <c r="W390" s="341"/>
      <c r="X390" s="341"/>
      <c r="Y390" s="341"/>
      <c r="Z390" s="341"/>
      <c r="AA390" s="389"/>
      <c r="AB390" s="389"/>
      <c r="AC390" s="343"/>
      <c r="AD390" s="343"/>
      <c r="AE390" s="343"/>
      <c r="AF390" s="276"/>
    </row>
    <row r="391" customFormat="false" ht="15.75" hidden="false" customHeight="true" outlineLevel="0" collapsed="false">
      <c r="A391" s="276"/>
      <c r="B391" s="276"/>
      <c r="C391" s="345"/>
      <c r="D391" s="346"/>
      <c r="E391" s="346"/>
      <c r="F391" s="339"/>
      <c r="G391" s="347"/>
      <c r="H391" s="347"/>
      <c r="I391" s="347"/>
      <c r="J391" s="347"/>
      <c r="K391" s="347"/>
      <c r="L391" s="347"/>
      <c r="M391" s="347"/>
      <c r="N391" s="347"/>
      <c r="O391" s="347"/>
      <c r="P391" s="347"/>
      <c r="Q391" s="347"/>
      <c r="R391" s="347"/>
      <c r="S391" s="347"/>
      <c r="T391" s="347"/>
      <c r="U391" s="340"/>
      <c r="V391" s="340"/>
      <c r="W391" s="341"/>
      <c r="X391" s="341"/>
      <c r="Y391" s="341"/>
      <c r="Z391" s="341"/>
      <c r="AA391" s="389"/>
      <c r="AB391" s="389"/>
      <c r="AC391" s="343"/>
      <c r="AD391" s="343"/>
      <c r="AE391" s="343"/>
      <c r="AF391" s="276"/>
    </row>
    <row r="392" customFormat="false" ht="15.75" hidden="false" customHeight="true" outlineLevel="0" collapsed="false">
      <c r="A392" s="276"/>
      <c r="B392" s="276"/>
      <c r="C392" s="345"/>
      <c r="D392" s="346"/>
      <c r="E392" s="346"/>
      <c r="F392" s="339"/>
      <c r="G392" s="347"/>
      <c r="H392" s="347"/>
      <c r="I392" s="347"/>
      <c r="J392" s="347"/>
      <c r="K392" s="347"/>
      <c r="L392" s="347"/>
      <c r="M392" s="347"/>
      <c r="N392" s="347"/>
      <c r="O392" s="347"/>
      <c r="P392" s="347"/>
      <c r="Q392" s="347"/>
      <c r="R392" s="347"/>
      <c r="S392" s="347"/>
      <c r="T392" s="347"/>
      <c r="U392" s="340"/>
      <c r="V392" s="340"/>
      <c r="W392" s="341"/>
      <c r="X392" s="341"/>
      <c r="Y392" s="341"/>
      <c r="Z392" s="341"/>
      <c r="AA392" s="389"/>
      <c r="AB392" s="389"/>
      <c r="AC392" s="343"/>
      <c r="AD392" s="343"/>
      <c r="AE392" s="343"/>
      <c r="AF392" s="276"/>
    </row>
    <row r="393" customFormat="false" ht="15.75" hidden="false" customHeight="true" outlineLevel="0" collapsed="false">
      <c r="A393" s="276"/>
      <c r="B393" s="276"/>
      <c r="C393" s="345"/>
      <c r="D393" s="346"/>
      <c r="E393" s="346"/>
      <c r="F393" s="339"/>
      <c r="G393" s="347"/>
      <c r="H393" s="347"/>
      <c r="I393" s="347"/>
      <c r="J393" s="347"/>
      <c r="K393" s="347"/>
      <c r="L393" s="347"/>
      <c r="M393" s="347"/>
      <c r="N393" s="347"/>
      <c r="O393" s="347"/>
      <c r="P393" s="347"/>
      <c r="Q393" s="347"/>
      <c r="R393" s="347"/>
      <c r="S393" s="347"/>
      <c r="T393" s="347"/>
      <c r="U393" s="340"/>
      <c r="V393" s="340"/>
      <c r="W393" s="341"/>
      <c r="X393" s="341"/>
      <c r="Y393" s="341"/>
      <c r="Z393" s="341"/>
      <c r="AA393" s="389"/>
      <c r="AB393" s="389"/>
      <c r="AC393" s="343"/>
      <c r="AD393" s="343"/>
      <c r="AE393" s="343"/>
      <c r="AF393" s="276"/>
    </row>
    <row r="394" customFormat="false" ht="15.75" hidden="false" customHeight="true" outlineLevel="0" collapsed="false">
      <c r="A394" s="276"/>
      <c r="B394" s="276"/>
      <c r="C394" s="344"/>
      <c r="D394" s="346"/>
      <c r="E394" s="346"/>
      <c r="F394" s="339"/>
      <c r="G394" s="347"/>
      <c r="H394" s="347"/>
      <c r="I394" s="347"/>
      <c r="J394" s="347"/>
      <c r="K394" s="347"/>
      <c r="L394" s="347"/>
      <c r="M394" s="347"/>
      <c r="N394" s="347"/>
      <c r="O394" s="347"/>
      <c r="P394" s="347"/>
      <c r="Q394" s="347"/>
      <c r="R394" s="347"/>
      <c r="S394" s="347"/>
      <c r="T394" s="347"/>
      <c r="U394" s="340"/>
      <c r="V394" s="340"/>
      <c r="W394" s="341"/>
      <c r="X394" s="341"/>
      <c r="Y394" s="341"/>
      <c r="Z394" s="341"/>
      <c r="AA394" s="389"/>
      <c r="AB394" s="389"/>
      <c r="AC394" s="343"/>
      <c r="AD394" s="343"/>
      <c r="AE394" s="343"/>
      <c r="AF394" s="276"/>
    </row>
    <row r="395" customFormat="false" ht="15.75" hidden="false" customHeight="true" outlineLevel="0" collapsed="false">
      <c r="A395" s="276"/>
      <c r="B395" s="276"/>
      <c r="C395" s="344"/>
      <c r="D395" s="346"/>
      <c r="E395" s="346"/>
      <c r="F395" s="339"/>
      <c r="G395" s="347"/>
      <c r="H395" s="347"/>
      <c r="I395" s="347"/>
      <c r="J395" s="347"/>
      <c r="K395" s="347"/>
      <c r="L395" s="347"/>
      <c r="M395" s="347"/>
      <c r="N395" s="347"/>
      <c r="O395" s="347"/>
      <c r="P395" s="347"/>
      <c r="Q395" s="347"/>
      <c r="R395" s="347"/>
      <c r="S395" s="347"/>
      <c r="T395" s="347"/>
      <c r="U395" s="340"/>
      <c r="V395" s="340"/>
      <c r="W395" s="341"/>
      <c r="X395" s="341"/>
      <c r="Y395" s="341"/>
      <c r="Z395" s="341"/>
      <c r="AA395" s="389"/>
      <c r="AB395" s="389"/>
      <c r="AC395" s="343"/>
      <c r="AD395" s="343"/>
      <c r="AE395" s="343"/>
      <c r="AF395" s="276"/>
    </row>
    <row r="396" customFormat="false" ht="15.75" hidden="false" customHeight="true" outlineLevel="0" collapsed="false">
      <c r="A396" s="276"/>
      <c r="B396" s="276"/>
      <c r="C396" s="345"/>
      <c r="D396" s="346"/>
      <c r="E396" s="346"/>
      <c r="F396" s="339"/>
      <c r="G396" s="347"/>
      <c r="H396" s="347"/>
      <c r="I396" s="347"/>
      <c r="J396" s="347"/>
      <c r="K396" s="347"/>
      <c r="L396" s="347"/>
      <c r="M396" s="347"/>
      <c r="N396" s="347"/>
      <c r="O396" s="347"/>
      <c r="P396" s="347"/>
      <c r="Q396" s="347"/>
      <c r="R396" s="347"/>
      <c r="S396" s="347"/>
      <c r="T396" s="347"/>
      <c r="U396" s="340"/>
      <c r="V396" s="340"/>
      <c r="W396" s="341"/>
      <c r="X396" s="341"/>
      <c r="Y396" s="341"/>
      <c r="Z396" s="341"/>
      <c r="AA396" s="389"/>
      <c r="AB396" s="389"/>
      <c r="AC396" s="343"/>
      <c r="AD396" s="343"/>
      <c r="AE396" s="343"/>
      <c r="AF396" s="276"/>
    </row>
    <row r="397" customFormat="false" ht="15.75" hidden="false" customHeight="true" outlineLevel="0" collapsed="false">
      <c r="A397" s="276"/>
      <c r="B397" s="276"/>
      <c r="C397" s="345"/>
      <c r="D397" s="346"/>
      <c r="E397" s="346"/>
      <c r="F397" s="339"/>
      <c r="G397" s="347"/>
      <c r="H397" s="347"/>
      <c r="I397" s="347"/>
      <c r="J397" s="347"/>
      <c r="K397" s="347"/>
      <c r="L397" s="347"/>
      <c r="M397" s="347"/>
      <c r="N397" s="347"/>
      <c r="O397" s="347"/>
      <c r="P397" s="347"/>
      <c r="Q397" s="347"/>
      <c r="R397" s="347"/>
      <c r="S397" s="347"/>
      <c r="T397" s="347"/>
      <c r="U397" s="340"/>
      <c r="V397" s="340"/>
      <c r="W397" s="341"/>
      <c r="X397" s="341"/>
      <c r="Y397" s="341"/>
      <c r="Z397" s="341"/>
      <c r="AA397" s="389"/>
      <c r="AB397" s="389"/>
      <c r="AC397" s="343"/>
      <c r="AD397" s="343"/>
      <c r="AE397" s="343"/>
      <c r="AF397" s="276"/>
    </row>
    <row r="398" customFormat="false" ht="15.75" hidden="false" customHeight="true" outlineLevel="0" collapsed="false">
      <c r="A398" s="276"/>
      <c r="B398" s="276"/>
      <c r="C398" s="345"/>
      <c r="D398" s="346"/>
      <c r="E398" s="346"/>
      <c r="F398" s="339"/>
      <c r="G398" s="347"/>
      <c r="H398" s="347"/>
      <c r="I398" s="347"/>
      <c r="J398" s="347"/>
      <c r="K398" s="347"/>
      <c r="L398" s="347"/>
      <c r="M398" s="347"/>
      <c r="N398" s="347"/>
      <c r="O398" s="347"/>
      <c r="P398" s="347"/>
      <c r="Q398" s="347"/>
      <c r="R398" s="347"/>
      <c r="S398" s="347"/>
      <c r="T398" s="347"/>
      <c r="U398" s="340"/>
      <c r="V398" s="340"/>
      <c r="W398" s="341"/>
      <c r="X398" s="341"/>
      <c r="Y398" s="341"/>
      <c r="Z398" s="341"/>
      <c r="AA398" s="389"/>
      <c r="AB398" s="389"/>
      <c r="AC398" s="343"/>
      <c r="AD398" s="343"/>
      <c r="AE398" s="343"/>
      <c r="AF398" s="276"/>
    </row>
    <row r="399" customFormat="false" ht="15.75" hidden="false" customHeight="true" outlineLevel="0" collapsed="false">
      <c r="A399" s="276"/>
      <c r="B399" s="276"/>
      <c r="C399" s="345"/>
      <c r="D399" s="346"/>
      <c r="E399" s="346"/>
      <c r="F399" s="339"/>
      <c r="G399" s="347"/>
      <c r="H399" s="347"/>
      <c r="I399" s="347"/>
      <c r="J399" s="347"/>
      <c r="K399" s="347"/>
      <c r="L399" s="347"/>
      <c r="M399" s="347"/>
      <c r="N399" s="347"/>
      <c r="O399" s="347"/>
      <c r="P399" s="347"/>
      <c r="Q399" s="347"/>
      <c r="R399" s="347"/>
      <c r="S399" s="347"/>
      <c r="T399" s="347"/>
      <c r="U399" s="340"/>
      <c r="V399" s="340"/>
      <c r="W399" s="341"/>
      <c r="X399" s="341"/>
      <c r="Y399" s="341"/>
      <c r="Z399" s="341"/>
      <c r="AA399" s="389"/>
      <c r="AB399" s="389"/>
      <c r="AC399" s="343"/>
      <c r="AD399" s="343"/>
      <c r="AE399" s="343"/>
      <c r="AF399" s="276"/>
    </row>
    <row r="400" customFormat="false" ht="15.75" hidden="false" customHeight="true" outlineLevel="0" collapsed="false">
      <c r="A400" s="276"/>
      <c r="B400" s="276"/>
      <c r="C400" s="345"/>
      <c r="D400" s="346"/>
      <c r="E400" s="346"/>
      <c r="F400" s="339"/>
      <c r="G400" s="347"/>
      <c r="H400" s="347"/>
      <c r="I400" s="347"/>
      <c r="J400" s="347"/>
      <c r="K400" s="347"/>
      <c r="L400" s="347"/>
      <c r="M400" s="347"/>
      <c r="N400" s="347"/>
      <c r="O400" s="347"/>
      <c r="P400" s="347"/>
      <c r="Q400" s="347"/>
      <c r="R400" s="347"/>
      <c r="S400" s="347"/>
      <c r="T400" s="347"/>
      <c r="U400" s="340"/>
      <c r="V400" s="340"/>
      <c r="W400" s="341"/>
      <c r="X400" s="341"/>
      <c r="Y400" s="341"/>
      <c r="Z400" s="341"/>
      <c r="AA400" s="389"/>
      <c r="AB400" s="389"/>
      <c r="AC400" s="343"/>
      <c r="AD400" s="343"/>
      <c r="AE400" s="343"/>
      <c r="AF400" s="276"/>
    </row>
    <row r="401" customFormat="false" ht="15.75" hidden="false" customHeight="true" outlineLevel="0" collapsed="false">
      <c r="A401" s="378"/>
      <c r="B401" s="378"/>
      <c r="C401" s="348"/>
      <c r="D401" s="379"/>
      <c r="E401" s="379"/>
      <c r="F401" s="350"/>
      <c r="G401" s="380"/>
      <c r="H401" s="380"/>
      <c r="I401" s="380"/>
      <c r="J401" s="380"/>
      <c r="K401" s="380"/>
      <c r="L401" s="380"/>
      <c r="M401" s="380"/>
      <c r="N401" s="380"/>
      <c r="O401" s="380"/>
      <c r="P401" s="380"/>
      <c r="Q401" s="380"/>
      <c r="R401" s="380"/>
      <c r="S401" s="380"/>
      <c r="T401" s="380"/>
      <c r="U401" s="352"/>
      <c r="V401" s="352"/>
      <c r="W401" s="353"/>
      <c r="X401" s="353"/>
      <c r="Y401" s="353"/>
      <c r="Z401" s="353"/>
      <c r="AA401" s="390"/>
      <c r="AB401" s="390"/>
      <c r="AC401" s="355"/>
      <c r="AD401" s="355"/>
      <c r="AE401" s="355"/>
      <c r="AF401" s="276"/>
    </row>
    <row r="402" customFormat="false" ht="15.75" hidden="false" customHeight="true" outlineLevel="0" collapsed="false">
      <c r="A402" s="378"/>
      <c r="B402" s="378"/>
      <c r="C402" s="338"/>
      <c r="D402" s="382"/>
      <c r="E402" s="382"/>
      <c r="F402" s="383"/>
      <c r="G402" s="383"/>
      <c r="H402" s="383"/>
      <c r="I402" s="383"/>
      <c r="J402" s="383"/>
      <c r="K402" s="383"/>
      <c r="L402" s="383"/>
      <c r="M402" s="383"/>
      <c r="N402" s="383"/>
      <c r="O402" s="383"/>
      <c r="P402" s="383"/>
      <c r="Q402" s="383"/>
      <c r="R402" s="383"/>
      <c r="S402" s="383"/>
      <c r="T402" s="383"/>
      <c r="U402" s="384"/>
      <c r="V402" s="384"/>
      <c r="W402" s="385"/>
      <c r="X402" s="385"/>
      <c r="Y402" s="385"/>
      <c r="Z402" s="296" t="s">
        <v>25</v>
      </c>
      <c r="AA402" s="276"/>
      <c r="AB402" s="358" t="n">
        <f aca="false">SUM(AC227:AE263)+SUM(AC273:AE309)+SUM(AC319:AE355)+SUM(AC365:AE372)</f>
        <v>0</v>
      </c>
      <c r="AC402" s="358"/>
      <c r="AD402" s="358"/>
      <c r="AE402" s="358"/>
      <c r="AF402" s="386"/>
    </row>
    <row r="403" customFormat="false" ht="15.75" hidden="false" customHeight="true" outlineLevel="0" collapsed="false">
      <c r="A403" s="378"/>
      <c r="B403" s="378"/>
      <c r="C403" s="338"/>
      <c r="D403" s="382"/>
      <c r="E403" s="382"/>
      <c r="F403" s="383"/>
      <c r="G403" s="383"/>
      <c r="H403" s="383"/>
      <c r="I403" s="383"/>
      <c r="J403" s="383"/>
      <c r="K403" s="383"/>
      <c r="L403" s="383"/>
      <c r="M403" s="383"/>
      <c r="N403" s="383"/>
      <c r="O403" s="383"/>
      <c r="P403" s="383"/>
      <c r="Q403" s="383"/>
      <c r="R403" s="383"/>
      <c r="S403" s="383"/>
      <c r="T403" s="383"/>
      <c r="U403" s="384"/>
      <c r="V403" s="384"/>
      <c r="W403" s="385"/>
      <c r="X403" s="385"/>
      <c r="Y403" s="385"/>
      <c r="Z403" s="385"/>
      <c r="AA403" s="387"/>
      <c r="AB403" s="387"/>
      <c r="AC403" s="388"/>
      <c r="AD403" s="388"/>
      <c r="AE403" s="388"/>
      <c r="AF403" s="386"/>
    </row>
    <row r="404" customFormat="false" ht="15.75" hidden="false" customHeight="true" outlineLevel="0" collapsed="false">
      <c r="A404" s="364"/>
      <c r="B404" s="364"/>
      <c r="C404" s="365"/>
      <c r="D404" s="366"/>
      <c r="E404" s="366"/>
      <c r="F404" s="367"/>
      <c r="G404" s="367"/>
      <c r="H404" s="367"/>
      <c r="I404" s="367"/>
      <c r="J404" s="367"/>
      <c r="K404" s="367"/>
      <c r="L404" s="367"/>
      <c r="M404" s="367"/>
      <c r="N404" s="367"/>
      <c r="O404" s="367"/>
      <c r="P404" s="367"/>
      <c r="Q404" s="367"/>
      <c r="R404" s="367"/>
      <c r="S404" s="367"/>
      <c r="T404" s="367"/>
      <c r="U404" s="368"/>
      <c r="V404" s="368"/>
      <c r="W404" s="369"/>
      <c r="X404" s="369"/>
      <c r="Y404" s="369"/>
      <c r="Z404" s="369"/>
      <c r="AA404" s="370"/>
      <c r="AB404" s="370"/>
      <c r="AC404" s="371"/>
      <c r="AD404" s="371"/>
      <c r="AE404" s="371"/>
      <c r="AF404" s="372"/>
    </row>
    <row r="405" customFormat="false" ht="15.75" hidden="false" customHeight="true" outlineLevel="0" collapsed="false">
      <c r="A405" s="259" t="s">
        <v>1522</v>
      </c>
      <c r="B405" s="259"/>
      <c r="C405" s="323" t="n">
        <f aca="false">$C$5</f>
        <v>14312</v>
      </c>
      <c r="D405" s="323"/>
      <c r="E405" s="323"/>
      <c r="F405" s="323"/>
      <c r="G405" s="323"/>
      <c r="H405" s="323"/>
      <c r="I405" s="323"/>
      <c r="J405" s="323"/>
      <c r="K405" s="323"/>
      <c r="L405" s="323"/>
      <c r="M405" s="259" t="s">
        <v>1523</v>
      </c>
      <c r="N405" s="259"/>
      <c r="O405" s="259"/>
      <c r="P405" s="259"/>
      <c r="Q405" s="259"/>
      <c r="R405" s="324" t="str">
        <f aca="false">$R$5</f>
        <v>Operational Vehicle Laydown Area</v>
      </c>
      <c r="S405" s="324"/>
      <c r="T405" s="324"/>
      <c r="U405" s="324"/>
      <c r="V405" s="324"/>
      <c r="W405" s="324"/>
      <c r="X405" s="324"/>
      <c r="Y405" s="324"/>
      <c r="Z405" s="324"/>
      <c r="AA405" s="324"/>
      <c r="AB405" s="324"/>
      <c r="AC405" s="324"/>
      <c r="AD405" s="324"/>
      <c r="AE405" s="324"/>
      <c r="AF405" s="324"/>
    </row>
    <row r="406" customFormat="false" ht="15.75" hidden="false" customHeight="true" outlineLevel="0" collapsed="false">
      <c r="A406" s="276"/>
      <c r="B406" s="276"/>
      <c r="C406" s="296"/>
      <c r="D406" s="276"/>
      <c r="E406" s="276"/>
      <c r="F406" s="296"/>
      <c r="G406" s="276"/>
      <c r="H406" s="276"/>
      <c r="I406" s="276"/>
      <c r="J406" s="276"/>
      <c r="K406" s="276"/>
      <c r="L406" s="276"/>
      <c r="M406" s="276"/>
      <c r="N406" s="276"/>
      <c r="O406" s="276"/>
      <c r="P406" s="276"/>
      <c r="Q406" s="276"/>
      <c r="R406" s="276"/>
      <c r="S406" s="276"/>
      <c r="T406" s="276"/>
      <c r="U406" s="276"/>
      <c r="V406" s="276"/>
      <c r="W406" s="277"/>
      <c r="X406" s="277"/>
      <c r="Y406" s="276"/>
      <c r="Z406" s="276"/>
      <c r="AA406" s="276"/>
      <c r="AB406" s="276"/>
      <c r="AC406" s="277"/>
      <c r="AD406" s="277"/>
      <c r="AE406" s="277"/>
      <c r="AF406" s="276"/>
    </row>
    <row r="407" customFormat="false" ht="15.75" hidden="false" customHeight="true" outlineLevel="0" collapsed="false">
      <c r="A407" s="276"/>
      <c r="B407" s="276"/>
      <c r="C407" s="325" t="s">
        <v>1542</v>
      </c>
      <c r="D407" s="276"/>
      <c r="E407" s="276"/>
      <c r="F407" s="296"/>
      <c r="G407" s="276"/>
      <c r="H407" s="276"/>
      <c r="I407" s="276"/>
      <c r="J407" s="276"/>
      <c r="K407" s="276"/>
      <c r="L407" s="276"/>
      <c r="M407" s="276"/>
      <c r="N407" s="276"/>
      <c r="O407" s="276"/>
      <c r="P407" s="276"/>
      <c r="Q407" s="276"/>
      <c r="R407" s="276"/>
      <c r="S407" s="276"/>
      <c r="T407" s="276"/>
      <c r="U407" s="276"/>
      <c r="V407" s="276"/>
      <c r="W407" s="277"/>
      <c r="X407" s="277"/>
      <c r="Y407" s="276"/>
      <c r="Z407" s="276"/>
      <c r="AA407" s="276"/>
      <c r="AB407" s="276"/>
      <c r="AC407" s="277"/>
      <c r="AD407" s="277"/>
      <c r="AE407" s="277"/>
      <c r="AF407" s="276"/>
    </row>
    <row r="408" customFormat="false" ht="15.75" hidden="false" customHeight="true" outlineLevel="0" collapsed="false">
      <c r="A408" s="276"/>
      <c r="B408" s="276"/>
      <c r="C408" s="391" t="str">
        <f aca="false">B23</f>
        <v>M28262</v>
      </c>
      <c r="D408" s="391"/>
      <c r="E408" s="391"/>
      <c r="F408" s="327" t="str">
        <f aca="false">E23</f>
        <v>SURGICAL CO B</v>
      </c>
      <c r="G408" s="327"/>
      <c r="H408" s="327"/>
      <c r="I408" s="327"/>
      <c r="J408" s="327"/>
      <c r="K408" s="327"/>
      <c r="L408" s="327"/>
      <c r="M408" s="327"/>
      <c r="N408" s="328"/>
      <c r="O408" s="329"/>
      <c r="P408" s="329"/>
      <c r="Q408" s="329"/>
      <c r="R408" s="329"/>
      <c r="S408" s="330"/>
      <c r="T408" s="295"/>
      <c r="U408" s="295"/>
      <c r="V408" s="295"/>
      <c r="W408" s="331"/>
      <c r="X408" s="331"/>
      <c r="Y408" s="295"/>
      <c r="Z408" s="295"/>
      <c r="AA408" s="295"/>
      <c r="AB408" s="295"/>
      <c r="AC408" s="332"/>
      <c r="AD408" s="332"/>
      <c r="AE408" s="332"/>
      <c r="AF408" s="276"/>
    </row>
    <row r="409" customFormat="false" ht="15.75" hidden="false" customHeight="true" outlineLevel="0" collapsed="false">
      <c r="A409" s="276"/>
      <c r="B409" s="276"/>
      <c r="C409" s="333" t="s">
        <v>1055</v>
      </c>
      <c r="D409" s="333"/>
      <c r="E409" s="333"/>
      <c r="F409" s="334" t="s">
        <v>13</v>
      </c>
      <c r="G409" s="334"/>
      <c r="H409" s="334"/>
      <c r="I409" s="334"/>
      <c r="J409" s="334"/>
      <c r="K409" s="334"/>
      <c r="L409" s="334"/>
      <c r="M409" s="334"/>
      <c r="N409" s="334"/>
      <c r="O409" s="334"/>
      <c r="P409" s="334"/>
      <c r="Q409" s="334"/>
      <c r="R409" s="334"/>
      <c r="S409" s="334"/>
      <c r="T409" s="334"/>
      <c r="U409" s="335" t="s">
        <v>1543</v>
      </c>
      <c r="V409" s="335"/>
      <c r="W409" s="335" t="s">
        <v>1544</v>
      </c>
      <c r="X409" s="335"/>
      <c r="Y409" s="335" t="s">
        <v>1545</v>
      </c>
      <c r="Z409" s="335"/>
      <c r="AA409" s="335" t="s">
        <v>1546</v>
      </c>
      <c r="AB409" s="335"/>
      <c r="AC409" s="336" t="s">
        <v>1547</v>
      </c>
      <c r="AD409" s="336"/>
      <c r="AE409" s="336"/>
      <c r="AF409" s="276"/>
    </row>
    <row r="410" customFormat="false" ht="15.75" hidden="false" customHeight="true" outlineLevel="0" collapsed="false">
      <c r="A410" s="276"/>
      <c r="B410" s="276"/>
      <c r="C410" s="333"/>
      <c r="D410" s="333"/>
      <c r="E410" s="333"/>
      <c r="F410" s="334"/>
      <c r="G410" s="334"/>
      <c r="H410" s="334"/>
      <c r="I410" s="334"/>
      <c r="J410" s="334"/>
      <c r="K410" s="334"/>
      <c r="L410" s="334"/>
      <c r="M410" s="334"/>
      <c r="N410" s="334"/>
      <c r="O410" s="334"/>
      <c r="P410" s="334"/>
      <c r="Q410" s="334"/>
      <c r="R410" s="334"/>
      <c r="S410" s="334"/>
      <c r="T410" s="334"/>
      <c r="U410" s="335"/>
      <c r="V410" s="335"/>
      <c r="W410" s="335"/>
      <c r="X410" s="335"/>
      <c r="Y410" s="335"/>
      <c r="Z410" s="335"/>
      <c r="AA410" s="335"/>
      <c r="AB410" s="335"/>
      <c r="AC410" s="336"/>
      <c r="AD410" s="336"/>
      <c r="AE410" s="336"/>
      <c r="AF410" s="276"/>
    </row>
    <row r="411" customFormat="false" ht="15.75" hidden="false" customHeight="true" outlineLevel="0" collapsed="false">
      <c r="A411" s="276"/>
      <c r="B411" s="276"/>
      <c r="C411" s="337" t="s">
        <v>1548</v>
      </c>
      <c r="D411" s="338"/>
      <c r="E411" s="338"/>
      <c r="F411" s="339" t="str">
        <f aca="false">IFERROR(VLOOKUP(C411,TE!$H:$Y,2,FALSE()),"(Not on TE)")</f>
        <v>(Not on TE)</v>
      </c>
      <c r="G411" s="338"/>
      <c r="H411" s="338"/>
      <c r="I411" s="338"/>
      <c r="J411" s="338"/>
      <c r="K411" s="338"/>
      <c r="L411" s="338"/>
      <c r="M411" s="338"/>
      <c r="N411" s="338"/>
      <c r="O411" s="338"/>
      <c r="P411" s="338"/>
      <c r="Q411" s="338"/>
      <c r="R411" s="338"/>
      <c r="S411" s="338"/>
      <c r="T411" s="338"/>
      <c r="U411" s="340" t="str">
        <f aca="false">IFERROR(VLOOKUP(C411,TE!$H:$Y,9,FALSE()),"0")</f>
        <v>0</v>
      </c>
      <c r="V411" s="340"/>
      <c r="W411" s="341" t="n">
        <f aca="false">SUMIFS(TE!$O:$O,TE!$G:$G,$C$408,TE!$I:$I,C411,TE!$D:$D,$C$5)</f>
        <v>0</v>
      </c>
      <c r="X411" s="341"/>
      <c r="Y411" s="341" t="str">
        <f aca="false">IFERROR(VLOOKUP(C411,TE!$H:$Y,16,FALSE()),"0")</f>
        <v>0</v>
      </c>
      <c r="Z411" s="341"/>
      <c r="AA411" s="342" t="str">
        <f aca="false">IFERROR(VLOOKUP(C411,TE!$H:$Y,17,FALSE()),"0")</f>
        <v>0</v>
      </c>
      <c r="AB411" s="342"/>
      <c r="AC411" s="343" t="n">
        <f aca="false">IFERROR((W411*Y411*AA411),"")</f>
        <v>0</v>
      </c>
      <c r="AD411" s="343"/>
      <c r="AE411" s="343"/>
      <c r="AF411" s="276"/>
    </row>
    <row r="412" customFormat="false" ht="15.75" hidden="false" customHeight="true" outlineLevel="0" collapsed="false">
      <c r="A412" s="276"/>
      <c r="B412" s="276"/>
      <c r="C412" s="344" t="s">
        <v>1549</v>
      </c>
      <c r="D412" s="338"/>
      <c r="E412" s="338"/>
      <c r="F412" s="339" t="str">
        <f aca="false">IFERROR(VLOOKUP(C412,TE!$H:$Y,2,FALSE()),"(Not on TE)")</f>
        <v>(Not on TE)</v>
      </c>
      <c r="G412" s="338"/>
      <c r="H412" s="338"/>
      <c r="I412" s="338"/>
      <c r="J412" s="338"/>
      <c r="K412" s="338"/>
      <c r="L412" s="338"/>
      <c r="M412" s="338"/>
      <c r="N412" s="338"/>
      <c r="O412" s="338"/>
      <c r="P412" s="338"/>
      <c r="Q412" s="338"/>
      <c r="R412" s="338"/>
      <c r="S412" s="338"/>
      <c r="T412" s="338"/>
      <c r="U412" s="340" t="str">
        <f aca="false">IFERROR(VLOOKUP(C412,TE!$H:$Y,9,FALSE()),"0")</f>
        <v>0</v>
      </c>
      <c r="V412" s="340"/>
      <c r="W412" s="341" t="n">
        <f aca="false">SUMIFS(TE!$O:$O,TE!$G:$G,$C$408,TE!$I:$I,C412,TE!$D:$D,$C$5)</f>
        <v>0</v>
      </c>
      <c r="X412" s="341"/>
      <c r="Y412" s="341" t="str">
        <f aca="false">IFERROR(VLOOKUP(C412,TE!$H:$Y,16,FALSE()),"0")</f>
        <v>0</v>
      </c>
      <c r="Z412" s="341"/>
      <c r="AA412" s="342" t="str">
        <f aca="false">IFERROR(VLOOKUP(C412,TE!$H:$Y,17,FALSE()),"0")</f>
        <v>0</v>
      </c>
      <c r="AB412" s="342"/>
      <c r="AC412" s="343" t="n">
        <f aca="false">IFERROR((W412*Y412*AA412),"")</f>
        <v>0</v>
      </c>
      <c r="AD412" s="343"/>
      <c r="AE412" s="343"/>
      <c r="AF412" s="276"/>
    </row>
    <row r="413" customFormat="false" ht="15.75" hidden="false" customHeight="true" outlineLevel="0" collapsed="false">
      <c r="A413" s="276"/>
      <c r="B413" s="276"/>
      <c r="C413" s="344" t="s">
        <v>1550</v>
      </c>
      <c r="D413" s="338"/>
      <c r="E413" s="338"/>
      <c r="F413" s="339" t="str">
        <f aca="false">IFERROR(VLOOKUP(C413,TE!$H:$Y,2,FALSE()),"(Not on TE)")</f>
        <v>(Not on TE)</v>
      </c>
      <c r="G413" s="338"/>
      <c r="H413" s="338"/>
      <c r="I413" s="338"/>
      <c r="J413" s="338"/>
      <c r="K413" s="338"/>
      <c r="L413" s="338"/>
      <c r="M413" s="338"/>
      <c r="N413" s="338"/>
      <c r="O413" s="338"/>
      <c r="P413" s="338"/>
      <c r="Q413" s="338"/>
      <c r="R413" s="338"/>
      <c r="S413" s="338"/>
      <c r="T413" s="338"/>
      <c r="U413" s="340" t="str">
        <f aca="false">IFERROR(VLOOKUP(C413,TE!$H:$Y,9,FALSE()),"0")</f>
        <v>0</v>
      </c>
      <c r="V413" s="340"/>
      <c r="W413" s="341" t="n">
        <f aca="false">SUMIFS(TE!$O:$O,TE!$G:$G,$C$408,TE!$I:$I,C413,TE!$D:$D,$C$5)</f>
        <v>0</v>
      </c>
      <c r="X413" s="341"/>
      <c r="Y413" s="341" t="str">
        <f aca="false">IFERROR(VLOOKUP(C413,TE!$H:$Y,16,FALSE()),"0")</f>
        <v>0</v>
      </c>
      <c r="Z413" s="341"/>
      <c r="AA413" s="342" t="str">
        <f aca="false">IFERROR(VLOOKUP(C413,TE!$H:$Y,17,FALSE()),"0")</f>
        <v>0</v>
      </c>
      <c r="AB413" s="342"/>
      <c r="AC413" s="343" t="n">
        <f aca="false">IFERROR((W413*Y413*AA413),"")</f>
        <v>0</v>
      </c>
      <c r="AD413" s="343"/>
      <c r="AE413" s="343"/>
      <c r="AF413" s="276"/>
    </row>
    <row r="414" customFormat="false" ht="15.75" hidden="false" customHeight="true" outlineLevel="0" collapsed="false">
      <c r="A414" s="276"/>
      <c r="B414" s="276"/>
      <c r="C414" s="344" t="s">
        <v>1551</v>
      </c>
      <c r="D414" s="338"/>
      <c r="E414" s="338"/>
      <c r="F414" s="339" t="str">
        <f aca="false">IFERROR(VLOOKUP(C414,TE!$H:$Y,2,FALSE()),"(Not on TE)")</f>
        <v>(Not on TE)</v>
      </c>
      <c r="G414" s="338"/>
      <c r="H414" s="338"/>
      <c r="I414" s="338"/>
      <c r="J414" s="338"/>
      <c r="K414" s="338"/>
      <c r="L414" s="338"/>
      <c r="M414" s="338"/>
      <c r="N414" s="338"/>
      <c r="O414" s="338"/>
      <c r="P414" s="338"/>
      <c r="Q414" s="338"/>
      <c r="R414" s="338"/>
      <c r="S414" s="338"/>
      <c r="T414" s="338"/>
      <c r="U414" s="340" t="str">
        <f aca="false">IFERROR(VLOOKUP(C414,TE!$H:$Y,9,FALSE()),"0")</f>
        <v>0</v>
      </c>
      <c r="V414" s="340"/>
      <c r="W414" s="341" t="n">
        <f aca="false">SUMIFS(TE!$O:$O,TE!$G:$G,$C$408,TE!$I:$I,C414,TE!$D:$D,$C$5)</f>
        <v>0</v>
      </c>
      <c r="X414" s="341"/>
      <c r="Y414" s="341" t="str">
        <f aca="false">IFERROR(VLOOKUP(C414,TE!$H:$Y,16,FALSE()),"0")</f>
        <v>0</v>
      </c>
      <c r="Z414" s="341"/>
      <c r="AA414" s="342" t="str">
        <f aca="false">IFERROR(VLOOKUP(C414,TE!$H:$Y,17,FALSE()),"0")</f>
        <v>0</v>
      </c>
      <c r="AB414" s="342"/>
      <c r="AC414" s="343" t="n">
        <f aca="false">IFERROR((W414*Y414*AA414),"")</f>
        <v>0</v>
      </c>
      <c r="AD414" s="343"/>
      <c r="AE414" s="343"/>
      <c r="AF414" s="276"/>
    </row>
    <row r="415" customFormat="false" ht="15.75" hidden="false" customHeight="true" outlineLevel="0" collapsed="false">
      <c r="A415" s="276"/>
      <c r="B415" s="276"/>
      <c r="C415" s="344" t="s">
        <v>1552</v>
      </c>
      <c r="D415" s="338"/>
      <c r="E415" s="338"/>
      <c r="F415" s="339" t="str">
        <f aca="false">IFERROR(VLOOKUP(C415,TE!$H:$Y,2,FALSE()),"(Not on TE)")</f>
        <v>(Not on TE)</v>
      </c>
      <c r="G415" s="338"/>
      <c r="H415" s="338"/>
      <c r="I415" s="338"/>
      <c r="J415" s="338"/>
      <c r="K415" s="338"/>
      <c r="L415" s="338"/>
      <c r="M415" s="338"/>
      <c r="N415" s="338"/>
      <c r="O415" s="338"/>
      <c r="P415" s="338"/>
      <c r="Q415" s="338"/>
      <c r="R415" s="338"/>
      <c r="S415" s="338"/>
      <c r="T415" s="338"/>
      <c r="U415" s="340" t="str">
        <f aca="false">IFERROR(VLOOKUP(C415,TE!$H:$Y,9,FALSE()),"0")</f>
        <v>0</v>
      </c>
      <c r="V415" s="340"/>
      <c r="W415" s="341" t="n">
        <f aca="false">SUMIFS(TE!$O:$O,TE!$G:$G,$C$408,TE!$I:$I,C415,TE!$D:$D,$C$5)</f>
        <v>0</v>
      </c>
      <c r="X415" s="341"/>
      <c r="Y415" s="341" t="str">
        <f aca="false">IFERROR(VLOOKUP(C415,TE!$H:$Y,16,FALSE()),"0")</f>
        <v>0</v>
      </c>
      <c r="Z415" s="341"/>
      <c r="AA415" s="342" t="str">
        <f aca="false">IFERROR(VLOOKUP(C415,TE!$H:$Y,17,FALSE()),"0")</f>
        <v>0</v>
      </c>
      <c r="AB415" s="342"/>
      <c r="AC415" s="343" t="n">
        <f aca="false">IFERROR((W415*Y415*AA415),"")</f>
        <v>0</v>
      </c>
      <c r="AD415" s="343"/>
      <c r="AE415" s="343"/>
      <c r="AF415" s="276"/>
    </row>
    <row r="416" customFormat="false" ht="15.75" hidden="false" customHeight="true" outlineLevel="0" collapsed="false">
      <c r="A416" s="276"/>
      <c r="B416" s="276"/>
      <c r="C416" s="344" t="s">
        <v>1553</v>
      </c>
      <c r="D416" s="338"/>
      <c r="E416" s="338"/>
      <c r="F416" s="339" t="str">
        <f aca="false">IFERROR(VLOOKUP(C416,TE!$H:$Y,2,FALSE()),"(Not on TE)")</f>
        <v>(Not on TE)</v>
      </c>
      <c r="G416" s="338"/>
      <c r="H416" s="338"/>
      <c r="I416" s="338"/>
      <c r="J416" s="338"/>
      <c r="K416" s="338"/>
      <c r="L416" s="338"/>
      <c r="M416" s="338"/>
      <c r="N416" s="338"/>
      <c r="O416" s="338"/>
      <c r="P416" s="338"/>
      <c r="Q416" s="338"/>
      <c r="R416" s="338"/>
      <c r="S416" s="338"/>
      <c r="T416" s="338"/>
      <c r="U416" s="340" t="str">
        <f aca="false">IFERROR(VLOOKUP(C416,TE!$H:$Y,9,FALSE()),"0")</f>
        <v>0</v>
      </c>
      <c r="V416" s="340"/>
      <c r="W416" s="341" t="n">
        <f aca="false">SUMIFS(TE!$O:$O,TE!$G:$G,$C$408,TE!$I:$I,C416,TE!$D:$D,$C$5)</f>
        <v>0</v>
      </c>
      <c r="X416" s="341"/>
      <c r="Y416" s="341" t="str">
        <f aca="false">IFERROR(VLOOKUP(C416,TE!$H:$Y,16,FALSE()),"0")</f>
        <v>0</v>
      </c>
      <c r="Z416" s="341"/>
      <c r="AA416" s="342" t="str">
        <f aca="false">IFERROR(VLOOKUP(C416,TE!$H:$Y,17,FALSE()),"0")</f>
        <v>0</v>
      </c>
      <c r="AB416" s="342"/>
      <c r="AC416" s="343" t="n">
        <f aca="false">IFERROR((W416*Y416*AA416),"")</f>
        <v>0</v>
      </c>
      <c r="AD416" s="343"/>
      <c r="AE416" s="343"/>
      <c r="AF416" s="276"/>
    </row>
    <row r="417" customFormat="false" ht="15.75" hidden="false" customHeight="true" outlineLevel="0" collapsed="false">
      <c r="A417" s="276"/>
      <c r="B417" s="276"/>
      <c r="C417" s="344" t="s">
        <v>1554</v>
      </c>
      <c r="D417" s="338"/>
      <c r="E417" s="338"/>
      <c r="F417" s="339" t="str">
        <f aca="false">IFERROR(VLOOKUP(C417,TE!$H:$Y,2,FALSE()),"(Not on TE)")</f>
        <v>(Not on TE)</v>
      </c>
      <c r="G417" s="338"/>
      <c r="H417" s="338"/>
      <c r="I417" s="338"/>
      <c r="J417" s="338"/>
      <c r="K417" s="338"/>
      <c r="L417" s="338"/>
      <c r="M417" s="338"/>
      <c r="N417" s="338"/>
      <c r="O417" s="338"/>
      <c r="P417" s="338"/>
      <c r="Q417" s="338"/>
      <c r="R417" s="338"/>
      <c r="S417" s="338"/>
      <c r="T417" s="338"/>
      <c r="U417" s="340" t="str">
        <f aca="false">IFERROR(VLOOKUP(C417,TE!$H:$Y,9,FALSE()),"0")</f>
        <v>0</v>
      </c>
      <c r="V417" s="340"/>
      <c r="W417" s="341" t="n">
        <f aca="false">SUMIFS(TE!$O:$O,TE!$G:$G,$C$408,TE!$I:$I,C417,TE!$D:$D,$C$5)</f>
        <v>0</v>
      </c>
      <c r="X417" s="341"/>
      <c r="Y417" s="341" t="str">
        <f aca="false">IFERROR(VLOOKUP(C417,TE!$H:$Y,16,FALSE()),"0")</f>
        <v>0</v>
      </c>
      <c r="Z417" s="341"/>
      <c r="AA417" s="342" t="str">
        <f aca="false">IFERROR(VLOOKUP(C417,TE!$H:$Y,17,FALSE()),"0")</f>
        <v>0</v>
      </c>
      <c r="AB417" s="342"/>
      <c r="AC417" s="343" t="n">
        <f aca="false">IFERROR((W417*Y417*AA417),"")</f>
        <v>0</v>
      </c>
      <c r="AD417" s="343"/>
      <c r="AE417" s="343"/>
      <c r="AF417" s="276"/>
    </row>
    <row r="418" customFormat="false" ht="15.75" hidden="false" customHeight="true" outlineLevel="0" collapsed="false">
      <c r="A418" s="276"/>
      <c r="B418" s="276"/>
      <c r="C418" s="344" t="s">
        <v>1555</v>
      </c>
      <c r="D418" s="338"/>
      <c r="E418" s="338"/>
      <c r="F418" s="339" t="str">
        <f aca="false">IFERROR(VLOOKUP(C418,TE!$H:$Y,2,FALSE()),"(Not on TE)")</f>
        <v>(Not on TE)</v>
      </c>
      <c r="G418" s="338"/>
      <c r="H418" s="338"/>
      <c r="I418" s="338"/>
      <c r="J418" s="338"/>
      <c r="K418" s="338"/>
      <c r="L418" s="338"/>
      <c r="M418" s="338"/>
      <c r="N418" s="338"/>
      <c r="O418" s="338"/>
      <c r="P418" s="338"/>
      <c r="Q418" s="338"/>
      <c r="R418" s="338"/>
      <c r="S418" s="338"/>
      <c r="T418" s="338"/>
      <c r="U418" s="340" t="str">
        <f aca="false">IFERROR(VLOOKUP(C418,TE!$H:$Y,9,FALSE()),"0")</f>
        <v>0</v>
      </c>
      <c r="V418" s="340"/>
      <c r="W418" s="341" t="n">
        <f aca="false">SUMIFS(TE!$O:$O,TE!$G:$G,$C$408,TE!$I:$I,C418,TE!$D:$D,$C$5)</f>
        <v>0</v>
      </c>
      <c r="X418" s="341"/>
      <c r="Y418" s="341" t="str">
        <f aca="false">IFERROR(VLOOKUP(C418,TE!$H:$Y,16,FALSE()),"0")</f>
        <v>0</v>
      </c>
      <c r="Z418" s="341"/>
      <c r="AA418" s="342" t="str">
        <f aca="false">IFERROR(VLOOKUP(C418,TE!$H:$Y,17,FALSE()),"0")</f>
        <v>0</v>
      </c>
      <c r="AB418" s="342"/>
      <c r="AC418" s="343" t="n">
        <f aca="false">IFERROR((W418*Y418*AA418),"")</f>
        <v>0</v>
      </c>
      <c r="AD418" s="343"/>
      <c r="AE418" s="343"/>
      <c r="AF418" s="276"/>
    </row>
    <row r="419" customFormat="false" ht="15.75" hidden="false" customHeight="true" outlineLevel="0" collapsed="false">
      <c r="A419" s="276"/>
      <c r="B419" s="276"/>
      <c r="C419" s="344" t="s">
        <v>1556</v>
      </c>
      <c r="D419" s="338"/>
      <c r="E419" s="338"/>
      <c r="F419" s="339" t="str">
        <f aca="false">IFERROR(VLOOKUP(C419,TE!$H:$Y,2,FALSE()),"(Not on TE)")</f>
        <v>(Not on TE)</v>
      </c>
      <c r="G419" s="338"/>
      <c r="H419" s="338"/>
      <c r="I419" s="338"/>
      <c r="J419" s="338"/>
      <c r="K419" s="338"/>
      <c r="L419" s="338"/>
      <c r="M419" s="338"/>
      <c r="N419" s="338"/>
      <c r="O419" s="338"/>
      <c r="P419" s="338"/>
      <c r="Q419" s="338"/>
      <c r="R419" s="338"/>
      <c r="S419" s="338"/>
      <c r="T419" s="338"/>
      <c r="U419" s="340" t="str">
        <f aca="false">IFERROR(VLOOKUP(C419,TE!$H:$Y,9,FALSE()),"0")</f>
        <v>0</v>
      </c>
      <c r="V419" s="340"/>
      <c r="W419" s="341" t="n">
        <f aca="false">SUMIFS(TE!$O:$O,TE!$G:$G,$C$408,TE!$I:$I,C419,TE!$D:$D,$C$5)</f>
        <v>0</v>
      </c>
      <c r="X419" s="341"/>
      <c r="Y419" s="341" t="str">
        <f aca="false">IFERROR(VLOOKUP(C419,TE!$H:$Y,16,FALSE()),"0")</f>
        <v>0</v>
      </c>
      <c r="Z419" s="341"/>
      <c r="AA419" s="342" t="str">
        <f aca="false">IFERROR(VLOOKUP(C419,TE!$H:$Y,17,FALSE()),"0")</f>
        <v>0</v>
      </c>
      <c r="AB419" s="342"/>
      <c r="AC419" s="343" t="n">
        <f aca="false">IFERROR((W419*Y419*AA419),"")</f>
        <v>0</v>
      </c>
      <c r="AD419" s="343"/>
      <c r="AE419" s="343"/>
      <c r="AF419" s="276"/>
    </row>
    <row r="420" customFormat="false" ht="15.75" hidden="false" customHeight="true" outlineLevel="0" collapsed="false">
      <c r="A420" s="276"/>
      <c r="B420" s="276"/>
      <c r="C420" s="344" t="s">
        <v>1557</v>
      </c>
      <c r="D420" s="338"/>
      <c r="E420" s="338"/>
      <c r="F420" s="339" t="str">
        <f aca="false">IFERROR(VLOOKUP(C420,TE!$H:$Y,2,FALSE()),"(Not on TE)")</f>
        <v>(Not on TE)</v>
      </c>
      <c r="G420" s="338"/>
      <c r="H420" s="338"/>
      <c r="I420" s="338"/>
      <c r="J420" s="338"/>
      <c r="K420" s="338"/>
      <c r="L420" s="338"/>
      <c r="M420" s="338"/>
      <c r="N420" s="338"/>
      <c r="O420" s="338"/>
      <c r="P420" s="338"/>
      <c r="Q420" s="338"/>
      <c r="R420" s="338"/>
      <c r="S420" s="338"/>
      <c r="T420" s="338"/>
      <c r="U420" s="340" t="str">
        <f aca="false">IFERROR(VLOOKUP(C420,TE!$H:$Y,9,FALSE()),"0")</f>
        <v>0</v>
      </c>
      <c r="V420" s="340"/>
      <c r="W420" s="341" t="n">
        <f aca="false">SUMIFS(TE!$O:$O,TE!$G:$G,$C$408,TE!$I:$I,C420,TE!$D:$D,$C$5)</f>
        <v>0</v>
      </c>
      <c r="X420" s="341"/>
      <c r="Y420" s="341" t="str">
        <f aca="false">IFERROR(VLOOKUP(C420,TE!$H:$Y,16,FALSE()),"0")</f>
        <v>0</v>
      </c>
      <c r="Z420" s="341"/>
      <c r="AA420" s="342" t="str">
        <f aca="false">IFERROR(VLOOKUP(C420,TE!$H:$Y,17,FALSE()),"0")</f>
        <v>0</v>
      </c>
      <c r="AB420" s="342"/>
      <c r="AC420" s="343" t="n">
        <f aca="false">IFERROR((W420*Y420*AA420),"")</f>
        <v>0</v>
      </c>
      <c r="AD420" s="343"/>
      <c r="AE420" s="343"/>
      <c r="AF420" s="276"/>
    </row>
    <row r="421" customFormat="false" ht="15.75" hidden="false" customHeight="true" outlineLevel="0" collapsed="false">
      <c r="A421" s="276"/>
      <c r="B421" s="276"/>
      <c r="C421" s="344" t="s">
        <v>1558</v>
      </c>
      <c r="D421" s="338"/>
      <c r="E421" s="338"/>
      <c r="F421" s="339" t="str">
        <f aca="false">IFERROR(VLOOKUP(C421,TE!$H:$Y,2,FALSE()),"(Not on TE)")</f>
        <v>(Not on TE)</v>
      </c>
      <c r="G421" s="338"/>
      <c r="H421" s="338"/>
      <c r="I421" s="338"/>
      <c r="J421" s="338"/>
      <c r="K421" s="338"/>
      <c r="L421" s="338"/>
      <c r="M421" s="338"/>
      <c r="N421" s="338"/>
      <c r="O421" s="338"/>
      <c r="P421" s="338"/>
      <c r="Q421" s="338"/>
      <c r="R421" s="338"/>
      <c r="S421" s="338"/>
      <c r="T421" s="338"/>
      <c r="U421" s="340" t="str">
        <f aca="false">IFERROR(VLOOKUP(C421,TE!$H:$Y,9,FALSE()),"0")</f>
        <v>0</v>
      </c>
      <c r="V421" s="340"/>
      <c r="W421" s="341" t="n">
        <f aca="false">SUMIFS(TE!$O:$O,TE!$G:$G,$C$408,TE!$I:$I,C421,TE!$D:$D,$C$5)</f>
        <v>0</v>
      </c>
      <c r="X421" s="341"/>
      <c r="Y421" s="341" t="str">
        <f aca="false">IFERROR(VLOOKUP(C421,TE!$H:$Y,16,FALSE()),"0")</f>
        <v>0</v>
      </c>
      <c r="Z421" s="341"/>
      <c r="AA421" s="342" t="str">
        <f aca="false">IFERROR(VLOOKUP(C421,TE!$H:$Y,17,FALSE()),"0")</f>
        <v>0</v>
      </c>
      <c r="AB421" s="342"/>
      <c r="AC421" s="343" t="n">
        <f aca="false">IFERROR((W421*Y421*AA421),"")</f>
        <v>0</v>
      </c>
      <c r="AD421" s="343"/>
      <c r="AE421" s="343"/>
      <c r="AF421" s="276"/>
    </row>
    <row r="422" customFormat="false" ht="15.75" hidden="false" customHeight="true" outlineLevel="0" collapsed="false">
      <c r="A422" s="276"/>
      <c r="B422" s="276"/>
      <c r="C422" s="344" t="s">
        <v>1559</v>
      </c>
      <c r="D422" s="338"/>
      <c r="E422" s="338"/>
      <c r="F422" s="339" t="str">
        <f aca="false">IFERROR(VLOOKUP(C422,TE!$H:$Y,2,FALSE()),"(Not on TE)")</f>
        <v>(Not on TE)</v>
      </c>
      <c r="G422" s="338"/>
      <c r="H422" s="338"/>
      <c r="I422" s="338"/>
      <c r="J422" s="338"/>
      <c r="K422" s="338"/>
      <c r="L422" s="338"/>
      <c r="M422" s="338"/>
      <c r="N422" s="338"/>
      <c r="O422" s="338"/>
      <c r="P422" s="338"/>
      <c r="Q422" s="338"/>
      <c r="R422" s="338"/>
      <c r="S422" s="338"/>
      <c r="T422" s="338"/>
      <c r="U422" s="340" t="str">
        <f aca="false">IFERROR(VLOOKUP(C422,TE!$H:$Y,9,FALSE()),"0")</f>
        <v>0</v>
      </c>
      <c r="V422" s="340"/>
      <c r="W422" s="341" t="n">
        <f aca="false">SUMIFS(TE!$O:$O,TE!$G:$G,$C$408,TE!$I:$I,C422,TE!$D:$D,$C$5)</f>
        <v>0</v>
      </c>
      <c r="X422" s="341"/>
      <c r="Y422" s="341" t="str">
        <f aca="false">IFERROR(VLOOKUP(C422,TE!$H:$Y,16,FALSE()),"0")</f>
        <v>0</v>
      </c>
      <c r="Z422" s="341"/>
      <c r="AA422" s="342" t="str">
        <f aca="false">IFERROR(VLOOKUP(C422,TE!$H:$Y,17,FALSE()),"0")</f>
        <v>0</v>
      </c>
      <c r="AB422" s="342"/>
      <c r="AC422" s="343" t="n">
        <f aca="false">IFERROR((W422*Y422*AA422),"")</f>
        <v>0</v>
      </c>
      <c r="AD422" s="343"/>
      <c r="AE422" s="343"/>
      <c r="AF422" s="276"/>
    </row>
    <row r="423" customFormat="false" ht="15.75" hidden="false" customHeight="true" outlineLevel="0" collapsed="false">
      <c r="A423" s="276"/>
      <c r="B423" s="276"/>
      <c r="C423" s="344" t="s">
        <v>1560</v>
      </c>
      <c r="D423" s="338"/>
      <c r="E423" s="338"/>
      <c r="F423" s="339" t="str">
        <f aca="false">IFERROR(VLOOKUP(C423,TE!$H:$Y,2,FALSE()),"(Not on TE)")</f>
        <v>(Not on TE)</v>
      </c>
      <c r="G423" s="338"/>
      <c r="H423" s="338"/>
      <c r="I423" s="338"/>
      <c r="J423" s="338"/>
      <c r="K423" s="338"/>
      <c r="L423" s="338"/>
      <c r="M423" s="338"/>
      <c r="N423" s="338"/>
      <c r="O423" s="338"/>
      <c r="P423" s="338"/>
      <c r="Q423" s="338"/>
      <c r="R423" s="338"/>
      <c r="S423" s="338"/>
      <c r="T423" s="338"/>
      <c r="U423" s="340" t="str">
        <f aca="false">IFERROR(VLOOKUP(C423,TE!$H:$Y,9,FALSE()),"0")</f>
        <v>0</v>
      </c>
      <c r="V423" s="340"/>
      <c r="W423" s="341" t="n">
        <f aca="false">SUMIFS(TE!$O:$O,TE!$G:$G,$C$408,TE!$I:$I,C423,TE!$D:$D,$C$5)</f>
        <v>0</v>
      </c>
      <c r="X423" s="341"/>
      <c r="Y423" s="341" t="str">
        <f aca="false">IFERROR(VLOOKUP(C423,TE!$H:$Y,16,FALSE()),"0")</f>
        <v>0</v>
      </c>
      <c r="Z423" s="341"/>
      <c r="AA423" s="342" t="str">
        <f aca="false">IFERROR(VLOOKUP(C423,TE!$H:$Y,17,FALSE()),"0")</f>
        <v>0</v>
      </c>
      <c r="AB423" s="342"/>
      <c r="AC423" s="343" t="n">
        <f aca="false">IFERROR((W423*Y423*AA423),"")</f>
        <v>0</v>
      </c>
      <c r="AD423" s="343"/>
      <c r="AE423" s="343"/>
      <c r="AF423" s="276"/>
    </row>
    <row r="424" customFormat="false" ht="15.75" hidden="false" customHeight="true" outlineLevel="0" collapsed="false">
      <c r="A424" s="276"/>
      <c r="B424" s="276"/>
      <c r="C424" s="344" t="s">
        <v>1561</v>
      </c>
      <c r="D424" s="338"/>
      <c r="E424" s="338"/>
      <c r="F424" s="339" t="str">
        <f aca="false">IFERROR(VLOOKUP(C424,TE!$H:$Y,2,FALSE()),"(Not on TE)")</f>
        <v>(Not on TE)</v>
      </c>
      <c r="G424" s="338"/>
      <c r="H424" s="338"/>
      <c r="I424" s="338"/>
      <c r="J424" s="338"/>
      <c r="K424" s="338"/>
      <c r="L424" s="338"/>
      <c r="M424" s="338"/>
      <c r="N424" s="338"/>
      <c r="O424" s="338"/>
      <c r="P424" s="338"/>
      <c r="Q424" s="338"/>
      <c r="R424" s="338"/>
      <c r="S424" s="338"/>
      <c r="T424" s="338"/>
      <c r="U424" s="340" t="str">
        <f aca="false">IFERROR(VLOOKUP(C424,TE!$H:$Y,9,FALSE()),"0")</f>
        <v>0</v>
      </c>
      <c r="V424" s="340"/>
      <c r="W424" s="341" t="n">
        <f aca="false">SUMIFS(TE!$O:$O,TE!$G:$G,$C$408,TE!$I:$I,C424,TE!$D:$D,$C$5)</f>
        <v>0</v>
      </c>
      <c r="X424" s="341"/>
      <c r="Y424" s="341" t="str">
        <f aca="false">IFERROR(VLOOKUP(C424,TE!$H:$Y,16,FALSE()),"0")</f>
        <v>0</v>
      </c>
      <c r="Z424" s="341"/>
      <c r="AA424" s="342" t="str">
        <f aca="false">IFERROR(VLOOKUP(C424,TE!$H:$Y,17,FALSE()),"0")</f>
        <v>0</v>
      </c>
      <c r="AB424" s="342"/>
      <c r="AC424" s="343" t="n">
        <f aca="false">IFERROR((W424*Y424*AA424),"")</f>
        <v>0</v>
      </c>
      <c r="AD424" s="343"/>
      <c r="AE424" s="343"/>
      <c r="AF424" s="276"/>
    </row>
    <row r="425" customFormat="false" ht="15.75" hidden="false" customHeight="true" outlineLevel="0" collapsed="false">
      <c r="A425" s="276"/>
      <c r="B425" s="276"/>
      <c r="C425" s="344" t="s">
        <v>1562</v>
      </c>
      <c r="D425" s="338"/>
      <c r="E425" s="338"/>
      <c r="F425" s="339" t="str">
        <f aca="false">IFERROR(VLOOKUP(C425,TE!$H:$Y,2,FALSE()),"(Not on TE)")</f>
        <v>(Not on TE)</v>
      </c>
      <c r="G425" s="338"/>
      <c r="H425" s="338"/>
      <c r="I425" s="338"/>
      <c r="J425" s="338"/>
      <c r="K425" s="338"/>
      <c r="L425" s="338"/>
      <c r="M425" s="338"/>
      <c r="N425" s="338"/>
      <c r="O425" s="338"/>
      <c r="P425" s="338"/>
      <c r="Q425" s="338"/>
      <c r="R425" s="338"/>
      <c r="S425" s="338"/>
      <c r="T425" s="338"/>
      <c r="U425" s="340" t="str">
        <f aca="false">IFERROR(VLOOKUP(C425,TE!$H:$Y,9,FALSE()),"0")</f>
        <v>0</v>
      </c>
      <c r="V425" s="340"/>
      <c r="W425" s="341" t="n">
        <f aca="false">SUMIFS(TE!$O:$O,TE!$G:$G,$C$408,TE!$I:$I,C425,TE!$D:$D,$C$5)</f>
        <v>0</v>
      </c>
      <c r="X425" s="341"/>
      <c r="Y425" s="341" t="str">
        <f aca="false">IFERROR(VLOOKUP(C425,TE!$H:$Y,16,FALSE()),"0")</f>
        <v>0</v>
      </c>
      <c r="Z425" s="341"/>
      <c r="AA425" s="342" t="str">
        <f aca="false">IFERROR(VLOOKUP(C425,TE!$H:$Y,17,FALSE()),"0")</f>
        <v>0</v>
      </c>
      <c r="AB425" s="342"/>
      <c r="AC425" s="343" t="n">
        <f aca="false">IFERROR((W425*Y425*AA425),"")</f>
        <v>0</v>
      </c>
      <c r="AD425" s="343"/>
      <c r="AE425" s="343"/>
      <c r="AF425" s="276"/>
    </row>
    <row r="426" customFormat="false" ht="15.75" hidden="false" customHeight="true" outlineLevel="0" collapsed="false">
      <c r="A426" s="276"/>
      <c r="B426" s="276"/>
      <c r="C426" s="344" t="s">
        <v>1563</v>
      </c>
      <c r="D426" s="338"/>
      <c r="E426" s="338"/>
      <c r="F426" s="339" t="str">
        <f aca="false">IFERROR(VLOOKUP(C426,TE!$H:$Y,2,FALSE()),"(Not on TE)")</f>
        <v>(Not on TE)</v>
      </c>
      <c r="G426" s="338"/>
      <c r="H426" s="338"/>
      <c r="I426" s="338"/>
      <c r="J426" s="338"/>
      <c r="K426" s="338"/>
      <c r="L426" s="338"/>
      <c r="M426" s="338"/>
      <c r="N426" s="338"/>
      <c r="O426" s="338"/>
      <c r="P426" s="338"/>
      <c r="Q426" s="338"/>
      <c r="R426" s="338"/>
      <c r="S426" s="338"/>
      <c r="T426" s="338"/>
      <c r="U426" s="340" t="str">
        <f aca="false">IFERROR(VLOOKUP(C426,TE!$H:$Y,9,FALSE()),"0")</f>
        <v>0</v>
      </c>
      <c r="V426" s="340"/>
      <c r="W426" s="341" t="n">
        <f aca="false">SUMIFS(TE!$O:$O,TE!$G:$G,$C$408,TE!$I:$I,C426,TE!$D:$D,$C$5)</f>
        <v>0</v>
      </c>
      <c r="X426" s="341"/>
      <c r="Y426" s="341" t="str">
        <f aca="false">IFERROR(VLOOKUP(C426,TE!$H:$Y,16,FALSE()),"0")</f>
        <v>0</v>
      </c>
      <c r="Z426" s="341"/>
      <c r="AA426" s="342" t="str">
        <f aca="false">IFERROR(VLOOKUP(C426,TE!$H:$Y,17,FALSE()),"0")</f>
        <v>0</v>
      </c>
      <c r="AB426" s="342"/>
      <c r="AC426" s="343" t="n">
        <f aca="false">IFERROR((W426*Y426*AA426),"")</f>
        <v>0</v>
      </c>
      <c r="AD426" s="343"/>
      <c r="AE426" s="343"/>
      <c r="AF426" s="276"/>
    </row>
    <row r="427" customFormat="false" ht="15.75" hidden="false" customHeight="true" outlineLevel="0" collapsed="false">
      <c r="A427" s="276"/>
      <c r="B427" s="276"/>
      <c r="C427" s="344" t="s">
        <v>1564</v>
      </c>
      <c r="D427" s="338"/>
      <c r="E427" s="338"/>
      <c r="F427" s="339" t="str">
        <f aca="false">IFERROR(VLOOKUP(C427,TE!$H:$Y,2,FALSE()),"(Not on TE)")</f>
        <v>(Not on TE)</v>
      </c>
      <c r="G427" s="338"/>
      <c r="H427" s="338"/>
      <c r="I427" s="338"/>
      <c r="J427" s="338"/>
      <c r="K427" s="338"/>
      <c r="L427" s="338"/>
      <c r="M427" s="338"/>
      <c r="N427" s="338"/>
      <c r="O427" s="338"/>
      <c r="P427" s="338"/>
      <c r="Q427" s="338"/>
      <c r="R427" s="338"/>
      <c r="S427" s="338"/>
      <c r="T427" s="338"/>
      <c r="U427" s="340" t="str">
        <f aca="false">IFERROR(VLOOKUP(C427,TE!$H:$Y,9,FALSE()),"0")</f>
        <v>0</v>
      </c>
      <c r="V427" s="340"/>
      <c r="W427" s="341" t="n">
        <f aca="false">SUMIFS(TE!$O:$O,TE!$G:$G,$C$408,TE!$I:$I,C427,TE!$D:$D,$C$5)</f>
        <v>0</v>
      </c>
      <c r="X427" s="341"/>
      <c r="Y427" s="341" t="str">
        <f aca="false">IFERROR(VLOOKUP(C427,TE!$H:$Y,16,FALSE()),"0")</f>
        <v>0</v>
      </c>
      <c r="Z427" s="341"/>
      <c r="AA427" s="342" t="str">
        <f aca="false">IFERROR(VLOOKUP(C427,TE!$H:$Y,17,FALSE()),"0")</f>
        <v>0</v>
      </c>
      <c r="AB427" s="342"/>
      <c r="AC427" s="343" t="n">
        <f aca="false">IFERROR((W427*Y427*AA427),"")</f>
        <v>0</v>
      </c>
      <c r="AD427" s="343"/>
      <c r="AE427" s="343"/>
      <c r="AF427" s="276"/>
    </row>
    <row r="428" customFormat="false" ht="15.75" hidden="false" customHeight="true" outlineLevel="0" collapsed="false">
      <c r="A428" s="276"/>
      <c r="B428" s="276"/>
      <c r="C428" s="344" t="s">
        <v>1157</v>
      </c>
      <c r="D428" s="338"/>
      <c r="E428" s="338"/>
      <c r="F428" s="339" t="str">
        <f aca="false">IFERROR(VLOOKUP(C428,TE!$H:$Y,2,FALSE()),"(Not on TE)")</f>
        <v>(Not on TE)</v>
      </c>
      <c r="G428" s="338"/>
      <c r="H428" s="338"/>
      <c r="I428" s="338"/>
      <c r="J428" s="338"/>
      <c r="K428" s="338"/>
      <c r="L428" s="338"/>
      <c r="M428" s="338"/>
      <c r="N428" s="338"/>
      <c r="O428" s="338"/>
      <c r="P428" s="338"/>
      <c r="Q428" s="338"/>
      <c r="R428" s="338"/>
      <c r="S428" s="338"/>
      <c r="T428" s="338"/>
      <c r="U428" s="340" t="str">
        <f aca="false">IFERROR(VLOOKUP(C428,TE!$H:$Y,9,FALSE()),"0")</f>
        <v>0</v>
      </c>
      <c r="V428" s="340"/>
      <c r="W428" s="341" t="n">
        <f aca="false">SUMIFS(TE!$O:$O,TE!$G:$G,$C$408,TE!$I:$I,C428,TE!$D:$D,$C$5)</f>
        <v>0</v>
      </c>
      <c r="X428" s="341"/>
      <c r="Y428" s="341" t="str">
        <f aca="false">IFERROR(VLOOKUP(C428,TE!$H:$Y,16,FALSE()),"0")</f>
        <v>0</v>
      </c>
      <c r="Z428" s="341"/>
      <c r="AA428" s="342" t="str">
        <f aca="false">IFERROR(VLOOKUP(C428,TE!$H:$Y,17,FALSE()),"0")</f>
        <v>0</v>
      </c>
      <c r="AB428" s="342"/>
      <c r="AC428" s="343" t="n">
        <f aca="false">IFERROR((W428*Y428*AA428),"")</f>
        <v>0</v>
      </c>
      <c r="AD428" s="343"/>
      <c r="AE428" s="343"/>
      <c r="AF428" s="276"/>
    </row>
    <row r="429" customFormat="false" ht="15.75" hidden="false" customHeight="true" outlineLevel="0" collapsed="false">
      <c r="A429" s="276"/>
      <c r="B429" s="276"/>
      <c r="C429" s="344" t="s">
        <v>1565</v>
      </c>
      <c r="D429" s="338"/>
      <c r="E429" s="338"/>
      <c r="F429" s="339" t="str">
        <f aca="false">IFERROR(VLOOKUP(C429,TE!$H:$Y,2,FALSE()),"(Not on TE)")</f>
        <v>(Not on TE)</v>
      </c>
      <c r="G429" s="338"/>
      <c r="H429" s="338"/>
      <c r="I429" s="338"/>
      <c r="J429" s="338"/>
      <c r="K429" s="338"/>
      <c r="L429" s="338"/>
      <c r="M429" s="338"/>
      <c r="N429" s="338"/>
      <c r="O429" s="338"/>
      <c r="P429" s="338"/>
      <c r="Q429" s="338"/>
      <c r="R429" s="338"/>
      <c r="S429" s="338"/>
      <c r="T429" s="338"/>
      <c r="U429" s="340" t="str">
        <f aca="false">IFERROR(VLOOKUP(C429,TE!$H:$Y,9,FALSE()),"0")</f>
        <v>0</v>
      </c>
      <c r="V429" s="340"/>
      <c r="W429" s="341" t="n">
        <f aca="false">SUMIFS(TE!$O:$O,TE!$G:$G,$C$408,TE!$I:$I,C429,TE!$D:$D,$C$5)</f>
        <v>0</v>
      </c>
      <c r="X429" s="341"/>
      <c r="Y429" s="341" t="str">
        <f aca="false">IFERROR(VLOOKUP(C429,TE!$H:$Y,16,FALSE()),"0")</f>
        <v>0</v>
      </c>
      <c r="Z429" s="341"/>
      <c r="AA429" s="342" t="str">
        <f aca="false">IFERROR(VLOOKUP(C429,TE!$H:$Y,17,FALSE()),"0")</f>
        <v>0</v>
      </c>
      <c r="AB429" s="342"/>
      <c r="AC429" s="343" t="n">
        <f aca="false">IFERROR((W429*Y429*AA429),"")</f>
        <v>0</v>
      </c>
      <c r="AD429" s="343"/>
      <c r="AE429" s="343"/>
      <c r="AF429" s="276"/>
    </row>
    <row r="430" customFormat="false" ht="15.75" hidden="false" customHeight="true" outlineLevel="0" collapsed="false">
      <c r="A430" s="276"/>
      <c r="B430" s="276"/>
      <c r="C430" s="344" t="s">
        <v>1566</v>
      </c>
      <c r="D430" s="338"/>
      <c r="E430" s="338"/>
      <c r="F430" s="339" t="str">
        <f aca="false">IFERROR(VLOOKUP(C430,TE!$H:$Y,2,FALSE()),"(Not on TE)")</f>
        <v>(Not on TE)</v>
      </c>
      <c r="G430" s="338"/>
      <c r="H430" s="338"/>
      <c r="I430" s="338"/>
      <c r="J430" s="338"/>
      <c r="K430" s="338"/>
      <c r="L430" s="338"/>
      <c r="M430" s="338"/>
      <c r="N430" s="338"/>
      <c r="O430" s="338"/>
      <c r="P430" s="338"/>
      <c r="Q430" s="338"/>
      <c r="R430" s="338"/>
      <c r="S430" s="338"/>
      <c r="T430" s="338"/>
      <c r="U430" s="340" t="str">
        <f aca="false">IFERROR(VLOOKUP(C430,TE!$H:$Y,9,FALSE()),"0")</f>
        <v>0</v>
      </c>
      <c r="V430" s="340"/>
      <c r="W430" s="341" t="n">
        <f aca="false">SUMIFS(TE!$O:$O,TE!$G:$G,$C$408,TE!$I:$I,C430,TE!$D:$D,$C$5)</f>
        <v>0</v>
      </c>
      <c r="X430" s="341"/>
      <c r="Y430" s="341" t="str">
        <f aca="false">IFERROR(VLOOKUP(C430,TE!$H:$Y,16,FALSE()),"0")</f>
        <v>0</v>
      </c>
      <c r="Z430" s="341"/>
      <c r="AA430" s="342" t="str">
        <f aca="false">IFERROR(VLOOKUP(C430,TE!$H:$Y,17,FALSE()),"0")</f>
        <v>0</v>
      </c>
      <c r="AB430" s="342"/>
      <c r="AC430" s="343" t="n">
        <f aca="false">IFERROR((W430*Y430*AA430),"")</f>
        <v>0</v>
      </c>
      <c r="AD430" s="343"/>
      <c r="AE430" s="343"/>
      <c r="AF430" s="276"/>
    </row>
    <row r="431" customFormat="false" ht="15.75" hidden="false" customHeight="true" outlineLevel="0" collapsed="false">
      <c r="A431" s="276"/>
      <c r="B431" s="276"/>
      <c r="C431" s="344" t="s">
        <v>1149</v>
      </c>
      <c r="D431" s="338"/>
      <c r="E431" s="338"/>
      <c r="F431" s="339" t="str">
        <f aca="false">IFERROR(VLOOKUP(C431,TE!$H:$Y,2,FALSE()),"(Not on TE)")</f>
        <v>(Not on TE)</v>
      </c>
      <c r="G431" s="338"/>
      <c r="H431" s="338"/>
      <c r="I431" s="338"/>
      <c r="J431" s="338"/>
      <c r="K431" s="338"/>
      <c r="L431" s="338"/>
      <c r="M431" s="338"/>
      <c r="N431" s="338"/>
      <c r="O431" s="338"/>
      <c r="P431" s="338"/>
      <c r="Q431" s="338"/>
      <c r="R431" s="338"/>
      <c r="S431" s="338"/>
      <c r="T431" s="338"/>
      <c r="U431" s="340" t="str">
        <f aca="false">IFERROR(VLOOKUP(C431,TE!$H:$Y,9,FALSE()),"0")</f>
        <v>0</v>
      </c>
      <c r="V431" s="340"/>
      <c r="W431" s="341" t="n">
        <f aca="false">SUMIFS(TE!$O:$O,TE!$G:$G,$C$408,TE!$I:$I,C431,TE!$D:$D,$C$5)</f>
        <v>0</v>
      </c>
      <c r="X431" s="341"/>
      <c r="Y431" s="341" t="str">
        <f aca="false">IFERROR(VLOOKUP(C431,TE!$H:$Y,16,FALSE()),"0")</f>
        <v>0</v>
      </c>
      <c r="Z431" s="341"/>
      <c r="AA431" s="342" t="str">
        <f aca="false">IFERROR(VLOOKUP(C431,TE!$H:$Y,17,FALSE()),"0")</f>
        <v>0</v>
      </c>
      <c r="AB431" s="342"/>
      <c r="AC431" s="343" t="n">
        <f aca="false">IFERROR((W431*Y431*AA431),"")</f>
        <v>0</v>
      </c>
      <c r="AD431" s="343"/>
      <c r="AE431" s="343"/>
      <c r="AF431" s="276"/>
    </row>
    <row r="432" customFormat="false" ht="15.75" hidden="false" customHeight="true" outlineLevel="0" collapsed="false">
      <c r="A432" s="276"/>
      <c r="B432" s="276"/>
      <c r="C432" s="344" t="s">
        <v>1253</v>
      </c>
      <c r="D432" s="338"/>
      <c r="E432" s="338"/>
      <c r="F432" s="339" t="str">
        <f aca="false">IFERROR(VLOOKUP(C432,TE!$H:$Y,2,FALSE()),"(Not on TE)")</f>
        <v>(Not on TE)</v>
      </c>
      <c r="G432" s="338"/>
      <c r="H432" s="338"/>
      <c r="I432" s="338"/>
      <c r="J432" s="338"/>
      <c r="K432" s="338"/>
      <c r="L432" s="338"/>
      <c r="M432" s="338"/>
      <c r="N432" s="338"/>
      <c r="O432" s="338"/>
      <c r="P432" s="338"/>
      <c r="Q432" s="338"/>
      <c r="R432" s="338"/>
      <c r="S432" s="338"/>
      <c r="T432" s="338"/>
      <c r="U432" s="340" t="str">
        <f aca="false">IFERROR(VLOOKUP(C432,TE!$H:$Y,9,FALSE()),"0")</f>
        <v>0</v>
      </c>
      <c r="V432" s="340"/>
      <c r="W432" s="341" t="n">
        <f aca="false">SUMIFS(TE!$O:$O,TE!$G:$G,$C$408,TE!$I:$I,C432,TE!$D:$D,$C$5)</f>
        <v>0</v>
      </c>
      <c r="X432" s="341"/>
      <c r="Y432" s="341" t="str">
        <f aca="false">IFERROR(VLOOKUP(C432,TE!$H:$Y,16,FALSE()),"0")</f>
        <v>0</v>
      </c>
      <c r="Z432" s="341"/>
      <c r="AA432" s="342" t="str">
        <f aca="false">IFERROR(VLOOKUP(C432,TE!$H:$Y,17,FALSE()),"0")</f>
        <v>0</v>
      </c>
      <c r="AB432" s="342"/>
      <c r="AC432" s="343" t="n">
        <f aca="false">IFERROR((W432*Y432*AA432),"")</f>
        <v>0</v>
      </c>
      <c r="AD432" s="343"/>
      <c r="AE432" s="343"/>
      <c r="AF432" s="276"/>
    </row>
    <row r="433" customFormat="false" ht="15.75" hidden="false" customHeight="true" outlineLevel="0" collapsed="false">
      <c r="A433" s="276"/>
      <c r="B433" s="276"/>
      <c r="C433" s="345" t="s">
        <v>1255</v>
      </c>
      <c r="D433" s="346"/>
      <c r="E433" s="346"/>
      <c r="F433" s="339" t="str">
        <f aca="false">IFERROR(VLOOKUP(C433,TE!$H:$Y,2,FALSE()),"(Not on TE)")</f>
        <v>(Not on TE)</v>
      </c>
      <c r="G433" s="347"/>
      <c r="H433" s="347"/>
      <c r="I433" s="347"/>
      <c r="J433" s="347"/>
      <c r="K433" s="347"/>
      <c r="L433" s="347"/>
      <c r="M433" s="347"/>
      <c r="N433" s="347"/>
      <c r="O433" s="347"/>
      <c r="P433" s="347"/>
      <c r="Q433" s="347"/>
      <c r="R433" s="347"/>
      <c r="S433" s="347"/>
      <c r="T433" s="347"/>
      <c r="U433" s="340" t="str">
        <f aca="false">IFERROR(VLOOKUP(C433,TE!$H:$Y,9,FALSE()),"0")</f>
        <v>0</v>
      </c>
      <c r="V433" s="340"/>
      <c r="W433" s="341" t="n">
        <f aca="false">SUMIFS(TE!$O:$O,TE!$G:$G,$C$408,TE!$I:$I,C433,TE!$D:$D,$C$5)</f>
        <v>0</v>
      </c>
      <c r="X433" s="341"/>
      <c r="Y433" s="341" t="str">
        <f aca="false">IFERROR(VLOOKUP(C433,TE!$H:$Y,16,FALSE()),"0")</f>
        <v>0</v>
      </c>
      <c r="Z433" s="341"/>
      <c r="AA433" s="342" t="str">
        <f aca="false">IFERROR(VLOOKUP(C433,TE!$H:$Y,17,FALSE()),"0")</f>
        <v>0</v>
      </c>
      <c r="AB433" s="342"/>
      <c r="AC433" s="343" t="n">
        <f aca="false">IFERROR((W433*Y433*AA433),"")</f>
        <v>0</v>
      </c>
      <c r="AD433" s="343"/>
      <c r="AE433" s="343"/>
      <c r="AF433" s="276"/>
    </row>
    <row r="434" customFormat="false" ht="15.75" hidden="false" customHeight="true" outlineLevel="0" collapsed="false">
      <c r="A434" s="276"/>
      <c r="B434" s="276"/>
      <c r="C434" s="345" t="s">
        <v>1458</v>
      </c>
      <c r="D434" s="346"/>
      <c r="E434" s="346"/>
      <c r="F434" s="339" t="str">
        <f aca="false">IFERROR(VLOOKUP(C434,TE!$H:$Y,2,FALSE()),"(Not on TE)")</f>
        <v>(Not on TE)</v>
      </c>
      <c r="G434" s="347"/>
      <c r="H434" s="347"/>
      <c r="I434" s="347"/>
      <c r="J434" s="347"/>
      <c r="K434" s="347"/>
      <c r="L434" s="347"/>
      <c r="M434" s="347"/>
      <c r="N434" s="347"/>
      <c r="O434" s="347"/>
      <c r="P434" s="347"/>
      <c r="Q434" s="347"/>
      <c r="R434" s="347"/>
      <c r="S434" s="347"/>
      <c r="T434" s="347"/>
      <c r="U434" s="340" t="str">
        <f aca="false">IFERROR(VLOOKUP(C434,TE!$H:$Y,9,FALSE()),"0")</f>
        <v>0</v>
      </c>
      <c r="V434" s="340"/>
      <c r="W434" s="341" t="n">
        <f aca="false">SUMIFS(TE!$O:$O,TE!$G:$G,$C$408,TE!$I:$I,C434,TE!$D:$D,$C$5)</f>
        <v>0</v>
      </c>
      <c r="X434" s="341"/>
      <c r="Y434" s="341" t="str">
        <f aca="false">IFERROR(VLOOKUP(C434,TE!$H:$Y,16,FALSE()),"0")</f>
        <v>0</v>
      </c>
      <c r="Z434" s="341"/>
      <c r="AA434" s="342" t="str">
        <f aca="false">IFERROR(VLOOKUP(C434,TE!$H:$Y,17,FALSE()),"0")</f>
        <v>0</v>
      </c>
      <c r="AB434" s="342"/>
      <c r="AC434" s="343" t="n">
        <f aca="false">IFERROR((W434*Y434*AA434),"")</f>
        <v>0</v>
      </c>
      <c r="AD434" s="343"/>
      <c r="AE434" s="343"/>
      <c r="AF434" s="276"/>
    </row>
    <row r="435" customFormat="false" ht="15.75" hidden="false" customHeight="true" outlineLevel="0" collapsed="false">
      <c r="A435" s="276"/>
      <c r="B435" s="276"/>
      <c r="C435" s="345" t="s">
        <v>1199</v>
      </c>
      <c r="D435" s="346"/>
      <c r="E435" s="346"/>
      <c r="F435" s="339" t="str">
        <f aca="false">IFERROR(VLOOKUP(C435,TE!$H:$Y,2,FALSE()),"(Not on TE)")</f>
        <v>(Not on TE)</v>
      </c>
      <c r="G435" s="347"/>
      <c r="H435" s="347"/>
      <c r="I435" s="347"/>
      <c r="J435" s="347"/>
      <c r="K435" s="347"/>
      <c r="L435" s="347"/>
      <c r="M435" s="347"/>
      <c r="N435" s="347"/>
      <c r="O435" s="347"/>
      <c r="P435" s="347"/>
      <c r="Q435" s="347"/>
      <c r="R435" s="347"/>
      <c r="S435" s="347"/>
      <c r="T435" s="347"/>
      <c r="U435" s="340" t="str">
        <f aca="false">IFERROR(VLOOKUP(C435,TE!$H:$Y,9,FALSE()),"0")</f>
        <v>0</v>
      </c>
      <c r="V435" s="340"/>
      <c r="W435" s="341" t="n">
        <f aca="false">SUMIFS(TE!$O:$O,TE!$G:$G,$C$408,TE!$I:$I,C435,TE!$D:$D,$C$5)</f>
        <v>0</v>
      </c>
      <c r="X435" s="341"/>
      <c r="Y435" s="341" t="str">
        <f aca="false">IFERROR(VLOOKUP(C435,TE!$H:$Y,16,FALSE()),"0")</f>
        <v>0</v>
      </c>
      <c r="Z435" s="341"/>
      <c r="AA435" s="342" t="str">
        <f aca="false">IFERROR(VLOOKUP(C435,TE!$H:$Y,17,FALSE()),"0")</f>
        <v>0</v>
      </c>
      <c r="AB435" s="342"/>
      <c r="AC435" s="343" t="n">
        <f aca="false">IFERROR((W435*Y435*AA435),"")</f>
        <v>0</v>
      </c>
      <c r="AD435" s="343"/>
      <c r="AE435" s="343"/>
      <c r="AF435" s="276"/>
    </row>
    <row r="436" customFormat="false" ht="15.75" hidden="false" customHeight="true" outlineLevel="0" collapsed="false">
      <c r="A436" s="276"/>
      <c r="B436" s="276"/>
      <c r="C436" s="345" t="s">
        <v>1567</v>
      </c>
      <c r="D436" s="346"/>
      <c r="E436" s="346"/>
      <c r="F436" s="339" t="str">
        <f aca="false">IFERROR(VLOOKUP(C436,TE!$H:$Y,2,FALSE()),"(Not on TE)")</f>
        <v>(Not on TE)</v>
      </c>
      <c r="G436" s="347"/>
      <c r="H436" s="347"/>
      <c r="I436" s="347"/>
      <c r="J436" s="347"/>
      <c r="K436" s="347"/>
      <c r="L436" s="347"/>
      <c r="M436" s="347"/>
      <c r="N436" s="347"/>
      <c r="O436" s="347"/>
      <c r="P436" s="347"/>
      <c r="Q436" s="347"/>
      <c r="R436" s="347"/>
      <c r="S436" s="347"/>
      <c r="T436" s="347"/>
      <c r="U436" s="340" t="str">
        <f aca="false">IFERROR(VLOOKUP(C436,TE!$H:$Y,9,FALSE()),"0")</f>
        <v>0</v>
      </c>
      <c r="V436" s="340"/>
      <c r="W436" s="341" t="n">
        <f aca="false">SUMIFS(TE!$O:$O,TE!$G:$G,$C$408,TE!$I:$I,C436,TE!$D:$D,$C$5)</f>
        <v>0</v>
      </c>
      <c r="X436" s="341"/>
      <c r="Y436" s="341" t="str">
        <f aca="false">IFERROR(VLOOKUP(C436,TE!$H:$Y,16,FALSE()),"0")</f>
        <v>0</v>
      </c>
      <c r="Z436" s="341"/>
      <c r="AA436" s="342" t="str">
        <f aca="false">IFERROR(VLOOKUP(C436,TE!$H:$Y,17,FALSE()),"0")</f>
        <v>0</v>
      </c>
      <c r="AB436" s="342"/>
      <c r="AC436" s="343" t="n">
        <f aca="false">IFERROR((W436*Y436*AA436),"")</f>
        <v>0</v>
      </c>
      <c r="AD436" s="343"/>
      <c r="AE436" s="343"/>
      <c r="AF436" s="276"/>
    </row>
    <row r="437" customFormat="false" ht="15.75" hidden="false" customHeight="true" outlineLevel="0" collapsed="false">
      <c r="A437" s="276"/>
      <c r="B437" s="276"/>
      <c r="C437" s="345" t="s">
        <v>1568</v>
      </c>
      <c r="D437" s="346"/>
      <c r="E437" s="346"/>
      <c r="F437" s="339" t="str">
        <f aca="false">IFERROR(VLOOKUP(C437,TE!$H:$Y,2,FALSE()),"(Not on TE)")</f>
        <v>(Not on TE)</v>
      </c>
      <c r="G437" s="347"/>
      <c r="H437" s="347"/>
      <c r="I437" s="347"/>
      <c r="J437" s="347"/>
      <c r="K437" s="347"/>
      <c r="L437" s="347"/>
      <c r="M437" s="347"/>
      <c r="N437" s="347"/>
      <c r="O437" s="347"/>
      <c r="P437" s="347"/>
      <c r="Q437" s="347"/>
      <c r="R437" s="347"/>
      <c r="S437" s="347"/>
      <c r="T437" s="347"/>
      <c r="U437" s="340" t="str">
        <f aca="false">IFERROR(VLOOKUP(C437,TE!$H:$Y,9,FALSE()),"0")</f>
        <v>0</v>
      </c>
      <c r="V437" s="340"/>
      <c r="W437" s="341" t="n">
        <f aca="false">SUMIFS(TE!$O:$O,TE!$G:$G,$C$408,TE!$I:$I,C437,TE!$D:$D,$C$5)</f>
        <v>0</v>
      </c>
      <c r="X437" s="341"/>
      <c r="Y437" s="341" t="str">
        <f aca="false">IFERROR(VLOOKUP(C437,TE!$H:$Y,16,FALSE()),"0")</f>
        <v>0</v>
      </c>
      <c r="Z437" s="341"/>
      <c r="AA437" s="342" t="str">
        <f aca="false">IFERROR(VLOOKUP(C437,TE!$H:$Y,17,FALSE()),"0")</f>
        <v>0</v>
      </c>
      <c r="AB437" s="342"/>
      <c r="AC437" s="343" t="n">
        <f aca="false">IFERROR((W437*Y437*AA437),"")</f>
        <v>0</v>
      </c>
      <c r="AD437" s="343"/>
      <c r="AE437" s="343"/>
      <c r="AF437" s="276"/>
    </row>
    <row r="438" customFormat="false" ht="15.75" hidden="false" customHeight="true" outlineLevel="0" collapsed="false">
      <c r="A438" s="276"/>
      <c r="B438" s="276"/>
      <c r="C438" s="345" t="s">
        <v>1569</v>
      </c>
      <c r="D438" s="346"/>
      <c r="E438" s="346"/>
      <c r="F438" s="339" t="str">
        <f aca="false">IFERROR(VLOOKUP(C438,TE!$H:$Y,2,FALSE()),"(Not on TE)")</f>
        <v>(Not on TE)</v>
      </c>
      <c r="G438" s="347"/>
      <c r="H438" s="347"/>
      <c r="I438" s="347"/>
      <c r="J438" s="347"/>
      <c r="K438" s="347"/>
      <c r="L438" s="347"/>
      <c r="M438" s="347"/>
      <c r="N438" s="347"/>
      <c r="O438" s="347"/>
      <c r="P438" s="347"/>
      <c r="Q438" s="347"/>
      <c r="R438" s="347"/>
      <c r="S438" s="347"/>
      <c r="T438" s="347"/>
      <c r="U438" s="340" t="str">
        <f aca="false">IFERROR(VLOOKUP(C438,TE!$H:$Y,9,FALSE()),"0")</f>
        <v>0</v>
      </c>
      <c r="V438" s="340"/>
      <c r="W438" s="341" t="n">
        <f aca="false">SUMIFS(TE!$O:$O,TE!$G:$G,$C$408,TE!$I:$I,C438,TE!$D:$D,$C$5)</f>
        <v>0</v>
      </c>
      <c r="X438" s="341"/>
      <c r="Y438" s="341" t="str">
        <f aca="false">IFERROR(VLOOKUP(C438,TE!$H:$Y,16,FALSE()),"0")</f>
        <v>0</v>
      </c>
      <c r="Z438" s="341"/>
      <c r="AA438" s="342" t="str">
        <f aca="false">IFERROR(VLOOKUP(C438,TE!$H:$Y,17,FALSE()),"0")</f>
        <v>0</v>
      </c>
      <c r="AB438" s="342"/>
      <c r="AC438" s="343" t="n">
        <f aca="false">IFERROR((W438*Y438*AA438),"")</f>
        <v>0</v>
      </c>
      <c r="AD438" s="343"/>
      <c r="AE438" s="343"/>
      <c r="AF438" s="276"/>
    </row>
    <row r="439" customFormat="false" ht="15.75" hidden="false" customHeight="true" outlineLevel="0" collapsed="false">
      <c r="A439" s="276"/>
      <c r="B439" s="276"/>
      <c r="C439" s="345" t="s">
        <v>1570</v>
      </c>
      <c r="D439" s="346"/>
      <c r="E439" s="346"/>
      <c r="F439" s="339" t="str">
        <f aca="false">IFERROR(VLOOKUP(C439,TE!$H:$Y,2,FALSE()),"(Not on TE)")</f>
        <v>(Not on TE)</v>
      </c>
      <c r="G439" s="347"/>
      <c r="H439" s="347"/>
      <c r="I439" s="347"/>
      <c r="J439" s="347"/>
      <c r="K439" s="347"/>
      <c r="L439" s="347"/>
      <c r="M439" s="347"/>
      <c r="N439" s="347"/>
      <c r="O439" s="347"/>
      <c r="P439" s="347"/>
      <c r="Q439" s="347"/>
      <c r="R439" s="347"/>
      <c r="S439" s="347"/>
      <c r="T439" s="347"/>
      <c r="U439" s="340" t="str">
        <f aca="false">IFERROR(VLOOKUP(C439,TE!$H:$Y,9,FALSE()),"0")</f>
        <v>0</v>
      </c>
      <c r="V439" s="340"/>
      <c r="W439" s="341" t="n">
        <f aca="false">SUMIFS(TE!$O:$O,TE!$G:$G,$C$408,TE!$I:$I,C439,TE!$D:$D,$C$5)</f>
        <v>0</v>
      </c>
      <c r="X439" s="341"/>
      <c r="Y439" s="341" t="str">
        <f aca="false">IFERROR(VLOOKUP(C439,TE!$H:$Y,16,FALSE()),"0")</f>
        <v>0</v>
      </c>
      <c r="Z439" s="341"/>
      <c r="AA439" s="342" t="str">
        <f aca="false">IFERROR(VLOOKUP(C439,TE!$H:$Y,17,FALSE()),"0")</f>
        <v>0</v>
      </c>
      <c r="AB439" s="342"/>
      <c r="AC439" s="343" t="n">
        <f aca="false">IFERROR((W439*Y439*AA439),"")</f>
        <v>0</v>
      </c>
      <c r="AD439" s="343"/>
      <c r="AE439" s="343"/>
      <c r="AF439" s="276"/>
    </row>
    <row r="440" customFormat="false" ht="15.75" hidden="false" customHeight="true" outlineLevel="0" collapsed="false">
      <c r="A440" s="276"/>
      <c r="B440" s="276"/>
      <c r="C440" s="344" t="s">
        <v>1305</v>
      </c>
      <c r="D440" s="346"/>
      <c r="E440" s="346"/>
      <c r="F440" s="339" t="str">
        <f aca="false">IFERROR(VLOOKUP(C440,TE!$H:$Y,2,FALSE()),"(Not on TE)")</f>
        <v>(Not on TE)</v>
      </c>
      <c r="G440" s="347"/>
      <c r="H440" s="347"/>
      <c r="I440" s="347"/>
      <c r="J440" s="347"/>
      <c r="K440" s="347"/>
      <c r="L440" s="347"/>
      <c r="M440" s="347"/>
      <c r="N440" s="347"/>
      <c r="O440" s="347"/>
      <c r="P440" s="347"/>
      <c r="Q440" s="347"/>
      <c r="R440" s="347"/>
      <c r="S440" s="347"/>
      <c r="T440" s="347"/>
      <c r="U440" s="340" t="str">
        <f aca="false">IFERROR(VLOOKUP(C440,TE!$H:$Y,9,FALSE()),"0")</f>
        <v>0</v>
      </c>
      <c r="V440" s="340"/>
      <c r="W440" s="341" t="n">
        <f aca="false">SUMIFS(TE!$O:$O,TE!$G:$G,$C$408,TE!$I:$I,C440,TE!$D:$D,$C$5)</f>
        <v>0</v>
      </c>
      <c r="X440" s="341"/>
      <c r="Y440" s="341" t="str">
        <f aca="false">IFERROR(VLOOKUP(C440,TE!$H:$Y,16,FALSE()),"0")</f>
        <v>0</v>
      </c>
      <c r="Z440" s="341"/>
      <c r="AA440" s="342" t="str">
        <f aca="false">IFERROR(VLOOKUP(C440,TE!$H:$Y,17,FALSE()),"0")</f>
        <v>0</v>
      </c>
      <c r="AB440" s="342"/>
      <c r="AC440" s="343" t="n">
        <f aca="false">IFERROR((W440*Y440*AA440),"")</f>
        <v>0</v>
      </c>
      <c r="AD440" s="343"/>
      <c r="AE440" s="343"/>
      <c r="AF440" s="276"/>
    </row>
    <row r="441" customFormat="false" ht="15.75" hidden="false" customHeight="true" outlineLevel="0" collapsed="false">
      <c r="A441" s="276"/>
      <c r="B441" s="276"/>
      <c r="C441" s="344" t="s">
        <v>1104</v>
      </c>
      <c r="D441" s="346"/>
      <c r="E441" s="346"/>
      <c r="F441" s="339" t="str">
        <f aca="false">IFERROR(VLOOKUP(C441,TE!$H:$Y,2,FALSE()),"(Not on TE)")</f>
        <v>(Not on TE)</v>
      </c>
      <c r="G441" s="347"/>
      <c r="H441" s="347"/>
      <c r="I441" s="347"/>
      <c r="J441" s="347"/>
      <c r="K441" s="347"/>
      <c r="L441" s="347"/>
      <c r="M441" s="347"/>
      <c r="N441" s="347"/>
      <c r="O441" s="347"/>
      <c r="P441" s="347"/>
      <c r="Q441" s="347"/>
      <c r="R441" s="347"/>
      <c r="S441" s="347"/>
      <c r="T441" s="347"/>
      <c r="U441" s="340" t="str">
        <f aca="false">IFERROR(VLOOKUP(C441,TE!$H:$Y,9,FALSE()),"0")</f>
        <v>0</v>
      </c>
      <c r="V441" s="340"/>
      <c r="W441" s="341" t="n">
        <f aca="false">SUMIFS(TE!$O:$O,TE!$G:$G,$C$408,TE!$I:$I,C441,TE!$D:$D,$C$5)</f>
        <v>0</v>
      </c>
      <c r="X441" s="341"/>
      <c r="Y441" s="341" t="str">
        <f aca="false">IFERROR(VLOOKUP(C441,TE!$H:$Y,16,FALSE()),"0")</f>
        <v>0</v>
      </c>
      <c r="Z441" s="341"/>
      <c r="AA441" s="342" t="str">
        <f aca="false">IFERROR(VLOOKUP(C441,TE!$H:$Y,17,FALSE()),"0")</f>
        <v>0</v>
      </c>
      <c r="AB441" s="342"/>
      <c r="AC441" s="343" t="n">
        <f aca="false">IFERROR((W441*Y441*AA441),"")</f>
        <v>0</v>
      </c>
      <c r="AD441" s="343"/>
      <c r="AE441" s="343"/>
      <c r="AF441" s="276"/>
    </row>
    <row r="442" customFormat="false" ht="15.75" hidden="false" customHeight="true" outlineLevel="0" collapsed="false">
      <c r="A442" s="276"/>
      <c r="B442" s="276"/>
      <c r="C442" s="344" t="s">
        <v>1571</v>
      </c>
      <c r="D442" s="346"/>
      <c r="E442" s="346"/>
      <c r="F442" s="339" t="str">
        <f aca="false">IFERROR(VLOOKUP(C442,TE!$H:$Y,2,FALSE()),"(Not on TE)")</f>
        <v>(Not on TE)</v>
      </c>
      <c r="G442" s="347"/>
      <c r="H442" s="347"/>
      <c r="I442" s="347"/>
      <c r="J442" s="347"/>
      <c r="K442" s="347"/>
      <c r="L442" s="347"/>
      <c r="M442" s="347"/>
      <c r="N442" s="347"/>
      <c r="O442" s="347"/>
      <c r="P442" s="347"/>
      <c r="Q442" s="347"/>
      <c r="R442" s="347"/>
      <c r="S442" s="347"/>
      <c r="T442" s="347"/>
      <c r="U442" s="340" t="str">
        <f aca="false">IFERROR(VLOOKUP(C442,TE!$H:$Y,9,FALSE()),"0")</f>
        <v>0</v>
      </c>
      <c r="V442" s="340"/>
      <c r="W442" s="341" t="n">
        <f aca="false">SUMIFS(TE!$O:$O,TE!$G:$G,$C$408,TE!$I:$I,C442,TE!$D:$D,$C$5)</f>
        <v>0</v>
      </c>
      <c r="X442" s="341"/>
      <c r="Y442" s="341" t="str">
        <f aca="false">IFERROR(VLOOKUP(C442,TE!$H:$Y,16,FALSE()),"0")</f>
        <v>0</v>
      </c>
      <c r="Z442" s="341"/>
      <c r="AA442" s="342" t="str">
        <f aca="false">IFERROR(VLOOKUP(C442,TE!$H:$Y,17,FALSE()),"0")</f>
        <v>0</v>
      </c>
      <c r="AB442" s="342"/>
      <c r="AC442" s="343" t="n">
        <f aca="false">IFERROR((W442*Y442*AA442),"")</f>
        <v>0</v>
      </c>
      <c r="AD442" s="343"/>
      <c r="AE442" s="343"/>
      <c r="AF442" s="276"/>
    </row>
    <row r="443" customFormat="false" ht="15.75" hidden="false" customHeight="true" outlineLevel="0" collapsed="false">
      <c r="A443" s="276"/>
      <c r="B443" s="276"/>
      <c r="C443" s="344" t="s">
        <v>1572</v>
      </c>
      <c r="D443" s="346"/>
      <c r="E443" s="346"/>
      <c r="F443" s="339" t="str">
        <f aca="false">IFERROR(VLOOKUP(C443,TE!$H:$Y,2,FALSE()),"(Not on TE)")</f>
        <v>(Not on TE)</v>
      </c>
      <c r="G443" s="347"/>
      <c r="H443" s="347"/>
      <c r="I443" s="347"/>
      <c r="J443" s="347"/>
      <c r="K443" s="347"/>
      <c r="L443" s="347"/>
      <c r="M443" s="347"/>
      <c r="N443" s="347"/>
      <c r="O443" s="347"/>
      <c r="P443" s="347"/>
      <c r="Q443" s="347"/>
      <c r="R443" s="347"/>
      <c r="S443" s="347"/>
      <c r="T443" s="347"/>
      <c r="U443" s="340" t="str">
        <f aca="false">IFERROR(VLOOKUP(C443,TE!$H:$Y,9,FALSE()),"0")</f>
        <v>0</v>
      </c>
      <c r="V443" s="340"/>
      <c r="W443" s="341" t="n">
        <f aca="false">SUMIFS(TE!$O:$O,TE!$G:$G,$C$408,TE!$I:$I,C443,TE!$D:$D,$C$5)</f>
        <v>0</v>
      </c>
      <c r="X443" s="341"/>
      <c r="Y443" s="341" t="str">
        <f aca="false">IFERROR(VLOOKUP(C443,TE!$H:$Y,16,FALSE()),"0")</f>
        <v>0</v>
      </c>
      <c r="Z443" s="341"/>
      <c r="AA443" s="342" t="str">
        <f aca="false">IFERROR(VLOOKUP(C443,TE!$H:$Y,17,FALSE()),"0")</f>
        <v>0</v>
      </c>
      <c r="AB443" s="342"/>
      <c r="AC443" s="343" t="n">
        <f aca="false">IFERROR((W443*Y443*AA443),"")</f>
        <v>0</v>
      </c>
      <c r="AD443" s="343"/>
      <c r="AE443" s="343"/>
      <c r="AF443" s="276"/>
    </row>
    <row r="444" customFormat="false" ht="15.75" hidden="false" customHeight="true" outlineLevel="0" collapsed="false">
      <c r="A444" s="276"/>
      <c r="B444" s="276"/>
      <c r="C444" s="344" t="s">
        <v>1316</v>
      </c>
      <c r="D444" s="346"/>
      <c r="E444" s="346"/>
      <c r="F444" s="339" t="str">
        <f aca="false">IFERROR(VLOOKUP(C444,TE!$H:$Y,2,FALSE()),"(Not on TE)")</f>
        <v>(Not on TE)</v>
      </c>
      <c r="G444" s="347"/>
      <c r="H444" s="347"/>
      <c r="I444" s="347"/>
      <c r="J444" s="347"/>
      <c r="K444" s="347"/>
      <c r="L444" s="347"/>
      <c r="M444" s="347"/>
      <c r="N444" s="347"/>
      <c r="O444" s="347"/>
      <c r="P444" s="347"/>
      <c r="Q444" s="347"/>
      <c r="R444" s="347"/>
      <c r="S444" s="347"/>
      <c r="T444" s="347"/>
      <c r="U444" s="340" t="str">
        <f aca="false">IFERROR(VLOOKUP(C444,TE!$H:$Y,9,FALSE()),"0")</f>
        <v>0</v>
      </c>
      <c r="V444" s="340"/>
      <c r="W444" s="341" t="n">
        <f aca="false">SUMIFS(TE!$O:$O,TE!$G:$G,$C$408,TE!$I:$I,C444,TE!$D:$D,$C$5)</f>
        <v>0</v>
      </c>
      <c r="X444" s="341"/>
      <c r="Y444" s="341" t="str">
        <f aca="false">IFERROR(VLOOKUP(C444,TE!$H:$Y,16,FALSE()),"0")</f>
        <v>0</v>
      </c>
      <c r="Z444" s="341"/>
      <c r="AA444" s="342" t="str">
        <f aca="false">IFERROR(VLOOKUP(C444,TE!$H:$Y,17,FALSE()),"0")</f>
        <v>0</v>
      </c>
      <c r="AB444" s="342"/>
      <c r="AC444" s="343" t="n">
        <f aca="false">IFERROR((W444*Y444*AA444),"")</f>
        <v>0</v>
      </c>
      <c r="AD444" s="343"/>
      <c r="AE444" s="343"/>
      <c r="AF444" s="276"/>
    </row>
    <row r="445" customFormat="false" ht="15.75" hidden="false" customHeight="true" outlineLevel="0" collapsed="false">
      <c r="A445" s="276"/>
      <c r="B445" s="276"/>
      <c r="C445" s="345" t="s">
        <v>1573</v>
      </c>
      <c r="D445" s="346"/>
      <c r="E445" s="346"/>
      <c r="F445" s="339" t="str">
        <f aca="false">IFERROR(VLOOKUP(C445,TE!$H:$Y,2,FALSE()),"(Not on TE)")</f>
        <v>(Not on TE)</v>
      </c>
      <c r="G445" s="347"/>
      <c r="H445" s="347"/>
      <c r="I445" s="347"/>
      <c r="J445" s="347"/>
      <c r="K445" s="347"/>
      <c r="L445" s="347"/>
      <c r="M445" s="347"/>
      <c r="N445" s="347"/>
      <c r="O445" s="347"/>
      <c r="P445" s="347"/>
      <c r="Q445" s="347"/>
      <c r="R445" s="347"/>
      <c r="S445" s="347"/>
      <c r="T445" s="347"/>
      <c r="U445" s="340" t="str">
        <f aca="false">IFERROR(VLOOKUP(C445,TE!$H:$Y,9,FALSE()),"0")</f>
        <v>0</v>
      </c>
      <c r="V445" s="340"/>
      <c r="W445" s="341" t="n">
        <f aca="false">SUMIFS(TE!$O:$O,TE!$G:$G,$C$408,TE!$I:$I,C445,TE!$D:$D,$C$5)</f>
        <v>0</v>
      </c>
      <c r="X445" s="341"/>
      <c r="Y445" s="341" t="str">
        <f aca="false">IFERROR(VLOOKUP(C445,TE!$H:$Y,16,FALSE()),"0")</f>
        <v>0</v>
      </c>
      <c r="Z445" s="341"/>
      <c r="AA445" s="342" t="str">
        <f aca="false">IFERROR(VLOOKUP(C445,TE!$H:$Y,17,FALSE()),"0")</f>
        <v>0</v>
      </c>
      <c r="AB445" s="342"/>
      <c r="AC445" s="343" t="n">
        <f aca="false">IFERROR((W445*Y445*AA445),"")</f>
        <v>0</v>
      </c>
      <c r="AD445" s="343"/>
      <c r="AE445" s="343"/>
      <c r="AF445" s="276"/>
    </row>
    <row r="446" customFormat="false" ht="15.75" hidden="false" customHeight="true" outlineLevel="0" collapsed="false">
      <c r="A446" s="276"/>
      <c r="B446" s="276"/>
      <c r="C446" s="345" t="s">
        <v>1574</v>
      </c>
      <c r="D446" s="346"/>
      <c r="E446" s="346"/>
      <c r="F446" s="339" t="str">
        <f aca="false">IFERROR(VLOOKUP(C446,TE!$H:$Y,2,FALSE()),"(Not on TE)")</f>
        <v>(Not on TE)</v>
      </c>
      <c r="G446" s="347"/>
      <c r="H446" s="347"/>
      <c r="I446" s="347"/>
      <c r="J446" s="347"/>
      <c r="K446" s="347"/>
      <c r="L446" s="347"/>
      <c r="M446" s="347"/>
      <c r="N446" s="347"/>
      <c r="O446" s="347"/>
      <c r="P446" s="347"/>
      <c r="Q446" s="347"/>
      <c r="R446" s="347"/>
      <c r="S446" s="347"/>
      <c r="T446" s="347"/>
      <c r="U446" s="340" t="str">
        <f aca="false">IFERROR(VLOOKUP(C446,TE!$H:$Y,9,FALSE()),"0")</f>
        <v>0</v>
      </c>
      <c r="V446" s="340"/>
      <c r="W446" s="341" t="n">
        <f aca="false">SUMIFS(TE!$O:$O,TE!$G:$G,$C$408,TE!$I:$I,C446,TE!$D:$D,$C$5)</f>
        <v>0</v>
      </c>
      <c r="X446" s="341"/>
      <c r="Y446" s="341" t="str">
        <f aca="false">IFERROR(VLOOKUP(C446,TE!$H:$Y,16,FALSE()),"0")</f>
        <v>0</v>
      </c>
      <c r="Z446" s="341"/>
      <c r="AA446" s="342" t="str">
        <f aca="false">IFERROR(VLOOKUP(C446,TE!$H:$Y,17,FALSE()),"0")</f>
        <v>0</v>
      </c>
      <c r="AB446" s="342"/>
      <c r="AC446" s="343" t="n">
        <f aca="false">IFERROR((W446*Y446*AA446),"")</f>
        <v>0</v>
      </c>
      <c r="AD446" s="343"/>
      <c r="AE446" s="343"/>
      <c r="AF446" s="276"/>
    </row>
    <row r="447" customFormat="false" ht="15.75" hidden="false" customHeight="true" outlineLevel="0" collapsed="false">
      <c r="A447" s="276"/>
      <c r="B447" s="276"/>
      <c r="C447" s="348" t="s">
        <v>1575</v>
      </c>
      <c r="D447" s="349"/>
      <c r="E447" s="349"/>
      <c r="F447" s="350" t="str">
        <f aca="false">IFERROR(VLOOKUP(C447,TE!$H:$Y,2,FALSE()),"(Not on TE)")</f>
        <v>(Not on TE)</v>
      </c>
      <c r="G447" s="351"/>
      <c r="H447" s="351"/>
      <c r="I447" s="351"/>
      <c r="J447" s="351"/>
      <c r="K447" s="351"/>
      <c r="L447" s="351"/>
      <c r="M447" s="351"/>
      <c r="N447" s="351"/>
      <c r="O447" s="351"/>
      <c r="P447" s="351"/>
      <c r="Q447" s="351"/>
      <c r="R447" s="351"/>
      <c r="S447" s="351"/>
      <c r="T447" s="351"/>
      <c r="U447" s="352" t="str">
        <f aca="false">IFERROR(VLOOKUP(C447,TE!$H:$Y,9,FALSE()),"0")</f>
        <v>0</v>
      </c>
      <c r="V447" s="352"/>
      <c r="W447" s="353" t="n">
        <f aca="false">SUMIFS(TE!$O:$O,TE!$G:$G,$C$408,TE!$I:$I,C447,TE!$D:$D,$C$5)</f>
        <v>0</v>
      </c>
      <c r="X447" s="353"/>
      <c r="Y447" s="353" t="str">
        <f aca="false">IFERROR(VLOOKUP(C447,TE!$H:$Y,16,FALSE()),"0")</f>
        <v>0</v>
      </c>
      <c r="Z447" s="353"/>
      <c r="AA447" s="354" t="str">
        <f aca="false">IFERROR(VLOOKUP(C447,TE!$H:$Y,17,FALSE()),"0")</f>
        <v>0</v>
      </c>
      <c r="AB447" s="354"/>
      <c r="AC447" s="355" t="n">
        <f aca="false">IFERROR((W447*Y447*AA447),"")</f>
        <v>0</v>
      </c>
      <c r="AD447" s="355"/>
      <c r="AE447" s="355"/>
      <c r="AF447" s="276"/>
    </row>
    <row r="448" customFormat="false" ht="15.75" hidden="false" customHeight="true" outlineLevel="0" collapsed="false">
      <c r="A448" s="276"/>
      <c r="B448" s="276"/>
      <c r="C448" s="338"/>
      <c r="D448" s="346"/>
      <c r="E448" s="346"/>
      <c r="F448" s="347"/>
      <c r="G448" s="347"/>
      <c r="H448" s="347"/>
      <c r="I448" s="347"/>
      <c r="J448" s="347"/>
      <c r="K448" s="347"/>
      <c r="L448" s="347"/>
      <c r="M448" s="347"/>
      <c r="N448" s="347"/>
      <c r="O448" s="347"/>
      <c r="P448" s="347"/>
      <c r="Q448" s="347"/>
      <c r="R448" s="347"/>
      <c r="S448" s="347"/>
      <c r="T448" s="347"/>
      <c r="U448" s="356"/>
      <c r="V448" s="356"/>
      <c r="W448" s="357"/>
      <c r="X448" s="357"/>
      <c r="Y448" s="357"/>
      <c r="Z448" s="296"/>
      <c r="AA448" s="358" t="s">
        <v>1576</v>
      </c>
      <c r="AB448" s="358"/>
      <c r="AC448" s="358"/>
      <c r="AD448" s="358"/>
      <c r="AE448" s="358"/>
      <c r="AF448" s="276"/>
    </row>
    <row r="449" customFormat="false" ht="15.75" hidden="false" customHeight="true" outlineLevel="0" collapsed="false">
      <c r="A449" s="276"/>
      <c r="B449" s="276"/>
      <c r="C449" s="359"/>
      <c r="D449" s="349"/>
      <c r="E449" s="349"/>
      <c r="F449" s="351"/>
      <c r="G449" s="351"/>
      <c r="H449" s="351"/>
      <c r="I449" s="351"/>
      <c r="J449" s="351"/>
      <c r="K449" s="351"/>
      <c r="L449" s="351"/>
      <c r="M449" s="351"/>
      <c r="N449" s="351"/>
      <c r="O449" s="351"/>
      <c r="P449" s="351"/>
      <c r="Q449" s="351"/>
      <c r="R449" s="351"/>
      <c r="S449" s="351"/>
      <c r="T449" s="351"/>
      <c r="U449" s="360"/>
      <c r="V449" s="360"/>
      <c r="W449" s="361"/>
      <c r="X449" s="361"/>
      <c r="Y449" s="361"/>
      <c r="Z449" s="361"/>
      <c r="AA449" s="362"/>
      <c r="AB449" s="362"/>
      <c r="AC449" s="363"/>
      <c r="AD449" s="363"/>
      <c r="AE449" s="363"/>
      <c r="AF449" s="276"/>
    </row>
    <row r="450" customFormat="false" ht="15.75" hidden="false" customHeight="true" outlineLevel="0" collapsed="false">
      <c r="A450" s="364"/>
      <c r="B450" s="364"/>
      <c r="C450" s="365"/>
      <c r="D450" s="366"/>
      <c r="E450" s="366"/>
      <c r="F450" s="367"/>
      <c r="G450" s="367"/>
      <c r="H450" s="367"/>
      <c r="I450" s="367"/>
      <c r="J450" s="367"/>
      <c r="K450" s="367"/>
      <c r="L450" s="367"/>
      <c r="M450" s="367"/>
      <c r="N450" s="367"/>
      <c r="O450" s="367"/>
      <c r="P450" s="367"/>
      <c r="Q450" s="367"/>
      <c r="R450" s="367"/>
      <c r="S450" s="367"/>
      <c r="T450" s="367"/>
      <c r="U450" s="368"/>
      <c r="V450" s="368"/>
      <c r="W450" s="369"/>
      <c r="X450" s="369"/>
      <c r="Y450" s="369"/>
      <c r="Z450" s="369"/>
      <c r="AA450" s="370"/>
      <c r="AB450" s="370"/>
      <c r="AC450" s="371"/>
      <c r="AD450" s="371"/>
      <c r="AE450" s="371"/>
      <c r="AF450" s="372"/>
    </row>
    <row r="451" customFormat="false" ht="15.75" hidden="false" customHeight="true" outlineLevel="0" collapsed="false">
      <c r="A451" s="259" t="s">
        <v>1522</v>
      </c>
      <c r="B451" s="259"/>
      <c r="C451" s="323" t="n">
        <f aca="false">$C$5</f>
        <v>14312</v>
      </c>
      <c r="D451" s="323"/>
      <c r="E451" s="323"/>
      <c r="F451" s="323"/>
      <c r="G451" s="323"/>
      <c r="H451" s="323"/>
      <c r="I451" s="323"/>
      <c r="J451" s="323"/>
      <c r="K451" s="323"/>
      <c r="L451" s="323"/>
      <c r="M451" s="259" t="s">
        <v>1523</v>
      </c>
      <c r="N451" s="259"/>
      <c r="O451" s="259"/>
      <c r="P451" s="259"/>
      <c r="Q451" s="259"/>
      <c r="R451" s="324" t="str">
        <f aca="false">$R$5</f>
        <v>Operational Vehicle Laydown Area</v>
      </c>
      <c r="S451" s="324"/>
      <c r="T451" s="324"/>
      <c r="U451" s="324"/>
      <c r="V451" s="324"/>
      <c r="W451" s="324"/>
      <c r="X451" s="324"/>
      <c r="Y451" s="324"/>
      <c r="Z451" s="324"/>
      <c r="AA451" s="324"/>
      <c r="AB451" s="324"/>
      <c r="AC451" s="324"/>
      <c r="AD451" s="324"/>
      <c r="AE451" s="324"/>
      <c r="AF451" s="324"/>
    </row>
    <row r="452" customFormat="false" ht="15.75" hidden="false" customHeight="true" outlineLevel="0" collapsed="false">
      <c r="A452" s="276"/>
      <c r="B452" s="276"/>
      <c r="C452" s="296"/>
      <c r="D452" s="276"/>
      <c r="E452" s="276"/>
      <c r="F452" s="296"/>
      <c r="G452" s="276"/>
      <c r="H452" s="276"/>
      <c r="I452" s="276"/>
      <c r="J452" s="276"/>
      <c r="K452" s="276"/>
      <c r="L452" s="276"/>
      <c r="M452" s="276"/>
      <c r="N452" s="276"/>
      <c r="O452" s="276"/>
      <c r="P452" s="276"/>
      <c r="Q452" s="276"/>
      <c r="R452" s="276"/>
      <c r="S452" s="276"/>
      <c r="T452" s="276"/>
      <c r="U452" s="276"/>
      <c r="V452" s="276"/>
      <c r="W452" s="277"/>
      <c r="X452" s="277"/>
      <c r="Y452" s="276"/>
      <c r="Z452" s="276"/>
      <c r="AA452" s="276"/>
      <c r="AB452" s="276"/>
      <c r="AC452" s="277"/>
      <c r="AD452" s="277"/>
      <c r="AE452" s="277"/>
      <c r="AF452" s="276"/>
    </row>
    <row r="453" customFormat="false" ht="15.75" hidden="false" customHeight="true" outlineLevel="0" collapsed="false">
      <c r="A453" s="276"/>
      <c r="B453" s="276"/>
      <c r="C453" s="325" t="s">
        <v>1542</v>
      </c>
      <c r="D453" s="276"/>
      <c r="E453" s="276"/>
      <c r="F453" s="296"/>
      <c r="G453" s="276"/>
      <c r="H453" s="276"/>
      <c r="I453" s="276"/>
      <c r="J453" s="276"/>
      <c r="K453" s="276"/>
      <c r="L453" s="276"/>
      <c r="M453" s="276"/>
      <c r="N453" s="276"/>
      <c r="O453" s="276"/>
      <c r="P453" s="276"/>
      <c r="Q453" s="276"/>
      <c r="R453" s="276"/>
      <c r="S453" s="276"/>
      <c r="T453" s="276"/>
      <c r="U453" s="276"/>
      <c r="V453" s="276"/>
      <c r="W453" s="277"/>
      <c r="X453" s="277"/>
      <c r="Y453" s="276"/>
      <c r="Z453" s="276"/>
      <c r="AA453" s="276"/>
      <c r="AB453" s="276"/>
      <c r="AC453" s="277"/>
      <c r="AD453" s="277"/>
      <c r="AE453" s="277"/>
      <c r="AF453" s="276"/>
    </row>
    <row r="454" customFormat="false" ht="15.75" hidden="false" customHeight="true" outlineLevel="0" collapsed="false">
      <c r="A454" s="276"/>
      <c r="B454" s="276"/>
      <c r="C454" s="391" t="str">
        <f aca="false">C408</f>
        <v>M28262</v>
      </c>
      <c r="D454" s="391"/>
      <c r="E454" s="391"/>
      <c r="F454" s="327" t="str">
        <f aca="false">F408</f>
        <v>SURGICAL CO B</v>
      </c>
      <c r="G454" s="327"/>
      <c r="H454" s="327"/>
      <c r="I454" s="327"/>
      <c r="J454" s="327"/>
      <c r="K454" s="327"/>
      <c r="L454" s="327"/>
      <c r="M454" s="327"/>
      <c r="N454" s="328"/>
      <c r="O454" s="329"/>
      <c r="P454" s="329"/>
      <c r="Q454" s="329"/>
      <c r="R454" s="329"/>
      <c r="S454" s="330"/>
      <c r="T454" s="295"/>
      <c r="U454" s="295"/>
      <c r="V454" s="295"/>
      <c r="W454" s="331"/>
      <c r="X454" s="331"/>
      <c r="Y454" s="295"/>
      <c r="Z454" s="295"/>
      <c r="AA454" s="295"/>
      <c r="AB454" s="295"/>
      <c r="AC454" s="332"/>
      <c r="AD454" s="332"/>
      <c r="AE454" s="332"/>
      <c r="AF454" s="276"/>
    </row>
    <row r="455" customFormat="false" ht="15.75" hidden="false" customHeight="true" outlineLevel="0" collapsed="false">
      <c r="A455" s="276"/>
      <c r="B455" s="276"/>
      <c r="C455" s="333" t="s">
        <v>1055</v>
      </c>
      <c r="D455" s="333"/>
      <c r="E455" s="333"/>
      <c r="F455" s="334" t="s">
        <v>13</v>
      </c>
      <c r="G455" s="334"/>
      <c r="H455" s="334"/>
      <c r="I455" s="334"/>
      <c r="J455" s="334"/>
      <c r="K455" s="334"/>
      <c r="L455" s="334"/>
      <c r="M455" s="334"/>
      <c r="N455" s="334"/>
      <c r="O455" s="334"/>
      <c r="P455" s="334"/>
      <c r="Q455" s="334"/>
      <c r="R455" s="334"/>
      <c r="S455" s="334"/>
      <c r="T455" s="334"/>
      <c r="U455" s="335" t="s">
        <v>1543</v>
      </c>
      <c r="V455" s="335"/>
      <c r="W455" s="335" t="s">
        <v>1544</v>
      </c>
      <c r="X455" s="335"/>
      <c r="Y455" s="335" t="s">
        <v>1545</v>
      </c>
      <c r="Z455" s="335"/>
      <c r="AA455" s="335" t="s">
        <v>1546</v>
      </c>
      <c r="AB455" s="335"/>
      <c r="AC455" s="336" t="s">
        <v>1547</v>
      </c>
      <c r="AD455" s="336"/>
      <c r="AE455" s="336"/>
      <c r="AF455" s="276"/>
    </row>
    <row r="456" customFormat="false" ht="15.75" hidden="false" customHeight="true" outlineLevel="0" collapsed="false">
      <c r="A456" s="276"/>
      <c r="B456" s="276"/>
      <c r="C456" s="333"/>
      <c r="D456" s="333"/>
      <c r="E456" s="333"/>
      <c r="F456" s="334"/>
      <c r="G456" s="334"/>
      <c r="H456" s="334"/>
      <c r="I456" s="334"/>
      <c r="J456" s="334"/>
      <c r="K456" s="334"/>
      <c r="L456" s="334"/>
      <c r="M456" s="334"/>
      <c r="N456" s="334"/>
      <c r="O456" s="334"/>
      <c r="P456" s="334"/>
      <c r="Q456" s="334"/>
      <c r="R456" s="334"/>
      <c r="S456" s="334"/>
      <c r="T456" s="334"/>
      <c r="U456" s="335"/>
      <c r="V456" s="335"/>
      <c r="W456" s="335"/>
      <c r="X456" s="335"/>
      <c r="Y456" s="335"/>
      <c r="Z456" s="335"/>
      <c r="AA456" s="335"/>
      <c r="AB456" s="335"/>
      <c r="AC456" s="336"/>
      <c r="AD456" s="336"/>
      <c r="AE456" s="336"/>
      <c r="AF456" s="276"/>
    </row>
    <row r="457" customFormat="false" ht="15.75" hidden="false" customHeight="true" outlineLevel="0" collapsed="false">
      <c r="A457" s="276"/>
      <c r="B457" s="276"/>
      <c r="C457" s="337" t="s">
        <v>1577</v>
      </c>
      <c r="D457" s="338"/>
      <c r="E457" s="338"/>
      <c r="F457" s="339" t="str">
        <f aca="false">IFERROR(VLOOKUP(C457,TE!$H:$Y,2,FALSE()),"(Not on TE)")</f>
        <v>(Not on TE)</v>
      </c>
      <c r="G457" s="338"/>
      <c r="H457" s="338"/>
      <c r="I457" s="338"/>
      <c r="J457" s="338"/>
      <c r="K457" s="338"/>
      <c r="L457" s="338"/>
      <c r="M457" s="338"/>
      <c r="N457" s="338"/>
      <c r="O457" s="338"/>
      <c r="P457" s="338"/>
      <c r="Q457" s="338"/>
      <c r="R457" s="338"/>
      <c r="S457" s="338"/>
      <c r="T457" s="338"/>
      <c r="U457" s="340" t="str">
        <f aca="false">IFERROR(VLOOKUP(C457,TE!$H:$Y,9,FALSE()),"0")</f>
        <v>0</v>
      </c>
      <c r="V457" s="340"/>
      <c r="W457" s="341" t="n">
        <f aca="false">SUMIFS(TE!$O:$O,TE!$G:$G,$C$408,TE!$I:$I,C457,TE!$D:$D,$C$5)</f>
        <v>0</v>
      </c>
      <c r="X457" s="341"/>
      <c r="Y457" s="341" t="str">
        <f aca="false">IFERROR(VLOOKUP(C457,TE!$H:$Y,16,FALSE()),"0")</f>
        <v>0</v>
      </c>
      <c r="Z457" s="341"/>
      <c r="AA457" s="342" t="str">
        <f aca="false">IFERROR(VLOOKUP(C457,TE!$H:$Y,17,FALSE()),"0")</f>
        <v>0</v>
      </c>
      <c r="AB457" s="342"/>
      <c r="AC457" s="343" t="n">
        <f aca="false">IFERROR((W457*Y457*AA457),"")</f>
        <v>0</v>
      </c>
      <c r="AD457" s="343"/>
      <c r="AE457" s="343"/>
      <c r="AF457" s="276"/>
    </row>
    <row r="458" customFormat="false" ht="15.75" hidden="false" customHeight="true" outlineLevel="0" collapsed="false">
      <c r="A458" s="276"/>
      <c r="B458" s="276"/>
      <c r="C458" s="344" t="s">
        <v>1578</v>
      </c>
      <c r="D458" s="338"/>
      <c r="E458" s="338"/>
      <c r="F458" s="339" t="str">
        <f aca="false">IFERROR(VLOOKUP(C458,TE!$H:$Y,2,FALSE()),"(Not on TE)")</f>
        <v>(Not on TE)</v>
      </c>
      <c r="G458" s="338"/>
      <c r="H458" s="338"/>
      <c r="I458" s="338"/>
      <c r="J458" s="338"/>
      <c r="K458" s="338"/>
      <c r="L458" s="338"/>
      <c r="M458" s="338"/>
      <c r="N458" s="338"/>
      <c r="O458" s="338"/>
      <c r="P458" s="338"/>
      <c r="Q458" s="338"/>
      <c r="R458" s="338"/>
      <c r="S458" s="338"/>
      <c r="T458" s="338"/>
      <c r="U458" s="340" t="str">
        <f aca="false">IFERROR(VLOOKUP(C458,TE!$H:$Y,9,FALSE()),"0")</f>
        <v>0</v>
      </c>
      <c r="V458" s="340"/>
      <c r="W458" s="341" t="n">
        <f aca="false">SUMIFS(TE!$O:$O,TE!$G:$G,$C$408,TE!$I:$I,C458,TE!$D:$D,$C$5)</f>
        <v>0</v>
      </c>
      <c r="X458" s="341"/>
      <c r="Y458" s="341" t="str">
        <f aca="false">IFERROR(VLOOKUP(C458,TE!$H:$Y,16,FALSE()),"0")</f>
        <v>0</v>
      </c>
      <c r="Z458" s="341"/>
      <c r="AA458" s="342" t="str">
        <f aca="false">IFERROR(VLOOKUP(C458,TE!$H:$Y,17,FALSE()),"0")</f>
        <v>0</v>
      </c>
      <c r="AB458" s="342"/>
      <c r="AC458" s="343" t="n">
        <f aca="false">IFERROR((W458*Y458*AA458),"")</f>
        <v>0</v>
      </c>
      <c r="AD458" s="343"/>
      <c r="AE458" s="343"/>
      <c r="AF458" s="276"/>
    </row>
    <row r="459" customFormat="false" ht="15.75" hidden="false" customHeight="true" outlineLevel="0" collapsed="false">
      <c r="A459" s="276"/>
      <c r="B459" s="276"/>
      <c r="C459" s="344" t="s">
        <v>1579</v>
      </c>
      <c r="D459" s="338"/>
      <c r="E459" s="338"/>
      <c r="F459" s="339" t="str">
        <f aca="false">IFERROR(VLOOKUP(C459,TE!$H:$Y,2,FALSE()),"(Not on TE)")</f>
        <v>(Not on TE)</v>
      </c>
      <c r="G459" s="338"/>
      <c r="H459" s="338"/>
      <c r="I459" s="338"/>
      <c r="J459" s="338"/>
      <c r="K459" s="338"/>
      <c r="L459" s="338"/>
      <c r="M459" s="338"/>
      <c r="N459" s="338"/>
      <c r="O459" s="338"/>
      <c r="P459" s="338"/>
      <c r="Q459" s="338"/>
      <c r="R459" s="338"/>
      <c r="S459" s="338"/>
      <c r="T459" s="338"/>
      <c r="U459" s="340" t="str">
        <f aca="false">IFERROR(VLOOKUP(C459,TE!$H:$Y,9,FALSE()),"0")</f>
        <v>0</v>
      </c>
      <c r="V459" s="340"/>
      <c r="W459" s="341" t="n">
        <f aca="false">SUMIFS(TE!$O:$O,TE!$G:$G,$C$408,TE!$I:$I,C459,TE!$D:$D,$C$5)</f>
        <v>0</v>
      </c>
      <c r="X459" s="341"/>
      <c r="Y459" s="341" t="str">
        <f aca="false">IFERROR(VLOOKUP(C459,TE!$H:$Y,16,FALSE()),"0")</f>
        <v>0</v>
      </c>
      <c r="Z459" s="341"/>
      <c r="AA459" s="342" t="str">
        <f aca="false">IFERROR(VLOOKUP(C459,TE!$H:$Y,17,FALSE()),"0")</f>
        <v>0</v>
      </c>
      <c r="AB459" s="342"/>
      <c r="AC459" s="343" t="n">
        <f aca="false">IFERROR((W459*Y459*AA459),"")</f>
        <v>0</v>
      </c>
      <c r="AD459" s="343"/>
      <c r="AE459" s="343"/>
      <c r="AF459" s="276"/>
    </row>
    <row r="460" customFormat="false" ht="15.75" hidden="false" customHeight="true" outlineLevel="0" collapsed="false">
      <c r="A460" s="276"/>
      <c r="B460" s="276"/>
      <c r="C460" s="344" t="s">
        <v>1580</v>
      </c>
      <c r="D460" s="338"/>
      <c r="E460" s="338"/>
      <c r="F460" s="339" t="str">
        <f aca="false">IFERROR(VLOOKUP(C460,TE!$H:$Y,2,FALSE()),"(Not on TE)")</f>
        <v>(Not on TE)</v>
      </c>
      <c r="G460" s="338"/>
      <c r="H460" s="338"/>
      <c r="I460" s="338"/>
      <c r="J460" s="338"/>
      <c r="K460" s="338"/>
      <c r="L460" s="338"/>
      <c r="M460" s="338"/>
      <c r="N460" s="338"/>
      <c r="O460" s="338"/>
      <c r="P460" s="338"/>
      <c r="Q460" s="338"/>
      <c r="R460" s="338"/>
      <c r="S460" s="338"/>
      <c r="T460" s="338"/>
      <c r="U460" s="340" t="str">
        <f aca="false">IFERROR(VLOOKUP(C460,TE!$H:$Y,9,FALSE()),"0")</f>
        <v>0</v>
      </c>
      <c r="V460" s="340"/>
      <c r="W460" s="341" t="n">
        <f aca="false">SUMIFS(TE!$O:$O,TE!$G:$G,$C$408,TE!$I:$I,C460,TE!$D:$D,$C$5)</f>
        <v>0</v>
      </c>
      <c r="X460" s="341"/>
      <c r="Y460" s="341" t="str">
        <f aca="false">IFERROR(VLOOKUP(C460,TE!$H:$Y,16,FALSE()),"0")</f>
        <v>0</v>
      </c>
      <c r="Z460" s="341"/>
      <c r="AA460" s="342" t="str">
        <f aca="false">IFERROR(VLOOKUP(C460,TE!$H:$Y,17,FALSE()),"0")</f>
        <v>0</v>
      </c>
      <c r="AB460" s="342"/>
      <c r="AC460" s="343" t="n">
        <f aca="false">IFERROR((W460*Y460*AA460),"")</f>
        <v>0</v>
      </c>
      <c r="AD460" s="343"/>
      <c r="AE460" s="343"/>
      <c r="AF460" s="276"/>
    </row>
    <row r="461" customFormat="false" ht="15.75" hidden="false" customHeight="true" outlineLevel="0" collapsed="false">
      <c r="A461" s="276"/>
      <c r="B461" s="276"/>
      <c r="C461" s="344" t="s">
        <v>1581</v>
      </c>
      <c r="D461" s="338"/>
      <c r="E461" s="338"/>
      <c r="F461" s="339" t="str">
        <f aca="false">IFERROR(VLOOKUP(C461,TE!$H:$Y,2,FALSE()),"(Not on TE)")</f>
        <v>(Not on TE)</v>
      </c>
      <c r="G461" s="338"/>
      <c r="H461" s="338"/>
      <c r="I461" s="338"/>
      <c r="J461" s="338"/>
      <c r="K461" s="338"/>
      <c r="L461" s="338"/>
      <c r="M461" s="338"/>
      <c r="N461" s="338"/>
      <c r="O461" s="338"/>
      <c r="P461" s="338"/>
      <c r="Q461" s="338"/>
      <c r="R461" s="338"/>
      <c r="S461" s="338"/>
      <c r="T461" s="338"/>
      <c r="U461" s="340" t="str">
        <f aca="false">IFERROR(VLOOKUP(C461,TE!$H:$Y,9,FALSE()),"0")</f>
        <v>0</v>
      </c>
      <c r="V461" s="340"/>
      <c r="W461" s="341" t="n">
        <f aca="false">SUMIFS(TE!$O:$O,TE!$G:$G,$C$408,TE!$I:$I,C461,TE!$D:$D,$C$5)</f>
        <v>0</v>
      </c>
      <c r="X461" s="341"/>
      <c r="Y461" s="341" t="str">
        <f aca="false">IFERROR(VLOOKUP(C461,TE!$H:$Y,16,FALSE()),"0")</f>
        <v>0</v>
      </c>
      <c r="Z461" s="341"/>
      <c r="AA461" s="342" t="str">
        <f aca="false">IFERROR(VLOOKUP(C461,TE!$H:$Y,17,FALSE()),"0")</f>
        <v>0</v>
      </c>
      <c r="AB461" s="342"/>
      <c r="AC461" s="343" t="n">
        <f aca="false">IFERROR((W461*Y461*AA461),"")</f>
        <v>0</v>
      </c>
      <c r="AD461" s="343"/>
      <c r="AE461" s="343"/>
      <c r="AF461" s="276"/>
    </row>
    <row r="462" customFormat="false" ht="15.75" hidden="false" customHeight="true" outlineLevel="0" collapsed="false">
      <c r="A462" s="276"/>
      <c r="B462" s="276"/>
      <c r="C462" s="344" t="s">
        <v>1132</v>
      </c>
      <c r="D462" s="338"/>
      <c r="E462" s="338"/>
      <c r="F462" s="339" t="str">
        <f aca="false">IFERROR(VLOOKUP(C462,TE!$H:$Y,2,FALSE()),"(Not on TE)")</f>
        <v>(Not on TE)</v>
      </c>
      <c r="G462" s="338"/>
      <c r="H462" s="338"/>
      <c r="I462" s="338"/>
      <c r="J462" s="338"/>
      <c r="K462" s="338"/>
      <c r="L462" s="338"/>
      <c r="M462" s="338"/>
      <c r="N462" s="338"/>
      <c r="O462" s="338"/>
      <c r="P462" s="338"/>
      <c r="Q462" s="338"/>
      <c r="R462" s="338"/>
      <c r="S462" s="338"/>
      <c r="T462" s="338"/>
      <c r="U462" s="340" t="str">
        <f aca="false">IFERROR(VLOOKUP(C462,TE!$H:$Y,9,FALSE()),"0")</f>
        <v>0</v>
      </c>
      <c r="V462" s="340"/>
      <c r="W462" s="341" t="n">
        <f aca="false">SUMIFS(TE!$O:$O,TE!$G:$G,$C$408,TE!$I:$I,C462,TE!$D:$D,$C$5)</f>
        <v>0</v>
      </c>
      <c r="X462" s="341"/>
      <c r="Y462" s="341" t="str">
        <f aca="false">IFERROR(VLOOKUP(C462,TE!$H:$Y,16,FALSE()),"0")</f>
        <v>0</v>
      </c>
      <c r="Z462" s="341"/>
      <c r="AA462" s="342" t="str">
        <f aca="false">IFERROR(VLOOKUP(C462,TE!$H:$Y,17,FALSE()),"0")</f>
        <v>0</v>
      </c>
      <c r="AB462" s="342"/>
      <c r="AC462" s="343" t="n">
        <f aca="false">IFERROR((W462*Y462*AA462),"")</f>
        <v>0</v>
      </c>
      <c r="AD462" s="343"/>
      <c r="AE462" s="343"/>
      <c r="AF462" s="276"/>
    </row>
    <row r="463" customFormat="false" ht="15.75" hidden="false" customHeight="true" outlineLevel="0" collapsed="false">
      <c r="A463" s="276"/>
      <c r="B463" s="276"/>
      <c r="C463" s="344" t="s">
        <v>1582</v>
      </c>
      <c r="D463" s="338"/>
      <c r="E463" s="338"/>
      <c r="F463" s="339" t="str">
        <f aca="false">IFERROR(VLOOKUP(C463,TE!$H:$Y,2,FALSE()),"(Not on TE)")</f>
        <v>(Not on TE)</v>
      </c>
      <c r="G463" s="338"/>
      <c r="H463" s="338"/>
      <c r="I463" s="338"/>
      <c r="J463" s="338"/>
      <c r="K463" s="338"/>
      <c r="L463" s="338"/>
      <c r="M463" s="338"/>
      <c r="N463" s="338"/>
      <c r="O463" s="338"/>
      <c r="P463" s="338"/>
      <c r="Q463" s="338"/>
      <c r="R463" s="338"/>
      <c r="S463" s="338"/>
      <c r="T463" s="338"/>
      <c r="U463" s="340" t="str">
        <f aca="false">IFERROR(VLOOKUP(C463,TE!$H:$Y,9,FALSE()),"0")</f>
        <v>0</v>
      </c>
      <c r="V463" s="340"/>
      <c r="W463" s="341" t="n">
        <f aca="false">SUMIFS(TE!$O:$O,TE!$G:$G,$C$408,TE!$I:$I,C463,TE!$D:$D,$C$5)</f>
        <v>0</v>
      </c>
      <c r="X463" s="341"/>
      <c r="Y463" s="341" t="str">
        <f aca="false">IFERROR(VLOOKUP(C463,TE!$H:$Y,16,FALSE()),"0")</f>
        <v>0</v>
      </c>
      <c r="Z463" s="341"/>
      <c r="AA463" s="342" t="str">
        <f aca="false">IFERROR(VLOOKUP(C463,TE!$H:$Y,17,FALSE()),"0")</f>
        <v>0</v>
      </c>
      <c r="AB463" s="342"/>
      <c r="AC463" s="343" t="n">
        <f aca="false">IFERROR((W463*Y463*AA463),"")</f>
        <v>0</v>
      </c>
      <c r="AD463" s="343"/>
      <c r="AE463" s="343"/>
      <c r="AF463" s="276"/>
    </row>
    <row r="464" customFormat="false" ht="15.75" hidden="false" customHeight="true" outlineLevel="0" collapsed="false">
      <c r="A464" s="276"/>
      <c r="B464" s="276"/>
      <c r="C464" s="344" t="s">
        <v>1583</v>
      </c>
      <c r="D464" s="338"/>
      <c r="E464" s="338"/>
      <c r="F464" s="339" t="str">
        <f aca="false">IFERROR(VLOOKUP(C464,TE!$H:$Y,2,FALSE()),"(Not on TE)")</f>
        <v>(Not on TE)</v>
      </c>
      <c r="G464" s="338"/>
      <c r="H464" s="338"/>
      <c r="I464" s="338"/>
      <c r="J464" s="338"/>
      <c r="K464" s="338"/>
      <c r="L464" s="338"/>
      <c r="M464" s="338"/>
      <c r="N464" s="338"/>
      <c r="O464" s="338"/>
      <c r="P464" s="338"/>
      <c r="Q464" s="338"/>
      <c r="R464" s="338"/>
      <c r="S464" s="338"/>
      <c r="T464" s="338"/>
      <c r="U464" s="340" t="str">
        <f aca="false">IFERROR(VLOOKUP(C464,TE!$H:$Y,9,FALSE()),"0")</f>
        <v>0</v>
      </c>
      <c r="V464" s="340"/>
      <c r="W464" s="341" t="n">
        <f aca="false">SUMIFS(TE!$O:$O,TE!$G:$G,$C$408,TE!$I:$I,C464,TE!$D:$D,$C$5)</f>
        <v>0</v>
      </c>
      <c r="X464" s="341"/>
      <c r="Y464" s="341" t="str">
        <f aca="false">IFERROR(VLOOKUP(C464,TE!$H:$Y,16,FALSE()),"0")</f>
        <v>0</v>
      </c>
      <c r="Z464" s="341"/>
      <c r="AA464" s="342" t="str">
        <f aca="false">IFERROR(VLOOKUP(C464,TE!$H:$Y,17,FALSE()),"0")</f>
        <v>0</v>
      </c>
      <c r="AB464" s="342"/>
      <c r="AC464" s="343" t="n">
        <f aca="false">IFERROR((W464*Y464*AA464),"")</f>
        <v>0</v>
      </c>
      <c r="AD464" s="343"/>
      <c r="AE464" s="343"/>
      <c r="AF464" s="276"/>
    </row>
    <row r="465" customFormat="false" ht="15.75" hidden="false" customHeight="true" outlineLevel="0" collapsed="false">
      <c r="A465" s="276"/>
      <c r="B465" s="276"/>
      <c r="C465" s="344" t="s">
        <v>1584</v>
      </c>
      <c r="D465" s="338"/>
      <c r="E465" s="338"/>
      <c r="F465" s="339" t="str">
        <f aca="false">IFERROR(VLOOKUP(C465,TE!$H:$Y,2,FALSE()),"(Not on TE)")</f>
        <v>(Not on TE)</v>
      </c>
      <c r="G465" s="338"/>
      <c r="H465" s="338"/>
      <c r="I465" s="338"/>
      <c r="J465" s="338"/>
      <c r="K465" s="338"/>
      <c r="L465" s="338"/>
      <c r="M465" s="338"/>
      <c r="N465" s="338"/>
      <c r="O465" s="338"/>
      <c r="P465" s="338"/>
      <c r="Q465" s="338"/>
      <c r="R465" s="338"/>
      <c r="S465" s="338"/>
      <c r="T465" s="338"/>
      <c r="U465" s="340" t="str">
        <f aca="false">IFERROR(VLOOKUP(C465,TE!$H:$Y,9,FALSE()),"0")</f>
        <v>0</v>
      </c>
      <c r="V465" s="340"/>
      <c r="W465" s="341" t="n">
        <f aca="false">SUMIFS(TE!$O:$O,TE!$G:$G,$C$408,TE!$I:$I,C465,TE!$D:$D,$C$5)</f>
        <v>0</v>
      </c>
      <c r="X465" s="341"/>
      <c r="Y465" s="341" t="str">
        <f aca="false">IFERROR(VLOOKUP(C465,TE!$H:$Y,16,FALSE()),"0")</f>
        <v>0</v>
      </c>
      <c r="Z465" s="341"/>
      <c r="AA465" s="342" t="str">
        <f aca="false">IFERROR(VLOOKUP(C465,TE!$H:$Y,17,FALSE()),"0")</f>
        <v>0</v>
      </c>
      <c r="AB465" s="342"/>
      <c r="AC465" s="343" t="n">
        <f aca="false">IFERROR((W465*Y465*AA465),"")</f>
        <v>0</v>
      </c>
      <c r="AD465" s="343"/>
      <c r="AE465" s="343"/>
      <c r="AF465" s="276"/>
    </row>
    <row r="466" customFormat="false" ht="15.75" hidden="false" customHeight="true" outlineLevel="0" collapsed="false">
      <c r="A466" s="276"/>
      <c r="B466" s="276"/>
      <c r="C466" s="344" t="s">
        <v>1585</v>
      </c>
      <c r="D466" s="338"/>
      <c r="E466" s="338"/>
      <c r="F466" s="339" t="str">
        <f aca="false">IFERROR(VLOOKUP(C466,TE!$H:$Y,2,FALSE()),"(Not on TE)")</f>
        <v>(Not on TE)</v>
      </c>
      <c r="G466" s="338"/>
      <c r="H466" s="338"/>
      <c r="I466" s="338"/>
      <c r="J466" s="338"/>
      <c r="K466" s="338"/>
      <c r="L466" s="338"/>
      <c r="M466" s="338"/>
      <c r="N466" s="338"/>
      <c r="O466" s="338"/>
      <c r="P466" s="338"/>
      <c r="Q466" s="338"/>
      <c r="R466" s="338"/>
      <c r="S466" s="338"/>
      <c r="T466" s="338"/>
      <c r="U466" s="340" t="str">
        <f aca="false">IFERROR(VLOOKUP(C466,TE!$H:$Y,9,FALSE()),"0")</f>
        <v>0</v>
      </c>
      <c r="V466" s="340"/>
      <c r="W466" s="341" t="n">
        <f aca="false">SUMIFS(TE!$O:$O,TE!$G:$G,$C$408,TE!$I:$I,C466,TE!$D:$D,$C$5)</f>
        <v>0</v>
      </c>
      <c r="X466" s="341"/>
      <c r="Y466" s="341" t="str">
        <f aca="false">IFERROR(VLOOKUP(C466,TE!$H:$Y,16,FALSE()),"0")</f>
        <v>0</v>
      </c>
      <c r="Z466" s="341"/>
      <c r="AA466" s="342" t="str">
        <f aca="false">IFERROR(VLOOKUP(C466,TE!$H:$Y,17,FALSE()),"0")</f>
        <v>0</v>
      </c>
      <c r="AB466" s="342"/>
      <c r="AC466" s="343" t="n">
        <f aca="false">IFERROR((W466*Y466*AA466),"")</f>
        <v>0</v>
      </c>
      <c r="AD466" s="343"/>
      <c r="AE466" s="343"/>
      <c r="AF466" s="276"/>
    </row>
    <row r="467" customFormat="false" ht="15.75" hidden="false" customHeight="true" outlineLevel="0" collapsed="false">
      <c r="A467" s="276"/>
      <c r="B467" s="276"/>
      <c r="C467" s="344" t="s">
        <v>1450</v>
      </c>
      <c r="D467" s="338"/>
      <c r="E467" s="338"/>
      <c r="F467" s="339" t="str">
        <f aca="false">IFERROR(VLOOKUP(C467,TE!$H:$Y,2,FALSE()),"(Not on TE)")</f>
        <v>(Not on TE)</v>
      </c>
      <c r="G467" s="338"/>
      <c r="H467" s="338"/>
      <c r="I467" s="338"/>
      <c r="J467" s="338"/>
      <c r="K467" s="338"/>
      <c r="L467" s="338"/>
      <c r="M467" s="338"/>
      <c r="N467" s="338"/>
      <c r="O467" s="338"/>
      <c r="P467" s="338"/>
      <c r="Q467" s="338"/>
      <c r="R467" s="338"/>
      <c r="S467" s="338"/>
      <c r="T467" s="338"/>
      <c r="U467" s="340" t="str">
        <f aca="false">IFERROR(VLOOKUP(C467,TE!$H:$Y,9,FALSE()),"0")</f>
        <v>0</v>
      </c>
      <c r="V467" s="340"/>
      <c r="W467" s="341" t="n">
        <f aca="false">SUMIFS(TE!$O:$O,TE!$G:$G,$C$408,TE!$I:$I,C467,TE!$D:$D,$C$5)</f>
        <v>6</v>
      </c>
      <c r="X467" s="341"/>
      <c r="Y467" s="341" t="str">
        <f aca="false">IFERROR(VLOOKUP(C467,TE!$H:$Y,16,FALSE()),"0")</f>
        <v>0</v>
      </c>
      <c r="Z467" s="341"/>
      <c r="AA467" s="342" t="str">
        <f aca="false">IFERROR(VLOOKUP(C467,TE!$H:$Y,17,FALSE()),"0")</f>
        <v>0</v>
      </c>
      <c r="AB467" s="342"/>
      <c r="AC467" s="343" t="n">
        <f aca="false">IFERROR((W467*Y467*AA467),"")</f>
        <v>0</v>
      </c>
      <c r="AD467" s="343"/>
      <c r="AE467" s="343"/>
      <c r="AF467" s="276"/>
    </row>
    <row r="468" customFormat="false" ht="15.75" hidden="false" customHeight="true" outlineLevel="0" collapsed="false">
      <c r="A468" s="276"/>
      <c r="B468" s="276"/>
      <c r="C468" s="344" t="s">
        <v>1586</v>
      </c>
      <c r="D468" s="338"/>
      <c r="E468" s="338"/>
      <c r="F468" s="339" t="str">
        <f aca="false">IFERROR(VLOOKUP(C468,TE!$H:$Y,2,FALSE()),"(Not on TE)")</f>
        <v>(Not on TE)</v>
      </c>
      <c r="G468" s="338"/>
      <c r="H468" s="338"/>
      <c r="I468" s="338"/>
      <c r="J468" s="338"/>
      <c r="K468" s="338"/>
      <c r="L468" s="338"/>
      <c r="M468" s="338"/>
      <c r="N468" s="338"/>
      <c r="O468" s="338"/>
      <c r="P468" s="338"/>
      <c r="Q468" s="338"/>
      <c r="R468" s="338"/>
      <c r="S468" s="338"/>
      <c r="T468" s="338"/>
      <c r="U468" s="340" t="str">
        <f aca="false">IFERROR(VLOOKUP(C468,TE!$H:$Y,9,FALSE()),"0")</f>
        <v>0</v>
      </c>
      <c r="V468" s="340"/>
      <c r="W468" s="341" t="n">
        <f aca="false">SUMIFS(TE!$O:$O,TE!$G:$G,$C$408,TE!$I:$I,C468,TE!$D:$D,$C$5)</f>
        <v>0</v>
      </c>
      <c r="X468" s="341"/>
      <c r="Y468" s="341" t="str">
        <f aca="false">IFERROR(VLOOKUP(C468,TE!$H:$Y,16,FALSE()),"0")</f>
        <v>0</v>
      </c>
      <c r="Z468" s="341"/>
      <c r="AA468" s="342" t="str">
        <f aca="false">IFERROR(VLOOKUP(C468,TE!$H:$Y,17,FALSE()),"0")</f>
        <v>0</v>
      </c>
      <c r="AB468" s="342"/>
      <c r="AC468" s="343" t="n">
        <f aca="false">IFERROR((W468*Y468*AA468),"")</f>
        <v>0</v>
      </c>
      <c r="AD468" s="343"/>
      <c r="AE468" s="343"/>
      <c r="AF468" s="276"/>
    </row>
    <row r="469" customFormat="false" ht="15.75" hidden="false" customHeight="true" outlineLevel="0" collapsed="false">
      <c r="A469" s="276"/>
      <c r="B469" s="276"/>
      <c r="C469" s="344" t="s">
        <v>1587</v>
      </c>
      <c r="D469" s="338"/>
      <c r="E469" s="338"/>
      <c r="F469" s="339" t="str">
        <f aca="false">IFERROR(VLOOKUP(C469,TE!$H:$Y,2,FALSE()),"(Not on TE)")</f>
        <v>(Not on TE)</v>
      </c>
      <c r="G469" s="338"/>
      <c r="H469" s="338"/>
      <c r="I469" s="338"/>
      <c r="J469" s="338"/>
      <c r="K469" s="338"/>
      <c r="L469" s="338"/>
      <c r="M469" s="338"/>
      <c r="N469" s="338"/>
      <c r="O469" s="338"/>
      <c r="P469" s="338"/>
      <c r="Q469" s="338"/>
      <c r="R469" s="338"/>
      <c r="S469" s="338"/>
      <c r="T469" s="338"/>
      <c r="U469" s="340" t="str">
        <f aca="false">IFERROR(VLOOKUP(C469,TE!$H:$Y,9,FALSE()),"0")</f>
        <v>0</v>
      </c>
      <c r="V469" s="340"/>
      <c r="W469" s="341" t="n">
        <f aca="false">SUMIFS(TE!$O:$O,TE!$G:$G,$C$408,TE!$I:$I,C469,TE!$D:$D,$C$5)</f>
        <v>0</v>
      </c>
      <c r="X469" s="341"/>
      <c r="Y469" s="341" t="str">
        <f aca="false">IFERROR(VLOOKUP(C469,TE!$H:$Y,16,FALSE()),"0")</f>
        <v>0</v>
      </c>
      <c r="Z469" s="341"/>
      <c r="AA469" s="342" t="str">
        <f aca="false">IFERROR(VLOOKUP(C469,TE!$H:$Y,17,FALSE()),"0")</f>
        <v>0</v>
      </c>
      <c r="AB469" s="342"/>
      <c r="AC469" s="343" t="n">
        <f aca="false">IFERROR((W469*Y469*AA469),"")</f>
        <v>0</v>
      </c>
      <c r="AD469" s="343"/>
      <c r="AE469" s="343"/>
      <c r="AF469" s="276"/>
    </row>
    <row r="470" customFormat="false" ht="15.75" hidden="false" customHeight="true" outlineLevel="0" collapsed="false">
      <c r="A470" s="276"/>
      <c r="B470" s="276"/>
      <c r="C470" s="344" t="s">
        <v>1436</v>
      </c>
      <c r="D470" s="338"/>
      <c r="E470" s="338"/>
      <c r="F470" s="339" t="str">
        <f aca="false">IFERROR(VLOOKUP(C470,TE!$H:$Y,2,FALSE()),"(Not on TE)")</f>
        <v>(Not on TE)</v>
      </c>
      <c r="G470" s="338"/>
      <c r="H470" s="338"/>
      <c r="I470" s="338"/>
      <c r="J470" s="338"/>
      <c r="K470" s="338"/>
      <c r="L470" s="338"/>
      <c r="M470" s="338"/>
      <c r="N470" s="338"/>
      <c r="O470" s="338"/>
      <c r="P470" s="338"/>
      <c r="Q470" s="338"/>
      <c r="R470" s="338"/>
      <c r="S470" s="338"/>
      <c r="T470" s="338"/>
      <c r="U470" s="340" t="str">
        <f aca="false">IFERROR(VLOOKUP(C470,TE!$H:$Y,9,FALSE()),"0")</f>
        <v>0</v>
      </c>
      <c r="V470" s="340"/>
      <c r="W470" s="341" t="n">
        <f aca="false">SUMIFS(TE!$O:$O,TE!$G:$G,$C$408,TE!$I:$I,C470,TE!$D:$D,$C$5)</f>
        <v>0</v>
      </c>
      <c r="X470" s="341"/>
      <c r="Y470" s="341" t="str">
        <f aca="false">IFERROR(VLOOKUP(C470,TE!$H:$Y,16,FALSE()),"0")</f>
        <v>0</v>
      </c>
      <c r="Z470" s="341"/>
      <c r="AA470" s="342" t="str">
        <f aca="false">IFERROR(VLOOKUP(C470,TE!$H:$Y,17,FALSE()),"0")</f>
        <v>0</v>
      </c>
      <c r="AB470" s="342"/>
      <c r="AC470" s="343" t="n">
        <f aca="false">IFERROR((W470*Y470*AA470),"")</f>
        <v>0</v>
      </c>
      <c r="AD470" s="343"/>
      <c r="AE470" s="343"/>
      <c r="AF470" s="276"/>
    </row>
    <row r="471" customFormat="false" ht="15.75" hidden="false" customHeight="true" outlineLevel="0" collapsed="false">
      <c r="A471" s="276"/>
      <c r="B471" s="276"/>
      <c r="C471" s="344" t="s">
        <v>1588</v>
      </c>
      <c r="D471" s="338"/>
      <c r="E471" s="338"/>
      <c r="F471" s="339" t="str">
        <f aca="false">IFERROR(VLOOKUP(C471,TE!$H:$Y,2,FALSE()),"(Not on TE)")</f>
        <v>(Not on TE)</v>
      </c>
      <c r="G471" s="338"/>
      <c r="H471" s="338"/>
      <c r="I471" s="338"/>
      <c r="J471" s="338"/>
      <c r="K471" s="338"/>
      <c r="L471" s="338"/>
      <c r="M471" s="338"/>
      <c r="N471" s="338"/>
      <c r="O471" s="338"/>
      <c r="P471" s="338"/>
      <c r="Q471" s="338"/>
      <c r="R471" s="338"/>
      <c r="S471" s="338"/>
      <c r="T471" s="338"/>
      <c r="U471" s="340" t="str">
        <f aca="false">IFERROR(VLOOKUP(C471,TE!$H:$Y,9,FALSE()),"0")</f>
        <v>0</v>
      </c>
      <c r="V471" s="340"/>
      <c r="W471" s="341" t="n">
        <f aca="false">SUMIFS(TE!$O:$O,TE!$G:$G,$C$408,TE!$I:$I,C471,TE!$D:$D,$C$5)</f>
        <v>0</v>
      </c>
      <c r="X471" s="341"/>
      <c r="Y471" s="341" t="str">
        <f aca="false">IFERROR(VLOOKUP(C471,TE!$H:$Y,16,FALSE()),"0")</f>
        <v>0</v>
      </c>
      <c r="Z471" s="341"/>
      <c r="AA471" s="342" t="str">
        <f aca="false">IFERROR(VLOOKUP(C471,TE!$H:$Y,17,FALSE()),"0")</f>
        <v>0</v>
      </c>
      <c r="AB471" s="342"/>
      <c r="AC471" s="343" t="n">
        <f aca="false">IFERROR((W471*Y471*AA471),"")</f>
        <v>0</v>
      </c>
      <c r="AD471" s="343"/>
      <c r="AE471" s="343"/>
      <c r="AF471" s="276"/>
    </row>
    <row r="472" customFormat="false" ht="15.75" hidden="false" customHeight="true" outlineLevel="0" collapsed="false">
      <c r="A472" s="276"/>
      <c r="B472" s="276"/>
      <c r="C472" s="344" t="s">
        <v>1589</v>
      </c>
      <c r="D472" s="338"/>
      <c r="E472" s="338"/>
      <c r="F472" s="339" t="str">
        <f aca="false">IFERROR(VLOOKUP(C472,TE!$H:$Y,2,FALSE()),"(Not on TE)")</f>
        <v>(Not on TE)</v>
      </c>
      <c r="G472" s="338"/>
      <c r="H472" s="338"/>
      <c r="I472" s="338"/>
      <c r="J472" s="338"/>
      <c r="K472" s="338"/>
      <c r="L472" s="338"/>
      <c r="M472" s="338"/>
      <c r="N472" s="338"/>
      <c r="O472" s="338"/>
      <c r="P472" s="338"/>
      <c r="Q472" s="338"/>
      <c r="R472" s="338"/>
      <c r="S472" s="338"/>
      <c r="T472" s="338"/>
      <c r="U472" s="340" t="str">
        <f aca="false">IFERROR(VLOOKUP(C472,TE!$H:$Y,9,FALSE()),"0")</f>
        <v>0</v>
      </c>
      <c r="V472" s="340"/>
      <c r="W472" s="341" t="n">
        <f aca="false">SUMIFS(TE!$O:$O,TE!$G:$G,$C$408,TE!$I:$I,C472,TE!$D:$D,$C$5)</f>
        <v>0</v>
      </c>
      <c r="X472" s="341"/>
      <c r="Y472" s="341" t="str">
        <f aca="false">IFERROR(VLOOKUP(C472,TE!$H:$Y,16,FALSE()),"0")</f>
        <v>0</v>
      </c>
      <c r="Z472" s="341"/>
      <c r="AA472" s="342" t="str">
        <f aca="false">IFERROR(VLOOKUP(C472,TE!$H:$Y,17,FALSE()),"0")</f>
        <v>0</v>
      </c>
      <c r="AB472" s="342"/>
      <c r="AC472" s="343" t="n">
        <f aca="false">IFERROR((W472*Y472*AA472),"")</f>
        <v>0</v>
      </c>
      <c r="AD472" s="343"/>
      <c r="AE472" s="343"/>
      <c r="AF472" s="276"/>
    </row>
    <row r="473" customFormat="false" ht="15.75" hidden="false" customHeight="true" outlineLevel="0" collapsed="false">
      <c r="A473" s="276"/>
      <c r="B473" s="276"/>
      <c r="C473" s="344" t="s">
        <v>1590</v>
      </c>
      <c r="D473" s="338"/>
      <c r="E473" s="338"/>
      <c r="F473" s="339" t="str">
        <f aca="false">IFERROR(VLOOKUP(C473,TE!$H:$Y,2,FALSE()),"(Not on TE)")</f>
        <v>(Not on TE)</v>
      </c>
      <c r="G473" s="338"/>
      <c r="H473" s="338"/>
      <c r="I473" s="338"/>
      <c r="J473" s="338"/>
      <c r="K473" s="338"/>
      <c r="L473" s="338"/>
      <c r="M473" s="338"/>
      <c r="N473" s="338"/>
      <c r="O473" s="338"/>
      <c r="P473" s="338"/>
      <c r="Q473" s="338"/>
      <c r="R473" s="338"/>
      <c r="S473" s="338"/>
      <c r="T473" s="338"/>
      <c r="U473" s="340" t="str">
        <f aca="false">IFERROR(VLOOKUP(C473,TE!$H:$Y,9,FALSE()),"0")</f>
        <v>0</v>
      </c>
      <c r="V473" s="340"/>
      <c r="W473" s="341" t="n">
        <f aca="false">SUMIFS(TE!$O:$O,TE!$G:$G,$C$408,TE!$I:$I,C473,TE!$D:$D,$C$5)</f>
        <v>0</v>
      </c>
      <c r="X473" s="341"/>
      <c r="Y473" s="341" t="str">
        <f aca="false">IFERROR(VLOOKUP(C473,TE!$H:$Y,16,FALSE()),"0")</f>
        <v>0</v>
      </c>
      <c r="Z473" s="341"/>
      <c r="AA473" s="342" t="str">
        <f aca="false">IFERROR(VLOOKUP(C473,TE!$H:$Y,17,FALSE()),"0")</f>
        <v>0</v>
      </c>
      <c r="AB473" s="342"/>
      <c r="AC473" s="343" t="n">
        <f aca="false">IFERROR((W473*Y473*AA473),"")</f>
        <v>0</v>
      </c>
      <c r="AD473" s="343"/>
      <c r="AE473" s="343"/>
      <c r="AF473" s="276"/>
    </row>
    <row r="474" customFormat="false" ht="15.75" hidden="false" customHeight="true" outlineLevel="0" collapsed="false">
      <c r="A474" s="276"/>
      <c r="B474" s="276"/>
      <c r="C474" s="344" t="s">
        <v>1591</v>
      </c>
      <c r="D474" s="338"/>
      <c r="E474" s="338"/>
      <c r="F474" s="339" t="str">
        <f aca="false">IFERROR(VLOOKUP(C474,TE!$H:$Y,2,FALSE()),"(Not on TE)")</f>
        <v>(Not on TE)</v>
      </c>
      <c r="G474" s="338"/>
      <c r="H474" s="338"/>
      <c r="I474" s="338"/>
      <c r="J474" s="338"/>
      <c r="K474" s="338"/>
      <c r="L474" s="338"/>
      <c r="M474" s="338"/>
      <c r="N474" s="338"/>
      <c r="O474" s="338"/>
      <c r="P474" s="338"/>
      <c r="Q474" s="338"/>
      <c r="R474" s="338"/>
      <c r="S474" s="338"/>
      <c r="T474" s="338"/>
      <c r="U474" s="340" t="str">
        <f aca="false">IFERROR(VLOOKUP(C474,TE!$H:$Y,9,FALSE()),"0")</f>
        <v>0</v>
      </c>
      <c r="V474" s="340"/>
      <c r="W474" s="341" t="n">
        <f aca="false">SUMIFS(TE!$O:$O,TE!$G:$G,$C$408,TE!$I:$I,C474,TE!$D:$D,$C$5)</f>
        <v>0</v>
      </c>
      <c r="X474" s="341"/>
      <c r="Y474" s="341" t="str">
        <f aca="false">IFERROR(VLOOKUP(C474,TE!$H:$Y,16,FALSE()),"0")</f>
        <v>0</v>
      </c>
      <c r="Z474" s="341"/>
      <c r="AA474" s="342" t="str">
        <f aca="false">IFERROR(VLOOKUP(C474,TE!$H:$Y,17,FALSE()),"0")</f>
        <v>0</v>
      </c>
      <c r="AB474" s="342"/>
      <c r="AC474" s="343" t="n">
        <f aca="false">IFERROR((W474*Y474*AA474),"")</f>
        <v>0</v>
      </c>
      <c r="AD474" s="343"/>
      <c r="AE474" s="343"/>
      <c r="AF474" s="276"/>
    </row>
    <row r="475" customFormat="false" ht="15.75" hidden="false" customHeight="true" outlineLevel="0" collapsed="false">
      <c r="A475" s="276"/>
      <c r="B475" s="276"/>
      <c r="C475" s="344" t="s">
        <v>1592</v>
      </c>
      <c r="D475" s="338"/>
      <c r="E475" s="338"/>
      <c r="F475" s="339" t="str">
        <f aca="false">IFERROR(VLOOKUP(C475,TE!$H:$Y,2,FALSE()),"(Not on TE)")</f>
        <v>(Not on TE)</v>
      </c>
      <c r="G475" s="338"/>
      <c r="H475" s="338"/>
      <c r="I475" s="338"/>
      <c r="J475" s="338"/>
      <c r="K475" s="338"/>
      <c r="L475" s="338"/>
      <c r="M475" s="338"/>
      <c r="N475" s="338"/>
      <c r="O475" s="338"/>
      <c r="P475" s="338"/>
      <c r="Q475" s="338"/>
      <c r="R475" s="338"/>
      <c r="S475" s="338"/>
      <c r="T475" s="338"/>
      <c r="U475" s="340" t="str">
        <f aca="false">IFERROR(VLOOKUP(C475,TE!$H:$Y,9,FALSE()),"0")</f>
        <v>0</v>
      </c>
      <c r="V475" s="340"/>
      <c r="W475" s="341" t="n">
        <f aca="false">SUMIFS(TE!$O:$O,TE!$G:$G,$C$408,TE!$I:$I,C475,TE!$D:$D,$C$5)</f>
        <v>0</v>
      </c>
      <c r="X475" s="341"/>
      <c r="Y475" s="341" t="str">
        <f aca="false">IFERROR(VLOOKUP(C475,TE!$H:$Y,16,FALSE()),"0")</f>
        <v>0</v>
      </c>
      <c r="Z475" s="341"/>
      <c r="AA475" s="342" t="str">
        <f aca="false">IFERROR(VLOOKUP(C475,TE!$H:$Y,17,FALSE()),"0")</f>
        <v>0</v>
      </c>
      <c r="AB475" s="342"/>
      <c r="AC475" s="343" t="n">
        <f aca="false">IFERROR((W475*Y475*AA475),"")</f>
        <v>0</v>
      </c>
      <c r="AD475" s="343"/>
      <c r="AE475" s="343"/>
      <c r="AF475" s="276"/>
    </row>
    <row r="476" customFormat="false" ht="15.75" hidden="false" customHeight="true" outlineLevel="0" collapsed="false">
      <c r="A476" s="276"/>
      <c r="B476" s="276"/>
      <c r="C476" s="344" t="s">
        <v>1593</v>
      </c>
      <c r="D476" s="338"/>
      <c r="E476" s="338"/>
      <c r="F476" s="339" t="str">
        <f aca="false">IFERROR(VLOOKUP(C476,TE!$H:$Y,2,FALSE()),"(Not on TE)")</f>
        <v>(Not on TE)</v>
      </c>
      <c r="G476" s="338"/>
      <c r="H476" s="338"/>
      <c r="I476" s="338"/>
      <c r="J476" s="338"/>
      <c r="K476" s="338"/>
      <c r="L476" s="338"/>
      <c r="M476" s="338"/>
      <c r="N476" s="338"/>
      <c r="O476" s="338"/>
      <c r="P476" s="338"/>
      <c r="Q476" s="338"/>
      <c r="R476" s="338"/>
      <c r="S476" s="338"/>
      <c r="T476" s="338"/>
      <c r="U476" s="340" t="str">
        <f aca="false">IFERROR(VLOOKUP(C476,TE!$H:$Y,9,FALSE()),"0")</f>
        <v>0</v>
      </c>
      <c r="V476" s="340"/>
      <c r="W476" s="341" t="n">
        <f aca="false">SUMIFS(TE!$O:$O,TE!$G:$G,$C$408,TE!$I:$I,C476,TE!$D:$D,$C$5)</f>
        <v>0</v>
      </c>
      <c r="X476" s="341"/>
      <c r="Y476" s="341" t="str">
        <f aca="false">IFERROR(VLOOKUP(C476,TE!$H:$Y,16,FALSE()),"0")</f>
        <v>0</v>
      </c>
      <c r="Z476" s="341"/>
      <c r="AA476" s="342" t="str">
        <f aca="false">IFERROR(VLOOKUP(C476,TE!$H:$Y,17,FALSE()),"0")</f>
        <v>0</v>
      </c>
      <c r="AB476" s="342"/>
      <c r="AC476" s="343" t="n">
        <f aca="false">IFERROR((W476*Y476*AA476),"")</f>
        <v>0</v>
      </c>
      <c r="AD476" s="343"/>
      <c r="AE476" s="343"/>
      <c r="AF476" s="276"/>
    </row>
    <row r="477" customFormat="false" ht="15.75" hidden="false" customHeight="true" outlineLevel="0" collapsed="false">
      <c r="A477" s="276"/>
      <c r="B477" s="276"/>
      <c r="C477" s="344" t="s">
        <v>1594</v>
      </c>
      <c r="D477" s="338"/>
      <c r="E477" s="338"/>
      <c r="F477" s="339" t="str">
        <f aca="false">IFERROR(VLOOKUP(C477,TE!$H:$Y,2,FALSE()),"(Not on TE)")</f>
        <v>(Not on TE)</v>
      </c>
      <c r="G477" s="338"/>
      <c r="H477" s="338"/>
      <c r="I477" s="338"/>
      <c r="J477" s="338"/>
      <c r="K477" s="338"/>
      <c r="L477" s="338"/>
      <c r="M477" s="338"/>
      <c r="N477" s="338"/>
      <c r="O477" s="338"/>
      <c r="P477" s="338"/>
      <c r="Q477" s="338"/>
      <c r="R477" s="338"/>
      <c r="S477" s="338"/>
      <c r="T477" s="338"/>
      <c r="U477" s="340" t="str">
        <f aca="false">IFERROR(VLOOKUP(C477,TE!$H:$Y,9,FALSE()),"0")</f>
        <v>0</v>
      </c>
      <c r="V477" s="340"/>
      <c r="W477" s="341" t="n">
        <f aca="false">SUMIFS(TE!$O:$O,TE!$G:$G,$C$408,TE!$I:$I,C477,TE!$D:$D,$C$5)</f>
        <v>0</v>
      </c>
      <c r="X477" s="341"/>
      <c r="Y477" s="341" t="str">
        <f aca="false">IFERROR(VLOOKUP(C477,TE!$H:$Y,16,FALSE()),"0")</f>
        <v>0</v>
      </c>
      <c r="Z477" s="341"/>
      <c r="AA477" s="342" t="str">
        <f aca="false">IFERROR(VLOOKUP(C477,TE!$H:$Y,17,FALSE()),"0")</f>
        <v>0</v>
      </c>
      <c r="AB477" s="342"/>
      <c r="AC477" s="343" t="n">
        <f aca="false">IFERROR((W477*Y477*AA477),"")</f>
        <v>0</v>
      </c>
      <c r="AD477" s="343"/>
      <c r="AE477" s="343"/>
      <c r="AF477" s="276"/>
    </row>
    <row r="478" customFormat="false" ht="15.75" hidden="false" customHeight="true" outlineLevel="0" collapsed="false">
      <c r="A478" s="276"/>
      <c r="B478" s="276"/>
      <c r="C478" s="344" t="s">
        <v>1595</v>
      </c>
      <c r="D478" s="338"/>
      <c r="E478" s="338"/>
      <c r="F478" s="339" t="str">
        <f aca="false">IFERROR(VLOOKUP(C478,TE!$H:$Y,2,FALSE()),"(Not on TE)")</f>
        <v>(Not on TE)</v>
      </c>
      <c r="G478" s="338"/>
      <c r="H478" s="338"/>
      <c r="I478" s="338"/>
      <c r="J478" s="338"/>
      <c r="K478" s="338"/>
      <c r="L478" s="338"/>
      <c r="M478" s="338"/>
      <c r="N478" s="338"/>
      <c r="O478" s="338"/>
      <c r="P478" s="338"/>
      <c r="Q478" s="338"/>
      <c r="R478" s="338"/>
      <c r="S478" s="338"/>
      <c r="T478" s="338"/>
      <c r="U478" s="340" t="str">
        <f aca="false">IFERROR(VLOOKUP(C478,TE!$H:$Y,9,FALSE()),"0")</f>
        <v>0</v>
      </c>
      <c r="V478" s="340"/>
      <c r="W478" s="341" t="n">
        <f aca="false">SUMIFS(TE!$O:$O,TE!$G:$G,$C$408,TE!$I:$I,C478,TE!$D:$D,$C$5)</f>
        <v>0</v>
      </c>
      <c r="X478" s="341"/>
      <c r="Y478" s="341" t="str">
        <f aca="false">IFERROR(VLOOKUP(C478,TE!$H:$Y,16,FALSE()),"0")</f>
        <v>0</v>
      </c>
      <c r="Z478" s="341"/>
      <c r="AA478" s="342" t="str">
        <f aca="false">IFERROR(VLOOKUP(C478,TE!$H:$Y,17,FALSE()),"0")</f>
        <v>0</v>
      </c>
      <c r="AB478" s="342"/>
      <c r="AC478" s="343" t="n">
        <f aca="false">IFERROR((W478*Y478*AA478),"")</f>
        <v>0</v>
      </c>
      <c r="AD478" s="343"/>
      <c r="AE478" s="343"/>
      <c r="AF478" s="276"/>
    </row>
    <row r="479" customFormat="false" ht="15.75" hidden="false" customHeight="true" outlineLevel="0" collapsed="false">
      <c r="A479" s="276"/>
      <c r="B479" s="276"/>
      <c r="C479" s="345" t="s">
        <v>1153</v>
      </c>
      <c r="D479" s="346"/>
      <c r="E479" s="346"/>
      <c r="F479" s="339" t="str">
        <f aca="false">IFERROR(VLOOKUP(C479,TE!$H:$Y,2,FALSE()),"(Not on TE)")</f>
        <v>(Not on TE)</v>
      </c>
      <c r="G479" s="347"/>
      <c r="H479" s="347"/>
      <c r="I479" s="347"/>
      <c r="J479" s="347"/>
      <c r="K479" s="347"/>
      <c r="L479" s="347"/>
      <c r="M479" s="347"/>
      <c r="N479" s="347"/>
      <c r="O479" s="347"/>
      <c r="P479" s="347"/>
      <c r="Q479" s="347"/>
      <c r="R479" s="347"/>
      <c r="S479" s="347"/>
      <c r="T479" s="347"/>
      <c r="U479" s="340" t="str">
        <f aca="false">IFERROR(VLOOKUP(C479,TE!$H:$Y,9,FALSE()),"0")</f>
        <v>0</v>
      </c>
      <c r="V479" s="340"/>
      <c r="W479" s="341" t="n">
        <f aca="false">SUMIFS(TE!$O:$O,TE!$G:$G,$C$408,TE!$I:$I,C479,TE!$D:$D,$C$5)</f>
        <v>0</v>
      </c>
      <c r="X479" s="341"/>
      <c r="Y479" s="341" t="str">
        <f aca="false">IFERROR(VLOOKUP(C479,TE!$H:$Y,16,FALSE()),"0")</f>
        <v>0</v>
      </c>
      <c r="Z479" s="341"/>
      <c r="AA479" s="342" t="str">
        <f aca="false">IFERROR(VLOOKUP(C479,TE!$H:$Y,17,FALSE()),"0")</f>
        <v>0</v>
      </c>
      <c r="AB479" s="342"/>
      <c r="AC479" s="343" t="n">
        <f aca="false">IFERROR((W479*Y479*AA479),"")</f>
        <v>0</v>
      </c>
      <c r="AD479" s="343"/>
      <c r="AE479" s="343"/>
      <c r="AF479" s="276"/>
    </row>
    <row r="480" customFormat="false" ht="15.75" hidden="false" customHeight="true" outlineLevel="0" collapsed="false">
      <c r="A480" s="276"/>
      <c r="B480" s="276"/>
      <c r="C480" s="345" t="s">
        <v>1596</v>
      </c>
      <c r="D480" s="346"/>
      <c r="E480" s="346"/>
      <c r="F480" s="339" t="str">
        <f aca="false">IFERROR(VLOOKUP(C480,TE!$H:$Y,2,FALSE()),"(Not on TE)")</f>
        <v>(Not on TE)</v>
      </c>
      <c r="G480" s="347"/>
      <c r="H480" s="347"/>
      <c r="I480" s="347"/>
      <c r="J480" s="347"/>
      <c r="K480" s="347"/>
      <c r="L480" s="347"/>
      <c r="M480" s="347"/>
      <c r="N480" s="347"/>
      <c r="O480" s="347"/>
      <c r="P480" s="347"/>
      <c r="Q480" s="347"/>
      <c r="R480" s="347"/>
      <c r="S480" s="347"/>
      <c r="T480" s="347"/>
      <c r="U480" s="340" t="str">
        <f aca="false">IFERROR(VLOOKUP(C480,TE!$H:$Y,9,FALSE()),"0")</f>
        <v>0</v>
      </c>
      <c r="V480" s="340"/>
      <c r="W480" s="341" t="n">
        <f aca="false">SUMIFS(TE!$O:$O,TE!$G:$G,$C$408,TE!$I:$I,C480,TE!$D:$D,$C$5)</f>
        <v>0</v>
      </c>
      <c r="X480" s="341"/>
      <c r="Y480" s="341" t="str">
        <f aca="false">IFERROR(VLOOKUP(C480,TE!$H:$Y,16,FALSE()),"0")</f>
        <v>0</v>
      </c>
      <c r="Z480" s="341"/>
      <c r="AA480" s="342" t="str">
        <f aca="false">IFERROR(VLOOKUP(C480,TE!$H:$Y,17,FALSE()),"0")</f>
        <v>0</v>
      </c>
      <c r="AB480" s="342"/>
      <c r="AC480" s="343" t="n">
        <f aca="false">IFERROR((W480*Y480*AA480),"")</f>
        <v>0</v>
      </c>
      <c r="AD480" s="343"/>
      <c r="AE480" s="343"/>
      <c r="AF480" s="276"/>
    </row>
    <row r="481" customFormat="false" ht="15.75" hidden="false" customHeight="true" outlineLevel="0" collapsed="false">
      <c r="A481" s="276"/>
      <c r="B481" s="276"/>
      <c r="C481" s="345" t="s">
        <v>1597</v>
      </c>
      <c r="D481" s="346"/>
      <c r="E481" s="346"/>
      <c r="F481" s="339" t="str">
        <f aca="false">IFERROR(VLOOKUP(C481,TE!$H:$Y,2,FALSE()),"(Not on TE)")</f>
        <v>(Not on TE)</v>
      </c>
      <c r="G481" s="347"/>
      <c r="H481" s="347"/>
      <c r="I481" s="347"/>
      <c r="J481" s="347"/>
      <c r="K481" s="347"/>
      <c r="L481" s="347"/>
      <c r="M481" s="347"/>
      <c r="N481" s="347"/>
      <c r="O481" s="347"/>
      <c r="P481" s="347"/>
      <c r="Q481" s="347"/>
      <c r="R481" s="347"/>
      <c r="S481" s="347"/>
      <c r="T481" s="347"/>
      <c r="U481" s="340" t="str">
        <f aca="false">IFERROR(VLOOKUP(C481,TE!$H:$Y,9,FALSE()),"0")</f>
        <v>0</v>
      </c>
      <c r="V481" s="340"/>
      <c r="W481" s="341" t="n">
        <f aca="false">SUMIFS(TE!$O:$O,TE!$G:$G,$C$408,TE!$I:$I,C481,TE!$D:$D,$C$5)</f>
        <v>0</v>
      </c>
      <c r="X481" s="341"/>
      <c r="Y481" s="341" t="str">
        <f aca="false">IFERROR(VLOOKUP(C481,TE!$H:$Y,16,FALSE()),"0")</f>
        <v>0</v>
      </c>
      <c r="Z481" s="341"/>
      <c r="AA481" s="342" t="str">
        <f aca="false">IFERROR(VLOOKUP(C481,TE!$H:$Y,17,FALSE()),"0")</f>
        <v>0</v>
      </c>
      <c r="AB481" s="342"/>
      <c r="AC481" s="343" t="n">
        <f aca="false">IFERROR((W481*Y481*AA481),"")</f>
        <v>0</v>
      </c>
      <c r="AD481" s="343"/>
      <c r="AE481" s="343"/>
      <c r="AF481" s="276"/>
    </row>
    <row r="482" customFormat="false" ht="15.75" hidden="false" customHeight="true" outlineLevel="0" collapsed="false">
      <c r="A482" s="276"/>
      <c r="B482" s="276"/>
      <c r="C482" s="345" t="s">
        <v>1598</v>
      </c>
      <c r="D482" s="346"/>
      <c r="E482" s="346"/>
      <c r="F482" s="339" t="str">
        <f aca="false">IFERROR(VLOOKUP(C482,TE!$H:$Y,2,FALSE()),"(Not on TE)")</f>
        <v>(Not on TE)</v>
      </c>
      <c r="G482" s="347"/>
      <c r="H482" s="347"/>
      <c r="I482" s="347"/>
      <c r="J482" s="347"/>
      <c r="K482" s="347"/>
      <c r="L482" s="347"/>
      <c r="M482" s="347"/>
      <c r="N482" s="347"/>
      <c r="O482" s="347"/>
      <c r="P482" s="347"/>
      <c r="Q482" s="347"/>
      <c r="R482" s="347"/>
      <c r="S482" s="347"/>
      <c r="T482" s="347"/>
      <c r="U482" s="340" t="str">
        <f aca="false">IFERROR(VLOOKUP(C482,TE!$H:$Y,9,FALSE()),"0")</f>
        <v>0</v>
      </c>
      <c r="V482" s="340"/>
      <c r="W482" s="341" t="n">
        <f aca="false">SUMIFS(TE!$O:$O,TE!$G:$G,$C$408,TE!$I:$I,C482,TE!$D:$D,$C$5)</f>
        <v>0</v>
      </c>
      <c r="X482" s="341"/>
      <c r="Y482" s="341" t="str">
        <f aca="false">IFERROR(VLOOKUP(C482,TE!$H:$Y,16,FALSE()),"0")</f>
        <v>0</v>
      </c>
      <c r="Z482" s="341"/>
      <c r="AA482" s="342" t="str">
        <f aca="false">IFERROR(VLOOKUP(C482,TE!$H:$Y,17,FALSE()),"0")</f>
        <v>0</v>
      </c>
      <c r="AB482" s="342"/>
      <c r="AC482" s="343" t="n">
        <f aca="false">IFERROR((W482*Y482*AA482),"")</f>
        <v>0</v>
      </c>
      <c r="AD482" s="343"/>
      <c r="AE482" s="343"/>
      <c r="AF482" s="276"/>
    </row>
    <row r="483" customFormat="false" ht="15.75" hidden="false" customHeight="true" outlineLevel="0" collapsed="false">
      <c r="A483" s="276"/>
      <c r="B483" s="276"/>
      <c r="C483" s="345" t="s">
        <v>1599</v>
      </c>
      <c r="D483" s="346"/>
      <c r="E483" s="346"/>
      <c r="F483" s="339" t="str">
        <f aca="false">IFERROR(VLOOKUP(C483,TE!$H:$Y,2,FALSE()),"(Not on TE)")</f>
        <v>(Not on TE)</v>
      </c>
      <c r="G483" s="347"/>
      <c r="H483" s="347"/>
      <c r="I483" s="347"/>
      <c r="J483" s="347"/>
      <c r="K483" s="347"/>
      <c r="L483" s="347"/>
      <c r="M483" s="347"/>
      <c r="N483" s="347"/>
      <c r="O483" s="347"/>
      <c r="P483" s="347"/>
      <c r="Q483" s="347"/>
      <c r="R483" s="347"/>
      <c r="S483" s="347"/>
      <c r="T483" s="347"/>
      <c r="U483" s="340" t="str">
        <f aca="false">IFERROR(VLOOKUP(C483,TE!$H:$Y,9,FALSE()),"0")</f>
        <v>0</v>
      </c>
      <c r="V483" s="340"/>
      <c r="W483" s="341" t="n">
        <f aca="false">SUMIFS(TE!$O:$O,TE!$G:$G,$C$408,TE!$I:$I,C483,TE!$D:$D,$C$5)</f>
        <v>0</v>
      </c>
      <c r="X483" s="341"/>
      <c r="Y483" s="341" t="str">
        <f aca="false">IFERROR(VLOOKUP(C483,TE!$H:$Y,16,FALSE()),"0")</f>
        <v>0</v>
      </c>
      <c r="Z483" s="341"/>
      <c r="AA483" s="342" t="str">
        <f aca="false">IFERROR(VLOOKUP(C483,TE!$H:$Y,17,FALSE()),"0")</f>
        <v>0</v>
      </c>
      <c r="AB483" s="342"/>
      <c r="AC483" s="343" t="n">
        <f aca="false">IFERROR((W483*Y483*AA483),"")</f>
        <v>0</v>
      </c>
      <c r="AD483" s="343"/>
      <c r="AE483" s="343"/>
      <c r="AF483" s="276"/>
    </row>
    <row r="484" customFormat="false" ht="15.75" hidden="false" customHeight="true" outlineLevel="0" collapsed="false">
      <c r="A484" s="276"/>
      <c r="B484" s="276"/>
      <c r="C484" s="345" t="s">
        <v>1600</v>
      </c>
      <c r="D484" s="346"/>
      <c r="E484" s="346"/>
      <c r="F484" s="339" t="str">
        <f aca="false">IFERROR(VLOOKUP(C484,TE!$H:$Y,2,FALSE()),"(Not on TE)")</f>
        <v>(Not on TE)</v>
      </c>
      <c r="G484" s="347"/>
      <c r="H484" s="347"/>
      <c r="I484" s="347"/>
      <c r="J484" s="347"/>
      <c r="K484" s="347"/>
      <c r="L484" s="347"/>
      <c r="M484" s="347"/>
      <c r="N484" s="347"/>
      <c r="O484" s="347"/>
      <c r="P484" s="347"/>
      <c r="Q484" s="347"/>
      <c r="R484" s="347"/>
      <c r="S484" s="347"/>
      <c r="T484" s="347"/>
      <c r="U484" s="340" t="str">
        <f aca="false">IFERROR(VLOOKUP(C484,TE!$H:$Y,9,FALSE()),"0")</f>
        <v>0</v>
      </c>
      <c r="V484" s="340"/>
      <c r="W484" s="341" t="n">
        <f aca="false">SUMIFS(TE!$O:$O,TE!$D:$D,$C$408,TE!$H:$H,C484)</f>
        <v>0</v>
      </c>
      <c r="X484" s="341"/>
      <c r="Y484" s="341" t="str">
        <f aca="false">IFERROR(VLOOKUP(C484,TE!$H:$Y,16,FALSE()),"0")</f>
        <v>0</v>
      </c>
      <c r="Z484" s="341"/>
      <c r="AA484" s="342" t="str">
        <f aca="false">IFERROR(VLOOKUP(C484,TE!$H:$Y,17,FALSE()),"0")</f>
        <v>0</v>
      </c>
      <c r="AB484" s="342"/>
      <c r="AC484" s="343" t="n">
        <f aca="false">IFERROR((W484*Y484*AA484),"")</f>
        <v>0</v>
      </c>
      <c r="AD484" s="343"/>
      <c r="AE484" s="343"/>
      <c r="AF484" s="276"/>
    </row>
    <row r="485" customFormat="false" ht="15.75" hidden="false" customHeight="true" outlineLevel="0" collapsed="false">
      <c r="A485" s="276"/>
      <c r="B485" s="276"/>
      <c r="C485" s="345" t="s">
        <v>1601</v>
      </c>
      <c r="D485" s="346"/>
      <c r="E485" s="346"/>
      <c r="F485" s="339" t="str">
        <f aca="false">IFERROR(VLOOKUP(C485,TE!$H:$Y,2,FALSE()),"(Not on TE)")</f>
        <v>(Not on TE)</v>
      </c>
      <c r="G485" s="347"/>
      <c r="H485" s="347"/>
      <c r="I485" s="347"/>
      <c r="J485" s="347"/>
      <c r="K485" s="347"/>
      <c r="L485" s="347"/>
      <c r="M485" s="347"/>
      <c r="N485" s="347"/>
      <c r="O485" s="347"/>
      <c r="P485" s="347"/>
      <c r="Q485" s="347"/>
      <c r="R485" s="347"/>
      <c r="S485" s="347"/>
      <c r="T485" s="347"/>
      <c r="U485" s="340" t="str">
        <f aca="false">IFERROR(VLOOKUP(C485,TE!$H:$Y,9,FALSE()),"0")</f>
        <v>0</v>
      </c>
      <c r="V485" s="340"/>
      <c r="W485" s="341" t="n">
        <f aca="false">SUMIFS(TE!$O:$O,TE!$G:$G,$C$408,TE!$I:$I,C485,TE!$D:$D,$C$5)</f>
        <v>0</v>
      </c>
      <c r="X485" s="341"/>
      <c r="Y485" s="341" t="str">
        <f aca="false">IFERROR(VLOOKUP(C485,TE!$H:$Y,16,FALSE()),"0")</f>
        <v>0</v>
      </c>
      <c r="Z485" s="341"/>
      <c r="AA485" s="342" t="str">
        <f aca="false">IFERROR(VLOOKUP(C485,TE!$H:$Y,17,FALSE()),"0")</f>
        <v>0</v>
      </c>
      <c r="AB485" s="342"/>
      <c r="AC485" s="343" t="n">
        <f aca="false">IFERROR((W485*Y485*AA485),"")</f>
        <v>0</v>
      </c>
      <c r="AD485" s="343"/>
      <c r="AE485" s="343"/>
      <c r="AF485" s="276"/>
    </row>
    <row r="486" customFormat="false" ht="15.75" hidden="false" customHeight="true" outlineLevel="0" collapsed="false">
      <c r="A486" s="276"/>
      <c r="B486" s="276"/>
      <c r="C486" s="344" t="s">
        <v>1602</v>
      </c>
      <c r="D486" s="346"/>
      <c r="E486" s="346"/>
      <c r="F486" s="339" t="str">
        <f aca="false">IFERROR(VLOOKUP(C486,TE!$H:$Y,2,FALSE()),"(Not on TE)")</f>
        <v>(Not on TE)</v>
      </c>
      <c r="G486" s="347"/>
      <c r="H486" s="347"/>
      <c r="I486" s="347"/>
      <c r="J486" s="347"/>
      <c r="K486" s="347"/>
      <c r="L486" s="347"/>
      <c r="M486" s="347"/>
      <c r="N486" s="347"/>
      <c r="O486" s="347"/>
      <c r="P486" s="347"/>
      <c r="Q486" s="347"/>
      <c r="R486" s="347"/>
      <c r="S486" s="347"/>
      <c r="T486" s="347"/>
      <c r="U486" s="340" t="str">
        <f aca="false">IFERROR(VLOOKUP(C486,TE!$H:$Y,9,FALSE()),"0")</f>
        <v>0</v>
      </c>
      <c r="V486" s="340"/>
      <c r="W486" s="341" t="n">
        <f aca="false">SUMIFS(TE!$O:$O,TE!$G:$G,$C$408,TE!$I:$I,C486,TE!$D:$D,$C$5)</f>
        <v>0</v>
      </c>
      <c r="X486" s="341"/>
      <c r="Y486" s="341" t="str">
        <f aca="false">IFERROR(VLOOKUP(C486,TE!$H:$Y,16,FALSE()),"0")</f>
        <v>0</v>
      </c>
      <c r="Z486" s="341"/>
      <c r="AA486" s="342" t="str">
        <f aca="false">IFERROR(VLOOKUP(C486,TE!$H:$Y,17,FALSE()),"0")</f>
        <v>0</v>
      </c>
      <c r="AB486" s="342"/>
      <c r="AC486" s="343" t="n">
        <f aca="false">IFERROR((W486*Y486*AA486),"")</f>
        <v>0</v>
      </c>
      <c r="AD486" s="343"/>
      <c r="AE486" s="343"/>
      <c r="AF486" s="276"/>
    </row>
    <row r="487" customFormat="false" ht="15.75" hidden="false" customHeight="true" outlineLevel="0" collapsed="false">
      <c r="A487" s="276"/>
      <c r="B487" s="276"/>
      <c r="C487" s="344" t="s">
        <v>1603</v>
      </c>
      <c r="D487" s="346"/>
      <c r="E487" s="346"/>
      <c r="F487" s="339" t="str">
        <f aca="false">IFERROR(VLOOKUP(C487,TE!$H:$Y,2,FALSE()),"(Not on TE)")</f>
        <v>(Not on TE)</v>
      </c>
      <c r="G487" s="347"/>
      <c r="H487" s="347"/>
      <c r="I487" s="347"/>
      <c r="J487" s="347"/>
      <c r="K487" s="347"/>
      <c r="L487" s="347"/>
      <c r="M487" s="347"/>
      <c r="N487" s="347"/>
      <c r="O487" s="347"/>
      <c r="P487" s="347"/>
      <c r="Q487" s="347"/>
      <c r="R487" s="347"/>
      <c r="S487" s="347"/>
      <c r="T487" s="347"/>
      <c r="U487" s="340" t="str">
        <f aca="false">IFERROR(VLOOKUP(C487,TE!$H:$Y,9,FALSE()),"0")</f>
        <v>0</v>
      </c>
      <c r="V487" s="340"/>
      <c r="W487" s="341" t="n">
        <f aca="false">SUMIFS(TE!$O:$O,TE!$G:$G,$C$408,TE!$I:$I,C487,TE!$D:$D,$C$5)</f>
        <v>0</v>
      </c>
      <c r="X487" s="341"/>
      <c r="Y487" s="341" t="str">
        <f aca="false">IFERROR(VLOOKUP(C487,TE!$H:$Y,16,FALSE()),"0")</f>
        <v>0</v>
      </c>
      <c r="Z487" s="341"/>
      <c r="AA487" s="342" t="str">
        <f aca="false">IFERROR(VLOOKUP(C487,TE!$H:$Y,17,FALSE()),"0")</f>
        <v>0</v>
      </c>
      <c r="AB487" s="342"/>
      <c r="AC487" s="343" t="n">
        <f aca="false">IFERROR((W487*Y487*AA487),"")</f>
        <v>0</v>
      </c>
      <c r="AD487" s="343"/>
      <c r="AE487" s="343"/>
      <c r="AF487" s="276"/>
    </row>
    <row r="488" customFormat="false" ht="15.75" hidden="false" customHeight="true" outlineLevel="0" collapsed="false">
      <c r="A488" s="276"/>
      <c r="B488" s="276"/>
      <c r="C488" s="345" t="s">
        <v>1604</v>
      </c>
      <c r="D488" s="346"/>
      <c r="E488" s="346"/>
      <c r="F488" s="339" t="str">
        <f aca="false">IFERROR(VLOOKUP(C488,TE!$H:$Y,2,FALSE()),"(Not on TE)")</f>
        <v>(Not on TE)</v>
      </c>
      <c r="G488" s="347"/>
      <c r="H488" s="347"/>
      <c r="I488" s="347"/>
      <c r="J488" s="347"/>
      <c r="K488" s="347"/>
      <c r="L488" s="347"/>
      <c r="M488" s="347"/>
      <c r="N488" s="347"/>
      <c r="O488" s="347"/>
      <c r="P488" s="347"/>
      <c r="Q488" s="347"/>
      <c r="R488" s="347"/>
      <c r="S488" s="347"/>
      <c r="T488" s="347"/>
      <c r="U488" s="340" t="str">
        <f aca="false">IFERROR(VLOOKUP(C488,TE!$H:$Y,9,FALSE()),"0")</f>
        <v>0</v>
      </c>
      <c r="V488" s="340"/>
      <c r="W488" s="341" t="n">
        <f aca="false">SUMIFS(TE!$O:$O,TE!$G:$G,$C$408,TE!$I:$I,C488,TE!$D:$D,$C$5)</f>
        <v>0</v>
      </c>
      <c r="X488" s="341"/>
      <c r="Y488" s="341" t="str">
        <f aca="false">IFERROR(VLOOKUP(C488,TE!$H:$Y,16,FALSE()),"0")</f>
        <v>0</v>
      </c>
      <c r="Z488" s="341"/>
      <c r="AA488" s="342" t="str">
        <f aca="false">IFERROR(VLOOKUP(C488,TE!$H:$Y,17,FALSE()),"0")</f>
        <v>0</v>
      </c>
      <c r="AB488" s="342"/>
      <c r="AC488" s="343" t="n">
        <f aca="false">IFERROR((W488*Y488*AA488),"")</f>
        <v>0</v>
      </c>
      <c r="AD488" s="343"/>
      <c r="AE488" s="343"/>
      <c r="AF488" s="276"/>
    </row>
    <row r="489" customFormat="false" ht="15.75" hidden="false" customHeight="true" outlineLevel="0" collapsed="false">
      <c r="A489" s="276"/>
      <c r="B489" s="276"/>
      <c r="C489" s="345" t="s">
        <v>1605</v>
      </c>
      <c r="D489" s="346"/>
      <c r="E489" s="346"/>
      <c r="F489" s="339" t="str">
        <f aca="false">IFERROR(VLOOKUP(C489,TE!$H:$Y,2,FALSE()),"(Not on TE)")</f>
        <v>(Not on TE)</v>
      </c>
      <c r="G489" s="347"/>
      <c r="H489" s="347"/>
      <c r="I489" s="347"/>
      <c r="J489" s="347"/>
      <c r="K489" s="347"/>
      <c r="L489" s="347"/>
      <c r="M489" s="347"/>
      <c r="N489" s="347"/>
      <c r="O489" s="347"/>
      <c r="P489" s="347"/>
      <c r="Q489" s="347"/>
      <c r="R489" s="347"/>
      <c r="S489" s="347"/>
      <c r="T489" s="347"/>
      <c r="U489" s="340" t="str">
        <f aca="false">IFERROR(VLOOKUP(C489,TE!$H:$Y,9,FALSE()),"0")</f>
        <v>0</v>
      </c>
      <c r="V489" s="340"/>
      <c r="W489" s="341" t="n">
        <f aca="false">SUMIFS(TE!$O:$O,TE!$G:$G,$C$408,TE!$I:$I,C489,TE!$D:$D,$C$5)</f>
        <v>0</v>
      </c>
      <c r="X489" s="341"/>
      <c r="Y489" s="341" t="str">
        <f aca="false">IFERROR(VLOOKUP(C489,TE!$H:$Y,16,FALSE()),"0")</f>
        <v>0</v>
      </c>
      <c r="Z489" s="341"/>
      <c r="AA489" s="342" t="str">
        <f aca="false">IFERROR(VLOOKUP(C489,TE!$H:$Y,17,FALSE()),"0")</f>
        <v>0</v>
      </c>
      <c r="AB489" s="342"/>
      <c r="AC489" s="343" t="n">
        <f aca="false">IFERROR((W489*Y489*AA489),"")</f>
        <v>0</v>
      </c>
      <c r="AD489" s="343"/>
      <c r="AE489" s="343"/>
      <c r="AF489" s="276"/>
    </row>
    <row r="490" customFormat="false" ht="15.75" hidden="false" customHeight="true" outlineLevel="0" collapsed="false">
      <c r="A490" s="276"/>
      <c r="B490" s="276"/>
      <c r="C490" s="345" t="s">
        <v>1606</v>
      </c>
      <c r="D490" s="346"/>
      <c r="E490" s="346"/>
      <c r="F490" s="339" t="str">
        <f aca="false">IFERROR(VLOOKUP(C490,TE!$H:$Y,2,FALSE()),"(Not on TE)")</f>
        <v>(Not on TE)</v>
      </c>
      <c r="G490" s="347"/>
      <c r="H490" s="347"/>
      <c r="I490" s="347"/>
      <c r="J490" s="347"/>
      <c r="K490" s="347"/>
      <c r="L490" s="347"/>
      <c r="M490" s="347"/>
      <c r="N490" s="347"/>
      <c r="O490" s="347"/>
      <c r="P490" s="347"/>
      <c r="Q490" s="347"/>
      <c r="R490" s="347"/>
      <c r="S490" s="347"/>
      <c r="T490" s="347"/>
      <c r="U490" s="340" t="str">
        <f aca="false">IFERROR(VLOOKUP(C490,TE!$H:$Y,9,FALSE()),"0")</f>
        <v>0</v>
      </c>
      <c r="V490" s="340"/>
      <c r="W490" s="341" t="n">
        <f aca="false">SUMIFS(TE!$O:$O,TE!$G:$G,$C$408,TE!$I:$I,C490,TE!$D:$D,$C$5)</f>
        <v>0</v>
      </c>
      <c r="X490" s="341"/>
      <c r="Y490" s="341" t="str">
        <f aca="false">IFERROR(VLOOKUP(C490,TE!$H:$Y,16,FALSE()),"0")</f>
        <v>0</v>
      </c>
      <c r="Z490" s="341"/>
      <c r="AA490" s="342" t="str">
        <f aca="false">IFERROR(VLOOKUP(C490,TE!$H:$Y,17,FALSE()),"0")</f>
        <v>0</v>
      </c>
      <c r="AB490" s="342"/>
      <c r="AC490" s="343" t="n">
        <f aca="false">IFERROR((W490*Y490*AA490),"")</f>
        <v>0</v>
      </c>
      <c r="AD490" s="343"/>
      <c r="AE490" s="343"/>
      <c r="AF490" s="276"/>
    </row>
    <row r="491" customFormat="false" ht="15.75" hidden="false" customHeight="true" outlineLevel="0" collapsed="false">
      <c r="A491" s="276"/>
      <c r="B491" s="276"/>
      <c r="C491" s="345" t="s">
        <v>1607</v>
      </c>
      <c r="D491" s="346"/>
      <c r="E491" s="346"/>
      <c r="F491" s="339" t="str">
        <f aca="false">IFERROR(VLOOKUP(C491,TE!$H:$Y,2,FALSE()),"(Not on TE)")</f>
        <v>(Not on TE)</v>
      </c>
      <c r="G491" s="347"/>
      <c r="H491" s="347"/>
      <c r="I491" s="347"/>
      <c r="J491" s="347"/>
      <c r="K491" s="347"/>
      <c r="L491" s="347"/>
      <c r="M491" s="347"/>
      <c r="N491" s="347"/>
      <c r="O491" s="347"/>
      <c r="P491" s="347"/>
      <c r="Q491" s="347"/>
      <c r="R491" s="347"/>
      <c r="S491" s="347"/>
      <c r="T491" s="347"/>
      <c r="U491" s="340" t="str">
        <f aca="false">IFERROR(VLOOKUP(C491,TE!$H:$Y,9,FALSE()),"0")</f>
        <v>0</v>
      </c>
      <c r="V491" s="340"/>
      <c r="W491" s="341" t="n">
        <f aca="false">SUMIFS(TE!$O:$O,TE!$G:$G,$C$408,TE!$I:$I,C491,TE!$D:$D,$C$5)</f>
        <v>0</v>
      </c>
      <c r="X491" s="341"/>
      <c r="Y491" s="341" t="str">
        <f aca="false">IFERROR(VLOOKUP(C491,TE!$H:$Y,16,FALSE()),"0")</f>
        <v>0</v>
      </c>
      <c r="Z491" s="341"/>
      <c r="AA491" s="342" t="str">
        <f aca="false">IFERROR(VLOOKUP(C491,TE!$H:$Y,17,FALSE()),"0")</f>
        <v>0</v>
      </c>
      <c r="AB491" s="342"/>
      <c r="AC491" s="343" t="n">
        <f aca="false">IFERROR((W491*Y491*AA491),"")</f>
        <v>0</v>
      </c>
      <c r="AD491" s="343"/>
      <c r="AE491" s="343"/>
      <c r="AF491" s="276"/>
    </row>
    <row r="492" customFormat="false" ht="15.75" hidden="false" customHeight="true" outlineLevel="0" collapsed="false">
      <c r="A492" s="276"/>
      <c r="B492" s="276"/>
      <c r="C492" s="345" t="s">
        <v>1608</v>
      </c>
      <c r="D492" s="346"/>
      <c r="E492" s="346"/>
      <c r="F492" s="339" t="str">
        <f aca="false">IFERROR(VLOOKUP(C492,TE!$H:$Y,2,FALSE()),"(Not on TE)")</f>
        <v>(Not on TE)</v>
      </c>
      <c r="G492" s="347"/>
      <c r="H492" s="347"/>
      <c r="I492" s="347"/>
      <c r="J492" s="347"/>
      <c r="K492" s="347"/>
      <c r="L492" s="347"/>
      <c r="M492" s="347"/>
      <c r="N492" s="347"/>
      <c r="O492" s="347"/>
      <c r="P492" s="347"/>
      <c r="Q492" s="347"/>
      <c r="R492" s="347"/>
      <c r="S492" s="347"/>
      <c r="T492" s="347"/>
      <c r="U492" s="340" t="str">
        <f aca="false">IFERROR(VLOOKUP(C492,TE!$H:$Y,9,FALSE()),"0")</f>
        <v>0</v>
      </c>
      <c r="V492" s="340"/>
      <c r="W492" s="341" t="n">
        <f aca="false">SUMIFS(TE!$O:$O,TE!$G:$G,$C$408,TE!$I:$I,C492,TE!$D:$D,$C$5)</f>
        <v>0</v>
      </c>
      <c r="X492" s="341"/>
      <c r="Y492" s="341" t="str">
        <f aca="false">IFERROR(VLOOKUP(C492,TE!$H:$Y,16,FALSE()),"0")</f>
        <v>0</v>
      </c>
      <c r="Z492" s="341"/>
      <c r="AA492" s="342" t="str">
        <f aca="false">IFERROR(VLOOKUP(C492,TE!$H:$Y,17,FALSE()),"0")</f>
        <v>0</v>
      </c>
      <c r="AB492" s="342"/>
      <c r="AC492" s="343" t="n">
        <f aca="false">IFERROR((W492*Y492*AA492),"")</f>
        <v>0</v>
      </c>
      <c r="AD492" s="343"/>
      <c r="AE492" s="343"/>
      <c r="AF492" s="276"/>
    </row>
    <row r="493" customFormat="false" ht="15.75" hidden="false" customHeight="true" outlineLevel="0" collapsed="false">
      <c r="A493" s="276"/>
      <c r="B493" s="276"/>
      <c r="C493" s="348" t="s">
        <v>1609</v>
      </c>
      <c r="D493" s="349"/>
      <c r="E493" s="349"/>
      <c r="F493" s="350" t="str">
        <f aca="false">IFERROR(VLOOKUP(C493,TE!$H:$Y,2,FALSE()),"(Not on TE)")</f>
        <v>(Not on TE)</v>
      </c>
      <c r="G493" s="351"/>
      <c r="H493" s="351"/>
      <c r="I493" s="351"/>
      <c r="J493" s="351"/>
      <c r="K493" s="351"/>
      <c r="L493" s="351"/>
      <c r="M493" s="351"/>
      <c r="N493" s="351"/>
      <c r="O493" s="351"/>
      <c r="P493" s="351"/>
      <c r="Q493" s="351"/>
      <c r="R493" s="351"/>
      <c r="S493" s="351"/>
      <c r="T493" s="351"/>
      <c r="U493" s="352" t="str">
        <f aca="false">IFERROR(VLOOKUP(C493,TE!$H:$Y,9,FALSE()),"0")</f>
        <v>0</v>
      </c>
      <c r="V493" s="352"/>
      <c r="W493" s="353" t="n">
        <f aca="false">SUMIFS(TE!$O:$O,TE!$G:$G,$C$408,TE!$I:$I,C493,TE!$D:$D,$C$5)</f>
        <v>0</v>
      </c>
      <c r="X493" s="353"/>
      <c r="Y493" s="353" t="str">
        <f aca="false">IFERROR(VLOOKUP(C493,TE!$H:$Y,16,FALSE()),"0")</f>
        <v>0</v>
      </c>
      <c r="Z493" s="353"/>
      <c r="AA493" s="354" t="str">
        <f aca="false">IFERROR(VLOOKUP(C493,TE!$H:$Y,17,FALSE()),"0")</f>
        <v>0</v>
      </c>
      <c r="AB493" s="354"/>
      <c r="AC493" s="355" t="n">
        <f aca="false">IFERROR((W493*Y493*AA493),"")</f>
        <v>0</v>
      </c>
      <c r="AD493" s="355"/>
      <c r="AE493" s="355"/>
      <c r="AF493" s="276"/>
    </row>
    <row r="494" customFormat="false" ht="15.75" hidden="false" customHeight="true" outlineLevel="0" collapsed="false">
      <c r="A494" s="276"/>
      <c r="B494" s="276"/>
      <c r="C494" s="338"/>
      <c r="D494" s="346"/>
      <c r="E494" s="346"/>
      <c r="F494" s="347"/>
      <c r="G494" s="347"/>
      <c r="H494" s="347"/>
      <c r="I494" s="347"/>
      <c r="J494" s="347"/>
      <c r="K494" s="347"/>
      <c r="L494" s="347"/>
      <c r="M494" s="347"/>
      <c r="N494" s="347"/>
      <c r="O494" s="347"/>
      <c r="P494" s="347"/>
      <c r="Q494" s="347"/>
      <c r="R494" s="347"/>
      <c r="S494" s="347"/>
      <c r="T494" s="347"/>
      <c r="U494" s="356"/>
      <c r="V494" s="356"/>
      <c r="W494" s="357"/>
      <c r="X494" s="357"/>
      <c r="Y494" s="357"/>
      <c r="Z494" s="296"/>
      <c r="AA494" s="373" t="s">
        <v>1576</v>
      </c>
      <c r="AB494" s="373"/>
      <c r="AC494" s="373"/>
      <c r="AD494" s="373"/>
      <c r="AE494" s="373"/>
      <c r="AF494" s="276"/>
    </row>
    <row r="495" customFormat="false" ht="15.75" hidden="false" customHeight="true" outlineLevel="0" collapsed="false">
      <c r="A495" s="276"/>
      <c r="B495" s="276"/>
      <c r="C495" s="338"/>
      <c r="D495" s="346"/>
      <c r="E495" s="346"/>
      <c r="F495" s="347"/>
      <c r="G495" s="347"/>
      <c r="H495" s="347"/>
      <c r="I495" s="347"/>
      <c r="J495" s="347"/>
      <c r="K495" s="347"/>
      <c r="L495" s="347"/>
      <c r="M495" s="347"/>
      <c r="N495" s="347"/>
      <c r="O495" s="347"/>
      <c r="P495" s="347"/>
      <c r="Q495" s="347"/>
      <c r="R495" s="347"/>
      <c r="S495" s="347"/>
      <c r="T495" s="347"/>
      <c r="U495" s="356"/>
      <c r="V495" s="356"/>
      <c r="W495" s="357"/>
      <c r="X495" s="357"/>
      <c r="Y495" s="357"/>
      <c r="Z495" s="357"/>
      <c r="AA495" s="374"/>
      <c r="AB495" s="374"/>
      <c r="AC495" s="375"/>
      <c r="AD495" s="375"/>
      <c r="AE495" s="375"/>
      <c r="AF495" s="276"/>
    </row>
    <row r="496" customFormat="false" ht="15.75" hidden="false" customHeight="true" outlineLevel="0" collapsed="false">
      <c r="A496" s="364"/>
      <c r="B496" s="364"/>
      <c r="C496" s="365"/>
      <c r="D496" s="366"/>
      <c r="E496" s="366"/>
      <c r="F496" s="367"/>
      <c r="G496" s="367"/>
      <c r="H496" s="367"/>
      <c r="I496" s="367"/>
      <c r="J496" s="367"/>
      <c r="K496" s="367"/>
      <c r="L496" s="367"/>
      <c r="M496" s="367"/>
      <c r="N496" s="367"/>
      <c r="O496" s="367"/>
      <c r="P496" s="367"/>
      <c r="Q496" s="367"/>
      <c r="R496" s="367"/>
      <c r="S496" s="367"/>
      <c r="T496" s="367"/>
      <c r="U496" s="368"/>
      <c r="V496" s="368"/>
      <c r="W496" s="369"/>
      <c r="X496" s="369"/>
      <c r="Y496" s="369"/>
      <c r="Z496" s="369"/>
      <c r="AA496" s="370"/>
      <c r="AB496" s="370"/>
      <c r="AC496" s="371"/>
      <c r="AD496" s="371"/>
      <c r="AE496" s="371"/>
      <c r="AF496" s="372"/>
    </row>
    <row r="497" customFormat="false" ht="15.75" hidden="false" customHeight="true" outlineLevel="0" collapsed="false">
      <c r="A497" s="259" t="s">
        <v>1522</v>
      </c>
      <c r="B497" s="259"/>
      <c r="C497" s="323" t="n">
        <f aca="false">$C$5</f>
        <v>14312</v>
      </c>
      <c r="D497" s="323"/>
      <c r="E497" s="323"/>
      <c r="F497" s="323"/>
      <c r="G497" s="323"/>
      <c r="H497" s="323"/>
      <c r="I497" s="323"/>
      <c r="J497" s="323"/>
      <c r="K497" s="323"/>
      <c r="L497" s="323"/>
      <c r="M497" s="259" t="s">
        <v>1523</v>
      </c>
      <c r="N497" s="259"/>
      <c r="O497" s="259"/>
      <c r="P497" s="259"/>
      <c r="Q497" s="259"/>
      <c r="R497" s="324" t="str">
        <f aca="false">$R$5</f>
        <v>Operational Vehicle Laydown Area</v>
      </c>
      <c r="S497" s="324"/>
      <c r="T497" s="324"/>
      <c r="U497" s="324"/>
      <c r="V497" s="324"/>
      <c r="W497" s="324"/>
      <c r="X497" s="324"/>
      <c r="Y497" s="324"/>
      <c r="Z497" s="324"/>
      <c r="AA497" s="324"/>
      <c r="AB497" s="324"/>
      <c r="AC497" s="324"/>
      <c r="AD497" s="324"/>
      <c r="AE497" s="324"/>
      <c r="AF497" s="324"/>
    </row>
    <row r="498" customFormat="false" ht="15.75" hidden="false" customHeight="true" outlineLevel="0" collapsed="false">
      <c r="A498" s="276"/>
      <c r="B498" s="276"/>
      <c r="C498" s="296"/>
      <c r="D498" s="276"/>
      <c r="E498" s="276"/>
      <c r="F498" s="296"/>
      <c r="G498" s="276"/>
      <c r="H498" s="276"/>
      <c r="I498" s="276"/>
      <c r="J498" s="276"/>
      <c r="K498" s="276"/>
      <c r="L498" s="276"/>
      <c r="M498" s="276"/>
      <c r="N498" s="276"/>
      <c r="O498" s="276"/>
      <c r="P498" s="276"/>
      <c r="Q498" s="276"/>
      <c r="R498" s="276"/>
      <c r="S498" s="276"/>
      <c r="T498" s="276"/>
      <c r="U498" s="276"/>
      <c r="V498" s="276"/>
      <c r="W498" s="277"/>
      <c r="X498" s="277"/>
      <c r="Y498" s="276"/>
      <c r="Z498" s="276"/>
      <c r="AA498" s="276"/>
      <c r="AB498" s="276"/>
      <c r="AC498" s="277"/>
      <c r="AD498" s="277"/>
      <c r="AE498" s="277"/>
      <c r="AF498" s="276"/>
    </row>
    <row r="499" customFormat="false" ht="15.75" hidden="false" customHeight="true" outlineLevel="0" collapsed="false">
      <c r="A499" s="276"/>
      <c r="B499" s="276"/>
      <c r="C499" s="325" t="s">
        <v>1542</v>
      </c>
      <c r="D499" s="276"/>
      <c r="E499" s="276"/>
      <c r="F499" s="296"/>
      <c r="G499" s="276"/>
      <c r="H499" s="276"/>
      <c r="I499" s="276"/>
      <c r="J499" s="276"/>
      <c r="K499" s="276"/>
      <c r="L499" s="276"/>
      <c r="M499" s="276"/>
      <c r="N499" s="276"/>
      <c r="O499" s="276"/>
      <c r="P499" s="276"/>
      <c r="Q499" s="276"/>
      <c r="R499" s="276"/>
      <c r="S499" s="276"/>
      <c r="T499" s="276"/>
      <c r="U499" s="276"/>
      <c r="V499" s="276"/>
      <c r="W499" s="277"/>
      <c r="X499" s="277"/>
      <c r="Y499" s="276"/>
      <c r="Z499" s="276"/>
      <c r="AA499" s="276"/>
      <c r="AB499" s="276"/>
      <c r="AC499" s="277"/>
      <c r="AD499" s="277"/>
      <c r="AE499" s="277"/>
      <c r="AF499" s="276"/>
    </row>
    <row r="500" customFormat="false" ht="15.75" hidden="false" customHeight="true" outlineLevel="0" collapsed="false">
      <c r="A500" s="276"/>
      <c r="B500" s="276"/>
      <c r="C500" s="391" t="str">
        <f aca="false">C454</f>
        <v>M28262</v>
      </c>
      <c r="D500" s="391"/>
      <c r="E500" s="391"/>
      <c r="F500" s="327" t="str">
        <f aca="false">F454</f>
        <v>SURGICAL CO B</v>
      </c>
      <c r="G500" s="327"/>
      <c r="H500" s="327"/>
      <c r="I500" s="327"/>
      <c r="J500" s="327"/>
      <c r="K500" s="327"/>
      <c r="L500" s="327"/>
      <c r="M500" s="327"/>
      <c r="N500" s="328"/>
      <c r="O500" s="329"/>
      <c r="P500" s="329"/>
      <c r="Q500" s="329"/>
      <c r="R500" s="329"/>
      <c r="S500" s="330"/>
      <c r="T500" s="295"/>
      <c r="U500" s="295"/>
      <c r="V500" s="295"/>
      <c r="W500" s="331"/>
      <c r="X500" s="331"/>
      <c r="Y500" s="295"/>
      <c r="Z500" s="295"/>
      <c r="AA500" s="295"/>
      <c r="AB500" s="295"/>
      <c r="AC500" s="332"/>
      <c r="AD500" s="332"/>
      <c r="AE500" s="332"/>
      <c r="AF500" s="276"/>
    </row>
    <row r="501" customFormat="false" ht="15.75" hidden="false" customHeight="true" outlineLevel="0" collapsed="false">
      <c r="A501" s="276"/>
      <c r="B501" s="276"/>
      <c r="C501" s="376" t="s">
        <v>1055</v>
      </c>
      <c r="D501" s="376"/>
      <c r="E501" s="376"/>
      <c r="F501" s="334" t="s">
        <v>13</v>
      </c>
      <c r="G501" s="334"/>
      <c r="H501" s="334"/>
      <c r="I501" s="334"/>
      <c r="J501" s="334"/>
      <c r="K501" s="334"/>
      <c r="L501" s="334"/>
      <c r="M501" s="334"/>
      <c r="N501" s="334"/>
      <c r="O501" s="334"/>
      <c r="P501" s="334"/>
      <c r="Q501" s="334"/>
      <c r="R501" s="334"/>
      <c r="S501" s="334"/>
      <c r="T501" s="334"/>
      <c r="U501" s="335" t="s">
        <v>1543</v>
      </c>
      <c r="V501" s="335"/>
      <c r="W501" s="335" t="s">
        <v>1544</v>
      </c>
      <c r="X501" s="335"/>
      <c r="Y501" s="335" t="s">
        <v>1545</v>
      </c>
      <c r="Z501" s="335"/>
      <c r="AA501" s="335" t="s">
        <v>1546</v>
      </c>
      <c r="AB501" s="335"/>
      <c r="AC501" s="336" t="s">
        <v>1547</v>
      </c>
      <c r="AD501" s="336"/>
      <c r="AE501" s="336"/>
      <c r="AF501" s="276"/>
    </row>
    <row r="502" customFormat="false" ht="15.75" hidden="false" customHeight="true" outlineLevel="0" collapsed="false">
      <c r="A502" s="276"/>
      <c r="B502" s="276"/>
      <c r="C502" s="376"/>
      <c r="D502" s="376"/>
      <c r="E502" s="376"/>
      <c r="F502" s="334"/>
      <c r="G502" s="334"/>
      <c r="H502" s="334"/>
      <c r="I502" s="334"/>
      <c r="J502" s="334"/>
      <c r="K502" s="334"/>
      <c r="L502" s="334"/>
      <c r="M502" s="334"/>
      <c r="N502" s="334"/>
      <c r="O502" s="334"/>
      <c r="P502" s="334"/>
      <c r="Q502" s="334"/>
      <c r="R502" s="334"/>
      <c r="S502" s="334"/>
      <c r="T502" s="334"/>
      <c r="U502" s="335"/>
      <c r="V502" s="335"/>
      <c r="W502" s="335"/>
      <c r="X502" s="335"/>
      <c r="Y502" s="335"/>
      <c r="Z502" s="335"/>
      <c r="AA502" s="335"/>
      <c r="AB502" s="335"/>
      <c r="AC502" s="336"/>
      <c r="AD502" s="336"/>
      <c r="AE502" s="336"/>
      <c r="AF502" s="276"/>
    </row>
    <row r="503" customFormat="false" ht="15.75" hidden="false" customHeight="true" outlineLevel="0" collapsed="false">
      <c r="A503" s="276"/>
      <c r="B503" s="276"/>
      <c r="C503" s="377" t="s">
        <v>1610</v>
      </c>
      <c r="D503" s="338"/>
      <c r="E503" s="338"/>
      <c r="F503" s="339" t="str">
        <f aca="false">IFERROR(VLOOKUP(C503,TE!$H:$Y,2,FALSE()),"(Not on TE)")</f>
        <v>(Not on TE)</v>
      </c>
      <c r="G503" s="338"/>
      <c r="H503" s="338"/>
      <c r="I503" s="338"/>
      <c r="J503" s="338"/>
      <c r="K503" s="338"/>
      <c r="L503" s="338"/>
      <c r="M503" s="338"/>
      <c r="N503" s="338"/>
      <c r="O503" s="338"/>
      <c r="P503" s="338"/>
      <c r="Q503" s="338"/>
      <c r="R503" s="338"/>
      <c r="S503" s="338"/>
      <c r="T503" s="338"/>
      <c r="U503" s="340" t="str">
        <f aca="false">IFERROR(VLOOKUP(C503,TE!$H:$Y,9,FALSE()),"0")</f>
        <v>0</v>
      </c>
      <c r="V503" s="340"/>
      <c r="W503" s="341" t="n">
        <f aca="false">SUMIFS(TE!$O:$O,TE!$G:$G,$C$408,TE!$I:$I,C503,TE!$D:$D,$C$5)</f>
        <v>0</v>
      </c>
      <c r="X503" s="341"/>
      <c r="Y503" s="341" t="str">
        <f aca="false">IFERROR(VLOOKUP(C503,TE!$H:$Y,16,FALSE()),"0")</f>
        <v>0</v>
      </c>
      <c r="Z503" s="341"/>
      <c r="AA503" s="342" t="str">
        <f aca="false">IFERROR(VLOOKUP(C503,TE!$H:$Y,17,FALSE()),"0")</f>
        <v>0</v>
      </c>
      <c r="AB503" s="342"/>
      <c r="AC503" s="343" t="n">
        <f aca="false">IFERROR((W503*Y503*AA503),"")</f>
        <v>0</v>
      </c>
      <c r="AD503" s="343"/>
      <c r="AE503" s="343"/>
      <c r="AF503" s="276"/>
    </row>
    <row r="504" customFormat="false" ht="15.75" hidden="false" customHeight="true" outlineLevel="0" collapsed="false">
      <c r="A504" s="276"/>
      <c r="B504" s="276"/>
      <c r="C504" s="377" t="s">
        <v>1611</v>
      </c>
      <c r="D504" s="338"/>
      <c r="E504" s="338"/>
      <c r="F504" s="339" t="str">
        <f aca="false">IFERROR(VLOOKUP(C504,TE!$H:$Y,2,FALSE()),"(Not on TE)")</f>
        <v>(Not on TE)</v>
      </c>
      <c r="G504" s="338"/>
      <c r="H504" s="338"/>
      <c r="I504" s="338"/>
      <c r="J504" s="338"/>
      <c r="K504" s="338"/>
      <c r="L504" s="338"/>
      <c r="M504" s="338"/>
      <c r="N504" s="338"/>
      <c r="O504" s="338"/>
      <c r="P504" s="338"/>
      <c r="Q504" s="338"/>
      <c r="R504" s="338"/>
      <c r="S504" s="338"/>
      <c r="T504" s="338"/>
      <c r="U504" s="340" t="str">
        <f aca="false">IFERROR(VLOOKUP(C504,TE!$H:$Y,9,FALSE()),"0")</f>
        <v>0</v>
      </c>
      <c r="V504" s="340"/>
      <c r="W504" s="341" t="n">
        <f aca="false">SUMIFS(TE!$O:$O,TE!$G:$G,$C$408,TE!$I:$I,C504,TE!$D:$D,$C$5)</f>
        <v>0</v>
      </c>
      <c r="X504" s="341"/>
      <c r="Y504" s="341" t="str">
        <f aca="false">IFERROR(VLOOKUP(C504,TE!$H:$Y,16,FALSE()),"0")</f>
        <v>0</v>
      </c>
      <c r="Z504" s="341"/>
      <c r="AA504" s="342" t="str">
        <f aca="false">IFERROR(VLOOKUP(C504,TE!$H:$Y,17,FALSE()),"0")</f>
        <v>0</v>
      </c>
      <c r="AB504" s="342"/>
      <c r="AC504" s="343" t="n">
        <f aca="false">IFERROR((W504*Y504*AA504),"")</f>
        <v>0</v>
      </c>
      <c r="AD504" s="343"/>
      <c r="AE504" s="343"/>
      <c r="AF504" s="276"/>
    </row>
    <row r="505" customFormat="false" ht="15.75" hidden="false" customHeight="true" outlineLevel="0" collapsed="false">
      <c r="A505" s="276"/>
      <c r="B505" s="276"/>
      <c r="C505" s="377" t="s">
        <v>1612</v>
      </c>
      <c r="D505" s="338"/>
      <c r="E505" s="338"/>
      <c r="F505" s="339" t="str">
        <f aca="false">IFERROR(VLOOKUP(C505,TE!$H:$Y,2,FALSE()),"(Not on TE)")</f>
        <v>(Not on TE)</v>
      </c>
      <c r="G505" s="338"/>
      <c r="H505" s="338"/>
      <c r="I505" s="338"/>
      <c r="J505" s="338"/>
      <c r="K505" s="338"/>
      <c r="L505" s="338"/>
      <c r="M505" s="338"/>
      <c r="N505" s="338"/>
      <c r="O505" s="338"/>
      <c r="P505" s="338"/>
      <c r="Q505" s="338"/>
      <c r="R505" s="338"/>
      <c r="S505" s="338"/>
      <c r="T505" s="338"/>
      <c r="U505" s="340" t="str">
        <f aca="false">IFERROR(VLOOKUP(C505,TE!$H:$Y,9,FALSE()),"0")</f>
        <v>0</v>
      </c>
      <c r="V505" s="340"/>
      <c r="W505" s="341" t="n">
        <f aca="false">SUMIFS(TE!$O:$O,TE!$G:$G,$C$408,TE!$I:$I,C505,TE!$D:$D,$C$5)</f>
        <v>0</v>
      </c>
      <c r="X505" s="341"/>
      <c r="Y505" s="341" t="str">
        <f aca="false">IFERROR(VLOOKUP(C505,TE!$H:$Y,16,FALSE()),"0")</f>
        <v>0</v>
      </c>
      <c r="Z505" s="341"/>
      <c r="AA505" s="342" t="str">
        <f aca="false">IFERROR(VLOOKUP(C505,TE!$H:$Y,17,FALSE()),"0")</f>
        <v>0</v>
      </c>
      <c r="AB505" s="342"/>
      <c r="AC505" s="343" t="n">
        <f aca="false">IFERROR((W505*Y505*AA505),"")</f>
        <v>0</v>
      </c>
      <c r="AD505" s="343"/>
      <c r="AE505" s="343"/>
      <c r="AF505" s="276"/>
    </row>
    <row r="506" customFormat="false" ht="15.75" hidden="false" customHeight="true" outlineLevel="0" collapsed="false">
      <c r="A506" s="276"/>
      <c r="B506" s="276"/>
      <c r="C506" s="377" t="s">
        <v>1613</v>
      </c>
      <c r="D506" s="338"/>
      <c r="E506" s="338"/>
      <c r="F506" s="339" t="str">
        <f aca="false">IFERROR(VLOOKUP(C506,TE!$H:$Y,2,FALSE()),"(Not on TE)")</f>
        <v>(Not on TE)</v>
      </c>
      <c r="G506" s="338"/>
      <c r="H506" s="338"/>
      <c r="I506" s="338"/>
      <c r="J506" s="338"/>
      <c r="K506" s="338"/>
      <c r="L506" s="338"/>
      <c r="M506" s="338"/>
      <c r="N506" s="338"/>
      <c r="O506" s="338"/>
      <c r="P506" s="338"/>
      <c r="Q506" s="338"/>
      <c r="R506" s="338"/>
      <c r="S506" s="338"/>
      <c r="T506" s="338"/>
      <c r="U506" s="340" t="str">
        <f aca="false">IFERROR(VLOOKUP(C506,TE!$H:$Y,9,FALSE()),"0")</f>
        <v>0</v>
      </c>
      <c r="V506" s="340"/>
      <c r="W506" s="341" t="n">
        <f aca="false">SUMIFS(TE!$O:$O,TE!$G:$G,$C$408,TE!$I:$I,C506,TE!$D:$D,$C$5)</f>
        <v>0</v>
      </c>
      <c r="X506" s="341"/>
      <c r="Y506" s="341" t="str">
        <f aca="false">IFERROR(VLOOKUP(C506,TE!$H:$Y,16,FALSE()),"0")</f>
        <v>0</v>
      </c>
      <c r="Z506" s="341"/>
      <c r="AA506" s="342" t="str">
        <f aca="false">IFERROR(VLOOKUP(C506,TE!$H:$Y,17,FALSE()),"0")</f>
        <v>0</v>
      </c>
      <c r="AB506" s="342"/>
      <c r="AC506" s="343" t="n">
        <f aca="false">IFERROR((W506*Y506*AA506),"")</f>
        <v>0</v>
      </c>
      <c r="AD506" s="343"/>
      <c r="AE506" s="343"/>
      <c r="AF506" s="276"/>
    </row>
    <row r="507" customFormat="false" ht="15.75" hidden="false" customHeight="true" outlineLevel="0" collapsed="false">
      <c r="A507" s="276"/>
      <c r="B507" s="276"/>
      <c r="C507" s="377" t="s">
        <v>1614</v>
      </c>
      <c r="D507" s="338"/>
      <c r="E507" s="338"/>
      <c r="F507" s="339" t="str">
        <f aca="false">IFERROR(VLOOKUP(C507,TE!$H:$Y,2,FALSE()),"(Not on TE)")</f>
        <v>(Not on TE)</v>
      </c>
      <c r="G507" s="338"/>
      <c r="H507" s="338"/>
      <c r="I507" s="338"/>
      <c r="J507" s="338"/>
      <c r="K507" s="338"/>
      <c r="L507" s="338"/>
      <c r="M507" s="338"/>
      <c r="N507" s="338"/>
      <c r="O507" s="338"/>
      <c r="P507" s="338"/>
      <c r="Q507" s="338"/>
      <c r="R507" s="338"/>
      <c r="S507" s="338"/>
      <c r="T507" s="338"/>
      <c r="U507" s="340" t="str">
        <f aca="false">IFERROR(VLOOKUP(C507,TE!$H:$Y,9,FALSE()),"0")</f>
        <v>0</v>
      </c>
      <c r="V507" s="340"/>
      <c r="W507" s="341" t="n">
        <f aca="false">SUMIFS(TE!$O:$O,TE!$G:$G,$C$408,TE!$I:$I,C507,TE!$D:$D,$C$5)</f>
        <v>0</v>
      </c>
      <c r="X507" s="341"/>
      <c r="Y507" s="341" t="str">
        <f aca="false">IFERROR(VLOOKUP(C507,TE!$H:$Y,16,FALSE()),"0")</f>
        <v>0</v>
      </c>
      <c r="Z507" s="341"/>
      <c r="AA507" s="342" t="str">
        <f aca="false">IFERROR(VLOOKUP(C507,TE!$H:$Y,17,FALSE()),"0")</f>
        <v>0</v>
      </c>
      <c r="AB507" s="342"/>
      <c r="AC507" s="343" t="n">
        <f aca="false">IFERROR((W507*Y507*AA507),"")</f>
        <v>0</v>
      </c>
      <c r="AD507" s="343"/>
      <c r="AE507" s="343"/>
      <c r="AF507" s="276"/>
    </row>
    <row r="508" customFormat="false" ht="15.75" hidden="false" customHeight="true" outlineLevel="0" collapsed="false">
      <c r="A508" s="276"/>
      <c r="B508" s="276"/>
      <c r="C508" s="377" t="s">
        <v>1615</v>
      </c>
      <c r="D508" s="338"/>
      <c r="E508" s="338"/>
      <c r="F508" s="339" t="str">
        <f aca="false">IFERROR(VLOOKUP(C508,TE!$H:$Y,2,FALSE()),"(Not on TE)")</f>
        <v>(Not on TE)</v>
      </c>
      <c r="G508" s="338"/>
      <c r="H508" s="338"/>
      <c r="I508" s="338"/>
      <c r="J508" s="338"/>
      <c r="K508" s="338"/>
      <c r="L508" s="338"/>
      <c r="M508" s="338"/>
      <c r="N508" s="338"/>
      <c r="O508" s="338"/>
      <c r="P508" s="338"/>
      <c r="Q508" s="338"/>
      <c r="R508" s="338"/>
      <c r="S508" s="338"/>
      <c r="T508" s="338"/>
      <c r="U508" s="340" t="str">
        <f aca="false">IFERROR(VLOOKUP(C508,TE!$H:$Y,9,FALSE()),"0")</f>
        <v>0</v>
      </c>
      <c r="V508" s="340"/>
      <c r="W508" s="341" t="n">
        <f aca="false">SUMIFS(TE!$O:$O,TE!$G:$G,$C$408,TE!$I:$I,C508,TE!$D:$D,$C$5)</f>
        <v>0</v>
      </c>
      <c r="X508" s="341"/>
      <c r="Y508" s="341" t="str">
        <f aca="false">IFERROR(VLOOKUP(C508,TE!$H:$Y,16,FALSE()),"0")</f>
        <v>0</v>
      </c>
      <c r="Z508" s="341"/>
      <c r="AA508" s="342" t="str">
        <f aca="false">IFERROR(VLOOKUP(C508,TE!$H:$Y,17,FALSE()),"0")</f>
        <v>0</v>
      </c>
      <c r="AB508" s="342"/>
      <c r="AC508" s="343" t="n">
        <f aca="false">IFERROR((W508*Y508*AA508),"")</f>
        <v>0</v>
      </c>
      <c r="AD508" s="343"/>
      <c r="AE508" s="343"/>
      <c r="AF508" s="276"/>
    </row>
    <row r="509" customFormat="false" ht="15.75" hidden="false" customHeight="true" outlineLevel="0" collapsed="false">
      <c r="A509" s="276"/>
      <c r="B509" s="276"/>
      <c r="C509" s="377" t="s">
        <v>1616</v>
      </c>
      <c r="D509" s="338"/>
      <c r="E509" s="338"/>
      <c r="F509" s="339" t="str">
        <f aca="false">IFERROR(VLOOKUP(C509,TE!$H:$Y,2,FALSE()),"(Not on TE)")</f>
        <v>(Not on TE)</v>
      </c>
      <c r="G509" s="338"/>
      <c r="H509" s="338"/>
      <c r="I509" s="338"/>
      <c r="J509" s="338"/>
      <c r="K509" s="338"/>
      <c r="L509" s="338"/>
      <c r="M509" s="338"/>
      <c r="N509" s="338"/>
      <c r="O509" s="338"/>
      <c r="P509" s="338"/>
      <c r="Q509" s="338"/>
      <c r="R509" s="338"/>
      <c r="S509" s="338"/>
      <c r="T509" s="338"/>
      <c r="U509" s="340" t="str">
        <f aca="false">IFERROR(VLOOKUP(C509,TE!$H:$Y,9,FALSE()),"0")</f>
        <v>0</v>
      </c>
      <c r="V509" s="340"/>
      <c r="W509" s="341" t="n">
        <f aca="false">SUMIFS(TE!$O:$O,TE!$G:$G,$C$408,TE!$I:$I,C509,TE!$D:$D,$C$5)</f>
        <v>0</v>
      </c>
      <c r="X509" s="341"/>
      <c r="Y509" s="341" t="str">
        <f aca="false">IFERROR(VLOOKUP(C509,TE!$H:$Y,16,FALSE()),"0")</f>
        <v>0</v>
      </c>
      <c r="Z509" s="341"/>
      <c r="AA509" s="342" t="str">
        <f aca="false">IFERROR(VLOOKUP(C509,TE!$H:$Y,17,FALSE()),"0")</f>
        <v>0</v>
      </c>
      <c r="AB509" s="342"/>
      <c r="AC509" s="343" t="n">
        <f aca="false">IFERROR((W509*Y509*AA509),"")</f>
        <v>0</v>
      </c>
      <c r="AD509" s="343"/>
      <c r="AE509" s="343"/>
      <c r="AF509" s="276"/>
    </row>
    <row r="510" customFormat="false" ht="15.75" hidden="false" customHeight="true" outlineLevel="0" collapsed="false">
      <c r="A510" s="276"/>
      <c r="B510" s="276"/>
      <c r="C510" s="377" t="s">
        <v>1617</v>
      </c>
      <c r="D510" s="338"/>
      <c r="E510" s="338"/>
      <c r="F510" s="339" t="str">
        <f aca="false">IFERROR(VLOOKUP(C510,TE!$H:$Y,2,FALSE()),"(Not on TE)")</f>
        <v>(Not on TE)</v>
      </c>
      <c r="G510" s="338"/>
      <c r="H510" s="338"/>
      <c r="I510" s="338"/>
      <c r="J510" s="338"/>
      <c r="K510" s="338"/>
      <c r="L510" s="338"/>
      <c r="M510" s="338"/>
      <c r="N510" s="338"/>
      <c r="O510" s="338"/>
      <c r="P510" s="338"/>
      <c r="Q510" s="338"/>
      <c r="R510" s="338"/>
      <c r="S510" s="338"/>
      <c r="T510" s="338"/>
      <c r="U510" s="340" t="str">
        <f aca="false">IFERROR(VLOOKUP(C510,TE!$H:$Y,9,FALSE()),"0")</f>
        <v>0</v>
      </c>
      <c r="V510" s="340"/>
      <c r="W510" s="341" t="n">
        <f aca="false">SUMIFS(TE!$O:$O,TE!$G:$G,$C$408,TE!$I:$I,C510,TE!$D:$D,$C$5)</f>
        <v>0</v>
      </c>
      <c r="X510" s="341"/>
      <c r="Y510" s="341" t="str">
        <f aca="false">IFERROR(VLOOKUP(C510,TE!$H:$Y,16,FALSE()),"0")</f>
        <v>0</v>
      </c>
      <c r="Z510" s="341"/>
      <c r="AA510" s="342" t="str">
        <f aca="false">IFERROR(VLOOKUP(C510,TE!$H:$Y,17,FALSE()),"0")</f>
        <v>0</v>
      </c>
      <c r="AB510" s="342"/>
      <c r="AC510" s="343" t="n">
        <f aca="false">IFERROR((W510*Y510*AA510),"")</f>
        <v>0</v>
      </c>
      <c r="AD510" s="343"/>
      <c r="AE510" s="343"/>
      <c r="AF510" s="276"/>
    </row>
    <row r="511" customFormat="false" ht="15.75" hidden="false" customHeight="true" outlineLevel="0" collapsed="false">
      <c r="A511" s="276"/>
      <c r="B511" s="276"/>
      <c r="C511" s="377" t="s">
        <v>1167</v>
      </c>
      <c r="D511" s="338"/>
      <c r="E511" s="338"/>
      <c r="F511" s="339" t="str">
        <f aca="false">IFERROR(VLOOKUP(C511,TE!$H:$Y,2,FALSE()),"(Not on TE)")</f>
        <v>(Not on TE)</v>
      </c>
      <c r="G511" s="338"/>
      <c r="H511" s="338"/>
      <c r="I511" s="338"/>
      <c r="J511" s="338"/>
      <c r="K511" s="338"/>
      <c r="L511" s="338"/>
      <c r="M511" s="338"/>
      <c r="N511" s="338"/>
      <c r="O511" s="338"/>
      <c r="P511" s="338"/>
      <c r="Q511" s="338"/>
      <c r="R511" s="338"/>
      <c r="S511" s="338"/>
      <c r="T511" s="338"/>
      <c r="U511" s="340" t="str">
        <f aca="false">IFERROR(VLOOKUP(C511,TE!$H:$Y,9,FALSE()),"0")</f>
        <v>0</v>
      </c>
      <c r="V511" s="340"/>
      <c r="W511" s="341" t="n">
        <f aca="false">SUMIFS(TE!$O:$O,TE!$G:$G,$C$408,TE!$I:$I,C511,TE!$D:$D,$C$5)</f>
        <v>0</v>
      </c>
      <c r="X511" s="341"/>
      <c r="Y511" s="341" t="str">
        <f aca="false">IFERROR(VLOOKUP(C511,TE!$H:$Y,16,FALSE()),"0")</f>
        <v>0</v>
      </c>
      <c r="Z511" s="341"/>
      <c r="AA511" s="342" t="str">
        <f aca="false">IFERROR(VLOOKUP(C511,TE!$H:$Y,17,FALSE()),"0")</f>
        <v>0</v>
      </c>
      <c r="AB511" s="342"/>
      <c r="AC511" s="343" t="n">
        <f aca="false">IFERROR((W511*Y511*AA511),"")</f>
        <v>0</v>
      </c>
      <c r="AD511" s="343"/>
      <c r="AE511" s="343"/>
      <c r="AF511" s="276"/>
    </row>
    <row r="512" customFormat="false" ht="15.75" hidden="false" customHeight="true" outlineLevel="0" collapsed="false">
      <c r="A512" s="276"/>
      <c r="B512" s="276"/>
      <c r="C512" s="377" t="s">
        <v>1618</v>
      </c>
      <c r="D512" s="338"/>
      <c r="E512" s="338"/>
      <c r="F512" s="339" t="str">
        <f aca="false">IFERROR(VLOOKUP(C512,TE!$H:$Y,2,FALSE()),"(Not on TE)")</f>
        <v>(Not on TE)</v>
      </c>
      <c r="G512" s="338"/>
      <c r="H512" s="338"/>
      <c r="I512" s="338"/>
      <c r="J512" s="338"/>
      <c r="K512" s="338"/>
      <c r="L512" s="338"/>
      <c r="M512" s="338"/>
      <c r="N512" s="338"/>
      <c r="O512" s="338"/>
      <c r="P512" s="338"/>
      <c r="Q512" s="338"/>
      <c r="R512" s="338"/>
      <c r="S512" s="338"/>
      <c r="T512" s="338"/>
      <c r="U512" s="340" t="str">
        <f aca="false">IFERROR(VLOOKUP(C512,TE!$H:$Y,9,FALSE()),"0")</f>
        <v>0</v>
      </c>
      <c r="V512" s="340"/>
      <c r="W512" s="341" t="n">
        <f aca="false">SUMIFS(TE!$O:$O,TE!$G:$G,$C$408,TE!$I:$I,C512,TE!$D:$D,$C$5)</f>
        <v>0</v>
      </c>
      <c r="X512" s="341"/>
      <c r="Y512" s="341" t="str">
        <f aca="false">IFERROR(VLOOKUP(C512,TE!$H:$Y,16,FALSE()),"0")</f>
        <v>0</v>
      </c>
      <c r="Z512" s="341"/>
      <c r="AA512" s="342" t="str">
        <f aca="false">IFERROR(VLOOKUP(C512,TE!$H:$Y,17,FALSE()),"0")</f>
        <v>0</v>
      </c>
      <c r="AB512" s="342"/>
      <c r="AC512" s="343" t="n">
        <f aca="false">IFERROR((W512*Y512*AA512),"")</f>
        <v>0</v>
      </c>
      <c r="AD512" s="343"/>
      <c r="AE512" s="343"/>
      <c r="AF512" s="276"/>
    </row>
    <row r="513" customFormat="false" ht="15.75" hidden="false" customHeight="true" outlineLevel="0" collapsed="false">
      <c r="A513" s="276"/>
      <c r="B513" s="276"/>
      <c r="C513" s="344" t="s">
        <v>1114</v>
      </c>
      <c r="D513" s="338"/>
      <c r="E513" s="338"/>
      <c r="F513" s="339" t="str">
        <f aca="false">IFERROR(VLOOKUP(C513,TE!$H:$Y,2,FALSE()),"(Not on TE)")</f>
        <v>(Not on TE)</v>
      </c>
      <c r="G513" s="338"/>
      <c r="H513" s="338"/>
      <c r="I513" s="338"/>
      <c r="J513" s="338"/>
      <c r="K513" s="338"/>
      <c r="L513" s="338"/>
      <c r="M513" s="338"/>
      <c r="N513" s="338"/>
      <c r="O513" s="338"/>
      <c r="P513" s="338"/>
      <c r="Q513" s="338"/>
      <c r="R513" s="338"/>
      <c r="S513" s="338"/>
      <c r="T513" s="338"/>
      <c r="U513" s="340" t="str">
        <f aca="false">IFERROR(VLOOKUP(C513,TE!$H:$Y,9,FALSE()),"0")</f>
        <v>0</v>
      </c>
      <c r="V513" s="340"/>
      <c r="W513" s="341" t="n">
        <f aca="false">SUMIFS(TE!$O:$O,TE!$G:$G,$C$408,TE!$I:$I,C513,TE!$D:$D,$C$5)</f>
        <v>0</v>
      </c>
      <c r="X513" s="341"/>
      <c r="Y513" s="341" t="str">
        <f aca="false">IFERROR(VLOOKUP(C513,TE!$H:$Y,16,FALSE()),"0")</f>
        <v>0</v>
      </c>
      <c r="Z513" s="341"/>
      <c r="AA513" s="342" t="str">
        <f aca="false">IFERROR(VLOOKUP(C513,TE!$H:$Y,17,FALSE()),"0")</f>
        <v>0</v>
      </c>
      <c r="AB513" s="342"/>
      <c r="AC513" s="343" t="n">
        <f aca="false">IFERROR((W513*Y513*AA513),"")</f>
        <v>0</v>
      </c>
      <c r="AD513" s="343"/>
      <c r="AE513" s="343"/>
      <c r="AF513" s="276"/>
    </row>
    <row r="514" customFormat="false" ht="15.75" hidden="false" customHeight="true" outlineLevel="0" collapsed="false">
      <c r="A514" s="276"/>
      <c r="B514" s="276"/>
      <c r="C514" s="344" t="s">
        <v>1619</v>
      </c>
      <c r="D514" s="338"/>
      <c r="E514" s="338"/>
      <c r="F514" s="339" t="str">
        <f aca="false">IFERROR(VLOOKUP(C514,TE!$H:$Y,2,FALSE()),"(Not on TE)")</f>
        <v>(Not on TE)</v>
      </c>
      <c r="G514" s="338"/>
      <c r="H514" s="338"/>
      <c r="I514" s="338"/>
      <c r="J514" s="338"/>
      <c r="K514" s="338"/>
      <c r="L514" s="338"/>
      <c r="M514" s="338"/>
      <c r="N514" s="338"/>
      <c r="O514" s="338"/>
      <c r="P514" s="338"/>
      <c r="Q514" s="338"/>
      <c r="R514" s="338"/>
      <c r="S514" s="338"/>
      <c r="T514" s="338"/>
      <c r="U514" s="340" t="str">
        <f aca="false">IFERROR(VLOOKUP(C514,TE!$H:$Y,9,FALSE()),"0")</f>
        <v>0</v>
      </c>
      <c r="V514" s="340"/>
      <c r="W514" s="341" t="n">
        <f aca="false">SUMIFS(TE!$O:$O,TE!$G:$G,$C$408,TE!$I:$I,C514,TE!$D:$D,$C$5)</f>
        <v>0</v>
      </c>
      <c r="X514" s="341"/>
      <c r="Y514" s="341" t="str">
        <f aca="false">IFERROR(VLOOKUP(C514,TE!$H:$Y,16,FALSE()),"0")</f>
        <v>0</v>
      </c>
      <c r="Z514" s="341"/>
      <c r="AA514" s="342" t="str">
        <f aca="false">IFERROR(VLOOKUP(C514,TE!$H:$Y,17,FALSE()),"0")</f>
        <v>0</v>
      </c>
      <c r="AB514" s="342"/>
      <c r="AC514" s="343" t="n">
        <f aca="false">IFERROR((W514*Y514*AA514),"")</f>
        <v>0</v>
      </c>
      <c r="AD514" s="343"/>
      <c r="AE514" s="343"/>
      <c r="AF514" s="276"/>
    </row>
    <row r="515" customFormat="false" ht="15.75" hidden="false" customHeight="true" outlineLevel="0" collapsed="false">
      <c r="A515" s="276"/>
      <c r="B515" s="276"/>
      <c r="C515" s="344" t="s">
        <v>1620</v>
      </c>
      <c r="D515" s="338"/>
      <c r="E515" s="338"/>
      <c r="F515" s="339" t="str">
        <f aca="false">IFERROR(VLOOKUP(C515,TE!$H:$Y,2,FALSE()),"(Not on TE)")</f>
        <v>(Not on TE)</v>
      </c>
      <c r="G515" s="338"/>
      <c r="H515" s="338"/>
      <c r="I515" s="338"/>
      <c r="J515" s="338"/>
      <c r="K515" s="338"/>
      <c r="L515" s="338"/>
      <c r="M515" s="338"/>
      <c r="N515" s="338"/>
      <c r="O515" s="338"/>
      <c r="P515" s="338"/>
      <c r="Q515" s="338"/>
      <c r="R515" s="338"/>
      <c r="S515" s="338"/>
      <c r="T515" s="338"/>
      <c r="U515" s="340" t="str">
        <f aca="false">IFERROR(VLOOKUP(C515,TE!$H:$Y,9,FALSE()),"0")</f>
        <v>0</v>
      </c>
      <c r="V515" s="340"/>
      <c r="W515" s="341" t="n">
        <f aca="false">SUMIFS(TE!$O:$O,TE!$G:$G,$C$408,TE!$I:$I,C515,TE!$D:$D,$C$5)</f>
        <v>0</v>
      </c>
      <c r="X515" s="341"/>
      <c r="Y515" s="341" t="str">
        <f aca="false">IFERROR(VLOOKUP(C515,TE!$H:$Y,16,FALSE()),"0")</f>
        <v>0</v>
      </c>
      <c r="Z515" s="341"/>
      <c r="AA515" s="342" t="str">
        <f aca="false">IFERROR(VLOOKUP(C515,TE!$H:$Y,17,FALSE()),"0")</f>
        <v>0</v>
      </c>
      <c r="AB515" s="342"/>
      <c r="AC515" s="343" t="n">
        <f aca="false">IFERROR((W515*Y515*AA515),"")</f>
        <v>0</v>
      </c>
      <c r="AD515" s="343"/>
      <c r="AE515" s="343"/>
      <c r="AF515" s="276"/>
    </row>
    <row r="516" customFormat="false" ht="15.75" hidden="false" customHeight="true" outlineLevel="0" collapsed="false">
      <c r="A516" s="276"/>
      <c r="B516" s="276"/>
      <c r="C516" s="344" t="s">
        <v>1621</v>
      </c>
      <c r="D516" s="338"/>
      <c r="E516" s="338"/>
      <c r="F516" s="339" t="str">
        <f aca="false">IFERROR(VLOOKUP(C516,TE!$H:$Y,2,FALSE()),"(Not on TE)")</f>
        <v>(Not on TE)</v>
      </c>
      <c r="G516" s="338"/>
      <c r="H516" s="338"/>
      <c r="I516" s="338"/>
      <c r="J516" s="338"/>
      <c r="K516" s="338"/>
      <c r="L516" s="338"/>
      <c r="M516" s="338"/>
      <c r="N516" s="338"/>
      <c r="O516" s="338"/>
      <c r="P516" s="338"/>
      <c r="Q516" s="338"/>
      <c r="R516" s="338"/>
      <c r="S516" s="338"/>
      <c r="T516" s="338"/>
      <c r="U516" s="340" t="str">
        <f aca="false">IFERROR(VLOOKUP(C516,TE!$H:$Y,9,FALSE()),"0")</f>
        <v>0</v>
      </c>
      <c r="V516" s="340"/>
      <c r="W516" s="341" t="n">
        <f aca="false">SUMIFS(TE!$O:$O,TE!$G:$G,$C$408,TE!$I:$I,C516,TE!$D:$D,$C$5)</f>
        <v>0</v>
      </c>
      <c r="X516" s="341"/>
      <c r="Y516" s="341" t="str">
        <f aca="false">IFERROR(VLOOKUP(C516,TE!$H:$Y,16,FALSE()),"0")</f>
        <v>0</v>
      </c>
      <c r="Z516" s="341"/>
      <c r="AA516" s="342" t="str">
        <f aca="false">IFERROR(VLOOKUP(C516,TE!$H:$Y,17,FALSE()),"0")</f>
        <v>0</v>
      </c>
      <c r="AB516" s="342"/>
      <c r="AC516" s="343" t="n">
        <f aca="false">IFERROR((W516*Y516*AA516),"")</f>
        <v>0</v>
      </c>
      <c r="AD516" s="343"/>
      <c r="AE516" s="343"/>
      <c r="AF516" s="276"/>
    </row>
    <row r="517" customFormat="false" ht="15.75" hidden="false" customHeight="true" outlineLevel="0" collapsed="false">
      <c r="A517" s="276"/>
      <c r="B517" s="276"/>
      <c r="C517" s="344" t="s">
        <v>1622</v>
      </c>
      <c r="D517" s="338"/>
      <c r="E517" s="338"/>
      <c r="F517" s="339" t="str">
        <f aca="false">IFERROR(VLOOKUP(C517,TE!$H:$Y,2,FALSE()),"(Not on TE)")</f>
        <v>(Not on TE)</v>
      </c>
      <c r="G517" s="338"/>
      <c r="H517" s="338"/>
      <c r="I517" s="338"/>
      <c r="J517" s="338"/>
      <c r="K517" s="338"/>
      <c r="L517" s="338"/>
      <c r="M517" s="338"/>
      <c r="N517" s="338"/>
      <c r="O517" s="338"/>
      <c r="P517" s="338"/>
      <c r="Q517" s="338"/>
      <c r="R517" s="338"/>
      <c r="S517" s="338"/>
      <c r="T517" s="338"/>
      <c r="U517" s="340" t="str">
        <f aca="false">IFERROR(VLOOKUP(C517,TE!$H:$Y,9,FALSE()),"0")</f>
        <v>0</v>
      </c>
      <c r="V517" s="340"/>
      <c r="W517" s="341" t="n">
        <f aca="false">SUMIFS(TE!$O:$O,TE!$G:$G,$C$408,TE!$I:$I,C517,TE!$D:$D,$C$5)</f>
        <v>0</v>
      </c>
      <c r="X517" s="341"/>
      <c r="Y517" s="341" t="str">
        <f aca="false">IFERROR(VLOOKUP(C517,TE!$H:$Y,16,FALSE()),"0")</f>
        <v>0</v>
      </c>
      <c r="Z517" s="341"/>
      <c r="AA517" s="342" t="str">
        <f aca="false">IFERROR(VLOOKUP(C517,TE!$H:$Y,17,FALSE()),"0")</f>
        <v>0</v>
      </c>
      <c r="AB517" s="342"/>
      <c r="AC517" s="343" t="n">
        <f aca="false">IFERROR((W517*Y517*AA517),"")</f>
        <v>0</v>
      </c>
      <c r="AD517" s="343"/>
      <c r="AE517" s="343"/>
      <c r="AF517" s="276"/>
    </row>
    <row r="518" customFormat="false" ht="15.75" hidden="false" customHeight="true" outlineLevel="0" collapsed="false">
      <c r="A518" s="276"/>
      <c r="B518" s="276"/>
      <c r="C518" s="344" t="s">
        <v>1193</v>
      </c>
      <c r="D518" s="338"/>
      <c r="E518" s="338"/>
      <c r="F518" s="339" t="str">
        <f aca="false">IFERROR(VLOOKUP(C518,TE!$H:$Y,2,FALSE()),"(Not on TE)")</f>
        <v>(Not on TE)</v>
      </c>
      <c r="G518" s="338"/>
      <c r="H518" s="338"/>
      <c r="I518" s="338"/>
      <c r="J518" s="338"/>
      <c r="K518" s="338"/>
      <c r="L518" s="338"/>
      <c r="M518" s="338"/>
      <c r="N518" s="338"/>
      <c r="O518" s="338"/>
      <c r="P518" s="338"/>
      <c r="Q518" s="338"/>
      <c r="R518" s="338"/>
      <c r="S518" s="338"/>
      <c r="T518" s="338"/>
      <c r="U518" s="340" t="str">
        <f aca="false">IFERROR(VLOOKUP(C518,TE!$H:$Y,9,FALSE()),"0")</f>
        <v>0</v>
      </c>
      <c r="V518" s="340"/>
      <c r="W518" s="341" t="n">
        <f aca="false">SUMIFS(TE!$O:$O,TE!$G:$G,$C$408,TE!$I:$I,C518,TE!$D:$D,$C$5)</f>
        <v>0</v>
      </c>
      <c r="X518" s="341"/>
      <c r="Y518" s="341" t="str">
        <f aca="false">IFERROR(VLOOKUP(C518,TE!$H:$Y,16,FALSE()),"0")</f>
        <v>0</v>
      </c>
      <c r="Z518" s="341"/>
      <c r="AA518" s="342" t="str">
        <f aca="false">IFERROR(VLOOKUP(C518,TE!$H:$Y,17,FALSE()),"0")</f>
        <v>0</v>
      </c>
      <c r="AB518" s="342"/>
      <c r="AC518" s="343" t="n">
        <f aca="false">IFERROR((W518*Y518*AA518),"")</f>
        <v>0</v>
      </c>
      <c r="AD518" s="343"/>
      <c r="AE518" s="343"/>
      <c r="AF518" s="276"/>
    </row>
    <row r="519" customFormat="false" ht="15.75" hidden="false" customHeight="true" outlineLevel="0" collapsed="false">
      <c r="A519" s="276"/>
      <c r="B519" s="276"/>
      <c r="C519" s="344" t="s">
        <v>1623</v>
      </c>
      <c r="D519" s="338"/>
      <c r="E519" s="338"/>
      <c r="F519" s="339" t="str">
        <f aca="false">IFERROR(VLOOKUP(C519,TE!$H:$Y,2,FALSE()),"(Not on TE)")</f>
        <v>(Not on TE)</v>
      </c>
      <c r="G519" s="338"/>
      <c r="H519" s="338"/>
      <c r="I519" s="338"/>
      <c r="J519" s="338"/>
      <c r="K519" s="338"/>
      <c r="L519" s="338"/>
      <c r="M519" s="338"/>
      <c r="N519" s="338"/>
      <c r="O519" s="338"/>
      <c r="P519" s="338"/>
      <c r="Q519" s="338"/>
      <c r="R519" s="338"/>
      <c r="S519" s="338"/>
      <c r="T519" s="338"/>
      <c r="U519" s="340" t="str">
        <f aca="false">IFERROR(VLOOKUP(C519,TE!$H:$Y,9,FALSE()),"0")</f>
        <v>0</v>
      </c>
      <c r="V519" s="340"/>
      <c r="W519" s="341" t="n">
        <f aca="false">SUMIFS(TE!$O:$O,TE!$G:$G,$C$408,TE!$I:$I,C519,TE!$D:$D,$C$5)</f>
        <v>0</v>
      </c>
      <c r="X519" s="341"/>
      <c r="Y519" s="341" t="str">
        <f aca="false">IFERROR(VLOOKUP(C519,TE!$H:$Y,16,FALSE()),"0")</f>
        <v>0</v>
      </c>
      <c r="Z519" s="341"/>
      <c r="AA519" s="342" t="str">
        <f aca="false">IFERROR(VLOOKUP(C519,TE!$H:$Y,17,FALSE()),"0")</f>
        <v>0</v>
      </c>
      <c r="AB519" s="342"/>
      <c r="AC519" s="343" t="n">
        <f aca="false">IFERROR((W519*Y519*AA519),"")</f>
        <v>0</v>
      </c>
      <c r="AD519" s="343"/>
      <c r="AE519" s="343"/>
      <c r="AF519" s="276"/>
    </row>
    <row r="520" customFormat="false" ht="15.75" hidden="false" customHeight="true" outlineLevel="0" collapsed="false">
      <c r="A520" s="276"/>
      <c r="B520" s="276"/>
      <c r="C520" s="344" t="s">
        <v>1624</v>
      </c>
      <c r="D520" s="338"/>
      <c r="E520" s="338"/>
      <c r="F520" s="339" t="str">
        <f aca="false">IFERROR(VLOOKUP(C520,TE!$H:$Y,2,FALSE()),"(Not on TE)")</f>
        <v>(Not on TE)</v>
      </c>
      <c r="G520" s="338"/>
      <c r="H520" s="338"/>
      <c r="I520" s="338"/>
      <c r="J520" s="338"/>
      <c r="K520" s="338"/>
      <c r="L520" s="338"/>
      <c r="M520" s="338"/>
      <c r="N520" s="338"/>
      <c r="O520" s="338"/>
      <c r="P520" s="338"/>
      <c r="Q520" s="338"/>
      <c r="R520" s="338"/>
      <c r="S520" s="338"/>
      <c r="T520" s="338"/>
      <c r="U520" s="340" t="str">
        <f aca="false">IFERROR(VLOOKUP(C520,TE!$H:$Y,9,FALSE()),"0")</f>
        <v>0</v>
      </c>
      <c r="V520" s="340"/>
      <c r="W520" s="341" t="n">
        <f aca="false">SUMIFS(TE!$O:$O,TE!$G:$G,$C$408,TE!$I:$I,C520,TE!$D:$D,$C$5)</f>
        <v>0</v>
      </c>
      <c r="X520" s="341"/>
      <c r="Y520" s="341" t="str">
        <f aca="false">IFERROR(VLOOKUP(C520,TE!$H:$Y,16,FALSE()),"0")</f>
        <v>0</v>
      </c>
      <c r="Z520" s="341"/>
      <c r="AA520" s="342" t="str">
        <f aca="false">IFERROR(VLOOKUP(C520,TE!$H:$Y,17,FALSE()),"0")</f>
        <v>0</v>
      </c>
      <c r="AB520" s="342"/>
      <c r="AC520" s="343" t="n">
        <f aca="false">IFERROR((W520*Y520*AA520),"")</f>
        <v>0</v>
      </c>
      <c r="AD520" s="343"/>
      <c r="AE520" s="343"/>
      <c r="AF520" s="276"/>
    </row>
    <row r="521" customFormat="false" ht="15.75" hidden="false" customHeight="true" outlineLevel="0" collapsed="false">
      <c r="A521" s="276"/>
      <c r="B521" s="276"/>
      <c r="C521" s="344" t="s">
        <v>1625</v>
      </c>
      <c r="D521" s="338"/>
      <c r="E521" s="338"/>
      <c r="F521" s="339" t="str">
        <f aca="false">IFERROR(VLOOKUP(C521,TE!$H:$Y,2,FALSE()),"(Not on TE)")</f>
        <v>(Not on TE)</v>
      </c>
      <c r="G521" s="338"/>
      <c r="H521" s="338"/>
      <c r="I521" s="338"/>
      <c r="J521" s="338"/>
      <c r="K521" s="338"/>
      <c r="L521" s="338"/>
      <c r="M521" s="338"/>
      <c r="N521" s="338"/>
      <c r="O521" s="338"/>
      <c r="P521" s="338"/>
      <c r="Q521" s="338"/>
      <c r="R521" s="338"/>
      <c r="S521" s="338"/>
      <c r="T521" s="338"/>
      <c r="U521" s="340" t="str">
        <f aca="false">IFERROR(VLOOKUP(C521,TE!$H:$Y,9,FALSE()),"0")</f>
        <v>0</v>
      </c>
      <c r="V521" s="340"/>
      <c r="W521" s="341" t="n">
        <f aca="false">SUMIFS(TE!$O:$O,TE!$G:$G,$C$408,TE!$I:$I,C521,TE!$D:$D,$C$5)</f>
        <v>0</v>
      </c>
      <c r="X521" s="341"/>
      <c r="Y521" s="341" t="str">
        <f aca="false">IFERROR(VLOOKUP(C521,TE!$H:$Y,16,FALSE()),"0")</f>
        <v>0</v>
      </c>
      <c r="Z521" s="341"/>
      <c r="AA521" s="342" t="str">
        <f aca="false">IFERROR(VLOOKUP(C521,TE!$H:$Y,17,FALSE()),"0")</f>
        <v>0</v>
      </c>
      <c r="AB521" s="342"/>
      <c r="AC521" s="343" t="n">
        <f aca="false">IFERROR((W521*Y521*AA521),"")</f>
        <v>0</v>
      </c>
      <c r="AD521" s="343"/>
      <c r="AE521" s="343"/>
      <c r="AF521" s="276"/>
    </row>
    <row r="522" customFormat="false" ht="15.75" hidden="false" customHeight="true" outlineLevel="0" collapsed="false">
      <c r="A522" s="276"/>
      <c r="B522" s="276"/>
      <c r="C522" s="344" t="s">
        <v>1309</v>
      </c>
      <c r="D522" s="338"/>
      <c r="E522" s="338"/>
      <c r="F522" s="339" t="str">
        <f aca="false">IFERROR(VLOOKUP(C522,TE!$H:$Y,2,FALSE()),"(Not on TE)")</f>
        <v>(Not on TE)</v>
      </c>
      <c r="G522" s="338"/>
      <c r="H522" s="338"/>
      <c r="I522" s="338"/>
      <c r="J522" s="338"/>
      <c r="K522" s="338"/>
      <c r="L522" s="338"/>
      <c r="M522" s="338"/>
      <c r="N522" s="338"/>
      <c r="O522" s="338"/>
      <c r="P522" s="338"/>
      <c r="Q522" s="338"/>
      <c r="R522" s="338"/>
      <c r="S522" s="338"/>
      <c r="T522" s="338"/>
      <c r="U522" s="340" t="str">
        <f aca="false">IFERROR(VLOOKUP(C522,TE!$H:$Y,9,FALSE()),"0")</f>
        <v>0</v>
      </c>
      <c r="V522" s="340"/>
      <c r="W522" s="341" t="n">
        <f aca="false">SUMIFS(TE!$O:$O,TE!$G:$G,$C$408,TE!$I:$I,C522,TE!$D:$D,$C$5)</f>
        <v>0</v>
      </c>
      <c r="X522" s="341"/>
      <c r="Y522" s="341" t="str">
        <f aca="false">IFERROR(VLOOKUP(C522,TE!$H:$Y,16,FALSE()),"0")</f>
        <v>0</v>
      </c>
      <c r="Z522" s="341"/>
      <c r="AA522" s="342" t="str">
        <f aca="false">IFERROR(VLOOKUP(C522,TE!$H:$Y,17,FALSE()),"0")</f>
        <v>0</v>
      </c>
      <c r="AB522" s="342"/>
      <c r="AC522" s="343" t="n">
        <f aca="false">IFERROR((W522*Y522*AA522),"")</f>
        <v>0</v>
      </c>
      <c r="AD522" s="343"/>
      <c r="AE522" s="343"/>
      <c r="AF522" s="276"/>
    </row>
    <row r="523" customFormat="false" ht="15.75" hidden="false" customHeight="true" outlineLevel="0" collapsed="false">
      <c r="A523" s="276"/>
      <c r="B523" s="276"/>
      <c r="C523" s="344" t="s">
        <v>1626</v>
      </c>
      <c r="D523" s="338"/>
      <c r="E523" s="338"/>
      <c r="F523" s="339" t="str">
        <f aca="false">IFERROR(VLOOKUP(C523,TE!$H:$Y,2,FALSE()),"(Not on TE)")</f>
        <v>(Not on TE)</v>
      </c>
      <c r="G523" s="338"/>
      <c r="H523" s="338"/>
      <c r="I523" s="338"/>
      <c r="J523" s="338"/>
      <c r="K523" s="338"/>
      <c r="L523" s="338"/>
      <c r="M523" s="338"/>
      <c r="N523" s="338"/>
      <c r="O523" s="338"/>
      <c r="P523" s="338"/>
      <c r="Q523" s="338"/>
      <c r="R523" s="338"/>
      <c r="S523" s="338"/>
      <c r="T523" s="338"/>
      <c r="U523" s="340" t="str">
        <f aca="false">IFERROR(VLOOKUP(C523,TE!$H:$Y,9,FALSE()),"0")</f>
        <v>0</v>
      </c>
      <c r="V523" s="340"/>
      <c r="W523" s="341" t="n">
        <f aca="false">SUMIFS(TE!$O:$O,TE!$G:$G,$C$408,TE!$I:$I,C523,TE!$D:$D,$C$5)</f>
        <v>0</v>
      </c>
      <c r="X523" s="341"/>
      <c r="Y523" s="341" t="str">
        <f aca="false">IFERROR(VLOOKUP(C523,TE!$H:$Y,16,FALSE()),"0")</f>
        <v>0</v>
      </c>
      <c r="Z523" s="341"/>
      <c r="AA523" s="342" t="str">
        <f aca="false">IFERROR(VLOOKUP(C523,TE!$H:$Y,17,FALSE()),"0")</f>
        <v>0</v>
      </c>
      <c r="AB523" s="342"/>
      <c r="AC523" s="343" t="n">
        <f aca="false">IFERROR((W523*Y523*AA523),"")</f>
        <v>0</v>
      </c>
      <c r="AD523" s="343"/>
      <c r="AE523" s="343"/>
      <c r="AF523" s="276"/>
    </row>
    <row r="524" customFormat="false" ht="15.75" hidden="false" customHeight="true" outlineLevel="0" collapsed="false">
      <c r="A524" s="276"/>
      <c r="B524" s="276"/>
      <c r="C524" s="344" t="s">
        <v>1627</v>
      </c>
      <c r="D524" s="338"/>
      <c r="E524" s="338"/>
      <c r="F524" s="339" t="str">
        <f aca="false">IFERROR(VLOOKUP(C524,TE!$H:$Y,2,FALSE()),"(Not on TE)")</f>
        <v>(Not on TE)</v>
      </c>
      <c r="G524" s="338"/>
      <c r="H524" s="338"/>
      <c r="I524" s="338"/>
      <c r="J524" s="338"/>
      <c r="K524" s="338"/>
      <c r="L524" s="338"/>
      <c r="M524" s="338"/>
      <c r="N524" s="338"/>
      <c r="O524" s="338"/>
      <c r="P524" s="338"/>
      <c r="Q524" s="338"/>
      <c r="R524" s="338"/>
      <c r="S524" s="338"/>
      <c r="T524" s="338"/>
      <c r="U524" s="340" t="str">
        <f aca="false">IFERROR(VLOOKUP(C524,TE!$H:$Y,9,FALSE()),"0")</f>
        <v>0</v>
      </c>
      <c r="V524" s="340"/>
      <c r="W524" s="341" t="n">
        <f aca="false">SUMIFS(TE!$O:$O,TE!$G:$G,$C$408,TE!$I:$I,C524,TE!$D:$D,$C$5)</f>
        <v>0</v>
      </c>
      <c r="X524" s="341"/>
      <c r="Y524" s="341" t="str">
        <f aca="false">IFERROR(VLOOKUP(C524,TE!$H:$Y,16,FALSE()),"0")</f>
        <v>0</v>
      </c>
      <c r="Z524" s="341"/>
      <c r="AA524" s="342" t="str">
        <f aca="false">IFERROR(VLOOKUP(C524,TE!$H:$Y,17,FALSE()),"0")</f>
        <v>0</v>
      </c>
      <c r="AB524" s="342"/>
      <c r="AC524" s="343" t="n">
        <f aca="false">IFERROR((W524*Y524*AA524),"")</f>
        <v>0</v>
      </c>
      <c r="AD524" s="343"/>
      <c r="AE524" s="343"/>
      <c r="AF524" s="276"/>
    </row>
    <row r="525" customFormat="false" ht="15.75" hidden="false" customHeight="true" outlineLevel="0" collapsed="false">
      <c r="A525" s="276"/>
      <c r="B525" s="276"/>
      <c r="C525" s="345" t="s">
        <v>1628</v>
      </c>
      <c r="D525" s="346"/>
      <c r="E525" s="346"/>
      <c r="F525" s="339" t="str">
        <f aca="false">IFERROR(VLOOKUP(C525,TE!$H:$Y,2,FALSE()),"(Not on TE)")</f>
        <v>(Not on TE)</v>
      </c>
      <c r="G525" s="347"/>
      <c r="H525" s="347"/>
      <c r="I525" s="347"/>
      <c r="J525" s="347"/>
      <c r="K525" s="347"/>
      <c r="L525" s="347"/>
      <c r="M525" s="347"/>
      <c r="N525" s="347"/>
      <c r="O525" s="347"/>
      <c r="P525" s="347"/>
      <c r="Q525" s="347"/>
      <c r="R525" s="347"/>
      <c r="S525" s="347"/>
      <c r="T525" s="347"/>
      <c r="U525" s="340" t="str">
        <f aca="false">IFERROR(VLOOKUP(C525,TE!$H:$Y,9,FALSE()),"0")</f>
        <v>0</v>
      </c>
      <c r="V525" s="340"/>
      <c r="W525" s="341" t="n">
        <f aca="false">SUMIFS(TE!$O:$O,TE!$G:$G,$C$408,TE!$I:$I,C525,TE!$D:$D,$C$5)</f>
        <v>0</v>
      </c>
      <c r="X525" s="341"/>
      <c r="Y525" s="341" t="str">
        <f aca="false">IFERROR(VLOOKUP(C525,TE!$H:$Y,16,FALSE()),"0")</f>
        <v>0</v>
      </c>
      <c r="Z525" s="341"/>
      <c r="AA525" s="342" t="str">
        <f aca="false">IFERROR(VLOOKUP(C525,TE!$H:$Y,17,FALSE()),"0")</f>
        <v>0</v>
      </c>
      <c r="AB525" s="342"/>
      <c r="AC525" s="343" t="n">
        <f aca="false">IFERROR((W525*Y525*AA525),"")</f>
        <v>0</v>
      </c>
      <c r="AD525" s="343"/>
      <c r="AE525" s="343"/>
      <c r="AF525" s="276"/>
    </row>
    <row r="526" customFormat="false" ht="15.75" hidden="false" customHeight="true" outlineLevel="0" collapsed="false">
      <c r="A526" s="276"/>
      <c r="B526" s="276"/>
      <c r="C526" s="345" t="s">
        <v>1291</v>
      </c>
      <c r="D526" s="346"/>
      <c r="E526" s="346"/>
      <c r="F526" s="339" t="str">
        <f aca="false">IFERROR(VLOOKUP(C526,TE!$H:$Y,2,FALSE()),"(Not on TE)")</f>
        <v>(Not on TE)</v>
      </c>
      <c r="G526" s="347"/>
      <c r="H526" s="347"/>
      <c r="I526" s="347"/>
      <c r="J526" s="347"/>
      <c r="K526" s="347"/>
      <c r="L526" s="347"/>
      <c r="M526" s="347"/>
      <c r="N526" s="347"/>
      <c r="O526" s="347"/>
      <c r="P526" s="347"/>
      <c r="Q526" s="347"/>
      <c r="R526" s="347"/>
      <c r="S526" s="347"/>
      <c r="T526" s="347"/>
      <c r="U526" s="340" t="str">
        <f aca="false">IFERROR(VLOOKUP(C526,TE!$H:$Y,9,FALSE()),"0")</f>
        <v>0</v>
      </c>
      <c r="V526" s="340"/>
      <c r="W526" s="341" t="n">
        <f aca="false">SUMIFS(TE!$O:$O,TE!$G:$G,$C$408,TE!$I:$I,C526,TE!$D:$D,$C$5)</f>
        <v>0</v>
      </c>
      <c r="X526" s="341"/>
      <c r="Y526" s="341" t="str">
        <f aca="false">IFERROR(VLOOKUP(C526,TE!$H:$Y,16,FALSE()),"0")</f>
        <v>0</v>
      </c>
      <c r="Z526" s="341"/>
      <c r="AA526" s="342" t="str">
        <f aca="false">IFERROR(VLOOKUP(C526,TE!$H:$Y,17,FALSE()),"0")</f>
        <v>0</v>
      </c>
      <c r="AB526" s="342"/>
      <c r="AC526" s="343" t="n">
        <f aca="false">IFERROR((W526*Y526*AA526),"")</f>
        <v>0</v>
      </c>
      <c r="AD526" s="343"/>
      <c r="AE526" s="343"/>
      <c r="AF526" s="276"/>
    </row>
    <row r="527" customFormat="false" ht="15.75" hidden="false" customHeight="true" outlineLevel="0" collapsed="false">
      <c r="A527" s="276"/>
      <c r="B527" s="276"/>
      <c r="C527" s="345" t="s">
        <v>1418</v>
      </c>
      <c r="D527" s="346"/>
      <c r="E527" s="346"/>
      <c r="F527" s="339" t="str">
        <f aca="false">IFERROR(VLOOKUP(C527,TE!$H:$Y,2,FALSE()),"(Not on TE)")</f>
        <v>(Not on TE)</v>
      </c>
      <c r="G527" s="347"/>
      <c r="H527" s="347"/>
      <c r="I527" s="347"/>
      <c r="J527" s="347"/>
      <c r="K527" s="347"/>
      <c r="L527" s="347"/>
      <c r="M527" s="347"/>
      <c r="N527" s="347"/>
      <c r="O527" s="347"/>
      <c r="P527" s="347"/>
      <c r="Q527" s="347"/>
      <c r="R527" s="347"/>
      <c r="S527" s="347"/>
      <c r="T527" s="347"/>
      <c r="U527" s="340" t="str">
        <f aca="false">IFERROR(VLOOKUP(C527,TE!$H:$Y,9,FALSE()),"0")</f>
        <v>0</v>
      </c>
      <c r="V527" s="340"/>
      <c r="W527" s="341" t="n">
        <f aca="false">SUMIFS(TE!$O:$O,TE!$G:$G,$C$408,TE!$I:$I,C527,TE!$D:$D,$C$5)</f>
        <v>0</v>
      </c>
      <c r="X527" s="341"/>
      <c r="Y527" s="341" t="str">
        <f aca="false">IFERROR(VLOOKUP(C527,TE!$H:$Y,16,FALSE()),"0")</f>
        <v>0</v>
      </c>
      <c r="Z527" s="341"/>
      <c r="AA527" s="342" t="str">
        <f aca="false">IFERROR(VLOOKUP(C527,TE!$H:$Y,17,FALSE()),"0")</f>
        <v>0</v>
      </c>
      <c r="AB527" s="342"/>
      <c r="AC527" s="343" t="n">
        <f aca="false">IFERROR((W527*Y527*AA527),"")</f>
        <v>0</v>
      </c>
      <c r="AD527" s="343"/>
      <c r="AE527" s="343"/>
      <c r="AF527" s="276"/>
    </row>
    <row r="528" customFormat="false" ht="15.75" hidden="false" customHeight="true" outlineLevel="0" collapsed="false">
      <c r="A528" s="276"/>
      <c r="B528" s="276"/>
      <c r="C528" s="345" t="s">
        <v>1195</v>
      </c>
      <c r="D528" s="346"/>
      <c r="E528" s="346"/>
      <c r="F528" s="339" t="str">
        <f aca="false">IFERROR(VLOOKUP(C528,TE!$H:$Y,2,FALSE()),"(Not on TE)")</f>
        <v>(Not on TE)</v>
      </c>
      <c r="G528" s="347"/>
      <c r="H528" s="347"/>
      <c r="I528" s="347"/>
      <c r="J528" s="347"/>
      <c r="K528" s="347"/>
      <c r="L528" s="347"/>
      <c r="M528" s="347"/>
      <c r="N528" s="347"/>
      <c r="O528" s="347"/>
      <c r="P528" s="347"/>
      <c r="Q528" s="347"/>
      <c r="R528" s="347"/>
      <c r="S528" s="347"/>
      <c r="T528" s="347"/>
      <c r="U528" s="340" t="str">
        <f aca="false">IFERROR(VLOOKUP(C528,TE!$H:$Y,9,FALSE()),"0")</f>
        <v>0</v>
      </c>
      <c r="V528" s="340"/>
      <c r="W528" s="341" t="n">
        <f aca="false">SUMIFS(TE!$O:$O,TE!$G:$G,$C$408,TE!$I:$I,C528,TE!$D:$D,$C$5)</f>
        <v>0</v>
      </c>
      <c r="X528" s="341"/>
      <c r="Y528" s="341" t="str">
        <f aca="false">IFERROR(VLOOKUP(C528,TE!$H:$Y,16,FALSE()),"0")</f>
        <v>0</v>
      </c>
      <c r="Z528" s="341"/>
      <c r="AA528" s="342" t="str">
        <f aca="false">IFERROR(VLOOKUP(C528,TE!$H:$Y,17,FALSE()),"0")</f>
        <v>0</v>
      </c>
      <c r="AB528" s="342"/>
      <c r="AC528" s="343" t="n">
        <f aca="false">IFERROR((W528*Y528*AA528),"")</f>
        <v>0</v>
      </c>
      <c r="AD528" s="343"/>
      <c r="AE528" s="343"/>
      <c r="AF528" s="276"/>
    </row>
    <row r="529" customFormat="false" ht="15.75" hidden="false" customHeight="true" outlineLevel="0" collapsed="false">
      <c r="A529" s="276"/>
      <c r="B529" s="276"/>
      <c r="C529" s="345" t="s">
        <v>1629</v>
      </c>
      <c r="D529" s="346"/>
      <c r="E529" s="346"/>
      <c r="F529" s="339" t="str">
        <f aca="false">IFERROR(VLOOKUP(C529,TE!$H:$Y,2,FALSE()),"(Not on TE)")</f>
        <v>(Not on TE)</v>
      </c>
      <c r="G529" s="347"/>
      <c r="H529" s="347"/>
      <c r="I529" s="347"/>
      <c r="J529" s="347"/>
      <c r="K529" s="347"/>
      <c r="L529" s="347"/>
      <c r="M529" s="347"/>
      <c r="N529" s="347"/>
      <c r="O529" s="347"/>
      <c r="P529" s="347"/>
      <c r="Q529" s="347"/>
      <c r="R529" s="347"/>
      <c r="S529" s="347"/>
      <c r="T529" s="347"/>
      <c r="U529" s="340" t="str">
        <f aca="false">IFERROR(VLOOKUP(C529,TE!$H:$Y,9,FALSE()),"0")</f>
        <v>0</v>
      </c>
      <c r="V529" s="340"/>
      <c r="W529" s="341" t="n">
        <f aca="false">SUMIFS(TE!$O:$O,TE!$G:$G,$C$408,TE!$I:$I,C529,TE!$D:$D,$C$5)</f>
        <v>0</v>
      </c>
      <c r="X529" s="341"/>
      <c r="Y529" s="341" t="str">
        <f aca="false">IFERROR(VLOOKUP(C529,TE!$H:$Y,16,FALSE()),"0")</f>
        <v>0</v>
      </c>
      <c r="Z529" s="341"/>
      <c r="AA529" s="342" t="str">
        <f aca="false">IFERROR(VLOOKUP(C529,TE!$H:$Y,17,FALSE()),"0")</f>
        <v>0</v>
      </c>
      <c r="AB529" s="342"/>
      <c r="AC529" s="343" t="n">
        <f aca="false">IFERROR((W529*Y529*AA529),"")</f>
        <v>0</v>
      </c>
      <c r="AD529" s="343"/>
      <c r="AE529" s="343"/>
      <c r="AF529" s="276"/>
    </row>
    <row r="530" customFormat="false" ht="15.75" hidden="false" customHeight="true" outlineLevel="0" collapsed="false">
      <c r="A530" s="276"/>
      <c r="B530" s="276"/>
      <c r="C530" s="345" t="s">
        <v>1630</v>
      </c>
      <c r="D530" s="346"/>
      <c r="E530" s="346"/>
      <c r="F530" s="339" t="str">
        <f aca="false">IFERROR(VLOOKUP(C530,TE!$H:$Y,2,FALSE()),"(Not on TE)")</f>
        <v>(Not on TE)</v>
      </c>
      <c r="G530" s="347"/>
      <c r="H530" s="347"/>
      <c r="I530" s="347"/>
      <c r="J530" s="347"/>
      <c r="K530" s="347"/>
      <c r="L530" s="347"/>
      <c r="M530" s="347"/>
      <c r="N530" s="347"/>
      <c r="O530" s="347"/>
      <c r="P530" s="347"/>
      <c r="Q530" s="347"/>
      <c r="R530" s="347"/>
      <c r="S530" s="347"/>
      <c r="T530" s="347"/>
      <c r="U530" s="340" t="str">
        <f aca="false">IFERROR(VLOOKUP(C530,TE!$H:$Y,9,FALSE()),"0")</f>
        <v>0</v>
      </c>
      <c r="V530" s="340"/>
      <c r="W530" s="341" t="n">
        <f aca="false">SUMIFS(TE!$O:$O,TE!$G:$G,$C$408,TE!$I:$I,C530,TE!$D:$D,$C$5)</f>
        <v>0</v>
      </c>
      <c r="X530" s="341"/>
      <c r="Y530" s="341" t="str">
        <f aca="false">IFERROR(VLOOKUP(C530,TE!$H:$Y,16,FALSE()),"0")</f>
        <v>0</v>
      </c>
      <c r="Z530" s="341"/>
      <c r="AA530" s="342" t="str">
        <f aca="false">IFERROR(VLOOKUP(C530,TE!$H:$Y,17,FALSE()),"0")</f>
        <v>0</v>
      </c>
      <c r="AB530" s="342"/>
      <c r="AC530" s="343" t="n">
        <f aca="false">IFERROR((W530*Y530*AA530),"")</f>
        <v>0</v>
      </c>
      <c r="AD530" s="343"/>
      <c r="AE530" s="343"/>
      <c r="AF530" s="276"/>
    </row>
    <row r="531" customFormat="false" ht="15.75" hidden="false" customHeight="true" outlineLevel="0" collapsed="false">
      <c r="A531" s="276"/>
      <c r="B531" s="276"/>
      <c r="C531" s="345" t="s">
        <v>1403</v>
      </c>
      <c r="D531" s="346"/>
      <c r="E531" s="346"/>
      <c r="F531" s="339" t="str">
        <f aca="false">IFERROR(VLOOKUP(C531,TE!$H:$Y,2,FALSE()),"(Not on TE)")</f>
        <v>(Not on TE)</v>
      </c>
      <c r="G531" s="347"/>
      <c r="H531" s="347"/>
      <c r="I531" s="347"/>
      <c r="J531" s="347"/>
      <c r="K531" s="347"/>
      <c r="L531" s="347"/>
      <c r="M531" s="347"/>
      <c r="N531" s="347"/>
      <c r="O531" s="347"/>
      <c r="P531" s="347"/>
      <c r="Q531" s="347"/>
      <c r="R531" s="347"/>
      <c r="S531" s="347"/>
      <c r="T531" s="347"/>
      <c r="U531" s="340" t="str">
        <f aca="false">IFERROR(VLOOKUP(C531,TE!$H:$Y,9,FALSE()),"0")</f>
        <v>0</v>
      </c>
      <c r="V531" s="340"/>
      <c r="W531" s="341" t="n">
        <f aca="false">SUMIFS(TE!$O:$O,TE!$G:$G,$C$408,TE!$I:$I,C531,TE!$D:$D,$C$5)</f>
        <v>0</v>
      </c>
      <c r="X531" s="341"/>
      <c r="Y531" s="341" t="str">
        <f aca="false">IFERROR(VLOOKUP(C531,TE!$H:$Y,16,FALSE()),"0")</f>
        <v>0</v>
      </c>
      <c r="Z531" s="341"/>
      <c r="AA531" s="342" t="str">
        <f aca="false">IFERROR(VLOOKUP(C531,TE!$H:$Y,17,FALSE()),"0")</f>
        <v>0</v>
      </c>
      <c r="AB531" s="342"/>
      <c r="AC531" s="343" t="n">
        <f aca="false">IFERROR((W531*Y531*AA531),"")</f>
        <v>0</v>
      </c>
      <c r="AD531" s="343"/>
      <c r="AE531" s="343"/>
      <c r="AF531" s="276"/>
    </row>
    <row r="532" customFormat="false" ht="15.75" hidden="false" customHeight="true" outlineLevel="0" collapsed="false">
      <c r="A532" s="276"/>
      <c r="B532" s="276"/>
      <c r="C532" s="344" t="s">
        <v>1487</v>
      </c>
      <c r="D532" s="346"/>
      <c r="E532" s="346"/>
      <c r="F532" s="339" t="str">
        <f aca="false">IFERROR(VLOOKUP(C532,TE!$H:$Y,2,FALSE()),"(Not on TE)")</f>
        <v>(Not on TE)</v>
      </c>
      <c r="G532" s="347"/>
      <c r="H532" s="347"/>
      <c r="I532" s="347"/>
      <c r="J532" s="347"/>
      <c r="K532" s="347"/>
      <c r="L532" s="347"/>
      <c r="M532" s="347"/>
      <c r="N532" s="347"/>
      <c r="O532" s="347"/>
      <c r="P532" s="347"/>
      <c r="Q532" s="347"/>
      <c r="R532" s="347"/>
      <c r="S532" s="347"/>
      <c r="T532" s="347"/>
      <c r="U532" s="340" t="str">
        <f aca="false">IFERROR(VLOOKUP(C532,TE!$H:$Y,9,FALSE()),"0")</f>
        <v>0</v>
      </c>
      <c r="V532" s="340"/>
      <c r="W532" s="341" t="n">
        <f aca="false">SUMIFS(TE!$O:$O,TE!$G:$G,$C$408,TE!$I:$I,C532,TE!$D:$D,$C$5)</f>
        <v>0</v>
      </c>
      <c r="X532" s="341"/>
      <c r="Y532" s="341" t="str">
        <f aca="false">IFERROR(VLOOKUP(C532,TE!$H:$Y,16,FALSE()),"0")</f>
        <v>0</v>
      </c>
      <c r="Z532" s="341"/>
      <c r="AA532" s="342" t="str">
        <f aca="false">IFERROR(VLOOKUP(C532,TE!$H:$Y,17,FALSE()),"0")</f>
        <v>0</v>
      </c>
      <c r="AB532" s="342"/>
      <c r="AC532" s="343" t="n">
        <f aca="false">IFERROR((W532*Y532*AA532),"")</f>
        <v>0</v>
      </c>
      <c r="AD532" s="343"/>
      <c r="AE532" s="343"/>
      <c r="AF532" s="276"/>
    </row>
    <row r="533" customFormat="false" ht="15.75" hidden="false" customHeight="true" outlineLevel="0" collapsed="false">
      <c r="A533" s="276"/>
      <c r="B533" s="276"/>
      <c r="C533" s="344" t="s">
        <v>1631</v>
      </c>
      <c r="D533" s="346"/>
      <c r="E533" s="346"/>
      <c r="F533" s="339" t="str">
        <f aca="false">IFERROR(VLOOKUP(C533,TE!$H:$Y,2,FALSE()),"(Not on TE)")</f>
        <v>(Not on TE)</v>
      </c>
      <c r="G533" s="347"/>
      <c r="H533" s="347"/>
      <c r="I533" s="347"/>
      <c r="J533" s="347"/>
      <c r="K533" s="347"/>
      <c r="L533" s="347"/>
      <c r="M533" s="347"/>
      <c r="N533" s="347"/>
      <c r="O533" s="347"/>
      <c r="P533" s="347"/>
      <c r="Q533" s="347"/>
      <c r="R533" s="347"/>
      <c r="S533" s="347"/>
      <c r="T533" s="347"/>
      <c r="U533" s="340" t="str">
        <f aca="false">IFERROR(VLOOKUP(C533,TE!$H:$Y,9,FALSE()),"0")</f>
        <v>0</v>
      </c>
      <c r="V533" s="340"/>
      <c r="W533" s="341" t="n">
        <f aca="false">SUMIFS(TE!$O:$O,TE!$G:$G,$C$408,TE!$I:$I,C533,TE!$D:$D,$C$5)</f>
        <v>0</v>
      </c>
      <c r="X533" s="341"/>
      <c r="Y533" s="341" t="str">
        <f aca="false">IFERROR(VLOOKUP(C533,TE!$H:$Y,16,FALSE()),"0")</f>
        <v>0</v>
      </c>
      <c r="Z533" s="341"/>
      <c r="AA533" s="342" t="str">
        <f aca="false">IFERROR(VLOOKUP(C533,TE!$H:$Y,17,FALSE()),"0")</f>
        <v>0</v>
      </c>
      <c r="AB533" s="342"/>
      <c r="AC533" s="343" t="n">
        <f aca="false">IFERROR((W533*Y533*AA533),"")</f>
        <v>0</v>
      </c>
      <c r="AD533" s="343"/>
      <c r="AE533" s="343"/>
      <c r="AF533" s="276"/>
    </row>
    <row r="534" customFormat="false" ht="15.75" hidden="false" customHeight="true" outlineLevel="0" collapsed="false">
      <c r="A534" s="276"/>
      <c r="B534" s="276"/>
      <c r="C534" s="345" t="s">
        <v>1632</v>
      </c>
      <c r="D534" s="346"/>
      <c r="E534" s="346"/>
      <c r="F534" s="339" t="str">
        <f aca="false">IFERROR(VLOOKUP(C534,TE!$H:$Y,2,FALSE()),"(Not on TE)")</f>
        <v>(Not on TE)</v>
      </c>
      <c r="G534" s="347"/>
      <c r="H534" s="347"/>
      <c r="I534" s="347"/>
      <c r="J534" s="347"/>
      <c r="K534" s="347"/>
      <c r="L534" s="347"/>
      <c r="M534" s="347"/>
      <c r="N534" s="347"/>
      <c r="O534" s="347"/>
      <c r="P534" s="347"/>
      <c r="Q534" s="347"/>
      <c r="R534" s="347"/>
      <c r="S534" s="347"/>
      <c r="T534" s="347"/>
      <c r="U534" s="340" t="str">
        <f aca="false">IFERROR(VLOOKUP(C534,TE!$H:$Y,9,FALSE()),"0")</f>
        <v>0</v>
      </c>
      <c r="V534" s="340"/>
      <c r="W534" s="341" t="n">
        <f aca="false">SUMIFS(TE!$O:$O,TE!$G:$G,$C$408,TE!$I:$I,C534,TE!$D:$D,$C$5)</f>
        <v>0</v>
      </c>
      <c r="X534" s="341"/>
      <c r="Y534" s="341" t="str">
        <f aca="false">IFERROR(VLOOKUP(C534,TE!$H:$Y,16,FALSE()),"0")</f>
        <v>0</v>
      </c>
      <c r="Z534" s="341"/>
      <c r="AA534" s="342" t="str">
        <f aca="false">IFERROR(VLOOKUP(C534,TE!$H:$Y,17,FALSE()),"0")</f>
        <v>0</v>
      </c>
      <c r="AB534" s="342"/>
      <c r="AC534" s="343" t="n">
        <f aca="false">IFERROR((W534*Y534*AA534),"")</f>
        <v>0</v>
      </c>
      <c r="AD534" s="343"/>
      <c r="AE534" s="343"/>
      <c r="AF534" s="276"/>
    </row>
    <row r="535" customFormat="false" ht="15.75" hidden="false" customHeight="true" outlineLevel="0" collapsed="false">
      <c r="A535" s="276"/>
      <c r="B535" s="276"/>
      <c r="C535" s="345" t="s">
        <v>1633</v>
      </c>
      <c r="D535" s="346"/>
      <c r="E535" s="346"/>
      <c r="F535" s="339" t="str">
        <f aca="false">IFERROR(VLOOKUP(C535,TE!$H:$Y,2,FALSE()),"(Not on TE)")</f>
        <v>(Not on TE)</v>
      </c>
      <c r="G535" s="347"/>
      <c r="H535" s="347"/>
      <c r="I535" s="347"/>
      <c r="J535" s="347"/>
      <c r="K535" s="347"/>
      <c r="L535" s="347"/>
      <c r="M535" s="347"/>
      <c r="N535" s="347"/>
      <c r="O535" s="347"/>
      <c r="P535" s="347"/>
      <c r="Q535" s="347"/>
      <c r="R535" s="347"/>
      <c r="S535" s="347"/>
      <c r="T535" s="347"/>
      <c r="U535" s="340" t="str">
        <f aca="false">IFERROR(VLOOKUP(C535,TE!$H:$Y,9,FALSE()),"0")</f>
        <v>0</v>
      </c>
      <c r="V535" s="340"/>
      <c r="W535" s="341" t="n">
        <f aca="false">SUMIFS(TE!$O:$O,TE!$G:$G,$C$408,TE!$I:$I,C535,TE!$D:$D,$C$5)</f>
        <v>0</v>
      </c>
      <c r="X535" s="341"/>
      <c r="Y535" s="341" t="str">
        <f aca="false">IFERROR(VLOOKUP(C535,TE!$H:$Y,16,FALSE()),"0")</f>
        <v>0</v>
      </c>
      <c r="Z535" s="341"/>
      <c r="AA535" s="342" t="str">
        <f aca="false">IFERROR(VLOOKUP(C535,TE!$H:$Y,17,FALSE()),"0")</f>
        <v>0</v>
      </c>
      <c r="AB535" s="342"/>
      <c r="AC535" s="343" t="n">
        <f aca="false">IFERROR((W535*Y535*AA535),"")</f>
        <v>0</v>
      </c>
      <c r="AD535" s="343"/>
      <c r="AE535" s="343"/>
      <c r="AF535" s="276"/>
    </row>
    <row r="536" customFormat="false" ht="15.75" hidden="false" customHeight="true" outlineLevel="0" collapsed="false">
      <c r="A536" s="276"/>
      <c r="B536" s="276"/>
      <c r="C536" s="345" t="s">
        <v>1634</v>
      </c>
      <c r="D536" s="346"/>
      <c r="E536" s="346"/>
      <c r="F536" s="339" t="str">
        <f aca="false">IFERROR(VLOOKUP(C536,TE!$H:$Y,2,FALSE()),"(Not on TE)")</f>
        <v>(Not on TE)</v>
      </c>
      <c r="G536" s="347"/>
      <c r="H536" s="347"/>
      <c r="I536" s="347"/>
      <c r="J536" s="347"/>
      <c r="K536" s="347"/>
      <c r="L536" s="347"/>
      <c r="M536" s="347"/>
      <c r="N536" s="347"/>
      <c r="O536" s="347"/>
      <c r="P536" s="347"/>
      <c r="Q536" s="347"/>
      <c r="R536" s="347"/>
      <c r="S536" s="347"/>
      <c r="T536" s="347"/>
      <c r="U536" s="340" t="str">
        <f aca="false">IFERROR(VLOOKUP(C536,TE!$H:$Y,9,FALSE()),"0")</f>
        <v>0</v>
      </c>
      <c r="V536" s="340"/>
      <c r="W536" s="341" t="n">
        <f aca="false">SUMIFS(TE!$O:$O,TE!$G:$G,$C$408,TE!$I:$I,C536,TE!$D:$D,$C$5)</f>
        <v>0</v>
      </c>
      <c r="X536" s="341"/>
      <c r="Y536" s="341" t="str">
        <f aca="false">IFERROR(VLOOKUP(C536,TE!$H:$Y,16,FALSE()),"0")</f>
        <v>0</v>
      </c>
      <c r="Z536" s="341"/>
      <c r="AA536" s="342" t="str">
        <f aca="false">IFERROR(VLOOKUP(C536,TE!$H:$Y,17,FALSE()),"0")</f>
        <v>0</v>
      </c>
      <c r="AB536" s="342"/>
      <c r="AC536" s="343" t="n">
        <f aca="false">IFERROR((W536*Y536*AA536),"")</f>
        <v>0</v>
      </c>
      <c r="AD536" s="343"/>
      <c r="AE536" s="343"/>
      <c r="AF536" s="276"/>
    </row>
    <row r="537" customFormat="false" ht="15.75" hidden="false" customHeight="true" outlineLevel="0" collapsed="false">
      <c r="A537" s="276"/>
      <c r="B537" s="276"/>
      <c r="C537" s="345" t="s">
        <v>1635</v>
      </c>
      <c r="D537" s="346"/>
      <c r="E537" s="346"/>
      <c r="F537" s="339" t="str">
        <f aca="false">IFERROR(VLOOKUP(C537,TE!$H:$Y,2,FALSE()),"(Not on TE)")</f>
        <v>(Not on TE)</v>
      </c>
      <c r="G537" s="347"/>
      <c r="H537" s="347"/>
      <c r="I537" s="347"/>
      <c r="J537" s="347"/>
      <c r="K537" s="347"/>
      <c r="L537" s="347"/>
      <c r="M537" s="347"/>
      <c r="N537" s="347"/>
      <c r="O537" s="347"/>
      <c r="P537" s="347"/>
      <c r="Q537" s="347"/>
      <c r="R537" s="347"/>
      <c r="S537" s="347"/>
      <c r="T537" s="347"/>
      <c r="U537" s="340" t="str">
        <f aca="false">IFERROR(VLOOKUP(C537,TE!$H:$Y,9,FALSE()),"0")</f>
        <v>0</v>
      </c>
      <c r="V537" s="340"/>
      <c r="W537" s="341" t="n">
        <f aca="false">SUMIFS(TE!$O:$O,TE!$G:$G,$C$408,TE!$I:$I,C537,TE!$D:$D,$C$5)</f>
        <v>0</v>
      </c>
      <c r="X537" s="341"/>
      <c r="Y537" s="341" t="str">
        <f aca="false">IFERROR(VLOOKUP(C537,TE!$H:$Y,16,FALSE()),"0")</f>
        <v>0</v>
      </c>
      <c r="Z537" s="341"/>
      <c r="AA537" s="342" t="str">
        <f aca="false">IFERROR(VLOOKUP(C537,TE!$H:$Y,17,FALSE()),"0")</f>
        <v>0</v>
      </c>
      <c r="AB537" s="342"/>
      <c r="AC537" s="343" t="n">
        <f aca="false">IFERROR((W537*Y537*AA537),"")</f>
        <v>0</v>
      </c>
      <c r="AD537" s="343"/>
      <c r="AE537" s="343"/>
      <c r="AF537" s="276"/>
    </row>
    <row r="538" customFormat="false" ht="15.75" hidden="false" customHeight="true" outlineLevel="0" collapsed="false">
      <c r="A538" s="276"/>
      <c r="B538" s="276"/>
      <c r="C538" s="345" t="s">
        <v>1636</v>
      </c>
      <c r="D538" s="346"/>
      <c r="E538" s="346"/>
      <c r="F538" s="339" t="str">
        <f aca="false">IFERROR(VLOOKUP(C538,TE!$H:$Y,2,FALSE()),"(Not on TE)")</f>
        <v>(Not on TE)</v>
      </c>
      <c r="G538" s="347"/>
      <c r="H538" s="347"/>
      <c r="I538" s="347"/>
      <c r="J538" s="347"/>
      <c r="K538" s="347"/>
      <c r="L538" s="347"/>
      <c r="M538" s="347"/>
      <c r="N538" s="347"/>
      <c r="O538" s="347"/>
      <c r="P538" s="347"/>
      <c r="Q538" s="347"/>
      <c r="R538" s="347"/>
      <c r="S538" s="347"/>
      <c r="T538" s="347"/>
      <c r="U538" s="340" t="str">
        <f aca="false">IFERROR(VLOOKUP(C538,TE!$H:$Y,9,FALSE()),"0")</f>
        <v>0</v>
      </c>
      <c r="V538" s="340"/>
      <c r="W538" s="341" t="n">
        <f aca="false">SUMIFS(TE!$O:$O,TE!$G:$G,$C$408,TE!$I:$I,C538,TE!$D:$D,$C$5)</f>
        <v>0</v>
      </c>
      <c r="X538" s="341"/>
      <c r="Y538" s="341" t="str">
        <f aca="false">IFERROR(VLOOKUP(C538,TE!$H:$Y,16,FALSE()),"0")</f>
        <v>0</v>
      </c>
      <c r="Z538" s="341"/>
      <c r="AA538" s="342" t="str">
        <f aca="false">IFERROR(VLOOKUP(C538,TE!$H:$Y,17,FALSE()),"0")</f>
        <v>0</v>
      </c>
      <c r="AB538" s="342"/>
      <c r="AC538" s="343" t="n">
        <f aca="false">IFERROR((W538*Y538*AA538),"")</f>
        <v>0</v>
      </c>
      <c r="AD538" s="343"/>
      <c r="AE538" s="343"/>
      <c r="AF538" s="276"/>
    </row>
    <row r="539" customFormat="false" ht="15.75" hidden="false" customHeight="true" outlineLevel="0" collapsed="false">
      <c r="A539" s="378"/>
      <c r="B539" s="378"/>
      <c r="C539" s="348" t="s">
        <v>1637</v>
      </c>
      <c r="D539" s="379"/>
      <c r="E539" s="379"/>
      <c r="F539" s="350" t="str">
        <f aca="false">IFERROR(VLOOKUP(C539,TE!$H:$Y,2,FALSE()),"(Not on TE)")</f>
        <v>(Not on TE)</v>
      </c>
      <c r="G539" s="380"/>
      <c r="H539" s="380"/>
      <c r="I539" s="380"/>
      <c r="J539" s="380"/>
      <c r="K539" s="380"/>
      <c r="L539" s="380"/>
      <c r="M539" s="380"/>
      <c r="N539" s="380"/>
      <c r="O539" s="380"/>
      <c r="P539" s="380"/>
      <c r="Q539" s="380"/>
      <c r="R539" s="380"/>
      <c r="S539" s="380"/>
      <c r="T539" s="380"/>
      <c r="U539" s="352" t="str">
        <f aca="false">IFERROR(VLOOKUP(C539,TE!$H:$Y,9,FALSE()),"0")</f>
        <v>0</v>
      </c>
      <c r="V539" s="352"/>
      <c r="W539" s="353" t="n">
        <f aca="false">SUMIFS(TE!$O:$O,TE!$G:$G,$C$408,TE!$I:$I,C539,TE!$D:$D,$C$5)</f>
        <v>0</v>
      </c>
      <c r="X539" s="353"/>
      <c r="Y539" s="353" t="str">
        <f aca="false">IFERROR(VLOOKUP(C539,TE!$H:$Y,16,FALSE()),"0")</f>
        <v>0</v>
      </c>
      <c r="Z539" s="353"/>
      <c r="AA539" s="354" t="str">
        <f aca="false">IFERROR(VLOOKUP(C539,TE!$H:$Y,17,FALSE()),"0")</f>
        <v>0</v>
      </c>
      <c r="AB539" s="354"/>
      <c r="AC539" s="343" t="n">
        <f aca="false">IFERROR((W539*Y539*AA539),"")</f>
        <v>0</v>
      </c>
      <c r="AD539" s="343"/>
      <c r="AE539" s="343"/>
      <c r="AF539" s="276"/>
    </row>
    <row r="540" customFormat="false" ht="15.75" hidden="false" customHeight="true" outlineLevel="0" collapsed="false">
      <c r="A540" s="378"/>
      <c r="B540" s="378"/>
      <c r="C540" s="338"/>
      <c r="D540" s="382"/>
      <c r="E540" s="382"/>
      <c r="F540" s="383"/>
      <c r="G540" s="383"/>
      <c r="H540" s="383"/>
      <c r="I540" s="383"/>
      <c r="J540" s="383"/>
      <c r="K540" s="383"/>
      <c r="L540" s="383"/>
      <c r="M540" s="383"/>
      <c r="N540" s="383"/>
      <c r="O540" s="383"/>
      <c r="P540" s="383"/>
      <c r="Q540" s="383"/>
      <c r="R540" s="383"/>
      <c r="S540" s="383"/>
      <c r="T540" s="383"/>
      <c r="U540" s="384"/>
      <c r="V540" s="384"/>
      <c r="W540" s="385"/>
      <c r="X540" s="385"/>
      <c r="Y540" s="385"/>
      <c r="Z540" s="296"/>
      <c r="AA540" s="393" t="s">
        <v>1576</v>
      </c>
      <c r="AB540" s="393"/>
      <c r="AC540" s="393"/>
      <c r="AD540" s="393"/>
      <c r="AE540" s="393"/>
      <c r="AF540" s="386"/>
    </row>
    <row r="541" customFormat="false" ht="15.75" hidden="false" customHeight="true" outlineLevel="0" collapsed="false">
      <c r="A541" s="378"/>
      <c r="B541" s="378"/>
      <c r="C541" s="338"/>
      <c r="D541" s="382"/>
      <c r="E541" s="382"/>
      <c r="F541" s="383"/>
      <c r="G541" s="383"/>
      <c r="H541" s="383"/>
      <c r="I541" s="383"/>
      <c r="J541" s="383"/>
      <c r="K541" s="383"/>
      <c r="L541" s="383"/>
      <c r="M541" s="383"/>
      <c r="N541" s="383"/>
      <c r="O541" s="383"/>
      <c r="P541" s="383"/>
      <c r="Q541" s="383"/>
      <c r="R541" s="383"/>
      <c r="S541" s="383"/>
      <c r="T541" s="383"/>
      <c r="U541" s="384"/>
      <c r="V541" s="384"/>
      <c r="W541" s="385"/>
      <c r="X541" s="385"/>
      <c r="Y541" s="385"/>
      <c r="Z541" s="385"/>
      <c r="AA541" s="387"/>
      <c r="AB541" s="387"/>
      <c r="AC541" s="388"/>
      <c r="AD541" s="388"/>
      <c r="AE541" s="388"/>
      <c r="AF541" s="386"/>
    </row>
    <row r="542" customFormat="false" ht="15.75" hidden="false" customHeight="true" outlineLevel="0" collapsed="false">
      <c r="A542" s="364"/>
      <c r="B542" s="364"/>
      <c r="C542" s="365"/>
      <c r="D542" s="366"/>
      <c r="E542" s="366"/>
      <c r="F542" s="367"/>
      <c r="G542" s="367"/>
      <c r="H542" s="367"/>
      <c r="I542" s="367"/>
      <c r="J542" s="367"/>
      <c r="K542" s="367"/>
      <c r="L542" s="367"/>
      <c r="M542" s="367"/>
      <c r="N542" s="367"/>
      <c r="O542" s="367"/>
      <c r="P542" s="367"/>
      <c r="Q542" s="367"/>
      <c r="R542" s="367"/>
      <c r="S542" s="367"/>
      <c r="T542" s="367"/>
      <c r="U542" s="368"/>
      <c r="V542" s="368"/>
      <c r="W542" s="369"/>
      <c r="X542" s="369"/>
      <c r="Y542" s="369"/>
      <c r="Z542" s="369"/>
      <c r="AA542" s="370"/>
      <c r="AB542" s="370"/>
      <c r="AC542" s="371"/>
      <c r="AD542" s="371"/>
      <c r="AE542" s="371"/>
      <c r="AF542" s="372"/>
    </row>
    <row r="543" customFormat="false" ht="15.75" hidden="false" customHeight="true" outlineLevel="0" collapsed="false">
      <c r="A543" s="259" t="s">
        <v>1522</v>
      </c>
      <c r="B543" s="259"/>
      <c r="C543" s="323" t="n">
        <f aca="false">$C$5</f>
        <v>14312</v>
      </c>
      <c r="D543" s="323"/>
      <c r="E543" s="323"/>
      <c r="F543" s="323"/>
      <c r="G543" s="323"/>
      <c r="H543" s="323"/>
      <c r="I543" s="323"/>
      <c r="J543" s="323"/>
      <c r="K543" s="323"/>
      <c r="L543" s="323"/>
      <c r="M543" s="259" t="s">
        <v>1523</v>
      </c>
      <c r="N543" s="259"/>
      <c r="O543" s="259"/>
      <c r="P543" s="259"/>
      <c r="Q543" s="259"/>
      <c r="R543" s="324" t="str">
        <f aca="false">$R$5</f>
        <v>Operational Vehicle Laydown Area</v>
      </c>
      <c r="S543" s="324"/>
      <c r="T543" s="324"/>
      <c r="U543" s="324"/>
      <c r="V543" s="324"/>
      <c r="W543" s="324"/>
      <c r="X543" s="324"/>
      <c r="Y543" s="324"/>
      <c r="Z543" s="324"/>
      <c r="AA543" s="324"/>
      <c r="AB543" s="324"/>
      <c r="AC543" s="324"/>
      <c r="AD543" s="324"/>
      <c r="AE543" s="324"/>
      <c r="AF543" s="324"/>
    </row>
    <row r="544" customFormat="false" ht="15.75" hidden="false" customHeight="true" outlineLevel="0" collapsed="false">
      <c r="A544" s="276"/>
      <c r="B544" s="276"/>
      <c r="C544" s="296"/>
      <c r="D544" s="276"/>
      <c r="E544" s="276"/>
      <c r="F544" s="296"/>
      <c r="G544" s="276"/>
      <c r="H544" s="276"/>
      <c r="I544" s="276"/>
      <c r="J544" s="276"/>
      <c r="K544" s="276"/>
      <c r="L544" s="276"/>
      <c r="M544" s="276"/>
      <c r="N544" s="276"/>
      <c r="O544" s="276"/>
      <c r="P544" s="276"/>
      <c r="Q544" s="276"/>
      <c r="R544" s="276"/>
      <c r="S544" s="276"/>
      <c r="T544" s="276"/>
      <c r="U544" s="276"/>
      <c r="V544" s="276"/>
      <c r="W544" s="277"/>
      <c r="X544" s="277"/>
      <c r="Y544" s="276"/>
      <c r="Z544" s="276"/>
      <c r="AA544" s="276"/>
      <c r="AB544" s="276"/>
      <c r="AC544" s="277"/>
      <c r="AD544" s="277"/>
      <c r="AE544" s="277"/>
      <c r="AF544" s="276"/>
    </row>
    <row r="545" customFormat="false" ht="15.75" hidden="false" customHeight="true" outlineLevel="0" collapsed="false">
      <c r="A545" s="276"/>
      <c r="B545" s="276"/>
      <c r="C545" s="325" t="s">
        <v>1542</v>
      </c>
      <c r="D545" s="276"/>
      <c r="E545" s="276"/>
      <c r="F545" s="296"/>
      <c r="G545" s="276"/>
      <c r="H545" s="276"/>
      <c r="I545" s="276"/>
      <c r="J545" s="276"/>
      <c r="K545" s="276"/>
      <c r="L545" s="276"/>
      <c r="M545" s="276"/>
      <c r="N545" s="276"/>
      <c r="O545" s="276"/>
      <c r="P545" s="276"/>
      <c r="Q545" s="276"/>
      <c r="R545" s="276"/>
      <c r="S545" s="276"/>
      <c r="T545" s="276"/>
      <c r="U545" s="276"/>
      <c r="V545" s="276"/>
      <c r="W545" s="277"/>
      <c r="X545" s="277"/>
      <c r="Y545" s="276"/>
      <c r="Z545" s="276"/>
      <c r="AA545" s="276"/>
      <c r="AB545" s="276"/>
      <c r="AC545" s="277"/>
      <c r="AD545" s="277"/>
      <c r="AE545" s="277"/>
      <c r="AF545" s="276"/>
    </row>
    <row r="546" customFormat="false" ht="15.75" hidden="false" customHeight="true" outlineLevel="0" collapsed="false">
      <c r="A546" s="276"/>
      <c r="B546" s="276"/>
      <c r="C546" s="391" t="str">
        <f aca="false">C500</f>
        <v>M28262</v>
      </c>
      <c r="D546" s="391"/>
      <c r="E546" s="391"/>
      <c r="F546" s="327" t="str">
        <f aca="false">F500</f>
        <v>SURGICAL CO B</v>
      </c>
      <c r="G546" s="327"/>
      <c r="H546" s="327"/>
      <c r="I546" s="327"/>
      <c r="J546" s="327"/>
      <c r="K546" s="327"/>
      <c r="L546" s="327"/>
      <c r="M546" s="327"/>
      <c r="N546" s="328"/>
      <c r="O546" s="329"/>
      <c r="P546" s="329"/>
      <c r="Q546" s="329"/>
      <c r="R546" s="329"/>
      <c r="S546" s="330"/>
      <c r="T546" s="295"/>
      <c r="U546" s="295"/>
      <c r="V546" s="295"/>
      <c r="W546" s="331"/>
      <c r="X546" s="331"/>
      <c r="Y546" s="295"/>
      <c r="Z546" s="295"/>
      <c r="AA546" s="295"/>
      <c r="AB546" s="295"/>
      <c r="AC546" s="332"/>
      <c r="AD546" s="332"/>
      <c r="AE546" s="332"/>
      <c r="AF546" s="276"/>
    </row>
    <row r="547" customFormat="false" ht="15.75" hidden="false" customHeight="true" outlineLevel="0" collapsed="false">
      <c r="A547" s="276"/>
      <c r="B547" s="276"/>
      <c r="C547" s="376" t="s">
        <v>1055</v>
      </c>
      <c r="D547" s="376"/>
      <c r="E547" s="376"/>
      <c r="F547" s="334" t="s">
        <v>13</v>
      </c>
      <c r="G547" s="334"/>
      <c r="H547" s="334"/>
      <c r="I547" s="334"/>
      <c r="J547" s="334"/>
      <c r="K547" s="334"/>
      <c r="L547" s="334"/>
      <c r="M547" s="334"/>
      <c r="N547" s="334"/>
      <c r="O547" s="334"/>
      <c r="P547" s="334"/>
      <c r="Q547" s="334"/>
      <c r="R547" s="334"/>
      <c r="S547" s="334"/>
      <c r="T547" s="334"/>
      <c r="U547" s="335" t="s">
        <v>1543</v>
      </c>
      <c r="V547" s="335"/>
      <c r="W547" s="335" t="s">
        <v>1544</v>
      </c>
      <c r="X547" s="335"/>
      <c r="Y547" s="335" t="s">
        <v>1545</v>
      </c>
      <c r="Z547" s="335"/>
      <c r="AA547" s="335" t="s">
        <v>1546</v>
      </c>
      <c r="AB547" s="335"/>
      <c r="AC547" s="336" t="s">
        <v>1547</v>
      </c>
      <c r="AD547" s="336"/>
      <c r="AE547" s="336"/>
      <c r="AF547" s="276"/>
    </row>
    <row r="548" customFormat="false" ht="15.75" hidden="false" customHeight="true" outlineLevel="0" collapsed="false">
      <c r="A548" s="276"/>
      <c r="B548" s="276"/>
      <c r="C548" s="376"/>
      <c r="D548" s="376"/>
      <c r="E548" s="376"/>
      <c r="F548" s="334"/>
      <c r="G548" s="334"/>
      <c r="H548" s="334"/>
      <c r="I548" s="334"/>
      <c r="J548" s="334"/>
      <c r="K548" s="334"/>
      <c r="L548" s="334"/>
      <c r="M548" s="334"/>
      <c r="N548" s="334"/>
      <c r="O548" s="334"/>
      <c r="P548" s="334"/>
      <c r="Q548" s="334"/>
      <c r="R548" s="334"/>
      <c r="S548" s="334"/>
      <c r="T548" s="334"/>
      <c r="U548" s="335"/>
      <c r="V548" s="335"/>
      <c r="W548" s="335"/>
      <c r="X548" s="335"/>
      <c r="Y548" s="335"/>
      <c r="Z548" s="335"/>
      <c r="AA548" s="335"/>
      <c r="AB548" s="335"/>
      <c r="AC548" s="336"/>
      <c r="AD548" s="336"/>
      <c r="AE548" s="336"/>
      <c r="AF548" s="276"/>
    </row>
    <row r="549" customFormat="false" ht="15.75" hidden="false" customHeight="true" outlineLevel="0" collapsed="false">
      <c r="A549" s="276"/>
      <c r="B549" s="276"/>
      <c r="C549" s="377" t="s">
        <v>1340</v>
      </c>
      <c r="D549" s="338"/>
      <c r="E549" s="338"/>
      <c r="F549" s="339" t="str">
        <f aca="false">IFERROR(VLOOKUP(C549,TE!$H:$Y,2,FALSE()),"(Not on TE)")</f>
        <v>(Not on TE)</v>
      </c>
      <c r="G549" s="338"/>
      <c r="H549" s="338"/>
      <c r="I549" s="338"/>
      <c r="J549" s="338"/>
      <c r="K549" s="338"/>
      <c r="L549" s="338"/>
      <c r="M549" s="338"/>
      <c r="N549" s="338"/>
      <c r="O549" s="338"/>
      <c r="P549" s="338"/>
      <c r="Q549" s="338"/>
      <c r="R549" s="338"/>
      <c r="S549" s="338"/>
      <c r="T549" s="338"/>
      <c r="U549" s="340" t="str">
        <f aca="false">IFERROR(VLOOKUP(C549,TE!$H:$Y,9,FALSE()),"0")</f>
        <v>0</v>
      </c>
      <c r="V549" s="340"/>
      <c r="W549" s="341" t="n">
        <f aca="false">SUMIFS(TE!$O:$O,TE!$G:$G,$C$408,TE!$I:$I,C549,TE!$D:$D,$C$5)</f>
        <v>0</v>
      </c>
      <c r="X549" s="341"/>
      <c r="Y549" s="341" t="str">
        <f aca="false">IFERROR(VLOOKUP(C549,TE!$H:$Y,16,FALSE()),"0")</f>
        <v>0</v>
      </c>
      <c r="Z549" s="341"/>
      <c r="AA549" s="342" t="str">
        <f aca="false">IFERROR(VLOOKUP(C549,TE!$H:$Y,17,FALSE()),"0")</f>
        <v>0</v>
      </c>
      <c r="AB549" s="342"/>
      <c r="AC549" s="343" t="n">
        <f aca="false">IFERROR((W549*Y549*AA549),"")</f>
        <v>0</v>
      </c>
      <c r="AD549" s="343"/>
      <c r="AE549" s="343"/>
      <c r="AF549" s="276"/>
    </row>
    <row r="550" customFormat="false" ht="15.75" hidden="false" customHeight="true" outlineLevel="0" collapsed="false">
      <c r="A550" s="276"/>
      <c r="B550" s="276"/>
      <c r="C550" s="377" t="s">
        <v>1638</v>
      </c>
      <c r="D550" s="338"/>
      <c r="E550" s="338"/>
      <c r="F550" s="339" t="str">
        <f aca="false">IFERROR(VLOOKUP(C550,TE!$H:$Y,2,FALSE()),"(Not on TE)")</f>
        <v>(Not on TE)</v>
      </c>
      <c r="G550" s="338"/>
      <c r="H550" s="338"/>
      <c r="I550" s="338"/>
      <c r="J550" s="338"/>
      <c r="K550" s="338"/>
      <c r="L550" s="338"/>
      <c r="M550" s="338"/>
      <c r="N550" s="338"/>
      <c r="O550" s="338"/>
      <c r="P550" s="338"/>
      <c r="Q550" s="338"/>
      <c r="R550" s="338"/>
      <c r="S550" s="338"/>
      <c r="T550" s="338"/>
      <c r="U550" s="340" t="str">
        <f aca="false">IFERROR(VLOOKUP(C550,TE!$H:$Y,9,FALSE()),"0")</f>
        <v>0</v>
      </c>
      <c r="V550" s="340"/>
      <c r="W550" s="341" t="n">
        <f aca="false">SUMIFS(TE!$O:$O,TE!$G:$G,$C$408,TE!$I:$I,C550,TE!$D:$D,$C$5)</f>
        <v>0</v>
      </c>
      <c r="X550" s="341"/>
      <c r="Y550" s="341" t="str">
        <f aca="false">IFERROR(VLOOKUP(C550,TE!$H:$Y,16,FALSE()),"0")</f>
        <v>0</v>
      </c>
      <c r="Z550" s="341"/>
      <c r="AA550" s="342" t="str">
        <f aca="false">IFERROR(VLOOKUP(C550,TE!$H:$Y,17,FALSE()),"0")</f>
        <v>0</v>
      </c>
      <c r="AB550" s="342"/>
      <c r="AC550" s="343" t="n">
        <f aca="false">IFERROR((W550*Y550*AA550),"")</f>
        <v>0</v>
      </c>
      <c r="AD550" s="343"/>
      <c r="AE550" s="343"/>
      <c r="AF550" s="276"/>
    </row>
    <row r="551" customFormat="false" ht="15.75" hidden="false" customHeight="true" outlineLevel="0" collapsed="false">
      <c r="A551" s="276"/>
      <c r="B551" s="276"/>
      <c r="C551" s="377" t="s">
        <v>1639</v>
      </c>
      <c r="D551" s="338"/>
      <c r="E551" s="338"/>
      <c r="F551" s="339" t="str">
        <f aca="false">IFERROR(VLOOKUP(C551,TE!$H:$Y,2,FALSE()),"(Not on TE)")</f>
        <v>(Not on TE)</v>
      </c>
      <c r="G551" s="338"/>
      <c r="H551" s="338"/>
      <c r="I551" s="338"/>
      <c r="J551" s="338"/>
      <c r="K551" s="338"/>
      <c r="L551" s="338"/>
      <c r="M551" s="338"/>
      <c r="N551" s="338"/>
      <c r="O551" s="338"/>
      <c r="P551" s="338"/>
      <c r="Q551" s="338"/>
      <c r="R551" s="338"/>
      <c r="S551" s="338"/>
      <c r="T551" s="338"/>
      <c r="U551" s="340" t="str">
        <f aca="false">IFERROR(VLOOKUP(C551,TE!$H:$Y,9,FALSE()),"0")</f>
        <v>0</v>
      </c>
      <c r="V551" s="340"/>
      <c r="W551" s="341" t="n">
        <f aca="false">SUMIFS(TE!$O:$O,TE!$G:$G,$C$408,TE!$I:$I,C551,TE!$D:$D,$C$5)</f>
        <v>0</v>
      </c>
      <c r="X551" s="341"/>
      <c r="Y551" s="341" t="str">
        <f aca="false">IFERROR(VLOOKUP(C551,TE!$H:$Y,16,FALSE()),"0")</f>
        <v>0</v>
      </c>
      <c r="Z551" s="341"/>
      <c r="AA551" s="342" t="str">
        <f aca="false">IFERROR(VLOOKUP(C551,TE!$H:$Y,17,FALSE()),"0")</f>
        <v>0</v>
      </c>
      <c r="AB551" s="342"/>
      <c r="AC551" s="343" t="n">
        <f aca="false">IFERROR((W551*Y551*AA551),"")</f>
        <v>0</v>
      </c>
      <c r="AD551" s="343"/>
      <c r="AE551" s="343"/>
      <c r="AF551" s="276"/>
    </row>
    <row r="552" customFormat="false" ht="15.75" hidden="false" customHeight="true" outlineLevel="0" collapsed="false">
      <c r="A552" s="276"/>
      <c r="B552" s="276"/>
      <c r="C552" s="377" t="s">
        <v>1514</v>
      </c>
      <c r="D552" s="338"/>
      <c r="E552" s="338"/>
      <c r="F552" s="339" t="str">
        <f aca="false">IFERROR(VLOOKUP(C552,TE!$H:$Y,2,FALSE()),"(Not on TE)")</f>
        <v>(Not on TE)</v>
      </c>
      <c r="G552" s="338"/>
      <c r="H552" s="338"/>
      <c r="I552" s="338"/>
      <c r="J552" s="338"/>
      <c r="K552" s="338"/>
      <c r="L552" s="338"/>
      <c r="M552" s="338"/>
      <c r="N552" s="338"/>
      <c r="O552" s="338"/>
      <c r="P552" s="338"/>
      <c r="Q552" s="338"/>
      <c r="R552" s="338"/>
      <c r="S552" s="338"/>
      <c r="T552" s="338"/>
      <c r="U552" s="340" t="str">
        <f aca="false">IFERROR(VLOOKUP(C552,TE!$H:$Y,9,FALSE()),"0")</f>
        <v>0</v>
      </c>
      <c r="V552" s="340"/>
      <c r="W552" s="341" t="n">
        <f aca="false">SUMIFS(TE!$O:$O,TE!$G:$G,$C$408,TE!$I:$I,C552,TE!$D:$D,$C$5)</f>
        <v>0</v>
      </c>
      <c r="X552" s="341"/>
      <c r="Y552" s="341" t="str">
        <f aca="false">IFERROR(VLOOKUP(C552,TE!$H:$Y,16,FALSE()),"0")</f>
        <v>0</v>
      </c>
      <c r="Z552" s="341"/>
      <c r="AA552" s="342" t="str">
        <f aca="false">IFERROR(VLOOKUP(C552,TE!$H:$Y,17,FALSE()),"0")</f>
        <v>0</v>
      </c>
      <c r="AB552" s="342"/>
      <c r="AC552" s="343" t="n">
        <f aca="false">IFERROR((W552*Y552*AA552),"")</f>
        <v>0</v>
      </c>
      <c r="AD552" s="343"/>
      <c r="AE552" s="343"/>
      <c r="AF552" s="276"/>
    </row>
    <row r="553" customFormat="false" ht="15.75" hidden="false" customHeight="true" outlineLevel="0" collapsed="false">
      <c r="A553" s="276"/>
      <c r="B553" s="276"/>
      <c r="C553" s="377" t="s">
        <v>1236</v>
      </c>
      <c r="D553" s="338"/>
      <c r="E553" s="338"/>
      <c r="F553" s="339" t="str">
        <f aca="false">IFERROR(VLOOKUP(C553,TE!$H:$Y,2,FALSE()),"(Not on TE)")</f>
        <v>(Not on TE)</v>
      </c>
      <c r="G553" s="338"/>
      <c r="H553" s="338"/>
      <c r="I553" s="338"/>
      <c r="J553" s="338"/>
      <c r="K553" s="338"/>
      <c r="L553" s="338"/>
      <c r="M553" s="338"/>
      <c r="N553" s="338"/>
      <c r="O553" s="338"/>
      <c r="P553" s="338"/>
      <c r="Q553" s="338"/>
      <c r="R553" s="338"/>
      <c r="S553" s="338"/>
      <c r="T553" s="338"/>
      <c r="U553" s="340" t="str">
        <f aca="false">IFERROR(VLOOKUP(C553,TE!$H:$Y,9,FALSE()),"0")</f>
        <v>0</v>
      </c>
      <c r="V553" s="340"/>
      <c r="W553" s="341" t="n">
        <f aca="false">SUMIFS(TE!$O:$O,TE!$G:$G,$C$408,TE!$I:$I,C553,TE!$D:$D,$C$5)</f>
        <v>0</v>
      </c>
      <c r="X553" s="341"/>
      <c r="Y553" s="341" t="str">
        <f aca="false">IFERROR(VLOOKUP(C553,TE!$H:$Y,16,FALSE()),"0")</f>
        <v>0</v>
      </c>
      <c r="Z553" s="341"/>
      <c r="AA553" s="342" t="str">
        <f aca="false">IFERROR(VLOOKUP(C553,TE!$H:$Y,17,FALSE()),"0")</f>
        <v>0</v>
      </c>
      <c r="AB553" s="342"/>
      <c r="AC553" s="343" t="n">
        <f aca="false">IFERROR((W553*Y553*AA553),"")</f>
        <v>0</v>
      </c>
      <c r="AD553" s="343"/>
      <c r="AE553" s="343"/>
      <c r="AF553" s="276"/>
    </row>
    <row r="554" customFormat="false" ht="15.75" hidden="false" customHeight="true" outlineLevel="0" collapsed="false">
      <c r="A554" s="276"/>
      <c r="B554" s="276"/>
      <c r="C554" s="377" t="s">
        <v>1500</v>
      </c>
      <c r="D554" s="338"/>
      <c r="E554" s="338"/>
      <c r="F554" s="339" t="str">
        <f aca="false">IFERROR(VLOOKUP(C554,TE!$H:$Y,2,FALSE()),"(Not on TE)")</f>
        <v>(Not on TE)</v>
      </c>
      <c r="G554" s="338"/>
      <c r="H554" s="338"/>
      <c r="I554" s="338"/>
      <c r="J554" s="338"/>
      <c r="K554" s="338"/>
      <c r="L554" s="338"/>
      <c r="M554" s="338"/>
      <c r="N554" s="338"/>
      <c r="O554" s="338"/>
      <c r="P554" s="338"/>
      <c r="Q554" s="338"/>
      <c r="R554" s="338"/>
      <c r="S554" s="338"/>
      <c r="T554" s="338"/>
      <c r="U554" s="340" t="str">
        <f aca="false">IFERROR(VLOOKUP(C554,TE!$H:$Y,9,FALSE()),"0")</f>
        <v>0</v>
      </c>
      <c r="V554" s="340"/>
      <c r="W554" s="341" t="n">
        <f aca="false">SUMIFS(TE!$O:$O,TE!$G:$G,$C$408,TE!$I:$I,C554,TE!$D:$D,$C$5)</f>
        <v>0</v>
      </c>
      <c r="X554" s="341"/>
      <c r="Y554" s="341" t="str">
        <f aca="false">IFERROR(VLOOKUP(C554,TE!$H:$Y,16,FALSE()),"0")</f>
        <v>0</v>
      </c>
      <c r="Z554" s="341"/>
      <c r="AA554" s="342" t="str">
        <f aca="false">IFERROR(VLOOKUP(C554,TE!$H:$Y,17,FALSE()),"0")</f>
        <v>0</v>
      </c>
      <c r="AB554" s="342"/>
      <c r="AC554" s="343" t="n">
        <f aca="false">IFERROR((W554*Y554*AA554),"")</f>
        <v>0</v>
      </c>
      <c r="AD554" s="343"/>
      <c r="AE554" s="343"/>
      <c r="AF554" s="276"/>
    </row>
    <row r="555" customFormat="false" ht="15.75" hidden="false" customHeight="true" outlineLevel="0" collapsed="false">
      <c r="A555" s="276"/>
      <c r="B555" s="276"/>
      <c r="C555" s="377" t="s">
        <v>1640</v>
      </c>
      <c r="D555" s="338"/>
      <c r="E555" s="338"/>
      <c r="F555" s="339" t="str">
        <f aca="false">IFERROR(VLOOKUP(C555,TE!$H:$Y,2,FALSE()),"(Not on TE)")</f>
        <v>(Not on TE)</v>
      </c>
      <c r="G555" s="338"/>
      <c r="H555" s="338"/>
      <c r="I555" s="338"/>
      <c r="J555" s="338"/>
      <c r="K555" s="338"/>
      <c r="L555" s="338"/>
      <c r="M555" s="338"/>
      <c r="N555" s="338"/>
      <c r="O555" s="338"/>
      <c r="P555" s="338"/>
      <c r="Q555" s="338"/>
      <c r="R555" s="338"/>
      <c r="S555" s="338"/>
      <c r="T555" s="338"/>
      <c r="U555" s="340" t="str">
        <f aca="false">IFERROR(VLOOKUP(C555,TE!$H:$Y,9,FALSE()),"0")</f>
        <v>0</v>
      </c>
      <c r="V555" s="340"/>
      <c r="W555" s="341" t="n">
        <f aca="false">SUMIFS(TE!$O:$O,TE!$G:$G,$C$408,TE!$I:$I,C555,TE!$D:$D,$C$5)</f>
        <v>0</v>
      </c>
      <c r="X555" s="341"/>
      <c r="Y555" s="341" t="str">
        <f aca="false">IFERROR(VLOOKUP(C555,TE!$H:$Y,16,FALSE()),"0")</f>
        <v>0</v>
      </c>
      <c r="Z555" s="341"/>
      <c r="AA555" s="342" t="str">
        <f aca="false">IFERROR(VLOOKUP(C555,TE!$H:$Y,17,FALSE()),"0")</f>
        <v>0</v>
      </c>
      <c r="AB555" s="342"/>
      <c r="AC555" s="343" t="n">
        <f aca="false">IFERROR((W555*Y555*AA555),"")</f>
        <v>0</v>
      </c>
      <c r="AD555" s="343"/>
      <c r="AE555" s="343"/>
      <c r="AF555" s="276"/>
    </row>
    <row r="556" customFormat="false" ht="15.75" hidden="false" customHeight="true" outlineLevel="0" collapsed="false">
      <c r="A556" s="276"/>
      <c r="B556" s="276"/>
      <c r="C556" s="377" t="s">
        <v>1222</v>
      </c>
      <c r="D556" s="338"/>
      <c r="E556" s="338"/>
      <c r="F556" s="339" t="str">
        <f aca="false">IFERROR(VLOOKUP(C556,TE!$H:$Y,2,FALSE()),"(Not on TE)")</f>
        <v>(Not on TE)</v>
      </c>
      <c r="G556" s="338"/>
      <c r="H556" s="338"/>
      <c r="I556" s="338"/>
      <c r="J556" s="338"/>
      <c r="K556" s="338"/>
      <c r="L556" s="338"/>
      <c r="M556" s="338"/>
      <c r="N556" s="338"/>
      <c r="O556" s="338"/>
      <c r="P556" s="338"/>
      <c r="Q556" s="338"/>
      <c r="R556" s="338"/>
      <c r="S556" s="338"/>
      <c r="T556" s="338"/>
      <c r="U556" s="340" t="str">
        <f aca="false">IFERROR(VLOOKUP(C556,TE!$H:$Y,9,FALSE()),"0")</f>
        <v>0</v>
      </c>
      <c r="V556" s="340"/>
      <c r="W556" s="341" t="n">
        <f aca="false">SUMIFS(TE!$O:$O,TE!$G:$G,$C$408,TE!$I:$I,C556,TE!$D:$D,$C$5)</f>
        <v>0</v>
      </c>
      <c r="X556" s="341"/>
      <c r="Y556" s="341" t="str">
        <f aca="false">IFERROR(VLOOKUP(C556,TE!$H:$Y,16,FALSE()),"0")</f>
        <v>0</v>
      </c>
      <c r="Z556" s="341"/>
      <c r="AA556" s="342" t="str">
        <f aca="false">IFERROR(VLOOKUP(C556,TE!$H:$Y,17,FALSE()),"0")</f>
        <v>0</v>
      </c>
      <c r="AB556" s="342"/>
      <c r="AC556" s="343" t="n">
        <f aca="false">IFERROR((W556*Y556*AA556),"")</f>
        <v>0</v>
      </c>
      <c r="AD556" s="343"/>
      <c r="AE556" s="343"/>
      <c r="AF556" s="276"/>
    </row>
    <row r="557" customFormat="false" ht="15.75" hidden="false" customHeight="true" outlineLevel="0" collapsed="false">
      <c r="A557" s="276"/>
      <c r="B557" s="276"/>
      <c r="C557" s="377"/>
      <c r="D557" s="338"/>
      <c r="E557" s="338"/>
      <c r="F557" s="339"/>
      <c r="G557" s="338"/>
      <c r="H557" s="338"/>
      <c r="I557" s="338"/>
      <c r="J557" s="338"/>
      <c r="K557" s="338"/>
      <c r="L557" s="338"/>
      <c r="M557" s="338"/>
      <c r="N557" s="338"/>
      <c r="O557" s="338"/>
      <c r="P557" s="338"/>
      <c r="Q557" s="338"/>
      <c r="R557" s="338"/>
      <c r="S557" s="338"/>
      <c r="T557" s="338"/>
      <c r="U557" s="340"/>
      <c r="V557" s="340"/>
      <c r="W557" s="341"/>
      <c r="X557" s="341"/>
      <c r="Y557" s="341"/>
      <c r="Z557" s="341"/>
      <c r="AA557" s="389"/>
      <c r="AB557" s="389"/>
      <c r="AC557" s="343"/>
      <c r="AD557" s="343"/>
      <c r="AE557" s="343"/>
      <c r="AF557" s="276"/>
    </row>
    <row r="558" customFormat="false" ht="15.75" hidden="false" customHeight="true" outlineLevel="0" collapsed="false">
      <c r="A558" s="276"/>
      <c r="B558" s="276"/>
      <c r="C558" s="377"/>
      <c r="D558" s="338"/>
      <c r="E558" s="338"/>
      <c r="F558" s="339"/>
      <c r="G558" s="338"/>
      <c r="H558" s="338"/>
      <c r="I558" s="338"/>
      <c r="J558" s="338"/>
      <c r="K558" s="338"/>
      <c r="L558" s="338"/>
      <c r="M558" s="338"/>
      <c r="N558" s="338"/>
      <c r="O558" s="338"/>
      <c r="P558" s="338"/>
      <c r="Q558" s="338"/>
      <c r="R558" s="338"/>
      <c r="S558" s="338"/>
      <c r="T558" s="338"/>
      <c r="U558" s="340"/>
      <c r="V558" s="340"/>
      <c r="W558" s="341"/>
      <c r="X558" s="341"/>
      <c r="Y558" s="341"/>
      <c r="Z558" s="341"/>
      <c r="AA558" s="389"/>
      <c r="AB558" s="389"/>
      <c r="AC558" s="343"/>
      <c r="AD558" s="343"/>
      <c r="AE558" s="343"/>
      <c r="AF558" s="276"/>
    </row>
    <row r="559" customFormat="false" ht="15.75" hidden="false" customHeight="true" outlineLevel="0" collapsed="false">
      <c r="A559" s="276"/>
      <c r="B559" s="276"/>
      <c r="C559" s="344"/>
      <c r="D559" s="338"/>
      <c r="E559" s="338"/>
      <c r="F559" s="339"/>
      <c r="G559" s="338"/>
      <c r="H559" s="338"/>
      <c r="I559" s="338"/>
      <c r="J559" s="338"/>
      <c r="K559" s="338"/>
      <c r="L559" s="338"/>
      <c r="M559" s="338"/>
      <c r="N559" s="338"/>
      <c r="O559" s="338"/>
      <c r="P559" s="338"/>
      <c r="Q559" s="338"/>
      <c r="R559" s="338"/>
      <c r="S559" s="338"/>
      <c r="T559" s="338"/>
      <c r="U559" s="340"/>
      <c r="V559" s="340"/>
      <c r="W559" s="341"/>
      <c r="X559" s="341"/>
      <c r="Y559" s="341"/>
      <c r="Z559" s="341"/>
      <c r="AA559" s="389"/>
      <c r="AB559" s="389"/>
      <c r="AC559" s="343"/>
      <c r="AD559" s="343"/>
      <c r="AE559" s="343"/>
      <c r="AF559" s="276"/>
    </row>
    <row r="560" customFormat="false" ht="15.75" hidden="false" customHeight="true" outlineLevel="0" collapsed="false">
      <c r="A560" s="276"/>
      <c r="B560" s="276"/>
      <c r="C560" s="344"/>
      <c r="D560" s="338"/>
      <c r="E560" s="338"/>
      <c r="F560" s="339"/>
      <c r="G560" s="338"/>
      <c r="H560" s="338"/>
      <c r="I560" s="338"/>
      <c r="J560" s="338"/>
      <c r="K560" s="338"/>
      <c r="L560" s="338"/>
      <c r="M560" s="338"/>
      <c r="N560" s="338"/>
      <c r="O560" s="338"/>
      <c r="P560" s="338"/>
      <c r="Q560" s="338"/>
      <c r="R560" s="338"/>
      <c r="S560" s="338"/>
      <c r="T560" s="338"/>
      <c r="U560" s="340"/>
      <c r="V560" s="340"/>
      <c r="W560" s="341"/>
      <c r="X560" s="341"/>
      <c r="Y560" s="341"/>
      <c r="Z560" s="341"/>
      <c r="AA560" s="389"/>
      <c r="AB560" s="389"/>
      <c r="AC560" s="343"/>
      <c r="AD560" s="343"/>
      <c r="AE560" s="343"/>
      <c r="AF560" s="276"/>
    </row>
    <row r="561" customFormat="false" ht="15.75" hidden="false" customHeight="true" outlineLevel="0" collapsed="false">
      <c r="A561" s="276"/>
      <c r="B561" s="276"/>
      <c r="C561" s="344"/>
      <c r="D561" s="338"/>
      <c r="E561" s="338"/>
      <c r="F561" s="339"/>
      <c r="G561" s="338"/>
      <c r="H561" s="338"/>
      <c r="I561" s="338"/>
      <c r="J561" s="338"/>
      <c r="K561" s="338"/>
      <c r="L561" s="338"/>
      <c r="M561" s="338"/>
      <c r="N561" s="338"/>
      <c r="O561" s="338"/>
      <c r="P561" s="338"/>
      <c r="Q561" s="338"/>
      <c r="R561" s="338"/>
      <c r="S561" s="338"/>
      <c r="T561" s="338"/>
      <c r="U561" s="340"/>
      <c r="V561" s="340"/>
      <c r="W561" s="341"/>
      <c r="X561" s="341"/>
      <c r="Y561" s="341"/>
      <c r="Z561" s="341"/>
      <c r="AA561" s="389"/>
      <c r="AB561" s="389"/>
      <c r="AC561" s="343"/>
      <c r="AD561" s="343"/>
      <c r="AE561" s="343"/>
      <c r="AF561" s="276"/>
    </row>
    <row r="562" customFormat="false" ht="15.75" hidden="false" customHeight="true" outlineLevel="0" collapsed="false">
      <c r="A562" s="276"/>
      <c r="B562" s="276"/>
      <c r="C562" s="344"/>
      <c r="D562" s="338"/>
      <c r="E562" s="338"/>
      <c r="F562" s="339"/>
      <c r="G562" s="338"/>
      <c r="H562" s="338"/>
      <c r="I562" s="338"/>
      <c r="J562" s="338"/>
      <c r="K562" s="338"/>
      <c r="L562" s="338"/>
      <c r="M562" s="338"/>
      <c r="N562" s="338"/>
      <c r="O562" s="338"/>
      <c r="P562" s="338"/>
      <c r="Q562" s="338"/>
      <c r="R562" s="338"/>
      <c r="S562" s="338"/>
      <c r="T562" s="338"/>
      <c r="U562" s="340"/>
      <c r="V562" s="340"/>
      <c r="W562" s="341"/>
      <c r="X562" s="341"/>
      <c r="Y562" s="341"/>
      <c r="Z562" s="341"/>
      <c r="AA562" s="389"/>
      <c r="AB562" s="389"/>
      <c r="AC562" s="343"/>
      <c r="AD562" s="343"/>
      <c r="AE562" s="343"/>
      <c r="AF562" s="276"/>
    </row>
    <row r="563" customFormat="false" ht="15.75" hidden="false" customHeight="true" outlineLevel="0" collapsed="false">
      <c r="A563" s="276"/>
      <c r="B563" s="276"/>
      <c r="C563" s="344"/>
      <c r="D563" s="338"/>
      <c r="E563" s="338"/>
      <c r="F563" s="339"/>
      <c r="G563" s="338"/>
      <c r="H563" s="338"/>
      <c r="I563" s="338"/>
      <c r="J563" s="338"/>
      <c r="K563" s="338"/>
      <c r="L563" s="338"/>
      <c r="M563" s="338"/>
      <c r="N563" s="338"/>
      <c r="O563" s="338"/>
      <c r="P563" s="338"/>
      <c r="Q563" s="338"/>
      <c r="R563" s="338"/>
      <c r="S563" s="338"/>
      <c r="T563" s="338"/>
      <c r="U563" s="340"/>
      <c r="V563" s="340"/>
      <c r="W563" s="341"/>
      <c r="X563" s="341"/>
      <c r="Y563" s="341"/>
      <c r="Z563" s="341"/>
      <c r="AA563" s="389"/>
      <c r="AB563" s="389"/>
      <c r="AC563" s="343"/>
      <c r="AD563" s="343"/>
      <c r="AE563" s="343"/>
      <c r="AF563" s="276"/>
    </row>
    <row r="564" customFormat="false" ht="15.75" hidden="false" customHeight="true" outlineLevel="0" collapsed="false">
      <c r="A564" s="276"/>
      <c r="B564" s="276"/>
      <c r="C564" s="344"/>
      <c r="D564" s="338"/>
      <c r="E564" s="338"/>
      <c r="F564" s="339"/>
      <c r="G564" s="338"/>
      <c r="H564" s="338"/>
      <c r="I564" s="338"/>
      <c r="J564" s="338"/>
      <c r="K564" s="338"/>
      <c r="L564" s="338"/>
      <c r="M564" s="338"/>
      <c r="N564" s="338"/>
      <c r="O564" s="338"/>
      <c r="P564" s="338"/>
      <c r="Q564" s="338"/>
      <c r="R564" s="338"/>
      <c r="S564" s="338"/>
      <c r="T564" s="338"/>
      <c r="U564" s="340"/>
      <c r="V564" s="340"/>
      <c r="W564" s="341"/>
      <c r="X564" s="341"/>
      <c r="Y564" s="341"/>
      <c r="Z564" s="341"/>
      <c r="AA564" s="389"/>
      <c r="AB564" s="389"/>
      <c r="AC564" s="343"/>
      <c r="AD564" s="343"/>
      <c r="AE564" s="343"/>
      <c r="AF564" s="276"/>
    </row>
    <row r="565" customFormat="false" ht="15.75" hidden="false" customHeight="true" outlineLevel="0" collapsed="false">
      <c r="A565" s="276"/>
      <c r="B565" s="276"/>
      <c r="C565" s="344"/>
      <c r="D565" s="338"/>
      <c r="E565" s="338"/>
      <c r="F565" s="339"/>
      <c r="G565" s="338"/>
      <c r="H565" s="338"/>
      <c r="I565" s="338"/>
      <c r="J565" s="338"/>
      <c r="K565" s="338"/>
      <c r="L565" s="338"/>
      <c r="M565" s="338"/>
      <c r="N565" s="338"/>
      <c r="O565" s="338"/>
      <c r="P565" s="338"/>
      <c r="Q565" s="338"/>
      <c r="R565" s="338"/>
      <c r="S565" s="338"/>
      <c r="T565" s="338"/>
      <c r="U565" s="340"/>
      <c r="V565" s="340"/>
      <c r="W565" s="341"/>
      <c r="X565" s="341"/>
      <c r="Y565" s="341"/>
      <c r="Z565" s="341"/>
      <c r="AA565" s="389"/>
      <c r="AB565" s="389"/>
      <c r="AC565" s="343"/>
      <c r="AD565" s="343"/>
      <c r="AE565" s="343"/>
      <c r="AF565" s="276"/>
    </row>
    <row r="566" customFormat="false" ht="15.75" hidden="false" customHeight="true" outlineLevel="0" collapsed="false">
      <c r="A566" s="276"/>
      <c r="B566" s="276"/>
      <c r="C566" s="344"/>
      <c r="D566" s="338"/>
      <c r="E566" s="338"/>
      <c r="F566" s="339"/>
      <c r="G566" s="338"/>
      <c r="H566" s="338"/>
      <c r="I566" s="338"/>
      <c r="J566" s="338"/>
      <c r="K566" s="338"/>
      <c r="L566" s="338"/>
      <c r="M566" s="338"/>
      <c r="N566" s="338"/>
      <c r="O566" s="338"/>
      <c r="P566" s="338"/>
      <c r="Q566" s="338"/>
      <c r="R566" s="338"/>
      <c r="S566" s="338"/>
      <c r="T566" s="338"/>
      <c r="U566" s="340"/>
      <c r="V566" s="340"/>
      <c r="W566" s="341"/>
      <c r="X566" s="341"/>
      <c r="Y566" s="341"/>
      <c r="Z566" s="341"/>
      <c r="AA566" s="389"/>
      <c r="AB566" s="389"/>
      <c r="AC566" s="343"/>
      <c r="AD566" s="343"/>
      <c r="AE566" s="343"/>
      <c r="AF566" s="276"/>
    </row>
    <row r="567" customFormat="false" ht="15.75" hidden="false" customHeight="true" outlineLevel="0" collapsed="false">
      <c r="A567" s="276"/>
      <c r="B567" s="276"/>
      <c r="C567" s="344"/>
      <c r="D567" s="338"/>
      <c r="E567" s="338"/>
      <c r="F567" s="339"/>
      <c r="G567" s="338"/>
      <c r="H567" s="338"/>
      <c r="I567" s="338"/>
      <c r="J567" s="338"/>
      <c r="K567" s="338"/>
      <c r="L567" s="338"/>
      <c r="M567" s="338"/>
      <c r="N567" s="338"/>
      <c r="O567" s="338"/>
      <c r="P567" s="338"/>
      <c r="Q567" s="338"/>
      <c r="R567" s="338"/>
      <c r="S567" s="338"/>
      <c r="T567" s="338"/>
      <c r="U567" s="340"/>
      <c r="V567" s="340"/>
      <c r="W567" s="341"/>
      <c r="X567" s="341"/>
      <c r="Y567" s="341"/>
      <c r="Z567" s="341"/>
      <c r="AA567" s="389"/>
      <c r="AB567" s="389"/>
      <c r="AC567" s="343"/>
      <c r="AD567" s="343"/>
      <c r="AE567" s="343"/>
      <c r="AF567" s="276"/>
    </row>
    <row r="568" customFormat="false" ht="15.75" hidden="false" customHeight="true" outlineLevel="0" collapsed="false">
      <c r="A568" s="276"/>
      <c r="B568" s="276"/>
      <c r="C568" s="344"/>
      <c r="D568" s="338"/>
      <c r="E568" s="338"/>
      <c r="F568" s="339"/>
      <c r="G568" s="338"/>
      <c r="H568" s="338"/>
      <c r="I568" s="338"/>
      <c r="J568" s="338"/>
      <c r="K568" s="338"/>
      <c r="L568" s="338"/>
      <c r="M568" s="338"/>
      <c r="N568" s="338"/>
      <c r="O568" s="338"/>
      <c r="P568" s="338"/>
      <c r="Q568" s="338"/>
      <c r="R568" s="338"/>
      <c r="S568" s="338"/>
      <c r="T568" s="338"/>
      <c r="U568" s="340"/>
      <c r="V568" s="340"/>
      <c r="W568" s="341"/>
      <c r="X568" s="341"/>
      <c r="Y568" s="341"/>
      <c r="Z568" s="341"/>
      <c r="AA568" s="389"/>
      <c r="AB568" s="389"/>
      <c r="AC568" s="343"/>
      <c r="AD568" s="343"/>
      <c r="AE568" s="343"/>
      <c r="AF568" s="276"/>
    </row>
    <row r="569" customFormat="false" ht="15.75" hidden="false" customHeight="true" outlineLevel="0" collapsed="false">
      <c r="A569" s="276"/>
      <c r="B569" s="276"/>
      <c r="C569" s="344"/>
      <c r="D569" s="338"/>
      <c r="E569" s="338"/>
      <c r="F569" s="339"/>
      <c r="G569" s="338"/>
      <c r="H569" s="338"/>
      <c r="I569" s="338"/>
      <c r="J569" s="338"/>
      <c r="K569" s="338"/>
      <c r="L569" s="338"/>
      <c r="M569" s="338"/>
      <c r="N569" s="338"/>
      <c r="O569" s="338"/>
      <c r="P569" s="338"/>
      <c r="Q569" s="338"/>
      <c r="R569" s="338"/>
      <c r="S569" s="338"/>
      <c r="T569" s="338"/>
      <c r="U569" s="340"/>
      <c r="V569" s="340"/>
      <c r="W569" s="341"/>
      <c r="X569" s="341"/>
      <c r="Y569" s="341"/>
      <c r="Z569" s="341"/>
      <c r="AA569" s="389"/>
      <c r="AB569" s="389"/>
      <c r="AC569" s="343"/>
      <c r="AD569" s="343"/>
      <c r="AE569" s="343"/>
      <c r="AF569" s="276"/>
    </row>
    <row r="570" customFormat="false" ht="15.75" hidden="false" customHeight="true" outlineLevel="0" collapsed="false">
      <c r="A570" s="276"/>
      <c r="B570" s="276"/>
      <c r="C570" s="344"/>
      <c r="D570" s="338"/>
      <c r="E570" s="338"/>
      <c r="F570" s="339"/>
      <c r="G570" s="338"/>
      <c r="H570" s="338"/>
      <c r="I570" s="338"/>
      <c r="J570" s="338"/>
      <c r="K570" s="338"/>
      <c r="L570" s="338"/>
      <c r="M570" s="338"/>
      <c r="N570" s="338"/>
      <c r="O570" s="338"/>
      <c r="P570" s="338"/>
      <c r="Q570" s="338"/>
      <c r="R570" s="338"/>
      <c r="S570" s="338"/>
      <c r="T570" s="338"/>
      <c r="U570" s="340"/>
      <c r="V570" s="340"/>
      <c r="W570" s="341"/>
      <c r="X570" s="341"/>
      <c r="Y570" s="341"/>
      <c r="Z570" s="341"/>
      <c r="AA570" s="389"/>
      <c r="AB570" s="389"/>
      <c r="AC570" s="343"/>
      <c r="AD570" s="343"/>
      <c r="AE570" s="343"/>
      <c r="AF570" s="276"/>
    </row>
    <row r="571" customFormat="false" ht="15.75" hidden="false" customHeight="true" outlineLevel="0" collapsed="false">
      <c r="A571" s="276"/>
      <c r="B571" s="276"/>
      <c r="C571" s="345"/>
      <c r="D571" s="346"/>
      <c r="E571" s="346"/>
      <c r="F571" s="339"/>
      <c r="G571" s="347"/>
      <c r="H571" s="347"/>
      <c r="I571" s="347"/>
      <c r="J571" s="347"/>
      <c r="K571" s="347"/>
      <c r="L571" s="347"/>
      <c r="M571" s="347"/>
      <c r="N571" s="347"/>
      <c r="O571" s="347"/>
      <c r="P571" s="347"/>
      <c r="Q571" s="347"/>
      <c r="R571" s="347"/>
      <c r="S571" s="347"/>
      <c r="T571" s="347"/>
      <c r="U571" s="340"/>
      <c r="V571" s="340"/>
      <c r="W571" s="341"/>
      <c r="X571" s="341"/>
      <c r="Y571" s="341"/>
      <c r="Z571" s="341"/>
      <c r="AA571" s="389"/>
      <c r="AB571" s="389"/>
      <c r="AC571" s="343"/>
      <c r="AD571" s="343"/>
      <c r="AE571" s="343"/>
      <c r="AF571" s="276"/>
    </row>
    <row r="572" customFormat="false" ht="15.75" hidden="false" customHeight="true" outlineLevel="0" collapsed="false">
      <c r="A572" s="276"/>
      <c r="B572" s="276"/>
      <c r="C572" s="345"/>
      <c r="D572" s="346"/>
      <c r="E572" s="346"/>
      <c r="F572" s="339"/>
      <c r="G572" s="347"/>
      <c r="H572" s="347"/>
      <c r="I572" s="347"/>
      <c r="J572" s="347"/>
      <c r="K572" s="347"/>
      <c r="L572" s="347"/>
      <c r="M572" s="347"/>
      <c r="N572" s="347"/>
      <c r="O572" s="347"/>
      <c r="P572" s="347"/>
      <c r="Q572" s="347"/>
      <c r="R572" s="347"/>
      <c r="S572" s="347"/>
      <c r="T572" s="347"/>
      <c r="U572" s="340"/>
      <c r="V572" s="340"/>
      <c r="W572" s="341"/>
      <c r="X572" s="341"/>
      <c r="Y572" s="341"/>
      <c r="Z572" s="341"/>
      <c r="AA572" s="389"/>
      <c r="AB572" s="389"/>
      <c r="AC572" s="343"/>
      <c r="AD572" s="343"/>
      <c r="AE572" s="343"/>
      <c r="AF572" s="276"/>
    </row>
    <row r="573" customFormat="false" ht="15.75" hidden="false" customHeight="true" outlineLevel="0" collapsed="false">
      <c r="A573" s="276"/>
      <c r="B573" s="276"/>
      <c r="C573" s="345"/>
      <c r="D573" s="346"/>
      <c r="E573" s="346"/>
      <c r="F573" s="339"/>
      <c r="G573" s="347"/>
      <c r="H573" s="347"/>
      <c r="I573" s="347"/>
      <c r="J573" s="347"/>
      <c r="K573" s="347"/>
      <c r="L573" s="347"/>
      <c r="M573" s="347"/>
      <c r="N573" s="347"/>
      <c r="O573" s="347"/>
      <c r="P573" s="347"/>
      <c r="Q573" s="347"/>
      <c r="R573" s="347"/>
      <c r="S573" s="347"/>
      <c r="T573" s="347"/>
      <c r="U573" s="340"/>
      <c r="V573" s="340"/>
      <c r="W573" s="341"/>
      <c r="X573" s="341"/>
      <c r="Y573" s="341"/>
      <c r="Z573" s="341"/>
      <c r="AA573" s="389"/>
      <c r="AB573" s="389"/>
      <c r="AC573" s="343"/>
      <c r="AD573" s="343"/>
      <c r="AE573" s="343"/>
      <c r="AF573" s="276"/>
    </row>
    <row r="574" customFormat="false" ht="15.75" hidden="false" customHeight="true" outlineLevel="0" collapsed="false">
      <c r="A574" s="276"/>
      <c r="B574" s="276"/>
      <c r="C574" s="345"/>
      <c r="D574" s="346"/>
      <c r="E574" s="346"/>
      <c r="F574" s="339"/>
      <c r="G574" s="347"/>
      <c r="H574" s="347"/>
      <c r="I574" s="347"/>
      <c r="J574" s="347"/>
      <c r="K574" s="347"/>
      <c r="L574" s="347"/>
      <c r="M574" s="347"/>
      <c r="N574" s="347"/>
      <c r="O574" s="347"/>
      <c r="P574" s="347"/>
      <c r="Q574" s="347"/>
      <c r="R574" s="347"/>
      <c r="S574" s="347"/>
      <c r="T574" s="347"/>
      <c r="U574" s="340"/>
      <c r="V574" s="340"/>
      <c r="W574" s="341"/>
      <c r="X574" s="341"/>
      <c r="Y574" s="341"/>
      <c r="Z574" s="341"/>
      <c r="AA574" s="389"/>
      <c r="AB574" s="389"/>
      <c r="AC574" s="343"/>
      <c r="AD574" s="343"/>
      <c r="AE574" s="343"/>
      <c r="AF574" s="276"/>
    </row>
    <row r="575" customFormat="false" ht="15.75" hidden="false" customHeight="true" outlineLevel="0" collapsed="false">
      <c r="A575" s="276"/>
      <c r="B575" s="276"/>
      <c r="C575" s="345"/>
      <c r="D575" s="346"/>
      <c r="E575" s="346"/>
      <c r="F575" s="339"/>
      <c r="G575" s="347"/>
      <c r="H575" s="347"/>
      <c r="I575" s="347"/>
      <c r="J575" s="347"/>
      <c r="K575" s="347"/>
      <c r="L575" s="347"/>
      <c r="M575" s="347"/>
      <c r="N575" s="347"/>
      <c r="O575" s="347"/>
      <c r="P575" s="347"/>
      <c r="Q575" s="347"/>
      <c r="R575" s="347"/>
      <c r="S575" s="347"/>
      <c r="T575" s="347"/>
      <c r="U575" s="340"/>
      <c r="V575" s="340"/>
      <c r="W575" s="341"/>
      <c r="X575" s="341"/>
      <c r="Y575" s="341"/>
      <c r="Z575" s="341"/>
      <c r="AA575" s="389"/>
      <c r="AB575" s="389"/>
      <c r="AC575" s="343"/>
      <c r="AD575" s="343"/>
      <c r="AE575" s="343"/>
      <c r="AF575" s="276"/>
    </row>
    <row r="576" customFormat="false" ht="15.75" hidden="false" customHeight="true" outlineLevel="0" collapsed="false">
      <c r="A576" s="276"/>
      <c r="B576" s="276"/>
      <c r="C576" s="345"/>
      <c r="D576" s="346"/>
      <c r="E576" s="346"/>
      <c r="F576" s="339"/>
      <c r="G576" s="347"/>
      <c r="H576" s="347"/>
      <c r="I576" s="347"/>
      <c r="J576" s="347"/>
      <c r="K576" s="347"/>
      <c r="L576" s="347"/>
      <c r="M576" s="347"/>
      <c r="N576" s="347"/>
      <c r="O576" s="347"/>
      <c r="P576" s="347"/>
      <c r="Q576" s="347"/>
      <c r="R576" s="347"/>
      <c r="S576" s="347"/>
      <c r="T576" s="347"/>
      <c r="U576" s="340"/>
      <c r="V576" s="340"/>
      <c r="W576" s="341"/>
      <c r="X576" s="341"/>
      <c r="Y576" s="341"/>
      <c r="Z576" s="341"/>
      <c r="AA576" s="389"/>
      <c r="AB576" s="389"/>
      <c r="AC576" s="343"/>
      <c r="AD576" s="343"/>
      <c r="AE576" s="343"/>
      <c r="AF576" s="276"/>
    </row>
    <row r="577" customFormat="false" ht="15.75" hidden="false" customHeight="true" outlineLevel="0" collapsed="false">
      <c r="A577" s="276"/>
      <c r="B577" s="276"/>
      <c r="C577" s="345"/>
      <c r="D577" s="346"/>
      <c r="E577" s="346"/>
      <c r="F577" s="339"/>
      <c r="G577" s="347"/>
      <c r="H577" s="347"/>
      <c r="I577" s="347"/>
      <c r="J577" s="347"/>
      <c r="K577" s="347"/>
      <c r="L577" s="347"/>
      <c r="M577" s="347"/>
      <c r="N577" s="347"/>
      <c r="O577" s="347"/>
      <c r="P577" s="347"/>
      <c r="Q577" s="347"/>
      <c r="R577" s="347"/>
      <c r="S577" s="347"/>
      <c r="T577" s="347"/>
      <c r="U577" s="340"/>
      <c r="V577" s="340"/>
      <c r="W577" s="341"/>
      <c r="X577" s="341"/>
      <c r="Y577" s="341"/>
      <c r="Z577" s="341"/>
      <c r="AA577" s="389"/>
      <c r="AB577" s="389"/>
      <c r="AC577" s="343"/>
      <c r="AD577" s="343"/>
      <c r="AE577" s="343"/>
      <c r="AF577" s="276"/>
    </row>
    <row r="578" customFormat="false" ht="15.75" hidden="false" customHeight="true" outlineLevel="0" collapsed="false">
      <c r="A578" s="276"/>
      <c r="B578" s="276"/>
      <c r="C578" s="344"/>
      <c r="D578" s="346"/>
      <c r="E578" s="346"/>
      <c r="F578" s="339"/>
      <c r="G578" s="347"/>
      <c r="H578" s="347"/>
      <c r="I578" s="347"/>
      <c r="J578" s="347"/>
      <c r="K578" s="347"/>
      <c r="L578" s="347"/>
      <c r="M578" s="347"/>
      <c r="N578" s="347"/>
      <c r="O578" s="347"/>
      <c r="P578" s="347"/>
      <c r="Q578" s="347"/>
      <c r="R578" s="347"/>
      <c r="S578" s="347"/>
      <c r="T578" s="347"/>
      <c r="U578" s="340"/>
      <c r="V578" s="340"/>
      <c r="W578" s="341"/>
      <c r="X578" s="341"/>
      <c r="Y578" s="341"/>
      <c r="Z578" s="341"/>
      <c r="AA578" s="389"/>
      <c r="AB578" s="389"/>
      <c r="AC578" s="343"/>
      <c r="AD578" s="343"/>
      <c r="AE578" s="343"/>
      <c r="AF578" s="276"/>
    </row>
    <row r="579" customFormat="false" ht="15.75" hidden="false" customHeight="true" outlineLevel="0" collapsed="false">
      <c r="A579" s="276"/>
      <c r="B579" s="276"/>
      <c r="C579" s="344"/>
      <c r="D579" s="346"/>
      <c r="E579" s="346"/>
      <c r="F579" s="339"/>
      <c r="G579" s="347"/>
      <c r="H579" s="347"/>
      <c r="I579" s="347"/>
      <c r="J579" s="347"/>
      <c r="K579" s="347"/>
      <c r="L579" s="347"/>
      <c r="M579" s="347"/>
      <c r="N579" s="347"/>
      <c r="O579" s="347"/>
      <c r="P579" s="347"/>
      <c r="Q579" s="347"/>
      <c r="R579" s="347"/>
      <c r="S579" s="347"/>
      <c r="T579" s="347"/>
      <c r="U579" s="340"/>
      <c r="V579" s="340"/>
      <c r="W579" s="341"/>
      <c r="X579" s="341"/>
      <c r="Y579" s="341"/>
      <c r="Z579" s="341"/>
      <c r="AA579" s="389"/>
      <c r="AB579" s="389"/>
      <c r="AC579" s="343"/>
      <c r="AD579" s="343"/>
      <c r="AE579" s="343"/>
      <c r="AF579" s="276"/>
    </row>
    <row r="580" customFormat="false" ht="15.75" hidden="false" customHeight="true" outlineLevel="0" collapsed="false">
      <c r="A580" s="276"/>
      <c r="B580" s="276"/>
      <c r="C580" s="345"/>
      <c r="D580" s="346"/>
      <c r="E580" s="346"/>
      <c r="F580" s="339"/>
      <c r="G580" s="347"/>
      <c r="H580" s="347"/>
      <c r="I580" s="347"/>
      <c r="J580" s="347"/>
      <c r="K580" s="347"/>
      <c r="L580" s="347"/>
      <c r="M580" s="347"/>
      <c r="N580" s="347"/>
      <c r="O580" s="347"/>
      <c r="P580" s="347"/>
      <c r="Q580" s="347"/>
      <c r="R580" s="347"/>
      <c r="S580" s="347"/>
      <c r="T580" s="347"/>
      <c r="U580" s="340"/>
      <c r="V580" s="340"/>
      <c r="W580" s="341"/>
      <c r="X580" s="341"/>
      <c r="Y580" s="341"/>
      <c r="Z580" s="341"/>
      <c r="AA580" s="389"/>
      <c r="AB580" s="389"/>
      <c r="AC580" s="343"/>
      <c r="AD580" s="343"/>
      <c r="AE580" s="343"/>
      <c r="AF580" s="276"/>
    </row>
    <row r="581" customFormat="false" ht="15.75" hidden="false" customHeight="true" outlineLevel="0" collapsed="false">
      <c r="A581" s="276"/>
      <c r="B581" s="276"/>
      <c r="C581" s="345"/>
      <c r="D581" s="346"/>
      <c r="E581" s="346"/>
      <c r="F581" s="339"/>
      <c r="G581" s="347"/>
      <c r="H581" s="347"/>
      <c r="I581" s="347"/>
      <c r="J581" s="347"/>
      <c r="K581" s="347"/>
      <c r="L581" s="347"/>
      <c r="M581" s="347"/>
      <c r="N581" s="347"/>
      <c r="O581" s="347"/>
      <c r="P581" s="347"/>
      <c r="Q581" s="347"/>
      <c r="R581" s="347"/>
      <c r="S581" s="347"/>
      <c r="T581" s="347"/>
      <c r="U581" s="340"/>
      <c r="V581" s="340"/>
      <c r="W581" s="341"/>
      <c r="X581" s="341"/>
      <c r="Y581" s="341"/>
      <c r="Z581" s="341"/>
      <c r="AA581" s="389"/>
      <c r="AB581" s="389"/>
      <c r="AC581" s="343"/>
      <c r="AD581" s="343"/>
      <c r="AE581" s="343"/>
      <c r="AF581" s="276"/>
    </row>
    <row r="582" customFormat="false" ht="15.75" hidden="false" customHeight="true" outlineLevel="0" collapsed="false">
      <c r="A582" s="276"/>
      <c r="B582" s="276"/>
      <c r="C582" s="345"/>
      <c r="D582" s="346"/>
      <c r="E582" s="346"/>
      <c r="F582" s="339"/>
      <c r="G582" s="347"/>
      <c r="H582" s="347"/>
      <c r="I582" s="347"/>
      <c r="J582" s="347"/>
      <c r="K582" s="347"/>
      <c r="L582" s="347"/>
      <c r="M582" s="347"/>
      <c r="N582" s="347"/>
      <c r="O582" s="347"/>
      <c r="P582" s="347"/>
      <c r="Q582" s="347"/>
      <c r="R582" s="347"/>
      <c r="S582" s="347"/>
      <c r="T582" s="347"/>
      <c r="U582" s="340"/>
      <c r="V582" s="340"/>
      <c r="W582" s="341"/>
      <c r="X582" s="341"/>
      <c r="Y582" s="341"/>
      <c r="Z582" s="341"/>
      <c r="AA582" s="389"/>
      <c r="AB582" s="389"/>
      <c r="AC582" s="343"/>
      <c r="AD582" s="343"/>
      <c r="AE582" s="343"/>
      <c r="AF582" s="276"/>
    </row>
    <row r="583" customFormat="false" ht="15.75" hidden="false" customHeight="true" outlineLevel="0" collapsed="false">
      <c r="A583" s="276"/>
      <c r="B583" s="276"/>
      <c r="C583" s="345"/>
      <c r="D583" s="346"/>
      <c r="E583" s="346"/>
      <c r="F583" s="339"/>
      <c r="G583" s="347"/>
      <c r="H583" s="347"/>
      <c r="I583" s="347"/>
      <c r="J583" s="347"/>
      <c r="K583" s="347"/>
      <c r="L583" s="347"/>
      <c r="M583" s="347"/>
      <c r="N583" s="347"/>
      <c r="O583" s="347"/>
      <c r="P583" s="347"/>
      <c r="Q583" s="347"/>
      <c r="R583" s="347"/>
      <c r="S583" s="347"/>
      <c r="T583" s="347"/>
      <c r="U583" s="340"/>
      <c r="V583" s="340"/>
      <c r="W583" s="341"/>
      <c r="X583" s="341"/>
      <c r="Y583" s="341"/>
      <c r="Z583" s="341"/>
      <c r="AA583" s="389"/>
      <c r="AB583" s="389"/>
      <c r="AC583" s="343"/>
      <c r="AD583" s="343"/>
      <c r="AE583" s="343"/>
      <c r="AF583" s="276"/>
    </row>
    <row r="584" customFormat="false" ht="15.75" hidden="false" customHeight="true" outlineLevel="0" collapsed="false">
      <c r="A584" s="276"/>
      <c r="B584" s="276"/>
      <c r="C584" s="345"/>
      <c r="D584" s="346"/>
      <c r="E584" s="346"/>
      <c r="F584" s="339"/>
      <c r="G584" s="347"/>
      <c r="H584" s="347"/>
      <c r="I584" s="347"/>
      <c r="J584" s="347"/>
      <c r="K584" s="347"/>
      <c r="L584" s="347"/>
      <c r="M584" s="347"/>
      <c r="N584" s="347"/>
      <c r="O584" s="347"/>
      <c r="P584" s="347"/>
      <c r="Q584" s="347"/>
      <c r="R584" s="347"/>
      <c r="S584" s="347"/>
      <c r="T584" s="347"/>
      <c r="U584" s="340"/>
      <c r="V584" s="340"/>
      <c r="W584" s="341"/>
      <c r="X584" s="341"/>
      <c r="Y584" s="341"/>
      <c r="Z584" s="341"/>
      <c r="AA584" s="389"/>
      <c r="AB584" s="389"/>
      <c r="AC584" s="343"/>
      <c r="AD584" s="343"/>
      <c r="AE584" s="343"/>
      <c r="AF584" s="276"/>
    </row>
    <row r="585" customFormat="false" ht="15.75" hidden="false" customHeight="true" outlineLevel="0" collapsed="false">
      <c r="A585" s="378"/>
      <c r="B585" s="378"/>
      <c r="C585" s="348"/>
      <c r="D585" s="379"/>
      <c r="E585" s="379"/>
      <c r="F585" s="350"/>
      <c r="G585" s="380"/>
      <c r="H585" s="380"/>
      <c r="I585" s="380"/>
      <c r="J585" s="380"/>
      <c r="K585" s="380"/>
      <c r="L585" s="380"/>
      <c r="M585" s="380"/>
      <c r="N585" s="380"/>
      <c r="O585" s="380"/>
      <c r="P585" s="380"/>
      <c r="Q585" s="380"/>
      <c r="R585" s="380"/>
      <c r="S585" s="380"/>
      <c r="T585" s="380"/>
      <c r="U585" s="352"/>
      <c r="V585" s="352"/>
      <c r="W585" s="353"/>
      <c r="X585" s="353"/>
      <c r="Y585" s="353"/>
      <c r="Z585" s="353"/>
      <c r="AA585" s="390"/>
      <c r="AB585" s="390"/>
      <c r="AC585" s="355"/>
      <c r="AD585" s="355"/>
      <c r="AE585" s="355"/>
      <c r="AF585" s="276"/>
    </row>
    <row r="586" customFormat="false" ht="15.75" hidden="false" customHeight="true" outlineLevel="0" collapsed="false">
      <c r="A586" s="378"/>
      <c r="B586" s="378"/>
      <c r="C586" s="338"/>
      <c r="D586" s="382"/>
      <c r="E586" s="382"/>
      <c r="F586" s="383"/>
      <c r="G586" s="383"/>
      <c r="H586" s="383"/>
      <c r="I586" s="383"/>
      <c r="J586" s="383"/>
      <c r="K586" s="383"/>
      <c r="L586" s="383"/>
      <c r="M586" s="383"/>
      <c r="N586" s="383"/>
      <c r="O586" s="383"/>
      <c r="P586" s="383"/>
      <c r="Q586" s="383"/>
      <c r="R586" s="383"/>
      <c r="S586" s="383"/>
      <c r="T586" s="383"/>
      <c r="U586" s="384"/>
      <c r="V586" s="384"/>
      <c r="W586" s="385"/>
      <c r="X586" s="385"/>
      <c r="Y586" s="385"/>
      <c r="Z586" s="296" t="s">
        <v>25</v>
      </c>
      <c r="AA586" s="276"/>
      <c r="AB586" s="358" t="n">
        <f aca="false">SUM(AC411:AE447)+SUM(AC457:AE493)+SUM(AC503:AE539)+SUM(AC549:AE556)</f>
        <v>0</v>
      </c>
      <c r="AC586" s="358"/>
      <c r="AD586" s="358"/>
      <c r="AE586" s="358"/>
      <c r="AF586" s="386"/>
    </row>
    <row r="587" customFormat="false" ht="15.75" hidden="false" customHeight="true" outlineLevel="0" collapsed="false">
      <c r="A587" s="378"/>
      <c r="B587" s="378"/>
      <c r="C587" s="338"/>
      <c r="D587" s="382"/>
      <c r="E587" s="382"/>
      <c r="F587" s="383"/>
      <c r="G587" s="383"/>
      <c r="H587" s="383"/>
      <c r="I587" s="383"/>
      <c r="J587" s="383"/>
      <c r="K587" s="383"/>
      <c r="L587" s="383"/>
      <c r="M587" s="383"/>
      <c r="N587" s="383"/>
      <c r="O587" s="383"/>
      <c r="P587" s="383"/>
      <c r="Q587" s="383"/>
      <c r="R587" s="383"/>
      <c r="S587" s="383"/>
      <c r="T587" s="383"/>
      <c r="U587" s="384"/>
      <c r="V587" s="384"/>
      <c r="W587" s="385"/>
      <c r="X587" s="385"/>
      <c r="Y587" s="385"/>
      <c r="Z587" s="385"/>
      <c r="AA587" s="387"/>
      <c r="AB587" s="387"/>
      <c r="AC587" s="388"/>
      <c r="AD587" s="388"/>
      <c r="AE587" s="388"/>
      <c r="AF587" s="386"/>
    </row>
    <row r="588" customFormat="false" ht="15.75" hidden="false" customHeight="true" outlineLevel="0" collapsed="false">
      <c r="A588" s="364"/>
      <c r="B588" s="364"/>
      <c r="C588" s="365"/>
      <c r="D588" s="366"/>
      <c r="E588" s="366"/>
      <c r="F588" s="367"/>
      <c r="G588" s="367"/>
      <c r="H588" s="367"/>
      <c r="I588" s="367"/>
      <c r="J588" s="367"/>
      <c r="K588" s="367"/>
      <c r="L588" s="367"/>
      <c r="M588" s="367"/>
      <c r="N588" s="367"/>
      <c r="O588" s="367"/>
      <c r="P588" s="367"/>
      <c r="Q588" s="367"/>
      <c r="R588" s="367"/>
      <c r="S588" s="367"/>
      <c r="T588" s="367"/>
      <c r="U588" s="368"/>
      <c r="V588" s="368"/>
      <c r="W588" s="369"/>
      <c r="X588" s="369"/>
      <c r="Y588" s="369"/>
      <c r="Z588" s="369"/>
      <c r="AA588" s="370"/>
      <c r="AB588" s="370"/>
      <c r="AC588" s="371"/>
      <c r="AD588" s="371"/>
      <c r="AE588" s="371"/>
      <c r="AF588" s="372"/>
    </row>
    <row r="589" customFormat="false" ht="15.75" hidden="false" customHeight="true" outlineLevel="0" collapsed="false">
      <c r="A589" s="259" t="s">
        <v>1522</v>
      </c>
      <c r="B589" s="259"/>
      <c r="C589" s="323" t="n">
        <f aca="false">$C$5</f>
        <v>14312</v>
      </c>
      <c r="D589" s="323"/>
      <c r="E589" s="323"/>
      <c r="F589" s="323"/>
      <c r="G589" s="323"/>
      <c r="H589" s="323"/>
      <c r="I589" s="323"/>
      <c r="J589" s="323"/>
      <c r="K589" s="323"/>
      <c r="L589" s="323"/>
      <c r="M589" s="259" t="s">
        <v>1523</v>
      </c>
      <c r="N589" s="259"/>
      <c r="O589" s="259"/>
      <c r="P589" s="259"/>
      <c r="Q589" s="259"/>
      <c r="R589" s="324" t="str">
        <f aca="false">$R$5</f>
        <v>Operational Vehicle Laydown Area</v>
      </c>
      <c r="S589" s="324"/>
      <c r="T589" s="324"/>
      <c r="U589" s="324"/>
      <c r="V589" s="324"/>
      <c r="W589" s="324"/>
      <c r="X589" s="324"/>
      <c r="Y589" s="324"/>
      <c r="Z589" s="324"/>
      <c r="AA589" s="324"/>
      <c r="AB589" s="324"/>
      <c r="AC589" s="324"/>
      <c r="AD589" s="324"/>
      <c r="AE589" s="324"/>
      <c r="AF589" s="324"/>
    </row>
    <row r="590" customFormat="false" ht="15.75" hidden="false" customHeight="true" outlineLevel="0" collapsed="false">
      <c r="A590" s="276"/>
      <c r="B590" s="276"/>
      <c r="C590" s="296"/>
      <c r="D590" s="276"/>
      <c r="E590" s="276"/>
      <c r="F590" s="296"/>
      <c r="G590" s="276"/>
      <c r="H590" s="276"/>
      <c r="I590" s="276"/>
      <c r="J590" s="276"/>
      <c r="K590" s="276"/>
      <c r="L590" s="276"/>
      <c r="M590" s="276"/>
      <c r="N590" s="276"/>
      <c r="O590" s="276"/>
      <c r="P590" s="276"/>
      <c r="Q590" s="276"/>
      <c r="R590" s="276"/>
      <c r="S590" s="276"/>
      <c r="T590" s="276"/>
      <c r="U590" s="276"/>
      <c r="V590" s="276"/>
      <c r="W590" s="277"/>
      <c r="X590" s="277"/>
      <c r="Y590" s="276"/>
      <c r="Z590" s="276"/>
      <c r="AA590" s="276"/>
      <c r="AB590" s="276"/>
      <c r="AC590" s="277"/>
      <c r="AD590" s="277"/>
      <c r="AE590" s="277"/>
      <c r="AF590" s="276"/>
    </row>
    <row r="591" customFormat="false" ht="15.75" hidden="false" customHeight="true" outlineLevel="0" collapsed="false">
      <c r="A591" s="276"/>
      <c r="B591" s="276"/>
      <c r="C591" s="325" t="s">
        <v>1542</v>
      </c>
      <c r="D591" s="276"/>
      <c r="E591" s="276"/>
      <c r="F591" s="296"/>
      <c r="G591" s="276"/>
      <c r="H591" s="276"/>
      <c r="I591" s="276"/>
      <c r="J591" s="276"/>
      <c r="K591" s="276"/>
      <c r="L591" s="276"/>
      <c r="M591" s="276"/>
      <c r="N591" s="276"/>
      <c r="O591" s="276"/>
      <c r="P591" s="276"/>
      <c r="Q591" s="276"/>
      <c r="R591" s="276"/>
      <c r="S591" s="276"/>
      <c r="T591" s="276"/>
      <c r="U591" s="276"/>
      <c r="V591" s="276"/>
      <c r="W591" s="277"/>
      <c r="X591" s="277"/>
      <c r="Y591" s="276"/>
      <c r="Z591" s="276"/>
      <c r="AA591" s="276"/>
      <c r="AB591" s="276"/>
      <c r="AC591" s="277"/>
      <c r="AD591" s="277"/>
      <c r="AE591" s="277"/>
      <c r="AF591" s="276"/>
    </row>
    <row r="592" customFormat="false" ht="15.75" hidden="false" customHeight="true" outlineLevel="0" collapsed="false">
      <c r="A592" s="276"/>
      <c r="B592" s="276"/>
      <c r="C592" s="391" t="n">
        <f aca="false">B24</f>
        <v>0</v>
      </c>
      <c r="D592" s="391"/>
      <c r="E592" s="391"/>
      <c r="F592" s="327" t="n">
        <f aca="false">E24</f>
        <v>0</v>
      </c>
      <c r="G592" s="327"/>
      <c r="H592" s="327"/>
      <c r="I592" s="327"/>
      <c r="J592" s="327"/>
      <c r="K592" s="327"/>
      <c r="L592" s="327"/>
      <c r="M592" s="327"/>
      <c r="N592" s="328"/>
      <c r="O592" s="329"/>
      <c r="P592" s="329"/>
      <c r="Q592" s="329"/>
      <c r="R592" s="329"/>
      <c r="S592" s="330"/>
      <c r="T592" s="295"/>
      <c r="U592" s="295"/>
      <c r="V592" s="295"/>
      <c r="W592" s="331"/>
      <c r="X592" s="331"/>
      <c r="Y592" s="295"/>
      <c r="Z592" s="295"/>
      <c r="AA592" s="295"/>
      <c r="AB592" s="295"/>
      <c r="AC592" s="332"/>
      <c r="AD592" s="332"/>
      <c r="AE592" s="332"/>
      <c r="AF592" s="276"/>
    </row>
    <row r="593" customFormat="false" ht="15.75" hidden="false" customHeight="true" outlineLevel="0" collapsed="false">
      <c r="A593" s="276"/>
      <c r="B593" s="276"/>
      <c r="C593" s="333" t="s">
        <v>1055</v>
      </c>
      <c r="D593" s="333"/>
      <c r="E593" s="333"/>
      <c r="F593" s="334" t="s">
        <v>13</v>
      </c>
      <c r="G593" s="334"/>
      <c r="H593" s="334"/>
      <c r="I593" s="334"/>
      <c r="J593" s="334"/>
      <c r="K593" s="334"/>
      <c r="L593" s="334"/>
      <c r="M593" s="334"/>
      <c r="N593" s="334"/>
      <c r="O593" s="334"/>
      <c r="P593" s="334"/>
      <c r="Q593" s="334"/>
      <c r="R593" s="334"/>
      <c r="S593" s="334"/>
      <c r="T593" s="334"/>
      <c r="U593" s="335" t="s">
        <v>1543</v>
      </c>
      <c r="V593" s="335"/>
      <c r="W593" s="335" t="s">
        <v>1544</v>
      </c>
      <c r="X593" s="335"/>
      <c r="Y593" s="335" t="s">
        <v>1545</v>
      </c>
      <c r="Z593" s="335"/>
      <c r="AA593" s="335" t="s">
        <v>1546</v>
      </c>
      <c r="AB593" s="335"/>
      <c r="AC593" s="336" t="s">
        <v>1547</v>
      </c>
      <c r="AD593" s="336"/>
      <c r="AE593" s="336"/>
      <c r="AF593" s="276"/>
    </row>
    <row r="594" customFormat="false" ht="15.75" hidden="false" customHeight="true" outlineLevel="0" collapsed="false">
      <c r="A594" s="276"/>
      <c r="B594" s="276"/>
      <c r="C594" s="333"/>
      <c r="D594" s="333"/>
      <c r="E594" s="333"/>
      <c r="F594" s="334"/>
      <c r="G594" s="334"/>
      <c r="H594" s="334"/>
      <c r="I594" s="334"/>
      <c r="J594" s="334"/>
      <c r="K594" s="334"/>
      <c r="L594" s="334"/>
      <c r="M594" s="334"/>
      <c r="N594" s="334"/>
      <c r="O594" s="334"/>
      <c r="P594" s="334"/>
      <c r="Q594" s="334"/>
      <c r="R594" s="334"/>
      <c r="S594" s="334"/>
      <c r="T594" s="334"/>
      <c r="U594" s="335"/>
      <c r="V594" s="335"/>
      <c r="W594" s="335"/>
      <c r="X594" s="335"/>
      <c r="Y594" s="335"/>
      <c r="Z594" s="335"/>
      <c r="AA594" s="335"/>
      <c r="AB594" s="335"/>
      <c r="AC594" s="336"/>
      <c r="AD594" s="336"/>
      <c r="AE594" s="336"/>
      <c r="AF594" s="276"/>
    </row>
    <row r="595" customFormat="false" ht="15.75" hidden="false" customHeight="true" outlineLevel="0" collapsed="false">
      <c r="A595" s="276"/>
      <c r="B595" s="276"/>
      <c r="C595" s="337" t="s">
        <v>1548</v>
      </c>
      <c r="D595" s="338"/>
      <c r="E595" s="338"/>
      <c r="F595" s="339" t="str">
        <f aca="false">IFERROR(VLOOKUP(C595,TE!$H:$Y,2,FALSE()),"(Not on TE)")</f>
        <v>(Not on TE)</v>
      </c>
      <c r="G595" s="338"/>
      <c r="H595" s="338"/>
      <c r="I595" s="338"/>
      <c r="J595" s="338"/>
      <c r="K595" s="338"/>
      <c r="L595" s="338"/>
      <c r="M595" s="338"/>
      <c r="N595" s="338"/>
      <c r="O595" s="338"/>
      <c r="P595" s="338"/>
      <c r="Q595" s="338"/>
      <c r="R595" s="338"/>
      <c r="S595" s="338"/>
      <c r="T595" s="338"/>
      <c r="U595" s="340" t="str">
        <f aca="false">IFERROR(VLOOKUP(C595,TE!$H:$Y,9,FALSE()),"0")</f>
        <v>0</v>
      </c>
      <c r="V595" s="340"/>
      <c r="W595" s="341" t="n">
        <f aca="false">SUMIFS(TE!$O:$O,TE!$G:$G,$C$592,TE!$I:$I,C595,TE!$D:$D,$C$5)</f>
        <v>0</v>
      </c>
      <c r="X595" s="341"/>
      <c r="Y595" s="341" t="str">
        <f aca="false">IFERROR(VLOOKUP(C595,TE!$H:$Y,16,FALSE()),"0")</f>
        <v>0</v>
      </c>
      <c r="Z595" s="341"/>
      <c r="AA595" s="342" t="str">
        <f aca="false">IFERROR(VLOOKUP(C595,TE!$H:$Y,17,FALSE()),"0")</f>
        <v>0</v>
      </c>
      <c r="AB595" s="342"/>
      <c r="AC595" s="343" t="n">
        <f aca="false">IFERROR((W595*Y595*AA595),"")</f>
        <v>0</v>
      </c>
      <c r="AD595" s="343"/>
      <c r="AE595" s="343"/>
      <c r="AF595" s="276"/>
    </row>
    <row r="596" customFormat="false" ht="15.75" hidden="false" customHeight="true" outlineLevel="0" collapsed="false">
      <c r="A596" s="276"/>
      <c r="B596" s="276"/>
      <c r="C596" s="344" t="s">
        <v>1549</v>
      </c>
      <c r="D596" s="338"/>
      <c r="E596" s="338"/>
      <c r="F596" s="339" t="str">
        <f aca="false">IFERROR(VLOOKUP(C596,TE!$H:$Y,2,FALSE()),"(Not on TE)")</f>
        <v>(Not on TE)</v>
      </c>
      <c r="G596" s="338"/>
      <c r="H596" s="338"/>
      <c r="I596" s="338"/>
      <c r="J596" s="338"/>
      <c r="K596" s="338"/>
      <c r="L596" s="338"/>
      <c r="M596" s="338"/>
      <c r="N596" s="338"/>
      <c r="O596" s="338"/>
      <c r="P596" s="338"/>
      <c r="Q596" s="338"/>
      <c r="R596" s="338"/>
      <c r="S596" s="338"/>
      <c r="T596" s="338"/>
      <c r="U596" s="340" t="str">
        <f aca="false">IFERROR(VLOOKUP(C596,TE!$H:$Y,9,FALSE()),"0")</f>
        <v>0</v>
      </c>
      <c r="V596" s="340"/>
      <c r="W596" s="341" t="n">
        <f aca="false">SUMIFS(TE!$O:$O,TE!$G:$G,$C$592,TE!$I:$I,C596,TE!$D:$D,$C$5)</f>
        <v>0</v>
      </c>
      <c r="X596" s="341"/>
      <c r="Y596" s="341" t="str">
        <f aca="false">IFERROR(VLOOKUP(C596,TE!$H:$Y,16,FALSE()),"0")</f>
        <v>0</v>
      </c>
      <c r="Z596" s="341"/>
      <c r="AA596" s="342" t="str">
        <f aca="false">IFERROR(VLOOKUP(C596,TE!$H:$Y,17,FALSE()),"0")</f>
        <v>0</v>
      </c>
      <c r="AB596" s="342"/>
      <c r="AC596" s="343" t="n">
        <f aca="false">IFERROR((W596*Y596*AA596),"")</f>
        <v>0</v>
      </c>
      <c r="AD596" s="343"/>
      <c r="AE596" s="343"/>
      <c r="AF596" s="276"/>
    </row>
    <row r="597" customFormat="false" ht="15.75" hidden="false" customHeight="true" outlineLevel="0" collapsed="false">
      <c r="A597" s="276"/>
      <c r="B597" s="276"/>
      <c r="C597" s="344" t="s">
        <v>1550</v>
      </c>
      <c r="D597" s="338"/>
      <c r="E597" s="338"/>
      <c r="F597" s="339" t="str">
        <f aca="false">IFERROR(VLOOKUP(C597,TE!$H:$Y,2,FALSE()),"(Not on TE)")</f>
        <v>(Not on TE)</v>
      </c>
      <c r="G597" s="338"/>
      <c r="H597" s="338"/>
      <c r="I597" s="338"/>
      <c r="J597" s="338"/>
      <c r="K597" s="338"/>
      <c r="L597" s="338"/>
      <c r="M597" s="338"/>
      <c r="N597" s="338"/>
      <c r="O597" s="338"/>
      <c r="P597" s="338"/>
      <c r="Q597" s="338"/>
      <c r="R597" s="338"/>
      <c r="S597" s="338"/>
      <c r="T597" s="338"/>
      <c r="U597" s="340" t="str">
        <f aca="false">IFERROR(VLOOKUP(C597,TE!$H:$Y,9,FALSE()),"0")</f>
        <v>0</v>
      </c>
      <c r="V597" s="340"/>
      <c r="W597" s="341" t="n">
        <f aca="false">SUMIFS(TE!$O:$O,TE!$G:$G,$C$592,TE!$I:$I,C597,TE!$D:$D,$C$5)</f>
        <v>0</v>
      </c>
      <c r="X597" s="341"/>
      <c r="Y597" s="341" t="str">
        <f aca="false">IFERROR(VLOOKUP(C597,TE!$H:$Y,16,FALSE()),"0")</f>
        <v>0</v>
      </c>
      <c r="Z597" s="341"/>
      <c r="AA597" s="342" t="str">
        <f aca="false">IFERROR(VLOOKUP(C597,TE!$H:$Y,17,FALSE()),"0")</f>
        <v>0</v>
      </c>
      <c r="AB597" s="342"/>
      <c r="AC597" s="343" t="n">
        <f aca="false">IFERROR((W597*Y597*AA597),"")</f>
        <v>0</v>
      </c>
      <c r="AD597" s="343"/>
      <c r="AE597" s="343"/>
      <c r="AF597" s="276"/>
    </row>
    <row r="598" customFormat="false" ht="15.75" hidden="false" customHeight="true" outlineLevel="0" collapsed="false">
      <c r="A598" s="276"/>
      <c r="B598" s="276"/>
      <c r="C598" s="344" t="s">
        <v>1551</v>
      </c>
      <c r="D598" s="338"/>
      <c r="E598" s="338"/>
      <c r="F598" s="339" t="str">
        <f aca="false">IFERROR(VLOOKUP(C598,TE!$H:$Y,2,FALSE()),"(Not on TE)")</f>
        <v>(Not on TE)</v>
      </c>
      <c r="G598" s="338"/>
      <c r="H598" s="338"/>
      <c r="I598" s="338"/>
      <c r="J598" s="338"/>
      <c r="K598" s="338"/>
      <c r="L598" s="338"/>
      <c r="M598" s="338"/>
      <c r="N598" s="338"/>
      <c r="O598" s="338"/>
      <c r="P598" s="338"/>
      <c r="Q598" s="338"/>
      <c r="R598" s="338"/>
      <c r="S598" s="338"/>
      <c r="T598" s="338"/>
      <c r="U598" s="340" t="str">
        <f aca="false">IFERROR(VLOOKUP(C598,TE!$H:$Y,9,FALSE()),"0")</f>
        <v>0</v>
      </c>
      <c r="V598" s="340"/>
      <c r="W598" s="341" t="n">
        <f aca="false">SUMIFS(TE!$O:$O,TE!$G:$G,$C$592,TE!$I:$I,C598,TE!$D:$D,$C$5)</f>
        <v>0</v>
      </c>
      <c r="X598" s="341"/>
      <c r="Y598" s="341" t="str">
        <f aca="false">IFERROR(VLOOKUP(C598,TE!$H:$Y,16,FALSE()),"0")</f>
        <v>0</v>
      </c>
      <c r="Z598" s="341"/>
      <c r="AA598" s="342" t="str">
        <f aca="false">IFERROR(VLOOKUP(C598,TE!$H:$Y,17,FALSE()),"0")</f>
        <v>0</v>
      </c>
      <c r="AB598" s="342"/>
      <c r="AC598" s="343" t="n">
        <f aca="false">IFERROR((W598*Y598*AA598),"")</f>
        <v>0</v>
      </c>
      <c r="AD598" s="343"/>
      <c r="AE598" s="343"/>
      <c r="AF598" s="276"/>
    </row>
    <row r="599" customFormat="false" ht="15.75" hidden="false" customHeight="true" outlineLevel="0" collapsed="false">
      <c r="A599" s="276"/>
      <c r="B599" s="276"/>
      <c r="C599" s="344" t="s">
        <v>1552</v>
      </c>
      <c r="D599" s="338"/>
      <c r="E599" s="338"/>
      <c r="F599" s="339" t="str">
        <f aca="false">IFERROR(VLOOKUP(C599,TE!$H:$Y,2,FALSE()),"(Not on TE)")</f>
        <v>(Not on TE)</v>
      </c>
      <c r="G599" s="338"/>
      <c r="H599" s="338"/>
      <c r="I599" s="338"/>
      <c r="J599" s="338"/>
      <c r="K599" s="338"/>
      <c r="L599" s="338"/>
      <c r="M599" s="338"/>
      <c r="N599" s="338"/>
      <c r="O599" s="338"/>
      <c r="P599" s="338"/>
      <c r="Q599" s="338"/>
      <c r="R599" s="338"/>
      <c r="S599" s="338"/>
      <c r="T599" s="338"/>
      <c r="U599" s="340" t="str">
        <f aca="false">IFERROR(VLOOKUP(C599,TE!$H:$Y,9,FALSE()),"0")</f>
        <v>0</v>
      </c>
      <c r="V599" s="340"/>
      <c r="W599" s="341" t="n">
        <f aca="false">SUMIFS(TE!$O:$O,TE!$G:$G,$C$592,TE!$I:$I,C599,TE!$D:$D,$C$5)</f>
        <v>0</v>
      </c>
      <c r="X599" s="341"/>
      <c r="Y599" s="341" t="str">
        <f aca="false">IFERROR(VLOOKUP(C599,TE!$H:$Y,16,FALSE()),"0")</f>
        <v>0</v>
      </c>
      <c r="Z599" s="341"/>
      <c r="AA599" s="342" t="str">
        <f aca="false">IFERROR(VLOOKUP(C599,TE!$H:$Y,17,FALSE()),"0")</f>
        <v>0</v>
      </c>
      <c r="AB599" s="342"/>
      <c r="AC599" s="343" t="n">
        <f aca="false">IFERROR((W599*Y599*AA599),"")</f>
        <v>0</v>
      </c>
      <c r="AD599" s="343"/>
      <c r="AE599" s="343"/>
      <c r="AF599" s="276"/>
    </row>
    <row r="600" customFormat="false" ht="15.75" hidden="false" customHeight="true" outlineLevel="0" collapsed="false">
      <c r="A600" s="276"/>
      <c r="B600" s="276"/>
      <c r="C600" s="344" t="s">
        <v>1553</v>
      </c>
      <c r="D600" s="338"/>
      <c r="E600" s="338"/>
      <c r="F600" s="339" t="str">
        <f aca="false">IFERROR(VLOOKUP(C600,TE!$H:$Y,2,FALSE()),"(Not on TE)")</f>
        <v>(Not on TE)</v>
      </c>
      <c r="G600" s="338"/>
      <c r="H600" s="338"/>
      <c r="I600" s="338"/>
      <c r="J600" s="338"/>
      <c r="K600" s="338"/>
      <c r="L600" s="338"/>
      <c r="M600" s="338"/>
      <c r="N600" s="338"/>
      <c r="O600" s="338"/>
      <c r="P600" s="338"/>
      <c r="Q600" s="338"/>
      <c r="R600" s="338"/>
      <c r="S600" s="338"/>
      <c r="T600" s="338"/>
      <c r="U600" s="340" t="str">
        <f aca="false">IFERROR(VLOOKUP(C600,TE!$H:$Y,9,FALSE()),"0")</f>
        <v>0</v>
      </c>
      <c r="V600" s="340"/>
      <c r="W600" s="341" t="n">
        <f aca="false">SUMIFS(TE!$O:$O,TE!$G:$G,$C$592,TE!$I:$I,C600,TE!$D:$D,$C$5)</f>
        <v>0</v>
      </c>
      <c r="X600" s="341"/>
      <c r="Y600" s="341" t="str">
        <f aca="false">IFERROR(VLOOKUP(C600,TE!$H:$Y,16,FALSE()),"0")</f>
        <v>0</v>
      </c>
      <c r="Z600" s="341"/>
      <c r="AA600" s="342" t="str">
        <f aca="false">IFERROR(VLOOKUP(C600,TE!$H:$Y,17,FALSE()),"0")</f>
        <v>0</v>
      </c>
      <c r="AB600" s="342"/>
      <c r="AC600" s="343" t="n">
        <f aca="false">IFERROR((W600*Y600*AA600),"")</f>
        <v>0</v>
      </c>
      <c r="AD600" s="343"/>
      <c r="AE600" s="343"/>
      <c r="AF600" s="276"/>
    </row>
    <row r="601" customFormat="false" ht="15.75" hidden="false" customHeight="true" outlineLevel="0" collapsed="false">
      <c r="A601" s="276"/>
      <c r="B601" s="276"/>
      <c r="C601" s="344" t="s">
        <v>1554</v>
      </c>
      <c r="D601" s="338"/>
      <c r="E601" s="338"/>
      <c r="F601" s="339" t="str">
        <f aca="false">IFERROR(VLOOKUP(C601,TE!$H:$Y,2,FALSE()),"(Not on TE)")</f>
        <v>(Not on TE)</v>
      </c>
      <c r="G601" s="338"/>
      <c r="H601" s="338"/>
      <c r="I601" s="338"/>
      <c r="J601" s="338"/>
      <c r="K601" s="338"/>
      <c r="L601" s="338"/>
      <c r="M601" s="338"/>
      <c r="N601" s="338"/>
      <c r="O601" s="338"/>
      <c r="P601" s="338"/>
      <c r="Q601" s="338"/>
      <c r="R601" s="338"/>
      <c r="S601" s="338"/>
      <c r="T601" s="338"/>
      <c r="U601" s="340" t="str">
        <f aca="false">IFERROR(VLOOKUP(C601,TE!$H:$Y,9,FALSE()),"0")</f>
        <v>0</v>
      </c>
      <c r="V601" s="340"/>
      <c r="W601" s="341" t="n">
        <f aca="false">SUMIFS(TE!$O:$O,TE!$G:$G,$C$592,TE!$I:$I,C601,TE!$D:$D,$C$5)</f>
        <v>0</v>
      </c>
      <c r="X601" s="341"/>
      <c r="Y601" s="341" t="str">
        <f aca="false">IFERROR(VLOOKUP(C601,TE!$H:$Y,16,FALSE()),"0")</f>
        <v>0</v>
      </c>
      <c r="Z601" s="341"/>
      <c r="AA601" s="342" t="str">
        <f aca="false">IFERROR(VLOOKUP(C601,TE!$H:$Y,17,FALSE()),"0")</f>
        <v>0</v>
      </c>
      <c r="AB601" s="342"/>
      <c r="AC601" s="343" t="n">
        <f aca="false">IFERROR((W601*Y601*AA601),"")</f>
        <v>0</v>
      </c>
      <c r="AD601" s="343"/>
      <c r="AE601" s="343"/>
      <c r="AF601" s="276"/>
    </row>
    <row r="602" customFormat="false" ht="15.75" hidden="false" customHeight="true" outlineLevel="0" collapsed="false">
      <c r="A602" s="276"/>
      <c r="B602" s="276"/>
      <c r="C602" s="344" t="s">
        <v>1555</v>
      </c>
      <c r="D602" s="338"/>
      <c r="E602" s="338"/>
      <c r="F602" s="339" t="str">
        <f aca="false">IFERROR(VLOOKUP(C602,TE!$H:$Y,2,FALSE()),"(Not on TE)")</f>
        <v>(Not on TE)</v>
      </c>
      <c r="G602" s="338"/>
      <c r="H602" s="338"/>
      <c r="I602" s="338"/>
      <c r="J602" s="338"/>
      <c r="K602" s="338"/>
      <c r="L602" s="338"/>
      <c r="M602" s="338"/>
      <c r="N602" s="338"/>
      <c r="O602" s="338"/>
      <c r="P602" s="338"/>
      <c r="Q602" s="338"/>
      <c r="R602" s="338"/>
      <c r="S602" s="338"/>
      <c r="T602" s="338"/>
      <c r="U602" s="340" t="str">
        <f aca="false">IFERROR(VLOOKUP(C602,TE!$H:$Y,9,FALSE()),"0")</f>
        <v>0</v>
      </c>
      <c r="V602" s="340"/>
      <c r="W602" s="341" t="n">
        <f aca="false">SUMIFS(TE!$O:$O,TE!$G:$G,$C$592,TE!$I:$I,C602,TE!$D:$D,$C$5)</f>
        <v>0</v>
      </c>
      <c r="X602" s="341"/>
      <c r="Y602" s="341" t="str">
        <f aca="false">IFERROR(VLOOKUP(C602,TE!$H:$Y,16,FALSE()),"0")</f>
        <v>0</v>
      </c>
      <c r="Z602" s="341"/>
      <c r="AA602" s="342" t="str">
        <f aca="false">IFERROR(VLOOKUP(C602,TE!$H:$Y,17,FALSE()),"0")</f>
        <v>0</v>
      </c>
      <c r="AB602" s="342"/>
      <c r="AC602" s="343" t="n">
        <f aca="false">IFERROR((W602*Y602*AA602),"")</f>
        <v>0</v>
      </c>
      <c r="AD602" s="343"/>
      <c r="AE602" s="343"/>
      <c r="AF602" s="276"/>
    </row>
    <row r="603" customFormat="false" ht="15.75" hidden="false" customHeight="true" outlineLevel="0" collapsed="false">
      <c r="A603" s="276"/>
      <c r="B603" s="276"/>
      <c r="C603" s="344" t="s">
        <v>1556</v>
      </c>
      <c r="D603" s="338"/>
      <c r="E603" s="338"/>
      <c r="F603" s="339" t="str">
        <f aca="false">IFERROR(VLOOKUP(C603,TE!$H:$Y,2,FALSE()),"(Not on TE)")</f>
        <v>(Not on TE)</v>
      </c>
      <c r="G603" s="338"/>
      <c r="H603" s="338"/>
      <c r="I603" s="338"/>
      <c r="J603" s="338"/>
      <c r="K603" s="338"/>
      <c r="L603" s="338"/>
      <c r="M603" s="338"/>
      <c r="N603" s="338"/>
      <c r="O603" s="338"/>
      <c r="P603" s="338"/>
      <c r="Q603" s="338"/>
      <c r="R603" s="338"/>
      <c r="S603" s="338"/>
      <c r="T603" s="338"/>
      <c r="U603" s="340" t="str">
        <f aca="false">IFERROR(VLOOKUP(C603,TE!$H:$Y,9,FALSE()),"0")</f>
        <v>0</v>
      </c>
      <c r="V603" s="340"/>
      <c r="W603" s="341" t="n">
        <f aca="false">SUMIFS(TE!$O:$O,TE!$G:$G,$C$592,TE!$I:$I,C603,TE!$D:$D,$C$5)</f>
        <v>0</v>
      </c>
      <c r="X603" s="341"/>
      <c r="Y603" s="341" t="str">
        <f aca="false">IFERROR(VLOOKUP(C603,TE!$H:$Y,16,FALSE()),"0")</f>
        <v>0</v>
      </c>
      <c r="Z603" s="341"/>
      <c r="AA603" s="342" t="str">
        <f aca="false">IFERROR(VLOOKUP(C603,TE!$H:$Y,17,FALSE()),"0")</f>
        <v>0</v>
      </c>
      <c r="AB603" s="342"/>
      <c r="AC603" s="343" t="n">
        <f aca="false">IFERROR((W603*Y603*AA603),"")</f>
        <v>0</v>
      </c>
      <c r="AD603" s="343"/>
      <c r="AE603" s="343"/>
      <c r="AF603" s="276"/>
    </row>
    <row r="604" customFormat="false" ht="15.75" hidden="false" customHeight="true" outlineLevel="0" collapsed="false">
      <c r="A604" s="276"/>
      <c r="B604" s="276"/>
      <c r="C604" s="344" t="s">
        <v>1557</v>
      </c>
      <c r="D604" s="338"/>
      <c r="E604" s="338"/>
      <c r="F604" s="339" t="str">
        <f aca="false">IFERROR(VLOOKUP(C604,TE!$H:$Y,2,FALSE()),"(Not on TE)")</f>
        <v>(Not on TE)</v>
      </c>
      <c r="G604" s="338"/>
      <c r="H604" s="338"/>
      <c r="I604" s="338"/>
      <c r="J604" s="338"/>
      <c r="K604" s="338"/>
      <c r="L604" s="338"/>
      <c r="M604" s="338"/>
      <c r="N604" s="338"/>
      <c r="O604" s="338"/>
      <c r="P604" s="338"/>
      <c r="Q604" s="338"/>
      <c r="R604" s="338"/>
      <c r="S604" s="338"/>
      <c r="T604" s="338"/>
      <c r="U604" s="340" t="str">
        <f aca="false">IFERROR(VLOOKUP(C604,TE!$H:$Y,9,FALSE()),"0")</f>
        <v>0</v>
      </c>
      <c r="V604" s="340"/>
      <c r="W604" s="341" t="n">
        <f aca="false">SUMIFS(TE!$O:$O,TE!$G:$G,$C$592,TE!$I:$I,C604,TE!$D:$D,$C$5)</f>
        <v>0</v>
      </c>
      <c r="X604" s="341"/>
      <c r="Y604" s="341" t="str">
        <f aca="false">IFERROR(VLOOKUP(C604,TE!$H:$Y,16,FALSE()),"0")</f>
        <v>0</v>
      </c>
      <c r="Z604" s="341"/>
      <c r="AA604" s="342" t="str">
        <f aca="false">IFERROR(VLOOKUP(C604,TE!$H:$Y,17,FALSE()),"0")</f>
        <v>0</v>
      </c>
      <c r="AB604" s="342"/>
      <c r="AC604" s="343" t="n">
        <f aca="false">IFERROR((W604*Y604*AA604),"")</f>
        <v>0</v>
      </c>
      <c r="AD604" s="343"/>
      <c r="AE604" s="343"/>
      <c r="AF604" s="276"/>
    </row>
    <row r="605" customFormat="false" ht="15.75" hidden="false" customHeight="true" outlineLevel="0" collapsed="false">
      <c r="A605" s="276"/>
      <c r="B605" s="276"/>
      <c r="C605" s="344" t="s">
        <v>1558</v>
      </c>
      <c r="D605" s="338"/>
      <c r="E605" s="338"/>
      <c r="F605" s="339" t="str">
        <f aca="false">IFERROR(VLOOKUP(C605,TE!$H:$Y,2,FALSE()),"(Not on TE)")</f>
        <v>(Not on TE)</v>
      </c>
      <c r="G605" s="338"/>
      <c r="H605" s="338"/>
      <c r="I605" s="338"/>
      <c r="J605" s="338"/>
      <c r="K605" s="338"/>
      <c r="L605" s="338"/>
      <c r="M605" s="338"/>
      <c r="N605" s="338"/>
      <c r="O605" s="338"/>
      <c r="P605" s="338"/>
      <c r="Q605" s="338"/>
      <c r="R605" s="338"/>
      <c r="S605" s="338"/>
      <c r="T605" s="338"/>
      <c r="U605" s="340" t="str">
        <f aca="false">IFERROR(VLOOKUP(C605,TE!$H:$Y,9,FALSE()),"0")</f>
        <v>0</v>
      </c>
      <c r="V605" s="340"/>
      <c r="W605" s="341" t="n">
        <f aca="false">SUMIFS(TE!$O:$O,TE!$G:$G,$C$592,TE!$I:$I,C605,TE!$D:$D,$C$5)</f>
        <v>0</v>
      </c>
      <c r="X605" s="341"/>
      <c r="Y605" s="341" t="str">
        <f aca="false">IFERROR(VLOOKUP(C605,TE!$H:$Y,16,FALSE()),"0")</f>
        <v>0</v>
      </c>
      <c r="Z605" s="341"/>
      <c r="AA605" s="342" t="str">
        <f aca="false">IFERROR(VLOOKUP(C605,TE!$H:$Y,17,FALSE()),"0")</f>
        <v>0</v>
      </c>
      <c r="AB605" s="342"/>
      <c r="AC605" s="343" t="n">
        <f aca="false">IFERROR((W605*Y605*AA605),"")</f>
        <v>0</v>
      </c>
      <c r="AD605" s="343"/>
      <c r="AE605" s="343"/>
      <c r="AF605" s="276"/>
    </row>
    <row r="606" customFormat="false" ht="15.75" hidden="false" customHeight="true" outlineLevel="0" collapsed="false">
      <c r="A606" s="276"/>
      <c r="B606" s="276"/>
      <c r="C606" s="344" t="s">
        <v>1559</v>
      </c>
      <c r="D606" s="338"/>
      <c r="E606" s="338"/>
      <c r="F606" s="339" t="str">
        <f aca="false">IFERROR(VLOOKUP(C606,TE!$H:$Y,2,FALSE()),"(Not on TE)")</f>
        <v>(Not on TE)</v>
      </c>
      <c r="G606" s="338"/>
      <c r="H606" s="338"/>
      <c r="I606" s="338"/>
      <c r="J606" s="338"/>
      <c r="K606" s="338"/>
      <c r="L606" s="338"/>
      <c r="M606" s="338"/>
      <c r="N606" s="338"/>
      <c r="O606" s="338"/>
      <c r="P606" s="338"/>
      <c r="Q606" s="338"/>
      <c r="R606" s="338"/>
      <c r="S606" s="338"/>
      <c r="T606" s="338"/>
      <c r="U606" s="340" t="str">
        <f aca="false">IFERROR(VLOOKUP(C606,TE!$H:$Y,9,FALSE()),"0")</f>
        <v>0</v>
      </c>
      <c r="V606" s="340"/>
      <c r="W606" s="341" t="n">
        <f aca="false">SUMIFS(TE!$O:$O,TE!$G:$G,$C$592,TE!$I:$I,C606,TE!$D:$D,$C$5)</f>
        <v>0</v>
      </c>
      <c r="X606" s="341"/>
      <c r="Y606" s="341" t="str">
        <f aca="false">IFERROR(VLOOKUP(C606,TE!$H:$Y,16,FALSE()),"0")</f>
        <v>0</v>
      </c>
      <c r="Z606" s="341"/>
      <c r="AA606" s="342" t="str">
        <f aca="false">IFERROR(VLOOKUP(C606,TE!$H:$Y,17,FALSE()),"0")</f>
        <v>0</v>
      </c>
      <c r="AB606" s="342"/>
      <c r="AC606" s="343" t="n">
        <f aca="false">IFERROR((W606*Y606*AA606),"")</f>
        <v>0</v>
      </c>
      <c r="AD606" s="343"/>
      <c r="AE606" s="343"/>
      <c r="AF606" s="276"/>
    </row>
    <row r="607" customFormat="false" ht="15.75" hidden="false" customHeight="true" outlineLevel="0" collapsed="false">
      <c r="A607" s="276"/>
      <c r="B607" s="276"/>
      <c r="C607" s="344" t="s">
        <v>1560</v>
      </c>
      <c r="D607" s="338"/>
      <c r="E607" s="338"/>
      <c r="F607" s="339" t="str">
        <f aca="false">IFERROR(VLOOKUP(C607,TE!$H:$Y,2,FALSE()),"(Not on TE)")</f>
        <v>(Not on TE)</v>
      </c>
      <c r="G607" s="338"/>
      <c r="H607" s="338"/>
      <c r="I607" s="338"/>
      <c r="J607" s="338"/>
      <c r="K607" s="338"/>
      <c r="L607" s="338"/>
      <c r="M607" s="338"/>
      <c r="N607" s="338"/>
      <c r="O607" s="338"/>
      <c r="P607" s="338"/>
      <c r="Q607" s="338"/>
      <c r="R607" s="338"/>
      <c r="S607" s="338"/>
      <c r="T607" s="338"/>
      <c r="U607" s="340" t="str">
        <f aca="false">IFERROR(VLOOKUP(C607,TE!$H:$Y,9,FALSE()),"0")</f>
        <v>0</v>
      </c>
      <c r="V607" s="340"/>
      <c r="W607" s="341" t="n">
        <f aca="false">SUMIFS(TE!$O:$O,TE!$G:$G,$C$592,TE!$I:$I,C607,TE!$D:$D,$C$5)</f>
        <v>0</v>
      </c>
      <c r="X607" s="341"/>
      <c r="Y607" s="341" t="str">
        <f aca="false">IFERROR(VLOOKUP(C607,TE!$H:$Y,16,FALSE()),"0")</f>
        <v>0</v>
      </c>
      <c r="Z607" s="341"/>
      <c r="AA607" s="342" t="str">
        <f aca="false">IFERROR(VLOOKUP(C607,TE!$H:$Y,17,FALSE()),"0")</f>
        <v>0</v>
      </c>
      <c r="AB607" s="342"/>
      <c r="AC607" s="343" t="n">
        <f aca="false">IFERROR((W607*Y607*AA607),"")</f>
        <v>0</v>
      </c>
      <c r="AD607" s="343"/>
      <c r="AE607" s="343"/>
      <c r="AF607" s="276"/>
    </row>
    <row r="608" customFormat="false" ht="15.75" hidden="false" customHeight="true" outlineLevel="0" collapsed="false">
      <c r="A608" s="276"/>
      <c r="B608" s="276"/>
      <c r="C608" s="344" t="s">
        <v>1561</v>
      </c>
      <c r="D608" s="338"/>
      <c r="E608" s="338"/>
      <c r="F608" s="339" t="str">
        <f aca="false">IFERROR(VLOOKUP(C608,TE!$H:$Y,2,FALSE()),"(Not on TE)")</f>
        <v>(Not on TE)</v>
      </c>
      <c r="G608" s="338"/>
      <c r="H608" s="338"/>
      <c r="I608" s="338"/>
      <c r="J608" s="338"/>
      <c r="K608" s="338"/>
      <c r="L608" s="338"/>
      <c r="M608" s="338"/>
      <c r="N608" s="338"/>
      <c r="O608" s="338"/>
      <c r="P608" s="338"/>
      <c r="Q608" s="338"/>
      <c r="R608" s="338"/>
      <c r="S608" s="338"/>
      <c r="T608" s="338"/>
      <c r="U608" s="340" t="str">
        <f aca="false">IFERROR(VLOOKUP(C608,TE!$H:$Y,9,FALSE()),"0")</f>
        <v>0</v>
      </c>
      <c r="V608" s="340"/>
      <c r="W608" s="341" t="n">
        <f aca="false">SUMIFS(TE!$O:$O,TE!$G:$G,$C$592,TE!$I:$I,C608,TE!$D:$D,$C$5)</f>
        <v>0</v>
      </c>
      <c r="X608" s="341"/>
      <c r="Y608" s="341" t="str">
        <f aca="false">IFERROR(VLOOKUP(C608,TE!$H:$Y,16,FALSE()),"0")</f>
        <v>0</v>
      </c>
      <c r="Z608" s="341"/>
      <c r="AA608" s="342" t="str">
        <f aca="false">IFERROR(VLOOKUP(C608,TE!$H:$Y,17,FALSE()),"0")</f>
        <v>0</v>
      </c>
      <c r="AB608" s="342"/>
      <c r="AC608" s="343" t="n">
        <f aca="false">IFERROR((W608*Y608*AA608),"")</f>
        <v>0</v>
      </c>
      <c r="AD608" s="343"/>
      <c r="AE608" s="343"/>
      <c r="AF608" s="276"/>
    </row>
    <row r="609" customFormat="false" ht="15.75" hidden="false" customHeight="true" outlineLevel="0" collapsed="false">
      <c r="A609" s="276"/>
      <c r="B609" s="276"/>
      <c r="C609" s="344" t="s">
        <v>1562</v>
      </c>
      <c r="D609" s="338"/>
      <c r="E609" s="338"/>
      <c r="F609" s="339" t="str">
        <f aca="false">IFERROR(VLOOKUP(C609,TE!$H:$Y,2,FALSE()),"(Not on TE)")</f>
        <v>(Not on TE)</v>
      </c>
      <c r="G609" s="338"/>
      <c r="H609" s="338"/>
      <c r="I609" s="338"/>
      <c r="J609" s="338"/>
      <c r="K609" s="338"/>
      <c r="L609" s="338"/>
      <c r="M609" s="338"/>
      <c r="N609" s="338"/>
      <c r="O609" s="338"/>
      <c r="P609" s="338"/>
      <c r="Q609" s="338"/>
      <c r="R609" s="338"/>
      <c r="S609" s="338"/>
      <c r="T609" s="338"/>
      <c r="U609" s="340" t="str">
        <f aca="false">IFERROR(VLOOKUP(C609,TE!$H:$Y,9,FALSE()),"0")</f>
        <v>0</v>
      </c>
      <c r="V609" s="340"/>
      <c r="W609" s="341" t="n">
        <f aca="false">SUMIFS(TE!$O:$O,TE!$G:$G,$C$592,TE!$I:$I,C609,TE!$D:$D,$C$5)</f>
        <v>0</v>
      </c>
      <c r="X609" s="341"/>
      <c r="Y609" s="341" t="str">
        <f aca="false">IFERROR(VLOOKUP(C609,TE!$H:$Y,16,FALSE()),"0")</f>
        <v>0</v>
      </c>
      <c r="Z609" s="341"/>
      <c r="AA609" s="342" t="str">
        <f aca="false">IFERROR(VLOOKUP(C609,TE!$H:$Y,17,FALSE()),"0")</f>
        <v>0</v>
      </c>
      <c r="AB609" s="342"/>
      <c r="AC609" s="343" t="n">
        <f aca="false">IFERROR((W609*Y609*AA609),"")</f>
        <v>0</v>
      </c>
      <c r="AD609" s="343"/>
      <c r="AE609" s="343"/>
      <c r="AF609" s="276"/>
    </row>
    <row r="610" customFormat="false" ht="15.75" hidden="false" customHeight="true" outlineLevel="0" collapsed="false">
      <c r="A610" s="276"/>
      <c r="B610" s="276"/>
      <c r="C610" s="344" t="s">
        <v>1563</v>
      </c>
      <c r="D610" s="338"/>
      <c r="E610" s="338"/>
      <c r="F610" s="339" t="str">
        <f aca="false">IFERROR(VLOOKUP(C610,TE!$H:$Y,2,FALSE()),"(Not on TE)")</f>
        <v>(Not on TE)</v>
      </c>
      <c r="G610" s="338"/>
      <c r="H610" s="338"/>
      <c r="I610" s="338"/>
      <c r="J610" s="338"/>
      <c r="K610" s="338"/>
      <c r="L610" s="338"/>
      <c r="M610" s="338"/>
      <c r="N610" s="338"/>
      <c r="O610" s="338"/>
      <c r="P610" s="338"/>
      <c r="Q610" s="338"/>
      <c r="R610" s="338"/>
      <c r="S610" s="338"/>
      <c r="T610" s="338"/>
      <c r="U610" s="340" t="str">
        <f aca="false">IFERROR(VLOOKUP(C610,TE!$H:$Y,9,FALSE()),"0")</f>
        <v>0</v>
      </c>
      <c r="V610" s="340"/>
      <c r="W610" s="341" t="n">
        <f aca="false">SUMIFS(TE!$O:$O,TE!$G:$G,$C$592,TE!$I:$I,C610,TE!$D:$D,$C$5)</f>
        <v>0</v>
      </c>
      <c r="X610" s="341"/>
      <c r="Y610" s="341" t="str">
        <f aca="false">IFERROR(VLOOKUP(C610,TE!$H:$Y,16,FALSE()),"0")</f>
        <v>0</v>
      </c>
      <c r="Z610" s="341"/>
      <c r="AA610" s="342" t="str">
        <f aca="false">IFERROR(VLOOKUP(C610,TE!$H:$Y,17,FALSE()),"0")</f>
        <v>0</v>
      </c>
      <c r="AB610" s="342"/>
      <c r="AC610" s="343" t="n">
        <f aca="false">IFERROR((W610*Y610*AA610),"")</f>
        <v>0</v>
      </c>
      <c r="AD610" s="343"/>
      <c r="AE610" s="343"/>
      <c r="AF610" s="276"/>
    </row>
    <row r="611" customFormat="false" ht="15.75" hidden="false" customHeight="true" outlineLevel="0" collapsed="false">
      <c r="A611" s="276"/>
      <c r="B611" s="276"/>
      <c r="C611" s="344" t="s">
        <v>1564</v>
      </c>
      <c r="D611" s="338"/>
      <c r="E611" s="338"/>
      <c r="F611" s="339" t="str">
        <f aca="false">IFERROR(VLOOKUP(C611,TE!$H:$Y,2,FALSE()),"(Not on TE)")</f>
        <v>(Not on TE)</v>
      </c>
      <c r="G611" s="338"/>
      <c r="H611" s="338"/>
      <c r="I611" s="338"/>
      <c r="J611" s="338"/>
      <c r="K611" s="338"/>
      <c r="L611" s="338"/>
      <c r="M611" s="338"/>
      <c r="N611" s="338"/>
      <c r="O611" s="338"/>
      <c r="P611" s="338"/>
      <c r="Q611" s="338"/>
      <c r="R611" s="338"/>
      <c r="S611" s="338"/>
      <c r="T611" s="338"/>
      <c r="U611" s="340" t="str">
        <f aca="false">IFERROR(VLOOKUP(C611,TE!$H:$Y,9,FALSE()),"0")</f>
        <v>0</v>
      </c>
      <c r="V611" s="340"/>
      <c r="W611" s="341" t="n">
        <f aca="false">SUMIFS(TE!$O:$O,TE!$G:$G,$C$592,TE!$I:$I,C611,TE!$D:$D,$C$5)</f>
        <v>0</v>
      </c>
      <c r="X611" s="341"/>
      <c r="Y611" s="341" t="str">
        <f aca="false">IFERROR(VLOOKUP(C611,TE!$H:$Y,16,FALSE()),"0")</f>
        <v>0</v>
      </c>
      <c r="Z611" s="341"/>
      <c r="AA611" s="342" t="str">
        <f aca="false">IFERROR(VLOOKUP(C611,TE!$H:$Y,17,FALSE()),"0")</f>
        <v>0</v>
      </c>
      <c r="AB611" s="342"/>
      <c r="AC611" s="343" t="n">
        <f aca="false">IFERROR((W611*Y611*AA611),"")</f>
        <v>0</v>
      </c>
      <c r="AD611" s="343"/>
      <c r="AE611" s="343"/>
      <c r="AF611" s="276"/>
    </row>
    <row r="612" customFormat="false" ht="15.75" hidden="false" customHeight="true" outlineLevel="0" collapsed="false">
      <c r="A612" s="276"/>
      <c r="B612" s="276"/>
      <c r="C612" s="344" t="s">
        <v>1157</v>
      </c>
      <c r="D612" s="338"/>
      <c r="E612" s="338"/>
      <c r="F612" s="339" t="str">
        <f aca="false">IFERROR(VLOOKUP(C612,TE!$H:$Y,2,FALSE()),"(Not on TE)")</f>
        <v>(Not on TE)</v>
      </c>
      <c r="G612" s="338"/>
      <c r="H612" s="338"/>
      <c r="I612" s="338"/>
      <c r="J612" s="338"/>
      <c r="K612" s="338"/>
      <c r="L612" s="338"/>
      <c r="M612" s="338"/>
      <c r="N612" s="338"/>
      <c r="O612" s="338"/>
      <c r="P612" s="338"/>
      <c r="Q612" s="338"/>
      <c r="R612" s="338"/>
      <c r="S612" s="338"/>
      <c r="T612" s="338"/>
      <c r="U612" s="340" t="str">
        <f aca="false">IFERROR(VLOOKUP(C612,TE!$H:$Y,9,FALSE()),"0")</f>
        <v>0</v>
      </c>
      <c r="V612" s="340"/>
      <c r="W612" s="341" t="n">
        <f aca="false">SUMIFS(TE!$O:$O,TE!$G:$G,$C$592,TE!$I:$I,C612,TE!$D:$D,$C$5)</f>
        <v>0</v>
      </c>
      <c r="X612" s="341"/>
      <c r="Y612" s="341" t="str">
        <f aca="false">IFERROR(VLOOKUP(C612,TE!$H:$Y,16,FALSE()),"0")</f>
        <v>0</v>
      </c>
      <c r="Z612" s="341"/>
      <c r="AA612" s="342" t="str">
        <f aca="false">IFERROR(VLOOKUP(C612,TE!$H:$Y,17,FALSE()),"0")</f>
        <v>0</v>
      </c>
      <c r="AB612" s="342"/>
      <c r="AC612" s="343" t="n">
        <f aca="false">IFERROR((W612*Y612*AA612),"")</f>
        <v>0</v>
      </c>
      <c r="AD612" s="343"/>
      <c r="AE612" s="343"/>
      <c r="AF612" s="276"/>
    </row>
    <row r="613" customFormat="false" ht="15.75" hidden="false" customHeight="true" outlineLevel="0" collapsed="false">
      <c r="A613" s="276"/>
      <c r="B613" s="276"/>
      <c r="C613" s="344" t="s">
        <v>1565</v>
      </c>
      <c r="D613" s="338"/>
      <c r="E613" s="338"/>
      <c r="F613" s="339" t="str">
        <f aca="false">IFERROR(VLOOKUP(C613,TE!$H:$Y,2,FALSE()),"(Not on TE)")</f>
        <v>(Not on TE)</v>
      </c>
      <c r="G613" s="338"/>
      <c r="H613" s="338"/>
      <c r="I613" s="338"/>
      <c r="J613" s="338"/>
      <c r="K613" s="338"/>
      <c r="L613" s="338"/>
      <c r="M613" s="338"/>
      <c r="N613" s="338"/>
      <c r="O613" s="338"/>
      <c r="P613" s="338"/>
      <c r="Q613" s="338"/>
      <c r="R613" s="338"/>
      <c r="S613" s="338"/>
      <c r="T613" s="338"/>
      <c r="U613" s="340" t="str">
        <f aca="false">IFERROR(VLOOKUP(C613,TE!$H:$Y,9,FALSE()),"0")</f>
        <v>0</v>
      </c>
      <c r="V613" s="340"/>
      <c r="W613" s="341" t="n">
        <f aca="false">SUMIFS(TE!$O:$O,TE!$G:$G,$C$592,TE!$I:$I,C613,TE!$D:$D,$C$5)</f>
        <v>0</v>
      </c>
      <c r="X613" s="341"/>
      <c r="Y613" s="341" t="str">
        <f aca="false">IFERROR(VLOOKUP(C613,TE!$H:$Y,16,FALSE()),"0")</f>
        <v>0</v>
      </c>
      <c r="Z613" s="341"/>
      <c r="AA613" s="342" t="str">
        <f aca="false">IFERROR(VLOOKUP(C613,TE!$H:$Y,17,FALSE()),"0")</f>
        <v>0</v>
      </c>
      <c r="AB613" s="342"/>
      <c r="AC613" s="343" t="n">
        <f aca="false">IFERROR((W613*Y613*AA613),"")</f>
        <v>0</v>
      </c>
      <c r="AD613" s="343"/>
      <c r="AE613" s="343"/>
      <c r="AF613" s="276"/>
    </row>
    <row r="614" customFormat="false" ht="15.75" hidden="false" customHeight="true" outlineLevel="0" collapsed="false">
      <c r="A614" s="276"/>
      <c r="B614" s="276"/>
      <c r="C614" s="344" t="s">
        <v>1566</v>
      </c>
      <c r="D614" s="338"/>
      <c r="E614" s="338"/>
      <c r="F614" s="339" t="str">
        <f aca="false">IFERROR(VLOOKUP(C614,TE!$H:$Y,2,FALSE()),"(Not on TE)")</f>
        <v>(Not on TE)</v>
      </c>
      <c r="G614" s="338"/>
      <c r="H614" s="338"/>
      <c r="I614" s="338"/>
      <c r="J614" s="338"/>
      <c r="K614" s="338"/>
      <c r="L614" s="338"/>
      <c r="M614" s="338"/>
      <c r="N614" s="338"/>
      <c r="O614" s="338"/>
      <c r="P614" s="338"/>
      <c r="Q614" s="338"/>
      <c r="R614" s="338"/>
      <c r="S614" s="338"/>
      <c r="T614" s="338"/>
      <c r="U614" s="340" t="str">
        <f aca="false">IFERROR(VLOOKUP(C614,TE!$H:$Y,9,FALSE()),"0")</f>
        <v>0</v>
      </c>
      <c r="V614" s="340"/>
      <c r="W614" s="341" t="n">
        <f aca="false">SUMIFS(TE!$O:$O,TE!$G:$G,$C$592,TE!$I:$I,C614,TE!$D:$D,$C$5)</f>
        <v>0</v>
      </c>
      <c r="X614" s="341"/>
      <c r="Y614" s="341" t="str">
        <f aca="false">IFERROR(VLOOKUP(C614,TE!$H:$Y,16,FALSE()),"0")</f>
        <v>0</v>
      </c>
      <c r="Z614" s="341"/>
      <c r="AA614" s="342" t="str">
        <f aca="false">IFERROR(VLOOKUP(C614,TE!$H:$Y,17,FALSE()),"0")</f>
        <v>0</v>
      </c>
      <c r="AB614" s="342"/>
      <c r="AC614" s="343" t="n">
        <f aca="false">IFERROR((W614*Y614*AA614),"")</f>
        <v>0</v>
      </c>
      <c r="AD614" s="343"/>
      <c r="AE614" s="343"/>
      <c r="AF614" s="276"/>
    </row>
    <row r="615" customFormat="false" ht="15.75" hidden="false" customHeight="true" outlineLevel="0" collapsed="false">
      <c r="A615" s="276"/>
      <c r="B615" s="276"/>
      <c r="C615" s="344" t="s">
        <v>1149</v>
      </c>
      <c r="D615" s="338"/>
      <c r="E615" s="338"/>
      <c r="F615" s="339" t="str">
        <f aca="false">IFERROR(VLOOKUP(C615,TE!$H:$Y,2,FALSE()),"(Not on TE)")</f>
        <v>(Not on TE)</v>
      </c>
      <c r="G615" s="338"/>
      <c r="H615" s="338"/>
      <c r="I615" s="338"/>
      <c r="J615" s="338"/>
      <c r="K615" s="338"/>
      <c r="L615" s="338"/>
      <c r="M615" s="338"/>
      <c r="N615" s="338"/>
      <c r="O615" s="338"/>
      <c r="P615" s="338"/>
      <c r="Q615" s="338"/>
      <c r="R615" s="338"/>
      <c r="S615" s="338"/>
      <c r="T615" s="338"/>
      <c r="U615" s="340" t="str">
        <f aca="false">IFERROR(VLOOKUP(C615,TE!$H:$Y,9,FALSE()),"0")</f>
        <v>0</v>
      </c>
      <c r="V615" s="340"/>
      <c r="W615" s="341" t="n">
        <f aca="false">SUMIFS(TE!$O:$O,TE!$G:$G,$C$592,TE!$I:$I,C615,TE!$D:$D,$C$5)</f>
        <v>0</v>
      </c>
      <c r="X615" s="341"/>
      <c r="Y615" s="341" t="str">
        <f aca="false">IFERROR(VLOOKUP(C615,TE!$H:$Y,16,FALSE()),"0")</f>
        <v>0</v>
      </c>
      <c r="Z615" s="341"/>
      <c r="AA615" s="342" t="str">
        <f aca="false">IFERROR(VLOOKUP(C615,TE!$H:$Y,17,FALSE()),"0")</f>
        <v>0</v>
      </c>
      <c r="AB615" s="342"/>
      <c r="AC615" s="343" t="n">
        <f aca="false">IFERROR((W615*Y615*AA615),"")</f>
        <v>0</v>
      </c>
      <c r="AD615" s="343"/>
      <c r="AE615" s="343"/>
      <c r="AF615" s="276"/>
    </row>
    <row r="616" customFormat="false" ht="15.75" hidden="false" customHeight="true" outlineLevel="0" collapsed="false">
      <c r="A616" s="276"/>
      <c r="B616" s="276"/>
      <c r="C616" s="344" t="s">
        <v>1253</v>
      </c>
      <c r="D616" s="338"/>
      <c r="E616" s="338"/>
      <c r="F616" s="339" t="str">
        <f aca="false">IFERROR(VLOOKUP(C616,TE!$H:$Y,2,FALSE()),"(Not on TE)")</f>
        <v>(Not on TE)</v>
      </c>
      <c r="G616" s="338"/>
      <c r="H616" s="338"/>
      <c r="I616" s="338"/>
      <c r="J616" s="338"/>
      <c r="K616" s="338"/>
      <c r="L616" s="338"/>
      <c r="M616" s="338"/>
      <c r="N616" s="338"/>
      <c r="O616" s="338"/>
      <c r="P616" s="338"/>
      <c r="Q616" s="338"/>
      <c r="R616" s="338"/>
      <c r="S616" s="338"/>
      <c r="T616" s="338"/>
      <c r="U616" s="340" t="str">
        <f aca="false">IFERROR(VLOOKUP(C616,TE!$H:$Y,9,FALSE()),"0")</f>
        <v>0</v>
      </c>
      <c r="V616" s="340"/>
      <c r="W616" s="341" t="n">
        <f aca="false">SUMIFS(TE!$O:$O,TE!$G:$G,$C$592,TE!$I:$I,C616,TE!$D:$D,$C$5)</f>
        <v>0</v>
      </c>
      <c r="X616" s="341"/>
      <c r="Y616" s="341" t="str">
        <f aca="false">IFERROR(VLOOKUP(C616,TE!$H:$Y,16,FALSE()),"0")</f>
        <v>0</v>
      </c>
      <c r="Z616" s="341"/>
      <c r="AA616" s="342" t="str">
        <f aca="false">IFERROR(VLOOKUP(C616,TE!$H:$Y,17,FALSE()),"0")</f>
        <v>0</v>
      </c>
      <c r="AB616" s="342"/>
      <c r="AC616" s="343" t="n">
        <f aca="false">IFERROR((W616*Y616*AA616),"")</f>
        <v>0</v>
      </c>
      <c r="AD616" s="343"/>
      <c r="AE616" s="343"/>
      <c r="AF616" s="276"/>
    </row>
    <row r="617" customFormat="false" ht="15.75" hidden="false" customHeight="true" outlineLevel="0" collapsed="false">
      <c r="A617" s="276"/>
      <c r="B617" s="276"/>
      <c r="C617" s="345" t="s">
        <v>1255</v>
      </c>
      <c r="D617" s="346"/>
      <c r="E617" s="346"/>
      <c r="F617" s="339" t="str">
        <f aca="false">IFERROR(VLOOKUP(C617,TE!$H:$Y,2,FALSE()),"(Not on TE)")</f>
        <v>(Not on TE)</v>
      </c>
      <c r="G617" s="347"/>
      <c r="H617" s="347"/>
      <c r="I617" s="347"/>
      <c r="J617" s="347"/>
      <c r="K617" s="347"/>
      <c r="L617" s="347"/>
      <c r="M617" s="347"/>
      <c r="N617" s="347"/>
      <c r="O617" s="347"/>
      <c r="P617" s="347"/>
      <c r="Q617" s="347"/>
      <c r="R617" s="347"/>
      <c r="S617" s="347"/>
      <c r="T617" s="347"/>
      <c r="U617" s="340" t="str">
        <f aca="false">IFERROR(VLOOKUP(C617,TE!$H:$Y,9,FALSE()),"0")</f>
        <v>0</v>
      </c>
      <c r="V617" s="340"/>
      <c r="W617" s="341" t="n">
        <f aca="false">SUMIFS(TE!$O:$O,TE!$G:$G,$C$592,TE!$I:$I,C617,TE!$D:$D,$C$5)</f>
        <v>0</v>
      </c>
      <c r="X617" s="341"/>
      <c r="Y617" s="341" t="str">
        <f aca="false">IFERROR(VLOOKUP(C617,TE!$H:$Y,16,FALSE()),"0")</f>
        <v>0</v>
      </c>
      <c r="Z617" s="341"/>
      <c r="AA617" s="342" t="str">
        <f aca="false">IFERROR(VLOOKUP(C617,TE!$H:$Y,17,FALSE()),"0")</f>
        <v>0</v>
      </c>
      <c r="AB617" s="342"/>
      <c r="AC617" s="343" t="n">
        <f aca="false">IFERROR((W617*Y617*AA617),"")</f>
        <v>0</v>
      </c>
      <c r="AD617" s="343"/>
      <c r="AE617" s="343"/>
      <c r="AF617" s="276"/>
    </row>
    <row r="618" customFormat="false" ht="15.75" hidden="false" customHeight="true" outlineLevel="0" collapsed="false">
      <c r="A618" s="276"/>
      <c r="B618" s="276"/>
      <c r="C618" s="345" t="s">
        <v>1458</v>
      </c>
      <c r="D618" s="346"/>
      <c r="E618" s="346"/>
      <c r="F618" s="339" t="str">
        <f aca="false">IFERROR(VLOOKUP(C618,TE!$H:$Y,2,FALSE()),"(Not on TE)")</f>
        <v>(Not on TE)</v>
      </c>
      <c r="G618" s="347"/>
      <c r="H618" s="347"/>
      <c r="I618" s="347"/>
      <c r="J618" s="347"/>
      <c r="K618" s="347"/>
      <c r="L618" s="347"/>
      <c r="M618" s="347"/>
      <c r="N618" s="347"/>
      <c r="O618" s="347"/>
      <c r="P618" s="347"/>
      <c r="Q618" s="347"/>
      <c r="R618" s="347"/>
      <c r="S618" s="347"/>
      <c r="T618" s="347"/>
      <c r="U618" s="340" t="str">
        <f aca="false">IFERROR(VLOOKUP(C618,TE!$H:$Y,9,FALSE()),"0")</f>
        <v>0</v>
      </c>
      <c r="V618" s="340"/>
      <c r="W618" s="341" t="n">
        <f aca="false">SUMIFS(TE!$O:$O,TE!$G:$G,$C$592,TE!$I:$I,C618,TE!$D:$D,$C$5)</f>
        <v>0</v>
      </c>
      <c r="X618" s="341"/>
      <c r="Y618" s="341" t="str">
        <f aca="false">IFERROR(VLOOKUP(C618,TE!$H:$Y,16,FALSE()),"0")</f>
        <v>0</v>
      </c>
      <c r="Z618" s="341"/>
      <c r="AA618" s="342" t="str">
        <f aca="false">IFERROR(VLOOKUP(C618,TE!$H:$Y,17,FALSE()),"0")</f>
        <v>0</v>
      </c>
      <c r="AB618" s="342"/>
      <c r="AC618" s="343" t="n">
        <f aca="false">IFERROR((W618*Y618*AA618),"")</f>
        <v>0</v>
      </c>
      <c r="AD618" s="343"/>
      <c r="AE618" s="343"/>
      <c r="AF618" s="276"/>
    </row>
    <row r="619" customFormat="false" ht="15.75" hidden="false" customHeight="true" outlineLevel="0" collapsed="false">
      <c r="A619" s="276"/>
      <c r="B619" s="276"/>
      <c r="C619" s="345" t="s">
        <v>1199</v>
      </c>
      <c r="D619" s="346"/>
      <c r="E619" s="346"/>
      <c r="F619" s="339" t="str">
        <f aca="false">IFERROR(VLOOKUP(C619,TE!$H:$Y,2,FALSE()),"(Not on TE)")</f>
        <v>(Not on TE)</v>
      </c>
      <c r="G619" s="347"/>
      <c r="H619" s="347"/>
      <c r="I619" s="347"/>
      <c r="J619" s="347"/>
      <c r="K619" s="347"/>
      <c r="L619" s="347"/>
      <c r="M619" s="347"/>
      <c r="N619" s="347"/>
      <c r="O619" s="347"/>
      <c r="P619" s="347"/>
      <c r="Q619" s="347"/>
      <c r="R619" s="347"/>
      <c r="S619" s="347"/>
      <c r="T619" s="347"/>
      <c r="U619" s="340" t="str">
        <f aca="false">IFERROR(VLOOKUP(C619,TE!$H:$Y,9,FALSE()),"0")</f>
        <v>0</v>
      </c>
      <c r="V619" s="340"/>
      <c r="W619" s="341" t="n">
        <f aca="false">SUMIFS(TE!$O:$O,TE!$G:$G,$C$592,TE!$I:$I,C619,TE!$D:$D,$C$5)</f>
        <v>0</v>
      </c>
      <c r="X619" s="341"/>
      <c r="Y619" s="341" t="str">
        <f aca="false">IFERROR(VLOOKUP(C619,TE!$H:$Y,16,FALSE()),"0")</f>
        <v>0</v>
      </c>
      <c r="Z619" s="341"/>
      <c r="AA619" s="342" t="str">
        <f aca="false">IFERROR(VLOOKUP(C619,TE!$H:$Y,17,FALSE()),"0")</f>
        <v>0</v>
      </c>
      <c r="AB619" s="342"/>
      <c r="AC619" s="343" t="n">
        <f aca="false">IFERROR((W619*Y619*AA619),"")</f>
        <v>0</v>
      </c>
      <c r="AD619" s="343"/>
      <c r="AE619" s="343"/>
      <c r="AF619" s="276"/>
    </row>
    <row r="620" customFormat="false" ht="15.75" hidden="false" customHeight="true" outlineLevel="0" collapsed="false">
      <c r="A620" s="276"/>
      <c r="B620" s="276"/>
      <c r="C620" s="345" t="s">
        <v>1567</v>
      </c>
      <c r="D620" s="346"/>
      <c r="E620" s="346"/>
      <c r="F620" s="339" t="str">
        <f aca="false">IFERROR(VLOOKUP(C620,TE!$H:$Y,2,FALSE()),"(Not on TE)")</f>
        <v>(Not on TE)</v>
      </c>
      <c r="G620" s="347"/>
      <c r="H620" s="347"/>
      <c r="I620" s="347"/>
      <c r="J620" s="347"/>
      <c r="K620" s="347"/>
      <c r="L620" s="347"/>
      <c r="M620" s="347"/>
      <c r="N620" s="347"/>
      <c r="O620" s="347"/>
      <c r="P620" s="347"/>
      <c r="Q620" s="347"/>
      <c r="R620" s="347"/>
      <c r="S620" s="347"/>
      <c r="T620" s="347"/>
      <c r="U620" s="340" t="str">
        <f aca="false">IFERROR(VLOOKUP(C620,TE!$H:$Y,9,FALSE()),"0")</f>
        <v>0</v>
      </c>
      <c r="V620" s="340"/>
      <c r="W620" s="341" t="n">
        <f aca="false">SUMIFS(TE!$O:$O,TE!$G:$G,$C$592,TE!$I:$I,C620,TE!$D:$D,$C$5)</f>
        <v>0</v>
      </c>
      <c r="X620" s="341"/>
      <c r="Y620" s="341" t="str">
        <f aca="false">IFERROR(VLOOKUP(C620,TE!$H:$Y,16,FALSE()),"0")</f>
        <v>0</v>
      </c>
      <c r="Z620" s="341"/>
      <c r="AA620" s="342" t="str">
        <f aca="false">IFERROR(VLOOKUP(C620,TE!$H:$Y,17,FALSE()),"0")</f>
        <v>0</v>
      </c>
      <c r="AB620" s="342"/>
      <c r="AC620" s="343" t="n">
        <f aca="false">IFERROR((W620*Y620*AA620),"")</f>
        <v>0</v>
      </c>
      <c r="AD620" s="343"/>
      <c r="AE620" s="343"/>
      <c r="AF620" s="276"/>
    </row>
    <row r="621" customFormat="false" ht="15.75" hidden="false" customHeight="true" outlineLevel="0" collapsed="false">
      <c r="A621" s="276"/>
      <c r="B621" s="276"/>
      <c r="C621" s="345" t="s">
        <v>1568</v>
      </c>
      <c r="D621" s="346"/>
      <c r="E621" s="346"/>
      <c r="F621" s="339" t="str">
        <f aca="false">IFERROR(VLOOKUP(C621,TE!$H:$Y,2,FALSE()),"(Not on TE)")</f>
        <v>(Not on TE)</v>
      </c>
      <c r="G621" s="347"/>
      <c r="H621" s="347"/>
      <c r="I621" s="347"/>
      <c r="J621" s="347"/>
      <c r="K621" s="347"/>
      <c r="L621" s="347"/>
      <c r="M621" s="347"/>
      <c r="N621" s="347"/>
      <c r="O621" s="347"/>
      <c r="P621" s="347"/>
      <c r="Q621" s="347"/>
      <c r="R621" s="347"/>
      <c r="S621" s="347"/>
      <c r="T621" s="347"/>
      <c r="U621" s="340" t="str">
        <f aca="false">IFERROR(VLOOKUP(C621,TE!$H:$Y,9,FALSE()),"0")</f>
        <v>0</v>
      </c>
      <c r="V621" s="340"/>
      <c r="W621" s="341" t="n">
        <f aca="false">SUMIFS(TE!$O:$O,TE!$G:$G,$C$592,TE!$I:$I,C621,TE!$D:$D,$C$5)</f>
        <v>0</v>
      </c>
      <c r="X621" s="341"/>
      <c r="Y621" s="341" t="str">
        <f aca="false">IFERROR(VLOOKUP(C621,TE!$H:$Y,16,FALSE()),"0")</f>
        <v>0</v>
      </c>
      <c r="Z621" s="341"/>
      <c r="AA621" s="342" t="str">
        <f aca="false">IFERROR(VLOOKUP(C621,TE!$H:$Y,17,FALSE()),"0")</f>
        <v>0</v>
      </c>
      <c r="AB621" s="342"/>
      <c r="AC621" s="343" t="n">
        <f aca="false">IFERROR((W621*Y621*AA621),"")</f>
        <v>0</v>
      </c>
      <c r="AD621" s="343"/>
      <c r="AE621" s="343"/>
      <c r="AF621" s="276"/>
    </row>
    <row r="622" customFormat="false" ht="15.75" hidden="false" customHeight="true" outlineLevel="0" collapsed="false">
      <c r="A622" s="276"/>
      <c r="B622" s="276"/>
      <c r="C622" s="345" t="s">
        <v>1569</v>
      </c>
      <c r="D622" s="346"/>
      <c r="E622" s="346"/>
      <c r="F622" s="339" t="str">
        <f aca="false">IFERROR(VLOOKUP(C622,TE!$H:$Y,2,FALSE()),"(Not on TE)")</f>
        <v>(Not on TE)</v>
      </c>
      <c r="G622" s="347"/>
      <c r="H622" s="347"/>
      <c r="I622" s="347"/>
      <c r="J622" s="347"/>
      <c r="K622" s="347"/>
      <c r="L622" s="347"/>
      <c r="M622" s="347"/>
      <c r="N622" s="347"/>
      <c r="O622" s="347"/>
      <c r="P622" s="347"/>
      <c r="Q622" s="347"/>
      <c r="R622" s="347"/>
      <c r="S622" s="347"/>
      <c r="T622" s="347"/>
      <c r="U622" s="340" t="str">
        <f aca="false">IFERROR(VLOOKUP(C622,TE!$H:$Y,9,FALSE()),"0")</f>
        <v>0</v>
      </c>
      <c r="V622" s="340"/>
      <c r="W622" s="341" t="n">
        <f aca="false">SUMIFS(TE!$O:$O,TE!$G:$G,$C$592,TE!$I:$I,C622,TE!$D:$D,$C$5)</f>
        <v>0</v>
      </c>
      <c r="X622" s="341"/>
      <c r="Y622" s="341" t="str">
        <f aca="false">IFERROR(VLOOKUP(C622,TE!$H:$Y,16,FALSE()),"0")</f>
        <v>0</v>
      </c>
      <c r="Z622" s="341"/>
      <c r="AA622" s="342" t="str">
        <f aca="false">IFERROR(VLOOKUP(C622,TE!$H:$Y,17,FALSE()),"0")</f>
        <v>0</v>
      </c>
      <c r="AB622" s="342"/>
      <c r="AC622" s="343" t="n">
        <f aca="false">IFERROR((W622*Y622*AA622),"")</f>
        <v>0</v>
      </c>
      <c r="AD622" s="343"/>
      <c r="AE622" s="343"/>
      <c r="AF622" s="276"/>
    </row>
    <row r="623" customFormat="false" ht="15.75" hidden="false" customHeight="true" outlineLevel="0" collapsed="false">
      <c r="A623" s="276"/>
      <c r="B623" s="276"/>
      <c r="C623" s="345" t="s">
        <v>1570</v>
      </c>
      <c r="D623" s="346"/>
      <c r="E623" s="346"/>
      <c r="F623" s="339" t="str">
        <f aca="false">IFERROR(VLOOKUP(C623,TE!$H:$Y,2,FALSE()),"(Not on TE)")</f>
        <v>(Not on TE)</v>
      </c>
      <c r="G623" s="347"/>
      <c r="H623" s="347"/>
      <c r="I623" s="347"/>
      <c r="J623" s="347"/>
      <c r="K623" s="347"/>
      <c r="L623" s="347"/>
      <c r="M623" s="347"/>
      <c r="N623" s="347"/>
      <c r="O623" s="347"/>
      <c r="P623" s="347"/>
      <c r="Q623" s="347"/>
      <c r="R623" s="347"/>
      <c r="S623" s="347"/>
      <c r="T623" s="347"/>
      <c r="U623" s="340" t="str">
        <f aca="false">IFERROR(VLOOKUP(C623,TE!$H:$Y,9,FALSE()),"0")</f>
        <v>0</v>
      </c>
      <c r="V623" s="340"/>
      <c r="W623" s="341" t="n">
        <f aca="false">SUMIFS(TE!$O:$O,TE!$G:$G,$C$592,TE!$I:$I,C623,TE!$D:$D,$C$5)</f>
        <v>0</v>
      </c>
      <c r="X623" s="341"/>
      <c r="Y623" s="341" t="str">
        <f aca="false">IFERROR(VLOOKUP(C623,TE!$H:$Y,16,FALSE()),"0")</f>
        <v>0</v>
      </c>
      <c r="Z623" s="341"/>
      <c r="AA623" s="342" t="str">
        <f aca="false">IFERROR(VLOOKUP(C623,TE!$H:$Y,17,FALSE()),"0")</f>
        <v>0</v>
      </c>
      <c r="AB623" s="342"/>
      <c r="AC623" s="343" t="n">
        <f aca="false">IFERROR((W623*Y623*AA623),"")</f>
        <v>0</v>
      </c>
      <c r="AD623" s="343"/>
      <c r="AE623" s="343"/>
      <c r="AF623" s="276"/>
    </row>
    <row r="624" customFormat="false" ht="15.75" hidden="false" customHeight="true" outlineLevel="0" collapsed="false">
      <c r="A624" s="276"/>
      <c r="B624" s="276"/>
      <c r="C624" s="344" t="s">
        <v>1305</v>
      </c>
      <c r="D624" s="346"/>
      <c r="E624" s="346"/>
      <c r="F624" s="339" t="str">
        <f aca="false">IFERROR(VLOOKUP(C624,TE!$H:$Y,2,FALSE()),"(Not on TE)")</f>
        <v>(Not on TE)</v>
      </c>
      <c r="G624" s="347"/>
      <c r="H624" s="347"/>
      <c r="I624" s="347"/>
      <c r="J624" s="347"/>
      <c r="K624" s="347"/>
      <c r="L624" s="347"/>
      <c r="M624" s="347"/>
      <c r="N624" s="347"/>
      <c r="O624" s="347"/>
      <c r="P624" s="347"/>
      <c r="Q624" s="347"/>
      <c r="R624" s="347"/>
      <c r="S624" s="347"/>
      <c r="T624" s="347"/>
      <c r="U624" s="340" t="str">
        <f aca="false">IFERROR(VLOOKUP(C624,TE!$H:$Y,9,FALSE()),"0")</f>
        <v>0</v>
      </c>
      <c r="V624" s="340"/>
      <c r="W624" s="341" t="n">
        <f aca="false">SUMIFS(TE!$O:$O,TE!$G:$G,$C$592,TE!$I:$I,C624,TE!$D:$D,$C$5)</f>
        <v>0</v>
      </c>
      <c r="X624" s="341"/>
      <c r="Y624" s="341" t="str">
        <f aca="false">IFERROR(VLOOKUP(C624,TE!$H:$Y,16,FALSE()),"0")</f>
        <v>0</v>
      </c>
      <c r="Z624" s="341"/>
      <c r="AA624" s="342" t="str">
        <f aca="false">IFERROR(VLOOKUP(C624,TE!$H:$Y,17,FALSE()),"0")</f>
        <v>0</v>
      </c>
      <c r="AB624" s="342"/>
      <c r="AC624" s="343" t="n">
        <f aca="false">IFERROR((W624*Y624*AA624),"")</f>
        <v>0</v>
      </c>
      <c r="AD624" s="343"/>
      <c r="AE624" s="343"/>
      <c r="AF624" s="276"/>
    </row>
    <row r="625" customFormat="false" ht="15.75" hidden="false" customHeight="true" outlineLevel="0" collapsed="false">
      <c r="A625" s="276"/>
      <c r="B625" s="276"/>
      <c r="C625" s="344" t="s">
        <v>1104</v>
      </c>
      <c r="D625" s="346"/>
      <c r="E625" s="346"/>
      <c r="F625" s="339" t="str">
        <f aca="false">IFERROR(VLOOKUP(C625,TE!$H:$Y,2,FALSE()),"(Not on TE)")</f>
        <v>(Not on TE)</v>
      </c>
      <c r="G625" s="347"/>
      <c r="H625" s="347"/>
      <c r="I625" s="347"/>
      <c r="J625" s="347"/>
      <c r="K625" s="347"/>
      <c r="L625" s="347"/>
      <c r="M625" s="347"/>
      <c r="N625" s="347"/>
      <c r="O625" s="347"/>
      <c r="P625" s="347"/>
      <c r="Q625" s="347"/>
      <c r="R625" s="347"/>
      <c r="S625" s="347"/>
      <c r="T625" s="347"/>
      <c r="U625" s="340" t="str">
        <f aca="false">IFERROR(VLOOKUP(C625,TE!$H:$Y,9,FALSE()),"0")</f>
        <v>0</v>
      </c>
      <c r="V625" s="340"/>
      <c r="W625" s="341" t="n">
        <f aca="false">SUMIFS(TE!$O:$O,TE!$G:$G,$C$592,TE!$I:$I,C625,TE!$D:$D,$C$5)</f>
        <v>0</v>
      </c>
      <c r="X625" s="341"/>
      <c r="Y625" s="341" t="str">
        <f aca="false">IFERROR(VLOOKUP(C625,TE!$H:$Y,16,FALSE()),"0")</f>
        <v>0</v>
      </c>
      <c r="Z625" s="341"/>
      <c r="AA625" s="342" t="str">
        <f aca="false">IFERROR(VLOOKUP(C625,TE!$H:$Y,17,FALSE()),"0")</f>
        <v>0</v>
      </c>
      <c r="AB625" s="342"/>
      <c r="AC625" s="343" t="n">
        <f aca="false">IFERROR((W625*Y625*AA625),"")</f>
        <v>0</v>
      </c>
      <c r="AD625" s="343"/>
      <c r="AE625" s="343"/>
      <c r="AF625" s="276"/>
    </row>
    <row r="626" customFormat="false" ht="15.75" hidden="false" customHeight="true" outlineLevel="0" collapsed="false">
      <c r="A626" s="276"/>
      <c r="B626" s="276"/>
      <c r="C626" s="344" t="s">
        <v>1571</v>
      </c>
      <c r="D626" s="346"/>
      <c r="E626" s="346"/>
      <c r="F626" s="339" t="str">
        <f aca="false">IFERROR(VLOOKUP(C626,TE!$H:$Y,2,FALSE()),"(Not on TE)")</f>
        <v>(Not on TE)</v>
      </c>
      <c r="G626" s="347"/>
      <c r="H626" s="347"/>
      <c r="I626" s="347"/>
      <c r="J626" s="347"/>
      <c r="K626" s="347"/>
      <c r="L626" s="347"/>
      <c r="M626" s="347"/>
      <c r="N626" s="347"/>
      <c r="O626" s="347"/>
      <c r="P626" s="347"/>
      <c r="Q626" s="347"/>
      <c r="R626" s="347"/>
      <c r="S626" s="347"/>
      <c r="T626" s="347"/>
      <c r="U626" s="340" t="str">
        <f aca="false">IFERROR(VLOOKUP(C626,TE!$H:$Y,9,FALSE()),"0")</f>
        <v>0</v>
      </c>
      <c r="V626" s="340"/>
      <c r="W626" s="341" t="n">
        <f aca="false">SUMIFS(TE!$O:$O,TE!$G:$G,$C$592,TE!$I:$I,C626,TE!$D:$D,$C$5)</f>
        <v>0</v>
      </c>
      <c r="X626" s="341"/>
      <c r="Y626" s="341" t="str">
        <f aca="false">IFERROR(VLOOKUP(C626,TE!$H:$Y,16,FALSE()),"0")</f>
        <v>0</v>
      </c>
      <c r="Z626" s="341"/>
      <c r="AA626" s="342" t="str">
        <f aca="false">IFERROR(VLOOKUP(C626,TE!$H:$Y,17,FALSE()),"0")</f>
        <v>0</v>
      </c>
      <c r="AB626" s="342"/>
      <c r="AC626" s="343" t="n">
        <f aca="false">IFERROR((W626*Y626*AA626),"")</f>
        <v>0</v>
      </c>
      <c r="AD626" s="343"/>
      <c r="AE626" s="343"/>
      <c r="AF626" s="276"/>
    </row>
    <row r="627" customFormat="false" ht="15.75" hidden="false" customHeight="true" outlineLevel="0" collapsed="false">
      <c r="A627" s="276"/>
      <c r="B627" s="276"/>
      <c r="C627" s="344" t="s">
        <v>1572</v>
      </c>
      <c r="D627" s="346"/>
      <c r="E627" s="346"/>
      <c r="F627" s="339" t="str">
        <f aca="false">IFERROR(VLOOKUP(C627,TE!$H:$Y,2,FALSE()),"(Not on TE)")</f>
        <v>(Not on TE)</v>
      </c>
      <c r="G627" s="347"/>
      <c r="H627" s="347"/>
      <c r="I627" s="347"/>
      <c r="J627" s="347"/>
      <c r="K627" s="347"/>
      <c r="L627" s="347"/>
      <c r="M627" s="347"/>
      <c r="N627" s="347"/>
      <c r="O627" s="347"/>
      <c r="P627" s="347"/>
      <c r="Q627" s="347"/>
      <c r="R627" s="347"/>
      <c r="S627" s="347"/>
      <c r="T627" s="347"/>
      <c r="U627" s="340" t="str">
        <f aca="false">IFERROR(VLOOKUP(C627,TE!$H:$Y,9,FALSE()),"0")</f>
        <v>0</v>
      </c>
      <c r="V627" s="340"/>
      <c r="W627" s="341" t="n">
        <f aca="false">SUMIFS(TE!$O:$O,TE!$G:$G,$C$592,TE!$I:$I,C627,TE!$D:$D,$C$5)</f>
        <v>0</v>
      </c>
      <c r="X627" s="341"/>
      <c r="Y627" s="341" t="str">
        <f aca="false">IFERROR(VLOOKUP(C627,TE!$H:$Y,16,FALSE()),"0")</f>
        <v>0</v>
      </c>
      <c r="Z627" s="341"/>
      <c r="AA627" s="342" t="str">
        <f aca="false">IFERROR(VLOOKUP(C627,TE!$H:$Y,17,FALSE()),"0")</f>
        <v>0</v>
      </c>
      <c r="AB627" s="342"/>
      <c r="AC627" s="343" t="n">
        <f aca="false">IFERROR((W627*Y627*AA627),"")</f>
        <v>0</v>
      </c>
      <c r="AD627" s="343"/>
      <c r="AE627" s="343"/>
      <c r="AF627" s="276"/>
    </row>
    <row r="628" customFormat="false" ht="15.75" hidden="false" customHeight="true" outlineLevel="0" collapsed="false">
      <c r="A628" s="276"/>
      <c r="B628" s="276"/>
      <c r="C628" s="344" t="s">
        <v>1316</v>
      </c>
      <c r="D628" s="346"/>
      <c r="E628" s="346"/>
      <c r="F628" s="339" t="str">
        <f aca="false">IFERROR(VLOOKUP(C628,TE!$H:$Y,2,FALSE()),"(Not on TE)")</f>
        <v>(Not on TE)</v>
      </c>
      <c r="G628" s="347"/>
      <c r="H628" s="347"/>
      <c r="I628" s="347"/>
      <c r="J628" s="347"/>
      <c r="K628" s="347"/>
      <c r="L628" s="347"/>
      <c r="M628" s="347"/>
      <c r="N628" s="347"/>
      <c r="O628" s="347"/>
      <c r="P628" s="347"/>
      <c r="Q628" s="347"/>
      <c r="R628" s="347"/>
      <c r="S628" s="347"/>
      <c r="T628" s="347"/>
      <c r="U628" s="340" t="str">
        <f aca="false">IFERROR(VLOOKUP(C628,TE!$H:$Y,9,FALSE()),"0")</f>
        <v>0</v>
      </c>
      <c r="V628" s="340"/>
      <c r="W628" s="341" t="n">
        <f aca="false">SUMIFS(TE!$O:$O,TE!$G:$G,$C$592,TE!$I:$I,C628,TE!$D:$D,$C$5)</f>
        <v>0</v>
      </c>
      <c r="X628" s="341"/>
      <c r="Y628" s="341" t="str">
        <f aca="false">IFERROR(VLOOKUP(C628,TE!$H:$Y,16,FALSE()),"0")</f>
        <v>0</v>
      </c>
      <c r="Z628" s="341"/>
      <c r="AA628" s="342" t="str">
        <f aca="false">IFERROR(VLOOKUP(C628,TE!$H:$Y,17,FALSE()),"0")</f>
        <v>0</v>
      </c>
      <c r="AB628" s="342"/>
      <c r="AC628" s="343" t="n">
        <f aca="false">IFERROR((W628*Y628*AA628),"")</f>
        <v>0</v>
      </c>
      <c r="AD628" s="343"/>
      <c r="AE628" s="343"/>
      <c r="AF628" s="276"/>
    </row>
    <row r="629" customFormat="false" ht="15.75" hidden="false" customHeight="true" outlineLevel="0" collapsed="false">
      <c r="A629" s="276"/>
      <c r="B629" s="276"/>
      <c r="C629" s="345" t="s">
        <v>1573</v>
      </c>
      <c r="D629" s="346"/>
      <c r="E629" s="346"/>
      <c r="F629" s="339" t="str">
        <f aca="false">IFERROR(VLOOKUP(C629,TE!$H:$Y,2,FALSE()),"(Not on TE)")</f>
        <v>(Not on TE)</v>
      </c>
      <c r="G629" s="347"/>
      <c r="H629" s="347"/>
      <c r="I629" s="347"/>
      <c r="J629" s="347"/>
      <c r="K629" s="347"/>
      <c r="L629" s="347"/>
      <c r="M629" s="347"/>
      <c r="N629" s="347"/>
      <c r="O629" s="347"/>
      <c r="P629" s="347"/>
      <c r="Q629" s="347"/>
      <c r="R629" s="347"/>
      <c r="S629" s="347"/>
      <c r="T629" s="347"/>
      <c r="U629" s="340" t="str">
        <f aca="false">IFERROR(VLOOKUP(C629,TE!$H:$Y,9,FALSE()),"0")</f>
        <v>0</v>
      </c>
      <c r="V629" s="340"/>
      <c r="W629" s="341" t="n">
        <f aca="false">SUMIFS(TE!$O:$O,TE!$G:$G,$C$592,TE!$I:$I,C629,TE!$D:$D,$C$5)</f>
        <v>0</v>
      </c>
      <c r="X629" s="341"/>
      <c r="Y629" s="341" t="str">
        <f aca="false">IFERROR(VLOOKUP(C629,TE!$H:$Y,16,FALSE()),"0")</f>
        <v>0</v>
      </c>
      <c r="Z629" s="341"/>
      <c r="AA629" s="342" t="str">
        <f aca="false">IFERROR(VLOOKUP(C629,TE!$H:$Y,17,FALSE()),"0")</f>
        <v>0</v>
      </c>
      <c r="AB629" s="342"/>
      <c r="AC629" s="343" t="n">
        <f aca="false">IFERROR((W629*Y629*AA629),"")</f>
        <v>0</v>
      </c>
      <c r="AD629" s="343"/>
      <c r="AE629" s="343"/>
      <c r="AF629" s="276"/>
    </row>
    <row r="630" customFormat="false" ht="15.75" hidden="false" customHeight="true" outlineLevel="0" collapsed="false">
      <c r="A630" s="276"/>
      <c r="B630" s="276"/>
      <c r="C630" s="345" t="s">
        <v>1574</v>
      </c>
      <c r="D630" s="346"/>
      <c r="E630" s="346"/>
      <c r="F630" s="339" t="str">
        <f aca="false">IFERROR(VLOOKUP(C630,TE!$H:$Y,2,FALSE()),"(Not on TE)")</f>
        <v>(Not on TE)</v>
      </c>
      <c r="G630" s="347"/>
      <c r="H630" s="347"/>
      <c r="I630" s="347"/>
      <c r="J630" s="347"/>
      <c r="K630" s="347"/>
      <c r="L630" s="347"/>
      <c r="M630" s="347"/>
      <c r="N630" s="347"/>
      <c r="O630" s="347"/>
      <c r="P630" s="347"/>
      <c r="Q630" s="347"/>
      <c r="R630" s="347"/>
      <c r="S630" s="347"/>
      <c r="T630" s="347"/>
      <c r="U630" s="340" t="str">
        <f aca="false">IFERROR(VLOOKUP(C630,TE!$H:$Y,9,FALSE()),"0")</f>
        <v>0</v>
      </c>
      <c r="V630" s="340"/>
      <c r="W630" s="341" t="n">
        <f aca="false">SUMIFS(TE!$O:$O,TE!$G:$G,$C$592,TE!$I:$I,C630,TE!$D:$D,$C$5)</f>
        <v>0</v>
      </c>
      <c r="X630" s="341"/>
      <c r="Y630" s="341" t="str">
        <f aca="false">IFERROR(VLOOKUP(C630,TE!$H:$Y,16,FALSE()),"0")</f>
        <v>0</v>
      </c>
      <c r="Z630" s="341"/>
      <c r="AA630" s="342" t="str">
        <f aca="false">IFERROR(VLOOKUP(C630,TE!$H:$Y,17,FALSE()),"0")</f>
        <v>0</v>
      </c>
      <c r="AB630" s="342"/>
      <c r="AC630" s="343" t="n">
        <f aca="false">IFERROR((W630*Y630*AA630),"")</f>
        <v>0</v>
      </c>
      <c r="AD630" s="343"/>
      <c r="AE630" s="343"/>
      <c r="AF630" s="276"/>
    </row>
    <row r="631" customFormat="false" ht="15.75" hidden="false" customHeight="true" outlineLevel="0" collapsed="false">
      <c r="A631" s="276"/>
      <c r="B631" s="276"/>
      <c r="C631" s="348" t="s">
        <v>1575</v>
      </c>
      <c r="D631" s="349"/>
      <c r="E631" s="349"/>
      <c r="F631" s="350" t="str">
        <f aca="false">IFERROR(VLOOKUP(C631,TE!$H:$Y,2,FALSE()),"(Not on TE)")</f>
        <v>(Not on TE)</v>
      </c>
      <c r="G631" s="351"/>
      <c r="H631" s="351"/>
      <c r="I631" s="351"/>
      <c r="J631" s="351"/>
      <c r="K631" s="351"/>
      <c r="L631" s="351"/>
      <c r="M631" s="351"/>
      <c r="N631" s="351"/>
      <c r="O631" s="351"/>
      <c r="P631" s="351"/>
      <c r="Q631" s="351"/>
      <c r="R631" s="351"/>
      <c r="S631" s="351"/>
      <c r="T631" s="351"/>
      <c r="U631" s="352" t="str">
        <f aca="false">IFERROR(VLOOKUP(C631,TE!$H:$Y,9,FALSE()),"0")</f>
        <v>0</v>
      </c>
      <c r="V631" s="352"/>
      <c r="W631" s="353" t="n">
        <f aca="false">SUMIFS(TE!$O:$O,TE!$G:$G,$C$592,TE!$I:$I,C631,TE!$D:$D,$C$5)</f>
        <v>0</v>
      </c>
      <c r="X631" s="353"/>
      <c r="Y631" s="353" t="str">
        <f aca="false">IFERROR(VLOOKUP(C631,TE!$H:$Y,16,FALSE()),"0")</f>
        <v>0</v>
      </c>
      <c r="Z631" s="353"/>
      <c r="AA631" s="354" t="str">
        <f aca="false">IFERROR(VLOOKUP(C631,TE!$H:$Y,17,FALSE()),"0")</f>
        <v>0</v>
      </c>
      <c r="AB631" s="354"/>
      <c r="AC631" s="355" t="n">
        <f aca="false">IFERROR((W631*Y631*AA631),"")</f>
        <v>0</v>
      </c>
      <c r="AD631" s="355"/>
      <c r="AE631" s="355"/>
      <c r="AF631" s="276"/>
    </row>
    <row r="632" customFormat="false" ht="15.75" hidden="false" customHeight="true" outlineLevel="0" collapsed="false">
      <c r="A632" s="276"/>
      <c r="B632" s="276"/>
      <c r="C632" s="338"/>
      <c r="D632" s="346"/>
      <c r="E632" s="346"/>
      <c r="F632" s="347"/>
      <c r="G632" s="347"/>
      <c r="H632" s="347"/>
      <c r="I632" s="347"/>
      <c r="J632" s="347"/>
      <c r="K632" s="347"/>
      <c r="L632" s="347"/>
      <c r="M632" s="347"/>
      <c r="N632" s="347"/>
      <c r="O632" s="347"/>
      <c r="P632" s="347"/>
      <c r="Q632" s="347"/>
      <c r="R632" s="347"/>
      <c r="S632" s="347"/>
      <c r="T632" s="347"/>
      <c r="U632" s="356"/>
      <c r="V632" s="356"/>
      <c r="W632" s="357"/>
      <c r="X632" s="357"/>
      <c r="Y632" s="357"/>
      <c r="Z632" s="296"/>
      <c r="AA632" s="358" t="s">
        <v>1576</v>
      </c>
      <c r="AB632" s="358"/>
      <c r="AC632" s="358"/>
      <c r="AD632" s="358"/>
      <c r="AE632" s="358"/>
      <c r="AF632" s="276"/>
    </row>
    <row r="633" customFormat="false" ht="15.75" hidden="false" customHeight="true" outlineLevel="0" collapsed="false">
      <c r="A633" s="276"/>
      <c r="B633" s="276"/>
      <c r="C633" s="359"/>
      <c r="D633" s="349"/>
      <c r="E633" s="349"/>
      <c r="F633" s="351"/>
      <c r="G633" s="351"/>
      <c r="H633" s="351"/>
      <c r="I633" s="351"/>
      <c r="J633" s="351"/>
      <c r="K633" s="351"/>
      <c r="L633" s="351"/>
      <c r="M633" s="351"/>
      <c r="N633" s="351"/>
      <c r="O633" s="351"/>
      <c r="P633" s="351"/>
      <c r="Q633" s="351"/>
      <c r="R633" s="351"/>
      <c r="S633" s="351"/>
      <c r="T633" s="351"/>
      <c r="U633" s="360"/>
      <c r="V633" s="360"/>
      <c r="W633" s="361"/>
      <c r="X633" s="361"/>
      <c r="Y633" s="361"/>
      <c r="Z633" s="361"/>
      <c r="AA633" s="362"/>
      <c r="AB633" s="362"/>
      <c r="AC633" s="363"/>
      <c r="AD633" s="363"/>
      <c r="AE633" s="363"/>
      <c r="AF633" s="276"/>
    </row>
    <row r="634" customFormat="false" ht="15.75" hidden="false" customHeight="true" outlineLevel="0" collapsed="false">
      <c r="A634" s="364"/>
      <c r="B634" s="364"/>
      <c r="C634" s="365"/>
      <c r="D634" s="366"/>
      <c r="E634" s="366"/>
      <c r="F634" s="367"/>
      <c r="G634" s="367"/>
      <c r="H634" s="367"/>
      <c r="I634" s="367"/>
      <c r="J634" s="367"/>
      <c r="K634" s="367"/>
      <c r="L634" s="367"/>
      <c r="M634" s="367"/>
      <c r="N634" s="367"/>
      <c r="O634" s="367"/>
      <c r="P634" s="367"/>
      <c r="Q634" s="367"/>
      <c r="R634" s="367"/>
      <c r="S634" s="367"/>
      <c r="T634" s="367"/>
      <c r="U634" s="368"/>
      <c r="V634" s="368"/>
      <c r="W634" s="369"/>
      <c r="X634" s="369"/>
      <c r="Y634" s="369"/>
      <c r="Z634" s="369"/>
      <c r="AA634" s="370"/>
      <c r="AB634" s="370"/>
      <c r="AC634" s="371"/>
      <c r="AD634" s="371"/>
      <c r="AE634" s="371"/>
      <c r="AF634" s="372"/>
    </row>
    <row r="635" customFormat="false" ht="15.75" hidden="false" customHeight="true" outlineLevel="0" collapsed="false">
      <c r="A635" s="259" t="s">
        <v>1522</v>
      </c>
      <c r="B635" s="259"/>
      <c r="C635" s="323" t="n">
        <f aca="false">$C$5</f>
        <v>14312</v>
      </c>
      <c r="D635" s="323"/>
      <c r="E635" s="323"/>
      <c r="F635" s="323"/>
      <c r="G635" s="323"/>
      <c r="H635" s="323"/>
      <c r="I635" s="323"/>
      <c r="J635" s="323"/>
      <c r="K635" s="323"/>
      <c r="L635" s="323"/>
      <c r="M635" s="259" t="s">
        <v>1523</v>
      </c>
      <c r="N635" s="259"/>
      <c r="O635" s="259"/>
      <c r="P635" s="259"/>
      <c r="Q635" s="259"/>
      <c r="R635" s="324" t="str">
        <f aca="false">$R$5</f>
        <v>Operational Vehicle Laydown Area</v>
      </c>
      <c r="S635" s="324"/>
      <c r="T635" s="324"/>
      <c r="U635" s="324"/>
      <c r="V635" s="324"/>
      <c r="W635" s="324"/>
      <c r="X635" s="324"/>
      <c r="Y635" s="324"/>
      <c r="Z635" s="324"/>
      <c r="AA635" s="324"/>
      <c r="AB635" s="324"/>
      <c r="AC635" s="324"/>
      <c r="AD635" s="324"/>
      <c r="AE635" s="324"/>
      <c r="AF635" s="324"/>
    </row>
    <row r="636" customFormat="false" ht="15.75" hidden="false" customHeight="true" outlineLevel="0" collapsed="false">
      <c r="A636" s="276"/>
      <c r="B636" s="276"/>
      <c r="C636" s="296"/>
      <c r="D636" s="276"/>
      <c r="E636" s="276"/>
      <c r="F636" s="296"/>
      <c r="G636" s="276"/>
      <c r="H636" s="276"/>
      <c r="I636" s="276"/>
      <c r="J636" s="276"/>
      <c r="K636" s="276"/>
      <c r="L636" s="276"/>
      <c r="M636" s="276"/>
      <c r="N636" s="276"/>
      <c r="O636" s="276"/>
      <c r="P636" s="276"/>
      <c r="Q636" s="276"/>
      <c r="R636" s="276"/>
      <c r="S636" s="276"/>
      <c r="T636" s="276"/>
      <c r="U636" s="276"/>
      <c r="V636" s="276"/>
      <c r="W636" s="277"/>
      <c r="X636" s="277"/>
      <c r="Y636" s="276"/>
      <c r="Z636" s="276"/>
      <c r="AA636" s="276"/>
      <c r="AB636" s="276"/>
      <c r="AC636" s="277"/>
      <c r="AD636" s="277"/>
      <c r="AE636" s="277"/>
      <c r="AF636" s="276"/>
    </row>
    <row r="637" customFormat="false" ht="15.75" hidden="false" customHeight="true" outlineLevel="0" collapsed="false">
      <c r="A637" s="276"/>
      <c r="B637" s="276"/>
      <c r="C637" s="325" t="s">
        <v>1542</v>
      </c>
      <c r="D637" s="276"/>
      <c r="E637" s="276"/>
      <c r="F637" s="296"/>
      <c r="G637" s="276"/>
      <c r="H637" s="276"/>
      <c r="I637" s="276"/>
      <c r="J637" s="276"/>
      <c r="K637" s="276"/>
      <c r="L637" s="276"/>
      <c r="M637" s="276"/>
      <c r="N637" s="276"/>
      <c r="O637" s="276"/>
      <c r="P637" s="276"/>
      <c r="Q637" s="276"/>
      <c r="R637" s="276"/>
      <c r="S637" s="276"/>
      <c r="T637" s="276"/>
      <c r="U637" s="276"/>
      <c r="V637" s="276"/>
      <c r="W637" s="277"/>
      <c r="X637" s="277"/>
      <c r="Y637" s="276"/>
      <c r="Z637" s="276"/>
      <c r="AA637" s="276"/>
      <c r="AB637" s="276"/>
      <c r="AC637" s="277"/>
      <c r="AD637" s="277"/>
      <c r="AE637" s="277"/>
      <c r="AF637" s="276"/>
    </row>
    <row r="638" customFormat="false" ht="15.75" hidden="false" customHeight="true" outlineLevel="0" collapsed="false">
      <c r="A638" s="276"/>
      <c r="B638" s="276"/>
      <c r="C638" s="391" t="n">
        <f aca="false">C592</f>
        <v>0</v>
      </c>
      <c r="D638" s="391"/>
      <c r="E638" s="391"/>
      <c r="F638" s="327" t="n">
        <f aca="false">F592</f>
        <v>0</v>
      </c>
      <c r="G638" s="327"/>
      <c r="H638" s="327"/>
      <c r="I638" s="327"/>
      <c r="J638" s="327"/>
      <c r="K638" s="327"/>
      <c r="L638" s="327"/>
      <c r="M638" s="327"/>
      <c r="N638" s="328"/>
      <c r="O638" s="329"/>
      <c r="P638" s="329"/>
      <c r="Q638" s="329"/>
      <c r="R638" s="329"/>
      <c r="S638" s="330"/>
      <c r="T638" s="295"/>
      <c r="U638" s="295"/>
      <c r="V638" s="295"/>
      <c r="W638" s="331"/>
      <c r="X638" s="331"/>
      <c r="Y638" s="295"/>
      <c r="Z638" s="295"/>
      <c r="AA638" s="295"/>
      <c r="AB638" s="295"/>
      <c r="AC638" s="332"/>
      <c r="AD638" s="332"/>
      <c r="AE638" s="332"/>
      <c r="AF638" s="276"/>
    </row>
    <row r="639" customFormat="false" ht="15.75" hidden="false" customHeight="true" outlineLevel="0" collapsed="false">
      <c r="A639" s="276"/>
      <c r="B639" s="276"/>
      <c r="C639" s="333" t="s">
        <v>1055</v>
      </c>
      <c r="D639" s="333"/>
      <c r="E639" s="333"/>
      <c r="F639" s="334" t="s">
        <v>13</v>
      </c>
      <c r="G639" s="334"/>
      <c r="H639" s="334"/>
      <c r="I639" s="334"/>
      <c r="J639" s="334"/>
      <c r="K639" s="334"/>
      <c r="L639" s="334"/>
      <c r="M639" s="334"/>
      <c r="N639" s="334"/>
      <c r="O639" s="334"/>
      <c r="P639" s="334"/>
      <c r="Q639" s="334"/>
      <c r="R639" s="334"/>
      <c r="S639" s="334"/>
      <c r="T639" s="334"/>
      <c r="U639" s="335" t="s">
        <v>1543</v>
      </c>
      <c r="V639" s="335"/>
      <c r="W639" s="335" t="s">
        <v>1544</v>
      </c>
      <c r="X639" s="335"/>
      <c r="Y639" s="335" t="s">
        <v>1545</v>
      </c>
      <c r="Z639" s="335"/>
      <c r="AA639" s="335" t="s">
        <v>1546</v>
      </c>
      <c r="AB639" s="335"/>
      <c r="AC639" s="336" t="s">
        <v>1547</v>
      </c>
      <c r="AD639" s="336"/>
      <c r="AE639" s="336"/>
      <c r="AF639" s="276"/>
    </row>
    <row r="640" customFormat="false" ht="15.75" hidden="false" customHeight="true" outlineLevel="0" collapsed="false">
      <c r="A640" s="276"/>
      <c r="B640" s="276"/>
      <c r="C640" s="333"/>
      <c r="D640" s="333"/>
      <c r="E640" s="333"/>
      <c r="F640" s="334"/>
      <c r="G640" s="334"/>
      <c r="H640" s="334"/>
      <c r="I640" s="334"/>
      <c r="J640" s="334"/>
      <c r="K640" s="334"/>
      <c r="L640" s="334"/>
      <c r="M640" s="334"/>
      <c r="N640" s="334"/>
      <c r="O640" s="334"/>
      <c r="P640" s="334"/>
      <c r="Q640" s="334"/>
      <c r="R640" s="334"/>
      <c r="S640" s="334"/>
      <c r="T640" s="334"/>
      <c r="U640" s="335"/>
      <c r="V640" s="335"/>
      <c r="W640" s="335"/>
      <c r="X640" s="335"/>
      <c r="Y640" s="335"/>
      <c r="Z640" s="335"/>
      <c r="AA640" s="335"/>
      <c r="AB640" s="335"/>
      <c r="AC640" s="336"/>
      <c r="AD640" s="336"/>
      <c r="AE640" s="336"/>
      <c r="AF640" s="276"/>
    </row>
    <row r="641" customFormat="false" ht="15.75" hidden="false" customHeight="true" outlineLevel="0" collapsed="false">
      <c r="A641" s="276"/>
      <c r="B641" s="276"/>
      <c r="C641" s="337" t="s">
        <v>1577</v>
      </c>
      <c r="D641" s="338"/>
      <c r="E641" s="338"/>
      <c r="F641" s="339" t="str">
        <f aca="false">IFERROR(VLOOKUP(C641,TE!$H:$Y,2,FALSE()),"(Not on TE)")</f>
        <v>(Not on TE)</v>
      </c>
      <c r="G641" s="338"/>
      <c r="H641" s="338"/>
      <c r="I641" s="338"/>
      <c r="J641" s="338"/>
      <c r="K641" s="338"/>
      <c r="L641" s="338"/>
      <c r="M641" s="338"/>
      <c r="N641" s="338"/>
      <c r="O641" s="338"/>
      <c r="P641" s="338"/>
      <c r="Q641" s="338"/>
      <c r="R641" s="338"/>
      <c r="S641" s="338"/>
      <c r="T641" s="338"/>
      <c r="U641" s="340" t="str">
        <f aca="false">IFERROR(VLOOKUP(C641,TE!$H:$Y,9,FALSE()),"0")</f>
        <v>0</v>
      </c>
      <c r="V641" s="340"/>
      <c r="W641" s="341" t="n">
        <f aca="false">SUMIFS(TE!$O:$O,TE!$G:$G,$C$592,TE!$I:$I,C641,TE!$D:$D,$C$5)</f>
        <v>0</v>
      </c>
      <c r="X641" s="341"/>
      <c r="Y641" s="341" t="str">
        <f aca="false">IFERROR(VLOOKUP(C641,TE!$H:$Y,16,FALSE()),"0")</f>
        <v>0</v>
      </c>
      <c r="Z641" s="341"/>
      <c r="AA641" s="342" t="str">
        <f aca="false">IFERROR(VLOOKUP(C641,TE!$H:$Y,17,FALSE()),"0")</f>
        <v>0</v>
      </c>
      <c r="AB641" s="342"/>
      <c r="AC641" s="343" t="n">
        <f aca="false">IFERROR((W641*Y641*AA641),"")</f>
        <v>0</v>
      </c>
      <c r="AD641" s="343"/>
      <c r="AE641" s="343"/>
      <c r="AF641" s="276"/>
    </row>
    <row r="642" customFormat="false" ht="15.75" hidden="false" customHeight="true" outlineLevel="0" collapsed="false">
      <c r="A642" s="276"/>
      <c r="B642" s="276"/>
      <c r="C642" s="344" t="s">
        <v>1578</v>
      </c>
      <c r="D642" s="338"/>
      <c r="E642" s="338"/>
      <c r="F642" s="339" t="str">
        <f aca="false">IFERROR(VLOOKUP(C642,TE!$H:$Y,2,FALSE()),"(Not on TE)")</f>
        <v>(Not on TE)</v>
      </c>
      <c r="G642" s="338"/>
      <c r="H642" s="338"/>
      <c r="I642" s="338"/>
      <c r="J642" s="338"/>
      <c r="K642" s="338"/>
      <c r="L642" s="338"/>
      <c r="M642" s="338"/>
      <c r="N642" s="338"/>
      <c r="O642" s="338"/>
      <c r="P642" s="338"/>
      <c r="Q642" s="338"/>
      <c r="R642" s="338"/>
      <c r="S642" s="338"/>
      <c r="T642" s="338"/>
      <c r="U642" s="340" t="str">
        <f aca="false">IFERROR(VLOOKUP(C642,TE!$H:$Y,9,FALSE()),"0")</f>
        <v>0</v>
      </c>
      <c r="V642" s="340"/>
      <c r="W642" s="341" t="n">
        <f aca="false">SUMIFS(TE!$O:$O,TE!$G:$G,$C$592,TE!$I:$I,C642,TE!$D:$D,$C$5)</f>
        <v>0</v>
      </c>
      <c r="X642" s="341"/>
      <c r="Y642" s="341" t="str">
        <f aca="false">IFERROR(VLOOKUP(C642,TE!$H:$Y,16,FALSE()),"0")</f>
        <v>0</v>
      </c>
      <c r="Z642" s="341"/>
      <c r="AA642" s="342" t="str">
        <f aca="false">IFERROR(VLOOKUP(C642,TE!$H:$Y,17,FALSE()),"0")</f>
        <v>0</v>
      </c>
      <c r="AB642" s="342"/>
      <c r="AC642" s="343" t="n">
        <f aca="false">IFERROR((W642*Y642*AA642),"")</f>
        <v>0</v>
      </c>
      <c r="AD642" s="343"/>
      <c r="AE642" s="343"/>
      <c r="AF642" s="276"/>
    </row>
    <row r="643" customFormat="false" ht="15.75" hidden="false" customHeight="true" outlineLevel="0" collapsed="false">
      <c r="A643" s="276"/>
      <c r="B643" s="276"/>
      <c r="C643" s="344" t="s">
        <v>1579</v>
      </c>
      <c r="D643" s="338"/>
      <c r="E643" s="338"/>
      <c r="F643" s="339" t="str">
        <f aca="false">IFERROR(VLOOKUP(C643,TE!$H:$Y,2,FALSE()),"(Not on TE)")</f>
        <v>(Not on TE)</v>
      </c>
      <c r="G643" s="338"/>
      <c r="H643" s="338"/>
      <c r="I643" s="338"/>
      <c r="J643" s="338"/>
      <c r="K643" s="338"/>
      <c r="L643" s="338"/>
      <c r="M643" s="338"/>
      <c r="N643" s="338"/>
      <c r="O643" s="338"/>
      <c r="P643" s="338"/>
      <c r="Q643" s="338"/>
      <c r="R643" s="338"/>
      <c r="S643" s="338"/>
      <c r="T643" s="338"/>
      <c r="U643" s="340" t="str">
        <f aca="false">IFERROR(VLOOKUP(C643,TE!$H:$Y,9,FALSE()),"0")</f>
        <v>0</v>
      </c>
      <c r="V643" s="340"/>
      <c r="W643" s="341" t="n">
        <f aca="false">SUMIFS(TE!$O:$O,TE!$G:$G,$C$592,TE!$I:$I,C643,TE!$D:$D,$C$5)</f>
        <v>0</v>
      </c>
      <c r="X643" s="341"/>
      <c r="Y643" s="341" t="str">
        <f aca="false">IFERROR(VLOOKUP(C643,TE!$H:$Y,16,FALSE()),"0")</f>
        <v>0</v>
      </c>
      <c r="Z643" s="341"/>
      <c r="AA643" s="342" t="str">
        <f aca="false">IFERROR(VLOOKUP(C643,TE!$H:$Y,17,FALSE()),"0")</f>
        <v>0</v>
      </c>
      <c r="AB643" s="342"/>
      <c r="AC643" s="343" t="n">
        <f aca="false">IFERROR((W643*Y643*AA643),"")</f>
        <v>0</v>
      </c>
      <c r="AD643" s="343"/>
      <c r="AE643" s="343"/>
      <c r="AF643" s="276"/>
    </row>
    <row r="644" customFormat="false" ht="15.75" hidden="false" customHeight="true" outlineLevel="0" collapsed="false">
      <c r="A644" s="276"/>
      <c r="B644" s="276"/>
      <c r="C644" s="344" t="s">
        <v>1580</v>
      </c>
      <c r="D644" s="338"/>
      <c r="E644" s="338"/>
      <c r="F644" s="339" t="str">
        <f aca="false">IFERROR(VLOOKUP(C644,TE!$H:$Y,2,FALSE()),"(Not on TE)")</f>
        <v>(Not on TE)</v>
      </c>
      <c r="G644" s="338"/>
      <c r="H644" s="338"/>
      <c r="I644" s="338"/>
      <c r="J644" s="338"/>
      <c r="K644" s="338"/>
      <c r="L644" s="338"/>
      <c r="M644" s="338"/>
      <c r="N644" s="338"/>
      <c r="O644" s="338"/>
      <c r="P644" s="338"/>
      <c r="Q644" s="338"/>
      <c r="R644" s="338"/>
      <c r="S644" s="338"/>
      <c r="T644" s="338"/>
      <c r="U644" s="340" t="str">
        <f aca="false">IFERROR(VLOOKUP(C644,TE!$H:$Y,9,FALSE()),"0")</f>
        <v>0</v>
      </c>
      <c r="V644" s="340"/>
      <c r="W644" s="341" t="n">
        <f aca="false">SUMIFS(TE!$O:$O,TE!$G:$G,$C$592,TE!$I:$I,C644,TE!$D:$D,$C$5)</f>
        <v>0</v>
      </c>
      <c r="X644" s="341"/>
      <c r="Y644" s="341" t="str">
        <f aca="false">IFERROR(VLOOKUP(C644,TE!$H:$Y,16,FALSE()),"0")</f>
        <v>0</v>
      </c>
      <c r="Z644" s="341"/>
      <c r="AA644" s="342" t="str">
        <f aca="false">IFERROR(VLOOKUP(C644,TE!$H:$Y,17,FALSE()),"0")</f>
        <v>0</v>
      </c>
      <c r="AB644" s="342"/>
      <c r="AC644" s="343" t="n">
        <f aca="false">IFERROR((W644*Y644*AA644),"")</f>
        <v>0</v>
      </c>
      <c r="AD644" s="343"/>
      <c r="AE644" s="343"/>
      <c r="AF644" s="276"/>
    </row>
    <row r="645" customFormat="false" ht="15.75" hidden="false" customHeight="true" outlineLevel="0" collapsed="false">
      <c r="A645" s="276"/>
      <c r="B645" s="276"/>
      <c r="C645" s="344" t="s">
        <v>1581</v>
      </c>
      <c r="D645" s="338"/>
      <c r="E645" s="338"/>
      <c r="F645" s="339" t="str">
        <f aca="false">IFERROR(VLOOKUP(C645,TE!$H:$Y,2,FALSE()),"(Not on TE)")</f>
        <v>(Not on TE)</v>
      </c>
      <c r="G645" s="338"/>
      <c r="H645" s="338"/>
      <c r="I645" s="338"/>
      <c r="J645" s="338"/>
      <c r="K645" s="338"/>
      <c r="L645" s="338"/>
      <c r="M645" s="338"/>
      <c r="N645" s="338"/>
      <c r="O645" s="338"/>
      <c r="P645" s="338"/>
      <c r="Q645" s="338"/>
      <c r="R645" s="338"/>
      <c r="S645" s="338"/>
      <c r="T645" s="338"/>
      <c r="U645" s="340" t="str">
        <f aca="false">IFERROR(VLOOKUP(C645,TE!$H:$Y,9,FALSE()),"0")</f>
        <v>0</v>
      </c>
      <c r="V645" s="340"/>
      <c r="W645" s="341" t="n">
        <f aca="false">SUMIFS(TE!$O:$O,TE!$G:$G,$C$592,TE!$I:$I,C645,TE!$D:$D,$C$5)</f>
        <v>0</v>
      </c>
      <c r="X645" s="341"/>
      <c r="Y645" s="341" t="str">
        <f aca="false">IFERROR(VLOOKUP(C645,TE!$H:$Y,16,FALSE()),"0")</f>
        <v>0</v>
      </c>
      <c r="Z645" s="341"/>
      <c r="AA645" s="342" t="str">
        <f aca="false">IFERROR(VLOOKUP(C645,TE!$H:$Y,17,FALSE()),"0")</f>
        <v>0</v>
      </c>
      <c r="AB645" s="342"/>
      <c r="AC645" s="343" t="n">
        <f aca="false">IFERROR((W645*Y645*AA645),"")</f>
        <v>0</v>
      </c>
      <c r="AD645" s="343"/>
      <c r="AE645" s="343"/>
      <c r="AF645" s="276"/>
    </row>
    <row r="646" customFormat="false" ht="15.75" hidden="false" customHeight="true" outlineLevel="0" collapsed="false">
      <c r="A646" s="276"/>
      <c r="B646" s="276"/>
      <c r="C646" s="344" t="s">
        <v>1132</v>
      </c>
      <c r="D646" s="338"/>
      <c r="E646" s="338"/>
      <c r="F646" s="339" t="str">
        <f aca="false">IFERROR(VLOOKUP(C646,TE!$H:$Y,2,FALSE()),"(Not on TE)")</f>
        <v>(Not on TE)</v>
      </c>
      <c r="G646" s="338"/>
      <c r="H646" s="338"/>
      <c r="I646" s="338"/>
      <c r="J646" s="338"/>
      <c r="K646" s="338"/>
      <c r="L646" s="338"/>
      <c r="M646" s="338"/>
      <c r="N646" s="338"/>
      <c r="O646" s="338"/>
      <c r="P646" s="338"/>
      <c r="Q646" s="338"/>
      <c r="R646" s="338"/>
      <c r="S646" s="338"/>
      <c r="T646" s="338"/>
      <c r="U646" s="340" t="str">
        <f aca="false">IFERROR(VLOOKUP(C646,TE!$H:$Y,9,FALSE()),"0")</f>
        <v>0</v>
      </c>
      <c r="V646" s="340"/>
      <c r="W646" s="341" t="n">
        <f aca="false">SUMIFS(TE!$O:$O,TE!$G:$G,$C$592,TE!$I:$I,C646,TE!$D:$D,$C$5)</f>
        <v>0</v>
      </c>
      <c r="X646" s="341"/>
      <c r="Y646" s="341" t="str">
        <f aca="false">IFERROR(VLOOKUP(C646,TE!$H:$Y,16,FALSE()),"0")</f>
        <v>0</v>
      </c>
      <c r="Z646" s="341"/>
      <c r="AA646" s="342" t="str">
        <f aca="false">IFERROR(VLOOKUP(C646,TE!$H:$Y,17,FALSE()),"0")</f>
        <v>0</v>
      </c>
      <c r="AB646" s="342"/>
      <c r="AC646" s="343" t="n">
        <f aca="false">IFERROR((W646*Y646*AA646),"")</f>
        <v>0</v>
      </c>
      <c r="AD646" s="343"/>
      <c r="AE646" s="343"/>
      <c r="AF646" s="276"/>
    </row>
    <row r="647" customFormat="false" ht="15.75" hidden="false" customHeight="true" outlineLevel="0" collapsed="false">
      <c r="A647" s="276"/>
      <c r="B647" s="276"/>
      <c r="C647" s="344" t="s">
        <v>1582</v>
      </c>
      <c r="D647" s="338"/>
      <c r="E647" s="338"/>
      <c r="F647" s="339" t="str">
        <f aca="false">IFERROR(VLOOKUP(C647,TE!$H:$Y,2,FALSE()),"(Not on TE)")</f>
        <v>(Not on TE)</v>
      </c>
      <c r="G647" s="338"/>
      <c r="H647" s="338"/>
      <c r="I647" s="338"/>
      <c r="J647" s="338"/>
      <c r="K647" s="338"/>
      <c r="L647" s="338"/>
      <c r="M647" s="338"/>
      <c r="N647" s="338"/>
      <c r="O647" s="338"/>
      <c r="P647" s="338"/>
      <c r="Q647" s="338"/>
      <c r="R647" s="338"/>
      <c r="S647" s="338"/>
      <c r="T647" s="338"/>
      <c r="U647" s="340" t="str">
        <f aca="false">IFERROR(VLOOKUP(C647,TE!$H:$Y,9,FALSE()),"0")</f>
        <v>0</v>
      </c>
      <c r="V647" s="340"/>
      <c r="W647" s="341" t="n">
        <f aca="false">SUMIFS(TE!$O:$O,TE!$G:$G,$C$592,TE!$I:$I,C647,TE!$D:$D,$C$5)</f>
        <v>0</v>
      </c>
      <c r="X647" s="341"/>
      <c r="Y647" s="341" t="str">
        <f aca="false">IFERROR(VLOOKUP(C647,TE!$H:$Y,16,FALSE()),"0")</f>
        <v>0</v>
      </c>
      <c r="Z647" s="341"/>
      <c r="AA647" s="342" t="str">
        <f aca="false">IFERROR(VLOOKUP(C647,TE!$H:$Y,17,FALSE()),"0")</f>
        <v>0</v>
      </c>
      <c r="AB647" s="342"/>
      <c r="AC647" s="343" t="n">
        <f aca="false">IFERROR((W647*Y647*AA647),"")</f>
        <v>0</v>
      </c>
      <c r="AD647" s="343"/>
      <c r="AE647" s="343"/>
      <c r="AF647" s="276"/>
    </row>
    <row r="648" customFormat="false" ht="15.75" hidden="false" customHeight="true" outlineLevel="0" collapsed="false">
      <c r="A648" s="276"/>
      <c r="B648" s="276"/>
      <c r="C648" s="344" t="s">
        <v>1583</v>
      </c>
      <c r="D648" s="338"/>
      <c r="E648" s="338"/>
      <c r="F648" s="339" t="str">
        <f aca="false">IFERROR(VLOOKUP(C648,TE!$H:$Y,2,FALSE()),"(Not on TE)")</f>
        <v>(Not on TE)</v>
      </c>
      <c r="G648" s="338"/>
      <c r="H648" s="338"/>
      <c r="I648" s="338"/>
      <c r="J648" s="338"/>
      <c r="K648" s="338"/>
      <c r="L648" s="338"/>
      <c r="M648" s="338"/>
      <c r="N648" s="338"/>
      <c r="O648" s="338"/>
      <c r="P648" s="338"/>
      <c r="Q648" s="338"/>
      <c r="R648" s="338"/>
      <c r="S648" s="338"/>
      <c r="T648" s="338"/>
      <c r="U648" s="340" t="str">
        <f aca="false">IFERROR(VLOOKUP(C648,TE!$H:$Y,9,FALSE()),"0")</f>
        <v>0</v>
      </c>
      <c r="V648" s="340"/>
      <c r="W648" s="341" t="n">
        <f aca="false">SUMIFS(TE!$O:$O,TE!$G:$G,$C$592,TE!$I:$I,C648,TE!$D:$D,$C$5)</f>
        <v>0</v>
      </c>
      <c r="X648" s="341"/>
      <c r="Y648" s="341" t="str">
        <f aca="false">IFERROR(VLOOKUP(C648,TE!$H:$Y,16,FALSE()),"0")</f>
        <v>0</v>
      </c>
      <c r="Z648" s="341"/>
      <c r="AA648" s="342" t="str">
        <f aca="false">IFERROR(VLOOKUP(C648,TE!$H:$Y,17,FALSE()),"0")</f>
        <v>0</v>
      </c>
      <c r="AB648" s="342"/>
      <c r="AC648" s="343" t="n">
        <f aca="false">IFERROR((W648*Y648*AA648),"")</f>
        <v>0</v>
      </c>
      <c r="AD648" s="343"/>
      <c r="AE648" s="343"/>
      <c r="AF648" s="276"/>
    </row>
    <row r="649" customFormat="false" ht="15.75" hidden="false" customHeight="true" outlineLevel="0" collapsed="false">
      <c r="A649" s="276"/>
      <c r="B649" s="276"/>
      <c r="C649" s="344" t="s">
        <v>1584</v>
      </c>
      <c r="D649" s="338"/>
      <c r="E649" s="338"/>
      <c r="F649" s="339" t="str">
        <f aca="false">IFERROR(VLOOKUP(C649,TE!$H:$Y,2,FALSE()),"(Not on TE)")</f>
        <v>(Not on TE)</v>
      </c>
      <c r="G649" s="338"/>
      <c r="H649" s="338"/>
      <c r="I649" s="338"/>
      <c r="J649" s="338"/>
      <c r="K649" s="338"/>
      <c r="L649" s="338"/>
      <c r="M649" s="338"/>
      <c r="N649" s="338"/>
      <c r="O649" s="338"/>
      <c r="P649" s="338"/>
      <c r="Q649" s="338"/>
      <c r="R649" s="338"/>
      <c r="S649" s="338"/>
      <c r="T649" s="338"/>
      <c r="U649" s="340" t="str">
        <f aca="false">IFERROR(VLOOKUP(C649,TE!$H:$Y,9,FALSE()),"0")</f>
        <v>0</v>
      </c>
      <c r="V649" s="340"/>
      <c r="W649" s="341" t="n">
        <f aca="false">SUMIFS(TE!$O:$O,TE!$G:$G,$C$592,TE!$I:$I,C649,TE!$D:$D,$C$5)</f>
        <v>0</v>
      </c>
      <c r="X649" s="341"/>
      <c r="Y649" s="341" t="str">
        <f aca="false">IFERROR(VLOOKUP(C649,TE!$H:$Y,16,FALSE()),"0")</f>
        <v>0</v>
      </c>
      <c r="Z649" s="341"/>
      <c r="AA649" s="342" t="str">
        <f aca="false">IFERROR(VLOOKUP(C649,TE!$H:$Y,17,FALSE()),"0")</f>
        <v>0</v>
      </c>
      <c r="AB649" s="342"/>
      <c r="AC649" s="343" t="n">
        <f aca="false">IFERROR((W649*Y649*AA649),"")</f>
        <v>0</v>
      </c>
      <c r="AD649" s="343"/>
      <c r="AE649" s="343"/>
      <c r="AF649" s="276"/>
    </row>
    <row r="650" customFormat="false" ht="15.75" hidden="false" customHeight="true" outlineLevel="0" collapsed="false">
      <c r="A650" s="276"/>
      <c r="B650" s="276"/>
      <c r="C650" s="344" t="s">
        <v>1585</v>
      </c>
      <c r="D650" s="338"/>
      <c r="E650" s="338"/>
      <c r="F650" s="339" t="str">
        <f aca="false">IFERROR(VLOOKUP(C650,TE!$H:$Y,2,FALSE()),"(Not on TE)")</f>
        <v>(Not on TE)</v>
      </c>
      <c r="G650" s="338"/>
      <c r="H650" s="338"/>
      <c r="I650" s="338"/>
      <c r="J650" s="338"/>
      <c r="K650" s="338"/>
      <c r="L650" s="338"/>
      <c r="M650" s="338"/>
      <c r="N650" s="338"/>
      <c r="O650" s="338"/>
      <c r="P650" s="338"/>
      <c r="Q650" s="338"/>
      <c r="R650" s="338"/>
      <c r="S650" s="338"/>
      <c r="T650" s="338"/>
      <c r="U650" s="340" t="str">
        <f aca="false">IFERROR(VLOOKUP(C650,TE!$H:$Y,9,FALSE()),"0")</f>
        <v>0</v>
      </c>
      <c r="V650" s="340"/>
      <c r="W650" s="341" t="n">
        <f aca="false">SUMIFS(TE!$O:$O,TE!$G:$G,$C$592,TE!$I:$I,C650,TE!$D:$D,$C$5)</f>
        <v>0</v>
      </c>
      <c r="X650" s="341"/>
      <c r="Y650" s="341" t="str">
        <f aca="false">IFERROR(VLOOKUP(C650,TE!$H:$Y,16,FALSE()),"0")</f>
        <v>0</v>
      </c>
      <c r="Z650" s="341"/>
      <c r="AA650" s="342" t="str">
        <f aca="false">IFERROR(VLOOKUP(C650,TE!$H:$Y,17,FALSE()),"0")</f>
        <v>0</v>
      </c>
      <c r="AB650" s="342"/>
      <c r="AC650" s="343" t="n">
        <f aca="false">IFERROR((W650*Y650*AA650),"")</f>
        <v>0</v>
      </c>
      <c r="AD650" s="343"/>
      <c r="AE650" s="343"/>
      <c r="AF650" s="276"/>
    </row>
    <row r="651" customFormat="false" ht="15.75" hidden="false" customHeight="true" outlineLevel="0" collapsed="false">
      <c r="A651" s="276"/>
      <c r="B651" s="276"/>
      <c r="C651" s="344" t="s">
        <v>1450</v>
      </c>
      <c r="D651" s="338"/>
      <c r="E651" s="338"/>
      <c r="F651" s="339" t="str">
        <f aca="false">IFERROR(VLOOKUP(C651,TE!$H:$Y,2,FALSE()),"(Not on TE)")</f>
        <v>(Not on TE)</v>
      </c>
      <c r="G651" s="338"/>
      <c r="H651" s="338"/>
      <c r="I651" s="338"/>
      <c r="J651" s="338"/>
      <c r="K651" s="338"/>
      <c r="L651" s="338"/>
      <c r="M651" s="338"/>
      <c r="N651" s="338"/>
      <c r="O651" s="338"/>
      <c r="P651" s="338"/>
      <c r="Q651" s="338"/>
      <c r="R651" s="338"/>
      <c r="S651" s="338"/>
      <c r="T651" s="338"/>
      <c r="U651" s="340" t="str">
        <f aca="false">IFERROR(VLOOKUP(C651,TE!$H:$Y,9,FALSE()),"0")</f>
        <v>0</v>
      </c>
      <c r="V651" s="340"/>
      <c r="W651" s="341" t="n">
        <f aca="false">SUMIFS(TE!$O:$O,TE!$G:$G,$C$592,TE!$I:$I,C651,TE!$D:$D,$C$5)</f>
        <v>0</v>
      </c>
      <c r="X651" s="341"/>
      <c r="Y651" s="341" t="str">
        <f aca="false">IFERROR(VLOOKUP(C651,TE!$H:$Y,16,FALSE()),"0")</f>
        <v>0</v>
      </c>
      <c r="Z651" s="341"/>
      <c r="AA651" s="342" t="str">
        <f aca="false">IFERROR(VLOOKUP(C651,TE!$H:$Y,17,FALSE()),"0")</f>
        <v>0</v>
      </c>
      <c r="AB651" s="342"/>
      <c r="AC651" s="343" t="n">
        <f aca="false">IFERROR((W651*Y651*AA651),"")</f>
        <v>0</v>
      </c>
      <c r="AD651" s="343"/>
      <c r="AE651" s="343"/>
      <c r="AF651" s="276"/>
    </row>
    <row r="652" customFormat="false" ht="15.75" hidden="false" customHeight="true" outlineLevel="0" collapsed="false">
      <c r="A652" s="276"/>
      <c r="B652" s="276"/>
      <c r="C652" s="344" t="s">
        <v>1586</v>
      </c>
      <c r="D652" s="338"/>
      <c r="E652" s="338"/>
      <c r="F652" s="339" t="str">
        <f aca="false">IFERROR(VLOOKUP(C652,TE!$H:$Y,2,FALSE()),"(Not on TE)")</f>
        <v>(Not on TE)</v>
      </c>
      <c r="G652" s="338"/>
      <c r="H652" s="338"/>
      <c r="I652" s="338"/>
      <c r="J652" s="338"/>
      <c r="K652" s="338"/>
      <c r="L652" s="338"/>
      <c r="M652" s="338"/>
      <c r="N652" s="338"/>
      <c r="O652" s="338"/>
      <c r="P652" s="338"/>
      <c r="Q652" s="338"/>
      <c r="R652" s="338"/>
      <c r="S652" s="338"/>
      <c r="T652" s="338"/>
      <c r="U652" s="340" t="str">
        <f aca="false">IFERROR(VLOOKUP(C652,TE!$H:$Y,9,FALSE()),"0")</f>
        <v>0</v>
      </c>
      <c r="V652" s="340"/>
      <c r="W652" s="341" t="n">
        <f aca="false">SUMIFS(TE!$O:$O,TE!$G:$G,$C$592,TE!$I:$I,C652,TE!$D:$D,$C$5)</f>
        <v>0</v>
      </c>
      <c r="X652" s="341"/>
      <c r="Y652" s="341" t="str">
        <f aca="false">IFERROR(VLOOKUP(C652,TE!$H:$Y,16,FALSE()),"0")</f>
        <v>0</v>
      </c>
      <c r="Z652" s="341"/>
      <c r="AA652" s="342" t="str">
        <f aca="false">IFERROR(VLOOKUP(C652,TE!$H:$Y,17,FALSE()),"0")</f>
        <v>0</v>
      </c>
      <c r="AB652" s="342"/>
      <c r="AC652" s="343" t="n">
        <f aca="false">IFERROR((W652*Y652*AA652),"")</f>
        <v>0</v>
      </c>
      <c r="AD652" s="343"/>
      <c r="AE652" s="343"/>
      <c r="AF652" s="276"/>
    </row>
    <row r="653" customFormat="false" ht="15.75" hidden="false" customHeight="true" outlineLevel="0" collapsed="false">
      <c r="A653" s="276"/>
      <c r="B653" s="276"/>
      <c r="C653" s="344" t="s">
        <v>1587</v>
      </c>
      <c r="D653" s="338"/>
      <c r="E653" s="338"/>
      <c r="F653" s="339" t="str">
        <f aca="false">IFERROR(VLOOKUP(C653,TE!$H:$Y,2,FALSE()),"(Not on TE)")</f>
        <v>(Not on TE)</v>
      </c>
      <c r="G653" s="338"/>
      <c r="H653" s="338"/>
      <c r="I653" s="338"/>
      <c r="J653" s="338"/>
      <c r="K653" s="338"/>
      <c r="L653" s="338"/>
      <c r="M653" s="338"/>
      <c r="N653" s="338"/>
      <c r="O653" s="338"/>
      <c r="P653" s="338"/>
      <c r="Q653" s="338"/>
      <c r="R653" s="338"/>
      <c r="S653" s="338"/>
      <c r="T653" s="338"/>
      <c r="U653" s="340" t="str">
        <f aca="false">IFERROR(VLOOKUP(C653,TE!$H:$Y,9,FALSE()),"0")</f>
        <v>0</v>
      </c>
      <c r="V653" s="340"/>
      <c r="W653" s="341" t="n">
        <f aca="false">SUMIFS(TE!$O:$O,TE!$G:$G,$C$592,TE!$I:$I,C653,TE!$D:$D,$C$5)</f>
        <v>0</v>
      </c>
      <c r="X653" s="341"/>
      <c r="Y653" s="341" t="str">
        <f aca="false">IFERROR(VLOOKUP(C653,TE!$H:$Y,16,FALSE()),"0")</f>
        <v>0</v>
      </c>
      <c r="Z653" s="341"/>
      <c r="AA653" s="342" t="str">
        <f aca="false">IFERROR(VLOOKUP(C653,TE!$H:$Y,17,FALSE()),"0")</f>
        <v>0</v>
      </c>
      <c r="AB653" s="342"/>
      <c r="AC653" s="343" t="n">
        <f aca="false">IFERROR((W653*Y653*AA653),"")</f>
        <v>0</v>
      </c>
      <c r="AD653" s="343"/>
      <c r="AE653" s="343"/>
      <c r="AF653" s="276"/>
    </row>
    <row r="654" customFormat="false" ht="15.75" hidden="false" customHeight="true" outlineLevel="0" collapsed="false">
      <c r="A654" s="276"/>
      <c r="B654" s="276"/>
      <c r="C654" s="344" t="s">
        <v>1436</v>
      </c>
      <c r="D654" s="338"/>
      <c r="E654" s="338"/>
      <c r="F654" s="339" t="str">
        <f aca="false">IFERROR(VLOOKUP(C654,TE!$H:$Y,2,FALSE()),"(Not on TE)")</f>
        <v>(Not on TE)</v>
      </c>
      <c r="G654" s="338"/>
      <c r="H654" s="338"/>
      <c r="I654" s="338"/>
      <c r="J654" s="338"/>
      <c r="K654" s="338"/>
      <c r="L654" s="338"/>
      <c r="M654" s="338"/>
      <c r="N654" s="338"/>
      <c r="O654" s="338"/>
      <c r="P654" s="338"/>
      <c r="Q654" s="338"/>
      <c r="R654" s="338"/>
      <c r="S654" s="338"/>
      <c r="T654" s="338"/>
      <c r="U654" s="340" t="str">
        <f aca="false">IFERROR(VLOOKUP(C654,TE!$H:$Y,9,FALSE()),"0")</f>
        <v>0</v>
      </c>
      <c r="V654" s="340"/>
      <c r="W654" s="341" t="n">
        <f aca="false">SUMIFS(TE!$O:$O,TE!$G:$G,$C$592,TE!$I:$I,C654,TE!$D:$D,$C$5)</f>
        <v>0</v>
      </c>
      <c r="X654" s="341"/>
      <c r="Y654" s="341" t="str">
        <f aca="false">IFERROR(VLOOKUP(C654,TE!$H:$Y,16,FALSE()),"0")</f>
        <v>0</v>
      </c>
      <c r="Z654" s="341"/>
      <c r="AA654" s="342" t="str">
        <f aca="false">IFERROR(VLOOKUP(C654,TE!$H:$Y,17,FALSE()),"0")</f>
        <v>0</v>
      </c>
      <c r="AB654" s="342"/>
      <c r="AC654" s="343" t="n">
        <f aca="false">IFERROR((W654*Y654*AA654),"")</f>
        <v>0</v>
      </c>
      <c r="AD654" s="343"/>
      <c r="AE654" s="343"/>
      <c r="AF654" s="276"/>
    </row>
    <row r="655" customFormat="false" ht="15.75" hidden="false" customHeight="true" outlineLevel="0" collapsed="false">
      <c r="A655" s="276"/>
      <c r="B655" s="276"/>
      <c r="C655" s="344" t="s">
        <v>1588</v>
      </c>
      <c r="D655" s="338"/>
      <c r="E655" s="338"/>
      <c r="F655" s="339" t="str">
        <f aca="false">IFERROR(VLOOKUP(C655,TE!$H:$Y,2,FALSE()),"(Not on TE)")</f>
        <v>(Not on TE)</v>
      </c>
      <c r="G655" s="338"/>
      <c r="H655" s="338"/>
      <c r="I655" s="338"/>
      <c r="J655" s="338"/>
      <c r="K655" s="338"/>
      <c r="L655" s="338"/>
      <c r="M655" s="338"/>
      <c r="N655" s="338"/>
      <c r="O655" s="338"/>
      <c r="P655" s="338"/>
      <c r="Q655" s="338"/>
      <c r="R655" s="338"/>
      <c r="S655" s="338"/>
      <c r="T655" s="338"/>
      <c r="U655" s="340" t="str">
        <f aca="false">IFERROR(VLOOKUP(C655,TE!$H:$Y,9,FALSE()),"0")</f>
        <v>0</v>
      </c>
      <c r="V655" s="340"/>
      <c r="W655" s="341" t="n">
        <f aca="false">SUMIFS(TE!$O:$O,TE!$G:$G,$C$592,TE!$I:$I,C655,TE!$D:$D,$C$5)</f>
        <v>0</v>
      </c>
      <c r="X655" s="341"/>
      <c r="Y655" s="341" t="str">
        <f aca="false">IFERROR(VLOOKUP(C655,TE!$H:$Y,16,FALSE()),"0")</f>
        <v>0</v>
      </c>
      <c r="Z655" s="341"/>
      <c r="AA655" s="342" t="str">
        <f aca="false">IFERROR(VLOOKUP(C655,TE!$H:$Y,17,FALSE()),"0")</f>
        <v>0</v>
      </c>
      <c r="AB655" s="342"/>
      <c r="AC655" s="343" t="n">
        <f aca="false">IFERROR((W655*Y655*AA655),"")</f>
        <v>0</v>
      </c>
      <c r="AD655" s="343"/>
      <c r="AE655" s="343"/>
      <c r="AF655" s="276"/>
    </row>
    <row r="656" customFormat="false" ht="15.75" hidden="false" customHeight="true" outlineLevel="0" collapsed="false">
      <c r="A656" s="276"/>
      <c r="B656" s="276"/>
      <c r="C656" s="344" t="s">
        <v>1589</v>
      </c>
      <c r="D656" s="338"/>
      <c r="E656" s="338"/>
      <c r="F656" s="339" t="str">
        <f aca="false">IFERROR(VLOOKUP(C656,TE!$H:$Y,2,FALSE()),"(Not on TE)")</f>
        <v>(Not on TE)</v>
      </c>
      <c r="G656" s="338"/>
      <c r="H656" s="338"/>
      <c r="I656" s="338"/>
      <c r="J656" s="338"/>
      <c r="K656" s="338"/>
      <c r="L656" s="338"/>
      <c r="M656" s="338"/>
      <c r="N656" s="338"/>
      <c r="O656" s="338"/>
      <c r="P656" s="338"/>
      <c r="Q656" s="338"/>
      <c r="R656" s="338"/>
      <c r="S656" s="338"/>
      <c r="T656" s="338"/>
      <c r="U656" s="340" t="str">
        <f aca="false">IFERROR(VLOOKUP(C656,TE!$H:$Y,9,FALSE()),"0")</f>
        <v>0</v>
      </c>
      <c r="V656" s="340"/>
      <c r="W656" s="341" t="n">
        <f aca="false">SUMIFS(TE!$O:$O,TE!$G:$G,$C$592,TE!$I:$I,C656,TE!$D:$D,$C$5)</f>
        <v>0</v>
      </c>
      <c r="X656" s="341"/>
      <c r="Y656" s="341" t="str">
        <f aca="false">IFERROR(VLOOKUP(C656,TE!$H:$Y,16,FALSE()),"0")</f>
        <v>0</v>
      </c>
      <c r="Z656" s="341"/>
      <c r="AA656" s="342" t="str">
        <f aca="false">IFERROR(VLOOKUP(C656,TE!$H:$Y,17,FALSE()),"0")</f>
        <v>0</v>
      </c>
      <c r="AB656" s="342"/>
      <c r="AC656" s="343" t="n">
        <f aca="false">IFERROR((W656*Y656*AA656),"")</f>
        <v>0</v>
      </c>
      <c r="AD656" s="343"/>
      <c r="AE656" s="343"/>
      <c r="AF656" s="276"/>
    </row>
    <row r="657" customFormat="false" ht="15.75" hidden="false" customHeight="true" outlineLevel="0" collapsed="false">
      <c r="A657" s="276"/>
      <c r="B657" s="276"/>
      <c r="C657" s="344" t="s">
        <v>1590</v>
      </c>
      <c r="D657" s="338"/>
      <c r="E657" s="338"/>
      <c r="F657" s="339" t="str">
        <f aca="false">IFERROR(VLOOKUP(C657,TE!$H:$Y,2,FALSE()),"(Not on TE)")</f>
        <v>(Not on TE)</v>
      </c>
      <c r="G657" s="338"/>
      <c r="H657" s="338"/>
      <c r="I657" s="338"/>
      <c r="J657" s="338"/>
      <c r="K657" s="338"/>
      <c r="L657" s="338"/>
      <c r="M657" s="338"/>
      <c r="N657" s="338"/>
      <c r="O657" s="338"/>
      <c r="P657" s="338"/>
      <c r="Q657" s="338"/>
      <c r="R657" s="338"/>
      <c r="S657" s="338"/>
      <c r="T657" s="338"/>
      <c r="U657" s="340" t="str">
        <f aca="false">IFERROR(VLOOKUP(C657,TE!$H:$Y,9,FALSE()),"0")</f>
        <v>0</v>
      </c>
      <c r="V657" s="340"/>
      <c r="W657" s="341" t="n">
        <f aca="false">SUMIFS(TE!$O:$O,TE!$G:$G,$C$592,TE!$I:$I,C657,TE!$D:$D,$C$5)</f>
        <v>0</v>
      </c>
      <c r="X657" s="341"/>
      <c r="Y657" s="341" t="str">
        <f aca="false">IFERROR(VLOOKUP(C657,TE!$H:$Y,16,FALSE()),"0")</f>
        <v>0</v>
      </c>
      <c r="Z657" s="341"/>
      <c r="AA657" s="342" t="str">
        <f aca="false">IFERROR(VLOOKUP(C657,TE!$H:$Y,17,FALSE()),"0")</f>
        <v>0</v>
      </c>
      <c r="AB657" s="342"/>
      <c r="AC657" s="343" t="n">
        <f aca="false">IFERROR((W657*Y657*AA657),"")</f>
        <v>0</v>
      </c>
      <c r="AD657" s="343"/>
      <c r="AE657" s="343"/>
      <c r="AF657" s="276"/>
    </row>
    <row r="658" customFormat="false" ht="15.75" hidden="false" customHeight="true" outlineLevel="0" collapsed="false">
      <c r="A658" s="276"/>
      <c r="B658" s="276"/>
      <c r="C658" s="344" t="s">
        <v>1591</v>
      </c>
      <c r="D658" s="338"/>
      <c r="E658" s="338"/>
      <c r="F658" s="339" t="str">
        <f aca="false">IFERROR(VLOOKUP(C658,TE!$H:$Y,2,FALSE()),"(Not on TE)")</f>
        <v>(Not on TE)</v>
      </c>
      <c r="G658" s="338"/>
      <c r="H658" s="338"/>
      <c r="I658" s="338"/>
      <c r="J658" s="338"/>
      <c r="K658" s="338"/>
      <c r="L658" s="338"/>
      <c r="M658" s="338"/>
      <c r="N658" s="338"/>
      <c r="O658" s="338"/>
      <c r="P658" s="338"/>
      <c r="Q658" s="338"/>
      <c r="R658" s="338"/>
      <c r="S658" s="338"/>
      <c r="T658" s="338"/>
      <c r="U658" s="340" t="str">
        <f aca="false">IFERROR(VLOOKUP(C658,TE!$H:$Y,9,FALSE()),"0")</f>
        <v>0</v>
      </c>
      <c r="V658" s="340"/>
      <c r="W658" s="341" t="n">
        <f aca="false">SUMIFS(TE!$O:$O,TE!$G:$G,$C$592,TE!$I:$I,C658,TE!$D:$D,$C$5)</f>
        <v>0</v>
      </c>
      <c r="X658" s="341"/>
      <c r="Y658" s="341" t="str">
        <f aca="false">IFERROR(VLOOKUP(C658,TE!$H:$Y,16,FALSE()),"0")</f>
        <v>0</v>
      </c>
      <c r="Z658" s="341"/>
      <c r="AA658" s="342" t="str">
        <f aca="false">IFERROR(VLOOKUP(C658,TE!$H:$Y,17,FALSE()),"0")</f>
        <v>0</v>
      </c>
      <c r="AB658" s="342"/>
      <c r="AC658" s="343" t="n">
        <f aca="false">IFERROR((W658*Y658*AA658),"")</f>
        <v>0</v>
      </c>
      <c r="AD658" s="343"/>
      <c r="AE658" s="343"/>
      <c r="AF658" s="276"/>
    </row>
    <row r="659" customFormat="false" ht="15.75" hidden="false" customHeight="true" outlineLevel="0" collapsed="false">
      <c r="A659" s="276"/>
      <c r="B659" s="276"/>
      <c r="C659" s="344" t="s">
        <v>1592</v>
      </c>
      <c r="D659" s="338"/>
      <c r="E659" s="338"/>
      <c r="F659" s="339" t="str">
        <f aca="false">IFERROR(VLOOKUP(C659,TE!$H:$Y,2,FALSE()),"(Not on TE)")</f>
        <v>(Not on TE)</v>
      </c>
      <c r="G659" s="338"/>
      <c r="H659" s="338"/>
      <c r="I659" s="338"/>
      <c r="J659" s="338"/>
      <c r="K659" s="338"/>
      <c r="L659" s="338"/>
      <c r="M659" s="338"/>
      <c r="N659" s="338"/>
      <c r="O659" s="338"/>
      <c r="P659" s="338"/>
      <c r="Q659" s="338"/>
      <c r="R659" s="338"/>
      <c r="S659" s="338"/>
      <c r="T659" s="338"/>
      <c r="U659" s="340" t="str">
        <f aca="false">IFERROR(VLOOKUP(C659,TE!$H:$Y,9,FALSE()),"0")</f>
        <v>0</v>
      </c>
      <c r="V659" s="340"/>
      <c r="W659" s="341" t="n">
        <f aca="false">SUMIFS(TE!$O:$O,TE!$G:$G,$C$592,TE!$I:$I,C659,TE!$D:$D,$C$5)</f>
        <v>0</v>
      </c>
      <c r="X659" s="341"/>
      <c r="Y659" s="341" t="str">
        <f aca="false">IFERROR(VLOOKUP(C659,TE!$H:$Y,16,FALSE()),"0")</f>
        <v>0</v>
      </c>
      <c r="Z659" s="341"/>
      <c r="AA659" s="342" t="str">
        <f aca="false">IFERROR(VLOOKUP(C659,TE!$H:$Y,17,FALSE()),"0")</f>
        <v>0</v>
      </c>
      <c r="AB659" s="342"/>
      <c r="AC659" s="343" t="n">
        <f aca="false">IFERROR((W659*Y659*AA659),"")</f>
        <v>0</v>
      </c>
      <c r="AD659" s="343"/>
      <c r="AE659" s="343"/>
      <c r="AF659" s="276"/>
    </row>
    <row r="660" customFormat="false" ht="15.75" hidden="false" customHeight="true" outlineLevel="0" collapsed="false">
      <c r="A660" s="276"/>
      <c r="B660" s="276"/>
      <c r="C660" s="344" t="s">
        <v>1593</v>
      </c>
      <c r="D660" s="338"/>
      <c r="E660" s="338"/>
      <c r="F660" s="339" t="str">
        <f aca="false">IFERROR(VLOOKUP(C660,TE!$H:$Y,2,FALSE()),"(Not on TE)")</f>
        <v>(Not on TE)</v>
      </c>
      <c r="G660" s="338"/>
      <c r="H660" s="338"/>
      <c r="I660" s="338"/>
      <c r="J660" s="338"/>
      <c r="K660" s="338"/>
      <c r="L660" s="338"/>
      <c r="M660" s="338"/>
      <c r="N660" s="338"/>
      <c r="O660" s="338"/>
      <c r="P660" s="338"/>
      <c r="Q660" s="338"/>
      <c r="R660" s="338"/>
      <c r="S660" s="338"/>
      <c r="T660" s="338"/>
      <c r="U660" s="340" t="str">
        <f aca="false">IFERROR(VLOOKUP(C660,TE!$H:$Y,9,FALSE()),"0")</f>
        <v>0</v>
      </c>
      <c r="V660" s="340"/>
      <c r="W660" s="341" t="n">
        <f aca="false">SUMIFS(TE!$O:$O,TE!$G:$G,$C$592,TE!$I:$I,C660,TE!$D:$D,$C$5)</f>
        <v>0</v>
      </c>
      <c r="X660" s="341"/>
      <c r="Y660" s="341" t="str">
        <f aca="false">IFERROR(VLOOKUP(C660,TE!$H:$Y,16,FALSE()),"0")</f>
        <v>0</v>
      </c>
      <c r="Z660" s="341"/>
      <c r="AA660" s="342" t="str">
        <f aca="false">IFERROR(VLOOKUP(C660,TE!$H:$Y,17,FALSE()),"0")</f>
        <v>0</v>
      </c>
      <c r="AB660" s="342"/>
      <c r="AC660" s="343" t="n">
        <f aca="false">IFERROR((W660*Y660*AA660),"")</f>
        <v>0</v>
      </c>
      <c r="AD660" s="343"/>
      <c r="AE660" s="343"/>
      <c r="AF660" s="276"/>
    </row>
    <row r="661" customFormat="false" ht="15.75" hidden="false" customHeight="true" outlineLevel="0" collapsed="false">
      <c r="A661" s="276"/>
      <c r="B661" s="276"/>
      <c r="C661" s="344" t="s">
        <v>1594</v>
      </c>
      <c r="D661" s="338"/>
      <c r="E661" s="338"/>
      <c r="F661" s="339" t="str">
        <f aca="false">IFERROR(VLOOKUP(C661,TE!$H:$Y,2,FALSE()),"(Not on TE)")</f>
        <v>(Not on TE)</v>
      </c>
      <c r="G661" s="338"/>
      <c r="H661" s="338"/>
      <c r="I661" s="338"/>
      <c r="J661" s="338"/>
      <c r="K661" s="338"/>
      <c r="L661" s="338"/>
      <c r="M661" s="338"/>
      <c r="N661" s="338"/>
      <c r="O661" s="338"/>
      <c r="P661" s="338"/>
      <c r="Q661" s="338"/>
      <c r="R661" s="338"/>
      <c r="S661" s="338"/>
      <c r="T661" s="338"/>
      <c r="U661" s="340" t="str">
        <f aca="false">IFERROR(VLOOKUP(C661,TE!$H:$Y,9,FALSE()),"0")</f>
        <v>0</v>
      </c>
      <c r="V661" s="340"/>
      <c r="W661" s="341" t="n">
        <f aca="false">SUMIFS(TE!$O:$O,TE!$G:$G,$C$592,TE!$I:$I,C661,TE!$D:$D,$C$5)</f>
        <v>0</v>
      </c>
      <c r="X661" s="341"/>
      <c r="Y661" s="341" t="str">
        <f aca="false">IFERROR(VLOOKUP(C661,TE!$H:$Y,16,FALSE()),"0")</f>
        <v>0</v>
      </c>
      <c r="Z661" s="341"/>
      <c r="AA661" s="342" t="str">
        <f aca="false">IFERROR(VLOOKUP(C661,TE!$H:$Y,17,FALSE()),"0")</f>
        <v>0</v>
      </c>
      <c r="AB661" s="342"/>
      <c r="AC661" s="343" t="n">
        <f aca="false">IFERROR((W661*Y661*AA661),"")</f>
        <v>0</v>
      </c>
      <c r="AD661" s="343"/>
      <c r="AE661" s="343"/>
      <c r="AF661" s="276"/>
    </row>
    <row r="662" customFormat="false" ht="15.75" hidden="false" customHeight="true" outlineLevel="0" collapsed="false">
      <c r="A662" s="276"/>
      <c r="B662" s="276"/>
      <c r="C662" s="344" t="s">
        <v>1595</v>
      </c>
      <c r="D662" s="338"/>
      <c r="E662" s="338"/>
      <c r="F662" s="339" t="str">
        <f aca="false">IFERROR(VLOOKUP(C662,TE!$H:$Y,2,FALSE()),"(Not on TE)")</f>
        <v>(Not on TE)</v>
      </c>
      <c r="G662" s="338"/>
      <c r="H662" s="338"/>
      <c r="I662" s="338"/>
      <c r="J662" s="338"/>
      <c r="K662" s="338"/>
      <c r="L662" s="338"/>
      <c r="M662" s="338"/>
      <c r="N662" s="338"/>
      <c r="O662" s="338"/>
      <c r="P662" s="338"/>
      <c r="Q662" s="338"/>
      <c r="R662" s="338"/>
      <c r="S662" s="338"/>
      <c r="T662" s="338"/>
      <c r="U662" s="340" t="str">
        <f aca="false">IFERROR(VLOOKUP(C662,TE!$H:$Y,9,FALSE()),"0")</f>
        <v>0</v>
      </c>
      <c r="V662" s="340"/>
      <c r="W662" s="341" t="n">
        <f aca="false">SUMIFS(TE!$O:$O,TE!$G:$G,$C$592,TE!$I:$I,C662,TE!$D:$D,$C$5)</f>
        <v>0</v>
      </c>
      <c r="X662" s="341"/>
      <c r="Y662" s="341" t="str">
        <f aca="false">IFERROR(VLOOKUP(C662,TE!$H:$Y,16,FALSE()),"0")</f>
        <v>0</v>
      </c>
      <c r="Z662" s="341"/>
      <c r="AA662" s="342" t="str">
        <f aca="false">IFERROR(VLOOKUP(C662,TE!$H:$Y,17,FALSE()),"0")</f>
        <v>0</v>
      </c>
      <c r="AB662" s="342"/>
      <c r="AC662" s="343" t="n">
        <f aca="false">IFERROR((W662*Y662*AA662),"")</f>
        <v>0</v>
      </c>
      <c r="AD662" s="343"/>
      <c r="AE662" s="343"/>
      <c r="AF662" s="276"/>
    </row>
    <row r="663" customFormat="false" ht="15.75" hidden="false" customHeight="true" outlineLevel="0" collapsed="false">
      <c r="A663" s="276"/>
      <c r="B663" s="276"/>
      <c r="C663" s="345" t="s">
        <v>1153</v>
      </c>
      <c r="D663" s="346"/>
      <c r="E663" s="346"/>
      <c r="F663" s="339" t="str">
        <f aca="false">IFERROR(VLOOKUP(C663,TE!$H:$Y,2,FALSE()),"(Not on TE)")</f>
        <v>(Not on TE)</v>
      </c>
      <c r="G663" s="347"/>
      <c r="H663" s="347"/>
      <c r="I663" s="347"/>
      <c r="J663" s="347"/>
      <c r="K663" s="347"/>
      <c r="L663" s="347"/>
      <c r="M663" s="347"/>
      <c r="N663" s="347"/>
      <c r="O663" s="347"/>
      <c r="P663" s="347"/>
      <c r="Q663" s="347"/>
      <c r="R663" s="347"/>
      <c r="S663" s="347"/>
      <c r="T663" s="347"/>
      <c r="U663" s="340" t="str">
        <f aca="false">IFERROR(VLOOKUP(C663,TE!$H:$Y,9,FALSE()),"0")</f>
        <v>0</v>
      </c>
      <c r="V663" s="340"/>
      <c r="W663" s="341" t="n">
        <f aca="false">SUMIFS(TE!$O:$O,TE!$G:$G,$C$592,TE!$I:$I,C663,TE!$D:$D,$C$5)</f>
        <v>0</v>
      </c>
      <c r="X663" s="341"/>
      <c r="Y663" s="341" t="str">
        <f aca="false">IFERROR(VLOOKUP(C663,TE!$H:$Y,16,FALSE()),"0")</f>
        <v>0</v>
      </c>
      <c r="Z663" s="341"/>
      <c r="AA663" s="342" t="str">
        <f aca="false">IFERROR(VLOOKUP(C663,TE!$H:$Y,17,FALSE()),"0")</f>
        <v>0</v>
      </c>
      <c r="AB663" s="342"/>
      <c r="AC663" s="343" t="n">
        <f aca="false">IFERROR((W663*Y663*AA663),"")</f>
        <v>0</v>
      </c>
      <c r="AD663" s="343"/>
      <c r="AE663" s="343"/>
      <c r="AF663" s="276"/>
    </row>
    <row r="664" customFormat="false" ht="15.75" hidden="false" customHeight="true" outlineLevel="0" collapsed="false">
      <c r="A664" s="276"/>
      <c r="B664" s="276"/>
      <c r="C664" s="345" t="s">
        <v>1596</v>
      </c>
      <c r="D664" s="346"/>
      <c r="E664" s="346"/>
      <c r="F664" s="339" t="str">
        <f aca="false">IFERROR(VLOOKUP(C664,TE!$H:$Y,2,FALSE()),"(Not on TE)")</f>
        <v>(Not on TE)</v>
      </c>
      <c r="G664" s="347"/>
      <c r="H664" s="347"/>
      <c r="I664" s="347"/>
      <c r="J664" s="347"/>
      <c r="K664" s="347"/>
      <c r="L664" s="347"/>
      <c r="M664" s="347"/>
      <c r="N664" s="347"/>
      <c r="O664" s="347"/>
      <c r="P664" s="347"/>
      <c r="Q664" s="347"/>
      <c r="R664" s="347"/>
      <c r="S664" s="347"/>
      <c r="T664" s="347"/>
      <c r="U664" s="340" t="str">
        <f aca="false">IFERROR(VLOOKUP(C664,TE!$H:$Y,9,FALSE()),"0")</f>
        <v>0</v>
      </c>
      <c r="V664" s="340"/>
      <c r="W664" s="341" t="n">
        <f aca="false">SUMIFS(TE!$O:$O,TE!$G:$G,$C$592,TE!$I:$I,C664,TE!$D:$D,$C$5)</f>
        <v>0</v>
      </c>
      <c r="X664" s="341"/>
      <c r="Y664" s="341" t="str">
        <f aca="false">IFERROR(VLOOKUP(C664,TE!$H:$Y,16,FALSE()),"0")</f>
        <v>0</v>
      </c>
      <c r="Z664" s="341"/>
      <c r="AA664" s="342" t="str">
        <f aca="false">IFERROR(VLOOKUP(C664,TE!$H:$Y,17,FALSE()),"0")</f>
        <v>0</v>
      </c>
      <c r="AB664" s="342"/>
      <c r="AC664" s="343" t="n">
        <f aca="false">IFERROR((W664*Y664*AA664),"")</f>
        <v>0</v>
      </c>
      <c r="AD664" s="343"/>
      <c r="AE664" s="343"/>
      <c r="AF664" s="276"/>
    </row>
    <row r="665" customFormat="false" ht="15.75" hidden="false" customHeight="true" outlineLevel="0" collapsed="false">
      <c r="A665" s="276"/>
      <c r="B665" s="276"/>
      <c r="C665" s="345" t="s">
        <v>1597</v>
      </c>
      <c r="D665" s="346"/>
      <c r="E665" s="346"/>
      <c r="F665" s="339" t="str">
        <f aca="false">IFERROR(VLOOKUP(C665,TE!$H:$Y,2,FALSE()),"(Not on TE)")</f>
        <v>(Not on TE)</v>
      </c>
      <c r="G665" s="347"/>
      <c r="H665" s="347"/>
      <c r="I665" s="347"/>
      <c r="J665" s="347"/>
      <c r="K665" s="347"/>
      <c r="L665" s="347"/>
      <c r="M665" s="347"/>
      <c r="N665" s="347"/>
      <c r="O665" s="347"/>
      <c r="P665" s="347"/>
      <c r="Q665" s="347"/>
      <c r="R665" s="347"/>
      <c r="S665" s="347"/>
      <c r="T665" s="347"/>
      <c r="U665" s="340" t="str">
        <f aca="false">IFERROR(VLOOKUP(C665,TE!$H:$Y,9,FALSE()),"0")</f>
        <v>0</v>
      </c>
      <c r="V665" s="340"/>
      <c r="W665" s="341" t="n">
        <f aca="false">SUMIFS(TE!$O:$O,TE!$G:$G,$C$592,TE!$I:$I,C665,TE!$D:$D,$C$5)</f>
        <v>0</v>
      </c>
      <c r="X665" s="341"/>
      <c r="Y665" s="341" t="str">
        <f aca="false">IFERROR(VLOOKUP(C665,TE!$H:$Y,16,FALSE()),"0")</f>
        <v>0</v>
      </c>
      <c r="Z665" s="341"/>
      <c r="AA665" s="342" t="str">
        <f aca="false">IFERROR(VLOOKUP(C665,TE!$H:$Y,17,FALSE()),"0")</f>
        <v>0</v>
      </c>
      <c r="AB665" s="342"/>
      <c r="AC665" s="343" t="n">
        <f aca="false">IFERROR((W665*Y665*AA665),"")</f>
        <v>0</v>
      </c>
      <c r="AD665" s="343"/>
      <c r="AE665" s="343"/>
      <c r="AF665" s="276"/>
    </row>
    <row r="666" customFormat="false" ht="15.75" hidden="false" customHeight="true" outlineLevel="0" collapsed="false">
      <c r="A666" s="276"/>
      <c r="B666" s="276"/>
      <c r="C666" s="345" t="s">
        <v>1598</v>
      </c>
      <c r="D666" s="346"/>
      <c r="E666" s="346"/>
      <c r="F666" s="339" t="str">
        <f aca="false">IFERROR(VLOOKUP(C666,TE!$H:$Y,2,FALSE()),"(Not on TE)")</f>
        <v>(Not on TE)</v>
      </c>
      <c r="G666" s="347"/>
      <c r="H666" s="347"/>
      <c r="I666" s="347"/>
      <c r="J666" s="347"/>
      <c r="K666" s="347"/>
      <c r="L666" s="347"/>
      <c r="M666" s="347"/>
      <c r="N666" s="347"/>
      <c r="O666" s="347"/>
      <c r="P666" s="347"/>
      <c r="Q666" s="347"/>
      <c r="R666" s="347"/>
      <c r="S666" s="347"/>
      <c r="T666" s="347"/>
      <c r="U666" s="340" t="str">
        <f aca="false">IFERROR(VLOOKUP(C666,TE!$H:$Y,9,FALSE()),"0")</f>
        <v>0</v>
      </c>
      <c r="V666" s="340"/>
      <c r="W666" s="341" t="n">
        <f aca="false">SUMIFS(TE!$O:$O,TE!$G:$G,$C$592,TE!$I:$I,C666,TE!$D:$D,$C$5)</f>
        <v>0</v>
      </c>
      <c r="X666" s="341"/>
      <c r="Y666" s="341" t="str">
        <f aca="false">IFERROR(VLOOKUP(C666,TE!$H:$Y,16,FALSE()),"0")</f>
        <v>0</v>
      </c>
      <c r="Z666" s="341"/>
      <c r="AA666" s="342" t="str">
        <f aca="false">IFERROR(VLOOKUP(C666,TE!$H:$Y,17,FALSE()),"0")</f>
        <v>0</v>
      </c>
      <c r="AB666" s="342"/>
      <c r="AC666" s="343" t="n">
        <f aca="false">IFERROR((W666*Y666*AA666),"")</f>
        <v>0</v>
      </c>
      <c r="AD666" s="343"/>
      <c r="AE666" s="343"/>
      <c r="AF666" s="276"/>
    </row>
    <row r="667" customFormat="false" ht="15.75" hidden="false" customHeight="true" outlineLevel="0" collapsed="false">
      <c r="A667" s="276"/>
      <c r="B667" s="276"/>
      <c r="C667" s="345" t="s">
        <v>1599</v>
      </c>
      <c r="D667" s="346"/>
      <c r="E667" s="346"/>
      <c r="F667" s="339" t="str">
        <f aca="false">IFERROR(VLOOKUP(C667,TE!$H:$Y,2,FALSE()),"(Not on TE)")</f>
        <v>(Not on TE)</v>
      </c>
      <c r="G667" s="347"/>
      <c r="H667" s="347"/>
      <c r="I667" s="347"/>
      <c r="J667" s="347"/>
      <c r="K667" s="347"/>
      <c r="L667" s="347"/>
      <c r="M667" s="347"/>
      <c r="N667" s="347"/>
      <c r="O667" s="347"/>
      <c r="P667" s="347"/>
      <c r="Q667" s="347"/>
      <c r="R667" s="347"/>
      <c r="S667" s="347"/>
      <c r="T667" s="347"/>
      <c r="U667" s="340" t="str">
        <f aca="false">IFERROR(VLOOKUP(C667,TE!$H:$Y,9,FALSE()),"0")</f>
        <v>0</v>
      </c>
      <c r="V667" s="340"/>
      <c r="W667" s="341" t="n">
        <f aca="false">SUMIFS(TE!$O:$O,TE!$G:$G,$C$592,TE!$I:$I,C667,TE!$D:$D,$C$5)</f>
        <v>0</v>
      </c>
      <c r="X667" s="341"/>
      <c r="Y667" s="341" t="str">
        <f aca="false">IFERROR(VLOOKUP(C667,TE!$H:$Y,16,FALSE()),"0")</f>
        <v>0</v>
      </c>
      <c r="Z667" s="341"/>
      <c r="AA667" s="342" t="str">
        <f aca="false">IFERROR(VLOOKUP(C667,TE!$H:$Y,17,FALSE()),"0")</f>
        <v>0</v>
      </c>
      <c r="AB667" s="342"/>
      <c r="AC667" s="343" t="n">
        <f aca="false">IFERROR((W667*Y667*AA667),"")</f>
        <v>0</v>
      </c>
      <c r="AD667" s="343"/>
      <c r="AE667" s="343"/>
      <c r="AF667" s="276"/>
    </row>
    <row r="668" customFormat="false" ht="15.75" hidden="false" customHeight="true" outlineLevel="0" collapsed="false">
      <c r="A668" s="276"/>
      <c r="B668" s="276"/>
      <c r="C668" s="345" t="s">
        <v>1600</v>
      </c>
      <c r="D668" s="346"/>
      <c r="E668" s="346"/>
      <c r="F668" s="339" t="str">
        <f aca="false">IFERROR(VLOOKUP(C668,TE!$H:$Y,2,FALSE()),"(Not on TE)")</f>
        <v>(Not on TE)</v>
      </c>
      <c r="G668" s="347"/>
      <c r="H668" s="347"/>
      <c r="I668" s="347"/>
      <c r="J668" s="347"/>
      <c r="K668" s="347"/>
      <c r="L668" s="347"/>
      <c r="M668" s="347"/>
      <c r="N668" s="347"/>
      <c r="O668" s="347"/>
      <c r="P668" s="347"/>
      <c r="Q668" s="347"/>
      <c r="R668" s="347"/>
      <c r="S668" s="347"/>
      <c r="T668" s="347"/>
      <c r="U668" s="340" t="str">
        <f aca="false">IFERROR(VLOOKUP(C668,TE!$H:$Y,9,FALSE()),"0")</f>
        <v>0</v>
      </c>
      <c r="V668" s="340"/>
      <c r="W668" s="341" t="n">
        <f aca="false">SUMIFS(TE!$O:$O,TE!$G:$G,$C$592,TE!$I:$I,C668,TE!$D:$D,$C$5)</f>
        <v>0</v>
      </c>
      <c r="X668" s="341"/>
      <c r="Y668" s="341" t="str">
        <f aca="false">IFERROR(VLOOKUP(C668,TE!$H:$Y,16,FALSE()),"0")</f>
        <v>0</v>
      </c>
      <c r="Z668" s="341"/>
      <c r="AA668" s="342" t="str">
        <f aca="false">IFERROR(VLOOKUP(C668,TE!$H:$Y,17,FALSE()),"0")</f>
        <v>0</v>
      </c>
      <c r="AB668" s="342"/>
      <c r="AC668" s="343" t="n">
        <f aca="false">IFERROR((W668*Y668*AA668),"")</f>
        <v>0</v>
      </c>
      <c r="AD668" s="343"/>
      <c r="AE668" s="343"/>
      <c r="AF668" s="276"/>
    </row>
    <row r="669" customFormat="false" ht="15.75" hidden="false" customHeight="true" outlineLevel="0" collapsed="false">
      <c r="A669" s="276"/>
      <c r="B669" s="276"/>
      <c r="C669" s="345" t="s">
        <v>1601</v>
      </c>
      <c r="D669" s="346"/>
      <c r="E669" s="346"/>
      <c r="F669" s="339" t="str">
        <f aca="false">IFERROR(VLOOKUP(C669,TE!$H:$Y,2,FALSE()),"(Not on TE)")</f>
        <v>(Not on TE)</v>
      </c>
      <c r="G669" s="347"/>
      <c r="H669" s="347"/>
      <c r="I669" s="347"/>
      <c r="J669" s="347"/>
      <c r="K669" s="347"/>
      <c r="L669" s="347"/>
      <c r="M669" s="347"/>
      <c r="N669" s="347"/>
      <c r="O669" s="347"/>
      <c r="P669" s="347"/>
      <c r="Q669" s="347"/>
      <c r="R669" s="347"/>
      <c r="S669" s="347"/>
      <c r="T669" s="347"/>
      <c r="U669" s="340" t="str">
        <f aca="false">IFERROR(VLOOKUP(C669,TE!$H:$Y,9,FALSE()),"0")</f>
        <v>0</v>
      </c>
      <c r="V669" s="340"/>
      <c r="W669" s="341" t="n">
        <f aca="false">SUMIFS(TE!$O:$O,TE!$G:$G,$C$592,TE!$I:$I,C669,TE!$D:$D,$C$5)</f>
        <v>0</v>
      </c>
      <c r="X669" s="341"/>
      <c r="Y669" s="341" t="str">
        <f aca="false">IFERROR(VLOOKUP(C669,TE!$H:$Y,16,FALSE()),"0")</f>
        <v>0</v>
      </c>
      <c r="Z669" s="341"/>
      <c r="AA669" s="342" t="str">
        <f aca="false">IFERROR(VLOOKUP(C669,TE!$H:$Y,17,FALSE()),"0")</f>
        <v>0</v>
      </c>
      <c r="AB669" s="342"/>
      <c r="AC669" s="343" t="n">
        <f aca="false">IFERROR((W669*Y669*AA669),"")</f>
        <v>0</v>
      </c>
      <c r="AD669" s="343"/>
      <c r="AE669" s="343"/>
      <c r="AF669" s="276"/>
    </row>
    <row r="670" customFormat="false" ht="15.75" hidden="false" customHeight="true" outlineLevel="0" collapsed="false">
      <c r="A670" s="276"/>
      <c r="B670" s="276"/>
      <c r="C670" s="344" t="s">
        <v>1602</v>
      </c>
      <c r="D670" s="346"/>
      <c r="E670" s="346"/>
      <c r="F670" s="339" t="str">
        <f aca="false">IFERROR(VLOOKUP(C670,TE!$H:$Y,2,FALSE()),"(Not on TE)")</f>
        <v>(Not on TE)</v>
      </c>
      <c r="G670" s="347"/>
      <c r="H670" s="347"/>
      <c r="I670" s="347"/>
      <c r="J670" s="347"/>
      <c r="K670" s="347"/>
      <c r="L670" s="347"/>
      <c r="M670" s="347"/>
      <c r="N670" s="347"/>
      <c r="O670" s="347"/>
      <c r="P670" s="347"/>
      <c r="Q670" s="347"/>
      <c r="R670" s="347"/>
      <c r="S670" s="347"/>
      <c r="T670" s="347"/>
      <c r="U670" s="340" t="str">
        <f aca="false">IFERROR(VLOOKUP(C670,TE!$H:$Y,9,FALSE()),"0")</f>
        <v>0</v>
      </c>
      <c r="V670" s="340"/>
      <c r="W670" s="341" t="n">
        <f aca="false">SUMIFS(TE!$O:$O,TE!$G:$G,$C$592,TE!$I:$I,C670,TE!$D:$D,$C$5)</f>
        <v>0</v>
      </c>
      <c r="X670" s="341"/>
      <c r="Y670" s="341" t="str">
        <f aca="false">IFERROR(VLOOKUP(C670,TE!$H:$Y,16,FALSE()),"0")</f>
        <v>0</v>
      </c>
      <c r="Z670" s="341"/>
      <c r="AA670" s="342" t="str">
        <f aca="false">IFERROR(VLOOKUP(C670,TE!$H:$Y,17,FALSE()),"0")</f>
        <v>0</v>
      </c>
      <c r="AB670" s="342"/>
      <c r="AC670" s="343" t="n">
        <f aca="false">IFERROR((W670*Y670*AA670),"")</f>
        <v>0</v>
      </c>
      <c r="AD670" s="343"/>
      <c r="AE670" s="343"/>
      <c r="AF670" s="276"/>
    </row>
    <row r="671" customFormat="false" ht="15.75" hidden="false" customHeight="true" outlineLevel="0" collapsed="false">
      <c r="A671" s="276"/>
      <c r="B671" s="276"/>
      <c r="C671" s="344" t="s">
        <v>1603</v>
      </c>
      <c r="D671" s="346"/>
      <c r="E671" s="346"/>
      <c r="F671" s="339" t="str">
        <f aca="false">IFERROR(VLOOKUP(C671,TE!$H:$Y,2,FALSE()),"(Not on TE)")</f>
        <v>(Not on TE)</v>
      </c>
      <c r="G671" s="347"/>
      <c r="H671" s="347"/>
      <c r="I671" s="347"/>
      <c r="J671" s="347"/>
      <c r="K671" s="347"/>
      <c r="L671" s="347"/>
      <c r="M671" s="347"/>
      <c r="N671" s="347"/>
      <c r="O671" s="347"/>
      <c r="P671" s="347"/>
      <c r="Q671" s="347"/>
      <c r="R671" s="347"/>
      <c r="S671" s="347"/>
      <c r="T671" s="347"/>
      <c r="U671" s="340" t="str">
        <f aca="false">IFERROR(VLOOKUP(C671,TE!$H:$Y,9,FALSE()),"0")</f>
        <v>0</v>
      </c>
      <c r="V671" s="340"/>
      <c r="W671" s="341" t="n">
        <f aca="false">SUMIFS(TE!$O:$O,TE!$G:$G,$C$592,TE!$I:$I,C671,TE!$D:$D,$C$5)</f>
        <v>0</v>
      </c>
      <c r="X671" s="341"/>
      <c r="Y671" s="341" t="str">
        <f aca="false">IFERROR(VLOOKUP(C671,TE!$H:$Y,16,FALSE()),"0")</f>
        <v>0</v>
      </c>
      <c r="Z671" s="341"/>
      <c r="AA671" s="342" t="str">
        <f aca="false">IFERROR(VLOOKUP(C671,TE!$H:$Y,17,FALSE()),"0")</f>
        <v>0</v>
      </c>
      <c r="AB671" s="342"/>
      <c r="AC671" s="343" t="n">
        <f aca="false">IFERROR((W671*Y671*AA671),"")</f>
        <v>0</v>
      </c>
      <c r="AD671" s="343"/>
      <c r="AE671" s="343"/>
      <c r="AF671" s="276"/>
    </row>
    <row r="672" customFormat="false" ht="15.75" hidden="false" customHeight="true" outlineLevel="0" collapsed="false">
      <c r="A672" s="276"/>
      <c r="B672" s="276"/>
      <c r="C672" s="345" t="s">
        <v>1604</v>
      </c>
      <c r="D672" s="346"/>
      <c r="E672" s="346"/>
      <c r="F672" s="339" t="str">
        <f aca="false">IFERROR(VLOOKUP(C672,TE!$H:$Y,2,FALSE()),"(Not on TE)")</f>
        <v>(Not on TE)</v>
      </c>
      <c r="G672" s="347"/>
      <c r="H672" s="347"/>
      <c r="I672" s="347"/>
      <c r="J672" s="347"/>
      <c r="K672" s="347"/>
      <c r="L672" s="347"/>
      <c r="M672" s="347"/>
      <c r="N672" s="347"/>
      <c r="O672" s="347"/>
      <c r="P672" s="347"/>
      <c r="Q672" s="347"/>
      <c r="R672" s="347"/>
      <c r="S672" s="347"/>
      <c r="T672" s="347"/>
      <c r="U672" s="340" t="str">
        <f aca="false">IFERROR(VLOOKUP(C672,TE!$H:$Y,9,FALSE()),"0")</f>
        <v>0</v>
      </c>
      <c r="V672" s="340"/>
      <c r="W672" s="341" t="n">
        <f aca="false">SUMIFS(TE!$O:$O,TE!$G:$G,$C$592,TE!$I:$I,C672,TE!$D:$D,$C$5)</f>
        <v>0</v>
      </c>
      <c r="X672" s="341"/>
      <c r="Y672" s="341" t="str">
        <f aca="false">IFERROR(VLOOKUP(C672,TE!$H:$Y,16,FALSE()),"0")</f>
        <v>0</v>
      </c>
      <c r="Z672" s="341"/>
      <c r="AA672" s="342" t="str">
        <f aca="false">IFERROR(VLOOKUP(C672,TE!$H:$Y,17,FALSE()),"0")</f>
        <v>0</v>
      </c>
      <c r="AB672" s="342"/>
      <c r="AC672" s="343" t="n">
        <f aca="false">IFERROR((W672*Y672*AA672),"")</f>
        <v>0</v>
      </c>
      <c r="AD672" s="343"/>
      <c r="AE672" s="343"/>
      <c r="AF672" s="276"/>
    </row>
    <row r="673" customFormat="false" ht="15.75" hidden="false" customHeight="true" outlineLevel="0" collapsed="false">
      <c r="A673" s="276"/>
      <c r="B673" s="276"/>
      <c r="C673" s="345" t="s">
        <v>1605</v>
      </c>
      <c r="D673" s="346"/>
      <c r="E673" s="346"/>
      <c r="F673" s="339" t="str">
        <f aca="false">IFERROR(VLOOKUP(C673,TE!$H:$Y,2,FALSE()),"(Not on TE)")</f>
        <v>(Not on TE)</v>
      </c>
      <c r="G673" s="347"/>
      <c r="H673" s="347"/>
      <c r="I673" s="347"/>
      <c r="J673" s="347"/>
      <c r="K673" s="347"/>
      <c r="L673" s="347"/>
      <c r="M673" s="347"/>
      <c r="N673" s="347"/>
      <c r="O673" s="347"/>
      <c r="P673" s="347"/>
      <c r="Q673" s="347"/>
      <c r="R673" s="347"/>
      <c r="S673" s="347"/>
      <c r="T673" s="347"/>
      <c r="U673" s="340" t="str">
        <f aca="false">IFERROR(VLOOKUP(C673,TE!$H:$Y,9,FALSE()),"0")</f>
        <v>0</v>
      </c>
      <c r="V673" s="340"/>
      <c r="W673" s="341" t="n">
        <f aca="false">SUMIFS(TE!$O:$O,TE!$G:$G,$C$592,TE!$I:$I,C673,TE!$D:$D,$C$5)</f>
        <v>0</v>
      </c>
      <c r="X673" s="341"/>
      <c r="Y673" s="341" t="str">
        <f aca="false">IFERROR(VLOOKUP(C673,TE!$H:$Y,16,FALSE()),"0")</f>
        <v>0</v>
      </c>
      <c r="Z673" s="341"/>
      <c r="AA673" s="342" t="str">
        <f aca="false">IFERROR(VLOOKUP(C673,TE!$H:$Y,17,FALSE()),"0")</f>
        <v>0</v>
      </c>
      <c r="AB673" s="342"/>
      <c r="AC673" s="343" t="n">
        <f aca="false">IFERROR((W673*Y673*AA673),"")</f>
        <v>0</v>
      </c>
      <c r="AD673" s="343"/>
      <c r="AE673" s="343"/>
      <c r="AF673" s="276"/>
    </row>
    <row r="674" customFormat="false" ht="15.75" hidden="false" customHeight="true" outlineLevel="0" collapsed="false">
      <c r="A674" s="276"/>
      <c r="B674" s="276"/>
      <c r="C674" s="345" t="s">
        <v>1606</v>
      </c>
      <c r="D674" s="346"/>
      <c r="E674" s="346"/>
      <c r="F674" s="339" t="str">
        <f aca="false">IFERROR(VLOOKUP(C674,TE!$H:$Y,2,FALSE()),"(Not on TE)")</f>
        <v>(Not on TE)</v>
      </c>
      <c r="G674" s="347"/>
      <c r="H674" s="347"/>
      <c r="I674" s="347"/>
      <c r="J674" s="347"/>
      <c r="K674" s="347"/>
      <c r="L674" s="347"/>
      <c r="M674" s="347"/>
      <c r="N674" s="347"/>
      <c r="O674" s="347"/>
      <c r="P674" s="347"/>
      <c r="Q674" s="347"/>
      <c r="R674" s="347"/>
      <c r="S674" s="347"/>
      <c r="T674" s="347"/>
      <c r="U674" s="340" t="str">
        <f aca="false">IFERROR(VLOOKUP(C674,TE!$H:$Y,9,FALSE()),"0")</f>
        <v>0</v>
      </c>
      <c r="V674" s="340"/>
      <c r="W674" s="341" t="n">
        <f aca="false">SUMIFS(TE!$O:$O,TE!$G:$G,$C$592,TE!$I:$I,C674,TE!$D:$D,$C$5)</f>
        <v>0</v>
      </c>
      <c r="X674" s="341"/>
      <c r="Y674" s="341" t="str">
        <f aca="false">IFERROR(VLOOKUP(C674,TE!$H:$Y,16,FALSE()),"0")</f>
        <v>0</v>
      </c>
      <c r="Z674" s="341"/>
      <c r="AA674" s="342" t="str">
        <f aca="false">IFERROR(VLOOKUP(C674,TE!$H:$Y,17,FALSE()),"0")</f>
        <v>0</v>
      </c>
      <c r="AB674" s="342"/>
      <c r="AC674" s="343" t="n">
        <f aca="false">IFERROR((W674*Y674*AA674),"")</f>
        <v>0</v>
      </c>
      <c r="AD674" s="343"/>
      <c r="AE674" s="343"/>
      <c r="AF674" s="276"/>
    </row>
    <row r="675" customFormat="false" ht="15.75" hidden="false" customHeight="true" outlineLevel="0" collapsed="false">
      <c r="A675" s="276"/>
      <c r="B675" s="276"/>
      <c r="C675" s="345" t="s">
        <v>1607</v>
      </c>
      <c r="D675" s="346"/>
      <c r="E675" s="346"/>
      <c r="F675" s="339" t="str">
        <f aca="false">IFERROR(VLOOKUP(C675,TE!$H:$Y,2,FALSE()),"(Not on TE)")</f>
        <v>(Not on TE)</v>
      </c>
      <c r="G675" s="347"/>
      <c r="H675" s="347"/>
      <c r="I675" s="347"/>
      <c r="J675" s="347"/>
      <c r="K675" s="347"/>
      <c r="L675" s="347"/>
      <c r="M675" s="347"/>
      <c r="N675" s="347"/>
      <c r="O675" s="347"/>
      <c r="P675" s="347"/>
      <c r="Q675" s="347"/>
      <c r="R675" s="347"/>
      <c r="S675" s="347"/>
      <c r="T675" s="347"/>
      <c r="U675" s="340" t="str">
        <f aca="false">IFERROR(VLOOKUP(C675,TE!$H:$Y,9,FALSE()),"0")</f>
        <v>0</v>
      </c>
      <c r="V675" s="340"/>
      <c r="W675" s="341" t="n">
        <f aca="false">SUMIFS(TE!$O:$O,TE!$G:$G,$C$592,TE!$I:$I,C675,TE!$D:$D,$C$5)</f>
        <v>0</v>
      </c>
      <c r="X675" s="341"/>
      <c r="Y675" s="341" t="str">
        <f aca="false">IFERROR(VLOOKUP(C675,TE!$H:$Y,16,FALSE()),"0")</f>
        <v>0</v>
      </c>
      <c r="Z675" s="341"/>
      <c r="AA675" s="342" t="str">
        <f aca="false">IFERROR(VLOOKUP(C675,TE!$H:$Y,17,FALSE()),"0")</f>
        <v>0</v>
      </c>
      <c r="AB675" s="342"/>
      <c r="AC675" s="343" t="n">
        <f aca="false">IFERROR((W675*Y675*AA675),"")</f>
        <v>0</v>
      </c>
      <c r="AD675" s="343"/>
      <c r="AE675" s="343"/>
      <c r="AF675" s="276"/>
    </row>
    <row r="676" customFormat="false" ht="15.75" hidden="false" customHeight="true" outlineLevel="0" collapsed="false">
      <c r="A676" s="276"/>
      <c r="B676" s="276"/>
      <c r="C676" s="345" t="s">
        <v>1608</v>
      </c>
      <c r="D676" s="346"/>
      <c r="E676" s="346"/>
      <c r="F676" s="339" t="str">
        <f aca="false">IFERROR(VLOOKUP(C676,TE!$H:$Y,2,FALSE()),"(Not on TE)")</f>
        <v>(Not on TE)</v>
      </c>
      <c r="G676" s="347"/>
      <c r="H676" s="347"/>
      <c r="I676" s="347"/>
      <c r="J676" s="347"/>
      <c r="K676" s="347"/>
      <c r="L676" s="347"/>
      <c r="M676" s="347"/>
      <c r="N676" s="347"/>
      <c r="O676" s="347"/>
      <c r="P676" s="347"/>
      <c r="Q676" s="347"/>
      <c r="R676" s="347"/>
      <c r="S676" s="347"/>
      <c r="T676" s="347"/>
      <c r="U676" s="340" t="str">
        <f aca="false">IFERROR(VLOOKUP(C676,TE!$H:$Y,9,FALSE()),"0")</f>
        <v>0</v>
      </c>
      <c r="V676" s="340"/>
      <c r="W676" s="341" t="n">
        <f aca="false">SUMIFS(TE!$O:$O,TE!$G:$G,$C$592,TE!$I:$I,C676,TE!$D:$D,$C$5)</f>
        <v>0</v>
      </c>
      <c r="X676" s="341"/>
      <c r="Y676" s="341" t="str">
        <f aca="false">IFERROR(VLOOKUP(C676,TE!$H:$Y,16,FALSE()),"0")</f>
        <v>0</v>
      </c>
      <c r="Z676" s="341"/>
      <c r="AA676" s="342" t="str">
        <f aca="false">IFERROR(VLOOKUP(C676,TE!$H:$Y,17,FALSE()),"0")</f>
        <v>0</v>
      </c>
      <c r="AB676" s="342"/>
      <c r="AC676" s="343" t="n">
        <f aca="false">IFERROR((W676*Y676*AA676),"")</f>
        <v>0</v>
      </c>
      <c r="AD676" s="343"/>
      <c r="AE676" s="343"/>
      <c r="AF676" s="276"/>
    </row>
    <row r="677" customFormat="false" ht="15.75" hidden="false" customHeight="true" outlineLevel="0" collapsed="false">
      <c r="A677" s="276"/>
      <c r="B677" s="276"/>
      <c r="C677" s="348" t="s">
        <v>1609</v>
      </c>
      <c r="D677" s="349"/>
      <c r="E677" s="349"/>
      <c r="F677" s="350" t="str">
        <f aca="false">IFERROR(VLOOKUP(C677,TE!$H:$Y,2,FALSE()),"(Not on TE)")</f>
        <v>(Not on TE)</v>
      </c>
      <c r="G677" s="351"/>
      <c r="H677" s="351"/>
      <c r="I677" s="351"/>
      <c r="J677" s="351"/>
      <c r="K677" s="351"/>
      <c r="L677" s="351"/>
      <c r="M677" s="351"/>
      <c r="N677" s="351"/>
      <c r="O677" s="351"/>
      <c r="P677" s="351"/>
      <c r="Q677" s="351"/>
      <c r="R677" s="351"/>
      <c r="S677" s="351"/>
      <c r="T677" s="351"/>
      <c r="U677" s="352" t="str">
        <f aca="false">IFERROR(VLOOKUP(C677,TE!$H:$Y,9,FALSE()),"0")</f>
        <v>0</v>
      </c>
      <c r="V677" s="352"/>
      <c r="W677" s="353" t="n">
        <f aca="false">SUMIFS(TE!$O:$O,TE!$G:$G,$C$592,TE!$I:$I,C677,TE!$D:$D,$C$5)</f>
        <v>0</v>
      </c>
      <c r="X677" s="353"/>
      <c r="Y677" s="353" t="str">
        <f aca="false">IFERROR(VLOOKUP(C677,TE!$H:$Y,16,FALSE()),"0")</f>
        <v>0</v>
      </c>
      <c r="Z677" s="353"/>
      <c r="AA677" s="354" t="str">
        <f aca="false">IFERROR(VLOOKUP(C677,TE!$H:$Y,17,FALSE()),"0")</f>
        <v>0</v>
      </c>
      <c r="AB677" s="354"/>
      <c r="AC677" s="355" t="n">
        <f aca="false">IFERROR((W677*Y677*AA677),"")</f>
        <v>0</v>
      </c>
      <c r="AD677" s="355"/>
      <c r="AE677" s="355"/>
      <c r="AF677" s="276"/>
    </row>
    <row r="678" customFormat="false" ht="15.75" hidden="false" customHeight="true" outlineLevel="0" collapsed="false">
      <c r="A678" s="276"/>
      <c r="B678" s="276"/>
      <c r="C678" s="338"/>
      <c r="D678" s="346"/>
      <c r="E678" s="346"/>
      <c r="F678" s="347"/>
      <c r="G678" s="347"/>
      <c r="H678" s="347"/>
      <c r="I678" s="347"/>
      <c r="J678" s="347"/>
      <c r="K678" s="347"/>
      <c r="L678" s="347"/>
      <c r="M678" s="347"/>
      <c r="N678" s="347"/>
      <c r="O678" s="347"/>
      <c r="P678" s="347"/>
      <c r="Q678" s="347"/>
      <c r="R678" s="347"/>
      <c r="S678" s="347"/>
      <c r="T678" s="347"/>
      <c r="U678" s="356"/>
      <c r="V678" s="356"/>
      <c r="W678" s="357"/>
      <c r="X678" s="357"/>
      <c r="Y678" s="357"/>
      <c r="Z678" s="296"/>
      <c r="AA678" s="373" t="s">
        <v>1576</v>
      </c>
      <c r="AB678" s="373"/>
      <c r="AC678" s="373"/>
      <c r="AD678" s="373"/>
      <c r="AE678" s="373"/>
      <c r="AF678" s="276"/>
    </row>
    <row r="679" customFormat="false" ht="15.75" hidden="false" customHeight="true" outlineLevel="0" collapsed="false">
      <c r="A679" s="276"/>
      <c r="B679" s="276"/>
      <c r="C679" s="338"/>
      <c r="D679" s="346"/>
      <c r="E679" s="346"/>
      <c r="F679" s="347"/>
      <c r="G679" s="347"/>
      <c r="H679" s="347"/>
      <c r="I679" s="347"/>
      <c r="J679" s="347"/>
      <c r="K679" s="347"/>
      <c r="L679" s="347"/>
      <c r="M679" s="347"/>
      <c r="N679" s="347"/>
      <c r="O679" s="347"/>
      <c r="P679" s="347"/>
      <c r="Q679" s="347"/>
      <c r="R679" s="347"/>
      <c r="S679" s="347"/>
      <c r="T679" s="347"/>
      <c r="U679" s="356"/>
      <c r="V679" s="356"/>
      <c r="W679" s="357"/>
      <c r="X679" s="357"/>
      <c r="Y679" s="357"/>
      <c r="Z679" s="357"/>
      <c r="AA679" s="374"/>
      <c r="AB679" s="374"/>
      <c r="AC679" s="375"/>
      <c r="AD679" s="375"/>
      <c r="AE679" s="375"/>
      <c r="AF679" s="276"/>
    </row>
    <row r="680" customFormat="false" ht="15.75" hidden="false" customHeight="true" outlineLevel="0" collapsed="false">
      <c r="A680" s="364"/>
      <c r="B680" s="364"/>
      <c r="C680" s="365"/>
      <c r="D680" s="366"/>
      <c r="E680" s="366"/>
      <c r="F680" s="367"/>
      <c r="G680" s="367"/>
      <c r="H680" s="367"/>
      <c r="I680" s="367"/>
      <c r="J680" s="367"/>
      <c r="K680" s="367"/>
      <c r="L680" s="367"/>
      <c r="M680" s="367"/>
      <c r="N680" s="367"/>
      <c r="O680" s="367"/>
      <c r="P680" s="367"/>
      <c r="Q680" s="367"/>
      <c r="R680" s="367"/>
      <c r="S680" s="367"/>
      <c r="T680" s="367"/>
      <c r="U680" s="368"/>
      <c r="V680" s="368"/>
      <c r="W680" s="369"/>
      <c r="X680" s="369"/>
      <c r="Y680" s="369"/>
      <c r="Z680" s="369"/>
      <c r="AA680" s="370"/>
      <c r="AB680" s="370"/>
      <c r="AC680" s="371"/>
      <c r="AD680" s="371"/>
      <c r="AE680" s="371"/>
      <c r="AF680" s="372"/>
    </row>
    <row r="681" customFormat="false" ht="15.75" hidden="false" customHeight="true" outlineLevel="0" collapsed="false">
      <c r="A681" s="259" t="s">
        <v>1522</v>
      </c>
      <c r="B681" s="259"/>
      <c r="C681" s="323" t="n">
        <f aca="false">$C$5</f>
        <v>14312</v>
      </c>
      <c r="D681" s="323"/>
      <c r="E681" s="323"/>
      <c r="F681" s="323"/>
      <c r="G681" s="323"/>
      <c r="H681" s="323"/>
      <c r="I681" s="323"/>
      <c r="J681" s="323"/>
      <c r="K681" s="323"/>
      <c r="L681" s="323"/>
      <c r="M681" s="259" t="s">
        <v>1523</v>
      </c>
      <c r="N681" s="259"/>
      <c r="O681" s="259"/>
      <c r="P681" s="259"/>
      <c r="Q681" s="259"/>
      <c r="R681" s="324" t="str">
        <f aca="false">$R$5</f>
        <v>Operational Vehicle Laydown Area</v>
      </c>
      <c r="S681" s="324"/>
      <c r="T681" s="324"/>
      <c r="U681" s="324"/>
      <c r="V681" s="324"/>
      <c r="W681" s="324"/>
      <c r="X681" s="324"/>
      <c r="Y681" s="324"/>
      <c r="Z681" s="324"/>
      <c r="AA681" s="324"/>
      <c r="AB681" s="324"/>
      <c r="AC681" s="324"/>
      <c r="AD681" s="324"/>
      <c r="AE681" s="324"/>
      <c r="AF681" s="324"/>
    </row>
    <row r="682" customFormat="false" ht="15.75" hidden="false" customHeight="true" outlineLevel="0" collapsed="false">
      <c r="A682" s="276"/>
      <c r="B682" s="276"/>
      <c r="C682" s="296"/>
      <c r="D682" s="276"/>
      <c r="E682" s="276"/>
      <c r="F682" s="296"/>
      <c r="G682" s="276"/>
      <c r="H682" s="276"/>
      <c r="I682" s="276"/>
      <c r="J682" s="276"/>
      <c r="K682" s="276"/>
      <c r="L682" s="276"/>
      <c r="M682" s="276"/>
      <c r="N682" s="276"/>
      <c r="O682" s="276"/>
      <c r="P682" s="276"/>
      <c r="Q682" s="276"/>
      <c r="R682" s="276"/>
      <c r="S682" s="276"/>
      <c r="T682" s="276"/>
      <c r="U682" s="276"/>
      <c r="V682" s="276"/>
      <c r="W682" s="277"/>
      <c r="X682" s="277"/>
      <c r="Y682" s="276"/>
      <c r="Z682" s="276"/>
      <c r="AA682" s="276"/>
      <c r="AB682" s="276"/>
      <c r="AC682" s="277"/>
      <c r="AD682" s="277"/>
      <c r="AE682" s="277"/>
      <c r="AF682" s="276"/>
    </row>
    <row r="683" customFormat="false" ht="15.75" hidden="false" customHeight="true" outlineLevel="0" collapsed="false">
      <c r="A683" s="276"/>
      <c r="B683" s="276"/>
      <c r="C683" s="325" t="s">
        <v>1542</v>
      </c>
      <c r="D683" s="276"/>
      <c r="E683" s="276"/>
      <c r="F683" s="296"/>
      <c r="G683" s="276"/>
      <c r="H683" s="276"/>
      <c r="I683" s="276"/>
      <c r="J683" s="276"/>
      <c r="K683" s="276"/>
      <c r="L683" s="276"/>
      <c r="M683" s="276"/>
      <c r="N683" s="276"/>
      <c r="O683" s="276"/>
      <c r="P683" s="276"/>
      <c r="Q683" s="276"/>
      <c r="R683" s="276"/>
      <c r="S683" s="276"/>
      <c r="T683" s="276"/>
      <c r="U683" s="276"/>
      <c r="V683" s="276"/>
      <c r="W683" s="277"/>
      <c r="X683" s="277"/>
      <c r="Y683" s="276"/>
      <c r="Z683" s="276"/>
      <c r="AA683" s="276"/>
      <c r="AB683" s="276"/>
      <c r="AC683" s="277"/>
      <c r="AD683" s="277"/>
      <c r="AE683" s="277"/>
      <c r="AF683" s="276"/>
    </row>
    <row r="684" customFormat="false" ht="15.75" hidden="false" customHeight="true" outlineLevel="0" collapsed="false">
      <c r="A684" s="276"/>
      <c r="B684" s="276"/>
      <c r="C684" s="391" t="n">
        <f aca="false">C638</f>
        <v>0</v>
      </c>
      <c r="D684" s="391"/>
      <c r="E684" s="391"/>
      <c r="F684" s="327" t="n">
        <f aca="false">F638</f>
        <v>0</v>
      </c>
      <c r="G684" s="327"/>
      <c r="H684" s="327"/>
      <c r="I684" s="327"/>
      <c r="J684" s="327"/>
      <c r="K684" s="327"/>
      <c r="L684" s="327"/>
      <c r="M684" s="327"/>
      <c r="N684" s="328"/>
      <c r="O684" s="329"/>
      <c r="P684" s="329"/>
      <c r="Q684" s="329"/>
      <c r="R684" s="329"/>
      <c r="S684" s="330"/>
      <c r="T684" s="295"/>
      <c r="U684" s="295"/>
      <c r="V684" s="295"/>
      <c r="W684" s="331"/>
      <c r="X684" s="331"/>
      <c r="Y684" s="295"/>
      <c r="Z684" s="295"/>
      <c r="AA684" s="295"/>
      <c r="AB684" s="295"/>
      <c r="AC684" s="332"/>
      <c r="AD684" s="332"/>
      <c r="AE684" s="332"/>
      <c r="AF684" s="276"/>
    </row>
    <row r="685" customFormat="false" ht="15.75" hidden="false" customHeight="true" outlineLevel="0" collapsed="false">
      <c r="A685" s="276"/>
      <c r="B685" s="276"/>
      <c r="C685" s="376" t="s">
        <v>1055</v>
      </c>
      <c r="D685" s="376"/>
      <c r="E685" s="376"/>
      <c r="F685" s="334" t="s">
        <v>13</v>
      </c>
      <c r="G685" s="334"/>
      <c r="H685" s="334"/>
      <c r="I685" s="334"/>
      <c r="J685" s="334"/>
      <c r="K685" s="334"/>
      <c r="L685" s="334"/>
      <c r="M685" s="334"/>
      <c r="N685" s="334"/>
      <c r="O685" s="334"/>
      <c r="P685" s="334"/>
      <c r="Q685" s="334"/>
      <c r="R685" s="334"/>
      <c r="S685" s="334"/>
      <c r="T685" s="334"/>
      <c r="U685" s="335" t="s">
        <v>1543</v>
      </c>
      <c r="V685" s="335"/>
      <c r="W685" s="335" t="s">
        <v>1544</v>
      </c>
      <c r="X685" s="335"/>
      <c r="Y685" s="335" t="s">
        <v>1545</v>
      </c>
      <c r="Z685" s="335"/>
      <c r="AA685" s="335" t="s">
        <v>1546</v>
      </c>
      <c r="AB685" s="335"/>
      <c r="AC685" s="336" t="s">
        <v>1547</v>
      </c>
      <c r="AD685" s="336"/>
      <c r="AE685" s="336"/>
      <c r="AF685" s="276"/>
    </row>
    <row r="686" customFormat="false" ht="15.75" hidden="false" customHeight="true" outlineLevel="0" collapsed="false">
      <c r="A686" s="276"/>
      <c r="B686" s="276"/>
      <c r="C686" s="376"/>
      <c r="D686" s="376"/>
      <c r="E686" s="376"/>
      <c r="F686" s="334"/>
      <c r="G686" s="334"/>
      <c r="H686" s="334"/>
      <c r="I686" s="334"/>
      <c r="J686" s="334"/>
      <c r="K686" s="334"/>
      <c r="L686" s="334"/>
      <c r="M686" s="334"/>
      <c r="N686" s="334"/>
      <c r="O686" s="334"/>
      <c r="P686" s="334"/>
      <c r="Q686" s="334"/>
      <c r="R686" s="334"/>
      <c r="S686" s="334"/>
      <c r="T686" s="334"/>
      <c r="U686" s="335"/>
      <c r="V686" s="335"/>
      <c r="W686" s="335"/>
      <c r="X686" s="335"/>
      <c r="Y686" s="335"/>
      <c r="Z686" s="335"/>
      <c r="AA686" s="335"/>
      <c r="AB686" s="335"/>
      <c r="AC686" s="336"/>
      <c r="AD686" s="336"/>
      <c r="AE686" s="336"/>
      <c r="AF686" s="276"/>
    </row>
    <row r="687" customFormat="false" ht="15.75" hidden="false" customHeight="true" outlineLevel="0" collapsed="false">
      <c r="A687" s="276"/>
      <c r="B687" s="276"/>
      <c r="C687" s="377" t="s">
        <v>1610</v>
      </c>
      <c r="D687" s="338"/>
      <c r="E687" s="338"/>
      <c r="F687" s="339" t="str">
        <f aca="false">IFERROR(VLOOKUP(C687,TE!$H:$Y,2,FALSE()),"(Not on TE)")</f>
        <v>(Not on TE)</v>
      </c>
      <c r="G687" s="338"/>
      <c r="H687" s="338"/>
      <c r="I687" s="338"/>
      <c r="J687" s="338"/>
      <c r="K687" s="338"/>
      <c r="L687" s="338"/>
      <c r="M687" s="338"/>
      <c r="N687" s="338"/>
      <c r="O687" s="338"/>
      <c r="P687" s="338"/>
      <c r="Q687" s="338"/>
      <c r="R687" s="338"/>
      <c r="S687" s="338"/>
      <c r="T687" s="338"/>
      <c r="U687" s="340" t="str">
        <f aca="false">IFERROR(VLOOKUP(C687,TE!$H:$Y,9,FALSE()),"0")</f>
        <v>0</v>
      </c>
      <c r="V687" s="340"/>
      <c r="W687" s="341" t="n">
        <f aca="false">SUMIFS(TE!$O:$O,TE!$G:$G,$C$592,TE!$I:$I,C687,TE!$D:$D,$C$5)</f>
        <v>0</v>
      </c>
      <c r="X687" s="341"/>
      <c r="Y687" s="341" t="str">
        <f aca="false">IFERROR(VLOOKUP(C687,TE!$H:$Y,16,FALSE()),"0")</f>
        <v>0</v>
      </c>
      <c r="Z687" s="341"/>
      <c r="AA687" s="342" t="str">
        <f aca="false">IFERROR(VLOOKUP(C687,TE!$H:$Y,17,FALSE()),"0")</f>
        <v>0</v>
      </c>
      <c r="AB687" s="342"/>
      <c r="AC687" s="343" t="n">
        <f aca="false">IFERROR((W687*Y687*AA687),"")</f>
        <v>0</v>
      </c>
      <c r="AD687" s="343"/>
      <c r="AE687" s="343"/>
      <c r="AF687" s="276"/>
    </row>
    <row r="688" customFormat="false" ht="15.75" hidden="false" customHeight="true" outlineLevel="0" collapsed="false">
      <c r="A688" s="276"/>
      <c r="B688" s="276"/>
      <c r="C688" s="377" t="s">
        <v>1611</v>
      </c>
      <c r="D688" s="338"/>
      <c r="E688" s="338"/>
      <c r="F688" s="339" t="str">
        <f aca="false">IFERROR(VLOOKUP(C688,TE!$H:$Y,2,FALSE()),"(Not on TE)")</f>
        <v>(Not on TE)</v>
      </c>
      <c r="G688" s="338"/>
      <c r="H688" s="338"/>
      <c r="I688" s="338"/>
      <c r="J688" s="338"/>
      <c r="K688" s="338"/>
      <c r="L688" s="338"/>
      <c r="M688" s="338"/>
      <c r="N688" s="338"/>
      <c r="O688" s="338"/>
      <c r="P688" s="338"/>
      <c r="Q688" s="338"/>
      <c r="R688" s="338"/>
      <c r="S688" s="338"/>
      <c r="T688" s="338"/>
      <c r="U688" s="340" t="str">
        <f aca="false">IFERROR(VLOOKUP(C688,TE!$H:$Y,9,FALSE()),"0")</f>
        <v>0</v>
      </c>
      <c r="V688" s="340"/>
      <c r="W688" s="341" t="n">
        <f aca="false">SUMIFS(TE!$O:$O,TE!$G:$G,$C$592,TE!$I:$I,C688,TE!$D:$D,$C$5)</f>
        <v>0</v>
      </c>
      <c r="X688" s="341"/>
      <c r="Y688" s="341" t="str">
        <f aca="false">IFERROR(VLOOKUP(C688,TE!$H:$Y,16,FALSE()),"0")</f>
        <v>0</v>
      </c>
      <c r="Z688" s="341"/>
      <c r="AA688" s="342" t="str">
        <f aca="false">IFERROR(VLOOKUP(C688,TE!$H:$Y,17,FALSE()),"0")</f>
        <v>0</v>
      </c>
      <c r="AB688" s="342"/>
      <c r="AC688" s="343" t="n">
        <f aca="false">IFERROR((W688*Y688*AA688),"")</f>
        <v>0</v>
      </c>
      <c r="AD688" s="343"/>
      <c r="AE688" s="343"/>
      <c r="AF688" s="276"/>
    </row>
    <row r="689" customFormat="false" ht="15.75" hidden="false" customHeight="true" outlineLevel="0" collapsed="false">
      <c r="A689" s="276"/>
      <c r="B689" s="276"/>
      <c r="C689" s="377" t="s">
        <v>1612</v>
      </c>
      <c r="D689" s="338"/>
      <c r="E689" s="338"/>
      <c r="F689" s="339" t="str">
        <f aca="false">IFERROR(VLOOKUP(C689,TE!$H:$Y,2,FALSE()),"(Not on TE)")</f>
        <v>(Not on TE)</v>
      </c>
      <c r="G689" s="338"/>
      <c r="H689" s="338"/>
      <c r="I689" s="338"/>
      <c r="J689" s="338"/>
      <c r="K689" s="338"/>
      <c r="L689" s="338"/>
      <c r="M689" s="338"/>
      <c r="N689" s="338"/>
      <c r="O689" s="338"/>
      <c r="P689" s="338"/>
      <c r="Q689" s="338"/>
      <c r="R689" s="338"/>
      <c r="S689" s="338"/>
      <c r="T689" s="338"/>
      <c r="U689" s="340" t="str">
        <f aca="false">IFERROR(VLOOKUP(C689,TE!$H:$Y,9,FALSE()),"0")</f>
        <v>0</v>
      </c>
      <c r="V689" s="340"/>
      <c r="W689" s="341" t="n">
        <f aca="false">SUMIFS(TE!$O:$O,TE!$G:$G,$C$592,TE!$I:$I,C689,TE!$D:$D,$C$5)</f>
        <v>0</v>
      </c>
      <c r="X689" s="341"/>
      <c r="Y689" s="341" t="str">
        <f aca="false">IFERROR(VLOOKUP(C689,TE!$H:$Y,16,FALSE()),"0")</f>
        <v>0</v>
      </c>
      <c r="Z689" s="341"/>
      <c r="AA689" s="342" t="str">
        <f aca="false">IFERROR(VLOOKUP(C689,TE!$H:$Y,17,FALSE()),"0")</f>
        <v>0</v>
      </c>
      <c r="AB689" s="342"/>
      <c r="AC689" s="343" t="n">
        <f aca="false">IFERROR((W689*Y689*AA689),"")</f>
        <v>0</v>
      </c>
      <c r="AD689" s="343"/>
      <c r="AE689" s="343"/>
      <c r="AF689" s="276"/>
    </row>
    <row r="690" customFormat="false" ht="15.75" hidden="false" customHeight="true" outlineLevel="0" collapsed="false">
      <c r="A690" s="276"/>
      <c r="B690" s="276"/>
      <c r="C690" s="377" t="s">
        <v>1613</v>
      </c>
      <c r="D690" s="338"/>
      <c r="E690" s="338"/>
      <c r="F690" s="339" t="str">
        <f aca="false">IFERROR(VLOOKUP(C690,TE!$H:$Y,2,FALSE()),"(Not on TE)")</f>
        <v>(Not on TE)</v>
      </c>
      <c r="G690" s="338"/>
      <c r="H690" s="338"/>
      <c r="I690" s="338"/>
      <c r="J690" s="338"/>
      <c r="K690" s="338"/>
      <c r="L690" s="338"/>
      <c r="M690" s="338"/>
      <c r="N690" s="338"/>
      <c r="O690" s="338"/>
      <c r="P690" s="338"/>
      <c r="Q690" s="338"/>
      <c r="R690" s="338"/>
      <c r="S690" s="338"/>
      <c r="T690" s="338"/>
      <c r="U690" s="340" t="str">
        <f aca="false">IFERROR(VLOOKUP(C690,TE!$H:$Y,9,FALSE()),"0")</f>
        <v>0</v>
      </c>
      <c r="V690" s="340"/>
      <c r="W690" s="341" t="n">
        <f aca="false">SUMIFS(TE!$O:$O,TE!$G:$G,$C$592,TE!$I:$I,C690,TE!$D:$D,$C$5)</f>
        <v>0</v>
      </c>
      <c r="X690" s="341"/>
      <c r="Y690" s="341" t="str">
        <f aca="false">IFERROR(VLOOKUP(C690,TE!$H:$Y,16,FALSE()),"0")</f>
        <v>0</v>
      </c>
      <c r="Z690" s="341"/>
      <c r="AA690" s="342" t="str">
        <f aca="false">IFERROR(VLOOKUP(C690,TE!$H:$Y,17,FALSE()),"0")</f>
        <v>0</v>
      </c>
      <c r="AB690" s="342"/>
      <c r="AC690" s="343" t="n">
        <f aca="false">IFERROR((W690*Y690*AA690),"")</f>
        <v>0</v>
      </c>
      <c r="AD690" s="343"/>
      <c r="AE690" s="343"/>
      <c r="AF690" s="276"/>
    </row>
    <row r="691" customFormat="false" ht="15.75" hidden="false" customHeight="true" outlineLevel="0" collapsed="false">
      <c r="A691" s="276"/>
      <c r="B691" s="276"/>
      <c r="C691" s="377" t="s">
        <v>1614</v>
      </c>
      <c r="D691" s="338"/>
      <c r="E691" s="338"/>
      <c r="F691" s="339" t="str">
        <f aca="false">IFERROR(VLOOKUP(C691,TE!$H:$Y,2,FALSE()),"(Not on TE)")</f>
        <v>(Not on TE)</v>
      </c>
      <c r="G691" s="338"/>
      <c r="H691" s="338"/>
      <c r="I691" s="338"/>
      <c r="J691" s="338"/>
      <c r="K691" s="338"/>
      <c r="L691" s="338"/>
      <c r="M691" s="338"/>
      <c r="N691" s="338"/>
      <c r="O691" s="338"/>
      <c r="P691" s="338"/>
      <c r="Q691" s="338"/>
      <c r="R691" s="338"/>
      <c r="S691" s="338"/>
      <c r="T691" s="338"/>
      <c r="U691" s="340" t="str">
        <f aca="false">IFERROR(VLOOKUP(C691,TE!$H:$Y,9,FALSE()),"0")</f>
        <v>0</v>
      </c>
      <c r="V691" s="340"/>
      <c r="W691" s="341" t="n">
        <f aca="false">SUMIFS(TE!$O:$O,TE!$G:$G,$C$592,TE!$I:$I,C691,TE!$D:$D,$C$5)</f>
        <v>0</v>
      </c>
      <c r="X691" s="341"/>
      <c r="Y691" s="341" t="str">
        <f aca="false">IFERROR(VLOOKUP(C691,TE!$H:$Y,16,FALSE()),"0")</f>
        <v>0</v>
      </c>
      <c r="Z691" s="341"/>
      <c r="AA691" s="342" t="str">
        <f aca="false">IFERROR(VLOOKUP(C691,TE!$H:$Y,17,FALSE()),"0")</f>
        <v>0</v>
      </c>
      <c r="AB691" s="342"/>
      <c r="AC691" s="343" t="n">
        <f aca="false">IFERROR((W691*Y691*AA691),"")</f>
        <v>0</v>
      </c>
      <c r="AD691" s="343"/>
      <c r="AE691" s="343"/>
      <c r="AF691" s="276"/>
    </row>
    <row r="692" customFormat="false" ht="15.75" hidden="false" customHeight="true" outlineLevel="0" collapsed="false">
      <c r="A692" s="276"/>
      <c r="B692" s="276"/>
      <c r="C692" s="377" t="s">
        <v>1615</v>
      </c>
      <c r="D692" s="338"/>
      <c r="E692" s="338"/>
      <c r="F692" s="339" t="str">
        <f aca="false">IFERROR(VLOOKUP(C692,TE!$H:$Y,2,FALSE()),"(Not on TE)")</f>
        <v>(Not on TE)</v>
      </c>
      <c r="G692" s="338"/>
      <c r="H692" s="338"/>
      <c r="I692" s="338"/>
      <c r="J692" s="338"/>
      <c r="K692" s="338"/>
      <c r="L692" s="338"/>
      <c r="M692" s="338"/>
      <c r="N692" s="338"/>
      <c r="O692" s="338"/>
      <c r="P692" s="338"/>
      <c r="Q692" s="338"/>
      <c r="R692" s="338"/>
      <c r="S692" s="338"/>
      <c r="T692" s="338"/>
      <c r="U692" s="340" t="str">
        <f aca="false">IFERROR(VLOOKUP(C692,TE!$H:$Y,9,FALSE()),"0")</f>
        <v>0</v>
      </c>
      <c r="V692" s="340"/>
      <c r="W692" s="341" t="n">
        <f aca="false">SUMIFS(TE!$O:$O,TE!$G:$G,$C$592,TE!$I:$I,C692,TE!$D:$D,$C$5)</f>
        <v>0</v>
      </c>
      <c r="X692" s="341"/>
      <c r="Y692" s="341" t="str">
        <f aca="false">IFERROR(VLOOKUP(C692,TE!$H:$Y,16,FALSE()),"0")</f>
        <v>0</v>
      </c>
      <c r="Z692" s="341"/>
      <c r="AA692" s="342" t="str">
        <f aca="false">IFERROR(VLOOKUP(C692,TE!$H:$Y,17,FALSE()),"0")</f>
        <v>0</v>
      </c>
      <c r="AB692" s="342"/>
      <c r="AC692" s="343" t="n">
        <f aca="false">IFERROR((W692*Y692*AA692),"")</f>
        <v>0</v>
      </c>
      <c r="AD692" s="343"/>
      <c r="AE692" s="343"/>
      <c r="AF692" s="276"/>
    </row>
    <row r="693" customFormat="false" ht="15.75" hidden="false" customHeight="true" outlineLevel="0" collapsed="false">
      <c r="A693" s="276"/>
      <c r="B693" s="276"/>
      <c r="C693" s="377" t="s">
        <v>1616</v>
      </c>
      <c r="D693" s="338"/>
      <c r="E693" s="338"/>
      <c r="F693" s="339" t="str">
        <f aca="false">IFERROR(VLOOKUP(C693,TE!$H:$Y,2,FALSE()),"(Not on TE)")</f>
        <v>(Not on TE)</v>
      </c>
      <c r="G693" s="338"/>
      <c r="H693" s="338"/>
      <c r="I693" s="338"/>
      <c r="J693" s="338"/>
      <c r="K693" s="338"/>
      <c r="L693" s="338"/>
      <c r="M693" s="338"/>
      <c r="N693" s="338"/>
      <c r="O693" s="338"/>
      <c r="P693" s="338"/>
      <c r="Q693" s="338"/>
      <c r="R693" s="338"/>
      <c r="S693" s="338"/>
      <c r="T693" s="338"/>
      <c r="U693" s="340" t="str">
        <f aca="false">IFERROR(VLOOKUP(C693,TE!$H:$Y,9,FALSE()),"0")</f>
        <v>0</v>
      </c>
      <c r="V693" s="340"/>
      <c r="W693" s="341" t="n">
        <f aca="false">SUMIFS(TE!$O:$O,TE!$G:$G,$C$592,TE!$I:$I,C693,TE!$D:$D,$C$5)</f>
        <v>0</v>
      </c>
      <c r="X693" s="341"/>
      <c r="Y693" s="341" t="str">
        <f aca="false">IFERROR(VLOOKUP(C693,TE!$H:$Y,16,FALSE()),"0")</f>
        <v>0</v>
      </c>
      <c r="Z693" s="341"/>
      <c r="AA693" s="342" t="str">
        <f aca="false">IFERROR(VLOOKUP(C693,TE!$H:$Y,17,FALSE()),"0")</f>
        <v>0</v>
      </c>
      <c r="AB693" s="342"/>
      <c r="AC693" s="343" t="n">
        <f aca="false">IFERROR((W693*Y693*AA693),"")</f>
        <v>0</v>
      </c>
      <c r="AD693" s="343"/>
      <c r="AE693" s="343"/>
      <c r="AF693" s="276"/>
    </row>
    <row r="694" customFormat="false" ht="15.75" hidden="false" customHeight="true" outlineLevel="0" collapsed="false">
      <c r="A694" s="276"/>
      <c r="B694" s="276"/>
      <c r="C694" s="377" t="s">
        <v>1617</v>
      </c>
      <c r="D694" s="338"/>
      <c r="E694" s="338"/>
      <c r="F694" s="339" t="str">
        <f aca="false">IFERROR(VLOOKUP(C694,TE!$H:$Y,2,FALSE()),"(Not on TE)")</f>
        <v>(Not on TE)</v>
      </c>
      <c r="G694" s="338"/>
      <c r="H694" s="338"/>
      <c r="I694" s="338"/>
      <c r="J694" s="338"/>
      <c r="K694" s="338"/>
      <c r="L694" s="338"/>
      <c r="M694" s="338"/>
      <c r="N694" s="338"/>
      <c r="O694" s="338"/>
      <c r="P694" s="338"/>
      <c r="Q694" s="338"/>
      <c r="R694" s="338"/>
      <c r="S694" s="338"/>
      <c r="T694" s="338"/>
      <c r="U694" s="340" t="str">
        <f aca="false">IFERROR(VLOOKUP(C694,TE!$H:$Y,9,FALSE()),"0")</f>
        <v>0</v>
      </c>
      <c r="V694" s="340"/>
      <c r="W694" s="341" t="n">
        <f aca="false">SUMIFS(TE!$O:$O,TE!$G:$G,$C$592,TE!$I:$I,C694,TE!$D:$D,$C$5)</f>
        <v>0</v>
      </c>
      <c r="X694" s="341"/>
      <c r="Y694" s="341" t="str">
        <f aca="false">IFERROR(VLOOKUP(C694,TE!$H:$Y,16,FALSE()),"0")</f>
        <v>0</v>
      </c>
      <c r="Z694" s="341"/>
      <c r="AA694" s="342" t="str">
        <f aca="false">IFERROR(VLOOKUP(C694,TE!$H:$Y,17,FALSE()),"0")</f>
        <v>0</v>
      </c>
      <c r="AB694" s="342"/>
      <c r="AC694" s="343" t="n">
        <f aca="false">IFERROR((W694*Y694*AA694),"")</f>
        <v>0</v>
      </c>
      <c r="AD694" s="343"/>
      <c r="AE694" s="343"/>
      <c r="AF694" s="276"/>
    </row>
    <row r="695" customFormat="false" ht="15.75" hidden="false" customHeight="true" outlineLevel="0" collapsed="false">
      <c r="A695" s="276"/>
      <c r="B695" s="276"/>
      <c r="C695" s="377" t="s">
        <v>1167</v>
      </c>
      <c r="D695" s="338"/>
      <c r="E695" s="338"/>
      <c r="F695" s="339" t="str">
        <f aca="false">IFERROR(VLOOKUP(C695,TE!$H:$Y,2,FALSE()),"(Not on TE)")</f>
        <v>(Not on TE)</v>
      </c>
      <c r="G695" s="338"/>
      <c r="H695" s="338"/>
      <c r="I695" s="338"/>
      <c r="J695" s="338"/>
      <c r="K695" s="338"/>
      <c r="L695" s="338"/>
      <c r="M695" s="338"/>
      <c r="N695" s="338"/>
      <c r="O695" s="338"/>
      <c r="P695" s="338"/>
      <c r="Q695" s="338"/>
      <c r="R695" s="338"/>
      <c r="S695" s="338"/>
      <c r="T695" s="338"/>
      <c r="U695" s="340" t="str">
        <f aca="false">IFERROR(VLOOKUP(C695,TE!$H:$Y,9,FALSE()),"0")</f>
        <v>0</v>
      </c>
      <c r="V695" s="340"/>
      <c r="W695" s="341" t="n">
        <f aca="false">SUMIFS(TE!$O:$O,TE!$G:$G,$C$592,TE!$I:$I,C695,TE!$D:$D,$C$5)</f>
        <v>0</v>
      </c>
      <c r="X695" s="341"/>
      <c r="Y695" s="341" t="str">
        <f aca="false">IFERROR(VLOOKUP(C695,TE!$H:$Y,16,FALSE()),"0")</f>
        <v>0</v>
      </c>
      <c r="Z695" s="341"/>
      <c r="AA695" s="342" t="str">
        <f aca="false">IFERROR(VLOOKUP(C695,TE!$H:$Y,17,FALSE()),"0")</f>
        <v>0</v>
      </c>
      <c r="AB695" s="342"/>
      <c r="AC695" s="343" t="n">
        <f aca="false">IFERROR((W695*Y695*AA695),"")</f>
        <v>0</v>
      </c>
      <c r="AD695" s="343"/>
      <c r="AE695" s="343"/>
      <c r="AF695" s="276"/>
    </row>
    <row r="696" customFormat="false" ht="15.75" hidden="false" customHeight="true" outlineLevel="0" collapsed="false">
      <c r="A696" s="276"/>
      <c r="B696" s="276"/>
      <c r="C696" s="377" t="s">
        <v>1618</v>
      </c>
      <c r="D696" s="338"/>
      <c r="E696" s="338"/>
      <c r="F696" s="339" t="str">
        <f aca="false">IFERROR(VLOOKUP(C696,TE!$H:$Y,2,FALSE()),"(Not on TE)")</f>
        <v>(Not on TE)</v>
      </c>
      <c r="G696" s="338"/>
      <c r="H696" s="338"/>
      <c r="I696" s="338"/>
      <c r="J696" s="338"/>
      <c r="K696" s="338"/>
      <c r="L696" s="338"/>
      <c r="M696" s="338"/>
      <c r="N696" s="338"/>
      <c r="O696" s="338"/>
      <c r="P696" s="338"/>
      <c r="Q696" s="338"/>
      <c r="R696" s="338"/>
      <c r="S696" s="338"/>
      <c r="T696" s="338"/>
      <c r="U696" s="340" t="str">
        <f aca="false">IFERROR(VLOOKUP(C696,TE!$H:$Y,9,FALSE()),"0")</f>
        <v>0</v>
      </c>
      <c r="V696" s="340"/>
      <c r="W696" s="341" t="n">
        <f aca="false">SUMIFS(TE!$O:$O,TE!$G:$G,$C$592,TE!$I:$I,C696,TE!$D:$D,$C$5)</f>
        <v>0</v>
      </c>
      <c r="X696" s="341"/>
      <c r="Y696" s="341" t="str">
        <f aca="false">IFERROR(VLOOKUP(C696,TE!$H:$Y,16,FALSE()),"0")</f>
        <v>0</v>
      </c>
      <c r="Z696" s="341"/>
      <c r="AA696" s="342" t="str">
        <f aca="false">IFERROR(VLOOKUP(C696,TE!$H:$Y,17,FALSE()),"0")</f>
        <v>0</v>
      </c>
      <c r="AB696" s="342"/>
      <c r="AC696" s="343" t="n">
        <f aca="false">IFERROR((W696*Y696*AA696),"")</f>
        <v>0</v>
      </c>
      <c r="AD696" s="343"/>
      <c r="AE696" s="343"/>
      <c r="AF696" s="276"/>
    </row>
    <row r="697" customFormat="false" ht="15.75" hidden="false" customHeight="true" outlineLevel="0" collapsed="false">
      <c r="A697" s="276"/>
      <c r="B697" s="276"/>
      <c r="C697" s="344" t="s">
        <v>1114</v>
      </c>
      <c r="D697" s="338"/>
      <c r="E697" s="338"/>
      <c r="F697" s="339" t="str">
        <f aca="false">IFERROR(VLOOKUP(C697,TE!$H:$Y,2,FALSE()),"(Not on TE)")</f>
        <v>(Not on TE)</v>
      </c>
      <c r="G697" s="338"/>
      <c r="H697" s="338"/>
      <c r="I697" s="338"/>
      <c r="J697" s="338"/>
      <c r="K697" s="338"/>
      <c r="L697" s="338"/>
      <c r="M697" s="338"/>
      <c r="N697" s="338"/>
      <c r="O697" s="338"/>
      <c r="P697" s="338"/>
      <c r="Q697" s="338"/>
      <c r="R697" s="338"/>
      <c r="S697" s="338"/>
      <c r="T697" s="338"/>
      <c r="U697" s="340" t="str">
        <f aca="false">IFERROR(VLOOKUP(C697,TE!$H:$Y,9,FALSE()),"0")</f>
        <v>0</v>
      </c>
      <c r="V697" s="340"/>
      <c r="W697" s="341" t="n">
        <f aca="false">SUMIFS(TE!$O:$O,TE!$G:$G,$C$592,TE!$I:$I,C697,TE!$D:$D,$C$5)</f>
        <v>0</v>
      </c>
      <c r="X697" s="341"/>
      <c r="Y697" s="341" t="str">
        <f aca="false">IFERROR(VLOOKUP(C697,TE!$H:$Y,16,FALSE()),"0")</f>
        <v>0</v>
      </c>
      <c r="Z697" s="341"/>
      <c r="AA697" s="342" t="str">
        <f aca="false">IFERROR(VLOOKUP(C697,TE!$H:$Y,17,FALSE()),"0")</f>
        <v>0</v>
      </c>
      <c r="AB697" s="342"/>
      <c r="AC697" s="343" t="n">
        <f aca="false">IFERROR((W697*Y697*AA697),"")</f>
        <v>0</v>
      </c>
      <c r="AD697" s="343"/>
      <c r="AE697" s="343"/>
      <c r="AF697" s="276"/>
    </row>
    <row r="698" customFormat="false" ht="15.75" hidden="false" customHeight="true" outlineLevel="0" collapsed="false">
      <c r="A698" s="276"/>
      <c r="B698" s="276"/>
      <c r="C698" s="344" t="s">
        <v>1619</v>
      </c>
      <c r="D698" s="338"/>
      <c r="E698" s="338"/>
      <c r="F698" s="339" t="str">
        <f aca="false">IFERROR(VLOOKUP(C698,TE!$H:$Y,2,FALSE()),"(Not on TE)")</f>
        <v>(Not on TE)</v>
      </c>
      <c r="G698" s="338"/>
      <c r="H698" s="338"/>
      <c r="I698" s="338"/>
      <c r="J698" s="338"/>
      <c r="K698" s="338"/>
      <c r="L698" s="338"/>
      <c r="M698" s="338"/>
      <c r="N698" s="338"/>
      <c r="O698" s="338"/>
      <c r="P698" s="338"/>
      <c r="Q698" s="338"/>
      <c r="R698" s="338"/>
      <c r="S698" s="338"/>
      <c r="T698" s="338"/>
      <c r="U698" s="340" t="str">
        <f aca="false">IFERROR(VLOOKUP(C698,TE!$H:$Y,9,FALSE()),"0")</f>
        <v>0</v>
      </c>
      <c r="V698" s="340"/>
      <c r="W698" s="341" t="n">
        <f aca="false">SUMIFS(TE!$O:$O,TE!$G:$G,$C$592,TE!$I:$I,C698,TE!$D:$D,$C$5)</f>
        <v>0</v>
      </c>
      <c r="X698" s="341"/>
      <c r="Y698" s="341" t="str">
        <f aca="false">IFERROR(VLOOKUP(C698,TE!$H:$Y,16,FALSE()),"0")</f>
        <v>0</v>
      </c>
      <c r="Z698" s="341"/>
      <c r="AA698" s="342" t="str">
        <f aca="false">IFERROR(VLOOKUP(C698,TE!$H:$Y,17,FALSE()),"0")</f>
        <v>0</v>
      </c>
      <c r="AB698" s="342"/>
      <c r="AC698" s="343" t="n">
        <f aca="false">IFERROR((W698*Y698*AA698),"")</f>
        <v>0</v>
      </c>
      <c r="AD698" s="343"/>
      <c r="AE698" s="343"/>
      <c r="AF698" s="276"/>
    </row>
    <row r="699" customFormat="false" ht="15.75" hidden="false" customHeight="true" outlineLevel="0" collapsed="false">
      <c r="A699" s="276"/>
      <c r="B699" s="276"/>
      <c r="C699" s="344" t="s">
        <v>1620</v>
      </c>
      <c r="D699" s="338"/>
      <c r="E699" s="338"/>
      <c r="F699" s="339" t="str">
        <f aca="false">IFERROR(VLOOKUP(C699,TE!$H:$Y,2,FALSE()),"(Not on TE)")</f>
        <v>(Not on TE)</v>
      </c>
      <c r="G699" s="338"/>
      <c r="H699" s="338"/>
      <c r="I699" s="338"/>
      <c r="J699" s="338"/>
      <c r="K699" s="338"/>
      <c r="L699" s="338"/>
      <c r="M699" s="338"/>
      <c r="N699" s="338"/>
      <c r="O699" s="338"/>
      <c r="P699" s="338"/>
      <c r="Q699" s="338"/>
      <c r="R699" s="338"/>
      <c r="S699" s="338"/>
      <c r="T699" s="338"/>
      <c r="U699" s="340" t="str">
        <f aca="false">IFERROR(VLOOKUP(C699,TE!$H:$Y,9,FALSE()),"0")</f>
        <v>0</v>
      </c>
      <c r="V699" s="340"/>
      <c r="W699" s="341" t="n">
        <f aca="false">SUMIFS(TE!$O:$O,TE!$G:$G,$C$592,TE!$I:$I,C699,TE!$D:$D,$C$5)</f>
        <v>0</v>
      </c>
      <c r="X699" s="341"/>
      <c r="Y699" s="341" t="str">
        <f aca="false">IFERROR(VLOOKUP(C699,TE!$H:$Y,16,FALSE()),"0")</f>
        <v>0</v>
      </c>
      <c r="Z699" s="341"/>
      <c r="AA699" s="342" t="str">
        <f aca="false">IFERROR(VLOOKUP(C699,TE!$H:$Y,17,FALSE()),"0")</f>
        <v>0</v>
      </c>
      <c r="AB699" s="342"/>
      <c r="AC699" s="343" t="n">
        <f aca="false">IFERROR((W699*Y699*AA699),"")</f>
        <v>0</v>
      </c>
      <c r="AD699" s="343"/>
      <c r="AE699" s="343"/>
      <c r="AF699" s="276"/>
    </row>
    <row r="700" customFormat="false" ht="15.75" hidden="false" customHeight="true" outlineLevel="0" collapsed="false">
      <c r="A700" s="276"/>
      <c r="B700" s="276"/>
      <c r="C700" s="344" t="s">
        <v>1621</v>
      </c>
      <c r="D700" s="338"/>
      <c r="E700" s="338"/>
      <c r="F700" s="339" t="str">
        <f aca="false">IFERROR(VLOOKUP(C700,TE!$H:$Y,2,FALSE()),"(Not on TE)")</f>
        <v>(Not on TE)</v>
      </c>
      <c r="G700" s="338"/>
      <c r="H700" s="338"/>
      <c r="I700" s="338"/>
      <c r="J700" s="338"/>
      <c r="K700" s="338"/>
      <c r="L700" s="338"/>
      <c r="M700" s="338"/>
      <c r="N700" s="338"/>
      <c r="O700" s="338"/>
      <c r="P700" s="338"/>
      <c r="Q700" s="338"/>
      <c r="R700" s="338"/>
      <c r="S700" s="338"/>
      <c r="T700" s="338"/>
      <c r="U700" s="340" t="str">
        <f aca="false">IFERROR(VLOOKUP(C700,TE!$H:$Y,9,FALSE()),"0")</f>
        <v>0</v>
      </c>
      <c r="V700" s="340"/>
      <c r="W700" s="341" t="n">
        <f aca="false">SUMIFS(TE!$O:$O,TE!$G:$G,$C$592,TE!$I:$I,C700,TE!$D:$D,$C$5)</f>
        <v>0</v>
      </c>
      <c r="X700" s="341"/>
      <c r="Y700" s="341" t="str">
        <f aca="false">IFERROR(VLOOKUP(C700,TE!$H:$Y,16,FALSE()),"0")</f>
        <v>0</v>
      </c>
      <c r="Z700" s="341"/>
      <c r="AA700" s="342" t="str">
        <f aca="false">IFERROR(VLOOKUP(C700,TE!$H:$Y,17,FALSE()),"0")</f>
        <v>0</v>
      </c>
      <c r="AB700" s="342"/>
      <c r="AC700" s="343" t="n">
        <f aca="false">IFERROR((W700*Y700*AA700),"")</f>
        <v>0</v>
      </c>
      <c r="AD700" s="343"/>
      <c r="AE700" s="343"/>
      <c r="AF700" s="276"/>
    </row>
    <row r="701" customFormat="false" ht="15.75" hidden="false" customHeight="true" outlineLevel="0" collapsed="false">
      <c r="A701" s="276"/>
      <c r="B701" s="276"/>
      <c r="C701" s="344" t="s">
        <v>1622</v>
      </c>
      <c r="D701" s="338"/>
      <c r="E701" s="338"/>
      <c r="F701" s="339" t="str">
        <f aca="false">IFERROR(VLOOKUP(C701,TE!$H:$Y,2,FALSE()),"(Not on TE)")</f>
        <v>(Not on TE)</v>
      </c>
      <c r="G701" s="338"/>
      <c r="H701" s="338"/>
      <c r="I701" s="338"/>
      <c r="J701" s="338"/>
      <c r="K701" s="338"/>
      <c r="L701" s="338"/>
      <c r="M701" s="338"/>
      <c r="N701" s="338"/>
      <c r="O701" s="338"/>
      <c r="P701" s="338"/>
      <c r="Q701" s="338"/>
      <c r="R701" s="338"/>
      <c r="S701" s="338"/>
      <c r="T701" s="338"/>
      <c r="U701" s="340" t="str">
        <f aca="false">IFERROR(VLOOKUP(C701,TE!$H:$Y,9,FALSE()),"0")</f>
        <v>0</v>
      </c>
      <c r="V701" s="340"/>
      <c r="W701" s="341" t="n">
        <f aca="false">SUMIFS(TE!$O:$O,TE!$G:$G,$C$592,TE!$I:$I,C701,TE!$D:$D,$C$5)</f>
        <v>0</v>
      </c>
      <c r="X701" s="341"/>
      <c r="Y701" s="341" t="str">
        <f aca="false">IFERROR(VLOOKUP(C701,TE!$H:$Y,16,FALSE()),"0")</f>
        <v>0</v>
      </c>
      <c r="Z701" s="341"/>
      <c r="AA701" s="342" t="str">
        <f aca="false">IFERROR(VLOOKUP(C701,TE!$H:$Y,17,FALSE()),"0")</f>
        <v>0</v>
      </c>
      <c r="AB701" s="342"/>
      <c r="AC701" s="343" t="n">
        <f aca="false">IFERROR((W701*Y701*AA701),"")</f>
        <v>0</v>
      </c>
      <c r="AD701" s="343"/>
      <c r="AE701" s="343"/>
      <c r="AF701" s="276"/>
    </row>
    <row r="702" customFormat="false" ht="15.75" hidden="false" customHeight="true" outlineLevel="0" collapsed="false">
      <c r="A702" s="276"/>
      <c r="B702" s="276"/>
      <c r="C702" s="344" t="s">
        <v>1193</v>
      </c>
      <c r="D702" s="338"/>
      <c r="E702" s="338"/>
      <c r="F702" s="339" t="str">
        <f aca="false">IFERROR(VLOOKUP(C702,TE!$H:$Y,2,FALSE()),"(Not on TE)")</f>
        <v>(Not on TE)</v>
      </c>
      <c r="G702" s="338"/>
      <c r="H702" s="338"/>
      <c r="I702" s="338"/>
      <c r="J702" s="338"/>
      <c r="K702" s="338"/>
      <c r="L702" s="338"/>
      <c r="M702" s="338"/>
      <c r="N702" s="338"/>
      <c r="O702" s="338"/>
      <c r="P702" s="338"/>
      <c r="Q702" s="338"/>
      <c r="R702" s="338"/>
      <c r="S702" s="338"/>
      <c r="T702" s="338"/>
      <c r="U702" s="340" t="str">
        <f aca="false">IFERROR(VLOOKUP(C702,TE!$H:$Y,9,FALSE()),"0")</f>
        <v>0</v>
      </c>
      <c r="V702" s="340"/>
      <c r="W702" s="341" t="n">
        <f aca="false">SUMIFS(TE!$O:$O,TE!$G:$G,$C$592,TE!$I:$I,C702,TE!$D:$D,$C$5)</f>
        <v>0</v>
      </c>
      <c r="X702" s="341"/>
      <c r="Y702" s="341" t="str">
        <f aca="false">IFERROR(VLOOKUP(C702,TE!$H:$Y,16,FALSE()),"0")</f>
        <v>0</v>
      </c>
      <c r="Z702" s="341"/>
      <c r="AA702" s="342" t="str">
        <f aca="false">IFERROR(VLOOKUP(C702,TE!$H:$Y,17,FALSE()),"0")</f>
        <v>0</v>
      </c>
      <c r="AB702" s="342"/>
      <c r="AC702" s="343" t="n">
        <f aca="false">IFERROR((W702*Y702*AA702),"")</f>
        <v>0</v>
      </c>
      <c r="AD702" s="343"/>
      <c r="AE702" s="343"/>
      <c r="AF702" s="276"/>
    </row>
    <row r="703" customFormat="false" ht="15.75" hidden="false" customHeight="true" outlineLevel="0" collapsed="false">
      <c r="A703" s="276"/>
      <c r="B703" s="276"/>
      <c r="C703" s="344" t="s">
        <v>1623</v>
      </c>
      <c r="D703" s="338"/>
      <c r="E703" s="338"/>
      <c r="F703" s="339" t="str">
        <f aca="false">IFERROR(VLOOKUP(C703,TE!$H:$Y,2,FALSE()),"(Not on TE)")</f>
        <v>(Not on TE)</v>
      </c>
      <c r="G703" s="338"/>
      <c r="H703" s="338"/>
      <c r="I703" s="338"/>
      <c r="J703" s="338"/>
      <c r="K703" s="338"/>
      <c r="L703" s="338"/>
      <c r="M703" s="338"/>
      <c r="N703" s="338"/>
      <c r="O703" s="338"/>
      <c r="P703" s="338"/>
      <c r="Q703" s="338"/>
      <c r="R703" s="338"/>
      <c r="S703" s="338"/>
      <c r="T703" s="338"/>
      <c r="U703" s="340" t="str">
        <f aca="false">IFERROR(VLOOKUP(C703,TE!$H:$Y,9,FALSE()),"0")</f>
        <v>0</v>
      </c>
      <c r="V703" s="340"/>
      <c r="W703" s="341" t="n">
        <f aca="false">SUMIFS(TE!$O:$O,TE!$G:$G,$C$592,TE!$I:$I,C703,TE!$D:$D,$C$5)</f>
        <v>0</v>
      </c>
      <c r="X703" s="341"/>
      <c r="Y703" s="341" t="str">
        <f aca="false">IFERROR(VLOOKUP(C703,TE!$H:$Y,16,FALSE()),"0")</f>
        <v>0</v>
      </c>
      <c r="Z703" s="341"/>
      <c r="AA703" s="342" t="str">
        <f aca="false">IFERROR(VLOOKUP(C703,TE!$H:$Y,17,FALSE()),"0")</f>
        <v>0</v>
      </c>
      <c r="AB703" s="342"/>
      <c r="AC703" s="343" t="n">
        <f aca="false">IFERROR((W703*Y703*AA703),"")</f>
        <v>0</v>
      </c>
      <c r="AD703" s="343"/>
      <c r="AE703" s="343"/>
      <c r="AF703" s="276"/>
    </row>
    <row r="704" customFormat="false" ht="15.75" hidden="false" customHeight="true" outlineLevel="0" collapsed="false">
      <c r="A704" s="276"/>
      <c r="B704" s="276"/>
      <c r="C704" s="344" t="s">
        <v>1624</v>
      </c>
      <c r="D704" s="338"/>
      <c r="E704" s="338"/>
      <c r="F704" s="339" t="str">
        <f aca="false">IFERROR(VLOOKUP(C704,TE!$H:$Y,2,FALSE()),"(Not on TE)")</f>
        <v>(Not on TE)</v>
      </c>
      <c r="G704" s="338"/>
      <c r="H704" s="338"/>
      <c r="I704" s="338"/>
      <c r="J704" s="338"/>
      <c r="K704" s="338"/>
      <c r="L704" s="338"/>
      <c r="M704" s="338"/>
      <c r="N704" s="338"/>
      <c r="O704" s="338"/>
      <c r="P704" s="338"/>
      <c r="Q704" s="338"/>
      <c r="R704" s="338"/>
      <c r="S704" s="338"/>
      <c r="T704" s="338"/>
      <c r="U704" s="340" t="str">
        <f aca="false">IFERROR(VLOOKUP(C704,TE!$H:$Y,9,FALSE()),"0")</f>
        <v>0</v>
      </c>
      <c r="V704" s="340"/>
      <c r="W704" s="341" t="n">
        <f aca="false">SUMIFS(TE!$O:$O,TE!$G:$G,$C$592,TE!$I:$I,C704,TE!$D:$D,$C$5)</f>
        <v>0</v>
      </c>
      <c r="X704" s="341"/>
      <c r="Y704" s="341" t="str">
        <f aca="false">IFERROR(VLOOKUP(C704,TE!$H:$Y,16,FALSE()),"0")</f>
        <v>0</v>
      </c>
      <c r="Z704" s="341"/>
      <c r="AA704" s="342" t="str">
        <f aca="false">IFERROR(VLOOKUP(C704,TE!$H:$Y,17,FALSE()),"0")</f>
        <v>0</v>
      </c>
      <c r="AB704" s="342"/>
      <c r="AC704" s="343" t="n">
        <f aca="false">IFERROR((W704*Y704*AA704),"")</f>
        <v>0</v>
      </c>
      <c r="AD704" s="343"/>
      <c r="AE704" s="343"/>
      <c r="AF704" s="276"/>
    </row>
    <row r="705" customFormat="false" ht="15.75" hidden="false" customHeight="true" outlineLevel="0" collapsed="false">
      <c r="A705" s="276"/>
      <c r="B705" s="276"/>
      <c r="C705" s="344" t="s">
        <v>1625</v>
      </c>
      <c r="D705" s="338"/>
      <c r="E705" s="338"/>
      <c r="F705" s="339" t="str">
        <f aca="false">IFERROR(VLOOKUP(C705,TE!$H:$Y,2,FALSE()),"(Not on TE)")</f>
        <v>(Not on TE)</v>
      </c>
      <c r="G705" s="338"/>
      <c r="H705" s="338"/>
      <c r="I705" s="338"/>
      <c r="J705" s="338"/>
      <c r="K705" s="338"/>
      <c r="L705" s="338"/>
      <c r="M705" s="338"/>
      <c r="N705" s="338"/>
      <c r="O705" s="338"/>
      <c r="P705" s="338"/>
      <c r="Q705" s="338"/>
      <c r="R705" s="338"/>
      <c r="S705" s="338"/>
      <c r="T705" s="338"/>
      <c r="U705" s="340" t="str">
        <f aca="false">IFERROR(VLOOKUP(C705,TE!$H:$Y,9,FALSE()),"0")</f>
        <v>0</v>
      </c>
      <c r="V705" s="340"/>
      <c r="W705" s="341" t="n">
        <f aca="false">SUMIFS(TE!$O:$O,TE!$G:$G,$C$592,TE!$I:$I,C705,TE!$D:$D,$C$5)</f>
        <v>0</v>
      </c>
      <c r="X705" s="341"/>
      <c r="Y705" s="341" t="str">
        <f aca="false">IFERROR(VLOOKUP(C705,TE!$H:$Y,16,FALSE()),"0")</f>
        <v>0</v>
      </c>
      <c r="Z705" s="341"/>
      <c r="AA705" s="342" t="str">
        <f aca="false">IFERROR(VLOOKUP(C705,TE!$H:$Y,17,FALSE()),"0")</f>
        <v>0</v>
      </c>
      <c r="AB705" s="342"/>
      <c r="AC705" s="343" t="n">
        <f aca="false">IFERROR((W705*Y705*AA705),"")</f>
        <v>0</v>
      </c>
      <c r="AD705" s="343"/>
      <c r="AE705" s="343"/>
      <c r="AF705" s="276"/>
    </row>
    <row r="706" customFormat="false" ht="15.75" hidden="false" customHeight="true" outlineLevel="0" collapsed="false">
      <c r="A706" s="276"/>
      <c r="B706" s="276"/>
      <c r="C706" s="344" t="s">
        <v>1309</v>
      </c>
      <c r="D706" s="338"/>
      <c r="E706" s="338"/>
      <c r="F706" s="339" t="str">
        <f aca="false">IFERROR(VLOOKUP(C706,TE!$H:$Y,2,FALSE()),"(Not on TE)")</f>
        <v>(Not on TE)</v>
      </c>
      <c r="G706" s="338"/>
      <c r="H706" s="338"/>
      <c r="I706" s="338"/>
      <c r="J706" s="338"/>
      <c r="K706" s="338"/>
      <c r="L706" s="338"/>
      <c r="M706" s="338"/>
      <c r="N706" s="338"/>
      <c r="O706" s="338"/>
      <c r="P706" s="338"/>
      <c r="Q706" s="338"/>
      <c r="R706" s="338"/>
      <c r="S706" s="338"/>
      <c r="T706" s="338"/>
      <c r="U706" s="340" t="str">
        <f aca="false">IFERROR(VLOOKUP(C706,TE!$H:$Y,9,FALSE()),"0")</f>
        <v>0</v>
      </c>
      <c r="V706" s="340"/>
      <c r="W706" s="341" t="n">
        <f aca="false">SUMIFS(TE!$O:$O,TE!$G:$G,$C$592,TE!$I:$I,C706,TE!$D:$D,$C$5)</f>
        <v>0</v>
      </c>
      <c r="X706" s="341"/>
      <c r="Y706" s="341" t="str">
        <f aca="false">IFERROR(VLOOKUP(C706,TE!$H:$Y,16,FALSE()),"0")</f>
        <v>0</v>
      </c>
      <c r="Z706" s="341"/>
      <c r="AA706" s="342" t="str">
        <f aca="false">IFERROR(VLOOKUP(C706,TE!$H:$Y,17,FALSE()),"0")</f>
        <v>0</v>
      </c>
      <c r="AB706" s="342"/>
      <c r="AC706" s="343" t="n">
        <f aca="false">IFERROR((W706*Y706*AA706),"")</f>
        <v>0</v>
      </c>
      <c r="AD706" s="343"/>
      <c r="AE706" s="343"/>
      <c r="AF706" s="276"/>
    </row>
    <row r="707" customFormat="false" ht="15.75" hidden="false" customHeight="true" outlineLevel="0" collapsed="false">
      <c r="A707" s="276"/>
      <c r="B707" s="276"/>
      <c r="C707" s="344" t="s">
        <v>1626</v>
      </c>
      <c r="D707" s="338"/>
      <c r="E707" s="338"/>
      <c r="F707" s="339" t="str">
        <f aca="false">IFERROR(VLOOKUP(C707,TE!$H:$Y,2,FALSE()),"(Not on TE)")</f>
        <v>(Not on TE)</v>
      </c>
      <c r="G707" s="338"/>
      <c r="H707" s="338"/>
      <c r="I707" s="338"/>
      <c r="J707" s="338"/>
      <c r="K707" s="338"/>
      <c r="L707" s="338"/>
      <c r="M707" s="338"/>
      <c r="N707" s="338"/>
      <c r="O707" s="338"/>
      <c r="P707" s="338"/>
      <c r="Q707" s="338"/>
      <c r="R707" s="338"/>
      <c r="S707" s="338"/>
      <c r="T707" s="338"/>
      <c r="U707" s="340" t="str">
        <f aca="false">IFERROR(VLOOKUP(C707,TE!$H:$Y,9,FALSE()),"0")</f>
        <v>0</v>
      </c>
      <c r="V707" s="340"/>
      <c r="W707" s="341" t="n">
        <f aca="false">SUMIFS(TE!$O:$O,TE!$G:$G,$C$592,TE!$I:$I,C707,TE!$D:$D,$C$5)</f>
        <v>0</v>
      </c>
      <c r="X707" s="341"/>
      <c r="Y707" s="341" t="str">
        <f aca="false">IFERROR(VLOOKUP(C707,TE!$H:$Y,16,FALSE()),"0")</f>
        <v>0</v>
      </c>
      <c r="Z707" s="341"/>
      <c r="AA707" s="342" t="str">
        <f aca="false">IFERROR(VLOOKUP(C707,TE!$H:$Y,17,FALSE()),"0")</f>
        <v>0</v>
      </c>
      <c r="AB707" s="342"/>
      <c r="AC707" s="343" t="n">
        <f aca="false">IFERROR((W707*Y707*AA707),"")</f>
        <v>0</v>
      </c>
      <c r="AD707" s="343"/>
      <c r="AE707" s="343"/>
      <c r="AF707" s="276"/>
    </row>
    <row r="708" customFormat="false" ht="15.75" hidden="false" customHeight="true" outlineLevel="0" collapsed="false">
      <c r="A708" s="276"/>
      <c r="B708" s="276"/>
      <c r="C708" s="344" t="s">
        <v>1627</v>
      </c>
      <c r="D708" s="338"/>
      <c r="E708" s="338"/>
      <c r="F708" s="339" t="str">
        <f aca="false">IFERROR(VLOOKUP(C708,TE!$H:$Y,2,FALSE()),"(Not on TE)")</f>
        <v>(Not on TE)</v>
      </c>
      <c r="G708" s="338"/>
      <c r="H708" s="338"/>
      <c r="I708" s="338"/>
      <c r="J708" s="338"/>
      <c r="K708" s="338"/>
      <c r="L708" s="338"/>
      <c r="M708" s="338"/>
      <c r="N708" s="338"/>
      <c r="O708" s="338"/>
      <c r="P708" s="338"/>
      <c r="Q708" s="338"/>
      <c r="R708" s="338"/>
      <c r="S708" s="338"/>
      <c r="T708" s="338"/>
      <c r="U708" s="340" t="str">
        <f aca="false">IFERROR(VLOOKUP(C708,TE!$H:$Y,9,FALSE()),"0")</f>
        <v>0</v>
      </c>
      <c r="V708" s="340"/>
      <c r="W708" s="341" t="n">
        <f aca="false">SUMIFS(TE!$O:$O,TE!$G:$G,$C$592,TE!$I:$I,C708,TE!$D:$D,$C$5)</f>
        <v>0</v>
      </c>
      <c r="X708" s="341"/>
      <c r="Y708" s="341" t="str">
        <f aca="false">IFERROR(VLOOKUP(C708,TE!$H:$Y,16,FALSE()),"0")</f>
        <v>0</v>
      </c>
      <c r="Z708" s="341"/>
      <c r="AA708" s="342" t="str">
        <f aca="false">IFERROR(VLOOKUP(C708,TE!$H:$Y,17,FALSE()),"0")</f>
        <v>0</v>
      </c>
      <c r="AB708" s="342"/>
      <c r="AC708" s="343" t="n">
        <f aca="false">IFERROR((W708*Y708*AA708),"")</f>
        <v>0</v>
      </c>
      <c r="AD708" s="343"/>
      <c r="AE708" s="343"/>
      <c r="AF708" s="276"/>
    </row>
    <row r="709" customFormat="false" ht="15.75" hidden="false" customHeight="true" outlineLevel="0" collapsed="false">
      <c r="A709" s="276"/>
      <c r="B709" s="276"/>
      <c r="C709" s="345" t="s">
        <v>1628</v>
      </c>
      <c r="D709" s="346"/>
      <c r="E709" s="346"/>
      <c r="F709" s="339" t="str">
        <f aca="false">IFERROR(VLOOKUP(C709,TE!$H:$Y,2,FALSE()),"(Not on TE)")</f>
        <v>(Not on TE)</v>
      </c>
      <c r="G709" s="347"/>
      <c r="H709" s="347"/>
      <c r="I709" s="347"/>
      <c r="J709" s="347"/>
      <c r="K709" s="347"/>
      <c r="L709" s="347"/>
      <c r="M709" s="347"/>
      <c r="N709" s="347"/>
      <c r="O709" s="347"/>
      <c r="P709" s="347"/>
      <c r="Q709" s="347"/>
      <c r="R709" s="347"/>
      <c r="S709" s="347"/>
      <c r="T709" s="347"/>
      <c r="U709" s="340" t="str">
        <f aca="false">IFERROR(VLOOKUP(C709,TE!$H:$Y,9,FALSE()),"0")</f>
        <v>0</v>
      </c>
      <c r="V709" s="340"/>
      <c r="W709" s="341" t="n">
        <f aca="false">SUMIFS(TE!$O:$O,TE!$G:$G,$C$592,TE!$I:$I,C709,TE!$D:$D,$C$5)</f>
        <v>0</v>
      </c>
      <c r="X709" s="341"/>
      <c r="Y709" s="341" t="str">
        <f aca="false">IFERROR(VLOOKUP(C709,TE!$H:$Y,16,FALSE()),"0")</f>
        <v>0</v>
      </c>
      <c r="Z709" s="341"/>
      <c r="AA709" s="342" t="str">
        <f aca="false">IFERROR(VLOOKUP(C709,TE!$H:$Y,17,FALSE()),"0")</f>
        <v>0</v>
      </c>
      <c r="AB709" s="342"/>
      <c r="AC709" s="343" t="n">
        <f aca="false">IFERROR((W709*Y709*AA709),"")</f>
        <v>0</v>
      </c>
      <c r="AD709" s="343"/>
      <c r="AE709" s="343"/>
      <c r="AF709" s="276"/>
    </row>
    <row r="710" customFormat="false" ht="15.75" hidden="false" customHeight="true" outlineLevel="0" collapsed="false">
      <c r="A710" s="276"/>
      <c r="B710" s="276"/>
      <c r="C710" s="345" t="s">
        <v>1291</v>
      </c>
      <c r="D710" s="346"/>
      <c r="E710" s="346"/>
      <c r="F710" s="339" t="str">
        <f aca="false">IFERROR(VLOOKUP(C710,TE!$H:$Y,2,FALSE()),"(Not on TE)")</f>
        <v>(Not on TE)</v>
      </c>
      <c r="G710" s="347"/>
      <c r="H710" s="347"/>
      <c r="I710" s="347"/>
      <c r="J710" s="347"/>
      <c r="K710" s="347"/>
      <c r="L710" s="347"/>
      <c r="M710" s="347"/>
      <c r="N710" s="347"/>
      <c r="O710" s="347"/>
      <c r="P710" s="347"/>
      <c r="Q710" s="347"/>
      <c r="R710" s="347"/>
      <c r="S710" s="347"/>
      <c r="T710" s="347"/>
      <c r="U710" s="340" t="str">
        <f aca="false">IFERROR(VLOOKUP(C710,TE!$H:$Y,9,FALSE()),"0")</f>
        <v>0</v>
      </c>
      <c r="V710" s="340"/>
      <c r="W710" s="341" t="n">
        <f aca="false">SUMIFS(TE!$O:$O,TE!$G:$G,$C$592,TE!$I:$I,C710,TE!$D:$D,$C$5)</f>
        <v>0</v>
      </c>
      <c r="X710" s="341"/>
      <c r="Y710" s="341" t="str">
        <f aca="false">IFERROR(VLOOKUP(C710,TE!$H:$Y,16,FALSE()),"0")</f>
        <v>0</v>
      </c>
      <c r="Z710" s="341"/>
      <c r="AA710" s="342" t="str">
        <f aca="false">IFERROR(VLOOKUP(C710,TE!$H:$Y,17,FALSE()),"0")</f>
        <v>0</v>
      </c>
      <c r="AB710" s="342"/>
      <c r="AC710" s="343" t="n">
        <f aca="false">IFERROR((W710*Y710*AA710),"")</f>
        <v>0</v>
      </c>
      <c r="AD710" s="343"/>
      <c r="AE710" s="343"/>
      <c r="AF710" s="276"/>
    </row>
    <row r="711" customFormat="false" ht="15.75" hidden="false" customHeight="true" outlineLevel="0" collapsed="false">
      <c r="A711" s="276"/>
      <c r="B711" s="276"/>
      <c r="C711" s="345" t="s">
        <v>1418</v>
      </c>
      <c r="D711" s="346"/>
      <c r="E711" s="346"/>
      <c r="F711" s="339" t="str">
        <f aca="false">IFERROR(VLOOKUP(C711,TE!$H:$Y,2,FALSE()),"(Not on TE)")</f>
        <v>(Not on TE)</v>
      </c>
      <c r="G711" s="347"/>
      <c r="H711" s="347"/>
      <c r="I711" s="347"/>
      <c r="J711" s="347"/>
      <c r="K711" s="347"/>
      <c r="L711" s="347"/>
      <c r="M711" s="347"/>
      <c r="N711" s="347"/>
      <c r="O711" s="347"/>
      <c r="P711" s="347"/>
      <c r="Q711" s="347"/>
      <c r="R711" s="347"/>
      <c r="S711" s="347"/>
      <c r="T711" s="347"/>
      <c r="U711" s="340" t="str">
        <f aca="false">IFERROR(VLOOKUP(C711,TE!$H:$Y,9,FALSE()),"0")</f>
        <v>0</v>
      </c>
      <c r="V711" s="340"/>
      <c r="W711" s="341" t="n">
        <f aca="false">SUMIFS(TE!$O:$O,TE!$G:$G,$C$592,TE!$I:$I,C711,TE!$D:$D,$C$5)</f>
        <v>0</v>
      </c>
      <c r="X711" s="341"/>
      <c r="Y711" s="341" t="str">
        <f aca="false">IFERROR(VLOOKUP(C711,TE!$H:$Y,16,FALSE()),"0")</f>
        <v>0</v>
      </c>
      <c r="Z711" s="341"/>
      <c r="AA711" s="342" t="str">
        <f aca="false">IFERROR(VLOOKUP(C711,TE!$H:$Y,17,FALSE()),"0")</f>
        <v>0</v>
      </c>
      <c r="AB711" s="342"/>
      <c r="AC711" s="343" t="n">
        <f aca="false">IFERROR((W711*Y711*AA711),"")</f>
        <v>0</v>
      </c>
      <c r="AD711" s="343"/>
      <c r="AE711" s="343"/>
      <c r="AF711" s="276"/>
    </row>
    <row r="712" customFormat="false" ht="15.75" hidden="false" customHeight="true" outlineLevel="0" collapsed="false">
      <c r="A712" s="276"/>
      <c r="B712" s="276"/>
      <c r="C712" s="345" t="s">
        <v>1195</v>
      </c>
      <c r="D712" s="346"/>
      <c r="E712" s="346"/>
      <c r="F712" s="339" t="str">
        <f aca="false">IFERROR(VLOOKUP(C712,TE!$H:$Y,2,FALSE()),"(Not on TE)")</f>
        <v>(Not on TE)</v>
      </c>
      <c r="G712" s="347"/>
      <c r="H712" s="347"/>
      <c r="I712" s="347"/>
      <c r="J712" s="347"/>
      <c r="K712" s="347"/>
      <c r="L712" s="347"/>
      <c r="M712" s="347"/>
      <c r="N712" s="347"/>
      <c r="O712" s="347"/>
      <c r="P712" s="347"/>
      <c r="Q712" s="347"/>
      <c r="R712" s="347"/>
      <c r="S712" s="347"/>
      <c r="T712" s="347"/>
      <c r="U712" s="340" t="str">
        <f aca="false">IFERROR(VLOOKUP(C712,TE!$H:$Y,9,FALSE()),"0")</f>
        <v>0</v>
      </c>
      <c r="V712" s="340"/>
      <c r="W712" s="341" t="n">
        <f aca="false">SUMIFS(TE!$O:$O,TE!$G:$G,$C$592,TE!$I:$I,C712,TE!$D:$D,$C$5)</f>
        <v>0</v>
      </c>
      <c r="X712" s="341"/>
      <c r="Y712" s="341" t="str">
        <f aca="false">IFERROR(VLOOKUP(C712,TE!$H:$Y,16,FALSE()),"0")</f>
        <v>0</v>
      </c>
      <c r="Z712" s="341"/>
      <c r="AA712" s="342" t="str">
        <f aca="false">IFERROR(VLOOKUP(C712,TE!$H:$Y,17,FALSE()),"0")</f>
        <v>0</v>
      </c>
      <c r="AB712" s="342"/>
      <c r="AC712" s="343" t="n">
        <f aca="false">IFERROR((W712*Y712*AA712),"")</f>
        <v>0</v>
      </c>
      <c r="AD712" s="343"/>
      <c r="AE712" s="343"/>
      <c r="AF712" s="276"/>
    </row>
    <row r="713" customFormat="false" ht="15.75" hidden="false" customHeight="true" outlineLevel="0" collapsed="false">
      <c r="A713" s="276"/>
      <c r="B713" s="276"/>
      <c r="C713" s="345" t="s">
        <v>1629</v>
      </c>
      <c r="D713" s="346"/>
      <c r="E713" s="346"/>
      <c r="F713" s="339" t="str">
        <f aca="false">IFERROR(VLOOKUP(C713,TE!$H:$Y,2,FALSE()),"(Not on TE)")</f>
        <v>(Not on TE)</v>
      </c>
      <c r="G713" s="347"/>
      <c r="H713" s="347"/>
      <c r="I713" s="347"/>
      <c r="J713" s="347"/>
      <c r="K713" s="347"/>
      <c r="L713" s="347"/>
      <c r="M713" s="347"/>
      <c r="N713" s="347"/>
      <c r="O713" s="347"/>
      <c r="P713" s="347"/>
      <c r="Q713" s="347"/>
      <c r="R713" s="347"/>
      <c r="S713" s="347"/>
      <c r="T713" s="347"/>
      <c r="U713" s="340" t="str">
        <f aca="false">IFERROR(VLOOKUP(C713,TE!$H:$Y,9,FALSE()),"0")</f>
        <v>0</v>
      </c>
      <c r="V713" s="340"/>
      <c r="W713" s="341" t="n">
        <f aca="false">SUMIFS(TE!$O:$O,TE!$G:$G,$C$592,TE!$I:$I,C713,TE!$D:$D,$C$5)</f>
        <v>0</v>
      </c>
      <c r="X713" s="341"/>
      <c r="Y713" s="341" t="str">
        <f aca="false">IFERROR(VLOOKUP(C713,TE!$H:$Y,16,FALSE()),"0")</f>
        <v>0</v>
      </c>
      <c r="Z713" s="341"/>
      <c r="AA713" s="342" t="str">
        <f aca="false">IFERROR(VLOOKUP(C713,TE!$H:$Y,17,FALSE()),"0")</f>
        <v>0</v>
      </c>
      <c r="AB713" s="342"/>
      <c r="AC713" s="343" t="n">
        <f aca="false">IFERROR((W713*Y713*AA713),"")</f>
        <v>0</v>
      </c>
      <c r="AD713" s="343"/>
      <c r="AE713" s="343"/>
      <c r="AF713" s="276"/>
    </row>
    <row r="714" customFormat="false" ht="15.75" hidden="false" customHeight="true" outlineLevel="0" collapsed="false">
      <c r="A714" s="276"/>
      <c r="B714" s="276"/>
      <c r="C714" s="345" t="s">
        <v>1630</v>
      </c>
      <c r="D714" s="346"/>
      <c r="E714" s="346"/>
      <c r="F714" s="339" t="str">
        <f aca="false">IFERROR(VLOOKUP(C714,TE!$H:$Y,2,FALSE()),"(Not on TE)")</f>
        <v>(Not on TE)</v>
      </c>
      <c r="G714" s="347"/>
      <c r="H714" s="347"/>
      <c r="I714" s="347"/>
      <c r="J714" s="347"/>
      <c r="K714" s="347"/>
      <c r="L714" s="347"/>
      <c r="M714" s="347"/>
      <c r="N714" s="347"/>
      <c r="O714" s="347"/>
      <c r="P714" s="347"/>
      <c r="Q714" s="347"/>
      <c r="R714" s="347"/>
      <c r="S714" s="347"/>
      <c r="T714" s="347"/>
      <c r="U714" s="340" t="str">
        <f aca="false">IFERROR(VLOOKUP(C714,TE!$H:$Y,9,FALSE()),"0")</f>
        <v>0</v>
      </c>
      <c r="V714" s="340"/>
      <c r="W714" s="341" t="n">
        <f aca="false">SUMIFS(TE!$O:$O,TE!$G:$G,$C$592,TE!$I:$I,C714,TE!$D:$D,$C$5)</f>
        <v>0</v>
      </c>
      <c r="X714" s="341"/>
      <c r="Y714" s="341" t="str">
        <f aca="false">IFERROR(VLOOKUP(C714,TE!$H:$Y,16,FALSE()),"0")</f>
        <v>0</v>
      </c>
      <c r="Z714" s="341"/>
      <c r="AA714" s="342" t="str">
        <f aca="false">IFERROR(VLOOKUP(C714,TE!$H:$Y,17,FALSE()),"0")</f>
        <v>0</v>
      </c>
      <c r="AB714" s="342"/>
      <c r="AC714" s="343" t="n">
        <f aca="false">IFERROR((W714*Y714*AA714),"")</f>
        <v>0</v>
      </c>
      <c r="AD714" s="343"/>
      <c r="AE714" s="343"/>
      <c r="AF714" s="276"/>
    </row>
    <row r="715" customFormat="false" ht="15.75" hidden="false" customHeight="true" outlineLevel="0" collapsed="false">
      <c r="A715" s="276"/>
      <c r="B715" s="276"/>
      <c r="C715" s="345" t="s">
        <v>1403</v>
      </c>
      <c r="D715" s="346"/>
      <c r="E715" s="346"/>
      <c r="F715" s="339" t="str">
        <f aca="false">IFERROR(VLOOKUP(C715,TE!$H:$Y,2,FALSE()),"(Not on TE)")</f>
        <v>(Not on TE)</v>
      </c>
      <c r="G715" s="347"/>
      <c r="H715" s="347"/>
      <c r="I715" s="347"/>
      <c r="J715" s="347"/>
      <c r="K715" s="347"/>
      <c r="L715" s="347"/>
      <c r="M715" s="347"/>
      <c r="N715" s="347"/>
      <c r="O715" s="347"/>
      <c r="P715" s="347"/>
      <c r="Q715" s="347"/>
      <c r="R715" s="347"/>
      <c r="S715" s="347"/>
      <c r="T715" s="347"/>
      <c r="U715" s="340" t="str">
        <f aca="false">IFERROR(VLOOKUP(C715,TE!$H:$Y,9,FALSE()),"0")</f>
        <v>0</v>
      </c>
      <c r="V715" s="340"/>
      <c r="W715" s="341" t="n">
        <f aca="false">SUMIFS(TE!$O:$O,TE!$G:$G,$C$592,TE!$I:$I,C715,TE!$D:$D,$C$5)</f>
        <v>0</v>
      </c>
      <c r="X715" s="341"/>
      <c r="Y715" s="341" t="str">
        <f aca="false">IFERROR(VLOOKUP(C715,TE!$H:$Y,16,FALSE()),"0")</f>
        <v>0</v>
      </c>
      <c r="Z715" s="341"/>
      <c r="AA715" s="342" t="str">
        <f aca="false">IFERROR(VLOOKUP(C715,TE!$H:$Y,17,FALSE()),"0")</f>
        <v>0</v>
      </c>
      <c r="AB715" s="342"/>
      <c r="AC715" s="343" t="n">
        <f aca="false">IFERROR((W715*Y715*AA715),"")</f>
        <v>0</v>
      </c>
      <c r="AD715" s="343"/>
      <c r="AE715" s="343"/>
      <c r="AF715" s="276"/>
    </row>
    <row r="716" customFormat="false" ht="15.75" hidden="false" customHeight="true" outlineLevel="0" collapsed="false">
      <c r="A716" s="276"/>
      <c r="B716" s="276"/>
      <c r="C716" s="344" t="s">
        <v>1487</v>
      </c>
      <c r="D716" s="346"/>
      <c r="E716" s="346"/>
      <c r="F716" s="339" t="str">
        <f aca="false">IFERROR(VLOOKUP(C716,TE!$H:$Y,2,FALSE()),"(Not on TE)")</f>
        <v>(Not on TE)</v>
      </c>
      <c r="G716" s="347"/>
      <c r="H716" s="347"/>
      <c r="I716" s="347"/>
      <c r="J716" s="347"/>
      <c r="K716" s="347"/>
      <c r="L716" s="347"/>
      <c r="M716" s="347"/>
      <c r="N716" s="347"/>
      <c r="O716" s="347"/>
      <c r="P716" s="347"/>
      <c r="Q716" s="347"/>
      <c r="R716" s="347"/>
      <c r="S716" s="347"/>
      <c r="T716" s="347"/>
      <c r="U716" s="340" t="str">
        <f aca="false">IFERROR(VLOOKUP(C716,TE!$H:$Y,9,FALSE()),"0")</f>
        <v>0</v>
      </c>
      <c r="V716" s="340"/>
      <c r="W716" s="341" t="n">
        <f aca="false">SUMIFS(TE!$O:$O,TE!$G:$G,$C$592,TE!$I:$I,C716,TE!$D:$D,$C$5)</f>
        <v>0</v>
      </c>
      <c r="X716" s="341"/>
      <c r="Y716" s="341" t="str">
        <f aca="false">IFERROR(VLOOKUP(C716,TE!$H:$Y,16,FALSE()),"0")</f>
        <v>0</v>
      </c>
      <c r="Z716" s="341"/>
      <c r="AA716" s="342" t="str">
        <f aca="false">IFERROR(VLOOKUP(C716,TE!$H:$Y,17,FALSE()),"0")</f>
        <v>0</v>
      </c>
      <c r="AB716" s="342"/>
      <c r="AC716" s="343" t="n">
        <f aca="false">IFERROR((W716*Y716*AA716),"")</f>
        <v>0</v>
      </c>
      <c r="AD716" s="343"/>
      <c r="AE716" s="343"/>
      <c r="AF716" s="276"/>
    </row>
    <row r="717" customFormat="false" ht="15.75" hidden="false" customHeight="true" outlineLevel="0" collapsed="false">
      <c r="A717" s="276"/>
      <c r="B717" s="276"/>
      <c r="C717" s="344" t="s">
        <v>1631</v>
      </c>
      <c r="D717" s="346"/>
      <c r="E717" s="346"/>
      <c r="F717" s="339" t="str">
        <f aca="false">IFERROR(VLOOKUP(C717,TE!$H:$Y,2,FALSE()),"(Not on TE)")</f>
        <v>(Not on TE)</v>
      </c>
      <c r="G717" s="347"/>
      <c r="H717" s="347"/>
      <c r="I717" s="347"/>
      <c r="J717" s="347"/>
      <c r="K717" s="347"/>
      <c r="L717" s="347"/>
      <c r="M717" s="347"/>
      <c r="N717" s="347"/>
      <c r="O717" s="347"/>
      <c r="P717" s="347"/>
      <c r="Q717" s="347"/>
      <c r="R717" s="347"/>
      <c r="S717" s="347"/>
      <c r="T717" s="347"/>
      <c r="U717" s="340" t="str">
        <f aca="false">IFERROR(VLOOKUP(C717,TE!$H:$Y,9,FALSE()),"0")</f>
        <v>0</v>
      </c>
      <c r="V717" s="340"/>
      <c r="W717" s="341" t="n">
        <f aca="false">SUMIFS(TE!$O:$O,TE!$G:$G,$C$592,TE!$I:$I,C717,TE!$D:$D,$C$5)</f>
        <v>0</v>
      </c>
      <c r="X717" s="341"/>
      <c r="Y717" s="341" t="str">
        <f aca="false">IFERROR(VLOOKUP(C717,TE!$H:$Y,16,FALSE()),"0")</f>
        <v>0</v>
      </c>
      <c r="Z717" s="341"/>
      <c r="AA717" s="342" t="str">
        <f aca="false">IFERROR(VLOOKUP(C717,TE!$H:$Y,17,FALSE()),"0")</f>
        <v>0</v>
      </c>
      <c r="AB717" s="342"/>
      <c r="AC717" s="343" t="n">
        <f aca="false">IFERROR((W717*Y717*AA717),"")</f>
        <v>0</v>
      </c>
      <c r="AD717" s="343"/>
      <c r="AE717" s="343"/>
      <c r="AF717" s="276"/>
    </row>
    <row r="718" customFormat="false" ht="15.75" hidden="false" customHeight="true" outlineLevel="0" collapsed="false">
      <c r="A718" s="276"/>
      <c r="B718" s="276"/>
      <c r="C718" s="345" t="s">
        <v>1632</v>
      </c>
      <c r="D718" s="346"/>
      <c r="E718" s="346"/>
      <c r="F718" s="339" t="str">
        <f aca="false">IFERROR(VLOOKUP(C718,TE!$H:$Y,2,FALSE()),"(Not on TE)")</f>
        <v>(Not on TE)</v>
      </c>
      <c r="G718" s="347"/>
      <c r="H718" s="347"/>
      <c r="I718" s="347"/>
      <c r="J718" s="347"/>
      <c r="K718" s="347"/>
      <c r="L718" s="347"/>
      <c r="M718" s="347"/>
      <c r="N718" s="347"/>
      <c r="O718" s="347"/>
      <c r="P718" s="347"/>
      <c r="Q718" s="347"/>
      <c r="R718" s="347"/>
      <c r="S718" s="347"/>
      <c r="T718" s="347"/>
      <c r="U718" s="340" t="str">
        <f aca="false">IFERROR(VLOOKUP(C718,TE!$H:$Y,9,FALSE()),"0")</f>
        <v>0</v>
      </c>
      <c r="V718" s="340"/>
      <c r="W718" s="341" t="n">
        <f aca="false">SUMIFS(TE!$O:$O,TE!$G:$G,$C$592,TE!$I:$I,C718,TE!$D:$D,$C$5)</f>
        <v>0</v>
      </c>
      <c r="X718" s="341"/>
      <c r="Y718" s="341" t="str">
        <f aca="false">IFERROR(VLOOKUP(C718,TE!$H:$Y,16,FALSE()),"0")</f>
        <v>0</v>
      </c>
      <c r="Z718" s="341"/>
      <c r="AA718" s="342" t="str">
        <f aca="false">IFERROR(VLOOKUP(C718,TE!$H:$Y,17,FALSE()),"0")</f>
        <v>0</v>
      </c>
      <c r="AB718" s="342"/>
      <c r="AC718" s="343" t="n">
        <f aca="false">IFERROR((W718*Y718*AA718),"")</f>
        <v>0</v>
      </c>
      <c r="AD718" s="343"/>
      <c r="AE718" s="343"/>
      <c r="AF718" s="276"/>
    </row>
    <row r="719" customFormat="false" ht="15.75" hidden="false" customHeight="true" outlineLevel="0" collapsed="false">
      <c r="A719" s="276"/>
      <c r="B719" s="276"/>
      <c r="C719" s="345" t="s">
        <v>1633</v>
      </c>
      <c r="D719" s="346"/>
      <c r="E719" s="346"/>
      <c r="F719" s="339" t="str">
        <f aca="false">IFERROR(VLOOKUP(C719,TE!$H:$Y,2,FALSE()),"(Not on TE)")</f>
        <v>(Not on TE)</v>
      </c>
      <c r="G719" s="347"/>
      <c r="H719" s="347"/>
      <c r="I719" s="347"/>
      <c r="J719" s="347"/>
      <c r="K719" s="347"/>
      <c r="L719" s="347"/>
      <c r="M719" s="347"/>
      <c r="N719" s="347"/>
      <c r="O719" s="347"/>
      <c r="P719" s="347"/>
      <c r="Q719" s="347"/>
      <c r="R719" s="347"/>
      <c r="S719" s="347"/>
      <c r="T719" s="347"/>
      <c r="U719" s="340" t="str">
        <f aca="false">IFERROR(VLOOKUP(C719,TE!$H:$Y,9,FALSE()),"0")</f>
        <v>0</v>
      </c>
      <c r="V719" s="340"/>
      <c r="W719" s="341" t="n">
        <f aca="false">SUMIFS(TE!$O:$O,TE!$G:$G,$C$592,TE!$I:$I,C719,TE!$D:$D,$C$5)</f>
        <v>0</v>
      </c>
      <c r="X719" s="341"/>
      <c r="Y719" s="341" t="str">
        <f aca="false">IFERROR(VLOOKUP(C719,TE!$H:$Y,16,FALSE()),"0")</f>
        <v>0</v>
      </c>
      <c r="Z719" s="341"/>
      <c r="AA719" s="342" t="str">
        <f aca="false">IFERROR(VLOOKUP(C719,TE!$H:$Y,17,FALSE()),"0")</f>
        <v>0</v>
      </c>
      <c r="AB719" s="342"/>
      <c r="AC719" s="343" t="n">
        <f aca="false">IFERROR((W719*Y719*AA719),"")</f>
        <v>0</v>
      </c>
      <c r="AD719" s="343"/>
      <c r="AE719" s="343"/>
      <c r="AF719" s="276"/>
    </row>
    <row r="720" customFormat="false" ht="15.75" hidden="false" customHeight="true" outlineLevel="0" collapsed="false">
      <c r="A720" s="276"/>
      <c r="B720" s="276"/>
      <c r="C720" s="345" t="s">
        <v>1634</v>
      </c>
      <c r="D720" s="346"/>
      <c r="E720" s="346"/>
      <c r="F720" s="339" t="str">
        <f aca="false">IFERROR(VLOOKUP(C720,TE!$H:$Y,2,FALSE()),"(Not on TE)")</f>
        <v>(Not on TE)</v>
      </c>
      <c r="G720" s="347"/>
      <c r="H720" s="347"/>
      <c r="I720" s="347"/>
      <c r="J720" s="347"/>
      <c r="K720" s="347"/>
      <c r="L720" s="347"/>
      <c r="M720" s="347"/>
      <c r="N720" s="347"/>
      <c r="O720" s="347"/>
      <c r="P720" s="347"/>
      <c r="Q720" s="347"/>
      <c r="R720" s="347"/>
      <c r="S720" s="347"/>
      <c r="T720" s="347"/>
      <c r="U720" s="340" t="str">
        <f aca="false">IFERROR(VLOOKUP(C720,TE!$H:$Y,9,FALSE()),"0")</f>
        <v>0</v>
      </c>
      <c r="V720" s="340"/>
      <c r="W720" s="341" t="n">
        <f aca="false">SUMIFS(TE!$O:$O,TE!$G:$G,$C$592,TE!$I:$I,C720,TE!$D:$D,$C$5)</f>
        <v>0</v>
      </c>
      <c r="X720" s="341"/>
      <c r="Y720" s="341" t="str">
        <f aca="false">IFERROR(VLOOKUP(C720,TE!$H:$Y,16,FALSE()),"0")</f>
        <v>0</v>
      </c>
      <c r="Z720" s="341"/>
      <c r="AA720" s="342" t="str">
        <f aca="false">IFERROR(VLOOKUP(C720,TE!$H:$Y,17,FALSE()),"0")</f>
        <v>0</v>
      </c>
      <c r="AB720" s="342"/>
      <c r="AC720" s="343" t="n">
        <f aca="false">IFERROR((W720*Y720*AA720),"")</f>
        <v>0</v>
      </c>
      <c r="AD720" s="343"/>
      <c r="AE720" s="343"/>
      <c r="AF720" s="276"/>
    </row>
    <row r="721" customFormat="false" ht="15.75" hidden="false" customHeight="true" outlineLevel="0" collapsed="false">
      <c r="A721" s="276"/>
      <c r="B721" s="276"/>
      <c r="C721" s="345" t="s">
        <v>1635</v>
      </c>
      <c r="D721" s="346"/>
      <c r="E721" s="346"/>
      <c r="F721" s="339" t="str">
        <f aca="false">IFERROR(VLOOKUP(C721,TE!$H:$Y,2,FALSE()),"(Not on TE)")</f>
        <v>(Not on TE)</v>
      </c>
      <c r="G721" s="347"/>
      <c r="H721" s="347"/>
      <c r="I721" s="347"/>
      <c r="J721" s="347"/>
      <c r="K721" s="347"/>
      <c r="L721" s="347"/>
      <c r="M721" s="347"/>
      <c r="N721" s="347"/>
      <c r="O721" s="347"/>
      <c r="P721" s="347"/>
      <c r="Q721" s="347"/>
      <c r="R721" s="347"/>
      <c r="S721" s="347"/>
      <c r="T721" s="347"/>
      <c r="U721" s="340" t="str">
        <f aca="false">IFERROR(VLOOKUP(C721,TE!$H:$Y,9,FALSE()),"0")</f>
        <v>0</v>
      </c>
      <c r="V721" s="340"/>
      <c r="W721" s="341" t="n">
        <f aca="false">SUMIFS(TE!$O:$O,TE!$G:$G,$C$592,TE!$I:$I,C721,TE!$D:$D,$C$5)</f>
        <v>0</v>
      </c>
      <c r="X721" s="341"/>
      <c r="Y721" s="341" t="str">
        <f aca="false">IFERROR(VLOOKUP(C721,TE!$H:$Y,16,FALSE()),"0")</f>
        <v>0</v>
      </c>
      <c r="Z721" s="341"/>
      <c r="AA721" s="342" t="str">
        <f aca="false">IFERROR(VLOOKUP(C721,TE!$H:$Y,17,FALSE()),"0")</f>
        <v>0</v>
      </c>
      <c r="AB721" s="342"/>
      <c r="AC721" s="343" t="n">
        <f aca="false">IFERROR((W721*Y721*AA721),"")</f>
        <v>0</v>
      </c>
      <c r="AD721" s="343"/>
      <c r="AE721" s="343"/>
      <c r="AF721" s="276"/>
    </row>
    <row r="722" customFormat="false" ht="15.75" hidden="false" customHeight="true" outlineLevel="0" collapsed="false">
      <c r="A722" s="276"/>
      <c r="B722" s="276"/>
      <c r="C722" s="345" t="s">
        <v>1636</v>
      </c>
      <c r="D722" s="346"/>
      <c r="E722" s="346"/>
      <c r="F722" s="339" t="str">
        <f aca="false">IFERROR(VLOOKUP(C722,TE!$H:$Y,2,FALSE()),"(Not on TE)")</f>
        <v>(Not on TE)</v>
      </c>
      <c r="G722" s="347"/>
      <c r="H722" s="347"/>
      <c r="I722" s="347"/>
      <c r="J722" s="347"/>
      <c r="K722" s="347"/>
      <c r="L722" s="347"/>
      <c r="M722" s="347"/>
      <c r="N722" s="347"/>
      <c r="O722" s="347"/>
      <c r="P722" s="347"/>
      <c r="Q722" s="347"/>
      <c r="R722" s="347"/>
      <c r="S722" s="347"/>
      <c r="T722" s="347"/>
      <c r="U722" s="340" t="str">
        <f aca="false">IFERROR(VLOOKUP(C722,TE!$H:$Y,9,FALSE()),"0")</f>
        <v>0</v>
      </c>
      <c r="V722" s="340"/>
      <c r="W722" s="341" t="n">
        <f aca="false">SUMIFS(TE!$O:$O,TE!$G:$G,$C$592,TE!$I:$I,C722,TE!$D:$D,$C$5)</f>
        <v>0</v>
      </c>
      <c r="X722" s="341"/>
      <c r="Y722" s="341" t="str">
        <f aca="false">IFERROR(VLOOKUP(C722,TE!$H:$Y,16,FALSE()),"0")</f>
        <v>0</v>
      </c>
      <c r="Z722" s="341"/>
      <c r="AA722" s="342" t="str">
        <f aca="false">IFERROR(VLOOKUP(C722,TE!$H:$Y,17,FALSE()),"0")</f>
        <v>0</v>
      </c>
      <c r="AB722" s="342"/>
      <c r="AC722" s="343" t="n">
        <f aca="false">IFERROR((W722*Y722*AA722),"")</f>
        <v>0</v>
      </c>
      <c r="AD722" s="343"/>
      <c r="AE722" s="343"/>
      <c r="AF722" s="276"/>
    </row>
    <row r="723" customFormat="false" ht="15.75" hidden="false" customHeight="true" outlineLevel="0" collapsed="false">
      <c r="A723" s="378"/>
      <c r="B723" s="378"/>
      <c r="C723" s="348" t="s">
        <v>1637</v>
      </c>
      <c r="D723" s="379"/>
      <c r="E723" s="379"/>
      <c r="F723" s="350" t="str">
        <f aca="false">IFERROR(VLOOKUP(C723,TE!$H:$Y,2,FALSE()),"(Not on TE)")</f>
        <v>(Not on TE)</v>
      </c>
      <c r="G723" s="380"/>
      <c r="H723" s="380"/>
      <c r="I723" s="380"/>
      <c r="J723" s="380"/>
      <c r="K723" s="380"/>
      <c r="L723" s="380"/>
      <c r="M723" s="380"/>
      <c r="N723" s="380"/>
      <c r="O723" s="380"/>
      <c r="P723" s="380"/>
      <c r="Q723" s="380"/>
      <c r="R723" s="380"/>
      <c r="S723" s="380"/>
      <c r="T723" s="380"/>
      <c r="U723" s="352" t="str">
        <f aca="false">IFERROR(VLOOKUP(C723,TE!$H:$Y,9,FALSE()),"0")</f>
        <v>0</v>
      </c>
      <c r="V723" s="352"/>
      <c r="W723" s="353" t="n">
        <f aca="false">SUMIFS(TE!$O:$O,TE!$G:$G,$C$592,TE!$I:$I,C723,TE!$D:$D,$C$5)</f>
        <v>0</v>
      </c>
      <c r="X723" s="353"/>
      <c r="Y723" s="353" t="str">
        <f aca="false">IFERROR(VLOOKUP(C723,TE!$H:$Y,16,FALSE()),"0")</f>
        <v>0</v>
      </c>
      <c r="Z723" s="353"/>
      <c r="AA723" s="354" t="str">
        <f aca="false">IFERROR(VLOOKUP(C723,TE!$H:$Y,17,FALSE()),"0")</f>
        <v>0</v>
      </c>
      <c r="AB723" s="354"/>
      <c r="AC723" s="355" t="n">
        <f aca="false">IFERROR((W723*Y723*AA723),"")</f>
        <v>0</v>
      </c>
      <c r="AD723" s="355"/>
      <c r="AE723" s="355"/>
      <c r="AF723" s="276"/>
    </row>
    <row r="724" customFormat="false" ht="15.75" hidden="false" customHeight="true" outlineLevel="0" collapsed="false">
      <c r="A724" s="378"/>
      <c r="B724" s="378"/>
      <c r="C724" s="338"/>
      <c r="D724" s="382"/>
      <c r="E724" s="382"/>
      <c r="F724" s="383"/>
      <c r="G724" s="383"/>
      <c r="H724" s="383"/>
      <c r="I724" s="383"/>
      <c r="J724" s="383"/>
      <c r="K724" s="383"/>
      <c r="L724" s="383"/>
      <c r="M724" s="383"/>
      <c r="N724" s="383"/>
      <c r="O724" s="383"/>
      <c r="P724" s="383"/>
      <c r="Q724" s="383"/>
      <c r="R724" s="383"/>
      <c r="S724" s="383"/>
      <c r="T724" s="383"/>
      <c r="U724" s="384"/>
      <c r="V724" s="384"/>
      <c r="W724" s="385"/>
      <c r="X724" s="385"/>
      <c r="Y724" s="385"/>
      <c r="Z724" s="296"/>
      <c r="AA724" s="393" t="s">
        <v>1576</v>
      </c>
      <c r="AB724" s="393"/>
      <c r="AC724" s="393"/>
      <c r="AD724" s="393"/>
      <c r="AE724" s="393"/>
      <c r="AF724" s="386"/>
    </row>
    <row r="725" customFormat="false" ht="15.75" hidden="false" customHeight="true" outlineLevel="0" collapsed="false">
      <c r="A725" s="378"/>
      <c r="B725" s="378"/>
      <c r="C725" s="338"/>
      <c r="D725" s="382"/>
      <c r="E725" s="382"/>
      <c r="F725" s="383"/>
      <c r="G725" s="383"/>
      <c r="H725" s="383"/>
      <c r="I725" s="383"/>
      <c r="J725" s="383"/>
      <c r="K725" s="383"/>
      <c r="L725" s="383"/>
      <c r="M725" s="383"/>
      <c r="N725" s="383"/>
      <c r="O725" s="383"/>
      <c r="P725" s="383"/>
      <c r="Q725" s="383"/>
      <c r="R725" s="383"/>
      <c r="S725" s="383"/>
      <c r="T725" s="383"/>
      <c r="U725" s="384"/>
      <c r="V725" s="384"/>
      <c r="W725" s="385"/>
      <c r="X725" s="385"/>
      <c r="Y725" s="385"/>
      <c r="Z725" s="385"/>
      <c r="AA725" s="387"/>
      <c r="AB725" s="387"/>
      <c r="AC725" s="388"/>
      <c r="AD725" s="388"/>
      <c r="AE725" s="388"/>
      <c r="AF725" s="386"/>
    </row>
    <row r="726" customFormat="false" ht="15.75" hidden="false" customHeight="true" outlineLevel="0" collapsed="false">
      <c r="A726" s="364"/>
      <c r="B726" s="364"/>
      <c r="C726" s="365"/>
      <c r="D726" s="366"/>
      <c r="E726" s="366"/>
      <c r="F726" s="367"/>
      <c r="G726" s="367"/>
      <c r="H726" s="367"/>
      <c r="I726" s="367"/>
      <c r="J726" s="367"/>
      <c r="K726" s="367"/>
      <c r="L726" s="367"/>
      <c r="M726" s="367"/>
      <c r="N726" s="367"/>
      <c r="O726" s="367"/>
      <c r="P726" s="367"/>
      <c r="Q726" s="367"/>
      <c r="R726" s="367"/>
      <c r="S726" s="367"/>
      <c r="T726" s="367"/>
      <c r="U726" s="368"/>
      <c r="V726" s="368"/>
      <c r="W726" s="369"/>
      <c r="X726" s="369"/>
      <c r="Y726" s="369"/>
      <c r="Z726" s="369"/>
      <c r="AA726" s="370"/>
      <c r="AB726" s="370"/>
      <c r="AC726" s="371"/>
      <c r="AD726" s="371"/>
      <c r="AE726" s="371"/>
      <c r="AF726" s="372"/>
    </row>
    <row r="727" customFormat="false" ht="15.75" hidden="false" customHeight="true" outlineLevel="0" collapsed="false">
      <c r="A727" s="259" t="s">
        <v>1522</v>
      </c>
      <c r="B727" s="259"/>
      <c r="C727" s="323" t="n">
        <f aca="false">$C$5</f>
        <v>14312</v>
      </c>
      <c r="D727" s="323"/>
      <c r="E727" s="323"/>
      <c r="F727" s="323"/>
      <c r="G727" s="323"/>
      <c r="H727" s="323"/>
      <c r="I727" s="323"/>
      <c r="J727" s="323"/>
      <c r="K727" s="323"/>
      <c r="L727" s="323"/>
      <c r="M727" s="259" t="s">
        <v>1523</v>
      </c>
      <c r="N727" s="259"/>
      <c r="O727" s="259"/>
      <c r="P727" s="259"/>
      <c r="Q727" s="259"/>
      <c r="R727" s="324" t="str">
        <f aca="false">$R$5</f>
        <v>Operational Vehicle Laydown Area</v>
      </c>
      <c r="S727" s="324"/>
      <c r="T727" s="324"/>
      <c r="U727" s="324"/>
      <c r="V727" s="324"/>
      <c r="W727" s="324"/>
      <c r="X727" s="324"/>
      <c r="Y727" s="324"/>
      <c r="Z727" s="324"/>
      <c r="AA727" s="324"/>
      <c r="AB727" s="324"/>
      <c r="AC727" s="324"/>
      <c r="AD727" s="324"/>
      <c r="AE727" s="324"/>
      <c r="AF727" s="324"/>
    </row>
    <row r="728" customFormat="false" ht="15.75" hidden="false" customHeight="true" outlineLevel="0" collapsed="false">
      <c r="A728" s="276"/>
      <c r="B728" s="276"/>
      <c r="C728" s="296"/>
      <c r="D728" s="276"/>
      <c r="E728" s="276"/>
      <c r="F728" s="296"/>
      <c r="G728" s="276"/>
      <c r="H728" s="276"/>
      <c r="I728" s="276"/>
      <c r="J728" s="276"/>
      <c r="K728" s="276"/>
      <c r="L728" s="276"/>
      <c r="M728" s="276"/>
      <c r="N728" s="276"/>
      <c r="O728" s="276"/>
      <c r="P728" s="276"/>
      <c r="Q728" s="276"/>
      <c r="R728" s="276"/>
      <c r="S728" s="276"/>
      <c r="T728" s="276"/>
      <c r="U728" s="276"/>
      <c r="V728" s="276"/>
      <c r="W728" s="277"/>
      <c r="X728" s="277"/>
      <c r="Y728" s="276"/>
      <c r="Z728" s="276"/>
      <c r="AA728" s="276"/>
      <c r="AB728" s="276"/>
      <c r="AC728" s="277"/>
      <c r="AD728" s="277"/>
      <c r="AE728" s="277"/>
      <c r="AF728" s="276"/>
    </row>
    <row r="729" customFormat="false" ht="15.75" hidden="false" customHeight="true" outlineLevel="0" collapsed="false">
      <c r="A729" s="276"/>
      <c r="B729" s="276"/>
      <c r="C729" s="325" t="s">
        <v>1542</v>
      </c>
      <c r="D729" s="276"/>
      <c r="E729" s="276"/>
      <c r="F729" s="296"/>
      <c r="G729" s="276"/>
      <c r="H729" s="276"/>
      <c r="I729" s="276"/>
      <c r="J729" s="276"/>
      <c r="K729" s="276"/>
      <c r="L729" s="276"/>
      <c r="M729" s="276"/>
      <c r="N729" s="276"/>
      <c r="O729" s="276"/>
      <c r="P729" s="276"/>
      <c r="Q729" s="276"/>
      <c r="R729" s="276"/>
      <c r="S729" s="276"/>
      <c r="T729" s="276"/>
      <c r="U729" s="276"/>
      <c r="V729" s="276"/>
      <c r="W729" s="277"/>
      <c r="X729" s="277"/>
      <c r="Y729" s="276"/>
      <c r="Z729" s="276"/>
      <c r="AA729" s="276"/>
      <c r="AB729" s="276"/>
      <c r="AC729" s="277"/>
      <c r="AD729" s="277"/>
      <c r="AE729" s="277"/>
      <c r="AF729" s="276"/>
    </row>
    <row r="730" customFormat="false" ht="15.75" hidden="false" customHeight="true" outlineLevel="0" collapsed="false">
      <c r="A730" s="276"/>
      <c r="B730" s="276"/>
      <c r="C730" s="391" t="n">
        <f aca="false">C684</f>
        <v>0</v>
      </c>
      <c r="D730" s="391"/>
      <c r="E730" s="391"/>
      <c r="F730" s="327" t="n">
        <f aca="false">F684</f>
        <v>0</v>
      </c>
      <c r="G730" s="327"/>
      <c r="H730" s="327"/>
      <c r="I730" s="327"/>
      <c r="J730" s="327"/>
      <c r="K730" s="327"/>
      <c r="L730" s="327"/>
      <c r="M730" s="327"/>
      <c r="N730" s="328"/>
      <c r="O730" s="329"/>
      <c r="P730" s="329"/>
      <c r="Q730" s="329"/>
      <c r="R730" s="329"/>
      <c r="S730" s="330"/>
      <c r="T730" s="295"/>
      <c r="U730" s="295"/>
      <c r="V730" s="295"/>
      <c r="W730" s="331"/>
      <c r="X730" s="331"/>
      <c r="Y730" s="295"/>
      <c r="Z730" s="295"/>
      <c r="AA730" s="295"/>
      <c r="AB730" s="295"/>
      <c r="AC730" s="332"/>
      <c r="AD730" s="332"/>
      <c r="AE730" s="332"/>
      <c r="AF730" s="276"/>
    </row>
    <row r="731" customFormat="false" ht="15.75" hidden="false" customHeight="true" outlineLevel="0" collapsed="false">
      <c r="A731" s="276"/>
      <c r="B731" s="276"/>
      <c r="C731" s="376" t="s">
        <v>1055</v>
      </c>
      <c r="D731" s="376"/>
      <c r="E731" s="376"/>
      <c r="F731" s="334" t="s">
        <v>13</v>
      </c>
      <c r="G731" s="334"/>
      <c r="H731" s="334"/>
      <c r="I731" s="334"/>
      <c r="J731" s="334"/>
      <c r="K731" s="334"/>
      <c r="L731" s="334"/>
      <c r="M731" s="334"/>
      <c r="N731" s="334"/>
      <c r="O731" s="334"/>
      <c r="P731" s="334"/>
      <c r="Q731" s="334"/>
      <c r="R731" s="334"/>
      <c r="S731" s="334"/>
      <c r="T731" s="334"/>
      <c r="U731" s="335" t="s">
        <v>1543</v>
      </c>
      <c r="V731" s="335"/>
      <c r="W731" s="335" t="s">
        <v>1544</v>
      </c>
      <c r="X731" s="335"/>
      <c r="Y731" s="335" t="s">
        <v>1545</v>
      </c>
      <c r="Z731" s="335"/>
      <c r="AA731" s="335" t="s">
        <v>1546</v>
      </c>
      <c r="AB731" s="335"/>
      <c r="AC731" s="336" t="s">
        <v>1547</v>
      </c>
      <c r="AD731" s="336"/>
      <c r="AE731" s="336"/>
      <c r="AF731" s="276"/>
    </row>
    <row r="732" customFormat="false" ht="15.75" hidden="false" customHeight="true" outlineLevel="0" collapsed="false">
      <c r="A732" s="276"/>
      <c r="B732" s="276"/>
      <c r="C732" s="376"/>
      <c r="D732" s="376"/>
      <c r="E732" s="376"/>
      <c r="F732" s="334"/>
      <c r="G732" s="334"/>
      <c r="H732" s="334"/>
      <c r="I732" s="334"/>
      <c r="J732" s="334"/>
      <c r="K732" s="334"/>
      <c r="L732" s="334"/>
      <c r="M732" s="334"/>
      <c r="N732" s="334"/>
      <c r="O732" s="334"/>
      <c r="P732" s="334"/>
      <c r="Q732" s="334"/>
      <c r="R732" s="334"/>
      <c r="S732" s="334"/>
      <c r="T732" s="334"/>
      <c r="U732" s="335"/>
      <c r="V732" s="335"/>
      <c r="W732" s="335"/>
      <c r="X732" s="335"/>
      <c r="Y732" s="335"/>
      <c r="Z732" s="335"/>
      <c r="AA732" s="335"/>
      <c r="AB732" s="335"/>
      <c r="AC732" s="336"/>
      <c r="AD732" s="336"/>
      <c r="AE732" s="336"/>
      <c r="AF732" s="276"/>
    </row>
    <row r="733" customFormat="false" ht="15.75" hidden="false" customHeight="true" outlineLevel="0" collapsed="false">
      <c r="A733" s="276"/>
      <c r="B733" s="276"/>
      <c r="C733" s="377" t="s">
        <v>1340</v>
      </c>
      <c r="D733" s="338"/>
      <c r="E733" s="338"/>
      <c r="F733" s="339" t="str">
        <f aca="false">IFERROR(VLOOKUP(C733,TE!$H:$Y,2,FALSE()),"(Not on TE)")</f>
        <v>(Not on TE)</v>
      </c>
      <c r="G733" s="338"/>
      <c r="H733" s="338"/>
      <c r="I733" s="338"/>
      <c r="J733" s="338"/>
      <c r="K733" s="338"/>
      <c r="L733" s="338"/>
      <c r="M733" s="338"/>
      <c r="N733" s="338"/>
      <c r="O733" s="338"/>
      <c r="P733" s="338"/>
      <c r="Q733" s="338"/>
      <c r="R733" s="338"/>
      <c r="S733" s="338"/>
      <c r="T733" s="338"/>
      <c r="U733" s="340" t="str">
        <f aca="false">IFERROR(VLOOKUP(C733,TE!$H:$Y,9,FALSE()),"0")</f>
        <v>0</v>
      </c>
      <c r="V733" s="340"/>
      <c r="W733" s="341" t="n">
        <f aca="false">SUMIFS(TE!$O:$O,TE!$G:$G,$C$592,TE!$I:$I,C733,TE!$D:$D,$C$5)</f>
        <v>0</v>
      </c>
      <c r="X733" s="341"/>
      <c r="Y733" s="341" t="str">
        <f aca="false">IFERROR(VLOOKUP(C733,TE!$H:$Y,16,FALSE()),"0")</f>
        <v>0</v>
      </c>
      <c r="Z733" s="341"/>
      <c r="AA733" s="342" t="str">
        <f aca="false">IFERROR(VLOOKUP(C733,TE!$H:$Y,17,FALSE()),"0")</f>
        <v>0</v>
      </c>
      <c r="AB733" s="342"/>
      <c r="AC733" s="343" t="n">
        <f aca="false">IFERROR((W733*Y733*AA733),"")</f>
        <v>0</v>
      </c>
      <c r="AD733" s="343"/>
      <c r="AE733" s="343"/>
      <c r="AF733" s="276"/>
    </row>
    <row r="734" customFormat="false" ht="15.75" hidden="false" customHeight="true" outlineLevel="0" collapsed="false">
      <c r="A734" s="276"/>
      <c r="B734" s="276"/>
      <c r="C734" s="377" t="s">
        <v>1638</v>
      </c>
      <c r="D734" s="338"/>
      <c r="E734" s="338"/>
      <c r="F734" s="339" t="str">
        <f aca="false">IFERROR(VLOOKUP(C734,TE!$H:$Y,2,FALSE()),"(Not on TE)")</f>
        <v>(Not on TE)</v>
      </c>
      <c r="G734" s="338"/>
      <c r="H734" s="338"/>
      <c r="I734" s="338"/>
      <c r="J734" s="338"/>
      <c r="K734" s="338"/>
      <c r="L734" s="338"/>
      <c r="M734" s="338"/>
      <c r="N734" s="338"/>
      <c r="O734" s="338"/>
      <c r="P734" s="338"/>
      <c r="Q734" s="338"/>
      <c r="R734" s="338"/>
      <c r="S734" s="338"/>
      <c r="T734" s="338"/>
      <c r="U734" s="340" t="str">
        <f aca="false">IFERROR(VLOOKUP(C734,TE!$H:$Y,9,FALSE()),"0")</f>
        <v>0</v>
      </c>
      <c r="V734" s="340"/>
      <c r="W734" s="341" t="n">
        <f aca="false">SUMIFS(TE!$O:$O,TE!$G:$G,$C$592,TE!$I:$I,C734,TE!$D:$D,$C$5)</f>
        <v>0</v>
      </c>
      <c r="X734" s="341"/>
      <c r="Y734" s="341" t="str">
        <f aca="false">IFERROR(VLOOKUP(C734,TE!$H:$Y,16,FALSE()),"0")</f>
        <v>0</v>
      </c>
      <c r="Z734" s="341"/>
      <c r="AA734" s="342" t="str">
        <f aca="false">IFERROR(VLOOKUP(C734,TE!$H:$Y,17,FALSE()),"0")</f>
        <v>0</v>
      </c>
      <c r="AB734" s="342"/>
      <c r="AC734" s="343" t="n">
        <f aca="false">IFERROR((W734*Y734*AA734),"")</f>
        <v>0</v>
      </c>
      <c r="AD734" s="343"/>
      <c r="AE734" s="343"/>
      <c r="AF734" s="276"/>
    </row>
    <row r="735" customFormat="false" ht="15.75" hidden="false" customHeight="true" outlineLevel="0" collapsed="false">
      <c r="A735" s="276"/>
      <c r="B735" s="276"/>
      <c r="C735" s="377" t="s">
        <v>1639</v>
      </c>
      <c r="D735" s="338"/>
      <c r="E735" s="338"/>
      <c r="F735" s="339" t="str">
        <f aca="false">IFERROR(VLOOKUP(C735,TE!$H:$Y,2,FALSE()),"(Not on TE)")</f>
        <v>(Not on TE)</v>
      </c>
      <c r="G735" s="338"/>
      <c r="H735" s="338"/>
      <c r="I735" s="338"/>
      <c r="J735" s="338"/>
      <c r="K735" s="338"/>
      <c r="L735" s="338"/>
      <c r="M735" s="338"/>
      <c r="N735" s="338"/>
      <c r="O735" s="338"/>
      <c r="P735" s="338"/>
      <c r="Q735" s="338"/>
      <c r="R735" s="338"/>
      <c r="S735" s="338"/>
      <c r="T735" s="338"/>
      <c r="U735" s="340" t="str">
        <f aca="false">IFERROR(VLOOKUP(C735,TE!$H:$Y,9,FALSE()),"0")</f>
        <v>0</v>
      </c>
      <c r="V735" s="340"/>
      <c r="W735" s="341" t="n">
        <f aca="false">SUMIFS(TE!$O:$O,TE!$G:$G,$C$592,TE!$I:$I,C735,TE!$D:$D,$C$5)</f>
        <v>0</v>
      </c>
      <c r="X735" s="341"/>
      <c r="Y735" s="341" t="str">
        <f aca="false">IFERROR(VLOOKUP(C735,TE!$H:$Y,16,FALSE()),"0")</f>
        <v>0</v>
      </c>
      <c r="Z735" s="341"/>
      <c r="AA735" s="342" t="str">
        <f aca="false">IFERROR(VLOOKUP(C735,TE!$H:$Y,17,FALSE()),"0")</f>
        <v>0</v>
      </c>
      <c r="AB735" s="342"/>
      <c r="AC735" s="343" t="n">
        <f aca="false">IFERROR((W735*Y735*AA735),"")</f>
        <v>0</v>
      </c>
      <c r="AD735" s="343"/>
      <c r="AE735" s="343"/>
      <c r="AF735" s="276"/>
    </row>
    <row r="736" customFormat="false" ht="15.75" hidden="false" customHeight="true" outlineLevel="0" collapsed="false">
      <c r="A736" s="276"/>
      <c r="B736" s="276"/>
      <c r="C736" s="377" t="s">
        <v>1514</v>
      </c>
      <c r="D736" s="338"/>
      <c r="E736" s="338"/>
      <c r="F736" s="339" t="str">
        <f aca="false">IFERROR(VLOOKUP(C736,TE!$H:$Y,2,FALSE()),"(Not on TE)")</f>
        <v>(Not on TE)</v>
      </c>
      <c r="G736" s="338"/>
      <c r="H736" s="338"/>
      <c r="I736" s="338"/>
      <c r="J736" s="338"/>
      <c r="K736" s="338"/>
      <c r="L736" s="338"/>
      <c r="M736" s="338"/>
      <c r="N736" s="338"/>
      <c r="O736" s="338"/>
      <c r="P736" s="338"/>
      <c r="Q736" s="338"/>
      <c r="R736" s="338"/>
      <c r="S736" s="338"/>
      <c r="T736" s="338"/>
      <c r="U736" s="340" t="str">
        <f aca="false">IFERROR(VLOOKUP(C736,TE!$H:$Y,9,FALSE()),"0")</f>
        <v>0</v>
      </c>
      <c r="V736" s="340"/>
      <c r="W736" s="341" t="n">
        <f aca="false">SUMIFS(TE!$O:$O,TE!$G:$G,$C$592,TE!$I:$I,C736,TE!$D:$D,$C$5)</f>
        <v>0</v>
      </c>
      <c r="X736" s="341"/>
      <c r="Y736" s="341" t="str">
        <f aca="false">IFERROR(VLOOKUP(C736,TE!$H:$Y,16,FALSE()),"0")</f>
        <v>0</v>
      </c>
      <c r="Z736" s="341"/>
      <c r="AA736" s="342" t="str">
        <f aca="false">IFERROR(VLOOKUP(C736,TE!$H:$Y,17,FALSE()),"0")</f>
        <v>0</v>
      </c>
      <c r="AB736" s="342"/>
      <c r="AC736" s="343" t="n">
        <f aca="false">IFERROR((W736*Y736*AA736),"")</f>
        <v>0</v>
      </c>
      <c r="AD736" s="343"/>
      <c r="AE736" s="343"/>
      <c r="AF736" s="276"/>
    </row>
    <row r="737" customFormat="false" ht="15.75" hidden="false" customHeight="true" outlineLevel="0" collapsed="false">
      <c r="A737" s="276"/>
      <c r="B737" s="276"/>
      <c r="C737" s="377" t="s">
        <v>1236</v>
      </c>
      <c r="D737" s="338"/>
      <c r="E737" s="338"/>
      <c r="F737" s="339" t="str">
        <f aca="false">IFERROR(VLOOKUP(C737,TE!$H:$Y,2,FALSE()),"(Not on TE)")</f>
        <v>(Not on TE)</v>
      </c>
      <c r="G737" s="338"/>
      <c r="H737" s="338"/>
      <c r="I737" s="338"/>
      <c r="J737" s="338"/>
      <c r="K737" s="338"/>
      <c r="L737" s="338"/>
      <c r="M737" s="338"/>
      <c r="N737" s="338"/>
      <c r="O737" s="338"/>
      <c r="P737" s="338"/>
      <c r="Q737" s="338"/>
      <c r="R737" s="338"/>
      <c r="S737" s="338"/>
      <c r="T737" s="338"/>
      <c r="U737" s="340" t="str">
        <f aca="false">IFERROR(VLOOKUP(C737,TE!$H:$Y,9,FALSE()),"0")</f>
        <v>0</v>
      </c>
      <c r="V737" s="340"/>
      <c r="W737" s="341" t="n">
        <f aca="false">SUMIFS(TE!$O:$O,TE!$G:$G,$C$592,TE!$I:$I,C737,TE!$D:$D,$C$5)</f>
        <v>0</v>
      </c>
      <c r="X737" s="341"/>
      <c r="Y737" s="341" t="str">
        <f aca="false">IFERROR(VLOOKUP(C737,TE!$H:$Y,16,FALSE()),"0")</f>
        <v>0</v>
      </c>
      <c r="Z737" s="341"/>
      <c r="AA737" s="342" t="str">
        <f aca="false">IFERROR(VLOOKUP(C737,TE!$H:$Y,17,FALSE()),"0")</f>
        <v>0</v>
      </c>
      <c r="AB737" s="342"/>
      <c r="AC737" s="343" t="n">
        <f aca="false">IFERROR((W737*Y737*AA737),"")</f>
        <v>0</v>
      </c>
      <c r="AD737" s="343"/>
      <c r="AE737" s="343"/>
      <c r="AF737" s="276"/>
    </row>
    <row r="738" customFormat="false" ht="15.75" hidden="false" customHeight="true" outlineLevel="0" collapsed="false">
      <c r="A738" s="276"/>
      <c r="B738" s="276"/>
      <c r="C738" s="377" t="s">
        <v>1500</v>
      </c>
      <c r="D738" s="338"/>
      <c r="E738" s="338"/>
      <c r="F738" s="339" t="str">
        <f aca="false">IFERROR(VLOOKUP(C738,TE!$H:$Y,2,FALSE()),"(Not on TE)")</f>
        <v>(Not on TE)</v>
      </c>
      <c r="G738" s="338"/>
      <c r="H738" s="338"/>
      <c r="I738" s="338"/>
      <c r="J738" s="338"/>
      <c r="K738" s="338"/>
      <c r="L738" s="338"/>
      <c r="M738" s="338"/>
      <c r="N738" s="338"/>
      <c r="O738" s="338"/>
      <c r="P738" s="338"/>
      <c r="Q738" s="338"/>
      <c r="R738" s="338"/>
      <c r="S738" s="338"/>
      <c r="T738" s="338"/>
      <c r="U738" s="340" t="str">
        <f aca="false">IFERROR(VLOOKUP(C738,TE!$H:$Y,9,FALSE()),"0")</f>
        <v>0</v>
      </c>
      <c r="V738" s="340"/>
      <c r="W738" s="341" t="n">
        <f aca="false">SUMIFS(TE!$O:$O,TE!$G:$G,$C$592,TE!$I:$I,C738,TE!$D:$D,$C$5)</f>
        <v>0</v>
      </c>
      <c r="X738" s="341"/>
      <c r="Y738" s="341" t="str">
        <f aca="false">IFERROR(VLOOKUP(C738,TE!$H:$Y,16,FALSE()),"0")</f>
        <v>0</v>
      </c>
      <c r="Z738" s="341"/>
      <c r="AA738" s="342" t="str">
        <f aca="false">IFERROR(VLOOKUP(C738,TE!$H:$Y,17,FALSE()),"0")</f>
        <v>0</v>
      </c>
      <c r="AB738" s="342"/>
      <c r="AC738" s="343" t="n">
        <f aca="false">IFERROR((W738*Y738*AA738),"")</f>
        <v>0</v>
      </c>
      <c r="AD738" s="343"/>
      <c r="AE738" s="343"/>
      <c r="AF738" s="276"/>
    </row>
    <row r="739" customFormat="false" ht="15.75" hidden="false" customHeight="true" outlineLevel="0" collapsed="false">
      <c r="A739" s="276"/>
      <c r="B739" s="276"/>
      <c r="C739" s="377" t="s">
        <v>1640</v>
      </c>
      <c r="D739" s="338"/>
      <c r="E739" s="338"/>
      <c r="F739" s="339" t="str">
        <f aca="false">IFERROR(VLOOKUP(C739,TE!$H:$Y,2,FALSE()),"(Not on TE)")</f>
        <v>(Not on TE)</v>
      </c>
      <c r="G739" s="338"/>
      <c r="H739" s="338"/>
      <c r="I739" s="338"/>
      <c r="J739" s="338"/>
      <c r="K739" s="338"/>
      <c r="L739" s="338"/>
      <c r="M739" s="338"/>
      <c r="N739" s="338"/>
      <c r="O739" s="338"/>
      <c r="P739" s="338"/>
      <c r="Q739" s="338"/>
      <c r="R739" s="338"/>
      <c r="S739" s="338"/>
      <c r="T739" s="338"/>
      <c r="U739" s="340" t="str">
        <f aca="false">IFERROR(VLOOKUP(C739,TE!$H:$Y,9,FALSE()),"0")</f>
        <v>0</v>
      </c>
      <c r="V739" s="340"/>
      <c r="W739" s="341" t="n">
        <f aca="false">SUMIFS(TE!$O:$O,TE!$G:$G,$C$592,TE!$I:$I,C739,TE!$D:$D,$C$5)</f>
        <v>0</v>
      </c>
      <c r="X739" s="341"/>
      <c r="Y739" s="341" t="str">
        <f aca="false">IFERROR(VLOOKUP(C739,TE!$H:$Y,16,FALSE()),"0")</f>
        <v>0</v>
      </c>
      <c r="Z739" s="341"/>
      <c r="AA739" s="342" t="str">
        <f aca="false">IFERROR(VLOOKUP(C739,TE!$H:$Y,17,FALSE()),"0")</f>
        <v>0</v>
      </c>
      <c r="AB739" s="342"/>
      <c r="AC739" s="343" t="n">
        <f aca="false">IFERROR((W739*Y739*AA739),"")</f>
        <v>0</v>
      </c>
      <c r="AD739" s="343"/>
      <c r="AE739" s="343"/>
      <c r="AF739" s="276"/>
    </row>
    <row r="740" customFormat="false" ht="15.75" hidden="false" customHeight="true" outlineLevel="0" collapsed="false">
      <c r="A740" s="276"/>
      <c r="B740" s="276"/>
      <c r="C740" s="377" t="s">
        <v>1222</v>
      </c>
      <c r="D740" s="338"/>
      <c r="E740" s="338"/>
      <c r="F740" s="339" t="str">
        <f aca="false">IFERROR(VLOOKUP(C740,TE!$H:$Y,2,FALSE()),"(Not on TE)")</f>
        <v>(Not on TE)</v>
      </c>
      <c r="G740" s="338"/>
      <c r="H740" s="338"/>
      <c r="I740" s="338"/>
      <c r="J740" s="338"/>
      <c r="K740" s="338"/>
      <c r="L740" s="338"/>
      <c r="M740" s="338"/>
      <c r="N740" s="338"/>
      <c r="O740" s="338"/>
      <c r="P740" s="338"/>
      <c r="Q740" s="338"/>
      <c r="R740" s="338"/>
      <c r="S740" s="338"/>
      <c r="T740" s="338"/>
      <c r="U740" s="340" t="str">
        <f aca="false">IFERROR(VLOOKUP(C740,TE!$H:$Y,9,FALSE()),"0")</f>
        <v>0</v>
      </c>
      <c r="V740" s="340"/>
      <c r="W740" s="341" t="n">
        <f aca="false">SUMIFS(TE!$O:$O,TE!$G:$G,$C$592,TE!$I:$I,C740,TE!$D:$D,$C$5)</f>
        <v>0</v>
      </c>
      <c r="X740" s="341"/>
      <c r="Y740" s="341" t="str">
        <f aca="false">IFERROR(VLOOKUP(C740,TE!$H:$Y,16,FALSE()),"0")</f>
        <v>0</v>
      </c>
      <c r="Z740" s="341"/>
      <c r="AA740" s="342" t="str">
        <f aca="false">IFERROR(VLOOKUP(C740,TE!$H:$Y,17,FALSE()),"0")</f>
        <v>0</v>
      </c>
      <c r="AB740" s="342"/>
      <c r="AC740" s="343" t="n">
        <f aca="false">IFERROR((W740*Y740*AA740),"")</f>
        <v>0</v>
      </c>
      <c r="AD740" s="343"/>
      <c r="AE740" s="343"/>
      <c r="AF740" s="276"/>
    </row>
    <row r="741" customFormat="false" ht="15.75" hidden="false" customHeight="true" outlineLevel="0" collapsed="false">
      <c r="A741" s="276"/>
      <c r="B741" s="276"/>
      <c r="C741" s="377"/>
      <c r="D741" s="338"/>
      <c r="E741" s="338"/>
      <c r="F741" s="339"/>
      <c r="G741" s="338"/>
      <c r="H741" s="338"/>
      <c r="I741" s="338"/>
      <c r="J741" s="338"/>
      <c r="K741" s="338"/>
      <c r="L741" s="338"/>
      <c r="M741" s="338"/>
      <c r="N741" s="338"/>
      <c r="O741" s="338"/>
      <c r="P741" s="338"/>
      <c r="Q741" s="338"/>
      <c r="R741" s="338"/>
      <c r="S741" s="338"/>
      <c r="T741" s="338"/>
      <c r="U741" s="340"/>
      <c r="V741" s="340"/>
      <c r="W741" s="341"/>
      <c r="X741" s="341"/>
      <c r="Y741" s="341"/>
      <c r="Z741" s="341"/>
      <c r="AA741" s="389"/>
      <c r="AB741" s="389"/>
      <c r="AC741" s="343"/>
      <c r="AD741" s="343"/>
      <c r="AE741" s="343"/>
      <c r="AF741" s="276"/>
    </row>
    <row r="742" customFormat="false" ht="15.75" hidden="false" customHeight="true" outlineLevel="0" collapsed="false">
      <c r="A742" s="276"/>
      <c r="B742" s="276"/>
      <c r="C742" s="377"/>
      <c r="D742" s="338"/>
      <c r="E742" s="338"/>
      <c r="F742" s="339"/>
      <c r="G742" s="338"/>
      <c r="H742" s="338"/>
      <c r="I742" s="338"/>
      <c r="J742" s="338"/>
      <c r="K742" s="338"/>
      <c r="L742" s="338"/>
      <c r="M742" s="338"/>
      <c r="N742" s="338"/>
      <c r="O742" s="338"/>
      <c r="P742" s="338"/>
      <c r="Q742" s="338"/>
      <c r="R742" s="338"/>
      <c r="S742" s="338"/>
      <c r="T742" s="338"/>
      <c r="U742" s="340"/>
      <c r="V742" s="340"/>
      <c r="W742" s="341"/>
      <c r="X742" s="341"/>
      <c r="Y742" s="341"/>
      <c r="Z742" s="341"/>
      <c r="AA742" s="389"/>
      <c r="AB742" s="389"/>
      <c r="AC742" s="343"/>
      <c r="AD742" s="343"/>
      <c r="AE742" s="343"/>
      <c r="AF742" s="276"/>
    </row>
    <row r="743" customFormat="false" ht="15.75" hidden="false" customHeight="true" outlineLevel="0" collapsed="false">
      <c r="A743" s="276"/>
      <c r="B743" s="276"/>
      <c r="C743" s="344"/>
      <c r="D743" s="338"/>
      <c r="E743" s="338"/>
      <c r="F743" s="339"/>
      <c r="G743" s="338"/>
      <c r="H743" s="338"/>
      <c r="I743" s="338"/>
      <c r="J743" s="338"/>
      <c r="K743" s="338"/>
      <c r="L743" s="338"/>
      <c r="M743" s="338"/>
      <c r="N743" s="338"/>
      <c r="O743" s="338"/>
      <c r="P743" s="338"/>
      <c r="Q743" s="338"/>
      <c r="R743" s="338"/>
      <c r="S743" s="338"/>
      <c r="T743" s="338"/>
      <c r="U743" s="340"/>
      <c r="V743" s="340"/>
      <c r="W743" s="341"/>
      <c r="X743" s="341"/>
      <c r="Y743" s="341"/>
      <c r="Z743" s="341"/>
      <c r="AA743" s="389"/>
      <c r="AB743" s="389"/>
      <c r="AC743" s="343"/>
      <c r="AD743" s="343"/>
      <c r="AE743" s="343"/>
      <c r="AF743" s="276"/>
    </row>
    <row r="744" customFormat="false" ht="15.75" hidden="false" customHeight="true" outlineLevel="0" collapsed="false">
      <c r="A744" s="276"/>
      <c r="B744" s="276"/>
      <c r="C744" s="344"/>
      <c r="D744" s="338"/>
      <c r="E744" s="338"/>
      <c r="F744" s="339"/>
      <c r="G744" s="338"/>
      <c r="H744" s="338"/>
      <c r="I744" s="338"/>
      <c r="J744" s="338"/>
      <c r="K744" s="338"/>
      <c r="L744" s="338"/>
      <c r="M744" s="338"/>
      <c r="N744" s="338"/>
      <c r="O744" s="338"/>
      <c r="P744" s="338"/>
      <c r="Q744" s="338"/>
      <c r="R744" s="338"/>
      <c r="S744" s="338"/>
      <c r="T744" s="338"/>
      <c r="U744" s="340"/>
      <c r="V744" s="340"/>
      <c r="W744" s="341"/>
      <c r="X744" s="341"/>
      <c r="Y744" s="341"/>
      <c r="Z744" s="341"/>
      <c r="AA744" s="389"/>
      <c r="AB744" s="389"/>
      <c r="AC744" s="343"/>
      <c r="AD744" s="343"/>
      <c r="AE744" s="343"/>
      <c r="AF744" s="276"/>
    </row>
    <row r="745" customFormat="false" ht="15.75" hidden="false" customHeight="true" outlineLevel="0" collapsed="false">
      <c r="A745" s="276"/>
      <c r="B745" s="276"/>
      <c r="C745" s="344"/>
      <c r="D745" s="338"/>
      <c r="E745" s="338"/>
      <c r="F745" s="339"/>
      <c r="G745" s="338"/>
      <c r="H745" s="338"/>
      <c r="I745" s="338"/>
      <c r="J745" s="338"/>
      <c r="K745" s="338"/>
      <c r="L745" s="338"/>
      <c r="M745" s="338"/>
      <c r="N745" s="338"/>
      <c r="O745" s="338"/>
      <c r="P745" s="338"/>
      <c r="Q745" s="338"/>
      <c r="R745" s="338"/>
      <c r="S745" s="338"/>
      <c r="T745" s="338"/>
      <c r="U745" s="340"/>
      <c r="V745" s="340"/>
      <c r="W745" s="341"/>
      <c r="X745" s="341"/>
      <c r="Y745" s="341"/>
      <c r="Z745" s="341"/>
      <c r="AA745" s="389"/>
      <c r="AB745" s="389"/>
      <c r="AC745" s="343"/>
      <c r="AD745" s="343"/>
      <c r="AE745" s="343"/>
      <c r="AF745" s="276"/>
    </row>
    <row r="746" customFormat="false" ht="15.75" hidden="false" customHeight="true" outlineLevel="0" collapsed="false">
      <c r="A746" s="276"/>
      <c r="B746" s="276"/>
      <c r="C746" s="344"/>
      <c r="D746" s="338"/>
      <c r="E746" s="338"/>
      <c r="F746" s="339"/>
      <c r="G746" s="338"/>
      <c r="H746" s="338"/>
      <c r="I746" s="338"/>
      <c r="J746" s="338"/>
      <c r="K746" s="338"/>
      <c r="L746" s="338"/>
      <c r="M746" s="338"/>
      <c r="N746" s="338"/>
      <c r="O746" s="338"/>
      <c r="P746" s="338"/>
      <c r="Q746" s="338"/>
      <c r="R746" s="338"/>
      <c r="S746" s="338"/>
      <c r="T746" s="338"/>
      <c r="U746" s="340"/>
      <c r="V746" s="340"/>
      <c r="W746" s="341"/>
      <c r="X746" s="341"/>
      <c r="Y746" s="341"/>
      <c r="Z746" s="341"/>
      <c r="AA746" s="389"/>
      <c r="AB746" s="389"/>
      <c r="AC746" s="343"/>
      <c r="AD746" s="343"/>
      <c r="AE746" s="343"/>
      <c r="AF746" s="276"/>
    </row>
    <row r="747" customFormat="false" ht="15.75" hidden="false" customHeight="true" outlineLevel="0" collapsed="false">
      <c r="A747" s="276"/>
      <c r="B747" s="276"/>
      <c r="C747" s="344"/>
      <c r="D747" s="338"/>
      <c r="E747" s="338"/>
      <c r="F747" s="339"/>
      <c r="G747" s="338"/>
      <c r="H747" s="338"/>
      <c r="I747" s="338"/>
      <c r="J747" s="338"/>
      <c r="K747" s="338"/>
      <c r="L747" s="338"/>
      <c r="M747" s="338"/>
      <c r="N747" s="338"/>
      <c r="O747" s="338"/>
      <c r="P747" s="338"/>
      <c r="Q747" s="338"/>
      <c r="R747" s="338"/>
      <c r="S747" s="338"/>
      <c r="T747" s="338"/>
      <c r="U747" s="340"/>
      <c r="V747" s="340"/>
      <c r="W747" s="341"/>
      <c r="X747" s="341"/>
      <c r="Y747" s="341"/>
      <c r="Z747" s="341"/>
      <c r="AA747" s="389"/>
      <c r="AB747" s="389"/>
      <c r="AC747" s="343"/>
      <c r="AD747" s="343"/>
      <c r="AE747" s="343"/>
      <c r="AF747" s="276"/>
    </row>
    <row r="748" customFormat="false" ht="15.75" hidden="false" customHeight="true" outlineLevel="0" collapsed="false">
      <c r="A748" s="276"/>
      <c r="B748" s="276"/>
      <c r="C748" s="344"/>
      <c r="D748" s="338"/>
      <c r="E748" s="338"/>
      <c r="F748" s="339"/>
      <c r="G748" s="338"/>
      <c r="H748" s="338"/>
      <c r="I748" s="338"/>
      <c r="J748" s="338"/>
      <c r="K748" s="338"/>
      <c r="L748" s="338"/>
      <c r="M748" s="338"/>
      <c r="N748" s="338"/>
      <c r="O748" s="338"/>
      <c r="P748" s="338"/>
      <c r="Q748" s="338"/>
      <c r="R748" s="338"/>
      <c r="S748" s="338"/>
      <c r="T748" s="338"/>
      <c r="U748" s="340"/>
      <c r="V748" s="340"/>
      <c r="W748" s="341"/>
      <c r="X748" s="341"/>
      <c r="Y748" s="341"/>
      <c r="Z748" s="341"/>
      <c r="AA748" s="389"/>
      <c r="AB748" s="389"/>
      <c r="AC748" s="343"/>
      <c r="AD748" s="343"/>
      <c r="AE748" s="343"/>
      <c r="AF748" s="276"/>
    </row>
    <row r="749" customFormat="false" ht="15.75" hidden="false" customHeight="true" outlineLevel="0" collapsed="false">
      <c r="A749" s="276"/>
      <c r="B749" s="276"/>
      <c r="C749" s="344"/>
      <c r="D749" s="338"/>
      <c r="E749" s="338"/>
      <c r="F749" s="339"/>
      <c r="G749" s="338"/>
      <c r="H749" s="338"/>
      <c r="I749" s="338"/>
      <c r="J749" s="338"/>
      <c r="K749" s="338"/>
      <c r="L749" s="338"/>
      <c r="M749" s="338"/>
      <c r="N749" s="338"/>
      <c r="O749" s="338"/>
      <c r="P749" s="338"/>
      <c r="Q749" s="338"/>
      <c r="R749" s="338"/>
      <c r="S749" s="338"/>
      <c r="T749" s="338"/>
      <c r="U749" s="340"/>
      <c r="V749" s="340"/>
      <c r="W749" s="341"/>
      <c r="X749" s="341"/>
      <c r="Y749" s="341"/>
      <c r="Z749" s="341"/>
      <c r="AA749" s="389"/>
      <c r="AB749" s="389"/>
      <c r="AC749" s="343"/>
      <c r="AD749" s="343"/>
      <c r="AE749" s="343"/>
      <c r="AF749" s="276"/>
    </row>
    <row r="750" customFormat="false" ht="15.75" hidden="false" customHeight="true" outlineLevel="0" collapsed="false">
      <c r="A750" s="276"/>
      <c r="B750" s="276"/>
      <c r="C750" s="344"/>
      <c r="D750" s="338"/>
      <c r="E750" s="338"/>
      <c r="F750" s="339"/>
      <c r="G750" s="338"/>
      <c r="H750" s="338"/>
      <c r="I750" s="338"/>
      <c r="J750" s="338"/>
      <c r="K750" s="338"/>
      <c r="L750" s="338"/>
      <c r="M750" s="338"/>
      <c r="N750" s="338"/>
      <c r="O750" s="338"/>
      <c r="P750" s="338"/>
      <c r="Q750" s="338"/>
      <c r="R750" s="338"/>
      <c r="S750" s="338"/>
      <c r="T750" s="338"/>
      <c r="U750" s="340"/>
      <c r="V750" s="340"/>
      <c r="W750" s="341"/>
      <c r="X750" s="341"/>
      <c r="Y750" s="341"/>
      <c r="Z750" s="341"/>
      <c r="AA750" s="389"/>
      <c r="AB750" s="389"/>
      <c r="AC750" s="343"/>
      <c r="AD750" s="343"/>
      <c r="AE750" s="343"/>
      <c r="AF750" s="276"/>
    </row>
    <row r="751" customFormat="false" ht="15.75" hidden="false" customHeight="true" outlineLevel="0" collapsed="false">
      <c r="A751" s="276"/>
      <c r="B751" s="276"/>
      <c r="C751" s="344"/>
      <c r="D751" s="338"/>
      <c r="E751" s="338"/>
      <c r="F751" s="339"/>
      <c r="G751" s="338"/>
      <c r="H751" s="338"/>
      <c r="I751" s="338"/>
      <c r="J751" s="338"/>
      <c r="K751" s="338"/>
      <c r="L751" s="338"/>
      <c r="M751" s="338"/>
      <c r="N751" s="338"/>
      <c r="O751" s="338"/>
      <c r="P751" s="338"/>
      <c r="Q751" s="338"/>
      <c r="R751" s="338"/>
      <c r="S751" s="338"/>
      <c r="T751" s="338"/>
      <c r="U751" s="340"/>
      <c r="V751" s="340"/>
      <c r="W751" s="341"/>
      <c r="X751" s="341"/>
      <c r="Y751" s="341"/>
      <c r="Z751" s="341"/>
      <c r="AA751" s="389"/>
      <c r="AB751" s="389"/>
      <c r="AC751" s="343"/>
      <c r="AD751" s="343"/>
      <c r="AE751" s="343"/>
      <c r="AF751" s="276"/>
    </row>
    <row r="752" customFormat="false" ht="15.75" hidden="false" customHeight="true" outlineLevel="0" collapsed="false">
      <c r="A752" s="276"/>
      <c r="B752" s="276"/>
      <c r="C752" s="344"/>
      <c r="D752" s="338"/>
      <c r="E752" s="338"/>
      <c r="F752" s="339"/>
      <c r="G752" s="338"/>
      <c r="H752" s="338"/>
      <c r="I752" s="338"/>
      <c r="J752" s="338"/>
      <c r="K752" s="338"/>
      <c r="L752" s="338"/>
      <c r="M752" s="338"/>
      <c r="N752" s="338"/>
      <c r="O752" s="338"/>
      <c r="P752" s="338"/>
      <c r="Q752" s="338"/>
      <c r="R752" s="338"/>
      <c r="S752" s="338"/>
      <c r="T752" s="338"/>
      <c r="U752" s="340"/>
      <c r="V752" s="340"/>
      <c r="W752" s="341"/>
      <c r="X752" s="341"/>
      <c r="Y752" s="341"/>
      <c r="Z752" s="341"/>
      <c r="AA752" s="389"/>
      <c r="AB752" s="389"/>
      <c r="AC752" s="343"/>
      <c r="AD752" s="343"/>
      <c r="AE752" s="343"/>
      <c r="AF752" s="276"/>
    </row>
    <row r="753" customFormat="false" ht="15.75" hidden="false" customHeight="true" outlineLevel="0" collapsed="false">
      <c r="A753" s="276"/>
      <c r="B753" s="276"/>
      <c r="C753" s="344"/>
      <c r="D753" s="338"/>
      <c r="E753" s="338"/>
      <c r="F753" s="339"/>
      <c r="G753" s="338"/>
      <c r="H753" s="338"/>
      <c r="I753" s="338"/>
      <c r="J753" s="338"/>
      <c r="K753" s="338"/>
      <c r="L753" s="338"/>
      <c r="M753" s="338"/>
      <c r="N753" s="338"/>
      <c r="O753" s="338"/>
      <c r="P753" s="338"/>
      <c r="Q753" s="338"/>
      <c r="R753" s="338"/>
      <c r="S753" s="338"/>
      <c r="T753" s="338"/>
      <c r="U753" s="340"/>
      <c r="V753" s="340"/>
      <c r="W753" s="341"/>
      <c r="X753" s="341"/>
      <c r="Y753" s="341"/>
      <c r="Z753" s="341"/>
      <c r="AA753" s="389"/>
      <c r="AB753" s="389"/>
      <c r="AC753" s="343"/>
      <c r="AD753" s="343"/>
      <c r="AE753" s="343"/>
      <c r="AF753" s="276"/>
    </row>
    <row r="754" customFormat="false" ht="15.75" hidden="false" customHeight="true" outlineLevel="0" collapsed="false">
      <c r="A754" s="276"/>
      <c r="B754" s="276"/>
      <c r="C754" s="344"/>
      <c r="D754" s="338"/>
      <c r="E754" s="338"/>
      <c r="F754" s="339"/>
      <c r="G754" s="338"/>
      <c r="H754" s="338"/>
      <c r="I754" s="338"/>
      <c r="J754" s="338"/>
      <c r="K754" s="338"/>
      <c r="L754" s="338"/>
      <c r="M754" s="338"/>
      <c r="N754" s="338"/>
      <c r="O754" s="338"/>
      <c r="P754" s="338"/>
      <c r="Q754" s="338"/>
      <c r="R754" s="338"/>
      <c r="S754" s="338"/>
      <c r="T754" s="338"/>
      <c r="U754" s="340"/>
      <c r="V754" s="340"/>
      <c r="W754" s="341"/>
      <c r="X754" s="341"/>
      <c r="Y754" s="341"/>
      <c r="Z754" s="341"/>
      <c r="AA754" s="389"/>
      <c r="AB754" s="389"/>
      <c r="AC754" s="343"/>
      <c r="AD754" s="343"/>
      <c r="AE754" s="343"/>
      <c r="AF754" s="276"/>
    </row>
    <row r="755" customFormat="false" ht="15.75" hidden="false" customHeight="true" outlineLevel="0" collapsed="false">
      <c r="A755" s="276"/>
      <c r="B755" s="276"/>
      <c r="C755" s="345"/>
      <c r="D755" s="346"/>
      <c r="E755" s="346"/>
      <c r="F755" s="339"/>
      <c r="G755" s="347"/>
      <c r="H755" s="347"/>
      <c r="I755" s="347"/>
      <c r="J755" s="347"/>
      <c r="K755" s="347"/>
      <c r="L755" s="347"/>
      <c r="M755" s="347"/>
      <c r="N755" s="347"/>
      <c r="O755" s="347"/>
      <c r="P755" s="347"/>
      <c r="Q755" s="347"/>
      <c r="R755" s="347"/>
      <c r="S755" s="347"/>
      <c r="T755" s="347"/>
      <c r="U755" s="340"/>
      <c r="V755" s="340"/>
      <c r="W755" s="341"/>
      <c r="X755" s="341"/>
      <c r="Y755" s="341"/>
      <c r="Z755" s="341"/>
      <c r="AA755" s="389"/>
      <c r="AB755" s="389"/>
      <c r="AC755" s="343"/>
      <c r="AD755" s="343"/>
      <c r="AE755" s="343"/>
      <c r="AF755" s="276"/>
    </row>
    <row r="756" customFormat="false" ht="15.75" hidden="false" customHeight="true" outlineLevel="0" collapsed="false">
      <c r="A756" s="276"/>
      <c r="B756" s="276"/>
      <c r="C756" s="345"/>
      <c r="D756" s="346"/>
      <c r="E756" s="346"/>
      <c r="F756" s="339"/>
      <c r="G756" s="347"/>
      <c r="H756" s="347"/>
      <c r="I756" s="347"/>
      <c r="J756" s="347"/>
      <c r="K756" s="347"/>
      <c r="L756" s="347"/>
      <c r="M756" s="347"/>
      <c r="N756" s="347"/>
      <c r="O756" s="347"/>
      <c r="P756" s="347"/>
      <c r="Q756" s="347"/>
      <c r="R756" s="347"/>
      <c r="S756" s="347"/>
      <c r="T756" s="347"/>
      <c r="U756" s="340"/>
      <c r="V756" s="340"/>
      <c r="W756" s="341"/>
      <c r="X756" s="341"/>
      <c r="Y756" s="341"/>
      <c r="Z756" s="341"/>
      <c r="AA756" s="389"/>
      <c r="AB756" s="389"/>
      <c r="AC756" s="343"/>
      <c r="AD756" s="343"/>
      <c r="AE756" s="343"/>
      <c r="AF756" s="276"/>
    </row>
    <row r="757" customFormat="false" ht="15.75" hidden="false" customHeight="true" outlineLevel="0" collapsed="false">
      <c r="A757" s="276"/>
      <c r="B757" s="276"/>
      <c r="C757" s="345"/>
      <c r="D757" s="346"/>
      <c r="E757" s="346"/>
      <c r="F757" s="339"/>
      <c r="G757" s="347"/>
      <c r="H757" s="347"/>
      <c r="I757" s="347"/>
      <c r="J757" s="347"/>
      <c r="K757" s="347"/>
      <c r="L757" s="347"/>
      <c r="M757" s="347"/>
      <c r="N757" s="347"/>
      <c r="O757" s="347"/>
      <c r="P757" s="347"/>
      <c r="Q757" s="347"/>
      <c r="R757" s="347"/>
      <c r="S757" s="347"/>
      <c r="T757" s="347"/>
      <c r="U757" s="340"/>
      <c r="V757" s="340"/>
      <c r="W757" s="341"/>
      <c r="X757" s="341"/>
      <c r="Y757" s="341"/>
      <c r="Z757" s="341"/>
      <c r="AA757" s="389"/>
      <c r="AB757" s="389"/>
      <c r="AC757" s="343"/>
      <c r="AD757" s="343"/>
      <c r="AE757" s="343"/>
      <c r="AF757" s="276"/>
    </row>
    <row r="758" customFormat="false" ht="15.75" hidden="false" customHeight="true" outlineLevel="0" collapsed="false">
      <c r="A758" s="276"/>
      <c r="B758" s="276"/>
      <c r="C758" s="345"/>
      <c r="D758" s="346"/>
      <c r="E758" s="346"/>
      <c r="F758" s="339"/>
      <c r="G758" s="347"/>
      <c r="H758" s="347"/>
      <c r="I758" s="347"/>
      <c r="J758" s="347"/>
      <c r="K758" s="347"/>
      <c r="L758" s="347"/>
      <c r="M758" s="347"/>
      <c r="N758" s="347"/>
      <c r="O758" s="347"/>
      <c r="P758" s="347"/>
      <c r="Q758" s="347"/>
      <c r="R758" s="347"/>
      <c r="S758" s="347"/>
      <c r="T758" s="347"/>
      <c r="U758" s="340"/>
      <c r="V758" s="340"/>
      <c r="W758" s="341"/>
      <c r="X758" s="341"/>
      <c r="Y758" s="341"/>
      <c r="Z758" s="341"/>
      <c r="AA758" s="389"/>
      <c r="AB758" s="389"/>
      <c r="AC758" s="343"/>
      <c r="AD758" s="343"/>
      <c r="AE758" s="343"/>
      <c r="AF758" s="276"/>
    </row>
    <row r="759" customFormat="false" ht="15.75" hidden="false" customHeight="true" outlineLevel="0" collapsed="false">
      <c r="A759" s="276"/>
      <c r="B759" s="276"/>
      <c r="C759" s="345"/>
      <c r="D759" s="346"/>
      <c r="E759" s="346"/>
      <c r="F759" s="339"/>
      <c r="G759" s="347"/>
      <c r="H759" s="347"/>
      <c r="I759" s="347"/>
      <c r="J759" s="347"/>
      <c r="K759" s="347"/>
      <c r="L759" s="347"/>
      <c r="M759" s="347"/>
      <c r="N759" s="347"/>
      <c r="O759" s="347"/>
      <c r="P759" s="347"/>
      <c r="Q759" s="347"/>
      <c r="R759" s="347"/>
      <c r="S759" s="347"/>
      <c r="T759" s="347"/>
      <c r="U759" s="340"/>
      <c r="V759" s="340"/>
      <c r="W759" s="341"/>
      <c r="X759" s="341"/>
      <c r="Y759" s="341"/>
      <c r="Z759" s="341"/>
      <c r="AA759" s="389"/>
      <c r="AB759" s="389"/>
      <c r="AC759" s="343"/>
      <c r="AD759" s="343"/>
      <c r="AE759" s="343"/>
      <c r="AF759" s="276"/>
    </row>
    <row r="760" customFormat="false" ht="15.75" hidden="false" customHeight="true" outlineLevel="0" collapsed="false">
      <c r="A760" s="276"/>
      <c r="B760" s="276"/>
      <c r="C760" s="345"/>
      <c r="D760" s="346"/>
      <c r="E760" s="346"/>
      <c r="F760" s="339"/>
      <c r="G760" s="347"/>
      <c r="H760" s="347"/>
      <c r="I760" s="347"/>
      <c r="J760" s="347"/>
      <c r="K760" s="347"/>
      <c r="L760" s="347"/>
      <c r="M760" s="347"/>
      <c r="N760" s="347"/>
      <c r="O760" s="347"/>
      <c r="P760" s="347"/>
      <c r="Q760" s="347"/>
      <c r="R760" s="347"/>
      <c r="S760" s="347"/>
      <c r="T760" s="347"/>
      <c r="U760" s="340"/>
      <c r="V760" s="340"/>
      <c r="W760" s="341"/>
      <c r="X760" s="341"/>
      <c r="Y760" s="341"/>
      <c r="Z760" s="341"/>
      <c r="AA760" s="389"/>
      <c r="AB760" s="389"/>
      <c r="AC760" s="343"/>
      <c r="AD760" s="343"/>
      <c r="AE760" s="343"/>
      <c r="AF760" s="276"/>
    </row>
    <row r="761" customFormat="false" ht="15.75" hidden="false" customHeight="true" outlineLevel="0" collapsed="false">
      <c r="A761" s="276"/>
      <c r="B761" s="276"/>
      <c r="C761" s="345"/>
      <c r="D761" s="346"/>
      <c r="E761" s="346"/>
      <c r="F761" s="339"/>
      <c r="G761" s="347"/>
      <c r="H761" s="347"/>
      <c r="I761" s="347"/>
      <c r="J761" s="347"/>
      <c r="K761" s="347"/>
      <c r="L761" s="347"/>
      <c r="M761" s="347"/>
      <c r="N761" s="347"/>
      <c r="O761" s="347"/>
      <c r="P761" s="347"/>
      <c r="Q761" s="347"/>
      <c r="R761" s="347"/>
      <c r="S761" s="347"/>
      <c r="T761" s="347"/>
      <c r="U761" s="340"/>
      <c r="V761" s="340"/>
      <c r="W761" s="341"/>
      <c r="X761" s="341"/>
      <c r="Y761" s="341"/>
      <c r="Z761" s="341"/>
      <c r="AA761" s="389"/>
      <c r="AB761" s="389"/>
      <c r="AC761" s="343"/>
      <c r="AD761" s="343"/>
      <c r="AE761" s="343"/>
      <c r="AF761" s="276"/>
    </row>
    <row r="762" customFormat="false" ht="15.75" hidden="false" customHeight="true" outlineLevel="0" collapsed="false">
      <c r="A762" s="276"/>
      <c r="B762" s="276"/>
      <c r="C762" s="344"/>
      <c r="D762" s="346"/>
      <c r="E762" s="346"/>
      <c r="F762" s="339"/>
      <c r="G762" s="347"/>
      <c r="H762" s="347"/>
      <c r="I762" s="347"/>
      <c r="J762" s="347"/>
      <c r="K762" s="347"/>
      <c r="L762" s="347"/>
      <c r="M762" s="347"/>
      <c r="N762" s="347"/>
      <c r="O762" s="347"/>
      <c r="P762" s="347"/>
      <c r="Q762" s="347"/>
      <c r="R762" s="347"/>
      <c r="S762" s="347"/>
      <c r="T762" s="347"/>
      <c r="U762" s="340"/>
      <c r="V762" s="340"/>
      <c r="W762" s="341"/>
      <c r="X762" s="341"/>
      <c r="Y762" s="341"/>
      <c r="Z762" s="341"/>
      <c r="AA762" s="389"/>
      <c r="AB762" s="389"/>
      <c r="AC762" s="343"/>
      <c r="AD762" s="343"/>
      <c r="AE762" s="343"/>
      <c r="AF762" s="276"/>
    </row>
    <row r="763" customFormat="false" ht="15.75" hidden="false" customHeight="true" outlineLevel="0" collapsed="false">
      <c r="A763" s="276"/>
      <c r="B763" s="276"/>
      <c r="C763" s="344"/>
      <c r="D763" s="346"/>
      <c r="E763" s="346"/>
      <c r="F763" s="339"/>
      <c r="G763" s="347"/>
      <c r="H763" s="347"/>
      <c r="I763" s="347"/>
      <c r="J763" s="347"/>
      <c r="K763" s="347"/>
      <c r="L763" s="347"/>
      <c r="M763" s="347"/>
      <c r="N763" s="347"/>
      <c r="O763" s="347"/>
      <c r="P763" s="347"/>
      <c r="Q763" s="347"/>
      <c r="R763" s="347"/>
      <c r="S763" s="347"/>
      <c r="T763" s="347"/>
      <c r="U763" s="340"/>
      <c r="V763" s="340"/>
      <c r="W763" s="341"/>
      <c r="X763" s="341"/>
      <c r="Y763" s="341"/>
      <c r="Z763" s="341"/>
      <c r="AA763" s="389"/>
      <c r="AB763" s="389"/>
      <c r="AC763" s="343"/>
      <c r="AD763" s="343"/>
      <c r="AE763" s="343"/>
      <c r="AF763" s="276"/>
    </row>
    <row r="764" customFormat="false" ht="15.75" hidden="false" customHeight="true" outlineLevel="0" collapsed="false">
      <c r="A764" s="276"/>
      <c r="B764" s="276"/>
      <c r="C764" s="345"/>
      <c r="D764" s="346"/>
      <c r="E764" s="346"/>
      <c r="F764" s="339"/>
      <c r="G764" s="347"/>
      <c r="H764" s="347"/>
      <c r="I764" s="347"/>
      <c r="J764" s="347"/>
      <c r="K764" s="347"/>
      <c r="L764" s="347"/>
      <c r="M764" s="347"/>
      <c r="N764" s="347"/>
      <c r="O764" s="347"/>
      <c r="P764" s="347"/>
      <c r="Q764" s="347"/>
      <c r="R764" s="347"/>
      <c r="S764" s="347"/>
      <c r="T764" s="347"/>
      <c r="U764" s="340"/>
      <c r="V764" s="340"/>
      <c r="W764" s="341"/>
      <c r="X764" s="341"/>
      <c r="Y764" s="341"/>
      <c r="Z764" s="341"/>
      <c r="AA764" s="389"/>
      <c r="AB764" s="389"/>
      <c r="AC764" s="343"/>
      <c r="AD764" s="343"/>
      <c r="AE764" s="343"/>
      <c r="AF764" s="276"/>
    </row>
    <row r="765" customFormat="false" ht="15.75" hidden="false" customHeight="true" outlineLevel="0" collapsed="false">
      <c r="A765" s="276"/>
      <c r="B765" s="276"/>
      <c r="C765" s="345"/>
      <c r="D765" s="346"/>
      <c r="E765" s="346"/>
      <c r="F765" s="339"/>
      <c r="G765" s="347"/>
      <c r="H765" s="347"/>
      <c r="I765" s="347"/>
      <c r="J765" s="347"/>
      <c r="K765" s="347"/>
      <c r="L765" s="347"/>
      <c r="M765" s="347"/>
      <c r="N765" s="347"/>
      <c r="O765" s="347"/>
      <c r="P765" s="347"/>
      <c r="Q765" s="347"/>
      <c r="R765" s="347"/>
      <c r="S765" s="347"/>
      <c r="T765" s="347"/>
      <c r="U765" s="340"/>
      <c r="V765" s="340"/>
      <c r="W765" s="341"/>
      <c r="X765" s="341"/>
      <c r="Y765" s="341"/>
      <c r="Z765" s="341"/>
      <c r="AA765" s="389"/>
      <c r="AB765" s="389"/>
      <c r="AC765" s="343"/>
      <c r="AD765" s="343"/>
      <c r="AE765" s="343"/>
      <c r="AF765" s="276"/>
    </row>
    <row r="766" customFormat="false" ht="15.75" hidden="false" customHeight="true" outlineLevel="0" collapsed="false">
      <c r="A766" s="276"/>
      <c r="B766" s="276"/>
      <c r="C766" s="345"/>
      <c r="D766" s="346"/>
      <c r="E766" s="346"/>
      <c r="F766" s="339"/>
      <c r="G766" s="347"/>
      <c r="H766" s="347"/>
      <c r="I766" s="347"/>
      <c r="J766" s="347"/>
      <c r="K766" s="347"/>
      <c r="L766" s="347"/>
      <c r="M766" s="347"/>
      <c r="N766" s="347"/>
      <c r="O766" s="347"/>
      <c r="P766" s="347"/>
      <c r="Q766" s="347"/>
      <c r="R766" s="347"/>
      <c r="S766" s="347"/>
      <c r="T766" s="347"/>
      <c r="U766" s="340"/>
      <c r="V766" s="340"/>
      <c r="W766" s="341"/>
      <c r="X766" s="341"/>
      <c r="Y766" s="341"/>
      <c r="Z766" s="341"/>
      <c r="AA766" s="389"/>
      <c r="AB766" s="389"/>
      <c r="AC766" s="343"/>
      <c r="AD766" s="343"/>
      <c r="AE766" s="343"/>
      <c r="AF766" s="276"/>
    </row>
    <row r="767" customFormat="false" ht="15.75" hidden="false" customHeight="true" outlineLevel="0" collapsed="false">
      <c r="A767" s="276"/>
      <c r="B767" s="276"/>
      <c r="C767" s="345"/>
      <c r="D767" s="346"/>
      <c r="E767" s="346"/>
      <c r="F767" s="339"/>
      <c r="G767" s="347"/>
      <c r="H767" s="347"/>
      <c r="I767" s="347"/>
      <c r="J767" s="347"/>
      <c r="K767" s="347"/>
      <c r="L767" s="347"/>
      <c r="M767" s="347"/>
      <c r="N767" s="347"/>
      <c r="O767" s="347"/>
      <c r="P767" s="347"/>
      <c r="Q767" s="347"/>
      <c r="R767" s="347"/>
      <c r="S767" s="347"/>
      <c r="T767" s="347"/>
      <c r="U767" s="340"/>
      <c r="V767" s="340"/>
      <c r="W767" s="341"/>
      <c r="X767" s="341"/>
      <c r="Y767" s="341"/>
      <c r="Z767" s="341"/>
      <c r="AA767" s="389"/>
      <c r="AB767" s="389"/>
      <c r="AC767" s="343"/>
      <c r="AD767" s="343"/>
      <c r="AE767" s="343"/>
      <c r="AF767" s="276"/>
    </row>
    <row r="768" customFormat="false" ht="15.75" hidden="false" customHeight="true" outlineLevel="0" collapsed="false">
      <c r="A768" s="276"/>
      <c r="B768" s="276"/>
      <c r="C768" s="345"/>
      <c r="D768" s="346"/>
      <c r="E768" s="346"/>
      <c r="F768" s="339"/>
      <c r="G768" s="347"/>
      <c r="H768" s="347"/>
      <c r="I768" s="347"/>
      <c r="J768" s="347"/>
      <c r="K768" s="347"/>
      <c r="L768" s="347"/>
      <c r="M768" s="347"/>
      <c r="N768" s="347"/>
      <c r="O768" s="347"/>
      <c r="P768" s="347"/>
      <c r="Q768" s="347"/>
      <c r="R768" s="347"/>
      <c r="S768" s="347"/>
      <c r="T768" s="347"/>
      <c r="U768" s="340"/>
      <c r="V768" s="340"/>
      <c r="W768" s="341"/>
      <c r="X768" s="341"/>
      <c r="Y768" s="341"/>
      <c r="Z768" s="341"/>
      <c r="AA768" s="389"/>
      <c r="AB768" s="389"/>
      <c r="AC768" s="343"/>
      <c r="AD768" s="343"/>
      <c r="AE768" s="343"/>
      <c r="AF768" s="276"/>
    </row>
    <row r="769" customFormat="false" ht="15.75" hidden="false" customHeight="true" outlineLevel="0" collapsed="false">
      <c r="A769" s="378"/>
      <c r="B769" s="378"/>
      <c r="C769" s="348"/>
      <c r="D769" s="379"/>
      <c r="E769" s="379"/>
      <c r="F769" s="350"/>
      <c r="G769" s="380"/>
      <c r="H769" s="380"/>
      <c r="I769" s="380"/>
      <c r="J769" s="380"/>
      <c r="K769" s="380"/>
      <c r="L769" s="380"/>
      <c r="M769" s="380"/>
      <c r="N769" s="380"/>
      <c r="O769" s="380"/>
      <c r="P769" s="380"/>
      <c r="Q769" s="380"/>
      <c r="R769" s="380"/>
      <c r="S769" s="380"/>
      <c r="T769" s="380"/>
      <c r="U769" s="352"/>
      <c r="V769" s="352"/>
      <c r="W769" s="353"/>
      <c r="X769" s="353"/>
      <c r="Y769" s="353"/>
      <c r="Z769" s="353"/>
      <c r="AA769" s="390"/>
      <c r="AB769" s="390"/>
      <c r="AC769" s="355"/>
      <c r="AD769" s="355"/>
      <c r="AE769" s="355"/>
      <c r="AF769" s="276"/>
    </row>
    <row r="770" customFormat="false" ht="15.75" hidden="false" customHeight="true" outlineLevel="0" collapsed="false">
      <c r="A770" s="378"/>
      <c r="B770" s="378"/>
      <c r="C770" s="338"/>
      <c r="D770" s="382"/>
      <c r="E770" s="382"/>
      <c r="F770" s="383"/>
      <c r="G770" s="383"/>
      <c r="H770" s="383"/>
      <c r="I770" s="383"/>
      <c r="J770" s="383"/>
      <c r="K770" s="383"/>
      <c r="L770" s="383"/>
      <c r="M770" s="383"/>
      <c r="N770" s="383"/>
      <c r="O770" s="383"/>
      <c r="P770" s="383"/>
      <c r="Q770" s="383"/>
      <c r="R770" s="383"/>
      <c r="S770" s="383"/>
      <c r="T770" s="383"/>
      <c r="U770" s="384"/>
      <c r="V770" s="384"/>
      <c r="W770" s="385"/>
      <c r="X770" s="385"/>
      <c r="Y770" s="385"/>
      <c r="Z770" s="296" t="s">
        <v>25</v>
      </c>
      <c r="AA770" s="276"/>
      <c r="AB770" s="358" t="n">
        <f aca="false">SUM(AC595:AE631)+SUM(AC641:AE677)+SUM(AC687:AE723)+SUM(AC733:AE740)</f>
        <v>0</v>
      </c>
      <c r="AC770" s="358"/>
      <c r="AD770" s="358"/>
      <c r="AE770" s="358"/>
      <c r="AF770" s="386"/>
    </row>
    <row r="771" customFormat="false" ht="15.75" hidden="false" customHeight="true" outlineLevel="0" collapsed="false">
      <c r="A771" s="378"/>
      <c r="B771" s="378"/>
      <c r="C771" s="338"/>
      <c r="D771" s="382"/>
      <c r="E771" s="382"/>
      <c r="F771" s="383"/>
      <c r="G771" s="383"/>
      <c r="H771" s="383"/>
      <c r="I771" s="383"/>
      <c r="J771" s="383"/>
      <c r="K771" s="383"/>
      <c r="L771" s="383"/>
      <c r="M771" s="383"/>
      <c r="N771" s="383"/>
      <c r="O771" s="383"/>
      <c r="P771" s="383"/>
      <c r="Q771" s="383"/>
      <c r="R771" s="383"/>
      <c r="S771" s="383"/>
      <c r="T771" s="383"/>
      <c r="U771" s="384"/>
      <c r="V771" s="384"/>
      <c r="W771" s="385"/>
      <c r="X771" s="385"/>
      <c r="Y771" s="385"/>
      <c r="Z771" s="385"/>
      <c r="AA771" s="387"/>
      <c r="AB771" s="387"/>
      <c r="AC771" s="388"/>
      <c r="AD771" s="388"/>
      <c r="AE771" s="388"/>
      <c r="AF771" s="386"/>
    </row>
    <row r="772" customFormat="false" ht="15.75" hidden="false" customHeight="true" outlineLevel="0" collapsed="false">
      <c r="A772" s="364"/>
      <c r="B772" s="364"/>
      <c r="C772" s="365"/>
      <c r="D772" s="366"/>
      <c r="E772" s="366"/>
      <c r="F772" s="367"/>
      <c r="G772" s="367"/>
      <c r="H772" s="367"/>
      <c r="I772" s="367"/>
      <c r="J772" s="367"/>
      <c r="K772" s="367"/>
      <c r="L772" s="367"/>
      <c r="M772" s="367"/>
      <c r="N772" s="367"/>
      <c r="O772" s="367"/>
      <c r="P772" s="367"/>
      <c r="Q772" s="367"/>
      <c r="R772" s="367"/>
      <c r="S772" s="367"/>
      <c r="T772" s="367"/>
      <c r="U772" s="368"/>
      <c r="V772" s="368"/>
      <c r="W772" s="369"/>
      <c r="X772" s="369"/>
      <c r="Y772" s="369"/>
      <c r="Z772" s="369"/>
      <c r="AA772" s="370"/>
      <c r="AB772" s="370"/>
      <c r="AC772" s="371"/>
      <c r="AD772" s="371"/>
      <c r="AE772" s="371"/>
      <c r="AF772" s="372"/>
    </row>
  </sheetData>
  <mergeCells count="3220">
    <mergeCell ref="A1:AF2"/>
    <mergeCell ref="A3:E3"/>
    <mergeCell ref="F3:L3"/>
    <mergeCell ref="M3:Q3"/>
    <mergeCell ref="R3:X3"/>
    <mergeCell ref="AE3:AF3"/>
    <mergeCell ref="A4:E4"/>
    <mergeCell ref="F4:L4"/>
    <mergeCell ref="M4:Q4"/>
    <mergeCell ref="R4:X4"/>
    <mergeCell ref="Y4:AD4"/>
    <mergeCell ref="AE4:AF4"/>
    <mergeCell ref="A5:B5"/>
    <mergeCell ref="C5:L5"/>
    <mergeCell ref="M5:Q5"/>
    <mergeCell ref="R5:AF5"/>
    <mergeCell ref="A6:AF6"/>
    <mergeCell ref="A7:AF7"/>
    <mergeCell ref="A8:A13"/>
    <mergeCell ref="B8:AF13"/>
    <mergeCell ref="A14:AF14"/>
    <mergeCell ref="B15:AF15"/>
    <mergeCell ref="B17:AF17"/>
    <mergeCell ref="B18:AF18"/>
    <mergeCell ref="M20:P20"/>
    <mergeCell ref="B21:D21"/>
    <mergeCell ref="E21:L21"/>
    <mergeCell ref="M21:P21"/>
    <mergeCell ref="B22:D22"/>
    <mergeCell ref="E22:L22"/>
    <mergeCell ref="M22:P22"/>
    <mergeCell ref="B23:D23"/>
    <mergeCell ref="E23:L23"/>
    <mergeCell ref="M23:P23"/>
    <mergeCell ref="B24:D24"/>
    <mergeCell ref="E24:L24"/>
    <mergeCell ref="M24:P24"/>
    <mergeCell ref="B25:L25"/>
    <mergeCell ref="M25:P25"/>
    <mergeCell ref="B27:D27"/>
    <mergeCell ref="M27:P27"/>
    <mergeCell ref="B28:V28"/>
    <mergeCell ref="B30:AF32"/>
    <mergeCell ref="C34:E34"/>
    <mergeCell ref="G34:J34"/>
    <mergeCell ref="C35:E35"/>
    <mergeCell ref="G35:J35"/>
    <mergeCell ref="L35:O35"/>
    <mergeCell ref="A36:G36"/>
    <mergeCell ref="H36:K36"/>
    <mergeCell ref="M36:N36"/>
    <mergeCell ref="O36:Q36"/>
    <mergeCell ref="A37:B37"/>
    <mergeCell ref="C37:L37"/>
    <mergeCell ref="M37:Q37"/>
    <mergeCell ref="R37:AF37"/>
    <mergeCell ref="C40:E40"/>
    <mergeCell ref="C41:E42"/>
    <mergeCell ref="F41:T42"/>
    <mergeCell ref="U41:V42"/>
    <mergeCell ref="W41:X42"/>
    <mergeCell ref="Y41:Z42"/>
    <mergeCell ref="AA41:AB42"/>
    <mergeCell ref="AC41:AE42"/>
    <mergeCell ref="U43:V43"/>
    <mergeCell ref="W43:X43"/>
    <mergeCell ref="Y43:Z43"/>
    <mergeCell ref="AA43:AB43"/>
    <mergeCell ref="AC43:AE43"/>
    <mergeCell ref="U44:V44"/>
    <mergeCell ref="W44:X44"/>
    <mergeCell ref="Y44:Z44"/>
    <mergeCell ref="AA44:AB44"/>
    <mergeCell ref="AC44:AE44"/>
    <mergeCell ref="U45:V45"/>
    <mergeCell ref="W45:X45"/>
    <mergeCell ref="Y45:Z45"/>
    <mergeCell ref="AA45:AB45"/>
    <mergeCell ref="AC45:AE45"/>
    <mergeCell ref="U46:V46"/>
    <mergeCell ref="W46:X46"/>
    <mergeCell ref="Y46:Z46"/>
    <mergeCell ref="AA46:AB46"/>
    <mergeCell ref="AC46:AE46"/>
    <mergeCell ref="U47:V47"/>
    <mergeCell ref="W47:X47"/>
    <mergeCell ref="Y47:Z47"/>
    <mergeCell ref="AA47:AB47"/>
    <mergeCell ref="AC47:AE47"/>
    <mergeCell ref="U48:V48"/>
    <mergeCell ref="W48:X48"/>
    <mergeCell ref="Y48:Z48"/>
    <mergeCell ref="AA48:AB48"/>
    <mergeCell ref="AC48:AE48"/>
    <mergeCell ref="U49:V49"/>
    <mergeCell ref="W49:X49"/>
    <mergeCell ref="Y49:Z49"/>
    <mergeCell ref="AA49:AB49"/>
    <mergeCell ref="AC49:AE49"/>
    <mergeCell ref="U50:V50"/>
    <mergeCell ref="W50:X50"/>
    <mergeCell ref="Y50:Z50"/>
    <mergeCell ref="AA50:AB50"/>
    <mergeCell ref="AC50:AE50"/>
    <mergeCell ref="U51:V51"/>
    <mergeCell ref="W51:X51"/>
    <mergeCell ref="Y51:Z51"/>
    <mergeCell ref="AA51:AB51"/>
    <mergeCell ref="AC51:AE51"/>
    <mergeCell ref="U52:V52"/>
    <mergeCell ref="W52:X52"/>
    <mergeCell ref="Y52:Z52"/>
    <mergeCell ref="AA52:AB52"/>
    <mergeCell ref="AC52:AE52"/>
    <mergeCell ref="U53:V53"/>
    <mergeCell ref="W53:X53"/>
    <mergeCell ref="Y53:Z53"/>
    <mergeCell ref="AA53:AB53"/>
    <mergeCell ref="AC53:AE53"/>
    <mergeCell ref="U54:V54"/>
    <mergeCell ref="W54:X54"/>
    <mergeCell ref="Y54:Z54"/>
    <mergeCell ref="AA54:AB54"/>
    <mergeCell ref="AC54:AE54"/>
    <mergeCell ref="U55:V55"/>
    <mergeCell ref="W55:X55"/>
    <mergeCell ref="Y55:Z55"/>
    <mergeCell ref="AA55:AB55"/>
    <mergeCell ref="AC55:AE55"/>
    <mergeCell ref="U56:V56"/>
    <mergeCell ref="W56:X56"/>
    <mergeCell ref="Y56:Z56"/>
    <mergeCell ref="AA56:AB56"/>
    <mergeCell ref="AC56:AE56"/>
    <mergeCell ref="U57:V57"/>
    <mergeCell ref="W57:X57"/>
    <mergeCell ref="Y57:Z57"/>
    <mergeCell ref="AA57:AB57"/>
    <mergeCell ref="AC57:AE57"/>
    <mergeCell ref="U58:V58"/>
    <mergeCell ref="W58:X58"/>
    <mergeCell ref="Y58:Z58"/>
    <mergeCell ref="AA58:AB58"/>
    <mergeCell ref="AC58:AE58"/>
    <mergeCell ref="U59:V59"/>
    <mergeCell ref="W59:X59"/>
    <mergeCell ref="Y59:Z59"/>
    <mergeCell ref="AA59:AB59"/>
    <mergeCell ref="AC59:AE59"/>
    <mergeCell ref="U60:V60"/>
    <mergeCell ref="W60:X60"/>
    <mergeCell ref="Y60:Z60"/>
    <mergeCell ref="AA60:AB60"/>
    <mergeCell ref="AC60:AE60"/>
    <mergeCell ref="U61:V61"/>
    <mergeCell ref="W61:X61"/>
    <mergeCell ref="Y61:Z61"/>
    <mergeCell ref="AA61:AB61"/>
    <mergeCell ref="AC61:AE61"/>
    <mergeCell ref="U62:V62"/>
    <mergeCell ref="W62:X62"/>
    <mergeCell ref="Y62:Z62"/>
    <mergeCell ref="AA62:AB62"/>
    <mergeCell ref="AC62:AE62"/>
    <mergeCell ref="U63:V63"/>
    <mergeCell ref="W63:X63"/>
    <mergeCell ref="Y63:Z63"/>
    <mergeCell ref="AA63:AB63"/>
    <mergeCell ref="AC63:AE63"/>
    <mergeCell ref="U64:V64"/>
    <mergeCell ref="W64:X64"/>
    <mergeCell ref="Y64:Z64"/>
    <mergeCell ref="AA64:AB64"/>
    <mergeCell ref="AC64:AE64"/>
    <mergeCell ref="U65:V65"/>
    <mergeCell ref="W65:X65"/>
    <mergeCell ref="Y65:Z65"/>
    <mergeCell ref="AA65:AB65"/>
    <mergeCell ref="AC65:AE65"/>
    <mergeCell ref="U66:V66"/>
    <mergeCell ref="W66:X66"/>
    <mergeCell ref="Y66:Z66"/>
    <mergeCell ref="AA66:AB66"/>
    <mergeCell ref="AC66:AE66"/>
    <mergeCell ref="U67:V67"/>
    <mergeCell ref="W67:X67"/>
    <mergeCell ref="Y67:Z67"/>
    <mergeCell ref="AA67:AB67"/>
    <mergeCell ref="AC67:AE67"/>
    <mergeCell ref="U68:V68"/>
    <mergeCell ref="W68:X68"/>
    <mergeCell ref="Y68:Z68"/>
    <mergeCell ref="AA68:AB68"/>
    <mergeCell ref="AC68:AE68"/>
    <mergeCell ref="U69:V69"/>
    <mergeCell ref="W69:X69"/>
    <mergeCell ref="Y69:Z69"/>
    <mergeCell ref="AA69:AB69"/>
    <mergeCell ref="AC69:AE69"/>
    <mergeCell ref="U70:V70"/>
    <mergeCell ref="W70:X70"/>
    <mergeCell ref="Y70:Z70"/>
    <mergeCell ref="AA70:AB70"/>
    <mergeCell ref="AC70:AE70"/>
    <mergeCell ref="U71:V71"/>
    <mergeCell ref="W71:X71"/>
    <mergeCell ref="Y71:Z71"/>
    <mergeCell ref="AA71:AB71"/>
    <mergeCell ref="AC71:AE71"/>
    <mergeCell ref="U72:V72"/>
    <mergeCell ref="W72:X72"/>
    <mergeCell ref="Y72:Z72"/>
    <mergeCell ref="AA72:AB72"/>
    <mergeCell ref="AC72:AE72"/>
    <mergeCell ref="U73:V73"/>
    <mergeCell ref="W73:X73"/>
    <mergeCell ref="Y73:Z73"/>
    <mergeCell ref="AA73:AB73"/>
    <mergeCell ref="AC73:AE73"/>
    <mergeCell ref="U74:V74"/>
    <mergeCell ref="W74:X74"/>
    <mergeCell ref="Y74:Z74"/>
    <mergeCell ref="AA74:AB74"/>
    <mergeCell ref="AC74:AE74"/>
    <mergeCell ref="U75:V75"/>
    <mergeCell ref="W75:X75"/>
    <mergeCell ref="Y75:Z75"/>
    <mergeCell ref="AA75:AB75"/>
    <mergeCell ref="AC75:AE75"/>
    <mergeCell ref="U76:V76"/>
    <mergeCell ref="W76:X76"/>
    <mergeCell ref="Y76:Z76"/>
    <mergeCell ref="AA76:AB76"/>
    <mergeCell ref="AC76:AE76"/>
    <mergeCell ref="U77:V77"/>
    <mergeCell ref="W77:X77"/>
    <mergeCell ref="Y77:Z77"/>
    <mergeCell ref="AA77:AB77"/>
    <mergeCell ref="AC77:AE77"/>
    <mergeCell ref="U78:V78"/>
    <mergeCell ref="W78:X78"/>
    <mergeCell ref="Y78:Z78"/>
    <mergeCell ref="AA78:AB78"/>
    <mergeCell ref="AC78:AE78"/>
    <mergeCell ref="U79:V79"/>
    <mergeCell ref="W79:X79"/>
    <mergeCell ref="Y79:Z79"/>
    <mergeCell ref="AA79:AB79"/>
    <mergeCell ref="AC79:AE79"/>
    <mergeCell ref="AA80:AE80"/>
    <mergeCell ref="A83:B83"/>
    <mergeCell ref="C83:L83"/>
    <mergeCell ref="M83:Q83"/>
    <mergeCell ref="R83:AF83"/>
    <mergeCell ref="C86:E86"/>
    <mergeCell ref="C87:E88"/>
    <mergeCell ref="F87:T88"/>
    <mergeCell ref="U87:V88"/>
    <mergeCell ref="W87:X88"/>
    <mergeCell ref="Y87:Z88"/>
    <mergeCell ref="AA87:AB88"/>
    <mergeCell ref="AC87:AE88"/>
    <mergeCell ref="U89:V89"/>
    <mergeCell ref="W89:X89"/>
    <mergeCell ref="Y89:Z89"/>
    <mergeCell ref="AA89:AB89"/>
    <mergeCell ref="AC89:AE89"/>
    <mergeCell ref="U90:V90"/>
    <mergeCell ref="W90:X90"/>
    <mergeCell ref="Y90:Z90"/>
    <mergeCell ref="AA90:AB90"/>
    <mergeCell ref="AC90:AE90"/>
    <mergeCell ref="U91:V91"/>
    <mergeCell ref="W91:X91"/>
    <mergeCell ref="Y91:Z91"/>
    <mergeCell ref="AA91:AB91"/>
    <mergeCell ref="AC91:AE91"/>
    <mergeCell ref="U92:V92"/>
    <mergeCell ref="W92:X92"/>
    <mergeCell ref="Y92:Z92"/>
    <mergeCell ref="AA92:AB92"/>
    <mergeCell ref="AC92:AE92"/>
    <mergeCell ref="U93:V93"/>
    <mergeCell ref="W93:X93"/>
    <mergeCell ref="Y93:Z93"/>
    <mergeCell ref="AA93:AB93"/>
    <mergeCell ref="AC93:AE93"/>
    <mergeCell ref="U94:V94"/>
    <mergeCell ref="W94:X94"/>
    <mergeCell ref="Y94:Z94"/>
    <mergeCell ref="AA94:AB94"/>
    <mergeCell ref="AC94:AE94"/>
    <mergeCell ref="U95:V95"/>
    <mergeCell ref="W95:X95"/>
    <mergeCell ref="Y95:Z95"/>
    <mergeCell ref="AA95:AB95"/>
    <mergeCell ref="AC95:AE95"/>
    <mergeCell ref="U96:V96"/>
    <mergeCell ref="W96:X96"/>
    <mergeCell ref="Y96:Z96"/>
    <mergeCell ref="AA96:AB96"/>
    <mergeCell ref="AC96:AE96"/>
    <mergeCell ref="U97:V97"/>
    <mergeCell ref="W97:X97"/>
    <mergeCell ref="Y97:Z97"/>
    <mergeCell ref="AA97:AB97"/>
    <mergeCell ref="AC97:AE97"/>
    <mergeCell ref="U98:V98"/>
    <mergeCell ref="W98:X98"/>
    <mergeCell ref="Y98:Z98"/>
    <mergeCell ref="AA98:AB98"/>
    <mergeCell ref="AC98:AE98"/>
    <mergeCell ref="U99:V99"/>
    <mergeCell ref="W99:X99"/>
    <mergeCell ref="Y99:Z99"/>
    <mergeCell ref="AA99:AB99"/>
    <mergeCell ref="AC99:AE99"/>
    <mergeCell ref="U100:V100"/>
    <mergeCell ref="W100:X100"/>
    <mergeCell ref="Y100:Z100"/>
    <mergeCell ref="AA100:AB100"/>
    <mergeCell ref="AC100:AE100"/>
    <mergeCell ref="U101:V101"/>
    <mergeCell ref="W101:X101"/>
    <mergeCell ref="Y101:Z101"/>
    <mergeCell ref="AA101:AB101"/>
    <mergeCell ref="AC101:AE101"/>
    <mergeCell ref="U102:V102"/>
    <mergeCell ref="W102:X102"/>
    <mergeCell ref="Y102:Z102"/>
    <mergeCell ref="AA102:AB102"/>
    <mergeCell ref="AC102:AE102"/>
    <mergeCell ref="U103:V103"/>
    <mergeCell ref="W103:X103"/>
    <mergeCell ref="Y103:Z103"/>
    <mergeCell ref="AA103:AB103"/>
    <mergeCell ref="AC103:AE103"/>
    <mergeCell ref="U104:V104"/>
    <mergeCell ref="W104:X104"/>
    <mergeCell ref="Y104:Z104"/>
    <mergeCell ref="AA104:AB104"/>
    <mergeCell ref="AC104:AE104"/>
    <mergeCell ref="U105:V105"/>
    <mergeCell ref="W105:X105"/>
    <mergeCell ref="Y105:Z105"/>
    <mergeCell ref="AA105:AB105"/>
    <mergeCell ref="AC105:AE105"/>
    <mergeCell ref="U106:V106"/>
    <mergeCell ref="W106:X106"/>
    <mergeCell ref="Y106:Z106"/>
    <mergeCell ref="AA106:AB106"/>
    <mergeCell ref="AC106:AE106"/>
    <mergeCell ref="U107:V107"/>
    <mergeCell ref="W107:X107"/>
    <mergeCell ref="Y107:Z107"/>
    <mergeCell ref="AA107:AB107"/>
    <mergeCell ref="AC107:AE107"/>
    <mergeCell ref="U108:V108"/>
    <mergeCell ref="W108:X108"/>
    <mergeCell ref="Y108:Z108"/>
    <mergeCell ref="AA108:AB108"/>
    <mergeCell ref="AC108:AE108"/>
    <mergeCell ref="U109:V109"/>
    <mergeCell ref="W109:X109"/>
    <mergeCell ref="Y109:Z109"/>
    <mergeCell ref="AA109:AB109"/>
    <mergeCell ref="AC109:AE109"/>
    <mergeCell ref="U110:V110"/>
    <mergeCell ref="W110:X110"/>
    <mergeCell ref="Y110:Z110"/>
    <mergeCell ref="AA110:AB110"/>
    <mergeCell ref="AC110:AE110"/>
    <mergeCell ref="U111:V111"/>
    <mergeCell ref="W111:X111"/>
    <mergeCell ref="Y111:Z111"/>
    <mergeCell ref="AA111:AB111"/>
    <mergeCell ref="AC111:AE111"/>
    <mergeCell ref="U112:V112"/>
    <mergeCell ref="W112:X112"/>
    <mergeCell ref="Y112:Z112"/>
    <mergeCell ref="AA112:AB112"/>
    <mergeCell ref="AC112:AE112"/>
    <mergeCell ref="U113:V113"/>
    <mergeCell ref="W113:X113"/>
    <mergeCell ref="Y113:Z113"/>
    <mergeCell ref="AA113:AB113"/>
    <mergeCell ref="AC113:AE113"/>
    <mergeCell ref="U114:V114"/>
    <mergeCell ref="W114:X114"/>
    <mergeCell ref="Y114:Z114"/>
    <mergeCell ref="AA114:AB114"/>
    <mergeCell ref="AC114:AE114"/>
    <mergeCell ref="U115:V115"/>
    <mergeCell ref="W115:X115"/>
    <mergeCell ref="Y115:Z115"/>
    <mergeCell ref="AA115:AB115"/>
    <mergeCell ref="AC115:AE115"/>
    <mergeCell ref="U116:V116"/>
    <mergeCell ref="W116:X116"/>
    <mergeCell ref="Y116:Z116"/>
    <mergeCell ref="AA116:AB116"/>
    <mergeCell ref="AC116:AE116"/>
    <mergeCell ref="U117:V117"/>
    <mergeCell ref="W117:X117"/>
    <mergeCell ref="Y117:Z117"/>
    <mergeCell ref="AA117:AB117"/>
    <mergeCell ref="AC117:AE117"/>
    <mergeCell ref="U118:V118"/>
    <mergeCell ref="W118:X118"/>
    <mergeCell ref="Y118:Z118"/>
    <mergeCell ref="AA118:AB118"/>
    <mergeCell ref="AC118:AE118"/>
    <mergeCell ref="U119:V119"/>
    <mergeCell ref="W119:X119"/>
    <mergeCell ref="Y119:Z119"/>
    <mergeCell ref="AA119:AB119"/>
    <mergeCell ref="AC119:AE119"/>
    <mergeCell ref="U120:V120"/>
    <mergeCell ref="W120:X120"/>
    <mergeCell ref="Y120:Z120"/>
    <mergeCell ref="AA120:AB120"/>
    <mergeCell ref="AC120:AE120"/>
    <mergeCell ref="U121:V121"/>
    <mergeCell ref="W121:X121"/>
    <mergeCell ref="Y121:Z121"/>
    <mergeCell ref="AA121:AB121"/>
    <mergeCell ref="AC121:AE121"/>
    <mergeCell ref="U122:V122"/>
    <mergeCell ref="W122:X122"/>
    <mergeCell ref="Y122:Z122"/>
    <mergeCell ref="AA122:AB122"/>
    <mergeCell ref="AC122:AE122"/>
    <mergeCell ref="U123:V123"/>
    <mergeCell ref="W123:X123"/>
    <mergeCell ref="Y123:Z123"/>
    <mergeCell ref="AA123:AB123"/>
    <mergeCell ref="AC123:AE123"/>
    <mergeCell ref="U124:V124"/>
    <mergeCell ref="W124:X124"/>
    <mergeCell ref="Y124:Z124"/>
    <mergeCell ref="AA124:AB124"/>
    <mergeCell ref="AC124:AE124"/>
    <mergeCell ref="U125:V125"/>
    <mergeCell ref="W125:X125"/>
    <mergeCell ref="Y125:Z125"/>
    <mergeCell ref="AA125:AB125"/>
    <mergeCell ref="AC125:AE125"/>
    <mergeCell ref="AA126:AE126"/>
    <mergeCell ref="A129:B129"/>
    <mergeCell ref="C129:L129"/>
    <mergeCell ref="M129:Q129"/>
    <mergeCell ref="R129:AF129"/>
    <mergeCell ref="C132:E132"/>
    <mergeCell ref="C133:E134"/>
    <mergeCell ref="F133:T134"/>
    <mergeCell ref="U133:V134"/>
    <mergeCell ref="W133:X134"/>
    <mergeCell ref="Y133:Z134"/>
    <mergeCell ref="AA133:AB134"/>
    <mergeCell ref="AC133:AE134"/>
    <mergeCell ref="U135:V135"/>
    <mergeCell ref="W135:X135"/>
    <mergeCell ref="Y135:Z135"/>
    <mergeCell ref="AA135:AB135"/>
    <mergeCell ref="AC135:AE135"/>
    <mergeCell ref="U136:V136"/>
    <mergeCell ref="W136:X136"/>
    <mergeCell ref="Y136:Z136"/>
    <mergeCell ref="AA136:AB136"/>
    <mergeCell ref="AC136:AE136"/>
    <mergeCell ref="U137:V137"/>
    <mergeCell ref="W137:X137"/>
    <mergeCell ref="Y137:Z137"/>
    <mergeCell ref="AA137:AB137"/>
    <mergeCell ref="AC137:AE137"/>
    <mergeCell ref="U138:V138"/>
    <mergeCell ref="W138:X138"/>
    <mergeCell ref="Y138:Z138"/>
    <mergeCell ref="AA138:AB138"/>
    <mergeCell ref="AC138:AE138"/>
    <mergeCell ref="U139:V139"/>
    <mergeCell ref="W139:X139"/>
    <mergeCell ref="Y139:Z139"/>
    <mergeCell ref="AA139:AB139"/>
    <mergeCell ref="AC139:AE139"/>
    <mergeCell ref="U140:V140"/>
    <mergeCell ref="W140:X140"/>
    <mergeCell ref="Y140:Z140"/>
    <mergeCell ref="AA140:AB140"/>
    <mergeCell ref="AC140:AE140"/>
    <mergeCell ref="U141:V141"/>
    <mergeCell ref="W141:X141"/>
    <mergeCell ref="Y141:Z141"/>
    <mergeCell ref="AA141:AB141"/>
    <mergeCell ref="AC141:AE141"/>
    <mergeCell ref="U142:V142"/>
    <mergeCell ref="W142:X142"/>
    <mergeCell ref="Y142:Z142"/>
    <mergeCell ref="AA142:AB142"/>
    <mergeCell ref="AC142:AE142"/>
    <mergeCell ref="U143:V143"/>
    <mergeCell ref="W143:X143"/>
    <mergeCell ref="Y143:Z143"/>
    <mergeCell ref="AA143:AB143"/>
    <mergeCell ref="AC143:AE143"/>
    <mergeCell ref="U144:V144"/>
    <mergeCell ref="W144:X144"/>
    <mergeCell ref="Y144:Z144"/>
    <mergeCell ref="AA144:AB144"/>
    <mergeCell ref="AC144:AE144"/>
    <mergeCell ref="U145:V145"/>
    <mergeCell ref="W145:X145"/>
    <mergeCell ref="Y145:Z145"/>
    <mergeCell ref="AA145:AB145"/>
    <mergeCell ref="AC145:AE145"/>
    <mergeCell ref="U146:V146"/>
    <mergeCell ref="W146:X146"/>
    <mergeCell ref="Y146:Z146"/>
    <mergeCell ref="AA146:AB146"/>
    <mergeCell ref="AC146:AE146"/>
    <mergeCell ref="U147:V147"/>
    <mergeCell ref="W147:X147"/>
    <mergeCell ref="Y147:Z147"/>
    <mergeCell ref="AA147:AB147"/>
    <mergeCell ref="AC147:AE147"/>
    <mergeCell ref="U148:V148"/>
    <mergeCell ref="W148:X148"/>
    <mergeCell ref="Y148:Z148"/>
    <mergeCell ref="AA148:AB148"/>
    <mergeCell ref="AC148:AE148"/>
    <mergeCell ref="U149:V149"/>
    <mergeCell ref="W149:X149"/>
    <mergeCell ref="Y149:Z149"/>
    <mergeCell ref="AA149:AB149"/>
    <mergeCell ref="AC149:AE149"/>
    <mergeCell ref="U150:V150"/>
    <mergeCell ref="W150:X150"/>
    <mergeCell ref="Y150:Z150"/>
    <mergeCell ref="AA150:AB150"/>
    <mergeCell ref="AC150:AE150"/>
    <mergeCell ref="U151:V151"/>
    <mergeCell ref="W151:X151"/>
    <mergeCell ref="Y151:Z151"/>
    <mergeCell ref="AA151:AB151"/>
    <mergeCell ref="AC151:AE151"/>
    <mergeCell ref="U152:V152"/>
    <mergeCell ref="W152:X152"/>
    <mergeCell ref="Y152:Z152"/>
    <mergeCell ref="AA152:AB152"/>
    <mergeCell ref="AC152:AE152"/>
    <mergeCell ref="U153:V153"/>
    <mergeCell ref="W153:X153"/>
    <mergeCell ref="Y153:Z153"/>
    <mergeCell ref="AA153:AB153"/>
    <mergeCell ref="AC153:AE153"/>
    <mergeCell ref="U154:V154"/>
    <mergeCell ref="W154:X154"/>
    <mergeCell ref="Y154:Z154"/>
    <mergeCell ref="AA154:AB154"/>
    <mergeCell ref="AC154:AE154"/>
    <mergeCell ref="U155:V155"/>
    <mergeCell ref="W155:X155"/>
    <mergeCell ref="Y155:Z155"/>
    <mergeCell ref="AA155:AB155"/>
    <mergeCell ref="AC155:AE155"/>
    <mergeCell ref="U156:V156"/>
    <mergeCell ref="W156:X156"/>
    <mergeCell ref="Y156:Z156"/>
    <mergeCell ref="AA156:AB156"/>
    <mergeCell ref="AC156:AE156"/>
    <mergeCell ref="U157:V157"/>
    <mergeCell ref="W157:X157"/>
    <mergeCell ref="Y157:Z157"/>
    <mergeCell ref="AA157:AB157"/>
    <mergeCell ref="AC157:AE157"/>
    <mergeCell ref="U158:V158"/>
    <mergeCell ref="W158:X158"/>
    <mergeCell ref="Y158:Z158"/>
    <mergeCell ref="AA158:AB158"/>
    <mergeCell ref="AC158:AE158"/>
    <mergeCell ref="U159:V159"/>
    <mergeCell ref="W159:X159"/>
    <mergeCell ref="Y159:Z159"/>
    <mergeCell ref="AA159:AB159"/>
    <mergeCell ref="AC159:AE159"/>
    <mergeCell ref="U160:V160"/>
    <mergeCell ref="W160:X160"/>
    <mergeCell ref="Y160:Z160"/>
    <mergeCell ref="AA160:AB160"/>
    <mergeCell ref="AC160:AE160"/>
    <mergeCell ref="U161:V161"/>
    <mergeCell ref="W161:X161"/>
    <mergeCell ref="Y161:Z161"/>
    <mergeCell ref="AA161:AB161"/>
    <mergeCell ref="AC161:AE161"/>
    <mergeCell ref="U162:V162"/>
    <mergeCell ref="W162:X162"/>
    <mergeCell ref="Y162:Z162"/>
    <mergeCell ref="AA162:AB162"/>
    <mergeCell ref="AC162:AE162"/>
    <mergeCell ref="U163:V163"/>
    <mergeCell ref="W163:X163"/>
    <mergeCell ref="Y163:Z163"/>
    <mergeCell ref="AA163:AB163"/>
    <mergeCell ref="AC163:AE163"/>
    <mergeCell ref="U164:V164"/>
    <mergeCell ref="W164:X164"/>
    <mergeCell ref="Y164:Z164"/>
    <mergeCell ref="AA164:AB164"/>
    <mergeCell ref="AC164:AE164"/>
    <mergeCell ref="U165:V165"/>
    <mergeCell ref="W165:X165"/>
    <mergeCell ref="Y165:Z165"/>
    <mergeCell ref="AA165:AB165"/>
    <mergeCell ref="AC165:AE165"/>
    <mergeCell ref="U166:V166"/>
    <mergeCell ref="W166:X166"/>
    <mergeCell ref="Y166:Z166"/>
    <mergeCell ref="AA166:AB166"/>
    <mergeCell ref="AC166:AE166"/>
    <mergeCell ref="U167:V167"/>
    <mergeCell ref="W167:X167"/>
    <mergeCell ref="Y167:Z167"/>
    <mergeCell ref="AA167:AB167"/>
    <mergeCell ref="AC167:AE167"/>
    <mergeCell ref="U168:V168"/>
    <mergeCell ref="W168:X168"/>
    <mergeCell ref="Y168:Z168"/>
    <mergeCell ref="AA168:AB168"/>
    <mergeCell ref="AC168:AE168"/>
    <mergeCell ref="U169:V169"/>
    <mergeCell ref="W169:X169"/>
    <mergeCell ref="Y169:Z169"/>
    <mergeCell ref="AA169:AB169"/>
    <mergeCell ref="AC169:AE169"/>
    <mergeCell ref="U170:V170"/>
    <mergeCell ref="W170:X170"/>
    <mergeCell ref="Y170:Z170"/>
    <mergeCell ref="AA170:AB170"/>
    <mergeCell ref="AC170:AE170"/>
    <mergeCell ref="U171:V171"/>
    <mergeCell ref="W171:X171"/>
    <mergeCell ref="Y171:Z171"/>
    <mergeCell ref="AA171:AB171"/>
    <mergeCell ref="AC171:AE171"/>
    <mergeCell ref="AA172:AE172"/>
    <mergeCell ref="A175:B175"/>
    <mergeCell ref="C175:L175"/>
    <mergeCell ref="M175:Q175"/>
    <mergeCell ref="R175:AF175"/>
    <mergeCell ref="C178:E178"/>
    <mergeCell ref="C179:E180"/>
    <mergeCell ref="F179:T180"/>
    <mergeCell ref="U179:V180"/>
    <mergeCell ref="W179:X180"/>
    <mergeCell ref="Y179:Z180"/>
    <mergeCell ref="AA179:AB180"/>
    <mergeCell ref="AC179:AE180"/>
    <mergeCell ref="U181:V181"/>
    <mergeCell ref="W181:X181"/>
    <mergeCell ref="Y181:Z181"/>
    <mergeCell ref="AA181:AB181"/>
    <mergeCell ref="AC181:AE181"/>
    <mergeCell ref="U182:V182"/>
    <mergeCell ref="W182:X182"/>
    <mergeCell ref="Y182:Z182"/>
    <mergeCell ref="AA182:AB182"/>
    <mergeCell ref="AC182:AE182"/>
    <mergeCell ref="U183:V183"/>
    <mergeCell ref="W183:X183"/>
    <mergeCell ref="Y183:Z183"/>
    <mergeCell ref="AA183:AB183"/>
    <mergeCell ref="AC183:AE183"/>
    <mergeCell ref="U184:V184"/>
    <mergeCell ref="W184:X184"/>
    <mergeCell ref="Y184:Z184"/>
    <mergeCell ref="AA184:AB184"/>
    <mergeCell ref="AC184:AE184"/>
    <mergeCell ref="U185:V185"/>
    <mergeCell ref="W185:X185"/>
    <mergeCell ref="Y185:Z185"/>
    <mergeCell ref="AA185:AB185"/>
    <mergeCell ref="AC185:AE185"/>
    <mergeCell ref="U186:V186"/>
    <mergeCell ref="W186:X186"/>
    <mergeCell ref="Y186:Z186"/>
    <mergeCell ref="AA186:AB186"/>
    <mergeCell ref="AC186:AE186"/>
    <mergeCell ref="U187:V187"/>
    <mergeCell ref="W187:X187"/>
    <mergeCell ref="Y187:Z187"/>
    <mergeCell ref="AA187:AB187"/>
    <mergeCell ref="AC187:AE187"/>
    <mergeCell ref="U188:V188"/>
    <mergeCell ref="W188:X188"/>
    <mergeCell ref="Y188:Z188"/>
    <mergeCell ref="AA188:AB188"/>
    <mergeCell ref="AC188:AE188"/>
    <mergeCell ref="U189:V189"/>
    <mergeCell ref="W189:X189"/>
    <mergeCell ref="Y189:Z189"/>
    <mergeCell ref="AA189:AB189"/>
    <mergeCell ref="AC189:AE189"/>
    <mergeCell ref="U190:V190"/>
    <mergeCell ref="W190:X190"/>
    <mergeCell ref="Y190:Z190"/>
    <mergeCell ref="AA190:AB190"/>
    <mergeCell ref="AC190:AE190"/>
    <mergeCell ref="U191:V191"/>
    <mergeCell ref="W191:X191"/>
    <mergeCell ref="Y191:Z191"/>
    <mergeCell ref="AA191:AB191"/>
    <mergeCell ref="AC191:AE191"/>
    <mergeCell ref="U192:V192"/>
    <mergeCell ref="W192:X192"/>
    <mergeCell ref="Y192:Z192"/>
    <mergeCell ref="AA192:AB192"/>
    <mergeCell ref="AC192:AE192"/>
    <mergeCell ref="U193:V193"/>
    <mergeCell ref="W193:X193"/>
    <mergeCell ref="Y193:Z193"/>
    <mergeCell ref="AA193:AB193"/>
    <mergeCell ref="AC193:AE193"/>
    <mergeCell ref="U194:V194"/>
    <mergeCell ref="W194:X194"/>
    <mergeCell ref="Y194:Z194"/>
    <mergeCell ref="AA194:AB194"/>
    <mergeCell ref="AC194:AE194"/>
    <mergeCell ref="U195:V195"/>
    <mergeCell ref="W195:X195"/>
    <mergeCell ref="Y195:Z195"/>
    <mergeCell ref="AA195:AB195"/>
    <mergeCell ref="AC195:AE195"/>
    <mergeCell ref="U196:V196"/>
    <mergeCell ref="W196:X196"/>
    <mergeCell ref="Y196:Z196"/>
    <mergeCell ref="AA196:AB196"/>
    <mergeCell ref="AC196:AE196"/>
    <mergeCell ref="U197:V197"/>
    <mergeCell ref="W197:X197"/>
    <mergeCell ref="Y197:Z197"/>
    <mergeCell ref="AA197:AB197"/>
    <mergeCell ref="AC197:AE197"/>
    <mergeCell ref="U198:V198"/>
    <mergeCell ref="W198:X198"/>
    <mergeCell ref="Y198:Z198"/>
    <mergeCell ref="AA198:AB198"/>
    <mergeCell ref="AC198:AE198"/>
    <mergeCell ref="U199:V199"/>
    <mergeCell ref="W199:X199"/>
    <mergeCell ref="Y199:Z199"/>
    <mergeCell ref="AA199:AB199"/>
    <mergeCell ref="AC199:AE199"/>
    <mergeCell ref="U200:V200"/>
    <mergeCell ref="W200:X200"/>
    <mergeCell ref="Y200:Z200"/>
    <mergeCell ref="AA200:AB200"/>
    <mergeCell ref="AC200:AE200"/>
    <mergeCell ref="U201:V201"/>
    <mergeCell ref="W201:X201"/>
    <mergeCell ref="Y201:Z201"/>
    <mergeCell ref="AA201:AB201"/>
    <mergeCell ref="AC201:AE201"/>
    <mergeCell ref="U202:V202"/>
    <mergeCell ref="W202:X202"/>
    <mergeCell ref="Y202:Z202"/>
    <mergeCell ref="AA202:AB202"/>
    <mergeCell ref="AC202:AE202"/>
    <mergeCell ref="U203:V203"/>
    <mergeCell ref="W203:X203"/>
    <mergeCell ref="Y203:Z203"/>
    <mergeCell ref="AA203:AB203"/>
    <mergeCell ref="AC203:AE203"/>
    <mergeCell ref="U204:V204"/>
    <mergeCell ref="W204:X204"/>
    <mergeCell ref="Y204:Z204"/>
    <mergeCell ref="AA204:AB204"/>
    <mergeCell ref="AC204:AE204"/>
    <mergeCell ref="U205:V205"/>
    <mergeCell ref="W205:X205"/>
    <mergeCell ref="Y205:Z205"/>
    <mergeCell ref="AA205:AB205"/>
    <mergeCell ref="AC205:AE205"/>
    <mergeCell ref="U206:V206"/>
    <mergeCell ref="W206:X206"/>
    <mergeCell ref="Y206:Z206"/>
    <mergeCell ref="AA206:AB206"/>
    <mergeCell ref="AC206:AE206"/>
    <mergeCell ref="U207:V207"/>
    <mergeCell ref="W207:X207"/>
    <mergeCell ref="Y207:Z207"/>
    <mergeCell ref="AA207:AB207"/>
    <mergeCell ref="AC207:AE207"/>
    <mergeCell ref="U208:V208"/>
    <mergeCell ref="W208:X208"/>
    <mergeCell ref="Y208:Z208"/>
    <mergeCell ref="AA208:AB208"/>
    <mergeCell ref="AC208:AE208"/>
    <mergeCell ref="U209:V209"/>
    <mergeCell ref="W209:X209"/>
    <mergeCell ref="Y209:Z209"/>
    <mergeCell ref="AA209:AB209"/>
    <mergeCell ref="AC209:AE209"/>
    <mergeCell ref="U210:V210"/>
    <mergeCell ref="W210:X210"/>
    <mergeCell ref="Y210:Z210"/>
    <mergeCell ref="AA210:AB210"/>
    <mergeCell ref="AC210:AE210"/>
    <mergeCell ref="U211:V211"/>
    <mergeCell ref="W211:X211"/>
    <mergeCell ref="Y211:Z211"/>
    <mergeCell ref="AA211:AB211"/>
    <mergeCell ref="AC211:AE211"/>
    <mergeCell ref="U212:V212"/>
    <mergeCell ref="W212:X212"/>
    <mergeCell ref="Y212:Z212"/>
    <mergeCell ref="AA212:AB212"/>
    <mergeCell ref="AC212:AE212"/>
    <mergeCell ref="U213:V213"/>
    <mergeCell ref="W213:X213"/>
    <mergeCell ref="Y213:Z213"/>
    <mergeCell ref="AA213:AB213"/>
    <mergeCell ref="AC213:AE213"/>
    <mergeCell ref="U214:V214"/>
    <mergeCell ref="W214:X214"/>
    <mergeCell ref="Y214:Z214"/>
    <mergeCell ref="AA214:AB214"/>
    <mergeCell ref="AC214:AE214"/>
    <mergeCell ref="U215:V215"/>
    <mergeCell ref="W215:X215"/>
    <mergeCell ref="Y215:Z215"/>
    <mergeCell ref="AA215:AB215"/>
    <mergeCell ref="AC215:AE215"/>
    <mergeCell ref="U216:V216"/>
    <mergeCell ref="W216:X216"/>
    <mergeCell ref="Y216:Z216"/>
    <mergeCell ref="AA216:AB216"/>
    <mergeCell ref="AC216:AE216"/>
    <mergeCell ref="U217:V217"/>
    <mergeCell ref="W217:X217"/>
    <mergeCell ref="Y217:Z217"/>
    <mergeCell ref="AA217:AB217"/>
    <mergeCell ref="AC217:AE217"/>
    <mergeCell ref="AB218:AE218"/>
    <mergeCell ref="A221:B221"/>
    <mergeCell ref="C221:L221"/>
    <mergeCell ref="M221:Q221"/>
    <mergeCell ref="R221:AF221"/>
    <mergeCell ref="C224:E224"/>
    <mergeCell ref="C225:E226"/>
    <mergeCell ref="F225:T226"/>
    <mergeCell ref="U225:V226"/>
    <mergeCell ref="W225:X226"/>
    <mergeCell ref="Y225:Z226"/>
    <mergeCell ref="AA225:AB226"/>
    <mergeCell ref="AC225:AE226"/>
    <mergeCell ref="U227:V227"/>
    <mergeCell ref="W227:X227"/>
    <mergeCell ref="Y227:Z227"/>
    <mergeCell ref="AA227:AB227"/>
    <mergeCell ref="AC227:AE227"/>
    <mergeCell ref="U228:V228"/>
    <mergeCell ref="W228:X228"/>
    <mergeCell ref="Y228:Z228"/>
    <mergeCell ref="AA228:AB228"/>
    <mergeCell ref="AC228:AE228"/>
    <mergeCell ref="U229:V229"/>
    <mergeCell ref="W229:X229"/>
    <mergeCell ref="Y229:Z229"/>
    <mergeCell ref="AA229:AB229"/>
    <mergeCell ref="AC229:AE229"/>
    <mergeCell ref="U230:V230"/>
    <mergeCell ref="W230:X230"/>
    <mergeCell ref="Y230:Z230"/>
    <mergeCell ref="AA230:AB230"/>
    <mergeCell ref="AC230:AE230"/>
    <mergeCell ref="U231:V231"/>
    <mergeCell ref="W231:X231"/>
    <mergeCell ref="Y231:Z231"/>
    <mergeCell ref="AA231:AB231"/>
    <mergeCell ref="AC231:AE231"/>
    <mergeCell ref="U232:V232"/>
    <mergeCell ref="W232:X232"/>
    <mergeCell ref="Y232:Z232"/>
    <mergeCell ref="AA232:AB232"/>
    <mergeCell ref="AC232:AE232"/>
    <mergeCell ref="U233:V233"/>
    <mergeCell ref="W233:X233"/>
    <mergeCell ref="Y233:Z233"/>
    <mergeCell ref="AA233:AB233"/>
    <mergeCell ref="AC233:AE233"/>
    <mergeCell ref="U234:V234"/>
    <mergeCell ref="W234:X234"/>
    <mergeCell ref="Y234:Z234"/>
    <mergeCell ref="AA234:AB234"/>
    <mergeCell ref="AC234:AE234"/>
    <mergeCell ref="U235:V235"/>
    <mergeCell ref="W235:X235"/>
    <mergeCell ref="Y235:Z235"/>
    <mergeCell ref="AA235:AB235"/>
    <mergeCell ref="AC235:AE235"/>
    <mergeCell ref="U236:V236"/>
    <mergeCell ref="W236:X236"/>
    <mergeCell ref="Y236:Z236"/>
    <mergeCell ref="AA236:AB236"/>
    <mergeCell ref="AC236:AE236"/>
    <mergeCell ref="U237:V237"/>
    <mergeCell ref="W237:X237"/>
    <mergeCell ref="Y237:Z237"/>
    <mergeCell ref="AA237:AB237"/>
    <mergeCell ref="AC237:AE237"/>
    <mergeCell ref="U238:V238"/>
    <mergeCell ref="W238:X238"/>
    <mergeCell ref="Y238:Z238"/>
    <mergeCell ref="AA238:AB238"/>
    <mergeCell ref="AC238:AE238"/>
    <mergeCell ref="U239:V239"/>
    <mergeCell ref="W239:X239"/>
    <mergeCell ref="Y239:Z239"/>
    <mergeCell ref="AA239:AB239"/>
    <mergeCell ref="AC239:AE239"/>
    <mergeCell ref="U240:V240"/>
    <mergeCell ref="W240:X240"/>
    <mergeCell ref="Y240:Z240"/>
    <mergeCell ref="AA240:AB240"/>
    <mergeCell ref="AC240:AE240"/>
    <mergeCell ref="U241:V241"/>
    <mergeCell ref="W241:X241"/>
    <mergeCell ref="Y241:Z241"/>
    <mergeCell ref="AA241:AB241"/>
    <mergeCell ref="AC241:AE241"/>
    <mergeCell ref="U242:V242"/>
    <mergeCell ref="W242:X242"/>
    <mergeCell ref="Y242:Z242"/>
    <mergeCell ref="AA242:AB242"/>
    <mergeCell ref="AC242:AE242"/>
    <mergeCell ref="U243:V243"/>
    <mergeCell ref="W243:X243"/>
    <mergeCell ref="Y243:Z243"/>
    <mergeCell ref="AA243:AB243"/>
    <mergeCell ref="AC243:AE243"/>
    <mergeCell ref="U244:V244"/>
    <mergeCell ref="W244:X244"/>
    <mergeCell ref="Y244:Z244"/>
    <mergeCell ref="AA244:AB244"/>
    <mergeCell ref="AC244:AE244"/>
    <mergeCell ref="U245:V245"/>
    <mergeCell ref="W245:X245"/>
    <mergeCell ref="Y245:Z245"/>
    <mergeCell ref="AA245:AB245"/>
    <mergeCell ref="AC245:AE245"/>
    <mergeCell ref="U246:V246"/>
    <mergeCell ref="W246:X246"/>
    <mergeCell ref="Y246:Z246"/>
    <mergeCell ref="AA246:AB246"/>
    <mergeCell ref="AC246:AE246"/>
    <mergeCell ref="U247:V247"/>
    <mergeCell ref="W247:X247"/>
    <mergeCell ref="Y247:Z247"/>
    <mergeCell ref="AA247:AB247"/>
    <mergeCell ref="AC247:AE247"/>
    <mergeCell ref="U248:V248"/>
    <mergeCell ref="W248:X248"/>
    <mergeCell ref="Y248:Z248"/>
    <mergeCell ref="AA248:AB248"/>
    <mergeCell ref="AC248:AE248"/>
    <mergeCell ref="U249:V249"/>
    <mergeCell ref="W249:X249"/>
    <mergeCell ref="Y249:Z249"/>
    <mergeCell ref="AA249:AB249"/>
    <mergeCell ref="AC249:AE249"/>
    <mergeCell ref="U250:V250"/>
    <mergeCell ref="W250:X250"/>
    <mergeCell ref="Y250:Z250"/>
    <mergeCell ref="AA250:AB250"/>
    <mergeCell ref="AC250:AE250"/>
    <mergeCell ref="U251:V251"/>
    <mergeCell ref="W251:X251"/>
    <mergeCell ref="Y251:Z251"/>
    <mergeCell ref="AA251:AB251"/>
    <mergeCell ref="AC251:AE251"/>
    <mergeCell ref="U252:V252"/>
    <mergeCell ref="W252:X252"/>
    <mergeCell ref="Y252:Z252"/>
    <mergeCell ref="AA252:AB252"/>
    <mergeCell ref="AC252:AE252"/>
    <mergeCell ref="U253:V253"/>
    <mergeCell ref="W253:X253"/>
    <mergeCell ref="Y253:Z253"/>
    <mergeCell ref="AA253:AB253"/>
    <mergeCell ref="AC253:AE253"/>
    <mergeCell ref="U254:V254"/>
    <mergeCell ref="W254:X254"/>
    <mergeCell ref="Y254:Z254"/>
    <mergeCell ref="AA254:AB254"/>
    <mergeCell ref="AC254:AE254"/>
    <mergeCell ref="U255:V255"/>
    <mergeCell ref="W255:X255"/>
    <mergeCell ref="Y255:Z255"/>
    <mergeCell ref="AA255:AB255"/>
    <mergeCell ref="AC255:AE255"/>
    <mergeCell ref="U256:V256"/>
    <mergeCell ref="W256:X256"/>
    <mergeCell ref="Y256:Z256"/>
    <mergeCell ref="AA256:AB256"/>
    <mergeCell ref="AC256:AE256"/>
    <mergeCell ref="U257:V257"/>
    <mergeCell ref="W257:X257"/>
    <mergeCell ref="Y257:Z257"/>
    <mergeCell ref="AA257:AB257"/>
    <mergeCell ref="AC257:AE257"/>
    <mergeCell ref="U258:V258"/>
    <mergeCell ref="W258:X258"/>
    <mergeCell ref="Y258:Z258"/>
    <mergeCell ref="AA258:AB258"/>
    <mergeCell ref="AC258:AE258"/>
    <mergeCell ref="U259:V259"/>
    <mergeCell ref="W259:X259"/>
    <mergeCell ref="Y259:Z259"/>
    <mergeCell ref="AA259:AB259"/>
    <mergeCell ref="AC259:AE259"/>
    <mergeCell ref="U260:V260"/>
    <mergeCell ref="W260:X260"/>
    <mergeCell ref="Y260:Z260"/>
    <mergeCell ref="AA260:AB260"/>
    <mergeCell ref="AC260:AE260"/>
    <mergeCell ref="U261:V261"/>
    <mergeCell ref="W261:X261"/>
    <mergeCell ref="Y261:Z261"/>
    <mergeCell ref="AA261:AB261"/>
    <mergeCell ref="AC261:AE261"/>
    <mergeCell ref="U262:V262"/>
    <mergeCell ref="W262:X262"/>
    <mergeCell ref="Y262:Z262"/>
    <mergeCell ref="AA262:AB262"/>
    <mergeCell ref="AC262:AE262"/>
    <mergeCell ref="U263:V263"/>
    <mergeCell ref="W263:X263"/>
    <mergeCell ref="Y263:Z263"/>
    <mergeCell ref="AA263:AB263"/>
    <mergeCell ref="AC263:AE263"/>
    <mergeCell ref="AA264:AE264"/>
    <mergeCell ref="A267:B267"/>
    <mergeCell ref="C267:L267"/>
    <mergeCell ref="M267:Q267"/>
    <mergeCell ref="R267:AF267"/>
    <mergeCell ref="C270:E270"/>
    <mergeCell ref="C271:E272"/>
    <mergeCell ref="F271:T272"/>
    <mergeCell ref="U271:V272"/>
    <mergeCell ref="W271:X272"/>
    <mergeCell ref="Y271:Z272"/>
    <mergeCell ref="AA271:AB272"/>
    <mergeCell ref="AC271:AE272"/>
    <mergeCell ref="U273:V273"/>
    <mergeCell ref="W273:X273"/>
    <mergeCell ref="Y273:Z273"/>
    <mergeCell ref="AA273:AB273"/>
    <mergeCell ref="AC273:AE273"/>
    <mergeCell ref="U274:V274"/>
    <mergeCell ref="W274:X274"/>
    <mergeCell ref="Y274:Z274"/>
    <mergeCell ref="AA274:AB274"/>
    <mergeCell ref="AC274:AE274"/>
    <mergeCell ref="U275:V275"/>
    <mergeCell ref="W275:X275"/>
    <mergeCell ref="Y275:Z275"/>
    <mergeCell ref="AA275:AB275"/>
    <mergeCell ref="AC275:AE275"/>
    <mergeCell ref="U276:V276"/>
    <mergeCell ref="W276:X276"/>
    <mergeCell ref="Y276:Z276"/>
    <mergeCell ref="AA276:AB276"/>
    <mergeCell ref="AC276:AE276"/>
    <mergeCell ref="U277:V277"/>
    <mergeCell ref="W277:X277"/>
    <mergeCell ref="Y277:Z277"/>
    <mergeCell ref="AA277:AB277"/>
    <mergeCell ref="AC277:AE277"/>
    <mergeCell ref="U278:V278"/>
    <mergeCell ref="W278:X278"/>
    <mergeCell ref="Y278:Z278"/>
    <mergeCell ref="AA278:AB278"/>
    <mergeCell ref="AC278:AE278"/>
    <mergeCell ref="U279:V279"/>
    <mergeCell ref="W279:X279"/>
    <mergeCell ref="Y279:Z279"/>
    <mergeCell ref="AA279:AB279"/>
    <mergeCell ref="AC279:AE279"/>
    <mergeCell ref="U280:V280"/>
    <mergeCell ref="W280:X280"/>
    <mergeCell ref="Y280:Z280"/>
    <mergeCell ref="AA280:AB280"/>
    <mergeCell ref="AC280:AE280"/>
    <mergeCell ref="U281:V281"/>
    <mergeCell ref="W281:X281"/>
    <mergeCell ref="Y281:Z281"/>
    <mergeCell ref="AA281:AB281"/>
    <mergeCell ref="AC281:AE281"/>
    <mergeCell ref="U282:V282"/>
    <mergeCell ref="W282:X282"/>
    <mergeCell ref="Y282:Z282"/>
    <mergeCell ref="AA282:AB282"/>
    <mergeCell ref="AC282:AE282"/>
    <mergeCell ref="U283:V283"/>
    <mergeCell ref="W283:X283"/>
    <mergeCell ref="Y283:Z283"/>
    <mergeCell ref="AA283:AB283"/>
    <mergeCell ref="AC283:AE283"/>
    <mergeCell ref="U284:V284"/>
    <mergeCell ref="W284:X284"/>
    <mergeCell ref="Y284:Z284"/>
    <mergeCell ref="AA284:AB284"/>
    <mergeCell ref="AC284:AE284"/>
    <mergeCell ref="U285:V285"/>
    <mergeCell ref="W285:X285"/>
    <mergeCell ref="Y285:Z285"/>
    <mergeCell ref="AA285:AB285"/>
    <mergeCell ref="AC285:AE285"/>
    <mergeCell ref="U286:V286"/>
    <mergeCell ref="W286:X286"/>
    <mergeCell ref="Y286:Z286"/>
    <mergeCell ref="AA286:AB286"/>
    <mergeCell ref="AC286:AE286"/>
    <mergeCell ref="U287:V287"/>
    <mergeCell ref="W287:X287"/>
    <mergeCell ref="Y287:Z287"/>
    <mergeCell ref="AA287:AB287"/>
    <mergeCell ref="AC287:AE287"/>
    <mergeCell ref="U288:V288"/>
    <mergeCell ref="W288:X288"/>
    <mergeCell ref="Y288:Z288"/>
    <mergeCell ref="AA288:AB288"/>
    <mergeCell ref="AC288:AE288"/>
    <mergeCell ref="U289:V289"/>
    <mergeCell ref="W289:X289"/>
    <mergeCell ref="Y289:Z289"/>
    <mergeCell ref="AA289:AB289"/>
    <mergeCell ref="AC289:AE289"/>
    <mergeCell ref="U290:V290"/>
    <mergeCell ref="W290:X290"/>
    <mergeCell ref="Y290:Z290"/>
    <mergeCell ref="AA290:AB290"/>
    <mergeCell ref="AC290:AE290"/>
    <mergeCell ref="U291:V291"/>
    <mergeCell ref="W291:X291"/>
    <mergeCell ref="Y291:Z291"/>
    <mergeCell ref="AA291:AB291"/>
    <mergeCell ref="AC291:AE291"/>
    <mergeCell ref="U292:V292"/>
    <mergeCell ref="W292:X292"/>
    <mergeCell ref="Y292:Z292"/>
    <mergeCell ref="AA292:AB292"/>
    <mergeCell ref="AC292:AE292"/>
    <mergeCell ref="U293:V293"/>
    <mergeCell ref="W293:X293"/>
    <mergeCell ref="Y293:Z293"/>
    <mergeCell ref="AA293:AB293"/>
    <mergeCell ref="AC293:AE293"/>
    <mergeCell ref="U294:V294"/>
    <mergeCell ref="W294:X294"/>
    <mergeCell ref="Y294:Z294"/>
    <mergeCell ref="AA294:AB294"/>
    <mergeCell ref="AC294:AE294"/>
    <mergeCell ref="U295:V295"/>
    <mergeCell ref="W295:X295"/>
    <mergeCell ref="Y295:Z295"/>
    <mergeCell ref="AA295:AB295"/>
    <mergeCell ref="AC295:AE295"/>
    <mergeCell ref="U296:V296"/>
    <mergeCell ref="W296:X296"/>
    <mergeCell ref="Y296:Z296"/>
    <mergeCell ref="AA296:AB296"/>
    <mergeCell ref="AC296:AE296"/>
    <mergeCell ref="U297:V297"/>
    <mergeCell ref="W297:X297"/>
    <mergeCell ref="Y297:Z297"/>
    <mergeCell ref="AA297:AB297"/>
    <mergeCell ref="AC297:AE297"/>
    <mergeCell ref="U298:V298"/>
    <mergeCell ref="W298:X298"/>
    <mergeCell ref="Y298:Z298"/>
    <mergeCell ref="AA298:AB298"/>
    <mergeCell ref="AC298:AE298"/>
    <mergeCell ref="U299:V299"/>
    <mergeCell ref="W299:X299"/>
    <mergeCell ref="Y299:Z299"/>
    <mergeCell ref="AA299:AB299"/>
    <mergeCell ref="AC299:AE299"/>
    <mergeCell ref="U300:V300"/>
    <mergeCell ref="W300:X300"/>
    <mergeCell ref="Y300:Z300"/>
    <mergeCell ref="AA300:AB300"/>
    <mergeCell ref="AC300:AE300"/>
    <mergeCell ref="U301:V301"/>
    <mergeCell ref="W301:X301"/>
    <mergeCell ref="Y301:Z301"/>
    <mergeCell ref="AA301:AB301"/>
    <mergeCell ref="AC301:AE301"/>
    <mergeCell ref="U302:V302"/>
    <mergeCell ref="W302:X302"/>
    <mergeCell ref="Y302:Z302"/>
    <mergeCell ref="AA302:AB302"/>
    <mergeCell ref="AC302:AE302"/>
    <mergeCell ref="U303:V303"/>
    <mergeCell ref="W303:X303"/>
    <mergeCell ref="Y303:Z303"/>
    <mergeCell ref="AA303:AB303"/>
    <mergeCell ref="AC303:AE303"/>
    <mergeCell ref="U304:V304"/>
    <mergeCell ref="W304:X304"/>
    <mergeCell ref="Y304:Z304"/>
    <mergeCell ref="AA304:AB304"/>
    <mergeCell ref="AC304:AE304"/>
    <mergeCell ref="U305:V305"/>
    <mergeCell ref="W305:X305"/>
    <mergeCell ref="Y305:Z305"/>
    <mergeCell ref="AA305:AB305"/>
    <mergeCell ref="AC305:AE305"/>
    <mergeCell ref="U306:V306"/>
    <mergeCell ref="W306:X306"/>
    <mergeCell ref="Y306:Z306"/>
    <mergeCell ref="AA306:AB306"/>
    <mergeCell ref="AC306:AE306"/>
    <mergeCell ref="U307:V307"/>
    <mergeCell ref="W307:X307"/>
    <mergeCell ref="Y307:Z307"/>
    <mergeCell ref="AA307:AB307"/>
    <mergeCell ref="AC307:AE307"/>
    <mergeCell ref="U308:V308"/>
    <mergeCell ref="W308:X308"/>
    <mergeCell ref="Y308:Z308"/>
    <mergeCell ref="AA308:AB308"/>
    <mergeCell ref="AC308:AE308"/>
    <mergeCell ref="U309:V309"/>
    <mergeCell ref="W309:X309"/>
    <mergeCell ref="Y309:Z309"/>
    <mergeCell ref="AA309:AB309"/>
    <mergeCell ref="AC309:AE309"/>
    <mergeCell ref="AA310:AE310"/>
    <mergeCell ref="A313:B313"/>
    <mergeCell ref="C313:L313"/>
    <mergeCell ref="M313:Q313"/>
    <mergeCell ref="R313:AF313"/>
    <mergeCell ref="C316:E316"/>
    <mergeCell ref="C317:E318"/>
    <mergeCell ref="F317:T318"/>
    <mergeCell ref="U317:V318"/>
    <mergeCell ref="W317:X318"/>
    <mergeCell ref="Y317:Z318"/>
    <mergeCell ref="AA317:AB318"/>
    <mergeCell ref="AC317:AE318"/>
    <mergeCell ref="U319:V319"/>
    <mergeCell ref="W319:X319"/>
    <mergeCell ref="Y319:Z319"/>
    <mergeCell ref="AA319:AB319"/>
    <mergeCell ref="AC319:AE319"/>
    <mergeCell ref="U320:V320"/>
    <mergeCell ref="W320:X320"/>
    <mergeCell ref="Y320:Z320"/>
    <mergeCell ref="AA320:AB320"/>
    <mergeCell ref="AC320:AE320"/>
    <mergeCell ref="U321:V321"/>
    <mergeCell ref="W321:X321"/>
    <mergeCell ref="Y321:Z321"/>
    <mergeCell ref="AA321:AB321"/>
    <mergeCell ref="AC321:AE321"/>
    <mergeCell ref="U322:V322"/>
    <mergeCell ref="W322:X322"/>
    <mergeCell ref="Y322:Z322"/>
    <mergeCell ref="AA322:AB322"/>
    <mergeCell ref="AC322:AE322"/>
    <mergeCell ref="U323:V323"/>
    <mergeCell ref="W323:X323"/>
    <mergeCell ref="Y323:Z323"/>
    <mergeCell ref="AA323:AB323"/>
    <mergeCell ref="AC323:AE323"/>
    <mergeCell ref="U324:V324"/>
    <mergeCell ref="W324:X324"/>
    <mergeCell ref="Y324:Z324"/>
    <mergeCell ref="AA324:AB324"/>
    <mergeCell ref="AC324:AE324"/>
    <mergeCell ref="U325:V325"/>
    <mergeCell ref="W325:X325"/>
    <mergeCell ref="Y325:Z325"/>
    <mergeCell ref="AA325:AB325"/>
    <mergeCell ref="AC325:AE325"/>
    <mergeCell ref="U326:V326"/>
    <mergeCell ref="W326:X326"/>
    <mergeCell ref="Y326:Z326"/>
    <mergeCell ref="AA326:AB326"/>
    <mergeCell ref="AC326:AE326"/>
    <mergeCell ref="U327:V327"/>
    <mergeCell ref="W327:X327"/>
    <mergeCell ref="Y327:Z327"/>
    <mergeCell ref="AA327:AB327"/>
    <mergeCell ref="AC327:AE327"/>
    <mergeCell ref="U328:V328"/>
    <mergeCell ref="W328:X328"/>
    <mergeCell ref="Y328:Z328"/>
    <mergeCell ref="AA328:AB328"/>
    <mergeCell ref="AC328:AE328"/>
    <mergeCell ref="U329:V329"/>
    <mergeCell ref="W329:X329"/>
    <mergeCell ref="Y329:Z329"/>
    <mergeCell ref="AA329:AB329"/>
    <mergeCell ref="AC329:AE329"/>
    <mergeCell ref="U330:V330"/>
    <mergeCell ref="W330:X330"/>
    <mergeCell ref="Y330:Z330"/>
    <mergeCell ref="AA330:AB330"/>
    <mergeCell ref="AC330:AE330"/>
    <mergeCell ref="U331:V331"/>
    <mergeCell ref="W331:X331"/>
    <mergeCell ref="Y331:Z331"/>
    <mergeCell ref="AA331:AB331"/>
    <mergeCell ref="AC331:AE331"/>
    <mergeCell ref="U332:V332"/>
    <mergeCell ref="W332:X332"/>
    <mergeCell ref="Y332:Z332"/>
    <mergeCell ref="AA332:AB332"/>
    <mergeCell ref="AC332:AE332"/>
    <mergeCell ref="U333:V333"/>
    <mergeCell ref="W333:X333"/>
    <mergeCell ref="Y333:Z333"/>
    <mergeCell ref="AA333:AB333"/>
    <mergeCell ref="AC333:AE333"/>
    <mergeCell ref="U334:V334"/>
    <mergeCell ref="W334:X334"/>
    <mergeCell ref="Y334:Z334"/>
    <mergeCell ref="AA334:AB334"/>
    <mergeCell ref="AC334:AE334"/>
    <mergeCell ref="U335:V335"/>
    <mergeCell ref="W335:X335"/>
    <mergeCell ref="Y335:Z335"/>
    <mergeCell ref="AA335:AB335"/>
    <mergeCell ref="AC335:AE335"/>
    <mergeCell ref="U336:V336"/>
    <mergeCell ref="W336:X336"/>
    <mergeCell ref="Y336:Z336"/>
    <mergeCell ref="AA336:AB336"/>
    <mergeCell ref="AC336:AE336"/>
    <mergeCell ref="U337:V337"/>
    <mergeCell ref="W337:X337"/>
    <mergeCell ref="Y337:Z337"/>
    <mergeCell ref="AA337:AB337"/>
    <mergeCell ref="AC337:AE337"/>
    <mergeCell ref="U338:V338"/>
    <mergeCell ref="W338:X338"/>
    <mergeCell ref="Y338:Z338"/>
    <mergeCell ref="AA338:AB338"/>
    <mergeCell ref="AC338:AE338"/>
    <mergeCell ref="U339:V339"/>
    <mergeCell ref="W339:X339"/>
    <mergeCell ref="Y339:Z339"/>
    <mergeCell ref="AA339:AB339"/>
    <mergeCell ref="AC339:AE339"/>
    <mergeCell ref="U340:V340"/>
    <mergeCell ref="W340:X340"/>
    <mergeCell ref="Y340:Z340"/>
    <mergeCell ref="AA340:AB340"/>
    <mergeCell ref="AC340:AE340"/>
    <mergeCell ref="U341:V341"/>
    <mergeCell ref="W341:X341"/>
    <mergeCell ref="Y341:Z341"/>
    <mergeCell ref="AA341:AB341"/>
    <mergeCell ref="AC341:AE341"/>
    <mergeCell ref="U342:V342"/>
    <mergeCell ref="W342:X342"/>
    <mergeCell ref="Y342:Z342"/>
    <mergeCell ref="AA342:AB342"/>
    <mergeCell ref="AC342:AE342"/>
    <mergeCell ref="U343:V343"/>
    <mergeCell ref="W343:X343"/>
    <mergeCell ref="Y343:Z343"/>
    <mergeCell ref="AA343:AB343"/>
    <mergeCell ref="AC343:AE343"/>
    <mergeCell ref="U344:V344"/>
    <mergeCell ref="W344:X344"/>
    <mergeCell ref="Y344:Z344"/>
    <mergeCell ref="AA344:AB344"/>
    <mergeCell ref="AC344:AE344"/>
    <mergeCell ref="U345:V345"/>
    <mergeCell ref="W345:X345"/>
    <mergeCell ref="Y345:Z345"/>
    <mergeCell ref="AA345:AB345"/>
    <mergeCell ref="AC345:AE345"/>
    <mergeCell ref="U346:V346"/>
    <mergeCell ref="W346:X346"/>
    <mergeCell ref="Y346:Z346"/>
    <mergeCell ref="AA346:AB346"/>
    <mergeCell ref="AC346:AE346"/>
    <mergeCell ref="U347:V347"/>
    <mergeCell ref="W347:X347"/>
    <mergeCell ref="Y347:Z347"/>
    <mergeCell ref="AA347:AB347"/>
    <mergeCell ref="AC347:AE347"/>
    <mergeCell ref="U348:V348"/>
    <mergeCell ref="W348:X348"/>
    <mergeCell ref="Y348:Z348"/>
    <mergeCell ref="AA348:AB348"/>
    <mergeCell ref="AC348:AE348"/>
    <mergeCell ref="U349:V349"/>
    <mergeCell ref="W349:X349"/>
    <mergeCell ref="Y349:Z349"/>
    <mergeCell ref="AA349:AB349"/>
    <mergeCell ref="AC349:AE349"/>
    <mergeCell ref="U350:V350"/>
    <mergeCell ref="W350:X350"/>
    <mergeCell ref="Y350:Z350"/>
    <mergeCell ref="AA350:AB350"/>
    <mergeCell ref="AC350:AE350"/>
    <mergeCell ref="U351:V351"/>
    <mergeCell ref="W351:X351"/>
    <mergeCell ref="Y351:Z351"/>
    <mergeCell ref="AA351:AB351"/>
    <mergeCell ref="AC351:AE351"/>
    <mergeCell ref="U352:V352"/>
    <mergeCell ref="W352:X352"/>
    <mergeCell ref="Y352:Z352"/>
    <mergeCell ref="AA352:AB352"/>
    <mergeCell ref="AC352:AE352"/>
    <mergeCell ref="U353:V353"/>
    <mergeCell ref="W353:X353"/>
    <mergeCell ref="Y353:Z353"/>
    <mergeCell ref="AA353:AB353"/>
    <mergeCell ref="AC353:AE353"/>
    <mergeCell ref="U354:V354"/>
    <mergeCell ref="W354:X354"/>
    <mergeCell ref="Y354:Z354"/>
    <mergeCell ref="AA354:AB354"/>
    <mergeCell ref="AC354:AE354"/>
    <mergeCell ref="U355:V355"/>
    <mergeCell ref="W355:X355"/>
    <mergeCell ref="Y355:Z355"/>
    <mergeCell ref="AA355:AB355"/>
    <mergeCell ref="AC355:AE355"/>
    <mergeCell ref="AA356:AE356"/>
    <mergeCell ref="A359:B359"/>
    <mergeCell ref="C359:L359"/>
    <mergeCell ref="M359:Q359"/>
    <mergeCell ref="R359:AF359"/>
    <mergeCell ref="C362:E362"/>
    <mergeCell ref="C363:E364"/>
    <mergeCell ref="F363:T364"/>
    <mergeCell ref="U363:V364"/>
    <mergeCell ref="W363:X364"/>
    <mergeCell ref="Y363:Z364"/>
    <mergeCell ref="AA363:AB364"/>
    <mergeCell ref="AC363:AE364"/>
    <mergeCell ref="U365:V365"/>
    <mergeCell ref="W365:X365"/>
    <mergeCell ref="Y365:Z365"/>
    <mergeCell ref="AA365:AB365"/>
    <mergeCell ref="AC365:AE365"/>
    <mergeCell ref="U366:V366"/>
    <mergeCell ref="W366:X366"/>
    <mergeCell ref="Y366:Z366"/>
    <mergeCell ref="AA366:AB366"/>
    <mergeCell ref="AC366:AE366"/>
    <mergeCell ref="U367:V367"/>
    <mergeCell ref="W367:X367"/>
    <mergeCell ref="Y367:Z367"/>
    <mergeCell ref="AA367:AB367"/>
    <mergeCell ref="AC367:AE367"/>
    <mergeCell ref="U368:V368"/>
    <mergeCell ref="W368:X368"/>
    <mergeCell ref="Y368:Z368"/>
    <mergeCell ref="AA368:AB368"/>
    <mergeCell ref="AC368:AE368"/>
    <mergeCell ref="U369:V369"/>
    <mergeCell ref="W369:X369"/>
    <mergeCell ref="Y369:Z369"/>
    <mergeCell ref="AA369:AB369"/>
    <mergeCell ref="AC369:AE369"/>
    <mergeCell ref="U370:V370"/>
    <mergeCell ref="W370:X370"/>
    <mergeCell ref="Y370:Z370"/>
    <mergeCell ref="AA370:AB370"/>
    <mergeCell ref="AC370:AE370"/>
    <mergeCell ref="U371:V371"/>
    <mergeCell ref="W371:X371"/>
    <mergeCell ref="Y371:Z371"/>
    <mergeCell ref="AA371:AB371"/>
    <mergeCell ref="AC371:AE371"/>
    <mergeCell ref="U372:V372"/>
    <mergeCell ref="W372:X372"/>
    <mergeCell ref="Y372:Z372"/>
    <mergeCell ref="AA372:AB372"/>
    <mergeCell ref="AC372:AE372"/>
    <mergeCell ref="U373:V373"/>
    <mergeCell ref="W373:X373"/>
    <mergeCell ref="Y373:Z373"/>
    <mergeCell ref="AA373:AB373"/>
    <mergeCell ref="AC373:AE373"/>
    <mergeCell ref="U374:V374"/>
    <mergeCell ref="W374:X374"/>
    <mergeCell ref="Y374:Z374"/>
    <mergeCell ref="AA374:AB374"/>
    <mergeCell ref="AC374:AE374"/>
    <mergeCell ref="U375:V375"/>
    <mergeCell ref="W375:X375"/>
    <mergeCell ref="Y375:Z375"/>
    <mergeCell ref="AA375:AB375"/>
    <mergeCell ref="AC375:AE375"/>
    <mergeCell ref="U376:V376"/>
    <mergeCell ref="W376:X376"/>
    <mergeCell ref="Y376:Z376"/>
    <mergeCell ref="AA376:AB376"/>
    <mergeCell ref="AC376:AE376"/>
    <mergeCell ref="U377:V377"/>
    <mergeCell ref="W377:X377"/>
    <mergeCell ref="Y377:Z377"/>
    <mergeCell ref="AA377:AB377"/>
    <mergeCell ref="AC377:AE377"/>
    <mergeCell ref="U378:V378"/>
    <mergeCell ref="W378:X378"/>
    <mergeCell ref="Y378:Z378"/>
    <mergeCell ref="AA378:AB378"/>
    <mergeCell ref="AC378:AE378"/>
    <mergeCell ref="U379:V379"/>
    <mergeCell ref="W379:X379"/>
    <mergeCell ref="Y379:Z379"/>
    <mergeCell ref="AA379:AB379"/>
    <mergeCell ref="AC379:AE379"/>
    <mergeCell ref="U380:V380"/>
    <mergeCell ref="W380:X380"/>
    <mergeCell ref="Y380:Z380"/>
    <mergeCell ref="AA380:AB380"/>
    <mergeCell ref="AC380:AE380"/>
    <mergeCell ref="U381:V381"/>
    <mergeCell ref="W381:X381"/>
    <mergeCell ref="Y381:Z381"/>
    <mergeCell ref="AA381:AB381"/>
    <mergeCell ref="AC381:AE381"/>
    <mergeCell ref="U382:V382"/>
    <mergeCell ref="W382:X382"/>
    <mergeCell ref="Y382:Z382"/>
    <mergeCell ref="AA382:AB382"/>
    <mergeCell ref="AC382:AE382"/>
    <mergeCell ref="U383:V383"/>
    <mergeCell ref="W383:X383"/>
    <mergeCell ref="Y383:Z383"/>
    <mergeCell ref="AA383:AB383"/>
    <mergeCell ref="AC383:AE383"/>
    <mergeCell ref="U384:V384"/>
    <mergeCell ref="W384:X384"/>
    <mergeCell ref="Y384:Z384"/>
    <mergeCell ref="AA384:AB384"/>
    <mergeCell ref="AC384:AE384"/>
    <mergeCell ref="U385:V385"/>
    <mergeCell ref="W385:X385"/>
    <mergeCell ref="Y385:Z385"/>
    <mergeCell ref="AA385:AB385"/>
    <mergeCell ref="AC385:AE385"/>
    <mergeCell ref="U386:V386"/>
    <mergeCell ref="W386:X386"/>
    <mergeCell ref="Y386:Z386"/>
    <mergeCell ref="AA386:AB386"/>
    <mergeCell ref="AC386:AE386"/>
    <mergeCell ref="U387:V387"/>
    <mergeCell ref="W387:X387"/>
    <mergeCell ref="Y387:Z387"/>
    <mergeCell ref="AA387:AB387"/>
    <mergeCell ref="AC387:AE387"/>
    <mergeCell ref="U388:V388"/>
    <mergeCell ref="W388:X388"/>
    <mergeCell ref="Y388:Z388"/>
    <mergeCell ref="AA388:AB388"/>
    <mergeCell ref="AC388:AE388"/>
    <mergeCell ref="U389:V389"/>
    <mergeCell ref="W389:X389"/>
    <mergeCell ref="Y389:Z389"/>
    <mergeCell ref="AA389:AB389"/>
    <mergeCell ref="AC389:AE389"/>
    <mergeCell ref="U390:V390"/>
    <mergeCell ref="W390:X390"/>
    <mergeCell ref="Y390:Z390"/>
    <mergeCell ref="AA390:AB390"/>
    <mergeCell ref="AC390:AE390"/>
    <mergeCell ref="U391:V391"/>
    <mergeCell ref="W391:X391"/>
    <mergeCell ref="Y391:Z391"/>
    <mergeCell ref="AA391:AB391"/>
    <mergeCell ref="AC391:AE391"/>
    <mergeCell ref="U392:V392"/>
    <mergeCell ref="W392:X392"/>
    <mergeCell ref="Y392:Z392"/>
    <mergeCell ref="AA392:AB392"/>
    <mergeCell ref="AC392:AE392"/>
    <mergeCell ref="U393:V393"/>
    <mergeCell ref="W393:X393"/>
    <mergeCell ref="Y393:Z393"/>
    <mergeCell ref="AA393:AB393"/>
    <mergeCell ref="AC393:AE393"/>
    <mergeCell ref="U394:V394"/>
    <mergeCell ref="W394:X394"/>
    <mergeCell ref="Y394:Z394"/>
    <mergeCell ref="AA394:AB394"/>
    <mergeCell ref="AC394:AE394"/>
    <mergeCell ref="U395:V395"/>
    <mergeCell ref="W395:X395"/>
    <mergeCell ref="Y395:Z395"/>
    <mergeCell ref="AA395:AB395"/>
    <mergeCell ref="AC395:AE395"/>
    <mergeCell ref="U396:V396"/>
    <mergeCell ref="W396:X396"/>
    <mergeCell ref="Y396:Z396"/>
    <mergeCell ref="AA396:AB396"/>
    <mergeCell ref="AC396:AE396"/>
    <mergeCell ref="U397:V397"/>
    <mergeCell ref="W397:X397"/>
    <mergeCell ref="Y397:Z397"/>
    <mergeCell ref="AA397:AB397"/>
    <mergeCell ref="AC397:AE397"/>
    <mergeCell ref="U398:V398"/>
    <mergeCell ref="W398:X398"/>
    <mergeCell ref="Y398:Z398"/>
    <mergeCell ref="AA398:AB398"/>
    <mergeCell ref="AC398:AE398"/>
    <mergeCell ref="U399:V399"/>
    <mergeCell ref="W399:X399"/>
    <mergeCell ref="Y399:Z399"/>
    <mergeCell ref="AA399:AB399"/>
    <mergeCell ref="AC399:AE399"/>
    <mergeCell ref="U400:V400"/>
    <mergeCell ref="W400:X400"/>
    <mergeCell ref="Y400:Z400"/>
    <mergeCell ref="AA400:AB400"/>
    <mergeCell ref="AC400:AE400"/>
    <mergeCell ref="U401:V401"/>
    <mergeCell ref="W401:X401"/>
    <mergeCell ref="Y401:Z401"/>
    <mergeCell ref="AA401:AB401"/>
    <mergeCell ref="AC401:AE401"/>
    <mergeCell ref="AB402:AE402"/>
    <mergeCell ref="A405:B405"/>
    <mergeCell ref="C405:L405"/>
    <mergeCell ref="M405:Q405"/>
    <mergeCell ref="R405:AF405"/>
    <mergeCell ref="C408:E408"/>
    <mergeCell ref="C409:E410"/>
    <mergeCell ref="F409:T410"/>
    <mergeCell ref="U409:V410"/>
    <mergeCell ref="W409:X410"/>
    <mergeCell ref="Y409:Z410"/>
    <mergeCell ref="AA409:AB410"/>
    <mergeCell ref="AC409:AE410"/>
    <mergeCell ref="U411:V411"/>
    <mergeCell ref="W411:X411"/>
    <mergeCell ref="Y411:Z411"/>
    <mergeCell ref="AA411:AB411"/>
    <mergeCell ref="AC411:AE411"/>
    <mergeCell ref="U412:V412"/>
    <mergeCell ref="W412:X412"/>
    <mergeCell ref="Y412:Z412"/>
    <mergeCell ref="AA412:AB412"/>
    <mergeCell ref="AC412:AE412"/>
    <mergeCell ref="U413:V413"/>
    <mergeCell ref="W413:X413"/>
    <mergeCell ref="Y413:Z413"/>
    <mergeCell ref="AA413:AB413"/>
    <mergeCell ref="AC413:AE413"/>
    <mergeCell ref="U414:V414"/>
    <mergeCell ref="W414:X414"/>
    <mergeCell ref="Y414:Z414"/>
    <mergeCell ref="AA414:AB414"/>
    <mergeCell ref="AC414:AE414"/>
    <mergeCell ref="U415:V415"/>
    <mergeCell ref="W415:X415"/>
    <mergeCell ref="Y415:Z415"/>
    <mergeCell ref="AA415:AB415"/>
    <mergeCell ref="AC415:AE415"/>
    <mergeCell ref="U416:V416"/>
    <mergeCell ref="W416:X416"/>
    <mergeCell ref="Y416:Z416"/>
    <mergeCell ref="AA416:AB416"/>
    <mergeCell ref="AC416:AE416"/>
    <mergeCell ref="U417:V417"/>
    <mergeCell ref="W417:X417"/>
    <mergeCell ref="Y417:Z417"/>
    <mergeCell ref="AA417:AB417"/>
    <mergeCell ref="AC417:AE417"/>
    <mergeCell ref="U418:V418"/>
    <mergeCell ref="W418:X418"/>
    <mergeCell ref="Y418:Z418"/>
    <mergeCell ref="AA418:AB418"/>
    <mergeCell ref="AC418:AE418"/>
    <mergeCell ref="U419:V419"/>
    <mergeCell ref="W419:X419"/>
    <mergeCell ref="Y419:Z419"/>
    <mergeCell ref="AA419:AB419"/>
    <mergeCell ref="AC419:AE419"/>
    <mergeCell ref="U420:V420"/>
    <mergeCell ref="W420:X420"/>
    <mergeCell ref="Y420:Z420"/>
    <mergeCell ref="AA420:AB420"/>
    <mergeCell ref="AC420:AE420"/>
    <mergeCell ref="U421:V421"/>
    <mergeCell ref="W421:X421"/>
    <mergeCell ref="Y421:Z421"/>
    <mergeCell ref="AA421:AB421"/>
    <mergeCell ref="AC421:AE421"/>
    <mergeCell ref="U422:V422"/>
    <mergeCell ref="W422:X422"/>
    <mergeCell ref="Y422:Z422"/>
    <mergeCell ref="AA422:AB422"/>
    <mergeCell ref="AC422:AE422"/>
    <mergeCell ref="U423:V423"/>
    <mergeCell ref="W423:X423"/>
    <mergeCell ref="Y423:Z423"/>
    <mergeCell ref="AA423:AB423"/>
    <mergeCell ref="AC423:AE423"/>
    <mergeCell ref="U424:V424"/>
    <mergeCell ref="W424:X424"/>
    <mergeCell ref="Y424:Z424"/>
    <mergeCell ref="AA424:AB424"/>
    <mergeCell ref="AC424:AE424"/>
    <mergeCell ref="U425:V425"/>
    <mergeCell ref="W425:X425"/>
    <mergeCell ref="Y425:Z425"/>
    <mergeCell ref="AA425:AB425"/>
    <mergeCell ref="AC425:AE425"/>
    <mergeCell ref="U426:V426"/>
    <mergeCell ref="W426:X426"/>
    <mergeCell ref="Y426:Z426"/>
    <mergeCell ref="AA426:AB426"/>
    <mergeCell ref="AC426:AE426"/>
    <mergeCell ref="U427:V427"/>
    <mergeCell ref="W427:X427"/>
    <mergeCell ref="Y427:Z427"/>
    <mergeCell ref="AA427:AB427"/>
    <mergeCell ref="AC427:AE427"/>
    <mergeCell ref="U428:V428"/>
    <mergeCell ref="W428:X428"/>
    <mergeCell ref="Y428:Z428"/>
    <mergeCell ref="AA428:AB428"/>
    <mergeCell ref="AC428:AE428"/>
    <mergeCell ref="U429:V429"/>
    <mergeCell ref="W429:X429"/>
    <mergeCell ref="Y429:Z429"/>
    <mergeCell ref="AA429:AB429"/>
    <mergeCell ref="AC429:AE429"/>
    <mergeCell ref="U430:V430"/>
    <mergeCell ref="W430:X430"/>
    <mergeCell ref="Y430:Z430"/>
    <mergeCell ref="AA430:AB430"/>
    <mergeCell ref="AC430:AE430"/>
    <mergeCell ref="U431:V431"/>
    <mergeCell ref="W431:X431"/>
    <mergeCell ref="Y431:Z431"/>
    <mergeCell ref="AA431:AB431"/>
    <mergeCell ref="AC431:AE431"/>
    <mergeCell ref="U432:V432"/>
    <mergeCell ref="W432:X432"/>
    <mergeCell ref="Y432:Z432"/>
    <mergeCell ref="AA432:AB432"/>
    <mergeCell ref="AC432:AE432"/>
    <mergeCell ref="U433:V433"/>
    <mergeCell ref="W433:X433"/>
    <mergeCell ref="Y433:Z433"/>
    <mergeCell ref="AA433:AB433"/>
    <mergeCell ref="AC433:AE433"/>
    <mergeCell ref="U434:V434"/>
    <mergeCell ref="W434:X434"/>
    <mergeCell ref="Y434:Z434"/>
    <mergeCell ref="AA434:AB434"/>
    <mergeCell ref="AC434:AE434"/>
    <mergeCell ref="U435:V435"/>
    <mergeCell ref="W435:X435"/>
    <mergeCell ref="Y435:Z435"/>
    <mergeCell ref="AA435:AB435"/>
    <mergeCell ref="AC435:AE435"/>
    <mergeCell ref="U436:V436"/>
    <mergeCell ref="W436:X436"/>
    <mergeCell ref="Y436:Z436"/>
    <mergeCell ref="AA436:AB436"/>
    <mergeCell ref="AC436:AE436"/>
    <mergeCell ref="U437:V437"/>
    <mergeCell ref="W437:X437"/>
    <mergeCell ref="Y437:Z437"/>
    <mergeCell ref="AA437:AB437"/>
    <mergeCell ref="AC437:AE437"/>
    <mergeCell ref="U438:V438"/>
    <mergeCell ref="W438:X438"/>
    <mergeCell ref="Y438:Z438"/>
    <mergeCell ref="AA438:AB438"/>
    <mergeCell ref="AC438:AE438"/>
    <mergeCell ref="U439:V439"/>
    <mergeCell ref="W439:X439"/>
    <mergeCell ref="Y439:Z439"/>
    <mergeCell ref="AA439:AB439"/>
    <mergeCell ref="AC439:AE439"/>
    <mergeCell ref="U440:V440"/>
    <mergeCell ref="W440:X440"/>
    <mergeCell ref="Y440:Z440"/>
    <mergeCell ref="AA440:AB440"/>
    <mergeCell ref="AC440:AE440"/>
    <mergeCell ref="U441:V441"/>
    <mergeCell ref="W441:X441"/>
    <mergeCell ref="Y441:Z441"/>
    <mergeCell ref="AA441:AB441"/>
    <mergeCell ref="AC441:AE441"/>
    <mergeCell ref="U442:V442"/>
    <mergeCell ref="W442:X442"/>
    <mergeCell ref="Y442:Z442"/>
    <mergeCell ref="AA442:AB442"/>
    <mergeCell ref="AC442:AE442"/>
    <mergeCell ref="U443:V443"/>
    <mergeCell ref="W443:X443"/>
    <mergeCell ref="Y443:Z443"/>
    <mergeCell ref="AA443:AB443"/>
    <mergeCell ref="AC443:AE443"/>
    <mergeCell ref="U444:V444"/>
    <mergeCell ref="W444:X444"/>
    <mergeCell ref="Y444:Z444"/>
    <mergeCell ref="AA444:AB444"/>
    <mergeCell ref="AC444:AE444"/>
    <mergeCell ref="U445:V445"/>
    <mergeCell ref="W445:X445"/>
    <mergeCell ref="Y445:Z445"/>
    <mergeCell ref="AA445:AB445"/>
    <mergeCell ref="AC445:AE445"/>
    <mergeCell ref="U446:V446"/>
    <mergeCell ref="W446:X446"/>
    <mergeCell ref="Y446:Z446"/>
    <mergeCell ref="AA446:AB446"/>
    <mergeCell ref="AC446:AE446"/>
    <mergeCell ref="U447:V447"/>
    <mergeCell ref="W447:X447"/>
    <mergeCell ref="Y447:Z447"/>
    <mergeCell ref="AA447:AB447"/>
    <mergeCell ref="AC447:AE447"/>
    <mergeCell ref="AA448:AE448"/>
    <mergeCell ref="A451:B451"/>
    <mergeCell ref="C451:L451"/>
    <mergeCell ref="M451:Q451"/>
    <mergeCell ref="R451:AF451"/>
    <mergeCell ref="C454:E454"/>
    <mergeCell ref="C455:E456"/>
    <mergeCell ref="F455:T456"/>
    <mergeCell ref="U455:V456"/>
    <mergeCell ref="W455:X456"/>
    <mergeCell ref="Y455:Z456"/>
    <mergeCell ref="AA455:AB456"/>
    <mergeCell ref="AC455:AE456"/>
    <mergeCell ref="U457:V457"/>
    <mergeCell ref="W457:X457"/>
    <mergeCell ref="Y457:Z457"/>
    <mergeCell ref="AA457:AB457"/>
    <mergeCell ref="AC457:AE457"/>
    <mergeCell ref="U458:V458"/>
    <mergeCell ref="W458:X458"/>
    <mergeCell ref="Y458:Z458"/>
    <mergeCell ref="AA458:AB458"/>
    <mergeCell ref="AC458:AE458"/>
    <mergeCell ref="U459:V459"/>
    <mergeCell ref="W459:X459"/>
    <mergeCell ref="Y459:Z459"/>
    <mergeCell ref="AA459:AB459"/>
    <mergeCell ref="AC459:AE459"/>
    <mergeCell ref="U460:V460"/>
    <mergeCell ref="W460:X460"/>
    <mergeCell ref="Y460:Z460"/>
    <mergeCell ref="AA460:AB460"/>
    <mergeCell ref="AC460:AE460"/>
    <mergeCell ref="U461:V461"/>
    <mergeCell ref="W461:X461"/>
    <mergeCell ref="Y461:Z461"/>
    <mergeCell ref="AA461:AB461"/>
    <mergeCell ref="AC461:AE461"/>
    <mergeCell ref="U462:V462"/>
    <mergeCell ref="W462:X462"/>
    <mergeCell ref="Y462:Z462"/>
    <mergeCell ref="AA462:AB462"/>
    <mergeCell ref="AC462:AE462"/>
    <mergeCell ref="U463:V463"/>
    <mergeCell ref="W463:X463"/>
    <mergeCell ref="Y463:Z463"/>
    <mergeCell ref="AA463:AB463"/>
    <mergeCell ref="AC463:AE463"/>
    <mergeCell ref="U464:V464"/>
    <mergeCell ref="W464:X464"/>
    <mergeCell ref="Y464:Z464"/>
    <mergeCell ref="AA464:AB464"/>
    <mergeCell ref="AC464:AE464"/>
    <mergeCell ref="U465:V465"/>
    <mergeCell ref="W465:X465"/>
    <mergeCell ref="Y465:Z465"/>
    <mergeCell ref="AA465:AB465"/>
    <mergeCell ref="AC465:AE465"/>
    <mergeCell ref="U466:V466"/>
    <mergeCell ref="W466:X466"/>
    <mergeCell ref="Y466:Z466"/>
    <mergeCell ref="AA466:AB466"/>
    <mergeCell ref="AC466:AE466"/>
    <mergeCell ref="U467:V467"/>
    <mergeCell ref="W467:X467"/>
    <mergeCell ref="Y467:Z467"/>
    <mergeCell ref="AA467:AB467"/>
    <mergeCell ref="AC467:AE467"/>
    <mergeCell ref="U468:V468"/>
    <mergeCell ref="W468:X468"/>
    <mergeCell ref="Y468:Z468"/>
    <mergeCell ref="AA468:AB468"/>
    <mergeCell ref="AC468:AE468"/>
    <mergeCell ref="U469:V469"/>
    <mergeCell ref="W469:X469"/>
    <mergeCell ref="Y469:Z469"/>
    <mergeCell ref="AA469:AB469"/>
    <mergeCell ref="AC469:AE469"/>
    <mergeCell ref="U470:V470"/>
    <mergeCell ref="W470:X470"/>
    <mergeCell ref="Y470:Z470"/>
    <mergeCell ref="AA470:AB470"/>
    <mergeCell ref="AC470:AE470"/>
    <mergeCell ref="U471:V471"/>
    <mergeCell ref="W471:X471"/>
    <mergeCell ref="Y471:Z471"/>
    <mergeCell ref="AA471:AB471"/>
    <mergeCell ref="AC471:AE471"/>
    <mergeCell ref="U472:V472"/>
    <mergeCell ref="W472:X472"/>
    <mergeCell ref="Y472:Z472"/>
    <mergeCell ref="AA472:AB472"/>
    <mergeCell ref="AC472:AE472"/>
    <mergeCell ref="U473:V473"/>
    <mergeCell ref="W473:X473"/>
    <mergeCell ref="Y473:Z473"/>
    <mergeCell ref="AA473:AB473"/>
    <mergeCell ref="AC473:AE473"/>
    <mergeCell ref="U474:V474"/>
    <mergeCell ref="W474:X474"/>
    <mergeCell ref="Y474:Z474"/>
    <mergeCell ref="AA474:AB474"/>
    <mergeCell ref="AC474:AE474"/>
    <mergeCell ref="U475:V475"/>
    <mergeCell ref="W475:X475"/>
    <mergeCell ref="Y475:Z475"/>
    <mergeCell ref="AA475:AB475"/>
    <mergeCell ref="AC475:AE475"/>
    <mergeCell ref="U476:V476"/>
    <mergeCell ref="W476:X476"/>
    <mergeCell ref="Y476:Z476"/>
    <mergeCell ref="AA476:AB476"/>
    <mergeCell ref="AC476:AE476"/>
    <mergeCell ref="U477:V477"/>
    <mergeCell ref="W477:X477"/>
    <mergeCell ref="Y477:Z477"/>
    <mergeCell ref="AA477:AB477"/>
    <mergeCell ref="AC477:AE477"/>
    <mergeCell ref="U478:V478"/>
    <mergeCell ref="W478:X478"/>
    <mergeCell ref="Y478:Z478"/>
    <mergeCell ref="AA478:AB478"/>
    <mergeCell ref="AC478:AE478"/>
    <mergeCell ref="U479:V479"/>
    <mergeCell ref="W479:X479"/>
    <mergeCell ref="Y479:Z479"/>
    <mergeCell ref="AA479:AB479"/>
    <mergeCell ref="AC479:AE479"/>
    <mergeCell ref="U480:V480"/>
    <mergeCell ref="W480:X480"/>
    <mergeCell ref="Y480:Z480"/>
    <mergeCell ref="AA480:AB480"/>
    <mergeCell ref="AC480:AE480"/>
    <mergeCell ref="U481:V481"/>
    <mergeCell ref="W481:X481"/>
    <mergeCell ref="Y481:Z481"/>
    <mergeCell ref="AA481:AB481"/>
    <mergeCell ref="AC481:AE481"/>
    <mergeCell ref="U482:V482"/>
    <mergeCell ref="W482:X482"/>
    <mergeCell ref="Y482:Z482"/>
    <mergeCell ref="AA482:AB482"/>
    <mergeCell ref="AC482:AE482"/>
    <mergeCell ref="U483:V483"/>
    <mergeCell ref="W483:X483"/>
    <mergeCell ref="Y483:Z483"/>
    <mergeCell ref="AA483:AB483"/>
    <mergeCell ref="AC483:AE483"/>
    <mergeCell ref="U484:V484"/>
    <mergeCell ref="W484:X484"/>
    <mergeCell ref="Y484:Z484"/>
    <mergeCell ref="AA484:AB484"/>
    <mergeCell ref="AC484:AE484"/>
    <mergeCell ref="U485:V485"/>
    <mergeCell ref="W485:X485"/>
    <mergeCell ref="Y485:Z485"/>
    <mergeCell ref="AA485:AB485"/>
    <mergeCell ref="AC485:AE485"/>
    <mergeCell ref="U486:V486"/>
    <mergeCell ref="W486:X486"/>
    <mergeCell ref="Y486:Z486"/>
    <mergeCell ref="AA486:AB486"/>
    <mergeCell ref="AC486:AE486"/>
    <mergeCell ref="U487:V487"/>
    <mergeCell ref="W487:X487"/>
    <mergeCell ref="Y487:Z487"/>
    <mergeCell ref="AA487:AB487"/>
    <mergeCell ref="AC487:AE487"/>
    <mergeCell ref="U488:V488"/>
    <mergeCell ref="W488:X488"/>
    <mergeCell ref="Y488:Z488"/>
    <mergeCell ref="AA488:AB488"/>
    <mergeCell ref="AC488:AE488"/>
    <mergeCell ref="U489:V489"/>
    <mergeCell ref="W489:X489"/>
    <mergeCell ref="Y489:Z489"/>
    <mergeCell ref="AA489:AB489"/>
    <mergeCell ref="AC489:AE489"/>
    <mergeCell ref="U490:V490"/>
    <mergeCell ref="W490:X490"/>
    <mergeCell ref="Y490:Z490"/>
    <mergeCell ref="AA490:AB490"/>
    <mergeCell ref="AC490:AE490"/>
    <mergeCell ref="U491:V491"/>
    <mergeCell ref="W491:X491"/>
    <mergeCell ref="Y491:Z491"/>
    <mergeCell ref="AA491:AB491"/>
    <mergeCell ref="AC491:AE491"/>
    <mergeCell ref="U492:V492"/>
    <mergeCell ref="W492:X492"/>
    <mergeCell ref="Y492:Z492"/>
    <mergeCell ref="AA492:AB492"/>
    <mergeCell ref="AC492:AE492"/>
    <mergeCell ref="U493:V493"/>
    <mergeCell ref="W493:X493"/>
    <mergeCell ref="Y493:Z493"/>
    <mergeCell ref="AA493:AB493"/>
    <mergeCell ref="AC493:AE493"/>
    <mergeCell ref="AA494:AE494"/>
    <mergeCell ref="A497:B497"/>
    <mergeCell ref="C497:L497"/>
    <mergeCell ref="M497:Q497"/>
    <mergeCell ref="R497:AF497"/>
    <mergeCell ref="C500:E500"/>
    <mergeCell ref="C501:E502"/>
    <mergeCell ref="F501:T502"/>
    <mergeCell ref="U501:V502"/>
    <mergeCell ref="W501:X502"/>
    <mergeCell ref="Y501:Z502"/>
    <mergeCell ref="AA501:AB502"/>
    <mergeCell ref="AC501:AE502"/>
    <mergeCell ref="U503:V503"/>
    <mergeCell ref="W503:X503"/>
    <mergeCell ref="Y503:Z503"/>
    <mergeCell ref="AA503:AB503"/>
    <mergeCell ref="AC503:AE503"/>
    <mergeCell ref="U504:V504"/>
    <mergeCell ref="W504:X504"/>
    <mergeCell ref="Y504:Z504"/>
    <mergeCell ref="AA504:AB504"/>
    <mergeCell ref="AC504:AE504"/>
    <mergeCell ref="U505:V505"/>
    <mergeCell ref="W505:X505"/>
    <mergeCell ref="Y505:Z505"/>
    <mergeCell ref="AA505:AB505"/>
    <mergeCell ref="AC505:AE505"/>
    <mergeCell ref="U506:V506"/>
    <mergeCell ref="W506:X506"/>
    <mergeCell ref="Y506:Z506"/>
    <mergeCell ref="AA506:AB506"/>
    <mergeCell ref="AC506:AE506"/>
    <mergeCell ref="U507:V507"/>
    <mergeCell ref="W507:X507"/>
    <mergeCell ref="Y507:Z507"/>
    <mergeCell ref="AA507:AB507"/>
    <mergeCell ref="AC507:AE507"/>
    <mergeCell ref="U508:V508"/>
    <mergeCell ref="W508:X508"/>
    <mergeCell ref="Y508:Z508"/>
    <mergeCell ref="AA508:AB508"/>
    <mergeCell ref="AC508:AE508"/>
    <mergeCell ref="U509:V509"/>
    <mergeCell ref="W509:X509"/>
    <mergeCell ref="Y509:Z509"/>
    <mergeCell ref="AA509:AB509"/>
    <mergeCell ref="AC509:AE509"/>
    <mergeCell ref="U510:V510"/>
    <mergeCell ref="W510:X510"/>
    <mergeCell ref="Y510:Z510"/>
    <mergeCell ref="AA510:AB510"/>
    <mergeCell ref="AC510:AE510"/>
    <mergeCell ref="U511:V511"/>
    <mergeCell ref="W511:X511"/>
    <mergeCell ref="Y511:Z511"/>
    <mergeCell ref="AA511:AB511"/>
    <mergeCell ref="AC511:AE511"/>
    <mergeCell ref="U512:V512"/>
    <mergeCell ref="W512:X512"/>
    <mergeCell ref="Y512:Z512"/>
    <mergeCell ref="AA512:AB512"/>
    <mergeCell ref="AC512:AE512"/>
    <mergeCell ref="U513:V513"/>
    <mergeCell ref="W513:X513"/>
    <mergeCell ref="Y513:Z513"/>
    <mergeCell ref="AA513:AB513"/>
    <mergeCell ref="AC513:AE513"/>
    <mergeCell ref="U514:V514"/>
    <mergeCell ref="W514:X514"/>
    <mergeCell ref="Y514:Z514"/>
    <mergeCell ref="AA514:AB514"/>
    <mergeCell ref="AC514:AE514"/>
    <mergeCell ref="U515:V515"/>
    <mergeCell ref="W515:X515"/>
    <mergeCell ref="Y515:Z515"/>
    <mergeCell ref="AA515:AB515"/>
    <mergeCell ref="AC515:AE515"/>
    <mergeCell ref="U516:V516"/>
    <mergeCell ref="W516:X516"/>
    <mergeCell ref="Y516:Z516"/>
    <mergeCell ref="AA516:AB516"/>
    <mergeCell ref="AC516:AE516"/>
    <mergeCell ref="U517:V517"/>
    <mergeCell ref="W517:X517"/>
    <mergeCell ref="Y517:Z517"/>
    <mergeCell ref="AA517:AB517"/>
    <mergeCell ref="AC517:AE517"/>
    <mergeCell ref="U518:V518"/>
    <mergeCell ref="W518:X518"/>
    <mergeCell ref="Y518:Z518"/>
    <mergeCell ref="AA518:AB518"/>
    <mergeCell ref="AC518:AE518"/>
    <mergeCell ref="U519:V519"/>
    <mergeCell ref="W519:X519"/>
    <mergeCell ref="Y519:Z519"/>
    <mergeCell ref="AA519:AB519"/>
    <mergeCell ref="AC519:AE519"/>
    <mergeCell ref="U520:V520"/>
    <mergeCell ref="W520:X520"/>
    <mergeCell ref="Y520:Z520"/>
    <mergeCell ref="AA520:AB520"/>
    <mergeCell ref="AC520:AE520"/>
    <mergeCell ref="U521:V521"/>
    <mergeCell ref="W521:X521"/>
    <mergeCell ref="Y521:Z521"/>
    <mergeCell ref="AA521:AB521"/>
    <mergeCell ref="AC521:AE521"/>
    <mergeCell ref="U522:V522"/>
    <mergeCell ref="W522:X522"/>
    <mergeCell ref="Y522:Z522"/>
    <mergeCell ref="AA522:AB522"/>
    <mergeCell ref="AC522:AE522"/>
    <mergeCell ref="U523:V523"/>
    <mergeCell ref="W523:X523"/>
    <mergeCell ref="Y523:Z523"/>
    <mergeCell ref="AA523:AB523"/>
    <mergeCell ref="AC523:AE523"/>
    <mergeCell ref="U524:V524"/>
    <mergeCell ref="W524:X524"/>
    <mergeCell ref="Y524:Z524"/>
    <mergeCell ref="AA524:AB524"/>
    <mergeCell ref="AC524:AE524"/>
    <mergeCell ref="U525:V525"/>
    <mergeCell ref="W525:X525"/>
    <mergeCell ref="Y525:Z525"/>
    <mergeCell ref="AA525:AB525"/>
    <mergeCell ref="AC525:AE525"/>
    <mergeCell ref="U526:V526"/>
    <mergeCell ref="W526:X526"/>
    <mergeCell ref="Y526:Z526"/>
    <mergeCell ref="AA526:AB526"/>
    <mergeCell ref="AC526:AE526"/>
    <mergeCell ref="U527:V527"/>
    <mergeCell ref="W527:X527"/>
    <mergeCell ref="Y527:Z527"/>
    <mergeCell ref="AA527:AB527"/>
    <mergeCell ref="AC527:AE527"/>
    <mergeCell ref="U528:V528"/>
    <mergeCell ref="W528:X528"/>
    <mergeCell ref="Y528:Z528"/>
    <mergeCell ref="AA528:AB528"/>
    <mergeCell ref="AC528:AE528"/>
    <mergeCell ref="U529:V529"/>
    <mergeCell ref="W529:X529"/>
    <mergeCell ref="Y529:Z529"/>
    <mergeCell ref="AA529:AB529"/>
    <mergeCell ref="AC529:AE529"/>
    <mergeCell ref="U530:V530"/>
    <mergeCell ref="W530:X530"/>
    <mergeCell ref="Y530:Z530"/>
    <mergeCell ref="AA530:AB530"/>
    <mergeCell ref="AC530:AE530"/>
    <mergeCell ref="U531:V531"/>
    <mergeCell ref="W531:X531"/>
    <mergeCell ref="Y531:Z531"/>
    <mergeCell ref="AA531:AB531"/>
    <mergeCell ref="AC531:AE531"/>
    <mergeCell ref="U532:V532"/>
    <mergeCell ref="W532:X532"/>
    <mergeCell ref="Y532:Z532"/>
    <mergeCell ref="AA532:AB532"/>
    <mergeCell ref="AC532:AE532"/>
    <mergeCell ref="U533:V533"/>
    <mergeCell ref="W533:X533"/>
    <mergeCell ref="Y533:Z533"/>
    <mergeCell ref="AA533:AB533"/>
    <mergeCell ref="AC533:AE533"/>
    <mergeCell ref="U534:V534"/>
    <mergeCell ref="W534:X534"/>
    <mergeCell ref="Y534:Z534"/>
    <mergeCell ref="AA534:AB534"/>
    <mergeCell ref="AC534:AE534"/>
    <mergeCell ref="U535:V535"/>
    <mergeCell ref="W535:X535"/>
    <mergeCell ref="Y535:Z535"/>
    <mergeCell ref="AA535:AB535"/>
    <mergeCell ref="AC535:AE535"/>
    <mergeCell ref="U536:V536"/>
    <mergeCell ref="W536:X536"/>
    <mergeCell ref="Y536:Z536"/>
    <mergeCell ref="AA536:AB536"/>
    <mergeCell ref="AC536:AE536"/>
    <mergeCell ref="U537:V537"/>
    <mergeCell ref="W537:X537"/>
    <mergeCell ref="Y537:Z537"/>
    <mergeCell ref="AA537:AB537"/>
    <mergeCell ref="AC537:AE537"/>
    <mergeCell ref="U538:V538"/>
    <mergeCell ref="W538:X538"/>
    <mergeCell ref="Y538:Z538"/>
    <mergeCell ref="AA538:AB538"/>
    <mergeCell ref="AC538:AE538"/>
    <mergeCell ref="U539:V539"/>
    <mergeCell ref="W539:X539"/>
    <mergeCell ref="Y539:Z539"/>
    <mergeCell ref="AA539:AB539"/>
    <mergeCell ref="AC539:AE539"/>
    <mergeCell ref="AA540:AE540"/>
    <mergeCell ref="A543:B543"/>
    <mergeCell ref="C543:L543"/>
    <mergeCell ref="M543:Q543"/>
    <mergeCell ref="R543:AF543"/>
    <mergeCell ref="C546:E546"/>
    <mergeCell ref="C547:E548"/>
    <mergeCell ref="F547:T548"/>
    <mergeCell ref="U547:V548"/>
    <mergeCell ref="W547:X548"/>
    <mergeCell ref="Y547:Z548"/>
    <mergeCell ref="AA547:AB548"/>
    <mergeCell ref="AC547:AE548"/>
    <mergeCell ref="U549:V549"/>
    <mergeCell ref="W549:X549"/>
    <mergeCell ref="Y549:Z549"/>
    <mergeCell ref="AA549:AB549"/>
    <mergeCell ref="AC549:AE549"/>
    <mergeCell ref="U550:V550"/>
    <mergeCell ref="W550:X550"/>
    <mergeCell ref="Y550:Z550"/>
    <mergeCell ref="AA550:AB550"/>
    <mergeCell ref="AC550:AE550"/>
    <mergeCell ref="U551:V551"/>
    <mergeCell ref="W551:X551"/>
    <mergeCell ref="Y551:Z551"/>
    <mergeCell ref="AA551:AB551"/>
    <mergeCell ref="AC551:AE551"/>
    <mergeCell ref="U552:V552"/>
    <mergeCell ref="W552:X552"/>
    <mergeCell ref="Y552:Z552"/>
    <mergeCell ref="AA552:AB552"/>
    <mergeCell ref="AC552:AE552"/>
    <mergeCell ref="U553:V553"/>
    <mergeCell ref="W553:X553"/>
    <mergeCell ref="Y553:Z553"/>
    <mergeCell ref="AA553:AB553"/>
    <mergeCell ref="AC553:AE553"/>
    <mergeCell ref="U554:V554"/>
    <mergeCell ref="W554:X554"/>
    <mergeCell ref="Y554:Z554"/>
    <mergeCell ref="AA554:AB554"/>
    <mergeCell ref="AC554:AE554"/>
    <mergeCell ref="U555:V555"/>
    <mergeCell ref="W555:X555"/>
    <mergeCell ref="Y555:Z555"/>
    <mergeCell ref="AA555:AB555"/>
    <mergeCell ref="AC555:AE555"/>
    <mergeCell ref="U556:V556"/>
    <mergeCell ref="W556:X556"/>
    <mergeCell ref="Y556:Z556"/>
    <mergeCell ref="AA556:AB556"/>
    <mergeCell ref="AC556:AE556"/>
    <mergeCell ref="U557:V557"/>
    <mergeCell ref="W557:X557"/>
    <mergeCell ref="Y557:Z557"/>
    <mergeCell ref="AA557:AB557"/>
    <mergeCell ref="AC557:AE557"/>
    <mergeCell ref="U558:V558"/>
    <mergeCell ref="W558:X558"/>
    <mergeCell ref="Y558:Z558"/>
    <mergeCell ref="AA558:AB558"/>
    <mergeCell ref="AC558:AE558"/>
    <mergeCell ref="U559:V559"/>
    <mergeCell ref="W559:X559"/>
    <mergeCell ref="Y559:Z559"/>
    <mergeCell ref="AA559:AB559"/>
    <mergeCell ref="AC559:AE559"/>
    <mergeCell ref="U560:V560"/>
    <mergeCell ref="W560:X560"/>
    <mergeCell ref="Y560:Z560"/>
    <mergeCell ref="AA560:AB560"/>
    <mergeCell ref="AC560:AE560"/>
    <mergeCell ref="U561:V561"/>
    <mergeCell ref="W561:X561"/>
    <mergeCell ref="Y561:Z561"/>
    <mergeCell ref="AA561:AB561"/>
    <mergeCell ref="AC561:AE561"/>
    <mergeCell ref="U562:V562"/>
    <mergeCell ref="W562:X562"/>
    <mergeCell ref="Y562:Z562"/>
    <mergeCell ref="AA562:AB562"/>
    <mergeCell ref="AC562:AE562"/>
    <mergeCell ref="U563:V563"/>
    <mergeCell ref="W563:X563"/>
    <mergeCell ref="Y563:Z563"/>
    <mergeCell ref="AA563:AB563"/>
    <mergeCell ref="AC563:AE563"/>
    <mergeCell ref="U564:V564"/>
    <mergeCell ref="W564:X564"/>
    <mergeCell ref="Y564:Z564"/>
    <mergeCell ref="AA564:AB564"/>
    <mergeCell ref="AC564:AE564"/>
    <mergeCell ref="U565:V565"/>
    <mergeCell ref="W565:X565"/>
    <mergeCell ref="Y565:Z565"/>
    <mergeCell ref="AA565:AB565"/>
    <mergeCell ref="AC565:AE565"/>
    <mergeCell ref="U566:V566"/>
    <mergeCell ref="W566:X566"/>
    <mergeCell ref="Y566:Z566"/>
    <mergeCell ref="AA566:AB566"/>
    <mergeCell ref="AC566:AE566"/>
    <mergeCell ref="U567:V567"/>
    <mergeCell ref="W567:X567"/>
    <mergeCell ref="Y567:Z567"/>
    <mergeCell ref="AA567:AB567"/>
    <mergeCell ref="AC567:AE567"/>
    <mergeCell ref="U568:V568"/>
    <mergeCell ref="W568:X568"/>
    <mergeCell ref="Y568:Z568"/>
    <mergeCell ref="AA568:AB568"/>
    <mergeCell ref="AC568:AE568"/>
    <mergeCell ref="U569:V569"/>
    <mergeCell ref="W569:X569"/>
    <mergeCell ref="Y569:Z569"/>
    <mergeCell ref="AA569:AB569"/>
    <mergeCell ref="AC569:AE569"/>
    <mergeCell ref="U570:V570"/>
    <mergeCell ref="W570:X570"/>
    <mergeCell ref="Y570:Z570"/>
    <mergeCell ref="AA570:AB570"/>
    <mergeCell ref="AC570:AE570"/>
    <mergeCell ref="U571:V571"/>
    <mergeCell ref="W571:X571"/>
    <mergeCell ref="Y571:Z571"/>
    <mergeCell ref="AA571:AB571"/>
    <mergeCell ref="AC571:AE571"/>
    <mergeCell ref="U572:V572"/>
    <mergeCell ref="W572:X572"/>
    <mergeCell ref="Y572:Z572"/>
    <mergeCell ref="AA572:AB572"/>
    <mergeCell ref="AC572:AE572"/>
    <mergeCell ref="U573:V573"/>
    <mergeCell ref="W573:X573"/>
    <mergeCell ref="Y573:Z573"/>
    <mergeCell ref="AA573:AB573"/>
    <mergeCell ref="AC573:AE573"/>
    <mergeCell ref="U574:V574"/>
    <mergeCell ref="W574:X574"/>
    <mergeCell ref="Y574:Z574"/>
    <mergeCell ref="AA574:AB574"/>
    <mergeCell ref="AC574:AE574"/>
    <mergeCell ref="U575:V575"/>
    <mergeCell ref="W575:X575"/>
    <mergeCell ref="Y575:Z575"/>
    <mergeCell ref="AA575:AB575"/>
    <mergeCell ref="AC575:AE575"/>
    <mergeCell ref="U576:V576"/>
    <mergeCell ref="W576:X576"/>
    <mergeCell ref="Y576:Z576"/>
    <mergeCell ref="AA576:AB576"/>
    <mergeCell ref="AC576:AE576"/>
    <mergeCell ref="U577:V577"/>
    <mergeCell ref="W577:X577"/>
    <mergeCell ref="Y577:Z577"/>
    <mergeCell ref="AA577:AB577"/>
    <mergeCell ref="AC577:AE577"/>
    <mergeCell ref="U578:V578"/>
    <mergeCell ref="W578:X578"/>
    <mergeCell ref="Y578:Z578"/>
    <mergeCell ref="AA578:AB578"/>
    <mergeCell ref="AC578:AE578"/>
    <mergeCell ref="U579:V579"/>
    <mergeCell ref="W579:X579"/>
    <mergeCell ref="Y579:Z579"/>
    <mergeCell ref="AA579:AB579"/>
    <mergeCell ref="AC579:AE579"/>
    <mergeCell ref="U580:V580"/>
    <mergeCell ref="W580:X580"/>
    <mergeCell ref="Y580:Z580"/>
    <mergeCell ref="AA580:AB580"/>
    <mergeCell ref="AC580:AE580"/>
    <mergeCell ref="U581:V581"/>
    <mergeCell ref="W581:X581"/>
    <mergeCell ref="Y581:Z581"/>
    <mergeCell ref="AA581:AB581"/>
    <mergeCell ref="AC581:AE581"/>
    <mergeCell ref="U582:V582"/>
    <mergeCell ref="W582:X582"/>
    <mergeCell ref="Y582:Z582"/>
    <mergeCell ref="AA582:AB582"/>
    <mergeCell ref="AC582:AE582"/>
    <mergeCell ref="U583:V583"/>
    <mergeCell ref="W583:X583"/>
    <mergeCell ref="Y583:Z583"/>
    <mergeCell ref="AA583:AB583"/>
    <mergeCell ref="AC583:AE583"/>
    <mergeCell ref="U584:V584"/>
    <mergeCell ref="W584:X584"/>
    <mergeCell ref="Y584:Z584"/>
    <mergeCell ref="AA584:AB584"/>
    <mergeCell ref="AC584:AE584"/>
    <mergeCell ref="U585:V585"/>
    <mergeCell ref="W585:X585"/>
    <mergeCell ref="Y585:Z585"/>
    <mergeCell ref="AA585:AB585"/>
    <mergeCell ref="AC585:AE585"/>
    <mergeCell ref="AB586:AE586"/>
    <mergeCell ref="A589:B589"/>
    <mergeCell ref="C589:L589"/>
    <mergeCell ref="M589:Q589"/>
    <mergeCell ref="R589:AF589"/>
    <mergeCell ref="C592:E592"/>
    <mergeCell ref="C593:E594"/>
    <mergeCell ref="F593:T594"/>
    <mergeCell ref="U593:V594"/>
    <mergeCell ref="W593:X594"/>
    <mergeCell ref="Y593:Z594"/>
    <mergeCell ref="AA593:AB594"/>
    <mergeCell ref="AC593:AE594"/>
    <mergeCell ref="U595:V595"/>
    <mergeCell ref="W595:X595"/>
    <mergeCell ref="Y595:Z595"/>
    <mergeCell ref="AA595:AB595"/>
    <mergeCell ref="AC595:AE595"/>
    <mergeCell ref="U596:V596"/>
    <mergeCell ref="W596:X596"/>
    <mergeCell ref="Y596:Z596"/>
    <mergeCell ref="AA596:AB596"/>
    <mergeCell ref="AC596:AE596"/>
    <mergeCell ref="U597:V597"/>
    <mergeCell ref="W597:X597"/>
    <mergeCell ref="Y597:Z597"/>
    <mergeCell ref="AA597:AB597"/>
    <mergeCell ref="AC597:AE597"/>
    <mergeCell ref="U598:V598"/>
    <mergeCell ref="W598:X598"/>
    <mergeCell ref="Y598:Z598"/>
    <mergeCell ref="AA598:AB598"/>
    <mergeCell ref="AC598:AE598"/>
    <mergeCell ref="U599:V599"/>
    <mergeCell ref="W599:X599"/>
    <mergeCell ref="Y599:Z599"/>
    <mergeCell ref="AA599:AB599"/>
    <mergeCell ref="AC599:AE599"/>
    <mergeCell ref="U600:V600"/>
    <mergeCell ref="W600:X600"/>
    <mergeCell ref="Y600:Z600"/>
    <mergeCell ref="AA600:AB600"/>
    <mergeCell ref="AC600:AE600"/>
    <mergeCell ref="U601:V601"/>
    <mergeCell ref="W601:X601"/>
    <mergeCell ref="Y601:Z601"/>
    <mergeCell ref="AA601:AB601"/>
    <mergeCell ref="AC601:AE601"/>
    <mergeCell ref="U602:V602"/>
    <mergeCell ref="W602:X602"/>
    <mergeCell ref="Y602:Z602"/>
    <mergeCell ref="AA602:AB602"/>
    <mergeCell ref="AC602:AE602"/>
    <mergeCell ref="U603:V603"/>
    <mergeCell ref="W603:X603"/>
    <mergeCell ref="Y603:Z603"/>
    <mergeCell ref="AA603:AB603"/>
    <mergeCell ref="AC603:AE603"/>
    <mergeCell ref="U604:V604"/>
    <mergeCell ref="W604:X604"/>
    <mergeCell ref="Y604:Z604"/>
    <mergeCell ref="AA604:AB604"/>
    <mergeCell ref="AC604:AE604"/>
    <mergeCell ref="U605:V605"/>
    <mergeCell ref="W605:X605"/>
    <mergeCell ref="Y605:Z605"/>
    <mergeCell ref="AA605:AB605"/>
    <mergeCell ref="AC605:AE605"/>
    <mergeCell ref="U606:V606"/>
    <mergeCell ref="W606:X606"/>
    <mergeCell ref="Y606:Z606"/>
    <mergeCell ref="AA606:AB606"/>
    <mergeCell ref="AC606:AE606"/>
    <mergeCell ref="U607:V607"/>
    <mergeCell ref="W607:X607"/>
    <mergeCell ref="Y607:Z607"/>
    <mergeCell ref="AA607:AB607"/>
    <mergeCell ref="AC607:AE607"/>
    <mergeCell ref="U608:V608"/>
    <mergeCell ref="W608:X608"/>
    <mergeCell ref="Y608:Z608"/>
    <mergeCell ref="AA608:AB608"/>
    <mergeCell ref="AC608:AE608"/>
    <mergeCell ref="U609:V609"/>
    <mergeCell ref="W609:X609"/>
    <mergeCell ref="Y609:Z609"/>
    <mergeCell ref="AA609:AB609"/>
    <mergeCell ref="AC609:AE609"/>
    <mergeCell ref="U610:V610"/>
    <mergeCell ref="W610:X610"/>
    <mergeCell ref="Y610:Z610"/>
    <mergeCell ref="AA610:AB610"/>
    <mergeCell ref="AC610:AE610"/>
    <mergeCell ref="U611:V611"/>
    <mergeCell ref="W611:X611"/>
    <mergeCell ref="Y611:Z611"/>
    <mergeCell ref="AA611:AB611"/>
    <mergeCell ref="AC611:AE611"/>
    <mergeCell ref="U612:V612"/>
    <mergeCell ref="W612:X612"/>
    <mergeCell ref="Y612:Z612"/>
    <mergeCell ref="AA612:AB612"/>
    <mergeCell ref="AC612:AE612"/>
    <mergeCell ref="U613:V613"/>
    <mergeCell ref="W613:X613"/>
    <mergeCell ref="Y613:Z613"/>
    <mergeCell ref="AA613:AB613"/>
    <mergeCell ref="AC613:AE613"/>
    <mergeCell ref="U614:V614"/>
    <mergeCell ref="W614:X614"/>
    <mergeCell ref="Y614:Z614"/>
    <mergeCell ref="AA614:AB614"/>
    <mergeCell ref="AC614:AE614"/>
    <mergeCell ref="U615:V615"/>
    <mergeCell ref="W615:X615"/>
    <mergeCell ref="Y615:Z615"/>
    <mergeCell ref="AA615:AB615"/>
    <mergeCell ref="AC615:AE615"/>
    <mergeCell ref="U616:V616"/>
    <mergeCell ref="W616:X616"/>
    <mergeCell ref="Y616:Z616"/>
    <mergeCell ref="AA616:AB616"/>
    <mergeCell ref="AC616:AE616"/>
    <mergeCell ref="U617:V617"/>
    <mergeCell ref="W617:X617"/>
    <mergeCell ref="Y617:Z617"/>
    <mergeCell ref="AA617:AB617"/>
    <mergeCell ref="AC617:AE617"/>
    <mergeCell ref="U618:V618"/>
    <mergeCell ref="W618:X618"/>
    <mergeCell ref="Y618:Z618"/>
    <mergeCell ref="AA618:AB618"/>
    <mergeCell ref="AC618:AE618"/>
    <mergeCell ref="U619:V619"/>
    <mergeCell ref="W619:X619"/>
    <mergeCell ref="Y619:Z619"/>
    <mergeCell ref="AA619:AB619"/>
    <mergeCell ref="AC619:AE619"/>
    <mergeCell ref="U620:V620"/>
    <mergeCell ref="W620:X620"/>
    <mergeCell ref="Y620:Z620"/>
    <mergeCell ref="AA620:AB620"/>
    <mergeCell ref="AC620:AE620"/>
    <mergeCell ref="U621:V621"/>
    <mergeCell ref="W621:X621"/>
    <mergeCell ref="Y621:Z621"/>
    <mergeCell ref="AA621:AB621"/>
    <mergeCell ref="AC621:AE621"/>
    <mergeCell ref="U622:V622"/>
    <mergeCell ref="W622:X622"/>
    <mergeCell ref="Y622:Z622"/>
    <mergeCell ref="AA622:AB622"/>
    <mergeCell ref="AC622:AE622"/>
    <mergeCell ref="U623:V623"/>
    <mergeCell ref="W623:X623"/>
    <mergeCell ref="Y623:Z623"/>
    <mergeCell ref="AA623:AB623"/>
    <mergeCell ref="AC623:AE623"/>
    <mergeCell ref="U624:V624"/>
    <mergeCell ref="W624:X624"/>
    <mergeCell ref="Y624:Z624"/>
    <mergeCell ref="AA624:AB624"/>
    <mergeCell ref="AC624:AE624"/>
    <mergeCell ref="U625:V625"/>
    <mergeCell ref="W625:X625"/>
    <mergeCell ref="Y625:Z625"/>
    <mergeCell ref="AA625:AB625"/>
    <mergeCell ref="AC625:AE625"/>
    <mergeCell ref="U626:V626"/>
    <mergeCell ref="W626:X626"/>
    <mergeCell ref="Y626:Z626"/>
    <mergeCell ref="AA626:AB626"/>
    <mergeCell ref="AC626:AE626"/>
    <mergeCell ref="U627:V627"/>
    <mergeCell ref="W627:X627"/>
    <mergeCell ref="Y627:Z627"/>
    <mergeCell ref="AA627:AB627"/>
    <mergeCell ref="AC627:AE627"/>
    <mergeCell ref="U628:V628"/>
    <mergeCell ref="W628:X628"/>
    <mergeCell ref="Y628:Z628"/>
    <mergeCell ref="AA628:AB628"/>
    <mergeCell ref="AC628:AE628"/>
    <mergeCell ref="U629:V629"/>
    <mergeCell ref="W629:X629"/>
    <mergeCell ref="Y629:Z629"/>
    <mergeCell ref="AA629:AB629"/>
    <mergeCell ref="AC629:AE629"/>
    <mergeCell ref="U630:V630"/>
    <mergeCell ref="W630:X630"/>
    <mergeCell ref="Y630:Z630"/>
    <mergeCell ref="AA630:AB630"/>
    <mergeCell ref="AC630:AE630"/>
    <mergeCell ref="U631:V631"/>
    <mergeCell ref="W631:X631"/>
    <mergeCell ref="Y631:Z631"/>
    <mergeCell ref="AA631:AB631"/>
    <mergeCell ref="AC631:AE631"/>
    <mergeCell ref="AA632:AE632"/>
    <mergeCell ref="A635:B635"/>
    <mergeCell ref="C635:L635"/>
    <mergeCell ref="M635:Q635"/>
    <mergeCell ref="R635:AF635"/>
    <mergeCell ref="C638:E638"/>
    <mergeCell ref="C639:E640"/>
    <mergeCell ref="F639:T640"/>
    <mergeCell ref="U639:V640"/>
    <mergeCell ref="W639:X640"/>
    <mergeCell ref="Y639:Z640"/>
    <mergeCell ref="AA639:AB640"/>
    <mergeCell ref="AC639:AE640"/>
    <mergeCell ref="U641:V641"/>
    <mergeCell ref="W641:X641"/>
    <mergeCell ref="Y641:Z641"/>
    <mergeCell ref="AA641:AB641"/>
    <mergeCell ref="AC641:AE641"/>
    <mergeCell ref="U642:V642"/>
    <mergeCell ref="W642:X642"/>
    <mergeCell ref="Y642:Z642"/>
    <mergeCell ref="AA642:AB642"/>
    <mergeCell ref="AC642:AE642"/>
    <mergeCell ref="U643:V643"/>
    <mergeCell ref="W643:X643"/>
    <mergeCell ref="Y643:Z643"/>
    <mergeCell ref="AA643:AB643"/>
    <mergeCell ref="AC643:AE643"/>
    <mergeCell ref="U644:V644"/>
    <mergeCell ref="W644:X644"/>
    <mergeCell ref="Y644:Z644"/>
    <mergeCell ref="AA644:AB644"/>
    <mergeCell ref="AC644:AE644"/>
    <mergeCell ref="U645:V645"/>
    <mergeCell ref="W645:X645"/>
    <mergeCell ref="Y645:Z645"/>
    <mergeCell ref="AA645:AB645"/>
    <mergeCell ref="AC645:AE645"/>
    <mergeCell ref="U646:V646"/>
    <mergeCell ref="W646:X646"/>
    <mergeCell ref="Y646:Z646"/>
    <mergeCell ref="AA646:AB646"/>
    <mergeCell ref="AC646:AE646"/>
    <mergeCell ref="U647:V647"/>
    <mergeCell ref="W647:X647"/>
    <mergeCell ref="Y647:Z647"/>
    <mergeCell ref="AA647:AB647"/>
    <mergeCell ref="AC647:AE647"/>
    <mergeCell ref="U648:V648"/>
    <mergeCell ref="W648:X648"/>
    <mergeCell ref="Y648:Z648"/>
    <mergeCell ref="AA648:AB648"/>
    <mergeCell ref="AC648:AE648"/>
    <mergeCell ref="U649:V649"/>
    <mergeCell ref="W649:X649"/>
    <mergeCell ref="Y649:Z649"/>
    <mergeCell ref="AA649:AB649"/>
    <mergeCell ref="AC649:AE649"/>
    <mergeCell ref="U650:V650"/>
    <mergeCell ref="W650:X650"/>
    <mergeCell ref="Y650:Z650"/>
    <mergeCell ref="AA650:AB650"/>
    <mergeCell ref="AC650:AE650"/>
    <mergeCell ref="U651:V651"/>
    <mergeCell ref="W651:X651"/>
    <mergeCell ref="Y651:Z651"/>
    <mergeCell ref="AA651:AB651"/>
    <mergeCell ref="AC651:AE651"/>
    <mergeCell ref="U652:V652"/>
    <mergeCell ref="W652:X652"/>
    <mergeCell ref="Y652:Z652"/>
    <mergeCell ref="AA652:AB652"/>
    <mergeCell ref="AC652:AE652"/>
    <mergeCell ref="U653:V653"/>
    <mergeCell ref="W653:X653"/>
    <mergeCell ref="Y653:Z653"/>
    <mergeCell ref="AA653:AB653"/>
    <mergeCell ref="AC653:AE653"/>
    <mergeCell ref="U654:V654"/>
    <mergeCell ref="W654:X654"/>
    <mergeCell ref="Y654:Z654"/>
    <mergeCell ref="AA654:AB654"/>
    <mergeCell ref="AC654:AE654"/>
    <mergeCell ref="U655:V655"/>
    <mergeCell ref="W655:X655"/>
    <mergeCell ref="Y655:Z655"/>
    <mergeCell ref="AA655:AB655"/>
    <mergeCell ref="AC655:AE655"/>
    <mergeCell ref="U656:V656"/>
    <mergeCell ref="W656:X656"/>
    <mergeCell ref="Y656:Z656"/>
    <mergeCell ref="AA656:AB656"/>
    <mergeCell ref="AC656:AE656"/>
    <mergeCell ref="U657:V657"/>
    <mergeCell ref="W657:X657"/>
    <mergeCell ref="Y657:Z657"/>
    <mergeCell ref="AA657:AB657"/>
    <mergeCell ref="AC657:AE657"/>
    <mergeCell ref="U658:V658"/>
    <mergeCell ref="W658:X658"/>
    <mergeCell ref="Y658:Z658"/>
    <mergeCell ref="AA658:AB658"/>
    <mergeCell ref="AC658:AE658"/>
    <mergeCell ref="U659:V659"/>
    <mergeCell ref="W659:X659"/>
    <mergeCell ref="Y659:Z659"/>
    <mergeCell ref="AA659:AB659"/>
    <mergeCell ref="AC659:AE659"/>
    <mergeCell ref="U660:V660"/>
    <mergeCell ref="W660:X660"/>
    <mergeCell ref="Y660:Z660"/>
    <mergeCell ref="AA660:AB660"/>
    <mergeCell ref="AC660:AE660"/>
    <mergeCell ref="U661:V661"/>
    <mergeCell ref="W661:X661"/>
    <mergeCell ref="Y661:Z661"/>
    <mergeCell ref="AA661:AB661"/>
    <mergeCell ref="AC661:AE661"/>
    <mergeCell ref="U662:V662"/>
    <mergeCell ref="W662:X662"/>
    <mergeCell ref="Y662:Z662"/>
    <mergeCell ref="AA662:AB662"/>
    <mergeCell ref="AC662:AE662"/>
    <mergeCell ref="U663:V663"/>
    <mergeCell ref="W663:X663"/>
    <mergeCell ref="Y663:Z663"/>
    <mergeCell ref="AA663:AB663"/>
    <mergeCell ref="AC663:AE663"/>
    <mergeCell ref="U664:V664"/>
    <mergeCell ref="W664:X664"/>
    <mergeCell ref="Y664:Z664"/>
    <mergeCell ref="AA664:AB664"/>
    <mergeCell ref="AC664:AE664"/>
    <mergeCell ref="U665:V665"/>
    <mergeCell ref="W665:X665"/>
    <mergeCell ref="Y665:Z665"/>
    <mergeCell ref="AA665:AB665"/>
    <mergeCell ref="AC665:AE665"/>
    <mergeCell ref="U666:V666"/>
    <mergeCell ref="W666:X666"/>
    <mergeCell ref="Y666:Z666"/>
    <mergeCell ref="AA666:AB666"/>
    <mergeCell ref="AC666:AE666"/>
    <mergeCell ref="U667:V667"/>
    <mergeCell ref="W667:X667"/>
    <mergeCell ref="Y667:Z667"/>
    <mergeCell ref="AA667:AB667"/>
    <mergeCell ref="AC667:AE667"/>
    <mergeCell ref="U668:V668"/>
    <mergeCell ref="W668:X668"/>
    <mergeCell ref="Y668:Z668"/>
    <mergeCell ref="AA668:AB668"/>
    <mergeCell ref="AC668:AE668"/>
    <mergeCell ref="U669:V669"/>
    <mergeCell ref="W669:X669"/>
    <mergeCell ref="Y669:Z669"/>
    <mergeCell ref="AA669:AB669"/>
    <mergeCell ref="AC669:AE669"/>
    <mergeCell ref="U670:V670"/>
    <mergeCell ref="W670:X670"/>
    <mergeCell ref="Y670:Z670"/>
    <mergeCell ref="AA670:AB670"/>
    <mergeCell ref="AC670:AE670"/>
    <mergeCell ref="U671:V671"/>
    <mergeCell ref="W671:X671"/>
    <mergeCell ref="Y671:Z671"/>
    <mergeCell ref="AA671:AB671"/>
    <mergeCell ref="AC671:AE671"/>
    <mergeCell ref="U672:V672"/>
    <mergeCell ref="W672:X672"/>
    <mergeCell ref="Y672:Z672"/>
    <mergeCell ref="AA672:AB672"/>
    <mergeCell ref="AC672:AE672"/>
    <mergeCell ref="U673:V673"/>
    <mergeCell ref="W673:X673"/>
    <mergeCell ref="Y673:Z673"/>
    <mergeCell ref="AA673:AB673"/>
    <mergeCell ref="AC673:AE673"/>
    <mergeCell ref="U674:V674"/>
    <mergeCell ref="W674:X674"/>
    <mergeCell ref="Y674:Z674"/>
    <mergeCell ref="AA674:AB674"/>
    <mergeCell ref="AC674:AE674"/>
    <mergeCell ref="U675:V675"/>
    <mergeCell ref="W675:X675"/>
    <mergeCell ref="Y675:Z675"/>
    <mergeCell ref="AA675:AB675"/>
    <mergeCell ref="AC675:AE675"/>
    <mergeCell ref="U676:V676"/>
    <mergeCell ref="W676:X676"/>
    <mergeCell ref="Y676:Z676"/>
    <mergeCell ref="AA676:AB676"/>
    <mergeCell ref="AC676:AE676"/>
    <mergeCell ref="U677:V677"/>
    <mergeCell ref="W677:X677"/>
    <mergeCell ref="Y677:Z677"/>
    <mergeCell ref="AA677:AB677"/>
    <mergeCell ref="AC677:AE677"/>
    <mergeCell ref="AA678:AE678"/>
    <mergeCell ref="A681:B681"/>
    <mergeCell ref="C681:L681"/>
    <mergeCell ref="M681:Q681"/>
    <mergeCell ref="R681:AF681"/>
    <mergeCell ref="C684:E684"/>
    <mergeCell ref="C685:E686"/>
    <mergeCell ref="F685:T686"/>
    <mergeCell ref="U685:V686"/>
    <mergeCell ref="W685:X686"/>
    <mergeCell ref="Y685:Z686"/>
    <mergeCell ref="AA685:AB686"/>
    <mergeCell ref="AC685:AE686"/>
    <mergeCell ref="U687:V687"/>
    <mergeCell ref="W687:X687"/>
    <mergeCell ref="Y687:Z687"/>
    <mergeCell ref="AA687:AB687"/>
    <mergeCell ref="AC687:AE687"/>
    <mergeCell ref="U688:V688"/>
    <mergeCell ref="W688:X688"/>
    <mergeCell ref="Y688:Z688"/>
    <mergeCell ref="AA688:AB688"/>
    <mergeCell ref="AC688:AE688"/>
    <mergeCell ref="U689:V689"/>
    <mergeCell ref="W689:X689"/>
    <mergeCell ref="Y689:Z689"/>
    <mergeCell ref="AA689:AB689"/>
    <mergeCell ref="AC689:AE689"/>
    <mergeCell ref="U690:V690"/>
    <mergeCell ref="W690:X690"/>
    <mergeCell ref="Y690:Z690"/>
    <mergeCell ref="AA690:AB690"/>
    <mergeCell ref="AC690:AE690"/>
    <mergeCell ref="U691:V691"/>
    <mergeCell ref="W691:X691"/>
    <mergeCell ref="Y691:Z691"/>
    <mergeCell ref="AA691:AB691"/>
    <mergeCell ref="AC691:AE691"/>
    <mergeCell ref="U692:V692"/>
    <mergeCell ref="W692:X692"/>
    <mergeCell ref="Y692:Z692"/>
    <mergeCell ref="AA692:AB692"/>
    <mergeCell ref="AC692:AE692"/>
    <mergeCell ref="U693:V693"/>
    <mergeCell ref="W693:X693"/>
    <mergeCell ref="Y693:Z693"/>
    <mergeCell ref="AA693:AB693"/>
    <mergeCell ref="AC693:AE693"/>
    <mergeCell ref="U694:V694"/>
    <mergeCell ref="W694:X694"/>
    <mergeCell ref="Y694:Z694"/>
    <mergeCell ref="AA694:AB694"/>
    <mergeCell ref="AC694:AE694"/>
    <mergeCell ref="U695:V695"/>
    <mergeCell ref="W695:X695"/>
    <mergeCell ref="Y695:Z695"/>
    <mergeCell ref="AA695:AB695"/>
    <mergeCell ref="AC695:AE695"/>
    <mergeCell ref="U696:V696"/>
    <mergeCell ref="W696:X696"/>
    <mergeCell ref="Y696:Z696"/>
    <mergeCell ref="AA696:AB696"/>
    <mergeCell ref="AC696:AE696"/>
    <mergeCell ref="U697:V697"/>
    <mergeCell ref="W697:X697"/>
    <mergeCell ref="Y697:Z697"/>
    <mergeCell ref="AA697:AB697"/>
    <mergeCell ref="AC697:AE697"/>
    <mergeCell ref="U698:V698"/>
    <mergeCell ref="W698:X698"/>
    <mergeCell ref="Y698:Z698"/>
    <mergeCell ref="AA698:AB698"/>
    <mergeCell ref="AC698:AE698"/>
    <mergeCell ref="U699:V699"/>
    <mergeCell ref="W699:X699"/>
    <mergeCell ref="Y699:Z699"/>
    <mergeCell ref="AA699:AB699"/>
    <mergeCell ref="AC699:AE699"/>
    <mergeCell ref="U700:V700"/>
    <mergeCell ref="W700:X700"/>
    <mergeCell ref="Y700:Z700"/>
    <mergeCell ref="AA700:AB700"/>
    <mergeCell ref="AC700:AE700"/>
    <mergeCell ref="U701:V701"/>
    <mergeCell ref="W701:X701"/>
    <mergeCell ref="Y701:Z701"/>
    <mergeCell ref="AA701:AB701"/>
    <mergeCell ref="AC701:AE701"/>
    <mergeCell ref="U702:V702"/>
    <mergeCell ref="W702:X702"/>
    <mergeCell ref="Y702:Z702"/>
    <mergeCell ref="AA702:AB702"/>
    <mergeCell ref="AC702:AE702"/>
    <mergeCell ref="U703:V703"/>
    <mergeCell ref="W703:X703"/>
    <mergeCell ref="Y703:Z703"/>
    <mergeCell ref="AA703:AB703"/>
    <mergeCell ref="AC703:AE703"/>
    <mergeCell ref="U704:V704"/>
    <mergeCell ref="W704:X704"/>
    <mergeCell ref="Y704:Z704"/>
    <mergeCell ref="AA704:AB704"/>
    <mergeCell ref="AC704:AE704"/>
    <mergeCell ref="U705:V705"/>
    <mergeCell ref="W705:X705"/>
    <mergeCell ref="Y705:Z705"/>
    <mergeCell ref="AA705:AB705"/>
    <mergeCell ref="AC705:AE705"/>
    <mergeCell ref="U706:V706"/>
    <mergeCell ref="W706:X706"/>
    <mergeCell ref="Y706:Z706"/>
    <mergeCell ref="AA706:AB706"/>
    <mergeCell ref="AC706:AE706"/>
    <mergeCell ref="U707:V707"/>
    <mergeCell ref="W707:X707"/>
    <mergeCell ref="Y707:Z707"/>
    <mergeCell ref="AA707:AB707"/>
    <mergeCell ref="AC707:AE707"/>
    <mergeCell ref="U708:V708"/>
    <mergeCell ref="W708:X708"/>
    <mergeCell ref="Y708:Z708"/>
    <mergeCell ref="AA708:AB708"/>
    <mergeCell ref="AC708:AE708"/>
    <mergeCell ref="U709:V709"/>
    <mergeCell ref="W709:X709"/>
    <mergeCell ref="Y709:Z709"/>
    <mergeCell ref="AA709:AB709"/>
    <mergeCell ref="AC709:AE709"/>
    <mergeCell ref="U710:V710"/>
    <mergeCell ref="W710:X710"/>
    <mergeCell ref="Y710:Z710"/>
    <mergeCell ref="AA710:AB710"/>
    <mergeCell ref="AC710:AE710"/>
    <mergeCell ref="U711:V711"/>
    <mergeCell ref="W711:X711"/>
    <mergeCell ref="Y711:Z711"/>
    <mergeCell ref="AA711:AB711"/>
    <mergeCell ref="AC711:AE711"/>
    <mergeCell ref="U712:V712"/>
    <mergeCell ref="W712:X712"/>
    <mergeCell ref="Y712:Z712"/>
    <mergeCell ref="AA712:AB712"/>
    <mergeCell ref="AC712:AE712"/>
    <mergeCell ref="U713:V713"/>
    <mergeCell ref="W713:X713"/>
    <mergeCell ref="Y713:Z713"/>
    <mergeCell ref="AA713:AB713"/>
    <mergeCell ref="AC713:AE713"/>
    <mergeCell ref="U714:V714"/>
    <mergeCell ref="W714:X714"/>
    <mergeCell ref="Y714:Z714"/>
    <mergeCell ref="AA714:AB714"/>
    <mergeCell ref="AC714:AE714"/>
    <mergeCell ref="U715:V715"/>
    <mergeCell ref="W715:X715"/>
    <mergeCell ref="Y715:Z715"/>
    <mergeCell ref="AA715:AB715"/>
    <mergeCell ref="AC715:AE715"/>
    <mergeCell ref="U716:V716"/>
    <mergeCell ref="W716:X716"/>
    <mergeCell ref="Y716:Z716"/>
    <mergeCell ref="AA716:AB716"/>
    <mergeCell ref="AC716:AE716"/>
    <mergeCell ref="U717:V717"/>
    <mergeCell ref="W717:X717"/>
    <mergeCell ref="Y717:Z717"/>
    <mergeCell ref="AA717:AB717"/>
    <mergeCell ref="AC717:AE717"/>
    <mergeCell ref="U718:V718"/>
    <mergeCell ref="W718:X718"/>
    <mergeCell ref="Y718:Z718"/>
    <mergeCell ref="AA718:AB718"/>
    <mergeCell ref="AC718:AE718"/>
    <mergeCell ref="U719:V719"/>
    <mergeCell ref="W719:X719"/>
    <mergeCell ref="Y719:Z719"/>
    <mergeCell ref="AA719:AB719"/>
    <mergeCell ref="AC719:AE719"/>
    <mergeCell ref="U720:V720"/>
    <mergeCell ref="W720:X720"/>
    <mergeCell ref="Y720:Z720"/>
    <mergeCell ref="AA720:AB720"/>
    <mergeCell ref="AC720:AE720"/>
    <mergeCell ref="U721:V721"/>
    <mergeCell ref="W721:X721"/>
    <mergeCell ref="Y721:Z721"/>
    <mergeCell ref="AA721:AB721"/>
    <mergeCell ref="AC721:AE721"/>
    <mergeCell ref="U722:V722"/>
    <mergeCell ref="W722:X722"/>
    <mergeCell ref="Y722:Z722"/>
    <mergeCell ref="AA722:AB722"/>
    <mergeCell ref="AC722:AE722"/>
    <mergeCell ref="U723:V723"/>
    <mergeCell ref="W723:X723"/>
    <mergeCell ref="Y723:Z723"/>
    <mergeCell ref="AA723:AB723"/>
    <mergeCell ref="AC723:AE723"/>
    <mergeCell ref="AA724:AE724"/>
    <mergeCell ref="A727:B727"/>
    <mergeCell ref="C727:L727"/>
    <mergeCell ref="M727:Q727"/>
    <mergeCell ref="R727:AF727"/>
    <mergeCell ref="C730:E730"/>
    <mergeCell ref="C731:E732"/>
    <mergeCell ref="F731:T732"/>
    <mergeCell ref="U731:V732"/>
    <mergeCell ref="W731:X732"/>
    <mergeCell ref="Y731:Z732"/>
    <mergeCell ref="AA731:AB732"/>
    <mergeCell ref="AC731:AE732"/>
    <mergeCell ref="U733:V733"/>
    <mergeCell ref="W733:X733"/>
    <mergeCell ref="Y733:Z733"/>
    <mergeCell ref="AA733:AB733"/>
    <mergeCell ref="AC733:AE733"/>
    <mergeCell ref="U734:V734"/>
    <mergeCell ref="W734:X734"/>
    <mergeCell ref="Y734:Z734"/>
    <mergeCell ref="AA734:AB734"/>
    <mergeCell ref="AC734:AE734"/>
    <mergeCell ref="U735:V735"/>
    <mergeCell ref="W735:X735"/>
    <mergeCell ref="Y735:Z735"/>
    <mergeCell ref="AA735:AB735"/>
    <mergeCell ref="AC735:AE735"/>
    <mergeCell ref="U736:V736"/>
    <mergeCell ref="W736:X736"/>
    <mergeCell ref="Y736:Z736"/>
    <mergeCell ref="AA736:AB736"/>
    <mergeCell ref="AC736:AE736"/>
    <mergeCell ref="U737:V737"/>
    <mergeCell ref="W737:X737"/>
    <mergeCell ref="Y737:Z737"/>
    <mergeCell ref="AA737:AB737"/>
    <mergeCell ref="AC737:AE737"/>
    <mergeCell ref="U738:V738"/>
    <mergeCell ref="W738:X738"/>
    <mergeCell ref="Y738:Z738"/>
    <mergeCell ref="AA738:AB738"/>
    <mergeCell ref="AC738:AE738"/>
    <mergeCell ref="U739:V739"/>
    <mergeCell ref="W739:X739"/>
    <mergeCell ref="Y739:Z739"/>
    <mergeCell ref="AA739:AB739"/>
    <mergeCell ref="AC739:AE739"/>
    <mergeCell ref="U740:V740"/>
    <mergeCell ref="W740:X740"/>
    <mergeCell ref="Y740:Z740"/>
    <mergeCell ref="AA740:AB740"/>
    <mergeCell ref="AC740:AE740"/>
    <mergeCell ref="U741:V741"/>
    <mergeCell ref="W741:X741"/>
    <mergeCell ref="Y741:Z741"/>
    <mergeCell ref="AA741:AB741"/>
    <mergeCell ref="AC741:AE741"/>
    <mergeCell ref="U742:V742"/>
    <mergeCell ref="W742:X742"/>
    <mergeCell ref="Y742:Z742"/>
    <mergeCell ref="AA742:AB742"/>
    <mergeCell ref="AC742:AE742"/>
    <mergeCell ref="U743:V743"/>
    <mergeCell ref="W743:X743"/>
    <mergeCell ref="Y743:Z743"/>
    <mergeCell ref="AA743:AB743"/>
    <mergeCell ref="AC743:AE743"/>
    <mergeCell ref="U744:V744"/>
    <mergeCell ref="W744:X744"/>
    <mergeCell ref="Y744:Z744"/>
    <mergeCell ref="AA744:AB744"/>
    <mergeCell ref="AC744:AE744"/>
    <mergeCell ref="U745:V745"/>
    <mergeCell ref="W745:X745"/>
    <mergeCell ref="Y745:Z745"/>
    <mergeCell ref="AA745:AB745"/>
    <mergeCell ref="AC745:AE745"/>
    <mergeCell ref="U746:V746"/>
    <mergeCell ref="W746:X746"/>
    <mergeCell ref="Y746:Z746"/>
    <mergeCell ref="AA746:AB746"/>
    <mergeCell ref="AC746:AE746"/>
    <mergeCell ref="U747:V747"/>
    <mergeCell ref="W747:X747"/>
    <mergeCell ref="Y747:Z747"/>
    <mergeCell ref="AA747:AB747"/>
    <mergeCell ref="AC747:AE747"/>
    <mergeCell ref="U748:V748"/>
    <mergeCell ref="W748:X748"/>
    <mergeCell ref="Y748:Z748"/>
    <mergeCell ref="AA748:AB748"/>
    <mergeCell ref="AC748:AE748"/>
    <mergeCell ref="U749:V749"/>
    <mergeCell ref="W749:X749"/>
    <mergeCell ref="Y749:Z749"/>
    <mergeCell ref="AA749:AB749"/>
    <mergeCell ref="AC749:AE749"/>
    <mergeCell ref="U750:V750"/>
    <mergeCell ref="W750:X750"/>
    <mergeCell ref="Y750:Z750"/>
    <mergeCell ref="AA750:AB750"/>
    <mergeCell ref="AC750:AE750"/>
    <mergeCell ref="U751:V751"/>
    <mergeCell ref="W751:X751"/>
    <mergeCell ref="Y751:Z751"/>
    <mergeCell ref="AA751:AB751"/>
    <mergeCell ref="AC751:AE751"/>
    <mergeCell ref="U752:V752"/>
    <mergeCell ref="W752:X752"/>
    <mergeCell ref="Y752:Z752"/>
    <mergeCell ref="AA752:AB752"/>
    <mergeCell ref="AC752:AE752"/>
    <mergeCell ref="U753:V753"/>
    <mergeCell ref="W753:X753"/>
    <mergeCell ref="Y753:Z753"/>
    <mergeCell ref="AA753:AB753"/>
    <mergeCell ref="AC753:AE753"/>
    <mergeCell ref="U754:V754"/>
    <mergeCell ref="W754:X754"/>
    <mergeCell ref="Y754:Z754"/>
    <mergeCell ref="AA754:AB754"/>
    <mergeCell ref="AC754:AE754"/>
    <mergeCell ref="U755:V755"/>
    <mergeCell ref="W755:X755"/>
    <mergeCell ref="Y755:Z755"/>
    <mergeCell ref="AA755:AB755"/>
    <mergeCell ref="AC755:AE755"/>
    <mergeCell ref="U756:V756"/>
    <mergeCell ref="W756:X756"/>
    <mergeCell ref="Y756:Z756"/>
    <mergeCell ref="AA756:AB756"/>
    <mergeCell ref="AC756:AE756"/>
    <mergeCell ref="U757:V757"/>
    <mergeCell ref="W757:X757"/>
    <mergeCell ref="Y757:Z757"/>
    <mergeCell ref="AA757:AB757"/>
    <mergeCell ref="AC757:AE757"/>
    <mergeCell ref="U758:V758"/>
    <mergeCell ref="W758:X758"/>
    <mergeCell ref="Y758:Z758"/>
    <mergeCell ref="AA758:AB758"/>
    <mergeCell ref="AC758:AE758"/>
    <mergeCell ref="U759:V759"/>
    <mergeCell ref="W759:X759"/>
    <mergeCell ref="Y759:Z759"/>
    <mergeCell ref="AA759:AB759"/>
    <mergeCell ref="AC759:AE759"/>
    <mergeCell ref="U760:V760"/>
    <mergeCell ref="W760:X760"/>
    <mergeCell ref="Y760:Z760"/>
    <mergeCell ref="AA760:AB760"/>
    <mergeCell ref="AC760:AE760"/>
    <mergeCell ref="U761:V761"/>
    <mergeCell ref="W761:X761"/>
    <mergeCell ref="Y761:Z761"/>
    <mergeCell ref="AA761:AB761"/>
    <mergeCell ref="AC761:AE761"/>
    <mergeCell ref="U762:V762"/>
    <mergeCell ref="W762:X762"/>
    <mergeCell ref="Y762:Z762"/>
    <mergeCell ref="AA762:AB762"/>
    <mergeCell ref="AC762:AE762"/>
    <mergeCell ref="U763:V763"/>
    <mergeCell ref="W763:X763"/>
    <mergeCell ref="Y763:Z763"/>
    <mergeCell ref="AA763:AB763"/>
    <mergeCell ref="AC763:AE763"/>
    <mergeCell ref="U764:V764"/>
    <mergeCell ref="W764:X764"/>
    <mergeCell ref="Y764:Z764"/>
    <mergeCell ref="AA764:AB764"/>
    <mergeCell ref="AC764:AE764"/>
    <mergeCell ref="U765:V765"/>
    <mergeCell ref="W765:X765"/>
    <mergeCell ref="Y765:Z765"/>
    <mergeCell ref="AA765:AB765"/>
    <mergeCell ref="AC765:AE765"/>
    <mergeCell ref="U766:V766"/>
    <mergeCell ref="W766:X766"/>
    <mergeCell ref="Y766:Z766"/>
    <mergeCell ref="AA766:AB766"/>
    <mergeCell ref="AC766:AE766"/>
    <mergeCell ref="U767:V767"/>
    <mergeCell ref="W767:X767"/>
    <mergeCell ref="Y767:Z767"/>
    <mergeCell ref="AA767:AB767"/>
    <mergeCell ref="AC767:AE767"/>
    <mergeCell ref="U768:V768"/>
    <mergeCell ref="W768:X768"/>
    <mergeCell ref="Y768:Z768"/>
    <mergeCell ref="AA768:AB768"/>
    <mergeCell ref="AC768:AE768"/>
    <mergeCell ref="U769:V769"/>
    <mergeCell ref="W769:X769"/>
    <mergeCell ref="Y769:Z769"/>
    <mergeCell ref="AA769:AB769"/>
    <mergeCell ref="AC769:AE769"/>
    <mergeCell ref="AB770:AE770"/>
  </mergeCells>
  <conditionalFormatting sqref="U733:U772">
    <cfRule type="cellIs" priority="2" operator="equal" aboveAverage="0" equalAverage="0" bottom="0" percent="0" rank="0" text="" dxfId="24">
      <formula>0</formula>
    </cfRule>
  </conditionalFormatting>
  <conditionalFormatting sqref="Y733:Y772 AA733:AA772">
    <cfRule type="cellIs" priority="3" operator="equal" aboveAverage="0" equalAverage="0" bottom="0" percent="0" rank="0" text="" dxfId="24">
      <formula>0</formula>
    </cfRule>
  </conditionalFormatting>
  <conditionalFormatting sqref="U687:U726">
    <cfRule type="cellIs" priority="4" operator="equal" aboveAverage="0" equalAverage="0" bottom="0" percent="0" rank="0" text="" dxfId="24">
      <formula>0</formula>
    </cfRule>
  </conditionalFormatting>
  <conditionalFormatting sqref="Y687:Y726 AA687:AA726">
    <cfRule type="cellIs" priority="5" operator="equal" aboveAverage="0" equalAverage="0" bottom="0" percent="0" rank="0" text="" dxfId="24">
      <formula>0</formula>
    </cfRule>
  </conditionalFormatting>
  <conditionalFormatting sqref="U641:U680">
    <cfRule type="cellIs" priority="6" operator="equal" aboveAverage="0" equalAverage="0" bottom="0" percent="0" rank="0" text="" dxfId="24">
      <formula>0</formula>
    </cfRule>
  </conditionalFormatting>
  <conditionalFormatting sqref="Y641:Y680 AA641:AA680">
    <cfRule type="cellIs" priority="7" operator="equal" aboveAverage="0" equalAverage="0" bottom="0" percent="0" rank="0" text="" dxfId="24">
      <formula>0</formula>
    </cfRule>
  </conditionalFormatting>
  <conditionalFormatting sqref="U595:U634">
    <cfRule type="cellIs" priority="8" operator="equal" aboveAverage="0" equalAverage="0" bottom="0" percent="0" rank="0" text="" dxfId="24">
      <formula>0</formula>
    </cfRule>
  </conditionalFormatting>
  <conditionalFormatting sqref="Y595:Y634 AA595:AA631">
    <cfRule type="cellIs" priority="9" operator="equal" aboveAverage="0" equalAverage="0" bottom="0" percent="0" rank="0" text="" dxfId="24">
      <formula>0</formula>
    </cfRule>
  </conditionalFormatting>
  <conditionalFormatting sqref="U549:U588">
    <cfRule type="cellIs" priority="10" operator="equal" aboveAverage="0" equalAverage="0" bottom="0" percent="0" rank="0" text="" dxfId="24">
      <formula>0</formula>
    </cfRule>
  </conditionalFormatting>
  <conditionalFormatting sqref="Y549:Y588 AA549:AA588">
    <cfRule type="cellIs" priority="11" operator="equal" aboveAverage="0" equalAverage="0" bottom="0" percent="0" rank="0" text="" dxfId="24">
      <formula>0</formula>
    </cfRule>
  </conditionalFormatting>
  <conditionalFormatting sqref="U503:U542">
    <cfRule type="cellIs" priority="12" operator="equal" aboveAverage="0" equalAverage="0" bottom="0" percent="0" rank="0" text="" dxfId="24">
      <formula>0</formula>
    </cfRule>
  </conditionalFormatting>
  <conditionalFormatting sqref="Y503:Y542 AA503:AA542">
    <cfRule type="cellIs" priority="13" operator="equal" aboveAverage="0" equalAverage="0" bottom="0" percent="0" rank="0" text="" dxfId="24">
      <formula>0</formula>
    </cfRule>
  </conditionalFormatting>
  <conditionalFormatting sqref="U457:U496">
    <cfRule type="cellIs" priority="14" operator="equal" aboveAverage="0" equalAverage="0" bottom="0" percent="0" rank="0" text="" dxfId="24">
      <formula>0</formula>
    </cfRule>
  </conditionalFormatting>
  <conditionalFormatting sqref="Y457:Y496 AA457:AA496">
    <cfRule type="cellIs" priority="15" operator="equal" aboveAverage="0" equalAverage="0" bottom="0" percent="0" rank="0" text="" dxfId="24">
      <formula>0</formula>
    </cfRule>
  </conditionalFormatting>
  <conditionalFormatting sqref="U411:U450">
    <cfRule type="cellIs" priority="16" operator="equal" aboveAverage="0" equalAverage="0" bottom="0" percent="0" rank="0" text="" dxfId="24">
      <formula>0</formula>
    </cfRule>
  </conditionalFormatting>
  <conditionalFormatting sqref="Y411:Y450 AA411:AA447">
    <cfRule type="cellIs" priority="17" operator="equal" aboveAverage="0" equalAverage="0" bottom="0" percent="0" rank="0" text="" dxfId="24">
      <formula>0</formula>
    </cfRule>
  </conditionalFormatting>
  <conditionalFormatting sqref="U365:U404">
    <cfRule type="cellIs" priority="18" operator="equal" aboveAverage="0" equalAverage="0" bottom="0" percent="0" rank="0" text="" dxfId="24">
      <formula>0</formula>
    </cfRule>
  </conditionalFormatting>
  <conditionalFormatting sqref="U319:U358">
    <cfRule type="cellIs" priority="19" operator="equal" aboveAverage="0" equalAverage="0" bottom="0" percent="0" rank="0" text="" dxfId="24">
      <formula>0</formula>
    </cfRule>
  </conditionalFormatting>
  <conditionalFormatting sqref="U273:U312">
    <cfRule type="cellIs" priority="20" operator="equal" aboveAverage="0" equalAverage="0" bottom="0" percent="0" rank="0" text="" dxfId="24">
      <formula>0</formula>
    </cfRule>
  </conditionalFormatting>
  <conditionalFormatting sqref="Y365:Y404 AA365:AA404">
    <cfRule type="cellIs" priority="21" operator="equal" aboveAverage="0" equalAverage="0" bottom="0" percent="0" rank="0" text="" dxfId="24">
      <formula>0</formula>
    </cfRule>
  </conditionalFormatting>
  <conditionalFormatting sqref="Y319:Y358 AA319:AA358">
    <cfRule type="cellIs" priority="22" operator="equal" aboveAverage="0" equalAverage="0" bottom="0" percent="0" rank="0" text="" dxfId="24">
      <formula>0</formula>
    </cfRule>
  </conditionalFormatting>
  <conditionalFormatting sqref="Y273:Y312 AA273:AA312">
    <cfRule type="cellIs" priority="23" operator="equal" aboveAverage="0" equalAverage="0" bottom="0" percent="0" rank="0" text="" dxfId="24">
      <formula>0</formula>
    </cfRule>
  </conditionalFormatting>
  <conditionalFormatting sqref="U227:U266 Y227:Y266 AA227:AA263">
    <cfRule type="cellIs" priority="24" operator="equal" aboveAverage="0" equalAverage="0" bottom="0" percent="0" rank="0" text="" dxfId="24">
      <formula>0</formula>
    </cfRule>
  </conditionalFormatting>
  <conditionalFormatting sqref="Y181:Y220">
    <cfRule type="cellIs" priority="25" operator="equal" aboveAverage="0" equalAverage="0" bottom="0" percent="0" rank="0" text="" dxfId="24">
      <formula>0</formula>
    </cfRule>
  </conditionalFormatting>
  <conditionalFormatting sqref="U181:U220">
    <cfRule type="cellIs" priority="26" operator="equal" aboveAverage="0" equalAverage="0" bottom="0" percent="0" rank="0" text="" dxfId="24">
      <formula>0</formula>
    </cfRule>
  </conditionalFormatting>
  <conditionalFormatting sqref="AA181:AA220">
    <cfRule type="cellIs" priority="27" operator="equal" aboveAverage="0" equalAverage="0" bottom="0" percent="0" rank="0" text="" dxfId="24">
      <formula>0</formula>
    </cfRule>
  </conditionalFormatting>
  <conditionalFormatting sqref="U135:U174 Y135:Y174 AA135:AA171">
    <cfRule type="cellIs" priority="28" operator="equal" aboveAverage="0" equalAverage="0" bottom="0" percent="0" rank="0" text="" dxfId="24">
      <formula>0</formula>
    </cfRule>
  </conditionalFormatting>
  <conditionalFormatting sqref="U89:U128 Y89:Y128 AA89:AA128">
    <cfRule type="cellIs" priority="29" operator="equal" aboveAverage="0" equalAverage="0" bottom="0" percent="0" rank="0" text="" dxfId="24">
      <formula>0</formula>
    </cfRule>
  </conditionalFormatting>
  <conditionalFormatting sqref="AA633:AA634">
    <cfRule type="cellIs" priority="30" operator="equal" aboveAverage="0" equalAverage="0" bottom="0" percent="0" rank="0" text="" dxfId="24">
      <formula>0</formula>
    </cfRule>
  </conditionalFormatting>
  <conditionalFormatting sqref="AA449:AA450">
    <cfRule type="cellIs" priority="31" operator="equal" aboveAverage="0" equalAverage="0" bottom="0" percent="0" rank="0" text="" dxfId="24">
      <formula>0</formula>
    </cfRule>
  </conditionalFormatting>
  <conditionalFormatting sqref="L22:L26">
    <cfRule type="cellIs" priority="32" operator="equal" aboveAverage="0" equalAverage="0" bottom="0" percent="0" rank="0" text="" dxfId="24">
      <formula>0</formula>
    </cfRule>
  </conditionalFormatting>
  <conditionalFormatting sqref="AA265:AA266">
    <cfRule type="cellIs" priority="33" operator="equal" aboveAverage="0" equalAverage="0" bottom="0" percent="0" rank="0" text="" dxfId="24">
      <formula>0</formula>
    </cfRule>
  </conditionalFormatting>
  <conditionalFormatting sqref="M21:P24 M25:M27 U43:U82 Y43:Y82 AA43:AA79 AA81:AA82 AA173:AA174">
    <cfRule type="cellIs" priority="34" operator="equal" aboveAverage="0" equalAverage="0" bottom="0" percent="0" rank="0" text="" dxfId="24">
      <formula>0</formula>
    </cfRule>
  </conditionalFormatting>
  <printOptions headings="false" gridLines="false" gridLinesSet="true" horizontalCentered="false" verticalCentered="false"/>
  <pageMargins left="0.75" right="0.5" top="0.75" bottom="0.5" header="0" footer="0.3"/>
  <pageSetup paperSize="1" scale="94" fitToWidth="1" fitToHeight="1" pageOrder="downThenOver" orientation="portrait"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rowBreaks count="16" manualBreakCount="16">
    <brk id="36" man="true" max="16383" min="0"/>
    <brk id="82" man="true" max="16383" min="0"/>
    <brk id="128" man="true" max="16383" min="0"/>
    <brk id="174" man="true" max="16383" min="0"/>
    <brk id="220" man="true" max="16383" min="0"/>
    <brk id="266" man="true" max="16383" min="0"/>
    <brk id="312" man="true" max="16383" min="0"/>
    <brk id="358" man="true" max="16383" min="0"/>
    <brk id="404" man="true" max="16383" min="0"/>
    <brk id="450" man="true" max="16383" min="0"/>
    <brk id="496" man="true" max="16383" min="0"/>
    <brk id="542" man="true" max="16383" min="0"/>
    <brk id="588" man="true" max="16383" min="0"/>
    <brk id="634" man="true" max="16383" min="0"/>
    <brk id="680" man="true" max="16383" min="0"/>
    <brk id="726"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F1189"/>
  <sheetViews>
    <sheetView showFormulas="false" showGridLines="true" showRowColHeaders="true" showZeros="true" rightToLeft="false" tabSelected="false" showOutlineSymbols="true" defaultGridColor="true" view="pageBreakPreview" topLeftCell="A1" colorId="64" zoomScale="115" zoomScaleNormal="100" zoomScalePageLayoutView="115" workbookViewId="0">
      <selection pane="topLeft" activeCell="A40" activeCellId="0" sqref="A40"/>
    </sheetView>
  </sheetViews>
  <sheetFormatPr defaultColWidth="9.14453125" defaultRowHeight="12.75" zeroHeight="false" outlineLevelRow="0" outlineLevelCol="0"/>
  <cols>
    <col collapsed="false" customWidth="true" hidden="false" outlineLevel="0" max="19" min="1" style="394" width="2.86"/>
    <col collapsed="false" customWidth="true" hidden="false" outlineLevel="0" max="20" min="20" style="394" width="3.14"/>
    <col collapsed="false" customWidth="true" hidden="false" outlineLevel="0" max="23" min="21" style="394" width="2.86"/>
    <col collapsed="false" customWidth="true" hidden="false" outlineLevel="0" max="24" min="24" style="394" width="2.71"/>
    <col collapsed="false" customWidth="true" hidden="false" outlineLevel="0" max="25" min="25" style="394" width="2.42"/>
    <col collapsed="false" customWidth="true" hidden="false" outlineLevel="0" max="29" min="26" style="394" width="2.86"/>
    <col collapsed="false" customWidth="true" hidden="false" outlineLevel="0" max="30" min="30" style="394" width="3.29"/>
    <col collapsed="false" customWidth="true" hidden="false" outlineLevel="0" max="31" min="31" style="394" width="3.71"/>
    <col collapsed="false" customWidth="true" hidden="false" outlineLevel="0" max="32" min="32" style="394" width="3.42"/>
    <col collapsed="false" customWidth="false" hidden="true" outlineLevel="0" max="16383" min="33" style="394" width="9.14"/>
    <col collapsed="false" customWidth="true" hidden="false" outlineLevel="0" max="16384" min="16384" style="394" width="0.42"/>
  </cols>
  <sheetData>
    <row r="1" s="396" customFormat="true" ht="15.75" hidden="false" customHeight="true" outlineLevel="0" collapsed="false">
      <c r="A1" s="395" t="s">
        <v>1519</v>
      </c>
      <c r="B1" s="395"/>
      <c r="C1" s="395"/>
      <c r="D1" s="395"/>
      <c r="E1" s="395"/>
      <c r="F1" s="395"/>
      <c r="G1" s="395"/>
      <c r="H1" s="395"/>
      <c r="I1" s="395"/>
      <c r="J1" s="395"/>
      <c r="K1" s="395"/>
      <c r="L1" s="395"/>
      <c r="M1" s="395"/>
      <c r="N1" s="395"/>
      <c r="O1" s="395"/>
      <c r="P1" s="395"/>
      <c r="Q1" s="395"/>
      <c r="R1" s="395"/>
      <c r="S1" s="395"/>
      <c r="T1" s="395"/>
      <c r="U1" s="395"/>
      <c r="V1" s="395"/>
      <c r="W1" s="395"/>
      <c r="X1" s="395"/>
      <c r="Y1" s="395"/>
      <c r="Z1" s="395"/>
      <c r="AA1" s="395"/>
      <c r="AB1" s="395"/>
      <c r="AC1" s="395"/>
      <c r="AD1" s="395"/>
      <c r="AE1" s="395"/>
      <c r="AF1" s="395"/>
    </row>
    <row r="2" s="396" customFormat="true" ht="15.75" hidden="false" customHeight="true" outlineLevel="0" collapsed="false">
      <c r="A2" s="395"/>
      <c r="B2" s="395"/>
      <c r="C2" s="395"/>
      <c r="D2" s="395"/>
      <c r="E2" s="395"/>
      <c r="F2" s="395"/>
      <c r="G2" s="395"/>
      <c r="H2" s="395"/>
      <c r="I2" s="395"/>
      <c r="J2" s="395"/>
      <c r="K2" s="395"/>
      <c r="L2" s="395"/>
      <c r="M2" s="395"/>
      <c r="N2" s="395"/>
      <c r="O2" s="395"/>
      <c r="P2" s="395"/>
      <c r="Q2" s="395"/>
      <c r="R2" s="395"/>
      <c r="S2" s="395"/>
      <c r="T2" s="395"/>
      <c r="U2" s="395"/>
      <c r="V2" s="395"/>
      <c r="W2" s="395"/>
      <c r="X2" s="395"/>
      <c r="Y2" s="395"/>
      <c r="Z2" s="395"/>
      <c r="AA2" s="395"/>
      <c r="AB2" s="395"/>
      <c r="AC2" s="395"/>
      <c r="AD2" s="395"/>
      <c r="AE2" s="395"/>
      <c r="AF2" s="395"/>
    </row>
    <row r="3" s="258" customFormat="true" ht="15.75" hidden="false" customHeight="true" outlineLevel="0" collapsed="false">
      <c r="A3" s="6" t="s">
        <v>1</v>
      </c>
      <c r="B3" s="6"/>
      <c r="C3" s="6"/>
      <c r="D3" s="6"/>
      <c r="E3" s="6"/>
      <c r="G3" s="397" t="str">
        <f aca="false">UNIT_ROLLUP!F3</f>
        <v>H&amp;S BN MCIPAC MCB CP BUTLER JA</v>
      </c>
      <c r="H3" s="397"/>
      <c r="I3" s="397"/>
      <c r="J3" s="397"/>
      <c r="K3" s="397"/>
      <c r="L3" s="397"/>
      <c r="M3" s="6" t="s">
        <v>3</v>
      </c>
      <c r="N3" s="6"/>
      <c r="O3" s="6"/>
      <c r="P3" s="6"/>
      <c r="Q3" s="6"/>
      <c r="R3" s="397" t="str">
        <f aca="false">UNIT_ROLLUP!R3</f>
        <v>3D MEDICAL BATTALION</v>
      </c>
      <c r="S3" s="397"/>
      <c r="T3" s="397"/>
      <c r="U3" s="397"/>
      <c r="V3" s="397"/>
      <c r="W3" s="397"/>
      <c r="X3" s="397"/>
      <c r="Y3" s="1"/>
      <c r="Z3" s="1"/>
      <c r="AA3" s="1"/>
      <c r="AB3" s="1"/>
      <c r="AC3" s="1"/>
      <c r="AD3" s="1"/>
      <c r="AE3" s="7"/>
      <c r="AF3" s="7"/>
    </row>
    <row r="4" s="258" customFormat="true" ht="15.75" hidden="false" customHeight="true" outlineLevel="0" collapsed="false">
      <c r="A4" s="267" t="s">
        <v>5</v>
      </c>
      <c r="B4" s="267"/>
      <c r="C4" s="267"/>
      <c r="D4" s="267"/>
      <c r="E4" s="267"/>
      <c r="G4" s="397" t="str">
        <f aca="false">UNIT_ROLLUP!F4</f>
        <v>M67400</v>
      </c>
      <c r="H4" s="397"/>
      <c r="I4" s="397"/>
      <c r="J4" s="397"/>
      <c r="K4" s="397"/>
      <c r="L4" s="397"/>
      <c r="M4" s="6" t="s">
        <v>7</v>
      </c>
      <c r="N4" s="6"/>
      <c r="O4" s="6"/>
      <c r="P4" s="6"/>
      <c r="Q4" s="6"/>
      <c r="R4" s="7" t="str">
        <f aca="false">UNIT_ROLLUP!R4</f>
        <v>M13020</v>
      </c>
      <c r="S4" s="7"/>
      <c r="T4" s="7"/>
      <c r="U4" s="7"/>
      <c r="V4" s="7"/>
      <c r="W4" s="7"/>
      <c r="X4" s="7"/>
      <c r="Y4" s="9" t="s">
        <v>9</v>
      </c>
      <c r="Z4" s="9"/>
      <c r="AA4" s="9"/>
      <c r="AB4" s="9"/>
      <c r="AC4" s="9"/>
      <c r="AD4" s="9"/>
      <c r="AE4" s="7" t="str">
        <f aca="false">UNIT_ROLLUP!AE4</f>
        <v>FO</v>
      </c>
      <c r="AF4" s="7"/>
    </row>
    <row r="5" s="396" customFormat="true" ht="15.75" hidden="false" customHeight="true" outlineLevel="0" collapsed="false">
      <c r="A5" s="398" t="s">
        <v>1522</v>
      </c>
      <c r="B5" s="398"/>
      <c r="C5" s="399" t="n">
        <v>14345</v>
      </c>
      <c r="D5" s="399"/>
      <c r="E5" s="399"/>
      <c r="F5" s="399"/>
      <c r="G5" s="399"/>
      <c r="H5" s="399"/>
      <c r="I5" s="399"/>
      <c r="J5" s="399"/>
      <c r="K5" s="399"/>
      <c r="L5" s="399"/>
      <c r="M5" s="398" t="s">
        <v>1523</v>
      </c>
      <c r="N5" s="398"/>
      <c r="O5" s="398"/>
      <c r="P5" s="398"/>
      <c r="Q5" s="398"/>
      <c r="R5" s="399" t="s">
        <v>15</v>
      </c>
      <c r="S5" s="399"/>
      <c r="T5" s="399"/>
      <c r="U5" s="399"/>
      <c r="V5" s="399"/>
      <c r="W5" s="399"/>
      <c r="X5" s="399"/>
      <c r="Y5" s="399"/>
      <c r="Z5" s="399"/>
      <c r="AA5" s="399"/>
      <c r="AB5" s="399"/>
      <c r="AC5" s="399"/>
      <c r="AD5" s="399"/>
      <c r="AE5" s="399"/>
      <c r="AF5" s="399"/>
    </row>
    <row r="6" s="396" customFormat="true" ht="15.75" hidden="false" customHeight="true" outlineLevel="0" collapsed="false">
      <c r="A6" s="400" t="s">
        <v>1524</v>
      </c>
      <c r="B6" s="400"/>
      <c r="C6" s="400"/>
      <c r="D6" s="400"/>
      <c r="E6" s="400"/>
      <c r="F6" s="400"/>
      <c r="G6" s="400"/>
      <c r="H6" s="400"/>
      <c r="I6" s="400"/>
      <c r="J6" s="400"/>
      <c r="K6" s="400"/>
      <c r="L6" s="400"/>
      <c r="M6" s="400"/>
      <c r="N6" s="400"/>
      <c r="O6" s="400"/>
      <c r="P6" s="400"/>
      <c r="Q6" s="400"/>
      <c r="R6" s="400"/>
      <c r="S6" s="400"/>
      <c r="T6" s="400"/>
      <c r="U6" s="400"/>
      <c r="V6" s="400"/>
      <c r="W6" s="400"/>
      <c r="X6" s="400"/>
      <c r="Y6" s="400"/>
      <c r="Z6" s="400"/>
      <c r="AA6" s="400"/>
      <c r="AB6" s="400"/>
      <c r="AC6" s="400"/>
      <c r="AD6" s="400"/>
      <c r="AE6" s="400"/>
      <c r="AF6" s="400"/>
    </row>
    <row r="7" s="396" customFormat="true" ht="15.75" hidden="false" customHeight="true" outlineLevel="0" collapsed="false">
      <c r="A7" s="401" t="s">
        <v>1525</v>
      </c>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c r="AC7" s="401"/>
      <c r="AD7" s="401"/>
      <c r="AE7" s="401"/>
      <c r="AF7" s="401"/>
    </row>
    <row r="8" s="396" customFormat="true" ht="15.75" hidden="false" customHeight="true" outlineLevel="0" collapsed="false">
      <c r="A8" s="402"/>
      <c r="B8" s="402" t="s">
        <v>1641</v>
      </c>
      <c r="C8" s="402"/>
      <c r="D8" s="402"/>
      <c r="E8" s="402"/>
      <c r="F8" s="402"/>
      <c r="G8" s="402"/>
      <c r="H8" s="402"/>
      <c r="I8" s="402"/>
      <c r="J8" s="402"/>
      <c r="K8" s="402"/>
      <c r="L8" s="402"/>
      <c r="M8" s="402"/>
      <c r="N8" s="402"/>
      <c r="O8" s="402"/>
      <c r="P8" s="402"/>
      <c r="Q8" s="402"/>
      <c r="R8" s="402"/>
      <c r="S8" s="402"/>
      <c r="T8" s="402"/>
      <c r="U8" s="402"/>
      <c r="V8" s="402"/>
      <c r="W8" s="402"/>
      <c r="X8" s="402"/>
      <c r="Y8" s="402"/>
      <c r="Z8" s="402"/>
      <c r="AA8" s="402"/>
      <c r="AB8" s="402"/>
      <c r="AC8" s="402"/>
      <c r="AD8" s="402"/>
      <c r="AE8" s="402"/>
      <c r="AF8" s="402"/>
    </row>
    <row r="9" s="396" customFormat="true" ht="15.75" hidden="false" customHeight="true" outlineLevel="0" collapsed="false">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402"/>
      <c r="AB9" s="402"/>
      <c r="AC9" s="402"/>
      <c r="AD9" s="402"/>
      <c r="AE9" s="402"/>
      <c r="AF9" s="402"/>
    </row>
    <row r="10" s="396" customFormat="true" ht="15.75" hidden="false" customHeight="true" outlineLevel="0" collapsed="false">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402"/>
      <c r="AB10" s="402"/>
      <c r="AC10" s="402"/>
      <c r="AD10" s="402"/>
      <c r="AE10" s="402"/>
      <c r="AF10" s="402"/>
    </row>
    <row r="11" s="396" customFormat="true" ht="15.75" hidden="false" customHeight="true" outlineLevel="0" collapsed="false">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402"/>
      <c r="AB11" s="402"/>
      <c r="AC11" s="402"/>
      <c r="AD11" s="402"/>
      <c r="AE11" s="402"/>
      <c r="AF11" s="402"/>
    </row>
    <row r="12" s="396" customFormat="true" ht="15.75" hidden="false" customHeight="true" outlineLevel="0" collapsed="false">
      <c r="A12" s="402"/>
      <c r="B12" s="402"/>
      <c r="C12" s="402"/>
      <c r="D12" s="402"/>
      <c r="E12" s="402"/>
      <c r="F12" s="402"/>
      <c r="G12" s="402"/>
      <c r="H12" s="402"/>
      <c r="I12" s="402"/>
      <c r="J12" s="402"/>
      <c r="K12" s="402"/>
      <c r="L12" s="402"/>
      <c r="M12" s="402"/>
      <c r="N12" s="402"/>
      <c r="O12" s="402"/>
      <c r="P12" s="402"/>
      <c r="Q12" s="402"/>
      <c r="R12" s="402"/>
      <c r="S12" s="402"/>
      <c r="T12" s="402"/>
      <c r="U12" s="402"/>
      <c r="V12" s="402"/>
      <c r="W12" s="402"/>
      <c r="X12" s="402"/>
      <c r="Y12" s="402"/>
      <c r="Z12" s="402"/>
      <c r="AA12" s="402"/>
      <c r="AB12" s="402"/>
      <c r="AC12" s="402"/>
      <c r="AD12" s="402"/>
      <c r="AE12" s="402"/>
      <c r="AF12" s="402"/>
    </row>
    <row r="13" s="396" customFormat="true" ht="15.75" hidden="false" customHeight="true" outlineLevel="0" collapsed="false">
      <c r="A13" s="402"/>
      <c r="B13" s="402"/>
      <c r="C13" s="402"/>
      <c r="D13" s="402"/>
      <c r="E13" s="402"/>
      <c r="F13" s="402"/>
      <c r="G13" s="402"/>
      <c r="H13" s="402"/>
      <c r="I13" s="402"/>
      <c r="J13" s="402"/>
      <c r="K13" s="402"/>
      <c r="L13" s="402"/>
      <c r="M13" s="402"/>
      <c r="N13" s="402"/>
      <c r="O13" s="402"/>
      <c r="P13" s="402"/>
      <c r="Q13" s="402"/>
      <c r="R13" s="402"/>
      <c r="S13" s="402"/>
      <c r="T13" s="402"/>
      <c r="U13" s="402"/>
      <c r="V13" s="402"/>
      <c r="W13" s="402"/>
      <c r="X13" s="402"/>
      <c r="Y13" s="402"/>
      <c r="Z13" s="402"/>
      <c r="AA13" s="402"/>
      <c r="AB13" s="402"/>
      <c r="AC13" s="402"/>
      <c r="AD13" s="402"/>
      <c r="AE13" s="402"/>
      <c r="AF13" s="402"/>
    </row>
    <row r="14" s="396" customFormat="true" ht="15.75" hidden="false" customHeight="true" outlineLevel="0" collapsed="false">
      <c r="A14" s="401" t="s">
        <v>1527</v>
      </c>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c r="AC14" s="401"/>
      <c r="AD14" s="401"/>
      <c r="AE14" s="401"/>
      <c r="AF14" s="401"/>
    </row>
    <row r="15" s="396" customFormat="true" ht="15.75" hidden="false" customHeight="true" outlineLevel="0" collapsed="false">
      <c r="A15" s="403"/>
      <c r="B15" s="402" t="s">
        <v>1642</v>
      </c>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402"/>
      <c r="AB15" s="402"/>
      <c r="AC15" s="402"/>
      <c r="AD15" s="402"/>
      <c r="AE15" s="402"/>
      <c r="AF15" s="402"/>
    </row>
    <row r="16" s="396" customFormat="true" ht="15.75" hidden="false" customHeight="true" outlineLevel="0" collapsed="false">
      <c r="A16" s="403"/>
      <c r="B16" s="404" t="s">
        <v>1643</v>
      </c>
      <c r="C16" s="404"/>
      <c r="D16" s="404"/>
      <c r="E16" s="404"/>
      <c r="F16" s="404"/>
      <c r="G16" s="404"/>
      <c r="H16" s="404"/>
      <c r="I16" s="404"/>
      <c r="J16" s="404"/>
      <c r="K16" s="404"/>
      <c r="L16" s="404"/>
      <c r="M16" s="404"/>
      <c r="N16" s="404"/>
      <c r="O16" s="404"/>
      <c r="P16" s="404"/>
      <c r="Q16" s="404"/>
      <c r="R16" s="404"/>
      <c r="S16" s="404"/>
      <c r="T16" s="404"/>
      <c r="U16" s="404"/>
      <c r="V16" s="404"/>
      <c r="W16" s="404"/>
      <c r="X16" s="404"/>
      <c r="Y16" s="404"/>
      <c r="Z16" s="404"/>
      <c r="AA16" s="404"/>
      <c r="AB16" s="404"/>
      <c r="AC16" s="404"/>
      <c r="AD16" s="404"/>
      <c r="AE16" s="404"/>
      <c r="AF16" s="403"/>
    </row>
    <row r="17" s="396" customFormat="true" ht="15.75" hidden="false" customHeight="true" outlineLevel="0" collapsed="false">
      <c r="A17" s="403"/>
      <c r="B17" s="405"/>
      <c r="C17" s="405"/>
      <c r="D17" s="405"/>
      <c r="E17" s="405"/>
      <c r="F17" s="405"/>
      <c r="G17" s="405"/>
      <c r="H17" s="405"/>
      <c r="I17" s="405"/>
      <c r="J17" s="405"/>
      <c r="K17" s="405"/>
      <c r="L17" s="405"/>
      <c r="M17" s="405"/>
      <c r="N17" s="405"/>
      <c r="O17" s="405"/>
      <c r="P17" s="405"/>
      <c r="Q17" s="405"/>
      <c r="R17" s="405"/>
      <c r="S17" s="405"/>
      <c r="T17" s="405"/>
      <c r="U17" s="405"/>
      <c r="V17" s="405"/>
      <c r="W17" s="405"/>
      <c r="X17" s="405"/>
      <c r="Y17" s="405"/>
      <c r="Z17" s="405"/>
      <c r="AA17" s="405"/>
      <c r="AB17" s="405"/>
      <c r="AC17" s="405"/>
      <c r="AD17" s="405"/>
      <c r="AE17" s="405"/>
      <c r="AF17" s="403"/>
    </row>
    <row r="18" s="406" customFormat="true" ht="15.75" hidden="false" customHeight="true" outlineLevel="0" collapsed="false">
      <c r="A18" s="406" t="s">
        <v>1529</v>
      </c>
    </row>
    <row r="19" s="396" customFormat="true" ht="15.75" hidden="false" customHeight="true" outlineLevel="0" collapsed="false">
      <c r="A19" s="407"/>
      <c r="B19" s="408" t="s">
        <v>1644</v>
      </c>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c r="AA19" s="408"/>
      <c r="AB19" s="408"/>
      <c r="AC19" s="408"/>
      <c r="AD19" s="408"/>
      <c r="AE19" s="408"/>
      <c r="AF19" s="408"/>
    </row>
    <row r="20" s="396" customFormat="true" ht="15.75" hidden="false" customHeight="true" outlineLevel="0" collapsed="false">
      <c r="A20" s="407"/>
      <c r="B20" s="408" t="s">
        <v>1645</v>
      </c>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c r="AA20" s="408"/>
      <c r="AB20" s="408"/>
      <c r="AC20" s="408"/>
      <c r="AD20" s="408"/>
      <c r="AE20" s="408"/>
      <c r="AF20" s="408"/>
    </row>
    <row r="21" s="396" customFormat="true" ht="15.75" hidden="false" customHeight="true" outlineLevel="0" collapsed="false">
      <c r="A21" s="407"/>
      <c r="B21" s="409" t="s">
        <v>1646</v>
      </c>
      <c r="C21" s="409"/>
      <c r="D21" s="409"/>
      <c r="E21" s="409"/>
      <c r="F21" s="409"/>
      <c r="G21" s="409"/>
      <c r="H21" s="409"/>
      <c r="I21" s="409"/>
      <c r="J21" s="409"/>
      <c r="K21" s="409"/>
      <c r="L21" s="409"/>
      <c r="M21" s="409"/>
      <c r="N21" s="409"/>
      <c r="O21" s="409"/>
      <c r="P21" s="409"/>
      <c r="Q21" s="409"/>
      <c r="R21" s="409"/>
      <c r="S21" s="409"/>
      <c r="T21" s="409"/>
      <c r="U21" s="409"/>
      <c r="V21" s="409"/>
      <c r="W21" s="409"/>
      <c r="X21" s="409"/>
      <c r="Y21" s="409"/>
      <c r="Z21" s="409"/>
      <c r="AA21" s="409"/>
      <c r="AB21" s="409"/>
      <c r="AC21" s="409"/>
      <c r="AD21" s="409"/>
      <c r="AE21" s="409"/>
      <c r="AF21" s="409"/>
    </row>
    <row r="22" s="406" customFormat="true" ht="15.75" hidden="false" customHeight="true" outlineLevel="0" collapsed="false">
      <c r="A22" s="406" t="s">
        <v>1532</v>
      </c>
      <c r="B22" s="410"/>
      <c r="C22" s="410"/>
      <c r="D22" s="410"/>
      <c r="E22" s="410"/>
      <c r="F22" s="410"/>
      <c r="G22" s="410"/>
      <c r="H22" s="410"/>
      <c r="I22" s="410"/>
      <c r="J22" s="410"/>
      <c r="K22" s="410"/>
      <c r="L22" s="410"/>
      <c r="M22" s="410"/>
      <c r="N22" s="410"/>
      <c r="O22" s="410"/>
      <c r="P22" s="410"/>
      <c r="Q22" s="410"/>
      <c r="R22" s="410"/>
      <c r="S22" s="410"/>
      <c r="T22" s="410"/>
      <c r="U22" s="410"/>
      <c r="V22" s="410"/>
      <c r="W22" s="410"/>
      <c r="X22" s="410"/>
      <c r="Y22" s="410"/>
      <c r="Z22" s="410"/>
      <c r="AA22" s="410"/>
      <c r="AB22" s="410"/>
      <c r="AC22" s="410"/>
      <c r="AD22" s="410"/>
      <c r="AE22" s="410"/>
      <c r="AF22" s="410"/>
    </row>
    <row r="23" s="406" customFormat="true" ht="15.75" hidden="false" customHeight="true" outlineLevel="0" collapsed="false">
      <c r="B23" s="411" t="s">
        <v>1647</v>
      </c>
    </row>
    <row r="24" s="412" customFormat="true" ht="15.75" hidden="false" customHeight="true" outlineLevel="0" collapsed="false">
      <c r="B24" s="413" t="s">
        <v>1648</v>
      </c>
      <c r="C24" s="413"/>
      <c r="D24" s="413"/>
      <c r="E24" s="413"/>
      <c r="F24" s="413"/>
      <c r="G24" s="414" t="s">
        <v>1649</v>
      </c>
      <c r="H24" s="414"/>
      <c r="I24" s="414"/>
      <c r="J24" s="414"/>
      <c r="K24" s="415" t="s">
        <v>1650</v>
      </c>
      <c r="L24" s="415"/>
      <c r="M24" s="415"/>
      <c r="N24" s="415"/>
      <c r="O24" s="415"/>
      <c r="P24" s="416" t="s">
        <v>1651</v>
      </c>
      <c r="Q24" s="416"/>
      <c r="R24" s="416"/>
      <c r="S24" s="416"/>
      <c r="T24" s="416"/>
      <c r="AB24" s="396"/>
      <c r="AC24" s="396"/>
    </row>
    <row r="25" s="412" customFormat="true" ht="15.75" hidden="false" customHeight="true" outlineLevel="0" collapsed="false">
      <c r="B25" s="417" t="n">
        <f aca="false">Q32</f>
        <v>1070.08</v>
      </c>
      <c r="C25" s="417"/>
      <c r="D25" s="417"/>
      <c r="E25" s="417"/>
      <c r="F25" s="417"/>
      <c r="G25" s="418" t="n">
        <f aca="false">COUNTIFS(TO!G:G,"E",TO!F:F,"M28261")</f>
        <v>252</v>
      </c>
      <c r="H25" s="418"/>
      <c r="I25" s="418"/>
      <c r="J25" s="418"/>
      <c r="K25" s="419" t="n">
        <f aca="false">G25*10</f>
        <v>2520</v>
      </c>
      <c r="L25" s="419"/>
      <c r="M25" s="419"/>
      <c r="N25" s="419"/>
      <c r="O25" s="419"/>
      <c r="P25" s="420" t="n">
        <f aca="false">B25+K25</f>
        <v>3590.08</v>
      </c>
      <c r="Q25" s="420"/>
      <c r="R25" s="420"/>
      <c r="S25" s="420"/>
      <c r="T25" s="420"/>
    </row>
    <row r="26" s="406" customFormat="true" ht="15.75" hidden="false" customHeight="true" outlineLevel="0" collapsed="false">
      <c r="B26" s="411"/>
    </row>
    <row r="27" s="396" customFormat="true" ht="15.75" hidden="false" customHeight="true" outlineLevel="0" collapsed="false">
      <c r="A27" s="421"/>
      <c r="B27" s="408" t="s">
        <v>1652</v>
      </c>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c r="AA27" s="408"/>
      <c r="AB27" s="408"/>
      <c r="AC27" s="408"/>
      <c r="AD27" s="408"/>
      <c r="AE27" s="408"/>
      <c r="AF27" s="408"/>
    </row>
    <row r="28" s="396" customFormat="true" ht="15.75" hidden="false" customHeight="true" outlineLevel="0" collapsed="false">
      <c r="A28" s="421"/>
      <c r="B28" s="422" t="s">
        <v>1533</v>
      </c>
      <c r="C28" s="422"/>
      <c r="D28" s="422"/>
      <c r="E28" s="422"/>
      <c r="F28" s="422"/>
      <c r="G28" s="422"/>
      <c r="H28" s="422"/>
      <c r="I28" s="422"/>
      <c r="J28" s="422"/>
      <c r="K28" s="422"/>
      <c r="L28" s="422"/>
      <c r="M28" s="423" t="s">
        <v>1653</v>
      </c>
      <c r="N28" s="423"/>
      <c r="O28" s="423"/>
      <c r="P28" s="423"/>
      <c r="Q28" s="424" t="s">
        <v>1654</v>
      </c>
      <c r="R28" s="424"/>
      <c r="S28" s="424"/>
      <c r="T28" s="424"/>
      <c r="U28" s="425"/>
    </row>
    <row r="29" s="396" customFormat="true" ht="15.75" hidden="false" customHeight="true" outlineLevel="0" collapsed="false">
      <c r="A29" s="421"/>
      <c r="B29" s="422"/>
      <c r="C29" s="422"/>
      <c r="D29" s="422"/>
      <c r="E29" s="422"/>
      <c r="F29" s="422"/>
      <c r="G29" s="422"/>
      <c r="H29" s="422"/>
      <c r="I29" s="422"/>
      <c r="J29" s="422"/>
      <c r="K29" s="422"/>
      <c r="L29" s="422"/>
      <c r="M29" s="423"/>
      <c r="N29" s="423"/>
      <c r="O29" s="423"/>
      <c r="P29" s="423"/>
      <c r="Q29" s="426" t="n">
        <v>1.28</v>
      </c>
      <c r="R29" s="426"/>
      <c r="S29" s="426"/>
      <c r="T29" s="426"/>
      <c r="U29" s="425"/>
    </row>
    <row r="30" s="396" customFormat="true" ht="15.75" hidden="false" customHeight="true" outlineLevel="0" collapsed="false">
      <c r="A30" s="421"/>
      <c r="B30" s="427" t="s">
        <v>1069</v>
      </c>
      <c r="C30" s="427"/>
      <c r="D30" s="427"/>
      <c r="E30" s="428" t="s">
        <v>1535</v>
      </c>
      <c r="F30" s="428"/>
      <c r="G30" s="428"/>
      <c r="H30" s="428"/>
      <c r="I30" s="428"/>
      <c r="J30" s="428"/>
      <c r="K30" s="428"/>
      <c r="L30" s="428"/>
      <c r="M30" s="429" t="n">
        <f aca="false">Z420</f>
        <v>418</v>
      </c>
      <c r="N30" s="429"/>
      <c r="O30" s="429"/>
      <c r="P30" s="429"/>
      <c r="Q30" s="430" t="n">
        <f aca="false">M30*$Q$29</f>
        <v>535.04</v>
      </c>
      <c r="R30" s="430"/>
      <c r="S30" s="430"/>
      <c r="T30" s="430"/>
      <c r="U30" s="431"/>
      <c r="V30" s="432"/>
      <c r="W30" s="432"/>
      <c r="X30" s="432"/>
      <c r="Y30" s="432"/>
    </row>
    <row r="31" s="396" customFormat="true" ht="15.75" hidden="false" customHeight="true" outlineLevel="0" collapsed="false">
      <c r="A31" s="421"/>
      <c r="B31" s="433" t="s">
        <v>1478</v>
      </c>
      <c r="C31" s="433"/>
      <c r="D31" s="433"/>
      <c r="E31" s="434" t="s">
        <v>1536</v>
      </c>
      <c r="F31" s="434"/>
      <c r="G31" s="434"/>
      <c r="H31" s="434"/>
      <c r="I31" s="434"/>
      <c r="J31" s="434"/>
      <c r="K31" s="434"/>
      <c r="L31" s="434"/>
      <c r="M31" s="435" t="n">
        <f aca="false">Z803</f>
        <v>418</v>
      </c>
      <c r="N31" s="435"/>
      <c r="O31" s="435"/>
      <c r="P31" s="435"/>
      <c r="Q31" s="436" t="n">
        <f aca="false">M31*$Q$29</f>
        <v>535.04</v>
      </c>
      <c r="R31" s="436"/>
      <c r="S31" s="436"/>
      <c r="T31" s="436"/>
      <c r="U31" s="431"/>
      <c r="V31" s="432"/>
      <c r="W31" s="432"/>
      <c r="X31" s="432"/>
      <c r="Y31" s="432"/>
    </row>
    <row r="32" s="396" customFormat="true" ht="15.75" hidden="false" customHeight="true" outlineLevel="0" collapsed="false">
      <c r="A32" s="421"/>
      <c r="B32" s="437"/>
      <c r="C32" s="437"/>
      <c r="D32" s="437"/>
      <c r="E32" s="438"/>
      <c r="F32" s="438"/>
      <c r="G32" s="438"/>
      <c r="H32" s="438"/>
      <c r="I32" s="438"/>
      <c r="J32" s="438"/>
      <c r="K32" s="438"/>
      <c r="L32" s="438"/>
      <c r="M32" s="439"/>
      <c r="N32" s="439"/>
      <c r="O32" s="439"/>
      <c r="P32" s="440" t="s">
        <v>25</v>
      </c>
      <c r="Q32" s="441" t="n">
        <f aca="false">SUM(Q30:T31)</f>
        <v>1070.08</v>
      </c>
      <c r="R32" s="441"/>
      <c r="S32" s="441"/>
      <c r="T32" s="441"/>
      <c r="U32" s="431"/>
      <c r="V32" s="439"/>
      <c r="W32" s="439"/>
      <c r="X32" s="439"/>
      <c r="Y32" s="439"/>
    </row>
    <row r="33" s="396" customFormat="true" ht="15.75" hidden="false" customHeight="true" outlineLevel="0" collapsed="false">
      <c r="A33" s="421"/>
      <c r="B33" s="442"/>
      <c r="C33" s="442"/>
      <c r="D33" s="442"/>
      <c r="E33" s="443"/>
      <c r="F33" s="443"/>
      <c r="G33" s="443"/>
      <c r="H33" s="443"/>
      <c r="I33" s="443"/>
      <c r="J33" s="443"/>
      <c r="K33" s="443"/>
      <c r="L33" s="443"/>
      <c r="M33" s="439"/>
      <c r="N33" s="439"/>
      <c r="O33" s="439"/>
      <c r="U33" s="431"/>
      <c r="V33" s="439"/>
      <c r="W33" s="439"/>
      <c r="X33" s="439"/>
      <c r="Y33" s="439"/>
    </row>
    <row r="34" s="396" customFormat="true" ht="15.75" hidden="false" customHeight="true" outlineLevel="0" collapsed="false">
      <c r="A34" s="421"/>
      <c r="B34" s="444" t="s">
        <v>1655</v>
      </c>
      <c r="C34" s="444"/>
      <c r="D34" s="444"/>
      <c r="E34" s="444"/>
      <c r="F34" s="444"/>
      <c r="G34" s="444"/>
      <c r="H34" s="444"/>
      <c r="I34" s="444"/>
      <c r="J34" s="444"/>
      <c r="K34" s="444"/>
      <c r="L34" s="444"/>
      <c r="M34" s="444"/>
      <c r="N34" s="444"/>
      <c r="O34" s="444"/>
      <c r="P34" s="444"/>
      <c r="Q34" s="444"/>
      <c r="R34" s="444"/>
      <c r="S34" s="444"/>
      <c r="T34" s="444"/>
      <c r="U34" s="444"/>
      <c r="V34" s="444"/>
      <c r="W34" s="444"/>
      <c r="X34" s="444"/>
      <c r="Y34" s="444"/>
      <c r="Z34" s="444"/>
      <c r="AA34" s="444"/>
      <c r="AB34" s="444"/>
      <c r="AC34" s="444"/>
      <c r="AD34" s="444"/>
      <c r="AE34" s="444"/>
    </row>
    <row r="35" s="396" customFormat="true" ht="15.75" hidden="false" customHeight="true" outlineLevel="0" collapsed="false">
      <c r="A35" s="421"/>
      <c r="B35" s="444"/>
      <c r="C35" s="444"/>
      <c r="D35" s="444"/>
      <c r="E35" s="444"/>
      <c r="F35" s="444"/>
      <c r="G35" s="444"/>
      <c r="H35" s="444"/>
      <c r="I35" s="444"/>
      <c r="J35" s="444"/>
      <c r="K35" s="444"/>
      <c r="L35" s="444"/>
      <c r="M35" s="444"/>
      <c r="N35" s="444"/>
      <c r="O35" s="444"/>
      <c r="P35" s="444"/>
      <c r="Q35" s="444"/>
      <c r="R35" s="444"/>
      <c r="S35" s="444"/>
      <c r="T35" s="444"/>
      <c r="U35" s="444"/>
      <c r="V35" s="444"/>
      <c r="W35" s="444"/>
      <c r="X35" s="444"/>
      <c r="Y35" s="444"/>
      <c r="Z35" s="444"/>
      <c r="AA35" s="444"/>
      <c r="AB35" s="444"/>
      <c r="AC35" s="444"/>
      <c r="AD35" s="444"/>
      <c r="AE35" s="444"/>
    </row>
    <row r="36" s="396" customFormat="true" ht="15.75" hidden="false" customHeight="true" outlineLevel="0" collapsed="false">
      <c r="A36" s="421"/>
      <c r="B36" s="444"/>
      <c r="C36" s="444"/>
      <c r="D36" s="444"/>
      <c r="E36" s="444"/>
      <c r="F36" s="444"/>
      <c r="G36" s="444"/>
      <c r="H36" s="444"/>
      <c r="I36" s="444"/>
      <c r="J36" s="444"/>
      <c r="K36" s="444"/>
      <c r="L36" s="444"/>
      <c r="M36" s="444"/>
      <c r="N36" s="444"/>
      <c r="O36" s="444"/>
      <c r="P36" s="444"/>
      <c r="Q36" s="444"/>
      <c r="R36" s="444"/>
      <c r="S36" s="444"/>
      <c r="T36" s="444"/>
      <c r="U36" s="444"/>
      <c r="V36" s="444"/>
      <c r="W36" s="444"/>
      <c r="X36" s="444"/>
      <c r="Y36" s="444"/>
      <c r="Z36" s="444"/>
      <c r="AA36" s="444"/>
      <c r="AB36" s="444"/>
      <c r="AC36" s="444"/>
      <c r="AD36" s="444"/>
      <c r="AE36" s="444"/>
      <c r="AF36" s="445"/>
    </row>
    <row r="37" s="396" customFormat="true" ht="15.75" hidden="false" customHeight="true" outlineLevel="0" collapsed="false">
      <c r="A37" s="421"/>
      <c r="B37" s="444"/>
      <c r="C37" s="444"/>
      <c r="D37" s="444"/>
      <c r="E37" s="444"/>
      <c r="F37" s="444"/>
      <c r="G37" s="444"/>
      <c r="H37" s="444"/>
      <c r="I37" s="444"/>
      <c r="J37" s="444"/>
      <c r="K37" s="444"/>
      <c r="L37" s="444"/>
      <c r="M37" s="444"/>
      <c r="N37" s="444"/>
      <c r="O37" s="444"/>
      <c r="P37" s="444"/>
      <c r="Q37" s="444"/>
      <c r="R37" s="444"/>
      <c r="S37" s="444"/>
      <c r="T37" s="444"/>
      <c r="U37" s="444"/>
      <c r="V37" s="444"/>
      <c r="W37" s="444"/>
      <c r="X37" s="444"/>
      <c r="Y37" s="444"/>
      <c r="Z37" s="444"/>
      <c r="AA37" s="444"/>
      <c r="AB37" s="444"/>
      <c r="AC37" s="444"/>
      <c r="AD37" s="444"/>
      <c r="AE37" s="444"/>
      <c r="AF37" s="445"/>
    </row>
    <row r="38" s="396" customFormat="true" ht="15.75" hidden="false" customHeight="true" outlineLevel="0" collapsed="false">
      <c r="A38" s="421"/>
      <c r="B38" s="444"/>
      <c r="C38" s="444"/>
      <c r="D38" s="444"/>
      <c r="E38" s="444"/>
      <c r="F38" s="444"/>
      <c r="G38" s="444"/>
      <c r="H38" s="444"/>
      <c r="I38" s="444"/>
      <c r="J38" s="444"/>
      <c r="K38" s="444"/>
      <c r="L38" s="444"/>
      <c r="M38" s="444"/>
      <c r="N38" s="444"/>
      <c r="O38" s="444"/>
      <c r="P38" s="444"/>
      <c r="Q38" s="444"/>
      <c r="R38" s="444"/>
      <c r="S38" s="444"/>
      <c r="T38" s="444"/>
      <c r="U38" s="444"/>
      <c r="V38" s="444"/>
      <c r="W38" s="444"/>
      <c r="X38" s="444"/>
      <c r="Y38" s="444"/>
      <c r="Z38" s="444"/>
      <c r="AA38" s="444"/>
      <c r="AB38" s="444"/>
      <c r="AC38" s="444"/>
      <c r="AD38" s="444"/>
      <c r="AE38" s="444"/>
      <c r="AF38" s="445"/>
    </row>
    <row r="39" s="396" customFormat="true" ht="15.75" hidden="false" customHeight="true" outlineLevel="0" collapsed="false">
      <c r="A39" s="421"/>
      <c r="B39" s="444"/>
      <c r="C39" s="444"/>
      <c r="D39" s="444"/>
      <c r="E39" s="444"/>
      <c r="F39" s="444"/>
      <c r="G39" s="444"/>
      <c r="H39" s="444"/>
      <c r="I39" s="444"/>
      <c r="J39" s="444"/>
      <c r="K39" s="444"/>
      <c r="L39" s="444"/>
      <c r="M39" s="444"/>
      <c r="N39" s="444"/>
      <c r="O39" s="444"/>
      <c r="P39" s="444"/>
      <c r="Q39" s="444"/>
      <c r="R39" s="444"/>
      <c r="S39" s="444"/>
      <c r="T39" s="444"/>
      <c r="U39" s="444"/>
      <c r="V39" s="444"/>
      <c r="W39" s="444"/>
      <c r="X39" s="444"/>
      <c r="Y39" s="444"/>
      <c r="Z39" s="444"/>
      <c r="AA39" s="444"/>
      <c r="AB39" s="444"/>
      <c r="AC39" s="444"/>
      <c r="AD39" s="444"/>
      <c r="AE39" s="444"/>
      <c r="AF39" s="445"/>
    </row>
    <row r="40" s="396" customFormat="true" ht="15.75" hidden="false" customHeight="true" outlineLevel="0" collapsed="false">
      <c r="A40" s="446" t="s">
        <v>26</v>
      </c>
      <c r="B40" s="446"/>
      <c r="C40" s="446"/>
      <c r="D40" s="446"/>
      <c r="E40" s="446"/>
      <c r="F40" s="446"/>
      <c r="G40" s="446"/>
      <c r="H40" s="447" t="n">
        <f aca="false">P25+K25</f>
        <v>6110.08</v>
      </c>
      <c r="I40" s="447"/>
      <c r="J40" s="447"/>
      <c r="K40" s="447"/>
      <c r="L40" s="448" t="s">
        <v>1656</v>
      </c>
      <c r="M40" s="449"/>
      <c r="N40" s="449"/>
      <c r="O40" s="447"/>
      <c r="P40" s="447"/>
      <c r="Q40" s="447"/>
      <c r="R40" s="448"/>
      <c r="S40" s="450"/>
      <c r="T40" s="448"/>
      <c r="U40" s="448"/>
      <c r="V40" s="448"/>
      <c r="W40" s="448"/>
      <c r="X40" s="448"/>
      <c r="Y40" s="451"/>
      <c r="Z40" s="452"/>
      <c r="AA40" s="452"/>
      <c r="AB40" s="453"/>
      <c r="AC40" s="454" t="s">
        <v>1657</v>
      </c>
      <c r="AD40" s="455" t="n">
        <v>1</v>
      </c>
      <c r="AE40" s="455" t="s">
        <v>29</v>
      </c>
      <c r="AF40" s="455" t="n">
        <v>27</v>
      </c>
    </row>
    <row r="41" s="396" customFormat="true" ht="15.75" hidden="false" customHeight="true" outlineLevel="0" collapsed="false">
      <c r="A41" s="398" t="s">
        <v>1522</v>
      </c>
      <c r="B41" s="398"/>
      <c r="C41" s="456" t="n">
        <v>14345</v>
      </c>
      <c r="D41" s="456"/>
      <c r="E41" s="456"/>
      <c r="F41" s="456"/>
      <c r="G41" s="456"/>
      <c r="H41" s="456"/>
      <c r="I41" s="456"/>
      <c r="J41" s="456"/>
      <c r="K41" s="456"/>
      <c r="L41" s="456"/>
      <c r="M41" s="398" t="s">
        <v>1523</v>
      </c>
      <c r="N41" s="398"/>
      <c r="O41" s="398"/>
      <c r="P41" s="398"/>
      <c r="Q41" s="398"/>
      <c r="R41" s="456" t="s">
        <v>15</v>
      </c>
      <c r="S41" s="456"/>
      <c r="T41" s="456"/>
      <c r="U41" s="456"/>
      <c r="V41" s="456"/>
      <c r="W41" s="456"/>
      <c r="X41" s="456"/>
      <c r="Y41" s="456"/>
      <c r="Z41" s="456"/>
      <c r="AA41" s="456"/>
      <c r="AB41" s="456"/>
      <c r="AC41" s="456"/>
      <c r="AD41" s="456"/>
      <c r="AE41" s="456"/>
      <c r="AF41" s="456"/>
    </row>
    <row r="42" s="396" customFormat="true" ht="15.75" hidden="false" customHeight="true" outlineLevel="0" collapsed="false">
      <c r="A42" s="457" t="s">
        <v>1658</v>
      </c>
      <c r="B42" s="458"/>
      <c r="C42" s="459"/>
      <c r="D42" s="459"/>
      <c r="E42" s="459"/>
      <c r="F42" s="459"/>
      <c r="G42" s="459"/>
      <c r="H42" s="459"/>
      <c r="I42" s="459"/>
      <c r="J42" s="459"/>
      <c r="K42" s="459"/>
      <c r="L42" s="459"/>
      <c r="M42" s="458"/>
      <c r="N42" s="458"/>
      <c r="O42" s="458"/>
      <c r="P42" s="459"/>
      <c r="Q42" s="458"/>
      <c r="R42" s="459"/>
      <c r="S42" s="459"/>
      <c r="T42" s="459"/>
      <c r="U42" s="459"/>
      <c r="V42" s="459"/>
      <c r="W42" s="459"/>
      <c r="X42" s="459"/>
      <c r="Y42" s="459"/>
      <c r="Z42" s="459"/>
      <c r="AA42" s="459"/>
      <c r="AB42" s="459"/>
      <c r="AC42" s="459"/>
      <c r="AD42" s="459"/>
      <c r="AE42" s="459"/>
      <c r="AF42" s="459"/>
    </row>
    <row r="43" s="396" customFormat="true" ht="15.75" hidden="false" customHeight="true" outlineLevel="0" collapsed="false">
      <c r="A43" s="460" t="str">
        <f aca="false">B30</f>
        <v>M28261</v>
      </c>
      <c r="B43" s="460"/>
      <c r="C43" s="460"/>
      <c r="D43" s="461" t="str">
        <f aca="false">E30</f>
        <v>H&amp;S CO</v>
      </c>
      <c r="E43" s="461"/>
      <c r="F43" s="461"/>
      <c r="G43" s="461"/>
      <c r="H43" s="461"/>
      <c r="I43" s="461"/>
      <c r="J43" s="461"/>
      <c r="K43" s="461"/>
      <c r="L43" s="461"/>
      <c r="M43" s="458"/>
      <c r="N43" s="458"/>
      <c r="O43" s="458"/>
      <c r="P43" s="459"/>
      <c r="Q43" s="458"/>
      <c r="R43" s="459"/>
      <c r="S43" s="459"/>
      <c r="T43" s="459"/>
      <c r="U43" s="459"/>
      <c r="V43" s="459"/>
      <c r="W43" s="459"/>
      <c r="X43" s="459"/>
      <c r="Y43" s="459"/>
      <c r="Z43" s="459"/>
      <c r="AA43" s="459"/>
      <c r="AB43" s="459"/>
      <c r="AC43" s="459"/>
      <c r="AD43" s="459"/>
      <c r="AE43" s="459"/>
      <c r="AF43" s="459"/>
    </row>
    <row r="44" s="396" customFormat="true" ht="15.75" hidden="false" customHeight="true" outlineLevel="0" collapsed="false">
      <c r="A44" s="462" t="s">
        <v>1659</v>
      </c>
      <c r="B44" s="462"/>
      <c r="C44" s="462"/>
      <c r="D44" s="463" t="s">
        <v>1660</v>
      </c>
      <c r="E44" s="463"/>
      <c r="F44" s="463"/>
      <c r="G44" s="463"/>
      <c r="H44" s="463"/>
      <c r="I44" s="463"/>
      <c r="J44" s="463"/>
      <c r="K44" s="463"/>
      <c r="L44" s="463"/>
      <c r="M44" s="464" t="s">
        <v>1661</v>
      </c>
      <c r="N44" s="464"/>
      <c r="O44" s="465" t="s">
        <v>1662</v>
      </c>
      <c r="P44" s="465"/>
      <c r="Q44" s="465" t="s">
        <v>1663</v>
      </c>
      <c r="R44" s="465"/>
      <c r="S44" s="466" t="s">
        <v>1664</v>
      </c>
      <c r="T44" s="466"/>
      <c r="U44" s="466" t="s">
        <v>1665</v>
      </c>
      <c r="V44" s="466"/>
      <c r="W44" s="464" t="s">
        <v>1666</v>
      </c>
      <c r="X44" s="464"/>
      <c r="Y44" s="467" t="s">
        <v>1667</v>
      </c>
      <c r="Z44" s="467"/>
      <c r="AA44" s="467"/>
      <c r="AB44" s="467"/>
      <c r="AC44" s="467"/>
      <c r="AD44" s="467"/>
      <c r="AE44" s="467"/>
      <c r="AF44" s="459"/>
    </row>
    <row r="45" s="396" customFormat="true" ht="15.75" hidden="false" customHeight="true" outlineLevel="0" collapsed="false">
      <c r="A45" s="462"/>
      <c r="B45" s="462"/>
      <c r="C45" s="462"/>
      <c r="D45" s="463"/>
      <c r="E45" s="463"/>
      <c r="F45" s="463"/>
      <c r="G45" s="463"/>
      <c r="H45" s="463"/>
      <c r="I45" s="463"/>
      <c r="J45" s="463"/>
      <c r="K45" s="463"/>
      <c r="L45" s="463"/>
      <c r="M45" s="464"/>
      <c r="N45" s="464"/>
      <c r="O45" s="465"/>
      <c r="P45" s="465"/>
      <c r="Q45" s="465"/>
      <c r="R45" s="465"/>
      <c r="S45" s="466"/>
      <c r="T45" s="466"/>
      <c r="U45" s="466"/>
      <c r="V45" s="466"/>
      <c r="W45" s="464"/>
      <c r="X45" s="464"/>
      <c r="Y45" s="467"/>
      <c r="Z45" s="467"/>
      <c r="AA45" s="467"/>
      <c r="AB45" s="467"/>
      <c r="AC45" s="467"/>
      <c r="AD45" s="467"/>
      <c r="AE45" s="467"/>
      <c r="AF45" s="459"/>
    </row>
    <row r="46" s="396" customFormat="true" ht="15.75" hidden="false" customHeight="true" outlineLevel="0" collapsed="false">
      <c r="A46" s="462"/>
      <c r="B46" s="462"/>
      <c r="C46" s="462"/>
      <c r="D46" s="463"/>
      <c r="E46" s="463"/>
      <c r="F46" s="463"/>
      <c r="G46" s="463"/>
      <c r="H46" s="463"/>
      <c r="I46" s="463"/>
      <c r="J46" s="463"/>
      <c r="K46" s="463"/>
      <c r="L46" s="463"/>
      <c r="M46" s="464"/>
      <c r="N46" s="464"/>
      <c r="O46" s="465"/>
      <c r="P46" s="465"/>
      <c r="Q46" s="465"/>
      <c r="R46" s="465"/>
      <c r="S46" s="466"/>
      <c r="T46" s="466"/>
      <c r="U46" s="466"/>
      <c r="V46" s="466"/>
      <c r="W46" s="464"/>
      <c r="X46" s="464"/>
      <c r="Y46" s="467"/>
      <c r="Z46" s="467"/>
      <c r="AA46" s="467"/>
      <c r="AB46" s="467"/>
      <c r="AC46" s="467"/>
      <c r="AD46" s="467"/>
      <c r="AE46" s="467"/>
      <c r="AF46" s="468"/>
    </row>
    <row r="47" s="396" customFormat="true" ht="30" hidden="false" customHeight="true" outlineLevel="0" collapsed="false">
      <c r="A47" s="469" t="s">
        <v>1668</v>
      </c>
      <c r="B47" s="469"/>
      <c r="C47" s="469"/>
      <c r="D47" s="470" t="s">
        <v>1669</v>
      </c>
      <c r="E47" s="470"/>
      <c r="F47" s="470"/>
      <c r="G47" s="470"/>
      <c r="H47" s="470"/>
      <c r="I47" s="470"/>
      <c r="J47" s="470"/>
      <c r="K47" s="470"/>
      <c r="L47" s="470"/>
      <c r="M47" s="471" t="n">
        <f aca="false">SUMIFS(TE!P:P,TE!G:G,$A$43,TE!H:H,A47)</f>
        <v>0</v>
      </c>
      <c r="N47" s="471"/>
      <c r="O47" s="472" t="n">
        <v>12</v>
      </c>
      <c r="P47" s="472"/>
      <c r="Q47" s="473" t="n">
        <f aca="false">M47/O47</f>
        <v>0</v>
      </c>
      <c r="R47" s="473"/>
      <c r="S47" s="474" t="n">
        <v>13.4</v>
      </c>
      <c r="T47" s="474"/>
      <c r="U47" s="474" t="n">
        <f aca="false">Q47*S47</f>
        <v>0</v>
      </c>
      <c r="V47" s="474"/>
      <c r="W47" s="475" t="s">
        <v>1670</v>
      </c>
      <c r="X47" s="475"/>
      <c r="Y47" s="476" t="s">
        <v>1671</v>
      </c>
      <c r="Z47" s="476"/>
      <c r="AA47" s="476"/>
      <c r="AB47" s="476"/>
      <c r="AC47" s="476"/>
      <c r="AD47" s="476"/>
      <c r="AE47" s="476"/>
      <c r="AF47" s="468"/>
    </row>
    <row r="48" s="396" customFormat="true" ht="30" hidden="false" customHeight="true" outlineLevel="0" collapsed="false">
      <c r="A48" s="477" t="s">
        <v>1672</v>
      </c>
      <c r="B48" s="477"/>
      <c r="C48" s="477"/>
      <c r="D48" s="478" t="s">
        <v>1673</v>
      </c>
      <c r="E48" s="478"/>
      <c r="F48" s="478"/>
      <c r="G48" s="478"/>
      <c r="H48" s="478"/>
      <c r="I48" s="478"/>
      <c r="J48" s="478"/>
      <c r="K48" s="478"/>
      <c r="L48" s="478"/>
      <c r="M48" s="479" t="n">
        <f aca="false">SUMIFS(TE!P:P,TE!G:G,$A$43,TE!H:H,A48)</f>
        <v>0</v>
      </c>
      <c r="N48" s="479"/>
      <c r="O48" s="480" t="n">
        <v>50</v>
      </c>
      <c r="P48" s="480"/>
      <c r="Q48" s="481" t="n">
        <f aca="false">M48/O48</f>
        <v>0</v>
      </c>
      <c r="R48" s="481"/>
      <c r="S48" s="482" t="n">
        <v>13.4</v>
      </c>
      <c r="T48" s="482"/>
      <c r="U48" s="482" t="n">
        <f aca="false">Q48*S48</f>
        <v>0</v>
      </c>
      <c r="V48" s="482"/>
      <c r="W48" s="483" t="s">
        <v>1670</v>
      </c>
      <c r="X48" s="483"/>
      <c r="Y48" s="484" t="s">
        <v>1671</v>
      </c>
      <c r="Z48" s="484"/>
      <c r="AA48" s="484"/>
      <c r="AB48" s="484"/>
      <c r="AC48" s="484"/>
      <c r="AD48" s="484"/>
      <c r="AE48" s="484"/>
      <c r="AF48" s="468"/>
    </row>
    <row r="49" s="396" customFormat="true" ht="30" hidden="false" customHeight="true" outlineLevel="0" collapsed="false">
      <c r="A49" s="477" t="s">
        <v>1674</v>
      </c>
      <c r="B49" s="477"/>
      <c r="C49" s="477"/>
      <c r="D49" s="478" t="s">
        <v>1675</v>
      </c>
      <c r="E49" s="478"/>
      <c r="F49" s="478"/>
      <c r="G49" s="478"/>
      <c r="H49" s="478"/>
      <c r="I49" s="478"/>
      <c r="J49" s="478"/>
      <c r="K49" s="478"/>
      <c r="L49" s="478"/>
      <c r="M49" s="479" t="n">
        <f aca="false">SUMIFS(TE!P:P,TE!G:G,$A$43,TE!H:H,A49)</f>
        <v>0</v>
      </c>
      <c r="N49" s="479"/>
      <c r="O49" s="480" t="n">
        <v>90</v>
      </c>
      <c r="P49" s="480"/>
      <c r="Q49" s="481" t="n">
        <f aca="false">M49/O49</f>
        <v>0</v>
      </c>
      <c r="R49" s="481"/>
      <c r="S49" s="482" t="n">
        <v>13.4</v>
      </c>
      <c r="T49" s="482"/>
      <c r="U49" s="482" t="n">
        <f aca="false">Q49*S49</f>
        <v>0</v>
      </c>
      <c r="V49" s="482"/>
      <c r="W49" s="483" t="s">
        <v>1670</v>
      </c>
      <c r="X49" s="483"/>
      <c r="Y49" s="484" t="s">
        <v>1671</v>
      </c>
      <c r="Z49" s="484"/>
      <c r="AA49" s="484"/>
      <c r="AB49" s="484"/>
      <c r="AC49" s="484"/>
      <c r="AD49" s="484"/>
      <c r="AE49" s="484"/>
      <c r="AF49" s="468"/>
    </row>
    <row r="50" s="396" customFormat="true" ht="49.5" hidden="false" customHeight="true" outlineLevel="0" collapsed="false">
      <c r="A50" s="477" t="s">
        <v>1676</v>
      </c>
      <c r="B50" s="477"/>
      <c r="C50" s="477"/>
      <c r="D50" s="478" t="s">
        <v>1677</v>
      </c>
      <c r="E50" s="478"/>
      <c r="F50" s="478"/>
      <c r="G50" s="478"/>
      <c r="H50" s="478"/>
      <c r="I50" s="478"/>
      <c r="J50" s="478"/>
      <c r="K50" s="478"/>
      <c r="L50" s="478"/>
      <c r="M50" s="479" t="n">
        <f aca="false">SUMIFS(TE!P:P,TE!G:G,$A$43,TE!H:H,A50)</f>
        <v>0</v>
      </c>
      <c r="N50" s="479"/>
      <c r="O50" s="485" t="s">
        <v>1678</v>
      </c>
      <c r="P50" s="485"/>
      <c r="Q50" s="485" t="s">
        <v>1678</v>
      </c>
      <c r="R50" s="485"/>
      <c r="S50" s="485" t="s">
        <v>1678</v>
      </c>
      <c r="T50" s="485"/>
      <c r="U50" s="485" t="s">
        <v>1678</v>
      </c>
      <c r="V50" s="485"/>
      <c r="W50" s="483" t="s">
        <v>1679</v>
      </c>
      <c r="X50" s="483"/>
      <c r="Y50" s="484" t="s">
        <v>1680</v>
      </c>
      <c r="Z50" s="484"/>
      <c r="AA50" s="484"/>
      <c r="AB50" s="484"/>
      <c r="AC50" s="484"/>
      <c r="AD50" s="484"/>
      <c r="AE50" s="484"/>
      <c r="AF50" s="468"/>
    </row>
    <row r="51" s="396" customFormat="true" ht="30" hidden="false" customHeight="true" outlineLevel="0" collapsed="false">
      <c r="A51" s="477" t="s">
        <v>1681</v>
      </c>
      <c r="B51" s="477"/>
      <c r="C51" s="477"/>
      <c r="D51" s="478" t="s">
        <v>1682</v>
      </c>
      <c r="E51" s="478"/>
      <c r="F51" s="478"/>
      <c r="G51" s="478"/>
      <c r="H51" s="478"/>
      <c r="I51" s="478"/>
      <c r="J51" s="478"/>
      <c r="K51" s="478"/>
      <c r="L51" s="478"/>
      <c r="M51" s="479" t="n">
        <f aca="false">SUMIFS(TE!P:P,TE!G:G,$A$43,TE!H:H,A51)</f>
        <v>0</v>
      </c>
      <c r="N51" s="479"/>
      <c r="O51" s="480" t="n">
        <v>16</v>
      </c>
      <c r="P51" s="480"/>
      <c r="Q51" s="481" t="n">
        <f aca="false">M51/O51</f>
        <v>0</v>
      </c>
      <c r="R51" s="481"/>
      <c r="S51" s="482" t="n">
        <v>13.4</v>
      </c>
      <c r="T51" s="482"/>
      <c r="U51" s="482" t="n">
        <f aca="false">Q51*S51</f>
        <v>0</v>
      </c>
      <c r="V51" s="482"/>
      <c r="W51" s="483" t="s">
        <v>1670</v>
      </c>
      <c r="X51" s="483"/>
      <c r="Y51" s="484" t="s">
        <v>1671</v>
      </c>
      <c r="Z51" s="484"/>
      <c r="AA51" s="484"/>
      <c r="AB51" s="484"/>
      <c r="AC51" s="484"/>
      <c r="AD51" s="484"/>
      <c r="AE51" s="484"/>
      <c r="AF51" s="468"/>
    </row>
    <row r="52" s="396" customFormat="true" ht="30" hidden="false" customHeight="true" outlineLevel="0" collapsed="false">
      <c r="A52" s="477" t="s">
        <v>1683</v>
      </c>
      <c r="B52" s="477"/>
      <c r="C52" s="477"/>
      <c r="D52" s="478" t="s">
        <v>1684</v>
      </c>
      <c r="E52" s="478"/>
      <c r="F52" s="478"/>
      <c r="G52" s="478"/>
      <c r="H52" s="478"/>
      <c r="I52" s="478"/>
      <c r="J52" s="478"/>
      <c r="K52" s="478"/>
      <c r="L52" s="478"/>
      <c r="M52" s="479" t="n">
        <f aca="false">SUMIFS(TE!P:P,TE!G:G,$A$43,TE!H:H,A52)</f>
        <v>0</v>
      </c>
      <c r="N52" s="479"/>
      <c r="O52" s="480" t="n">
        <v>12</v>
      </c>
      <c r="P52" s="480"/>
      <c r="Q52" s="481" t="n">
        <f aca="false">M52/O52</f>
        <v>0</v>
      </c>
      <c r="R52" s="481"/>
      <c r="S52" s="482" t="n">
        <v>13.4</v>
      </c>
      <c r="T52" s="482"/>
      <c r="U52" s="482" t="n">
        <f aca="false">Q52*S52</f>
        <v>0</v>
      </c>
      <c r="V52" s="482"/>
      <c r="W52" s="483" t="s">
        <v>1670</v>
      </c>
      <c r="X52" s="483"/>
      <c r="Y52" s="484" t="s">
        <v>1671</v>
      </c>
      <c r="Z52" s="484"/>
      <c r="AA52" s="484"/>
      <c r="AB52" s="484"/>
      <c r="AC52" s="484"/>
      <c r="AD52" s="484"/>
      <c r="AE52" s="484"/>
      <c r="AF52" s="468"/>
    </row>
    <row r="53" s="396" customFormat="true" ht="30" hidden="false" customHeight="true" outlineLevel="0" collapsed="false">
      <c r="A53" s="477" t="s">
        <v>1685</v>
      </c>
      <c r="B53" s="477"/>
      <c r="C53" s="477"/>
      <c r="D53" s="478" t="s">
        <v>1686</v>
      </c>
      <c r="E53" s="478"/>
      <c r="F53" s="478"/>
      <c r="G53" s="478"/>
      <c r="H53" s="478"/>
      <c r="I53" s="478"/>
      <c r="J53" s="478"/>
      <c r="K53" s="478"/>
      <c r="L53" s="478"/>
      <c r="M53" s="479" t="n">
        <f aca="false">SUMIFS(TE!P:P,TE!G:G,$A$43,TE!H:H,A53)</f>
        <v>0</v>
      </c>
      <c r="N53" s="479"/>
      <c r="O53" s="480" t="n">
        <v>2</v>
      </c>
      <c r="P53" s="480"/>
      <c r="Q53" s="481" t="n">
        <f aca="false">M53/O53</f>
        <v>0</v>
      </c>
      <c r="R53" s="481"/>
      <c r="S53" s="482" t="n">
        <v>13.4</v>
      </c>
      <c r="T53" s="482"/>
      <c r="U53" s="482" t="n">
        <f aca="false">Q53*S53</f>
        <v>0</v>
      </c>
      <c r="V53" s="482"/>
      <c r="W53" s="483" t="s">
        <v>1670</v>
      </c>
      <c r="X53" s="483"/>
      <c r="Y53" s="484" t="s">
        <v>1671</v>
      </c>
      <c r="Z53" s="484"/>
      <c r="AA53" s="484"/>
      <c r="AB53" s="484"/>
      <c r="AC53" s="484"/>
      <c r="AD53" s="484"/>
      <c r="AE53" s="484"/>
      <c r="AF53" s="468"/>
    </row>
    <row r="54" s="396" customFormat="true" ht="30" hidden="false" customHeight="true" outlineLevel="0" collapsed="false">
      <c r="A54" s="477" t="s">
        <v>1687</v>
      </c>
      <c r="B54" s="477"/>
      <c r="C54" s="477"/>
      <c r="D54" s="478" t="s">
        <v>1688</v>
      </c>
      <c r="E54" s="478"/>
      <c r="F54" s="478"/>
      <c r="G54" s="478"/>
      <c r="H54" s="478"/>
      <c r="I54" s="478"/>
      <c r="J54" s="478"/>
      <c r="K54" s="478"/>
      <c r="L54" s="478"/>
      <c r="M54" s="479" t="n">
        <f aca="false">SUMIFS(TE!P:P,TE!G:G,$A$43,TE!H:H,A54)</f>
        <v>0</v>
      </c>
      <c r="N54" s="479"/>
      <c r="O54" s="480" t="n">
        <v>112</v>
      </c>
      <c r="P54" s="480"/>
      <c r="Q54" s="481" t="n">
        <f aca="false">M54/O54</f>
        <v>0</v>
      </c>
      <c r="R54" s="481"/>
      <c r="S54" s="482" t="n">
        <v>13.4</v>
      </c>
      <c r="T54" s="482"/>
      <c r="U54" s="482" t="n">
        <f aca="false">Q54*S54</f>
        <v>0</v>
      </c>
      <c r="V54" s="482"/>
      <c r="W54" s="483" t="s">
        <v>1670</v>
      </c>
      <c r="X54" s="483"/>
      <c r="Y54" s="484" t="s">
        <v>1671</v>
      </c>
      <c r="Z54" s="484"/>
      <c r="AA54" s="484"/>
      <c r="AB54" s="484"/>
      <c r="AC54" s="484"/>
      <c r="AD54" s="484"/>
      <c r="AE54" s="484"/>
      <c r="AF54" s="468"/>
    </row>
    <row r="55" s="396" customFormat="true" ht="39.75" hidden="false" customHeight="true" outlineLevel="0" collapsed="false">
      <c r="A55" s="477" t="s">
        <v>1689</v>
      </c>
      <c r="B55" s="477"/>
      <c r="C55" s="477"/>
      <c r="D55" s="478" t="s">
        <v>1690</v>
      </c>
      <c r="E55" s="478"/>
      <c r="F55" s="478"/>
      <c r="G55" s="478"/>
      <c r="H55" s="478"/>
      <c r="I55" s="478"/>
      <c r="J55" s="478"/>
      <c r="K55" s="478"/>
      <c r="L55" s="478"/>
      <c r="M55" s="479" t="n">
        <f aca="false">SUMIFS(TE!P:P,TE!G:G,$A$43,TE!H:H,A55)</f>
        <v>0</v>
      </c>
      <c r="N55" s="479"/>
      <c r="O55" s="480" t="n">
        <v>112</v>
      </c>
      <c r="P55" s="480"/>
      <c r="Q55" s="481" t="n">
        <f aca="false">M55/O55</f>
        <v>0</v>
      </c>
      <c r="R55" s="481"/>
      <c r="S55" s="482" t="n">
        <v>13.4</v>
      </c>
      <c r="T55" s="482"/>
      <c r="U55" s="482" t="n">
        <f aca="false">Q55*S55</f>
        <v>0</v>
      </c>
      <c r="V55" s="482"/>
      <c r="W55" s="483" t="s">
        <v>1670</v>
      </c>
      <c r="X55" s="483"/>
      <c r="Y55" s="484" t="s">
        <v>1691</v>
      </c>
      <c r="Z55" s="484"/>
      <c r="AA55" s="484"/>
      <c r="AB55" s="484"/>
      <c r="AC55" s="484"/>
      <c r="AD55" s="484"/>
      <c r="AE55" s="484"/>
      <c r="AF55" s="468"/>
    </row>
    <row r="56" s="396" customFormat="true" ht="30" hidden="false" customHeight="true" outlineLevel="0" collapsed="false">
      <c r="A56" s="477" t="s">
        <v>1692</v>
      </c>
      <c r="B56" s="477"/>
      <c r="C56" s="477"/>
      <c r="D56" s="478" t="s">
        <v>1693</v>
      </c>
      <c r="E56" s="478"/>
      <c r="F56" s="478"/>
      <c r="G56" s="478"/>
      <c r="H56" s="478"/>
      <c r="I56" s="478"/>
      <c r="J56" s="478"/>
      <c r="K56" s="478"/>
      <c r="L56" s="478"/>
      <c r="M56" s="479" t="n">
        <f aca="false">SUMIFS(TE!P:P,TE!G:G,$A$43,TE!H:H,A56)</f>
        <v>0</v>
      </c>
      <c r="N56" s="479"/>
      <c r="O56" s="480" t="n">
        <v>112</v>
      </c>
      <c r="P56" s="480"/>
      <c r="Q56" s="481" t="n">
        <f aca="false">M56/O56</f>
        <v>0</v>
      </c>
      <c r="R56" s="481"/>
      <c r="S56" s="482" t="n">
        <v>13.4</v>
      </c>
      <c r="T56" s="482"/>
      <c r="U56" s="482" t="n">
        <f aca="false">Q56*S56</f>
        <v>0</v>
      </c>
      <c r="V56" s="482"/>
      <c r="W56" s="483" t="s">
        <v>1670</v>
      </c>
      <c r="X56" s="483"/>
      <c r="Y56" s="484" t="s">
        <v>1691</v>
      </c>
      <c r="Z56" s="484"/>
      <c r="AA56" s="484"/>
      <c r="AB56" s="484"/>
      <c r="AC56" s="484"/>
      <c r="AD56" s="484"/>
      <c r="AE56" s="484"/>
      <c r="AF56" s="468"/>
    </row>
    <row r="57" s="396" customFormat="true" ht="30" hidden="false" customHeight="true" outlineLevel="0" collapsed="false">
      <c r="A57" s="477" t="s">
        <v>1694</v>
      </c>
      <c r="B57" s="477"/>
      <c r="C57" s="477"/>
      <c r="D57" s="478" t="s">
        <v>1695</v>
      </c>
      <c r="E57" s="478"/>
      <c r="F57" s="478"/>
      <c r="G57" s="478"/>
      <c r="H57" s="478"/>
      <c r="I57" s="478"/>
      <c r="J57" s="478"/>
      <c r="K57" s="478"/>
      <c r="L57" s="478"/>
      <c r="M57" s="479" t="n">
        <f aca="false">SUMIFS(TE!P:P,TE!G:G,$A$43,TE!H:H,A57)</f>
        <v>0</v>
      </c>
      <c r="N57" s="479"/>
      <c r="O57" s="485" t="s">
        <v>1678</v>
      </c>
      <c r="P57" s="485"/>
      <c r="Q57" s="485" t="s">
        <v>1678</v>
      </c>
      <c r="R57" s="485"/>
      <c r="S57" s="485" t="s">
        <v>1678</v>
      </c>
      <c r="T57" s="485"/>
      <c r="U57" s="485" t="s">
        <v>1678</v>
      </c>
      <c r="V57" s="485"/>
      <c r="W57" s="483" t="s">
        <v>1679</v>
      </c>
      <c r="X57" s="483"/>
      <c r="Y57" s="484" t="s">
        <v>1696</v>
      </c>
      <c r="Z57" s="484"/>
      <c r="AA57" s="484"/>
      <c r="AB57" s="484"/>
      <c r="AC57" s="484"/>
      <c r="AD57" s="484"/>
      <c r="AE57" s="484"/>
      <c r="AF57" s="468"/>
    </row>
    <row r="58" s="396" customFormat="true" ht="30" hidden="false" customHeight="true" outlineLevel="0" collapsed="false">
      <c r="A58" s="477" t="s">
        <v>1697</v>
      </c>
      <c r="B58" s="477"/>
      <c r="C58" s="477"/>
      <c r="D58" s="478" t="s">
        <v>1698</v>
      </c>
      <c r="E58" s="478"/>
      <c r="F58" s="478"/>
      <c r="G58" s="478"/>
      <c r="H58" s="478"/>
      <c r="I58" s="478"/>
      <c r="J58" s="478"/>
      <c r="K58" s="478"/>
      <c r="L58" s="478"/>
      <c r="M58" s="479" t="n">
        <f aca="false">SUMIFS(TE!P:P,TE!G:G,$A$43,TE!H:H,A58)</f>
        <v>0</v>
      </c>
      <c r="N58" s="479"/>
      <c r="O58" s="480" t="n">
        <v>90</v>
      </c>
      <c r="P58" s="480"/>
      <c r="Q58" s="481" t="n">
        <f aca="false">M58/O58</f>
        <v>0</v>
      </c>
      <c r="R58" s="481"/>
      <c r="S58" s="482" t="n">
        <v>13.4</v>
      </c>
      <c r="T58" s="482"/>
      <c r="U58" s="482" t="n">
        <f aca="false">Q58*S58</f>
        <v>0</v>
      </c>
      <c r="V58" s="482"/>
      <c r="W58" s="483" t="s">
        <v>1670</v>
      </c>
      <c r="X58" s="483"/>
      <c r="Y58" s="484" t="s">
        <v>1671</v>
      </c>
      <c r="Z58" s="484"/>
      <c r="AA58" s="484"/>
      <c r="AB58" s="484"/>
      <c r="AC58" s="484"/>
      <c r="AD58" s="484"/>
      <c r="AE58" s="484"/>
      <c r="AF58" s="468"/>
    </row>
    <row r="59" s="396" customFormat="true" ht="30" hidden="false" customHeight="true" outlineLevel="0" collapsed="false">
      <c r="A59" s="477" t="s">
        <v>1699</v>
      </c>
      <c r="B59" s="477"/>
      <c r="C59" s="477"/>
      <c r="D59" s="478" t="s">
        <v>1700</v>
      </c>
      <c r="E59" s="478"/>
      <c r="F59" s="478"/>
      <c r="G59" s="478"/>
      <c r="H59" s="478"/>
      <c r="I59" s="478"/>
      <c r="J59" s="478"/>
      <c r="K59" s="478"/>
      <c r="L59" s="478"/>
      <c r="M59" s="479" t="n">
        <f aca="false">SUMIFS(TE!P:P,TE!G:G,$A$43,TE!H:H,A59)</f>
        <v>143</v>
      </c>
      <c r="N59" s="479"/>
      <c r="O59" s="485" t="s">
        <v>1678</v>
      </c>
      <c r="P59" s="485"/>
      <c r="Q59" s="485" t="s">
        <v>1678</v>
      </c>
      <c r="R59" s="485"/>
      <c r="S59" s="485" t="s">
        <v>1678</v>
      </c>
      <c r="T59" s="485"/>
      <c r="U59" s="485" t="s">
        <v>1678</v>
      </c>
      <c r="V59" s="485"/>
      <c r="W59" s="483" t="s">
        <v>1679</v>
      </c>
      <c r="X59" s="483"/>
      <c r="Y59" s="484" t="s">
        <v>1701</v>
      </c>
      <c r="Z59" s="484"/>
      <c r="AA59" s="484"/>
      <c r="AB59" s="484"/>
      <c r="AC59" s="484"/>
      <c r="AD59" s="484"/>
      <c r="AE59" s="484"/>
      <c r="AF59" s="468"/>
    </row>
    <row r="60" s="396" customFormat="true" ht="30" hidden="false" customHeight="true" outlineLevel="0" collapsed="false">
      <c r="A60" s="477" t="s">
        <v>1702</v>
      </c>
      <c r="B60" s="477"/>
      <c r="C60" s="477"/>
      <c r="D60" s="478" t="s">
        <v>1703</v>
      </c>
      <c r="E60" s="478"/>
      <c r="F60" s="478"/>
      <c r="G60" s="478"/>
      <c r="H60" s="478"/>
      <c r="I60" s="478"/>
      <c r="J60" s="478"/>
      <c r="K60" s="478"/>
      <c r="L60" s="478"/>
      <c r="M60" s="479" t="n">
        <f aca="false">SUMIFS(TE!P:P,TE!G:G,$A$43,TE!H:H,A60)</f>
        <v>0</v>
      </c>
      <c r="N60" s="479"/>
      <c r="O60" s="480" t="n">
        <v>24</v>
      </c>
      <c r="P60" s="480"/>
      <c r="Q60" s="481" t="n">
        <f aca="false">M60/O60</f>
        <v>0</v>
      </c>
      <c r="R60" s="481"/>
      <c r="S60" s="482" t="n">
        <v>13.4</v>
      </c>
      <c r="T60" s="482"/>
      <c r="U60" s="482" t="n">
        <f aca="false">Q60*S60</f>
        <v>0</v>
      </c>
      <c r="V60" s="482"/>
      <c r="W60" s="483" t="s">
        <v>1670</v>
      </c>
      <c r="X60" s="483"/>
      <c r="Y60" s="484" t="s">
        <v>1671</v>
      </c>
      <c r="Z60" s="484"/>
      <c r="AA60" s="484"/>
      <c r="AB60" s="484"/>
      <c r="AC60" s="484"/>
      <c r="AD60" s="484"/>
      <c r="AE60" s="484"/>
      <c r="AF60" s="468"/>
    </row>
    <row r="61" s="396" customFormat="true" ht="30" hidden="false" customHeight="true" outlineLevel="0" collapsed="false">
      <c r="A61" s="477" t="s">
        <v>1704</v>
      </c>
      <c r="B61" s="477"/>
      <c r="C61" s="477"/>
      <c r="D61" s="478" t="s">
        <v>1705</v>
      </c>
      <c r="E61" s="478"/>
      <c r="F61" s="478"/>
      <c r="G61" s="478"/>
      <c r="H61" s="478"/>
      <c r="I61" s="478"/>
      <c r="J61" s="478"/>
      <c r="K61" s="478"/>
      <c r="L61" s="478"/>
      <c r="M61" s="479" t="n">
        <f aca="false">SUMIFS(TE!P:P,TE!G:G,$A$43,TE!H:H,A61)</f>
        <v>0</v>
      </c>
      <c r="N61" s="479"/>
      <c r="O61" s="485" t="s">
        <v>1678</v>
      </c>
      <c r="P61" s="485"/>
      <c r="Q61" s="481" t="n">
        <f aca="false">M62/O62</f>
        <v>0</v>
      </c>
      <c r="R61" s="481"/>
      <c r="S61" s="482" t="n">
        <v>13.4</v>
      </c>
      <c r="T61" s="482"/>
      <c r="U61" s="482" t="n">
        <f aca="false">Q61*S61</f>
        <v>0</v>
      </c>
      <c r="V61" s="482"/>
      <c r="W61" s="483" t="s">
        <v>1670</v>
      </c>
      <c r="X61" s="483"/>
      <c r="Y61" s="484" t="s">
        <v>1691</v>
      </c>
      <c r="Z61" s="484"/>
      <c r="AA61" s="484"/>
      <c r="AB61" s="484"/>
      <c r="AC61" s="484"/>
      <c r="AD61" s="484"/>
      <c r="AE61" s="484"/>
      <c r="AF61" s="468"/>
    </row>
    <row r="62" s="396" customFormat="true" ht="30" hidden="false" customHeight="true" outlineLevel="0" collapsed="false">
      <c r="A62" s="477" t="s">
        <v>1706</v>
      </c>
      <c r="B62" s="477"/>
      <c r="C62" s="477"/>
      <c r="D62" s="478" t="s">
        <v>1707</v>
      </c>
      <c r="E62" s="478"/>
      <c r="F62" s="478"/>
      <c r="G62" s="478"/>
      <c r="H62" s="478"/>
      <c r="I62" s="478"/>
      <c r="J62" s="478"/>
      <c r="K62" s="478"/>
      <c r="L62" s="478"/>
      <c r="M62" s="479" t="n">
        <f aca="false">SUMIFS(TE!P:P,TE!G:G,$A$43,TE!H:H,A62)</f>
        <v>0</v>
      </c>
      <c r="N62" s="479"/>
      <c r="O62" s="480" t="n">
        <v>72</v>
      </c>
      <c r="P62" s="480"/>
      <c r="Q62" s="481" t="n">
        <f aca="false">M63/O63</f>
        <v>0</v>
      </c>
      <c r="R62" s="481"/>
      <c r="S62" s="482" t="n">
        <v>13.4</v>
      </c>
      <c r="T62" s="482"/>
      <c r="U62" s="482" t="n">
        <f aca="false">Q62*S62</f>
        <v>0</v>
      </c>
      <c r="V62" s="482"/>
      <c r="W62" s="483" t="s">
        <v>1670</v>
      </c>
      <c r="X62" s="483"/>
      <c r="Y62" s="484" t="s">
        <v>1671</v>
      </c>
      <c r="Z62" s="484"/>
      <c r="AA62" s="484"/>
      <c r="AB62" s="484"/>
      <c r="AC62" s="484"/>
      <c r="AD62" s="484"/>
      <c r="AE62" s="484"/>
      <c r="AF62" s="468"/>
    </row>
    <row r="63" s="396" customFormat="true" ht="30" hidden="false" customHeight="true" outlineLevel="0" collapsed="false">
      <c r="A63" s="477" t="s">
        <v>1708</v>
      </c>
      <c r="B63" s="477"/>
      <c r="C63" s="477"/>
      <c r="D63" s="478" t="s">
        <v>1709</v>
      </c>
      <c r="E63" s="478"/>
      <c r="F63" s="478"/>
      <c r="G63" s="478"/>
      <c r="H63" s="478"/>
      <c r="I63" s="478"/>
      <c r="J63" s="478"/>
      <c r="K63" s="478"/>
      <c r="L63" s="478"/>
      <c r="M63" s="479" t="n">
        <f aca="false">SUMIFS(TE!P:P,TE!G:G,$A$43,TE!H:H,A63)</f>
        <v>0</v>
      </c>
      <c r="N63" s="479"/>
      <c r="O63" s="480" t="n">
        <v>10</v>
      </c>
      <c r="P63" s="480"/>
      <c r="Q63" s="481" t="n">
        <f aca="false">ROUNDUP(M63/O63,0)</f>
        <v>0</v>
      </c>
      <c r="R63" s="481"/>
      <c r="S63" s="482" t="n">
        <v>13.4</v>
      </c>
      <c r="T63" s="482"/>
      <c r="U63" s="482" t="n">
        <f aca="false">Q63*S63</f>
        <v>0</v>
      </c>
      <c r="V63" s="482"/>
      <c r="W63" s="483" t="s">
        <v>1710</v>
      </c>
      <c r="X63" s="483"/>
      <c r="Y63" s="484" t="s">
        <v>1711</v>
      </c>
      <c r="Z63" s="484"/>
      <c r="AA63" s="484"/>
      <c r="AB63" s="484"/>
      <c r="AC63" s="484"/>
      <c r="AD63" s="484"/>
      <c r="AE63" s="484"/>
      <c r="AF63" s="468"/>
    </row>
    <row r="64" s="396" customFormat="true" ht="30" hidden="false" customHeight="true" outlineLevel="0" collapsed="false">
      <c r="A64" s="477" t="s">
        <v>1712</v>
      </c>
      <c r="B64" s="477"/>
      <c r="C64" s="477"/>
      <c r="D64" s="478" t="s">
        <v>1713</v>
      </c>
      <c r="E64" s="478"/>
      <c r="F64" s="478"/>
      <c r="G64" s="478"/>
      <c r="H64" s="478"/>
      <c r="I64" s="478"/>
      <c r="J64" s="478"/>
      <c r="K64" s="478"/>
      <c r="L64" s="478"/>
      <c r="M64" s="479" t="n">
        <f aca="false">SUMIFS(TE!P:P,TE!G:G,$A$43,TE!H:H,A64)</f>
        <v>0</v>
      </c>
      <c r="N64" s="479"/>
      <c r="O64" s="480" t="n">
        <v>8</v>
      </c>
      <c r="P64" s="480"/>
      <c r="Q64" s="481" t="n">
        <f aca="false">M64/O64</f>
        <v>0</v>
      </c>
      <c r="R64" s="481"/>
      <c r="S64" s="482" t="n">
        <v>13.4</v>
      </c>
      <c r="T64" s="482"/>
      <c r="U64" s="482" t="n">
        <f aca="false">Q64*S64</f>
        <v>0</v>
      </c>
      <c r="V64" s="482"/>
      <c r="W64" s="483" t="s">
        <v>1670</v>
      </c>
      <c r="X64" s="483"/>
      <c r="Y64" s="484" t="s">
        <v>1671</v>
      </c>
      <c r="Z64" s="484"/>
      <c r="AA64" s="484"/>
      <c r="AB64" s="484"/>
      <c r="AC64" s="484"/>
      <c r="AD64" s="484"/>
      <c r="AE64" s="484"/>
      <c r="AF64" s="468"/>
    </row>
    <row r="65" s="396" customFormat="true" ht="30" hidden="false" customHeight="true" outlineLevel="0" collapsed="false">
      <c r="A65" s="486" t="s">
        <v>1714</v>
      </c>
      <c r="B65" s="486"/>
      <c r="C65" s="486"/>
      <c r="D65" s="487" t="s">
        <v>1715</v>
      </c>
      <c r="E65" s="487"/>
      <c r="F65" s="487"/>
      <c r="G65" s="487"/>
      <c r="H65" s="487"/>
      <c r="I65" s="487"/>
      <c r="J65" s="487"/>
      <c r="K65" s="487"/>
      <c r="L65" s="487"/>
      <c r="M65" s="488" t="n">
        <f aca="false">SUMIFS(TE!P:P,TE!G:G,$A$43,TE!H:H,A65)</f>
        <v>0</v>
      </c>
      <c r="N65" s="488"/>
      <c r="O65" s="489" t="n">
        <v>1</v>
      </c>
      <c r="P65" s="489"/>
      <c r="Q65" s="490" t="n">
        <f aca="false">ROUNDUP(M65/O65,0)</f>
        <v>0</v>
      </c>
      <c r="R65" s="490"/>
      <c r="S65" s="491" t="n">
        <v>17.3</v>
      </c>
      <c r="T65" s="491"/>
      <c r="U65" s="491" t="n">
        <f aca="false">Q65*S65</f>
        <v>0</v>
      </c>
      <c r="V65" s="491"/>
      <c r="W65" s="492" t="s">
        <v>1716</v>
      </c>
      <c r="X65" s="492"/>
      <c r="Y65" s="493" t="s">
        <v>1717</v>
      </c>
      <c r="Z65" s="493"/>
      <c r="AA65" s="493"/>
      <c r="AB65" s="493"/>
      <c r="AC65" s="493"/>
      <c r="AD65" s="493"/>
      <c r="AE65" s="493"/>
      <c r="AF65" s="468"/>
    </row>
    <row r="66" s="396" customFormat="true" ht="15.75" hidden="false" customHeight="true" outlineLevel="0" collapsed="false">
      <c r="A66" s="494"/>
      <c r="B66" s="494"/>
      <c r="C66" s="494"/>
      <c r="D66" s="494"/>
      <c r="E66" s="494"/>
      <c r="F66" s="494"/>
      <c r="G66" s="494"/>
      <c r="H66" s="494"/>
      <c r="I66" s="494"/>
      <c r="J66" s="494"/>
      <c r="K66" s="494"/>
      <c r="L66" s="494"/>
      <c r="M66" s="494"/>
      <c r="N66" s="494"/>
      <c r="O66" s="494"/>
      <c r="P66" s="494"/>
      <c r="Q66" s="494"/>
      <c r="R66" s="494"/>
      <c r="S66" s="494"/>
      <c r="T66" s="494"/>
      <c r="U66" s="494"/>
      <c r="V66" s="494"/>
      <c r="W66" s="494"/>
      <c r="X66" s="494"/>
      <c r="Y66" s="494"/>
      <c r="Z66" s="494"/>
      <c r="AA66" s="494"/>
      <c r="AB66" s="494"/>
      <c r="AC66" s="494"/>
      <c r="AD66" s="494"/>
      <c r="AE66" s="494"/>
      <c r="AF66" s="468"/>
    </row>
    <row r="67" s="396" customFormat="true" ht="15.75" hidden="false" customHeight="true" outlineLevel="0" collapsed="false">
      <c r="A67" s="495"/>
      <c r="B67" s="495"/>
      <c r="C67" s="495"/>
      <c r="D67" s="495"/>
      <c r="E67" s="495"/>
      <c r="F67" s="495"/>
      <c r="G67" s="495"/>
      <c r="H67" s="495"/>
      <c r="I67" s="495"/>
      <c r="J67" s="495"/>
      <c r="K67" s="495"/>
      <c r="L67" s="495"/>
      <c r="M67" s="495"/>
      <c r="N67" s="495"/>
      <c r="O67" s="495"/>
      <c r="P67" s="495"/>
      <c r="Q67" s="495"/>
      <c r="R67" s="495"/>
      <c r="S67" s="495"/>
      <c r="T67" s="495"/>
      <c r="U67" s="495"/>
      <c r="V67" s="495"/>
      <c r="W67" s="495"/>
      <c r="X67" s="495"/>
      <c r="Y67" s="495"/>
      <c r="Z67" s="495"/>
      <c r="AA67" s="495"/>
      <c r="AB67" s="453"/>
      <c r="AC67" s="454" t="s">
        <v>1657</v>
      </c>
      <c r="AD67" s="455" t="n">
        <v>2</v>
      </c>
      <c r="AE67" s="455" t="s">
        <v>29</v>
      </c>
      <c r="AF67" s="455" t="n">
        <v>27</v>
      </c>
    </row>
    <row r="68" s="396" customFormat="true" ht="15.75" hidden="false" customHeight="true" outlineLevel="0" collapsed="false">
      <c r="A68" s="398" t="s">
        <v>1522</v>
      </c>
      <c r="B68" s="398"/>
      <c r="C68" s="456" t="n">
        <v>14345</v>
      </c>
      <c r="D68" s="456"/>
      <c r="E68" s="456"/>
      <c r="F68" s="456"/>
      <c r="G68" s="456"/>
      <c r="H68" s="456"/>
      <c r="I68" s="456"/>
      <c r="J68" s="456"/>
      <c r="K68" s="456"/>
      <c r="L68" s="456"/>
      <c r="M68" s="398" t="s">
        <v>1523</v>
      </c>
      <c r="N68" s="398"/>
      <c r="O68" s="398"/>
      <c r="P68" s="398"/>
      <c r="Q68" s="398"/>
      <c r="R68" s="456" t="s">
        <v>15</v>
      </c>
      <c r="S68" s="456"/>
      <c r="T68" s="456"/>
      <c r="U68" s="456"/>
      <c r="V68" s="456"/>
      <c r="W68" s="456"/>
      <c r="X68" s="456"/>
      <c r="Y68" s="456"/>
      <c r="Z68" s="456"/>
      <c r="AA68" s="456"/>
      <c r="AB68" s="456"/>
      <c r="AC68" s="456"/>
      <c r="AD68" s="456"/>
      <c r="AE68" s="456"/>
      <c r="AF68" s="456"/>
    </row>
    <row r="69" s="396" customFormat="true" ht="15.75" hidden="false" customHeight="true" outlineLevel="0" collapsed="false">
      <c r="A69" s="458"/>
      <c r="B69" s="458"/>
      <c r="C69" s="459"/>
      <c r="D69" s="459"/>
      <c r="E69" s="459"/>
      <c r="F69" s="459"/>
      <c r="G69" s="459"/>
      <c r="H69" s="459"/>
      <c r="I69" s="459"/>
      <c r="J69" s="459"/>
      <c r="K69" s="459"/>
      <c r="L69" s="459"/>
      <c r="M69" s="458"/>
      <c r="N69" s="458"/>
      <c r="O69" s="458"/>
      <c r="P69" s="458"/>
      <c r="Q69" s="458"/>
      <c r="R69" s="459"/>
      <c r="S69" s="459"/>
      <c r="T69" s="459"/>
      <c r="U69" s="459"/>
      <c r="V69" s="459"/>
      <c r="W69" s="459"/>
      <c r="X69" s="459"/>
      <c r="Y69" s="459"/>
      <c r="Z69" s="459"/>
      <c r="AA69" s="459"/>
      <c r="AB69" s="459"/>
      <c r="AC69" s="459"/>
      <c r="AD69" s="459"/>
      <c r="AE69" s="459"/>
      <c r="AF69" s="459"/>
    </row>
    <row r="70" s="396" customFormat="true" ht="15.75" hidden="false" customHeight="true" outlineLevel="0" collapsed="false">
      <c r="A70" s="460" t="str">
        <f aca="false">A43</f>
        <v>M28261</v>
      </c>
      <c r="B70" s="460"/>
      <c r="C70" s="460"/>
      <c r="D70" s="461" t="str">
        <f aca="false">D43</f>
        <v>H&amp;S CO</v>
      </c>
      <c r="E70" s="461"/>
      <c r="F70" s="461"/>
      <c r="G70" s="461"/>
      <c r="H70" s="461"/>
      <c r="I70" s="461"/>
      <c r="J70" s="461"/>
      <c r="K70" s="461"/>
      <c r="L70" s="461"/>
      <c r="M70" s="458"/>
      <c r="N70" s="458"/>
      <c r="O70" s="458"/>
      <c r="P70" s="459"/>
      <c r="Q70" s="458"/>
      <c r="R70" s="459"/>
      <c r="S70" s="459"/>
      <c r="T70" s="459"/>
      <c r="U70" s="459"/>
      <c r="V70" s="459"/>
      <c r="W70" s="459"/>
      <c r="X70" s="459"/>
      <c r="Y70" s="459"/>
      <c r="Z70" s="459"/>
      <c r="AA70" s="459"/>
      <c r="AB70" s="459"/>
      <c r="AC70" s="459"/>
      <c r="AD70" s="459"/>
      <c r="AE70" s="459"/>
      <c r="AF70" s="459"/>
    </row>
    <row r="71" s="396" customFormat="true" ht="15.75" hidden="false" customHeight="true" outlineLevel="0" collapsed="false">
      <c r="A71" s="462" t="s">
        <v>1659</v>
      </c>
      <c r="B71" s="462"/>
      <c r="C71" s="462"/>
      <c r="D71" s="463" t="s">
        <v>1660</v>
      </c>
      <c r="E71" s="463"/>
      <c r="F71" s="463"/>
      <c r="G71" s="463"/>
      <c r="H71" s="463"/>
      <c r="I71" s="463"/>
      <c r="J71" s="463"/>
      <c r="K71" s="463"/>
      <c r="L71" s="463"/>
      <c r="M71" s="464" t="s">
        <v>1661</v>
      </c>
      <c r="N71" s="464"/>
      <c r="O71" s="465" t="s">
        <v>1662</v>
      </c>
      <c r="P71" s="465"/>
      <c r="Q71" s="465" t="s">
        <v>1663</v>
      </c>
      <c r="R71" s="465"/>
      <c r="S71" s="466" t="s">
        <v>1664</v>
      </c>
      <c r="T71" s="466"/>
      <c r="U71" s="466" t="s">
        <v>1665</v>
      </c>
      <c r="V71" s="466"/>
      <c r="W71" s="464" t="s">
        <v>1666</v>
      </c>
      <c r="X71" s="464"/>
      <c r="Y71" s="467" t="s">
        <v>1667</v>
      </c>
      <c r="Z71" s="467"/>
      <c r="AA71" s="467"/>
      <c r="AB71" s="467"/>
      <c r="AC71" s="467"/>
      <c r="AD71" s="467"/>
      <c r="AE71" s="467"/>
      <c r="AF71" s="459"/>
    </row>
    <row r="72" s="396" customFormat="true" ht="15.75" hidden="false" customHeight="true" outlineLevel="0" collapsed="false">
      <c r="A72" s="462"/>
      <c r="B72" s="462"/>
      <c r="C72" s="462"/>
      <c r="D72" s="463"/>
      <c r="E72" s="463"/>
      <c r="F72" s="463"/>
      <c r="G72" s="463"/>
      <c r="H72" s="463"/>
      <c r="I72" s="463"/>
      <c r="J72" s="463"/>
      <c r="K72" s="463"/>
      <c r="L72" s="463"/>
      <c r="M72" s="464"/>
      <c r="N72" s="464"/>
      <c r="O72" s="465"/>
      <c r="P72" s="465"/>
      <c r="Q72" s="465"/>
      <c r="R72" s="465"/>
      <c r="S72" s="466"/>
      <c r="T72" s="466"/>
      <c r="U72" s="466"/>
      <c r="V72" s="466"/>
      <c r="W72" s="464"/>
      <c r="X72" s="464"/>
      <c r="Y72" s="467"/>
      <c r="Z72" s="467"/>
      <c r="AA72" s="467"/>
      <c r="AB72" s="467"/>
      <c r="AC72" s="467"/>
      <c r="AD72" s="467"/>
      <c r="AE72" s="467"/>
      <c r="AF72" s="459"/>
    </row>
    <row r="73" s="396" customFormat="true" ht="15.75" hidden="false" customHeight="true" outlineLevel="0" collapsed="false">
      <c r="A73" s="462"/>
      <c r="B73" s="462"/>
      <c r="C73" s="462"/>
      <c r="D73" s="463"/>
      <c r="E73" s="463"/>
      <c r="F73" s="463"/>
      <c r="G73" s="463"/>
      <c r="H73" s="463"/>
      <c r="I73" s="463"/>
      <c r="J73" s="463"/>
      <c r="K73" s="463"/>
      <c r="L73" s="463"/>
      <c r="M73" s="464"/>
      <c r="N73" s="464"/>
      <c r="O73" s="465"/>
      <c r="P73" s="465"/>
      <c r="Q73" s="465"/>
      <c r="R73" s="465"/>
      <c r="S73" s="466"/>
      <c r="T73" s="466"/>
      <c r="U73" s="466"/>
      <c r="V73" s="466"/>
      <c r="W73" s="464"/>
      <c r="X73" s="464"/>
      <c r="Y73" s="467"/>
      <c r="Z73" s="467"/>
      <c r="AA73" s="467"/>
      <c r="AB73" s="467"/>
      <c r="AC73" s="467"/>
      <c r="AD73" s="467"/>
      <c r="AE73" s="467"/>
      <c r="AF73" s="468"/>
    </row>
    <row r="74" s="396" customFormat="true" ht="30" hidden="false" customHeight="true" outlineLevel="0" collapsed="false">
      <c r="A74" s="469" t="s">
        <v>1718</v>
      </c>
      <c r="B74" s="469"/>
      <c r="C74" s="469"/>
      <c r="D74" s="470" t="s">
        <v>1719</v>
      </c>
      <c r="E74" s="470"/>
      <c r="F74" s="470"/>
      <c r="G74" s="470"/>
      <c r="H74" s="470"/>
      <c r="I74" s="470"/>
      <c r="J74" s="470"/>
      <c r="K74" s="470"/>
      <c r="L74" s="470"/>
      <c r="M74" s="471" t="n">
        <f aca="false">SUMIFS(TE!P:P,TE!G:G,$A$43,TE!H:H,A74)</f>
        <v>0</v>
      </c>
      <c r="N74" s="471"/>
      <c r="O74" s="472" t="n">
        <v>36</v>
      </c>
      <c r="P74" s="472"/>
      <c r="Q74" s="473" t="n">
        <f aca="false">M74/O74</f>
        <v>0</v>
      </c>
      <c r="R74" s="473"/>
      <c r="S74" s="474" t="n">
        <v>13.4</v>
      </c>
      <c r="T74" s="474"/>
      <c r="U74" s="474" t="n">
        <f aca="false">Q74*S74</f>
        <v>0</v>
      </c>
      <c r="V74" s="474"/>
      <c r="W74" s="475" t="s">
        <v>1670</v>
      </c>
      <c r="X74" s="475"/>
      <c r="Y74" s="476" t="s">
        <v>1671</v>
      </c>
      <c r="Z74" s="476"/>
      <c r="AA74" s="476"/>
      <c r="AB74" s="476"/>
      <c r="AC74" s="476"/>
      <c r="AD74" s="476"/>
      <c r="AE74" s="476"/>
      <c r="AF74" s="468"/>
    </row>
    <row r="75" s="396" customFormat="true" ht="30" hidden="false" customHeight="true" outlineLevel="0" collapsed="false">
      <c r="A75" s="477" t="s">
        <v>1720</v>
      </c>
      <c r="B75" s="477"/>
      <c r="C75" s="477"/>
      <c r="D75" s="478" t="s">
        <v>1721</v>
      </c>
      <c r="E75" s="478"/>
      <c r="F75" s="478"/>
      <c r="G75" s="478"/>
      <c r="H75" s="478"/>
      <c r="I75" s="478"/>
      <c r="J75" s="478"/>
      <c r="K75" s="478"/>
      <c r="L75" s="478"/>
      <c r="M75" s="479" t="n">
        <f aca="false">SUMIFS(TE!P:P,TE!G:G,$A$43,TE!H:H,A75)</f>
        <v>0</v>
      </c>
      <c r="N75" s="479"/>
      <c r="O75" s="480" t="n">
        <v>2</v>
      </c>
      <c r="P75" s="480"/>
      <c r="Q75" s="481" t="n">
        <f aca="false">ROUNDUP(M75/O75,0)</f>
        <v>0</v>
      </c>
      <c r="R75" s="481"/>
      <c r="S75" s="482" t="n">
        <v>18</v>
      </c>
      <c r="T75" s="482"/>
      <c r="U75" s="482" t="n">
        <f aca="false">Q75*S75</f>
        <v>0</v>
      </c>
      <c r="V75" s="482"/>
      <c r="W75" s="483" t="s">
        <v>1722</v>
      </c>
      <c r="X75" s="483"/>
      <c r="Y75" s="484" t="s">
        <v>1723</v>
      </c>
      <c r="Z75" s="484"/>
      <c r="AA75" s="484"/>
      <c r="AB75" s="484"/>
      <c r="AC75" s="484"/>
      <c r="AD75" s="484"/>
      <c r="AE75" s="484"/>
      <c r="AF75" s="468"/>
    </row>
    <row r="76" s="396" customFormat="true" ht="30" hidden="false" customHeight="true" outlineLevel="0" collapsed="false">
      <c r="A76" s="477" t="s">
        <v>1724</v>
      </c>
      <c r="B76" s="477"/>
      <c r="C76" s="477"/>
      <c r="D76" s="478" t="s">
        <v>1725</v>
      </c>
      <c r="E76" s="478"/>
      <c r="F76" s="478"/>
      <c r="G76" s="478"/>
      <c r="H76" s="478"/>
      <c r="I76" s="478"/>
      <c r="J76" s="478"/>
      <c r="K76" s="478"/>
      <c r="L76" s="478"/>
      <c r="M76" s="479" t="n">
        <f aca="false">SUMIFS(TE!P:P,TE!G:G,$A$43,TE!H:H,A76)</f>
        <v>0</v>
      </c>
      <c r="N76" s="479"/>
      <c r="O76" s="480" t="n">
        <v>100</v>
      </c>
      <c r="P76" s="480"/>
      <c r="Q76" s="481" t="n">
        <f aca="false">M76/O76</f>
        <v>0</v>
      </c>
      <c r="R76" s="481"/>
      <c r="S76" s="482" t="n">
        <v>13.4</v>
      </c>
      <c r="T76" s="482"/>
      <c r="U76" s="482" t="n">
        <f aca="false">Q76*S76</f>
        <v>0</v>
      </c>
      <c r="V76" s="482"/>
      <c r="W76" s="483" t="s">
        <v>1670</v>
      </c>
      <c r="X76" s="483"/>
      <c r="Y76" s="484" t="s">
        <v>1671</v>
      </c>
      <c r="Z76" s="484"/>
      <c r="AA76" s="484"/>
      <c r="AB76" s="484"/>
      <c r="AC76" s="484"/>
      <c r="AD76" s="484"/>
      <c r="AE76" s="484"/>
      <c r="AF76" s="468"/>
    </row>
    <row r="77" s="396" customFormat="true" ht="30" hidden="false" customHeight="true" outlineLevel="0" collapsed="false">
      <c r="A77" s="477" t="s">
        <v>1726</v>
      </c>
      <c r="B77" s="477"/>
      <c r="C77" s="477"/>
      <c r="D77" s="478" t="s">
        <v>1727</v>
      </c>
      <c r="E77" s="478"/>
      <c r="F77" s="478"/>
      <c r="G77" s="478"/>
      <c r="H77" s="478"/>
      <c r="I77" s="478"/>
      <c r="J77" s="478"/>
      <c r="K77" s="478"/>
      <c r="L77" s="478"/>
      <c r="M77" s="479" t="n">
        <f aca="false">SUMIFS(TE!P:P,TE!G:G,$A$43,TE!H:H,A77)</f>
        <v>0</v>
      </c>
      <c r="N77" s="479"/>
      <c r="O77" s="485" t="s">
        <v>1678</v>
      </c>
      <c r="P77" s="485"/>
      <c r="Q77" s="485" t="s">
        <v>1678</v>
      </c>
      <c r="R77" s="485"/>
      <c r="S77" s="485" t="s">
        <v>1678</v>
      </c>
      <c r="T77" s="485"/>
      <c r="U77" s="485" t="s">
        <v>1678</v>
      </c>
      <c r="V77" s="485"/>
      <c r="W77" s="483" t="s">
        <v>1679</v>
      </c>
      <c r="X77" s="483"/>
      <c r="Y77" s="484" t="s">
        <v>1728</v>
      </c>
      <c r="Z77" s="484"/>
      <c r="AA77" s="484"/>
      <c r="AB77" s="484"/>
      <c r="AC77" s="484"/>
      <c r="AD77" s="484"/>
      <c r="AE77" s="484"/>
      <c r="AF77" s="468"/>
    </row>
    <row r="78" s="396" customFormat="true" ht="30" hidden="false" customHeight="true" outlineLevel="0" collapsed="false">
      <c r="A78" s="477" t="s">
        <v>1729</v>
      </c>
      <c r="B78" s="477"/>
      <c r="C78" s="477"/>
      <c r="D78" s="478" t="s">
        <v>1730</v>
      </c>
      <c r="E78" s="478"/>
      <c r="F78" s="478"/>
      <c r="G78" s="478"/>
      <c r="H78" s="478"/>
      <c r="I78" s="478"/>
      <c r="J78" s="478"/>
      <c r="K78" s="478"/>
      <c r="L78" s="478"/>
      <c r="M78" s="479" t="n">
        <f aca="false">SUMIFS(TE!P:P,TE!G:G,$A$43,TE!H:H,A78)</f>
        <v>0</v>
      </c>
      <c r="N78" s="479"/>
      <c r="O78" s="485" t="s">
        <v>1678</v>
      </c>
      <c r="P78" s="485"/>
      <c r="Q78" s="485" t="s">
        <v>1678</v>
      </c>
      <c r="R78" s="485"/>
      <c r="S78" s="485" t="s">
        <v>1678</v>
      </c>
      <c r="T78" s="485"/>
      <c r="U78" s="485" t="s">
        <v>1678</v>
      </c>
      <c r="V78" s="485"/>
      <c r="W78" s="483" t="s">
        <v>1679</v>
      </c>
      <c r="X78" s="483"/>
      <c r="Y78" s="484" t="s">
        <v>1728</v>
      </c>
      <c r="Z78" s="484"/>
      <c r="AA78" s="484"/>
      <c r="AB78" s="484"/>
      <c r="AC78" s="484"/>
      <c r="AD78" s="484"/>
      <c r="AE78" s="484"/>
      <c r="AF78" s="468"/>
    </row>
    <row r="79" s="396" customFormat="true" ht="30" hidden="false" customHeight="true" outlineLevel="0" collapsed="false">
      <c r="A79" s="477" t="s">
        <v>1729</v>
      </c>
      <c r="B79" s="477"/>
      <c r="C79" s="477"/>
      <c r="D79" s="478" t="s">
        <v>1731</v>
      </c>
      <c r="E79" s="478"/>
      <c r="F79" s="478"/>
      <c r="G79" s="478"/>
      <c r="H79" s="478"/>
      <c r="I79" s="478"/>
      <c r="J79" s="478"/>
      <c r="K79" s="478"/>
      <c r="L79" s="478"/>
      <c r="M79" s="479" t="n">
        <f aca="false">SUMIFS(TE!P:P,TE!G:G,$A$43,TE!H:H,A79)</f>
        <v>0</v>
      </c>
      <c r="N79" s="479"/>
      <c r="O79" s="480" t="n">
        <v>1</v>
      </c>
      <c r="P79" s="480"/>
      <c r="Q79" s="481" t="n">
        <f aca="false">ROUNDUP(M79/O79,0)</f>
        <v>0</v>
      </c>
      <c r="R79" s="481"/>
      <c r="S79" s="482" t="n">
        <v>12.5</v>
      </c>
      <c r="T79" s="482"/>
      <c r="U79" s="482" t="n">
        <f aca="false">Q79*S79</f>
        <v>0</v>
      </c>
      <c r="V79" s="482"/>
      <c r="W79" s="483" t="s">
        <v>1732</v>
      </c>
      <c r="X79" s="483"/>
      <c r="Y79" s="484" t="s">
        <v>1733</v>
      </c>
      <c r="Z79" s="484"/>
      <c r="AA79" s="484"/>
      <c r="AB79" s="484"/>
      <c r="AC79" s="484"/>
      <c r="AD79" s="484"/>
      <c r="AE79" s="484"/>
      <c r="AF79" s="468"/>
    </row>
    <row r="80" s="396" customFormat="true" ht="49.5" hidden="false" customHeight="true" outlineLevel="0" collapsed="false">
      <c r="A80" s="477" t="s">
        <v>1734</v>
      </c>
      <c r="B80" s="477"/>
      <c r="C80" s="477"/>
      <c r="D80" s="478" t="s">
        <v>1735</v>
      </c>
      <c r="E80" s="478"/>
      <c r="F80" s="478"/>
      <c r="G80" s="478"/>
      <c r="H80" s="478"/>
      <c r="I80" s="478"/>
      <c r="J80" s="478"/>
      <c r="K80" s="478"/>
      <c r="L80" s="478"/>
      <c r="M80" s="479" t="n">
        <f aca="false">SUMIFS(TE!P:P,TE!G:G,$A$43,TE!H:H,A80)</f>
        <v>201</v>
      </c>
      <c r="N80" s="479"/>
      <c r="O80" s="485" t="s">
        <v>1678</v>
      </c>
      <c r="P80" s="485"/>
      <c r="Q80" s="485" t="s">
        <v>1678</v>
      </c>
      <c r="R80" s="485"/>
      <c r="S80" s="485" t="s">
        <v>1678</v>
      </c>
      <c r="T80" s="485"/>
      <c r="U80" s="485" t="s">
        <v>1678</v>
      </c>
      <c r="V80" s="485"/>
      <c r="W80" s="483" t="s">
        <v>1679</v>
      </c>
      <c r="X80" s="483"/>
      <c r="Y80" s="484" t="s">
        <v>1680</v>
      </c>
      <c r="Z80" s="484"/>
      <c r="AA80" s="484"/>
      <c r="AB80" s="484"/>
      <c r="AC80" s="484"/>
      <c r="AD80" s="484"/>
      <c r="AE80" s="484"/>
      <c r="AF80" s="468"/>
    </row>
    <row r="81" s="396" customFormat="true" ht="30" hidden="false" customHeight="true" outlineLevel="0" collapsed="false">
      <c r="A81" s="477" t="s">
        <v>1736</v>
      </c>
      <c r="B81" s="477"/>
      <c r="C81" s="477"/>
      <c r="D81" s="478" t="s">
        <v>1737</v>
      </c>
      <c r="E81" s="478"/>
      <c r="F81" s="478"/>
      <c r="G81" s="478"/>
      <c r="H81" s="478"/>
      <c r="I81" s="478"/>
      <c r="J81" s="478"/>
      <c r="K81" s="478"/>
      <c r="L81" s="478"/>
      <c r="M81" s="479" t="n">
        <f aca="false">SUMIFS(TE!P:P,TE!G:G,$A$43,TE!H:H,A81)</f>
        <v>0</v>
      </c>
      <c r="N81" s="479"/>
      <c r="O81" s="480" t="n">
        <v>112</v>
      </c>
      <c r="P81" s="480"/>
      <c r="Q81" s="481" t="n">
        <f aca="false">M81/O81</f>
        <v>0</v>
      </c>
      <c r="R81" s="481"/>
      <c r="S81" s="482" t="n">
        <v>13.4</v>
      </c>
      <c r="T81" s="482"/>
      <c r="U81" s="482" t="n">
        <f aca="false">Q81*S81</f>
        <v>0</v>
      </c>
      <c r="V81" s="482"/>
      <c r="W81" s="483" t="s">
        <v>1670</v>
      </c>
      <c r="X81" s="483"/>
      <c r="Y81" s="484" t="s">
        <v>1671</v>
      </c>
      <c r="Z81" s="484"/>
      <c r="AA81" s="484"/>
      <c r="AB81" s="484"/>
      <c r="AC81" s="484"/>
      <c r="AD81" s="484"/>
      <c r="AE81" s="484"/>
      <c r="AF81" s="468"/>
    </row>
    <row r="82" s="396" customFormat="true" ht="30" hidden="false" customHeight="true" outlineLevel="0" collapsed="false">
      <c r="A82" s="477" t="s">
        <v>1738</v>
      </c>
      <c r="B82" s="477"/>
      <c r="C82" s="477"/>
      <c r="D82" s="478" t="s">
        <v>1739</v>
      </c>
      <c r="E82" s="478"/>
      <c r="F82" s="478"/>
      <c r="G82" s="478"/>
      <c r="H82" s="478"/>
      <c r="I82" s="478"/>
      <c r="J82" s="478"/>
      <c r="K82" s="478"/>
      <c r="L82" s="478"/>
      <c r="M82" s="479" t="n">
        <f aca="false">SUMIFS(TE!P:P,TE!G:G,$A$43,TE!H:H,A82)</f>
        <v>0</v>
      </c>
      <c r="N82" s="479"/>
      <c r="O82" s="480" t="n">
        <v>5</v>
      </c>
      <c r="P82" s="480"/>
      <c r="Q82" s="481" t="n">
        <f aca="false">M82/O82</f>
        <v>0</v>
      </c>
      <c r="R82" s="481"/>
      <c r="S82" s="482" t="n">
        <v>13.4</v>
      </c>
      <c r="T82" s="482"/>
      <c r="U82" s="482" t="n">
        <f aca="false">Q82*S82</f>
        <v>0</v>
      </c>
      <c r="V82" s="482"/>
      <c r="W82" s="483" t="s">
        <v>1670</v>
      </c>
      <c r="X82" s="483"/>
      <c r="Y82" s="484" t="s">
        <v>1671</v>
      </c>
      <c r="Z82" s="484"/>
      <c r="AA82" s="484"/>
      <c r="AB82" s="484"/>
      <c r="AC82" s="484"/>
      <c r="AD82" s="484"/>
      <c r="AE82" s="484"/>
      <c r="AF82" s="468"/>
    </row>
    <row r="83" s="396" customFormat="true" ht="30" hidden="false" customHeight="true" outlineLevel="0" collapsed="false">
      <c r="A83" s="477" t="s">
        <v>1740</v>
      </c>
      <c r="B83" s="477"/>
      <c r="C83" s="477"/>
      <c r="D83" s="478" t="s">
        <v>1741</v>
      </c>
      <c r="E83" s="478"/>
      <c r="F83" s="478"/>
      <c r="G83" s="478"/>
      <c r="H83" s="478"/>
      <c r="I83" s="478"/>
      <c r="J83" s="478"/>
      <c r="K83" s="478"/>
      <c r="L83" s="478"/>
      <c r="M83" s="479" t="n">
        <f aca="false">SUMIFS(TE!P:P,TE!G:G,$A$43,TE!H:H,A83)</f>
        <v>0</v>
      </c>
      <c r="N83" s="479"/>
      <c r="O83" s="480" t="n">
        <v>1</v>
      </c>
      <c r="P83" s="480"/>
      <c r="Q83" s="481" t="n">
        <f aca="false">ROUNDUP(M83/O83,0)</f>
        <v>0</v>
      </c>
      <c r="R83" s="481"/>
      <c r="S83" s="482" t="n">
        <v>20.1</v>
      </c>
      <c r="T83" s="482"/>
      <c r="U83" s="482" t="n">
        <f aca="false">Q83*S83</f>
        <v>0</v>
      </c>
      <c r="V83" s="482"/>
      <c r="W83" s="483" t="s">
        <v>1742</v>
      </c>
      <c r="X83" s="483"/>
      <c r="Y83" s="484" t="s">
        <v>1743</v>
      </c>
      <c r="Z83" s="484"/>
      <c r="AA83" s="484"/>
      <c r="AB83" s="484"/>
      <c r="AC83" s="484"/>
      <c r="AD83" s="484"/>
      <c r="AE83" s="484"/>
      <c r="AF83" s="468"/>
    </row>
    <row r="84" s="396" customFormat="true" ht="30" hidden="false" customHeight="true" outlineLevel="0" collapsed="false">
      <c r="A84" s="477" t="s">
        <v>1744</v>
      </c>
      <c r="B84" s="477"/>
      <c r="C84" s="477"/>
      <c r="D84" s="478" t="s">
        <v>1745</v>
      </c>
      <c r="E84" s="478"/>
      <c r="F84" s="478"/>
      <c r="G84" s="478"/>
      <c r="H84" s="478"/>
      <c r="I84" s="478"/>
      <c r="J84" s="478"/>
      <c r="K84" s="478"/>
      <c r="L84" s="478"/>
      <c r="M84" s="479" t="n">
        <f aca="false">SUMIFS(TE!P:P,TE!G:G,$A$43,TE!H:H,A84)</f>
        <v>0</v>
      </c>
      <c r="N84" s="479"/>
      <c r="O84" s="480" t="n">
        <v>49</v>
      </c>
      <c r="P84" s="480"/>
      <c r="Q84" s="481" t="n">
        <f aca="false">M84/O84</f>
        <v>0</v>
      </c>
      <c r="R84" s="481"/>
      <c r="S84" s="482" t="n">
        <v>13.4</v>
      </c>
      <c r="T84" s="482"/>
      <c r="U84" s="482" t="n">
        <f aca="false">Q84*S84</f>
        <v>0</v>
      </c>
      <c r="V84" s="482"/>
      <c r="W84" s="483" t="s">
        <v>1670</v>
      </c>
      <c r="X84" s="483"/>
      <c r="Y84" s="484" t="s">
        <v>1671</v>
      </c>
      <c r="Z84" s="484"/>
      <c r="AA84" s="484"/>
      <c r="AB84" s="484"/>
      <c r="AC84" s="484"/>
      <c r="AD84" s="484"/>
      <c r="AE84" s="484"/>
      <c r="AF84" s="468"/>
    </row>
    <row r="85" s="396" customFormat="true" ht="30" hidden="false" customHeight="true" outlineLevel="0" collapsed="false">
      <c r="A85" s="477" t="s">
        <v>1746</v>
      </c>
      <c r="B85" s="477"/>
      <c r="C85" s="477"/>
      <c r="D85" s="478" t="s">
        <v>1747</v>
      </c>
      <c r="E85" s="478"/>
      <c r="F85" s="478"/>
      <c r="G85" s="478"/>
      <c r="H85" s="478"/>
      <c r="I85" s="478"/>
      <c r="J85" s="478"/>
      <c r="K85" s="478"/>
      <c r="L85" s="478"/>
      <c r="M85" s="479" t="n">
        <f aca="false">SUMIFS(TE!P:P,TE!G:G,$A$43,TE!H:H,A85)</f>
        <v>0</v>
      </c>
      <c r="N85" s="479"/>
      <c r="O85" s="480" t="n">
        <v>3</v>
      </c>
      <c r="P85" s="480"/>
      <c r="Q85" s="481" t="n">
        <f aca="false">ROUNDUP(M85/O85,0)</f>
        <v>0</v>
      </c>
      <c r="R85" s="481"/>
      <c r="S85" s="482" t="n">
        <v>10.3333333333333</v>
      </c>
      <c r="T85" s="482"/>
      <c r="U85" s="482" t="n">
        <f aca="false">Q85*S85</f>
        <v>0</v>
      </c>
      <c r="V85" s="482"/>
      <c r="W85" s="483" t="s">
        <v>1742</v>
      </c>
      <c r="X85" s="483"/>
      <c r="Y85" s="484" t="s">
        <v>1748</v>
      </c>
      <c r="Z85" s="484"/>
      <c r="AA85" s="484"/>
      <c r="AB85" s="484"/>
      <c r="AC85" s="484"/>
      <c r="AD85" s="484"/>
      <c r="AE85" s="484"/>
      <c r="AF85" s="468"/>
    </row>
    <row r="86" s="396" customFormat="true" ht="30" hidden="false" customHeight="true" outlineLevel="0" collapsed="false">
      <c r="A86" s="477" t="s">
        <v>1749</v>
      </c>
      <c r="B86" s="477"/>
      <c r="C86" s="477"/>
      <c r="D86" s="478" t="s">
        <v>1750</v>
      </c>
      <c r="E86" s="478"/>
      <c r="F86" s="478"/>
      <c r="G86" s="478"/>
      <c r="H86" s="478"/>
      <c r="I86" s="478"/>
      <c r="J86" s="478"/>
      <c r="K86" s="478"/>
      <c r="L86" s="478"/>
      <c r="M86" s="479" t="n">
        <f aca="false">SUMIFS(TE!P:P,TE!G:G,$A$43,TE!H:H,A86)</f>
        <v>2</v>
      </c>
      <c r="N86" s="479"/>
      <c r="O86" s="480" t="n">
        <v>4</v>
      </c>
      <c r="P86" s="480"/>
      <c r="Q86" s="481" t="n">
        <f aca="false">ROUNDUP(M86/O86,0)</f>
        <v>1</v>
      </c>
      <c r="R86" s="481"/>
      <c r="S86" s="482" t="n">
        <v>33</v>
      </c>
      <c r="T86" s="482"/>
      <c r="U86" s="482" t="n">
        <f aca="false">Q86*S86</f>
        <v>33</v>
      </c>
      <c r="V86" s="482"/>
      <c r="W86" s="483" t="s">
        <v>1751</v>
      </c>
      <c r="X86" s="483"/>
      <c r="Y86" s="484" t="s">
        <v>1752</v>
      </c>
      <c r="Z86" s="484"/>
      <c r="AA86" s="484"/>
      <c r="AB86" s="484"/>
      <c r="AC86" s="484"/>
      <c r="AD86" s="484"/>
      <c r="AE86" s="484"/>
      <c r="AF86" s="468"/>
    </row>
    <row r="87" s="396" customFormat="true" ht="30" hidden="false" customHeight="true" outlineLevel="0" collapsed="false">
      <c r="A87" s="477" t="s">
        <v>1753</v>
      </c>
      <c r="B87" s="477"/>
      <c r="C87" s="477"/>
      <c r="D87" s="478" t="s">
        <v>1754</v>
      </c>
      <c r="E87" s="478"/>
      <c r="F87" s="478"/>
      <c r="G87" s="478"/>
      <c r="H87" s="478"/>
      <c r="I87" s="478"/>
      <c r="J87" s="478"/>
      <c r="K87" s="478"/>
      <c r="L87" s="478"/>
      <c r="M87" s="479" t="n">
        <f aca="false">SUMIFS(TE!P:P,TE!G:G,$A$43,TE!H:H,A87)</f>
        <v>0</v>
      </c>
      <c r="N87" s="479"/>
      <c r="O87" s="480" t="n">
        <v>80</v>
      </c>
      <c r="P87" s="480"/>
      <c r="Q87" s="481" t="n">
        <f aca="false">M87/O87</f>
        <v>0</v>
      </c>
      <c r="R87" s="481"/>
      <c r="S87" s="482" t="n">
        <v>13.4</v>
      </c>
      <c r="T87" s="482"/>
      <c r="U87" s="482" t="n">
        <f aca="false">Q87*S87</f>
        <v>0</v>
      </c>
      <c r="V87" s="482"/>
      <c r="W87" s="483" t="s">
        <v>1670</v>
      </c>
      <c r="X87" s="483"/>
      <c r="Y87" s="484" t="s">
        <v>1671</v>
      </c>
      <c r="Z87" s="484"/>
      <c r="AA87" s="484"/>
      <c r="AB87" s="484"/>
      <c r="AC87" s="484"/>
      <c r="AD87" s="484"/>
      <c r="AE87" s="484"/>
      <c r="AF87" s="468"/>
    </row>
    <row r="88" s="396" customFormat="true" ht="30" hidden="false" customHeight="true" outlineLevel="0" collapsed="false">
      <c r="A88" s="477" t="s">
        <v>1755</v>
      </c>
      <c r="B88" s="477"/>
      <c r="C88" s="477"/>
      <c r="D88" s="478" t="s">
        <v>1756</v>
      </c>
      <c r="E88" s="478"/>
      <c r="F88" s="478"/>
      <c r="G88" s="478"/>
      <c r="H88" s="478"/>
      <c r="I88" s="478"/>
      <c r="J88" s="478"/>
      <c r="K88" s="478"/>
      <c r="L88" s="478"/>
      <c r="M88" s="479" t="n">
        <f aca="false">SUMIFS(TE!P:P,TE!G:G,$A$43,TE!H:H,A88)</f>
        <v>2</v>
      </c>
      <c r="N88" s="479"/>
      <c r="O88" s="480" t="n">
        <v>60</v>
      </c>
      <c r="P88" s="480"/>
      <c r="Q88" s="481" t="n">
        <f aca="false">M88/O88</f>
        <v>0.0333333333333333</v>
      </c>
      <c r="R88" s="481"/>
      <c r="S88" s="482" t="n">
        <v>13.4</v>
      </c>
      <c r="T88" s="482"/>
      <c r="U88" s="482" t="n">
        <f aca="false">Q88*S88</f>
        <v>0.446666666666667</v>
      </c>
      <c r="V88" s="482"/>
      <c r="W88" s="483" t="s">
        <v>1670</v>
      </c>
      <c r="X88" s="483"/>
      <c r="Y88" s="484" t="s">
        <v>1671</v>
      </c>
      <c r="Z88" s="484"/>
      <c r="AA88" s="484"/>
      <c r="AB88" s="484"/>
      <c r="AC88" s="484"/>
      <c r="AD88" s="484"/>
      <c r="AE88" s="484"/>
      <c r="AF88" s="468"/>
    </row>
    <row r="89" s="396" customFormat="true" ht="30" hidden="false" customHeight="true" outlineLevel="0" collapsed="false">
      <c r="A89" s="477" t="s">
        <v>1757</v>
      </c>
      <c r="B89" s="477"/>
      <c r="C89" s="477"/>
      <c r="D89" s="478" t="s">
        <v>1758</v>
      </c>
      <c r="E89" s="478"/>
      <c r="F89" s="478"/>
      <c r="G89" s="478"/>
      <c r="H89" s="478"/>
      <c r="I89" s="478"/>
      <c r="J89" s="478"/>
      <c r="K89" s="478"/>
      <c r="L89" s="478"/>
      <c r="M89" s="479" t="n">
        <f aca="false">SUMIFS(TE!P:P,TE!G:G,$A$43,TE!H:H,A89)</f>
        <v>0</v>
      </c>
      <c r="N89" s="479"/>
      <c r="O89" s="480"/>
      <c r="P89" s="480"/>
      <c r="Q89" s="480"/>
      <c r="R89" s="480"/>
      <c r="S89" s="482" t="n">
        <v>13.4</v>
      </c>
      <c r="T89" s="482"/>
      <c r="U89" s="482" t="n">
        <f aca="false">Q89*S89</f>
        <v>0</v>
      </c>
      <c r="V89" s="482"/>
      <c r="W89" s="483" t="s">
        <v>1670</v>
      </c>
      <c r="X89" s="483"/>
      <c r="Y89" s="484" t="s">
        <v>1671</v>
      </c>
      <c r="Z89" s="484"/>
      <c r="AA89" s="484"/>
      <c r="AB89" s="484"/>
      <c r="AC89" s="484"/>
      <c r="AD89" s="484"/>
      <c r="AE89" s="484"/>
      <c r="AF89" s="468"/>
    </row>
    <row r="90" s="396" customFormat="true" ht="30" hidden="false" customHeight="true" outlineLevel="0" collapsed="false">
      <c r="A90" s="477" t="s">
        <v>1759</v>
      </c>
      <c r="B90" s="477"/>
      <c r="C90" s="477"/>
      <c r="D90" s="478" t="s">
        <v>1760</v>
      </c>
      <c r="E90" s="478"/>
      <c r="F90" s="478"/>
      <c r="G90" s="478"/>
      <c r="H90" s="478"/>
      <c r="I90" s="478"/>
      <c r="J90" s="478"/>
      <c r="K90" s="478"/>
      <c r="L90" s="478"/>
      <c r="M90" s="479" t="n">
        <f aca="false">SUMIFS(TE!P:P,TE!G:G,$A$43,TE!H:H,A90)</f>
        <v>0</v>
      </c>
      <c r="N90" s="479"/>
      <c r="O90" s="480" t="n">
        <v>3</v>
      </c>
      <c r="P90" s="480"/>
      <c r="Q90" s="481" t="n">
        <f aca="false">M90/O90</f>
        <v>0</v>
      </c>
      <c r="R90" s="481"/>
      <c r="S90" s="482" t="n">
        <v>13.4</v>
      </c>
      <c r="T90" s="482"/>
      <c r="U90" s="482" t="n">
        <f aca="false">Q90*S90</f>
        <v>0</v>
      </c>
      <c r="V90" s="482"/>
      <c r="W90" s="483" t="s">
        <v>1670</v>
      </c>
      <c r="X90" s="483"/>
      <c r="Y90" s="484" t="s">
        <v>1671</v>
      </c>
      <c r="Z90" s="484"/>
      <c r="AA90" s="484"/>
      <c r="AB90" s="484"/>
      <c r="AC90" s="484"/>
      <c r="AD90" s="484"/>
      <c r="AE90" s="484"/>
      <c r="AF90" s="468"/>
    </row>
    <row r="91" s="396" customFormat="true" ht="30" hidden="false" customHeight="true" outlineLevel="0" collapsed="false">
      <c r="A91" s="477" t="s">
        <v>1761</v>
      </c>
      <c r="B91" s="477"/>
      <c r="C91" s="477"/>
      <c r="D91" s="478" t="s">
        <v>1762</v>
      </c>
      <c r="E91" s="478"/>
      <c r="F91" s="478"/>
      <c r="G91" s="478"/>
      <c r="H91" s="478"/>
      <c r="I91" s="478"/>
      <c r="J91" s="478"/>
      <c r="K91" s="478"/>
      <c r="L91" s="478"/>
      <c r="M91" s="479" t="n">
        <f aca="false">SUMIFS(TE!P:P,TE!G:G,$A$43,TE!H:H,A91)</f>
        <v>0</v>
      </c>
      <c r="N91" s="479"/>
      <c r="O91" s="480" t="n">
        <v>5</v>
      </c>
      <c r="P91" s="480"/>
      <c r="Q91" s="481" t="n">
        <f aca="false">M91/O91</f>
        <v>0</v>
      </c>
      <c r="R91" s="481"/>
      <c r="S91" s="482" t="n">
        <v>13.4</v>
      </c>
      <c r="T91" s="482"/>
      <c r="U91" s="482" t="n">
        <f aca="false">Q91*S91</f>
        <v>0</v>
      </c>
      <c r="V91" s="482"/>
      <c r="W91" s="483" t="s">
        <v>1670</v>
      </c>
      <c r="X91" s="483"/>
      <c r="Y91" s="484" t="s">
        <v>1671</v>
      </c>
      <c r="Z91" s="484"/>
      <c r="AA91" s="484"/>
      <c r="AB91" s="484"/>
      <c r="AC91" s="484"/>
      <c r="AD91" s="484"/>
      <c r="AE91" s="484"/>
      <c r="AF91" s="468"/>
    </row>
    <row r="92" s="396" customFormat="true" ht="30" hidden="false" customHeight="true" outlineLevel="0" collapsed="false">
      <c r="A92" s="486" t="s">
        <v>1763</v>
      </c>
      <c r="B92" s="486"/>
      <c r="C92" s="486"/>
      <c r="D92" s="487" t="s">
        <v>1764</v>
      </c>
      <c r="E92" s="487"/>
      <c r="F92" s="487"/>
      <c r="G92" s="487"/>
      <c r="H92" s="487"/>
      <c r="I92" s="487"/>
      <c r="J92" s="487"/>
      <c r="K92" s="487"/>
      <c r="L92" s="487"/>
      <c r="M92" s="488" t="n">
        <f aca="false">SUMIFS(TE!P:P,TE!G:G,$A$43,TE!H:H,A92)</f>
        <v>0</v>
      </c>
      <c r="N92" s="488"/>
      <c r="O92" s="496" t="s">
        <v>1678</v>
      </c>
      <c r="P92" s="496"/>
      <c r="Q92" s="496" t="s">
        <v>1678</v>
      </c>
      <c r="R92" s="496"/>
      <c r="S92" s="496" t="s">
        <v>1678</v>
      </c>
      <c r="T92" s="496"/>
      <c r="U92" s="496" t="s">
        <v>1678</v>
      </c>
      <c r="V92" s="496"/>
      <c r="W92" s="492" t="s">
        <v>1679</v>
      </c>
      <c r="X92" s="492"/>
      <c r="Y92" s="493" t="s">
        <v>1728</v>
      </c>
      <c r="Z92" s="493"/>
      <c r="AA92" s="493"/>
      <c r="AB92" s="493"/>
      <c r="AC92" s="493"/>
      <c r="AD92" s="493"/>
      <c r="AE92" s="493"/>
      <c r="AF92" s="468"/>
    </row>
    <row r="93" s="396" customFormat="true" ht="15.75" hidden="false" customHeight="true" outlineLevel="0" collapsed="false">
      <c r="A93" s="494"/>
      <c r="B93" s="494"/>
      <c r="C93" s="494"/>
      <c r="D93" s="494"/>
      <c r="E93" s="494"/>
      <c r="F93" s="494"/>
      <c r="G93" s="494"/>
      <c r="H93" s="494"/>
      <c r="I93" s="494"/>
      <c r="J93" s="494"/>
      <c r="K93" s="494"/>
      <c r="L93" s="494"/>
      <c r="M93" s="494"/>
      <c r="N93" s="494"/>
      <c r="O93" s="494"/>
      <c r="P93" s="494"/>
      <c r="Q93" s="494"/>
      <c r="R93" s="494"/>
      <c r="S93" s="494"/>
      <c r="T93" s="494"/>
      <c r="U93" s="494"/>
      <c r="V93" s="494"/>
      <c r="W93" s="494"/>
      <c r="X93" s="494"/>
      <c r="Y93" s="494"/>
      <c r="Z93" s="494"/>
      <c r="AA93" s="494"/>
      <c r="AB93" s="494"/>
      <c r="AC93" s="494"/>
      <c r="AD93" s="494"/>
      <c r="AE93" s="494"/>
      <c r="AF93" s="468"/>
    </row>
    <row r="94" s="396" customFormat="true" ht="15.75" hidden="false" customHeight="true" outlineLevel="0" collapsed="false">
      <c r="A94" s="495"/>
      <c r="B94" s="495"/>
      <c r="C94" s="495"/>
      <c r="D94" s="495"/>
      <c r="E94" s="495"/>
      <c r="F94" s="495"/>
      <c r="G94" s="495"/>
      <c r="H94" s="495"/>
      <c r="I94" s="495"/>
      <c r="J94" s="495"/>
      <c r="K94" s="495"/>
      <c r="L94" s="495"/>
      <c r="M94" s="495"/>
      <c r="N94" s="495"/>
      <c r="O94" s="495"/>
      <c r="P94" s="495"/>
      <c r="Q94" s="495"/>
      <c r="R94" s="495"/>
      <c r="S94" s="495"/>
      <c r="T94" s="495"/>
      <c r="U94" s="495"/>
      <c r="V94" s="495"/>
      <c r="W94" s="495"/>
      <c r="X94" s="495"/>
      <c r="Y94" s="495"/>
      <c r="Z94" s="495"/>
      <c r="AA94" s="495"/>
      <c r="AB94" s="453"/>
      <c r="AC94" s="454" t="s">
        <v>1657</v>
      </c>
      <c r="AD94" s="455" t="n">
        <v>3</v>
      </c>
      <c r="AE94" s="455" t="s">
        <v>29</v>
      </c>
      <c r="AF94" s="455" t="n">
        <v>27</v>
      </c>
    </row>
    <row r="95" s="396" customFormat="true" ht="15.75" hidden="false" customHeight="true" outlineLevel="0" collapsed="false">
      <c r="A95" s="398" t="s">
        <v>1522</v>
      </c>
      <c r="B95" s="398"/>
      <c r="C95" s="456" t="n">
        <v>14345</v>
      </c>
      <c r="D95" s="456"/>
      <c r="E95" s="456"/>
      <c r="F95" s="456"/>
      <c r="G95" s="456"/>
      <c r="H95" s="456"/>
      <c r="I95" s="456"/>
      <c r="J95" s="456"/>
      <c r="K95" s="456"/>
      <c r="L95" s="456"/>
      <c r="M95" s="398" t="s">
        <v>1523</v>
      </c>
      <c r="N95" s="398"/>
      <c r="O95" s="398"/>
      <c r="P95" s="398"/>
      <c r="Q95" s="398"/>
      <c r="R95" s="456" t="s">
        <v>15</v>
      </c>
      <c r="S95" s="456"/>
      <c r="T95" s="456"/>
      <c r="U95" s="456"/>
      <c r="V95" s="456"/>
      <c r="W95" s="456"/>
      <c r="X95" s="456"/>
      <c r="Y95" s="456"/>
      <c r="Z95" s="456"/>
      <c r="AA95" s="456"/>
      <c r="AB95" s="456"/>
      <c r="AC95" s="456"/>
      <c r="AD95" s="456"/>
      <c r="AE95" s="456"/>
      <c r="AF95" s="456"/>
    </row>
    <row r="96" s="396" customFormat="true" ht="15.75" hidden="false" customHeight="true" outlineLevel="0" collapsed="false">
      <c r="A96" s="458"/>
      <c r="B96" s="458"/>
      <c r="C96" s="459"/>
      <c r="D96" s="459"/>
      <c r="E96" s="459"/>
      <c r="F96" s="459"/>
      <c r="G96" s="459"/>
      <c r="H96" s="459"/>
      <c r="I96" s="459"/>
      <c r="J96" s="459"/>
      <c r="K96" s="459"/>
      <c r="L96" s="459"/>
      <c r="M96" s="458"/>
      <c r="N96" s="458"/>
      <c r="O96" s="458"/>
      <c r="P96" s="458"/>
      <c r="Q96" s="458"/>
      <c r="R96" s="459"/>
      <c r="S96" s="459"/>
      <c r="T96" s="459"/>
      <c r="U96" s="459"/>
      <c r="V96" s="459"/>
      <c r="W96" s="459"/>
      <c r="X96" s="459"/>
      <c r="Y96" s="459"/>
      <c r="Z96" s="459"/>
      <c r="AA96" s="459"/>
      <c r="AB96" s="459"/>
      <c r="AC96" s="459"/>
      <c r="AD96" s="459"/>
      <c r="AE96" s="459"/>
      <c r="AF96" s="459"/>
    </row>
    <row r="97" s="396" customFormat="true" ht="15.75" hidden="false" customHeight="true" outlineLevel="0" collapsed="false">
      <c r="A97" s="460" t="str">
        <f aca="false">A70</f>
        <v>M28261</v>
      </c>
      <c r="B97" s="460"/>
      <c r="C97" s="460"/>
      <c r="D97" s="461" t="str">
        <f aca="false">D70</f>
        <v>H&amp;S CO</v>
      </c>
      <c r="E97" s="461"/>
      <c r="F97" s="461"/>
      <c r="G97" s="461"/>
      <c r="H97" s="461"/>
      <c r="I97" s="461"/>
      <c r="J97" s="461"/>
      <c r="K97" s="461"/>
      <c r="L97" s="461"/>
      <c r="M97" s="458"/>
      <c r="N97" s="458"/>
      <c r="O97" s="458"/>
      <c r="P97" s="459"/>
      <c r="Q97" s="458"/>
      <c r="R97" s="459"/>
      <c r="S97" s="459"/>
      <c r="T97" s="459"/>
      <c r="U97" s="459"/>
      <c r="V97" s="459"/>
      <c r="W97" s="459"/>
      <c r="X97" s="459"/>
      <c r="Y97" s="459"/>
      <c r="Z97" s="459"/>
      <c r="AA97" s="459"/>
      <c r="AB97" s="459"/>
      <c r="AC97" s="459"/>
      <c r="AD97" s="459"/>
      <c r="AE97" s="459"/>
      <c r="AF97" s="459"/>
    </row>
    <row r="98" s="396" customFormat="true" ht="15.75" hidden="false" customHeight="true" outlineLevel="0" collapsed="false">
      <c r="A98" s="462" t="s">
        <v>1659</v>
      </c>
      <c r="B98" s="462"/>
      <c r="C98" s="462"/>
      <c r="D98" s="463" t="s">
        <v>1660</v>
      </c>
      <c r="E98" s="463"/>
      <c r="F98" s="463"/>
      <c r="G98" s="463"/>
      <c r="H98" s="463"/>
      <c r="I98" s="463"/>
      <c r="J98" s="463"/>
      <c r="K98" s="463"/>
      <c r="L98" s="463"/>
      <c r="M98" s="464" t="s">
        <v>1661</v>
      </c>
      <c r="N98" s="464"/>
      <c r="O98" s="465" t="s">
        <v>1662</v>
      </c>
      <c r="P98" s="465"/>
      <c r="Q98" s="465" t="s">
        <v>1663</v>
      </c>
      <c r="R98" s="465"/>
      <c r="S98" s="466" t="s">
        <v>1664</v>
      </c>
      <c r="T98" s="466"/>
      <c r="U98" s="466" t="s">
        <v>1665</v>
      </c>
      <c r="V98" s="466"/>
      <c r="W98" s="464" t="s">
        <v>1666</v>
      </c>
      <c r="X98" s="464"/>
      <c r="Y98" s="467" t="s">
        <v>1667</v>
      </c>
      <c r="Z98" s="467"/>
      <c r="AA98" s="467"/>
      <c r="AB98" s="467"/>
      <c r="AC98" s="467"/>
      <c r="AD98" s="467"/>
      <c r="AE98" s="467"/>
      <c r="AF98" s="459"/>
    </row>
    <row r="99" s="396" customFormat="true" ht="15.75" hidden="false" customHeight="true" outlineLevel="0" collapsed="false">
      <c r="A99" s="462"/>
      <c r="B99" s="462"/>
      <c r="C99" s="462"/>
      <c r="D99" s="463"/>
      <c r="E99" s="463"/>
      <c r="F99" s="463"/>
      <c r="G99" s="463"/>
      <c r="H99" s="463"/>
      <c r="I99" s="463"/>
      <c r="J99" s="463"/>
      <c r="K99" s="463"/>
      <c r="L99" s="463"/>
      <c r="M99" s="464"/>
      <c r="N99" s="464"/>
      <c r="O99" s="465"/>
      <c r="P99" s="465"/>
      <c r="Q99" s="465"/>
      <c r="R99" s="465"/>
      <c r="S99" s="466"/>
      <c r="T99" s="466"/>
      <c r="U99" s="466"/>
      <c r="V99" s="466"/>
      <c r="W99" s="464"/>
      <c r="X99" s="464"/>
      <c r="Y99" s="467"/>
      <c r="Z99" s="467"/>
      <c r="AA99" s="467"/>
      <c r="AB99" s="467"/>
      <c r="AC99" s="467"/>
      <c r="AD99" s="467"/>
      <c r="AE99" s="467"/>
      <c r="AF99" s="459"/>
    </row>
    <row r="100" s="396" customFormat="true" ht="15.75" hidden="false" customHeight="true" outlineLevel="0" collapsed="false">
      <c r="A100" s="462"/>
      <c r="B100" s="462"/>
      <c r="C100" s="462"/>
      <c r="D100" s="463"/>
      <c r="E100" s="463"/>
      <c r="F100" s="463"/>
      <c r="G100" s="463"/>
      <c r="H100" s="463"/>
      <c r="I100" s="463"/>
      <c r="J100" s="463"/>
      <c r="K100" s="463"/>
      <c r="L100" s="463"/>
      <c r="M100" s="464"/>
      <c r="N100" s="464"/>
      <c r="O100" s="465"/>
      <c r="P100" s="465"/>
      <c r="Q100" s="465"/>
      <c r="R100" s="465"/>
      <c r="S100" s="466"/>
      <c r="T100" s="466"/>
      <c r="U100" s="466"/>
      <c r="V100" s="466"/>
      <c r="W100" s="464"/>
      <c r="X100" s="464"/>
      <c r="Y100" s="467"/>
      <c r="Z100" s="467"/>
      <c r="AA100" s="467"/>
      <c r="AB100" s="467"/>
      <c r="AC100" s="467"/>
      <c r="AD100" s="467"/>
      <c r="AE100" s="467"/>
      <c r="AF100" s="468"/>
    </row>
    <row r="101" s="396" customFormat="true" ht="30" hidden="false" customHeight="true" outlineLevel="0" collapsed="false">
      <c r="A101" s="469" t="s">
        <v>1765</v>
      </c>
      <c r="B101" s="469"/>
      <c r="C101" s="469"/>
      <c r="D101" s="470" t="s">
        <v>1766</v>
      </c>
      <c r="E101" s="470"/>
      <c r="F101" s="470"/>
      <c r="G101" s="470"/>
      <c r="H101" s="470"/>
      <c r="I101" s="470"/>
      <c r="J101" s="470"/>
      <c r="K101" s="470"/>
      <c r="L101" s="470"/>
      <c r="M101" s="471" t="n">
        <f aca="false">SUMIFS(TE!P:P,TE!G:G,$A$43,TE!H:H,A101)</f>
        <v>0</v>
      </c>
      <c r="N101" s="471"/>
      <c r="O101" s="472" t="n">
        <v>21</v>
      </c>
      <c r="P101" s="472"/>
      <c r="Q101" s="473" t="n">
        <f aca="false">ROUNDUP(M101/O101,0)</f>
        <v>0</v>
      </c>
      <c r="R101" s="473"/>
      <c r="S101" s="474" t="n">
        <v>16.1666666666667</v>
      </c>
      <c r="T101" s="474"/>
      <c r="U101" s="474" t="n">
        <f aca="false">Q101*S101</f>
        <v>0</v>
      </c>
      <c r="V101" s="474"/>
      <c r="W101" s="475" t="s">
        <v>1767</v>
      </c>
      <c r="X101" s="475"/>
      <c r="Y101" s="476" t="s">
        <v>1768</v>
      </c>
      <c r="Z101" s="476"/>
      <c r="AA101" s="476"/>
      <c r="AB101" s="476"/>
      <c r="AC101" s="476"/>
      <c r="AD101" s="476"/>
      <c r="AE101" s="476"/>
      <c r="AF101" s="468"/>
    </row>
    <row r="102" s="396" customFormat="true" ht="30" hidden="false" customHeight="true" outlineLevel="0" collapsed="false">
      <c r="A102" s="477" t="s">
        <v>1769</v>
      </c>
      <c r="B102" s="477"/>
      <c r="C102" s="477"/>
      <c r="D102" s="478" t="s">
        <v>1770</v>
      </c>
      <c r="E102" s="478"/>
      <c r="F102" s="478"/>
      <c r="G102" s="478"/>
      <c r="H102" s="478"/>
      <c r="I102" s="478"/>
      <c r="J102" s="478"/>
      <c r="K102" s="478"/>
      <c r="L102" s="478"/>
      <c r="M102" s="479" t="n">
        <f aca="false">SUMIFS(TE!P:P,TE!G:G,$A$43,TE!H:H,A102)</f>
        <v>0</v>
      </c>
      <c r="N102" s="479"/>
      <c r="O102" s="480" t="n">
        <v>16</v>
      </c>
      <c r="P102" s="480"/>
      <c r="Q102" s="481" t="n">
        <f aca="false">ROUNDUP(M102/O102,0)</f>
        <v>0</v>
      </c>
      <c r="R102" s="481"/>
      <c r="S102" s="482" t="n">
        <v>21</v>
      </c>
      <c r="T102" s="482"/>
      <c r="U102" s="482" t="n">
        <f aca="false">Q102*S102</f>
        <v>0</v>
      </c>
      <c r="V102" s="482"/>
      <c r="W102" s="483" t="s">
        <v>1771</v>
      </c>
      <c r="X102" s="483"/>
      <c r="Y102" s="484" t="s">
        <v>1772</v>
      </c>
      <c r="Z102" s="484"/>
      <c r="AA102" s="484"/>
      <c r="AB102" s="484"/>
      <c r="AC102" s="484"/>
      <c r="AD102" s="484"/>
      <c r="AE102" s="484"/>
      <c r="AF102" s="468"/>
    </row>
    <row r="103" s="396" customFormat="true" ht="30" hidden="false" customHeight="true" outlineLevel="0" collapsed="false">
      <c r="A103" s="477" t="s">
        <v>1773</v>
      </c>
      <c r="B103" s="477"/>
      <c r="C103" s="477"/>
      <c r="D103" s="478" t="s">
        <v>1774</v>
      </c>
      <c r="E103" s="478"/>
      <c r="F103" s="478"/>
      <c r="G103" s="478"/>
      <c r="H103" s="478"/>
      <c r="I103" s="478"/>
      <c r="J103" s="478"/>
      <c r="K103" s="478"/>
      <c r="L103" s="478"/>
      <c r="M103" s="479" t="n">
        <f aca="false">SUMIFS(TE!P:P,TE!G:G,$A$43,TE!H:H,A103)</f>
        <v>0</v>
      </c>
      <c r="N103" s="479"/>
      <c r="O103" s="480" t="n">
        <v>12</v>
      </c>
      <c r="P103" s="480"/>
      <c r="Q103" s="481" t="n">
        <f aca="false">ROUNDUP(M103/O103,0)</f>
        <v>0</v>
      </c>
      <c r="R103" s="481"/>
      <c r="S103" s="482" t="n">
        <v>13.4</v>
      </c>
      <c r="T103" s="482"/>
      <c r="U103" s="482" t="n">
        <f aca="false">Q103*S103</f>
        <v>0</v>
      </c>
      <c r="V103" s="482"/>
      <c r="W103" s="483" t="s">
        <v>1742</v>
      </c>
      <c r="X103" s="483"/>
      <c r="Y103" s="484" t="s">
        <v>1748</v>
      </c>
      <c r="Z103" s="484"/>
      <c r="AA103" s="484"/>
      <c r="AB103" s="484"/>
      <c r="AC103" s="484"/>
      <c r="AD103" s="484"/>
      <c r="AE103" s="484"/>
      <c r="AF103" s="468"/>
    </row>
    <row r="104" s="396" customFormat="true" ht="30" hidden="false" customHeight="true" outlineLevel="0" collapsed="false">
      <c r="A104" s="477" t="s">
        <v>1775</v>
      </c>
      <c r="B104" s="477"/>
      <c r="C104" s="477"/>
      <c r="D104" s="478" t="s">
        <v>1776</v>
      </c>
      <c r="E104" s="478"/>
      <c r="F104" s="478"/>
      <c r="G104" s="478"/>
      <c r="H104" s="478"/>
      <c r="I104" s="478"/>
      <c r="J104" s="478"/>
      <c r="K104" s="478"/>
      <c r="L104" s="478"/>
      <c r="M104" s="479" t="n">
        <f aca="false">SUMIFS(TE!P:P,TE!G:G,$A$43,TE!H:H,A104)</f>
        <v>0</v>
      </c>
      <c r="N104" s="479"/>
      <c r="O104" s="480" t="n">
        <v>4</v>
      </c>
      <c r="P104" s="480"/>
      <c r="Q104" s="481" t="n">
        <f aca="false">ROUNDUP(M104/O104,0)</f>
        <v>0</v>
      </c>
      <c r="R104" s="481"/>
      <c r="S104" s="482" t="n">
        <v>8.6</v>
      </c>
      <c r="T104" s="482"/>
      <c r="U104" s="482" t="n">
        <f aca="false">Q104*S104</f>
        <v>0</v>
      </c>
      <c r="V104" s="482"/>
      <c r="W104" s="483" t="s">
        <v>1777</v>
      </c>
      <c r="X104" s="483"/>
      <c r="Y104" s="484" t="s">
        <v>1748</v>
      </c>
      <c r="Z104" s="484"/>
      <c r="AA104" s="484"/>
      <c r="AB104" s="484"/>
      <c r="AC104" s="484"/>
      <c r="AD104" s="484"/>
      <c r="AE104" s="484"/>
      <c r="AF104" s="468"/>
    </row>
    <row r="105" s="396" customFormat="true" ht="30" hidden="false" customHeight="true" outlineLevel="0" collapsed="false">
      <c r="A105" s="497" t="s">
        <v>1778</v>
      </c>
      <c r="B105" s="497"/>
      <c r="C105" s="497"/>
      <c r="D105" s="478" t="s">
        <v>1779</v>
      </c>
      <c r="E105" s="478"/>
      <c r="F105" s="478"/>
      <c r="G105" s="478"/>
      <c r="H105" s="478"/>
      <c r="I105" s="478"/>
      <c r="J105" s="478"/>
      <c r="K105" s="478"/>
      <c r="L105" s="478"/>
      <c r="M105" s="479" t="n">
        <f aca="false">SUMIFS(TE!P:P,TE!G:G,$A$43,TE!H:H,A105)</f>
        <v>0</v>
      </c>
      <c r="N105" s="479"/>
      <c r="O105" s="480" t="n">
        <v>0.5</v>
      </c>
      <c r="P105" s="480"/>
      <c r="Q105" s="481" t="n">
        <f aca="false">M105/O105</f>
        <v>0</v>
      </c>
      <c r="R105" s="481"/>
      <c r="S105" s="482" t="n">
        <v>13.4</v>
      </c>
      <c r="T105" s="482"/>
      <c r="U105" s="482" t="n">
        <f aca="false">Q105*S105</f>
        <v>0</v>
      </c>
      <c r="V105" s="482"/>
      <c r="W105" s="483" t="s">
        <v>1670</v>
      </c>
      <c r="X105" s="483"/>
      <c r="Y105" s="484" t="s">
        <v>1671</v>
      </c>
      <c r="Z105" s="484"/>
      <c r="AA105" s="484"/>
      <c r="AB105" s="484"/>
      <c r="AC105" s="484"/>
      <c r="AD105" s="484"/>
      <c r="AE105" s="484"/>
      <c r="AF105" s="468"/>
    </row>
    <row r="106" s="396" customFormat="true" ht="30" hidden="false" customHeight="true" outlineLevel="0" collapsed="false">
      <c r="A106" s="497" t="s">
        <v>1780</v>
      </c>
      <c r="B106" s="497"/>
      <c r="C106" s="497"/>
      <c r="D106" s="478" t="s">
        <v>1781</v>
      </c>
      <c r="E106" s="478"/>
      <c r="F106" s="478"/>
      <c r="G106" s="478"/>
      <c r="H106" s="478"/>
      <c r="I106" s="478"/>
      <c r="J106" s="478"/>
      <c r="K106" s="478"/>
      <c r="L106" s="478"/>
      <c r="M106" s="479" t="n">
        <f aca="false">SUMIFS(TE!P:P,TE!G:G,$A$43,TE!H:H,A106)</f>
        <v>0</v>
      </c>
      <c r="N106" s="479"/>
      <c r="O106" s="480" t="n">
        <v>0.5</v>
      </c>
      <c r="P106" s="480"/>
      <c r="Q106" s="481" t="n">
        <f aca="false">M106/O106</f>
        <v>0</v>
      </c>
      <c r="R106" s="481"/>
      <c r="S106" s="482" t="n">
        <v>13.4</v>
      </c>
      <c r="T106" s="482"/>
      <c r="U106" s="482" t="n">
        <f aca="false">Q106*S106</f>
        <v>0</v>
      </c>
      <c r="V106" s="482"/>
      <c r="W106" s="483" t="s">
        <v>1670</v>
      </c>
      <c r="X106" s="483"/>
      <c r="Y106" s="484" t="s">
        <v>1671</v>
      </c>
      <c r="Z106" s="484"/>
      <c r="AA106" s="484"/>
      <c r="AB106" s="484"/>
      <c r="AC106" s="484"/>
      <c r="AD106" s="484"/>
      <c r="AE106" s="484"/>
      <c r="AF106" s="468"/>
    </row>
    <row r="107" s="396" customFormat="true" ht="30" hidden="false" customHeight="true" outlineLevel="0" collapsed="false">
      <c r="A107" s="477" t="s">
        <v>1782</v>
      </c>
      <c r="B107" s="477"/>
      <c r="C107" s="477"/>
      <c r="D107" s="498" t="s">
        <v>1783</v>
      </c>
      <c r="E107" s="498"/>
      <c r="F107" s="498"/>
      <c r="G107" s="498"/>
      <c r="H107" s="498"/>
      <c r="I107" s="498"/>
      <c r="J107" s="498"/>
      <c r="K107" s="498"/>
      <c r="L107" s="498"/>
      <c r="M107" s="479" t="n">
        <f aca="false">SUMIFS(TE!P:P,TE!G:G,$A$43,TE!H:H,A107)</f>
        <v>0</v>
      </c>
      <c r="N107" s="479"/>
      <c r="O107" s="480" t="n">
        <v>12</v>
      </c>
      <c r="P107" s="480"/>
      <c r="Q107" s="481" t="n">
        <f aca="false">M107/O107</f>
        <v>0</v>
      </c>
      <c r="R107" s="481"/>
      <c r="S107" s="482" t="n">
        <v>13.4</v>
      </c>
      <c r="T107" s="482"/>
      <c r="U107" s="482" t="n">
        <f aca="false">Q107*S107</f>
        <v>0</v>
      </c>
      <c r="V107" s="482"/>
      <c r="W107" s="483" t="s">
        <v>1670</v>
      </c>
      <c r="X107" s="483"/>
      <c r="Y107" s="484" t="s">
        <v>1671</v>
      </c>
      <c r="Z107" s="484"/>
      <c r="AA107" s="484"/>
      <c r="AB107" s="484"/>
      <c r="AC107" s="484"/>
      <c r="AD107" s="484"/>
      <c r="AE107" s="484"/>
      <c r="AF107" s="468"/>
    </row>
    <row r="108" s="396" customFormat="true" ht="30" hidden="false" customHeight="true" outlineLevel="0" collapsed="false">
      <c r="A108" s="477" t="s">
        <v>1784</v>
      </c>
      <c r="B108" s="477"/>
      <c r="C108" s="477"/>
      <c r="D108" s="498" t="s">
        <v>1785</v>
      </c>
      <c r="E108" s="498"/>
      <c r="F108" s="498"/>
      <c r="G108" s="498"/>
      <c r="H108" s="498"/>
      <c r="I108" s="498"/>
      <c r="J108" s="498"/>
      <c r="K108" s="498"/>
      <c r="L108" s="498"/>
      <c r="M108" s="479" t="n">
        <f aca="false">SUMIFS(TE!P:P,TE!G:G,$A$43,TE!H:H,A108)</f>
        <v>0</v>
      </c>
      <c r="N108" s="479"/>
      <c r="O108" s="480" t="n">
        <v>12</v>
      </c>
      <c r="P108" s="480"/>
      <c r="Q108" s="481" t="n">
        <f aca="false">M108/O108</f>
        <v>0</v>
      </c>
      <c r="R108" s="481"/>
      <c r="S108" s="482" t="n">
        <v>13.4</v>
      </c>
      <c r="T108" s="482"/>
      <c r="U108" s="482" t="n">
        <f aca="false">Q108*S108</f>
        <v>0</v>
      </c>
      <c r="V108" s="482"/>
      <c r="W108" s="483" t="s">
        <v>1670</v>
      </c>
      <c r="X108" s="483"/>
      <c r="Y108" s="484" t="s">
        <v>1671</v>
      </c>
      <c r="Z108" s="484"/>
      <c r="AA108" s="484"/>
      <c r="AB108" s="484"/>
      <c r="AC108" s="484"/>
      <c r="AD108" s="484"/>
      <c r="AE108" s="484"/>
      <c r="AF108" s="468"/>
    </row>
    <row r="109" s="396" customFormat="true" ht="30" hidden="false" customHeight="true" outlineLevel="0" collapsed="false">
      <c r="A109" s="477" t="s">
        <v>1786</v>
      </c>
      <c r="B109" s="477"/>
      <c r="C109" s="477"/>
      <c r="D109" s="478" t="s">
        <v>1787</v>
      </c>
      <c r="E109" s="478"/>
      <c r="F109" s="478"/>
      <c r="G109" s="478"/>
      <c r="H109" s="478"/>
      <c r="I109" s="478"/>
      <c r="J109" s="478"/>
      <c r="K109" s="478"/>
      <c r="L109" s="478"/>
      <c r="M109" s="479" t="n">
        <f aca="false">SUMIFS(TE!P:P,TE!G:G,$A$43,TE!H:H,A109)</f>
        <v>0</v>
      </c>
      <c r="N109" s="479"/>
      <c r="O109" s="485" t="s">
        <v>1678</v>
      </c>
      <c r="P109" s="485"/>
      <c r="Q109" s="485" t="s">
        <v>1678</v>
      </c>
      <c r="R109" s="485"/>
      <c r="S109" s="485" t="s">
        <v>1678</v>
      </c>
      <c r="T109" s="485"/>
      <c r="U109" s="485" t="s">
        <v>1678</v>
      </c>
      <c r="V109" s="485"/>
      <c r="W109" s="483" t="s">
        <v>1679</v>
      </c>
      <c r="X109" s="483"/>
      <c r="Y109" s="484" t="s">
        <v>1788</v>
      </c>
      <c r="Z109" s="484"/>
      <c r="AA109" s="484"/>
      <c r="AB109" s="484"/>
      <c r="AC109" s="484"/>
      <c r="AD109" s="484"/>
      <c r="AE109" s="484"/>
      <c r="AF109" s="468"/>
    </row>
    <row r="110" s="396" customFormat="true" ht="30" hidden="false" customHeight="true" outlineLevel="0" collapsed="false">
      <c r="A110" s="477" t="s">
        <v>1789</v>
      </c>
      <c r="B110" s="477"/>
      <c r="C110" s="477"/>
      <c r="D110" s="478" t="s">
        <v>1790</v>
      </c>
      <c r="E110" s="478"/>
      <c r="F110" s="478"/>
      <c r="G110" s="478"/>
      <c r="H110" s="478"/>
      <c r="I110" s="478"/>
      <c r="J110" s="478"/>
      <c r="K110" s="478"/>
      <c r="L110" s="478"/>
      <c r="M110" s="479" t="n">
        <f aca="false">SUMIFS(TE!P:P,TE!G:G,$A$43,TE!H:H,A110)</f>
        <v>0</v>
      </c>
      <c r="N110" s="479"/>
      <c r="O110" s="485" t="s">
        <v>1678</v>
      </c>
      <c r="P110" s="485"/>
      <c r="Q110" s="485" t="s">
        <v>1678</v>
      </c>
      <c r="R110" s="485"/>
      <c r="S110" s="485" t="s">
        <v>1678</v>
      </c>
      <c r="T110" s="485"/>
      <c r="U110" s="485" t="s">
        <v>1678</v>
      </c>
      <c r="V110" s="485"/>
      <c r="W110" s="483" t="s">
        <v>1679</v>
      </c>
      <c r="X110" s="483"/>
      <c r="Y110" s="484" t="s">
        <v>1788</v>
      </c>
      <c r="Z110" s="484"/>
      <c r="AA110" s="484"/>
      <c r="AB110" s="484"/>
      <c r="AC110" s="484"/>
      <c r="AD110" s="484"/>
      <c r="AE110" s="484"/>
      <c r="AF110" s="468"/>
    </row>
    <row r="111" s="396" customFormat="true" ht="30" hidden="false" customHeight="true" outlineLevel="0" collapsed="false">
      <c r="A111" s="477" t="s">
        <v>1791</v>
      </c>
      <c r="B111" s="477"/>
      <c r="C111" s="477"/>
      <c r="D111" s="478" t="s">
        <v>1792</v>
      </c>
      <c r="E111" s="478"/>
      <c r="F111" s="478"/>
      <c r="G111" s="478"/>
      <c r="H111" s="478"/>
      <c r="I111" s="478"/>
      <c r="J111" s="478"/>
      <c r="K111" s="478"/>
      <c r="L111" s="478"/>
      <c r="M111" s="479" t="n">
        <f aca="false">SUMIFS(TE!P:P,TE!G:G,$A$43,TE!H:H,A111)</f>
        <v>0</v>
      </c>
      <c r="N111" s="479"/>
      <c r="O111" s="485" t="s">
        <v>1678</v>
      </c>
      <c r="P111" s="485"/>
      <c r="Q111" s="485" t="s">
        <v>1678</v>
      </c>
      <c r="R111" s="485"/>
      <c r="S111" s="485" t="s">
        <v>1678</v>
      </c>
      <c r="T111" s="485"/>
      <c r="U111" s="485" t="s">
        <v>1678</v>
      </c>
      <c r="V111" s="485"/>
      <c r="W111" s="483" t="s">
        <v>1679</v>
      </c>
      <c r="X111" s="483"/>
      <c r="Y111" s="484" t="s">
        <v>1788</v>
      </c>
      <c r="Z111" s="484"/>
      <c r="AA111" s="484"/>
      <c r="AB111" s="484"/>
      <c r="AC111" s="484"/>
      <c r="AD111" s="484"/>
      <c r="AE111" s="484"/>
      <c r="AF111" s="468"/>
    </row>
    <row r="112" s="396" customFormat="true" ht="30" hidden="false" customHeight="true" outlineLevel="0" collapsed="false">
      <c r="A112" s="477" t="s">
        <v>1793</v>
      </c>
      <c r="B112" s="477"/>
      <c r="C112" s="477"/>
      <c r="D112" s="478" t="s">
        <v>1794</v>
      </c>
      <c r="E112" s="478"/>
      <c r="F112" s="478"/>
      <c r="G112" s="478"/>
      <c r="H112" s="478"/>
      <c r="I112" s="478"/>
      <c r="J112" s="478"/>
      <c r="K112" s="478"/>
      <c r="L112" s="478"/>
      <c r="M112" s="479" t="n">
        <f aca="false">SUMIFS(TE!P:P,TE!G:G,$A$43,TE!H:H,A112)</f>
        <v>2</v>
      </c>
      <c r="N112" s="479"/>
      <c r="O112" s="480" t="n">
        <v>4</v>
      </c>
      <c r="P112" s="480"/>
      <c r="Q112" s="481" t="n">
        <f aca="false">ROUNDUP(M112/O112,0)</f>
        <v>1</v>
      </c>
      <c r="R112" s="481"/>
      <c r="S112" s="482" t="n">
        <v>13.4</v>
      </c>
      <c r="T112" s="482"/>
      <c r="U112" s="482" t="n">
        <f aca="false">Q112*S112</f>
        <v>13.4</v>
      </c>
      <c r="V112" s="482"/>
      <c r="W112" s="483" t="s">
        <v>1795</v>
      </c>
      <c r="X112" s="483"/>
      <c r="Y112" s="484" t="s">
        <v>1796</v>
      </c>
      <c r="Z112" s="484"/>
      <c r="AA112" s="484"/>
      <c r="AB112" s="484"/>
      <c r="AC112" s="484"/>
      <c r="AD112" s="484"/>
      <c r="AE112" s="484"/>
      <c r="AF112" s="468"/>
    </row>
    <row r="113" s="396" customFormat="true" ht="30" hidden="false" customHeight="true" outlineLevel="0" collapsed="false">
      <c r="A113" s="477" t="s">
        <v>1797</v>
      </c>
      <c r="B113" s="477"/>
      <c r="C113" s="477"/>
      <c r="D113" s="478" t="s">
        <v>1798</v>
      </c>
      <c r="E113" s="478"/>
      <c r="F113" s="478"/>
      <c r="G113" s="478"/>
      <c r="H113" s="478"/>
      <c r="I113" s="478"/>
      <c r="J113" s="478"/>
      <c r="K113" s="478"/>
      <c r="L113" s="478"/>
      <c r="M113" s="479" t="n">
        <f aca="false">SUMIFS(TE!P:P,TE!G:G,$A$43,TE!H:H,A113)</f>
        <v>0</v>
      </c>
      <c r="N113" s="479"/>
      <c r="O113" s="480" t="n">
        <v>30</v>
      </c>
      <c r="P113" s="480"/>
      <c r="Q113" s="485" t="s">
        <v>1678</v>
      </c>
      <c r="R113" s="485"/>
      <c r="S113" s="485" t="s">
        <v>1678</v>
      </c>
      <c r="T113" s="485"/>
      <c r="U113" s="485" t="s">
        <v>1678</v>
      </c>
      <c r="V113" s="485"/>
      <c r="W113" s="483" t="s">
        <v>1679</v>
      </c>
      <c r="X113" s="483"/>
      <c r="Y113" s="484" t="s">
        <v>1799</v>
      </c>
      <c r="Z113" s="484"/>
      <c r="AA113" s="484"/>
      <c r="AB113" s="484"/>
      <c r="AC113" s="484"/>
      <c r="AD113" s="484"/>
      <c r="AE113" s="484"/>
      <c r="AF113" s="468"/>
    </row>
    <row r="114" s="396" customFormat="true" ht="30" hidden="false" customHeight="true" outlineLevel="0" collapsed="false">
      <c r="A114" s="477" t="s">
        <v>1800</v>
      </c>
      <c r="B114" s="477"/>
      <c r="C114" s="477"/>
      <c r="D114" s="478" t="s">
        <v>1801</v>
      </c>
      <c r="E114" s="478"/>
      <c r="F114" s="478"/>
      <c r="G114" s="478"/>
      <c r="H114" s="478"/>
      <c r="I114" s="478"/>
      <c r="J114" s="478"/>
      <c r="K114" s="478"/>
      <c r="L114" s="478"/>
      <c r="M114" s="479" t="n">
        <f aca="false">SUMIFS(TE!P:P,TE!G:G,$A$43,TE!H:H,A114)</f>
        <v>0</v>
      </c>
      <c r="N114" s="479"/>
      <c r="O114" s="480" t="n">
        <v>12</v>
      </c>
      <c r="P114" s="480"/>
      <c r="Q114" s="481" t="n">
        <f aca="false">M114/O114</f>
        <v>0</v>
      </c>
      <c r="R114" s="481"/>
      <c r="S114" s="482" t="n">
        <v>13.4</v>
      </c>
      <c r="T114" s="482"/>
      <c r="U114" s="482" t="n">
        <f aca="false">Q114*S114</f>
        <v>0</v>
      </c>
      <c r="V114" s="482"/>
      <c r="W114" s="483" t="s">
        <v>1670</v>
      </c>
      <c r="X114" s="483"/>
      <c r="Y114" s="484" t="s">
        <v>1671</v>
      </c>
      <c r="Z114" s="484"/>
      <c r="AA114" s="484"/>
      <c r="AB114" s="484"/>
      <c r="AC114" s="484"/>
      <c r="AD114" s="484"/>
      <c r="AE114" s="484"/>
      <c r="AF114" s="468"/>
    </row>
    <row r="115" s="396" customFormat="true" ht="30" hidden="false" customHeight="true" outlineLevel="0" collapsed="false">
      <c r="A115" s="477" t="s">
        <v>1802</v>
      </c>
      <c r="B115" s="477"/>
      <c r="C115" s="477"/>
      <c r="D115" s="478" t="s">
        <v>1798</v>
      </c>
      <c r="E115" s="478"/>
      <c r="F115" s="478"/>
      <c r="G115" s="478"/>
      <c r="H115" s="478"/>
      <c r="I115" s="478"/>
      <c r="J115" s="478"/>
      <c r="K115" s="478"/>
      <c r="L115" s="478"/>
      <c r="M115" s="479" t="n">
        <f aca="false">SUMIFS(TE!P:P,TE!G:G,$A$43,TE!H:H,A115)</f>
        <v>0</v>
      </c>
      <c r="N115" s="479"/>
      <c r="O115" s="480" t="n">
        <v>30</v>
      </c>
      <c r="P115" s="480"/>
      <c r="Q115" s="485" t="s">
        <v>1678</v>
      </c>
      <c r="R115" s="485"/>
      <c r="S115" s="485" t="s">
        <v>1678</v>
      </c>
      <c r="T115" s="485"/>
      <c r="U115" s="485" t="s">
        <v>1678</v>
      </c>
      <c r="V115" s="485"/>
      <c r="W115" s="483" t="s">
        <v>1679</v>
      </c>
      <c r="X115" s="483"/>
      <c r="Y115" s="484" t="s">
        <v>1803</v>
      </c>
      <c r="Z115" s="484"/>
      <c r="AA115" s="484"/>
      <c r="AB115" s="484"/>
      <c r="AC115" s="484"/>
      <c r="AD115" s="484"/>
      <c r="AE115" s="484"/>
      <c r="AF115" s="468"/>
    </row>
    <row r="116" s="396" customFormat="true" ht="30" hidden="false" customHeight="true" outlineLevel="0" collapsed="false">
      <c r="A116" s="477" t="s">
        <v>1804</v>
      </c>
      <c r="B116" s="477"/>
      <c r="C116" s="477"/>
      <c r="D116" s="478" t="s">
        <v>1798</v>
      </c>
      <c r="E116" s="478"/>
      <c r="F116" s="478"/>
      <c r="G116" s="478"/>
      <c r="H116" s="478"/>
      <c r="I116" s="478"/>
      <c r="J116" s="478"/>
      <c r="K116" s="478"/>
      <c r="L116" s="478"/>
      <c r="M116" s="479" t="n">
        <f aca="false">SUMIFS(TE!P:P,TE!G:G,$A$43,TE!H:H,A116)</f>
        <v>0</v>
      </c>
      <c r="N116" s="479"/>
      <c r="O116" s="480" t="n">
        <v>30</v>
      </c>
      <c r="P116" s="480"/>
      <c r="Q116" s="485" t="s">
        <v>1678</v>
      </c>
      <c r="R116" s="485"/>
      <c r="S116" s="485" t="s">
        <v>1678</v>
      </c>
      <c r="T116" s="485"/>
      <c r="U116" s="485" t="s">
        <v>1678</v>
      </c>
      <c r="V116" s="485"/>
      <c r="W116" s="483" t="s">
        <v>1679</v>
      </c>
      <c r="X116" s="483"/>
      <c r="Y116" s="484" t="s">
        <v>1805</v>
      </c>
      <c r="Z116" s="484"/>
      <c r="AA116" s="484"/>
      <c r="AB116" s="484"/>
      <c r="AC116" s="484"/>
      <c r="AD116" s="484"/>
      <c r="AE116" s="484"/>
      <c r="AF116" s="468"/>
    </row>
    <row r="117" s="396" customFormat="true" ht="30" hidden="false" customHeight="true" outlineLevel="0" collapsed="false">
      <c r="A117" s="477" t="s">
        <v>1806</v>
      </c>
      <c r="B117" s="477"/>
      <c r="C117" s="477"/>
      <c r="D117" s="478" t="s">
        <v>1807</v>
      </c>
      <c r="E117" s="478"/>
      <c r="F117" s="478"/>
      <c r="G117" s="478"/>
      <c r="H117" s="478"/>
      <c r="I117" s="478"/>
      <c r="J117" s="478"/>
      <c r="K117" s="478"/>
      <c r="L117" s="478"/>
      <c r="M117" s="479" t="n">
        <f aca="false">SUMIFS(TE!P:P,TE!G:G,$A$43,TE!H:H,A117)</f>
        <v>0</v>
      </c>
      <c r="N117" s="479"/>
      <c r="O117" s="480" t="n">
        <v>120</v>
      </c>
      <c r="P117" s="480"/>
      <c r="Q117" s="481" t="n">
        <f aca="false">M117/O117</f>
        <v>0</v>
      </c>
      <c r="R117" s="481"/>
      <c r="S117" s="482" t="n">
        <v>13.4</v>
      </c>
      <c r="T117" s="482"/>
      <c r="U117" s="482" t="n">
        <f aca="false">Q117*S117</f>
        <v>0</v>
      </c>
      <c r="V117" s="482"/>
      <c r="W117" s="483" t="s">
        <v>1670</v>
      </c>
      <c r="X117" s="483"/>
      <c r="Y117" s="484" t="s">
        <v>1671</v>
      </c>
      <c r="Z117" s="484"/>
      <c r="AA117" s="484"/>
      <c r="AB117" s="484"/>
      <c r="AC117" s="484"/>
      <c r="AD117" s="484"/>
      <c r="AE117" s="484"/>
      <c r="AF117" s="468"/>
    </row>
    <row r="118" s="396" customFormat="true" ht="30" hidden="false" customHeight="true" outlineLevel="0" collapsed="false">
      <c r="A118" s="477" t="s">
        <v>1808</v>
      </c>
      <c r="B118" s="477"/>
      <c r="C118" s="477"/>
      <c r="D118" s="478" t="s">
        <v>1809</v>
      </c>
      <c r="E118" s="478"/>
      <c r="F118" s="478"/>
      <c r="G118" s="478"/>
      <c r="H118" s="478"/>
      <c r="I118" s="478"/>
      <c r="J118" s="478"/>
      <c r="K118" s="478"/>
      <c r="L118" s="478"/>
      <c r="M118" s="479" t="n">
        <f aca="false">SUMIFS(TE!P:P,TE!G:G,$A$43,TE!H:H,A118)</f>
        <v>0</v>
      </c>
      <c r="N118" s="479"/>
      <c r="O118" s="485" t="s">
        <v>1678</v>
      </c>
      <c r="P118" s="485"/>
      <c r="Q118" s="485" t="s">
        <v>1678</v>
      </c>
      <c r="R118" s="485"/>
      <c r="S118" s="485" t="s">
        <v>1678</v>
      </c>
      <c r="T118" s="485"/>
      <c r="U118" s="485" t="s">
        <v>1678</v>
      </c>
      <c r="V118" s="485"/>
      <c r="W118" s="483" t="s">
        <v>1810</v>
      </c>
      <c r="X118" s="483"/>
      <c r="Y118" s="484" t="s">
        <v>1811</v>
      </c>
      <c r="Z118" s="484"/>
      <c r="AA118" s="484"/>
      <c r="AB118" s="484"/>
      <c r="AC118" s="484"/>
      <c r="AD118" s="484"/>
      <c r="AE118" s="484"/>
      <c r="AF118" s="468"/>
    </row>
    <row r="119" s="396" customFormat="true" ht="30" hidden="false" customHeight="true" outlineLevel="0" collapsed="false">
      <c r="A119" s="486" t="s">
        <v>1812</v>
      </c>
      <c r="B119" s="486"/>
      <c r="C119" s="486"/>
      <c r="D119" s="487" t="s">
        <v>1813</v>
      </c>
      <c r="E119" s="487"/>
      <c r="F119" s="487"/>
      <c r="G119" s="487"/>
      <c r="H119" s="487"/>
      <c r="I119" s="487"/>
      <c r="J119" s="487"/>
      <c r="K119" s="487"/>
      <c r="L119" s="487"/>
      <c r="M119" s="488" t="n">
        <f aca="false">SUMIFS(TE!P:P,TE!G:G,$A$43,TE!H:H,A119)</f>
        <v>0</v>
      </c>
      <c r="N119" s="488"/>
      <c r="O119" s="489" t="n">
        <v>5</v>
      </c>
      <c r="P119" s="489"/>
      <c r="Q119" s="490" t="n">
        <f aca="false">M119/O119</f>
        <v>0</v>
      </c>
      <c r="R119" s="490"/>
      <c r="S119" s="491" t="n">
        <v>13.4</v>
      </c>
      <c r="T119" s="491"/>
      <c r="U119" s="491" t="n">
        <f aca="false">Q119*S119</f>
        <v>0</v>
      </c>
      <c r="V119" s="491"/>
      <c r="W119" s="492" t="s">
        <v>1670</v>
      </c>
      <c r="X119" s="492"/>
      <c r="Y119" s="493" t="s">
        <v>1671</v>
      </c>
      <c r="Z119" s="493"/>
      <c r="AA119" s="493"/>
      <c r="AB119" s="493"/>
      <c r="AC119" s="493"/>
      <c r="AD119" s="493"/>
      <c r="AE119" s="493"/>
      <c r="AF119" s="468"/>
    </row>
    <row r="120" s="396" customFormat="true" ht="15.75" hidden="false" customHeight="true" outlineLevel="0" collapsed="false">
      <c r="A120" s="494"/>
      <c r="B120" s="494"/>
      <c r="C120" s="494"/>
      <c r="D120" s="494"/>
      <c r="E120" s="494"/>
      <c r="F120" s="494"/>
      <c r="G120" s="494"/>
      <c r="H120" s="494"/>
      <c r="I120" s="494"/>
      <c r="J120" s="494"/>
      <c r="K120" s="494"/>
      <c r="L120" s="494"/>
      <c r="M120" s="494"/>
      <c r="N120" s="494"/>
      <c r="O120" s="494"/>
      <c r="P120" s="494"/>
      <c r="Q120" s="494"/>
      <c r="R120" s="494"/>
      <c r="S120" s="494"/>
      <c r="T120" s="494"/>
      <c r="U120" s="494"/>
      <c r="V120" s="494"/>
      <c r="W120" s="494"/>
      <c r="X120" s="494"/>
      <c r="Y120" s="494"/>
      <c r="Z120" s="494"/>
      <c r="AA120" s="494"/>
      <c r="AB120" s="494"/>
      <c r="AC120" s="494"/>
      <c r="AD120" s="494"/>
      <c r="AE120" s="494"/>
      <c r="AF120" s="468"/>
    </row>
    <row r="121" s="396" customFormat="true" ht="15.75" hidden="false" customHeight="true" outlineLevel="0" collapsed="false">
      <c r="A121" s="495"/>
      <c r="B121" s="495"/>
      <c r="C121" s="495"/>
      <c r="D121" s="495"/>
      <c r="E121" s="495"/>
      <c r="F121" s="495"/>
      <c r="G121" s="495"/>
      <c r="H121" s="495"/>
      <c r="I121" s="495"/>
      <c r="J121" s="495"/>
      <c r="K121" s="495"/>
      <c r="L121" s="495"/>
      <c r="M121" s="495"/>
      <c r="N121" s="495"/>
      <c r="O121" s="495"/>
      <c r="P121" s="495"/>
      <c r="Q121" s="495"/>
      <c r="R121" s="495"/>
      <c r="S121" s="495"/>
      <c r="T121" s="495"/>
      <c r="U121" s="495"/>
      <c r="V121" s="495"/>
      <c r="W121" s="495"/>
      <c r="X121" s="495"/>
      <c r="Y121" s="495"/>
      <c r="Z121" s="495"/>
      <c r="AA121" s="495"/>
      <c r="AB121" s="453"/>
      <c r="AC121" s="454" t="s">
        <v>1657</v>
      </c>
      <c r="AD121" s="455" t="n">
        <v>4</v>
      </c>
      <c r="AE121" s="455" t="s">
        <v>29</v>
      </c>
      <c r="AF121" s="455" t="n">
        <v>27</v>
      </c>
    </row>
    <row r="122" s="396" customFormat="true" ht="15.75" hidden="false" customHeight="true" outlineLevel="0" collapsed="false">
      <c r="A122" s="398" t="s">
        <v>1522</v>
      </c>
      <c r="B122" s="398"/>
      <c r="C122" s="456" t="n">
        <v>14345</v>
      </c>
      <c r="D122" s="456"/>
      <c r="E122" s="456"/>
      <c r="F122" s="456"/>
      <c r="G122" s="456"/>
      <c r="H122" s="456"/>
      <c r="I122" s="456"/>
      <c r="J122" s="456"/>
      <c r="K122" s="456"/>
      <c r="L122" s="456"/>
      <c r="M122" s="398" t="s">
        <v>1523</v>
      </c>
      <c r="N122" s="398"/>
      <c r="O122" s="398"/>
      <c r="P122" s="398"/>
      <c r="Q122" s="398"/>
      <c r="R122" s="456" t="s">
        <v>15</v>
      </c>
      <c r="S122" s="456"/>
      <c r="T122" s="456"/>
      <c r="U122" s="456"/>
      <c r="V122" s="456"/>
      <c r="W122" s="456"/>
      <c r="X122" s="456"/>
      <c r="Y122" s="456"/>
      <c r="Z122" s="456"/>
      <c r="AA122" s="456"/>
      <c r="AB122" s="456"/>
      <c r="AC122" s="456"/>
      <c r="AD122" s="456"/>
      <c r="AE122" s="456"/>
      <c r="AF122" s="456"/>
    </row>
    <row r="123" s="396" customFormat="true" ht="15.75" hidden="false" customHeight="true" outlineLevel="0" collapsed="false">
      <c r="A123" s="458"/>
      <c r="B123" s="458"/>
      <c r="C123" s="459"/>
      <c r="D123" s="459"/>
      <c r="E123" s="459"/>
      <c r="F123" s="459"/>
      <c r="G123" s="459"/>
      <c r="H123" s="459"/>
      <c r="I123" s="459"/>
      <c r="J123" s="459"/>
      <c r="K123" s="459"/>
      <c r="L123" s="459"/>
      <c r="M123" s="458"/>
      <c r="N123" s="458"/>
      <c r="O123" s="458"/>
      <c r="P123" s="458"/>
      <c r="Q123" s="458"/>
      <c r="R123" s="459"/>
      <c r="S123" s="459"/>
      <c r="T123" s="459"/>
      <c r="U123" s="459"/>
      <c r="V123" s="459"/>
      <c r="W123" s="459"/>
      <c r="X123" s="459"/>
      <c r="Y123" s="459"/>
      <c r="Z123" s="459"/>
      <c r="AA123" s="459"/>
      <c r="AB123" s="459"/>
      <c r="AC123" s="459"/>
      <c r="AD123" s="459"/>
      <c r="AE123" s="459"/>
      <c r="AF123" s="459"/>
    </row>
    <row r="124" s="396" customFormat="true" ht="15.75" hidden="false" customHeight="true" outlineLevel="0" collapsed="false">
      <c r="A124" s="460" t="str">
        <f aca="false">A97</f>
        <v>M28261</v>
      </c>
      <c r="B124" s="460"/>
      <c r="C124" s="460"/>
      <c r="D124" s="461" t="str">
        <f aca="false">D97</f>
        <v>H&amp;S CO</v>
      </c>
      <c r="E124" s="461"/>
      <c r="F124" s="461"/>
      <c r="G124" s="461"/>
      <c r="H124" s="461"/>
      <c r="I124" s="461"/>
      <c r="J124" s="461"/>
      <c r="K124" s="461"/>
      <c r="L124" s="461"/>
      <c r="M124" s="458"/>
      <c r="N124" s="458"/>
      <c r="O124" s="458"/>
      <c r="P124" s="459"/>
      <c r="Q124" s="458"/>
      <c r="R124" s="459"/>
      <c r="S124" s="459"/>
      <c r="T124" s="459"/>
      <c r="U124" s="459"/>
      <c r="V124" s="459"/>
      <c r="W124" s="459"/>
      <c r="X124" s="459"/>
      <c r="Y124" s="459"/>
      <c r="Z124" s="459"/>
      <c r="AA124" s="459"/>
      <c r="AB124" s="459"/>
      <c r="AC124" s="459"/>
      <c r="AD124" s="459"/>
      <c r="AE124" s="459"/>
      <c r="AF124" s="459"/>
    </row>
    <row r="125" s="396" customFormat="true" ht="15.75" hidden="false" customHeight="true" outlineLevel="0" collapsed="false">
      <c r="A125" s="462" t="s">
        <v>1659</v>
      </c>
      <c r="B125" s="462"/>
      <c r="C125" s="462"/>
      <c r="D125" s="463" t="s">
        <v>1660</v>
      </c>
      <c r="E125" s="463"/>
      <c r="F125" s="463"/>
      <c r="G125" s="463"/>
      <c r="H125" s="463"/>
      <c r="I125" s="463"/>
      <c r="J125" s="463"/>
      <c r="K125" s="463"/>
      <c r="L125" s="463"/>
      <c r="M125" s="464" t="s">
        <v>1661</v>
      </c>
      <c r="N125" s="464"/>
      <c r="O125" s="465" t="s">
        <v>1662</v>
      </c>
      <c r="P125" s="465"/>
      <c r="Q125" s="465" t="s">
        <v>1663</v>
      </c>
      <c r="R125" s="465"/>
      <c r="S125" s="466" t="s">
        <v>1664</v>
      </c>
      <c r="T125" s="466"/>
      <c r="U125" s="466" t="s">
        <v>1665</v>
      </c>
      <c r="V125" s="466"/>
      <c r="W125" s="464" t="s">
        <v>1666</v>
      </c>
      <c r="X125" s="464"/>
      <c r="Y125" s="467" t="s">
        <v>1667</v>
      </c>
      <c r="Z125" s="467"/>
      <c r="AA125" s="467"/>
      <c r="AB125" s="467"/>
      <c r="AC125" s="467"/>
      <c r="AD125" s="467"/>
      <c r="AE125" s="467"/>
      <c r="AF125" s="459"/>
    </row>
    <row r="126" s="396" customFormat="true" ht="15.75" hidden="false" customHeight="true" outlineLevel="0" collapsed="false">
      <c r="A126" s="462"/>
      <c r="B126" s="462"/>
      <c r="C126" s="462"/>
      <c r="D126" s="463"/>
      <c r="E126" s="463"/>
      <c r="F126" s="463"/>
      <c r="G126" s="463"/>
      <c r="H126" s="463"/>
      <c r="I126" s="463"/>
      <c r="J126" s="463"/>
      <c r="K126" s="463"/>
      <c r="L126" s="463"/>
      <c r="M126" s="464"/>
      <c r="N126" s="464"/>
      <c r="O126" s="465"/>
      <c r="P126" s="465"/>
      <c r="Q126" s="465"/>
      <c r="R126" s="465"/>
      <c r="S126" s="466"/>
      <c r="T126" s="466"/>
      <c r="U126" s="466"/>
      <c r="V126" s="466"/>
      <c r="W126" s="464"/>
      <c r="X126" s="464"/>
      <c r="Y126" s="467"/>
      <c r="Z126" s="467"/>
      <c r="AA126" s="467"/>
      <c r="AB126" s="467"/>
      <c r="AC126" s="467"/>
      <c r="AD126" s="467"/>
      <c r="AE126" s="467"/>
      <c r="AF126" s="459"/>
    </row>
    <row r="127" s="396" customFormat="true" ht="15.75" hidden="false" customHeight="true" outlineLevel="0" collapsed="false">
      <c r="A127" s="462"/>
      <c r="B127" s="462"/>
      <c r="C127" s="462"/>
      <c r="D127" s="463"/>
      <c r="E127" s="463"/>
      <c r="F127" s="463"/>
      <c r="G127" s="463"/>
      <c r="H127" s="463"/>
      <c r="I127" s="463"/>
      <c r="J127" s="463"/>
      <c r="K127" s="463"/>
      <c r="L127" s="463"/>
      <c r="M127" s="464"/>
      <c r="N127" s="464"/>
      <c r="O127" s="465"/>
      <c r="P127" s="465"/>
      <c r="Q127" s="465"/>
      <c r="R127" s="465"/>
      <c r="S127" s="466"/>
      <c r="T127" s="466"/>
      <c r="U127" s="466"/>
      <c r="V127" s="466"/>
      <c r="W127" s="464"/>
      <c r="X127" s="464"/>
      <c r="Y127" s="467"/>
      <c r="Z127" s="467"/>
      <c r="AA127" s="467"/>
      <c r="AB127" s="467"/>
      <c r="AC127" s="467"/>
      <c r="AD127" s="467"/>
      <c r="AE127" s="467"/>
      <c r="AF127" s="468"/>
    </row>
    <row r="128" s="396" customFormat="true" ht="30" hidden="false" customHeight="true" outlineLevel="0" collapsed="false">
      <c r="A128" s="469" t="s">
        <v>1814</v>
      </c>
      <c r="B128" s="469"/>
      <c r="C128" s="469"/>
      <c r="D128" s="470" t="s">
        <v>1815</v>
      </c>
      <c r="E128" s="470"/>
      <c r="F128" s="470"/>
      <c r="G128" s="470"/>
      <c r="H128" s="470"/>
      <c r="I128" s="470"/>
      <c r="J128" s="470"/>
      <c r="K128" s="470"/>
      <c r="L128" s="470"/>
      <c r="M128" s="471" t="n">
        <f aca="false">SUMIFS(TE!P:P,TE!G:G,$A$43,TE!H:H,A128)</f>
        <v>0</v>
      </c>
      <c r="N128" s="471"/>
      <c r="O128" s="472" t="n">
        <v>40</v>
      </c>
      <c r="P128" s="472"/>
      <c r="Q128" s="473" t="n">
        <f aca="false">M128/O128</f>
        <v>0</v>
      </c>
      <c r="R128" s="473"/>
      <c r="S128" s="474" t="n">
        <v>13.4</v>
      </c>
      <c r="T128" s="474"/>
      <c r="U128" s="474" t="n">
        <f aca="false">Q128*S128</f>
        <v>0</v>
      </c>
      <c r="V128" s="474"/>
      <c r="W128" s="475" t="s">
        <v>1670</v>
      </c>
      <c r="X128" s="475"/>
      <c r="Y128" s="476" t="s">
        <v>1671</v>
      </c>
      <c r="Z128" s="476"/>
      <c r="AA128" s="476"/>
      <c r="AB128" s="476"/>
      <c r="AC128" s="476"/>
      <c r="AD128" s="476"/>
      <c r="AE128" s="476"/>
      <c r="AF128" s="468"/>
    </row>
    <row r="129" s="396" customFormat="true" ht="30" hidden="false" customHeight="true" outlineLevel="0" collapsed="false">
      <c r="A129" s="477" t="s">
        <v>1816</v>
      </c>
      <c r="B129" s="477"/>
      <c r="C129" s="477"/>
      <c r="D129" s="478" t="s">
        <v>1817</v>
      </c>
      <c r="E129" s="478"/>
      <c r="F129" s="478"/>
      <c r="G129" s="478"/>
      <c r="H129" s="478"/>
      <c r="I129" s="478"/>
      <c r="J129" s="478"/>
      <c r="K129" s="478"/>
      <c r="L129" s="478"/>
      <c r="M129" s="479" t="n">
        <f aca="false">SUMIFS(TE!P:P,TE!G:G,$A$43,TE!H:H,A129)</f>
        <v>0</v>
      </c>
      <c r="N129" s="479"/>
      <c r="O129" s="485" t="s">
        <v>1678</v>
      </c>
      <c r="P129" s="485"/>
      <c r="Q129" s="485" t="s">
        <v>1678</v>
      </c>
      <c r="R129" s="485"/>
      <c r="S129" s="485" t="s">
        <v>1678</v>
      </c>
      <c r="T129" s="485"/>
      <c r="U129" s="485" t="s">
        <v>1678</v>
      </c>
      <c r="V129" s="485"/>
      <c r="W129" s="483" t="s">
        <v>1679</v>
      </c>
      <c r="X129" s="483"/>
      <c r="Y129" s="484" t="s">
        <v>1818</v>
      </c>
      <c r="Z129" s="484"/>
      <c r="AA129" s="484"/>
      <c r="AB129" s="484"/>
      <c r="AC129" s="484"/>
      <c r="AD129" s="484"/>
      <c r="AE129" s="484"/>
      <c r="AF129" s="468"/>
    </row>
    <row r="130" s="396" customFormat="true" ht="30" hidden="false" customHeight="true" outlineLevel="0" collapsed="false">
      <c r="A130" s="477" t="s">
        <v>1819</v>
      </c>
      <c r="B130" s="477"/>
      <c r="C130" s="477"/>
      <c r="D130" s="478" t="s">
        <v>1820</v>
      </c>
      <c r="E130" s="478"/>
      <c r="F130" s="478"/>
      <c r="G130" s="478"/>
      <c r="H130" s="478"/>
      <c r="I130" s="478"/>
      <c r="J130" s="478"/>
      <c r="K130" s="478"/>
      <c r="L130" s="478"/>
      <c r="M130" s="479" t="n">
        <f aca="false">SUMIFS(TE!P:P,TE!G:G,$A$43,TE!H:H,A130)</f>
        <v>0</v>
      </c>
      <c r="N130" s="479"/>
      <c r="O130" s="480" t="n">
        <v>12</v>
      </c>
      <c r="P130" s="480"/>
      <c r="Q130" s="481" t="n">
        <f aca="false">M130/O130</f>
        <v>0</v>
      </c>
      <c r="R130" s="481"/>
      <c r="S130" s="482" t="n">
        <v>13.4</v>
      </c>
      <c r="T130" s="482"/>
      <c r="U130" s="482" t="n">
        <f aca="false">Q130*S130</f>
        <v>0</v>
      </c>
      <c r="V130" s="482"/>
      <c r="W130" s="483" t="s">
        <v>1670</v>
      </c>
      <c r="X130" s="483"/>
      <c r="Y130" s="484" t="s">
        <v>1671</v>
      </c>
      <c r="Z130" s="484"/>
      <c r="AA130" s="484"/>
      <c r="AB130" s="484"/>
      <c r="AC130" s="484"/>
      <c r="AD130" s="484"/>
      <c r="AE130" s="484"/>
      <c r="AF130" s="468"/>
    </row>
    <row r="131" s="396" customFormat="true" ht="30" hidden="false" customHeight="true" outlineLevel="0" collapsed="false">
      <c r="A131" s="477" t="s">
        <v>1821</v>
      </c>
      <c r="B131" s="477"/>
      <c r="C131" s="477"/>
      <c r="D131" s="478" t="s">
        <v>1822</v>
      </c>
      <c r="E131" s="478"/>
      <c r="F131" s="478"/>
      <c r="G131" s="478"/>
      <c r="H131" s="478"/>
      <c r="I131" s="478"/>
      <c r="J131" s="478"/>
      <c r="K131" s="478"/>
      <c r="L131" s="478"/>
      <c r="M131" s="479" t="n">
        <f aca="false">SUMIFS(TE!P:P,TE!G:G,$A$43,TE!H:H,A131)</f>
        <v>0</v>
      </c>
      <c r="N131" s="479"/>
      <c r="O131" s="480" t="n">
        <v>12</v>
      </c>
      <c r="P131" s="480"/>
      <c r="Q131" s="481" t="n">
        <f aca="false">M131/O131</f>
        <v>0</v>
      </c>
      <c r="R131" s="481"/>
      <c r="S131" s="482" t="n">
        <v>13.4</v>
      </c>
      <c r="T131" s="482"/>
      <c r="U131" s="482" t="n">
        <f aca="false">Q131*S131</f>
        <v>0</v>
      </c>
      <c r="V131" s="482"/>
      <c r="W131" s="483" t="s">
        <v>1670</v>
      </c>
      <c r="X131" s="483"/>
      <c r="Y131" s="484" t="s">
        <v>1671</v>
      </c>
      <c r="Z131" s="484"/>
      <c r="AA131" s="484"/>
      <c r="AB131" s="484"/>
      <c r="AC131" s="484"/>
      <c r="AD131" s="484"/>
      <c r="AE131" s="484"/>
      <c r="AF131" s="468"/>
    </row>
    <row r="132" s="396" customFormat="true" ht="30" hidden="false" customHeight="true" outlineLevel="0" collapsed="false">
      <c r="A132" s="477" t="s">
        <v>1823</v>
      </c>
      <c r="B132" s="477"/>
      <c r="C132" s="477"/>
      <c r="D132" s="478" t="s">
        <v>1824</v>
      </c>
      <c r="E132" s="478"/>
      <c r="F132" s="478"/>
      <c r="G132" s="478"/>
      <c r="H132" s="478"/>
      <c r="I132" s="478"/>
      <c r="J132" s="478"/>
      <c r="K132" s="478"/>
      <c r="L132" s="478"/>
      <c r="M132" s="479" t="n">
        <f aca="false">SUMIFS(TE!P:P,TE!G:G,$A$43,TE!H:H,A132)</f>
        <v>0</v>
      </c>
      <c r="N132" s="479"/>
      <c r="O132" s="480" t="n">
        <v>12</v>
      </c>
      <c r="P132" s="480"/>
      <c r="Q132" s="481" t="n">
        <f aca="false">M132/O132</f>
        <v>0</v>
      </c>
      <c r="R132" s="481"/>
      <c r="S132" s="482" t="n">
        <v>13.4</v>
      </c>
      <c r="T132" s="482"/>
      <c r="U132" s="482" t="n">
        <f aca="false">Q132*S132</f>
        <v>0</v>
      </c>
      <c r="V132" s="482"/>
      <c r="W132" s="483" t="s">
        <v>1670</v>
      </c>
      <c r="X132" s="483"/>
      <c r="Y132" s="484" t="s">
        <v>1671</v>
      </c>
      <c r="Z132" s="484"/>
      <c r="AA132" s="484"/>
      <c r="AB132" s="484"/>
      <c r="AC132" s="484"/>
      <c r="AD132" s="484"/>
      <c r="AE132" s="484"/>
      <c r="AF132" s="468"/>
    </row>
    <row r="133" s="396" customFormat="true" ht="30" hidden="false" customHeight="true" outlineLevel="0" collapsed="false">
      <c r="A133" s="499" t="s">
        <v>1825</v>
      </c>
      <c r="B133" s="499"/>
      <c r="C133" s="499"/>
      <c r="D133" s="478" t="s">
        <v>1826</v>
      </c>
      <c r="E133" s="478"/>
      <c r="F133" s="478"/>
      <c r="G133" s="478"/>
      <c r="H133" s="478"/>
      <c r="I133" s="478"/>
      <c r="J133" s="478"/>
      <c r="K133" s="478"/>
      <c r="L133" s="478"/>
      <c r="M133" s="479" t="n">
        <f aca="false">SUMIFS(TE!P:P,TE!G:G,$A$43,TE!H:H,A133)</f>
        <v>0</v>
      </c>
      <c r="N133" s="479"/>
      <c r="O133" s="480" t="n">
        <v>50</v>
      </c>
      <c r="P133" s="480"/>
      <c r="Q133" s="481" t="n">
        <f aca="false">M133/O133</f>
        <v>0</v>
      </c>
      <c r="R133" s="481"/>
      <c r="S133" s="482" t="n">
        <v>13.4</v>
      </c>
      <c r="T133" s="482"/>
      <c r="U133" s="482" t="n">
        <f aca="false">Q133*S133</f>
        <v>0</v>
      </c>
      <c r="V133" s="482"/>
      <c r="W133" s="483" t="s">
        <v>1670</v>
      </c>
      <c r="X133" s="483"/>
      <c r="Y133" s="484" t="s">
        <v>1671</v>
      </c>
      <c r="Z133" s="484"/>
      <c r="AA133" s="484"/>
      <c r="AB133" s="484"/>
      <c r="AC133" s="484"/>
      <c r="AD133" s="484"/>
      <c r="AE133" s="484"/>
      <c r="AF133" s="468"/>
    </row>
    <row r="134" s="396" customFormat="true" ht="30" hidden="false" customHeight="true" outlineLevel="0" collapsed="false">
      <c r="A134" s="477" t="s">
        <v>1827</v>
      </c>
      <c r="B134" s="477"/>
      <c r="C134" s="477"/>
      <c r="D134" s="478" t="s">
        <v>1828</v>
      </c>
      <c r="E134" s="478"/>
      <c r="F134" s="478"/>
      <c r="G134" s="478"/>
      <c r="H134" s="478"/>
      <c r="I134" s="478"/>
      <c r="J134" s="478"/>
      <c r="K134" s="478"/>
      <c r="L134" s="478"/>
      <c r="M134" s="479" t="n">
        <f aca="false">SUMIFS(TE!P:P,TE!G:G,$A$43,TE!H:H,A134)</f>
        <v>0</v>
      </c>
      <c r="N134" s="479"/>
      <c r="O134" s="480" t="n">
        <v>40</v>
      </c>
      <c r="P134" s="480"/>
      <c r="Q134" s="481" t="n">
        <f aca="false">M134/O134</f>
        <v>0</v>
      </c>
      <c r="R134" s="481"/>
      <c r="S134" s="482" t="n">
        <v>13.4</v>
      </c>
      <c r="T134" s="482"/>
      <c r="U134" s="482" t="n">
        <f aca="false">Q134*S134</f>
        <v>0</v>
      </c>
      <c r="V134" s="482"/>
      <c r="W134" s="483" t="s">
        <v>1670</v>
      </c>
      <c r="X134" s="483"/>
      <c r="Y134" s="484" t="s">
        <v>1671</v>
      </c>
      <c r="Z134" s="484"/>
      <c r="AA134" s="484"/>
      <c r="AB134" s="484"/>
      <c r="AC134" s="484"/>
      <c r="AD134" s="484"/>
      <c r="AE134" s="484"/>
      <c r="AF134" s="468"/>
    </row>
    <row r="135" s="396" customFormat="true" ht="30" hidden="false" customHeight="true" outlineLevel="0" collapsed="false">
      <c r="A135" s="477" t="s">
        <v>1829</v>
      </c>
      <c r="B135" s="477"/>
      <c r="C135" s="477"/>
      <c r="D135" s="478" t="s">
        <v>1830</v>
      </c>
      <c r="E135" s="478"/>
      <c r="F135" s="478"/>
      <c r="G135" s="478"/>
      <c r="H135" s="478"/>
      <c r="I135" s="478"/>
      <c r="J135" s="478"/>
      <c r="K135" s="478"/>
      <c r="L135" s="478"/>
      <c r="M135" s="479" t="n">
        <f aca="false">SUMIFS(TE!P:P,TE!G:G,$A$43,TE!H:H,A135)</f>
        <v>0</v>
      </c>
      <c r="N135" s="479"/>
      <c r="O135" s="480" t="n">
        <v>8</v>
      </c>
      <c r="P135" s="480"/>
      <c r="Q135" s="481" t="n">
        <f aca="false">M135/O135</f>
        <v>0</v>
      </c>
      <c r="R135" s="481"/>
      <c r="S135" s="482" t="n">
        <v>13.4</v>
      </c>
      <c r="T135" s="482"/>
      <c r="U135" s="482" t="n">
        <f aca="false">Q135*S135</f>
        <v>0</v>
      </c>
      <c r="V135" s="482"/>
      <c r="W135" s="483" t="s">
        <v>1670</v>
      </c>
      <c r="X135" s="483"/>
      <c r="Y135" s="484" t="s">
        <v>1671</v>
      </c>
      <c r="Z135" s="484"/>
      <c r="AA135" s="484"/>
      <c r="AB135" s="484"/>
      <c r="AC135" s="484"/>
      <c r="AD135" s="484"/>
      <c r="AE135" s="484"/>
      <c r="AF135" s="468"/>
    </row>
    <row r="136" s="396" customFormat="true" ht="30" hidden="false" customHeight="true" outlineLevel="0" collapsed="false">
      <c r="A136" s="477" t="s">
        <v>1831</v>
      </c>
      <c r="B136" s="477"/>
      <c r="C136" s="477"/>
      <c r="D136" s="478" t="s">
        <v>1832</v>
      </c>
      <c r="E136" s="478"/>
      <c r="F136" s="478"/>
      <c r="G136" s="478"/>
      <c r="H136" s="478"/>
      <c r="I136" s="478"/>
      <c r="J136" s="478"/>
      <c r="K136" s="478"/>
      <c r="L136" s="478"/>
      <c r="M136" s="479" t="n">
        <f aca="false">SUMIFS(TE!P:P,TE!G:G,$A$43,TE!H:H,A136)</f>
        <v>0</v>
      </c>
      <c r="N136" s="479"/>
      <c r="O136" s="480" t="n">
        <v>12</v>
      </c>
      <c r="P136" s="480"/>
      <c r="Q136" s="481" t="n">
        <f aca="false">M136/O136</f>
        <v>0</v>
      </c>
      <c r="R136" s="481"/>
      <c r="S136" s="482" t="n">
        <v>13.4</v>
      </c>
      <c r="T136" s="482"/>
      <c r="U136" s="482" t="n">
        <f aca="false">Q136*S136</f>
        <v>0</v>
      </c>
      <c r="V136" s="482"/>
      <c r="W136" s="483" t="s">
        <v>1670</v>
      </c>
      <c r="X136" s="483"/>
      <c r="Y136" s="484" t="s">
        <v>1671</v>
      </c>
      <c r="Z136" s="484"/>
      <c r="AA136" s="484"/>
      <c r="AB136" s="484"/>
      <c r="AC136" s="484"/>
      <c r="AD136" s="484"/>
      <c r="AE136" s="484"/>
      <c r="AF136" s="468"/>
    </row>
    <row r="137" s="396" customFormat="true" ht="30" hidden="false" customHeight="true" outlineLevel="0" collapsed="false">
      <c r="A137" s="477" t="s">
        <v>1833</v>
      </c>
      <c r="B137" s="477"/>
      <c r="C137" s="477"/>
      <c r="D137" s="478" t="s">
        <v>1834</v>
      </c>
      <c r="E137" s="478"/>
      <c r="F137" s="478"/>
      <c r="G137" s="478"/>
      <c r="H137" s="478"/>
      <c r="I137" s="478"/>
      <c r="J137" s="478"/>
      <c r="K137" s="478"/>
      <c r="L137" s="478"/>
      <c r="M137" s="479" t="n">
        <f aca="false">SUMIFS(TE!P:P,TE!G:G,$A$43,TE!H:H,A137)</f>
        <v>0</v>
      </c>
      <c r="N137" s="479"/>
      <c r="O137" s="480" t="n">
        <v>250</v>
      </c>
      <c r="P137" s="480"/>
      <c r="Q137" s="481" t="n">
        <f aca="false">M137/O137</f>
        <v>0</v>
      </c>
      <c r="R137" s="481"/>
      <c r="S137" s="482" t="n">
        <v>13.4</v>
      </c>
      <c r="T137" s="482"/>
      <c r="U137" s="482" t="n">
        <f aca="false">Q137*S137</f>
        <v>0</v>
      </c>
      <c r="V137" s="482"/>
      <c r="W137" s="483" t="s">
        <v>1670</v>
      </c>
      <c r="X137" s="483"/>
      <c r="Y137" s="484" t="s">
        <v>1671</v>
      </c>
      <c r="Z137" s="484"/>
      <c r="AA137" s="484"/>
      <c r="AB137" s="484"/>
      <c r="AC137" s="484"/>
      <c r="AD137" s="484"/>
      <c r="AE137" s="484"/>
      <c r="AF137" s="468"/>
    </row>
    <row r="138" s="396" customFormat="true" ht="30" hidden="false" customHeight="true" outlineLevel="0" collapsed="false">
      <c r="A138" s="477" t="s">
        <v>1835</v>
      </c>
      <c r="B138" s="477"/>
      <c r="C138" s="477"/>
      <c r="D138" s="478" t="s">
        <v>1836</v>
      </c>
      <c r="E138" s="478"/>
      <c r="F138" s="478"/>
      <c r="G138" s="478"/>
      <c r="H138" s="478"/>
      <c r="I138" s="478"/>
      <c r="J138" s="478"/>
      <c r="K138" s="478"/>
      <c r="L138" s="478"/>
      <c r="M138" s="479" t="n">
        <f aca="false">SUMIFS(TE!P:P,TE!G:G,$A$43,TE!H:H,A138)</f>
        <v>0</v>
      </c>
      <c r="N138" s="479"/>
      <c r="O138" s="480" t="n">
        <v>5</v>
      </c>
      <c r="P138" s="480"/>
      <c r="Q138" s="481" t="n">
        <f aca="false">M138/O138</f>
        <v>0</v>
      </c>
      <c r="R138" s="481"/>
      <c r="S138" s="482" t="n">
        <v>13.4</v>
      </c>
      <c r="T138" s="482"/>
      <c r="U138" s="482" t="n">
        <f aca="false">Q138*S138</f>
        <v>0</v>
      </c>
      <c r="V138" s="482"/>
      <c r="W138" s="483" t="s">
        <v>1670</v>
      </c>
      <c r="X138" s="483"/>
      <c r="Y138" s="484" t="s">
        <v>1671</v>
      </c>
      <c r="Z138" s="484"/>
      <c r="AA138" s="484"/>
      <c r="AB138" s="484"/>
      <c r="AC138" s="484"/>
      <c r="AD138" s="484"/>
      <c r="AE138" s="484"/>
      <c r="AF138" s="468"/>
    </row>
    <row r="139" s="396" customFormat="true" ht="30" hidden="false" customHeight="true" outlineLevel="0" collapsed="false">
      <c r="A139" s="477" t="s">
        <v>1837</v>
      </c>
      <c r="B139" s="477"/>
      <c r="C139" s="477"/>
      <c r="D139" s="478" t="s">
        <v>1838</v>
      </c>
      <c r="E139" s="478"/>
      <c r="F139" s="478"/>
      <c r="G139" s="478"/>
      <c r="H139" s="478"/>
      <c r="I139" s="478"/>
      <c r="J139" s="478"/>
      <c r="K139" s="478"/>
      <c r="L139" s="478"/>
      <c r="M139" s="479" t="n">
        <f aca="false">SUMIFS(TE!P:P,TE!G:G,$A$43,TE!H:H,A139)</f>
        <v>0</v>
      </c>
      <c r="N139" s="479"/>
      <c r="O139" s="480" t="n">
        <v>30</v>
      </c>
      <c r="P139" s="480"/>
      <c r="Q139" s="481" t="n">
        <f aca="false">M139/O139</f>
        <v>0</v>
      </c>
      <c r="R139" s="481"/>
      <c r="S139" s="482" t="n">
        <v>13.4</v>
      </c>
      <c r="T139" s="482"/>
      <c r="U139" s="482" t="n">
        <f aca="false">Q139*S139</f>
        <v>0</v>
      </c>
      <c r="V139" s="482"/>
      <c r="W139" s="483" t="s">
        <v>1670</v>
      </c>
      <c r="X139" s="483"/>
      <c r="Y139" s="484" t="s">
        <v>1671</v>
      </c>
      <c r="Z139" s="484"/>
      <c r="AA139" s="484"/>
      <c r="AB139" s="484"/>
      <c r="AC139" s="484"/>
      <c r="AD139" s="484"/>
      <c r="AE139" s="484"/>
      <c r="AF139" s="468"/>
    </row>
    <row r="140" s="396" customFormat="true" ht="30" hidden="false" customHeight="true" outlineLevel="0" collapsed="false">
      <c r="A140" s="477" t="s">
        <v>1839</v>
      </c>
      <c r="B140" s="477"/>
      <c r="C140" s="477"/>
      <c r="D140" s="478" t="s">
        <v>1840</v>
      </c>
      <c r="E140" s="478"/>
      <c r="F140" s="478"/>
      <c r="G140" s="478"/>
      <c r="H140" s="478"/>
      <c r="I140" s="478"/>
      <c r="J140" s="478"/>
      <c r="K140" s="478"/>
      <c r="L140" s="478"/>
      <c r="M140" s="479" t="n">
        <f aca="false">SUMIFS(TE!P:P,TE!G:G,$A$43,TE!H:H,A140)</f>
        <v>0</v>
      </c>
      <c r="N140" s="479"/>
      <c r="O140" s="480" t="n">
        <v>4</v>
      </c>
      <c r="P140" s="480"/>
      <c r="Q140" s="481" t="n">
        <f aca="false">ROUNDUP(M140/O140,0)</f>
        <v>0</v>
      </c>
      <c r="R140" s="481"/>
      <c r="S140" s="482" t="n">
        <v>20</v>
      </c>
      <c r="T140" s="482"/>
      <c r="U140" s="482" t="n">
        <f aca="false">Q140*S140</f>
        <v>0</v>
      </c>
      <c r="V140" s="482"/>
      <c r="W140" s="483" t="s">
        <v>1841</v>
      </c>
      <c r="X140" s="483"/>
      <c r="Y140" s="484" t="s">
        <v>1842</v>
      </c>
      <c r="Z140" s="484"/>
      <c r="AA140" s="484"/>
      <c r="AB140" s="484"/>
      <c r="AC140" s="484"/>
      <c r="AD140" s="484"/>
      <c r="AE140" s="484"/>
      <c r="AF140" s="468"/>
    </row>
    <row r="141" s="396" customFormat="true" ht="30" hidden="false" customHeight="true" outlineLevel="0" collapsed="false">
      <c r="A141" s="477" t="s">
        <v>1843</v>
      </c>
      <c r="B141" s="477"/>
      <c r="C141" s="477"/>
      <c r="D141" s="478" t="s">
        <v>1844</v>
      </c>
      <c r="E141" s="478"/>
      <c r="F141" s="478"/>
      <c r="G141" s="478"/>
      <c r="H141" s="478"/>
      <c r="I141" s="478"/>
      <c r="J141" s="478"/>
      <c r="K141" s="478"/>
      <c r="L141" s="478"/>
      <c r="M141" s="479" t="n">
        <f aca="false">SUMIFS(TE!P:P,TE!G:G,$A$43,TE!H:H,A141)</f>
        <v>0</v>
      </c>
      <c r="N141" s="479"/>
      <c r="O141" s="480" t="n">
        <v>20</v>
      </c>
      <c r="P141" s="480"/>
      <c r="Q141" s="481" t="n">
        <f aca="false">ROUNDUP(M141/O141,0)</f>
        <v>0</v>
      </c>
      <c r="R141" s="481"/>
      <c r="S141" s="482" t="n">
        <v>13.4</v>
      </c>
      <c r="T141" s="482"/>
      <c r="U141" s="482" t="n">
        <f aca="false">Q141*S141</f>
        <v>0</v>
      </c>
      <c r="V141" s="482"/>
      <c r="W141" s="483" t="s">
        <v>1767</v>
      </c>
      <c r="X141" s="483"/>
      <c r="Y141" s="484" t="s">
        <v>1768</v>
      </c>
      <c r="Z141" s="484"/>
      <c r="AA141" s="484"/>
      <c r="AB141" s="484"/>
      <c r="AC141" s="484"/>
      <c r="AD141" s="484"/>
      <c r="AE141" s="484"/>
      <c r="AF141" s="468"/>
    </row>
    <row r="142" s="396" customFormat="true" ht="30" hidden="false" customHeight="true" outlineLevel="0" collapsed="false">
      <c r="A142" s="477" t="s">
        <v>1845</v>
      </c>
      <c r="B142" s="477"/>
      <c r="C142" s="477"/>
      <c r="D142" s="478" t="s">
        <v>1846</v>
      </c>
      <c r="E142" s="478"/>
      <c r="F142" s="478"/>
      <c r="G142" s="478"/>
      <c r="H142" s="478"/>
      <c r="I142" s="478"/>
      <c r="J142" s="478"/>
      <c r="K142" s="478"/>
      <c r="L142" s="478"/>
      <c r="M142" s="479" t="n">
        <f aca="false">SUMIFS(TE!P:P,TE!G:G,$A$43,TE!H:H,A142)</f>
        <v>143</v>
      </c>
      <c r="N142" s="479"/>
      <c r="O142" s="480" t="n">
        <v>20</v>
      </c>
      <c r="P142" s="480"/>
      <c r="Q142" s="481" t="n">
        <f aca="false">ROUNDUP(M142/O142,0)</f>
        <v>8</v>
      </c>
      <c r="R142" s="481"/>
      <c r="S142" s="482" t="n">
        <v>13.4</v>
      </c>
      <c r="T142" s="482"/>
      <c r="U142" s="482" t="n">
        <f aca="false">Q142*S142</f>
        <v>107.2</v>
      </c>
      <c r="V142" s="482"/>
      <c r="W142" s="483" t="s">
        <v>1847</v>
      </c>
      <c r="X142" s="483"/>
      <c r="Y142" s="484" t="s">
        <v>1768</v>
      </c>
      <c r="Z142" s="484"/>
      <c r="AA142" s="484"/>
      <c r="AB142" s="484"/>
      <c r="AC142" s="484"/>
      <c r="AD142" s="484"/>
      <c r="AE142" s="484"/>
      <c r="AF142" s="468"/>
    </row>
    <row r="143" s="396" customFormat="true" ht="30" hidden="false" customHeight="true" outlineLevel="0" collapsed="false">
      <c r="A143" s="477" t="s">
        <v>1848</v>
      </c>
      <c r="B143" s="477"/>
      <c r="C143" s="477"/>
      <c r="D143" s="478" t="s">
        <v>1849</v>
      </c>
      <c r="E143" s="478"/>
      <c r="F143" s="478"/>
      <c r="G143" s="478"/>
      <c r="H143" s="478"/>
      <c r="I143" s="478"/>
      <c r="J143" s="478"/>
      <c r="K143" s="478"/>
      <c r="L143" s="478"/>
      <c r="M143" s="479" t="n">
        <f aca="false">SUMIFS(TE!P:P,TE!G:G,$A$43,TE!H:H,A143)</f>
        <v>0</v>
      </c>
      <c r="N143" s="479"/>
      <c r="O143" s="480" t="n">
        <v>1</v>
      </c>
      <c r="P143" s="480"/>
      <c r="Q143" s="481" t="n">
        <f aca="false">ROUNDUP(M143/O143,0)</f>
        <v>0</v>
      </c>
      <c r="R143" s="481"/>
      <c r="S143" s="482" t="n">
        <v>18</v>
      </c>
      <c r="T143" s="482"/>
      <c r="U143" s="482" t="n">
        <f aca="false">Q143*S143</f>
        <v>0</v>
      </c>
      <c r="V143" s="482"/>
      <c r="W143" s="483" t="s">
        <v>1850</v>
      </c>
      <c r="X143" s="483"/>
      <c r="Y143" s="484" t="s">
        <v>1851</v>
      </c>
      <c r="Z143" s="484"/>
      <c r="AA143" s="484"/>
      <c r="AB143" s="484"/>
      <c r="AC143" s="484"/>
      <c r="AD143" s="484"/>
      <c r="AE143" s="484"/>
      <c r="AF143" s="468"/>
    </row>
    <row r="144" s="396" customFormat="true" ht="30" hidden="false" customHeight="true" outlineLevel="0" collapsed="false">
      <c r="A144" s="477" t="s">
        <v>1852</v>
      </c>
      <c r="B144" s="477"/>
      <c r="C144" s="477"/>
      <c r="D144" s="478" t="s">
        <v>1853</v>
      </c>
      <c r="E144" s="478"/>
      <c r="F144" s="478"/>
      <c r="G144" s="478"/>
      <c r="H144" s="478"/>
      <c r="I144" s="478"/>
      <c r="J144" s="478"/>
      <c r="K144" s="478"/>
      <c r="L144" s="478"/>
      <c r="M144" s="479" t="n">
        <f aca="false">SUMIFS(TE!P:P,TE!G:G,$A$43,TE!H:H,A144)</f>
        <v>0</v>
      </c>
      <c r="N144" s="479"/>
      <c r="O144" s="480" t="n">
        <v>200</v>
      </c>
      <c r="P144" s="480"/>
      <c r="Q144" s="481" t="n">
        <f aca="false">M144/O144</f>
        <v>0</v>
      </c>
      <c r="R144" s="481"/>
      <c r="S144" s="482" t="n">
        <v>13.4</v>
      </c>
      <c r="T144" s="482"/>
      <c r="U144" s="482" t="n">
        <f aca="false">Q144*S144</f>
        <v>0</v>
      </c>
      <c r="V144" s="482"/>
      <c r="W144" s="483" t="s">
        <v>1670</v>
      </c>
      <c r="X144" s="483"/>
      <c r="Y144" s="484" t="s">
        <v>1671</v>
      </c>
      <c r="Z144" s="484"/>
      <c r="AA144" s="484"/>
      <c r="AB144" s="484"/>
      <c r="AC144" s="484"/>
      <c r="AD144" s="484"/>
      <c r="AE144" s="484"/>
      <c r="AF144" s="468"/>
    </row>
    <row r="145" s="396" customFormat="true" ht="30" hidden="false" customHeight="true" outlineLevel="0" collapsed="false">
      <c r="A145" s="477" t="s">
        <v>1854</v>
      </c>
      <c r="B145" s="477"/>
      <c r="C145" s="477"/>
      <c r="D145" s="478" t="s">
        <v>1855</v>
      </c>
      <c r="E145" s="478"/>
      <c r="F145" s="478"/>
      <c r="G145" s="478"/>
      <c r="H145" s="478"/>
      <c r="I145" s="478"/>
      <c r="J145" s="478"/>
      <c r="K145" s="478"/>
      <c r="L145" s="478"/>
      <c r="M145" s="479" t="n">
        <f aca="false">SUMIFS(TE!P:P,TE!G:G,$A$43,TE!H:H,A145)</f>
        <v>0</v>
      </c>
      <c r="N145" s="479"/>
      <c r="O145" s="480" t="n">
        <v>62</v>
      </c>
      <c r="P145" s="480"/>
      <c r="Q145" s="481" t="n">
        <f aca="false">M145/O145</f>
        <v>0</v>
      </c>
      <c r="R145" s="481"/>
      <c r="S145" s="482" t="n">
        <v>13.4</v>
      </c>
      <c r="T145" s="482"/>
      <c r="U145" s="482" t="n">
        <f aca="false">Q145*S145</f>
        <v>0</v>
      </c>
      <c r="V145" s="482"/>
      <c r="W145" s="483" t="s">
        <v>1670</v>
      </c>
      <c r="X145" s="483"/>
      <c r="Y145" s="484" t="s">
        <v>1671</v>
      </c>
      <c r="Z145" s="484"/>
      <c r="AA145" s="484"/>
      <c r="AB145" s="484"/>
      <c r="AC145" s="484"/>
      <c r="AD145" s="484"/>
      <c r="AE145" s="484"/>
      <c r="AF145" s="468"/>
    </row>
    <row r="146" s="396" customFormat="true" ht="30" hidden="false" customHeight="true" outlineLevel="0" collapsed="false">
      <c r="A146" s="486" t="s">
        <v>1856</v>
      </c>
      <c r="B146" s="486"/>
      <c r="C146" s="486"/>
      <c r="D146" s="487" t="s">
        <v>1857</v>
      </c>
      <c r="E146" s="487"/>
      <c r="F146" s="487"/>
      <c r="G146" s="487"/>
      <c r="H146" s="487"/>
      <c r="I146" s="487"/>
      <c r="J146" s="487"/>
      <c r="K146" s="487"/>
      <c r="L146" s="487"/>
      <c r="M146" s="488" t="n">
        <f aca="false">SUMIFS(TE!P:P,TE!G:G,$A$43,TE!H:H,A146)</f>
        <v>0</v>
      </c>
      <c r="N146" s="488"/>
      <c r="O146" s="489" t="n">
        <v>4</v>
      </c>
      <c r="P146" s="489"/>
      <c r="Q146" s="490" t="n">
        <f aca="false">ROUNDUP(M146/O146,0)</f>
        <v>0</v>
      </c>
      <c r="R146" s="490"/>
      <c r="S146" s="491" t="n">
        <v>16.6</v>
      </c>
      <c r="T146" s="491"/>
      <c r="U146" s="491" t="n">
        <f aca="false">Q146*S146</f>
        <v>0</v>
      </c>
      <c r="V146" s="491"/>
      <c r="W146" s="492" t="s">
        <v>1858</v>
      </c>
      <c r="X146" s="492"/>
      <c r="Y146" s="493" t="s">
        <v>1859</v>
      </c>
      <c r="Z146" s="493"/>
      <c r="AA146" s="493"/>
      <c r="AB146" s="493"/>
      <c r="AC146" s="493"/>
      <c r="AD146" s="493"/>
      <c r="AE146" s="493"/>
      <c r="AF146" s="468"/>
    </row>
    <row r="147" s="396" customFormat="true" ht="15.75" hidden="false" customHeight="true" outlineLevel="0" collapsed="false">
      <c r="A147" s="494"/>
      <c r="B147" s="494"/>
      <c r="C147" s="494"/>
      <c r="D147" s="494"/>
      <c r="E147" s="494"/>
      <c r="F147" s="494"/>
      <c r="G147" s="494"/>
      <c r="H147" s="494"/>
      <c r="I147" s="494"/>
      <c r="J147" s="494"/>
      <c r="K147" s="494"/>
      <c r="L147" s="494"/>
      <c r="M147" s="494"/>
      <c r="N147" s="494"/>
      <c r="O147" s="494"/>
      <c r="P147" s="494"/>
      <c r="Q147" s="494"/>
      <c r="R147" s="494"/>
      <c r="S147" s="494"/>
      <c r="T147" s="494"/>
      <c r="U147" s="494"/>
      <c r="V147" s="494"/>
      <c r="W147" s="494"/>
      <c r="X147" s="494"/>
      <c r="Y147" s="494"/>
      <c r="Z147" s="494"/>
      <c r="AA147" s="494"/>
      <c r="AB147" s="494"/>
      <c r="AC147" s="494"/>
      <c r="AD147" s="494"/>
      <c r="AE147" s="494"/>
      <c r="AF147" s="468"/>
    </row>
    <row r="148" s="396" customFormat="true" ht="15.75" hidden="false" customHeight="true" outlineLevel="0" collapsed="false">
      <c r="A148" s="495"/>
      <c r="B148" s="495"/>
      <c r="C148" s="495"/>
      <c r="D148" s="495"/>
      <c r="E148" s="495"/>
      <c r="F148" s="495"/>
      <c r="G148" s="495"/>
      <c r="H148" s="495"/>
      <c r="I148" s="495"/>
      <c r="J148" s="495"/>
      <c r="K148" s="495"/>
      <c r="L148" s="495"/>
      <c r="M148" s="495"/>
      <c r="N148" s="495"/>
      <c r="O148" s="495"/>
      <c r="P148" s="495"/>
      <c r="Q148" s="495"/>
      <c r="R148" s="495"/>
      <c r="S148" s="495"/>
      <c r="T148" s="495"/>
      <c r="U148" s="495"/>
      <c r="V148" s="495"/>
      <c r="W148" s="495"/>
      <c r="X148" s="495"/>
      <c r="Y148" s="495"/>
      <c r="Z148" s="495"/>
      <c r="AA148" s="495"/>
      <c r="AB148" s="453"/>
      <c r="AC148" s="454" t="s">
        <v>1657</v>
      </c>
      <c r="AD148" s="455" t="n">
        <v>5</v>
      </c>
      <c r="AE148" s="455" t="s">
        <v>29</v>
      </c>
      <c r="AF148" s="455" t="n">
        <v>27</v>
      </c>
    </row>
    <row r="149" s="396" customFormat="true" ht="15.75" hidden="false" customHeight="true" outlineLevel="0" collapsed="false">
      <c r="A149" s="398" t="s">
        <v>1522</v>
      </c>
      <c r="B149" s="398"/>
      <c r="C149" s="456" t="n">
        <v>14345</v>
      </c>
      <c r="D149" s="456"/>
      <c r="E149" s="456"/>
      <c r="F149" s="456"/>
      <c r="G149" s="456"/>
      <c r="H149" s="456"/>
      <c r="I149" s="456"/>
      <c r="J149" s="456"/>
      <c r="K149" s="456"/>
      <c r="L149" s="456"/>
      <c r="M149" s="398" t="s">
        <v>1523</v>
      </c>
      <c r="N149" s="398"/>
      <c r="O149" s="398"/>
      <c r="P149" s="398"/>
      <c r="Q149" s="398"/>
      <c r="R149" s="456" t="s">
        <v>15</v>
      </c>
      <c r="S149" s="456"/>
      <c r="T149" s="456"/>
      <c r="U149" s="456"/>
      <c r="V149" s="456"/>
      <c r="W149" s="456"/>
      <c r="X149" s="456"/>
      <c r="Y149" s="456"/>
      <c r="Z149" s="456"/>
      <c r="AA149" s="456"/>
      <c r="AB149" s="456"/>
      <c r="AC149" s="456"/>
      <c r="AD149" s="456"/>
      <c r="AE149" s="456"/>
      <c r="AF149" s="456"/>
    </row>
    <row r="150" s="396" customFormat="true" ht="15.75" hidden="false" customHeight="true" outlineLevel="0" collapsed="false">
      <c r="A150" s="458"/>
      <c r="B150" s="458"/>
      <c r="C150" s="459"/>
      <c r="D150" s="459"/>
      <c r="E150" s="459"/>
      <c r="F150" s="459"/>
      <c r="G150" s="459"/>
      <c r="H150" s="459"/>
      <c r="I150" s="459"/>
      <c r="J150" s="459"/>
      <c r="K150" s="459"/>
      <c r="L150" s="459"/>
      <c r="M150" s="458"/>
      <c r="N150" s="458"/>
      <c r="O150" s="458"/>
      <c r="P150" s="458"/>
      <c r="Q150" s="458"/>
      <c r="R150" s="459"/>
      <c r="S150" s="459"/>
      <c r="T150" s="459"/>
      <c r="U150" s="459"/>
      <c r="V150" s="459"/>
      <c r="W150" s="459"/>
      <c r="X150" s="459"/>
      <c r="Y150" s="459"/>
      <c r="Z150" s="459"/>
      <c r="AA150" s="459"/>
      <c r="AB150" s="459"/>
      <c r="AC150" s="459"/>
      <c r="AD150" s="459"/>
      <c r="AE150" s="459"/>
      <c r="AF150" s="459"/>
    </row>
    <row r="151" s="396" customFormat="true" ht="15.75" hidden="false" customHeight="true" outlineLevel="0" collapsed="false">
      <c r="A151" s="460" t="str">
        <f aca="false">A124</f>
        <v>M28261</v>
      </c>
      <c r="B151" s="460"/>
      <c r="C151" s="460"/>
      <c r="D151" s="461" t="str">
        <f aca="false">D124</f>
        <v>H&amp;S CO</v>
      </c>
      <c r="E151" s="461"/>
      <c r="F151" s="461"/>
      <c r="G151" s="461"/>
      <c r="H151" s="461"/>
      <c r="I151" s="461"/>
      <c r="J151" s="461"/>
      <c r="K151" s="461"/>
      <c r="L151" s="461"/>
      <c r="M151" s="458"/>
      <c r="N151" s="458"/>
      <c r="O151" s="458"/>
      <c r="P151" s="459"/>
      <c r="Q151" s="458"/>
      <c r="R151" s="459"/>
      <c r="S151" s="459"/>
      <c r="T151" s="459"/>
      <c r="U151" s="459"/>
      <c r="V151" s="459"/>
      <c r="W151" s="459"/>
      <c r="X151" s="459"/>
      <c r="Y151" s="459"/>
      <c r="Z151" s="459"/>
      <c r="AA151" s="459"/>
      <c r="AB151" s="459"/>
      <c r="AC151" s="459"/>
      <c r="AD151" s="459"/>
      <c r="AE151" s="459"/>
      <c r="AF151" s="459"/>
    </row>
    <row r="152" s="396" customFormat="true" ht="15.75" hidden="false" customHeight="true" outlineLevel="0" collapsed="false">
      <c r="A152" s="462" t="s">
        <v>1659</v>
      </c>
      <c r="B152" s="462"/>
      <c r="C152" s="462"/>
      <c r="D152" s="463" t="s">
        <v>1660</v>
      </c>
      <c r="E152" s="463"/>
      <c r="F152" s="463"/>
      <c r="G152" s="463"/>
      <c r="H152" s="463"/>
      <c r="I152" s="463"/>
      <c r="J152" s="463"/>
      <c r="K152" s="463"/>
      <c r="L152" s="463"/>
      <c r="M152" s="464" t="s">
        <v>1661</v>
      </c>
      <c r="N152" s="464"/>
      <c r="O152" s="465" t="s">
        <v>1662</v>
      </c>
      <c r="P152" s="465"/>
      <c r="Q152" s="465" t="s">
        <v>1663</v>
      </c>
      <c r="R152" s="465"/>
      <c r="S152" s="466" t="s">
        <v>1664</v>
      </c>
      <c r="T152" s="466"/>
      <c r="U152" s="466" t="s">
        <v>1665</v>
      </c>
      <c r="V152" s="466"/>
      <c r="W152" s="464" t="s">
        <v>1666</v>
      </c>
      <c r="X152" s="464"/>
      <c r="Y152" s="467" t="s">
        <v>1667</v>
      </c>
      <c r="Z152" s="467"/>
      <c r="AA152" s="467"/>
      <c r="AB152" s="467"/>
      <c r="AC152" s="467"/>
      <c r="AD152" s="467"/>
      <c r="AE152" s="467"/>
      <c r="AF152" s="459"/>
    </row>
    <row r="153" s="396" customFormat="true" ht="15.75" hidden="false" customHeight="true" outlineLevel="0" collapsed="false">
      <c r="A153" s="462"/>
      <c r="B153" s="462"/>
      <c r="C153" s="462"/>
      <c r="D153" s="463"/>
      <c r="E153" s="463"/>
      <c r="F153" s="463"/>
      <c r="G153" s="463"/>
      <c r="H153" s="463"/>
      <c r="I153" s="463"/>
      <c r="J153" s="463"/>
      <c r="K153" s="463"/>
      <c r="L153" s="463"/>
      <c r="M153" s="464"/>
      <c r="N153" s="464"/>
      <c r="O153" s="465"/>
      <c r="P153" s="465"/>
      <c r="Q153" s="465"/>
      <c r="R153" s="465"/>
      <c r="S153" s="466"/>
      <c r="T153" s="466"/>
      <c r="U153" s="466"/>
      <c r="V153" s="466"/>
      <c r="W153" s="464"/>
      <c r="X153" s="464"/>
      <c r="Y153" s="467"/>
      <c r="Z153" s="467"/>
      <c r="AA153" s="467"/>
      <c r="AB153" s="467"/>
      <c r="AC153" s="467"/>
      <c r="AD153" s="467"/>
      <c r="AE153" s="467"/>
      <c r="AF153" s="459"/>
    </row>
    <row r="154" s="396" customFormat="true" ht="15.75" hidden="false" customHeight="true" outlineLevel="0" collapsed="false">
      <c r="A154" s="462"/>
      <c r="B154" s="462"/>
      <c r="C154" s="462"/>
      <c r="D154" s="463"/>
      <c r="E154" s="463"/>
      <c r="F154" s="463"/>
      <c r="G154" s="463"/>
      <c r="H154" s="463"/>
      <c r="I154" s="463"/>
      <c r="J154" s="463"/>
      <c r="K154" s="463"/>
      <c r="L154" s="463"/>
      <c r="M154" s="464"/>
      <c r="N154" s="464"/>
      <c r="O154" s="465"/>
      <c r="P154" s="465"/>
      <c r="Q154" s="465"/>
      <c r="R154" s="465"/>
      <c r="S154" s="466"/>
      <c r="T154" s="466"/>
      <c r="U154" s="466"/>
      <c r="V154" s="466"/>
      <c r="W154" s="464"/>
      <c r="X154" s="464"/>
      <c r="Y154" s="467"/>
      <c r="Z154" s="467"/>
      <c r="AA154" s="467"/>
      <c r="AB154" s="467"/>
      <c r="AC154" s="467"/>
      <c r="AD154" s="467"/>
      <c r="AE154" s="467"/>
      <c r="AF154" s="468"/>
    </row>
    <row r="155" s="396" customFormat="true" ht="30" hidden="false" customHeight="true" outlineLevel="0" collapsed="false">
      <c r="A155" s="469" t="s">
        <v>1860</v>
      </c>
      <c r="B155" s="469"/>
      <c r="C155" s="469"/>
      <c r="D155" s="470" t="s">
        <v>1861</v>
      </c>
      <c r="E155" s="470"/>
      <c r="F155" s="470"/>
      <c r="G155" s="470"/>
      <c r="H155" s="470"/>
      <c r="I155" s="470"/>
      <c r="J155" s="470"/>
      <c r="K155" s="470"/>
      <c r="L155" s="470"/>
      <c r="M155" s="471" t="n">
        <f aca="false">SUMIFS(TE!P:P,TE!G:G,$A$43,TE!H:H,A155)</f>
        <v>0</v>
      </c>
      <c r="N155" s="471"/>
      <c r="O155" s="472" t="n">
        <v>18</v>
      </c>
      <c r="P155" s="472"/>
      <c r="Q155" s="473" t="n">
        <f aca="false">M155/O155</f>
        <v>0</v>
      </c>
      <c r="R155" s="473"/>
      <c r="S155" s="474" t="n">
        <v>13.4</v>
      </c>
      <c r="T155" s="474"/>
      <c r="U155" s="474" t="n">
        <f aca="false">Q155*S155</f>
        <v>0</v>
      </c>
      <c r="V155" s="474"/>
      <c r="W155" s="475" t="s">
        <v>1670</v>
      </c>
      <c r="X155" s="475"/>
      <c r="Y155" s="476" t="s">
        <v>1671</v>
      </c>
      <c r="Z155" s="476"/>
      <c r="AA155" s="476"/>
      <c r="AB155" s="476"/>
      <c r="AC155" s="476"/>
      <c r="AD155" s="476"/>
      <c r="AE155" s="476"/>
      <c r="AF155" s="468"/>
    </row>
    <row r="156" s="396" customFormat="true" ht="30" hidden="false" customHeight="true" outlineLevel="0" collapsed="false">
      <c r="A156" s="477" t="s">
        <v>1862</v>
      </c>
      <c r="B156" s="477"/>
      <c r="C156" s="477"/>
      <c r="D156" s="478" t="s">
        <v>1863</v>
      </c>
      <c r="E156" s="478"/>
      <c r="F156" s="478"/>
      <c r="G156" s="478"/>
      <c r="H156" s="478"/>
      <c r="I156" s="478"/>
      <c r="J156" s="478"/>
      <c r="K156" s="478"/>
      <c r="L156" s="478"/>
      <c r="M156" s="479" t="n">
        <f aca="false">SUMIFS(TE!P:P,TE!G:G,$A$43,TE!H:H,A156)</f>
        <v>0</v>
      </c>
      <c r="N156" s="479"/>
      <c r="O156" s="485" t="s">
        <v>1678</v>
      </c>
      <c r="P156" s="485"/>
      <c r="Q156" s="485" t="s">
        <v>1678</v>
      </c>
      <c r="R156" s="485"/>
      <c r="S156" s="485" t="s">
        <v>1678</v>
      </c>
      <c r="T156" s="485"/>
      <c r="U156" s="485" t="s">
        <v>1678</v>
      </c>
      <c r="V156" s="485"/>
      <c r="W156" s="483" t="s">
        <v>1679</v>
      </c>
      <c r="X156" s="483"/>
      <c r="Y156" s="484" t="s">
        <v>1864</v>
      </c>
      <c r="Z156" s="484"/>
      <c r="AA156" s="484"/>
      <c r="AB156" s="484"/>
      <c r="AC156" s="484"/>
      <c r="AD156" s="484"/>
      <c r="AE156" s="484"/>
      <c r="AF156" s="468"/>
    </row>
    <row r="157" s="396" customFormat="true" ht="30" hidden="false" customHeight="true" outlineLevel="0" collapsed="false">
      <c r="A157" s="477" t="s">
        <v>1865</v>
      </c>
      <c r="B157" s="477"/>
      <c r="C157" s="477"/>
      <c r="D157" s="478" t="s">
        <v>1866</v>
      </c>
      <c r="E157" s="478"/>
      <c r="F157" s="478"/>
      <c r="G157" s="478"/>
      <c r="H157" s="478"/>
      <c r="I157" s="478"/>
      <c r="J157" s="478"/>
      <c r="K157" s="478"/>
      <c r="L157" s="478"/>
      <c r="M157" s="479" t="n">
        <f aca="false">SUMIFS(TE!P:P,TE!G:G,$A$43,TE!H:H,A157)</f>
        <v>0</v>
      </c>
      <c r="N157" s="479"/>
      <c r="O157" s="480" t="n">
        <v>200</v>
      </c>
      <c r="P157" s="480"/>
      <c r="Q157" s="481" t="n">
        <f aca="false">M157/O157</f>
        <v>0</v>
      </c>
      <c r="R157" s="481"/>
      <c r="S157" s="482" t="n">
        <v>13.4</v>
      </c>
      <c r="T157" s="482"/>
      <c r="U157" s="482" t="n">
        <f aca="false">Q157*S157</f>
        <v>0</v>
      </c>
      <c r="V157" s="482"/>
      <c r="W157" s="483" t="s">
        <v>1670</v>
      </c>
      <c r="X157" s="483"/>
      <c r="Y157" s="484" t="s">
        <v>1671</v>
      </c>
      <c r="Z157" s="484"/>
      <c r="AA157" s="484"/>
      <c r="AB157" s="484"/>
      <c r="AC157" s="484"/>
      <c r="AD157" s="484"/>
      <c r="AE157" s="484"/>
      <c r="AF157" s="468"/>
    </row>
    <row r="158" s="396" customFormat="true" ht="30" hidden="false" customHeight="true" outlineLevel="0" collapsed="false">
      <c r="A158" s="477" t="s">
        <v>1867</v>
      </c>
      <c r="B158" s="477"/>
      <c r="C158" s="477"/>
      <c r="D158" s="478" t="s">
        <v>1868</v>
      </c>
      <c r="E158" s="478"/>
      <c r="F158" s="478"/>
      <c r="G158" s="478"/>
      <c r="H158" s="478"/>
      <c r="I158" s="478"/>
      <c r="J158" s="478"/>
      <c r="K158" s="478"/>
      <c r="L158" s="478"/>
      <c r="M158" s="479" t="n">
        <f aca="false">SUMIFS(TE!P:P,TE!G:G,$A$43,TE!H:H,A158)</f>
        <v>0</v>
      </c>
      <c r="N158" s="479"/>
      <c r="O158" s="480" t="n">
        <v>30</v>
      </c>
      <c r="P158" s="480"/>
      <c r="Q158" s="481" t="n">
        <f aca="false">M158/O158</f>
        <v>0</v>
      </c>
      <c r="R158" s="481"/>
      <c r="S158" s="482" t="n">
        <v>13.4</v>
      </c>
      <c r="T158" s="482"/>
      <c r="U158" s="482" t="n">
        <f aca="false">Q158*S158</f>
        <v>0</v>
      </c>
      <c r="V158" s="482"/>
      <c r="W158" s="483" t="s">
        <v>1670</v>
      </c>
      <c r="X158" s="483"/>
      <c r="Y158" s="484" t="s">
        <v>1671</v>
      </c>
      <c r="Z158" s="484"/>
      <c r="AA158" s="484"/>
      <c r="AB158" s="484"/>
      <c r="AC158" s="484"/>
      <c r="AD158" s="484"/>
      <c r="AE158" s="484"/>
      <c r="AF158" s="468"/>
    </row>
    <row r="159" s="396" customFormat="true" ht="30" hidden="false" customHeight="true" outlineLevel="0" collapsed="false">
      <c r="A159" s="477" t="s">
        <v>1869</v>
      </c>
      <c r="B159" s="477"/>
      <c r="C159" s="477"/>
      <c r="D159" s="478" t="s">
        <v>1870</v>
      </c>
      <c r="E159" s="478"/>
      <c r="F159" s="478"/>
      <c r="G159" s="478"/>
      <c r="H159" s="478"/>
      <c r="I159" s="478"/>
      <c r="J159" s="478"/>
      <c r="K159" s="478"/>
      <c r="L159" s="478"/>
      <c r="M159" s="479" t="n">
        <f aca="false">SUMIFS(TE!P:P,TE!G:G,$A$43,TE!H:H,A159)</f>
        <v>0</v>
      </c>
      <c r="N159" s="479"/>
      <c r="O159" s="480" t="n">
        <v>24</v>
      </c>
      <c r="P159" s="480"/>
      <c r="Q159" s="481" t="n">
        <f aca="false">M159/O159</f>
        <v>0</v>
      </c>
      <c r="R159" s="481"/>
      <c r="S159" s="482" t="n">
        <v>13.4</v>
      </c>
      <c r="T159" s="482"/>
      <c r="U159" s="482" t="n">
        <f aca="false">Q159*S159</f>
        <v>0</v>
      </c>
      <c r="V159" s="482"/>
      <c r="W159" s="483" t="s">
        <v>1670</v>
      </c>
      <c r="X159" s="483"/>
      <c r="Y159" s="484" t="s">
        <v>1671</v>
      </c>
      <c r="Z159" s="484"/>
      <c r="AA159" s="484"/>
      <c r="AB159" s="484"/>
      <c r="AC159" s="484"/>
      <c r="AD159" s="484"/>
      <c r="AE159" s="484"/>
      <c r="AF159" s="468"/>
    </row>
    <row r="160" s="396" customFormat="true" ht="30" hidden="false" customHeight="true" outlineLevel="0" collapsed="false">
      <c r="A160" s="477" t="s">
        <v>1871</v>
      </c>
      <c r="B160" s="477"/>
      <c r="C160" s="477"/>
      <c r="D160" s="478" t="s">
        <v>1872</v>
      </c>
      <c r="E160" s="478"/>
      <c r="F160" s="478"/>
      <c r="G160" s="478"/>
      <c r="H160" s="478"/>
      <c r="I160" s="478"/>
      <c r="J160" s="478"/>
      <c r="K160" s="478"/>
      <c r="L160" s="478"/>
      <c r="M160" s="479" t="n">
        <f aca="false">SUMIFS(TE!P:P,TE!G:G,$A$43,TE!H:H,A160)</f>
        <v>0</v>
      </c>
      <c r="N160" s="479"/>
      <c r="O160" s="480" t="n">
        <v>160</v>
      </c>
      <c r="P160" s="480"/>
      <c r="Q160" s="481" t="n">
        <f aca="false">M160/O160</f>
        <v>0</v>
      </c>
      <c r="R160" s="481"/>
      <c r="S160" s="482" t="n">
        <v>13.4</v>
      </c>
      <c r="T160" s="482"/>
      <c r="U160" s="482" t="n">
        <f aca="false">Q160*S160</f>
        <v>0</v>
      </c>
      <c r="V160" s="482"/>
      <c r="W160" s="483" t="s">
        <v>1670</v>
      </c>
      <c r="X160" s="483"/>
      <c r="Y160" s="484" t="s">
        <v>1671</v>
      </c>
      <c r="Z160" s="484"/>
      <c r="AA160" s="484"/>
      <c r="AB160" s="484"/>
      <c r="AC160" s="484"/>
      <c r="AD160" s="484"/>
      <c r="AE160" s="484"/>
      <c r="AF160" s="468"/>
    </row>
    <row r="161" s="396" customFormat="true" ht="49.5" hidden="false" customHeight="true" outlineLevel="0" collapsed="false">
      <c r="A161" s="477" t="s">
        <v>1873</v>
      </c>
      <c r="B161" s="477"/>
      <c r="C161" s="477"/>
      <c r="D161" s="478" t="s">
        <v>1874</v>
      </c>
      <c r="E161" s="478"/>
      <c r="F161" s="478"/>
      <c r="G161" s="478"/>
      <c r="H161" s="478"/>
      <c r="I161" s="478"/>
      <c r="J161" s="478"/>
      <c r="K161" s="478"/>
      <c r="L161" s="478"/>
      <c r="M161" s="479" t="n">
        <f aca="false">SUMIFS(TE!P:P,TE!G:G,$A$43,TE!H:H,A161)</f>
        <v>0</v>
      </c>
      <c r="N161" s="479"/>
      <c r="O161" s="485" t="s">
        <v>1678</v>
      </c>
      <c r="P161" s="485"/>
      <c r="Q161" s="485" t="s">
        <v>1678</v>
      </c>
      <c r="R161" s="485"/>
      <c r="S161" s="485" t="s">
        <v>1678</v>
      </c>
      <c r="T161" s="485"/>
      <c r="U161" s="485" t="s">
        <v>1678</v>
      </c>
      <c r="V161" s="485"/>
      <c r="W161" s="483" t="s">
        <v>1679</v>
      </c>
      <c r="X161" s="483"/>
      <c r="Y161" s="484" t="s">
        <v>1875</v>
      </c>
      <c r="Z161" s="484"/>
      <c r="AA161" s="484"/>
      <c r="AB161" s="484"/>
      <c r="AC161" s="484"/>
      <c r="AD161" s="484"/>
      <c r="AE161" s="484"/>
      <c r="AF161" s="468"/>
    </row>
    <row r="162" s="396" customFormat="true" ht="39.75" hidden="false" customHeight="true" outlineLevel="0" collapsed="false">
      <c r="A162" s="477" t="s">
        <v>1876</v>
      </c>
      <c r="B162" s="477"/>
      <c r="C162" s="477"/>
      <c r="D162" s="478" t="s">
        <v>1877</v>
      </c>
      <c r="E162" s="478"/>
      <c r="F162" s="478"/>
      <c r="G162" s="478"/>
      <c r="H162" s="478"/>
      <c r="I162" s="478"/>
      <c r="J162" s="478"/>
      <c r="K162" s="478"/>
      <c r="L162" s="478"/>
      <c r="M162" s="479" t="n">
        <f aca="false">SUMIFS(TE!P:P,TE!G:G,$A$43,TE!H:H,A162)</f>
        <v>0</v>
      </c>
      <c r="N162" s="479"/>
      <c r="O162" s="480" t="n">
        <v>6</v>
      </c>
      <c r="P162" s="480"/>
      <c r="Q162" s="481" t="n">
        <f aca="false">M162/O162</f>
        <v>0</v>
      </c>
      <c r="R162" s="481"/>
      <c r="S162" s="482" t="n">
        <v>13.4</v>
      </c>
      <c r="T162" s="482"/>
      <c r="U162" s="482" t="n">
        <f aca="false">Q162*S162</f>
        <v>0</v>
      </c>
      <c r="V162" s="482"/>
      <c r="W162" s="483" t="s">
        <v>1878</v>
      </c>
      <c r="X162" s="483"/>
      <c r="Y162" s="484" t="s">
        <v>1879</v>
      </c>
      <c r="Z162" s="484"/>
      <c r="AA162" s="484"/>
      <c r="AB162" s="484"/>
      <c r="AC162" s="484"/>
      <c r="AD162" s="484"/>
      <c r="AE162" s="484"/>
      <c r="AF162" s="468"/>
    </row>
    <row r="163" s="396" customFormat="true" ht="39.75" hidden="false" customHeight="true" outlineLevel="0" collapsed="false">
      <c r="A163" s="477" t="s">
        <v>1880</v>
      </c>
      <c r="B163" s="477"/>
      <c r="C163" s="477"/>
      <c r="D163" s="478" t="s">
        <v>1881</v>
      </c>
      <c r="E163" s="478"/>
      <c r="F163" s="478"/>
      <c r="G163" s="478"/>
      <c r="H163" s="478"/>
      <c r="I163" s="478"/>
      <c r="J163" s="478"/>
      <c r="K163" s="478"/>
      <c r="L163" s="478"/>
      <c r="M163" s="479" t="n">
        <f aca="false">SUMIFS(TE!P:P,TE!G:G,$A$43,TE!H:H,A163)</f>
        <v>0</v>
      </c>
      <c r="N163" s="479"/>
      <c r="O163" s="480" t="n">
        <v>15</v>
      </c>
      <c r="P163" s="480"/>
      <c r="Q163" s="481" t="n">
        <f aca="false">M163/O163</f>
        <v>0</v>
      </c>
      <c r="R163" s="481"/>
      <c r="S163" s="482" t="n">
        <v>13.4</v>
      </c>
      <c r="T163" s="482"/>
      <c r="U163" s="482" t="n">
        <f aca="false">Q163*S163</f>
        <v>0</v>
      </c>
      <c r="V163" s="482"/>
      <c r="W163" s="483" t="s">
        <v>1878</v>
      </c>
      <c r="X163" s="483"/>
      <c r="Y163" s="484" t="s">
        <v>1879</v>
      </c>
      <c r="Z163" s="484"/>
      <c r="AA163" s="484"/>
      <c r="AB163" s="484"/>
      <c r="AC163" s="484"/>
      <c r="AD163" s="484"/>
      <c r="AE163" s="484"/>
      <c r="AF163" s="468"/>
    </row>
    <row r="164" s="396" customFormat="true" ht="30" hidden="false" customHeight="true" outlineLevel="0" collapsed="false">
      <c r="A164" s="477" t="s">
        <v>1880</v>
      </c>
      <c r="B164" s="477"/>
      <c r="C164" s="477"/>
      <c r="D164" s="478" t="s">
        <v>1882</v>
      </c>
      <c r="E164" s="478"/>
      <c r="F164" s="478"/>
      <c r="G164" s="478"/>
      <c r="H164" s="478"/>
      <c r="I164" s="478"/>
      <c r="J164" s="478"/>
      <c r="K164" s="478"/>
      <c r="L164" s="478"/>
      <c r="M164" s="479" t="n">
        <f aca="false">SUMIFS(TE!P:P,TE!G:G,$A$43,TE!H:H,A164)</f>
        <v>0</v>
      </c>
      <c r="N164" s="479"/>
      <c r="O164" s="480" t="n">
        <v>1</v>
      </c>
      <c r="P164" s="480"/>
      <c r="Q164" s="481" t="n">
        <f aca="false">ROUNDUP(M164/O164,0)</f>
        <v>0</v>
      </c>
      <c r="R164" s="481"/>
      <c r="S164" s="482" t="n">
        <v>18</v>
      </c>
      <c r="T164" s="482"/>
      <c r="U164" s="482" t="n">
        <f aca="false">Q164*S164</f>
        <v>0</v>
      </c>
      <c r="V164" s="482"/>
      <c r="W164" s="483" t="s">
        <v>1883</v>
      </c>
      <c r="X164" s="483"/>
      <c r="Y164" s="484" t="s">
        <v>1884</v>
      </c>
      <c r="Z164" s="484"/>
      <c r="AA164" s="484"/>
      <c r="AB164" s="484"/>
      <c r="AC164" s="484"/>
      <c r="AD164" s="484"/>
      <c r="AE164" s="484"/>
      <c r="AF164" s="468"/>
    </row>
    <row r="165" s="396" customFormat="true" ht="30" hidden="false" customHeight="true" outlineLevel="0" collapsed="false">
      <c r="A165" s="477" t="s">
        <v>1885</v>
      </c>
      <c r="B165" s="477"/>
      <c r="C165" s="477"/>
      <c r="D165" s="478" t="s">
        <v>1886</v>
      </c>
      <c r="E165" s="478"/>
      <c r="F165" s="478"/>
      <c r="G165" s="478"/>
      <c r="H165" s="478"/>
      <c r="I165" s="478"/>
      <c r="J165" s="478"/>
      <c r="K165" s="478"/>
      <c r="L165" s="478"/>
      <c r="M165" s="479" t="n">
        <f aca="false">SUMIFS(TE!P:P,TE!G:G,$A$43,TE!H:H,A165)</f>
        <v>0</v>
      </c>
      <c r="N165" s="479"/>
      <c r="O165" s="480" t="n">
        <v>48</v>
      </c>
      <c r="P165" s="480"/>
      <c r="Q165" s="481" t="n">
        <f aca="false">M165/O165</f>
        <v>0</v>
      </c>
      <c r="R165" s="481"/>
      <c r="S165" s="482" t="n">
        <v>13.4</v>
      </c>
      <c r="T165" s="482"/>
      <c r="U165" s="482" t="n">
        <f aca="false">Q165*S165</f>
        <v>0</v>
      </c>
      <c r="V165" s="482"/>
      <c r="W165" s="483" t="s">
        <v>1670</v>
      </c>
      <c r="X165" s="483"/>
      <c r="Y165" s="484" t="s">
        <v>1671</v>
      </c>
      <c r="Z165" s="484"/>
      <c r="AA165" s="484"/>
      <c r="AB165" s="484"/>
      <c r="AC165" s="484"/>
      <c r="AD165" s="484"/>
      <c r="AE165" s="484"/>
      <c r="AF165" s="468"/>
    </row>
    <row r="166" s="396" customFormat="true" ht="30" hidden="false" customHeight="true" outlineLevel="0" collapsed="false">
      <c r="A166" s="477" t="s">
        <v>1887</v>
      </c>
      <c r="B166" s="477"/>
      <c r="C166" s="477"/>
      <c r="D166" s="478" t="s">
        <v>1888</v>
      </c>
      <c r="E166" s="478"/>
      <c r="F166" s="478"/>
      <c r="G166" s="478"/>
      <c r="H166" s="478"/>
      <c r="I166" s="478"/>
      <c r="J166" s="478"/>
      <c r="K166" s="478"/>
      <c r="L166" s="478"/>
      <c r="M166" s="479" t="n">
        <f aca="false">SUMIFS(TE!P:P,TE!G:G,$A$43,TE!H:H,A166)</f>
        <v>0</v>
      </c>
      <c r="N166" s="479"/>
      <c r="O166" s="480" t="n">
        <v>120</v>
      </c>
      <c r="P166" s="480"/>
      <c r="Q166" s="481" t="n">
        <f aca="false">M166/O166</f>
        <v>0</v>
      </c>
      <c r="R166" s="481"/>
      <c r="S166" s="482" t="n">
        <v>13.4</v>
      </c>
      <c r="T166" s="482"/>
      <c r="U166" s="482" t="n">
        <f aca="false">Q166*S166</f>
        <v>0</v>
      </c>
      <c r="V166" s="482"/>
      <c r="W166" s="483" t="s">
        <v>1670</v>
      </c>
      <c r="X166" s="483"/>
      <c r="Y166" s="484" t="s">
        <v>1671</v>
      </c>
      <c r="Z166" s="484"/>
      <c r="AA166" s="484"/>
      <c r="AB166" s="484"/>
      <c r="AC166" s="484"/>
      <c r="AD166" s="484"/>
      <c r="AE166" s="484"/>
      <c r="AF166" s="468"/>
    </row>
    <row r="167" s="396" customFormat="true" ht="30" hidden="false" customHeight="true" outlineLevel="0" collapsed="false">
      <c r="A167" s="477" t="s">
        <v>1889</v>
      </c>
      <c r="B167" s="477"/>
      <c r="C167" s="477"/>
      <c r="D167" s="478" t="s">
        <v>1890</v>
      </c>
      <c r="E167" s="478"/>
      <c r="F167" s="478"/>
      <c r="G167" s="478"/>
      <c r="H167" s="478"/>
      <c r="I167" s="478"/>
      <c r="J167" s="478"/>
      <c r="K167" s="478"/>
      <c r="L167" s="478"/>
      <c r="M167" s="479" t="n">
        <f aca="false">SUMIFS(TE!P:P,TE!G:G,$A$43,TE!H:H,A167)</f>
        <v>0</v>
      </c>
      <c r="N167" s="479"/>
      <c r="O167" s="480" t="n">
        <v>12</v>
      </c>
      <c r="P167" s="480"/>
      <c r="Q167" s="481" t="n">
        <f aca="false">ROUNDUP(M167/O167,0)</f>
        <v>0</v>
      </c>
      <c r="R167" s="481"/>
      <c r="S167" s="482" t="n">
        <v>13.4</v>
      </c>
      <c r="T167" s="482"/>
      <c r="U167" s="482" t="n">
        <f aca="false">Q167*S167</f>
        <v>0</v>
      </c>
      <c r="V167" s="482"/>
      <c r="W167" s="483" t="s">
        <v>1891</v>
      </c>
      <c r="X167" s="483"/>
      <c r="Y167" s="484" t="s">
        <v>1892</v>
      </c>
      <c r="Z167" s="484"/>
      <c r="AA167" s="484"/>
      <c r="AB167" s="484"/>
      <c r="AC167" s="484"/>
      <c r="AD167" s="484"/>
      <c r="AE167" s="484"/>
      <c r="AF167" s="468"/>
    </row>
    <row r="168" s="396" customFormat="true" ht="34.5" hidden="false" customHeight="true" outlineLevel="0" collapsed="false">
      <c r="A168" s="477" t="s">
        <v>1889</v>
      </c>
      <c r="B168" s="477"/>
      <c r="C168" s="477"/>
      <c r="D168" s="478" t="s">
        <v>1893</v>
      </c>
      <c r="E168" s="478"/>
      <c r="F168" s="478"/>
      <c r="G168" s="478"/>
      <c r="H168" s="478"/>
      <c r="I168" s="478"/>
      <c r="J168" s="478"/>
      <c r="K168" s="478"/>
      <c r="L168" s="478"/>
      <c r="M168" s="479" t="n">
        <f aca="false">SUMIFS(TE!P:P,TE!G:G,$A$43,TE!H:H,A168)</f>
        <v>0</v>
      </c>
      <c r="N168" s="479"/>
      <c r="O168" s="485" t="s">
        <v>1678</v>
      </c>
      <c r="P168" s="485"/>
      <c r="Q168" s="485" t="s">
        <v>1678</v>
      </c>
      <c r="R168" s="485"/>
      <c r="S168" s="485" t="s">
        <v>1678</v>
      </c>
      <c r="T168" s="485"/>
      <c r="U168" s="485" t="s">
        <v>1678</v>
      </c>
      <c r="V168" s="485"/>
      <c r="W168" s="483" t="s">
        <v>1894</v>
      </c>
      <c r="X168" s="483"/>
      <c r="Y168" s="484" t="s">
        <v>1895</v>
      </c>
      <c r="Z168" s="484"/>
      <c r="AA168" s="484"/>
      <c r="AB168" s="484"/>
      <c r="AC168" s="484"/>
      <c r="AD168" s="484"/>
      <c r="AE168" s="484"/>
      <c r="AF168" s="468"/>
    </row>
    <row r="169" s="396" customFormat="true" ht="30" hidden="false" customHeight="true" outlineLevel="0" collapsed="false">
      <c r="A169" s="477" t="s">
        <v>1896</v>
      </c>
      <c r="B169" s="477"/>
      <c r="C169" s="477"/>
      <c r="D169" s="478" t="s">
        <v>1897</v>
      </c>
      <c r="E169" s="478"/>
      <c r="F169" s="478"/>
      <c r="G169" s="478"/>
      <c r="H169" s="478"/>
      <c r="I169" s="478"/>
      <c r="J169" s="478"/>
      <c r="K169" s="478"/>
      <c r="L169" s="478"/>
      <c r="M169" s="479" t="n">
        <f aca="false">SUMIFS(TE!P:P,TE!G:G,$A$43,TE!H:H,A169)</f>
        <v>0</v>
      </c>
      <c r="N169" s="479"/>
      <c r="O169" s="480" t="n">
        <v>4</v>
      </c>
      <c r="P169" s="480"/>
      <c r="Q169" s="481" t="n">
        <f aca="false">ROUNDUP(M169/O169,0)</f>
        <v>0</v>
      </c>
      <c r="R169" s="481"/>
      <c r="S169" s="482" t="n">
        <v>13.4</v>
      </c>
      <c r="T169" s="482"/>
      <c r="U169" s="482" t="n">
        <f aca="false">Q169*S169</f>
        <v>0</v>
      </c>
      <c r="V169" s="482"/>
      <c r="W169" s="483" t="s">
        <v>1795</v>
      </c>
      <c r="X169" s="483"/>
      <c r="Y169" s="484" t="s">
        <v>1796</v>
      </c>
      <c r="Z169" s="484"/>
      <c r="AA169" s="484"/>
      <c r="AB169" s="484"/>
      <c r="AC169" s="484"/>
      <c r="AD169" s="484"/>
      <c r="AE169" s="484"/>
      <c r="AF169" s="468"/>
    </row>
    <row r="170" s="396" customFormat="true" ht="30" hidden="false" customHeight="true" outlineLevel="0" collapsed="false">
      <c r="A170" s="477" t="s">
        <v>1898</v>
      </c>
      <c r="B170" s="477"/>
      <c r="C170" s="477"/>
      <c r="D170" s="478" t="s">
        <v>1899</v>
      </c>
      <c r="E170" s="478"/>
      <c r="F170" s="478"/>
      <c r="G170" s="478"/>
      <c r="H170" s="478"/>
      <c r="I170" s="478"/>
      <c r="J170" s="478"/>
      <c r="K170" s="478"/>
      <c r="L170" s="478"/>
      <c r="M170" s="479" t="n">
        <f aca="false">SUMIFS(TE!P:P,TE!G:G,$A$43,TE!H:H,A170)</f>
        <v>0</v>
      </c>
      <c r="N170" s="479"/>
      <c r="O170" s="480" t="n">
        <v>4</v>
      </c>
      <c r="P170" s="480"/>
      <c r="Q170" s="481" t="n">
        <f aca="false">ROUNDUP(M170/O170,0)</f>
        <v>0</v>
      </c>
      <c r="R170" s="481"/>
      <c r="S170" s="482" t="n">
        <v>13.4</v>
      </c>
      <c r="T170" s="482"/>
      <c r="U170" s="482" t="n">
        <f aca="false">Q170*S170</f>
        <v>0</v>
      </c>
      <c r="V170" s="482"/>
      <c r="W170" s="483" t="s">
        <v>1795</v>
      </c>
      <c r="X170" s="483"/>
      <c r="Y170" s="484" t="s">
        <v>1796</v>
      </c>
      <c r="Z170" s="484"/>
      <c r="AA170" s="484"/>
      <c r="AB170" s="484"/>
      <c r="AC170" s="484"/>
      <c r="AD170" s="484"/>
      <c r="AE170" s="484"/>
      <c r="AF170" s="468"/>
    </row>
    <row r="171" s="396" customFormat="true" ht="30" hidden="false" customHeight="true" outlineLevel="0" collapsed="false">
      <c r="A171" s="477" t="s">
        <v>1900</v>
      </c>
      <c r="B171" s="477"/>
      <c r="C171" s="477"/>
      <c r="D171" s="478" t="s">
        <v>1901</v>
      </c>
      <c r="E171" s="478"/>
      <c r="F171" s="478"/>
      <c r="G171" s="478"/>
      <c r="H171" s="478"/>
      <c r="I171" s="478"/>
      <c r="J171" s="478"/>
      <c r="K171" s="478"/>
      <c r="L171" s="478"/>
      <c r="M171" s="479" t="n">
        <f aca="false">SUMIFS(TE!P:P,TE!G:G,$A$43,TE!H:H,A171)</f>
        <v>2</v>
      </c>
      <c r="N171" s="479"/>
      <c r="O171" s="480" t="n">
        <v>6</v>
      </c>
      <c r="P171" s="480"/>
      <c r="Q171" s="481" t="n">
        <f aca="false">ROUNDUP(M171/O171,0)</f>
        <v>1</v>
      </c>
      <c r="R171" s="481"/>
      <c r="S171" s="482" t="n">
        <v>13.4</v>
      </c>
      <c r="T171" s="482"/>
      <c r="U171" s="482" t="n">
        <f aca="false">Q171*S171</f>
        <v>13.4</v>
      </c>
      <c r="V171" s="482"/>
      <c r="W171" s="483" t="s">
        <v>1902</v>
      </c>
      <c r="X171" s="483"/>
      <c r="Y171" s="484" t="s">
        <v>1903</v>
      </c>
      <c r="Z171" s="484"/>
      <c r="AA171" s="484"/>
      <c r="AB171" s="484"/>
      <c r="AC171" s="484"/>
      <c r="AD171" s="484"/>
      <c r="AE171" s="484"/>
      <c r="AF171" s="468"/>
    </row>
    <row r="172" s="396" customFormat="true" ht="34.5" hidden="false" customHeight="true" outlineLevel="0" collapsed="false">
      <c r="A172" s="477" t="s">
        <v>1900</v>
      </c>
      <c r="B172" s="477"/>
      <c r="C172" s="477"/>
      <c r="D172" s="478" t="s">
        <v>1904</v>
      </c>
      <c r="E172" s="478"/>
      <c r="F172" s="478"/>
      <c r="G172" s="478"/>
      <c r="H172" s="478"/>
      <c r="I172" s="478"/>
      <c r="J172" s="478"/>
      <c r="K172" s="478"/>
      <c r="L172" s="478"/>
      <c r="M172" s="479" t="n">
        <f aca="false">SUMIFS(TE!P:P,TE!G:G,$A$43,TE!H:H,A172)</f>
        <v>2</v>
      </c>
      <c r="N172" s="479"/>
      <c r="O172" s="485" t="s">
        <v>1678</v>
      </c>
      <c r="P172" s="485"/>
      <c r="Q172" s="485" t="s">
        <v>1678</v>
      </c>
      <c r="R172" s="485"/>
      <c r="S172" s="485" t="s">
        <v>1678</v>
      </c>
      <c r="T172" s="485"/>
      <c r="U172" s="485" t="s">
        <v>1678</v>
      </c>
      <c r="V172" s="485"/>
      <c r="W172" s="483" t="s">
        <v>1894</v>
      </c>
      <c r="X172" s="483"/>
      <c r="Y172" s="484" t="s">
        <v>1895</v>
      </c>
      <c r="Z172" s="484"/>
      <c r="AA172" s="484"/>
      <c r="AB172" s="484"/>
      <c r="AC172" s="484"/>
      <c r="AD172" s="484"/>
      <c r="AE172" s="484"/>
      <c r="AF172" s="468"/>
    </row>
    <row r="173" s="396" customFormat="true" ht="30" hidden="false" customHeight="true" outlineLevel="0" collapsed="false">
      <c r="A173" s="486" t="s">
        <v>1905</v>
      </c>
      <c r="B173" s="486"/>
      <c r="C173" s="486"/>
      <c r="D173" s="487" t="s">
        <v>1906</v>
      </c>
      <c r="E173" s="487"/>
      <c r="F173" s="487"/>
      <c r="G173" s="487"/>
      <c r="H173" s="487"/>
      <c r="I173" s="487"/>
      <c r="J173" s="487"/>
      <c r="K173" s="487"/>
      <c r="L173" s="487"/>
      <c r="M173" s="488" t="n">
        <f aca="false">SUMIFS(TE!P:P,TE!G:G,$A$43,TE!H:H,A173)</f>
        <v>2</v>
      </c>
      <c r="N173" s="488"/>
      <c r="O173" s="489" t="n">
        <v>4</v>
      </c>
      <c r="P173" s="489"/>
      <c r="Q173" s="490" t="n">
        <f aca="false">ROUNDUP(M173/O173,0)</f>
        <v>1</v>
      </c>
      <c r="R173" s="490"/>
      <c r="S173" s="491" t="n">
        <v>13.4</v>
      </c>
      <c r="T173" s="491"/>
      <c r="U173" s="491" t="n">
        <f aca="false">Q173*S173</f>
        <v>13.4</v>
      </c>
      <c r="V173" s="491"/>
      <c r="W173" s="492" t="s">
        <v>1907</v>
      </c>
      <c r="X173" s="492"/>
      <c r="Y173" s="493" t="s">
        <v>1796</v>
      </c>
      <c r="Z173" s="493"/>
      <c r="AA173" s="493"/>
      <c r="AB173" s="493"/>
      <c r="AC173" s="493"/>
      <c r="AD173" s="493"/>
      <c r="AE173" s="493"/>
      <c r="AF173" s="468"/>
    </row>
    <row r="174" s="396" customFormat="true" ht="15.75" hidden="false" customHeight="true" outlineLevel="0" collapsed="false">
      <c r="A174" s="494"/>
      <c r="B174" s="494"/>
      <c r="C174" s="494"/>
      <c r="D174" s="494"/>
      <c r="E174" s="494"/>
      <c r="F174" s="494"/>
      <c r="G174" s="494"/>
      <c r="H174" s="494"/>
      <c r="I174" s="494"/>
      <c r="J174" s="494"/>
      <c r="K174" s="494"/>
      <c r="L174" s="494"/>
      <c r="M174" s="494"/>
      <c r="N174" s="494"/>
      <c r="O174" s="494"/>
      <c r="P174" s="494"/>
      <c r="Q174" s="494"/>
      <c r="R174" s="494"/>
      <c r="S174" s="494"/>
      <c r="T174" s="494"/>
      <c r="U174" s="494"/>
      <c r="V174" s="494"/>
      <c r="W174" s="494"/>
      <c r="X174" s="494"/>
      <c r="Y174" s="494"/>
      <c r="Z174" s="494"/>
      <c r="AA174" s="494"/>
      <c r="AB174" s="494"/>
      <c r="AC174" s="494"/>
      <c r="AD174" s="494"/>
      <c r="AE174" s="494"/>
      <c r="AF174" s="468"/>
    </row>
    <row r="175" s="396" customFormat="true" ht="15.75" hidden="false" customHeight="true" outlineLevel="0" collapsed="false">
      <c r="A175" s="495"/>
      <c r="B175" s="495"/>
      <c r="C175" s="495"/>
      <c r="D175" s="495"/>
      <c r="E175" s="495"/>
      <c r="F175" s="495"/>
      <c r="G175" s="495"/>
      <c r="H175" s="495"/>
      <c r="I175" s="495"/>
      <c r="J175" s="495"/>
      <c r="K175" s="495"/>
      <c r="L175" s="495"/>
      <c r="M175" s="495"/>
      <c r="N175" s="495"/>
      <c r="O175" s="495"/>
      <c r="P175" s="495"/>
      <c r="Q175" s="495"/>
      <c r="R175" s="495"/>
      <c r="S175" s="495"/>
      <c r="T175" s="495"/>
      <c r="U175" s="495"/>
      <c r="V175" s="495"/>
      <c r="W175" s="495"/>
      <c r="X175" s="495"/>
      <c r="Y175" s="495"/>
      <c r="Z175" s="495"/>
      <c r="AA175" s="495"/>
      <c r="AB175" s="453"/>
      <c r="AC175" s="454" t="s">
        <v>1657</v>
      </c>
      <c r="AD175" s="455" t="n">
        <v>6</v>
      </c>
      <c r="AE175" s="455" t="s">
        <v>29</v>
      </c>
      <c r="AF175" s="455" t="n">
        <v>27</v>
      </c>
    </row>
    <row r="176" s="396" customFormat="true" ht="15.75" hidden="false" customHeight="true" outlineLevel="0" collapsed="false">
      <c r="A176" s="398" t="s">
        <v>1522</v>
      </c>
      <c r="B176" s="398"/>
      <c r="C176" s="456" t="n">
        <v>14345</v>
      </c>
      <c r="D176" s="456"/>
      <c r="E176" s="456"/>
      <c r="F176" s="456"/>
      <c r="G176" s="456"/>
      <c r="H176" s="456"/>
      <c r="I176" s="456"/>
      <c r="J176" s="456"/>
      <c r="K176" s="456"/>
      <c r="L176" s="456"/>
      <c r="M176" s="398" t="s">
        <v>1523</v>
      </c>
      <c r="N176" s="398"/>
      <c r="O176" s="398"/>
      <c r="P176" s="398"/>
      <c r="Q176" s="398"/>
      <c r="R176" s="456" t="s">
        <v>15</v>
      </c>
      <c r="S176" s="456"/>
      <c r="T176" s="456"/>
      <c r="U176" s="456"/>
      <c r="V176" s="456"/>
      <c r="W176" s="456"/>
      <c r="X176" s="456"/>
      <c r="Y176" s="456"/>
      <c r="Z176" s="456"/>
      <c r="AA176" s="456"/>
      <c r="AB176" s="456"/>
      <c r="AC176" s="456"/>
      <c r="AD176" s="456"/>
      <c r="AE176" s="456"/>
      <c r="AF176" s="456"/>
    </row>
    <row r="177" s="396" customFormat="true" ht="15.75" hidden="false" customHeight="true" outlineLevel="0" collapsed="false">
      <c r="A177" s="458"/>
      <c r="B177" s="458"/>
      <c r="C177" s="459"/>
      <c r="D177" s="459"/>
      <c r="E177" s="459"/>
      <c r="F177" s="459"/>
      <c r="G177" s="459"/>
      <c r="H177" s="459"/>
      <c r="I177" s="459"/>
      <c r="J177" s="459"/>
      <c r="K177" s="459"/>
      <c r="L177" s="459"/>
      <c r="M177" s="458"/>
      <c r="N177" s="458"/>
      <c r="O177" s="458"/>
      <c r="P177" s="458"/>
      <c r="Q177" s="458"/>
      <c r="R177" s="459"/>
      <c r="S177" s="459"/>
      <c r="T177" s="459"/>
      <c r="U177" s="459"/>
      <c r="V177" s="459"/>
      <c r="W177" s="459"/>
      <c r="X177" s="459"/>
      <c r="Y177" s="459"/>
      <c r="Z177" s="459"/>
      <c r="AA177" s="459"/>
      <c r="AB177" s="459"/>
      <c r="AC177" s="459"/>
      <c r="AD177" s="459"/>
      <c r="AE177" s="459"/>
      <c r="AF177" s="459"/>
    </row>
    <row r="178" s="396" customFormat="true" ht="15.75" hidden="false" customHeight="true" outlineLevel="0" collapsed="false">
      <c r="A178" s="460" t="str">
        <f aca="false">A151</f>
        <v>M28261</v>
      </c>
      <c r="B178" s="460"/>
      <c r="C178" s="460"/>
      <c r="D178" s="461" t="str">
        <f aca="false">D151</f>
        <v>H&amp;S CO</v>
      </c>
      <c r="E178" s="461"/>
      <c r="F178" s="461"/>
      <c r="G178" s="461"/>
      <c r="H178" s="461"/>
      <c r="I178" s="461"/>
      <c r="J178" s="461"/>
      <c r="K178" s="461"/>
      <c r="L178" s="461"/>
      <c r="M178" s="458"/>
      <c r="N178" s="458"/>
      <c r="O178" s="458"/>
      <c r="P178" s="459"/>
      <c r="Q178" s="458"/>
      <c r="R178" s="459"/>
      <c r="S178" s="459"/>
      <c r="T178" s="459"/>
      <c r="U178" s="459"/>
      <c r="V178" s="459"/>
      <c r="W178" s="459"/>
      <c r="X178" s="459"/>
      <c r="Y178" s="459"/>
      <c r="Z178" s="459"/>
      <c r="AA178" s="459"/>
      <c r="AB178" s="459"/>
      <c r="AC178" s="459"/>
      <c r="AD178" s="459"/>
      <c r="AE178" s="459"/>
      <c r="AF178" s="459"/>
    </row>
    <row r="179" s="396" customFormat="true" ht="15.75" hidden="false" customHeight="true" outlineLevel="0" collapsed="false">
      <c r="A179" s="462" t="s">
        <v>1659</v>
      </c>
      <c r="B179" s="462"/>
      <c r="C179" s="462"/>
      <c r="D179" s="463" t="s">
        <v>1660</v>
      </c>
      <c r="E179" s="463"/>
      <c r="F179" s="463"/>
      <c r="G179" s="463"/>
      <c r="H179" s="463"/>
      <c r="I179" s="463"/>
      <c r="J179" s="463"/>
      <c r="K179" s="463"/>
      <c r="L179" s="463"/>
      <c r="M179" s="464" t="s">
        <v>1661</v>
      </c>
      <c r="N179" s="464"/>
      <c r="O179" s="465" t="s">
        <v>1662</v>
      </c>
      <c r="P179" s="465"/>
      <c r="Q179" s="465" t="s">
        <v>1663</v>
      </c>
      <c r="R179" s="465"/>
      <c r="S179" s="466" t="s">
        <v>1664</v>
      </c>
      <c r="T179" s="466"/>
      <c r="U179" s="466" t="s">
        <v>1665</v>
      </c>
      <c r="V179" s="466"/>
      <c r="W179" s="464" t="s">
        <v>1666</v>
      </c>
      <c r="X179" s="464"/>
      <c r="Y179" s="467" t="s">
        <v>1667</v>
      </c>
      <c r="Z179" s="467"/>
      <c r="AA179" s="467"/>
      <c r="AB179" s="467"/>
      <c r="AC179" s="467"/>
      <c r="AD179" s="467"/>
      <c r="AE179" s="467"/>
      <c r="AF179" s="459"/>
    </row>
    <row r="180" s="396" customFormat="true" ht="15.75" hidden="false" customHeight="true" outlineLevel="0" collapsed="false">
      <c r="A180" s="462"/>
      <c r="B180" s="462"/>
      <c r="C180" s="462"/>
      <c r="D180" s="463"/>
      <c r="E180" s="463"/>
      <c r="F180" s="463"/>
      <c r="G180" s="463"/>
      <c r="H180" s="463"/>
      <c r="I180" s="463"/>
      <c r="J180" s="463"/>
      <c r="K180" s="463"/>
      <c r="L180" s="463"/>
      <c r="M180" s="464"/>
      <c r="N180" s="464"/>
      <c r="O180" s="465"/>
      <c r="P180" s="465"/>
      <c r="Q180" s="465"/>
      <c r="R180" s="465"/>
      <c r="S180" s="466"/>
      <c r="T180" s="466"/>
      <c r="U180" s="466"/>
      <c r="V180" s="466"/>
      <c r="W180" s="464"/>
      <c r="X180" s="464"/>
      <c r="Y180" s="467"/>
      <c r="Z180" s="467"/>
      <c r="AA180" s="467"/>
      <c r="AB180" s="467"/>
      <c r="AC180" s="467"/>
      <c r="AD180" s="467"/>
      <c r="AE180" s="467"/>
      <c r="AF180" s="459"/>
    </row>
    <row r="181" s="396" customFormat="true" ht="15.75" hidden="false" customHeight="true" outlineLevel="0" collapsed="false">
      <c r="A181" s="462"/>
      <c r="B181" s="462"/>
      <c r="C181" s="462"/>
      <c r="D181" s="463"/>
      <c r="E181" s="463"/>
      <c r="F181" s="463"/>
      <c r="G181" s="463"/>
      <c r="H181" s="463"/>
      <c r="I181" s="463"/>
      <c r="J181" s="463"/>
      <c r="K181" s="463"/>
      <c r="L181" s="463"/>
      <c r="M181" s="464"/>
      <c r="N181" s="464"/>
      <c r="O181" s="465"/>
      <c r="P181" s="465"/>
      <c r="Q181" s="465"/>
      <c r="R181" s="465"/>
      <c r="S181" s="466"/>
      <c r="T181" s="466"/>
      <c r="U181" s="466"/>
      <c r="V181" s="466"/>
      <c r="W181" s="464"/>
      <c r="X181" s="464"/>
      <c r="Y181" s="467"/>
      <c r="Z181" s="467"/>
      <c r="AA181" s="467"/>
      <c r="AB181" s="467"/>
      <c r="AC181" s="467"/>
      <c r="AD181" s="467"/>
      <c r="AE181" s="467"/>
      <c r="AF181" s="468"/>
    </row>
    <row r="182" s="396" customFormat="true" ht="30" hidden="false" customHeight="true" outlineLevel="0" collapsed="false">
      <c r="A182" s="469" t="s">
        <v>1908</v>
      </c>
      <c r="B182" s="469"/>
      <c r="C182" s="469"/>
      <c r="D182" s="470" t="s">
        <v>1909</v>
      </c>
      <c r="E182" s="470"/>
      <c r="F182" s="470"/>
      <c r="G182" s="470"/>
      <c r="H182" s="470"/>
      <c r="I182" s="470"/>
      <c r="J182" s="470"/>
      <c r="K182" s="470"/>
      <c r="L182" s="470"/>
      <c r="M182" s="471" t="n">
        <f aca="false">SUMIFS(TE!P:P,TE!G:G,$A$43,TE!H:H,A182)</f>
        <v>0</v>
      </c>
      <c r="N182" s="471"/>
      <c r="O182" s="472" t="n">
        <v>6</v>
      </c>
      <c r="P182" s="472"/>
      <c r="Q182" s="473" t="n">
        <f aca="false">ROUNDUP(M182/O182,0)</f>
        <v>0</v>
      </c>
      <c r="R182" s="473"/>
      <c r="S182" s="474" t="n">
        <v>13.4</v>
      </c>
      <c r="T182" s="474"/>
      <c r="U182" s="474" t="n">
        <f aca="false">Q182*S182</f>
        <v>0</v>
      </c>
      <c r="V182" s="474"/>
      <c r="W182" s="475" t="s">
        <v>1910</v>
      </c>
      <c r="X182" s="475"/>
      <c r="Y182" s="476" t="s">
        <v>1903</v>
      </c>
      <c r="Z182" s="476"/>
      <c r="AA182" s="476"/>
      <c r="AB182" s="476"/>
      <c r="AC182" s="476"/>
      <c r="AD182" s="476"/>
      <c r="AE182" s="476"/>
      <c r="AF182" s="468"/>
    </row>
    <row r="183" s="396" customFormat="true" ht="30" hidden="false" customHeight="true" outlineLevel="0" collapsed="false">
      <c r="A183" s="477" t="s">
        <v>1911</v>
      </c>
      <c r="B183" s="477"/>
      <c r="C183" s="477"/>
      <c r="D183" s="478" t="s">
        <v>1912</v>
      </c>
      <c r="E183" s="478"/>
      <c r="F183" s="478"/>
      <c r="G183" s="478"/>
      <c r="H183" s="478"/>
      <c r="I183" s="478"/>
      <c r="J183" s="478"/>
      <c r="K183" s="478"/>
      <c r="L183" s="478"/>
      <c r="M183" s="479" t="n">
        <f aca="false">SUMIFS(TE!P:P,TE!G:G,$A$43,TE!H:H,A183)</f>
        <v>0</v>
      </c>
      <c r="N183" s="479"/>
      <c r="O183" s="480" t="n">
        <v>6</v>
      </c>
      <c r="P183" s="480"/>
      <c r="Q183" s="481" t="n">
        <f aca="false">ROUNDUP(M183/O183,0)</f>
        <v>0</v>
      </c>
      <c r="R183" s="481"/>
      <c r="S183" s="482" t="n">
        <v>13.4</v>
      </c>
      <c r="T183" s="482"/>
      <c r="U183" s="482" t="n">
        <f aca="false">Q183*S183</f>
        <v>0</v>
      </c>
      <c r="V183" s="482"/>
      <c r="W183" s="483" t="s">
        <v>1902</v>
      </c>
      <c r="X183" s="483"/>
      <c r="Y183" s="484" t="s">
        <v>1903</v>
      </c>
      <c r="Z183" s="484"/>
      <c r="AA183" s="484"/>
      <c r="AB183" s="484"/>
      <c r="AC183" s="484"/>
      <c r="AD183" s="484"/>
      <c r="AE183" s="484"/>
      <c r="AF183" s="468"/>
    </row>
    <row r="184" s="396" customFormat="true" ht="30" hidden="false" customHeight="true" outlineLevel="0" collapsed="false">
      <c r="A184" s="477" t="s">
        <v>1913</v>
      </c>
      <c r="B184" s="477"/>
      <c r="C184" s="477"/>
      <c r="D184" s="478" t="s">
        <v>1914</v>
      </c>
      <c r="E184" s="478"/>
      <c r="F184" s="478"/>
      <c r="G184" s="478"/>
      <c r="H184" s="478"/>
      <c r="I184" s="478"/>
      <c r="J184" s="478"/>
      <c r="K184" s="478"/>
      <c r="L184" s="478"/>
      <c r="M184" s="479" t="n">
        <f aca="false">SUMIFS(TE!P:P,TE!G:G,$A$43,TE!H:H,A184)</f>
        <v>0</v>
      </c>
      <c r="N184" s="479"/>
      <c r="O184" s="480" t="n">
        <v>4</v>
      </c>
      <c r="P184" s="480"/>
      <c r="Q184" s="481" t="n">
        <f aca="false">ROUNDUP(M184/O184,0)</f>
        <v>0</v>
      </c>
      <c r="R184" s="481"/>
      <c r="S184" s="482" t="n">
        <v>13.4</v>
      </c>
      <c r="T184" s="482"/>
      <c r="U184" s="482" t="n">
        <f aca="false">Q184*S184</f>
        <v>0</v>
      </c>
      <c r="V184" s="482"/>
      <c r="W184" s="483" t="s">
        <v>1915</v>
      </c>
      <c r="X184" s="483"/>
      <c r="Y184" s="484" t="s">
        <v>1796</v>
      </c>
      <c r="Z184" s="484"/>
      <c r="AA184" s="484"/>
      <c r="AB184" s="484"/>
      <c r="AC184" s="484"/>
      <c r="AD184" s="484"/>
      <c r="AE184" s="484"/>
      <c r="AF184" s="468"/>
    </row>
    <row r="185" s="396" customFormat="true" ht="39.75" hidden="false" customHeight="true" outlineLevel="0" collapsed="false">
      <c r="A185" s="477" t="s">
        <v>1913</v>
      </c>
      <c r="B185" s="477"/>
      <c r="C185" s="477"/>
      <c r="D185" s="478" t="s">
        <v>1916</v>
      </c>
      <c r="E185" s="478"/>
      <c r="F185" s="478"/>
      <c r="G185" s="478"/>
      <c r="H185" s="478"/>
      <c r="I185" s="478"/>
      <c r="J185" s="478"/>
      <c r="K185" s="478"/>
      <c r="L185" s="478"/>
      <c r="M185" s="479" t="n">
        <f aca="false">SUMIFS(TE!P:P,TE!G:G,$A$43,TE!H:H,A185)</f>
        <v>0</v>
      </c>
      <c r="N185" s="479"/>
      <c r="O185" s="485" t="s">
        <v>1678</v>
      </c>
      <c r="P185" s="485"/>
      <c r="Q185" s="485" t="s">
        <v>1678</v>
      </c>
      <c r="R185" s="485"/>
      <c r="S185" s="485" t="s">
        <v>1678</v>
      </c>
      <c r="T185" s="485"/>
      <c r="U185" s="485" t="s">
        <v>1678</v>
      </c>
      <c r="V185" s="485"/>
      <c r="W185" s="483" t="s">
        <v>1894</v>
      </c>
      <c r="X185" s="483"/>
      <c r="Y185" s="484" t="s">
        <v>1917</v>
      </c>
      <c r="Z185" s="484"/>
      <c r="AA185" s="484"/>
      <c r="AB185" s="484"/>
      <c r="AC185" s="484"/>
      <c r="AD185" s="484"/>
      <c r="AE185" s="484"/>
      <c r="AF185" s="468"/>
    </row>
    <row r="186" s="396" customFormat="true" ht="30" hidden="false" customHeight="true" outlineLevel="0" collapsed="false">
      <c r="A186" s="477" t="s">
        <v>1918</v>
      </c>
      <c r="B186" s="477"/>
      <c r="C186" s="477"/>
      <c r="D186" s="478" t="s">
        <v>1919</v>
      </c>
      <c r="E186" s="478"/>
      <c r="F186" s="478"/>
      <c r="G186" s="478"/>
      <c r="H186" s="478"/>
      <c r="I186" s="478"/>
      <c r="J186" s="478"/>
      <c r="K186" s="478"/>
      <c r="L186" s="478"/>
      <c r="M186" s="479" t="n">
        <f aca="false">SUMIFS(TE!P:P,TE!G:G,$A$43,TE!H:H,A186)</f>
        <v>0</v>
      </c>
      <c r="N186" s="479"/>
      <c r="O186" s="480" t="n">
        <v>3</v>
      </c>
      <c r="P186" s="480"/>
      <c r="Q186" s="481" t="n">
        <f aca="false">ROUNDUP(M186/O186,0)</f>
        <v>0</v>
      </c>
      <c r="R186" s="481"/>
      <c r="S186" s="482" t="n">
        <v>9.5</v>
      </c>
      <c r="T186" s="482"/>
      <c r="U186" s="482" t="n">
        <f aca="false">Q186*S186</f>
        <v>0</v>
      </c>
      <c r="V186" s="482"/>
      <c r="W186" s="483" t="s">
        <v>1920</v>
      </c>
      <c r="X186" s="483"/>
      <c r="Y186" s="484" t="s">
        <v>1921</v>
      </c>
      <c r="Z186" s="484"/>
      <c r="AA186" s="484"/>
      <c r="AB186" s="484"/>
      <c r="AC186" s="484"/>
      <c r="AD186" s="484"/>
      <c r="AE186" s="484"/>
      <c r="AF186" s="468"/>
    </row>
    <row r="187" s="396" customFormat="true" ht="30" hidden="false" customHeight="true" outlineLevel="0" collapsed="false">
      <c r="A187" s="477" t="s">
        <v>1922</v>
      </c>
      <c r="B187" s="477"/>
      <c r="C187" s="477"/>
      <c r="D187" s="478" t="s">
        <v>1923</v>
      </c>
      <c r="E187" s="478"/>
      <c r="F187" s="478"/>
      <c r="G187" s="478"/>
      <c r="H187" s="478"/>
      <c r="I187" s="478"/>
      <c r="J187" s="478"/>
      <c r="K187" s="478"/>
      <c r="L187" s="478"/>
      <c r="M187" s="479" t="n">
        <f aca="false">SUMIFS(TE!P:P,TE!G:G,$A$43,TE!H:H,A187)</f>
        <v>0</v>
      </c>
      <c r="N187" s="479"/>
      <c r="O187" s="480" t="n">
        <v>3</v>
      </c>
      <c r="P187" s="480"/>
      <c r="Q187" s="481" t="n">
        <f aca="false">ROUNDUP(M187/O187,0)</f>
        <v>0</v>
      </c>
      <c r="R187" s="481"/>
      <c r="S187" s="482" t="n">
        <v>12.5</v>
      </c>
      <c r="T187" s="482"/>
      <c r="U187" s="482" t="n">
        <f aca="false">Q187*S187</f>
        <v>0</v>
      </c>
      <c r="V187" s="482"/>
      <c r="W187" s="483" t="s">
        <v>1924</v>
      </c>
      <c r="X187" s="483"/>
      <c r="Y187" s="484" t="s">
        <v>1921</v>
      </c>
      <c r="Z187" s="484"/>
      <c r="AA187" s="484"/>
      <c r="AB187" s="484"/>
      <c r="AC187" s="484"/>
      <c r="AD187" s="484"/>
      <c r="AE187" s="484"/>
      <c r="AF187" s="468"/>
    </row>
    <row r="188" s="396" customFormat="true" ht="30" hidden="false" customHeight="true" outlineLevel="0" collapsed="false">
      <c r="A188" s="477" t="s">
        <v>1925</v>
      </c>
      <c r="B188" s="477"/>
      <c r="C188" s="477"/>
      <c r="D188" s="478" t="s">
        <v>1926</v>
      </c>
      <c r="E188" s="478"/>
      <c r="F188" s="478"/>
      <c r="G188" s="478"/>
      <c r="H188" s="478"/>
      <c r="I188" s="478"/>
      <c r="J188" s="478"/>
      <c r="K188" s="478"/>
      <c r="L188" s="478"/>
      <c r="M188" s="479" t="n">
        <f aca="false">SUMIFS(TE!P:P,TE!G:G,$A$43,TE!H:H,A188)</f>
        <v>0</v>
      </c>
      <c r="N188" s="479"/>
      <c r="O188" s="480" t="n">
        <v>3</v>
      </c>
      <c r="P188" s="480"/>
      <c r="Q188" s="481" t="n">
        <f aca="false">ROUNDUP(M188/O188,0)</f>
        <v>0</v>
      </c>
      <c r="R188" s="481"/>
      <c r="S188" s="482" t="n">
        <v>22</v>
      </c>
      <c r="T188" s="482"/>
      <c r="U188" s="482" t="n">
        <f aca="false">Q188*S188</f>
        <v>0</v>
      </c>
      <c r="V188" s="482"/>
      <c r="W188" s="483" t="s">
        <v>1927</v>
      </c>
      <c r="X188" s="483"/>
      <c r="Y188" s="484" t="s">
        <v>1928</v>
      </c>
      <c r="Z188" s="484"/>
      <c r="AA188" s="484"/>
      <c r="AB188" s="484"/>
      <c r="AC188" s="484"/>
      <c r="AD188" s="484"/>
      <c r="AE188" s="484"/>
      <c r="AF188" s="468"/>
    </row>
    <row r="189" s="396" customFormat="true" ht="30" hidden="false" customHeight="true" outlineLevel="0" collapsed="false">
      <c r="A189" s="477" t="s">
        <v>1929</v>
      </c>
      <c r="B189" s="477"/>
      <c r="C189" s="477"/>
      <c r="D189" s="478" t="s">
        <v>1930</v>
      </c>
      <c r="E189" s="478"/>
      <c r="F189" s="478"/>
      <c r="G189" s="478"/>
      <c r="H189" s="478"/>
      <c r="I189" s="478"/>
      <c r="J189" s="478"/>
      <c r="K189" s="478"/>
      <c r="L189" s="478"/>
      <c r="M189" s="479" t="n">
        <f aca="false">SUMIFS(TE!P:P,TE!G:G,$A$43,TE!H:H,A189)</f>
        <v>0</v>
      </c>
      <c r="N189" s="479"/>
      <c r="O189" s="480" t="n">
        <v>3</v>
      </c>
      <c r="P189" s="480"/>
      <c r="Q189" s="481" t="n">
        <f aca="false">ROUNDUP(M189/O189,0)</f>
        <v>0</v>
      </c>
      <c r="R189" s="481"/>
      <c r="S189" s="482" t="n">
        <v>12.5</v>
      </c>
      <c r="T189" s="482"/>
      <c r="U189" s="482" t="n">
        <f aca="false">Q189*S189</f>
        <v>0</v>
      </c>
      <c r="V189" s="482"/>
      <c r="W189" s="483" t="s">
        <v>1924</v>
      </c>
      <c r="X189" s="483"/>
      <c r="Y189" s="484" t="s">
        <v>1921</v>
      </c>
      <c r="Z189" s="484"/>
      <c r="AA189" s="484"/>
      <c r="AB189" s="484"/>
      <c r="AC189" s="484"/>
      <c r="AD189" s="484"/>
      <c r="AE189" s="484"/>
      <c r="AF189" s="468"/>
    </row>
    <row r="190" s="396" customFormat="true" ht="30" hidden="false" customHeight="true" outlineLevel="0" collapsed="false">
      <c r="A190" s="477" t="s">
        <v>1931</v>
      </c>
      <c r="B190" s="477"/>
      <c r="C190" s="477"/>
      <c r="D190" s="478" t="s">
        <v>1932</v>
      </c>
      <c r="E190" s="478"/>
      <c r="F190" s="478"/>
      <c r="G190" s="478"/>
      <c r="H190" s="478"/>
      <c r="I190" s="478"/>
      <c r="J190" s="478"/>
      <c r="K190" s="478"/>
      <c r="L190" s="478"/>
      <c r="M190" s="479" t="n">
        <f aca="false">SUMIFS(TE!P:P,TE!G:G,$A$43,TE!H:H,A190)</f>
        <v>0</v>
      </c>
      <c r="N190" s="479"/>
      <c r="O190" s="480" t="n">
        <v>5</v>
      </c>
      <c r="P190" s="480"/>
      <c r="Q190" s="481" t="n">
        <f aca="false">M190/O190</f>
        <v>0</v>
      </c>
      <c r="R190" s="481"/>
      <c r="S190" s="482" t="n">
        <v>13.4</v>
      </c>
      <c r="T190" s="482"/>
      <c r="U190" s="482" t="n">
        <f aca="false">Q190*S190</f>
        <v>0</v>
      </c>
      <c r="V190" s="482"/>
      <c r="W190" s="483" t="s">
        <v>1670</v>
      </c>
      <c r="X190" s="483"/>
      <c r="Y190" s="484" t="s">
        <v>1671</v>
      </c>
      <c r="Z190" s="484"/>
      <c r="AA190" s="484"/>
      <c r="AB190" s="484"/>
      <c r="AC190" s="484"/>
      <c r="AD190" s="484"/>
      <c r="AE190" s="484"/>
      <c r="AF190" s="468"/>
    </row>
    <row r="191" s="396" customFormat="true" ht="39.75" hidden="false" customHeight="true" outlineLevel="0" collapsed="false">
      <c r="A191" s="477" t="s">
        <v>1933</v>
      </c>
      <c r="B191" s="477"/>
      <c r="C191" s="477"/>
      <c r="D191" s="478" t="s">
        <v>1934</v>
      </c>
      <c r="E191" s="478"/>
      <c r="F191" s="478"/>
      <c r="G191" s="478"/>
      <c r="H191" s="478"/>
      <c r="I191" s="478"/>
      <c r="J191" s="478"/>
      <c r="K191" s="478"/>
      <c r="L191" s="478"/>
      <c r="M191" s="479" t="n">
        <f aca="false">SUMIFS(TE!P:P,TE!G:G,$A$43,TE!H:H,A191)</f>
        <v>0</v>
      </c>
      <c r="N191" s="479"/>
      <c r="O191" s="480" t="n">
        <v>5</v>
      </c>
      <c r="P191" s="480"/>
      <c r="Q191" s="481" t="n">
        <f aca="false">M191/O191</f>
        <v>0</v>
      </c>
      <c r="R191" s="481"/>
      <c r="S191" s="482" t="n">
        <v>13.4</v>
      </c>
      <c r="T191" s="482"/>
      <c r="U191" s="482" t="n">
        <f aca="false">Q191*S191</f>
        <v>0</v>
      </c>
      <c r="V191" s="482"/>
      <c r="W191" s="483" t="s">
        <v>1670</v>
      </c>
      <c r="X191" s="483"/>
      <c r="Y191" s="484" t="s">
        <v>1671</v>
      </c>
      <c r="Z191" s="484"/>
      <c r="AA191" s="484"/>
      <c r="AB191" s="484"/>
      <c r="AC191" s="484"/>
      <c r="AD191" s="484"/>
      <c r="AE191" s="484"/>
      <c r="AF191" s="468"/>
    </row>
    <row r="192" s="396" customFormat="true" ht="30" hidden="false" customHeight="true" outlineLevel="0" collapsed="false">
      <c r="A192" s="477" t="s">
        <v>1935</v>
      </c>
      <c r="B192" s="477"/>
      <c r="C192" s="477"/>
      <c r="D192" s="478" t="s">
        <v>1936</v>
      </c>
      <c r="E192" s="478"/>
      <c r="F192" s="478"/>
      <c r="G192" s="478"/>
      <c r="H192" s="478"/>
      <c r="I192" s="478"/>
      <c r="J192" s="478"/>
      <c r="K192" s="478"/>
      <c r="L192" s="478"/>
      <c r="M192" s="479" t="n">
        <f aca="false">SUMIFS(TE!P:P,TE!G:G,$A$43,TE!H:H,A192)</f>
        <v>0</v>
      </c>
      <c r="N192" s="479"/>
      <c r="O192" s="480" t="n">
        <v>12</v>
      </c>
      <c r="P192" s="480"/>
      <c r="Q192" s="481" t="n">
        <f aca="false">M192/O192</f>
        <v>0</v>
      </c>
      <c r="R192" s="481"/>
      <c r="S192" s="482" t="n">
        <v>13.4</v>
      </c>
      <c r="T192" s="482"/>
      <c r="U192" s="482" t="n">
        <f aca="false">Q192*S192</f>
        <v>0</v>
      </c>
      <c r="V192" s="482"/>
      <c r="W192" s="483" t="s">
        <v>1670</v>
      </c>
      <c r="X192" s="483"/>
      <c r="Y192" s="484" t="s">
        <v>1671</v>
      </c>
      <c r="Z192" s="484"/>
      <c r="AA192" s="484"/>
      <c r="AB192" s="484"/>
      <c r="AC192" s="484"/>
      <c r="AD192" s="484"/>
      <c r="AE192" s="484"/>
      <c r="AF192" s="468"/>
    </row>
    <row r="193" s="396" customFormat="true" ht="39.75" hidden="false" customHeight="true" outlineLevel="0" collapsed="false">
      <c r="A193" s="477" t="s">
        <v>1937</v>
      </c>
      <c r="B193" s="477"/>
      <c r="C193" s="477"/>
      <c r="D193" s="478" t="s">
        <v>1938</v>
      </c>
      <c r="E193" s="478"/>
      <c r="F193" s="478"/>
      <c r="G193" s="478"/>
      <c r="H193" s="478"/>
      <c r="I193" s="478"/>
      <c r="J193" s="478"/>
      <c r="K193" s="478"/>
      <c r="L193" s="478"/>
      <c r="M193" s="479" t="n">
        <f aca="false">SUMIFS(TE!P:P,TE!G:G,$A$43,TE!H:H,A193)</f>
        <v>0</v>
      </c>
      <c r="N193" s="479"/>
      <c r="O193" s="480" t="n">
        <v>4</v>
      </c>
      <c r="P193" s="480"/>
      <c r="Q193" s="481" t="n">
        <f aca="false">ROUNDUP(M193/O193,0)</f>
        <v>0</v>
      </c>
      <c r="R193" s="481"/>
      <c r="S193" s="482" t="n">
        <v>13.4</v>
      </c>
      <c r="T193" s="482"/>
      <c r="U193" s="482" t="n">
        <f aca="false">Q193*S193</f>
        <v>0</v>
      </c>
      <c r="V193" s="482"/>
      <c r="W193" s="483" t="s">
        <v>1878</v>
      </c>
      <c r="X193" s="483"/>
      <c r="Y193" s="484" t="s">
        <v>1939</v>
      </c>
      <c r="Z193" s="484"/>
      <c r="AA193" s="484"/>
      <c r="AB193" s="484"/>
      <c r="AC193" s="484"/>
      <c r="AD193" s="484"/>
      <c r="AE193" s="484"/>
      <c r="AF193" s="468"/>
    </row>
    <row r="194" s="396" customFormat="true" ht="39.75" hidden="false" customHeight="true" outlineLevel="0" collapsed="false">
      <c r="A194" s="477" t="s">
        <v>1940</v>
      </c>
      <c r="B194" s="477"/>
      <c r="C194" s="477"/>
      <c r="D194" s="478" t="s">
        <v>1941</v>
      </c>
      <c r="E194" s="478"/>
      <c r="F194" s="478"/>
      <c r="G194" s="478"/>
      <c r="H194" s="478"/>
      <c r="I194" s="478"/>
      <c r="J194" s="478"/>
      <c r="K194" s="478"/>
      <c r="L194" s="478"/>
      <c r="M194" s="479" t="n">
        <f aca="false">SUMIFS(TE!P:P,TE!G:G,$A$43,TE!H:H,A194)</f>
        <v>0</v>
      </c>
      <c r="N194" s="479"/>
      <c r="O194" s="480" t="n">
        <v>4</v>
      </c>
      <c r="P194" s="480"/>
      <c r="Q194" s="481" t="n">
        <f aca="false">ROUNDUP(M194/O194,0)</f>
        <v>0</v>
      </c>
      <c r="R194" s="481"/>
      <c r="S194" s="482" t="n">
        <v>13.4</v>
      </c>
      <c r="T194" s="482"/>
      <c r="U194" s="482" t="n">
        <f aca="false">Q194*S194</f>
        <v>0</v>
      </c>
      <c r="V194" s="482"/>
      <c r="W194" s="483" t="s">
        <v>1878</v>
      </c>
      <c r="X194" s="483"/>
      <c r="Y194" s="484" t="s">
        <v>1942</v>
      </c>
      <c r="Z194" s="484"/>
      <c r="AA194" s="484"/>
      <c r="AB194" s="484"/>
      <c r="AC194" s="484"/>
      <c r="AD194" s="484"/>
      <c r="AE194" s="484"/>
      <c r="AF194" s="468"/>
    </row>
    <row r="195" s="396" customFormat="true" ht="30" hidden="false" customHeight="true" outlineLevel="0" collapsed="false">
      <c r="A195" s="477" t="s">
        <v>1943</v>
      </c>
      <c r="B195" s="477"/>
      <c r="C195" s="477"/>
      <c r="D195" s="478" t="s">
        <v>1944</v>
      </c>
      <c r="E195" s="478"/>
      <c r="F195" s="478"/>
      <c r="G195" s="478"/>
      <c r="H195" s="478"/>
      <c r="I195" s="478"/>
      <c r="J195" s="478"/>
      <c r="K195" s="478"/>
      <c r="L195" s="478"/>
      <c r="M195" s="479" t="n">
        <f aca="false">SUMIFS(TE!P:P,TE!G:G,$A$43,TE!H:H,A195)</f>
        <v>0</v>
      </c>
      <c r="N195" s="479"/>
      <c r="O195" s="480" t="n">
        <v>12</v>
      </c>
      <c r="P195" s="480"/>
      <c r="Q195" s="481" t="n">
        <f aca="false">M195/O195</f>
        <v>0</v>
      </c>
      <c r="R195" s="481"/>
      <c r="S195" s="482" t="n">
        <f aca="false">ROUNDUP(13.4*2,0)</f>
        <v>27</v>
      </c>
      <c r="T195" s="482"/>
      <c r="U195" s="482" t="n">
        <f aca="false">Q195*S195</f>
        <v>0</v>
      </c>
      <c r="V195" s="482"/>
      <c r="W195" s="483" t="s">
        <v>1878</v>
      </c>
      <c r="X195" s="483"/>
      <c r="Y195" s="484" t="s">
        <v>1945</v>
      </c>
      <c r="Z195" s="484"/>
      <c r="AA195" s="484"/>
      <c r="AB195" s="484"/>
      <c r="AC195" s="484"/>
      <c r="AD195" s="484"/>
      <c r="AE195" s="484"/>
      <c r="AF195" s="468"/>
    </row>
    <row r="196" s="396" customFormat="true" ht="30" hidden="false" customHeight="true" outlineLevel="0" collapsed="false">
      <c r="A196" s="477" t="s">
        <v>1946</v>
      </c>
      <c r="B196" s="477"/>
      <c r="C196" s="477"/>
      <c r="D196" s="478" t="s">
        <v>1947</v>
      </c>
      <c r="E196" s="478"/>
      <c r="F196" s="478"/>
      <c r="G196" s="478"/>
      <c r="H196" s="478"/>
      <c r="I196" s="478"/>
      <c r="J196" s="478"/>
      <c r="K196" s="478"/>
      <c r="L196" s="478"/>
      <c r="M196" s="479" t="n">
        <f aca="false">SUMIFS(TE!P:P,TE!G:G,$A$43,TE!H:H,A196)</f>
        <v>2</v>
      </c>
      <c r="N196" s="479"/>
      <c r="O196" s="480" t="n">
        <v>12</v>
      </c>
      <c r="P196" s="480"/>
      <c r="Q196" s="481" t="n">
        <f aca="false">M196/O196</f>
        <v>0.166666666666667</v>
      </c>
      <c r="R196" s="481"/>
      <c r="S196" s="482" t="n">
        <f aca="false">ROUNDUP(13.4*2,0)</f>
        <v>27</v>
      </c>
      <c r="T196" s="482"/>
      <c r="U196" s="482" t="n">
        <f aca="false">Q196*S196</f>
        <v>4.5</v>
      </c>
      <c r="V196" s="482"/>
      <c r="W196" s="483" t="s">
        <v>1878</v>
      </c>
      <c r="X196" s="483"/>
      <c r="Y196" s="484" t="s">
        <v>1945</v>
      </c>
      <c r="Z196" s="484"/>
      <c r="AA196" s="484"/>
      <c r="AB196" s="484"/>
      <c r="AC196" s="484"/>
      <c r="AD196" s="484"/>
      <c r="AE196" s="484"/>
      <c r="AF196" s="468"/>
    </row>
    <row r="197" s="396" customFormat="true" ht="30" hidden="false" customHeight="true" outlineLevel="0" collapsed="false">
      <c r="A197" s="477" t="s">
        <v>1948</v>
      </c>
      <c r="B197" s="477"/>
      <c r="C197" s="477"/>
      <c r="D197" s="478" t="s">
        <v>1949</v>
      </c>
      <c r="E197" s="478"/>
      <c r="F197" s="478"/>
      <c r="G197" s="478"/>
      <c r="H197" s="478"/>
      <c r="I197" s="478"/>
      <c r="J197" s="478"/>
      <c r="K197" s="478"/>
      <c r="L197" s="478"/>
      <c r="M197" s="479" t="n">
        <f aca="false">SUMIFS(TE!P:P,TE!G:G,$A$43,TE!H:H,A197)</f>
        <v>0</v>
      </c>
      <c r="N197" s="479"/>
      <c r="O197" s="480" t="n">
        <v>30</v>
      </c>
      <c r="P197" s="480"/>
      <c r="Q197" s="481" t="n">
        <f aca="false">M197/O197</f>
        <v>0</v>
      </c>
      <c r="R197" s="481"/>
      <c r="S197" s="482" t="n">
        <f aca="false">ROUNDUP(13.4*2,0)</f>
        <v>27</v>
      </c>
      <c r="T197" s="482"/>
      <c r="U197" s="482" t="n">
        <f aca="false">Q197*S197</f>
        <v>0</v>
      </c>
      <c r="V197" s="482"/>
      <c r="W197" s="483" t="s">
        <v>1878</v>
      </c>
      <c r="X197" s="483"/>
      <c r="Y197" s="484" t="s">
        <v>1945</v>
      </c>
      <c r="Z197" s="484"/>
      <c r="AA197" s="484"/>
      <c r="AB197" s="484"/>
      <c r="AC197" s="484"/>
      <c r="AD197" s="484"/>
      <c r="AE197" s="484"/>
      <c r="AF197" s="468"/>
    </row>
    <row r="198" s="396" customFormat="true" ht="30" hidden="false" customHeight="true" outlineLevel="0" collapsed="false">
      <c r="A198" s="477" t="s">
        <v>1950</v>
      </c>
      <c r="B198" s="477"/>
      <c r="C198" s="477"/>
      <c r="D198" s="478" t="s">
        <v>1951</v>
      </c>
      <c r="E198" s="478"/>
      <c r="F198" s="478"/>
      <c r="G198" s="478"/>
      <c r="H198" s="478"/>
      <c r="I198" s="478"/>
      <c r="J198" s="478"/>
      <c r="K198" s="478"/>
      <c r="L198" s="478"/>
      <c r="M198" s="479" t="n">
        <f aca="false">SUMIFS(TE!P:P,TE!G:G,$A$43,TE!H:H,A198)</f>
        <v>2</v>
      </c>
      <c r="N198" s="479"/>
      <c r="O198" s="480" t="n">
        <v>3</v>
      </c>
      <c r="P198" s="480"/>
      <c r="Q198" s="481" t="n">
        <f aca="false">ROUNDUP(M198/O198,0)</f>
        <v>1</v>
      </c>
      <c r="R198" s="481"/>
      <c r="S198" s="482" t="n">
        <v>33</v>
      </c>
      <c r="T198" s="482"/>
      <c r="U198" s="482" t="n">
        <f aca="false">Q198*S198</f>
        <v>33</v>
      </c>
      <c r="V198" s="482"/>
      <c r="W198" s="483" t="s">
        <v>1751</v>
      </c>
      <c r="X198" s="483"/>
      <c r="Y198" s="484" t="s">
        <v>1752</v>
      </c>
      <c r="Z198" s="484"/>
      <c r="AA198" s="484"/>
      <c r="AB198" s="484"/>
      <c r="AC198" s="484"/>
      <c r="AD198" s="484"/>
      <c r="AE198" s="484"/>
      <c r="AF198" s="468"/>
    </row>
    <row r="199" s="396" customFormat="true" ht="30" hidden="false" customHeight="true" outlineLevel="0" collapsed="false">
      <c r="A199" s="477" t="s">
        <v>1952</v>
      </c>
      <c r="B199" s="477"/>
      <c r="C199" s="477"/>
      <c r="D199" s="478" t="s">
        <v>1953</v>
      </c>
      <c r="E199" s="478"/>
      <c r="F199" s="478"/>
      <c r="G199" s="478"/>
      <c r="H199" s="478"/>
      <c r="I199" s="478"/>
      <c r="J199" s="478"/>
      <c r="K199" s="478"/>
      <c r="L199" s="478"/>
      <c r="M199" s="479" t="n">
        <f aca="false">SUMIFS(TE!P:P,TE!G:G,$A$43,TE!H:H,A199)</f>
        <v>4</v>
      </c>
      <c r="N199" s="479"/>
      <c r="O199" s="480" t="n">
        <v>12</v>
      </c>
      <c r="P199" s="480"/>
      <c r="Q199" s="481" t="n">
        <f aca="false">ROUNDUP(M199/O199,0)</f>
        <v>1</v>
      </c>
      <c r="R199" s="481"/>
      <c r="S199" s="482" t="n">
        <v>27</v>
      </c>
      <c r="T199" s="482"/>
      <c r="U199" s="482" t="n">
        <f aca="false">Q199*S199</f>
        <v>27</v>
      </c>
      <c r="V199" s="482"/>
      <c r="W199" s="483" t="s">
        <v>1954</v>
      </c>
      <c r="X199" s="483"/>
      <c r="Y199" s="484" t="s">
        <v>1955</v>
      </c>
      <c r="Z199" s="484"/>
      <c r="AA199" s="484"/>
      <c r="AB199" s="484"/>
      <c r="AC199" s="484"/>
      <c r="AD199" s="484"/>
      <c r="AE199" s="484"/>
      <c r="AF199" s="468"/>
    </row>
    <row r="200" s="396" customFormat="true" ht="30" hidden="false" customHeight="true" outlineLevel="0" collapsed="false">
      <c r="A200" s="486" t="s">
        <v>1956</v>
      </c>
      <c r="B200" s="486"/>
      <c r="C200" s="486"/>
      <c r="D200" s="487" t="s">
        <v>1957</v>
      </c>
      <c r="E200" s="487"/>
      <c r="F200" s="487"/>
      <c r="G200" s="487"/>
      <c r="H200" s="487"/>
      <c r="I200" s="487"/>
      <c r="J200" s="487"/>
      <c r="K200" s="487"/>
      <c r="L200" s="487"/>
      <c r="M200" s="488" t="n">
        <f aca="false">SUMIFS(TE!P:P,TE!G:G,$A$43,TE!H:H,A200)</f>
        <v>0</v>
      </c>
      <c r="N200" s="488"/>
      <c r="O200" s="489" t="n">
        <v>56</v>
      </c>
      <c r="P200" s="489"/>
      <c r="Q200" s="490" t="n">
        <f aca="false">M200/O200</f>
        <v>0</v>
      </c>
      <c r="R200" s="490"/>
      <c r="S200" s="491" t="n">
        <v>13.4</v>
      </c>
      <c r="T200" s="491"/>
      <c r="U200" s="491" t="n">
        <f aca="false">Q200*S200</f>
        <v>0</v>
      </c>
      <c r="V200" s="491"/>
      <c r="W200" s="492" t="s">
        <v>1670</v>
      </c>
      <c r="X200" s="492"/>
      <c r="Y200" s="493" t="s">
        <v>1671</v>
      </c>
      <c r="Z200" s="493"/>
      <c r="AA200" s="493"/>
      <c r="AB200" s="493"/>
      <c r="AC200" s="493"/>
      <c r="AD200" s="493"/>
      <c r="AE200" s="493"/>
      <c r="AF200" s="468"/>
    </row>
    <row r="201" s="396" customFormat="true" ht="15.75" hidden="false" customHeight="true" outlineLevel="0" collapsed="false">
      <c r="A201" s="494"/>
      <c r="B201" s="494"/>
      <c r="C201" s="494"/>
      <c r="D201" s="494"/>
      <c r="E201" s="494"/>
      <c r="F201" s="494"/>
      <c r="G201" s="494"/>
      <c r="H201" s="494"/>
      <c r="I201" s="494"/>
      <c r="J201" s="494"/>
      <c r="K201" s="494"/>
      <c r="L201" s="494"/>
      <c r="M201" s="494"/>
      <c r="N201" s="494"/>
      <c r="O201" s="494"/>
      <c r="P201" s="494"/>
      <c r="Q201" s="494"/>
      <c r="R201" s="494"/>
      <c r="S201" s="494"/>
      <c r="T201" s="494"/>
      <c r="U201" s="494"/>
      <c r="V201" s="494"/>
      <c r="W201" s="494"/>
      <c r="X201" s="494"/>
      <c r="Y201" s="494"/>
      <c r="Z201" s="494"/>
      <c r="AA201" s="494"/>
      <c r="AB201" s="494"/>
      <c r="AC201" s="494"/>
      <c r="AD201" s="494"/>
      <c r="AE201" s="494"/>
      <c r="AF201" s="468"/>
    </row>
    <row r="202" s="396" customFormat="true" ht="15.75" hidden="false" customHeight="true" outlineLevel="0" collapsed="false">
      <c r="A202" s="495"/>
      <c r="B202" s="495"/>
      <c r="C202" s="495"/>
      <c r="D202" s="495"/>
      <c r="E202" s="495"/>
      <c r="F202" s="495"/>
      <c r="G202" s="495"/>
      <c r="H202" s="495"/>
      <c r="I202" s="495"/>
      <c r="J202" s="495"/>
      <c r="K202" s="495"/>
      <c r="L202" s="495"/>
      <c r="M202" s="495"/>
      <c r="N202" s="495"/>
      <c r="O202" s="495"/>
      <c r="P202" s="495"/>
      <c r="Q202" s="495"/>
      <c r="R202" s="495"/>
      <c r="S202" s="495"/>
      <c r="T202" s="495"/>
      <c r="U202" s="495"/>
      <c r="V202" s="495"/>
      <c r="W202" s="495"/>
      <c r="X202" s="495"/>
      <c r="Y202" s="495"/>
      <c r="Z202" s="495"/>
      <c r="AA202" s="495"/>
      <c r="AB202" s="453"/>
      <c r="AC202" s="454" t="s">
        <v>1657</v>
      </c>
      <c r="AD202" s="455" t="n">
        <v>7</v>
      </c>
      <c r="AE202" s="455" t="s">
        <v>29</v>
      </c>
      <c r="AF202" s="455" t="n">
        <v>27</v>
      </c>
    </row>
    <row r="203" s="396" customFormat="true" ht="15.75" hidden="false" customHeight="true" outlineLevel="0" collapsed="false">
      <c r="A203" s="398" t="s">
        <v>1522</v>
      </c>
      <c r="B203" s="398"/>
      <c r="C203" s="456" t="n">
        <v>14345</v>
      </c>
      <c r="D203" s="456"/>
      <c r="E203" s="456"/>
      <c r="F203" s="456"/>
      <c r="G203" s="456"/>
      <c r="H203" s="456"/>
      <c r="I203" s="456"/>
      <c r="J203" s="456"/>
      <c r="K203" s="456"/>
      <c r="L203" s="456"/>
      <c r="M203" s="398" t="s">
        <v>1523</v>
      </c>
      <c r="N203" s="398"/>
      <c r="O203" s="398"/>
      <c r="P203" s="398"/>
      <c r="Q203" s="398"/>
      <c r="R203" s="456" t="s">
        <v>15</v>
      </c>
      <c r="S203" s="456"/>
      <c r="T203" s="456"/>
      <c r="U203" s="456"/>
      <c r="V203" s="456"/>
      <c r="W203" s="456"/>
      <c r="X203" s="456"/>
      <c r="Y203" s="456"/>
      <c r="Z203" s="456"/>
      <c r="AA203" s="456"/>
      <c r="AB203" s="456"/>
      <c r="AC203" s="456"/>
      <c r="AD203" s="456"/>
      <c r="AE203" s="456"/>
      <c r="AF203" s="456"/>
    </row>
    <row r="204" s="396" customFormat="true" ht="15.75" hidden="false" customHeight="true" outlineLevel="0" collapsed="false">
      <c r="A204" s="458"/>
      <c r="B204" s="458"/>
      <c r="C204" s="459"/>
      <c r="D204" s="459"/>
      <c r="E204" s="459"/>
      <c r="F204" s="459"/>
      <c r="G204" s="459"/>
      <c r="H204" s="459"/>
      <c r="I204" s="459"/>
      <c r="J204" s="459"/>
      <c r="K204" s="459"/>
      <c r="L204" s="459"/>
      <c r="M204" s="458"/>
      <c r="N204" s="458"/>
      <c r="O204" s="458"/>
      <c r="P204" s="458"/>
      <c r="Q204" s="458"/>
      <c r="R204" s="459"/>
      <c r="S204" s="459"/>
      <c r="T204" s="459"/>
      <c r="U204" s="459"/>
      <c r="V204" s="459"/>
      <c r="W204" s="459"/>
      <c r="X204" s="459"/>
      <c r="Y204" s="459"/>
      <c r="Z204" s="459"/>
      <c r="AA204" s="459"/>
      <c r="AB204" s="459"/>
      <c r="AC204" s="459"/>
      <c r="AD204" s="459"/>
      <c r="AE204" s="459"/>
      <c r="AF204" s="459"/>
    </row>
    <row r="205" s="396" customFormat="true" ht="15.75" hidden="false" customHeight="true" outlineLevel="0" collapsed="false">
      <c r="A205" s="460" t="str">
        <f aca="false">A178</f>
        <v>M28261</v>
      </c>
      <c r="B205" s="460"/>
      <c r="C205" s="460"/>
      <c r="D205" s="461" t="str">
        <f aca="false">D178</f>
        <v>H&amp;S CO</v>
      </c>
      <c r="E205" s="461"/>
      <c r="F205" s="461"/>
      <c r="G205" s="461"/>
      <c r="H205" s="461"/>
      <c r="I205" s="461"/>
      <c r="J205" s="461"/>
      <c r="K205" s="461"/>
      <c r="L205" s="461"/>
      <c r="M205" s="458"/>
      <c r="N205" s="458"/>
      <c r="O205" s="458"/>
      <c r="P205" s="459"/>
      <c r="Q205" s="458"/>
      <c r="R205" s="459"/>
      <c r="S205" s="459"/>
      <c r="T205" s="459"/>
      <c r="U205" s="459"/>
      <c r="V205" s="459"/>
      <c r="W205" s="459"/>
      <c r="X205" s="459"/>
      <c r="Y205" s="459"/>
      <c r="Z205" s="459"/>
      <c r="AA205" s="459"/>
      <c r="AB205" s="459"/>
      <c r="AC205" s="459"/>
      <c r="AD205" s="459"/>
      <c r="AE205" s="459"/>
      <c r="AF205" s="459"/>
    </row>
    <row r="206" s="396" customFormat="true" ht="15.75" hidden="false" customHeight="true" outlineLevel="0" collapsed="false">
      <c r="A206" s="462" t="s">
        <v>1659</v>
      </c>
      <c r="B206" s="462"/>
      <c r="C206" s="462"/>
      <c r="D206" s="463" t="s">
        <v>1660</v>
      </c>
      <c r="E206" s="463"/>
      <c r="F206" s="463"/>
      <c r="G206" s="463"/>
      <c r="H206" s="463"/>
      <c r="I206" s="463"/>
      <c r="J206" s="463"/>
      <c r="K206" s="463"/>
      <c r="L206" s="463"/>
      <c r="M206" s="464" t="s">
        <v>1661</v>
      </c>
      <c r="N206" s="464"/>
      <c r="O206" s="465" t="s">
        <v>1662</v>
      </c>
      <c r="P206" s="465"/>
      <c r="Q206" s="465" t="s">
        <v>1663</v>
      </c>
      <c r="R206" s="465"/>
      <c r="S206" s="466" t="s">
        <v>1664</v>
      </c>
      <c r="T206" s="466"/>
      <c r="U206" s="466" t="s">
        <v>1665</v>
      </c>
      <c r="V206" s="466"/>
      <c r="W206" s="464" t="s">
        <v>1666</v>
      </c>
      <c r="X206" s="464"/>
      <c r="Y206" s="467" t="s">
        <v>1667</v>
      </c>
      <c r="Z206" s="467"/>
      <c r="AA206" s="467"/>
      <c r="AB206" s="467"/>
      <c r="AC206" s="467"/>
      <c r="AD206" s="467"/>
      <c r="AE206" s="467"/>
      <c r="AF206" s="459"/>
    </row>
    <row r="207" s="396" customFormat="true" ht="15.75" hidden="false" customHeight="true" outlineLevel="0" collapsed="false">
      <c r="A207" s="462"/>
      <c r="B207" s="462"/>
      <c r="C207" s="462"/>
      <c r="D207" s="463"/>
      <c r="E207" s="463"/>
      <c r="F207" s="463"/>
      <c r="G207" s="463"/>
      <c r="H207" s="463"/>
      <c r="I207" s="463"/>
      <c r="J207" s="463"/>
      <c r="K207" s="463"/>
      <c r="L207" s="463"/>
      <c r="M207" s="464"/>
      <c r="N207" s="464"/>
      <c r="O207" s="465"/>
      <c r="P207" s="465"/>
      <c r="Q207" s="465"/>
      <c r="R207" s="465"/>
      <c r="S207" s="466"/>
      <c r="T207" s="466"/>
      <c r="U207" s="466"/>
      <c r="V207" s="466"/>
      <c r="W207" s="464"/>
      <c r="X207" s="464"/>
      <c r="Y207" s="467"/>
      <c r="Z207" s="467"/>
      <c r="AA207" s="467"/>
      <c r="AB207" s="467"/>
      <c r="AC207" s="467"/>
      <c r="AD207" s="467"/>
      <c r="AE207" s="467"/>
      <c r="AF207" s="459"/>
    </row>
    <row r="208" s="396" customFormat="true" ht="15.75" hidden="false" customHeight="true" outlineLevel="0" collapsed="false">
      <c r="A208" s="462"/>
      <c r="B208" s="462"/>
      <c r="C208" s="462"/>
      <c r="D208" s="463"/>
      <c r="E208" s="463"/>
      <c r="F208" s="463"/>
      <c r="G208" s="463"/>
      <c r="H208" s="463"/>
      <c r="I208" s="463"/>
      <c r="J208" s="463"/>
      <c r="K208" s="463"/>
      <c r="L208" s="463"/>
      <c r="M208" s="464"/>
      <c r="N208" s="464"/>
      <c r="O208" s="465"/>
      <c r="P208" s="465"/>
      <c r="Q208" s="465"/>
      <c r="R208" s="465"/>
      <c r="S208" s="466"/>
      <c r="T208" s="466"/>
      <c r="U208" s="466"/>
      <c r="V208" s="466"/>
      <c r="W208" s="464"/>
      <c r="X208" s="464"/>
      <c r="Y208" s="467"/>
      <c r="Z208" s="467"/>
      <c r="AA208" s="467"/>
      <c r="AB208" s="467"/>
      <c r="AC208" s="467"/>
      <c r="AD208" s="467"/>
      <c r="AE208" s="467"/>
      <c r="AF208" s="468"/>
    </row>
    <row r="209" s="500" customFormat="true" ht="30" hidden="false" customHeight="true" outlineLevel="0" collapsed="false">
      <c r="A209" s="469" t="s">
        <v>1958</v>
      </c>
      <c r="B209" s="469"/>
      <c r="C209" s="469"/>
      <c r="D209" s="470" t="s">
        <v>1959</v>
      </c>
      <c r="E209" s="470"/>
      <c r="F209" s="470"/>
      <c r="G209" s="470"/>
      <c r="H209" s="470"/>
      <c r="I209" s="470"/>
      <c r="J209" s="470"/>
      <c r="K209" s="470"/>
      <c r="L209" s="470"/>
      <c r="M209" s="471" t="n">
        <f aca="false">SUMIFS(TE!P:P,TE!G:G,$A$43,TE!H:H,A209)</f>
        <v>90</v>
      </c>
      <c r="N209" s="471"/>
      <c r="O209" s="472" t="n">
        <v>80</v>
      </c>
      <c r="P209" s="472"/>
      <c r="Q209" s="473" t="n">
        <f aca="false">M209/O209</f>
        <v>1.125</v>
      </c>
      <c r="R209" s="473"/>
      <c r="S209" s="474" t="n">
        <v>13.4</v>
      </c>
      <c r="T209" s="474"/>
      <c r="U209" s="474" t="n">
        <f aca="false">Q209*S209</f>
        <v>15.075</v>
      </c>
      <c r="V209" s="474"/>
      <c r="W209" s="475" t="s">
        <v>1670</v>
      </c>
      <c r="X209" s="475"/>
      <c r="Y209" s="476" t="s">
        <v>1671</v>
      </c>
      <c r="Z209" s="476"/>
      <c r="AA209" s="476"/>
      <c r="AB209" s="476"/>
      <c r="AC209" s="476"/>
      <c r="AD209" s="476"/>
      <c r="AE209" s="476"/>
      <c r="AF209" s="468"/>
    </row>
    <row r="210" s="500" customFormat="true" ht="30" hidden="false" customHeight="true" outlineLevel="0" collapsed="false">
      <c r="A210" s="477" t="s">
        <v>1960</v>
      </c>
      <c r="B210" s="477"/>
      <c r="C210" s="477"/>
      <c r="D210" s="478" t="s">
        <v>1961</v>
      </c>
      <c r="E210" s="478"/>
      <c r="F210" s="478"/>
      <c r="G210" s="478"/>
      <c r="H210" s="478"/>
      <c r="I210" s="478"/>
      <c r="J210" s="478"/>
      <c r="K210" s="478"/>
      <c r="L210" s="478"/>
      <c r="M210" s="479" t="n">
        <f aca="false">SUMIFS(TE!P:P,TE!G:G,$A$43,TE!H:H,A210)</f>
        <v>0</v>
      </c>
      <c r="N210" s="479"/>
      <c r="O210" s="480" t="n">
        <v>36</v>
      </c>
      <c r="P210" s="480"/>
      <c r="Q210" s="481" t="n">
        <f aca="false">M210/O210</f>
        <v>0</v>
      </c>
      <c r="R210" s="481"/>
      <c r="S210" s="482" t="n">
        <v>13.4</v>
      </c>
      <c r="T210" s="482"/>
      <c r="U210" s="482" t="n">
        <f aca="false">Q210*S210</f>
        <v>0</v>
      </c>
      <c r="V210" s="482"/>
      <c r="W210" s="483" t="s">
        <v>1670</v>
      </c>
      <c r="X210" s="483"/>
      <c r="Y210" s="484" t="s">
        <v>1671</v>
      </c>
      <c r="Z210" s="484"/>
      <c r="AA210" s="484"/>
      <c r="AB210" s="484"/>
      <c r="AC210" s="484"/>
      <c r="AD210" s="484"/>
      <c r="AE210" s="484"/>
      <c r="AF210" s="468"/>
    </row>
    <row r="211" s="500" customFormat="true" ht="30" hidden="false" customHeight="true" outlineLevel="0" collapsed="false">
      <c r="A211" s="477" t="s">
        <v>1962</v>
      </c>
      <c r="B211" s="477"/>
      <c r="C211" s="477"/>
      <c r="D211" s="478" t="s">
        <v>1963</v>
      </c>
      <c r="E211" s="478"/>
      <c r="F211" s="478"/>
      <c r="G211" s="478"/>
      <c r="H211" s="478"/>
      <c r="I211" s="478"/>
      <c r="J211" s="478"/>
      <c r="K211" s="478"/>
      <c r="L211" s="478"/>
      <c r="M211" s="479" t="n">
        <f aca="false">SUMIFS(TE!P:P,TE!G:G,$A$43,TE!H:H,A211)</f>
        <v>0</v>
      </c>
      <c r="N211" s="479"/>
      <c r="O211" s="480" t="n">
        <v>12</v>
      </c>
      <c r="P211" s="480"/>
      <c r="Q211" s="481" t="n">
        <f aca="false">M211/O211</f>
        <v>0</v>
      </c>
      <c r="R211" s="481"/>
      <c r="S211" s="482" t="n">
        <v>13.4</v>
      </c>
      <c r="T211" s="482"/>
      <c r="U211" s="482" t="n">
        <f aca="false">Q211*S211</f>
        <v>0</v>
      </c>
      <c r="V211" s="482"/>
      <c r="W211" s="483" t="s">
        <v>1670</v>
      </c>
      <c r="X211" s="483"/>
      <c r="Y211" s="484" t="s">
        <v>1671</v>
      </c>
      <c r="Z211" s="484"/>
      <c r="AA211" s="484"/>
      <c r="AB211" s="484"/>
      <c r="AC211" s="484"/>
      <c r="AD211" s="484"/>
      <c r="AE211" s="484"/>
      <c r="AF211" s="468"/>
    </row>
    <row r="212" s="500" customFormat="true" ht="30" hidden="false" customHeight="true" outlineLevel="0" collapsed="false">
      <c r="A212" s="477" t="s">
        <v>1964</v>
      </c>
      <c r="B212" s="477"/>
      <c r="C212" s="477"/>
      <c r="D212" s="478" t="s">
        <v>1965</v>
      </c>
      <c r="E212" s="478"/>
      <c r="F212" s="478"/>
      <c r="G212" s="478"/>
      <c r="H212" s="478"/>
      <c r="I212" s="478"/>
      <c r="J212" s="478"/>
      <c r="K212" s="478"/>
      <c r="L212" s="478"/>
      <c r="M212" s="479" t="n">
        <f aca="false">SUMIFS(TE!P:P,TE!G:G,$A$43,TE!H:H,A212)</f>
        <v>0</v>
      </c>
      <c r="N212" s="479"/>
      <c r="O212" s="480" t="n">
        <v>64</v>
      </c>
      <c r="P212" s="480"/>
      <c r="Q212" s="481" t="n">
        <f aca="false">M212/O212</f>
        <v>0</v>
      </c>
      <c r="R212" s="481"/>
      <c r="S212" s="482" t="n">
        <v>13.4</v>
      </c>
      <c r="T212" s="482"/>
      <c r="U212" s="482" t="n">
        <f aca="false">Q212*S212</f>
        <v>0</v>
      </c>
      <c r="V212" s="482"/>
      <c r="W212" s="483" t="s">
        <v>1670</v>
      </c>
      <c r="X212" s="483"/>
      <c r="Y212" s="484" t="s">
        <v>1671</v>
      </c>
      <c r="Z212" s="484"/>
      <c r="AA212" s="484"/>
      <c r="AB212" s="484"/>
      <c r="AC212" s="484"/>
      <c r="AD212" s="484"/>
      <c r="AE212" s="484"/>
      <c r="AF212" s="468"/>
    </row>
    <row r="213" s="500" customFormat="true" ht="30" hidden="false" customHeight="true" outlineLevel="0" collapsed="false">
      <c r="A213" s="477" t="s">
        <v>1966</v>
      </c>
      <c r="B213" s="477"/>
      <c r="C213" s="477"/>
      <c r="D213" s="478" t="s">
        <v>1967</v>
      </c>
      <c r="E213" s="478"/>
      <c r="F213" s="478"/>
      <c r="G213" s="478"/>
      <c r="H213" s="478"/>
      <c r="I213" s="478"/>
      <c r="J213" s="478"/>
      <c r="K213" s="478"/>
      <c r="L213" s="478"/>
      <c r="M213" s="479" t="n">
        <f aca="false">SUMIFS(TE!P:P,TE!G:G,$A$43,TE!H:H,A213)</f>
        <v>0</v>
      </c>
      <c r="N213" s="479"/>
      <c r="O213" s="480" t="n">
        <v>64</v>
      </c>
      <c r="P213" s="480"/>
      <c r="Q213" s="481" t="n">
        <f aca="false">M213/O213</f>
        <v>0</v>
      </c>
      <c r="R213" s="481"/>
      <c r="S213" s="482" t="n">
        <v>13.4</v>
      </c>
      <c r="T213" s="482"/>
      <c r="U213" s="482" t="n">
        <f aca="false">Q213*S213</f>
        <v>0</v>
      </c>
      <c r="V213" s="482"/>
      <c r="W213" s="483" t="s">
        <v>1670</v>
      </c>
      <c r="X213" s="483"/>
      <c r="Y213" s="484" t="s">
        <v>1671</v>
      </c>
      <c r="Z213" s="484"/>
      <c r="AA213" s="484"/>
      <c r="AB213" s="484"/>
      <c r="AC213" s="484"/>
      <c r="AD213" s="484"/>
      <c r="AE213" s="484"/>
      <c r="AF213" s="468"/>
    </row>
    <row r="214" s="500" customFormat="true" ht="30" hidden="false" customHeight="true" outlineLevel="0" collapsed="false">
      <c r="A214" s="477" t="s">
        <v>1968</v>
      </c>
      <c r="B214" s="477"/>
      <c r="C214" s="477"/>
      <c r="D214" s="478" t="s">
        <v>1969</v>
      </c>
      <c r="E214" s="478"/>
      <c r="F214" s="478"/>
      <c r="G214" s="478"/>
      <c r="H214" s="478"/>
      <c r="I214" s="478"/>
      <c r="J214" s="478"/>
      <c r="K214" s="478"/>
      <c r="L214" s="478"/>
      <c r="M214" s="479" t="n">
        <f aca="false">SUMIFS(TE!P:P,TE!G:G,$A$43,TE!H:H,A214)</f>
        <v>0</v>
      </c>
      <c r="N214" s="479"/>
      <c r="O214" s="480" t="n">
        <v>4</v>
      </c>
      <c r="P214" s="480"/>
      <c r="Q214" s="481" t="n">
        <f aca="false">ROUNDUP(M214/O214,0)</f>
        <v>0</v>
      </c>
      <c r="R214" s="481"/>
      <c r="S214" s="482" t="n">
        <v>5.7</v>
      </c>
      <c r="T214" s="482"/>
      <c r="U214" s="482" t="n">
        <f aca="false">Q214*S214</f>
        <v>0</v>
      </c>
      <c r="V214" s="482"/>
      <c r="W214" s="483" t="s">
        <v>1970</v>
      </c>
      <c r="X214" s="483"/>
      <c r="Y214" s="484" t="s">
        <v>1971</v>
      </c>
      <c r="Z214" s="484"/>
      <c r="AA214" s="484"/>
      <c r="AB214" s="484"/>
      <c r="AC214" s="484"/>
      <c r="AD214" s="484"/>
      <c r="AE214" s="484"/>
      <c r="AF214" s="468"/>
    </row>
    <row r="215" s="500" customFormat="true" ht="30" hidden="false" customHeight="true" outlineLevel="0" collapsed="false">
      <c r="A215" s="477" t="s">
        <v>1972</v>
      </c>
      <c r="B215" s="477"/>
      <c r="C215" s="477"/>
      <c r="D215" s="478" t="s">
        <v>1973</v>
      </c>
      <c r="E215" s="478"/>
      <c r="F215" s="478"/>
      <c r="G215" s="478"/>
      <c r="H215" s="478"/>
      <c r="I215" s="478"/>
      <c r="J215" s="478"/>
      <c r="K215" s="478"/>
      <c r="L215" s="478"/>
      <c r="M215" s="479" t="n">
        <f aca="false">SUMIFS(TE!P:P,TE!G:G,$A$43,TE!H:H,A215)</f>
        <v>0</v>
      </c>
      <c r="N215" s="479"/>
      <c r="O215" s="485" t="s">
        <v>1678</v>
      </c>
      <c r="P215" s="485"/>
      <c r="Q215" s="485" t="s">
        <v>1678</v>
      </c>
      <c r="R215" s="485"/>
      <c r="S215" s="485" t="s">
        <v>1678</v>
      </c>
      <c r="T215" s="485"/>
      <c r="U215" s="485" t="s">
        <v>1678</v>
      </c>
      <c r="V215" s="485"/>
      <c r="W215" s="483" t="s">
        <v>1679</v>
      </c>
      <c r="X215" s="483"/>
      <c r="Y215" s="484" t="s">
        <v>1974</v>
      </c>
      <c r="Z215" s="484"/>
      <c r="AA215" s="484"/>
      <c r="AB215" s="484"/>
      <c r="AC215" s="484"/>
      <c r="AD215" s="484"/>
      <c r="AE215" s="484"/>
      <c r="AF215" s="468"/>
    </row>
    <row r="216" s="500" customFormat="true" ht="30" hidden="false" customHeight="true" outlineLevel="0" collapsed="false">
      <c r="A216" s="477" t="s">
        <v>1975</v>
      </c>
      <c r="B216" s="477"/>
      <c r="C216" s="477"/>
      <c r="D216" s="478" t="s">
        <v>1976</v>
      </c>
      <c r="E216" s="478"/>
      <c r="F216" s="478"/>
      <c r="G216" s="478"/>
      <c r="H216" s="478"/>
      <c r="I216" s="478"/>
      <c r="J216" s="478"/>
      <c r="K216" s="478"/>
      <c r="L216" s="478"/>
      <c r="M216" s="479" t="n">
        <f aca="false">SUMIFS(TE!P:P,TE!G:G,$A$43,TE!H:H,A216)</f>
        <v>0</v>
      </c>
      <c r="N216" s="479"/>
      <c r="O216" s="480" t="n">
        <v>12</v>
      </c>
      <c r="P216" s="480"/>
      <c r="Q216" s="481" t="n">
        <f aca="false">ROUNDUP(M216/O216,0)</f>
        <v>0</v>
      </c>
      <c r="R216" s="481"/>
      <c r="S216" s="482" t="n">
        <v>1.75</v>
      </c>
      <c r="T216" s="482"/>
      <c r="U216" s="482" t="n">
        <f aca="false">Q216*S216</f>
        <v>0</v>
      </c>
      <c r="V216" s="482"/>
      <c r="W216" s="483" t="s">
        <v>1977</v>
      </c>
      <c r="X216" s="483"/>
      <c r="Y216" s="484" t="s">
        <v>1978</v>
      </c>
      <c r="Z216" s="484"/>
      <c r="AA216" s="484"/>
      <c r="AB216" s="484"/>
      <c r="AC216" s="484"/>
      <c r="AD216" s="484"/>
      <c r="AE216" s="484"/>
      <c r="AF216" s="468"/>
    </row>
    <row r="217" s="500" customFormat="true" ht="30" hidden="false" customHeight="true" outlineLevel="0" collapsed="false">
      <c r="A217" s="477" t="s">
        <v>1979</v>
      </c>
      <c r="B217" s="477"/>
      <c r="C217" s="477"/>
      <c r="D217" s="478" t="s">
        <v>1980</v>
      </c>
      <c r="E217" s="478"/>
      <c r="F217" s="478"/>
      <c r="G217" s="478"/>
      <c r="H217" s="478"/>
      <c r="I217" s="478"/>
      <c r="J217" s="478"/>
      <c r="K217" s="478"/>
      <c r="L217" s="478"/>
      <c r="M217" s="479" t="n">
        <f aca="false">SUMIFS(TE!P:P,TE!G:G,$A$43,TE!H:H,A217)</f>
        <v>0</v>
      </c>
      <c r="N217" s="479"/>
      <c r="O217" s="480" t="n">
        <v>12</v>
      </c>
      <c r="P217" s="480"/>
      <c r="Q217" s="481" t="n">
        <f aca="false">ROUNDUP(M217/O217,0)</f>
        <v>0</v>
      </c>
      <c r="R217" s="481"/>
      <c r="S217" s="482" t="n">
        <v>1.75</v>
      </c>
      <c r="T217" s="482"/>
      <c r="U217" s="482" t="n">
        <f aca="false">Q217*S217</f>
        <v>0</v>
      </c>
      <c r="V217" s="482"/>
      <c r="W217" s="483" t="s">
        <v>1977</v>
      </c>
      <c r="X217" s="483"/>
      <c r="Y217" s="484" t="s">
        <v>1978</v>
      </c>
      <c r="Z217" s="484"/>
      <c r="AA217" s="484"/>
      <c r="AB217" s="484"/>
      <c r="AC217" s="484"/>
      <c r="AD217" s="484"/>
      <c r="AE217" s="484"/>
      <c r="AF217" s="468"/>
    </row>
    <row r="218" s="500" customFormat="true" ht="30" hidden="false" customHeight="true" outlineLevel="0" collapsed="false">
      <c r="A218" s="477" t="s">
        <v>1981</v>
      </c>
      <c r="B218" s="477"/>
      <c r="C218" s="477"/>
      <c r="D218" s="478" t="s">
        <v>1982</v>
      </c>
      <c r="E218" s="478"/>
      <c r="F218" s="478"/>
      <c r="G218" s="478"/>
      <c r="H218" s="478"/>
      <c r="I218" s="478"/>
      <c r="J218" s="478"/>
      <c r="K218" s="478"/>
      <c r="L218" s="478"/>
      <c r="M218" s="479" t="n">
        <f aca="false">SUMIFS(TE!P:P,TE!G:G,$A$43,TE!H:H,A218)</f>
        <v>0</v>
      </c>
      <c r="N218" s="479"/>
      <c r="O218" s="485" t="s">
        <v>1678</v>
      </c>
      <c r="P218" s="485"/>
      <c r="Q218" s="485" t="s">
        <v>1678</v>
      </c>
      <c r="R218" s="485"/>
      <c r="S218" s="485" t="s">
        <v>1678</v>
      </c>
      <c r="T218" s="485"/>
      <c r="U218" s="485" t="s">
        <v>1678</v>
      </c>
      <c r="V218" s="485"/>
      <c r="W218" s="483" t="s">
        <v>1810</v>
      </c>
      <c r="X218" s="483"/>
      <c r="Y218" s="484" t="s">
        <v>1811</v>
      </c>
      <c r="Z218" s="484"/>
      <c r="AA218" s="484"/>
      <c r="AB218" s="484"/>
      <c r="AC218" s="484"/>
      <c r="AD218" s="484"/>
      <c r="AE218" s="484"/>
      <c r="AF218" s="468"/>
    </row>
    <row r="219" s="500" customFormat="true" ht="30" hidden="false" customHeight="true" outlineLevel="0" collapsed="false">
      <c r="A219" s="477" t="s">
        <v>1983</v>
      </c>
      <c r="B219" s="477"/>
      <c r="C219" s="477"/>
      <c r="D219" s="478" t="s">
        <v>1984</v>
      </c>
      <c r="E219" s="478"/>
      <c r="F219" s="478"/>
      <c r="G219" s="478"/>
      <c r="H219" s="478"/>
      <c r="I219" s="478"/>
      <c r="J219" s="478"/>
      <c r="K219" s="478"/>
      <c r="L219" s="478"/>
      <c r="M219" s="479" t="n">
        <f aca="false">SUMIFS(TE!P:P,TE!G:G,$A$43,TE!H:H,A219)</f>
        <v>0</v>
      </c>
      <c r="N219" s="479"/>
      <c r="O219" s="480" t="n">
        <v>1</v>
      </c>
      <c r="P219" s="480"/>
      <c r="Q219" s="481" t="n">
        <f aca="false">M219/O219</f>
        <v>0</v>
      </c>
      <c r="R219" s="481"/>
      <c r="S219" s="482" t="n">
        <v>22.5</v>
      </c>
      <c r="T219" s="482"/>
      <c r="U219" s="482" t="n">
        <f aca="false">Q219*S219</f>
        <v>0</v>
      </c>
      <c r="V219" s="482"/>
      <c r="W219" s="483" t="s">
        <v>1985</v>
      </c>
      <c r="X219" s="483"/>
      <c r="Y219" s="484" t="s">
        <v>1986</v>
      </c>
      <c r="Z219" s="484"/>
      <c r="AA219" s="484"/>
      <c r="AB219" s="484"/>
      <c r="AC219" s="484"/>
      <c r="AD219" s="484"/>
      <c r="AE219" s="484"/>
      <c r="AF219" s="468"/>
    </row>
    <row r="220" s="500" customFormat="true" ht="30" hidden="false" customHeight="true" outlineLevel="0" collapsed="false">
      <c r="A220" s="477" t="s">
        <v>1987</v>
      </c>
      <c r="B220" s="477"/>
      <c r="C220" s="477"/>
      <c r="D220" s="478" t="s">
        <v>1988</v>
      </c>
      <c r="E220" s="478"/>
      <c r="F220" s="478"/>
      <c r="G220" s="478"/>
      <c r="H220" s="478"/>
      <c r="I220" s="478"/>
      <c r="J220" s="478"/>
      <c r="K220" s="478"/>
      <c r="L220" s="478"/>
      <c r="M220" s="479" t="n">
        <f aca="false">SUMIFS(TE!P:P,TE!G:G,$A$43,TE!H:H,A220)</f>
        <v>0</v>
      </c>
      <c r="N220" s="479"/>
      <c r="O220" s="480" t="n">
        <v>170</v>
      </c>
      <c r="P220" s="480"/>
      <c r="Q220" s="481" t="n">
        <f aca="false">M220/O220</f>
        <v>0</v>
      </c>
      <c r="R220" s="481"/>
      <c r="S220" s="482" t="n">
        <v>13.4</v>
      </c>
      <c r="T220" s="482"/>
      <c r="U220" s="482" t="n">
        <f aca="false">Q220*S220</f>
        <v>0</v>
      </c>
      <c r="V220" s="482"/>
      <c r="W220" s="483" t="s">
        <v>1670</v>
      </c>
      <c r="X220" s="483"/>
      <c r="Y220" s="484" t="s">
        <v>1671</v>
      </c>
      <c r="Z220" s="484"/>
      <c r="AA220" s="484"/>
      <c r="AB220" s="484"/>
      <c r="AC220" s="484"/>
      <c r="AD220" s="484"/>
      <c r="AE220" s="484"/>
      <c r="AF220" s="468"/>
    </row>
    <row r="221" s="500" customFormat="true" ht="30" hidden="false" customHeight="true" outlineLevel="0" collapsed="false">
      <c r="A221" s="477" t="s">
        <v>1989</v>
      </c>
      <c r="B221" s="477"/>
      <c r="C221" s="477"/>
      <c r="D221" s="478" t="s">
        <v>1990</v>
      </c>
      <c r="E221" s="478"/>
      <c r="F221" s="478"/>
      <c r="G221" s="478"/>
      <c r="H221" s="478"/>
      <c r="I221" s="478"/>
      <c r="J221" s="478"/>
      <c r="K221" s="478"/>
      <c r="L221" s="478"/>
      <c r="M221" s="479" t="n">
        <f aca="false">SUMIFS(TE!P:P,TE!G:G,$A$43,TE!H:H,A221)</f>
        <v>0</v>
      </c>
      <c r="N221" s="479"/>
      <c r="O221" s="480" t="n">
        <v>20</v>
      </c>
      <c r="P221" s="480"/>
      <c r="Q221" s="481" t="n">
        <f aca="false">ROUNDUP(M221/O221,0)</f>
        <v>0</v>
      </c>
      <c r="R221" s="481"/>
      <c r="S221" s="482" t="n">
        <v>13.4</v>
      </c>
      <c r="T221" s="482"/>
      <c r="U221" s="482" t="n">
        <f aca="false">Q221*S221</f>
        <v>0</v>
      </c>
      <c r="V221" s="482"/>
      <c r="W221" s="483" t="s">
        <v>1767</v>
      </c>
      <c r="X221" s="483"/>
      <c r="Y221" s="484" t="s">
        <v>1991</v>
      </c>
      <c r="Z221" s="484"/>
      <c r="AA221" s="484"/>
      <c r="AB221" s="484"/>
      <c r="AC221" s="484"/>
      <c r="AD221" s="484"/>
      <c r="AE221" s="484"/>
      <c r="AF221" s="468"/>
    </row>
    <row r="222" s="500" customFormat="true" ht="30" hidden="false" customHeight="true" outlineLevel="0" collapsed="false">
      <c r="A222" s="477" t="s">
        <v>1992</v>
      </c>
      <c r="B222" s="477"/>
      <c r="C222" s="477"/>
      <c r="D222" s="478" t="s">
        <v>1993</v>
      </c>
      <c r="E222" s="478"/>
      <c r="F222" s="478"/>
      <c r="G222" s="478"/>
      <c r="H222" s="478"/>
      <c r="I222" s="478"/>
      <c r="J222" s="478"/>
      <c r="K222" s="478"/>
      <c r="L222" s="478"/>
      <c r="M222" s="479" t="n">
        <f aca="false">SUMIFS(TE!P:P,TE!G:G,$A$43,TE!H:H,A222)</f>
        <v>58</v>
      </c>
      <c r="N222" s="479"/>
      <c r="O222" s="480" t="n">
        <v>20</v>
      </c>
      <c r="P222" s="480"/>
      <c r="Q222" s="481" t="n">
        <f aca="false">ROUNDUP(M222/O222,0)</f>
        <v>3</v>
      </c>
      <c r="R222" s="481"/>
      <c r="S222" s="482" t="n">
        <v>13.4</v>
      </c>
      <c r="T222" s="482"/>
      <c r="U222" s="482" t="n">
        <f aca="false">Q222*S222</f>
        <v>40.2</v>
      </c>
      <c r="V222" s="482"/>
      <c r="W222" s="483" t="s">
        <v>1767</v>
      </c>
      <c r="X222" s="483"/>
      <c r="Y222" s="484" t="s">
        <v>1991</v>
      </c>
      <c r="Z222" s="484"/>
      <c r="AA222" s="484"/>
      <c r="AB222" s="484"/>
      <c r="AC222" s="484"/>
      <c r="AD222" s="484"/>
      <c r="AE222" s="484"/>
      <c r="AF222" s="468"/>
    </row>
    <row r="223" s="500" customFormat="true" ht="30" hidden="false" customHeight="true" outlineLevel="0" collapsed="false">
      <c r="A223" s="477" t="s">
        <v>1994</v>
      </c>
      <c r="B223" s="477"/>
      <c r="C223" s="477"/>
      <c r="D223" s="478" t="s">
        <v>1995</v>
      </c>
      <c r="E223" s="478"/>
      <c r="F223" s="478"/>
      <c r="G223" s="478"/>
      <c r="H223" s="478"/>
      <c r="I223" s="478"/>
      <c r="J223" s="478"/>
      <c r="K223" s="478"/>
      <c r="L223" s="478"/>
      <c r="M223" s="479" t="n">
        <f aca="false">SUMIFS(TE!P:P,TE!G:G,$A$43,TE!H:H,A223)</f>
        <v>0</v>
      </c>
      <c r="N223" s="479"/>
      <c r="O223" s="480" t="n">
        <v>20</v>
      </c>
      <c r="P223" s="480"/>
      <c r="Q223" s="481" t="n">
        <f aca="false">ROUNDUP(M223/O223,0)</f>
        <v>0</v>
      </c>
      <c r="R223" s="481"/>
      <c r="S223" s="482" t="n">
        <v>13.4</v>
      </c>
      <c r="T223" s="482"/>
      <c r="U223" s="482" t="n">
        <f aca="false">Q223*S223</f>
        <v>0</v>
      </c>
      <c r="V223" s="482"/>
      <c r="W223" s="483" t="s">
        <v>1996</v>
      </c>
      <c r="X223" s="483"/>
      <c r="Y223" s="484" t="s">
        <v>1991</v>
      </c>
      <c r="Z223" s="484"/>
      <c r="AA223" s="484"/>
      <c r="AB223" s="484"/>
      <c r="AC223" s="484"/>
      <c r="AD223" s="484"/>
      <c r="AE223" s="484"/>
      <c r="AF223" s="468"/>
    </row>
    <row r="224" s="396" customFormat="true" ht="30" hidden="false" customHeight="true" outlineLevel="0" collapsed="false">
      <c r="A224" s="477" t="s">
        <v>1997</v>
      </c>
      <c r="B224" s="477"/>
      <c r="C224" s="477"/>
      <c r="D224" s="478" t="s">
        <v>1998</v>
      </c>
      <c r="E224" s="478"/>
      <c r="F224" s="478"/>
      <c r="G224" s="478"/>
      <c r="H224" s="478"/>
      <c r="I224" s="478"/>
      <c r="J224" s="478"/>
      <c r="K224" s="478"/>
      <c r="L224" s="478"/>
      <c r="M224" s="479" t="n">
        <f aca="false">SUMIFS(TE!P:P,TE!G:G,$A$43,TE!H:H,A224)</f>
        <v>0</v>
      </c>
      <c r="N224" s="479"/>
      <c r="O224" s="480" t="n">
        <v>16</v>
      </c>
      <c r="P224" s="480"/>
      <c r="Q224" s="481" t="n">
        <f aca="false">ROUNDUP(M224/O224,0)</f>
        <v>0</v>
      </c>
      <c r="R224" s="481"/>
      <c r="S224" s="482" t="n">
        <v>21</v>
      </c>
      <c r="T224" s="482"/>
      <c r="U224" s="482" t="n">
        <f aca="false">Q224*S224</f>
        <v>0</v>
      </c>
      <c r="V224" s="482"/>
      <c r="W224" s="483" t="s">
        <v>1771</v>
      </c>
      <c r="X224" s="483"/>
      <c r="Y224" s="484" t="s">
        <v>1772</v>
      </c>
      <c r="Z224" s="484"/>
      <c r="AA224" s="484"/>
      <c r="AB224" s="484"/>
      <c r="AC224" s="484"/>
      <c r="AD224" s="484"/>
      <c r="AE224" s="484"/>
      <c r="AF224" s="468"/>
    </row>
    <row r="225" s="396" customFormat="true" ht="30" hidden="false" customHeight="true" outlineLevel="0" collapsed="false">
      <c r="A225" s="477" t="s">
        <v>1999</v>
      </c>
      <c r="B225" s="477"/>
      <c r="C225" s="477"/>
      <c r="D225" s="478" t="s">
        <v>2000</v>
      </c>
      <c r="E225" s="478"/>
      <c r="F225" s="478"/>
      <c r="G225" s="478"/>
      <c r="H225" s="478"/>
      <c r="I225" s="478"/>
      <c r="J225" s="478"/>
      <c r="K225" s="478"/>
      <c r="L225" s="478"/>
      <c r="M225" s="479" t="n">
        <f aca="false">SUMIFS(TE!P:P,TE!G:G,$A$43,TE!H:H,A225)</f>
        <v>0</v>
      </c>
      <c r="N225" s="479"/>
      <c r="O225" s="480" t="n">
        <v>5</v>
      </c>
      <c r="P225" s="480"/>
      <c r="Q225" s="481" t="n">
        <f aca="false">ROUNDUP(M225/O225,0)</f>
        <v>0</v>
      </c>
      <c r="R225" s="481"/>
      <c r="S225" s="482" t="n">
        <v>24.9</v>
      </c>
      <c r="T225" s="482"/>
      <c r="U225" s="482" t="n">
        <f aca="false">Q225*S225</f>
        <v>0</v>
      </c>
      <c r="V225" s="482"/>
      <c r="W225" s="483" t="s">
        <v>2001</v>
      </c>
      <c r="X225" s="483"/>
      <c r="Y225" s="484" t="s">
        <v>2002</v>
      </c>
      <c r="Z225" s="484"/>
      <c r="AA225" s="484"/>
      <c r="AB225" s="484"/>
      <c r="AC225" s="484"/>
      <c r="AD225" s="484"/>
      <c r="AE225" s="484"/>
      <c r="AF225" s="468"/>
    </row>
    <row r="226" s="396" customFormat="true" ht="30" hidden="false" customHeight="true" outlineLevel="0" collapsed="false">
      <c r="A226" s="477" t="s">
        <v>2003</v>
      </c>
      <c r="B226" s="477"/>
      <c r="C226" s="477"/>
      <c r="D226" s="478" t="s">
        <v>2004</v>
      </c>
      <c r="E226" s="478"/>
      <c r="F226" s="478"/>
      <c r="G226" s="478"/>
      <c r="H226" s="478"/>
      <c r="I226" s="478"/>
      <c r="J226" s="478"/>
      <c r="K226" s="478"/>
      <c r="L226" s="478"/>
      <c r="M226" s="479" t="n">
        <f aca="false">SUMIFS(TE!P:P,TE!G:G,$A$43,TE!H:H,A226)</f>
        <v>58</v>
      </c>
      <c r="N226" s="479"/>
      <c r="O226" s="485" t="s">
        <v>1678</v>
      </c>
      <c r="P226" s="485"/>
      <c r="Q226" s="485" t="s">
        <v>1678</v>
      </c>
      <c r="R226" s="485"/>
      <c r="S226" s="485" t="s">
        <v>1678</v>
      </c>
      <c r="T226" s="485"/>
      <c r="U226" s="485" t="s">
        <v>1678</v>
      </c>
      <c r="V226" s="485"/>
      <c r="W226" s="483" t="s">
        <v>1679</v>
      </c>
      <c r="X226" s="483"/>
      <c r="Y226" s="484" t="s">
        <v>1701</v>
      </c>
      <c r="Z226" s="484"/>
      <c r="AA226" s="484"/>
      <c r="AB226" s="484"/>
      <c r="AC226" s="484"/>
      <c r="AD226" s="484"/>
      <c r="AE226" s="484"/>
      <c r="AF226" s="468"/>
    </row>
    <row r="227" s="396" customFormat="true" ht="30" hidden="false" customHeight="true" outlineLevel="0" collapsed="false">
      <c r="A227" s="486" t="s">
        <v>2005</v>
      </c>
      <c r="B227" s="486"/>
      <c r="C227" s="486"/>
      <c r="D227" s="487" t="s">
        <v>2006</v>
      </c>
      <c r="E227" s="487"/>
      <c r="F227" s="487"/>
      <c r="G227" s="487"/>
      <c r="H227" s="487"/>
      <c r="I227" s="487"/>
      <c r="J227" s="487"/>
      <c r="K227" s="487"/>
      <c r="L227" s="487"/>
      <c r="M227" s="488" t="n">
        <f aca="false">SUMIFS(TE!P:P,TE!G:G,$A$43,TE!H:H,A227)</f>
        <v>0</v>
      </c>
      <c r="N227" s="488"/>
      <c r="O227" s="489" t="n">
        <v>20</v>
      </c>
      <c r="P227" s="489"/>
      <c r="Q227" s="490" t="n">
        <f aca="false">ROUNDUP(M227/O227,0)</f>
        <v>0</v>
      </c>
      <c r="R227" s="490"/>
      <c r="S227" s="491" t="n">
        <v>13.4</v>
      </c>
      <c r="T227" s="491"/>
      <c r="U227" s="491" t="n">
        <f aca="false">Q227*S227</f>
        <v>0</v>
      </c>
      <c r="V227" s="491"/>
      <c r="W227" s="492" t="s">
        <v>2007</v>
      </c>
      <c r="X227" s="492"/>
      <c r="Y227" s="493" t="s">
        <v>1991</v>
      </c>
      <c r="Z227" s="493"/>
      <c r="AA227" s="493"/>
      <c r="AB227" s="493"/>
      <c r="AC227" s="493"/>
      <c r="AD227" s="493"/>
      <c r="AE227" s="493"/>
      <c r="AF227" s="468"/>
    </row>
    <row r="228" s="396" customFormat="true" ht="15.75" hidden="false" customHeight="true" outlineLevel="0" collapsed="false">
      <c r="A228" s="494"/>
      <c r="B228" s="494"/>
      <c r="C228" s="494"/>
      <c r="D228" s="494"/>
      <c r="E228" s="494"/>
      <c r="F228" s="494"/>
      <c r="G228" s="494"/>
      <c r="H228" s="494"/>
      <c r="I228" s="494"/>
      <c r="J228" s="494"/>
      <c r="K228" s="494"/>
      <c r="L228" s="494"/>
      <c r="M228" s="494"/>
      <c r="N228" s="494"/>
      <c r="O228" s="494"/>
      <c r="P228" s="494"/>
      <c r="Q228" s="494"/>
      <c r="R228" s="494"/>
      <c r="S228" s="494"/>
      <c r="T228" s="494"/>
      <c r="U228" s="494"/>
      <c r="V228" s="494"/>
      <c r="W228" s="494"/>
      <c r="X228" s="494"/>
      <c r="Y228" s="494"/>
      <c r="Z228" s="494"/>
      <c r="AA228" s="494"/>
      <c r="AB228" s="494"/>
      <c r="AC228" s="494"/>
      <c r="AD228" s="494"/>
      <c r="AE228" s="494"/>
      <c r="AF228" s="468"/>
    </row>
    <row r="229" s="396" customFormat="true" ht="15.75" hidden="false" customHeight="true" outlineLevel="0" collapsed="false">
      <c r="A229" s="495"/>
      <c r="B229" s="495"/>
      <c r="C229" s="495"/>
      <c r="D229" s="495"/>
      <c r="E229" s="495"/>
      <c r="F229" s="495"/>
      <c r="G229" s="495"/>
      <c r="H229" s="495"/>
      <c r="I229" s="495"/>
      <c r="J229" s="495"/>
      <c r="K229" s="495"/>
      <c r="L229" s="495"/>
      <c r="M229" s="495"/>
      <c r="N229" s="495"/>
      <c r="O229" s="495"/>
      <c r="P229" s="495"/>
      <c r="Q229" s="495"/>
      <c r="R229" s="495"/>
      <c r="S229" s="495"/>
      <c r="T229" s="495"/>
      <c r="U229" s="495"/>
      <c r="V229" s="495"/>
      <c r="W229" s="495"/>
      <c r="X229" s="495"/>
      <c r="Y229" s="495"/>
      <c r="Z229" s="495"/>
      <c r="AA229" s="495"/>
      <c r="AB229" s="453"/>
      <c r="AC229" s="454" t="s">
        <v>1657</v>
      </c>
      <c r="AD229" s="455" t="n">
        <v>8</v>
      </c>
      <c r="AE229" s="455" t="s">
        <v>29</v>
      </c>
      <c r="AF229" s="455" t="n">
        <v>27</v>
      </c>
    </row>
    <row r="230" s="396" customFormat="true" ht="15.75" hidden="false" customHeight="true" outlineLevel="0" collapsed="false">
      <c r="A230" s="398" t="s">
        <v>1522</v>
      </c>
      <c r="B230" s="398"/>
      <c r="C230" s="456" t="n">
        <v>14345</v>
      </c>
      <c r="D230" s="456"/>
      <c r="E230" s="456"/>
      <c r="F230" s="456"/>
      <c r="G230" s="456"/>
      <c r="H230" s="456"/>
      <c r="I230" s="456"/>
      <c r="J230" s="456"/>
      <c r="K230" s="456"/>
      <c r="L230" s="456"/>
      <c r="M230" s="398" t="s">
        <v>1523</v>
      </c>
      <c r="N230" s="398"/>
      <c r="O230" s="398"/>
      <c r="P230" s="398"/>
      <c r="Q230" s="398"/>
      <c r="R230" s="456" t="s">
        <v>15</v>
      </c>
      <c r="S230" s="456"/>
      <c r="T230" s="456"/>
      <c r="U230" s="456"/>
      <c r="V230" s="456"/>
      <c r="W230" s="456"/>
      <c r="X230" s="456"/>
      <c r="Y230" s="456"/>
      <c r="Z230" s="456"/>
      <c r="AA230" s="456"/>
      <c r="AB230" s="456"/>
      <c r="AC230" s="456"/>
      <c r="AD230" s="456"/>
      <c r="AE230" s="456"/>
      <c r="AF230" s="456"/>
    </row>
    <row r="231" s="396" customFormat="true" ht="15.75" hidden="false" customHeight="true" outlineLevel="0" collapsed="false">
      <c r="A231" s="458"/>
      <c r="B231" s="458"/>
      <c r="C231" s="459"/>
      <c r="D231" s="459"/>
      <c r="E231" s="459"/>
      <c r="F231" s="459"/>
      <c r="G231" s="459"/>
      <c r="H231" s="459"/>
      <c r="I231" s="459"/>
      <c r="J231" s="459"/>
      <c r="K231" s="459"/>
      <c r="L231" s="459"/>
      <c r="M231" s="458"/>
      <c r="N231" s="458"/>
      <c r="O231" s="458"/>
      <c r="P231" s="458"/>
      <c r="Q231" s="458"/>
      <c r="R231" s="459"/>
      <c r="S231" s="459"/>
      <c r="T231" s="459"/>
      <c r="U231" s="459"/>
      <c r="V231" s="459"/>
      <c r="W231" s="459"/>
      <c r="X231" s="459"/>
      <c r="Y231" s="459"/>
      <c r="Z231" s="459"/>
      <c r="AA231" s="459"/>
      <c r="AB231" s="459"/>
      <c r="AC231" s="459"/>
      <c r="AD231" s="459"/>
      <c r="AE231" s="459"/>
      <c r="AF231" s="459"/>
    </row>
    <row r="232" s="396" customFormat="true" ht="15.75" hidden="false" customHeight="true" outlineLevel="0" collapsed="false">
      <c r="A232" s="460" t="str">
        <f aca="false">A205</f>
        <v>M28261</v>
      </c>
      <c r="B232" s="460"/>
      <c r="C232" s="460"/>
      <c r="D232" s="461" t="str">
        <f aca="false">D205</f>
        <v>H&amp;S CO</v>
      </c>
      <c r="E232" s="461"/>
      <c r="F232" s="461"/>
      <c r="G232" s="461"/>
      <c r="H232" s="461"/>
      <c r="I232" s="461"/>
      <c r="J232" s="461"/>
      <c r="K232" s="461"/>
      <c r="L232" s="461"/>
      <c r="M232" s="458"/>
      <c r="N232" s="458"/>
      <c r="O232" s="458"/>
      <c r="P232" s="459"/>
      <c r="Q232" s="458"/>
      <c r="R232" s="459"/>
      <c r="S232" s="459"/>
      <c r="T232" s="459"/>
      <c r="U232" s="459"/>
      <c r="V232" s="459"/>
      <c r="W232" s="459"/>
      <c r="X232" s="459"/>
      <c r="Y232" s="459"/>
      <c r="Z232" s="459"/>
      <c r="AA232" s="459"/>
      <c r="AB232" s="459"/>
      <c r="AC232" s="459"/>
      <c r="AD232" s="459"/>
      <c r="AE232" s="459"/>
      <c r="AF232" s="459"/>
    </row>
    <row r="233" s="396" customFormat="true" ht="15.75" hidden="false" customHeight="true" outlineLevel="0" collapsed="false">
      <c r="A233" s="462" t="s">
        <v>1659</v>
      </c>
      <c r="B233" s="462"/>
      <c r="C233" s="462"/>
      <c r="D233" s="463" t="s">
        <v>1660</v>
      </c>
      <c r="E233" s="463"/>
      <c r="F233" s="463"/>
      <c r="G233" s="463"/>
      <c r="H233" s="463"/>
      <c r="I233" s="463"/>
      <c r="J233" s="463"/>
      <c r="K233" s="463"/>
      <c r="L233" s="463"/>
      <c r="M233" s="464" t="s">
        <v>1661</v>
      </c>
      <c r="N233" s="464"/>
      <c r="O233" s="465" t="s">
        <v>1662</v>
      </c>
      <c r="P233" s="465"/>
      <c r="Q233" s="465" t="s">
        <v>1663</v>
      </c>
      <c r="R233" s="465"/>
      <c r="S233" s="466" t="s">
        <v>1664</v>
      </c>
      <c r="T233" s="466"/>
      <c r="U233" s="466" t="s">
        <v>1665</v>
      </c>
      <c r="V233" s="466"/>
      <c r="W233" s="464" t="s">
        <v>1666</v>
      </c>
      <c r="X233" s="464"/>
      <c r="Y233" s="467" t="s">
        <v>1667</v>
      </c>
      <c r="Z233" s="467"/>
      <c r="AA233" s="467"/>
      <c r="AB233" s="467"/>
      <c r="AC233" s="467"/>
      <c r="AD233" s="467"/>
      <c r="AE233" s="467"/>
      <c r="AF233" s="459"/>
    </row>
    <row r="234" s="396" customFormat="true" ht="15.75" hidden="false" customHeight="true" outlineLevel="0" collapsed="false">
      <c r="A234" s="462"/>
      <c r="B234" s="462"/>
      <c r="C234" s="462"/>
      <c r="D234" s="463"/>
      <c r="E234" s="463"/>
      <c r="F234" s="463"/>
      <c r="G234" s="463"/>
      <c r="H234" s="463"/>
      <c r="I234" s="463"/>
      <c r="J234" s="463"/>
      <c r="K234" s="463"/>
      <c r="L234" s="463"/>
      <c r="M234" s="464"/>
      <c r="N234" s="464"/>
      <c r="O234" s="465"/>
      <c r="P234" s="465"/>
      <c r="Q234" s="465"/>
      <c r="R234" s="465"/>
      <c r="S234" s="466"/>
      <c r="T234" s="466"/>
      <c r="U234" s="466"/>
      <c r="V234" s="466"/>
      <c r="W234" s="464"/>
      <c r="X234" s="464"/>
      <c r="Y234" s="467"/>
      <c r="Z234" s="467"/>
      <c r="AA234" s="467"/>
      <c r="AB234" s="467"/>
      <c r="AC234" s="467"/>
      <c r="AD234" s="467"/>
      <c r="AE234" s="467"/>
      <c r="AF234" s="459"/>
    </row>
    <row r="235" s="396" customFormat="true" ht="15.75" hidden="false" customHeight="true" outlineLevel="0" collapsed="false">
      <c r="A235" s="462"/>
      <c r="B235" s="462"/>
      <c r="C235" s="462"/>
      <c r="D235" s="463"/>
      <c r="E235" s="463"/>
      <c r="F235" s="463"/>
      <c r="G235" s="463"/>
      <c r="H235" s="463"/>
      <c r="I235" s="463"/>
      <c r="J235" s="463"/>
      <c r="K235" s="463"/>
      <c r="L235" s="463"/>
      <c r="M235" s="464"/>
      <c r="N235" s="464"/>
      <c r="O235" s="465"/>
      <c r="P235" s="465"/>
      <c r="Q235" s="465"/>
      <c r="R235" s="465"/>
      <c r="S235" s="466"/>
      <c r="T235" s="466"/>
      <c r="U235" s="466"/>
      <c r="V235" s="466"/>
      <c r="W235" s="464"/>
      <c r="X235" s="464"/>
      <c r="Y235" s="467"/>
      <c r="Z235" s="467"/>
      <c r="AA235" s="467"/>
      <c r="AB235" s="467"/>
      <c r="AC235" s="467"/>
      <c r="AD235" s="467"/>
      <c r="AE235" s="467"/>
      <c r="AF235" s="468"/>
    </row>
    <row r="236" s="500" customFormat="true" ht="30" hidden="false" customHeight="true" outlineLevel="0" collapsed="false">
      <c r="A236" s="469" t="s">
        <v>2008</v>
      </c>
      <c r="B236" s="469"/>
      <c r="C236" s="469"/>
      <c r="D236" s="470" t="s">
        <v>2009</v>
      </c>
      <c r="E236" s="470"/>
      <c r="F236" s="470"/>
      <c r="G236" s="470"/>
      <c r="H236" s="470"/>
      <c r="I236" s="470"/>
      <c r="J236" s="470"/>
      <c r="K236" s="470"/>
      <c r="L236" s="470"/>
      <c r="M236" s="471" t="n">
        <f aca="false">SUMIFS(TE!P:P,TE!G:G,$A$43,TE!H:H,A236)</f>
        <v>0</v>
      </c>
      <c r="N236" s="471"/>
      <c r="O236" s="472" t="n">
        <v>20</v>
      </c>
      <c r="P236" s="472"/>
      <c r="Q236" s="473" t="n">
        <f aca="false">ROUNDUP(M236/O236,0)</f>
        <v>0</v>
      </c>
      <c r="R236" s="473"/>
      <c r="S236" s="474" t="n">
        <v>13.4</v>
      </c>
      <c r="T236" s="474"/>
      <c r="U236" s="474" t="n">
        <f aca="false">Q236*S236</f>
        <v>0</v>
      </c>
      <c r="V236" s="474"/>
      <c r="W236" s="475" t="s">
        <v>2007</v>
      </c>
      <c r="X236" s="475"/>
      <c r="Y236" s="476" t="s">
        <v>1991</v>
      </c>
      <c r="Z236" s="476"/>
      <c r="AA236" s="476"/>
      <c r="AB236" s="476"/>
      <c r="AC236" s="476"/>
      <c r="AD236" s="476"/>
      <c r="AE236" s="476"/>
      <c r="AF236" s="468"/>
    </row>
    <row r="237" s="500" customFormat="true" ht="30" hidden="false" customHeight="true" outlineLevel="0" collapsed="false">
      <c r="A237" s="477" t="s">
        <v>2010</v>
      </c>
      <c r="B237" s="477"/>
      <c r="C237" s="477"/>
      <c r="D237" s="478" t="s">
        <v>2011</v>
      </c>
      <c r="E237" s="478"/>
      <c r="F237" s="478"/>
      <c r="G237" s="478"/>
      <c r="H237" s="478"/>
      <c r="I237" s="478"/>
      <c r="J237" s="478"/>
      <c r="K237" s="478"/>
      <c r="L237" s="478"/>
      <c r="M237" s="479" t="n">
        <f aca="false">SUMIFS(TE!P:P,TE!G:G,$A$43,TE!H:H,A237)</f>
        <v>0</v>
      </c>
      <c r="N237" s="479"/>
      <c r="O237" s="480" t="n">
        <v>20</v>
      </c>
      <c r="P237" s="480"/>
      <c r="Q237" s="481" t="n">
        <f aca="false">ROUNDUP(M237/O237,0)</f>
        <v>0</v>
      </c>
      <c r="R237" s="481"/>
      <c r="S237" s="482" t="n">
        <v>13.4</v>
      </c>
      <c r="T237" s="482"/>
      <c r="U237" s="482" t="n">
        <f aca="false">Q237*S237</f>
        <v>0</v>
      </c>
      <c r="V237" s="482"/>
      <c r="W237" s="483" t="s">
        <v>2007</v>
      </c>
      <c r="X237" s="483"/>
      <c r="Y237" s="484" t="s">
        <v>1991</v>
      </c>
      <c r="Z237" s="484"/>
      <c r="AA237" s="484"/>
      <c r="AB237" s="484"/>
      <c r="AC237" s="484"/>
      <c r="AD237" s="484"/>
      <c r="AE237" s="484"/>
      <c r="AF237" s="468"/>
    </row>
    <row r="238" s="500" customFormat="true" ht="30" hidden="false" customHeight="true" outlineLevel="0" collapsed="false">
      <c r="A238" s="477" t="s">
        <v>2012</v>
      </c>
      <c r="B238" s="477"/>
      <c r="C238" s="477"/>
      <c r="D238" s="478" t="s">
        <v>2013</v>
      </c>
      <c r="E238" s="478"/>
      <c r="F238" s="478"/>
      <c r="G238" s="478"/>
      <c r="H238" s="478"/>
      <c r="I238" s="478"/>
      <c r="J238" s="478"/>
      <c r="K238" s="478"/>
      <c r="L238" s="478"/>
      <c r="M238" s="479" t="n">
        <f aca="false">SUMIFS(TE!P:P,TE!G:G,$A$43,TE!H:H,A238)</f>
        <v>0</v>
      </c>
      <c r="N238" s="479"/>
      <c r="O238" s="480" t="n">
        <v>40</v>
      </c>
      <c r="P238" s="480"/>
      <c r="Q238" s="481" t="n">
        <f aca="false">M238/O238</f>
        <v>0</v>
      </c>
      <c r="R238" s="481"/>
      <c r="S238" s="482" t="n">
        <v>13.4</v>
      </c>
      <c r="T238" s="482"/>
      <c r="U238" s="482" t="n">
        <f aca="false">Q238*S238</f>
        <v>0</v>
      </c>
      <c r="V238" s="482"/>
      <c r="W238" s="483" t="s">
        <v>1670</v>
      </c>
      <c r="X238" s="483"/>
      <c r="Y238" s="484" t="s">
        <v>1671</v>
      </c>
      <c r="Z238" s="484"/>
      <c r="AA238" s="484"/>
      <c r="AB238" s="484"/>
      <c r="AC238" s="484"/>
      <c r="AD238" s="484"/>
      <c r="AE238" s="484"/>
      <c r="AF238" s="468"/>
    </row>
    <row r="239" s="500" customFormat="true" ht="30" hidden="false" customHeight="true" outlineLevel="0" collapsed="false">
      <c r="A239" s="477" t="s">
        <v>2014</v>
      </c>
      <c r="B239" s="477"/>
      <c r="C239" s="477"/>
      <c r="D239" s="478" t="s">
        <v>2015</v>
      </c>
      <c r="E239" s="478"/>
      <c r="F239" s="478"/>
      <c r="G239" s="478"/>
      <c r="H239" s="478"/>
      <c r="I239" s="478"/>
      <c r="J239" s="478"/>
      <c r="K239" s="478"/>
      <c r="L239" s="478"/>
      <c r="M239" s="479" t="n">
        <f aca="false">SUMIFS(TE!P:P,TE!G:G,$A$43,TE!H:H,A239)</f>
        <v>0</v>
      </c>
      <c r="N239" s="479"/>
      <c r="O239" s="485" t="s">
        <v>1678</v>
      </c>
      <c r="P239" s="485"/>
      <c r="Q239" s="485" t="s">
        <v>1678</v>
      </c>
      <c r="R239" s="485"/>
      <c r="S239" s="485" t="s">
        <v>1678</v>
      </c>
      <c r="T239" s="485"/>
      <c r="U239" s="485" t="s">
        <v>1678</v>
      </c>
      <c r="V239" s="485"/>
      <c r="W239" s="483" t="s">
        <v>1894</v>
      </c>
      <c r="X239" s="483"/>
      <c r="Y239" s="484" t="s">
        <v>2016</v>
      </c>
      <c r="Z239" s="484"/>
      <c r="AA239" s="484"/>
      <c r="AB239" s="484"/>
      <c r="AC239" s="484"/>
      <c r="AD239" s="484"/>
      <c r="AE239" s="484"/>
      <c r="AF239" s="468"/>
    </row>
    <row r="240" s="500" customFormat="true" ht="30" hidden="false" customHeight="true" outlineLevel="0" collapsed="false">
      <c r="A240" s="477" t="s">
        <v>2017</v>
      </c>
      <c r="B240" s="477"/>
      <c r="C240" s="477"/>
      <c r="D240" s="478" t="s">
        <v>2018</v>
      </c>
      <c r="E240" s="478"/>
      <c r="F240" s="478"/>
      <c r="G240" s="478"/>
      <c r="H240" s="478"/>
      <c r="I240" s="478"/>
      <c r="J240" s="478"/>
      <c r="K240" s="478"/>
      <c r="L240" s="478"/>
      <c r="M240" s="479" t="n">
        <f aca="false">SUMIFS(TE!P:P,TE!G:G,$A$43,TE!H:H,A240)</f>
        <v>0</v>
      </c>
      <c r="N240" s="479"/>
      <c r="O240" s="480" t="n">
        <v>64</v>
      </c>
      <c r="P240" s="480"/>
      <c r="Q240" s="481" t="n">
        <f aca="false">M240/O240</f>
        <v>0</v>
      </c>
      <c r="R240" s="481"/>
      <c r="S240" s="482" t="n">
        <v>13.4</v>
      </c>
      <c r="T240" s="482"/>
      <c r="U240" s="482" t="n">
        <f aca="false">Q240*S240</f>
        <v>0</v>
      </c>
      <c r="V240" s="482"/>
      <c r="W240" s="483" t="s">
        <v>1670</v>
      </c>
      <c r="X240" s="483"/>
      <c r="Y240" s="484" t="s">
        <v>1671</v>
      </c>
      <c r="Z240" s="484"/>
      <c r="AA240" s="484"/>
      <c r="AB240" s="484"/>
      <c r="AC240" s="484"/>
      <c r="AD240" s="484"/>
      <c r="AE240" s="484"/>
      <c r="AF240" s="468"/>
    </row>
    <row r="241" s="500" customFormat="true" ht="30" hidden="false" customHeight="true" outlineLevel="0" collapsed="false">
      <c r="A241" s="477" t="s">
        <v>2019</v>
      </c>
      <c r="B241" s="477"/>
      <c r="C241" s="477"/>
      <c r="D241" s="478" t="s">
        <v>2020</v>
      </c>
      <c r="E241" s="478"/>
      <c r="F241" s="478"/>
      <c r="G241" s="478"/>
      <c r="H241" s="478"/>
      <c r="I241" s="478"/>
      <c r="J241" s="478"/>
      <c r="K241" s="478"/>
      <c r="L241" s="478"/>
      <c r="M241" s="479" t="n">
        <f aca="false">SUMIFS(TE!P:P,TE!G:G,$A$43,TE!H:H,A241)</f>
        <v>0</v>
      </c>
      <c r="N241" s="479"/>
      <c r="O241" s="485" t="s">
        <v>1678</v>
      </c>
      <c r="P241" s="485"/>
      <c r="Q241" s="485" t="s">
        <v>1678</v>
      </c>
      <c r="R241" s="485"/>
      <c r="S241" s="485" t="s">
        <v>1678</v>
      </c>
      <c r="T241" s="485"/>
      <c r="U241" s="485" t="s">
        <v>1678</v>
      </c>
      <c r="V241" s="485"/>
      <c r="W241" s="483" t="s">
        <v>1679</v>
      </c>
      <c r="X241" s="483"/>
      <c r="Y241" s="484" t="s">
        <v>1701</v>
      </c>
      <c r="Z241" s="484"/>
      <c r="AA241" s="484"/>
      <c r="AB241" s="484"/>
      <c r="AC241" s="484"/>
      <c r="AD241" s="484"/>
      <c r="AE241" s="484"/>
      <c r="AF241" s="468"/>
    </row>
    <row r="242" s="500" customFormat="true" ht="30" hidden="false" customHeight="true" outlineLevel="0" collapsed="false">
      <c r="A242" s="477" t="s">
        <v>2021</v>
      </c>
      <c r="B242" s="477"/>
      <c r="C242" s="477"/>
      <c r="D242" s="478" t="s">
        <v>2022</v>
      </c>
      <c r="E242" s="478"/>
      <c r="F242" s="478"/>
      <c r="G242" s="478"/>
      <c r="H242" s="478"/>
      <c r="I242" s="478"/>
      <c r="J242" s="478"/>
      <c r="K242" s="478"/>
      <c r="L242" s="478"/>
      <c r="M242" s="479" t="n">
        <f aca="false">SUMIFS(TE!P:P,TE!G:G,$A$43,TE!H:H,A242)</f>
        <v>0</v>
      </c>
      <c r="N242" s="479"/>
      <c r="O242" s="480" t="n">
        <v>60</v>
      </c>
      <c r="P242" s="480"/>
      <c r="Q242" s="481" t="n">
        <f aca="false">M242/O242</f>
        <v>0</v>
      </c>
      <c r="R242" s="481"/>
      <c r="S242" s="482" t="n">
        <v>13.4</v>
      </c>
      <c r="T242" s="482"/>
      <c r="U242" s="482" t="n">
        <f aca="false">Q242*S242</f>
        <v>0</v>
      </c>
      <c r="V242" s="482"/>
      <c r="W242" s="483" t="s">
        <v>1670</v>
      </c>
      <c r="X242" s="483"/>
      <c r="Y242" s="484" t="s">
        <v>1671</v>
      </c>
      <c r="Z242" s="484"/>
      <c r="AA242" s="484"/>
      <c r="AB242" s="484"/>
      <c r="AC242" s="484"/>
      <c r="AD242" s="484"/>
      <c r="AE242" s="484"/>
      <c r="AF242" s="468"/>
    </row>
    <row r="243" s="500" customFormat="true" ht="30" hidden="false" customHeight="true" outlineLevel="0" collapsed="false">
      <c r="A243" s="477" t="s">
        <v>2023</v>
      </c>
      <c r="B243" s="477"/>
      <c r="C243" s="477"/>
      <c r="D243" s="478" t="s">
        <v>2024</v>
      </c>
      <c r="E243" s="478"/>
      <c r="F243" s="478"/>
      <c r="G243" s="478"/>
      <c r="H243" s="478"/>
      <c r="I243" s="478"/>
      <c r="J243" s="478"/>
      <c r="K243" s="478"/>
      <c r="L243" s="478"/>
      <c r="M243" s="479" t="n">
        <f aca="false">SUMIFS(TE!P:P,TE!G:G,$A$43,TE!H:H,A243)</f>
        <v>94</v>
      </c>
      <c r="N243" s="479"/>
      <c r="O243" s="480" t="n">
        <v>100</v>
      </c>
      <c r="P243" s="480"/>
      <c r="Q243" s="481" t="n">
        <f aca="false">M243/O243</f>
        <v>0.94</v>
      </c>
      <c r="R243" s="481"/>
      <c r="S243" s="482" t="n">
        <v>13.4</v>
      </c>
      <c r="T243" s="482"/>
      <c r="U243" s="482" t="n">
        <f aca="false">Q243*S243</f>
        <v>12.596</v>
      </c>
      <c r="V243" s="482"/>
      <c r="W243" s="483" t="s">
        <v>1670</v>
      </c>
      <c r="X243" s="483"/>
      <c r="Y243" s="484" t="s">
        <v>1671</v>
      </c>
      <c r="Z243" s="484"/>
      <c r="AA243" s="484"/>
      <c r="AB243" s="484"/>
      <c r="AC243" s="484"/>
      <c r="AD243" s="484"/>
      <c r="AE243" s="484"/>
      <c r="AF243" s="468"/>
    </row>
    <row r="244" s="500" customFormat="true" ht="30" hidden="false" customHeight="true" outlineLevel="0" collapsed="false">
      <c r="A244" s="477" t="s">
        <v>2023</v>
      </c>
      <c r="B244" s="477"/>
      <c r="C244" s="477"/>
      <c r="D244" s="478" t="s">
        <v>2025</v>
      </c>
      <c r="E244" s="478"/>
      <c r="F244" s="478"/>
      <c r="G244" s="478"/>
      <c r="H244" s="478"/>
      <c r="I244" s="478"/>
      <c r="J244" s="478"/>
      <c r="K244" s="478"/>
      <c r="L244" s="478"/>
      <c r="M244" s="479" t="n">
        <f aca="false">SUMIFS(TE!P:P,TE!G:G,$A$43,TE!H:H,A244)</f>
        <v>94</v>
      </c>
      <c r="N244" s="479"/>
      <c r="O244" s="480" t="n">
        <v>180</v>
      </c>
      <c r="P244" s="480"/>
      <c r="Q244" s="481" t="n">
        <f aca="false">M244/O244</f>
        <v>0.522222222222222</v>
      </c>
      <c r="R244" s="481"/>
      <c r="S244" s="482" t="n">
        <v>13.4</v>
      </c>
      <c r="T244" s="482"/>
      <c r="U244" s="482" t="n">
        <f aca="false">Q244*S244</f>
        <v>6.99777777777778</v>
      </c>
      <c r="V244" s="482"/>
      <c r="W244" s="483" t="s">
        <v>1670</v>
      </c>
      <c r="X244" s="483"/>
      <c r="Y244" s="484" t="s">
        <v>1671</v>
      </c>
      <c r="Z244" s="484"/>
      <c r="AA244" s="484"/>
      <c r="AB244" s="484"/>
      <c r="AC244" s="484"/>
      <c r="AD244" s="484"/>
      <c r="AE244" s="484"/>
      <c r="AF244" s="468"/>
    </row>
    <row r="245" s="500" customFormat="true" ht="30" hidden="false" customHeight="true" outlineLevel="0" collapsed="false">
      <c r="A245" s="477" t="s">
        <v>2026</v>
      </c>
      <c r="B245" s="477"/>
      <c r="C245" s="477"/>
      <c r="D245" s="478" t="s">
        <v>2027</v>
      </c>
      <c r="E245" s="478"/>
      <c r="F245" s="478"/>
      <c r="G245" s="478"/>
      <c r="H245" s="478"/>
      <c r="I245" s="478"/>
      <c r="J245" s="478"/>
      <c r="K245" s="478"/>
      <c r="L245" s="478"/>
      <c r="M245" s="479" t="n">
        <f aca="false">SUMIFS(TE!P:P,TE!G:G,$A$43,TE!H:H,A245)</f>
        <v>0</v>
      </c>
      <c r="N245" s="479"/>
      <c r="O245" s="480" t="n">
        <v>100</v>
      </c>
      <c r="P245" s="480"/>
      <c r="Q245" s="481" t="n">
        <f aca="false">M245/O245</f>
        <v>0</v>
      </c>
      <c r="R245" s="481"/>
      <c r="S245" s="482" t="n">
        <v>13.4</v>
      </c>
      <c r="T245" s="482"/>
      <c r="U245" s="482" t="n">
        <f aca="false">Q245*S245</f>
        <v>0</v>
      </c>
      <c r="V245" s="482"/>
      <c r="W245" s="483" t="s">
        <v>1670</v>
      </c>
      <c r="X245" s="483"/>
      <c r="Y245" s="484" t="s">
        <v>1671</v>
      </c>
      <c r="Z245" s="484"/>
      <c r="AA245" s="484"/>
      <c r="AB245" s="484"/>
      <c r="AC245" s="484"/>
      <c r="AD245" s="484"/>
      <c r="AE245" s="484"/>
      <c r="AF245" s="468"/>
    </row>
    <row r="246" s="500" customFormat="true" ht="30" hidden="false" customHeight="true" outlineLevel="0" collapsed="false">
      <c r="A246" s="477" t="s">
        <v>2028</v>
      </c>
      <c r="B246" s="477"/>
      <c r="C246" s="477"/>
      <c r="D246" s="478" t="s">
        <v>2029</v>
      </c>
      <c r="E246" s="478"/>
      <c r="F246" s="478"/>
      <c r="G246" s="478"/>
      <c r="H246" s="478"/>
      <c r="I246" s="478"/>
      <c r="J246" s="478"/>
      <c r="K246" s="478"/>
      <c r="L246" s="478"/>
      <c r="M246" s="479" t="n">
        <f aca="false">SUMIFS(TE!P:P,TE!G:G,$A$43,TE!H:H,A246)</f>
        <v>0</v>
      </c>
      <c r="N246" s="479"/>
      <c r="O246" s="480" t="n">
        <v>90</v>
      </c>
      <c r="P246" s="480"/>
      <c r="Q246" s="481" t="n">
        <f aca="false">M246/O246</f>
        <v>0</v>
      </c>
      <c r="R246" s="481"/>
      <c r="S246" s="482" t="n">
        <v>13.4</v>
      </c>
      <c r="T246" s="482"/>
      <c r="U246" s="482" t="n">
        <f aca="false">Q246*S246</f>
        <v>0</v>
      </c>
      <c r="V246" s="482"/>
      <c r="W246" s="483" t="s">
        <v>1878</v>
      </c>
      <c r="X246" s="483"/>
      <c r="Y246" s="484" t="s">
        <v>1879</v>
      </c>
      <c r="Z246" s="484"/>
      <c r="AA246" s="484"/>
      <c r="AB246" s="484"/>
      <c r="AC246" s="484"/>
      <c r="AD246" s="484"/>
      <c r="AE246" s="484"/>
      <c r="AF246" s="396"/>
    </row>
    <row r="247" s="500" customFormat="true" ht="30" hidden="false" customHeight="true" outlineLevel="0" collapsed="false">
      <c r="A247" s="477" t="s">
        <v>2030</v>
      </c>
      <c r="B247" s="477"/>
      <c r="C247" s="477"/>
      <c r="D247" s="478" t="s">
        <v>2031</v>
      </c>
      <c r="E247" s="478"/>
      <c r="F247" s="478"/>
      <c r="G247" s="478"/>
      <c r="H247" s="478"/>
      <c r="I247" s="478"/>
      <c r="J247" s="478"/>
      <c r="K247" s="478"/>
      <c r="L247" s="478"/>
      <c r="M247" s="479" t="n">
        <f aca="false">SUMIFS(TE!P:P,TE!G:G,$A$43,TE!H:H,A247)</f>
        <v>0</v>
      </c>
      <c r="N247" s="479"/>
      <c r="O247" s="480" t="n">
        <v>40</v>
      </c>
      <c r="P247" s="480"/>
      <c r="Q247" s="481" t="n">
        <f aca="false">M247/O247</f>
        <v>0</v>
      </c>
      <c r="R247" s="481"/>
      <c r="S247" s="482" t="n">
        <v>13.4</v>
      </c>
      <c r="T247" s="482"/>
      <c r="U247" s="482" t="n">
        <f aca="false">Q247*S247</f>
        <v>0</v>
      </c>
      <c r="V247" s="482"/>
      <c r="W247" s="483" t="s">
        <v>1670</v>
      </c>
      <c r="X247" s="483"/>
      <c r="Y247" s="484" t="s">
        <v>1671</v>
      </c>
      <c r="Z247" s="484"/>
      <c r="AA247" s="484"/>
      <c r="AB247" s="484"/>
      <c r="AC247" s="484"/>
      <c r="AD247" s="484"/>
      <c r="AE247" s="484"/>
      <c r="AF247" s="396"/>
    </row>
    <row r="248" s="500" customFormat="true" ht="30" hidden="false" customHeight="true" outlineLevel="0" collapsed="false">
      <c r="A248" s="477" t="s">
        <v>2032</v>
      </c>
      <c r="B248" s="477"/>
      <c r="C248" s="477"/>
      <c r="D248" s="478" t="s">
        <v>2033</v>
      </c>
      <c r="E248" s="478"/>
      <c r="F248" s="478"/>
      <c r="G248" s="478"/>
      <c r="H248" s="478"/>
      <c r="I248" s="478"/>
      <c r="J248" s="478"/>
      <c r="K248" s="478"/>
      <c r="L248" s="478"/>
      <c r="M248" s="479" t="n">
        <f aca="false">SUMIFS(TE!P:P,TE!G:G,$A$43,TE!H:H,A248)</f>
        <v>0</v>
      </c>
      <c r="N248" s="479"/>
      <c r="O248" s="480" t="n">
        <v>4</v>
      </c>
      <c r="P248" s="480"/>
      <c r="Q248" s="481" t="n">
        <f aca="false">M248/O248</f>
        <v>0</v>
      </c>
      <c r="R248" s="481"/>
      <c r="S248" s="482" t="n">
        <v>13.4</v>
      </c>
      <c r="T248" s="482"/>
      <c r="U248" s="482" t="n">
        <f aca="false">Q248*S248</f>
        <v>0</v>
      </c>
      <c r="V248" s="482"/>
      <c r="W248" s="483" t="s">
        <v>1878</v>
      </c>
      <c r="X248" s="483"/>
      <c r="Y248" s="484" t="s">
        <v>1879</v>
      </c>
      <c r="Z248" s="484"/>
      <c r="AA248" s="484"/>
      <c r="AB248" s="484"/>
      <c r="AC248" s="484"/>
      <c r="AD248" s="484"/>
      <c r="AE248" s="484"/>
      <c r="AF248" s="396"/>
    </row>
    <row r="249" s="500" customFormat="true" ht="30" hidden="false" customHeight="true" outlineLevel="0" collapsed="false">
      <c r="A249" s="477" t="s">
        <v>2034</v>
      </c>
      <c r="B249" s="477"/>
      <c r="C249" s="477"/>
      <c r="D249" s="478" t="s">
        <v>2035</v>
      </c>
      <c r="E249" s="478"/>
      <c r="F249" s="478"/>
      <c r="G249" s="478"/>
      <c r="H249" s="478"/>
      <c r="I249" s="478"/>
      <c r="J249" s="478"/>
      <c r="K249" s="478"/>
      <c r="L249" s="478"/>
      <c r="M249" s="479" t="n">
        <f aca="false">SUMIFS(TE!P:P,TE!G:G,$A$43,TE!H:H,A249)</f>
        <v>0</v>
      </c>
      <c r="N249" s="479"/>
      <c r="O249" s="485" t="s">
        <v>1678</v>
      </c>
      <c r="P249" s="485"/>
      <c r="Q249" s="485" t="s">
        <v>1678</v>
      </c>
      <c r="R249" s="485"/>
      <c r="S249" s="485" t="s">
        <v>1678</v>
      </c>
      <c r="T249" s="485"/>
      <c r="U249" s="485" t="s">
        <v>1678</v>
      </c>
      <c r="V249" s="485"/>
      <c r="W249" s="483" t="s">
        <v>1810</v>
      </c>
      <c r="X249" s="483"/>
      <c r="Y249" s="484" t="s">
        <v>2036</v>
      </c>
      <c r="Z249" s="484"/>
      <c r="AA249" s="484"/>
      <c r="AB249" s="484"/>
      <c r="AC249" s="484"/>
      <c r="AD249" s="484"/>
      <c r="AE249" s="484"/>
      <c r="AF249" s="396"/>
    </row>
    <row r="250" s="500" customFormat="true" ht="30" hidden="false" customHeight="true" outlineLevel="0" collapsed="false">
      <c r="A250" s="477" t="s">
        <v>2037</v>
      </c>
      <c r="B250" s="477"/>
      <c r="C250" s="477"/>
      <c r="D250" s="478" t="s">
        <v>2038</v>
      </c>
      <c r="E250" s="478"/>
      <c r="F250" s="478"/>
      <c r="G250" s="478"/>
      <c r="H250" s="478"/>
      <c r="I250" s="478"/>
      <c r="J250" s="478"/>
      <c r="K250" s="478"/>
      <c r="L250" s="478"/>
      <c r="M250" s="479" t="n">
        <f aca="false">SUMIFS(TE!P:P,TE!G:G,$A$43,TE!H:H,A250)</f>
        <v>0</v>
      </c>
      <c r="N250" s="479"/>
      <c r="O250" s="485" t="s">
        <v>1678</v>
      </c>
      <c r="P250" s="485"/>
      <c r="Q250" s="485" t="s">
        <v>1678</v>
      </c>
      <c r="R250" s="485"/>
      <c r="S250" s="485" t="s">
        <v>1678</v>
      </c>
      <c r="T250" s="485"/>
      <c r="U250" s="485" t="s">
        <v>1678</v>
      </c>
      <c r="V250" s="485"/>
      <c r="W250" s="483" t="s">
        <v>1810</v>
      </c>
      <c r="X250" s="483"/>
      <c r="Y250" s="484" t="s">
        <v>2036</v>
      </c>
      <c r="Z250" s="484"/>
      <c r="AA250" s="484"/>
      <c r="AB250" s="484"/>
      <c r="AC250" s="484"/>
      <c r="AD250" s="484"/>
      <c r="AE250" s="484"/>
      <c r="AF250" s="396"/>
    </row>
    <row r="251" s="396" customFormat="true" ht="30" hidden="false" customHeight="true" outlineLevel="0" collapsed="false">
      <c r="A251" s="477" t="s">
        <v>2039</v>
      </c>
      <c r="B251" s="477"/>
      <c r="C251" s="477"/>
      <c r="D251" s="478" t="s">
        <v>2040</v>
      </c>
      <c r="E251" s="478"/>
      <c r="F251" s="478"/>
      <c r="G251" s="478"/>
      <c r="H251" s="478"/>
      <c r="I251" s="478"/>
      <c r="J251" s="478"/>
      <c r="K251" s="478"/>
      <c r="L251" s="478"/>
      <c r="M251" s="479" t="n">
        <f aca="false">SUMIFS(TE!P:P,TE!G:G,$A$43,TE!H:H,A251)</f>
        <v>0</v>
      </c>
      <c r="N251" s="479"/>
      <c r="O251" s="485" t="s">
        <v>1678</v>
      </c>
      <c r="P251" s="485"/>
      <c r="Q251" s="485" t="s">
        <v>1678</v>
      </c>
      <c r="R251" s="485"/>
      <c r="S251" s="485" t="s">
        <v>1678</v>
      </c>
      <c r="T251" s="485"/>
      <c r="U251" s="485" t="s">
        <v>1678</v>
      </c>
      <c r="V251" s="485"/>
      <c r="W251" s="483" t="s">
        <v>1810</v>
      </c>
      <c r="X251" s="483"/>
      <c r="Y251" s="484" t="s">
        <v>2036</v>
      </c>
      <c r="Z251" s="484"/>
      <c r="AA251" s="484"/>
      <c r="AB251" s="484"/>
      <c r="AC251" s="484"/>
      <c r="AD251" s="484"/>
      <c r="AE251" s="484"/>
    </row>
    <row r="252" s="396" customFormat="true" ht="30" hidden="false" customHeight="true" outlineLevel="0" collapsed="false">
      <c r="A252" s="477" t="s">
        <v>2041</v>
      </c>
      <c r="B252" s="477"/>
      <c r="C252" s="477"/>
      <c r="D252" s="478" t="s">
        <v>2042</v>
      </c>
      <c r="E252" s="478"/>
      <c r="F252" s="478"/>
      <c r="G252" s="478"/>
      <c r="H252" s="478"/>
      <c r="I252" s="478"/>
      <c r="J252" s="478"/>
      <c r="K252" s="478"/>
      <c r="L252" s="478"/>
      <c r="M252" s="479" t="n">
        <f aca="false">SUMIFS(TE!P:P,TE!G:G,$A$43,TE!H:H,A252)</f>
        <v>1</v>
      </c>
      <c r="N252" s="479"/>
      <c r="O252" s="485" t="s">
        <v>1678</v>
      </c>
      <c r="P252" s="485"/>
      <c r="Q252" s="485" t="s">
        <v>1678</v>
      </c>
      <c r="R252" s="485"/>
      <c r="S252" s="485" t="s">
        <v>1678</v>
      </c>
      <c r="T252" s="485"/>
      <c r="U252" s="485" t="s">
        <v>1678</v>
      </c>
      <c r="V252" s="485"/>
      <c r="W252" s="483" t="s">
        <v>1810</v>
      </c>
      <c r="X252" s="483"/>
      <c r="Y252" s="484" t="s">
        <v>2036</v>
      </c>
      <c r="Z252" s="484"/>
      <c r="AA252" s="484"/>
      <c r="AB252" s="484"/>
      <c r="AC252" s="484"/>
      <c r="AD252" s="484"/>
      <c r="AE252" s="484"/>
    </row>
    <row r="253" s="396" customFormat="true" ht="39.75" hidden="false" customHeight="true" outlineLevel="0" collapsed="false">
      <c r="A253" s="477" t="s">
        <v>2043</v>
      </c>
      <c r="B253" s="477"/>
      <c r="C253" s="477"/>
      <c r="D253" s="478" t="s">
        <v>2044</v>
      </c>
      <c r="E253" s="478"/>
      <c r="F253" s="478"/>
      <c r="G253" s="478"/>
      <c r="H253" s="478"/>
      <c r="I253" s="478"/>
      <c r="J253" s="478"/>
      <c r="K253" s="478"/>
      <c r="L253" s="478"/>
      <c r="M253" s="479" t="n">
        <f aca="false">SUMIFS(TE!P:P,TE!G:G,$A$43,TE!H:H,A253)</f>
        <v>2</v>
      </c>
      <c r="N253" s="479"/>
      <c r="O253" s="480" t="n">
        <v>16</v>
      </c>
      <c r="P253" s="480"/>
      <c r="Q253" s="481" t="n">
        <f aca="false">M253/O253</f>
        <v>0.125</v>
      </c>
      <c r="R253" s="481"/>
      <c r="S253" s="482" t="n">
        <v>13.4</v>
      </c>
      <c r="T253" s="482"/>
      <c r="U253" s="482" t="n">
        <f aca="false">Q253*S253</f>
        <v>1.675</v>
      </c>
      <c r="V253" s="482"/>
      <c r="W253" s="483" t="s">
        <v>1878</v>
      </c>
      <c r="X253" s="483"/>
      <c r="Y253" s="484" t="s">
        <v>1879</v>
      </c>
      <c r="Z253" s="484"/>
      <c r="AA253" s="484"/>
      <c r="AB253" s="484"/>
      <c r="AC253" s="484"/>
      <c r="AD253" s="484"/>
      <c r="AE253" s="484"/>
    </row>
    <row r="254" s="396" customFormat="true" ht="39.75" hidden="false" customHeight="true" outlineLevel="0" collapsed="false">
      <c r="A254" s="486" t="s">
        <v>2045</v>
      </c>
      <c r="B254" s="486"/>
      <c r="C254" s="486"/>
      <c r="D254" s="487" t="s">
        <v>2046</v>
      </c>
      <c r="E254" s="487"/>
      <c r="F254" s="487"/>
      <c r="G254" s="487"/>
      <c r="H254" s="487"/>
      <c r="I254" s="487"/>
      <c r="J254" s="487"/>
      <c r="K254" s="487"/>
      <c r="L254" s="487"/>
      <c r="M254" s="488" t="n">
        <f aca="false">SUMIFS(TE!P:P,TE!G:G,$A$43,TE!H:H,A254)</f>
        <v>4</v>
      </c>
      <c r="N254" s="488"/>
      <c r="O254" s="489" t="n">
        <v>16</v>
      </c>
      <c r="P254" s="489"/>
      <c r="Q254" s="490" t="n">
        <f aca="false">M254/O254</f>
        <v>0.25</v>
      </c>
      <c r="R254" s="490"/>
      <c r="S254" s="491" t="n">
        <v>13.4</v>
      </c>
      <c r="T254" s="491"/>
      <c r="U254" s="491" t="n">
        <f aca="false">Q254*S254</f>
        <v>3.35</v>
      </c>
      <c r="V254" s="491"/>
      <c r="W254" s="492" t="s">
        <v>1878</v>
      </c>
      <c r="X254" s="492"/>
      <c r="Y254" s="493" t="s">
        <v>1879</v>
      </c>
      <c r="Z254" s="493"/>
      <c r="AA254" s="493"/>
      <c r="AB254" s="493"/>
      <c r="AC254" s="493"/>
      <c r="AD254" s="493"/>
      <c r="AE254" s="493"/>
    </row>
    <row r="255" s="396" customFormat="true" ht="15.75" hidden="false" customHeight="true" outlineLevel="0" collapsed="false"/>
    <row r="256" s="396" customFormat="true" ht="15.75" hidden="false" customHeight="true" outlineLevel="0" collapsed="false">
      <c r="A256" s="495"/>
      <c r="B256" s="495"/>
      <c r="C256" s="495"/>
      <c r="D256" s="495"/>
      <c r="E256" s="495"/>
      <c r="F256" s="495"/>
      <c r="G256" s="495"/>
      <c r="H256" s="495"/>
      <c r="I256" s="495"/>
      <c r="J256" s="495"/>
      <c r="K256" s="495"/>
      <c r="L256" s="495"/>
      <c r="M256" s="495"/>
      <c r="N256" s="495"/>
      <c r="O256" s="495"/>
      <c r="P256" s="495"/>
      <c r="Q256" s="495"/>
      <c r="R256" s="495"/>
      <c r="S256" s="495"/>
      <c r="T256" s="495"/>
      <c r="U256" s="495"/>
      <c r="V256" s="495"/>
      <c r="W256" s="495"/>
      <c r="X256" s="495"/>
      <c r="Y256" s="495"/>
      <c r="Z256" s="495"/>
      <c r="AA256" s="495"/>
      <c r="AB256" s="453"/>
      <c r="AC256" s="454" t="s">
        <v>1657</v>
      </c>
      <c r="AD256" s="455" t="n">
        <v>9</v>
      </c>
      <c r="AE256" s="455" t="s">
        <v>29</v>
      </c>
      <c r="AF256" s="455" t="n">
        <v>27</v>
      </c>
    </row>
    <row r="257" s="396" customFormat="true" ht="15.75" hidden="false" customHeight="true" outlineLevel="0" collapsed="false">
      <c r="A257" s="398" t="s">
        <v>1522</v>
      </c>
      <c r="B257" s="398"/>
      <c r="C257" s="456" t="n">
        <v>14345</v>
      </c>
      <c r="D257" s="456"/>
      <c r="E257" s="456"/>
      <c r="F257" s="456"/>
      <c r="G257" s="456"/>
      <c r="H257" s="456"/>
      <c r="I257" s="456"/>
      <c r="J257" s="456"/>
      <c r="K257" s="456"/>
      <c r="L257" s="456"/>
      <c r="M257" s="398" t="s">
        <v>1523</v>
      </c>
      <c r="N257" s="398"/>
      <c r="O257" s="398"/>
      <c r="P257" s="398"/>
      <c r="Q257" s="398"/>
      <c r="R257" s="456" t="s">
        <v>15</v>
      </c>
      <c r="S257" s="456"/>
      <c r="T257" s="456"/>
      <c r="U257" s="456"/>
      <c r="V257" s="456"/>
      <c r="W257" s="456"/>
      <c r="X257" s="456"/>
      <c r="Y257" s="456"/>
      <c r="Z257" s="456"/>
      <c r="AA257" s="456"/>
      <c r="AB257" s="456"/>
      <c r="AC257" s="456"/>
      <c r="AD257" s="456"/>
      <c r="AE257" s="456"/>
      <c r="AF257" s="456"/>
    </row>
    <row r="258" s="396" customFormat="true" ht="12.75" hidden="false" customHeight="true" outlineLevel="0" collapsed="false">
      <c r="A258" s="458"/>
      <c r="B258" s="458"/>
      <c r="C258" s="459"/>
      <c r="D258" s="459"/>
      <c r="E258" s="459"/>
      <c r="F258" s="459"/>
      <c r="G258" s="459"/>
      <c r="H258" s="459"/>
      <c r="I258" s="459"/>
      <c r="J258" s="459"/>
      <c r="K258" s="459"/>
      <c r="L258" s="459"/>
      <c r="M258" s="458"/>
      <c r="N258" s="458"/>
      <c r="O258" s="458"/>
      <c r="P258" s="458"/>
      <c r="Q258" s="458"/>
      <c r="R258" s="459"/>
      <c r="S258" s="459"/>
      <c r="T258" s="459"/>
      <c r="U258" s="459"/>
      <c r="V258" s="459"/>
      <c r="W258" s="459"/>
      <c r="X258" s="459"/>
      <c r="Y258" s="459"/>
      <c r="Z258" s="459"/>
      <c r="AA258" s="459"/>
      <c r="AB258" s="459"/>
      <c r="AC258" s="459"/>
      <c r="AD258" s="459"/>
      <c r="AE258" s="459"/>
      <c r="AF258" s="459"/>
    </row>
    <row r="259" s="396" customFormat="true" ht="12.75" hidden="false" customHeight="true" outlineLevel="0" collapsed="false">
      <c r="A259" s="460" t="str">
        <f aca="false">A232</f>
        <v>M28261</v>
      </c>
      <c r="B259" s="460"/>
      <c r="C259" s="460"/>
      <c r="D259" s="461" t="str">
        <f aca="false">D232</f>
        <v>H&amp;S CO</v>
      </c>
      <c r="E259" s="461"/>
      <c r="F259" s="461"/>
      <c r="G259" s="461"/>
      <c r="H259" s="461"/>
      <c r="I259" s="461"/>
      <c r="J259" s="461"/>
      <c r="K259" s="461"/>
      <c r="L259" s="461"/>
      <c r="M259" s="458"/>
      <c r="N259" s="458"/>
      <c r="O259" s="458"/>
      <c r="P259" s="459"/>
      <c r="Q259" s="458"/>
      <c r="R259" s="459"/>
      <c r="S259" s="459"/>
      <c r="T259" s="459"/>
      <c r="U259" s="459"/>
      <c r="V259" s="459"/>
      <c r="W259" s="459"/>
      <c r="X259" s="459"/>
      <c r="Y259" s="459"/>
      <c r="Z259" s="459"/>
      <c r="AA259" s="459"/>
      <c r="AB259" s="459"/>
      <c r="AC259" s="459"/>
      <c r="AD259" s="459"/>
      <c r="AE259" s="459"/>
      <c r="AF259" s="459"/>
    </row>
    <row r="260" s="396" customFormat="true" ht="15.75" hidden="false" customHeight="true" outlineLevel="0" collapsed="false">
      <c r="A260" s="462" t="s">
        <v>1659</v>
      </c>
      <c r="B260" s="462"/>
      <c r="C260" s="462"/>
      <c r="D260" s="463" t="s">
        <v>1660</v>
      </c>
      <c r="E260" s="463"/>
      <c r="F260" s="463"/>
      <c r="G260" s="463"/>
      <c r="H260" s="463"/>
      <c r="I260" s="463"/>
      <c r="J260" s="463"/>
      <c r="K260" s="463"/>
      <c r="L260" s="463"/>
      <c r="M260" s="464" t="s">
        <v>1661</v>
      </c>
      <c r="N260" s="464"/>
      <c r="O260" s="465" t="s">
        <v>1662</v>
      </c>
      <c r="P260" s="465"/>
      <c r="Q260" s="465" t="s">
        <v>1663</v>
      </c>
      <c r="R260" s="465"/>
      <c r="S260" s="466" t="s">
        <v>1664</v>
      </c>
      <c r="T260" s="466"/>
      <c r="U260" s="466" t="s">
        <v>1665</v>
      </c>
      <c r="V260" s="466"/>
      <c r="W260" s="464" t="s">
        <v>1666</v>
      </c>
      <c r="X260" s="464"/>
      <c r="Y260" s="467" t="s">
        <v>1667</v>
      </c>
      <c r="Z260" s="467"/>
      <c r="AA260" s="467"/>
      <c r="AB260" s="467"/>
      <c r="AC260" s="467"/>
      <c r="AD260" s="467"/>
      <c r="AE260" s="467"/>
      <c r="AF260" s="459"/>
    </row>
    <row r="261" s="501" customFormat="true" ht="15.75" hidden="false" customHeight="true" outlineLevel="0" collapsed="false">
      <c r="A261" s="462"/>
      <c r="B261" s="462"/>
      <c r="C261" s="462"/>
      <c r="D261" s="463"/>
      <c r="E261" s="463"/>
      <c r="F261" s="463"/>
      <c r="G261" s="463"/>
      <c r="H261" s="463"/>
      <c r="I261" s="463"/>
      <c r="J261" s="463"/>
      <c r="K261" s="463"/>
      <c r="L261" s="463"/>
      <c r="M261" s="464"/>
      <c r="N261" s="464"/>
      <c r="O261" s="465"/>
      <c r="P261" s="465"/>
      <c r="Q261" s="465"/>
      <c r="R261" s="465"/>
      <c r="S261" s="466"/>
      <c r="T261" s="466"/>
      <c r="U261" s="466"/>
      <c r="V261" s="466"/>
      <c r="W261" s="464"/>
      <c r="X261" s="464"/>
      <c r="Y261" s="467"/>
      <c r="Z261" s="467"/>
      <c r="AA261" s="467"/>
      <c r="AB261" s="467"/>
      <c r="AC261" s="467"/>
      <c r="AD261" s="467"/>
      <c r="AE261" s="467"/>
      <c r="AF261" s="459"/>
    </row>
    <row r="262" s="501" customFormat="true" ht="15.75" hidden="false" customHeight="true" outlineLevel="0" collapsed="false">
      <c r="A262" s="462"/>
      <c r="B262" s="462"/>
      <c r="C262" s="462"/>
      <c r="D262" s="463"/>
      <c r="E262" s="463"/>
      <c r="F262" s="463"/>
      <c r="G262" s="463"/>
      <c r="H262" s="463"/>
      <c r="I262" s="463"/>
      <c r="J262" s="463"/>
      <c r="K262" s="463"/>
      <c r="L262" s="463"/>
      <c r="M262" s="464"/>
      <c r="N262" s="464"/>
      <c r="O262" s="465"/>
      <c r="P262" s="465"/>
      <c r="Q262" s="465"/>
      <c r="R262" s="465"/>
      <c r="S262" s="466"/>
      <c r="T262" s="466"/>
      <c r="U262" s="466"/>
      <c r="V262" s="466"/>
      <c r="W262" s="464"/>
      <c r="X262" s="464"/>
      <c r="Y262" s="467"/>
      <c r="Z262" s="467"/>
      <c r="AA262" s="467"/>
      <c r="AB262" s="467"/>
      <c r="AC262" s="467"/>
      <c r="AD262" s="467"/>
      <c r="AE262" s="467"/>
      <c r="AF262" s="468"/>
    </row>
    <row r="263" s="501" customFormat="true" ht="30" hidden="false" customHeight="true" outlineLevel="0" collapsed="false">
      <c r="A263" s="469" t="s">
        <v>2047</v>
      </c>
      <c r="B263" s="469"/>
      <c r="C263" s="469"/>
      <c r="D263" s="470" t="s">
        <v>2048</v>
      </c>
      <c r="E263" s="470"/>
      <c r="F263" s="470"/>
      <c r="G263" s="470"/>
      <c r="H263" s="470"/>
      <c r="I263" s="470"/>
      <c r="J263" s="470"/>
      <c r="K263" s="470"/>
      <c r="L263" s="470"/>
      <c r="M263" s="471" t="n">
        <f aca="false">SUMIFS(TE!P:P,TE!G:G,$A$43,TE!H:H,A263)</f>
        <v>0</v>
      </c>
      <c r="N263" s="471"/>
      <c r="O263" s="472" t="n">
        <v>12</v>
      </c>
      <c r="P263" s="472"/>
      <c r="Q263" s="473" t="n">
        <f aca="false">M263/O263</f>
        <v>0</v>
      </c>
      <c r="R263" s="473"/>
      <c r="S263" s="474" t="n">
        <v>13.4</v>
      </c>
      <c r="T263" s="474"/>
      <c r="U263" s="474" t="n">
        <f aca="false">Q263*S263</f>
        <v>0</v>
      </c>
      <c r="V263" s="474"/>
      <c r="W263" s="475" t="s">
        <v>1670</v>
      </c>
      <c r="X263" s="475"/>
      <c r="Y263" s="476" t="s">
        <v>1671</v>
      </c>
      <c r="Z263" s="476"/>
      <c r="AA263" s="476"/>
      <c r="AB263" s="476"/>
      <c r="AC263" s="476"/>
      <c r="AD263" s="476"/>
      <c r="AE263" s="476"/>
      <c r="AF263" s="468"/>
    </row>
    <row r="264" s="501" customFormat="true" ht="30" hidden="false" customHeight="true" outlineLevel="0" collapsed="false">
      <c r="A264" s="477" t="s">
        <v>2047</v>
      </c>
      <c r="B264" s="477"/>
      <c r="C264" s="477"/>
      <c r="D264" s="478" t="s">
        <v>2049</v>
      </c>
      <c r="E264" s="478"/>
      <c r="F264" s="478"/>
      <c r="G264" s="478"/>
      <c r="H264" s="478"/>
      <c r="I264" s="478"/>
      <c r="J264" s="478"/>
      <c r="K264" s="478"/>
      <c r="L264" s="478"/>
      <c r="M264" s="479" t="n">
        <f aca="false">SUMIFS(TE!P:P,TE!G:G,$A$43,TE!H:H,A264)</f>
        <v>0</v>
      </c>
      <c r="N264" s="479"/>
      <c r="O264" s="480" t="n">
        <v>24</v>
      </c>
      <c r="P264" s="480"/>
      <c r="Q264" s="481" t="n">
        <f aca="false">M264/O264</f>
        <v>0</v>
      </c>
      <c r="R264" s="481"/>
      <c r="S264" s="482" t="n">
        <v>13.4</v>
      </c>
      <c r="T264" s="482"/>
      <c r="U264" s="482" t="n">
        <f aca="false">Q264*S264</f>
        <v>0</v>
      </c>
      <c r="V264" s="482"/>
      <c r="W264" s="483" t="s">
        <v>1670</v>
      </c>
      <c r="X264" s="483"/>
      <c r="Y264" s="484" t="s">
        <v>1671</v>
      </c>
      <c r="Z264" s="484"/>
      <c r="AA264" s="484"/>
      <c r="AB264" s="484"/>
      <c r="AC264" s="484"/>
      <c r="AD264" s="484"/>
      <c r="AE264" s="484"/>
      <c r="AF264" s="468"/>
    </row>
    <row r="265" s="501" customFormat="true" ht="30" hidden="false" customHeight="true" outlineLevel="0" collapsed="false">
      <c r="A265" s="477" t="s">
        <v>2050</v>
      </c>
      <c r="B265" s="477"/>
      <c r="C265" s="477"/>
      <c r="D265" s="478" t="s">
        <v>2051</v>
      </c>
      <c r="E265" s="478"/>
      <c r="F265" s="478"/>
      <c r="G265" s="478"/>
      <c r="H265" s="478"/>
      <c r="I265" s="478"/>
      <c r="J265" s="478"/>
      <c r="K265" s="478"/>
      <c r="L265" s="478"/>
      <c r="M265" s="479" t="n">
        <f aca="false">SUMIFS(TE!P:P,TE!G:G,$A$43,TE!H:H,A265)</f>
        <v>0</v>
      </c>
      <c r="N265" s="479"/>
      <c r="O265" s="485" t="s">
        <v>1678</v>
      </c>
      <c r="P265" s="485"/>
      <c r="Q265" s="485" t="s">
        <v>1678</v>
      </c>
      <c r="R265" s="485"/>
      <c r="S265" s="485" t="s">
        <v>1678</v>
      </c>
      <c r="T265" s="485"/>
      <c r="U265" s="485" t="s">
        <v>1678</v>
      </c>
      <c r="V265" s="485"/>
      <c r="W265" s="483" t="s">
        <v>1810</v>
      </c>
      <c r="X265" s="483"/>
      <c r="Y265" s="484" t="s">
        <v>2036</v>
      </c>
      <c r="Z265" s="484"/>
      <c r="AA265" s="484"/>
      <c r="AB265" s="484"/>
      <c r="AC265" s="484"/>
      <c r="AD265" s="484"/>
      <c r="AE265" s="484"/>
      <c r="AF265" s="468"/>
    </row>
    <row r="266" s="501" customFormat="true" ht="30" hidden="false" customHeight="true" outlineLevel="0" collapsed="false">
      <c r="A266" s="477" t="s">
        <v>2052</v>
      </c>
      <c r="B266" s="477"/>
      <c r="C266" s="477"/>
      <c r="D266" s="478" t="s">
        <v>2053</v>
      </c>
      <c r="E266" s="478"/>
      <c r="F266" s="478"/>
      <c r="G266" s="478"/>
      <c r="H266" s="478"/>
      <c r="I266" s="478"/>
      <c r="J266" s="478"/>
      <c r="K266" s="478"/>
      <c r="L266" s="478"/>
      <c r="M266" s="479" t="n">
        <f aca="false">SUMIFS(TE!P:P,TE!G:G,$A$43,TE!H:H,A266)</f>
        <v>0</v>
      </c>
      <c r="N266" s="479"/>
      <c r="O266" s="485" t="s">
        <v>1678</v>
      </c>
      <c r="P266" s="485"/>
      <c r="Q266" s="485" t="s">
        <v>1678</v>
      </c>
      <c r="R266" s="485"/>
      <c r="S266" s="485" t="s">
        <v>1678</v>
      </c>
      <c r="T266" s="485"/>
      <c r="U266" s="485" t="s">
        <v>1678</v>
      </c>
      <c r="V266" s="485"/>
      <c r="W266" s="483" t="s">
        <v>1810</v>
      </c>
      <c r="X266" s="483"/>
      <c r="Y266" s="484" t="s">
        <v>2036</v>
      </c>
      <c r="Z266" s="484"/>
      <c r="AA266" s="484"/>
      <c r="AB266" s="484"/>
      <c r="AC266" s="484"/>
      <c r="AD266" s="484"/>
      <c r="AE266" s="484"/>
      <c r="AF266" s="468"/>
    </row>
    <row r="267" s="501" customFormat="true" ht="30" hidden="false" customHeight="true" outlineLevel="0" collapsed="false">
      <c r="A267" s="477" t="s">
        <v>2054</v>
      </c>
      <c r="B267" s="477"/>
      <c r="C267" s="477"/>
      <c r="D267" s="478" t="s">
        <v>2055</v>
      </c>
      <c r="E267" s="478"/>
      <c r="F267" s="478"/>
      <c r="G267" s="478"/>
      <c r="H267" s="478"/>
      <c r="I267" s="478"/>
      <c r="J267" s="478"/>
      <c r="K267" s="478"/>
      <c r="L267" s="478"/>
      <c r="M267" s="479" t="n">
        <f aca="false">SUMIFS(TE!P:P,TE!G:G,$A$43,TE!H:H,A267)</f>
        <v>0</v>
      </c>
      <c r="N267" s="479"/>
      <c r="O267" s="485" t="s">
        <v>1678</v>
      </c>
      <c r="P267" s="485"/>
      <c r="Q267" s="485" t="s">
        <v>1678</v>
      </c>
      <c r="R267" s="485"/>
      <c r="S267" s="485" t="s">
        <v>1678</v>
      </c>
      <c r="T267" s="485"/>
      <c r="U267" s="485" t="s">
        <v>1678</v>
      </c>
      <c r="V267" s="485"/>
      <c r="W267" s="483" t="s">
        <v>1810</v>
      </c>
      <c r="X267" s="483"/>
      <c r="Y267" s="484" t="s">
        <v>2036</v>
      </c>
      <c r="Z267" s="484"/>
      <c r="AA267" s="484"/>
      <c r="AB267" s="484"/>
      <c r="AC267" s="484"/>
      <c r="AD267" s="484"/>
      <c r="AE267" s="484"/>
      <c r="AF267" s="468"/>
    </row>
    <row r="268" s="501" customFormat="true" ht="30" hidden="false" customHeight="true" outlineLevel="0" collapsed="false">
      <c r="A268" s="477" t="s">
        <v>2056</v>
      </c>
      <c r="B268" s="477"/>
      <c r="C268" s="477"/>
      <c r="D268" s="478" t="s">
        <v>2057</v>
      </c>
      <c r="E268" s="478"/>
      <c r="F268" s="478"/>
      <c r="G268" s="478"/>
      <c r="H268" s="478"/>
      <c r="I268" s="478"/>
      <c r="J268" s="478"/>
      <c r="K268" s="478"/>
      <c r="L268" s="478"/>
      <c r="M268" s="479" t="n">
        <f aca="false">SUMIFS(TE!P:P,TE!G:G,$A$43,TE!H:H,A268)</f>
        <v>1</v>
      </c>
      <c r="N268" s="479"/>
      <c r="O268" s="485" t="s">
        <v>1678</v>
      </c>
      <c r="P268" s="485"/>
      <c r="Q268" s="485" t="s">
        <v>1678</v>
      </c>
      <c r="R268" s="485"/>
      <c r="S268" s="485" t="s">
        <v>1678</v>
      </c>
      <c r="T268" s="485"/>
      <c r="U268" s="485" t="s">
        <v>1678</v>
      </c>
      <c r="V268" s="485"/>
      <c r="W268" s="483" t="s">
        <v>1810</v>
      </c>
      <c r="X268" s="483"/>
      <c r="Y268" s="484" t="s">
        <v>2036</v>
      </c>
      <c r="Z268" s="484"/>
      <c r="AA268" s="484"/>
      <c r="AB268" s="484"/>
      <c r="AC268" s="484"/>
      <c r="AD268" s="484"/>
      <c r="AE268" s="484"/>
      <c r="AF268" s="468"/>
    </row>
    <row r="269" s="501" customFormat="true" ht="30" hidden="false" customHeight="true" outlineLevel="0" collapsed="false">
      <c r="A269" s="477" t="s">
        <v>2058</v>
      </c>
      <c r="B269" s="477"/>
      <c r="C269" s="477"/>
      <c r="D269" s="478" t="s">
        <v>2059</v>
      </c>
      <c r="E269" s="478"/>
      <c r="F269" s="478"/>
      <c r="G269" s="478"/>
      <c r="H269" s="478"/>
      <c r="I269" s="478"/>
      <c r="J269" s="478"/>
      <c r="K269" s="478"/>
      <c r="L269" s="478"/>
      <c r="M269" s="479" t="n">
        <f aca="false">SUMIFS(TE!P:P,TE!G:G,$A$43,TE!H:H,A269)</f>
        <v>0</v>
      </c>
      <c r="N269" s="479"/>
      <c r="O269" s="485" t="s">
        <v>1678</v>
      </c>
      <c r="P269" s="485"/>
      <c r="Q269" s="485" t="s">
        <v>1678</v>
      </c>
      <c r="R269" s="485"/>
      <c r="S269" s="485" t="s">
        <v>1678</v>
      </c>
      <c r="T269" s="485"/>
      <c r="U269" s="485" t="s">
        <v>1678</v>
      </c>
      <c r="V269" s="485"/>
      <c r="W269" s="483" t="s">
        <v>1810</v>
      </c>
      <c r="X269" s="483"/>
      <c r="Y269" s="484" t="s">
        <v>2060</v>
      </c>
      <c r="Z269" s="484"/>
      <c r="AA269" s="484"/>
      <c r="AB269" s="484"/>
      <c r="AC269" s="484"/>
      <c r="AD269" s="484"/>
      <c r="AE269" s="484"/>
      <c r="AF269" s="468"/>
    </row>
    <row r="270" s="501" customFormat="true" ht="30" hidden="false" customHeight="true" outlineLevel="0" collapsed="false">
      <c r="A270" s="477" t="s">
        <v>2061</v>
      </c>
      <c r="B270" s="477"/>
      <c r="C270" s="477"/>
      <c r="D270" s="478" t="s">
        <v>2062</v>
      </c>
      <c r="E270" s="478"/>
      <c r="F270" s="478"/>
      <c r="G270" s="478"/>
      <c r="H270" s="478"/>
      <c r="I270" s="478"/>
      <c r="J270" s="478"/>
      <c r="K270" s="478"/>
      <c r="L270" s="478"/>
      <c r="M270" s="479" t="n">
        <f aca="false">SUMIFS(TE!P:P,TE!G:G,$A$43,TE!H:H,A270)</f>
        <v>1</v>
      </c>
      <c r="N270" s="479"/>
      <c r="O270" s="485" t="s">
        <v>1678</v>
      </c>
      <c r="P270" s="485"/>
      <c r="Q270" s="485" t="s">
        <v>1678</v>
      </c>
      <c r="R270" s="485"/>
      <c r="S270" s="485" t="s">
        <v>1678</v>
      </c>
      <c r="T270" s="485"/>
      <c r="U270" s="485" t="s">
        <v>1678</v>
      </c>
      <c r="V270" s="485"/>
      <c r="W270" s="483" t="s">
        <v>1810</v>
      </c>
      <c r="X270" s="483"/>
      <c r="Y270" s="484" t="s">
        <v>2060</v>
      </c>
      <c r="Z270" s="484"/>
      <c r="AA270" s="484"/>
      <c r="AB270" s="484"/>
      <c r="AC270" s="484"/>
      <c r="AD270" s="484"/>
      <c r="AE270" s="484"/>
      <c r="AF270" s="468"/>
    </row>
    <row r="271" s="501" customFormat="true" ht="30" hidden="false" customHeight="true" outlineLevel="0" collapsed="false">
      <c r="A271" s="477" t="s">
        <v>2063</v>
      </c>
      <c r="B271" s="477"/>
      <c r="C271" s="477"/>
      <c r="D271" s="478" t="s">
        <v>2064</v>
      </c>
      <c r="E271" s="478"/>
      <c r="F271" s="478"/>
      <c r="G271" s="478"/>
      <c r="H271" s="478"/>
      <c r="I271" s="478"/>
      <c r="J271" s="478"/>
      <c r="K271" s="478"/>
      <c r="L271" s="478"/>
      <c r="M271" s="479" t="n">
        <f aca="false">SUMIFS(TE!P:P,TE!G:G,$A$43,TE!H:H,A271)</f>
        <v>0</v>
      </c>
      <c r="N271" s="479"/>
      <c r="O271" s="480" t="n">
        <v>4</v>
      </c>
      <c r="P271" s="480"/>
      <c r="Q271" s="481" t="n">
        <f aca="false">M271/O271</f>
        <v>0</v>
      </c>
      <c r="R271" s="481"/>
      <c r="S271" s="482" t="n">
        <v>13.4</v>
      </c>
      <c r="T271" s="482"/>
      <c r="U271" s="482" t="n">
        <f aca="false">Q271*S271</f>
        <v>0</v>
      </c>
      <c r="V271" s="482"/>
      <c r="W271" s="483" t="s">
        <v>1878</v>
      </c>
      <c r="X271" s="483"/>
      <c r="Y271" s="484" t="s">
        <v>1879</v>
      </c>
      <c r="Z271" s="484"/>
      <c r="AA271" s="484"/>
      <c r="AB271" s="484"/>
      <c r="AC271" s="484"/>
      <c r="AD271" s="484"/>
      <c r="AE271" s="484"/>
      <c r="AF271" s="468"/>
    </row>
    <row r="272" s="501" customFormat="true" ht="30" hidden="false" customHeight="true" outlineLevel="0" collapsed="false">
      <c r="A272" s="499" t="s">
        <v>2065</v>
      </c>
      <c r="B272" s="499"/>
      <c r="C272" s="499"/>
      <c r="D272" s="478" t="s">
        <v>2066</v>
      </c>
      <c r="E272" s="478"/>
      <c r="F272" s="478"/>
      <c r="G272" s="478"/>
      <c r="H272" s="478"/>
      <c r="I272" s="478"/>
      <c r="J272" s="478"/>
      <c r="K272" s="478"/>
      <c r="L272" s="478"/>
      <c r="M272" s="479" t="n">
        <f aca="false">SUMIFS(TE!P:P,TE!G:G,$A$43,TE!H:H,A272)</f>
        <v>0</v>
      </c>
      <c r="N272" s="479"/>
      <c r="O272" s="480" t="n">
        <v>20</v>
      </c>
      <c r="P272" s="480"/>
      <c r="Q272" s="481" t="n">
        <f aca="false">ROUNDUP(M272/O272,0)</f>
        <v>0</v>
      </c>
      <c r="R272" s="481"/>
      <c r="S272" s="482" t="n">
        <v>13.4</v>
      </c>
      <c r="T272" s="482"/>
      <c r="U272" s="482" t="n">
        <f aca="false">Q272*S272</f>
        <v>0</v>
      </c>
      <c r="V272" s="482"/>
      <c r="W272" s="483" t="s">
        <v>1878</v>
      </c>
      <c r="X272" s="483"/>
      <c r="Y272" s="484" t="s">
        <v>1991</v>
      </c>
      <c r="Z272" s="484"/>
      <c r="AA272" s="484"/>
      <c r="AB272" s="484"/>
      <c r="AC272" s="484"/>
      <c r="AD272" s="484"/>
      <c r="AE272" s="484"/>
      <c r="AF272" s="468"/>
    </row>
    <row r="273" s="501" customFormat="true" ht="30" hidden="false" customHeight="true" outlineLevel="0" collapsed="false">
      <c r="A273" s="477" t="s">
        <v>2067</v>
      </c>
      <c r="B273" s="477"/>
      <c r="C273" s="477"/>
      <c r="D273" s="478" t="s">
        <v>2068</v>
      </c>
      <c r="E273" s="478"/>
      <c r="F273" s="478"/>
      <c r="G273" s="478"/>
      <c r="H273" s="478"/>
      <c r="I273" s="478"/>
      <c r="J273" s="478"/>
      <c r="K273" s="478"/>
      <c r="L273" s="478"/>
      <c r="M273" s="479" t="n">
        <f aca="false">SUMIFS(TE!P:P,TE!G:G,$A$43,TE!H:H,A273)</f>
        <v>0</v>
      </c>
      <c r="N273" s="479"/>
      <c r="O273" s="480" t="n">
        <v>5</v>
      </c>
      <c r="P273" s="480"/>
      <c r="Q273" s="481" t="n">
        <f aca="false">M273/O273</f>
        <v>0</v>
      </c>
      <c r="R273" s="481"/>
      <c r="S273" s="482" t="n">
        <v>13.4</v>
      </c>
      <c r="T273" s="482"/>
      <c r="U273" s="482" t="n">
        <f aca="false">Q273*S273</f>
        <v>0</v>
      </c>
      <c r="V273" s="482"/>
      <c r="W273" s="483" t="s">
        <v>1878</v>
      </c>
      <c r="X273" s="483"/>
      <c r="Y273" s="484" t="s">
        <v>1879</v>
      </c>
      <c r="Z273" s="484"/>
      <c r="AA273" s="484"/>
      <c r="AB273" s="484"/>
      <c r="AC273" s="484"/>
      <c r="AD273" s="484"/>
      <c r="AE273" s="484"/>
      <c r="AF273" s="396"/>
    </row>
    <row r="274" s="501" customFormat="true" ht="30" hidden="false" customHeight="true" outlineLevel="0" collapsed="false">
      <c r="A274" s="499" t="s">
        <v>2069</v>
      </c>
      <c r="B274" s="499"/>
      <c r="C274" s="499"/>
      <c r="D274" s="478" t="s">
        <v>2070</v>
      </c>
      <c r="E274" s="478"/>
      <c r="F274" s="478"/>
      <c r="G274" s="478"/>
      <c r="H274" s="478"/>
      <c r="I274" s="478"/>
      <c r="J274" s="478"/>
      <c r="K274" s="478"/>
      <c r="L274" s="478"/>
      <c r="M274" s="479" t="n">
        <f aca="false">SUMIFS(TE!P:P,TE!G:G,$A$43,TE!H:H,A274)</f>
        <v>0</v>
      </c>
      <c r="N274" s="479"/>
      <c r="O274" s="480" t="n">
        <v>12</v>
      </c>
      <c r="P274" s="480"/>
      <c r="Q274" s="481" t="n">
        <f aca="false">ROUNDUP(M274/O274,0)</f>
        <v>0</v>
      </c>
      <c r="R274" s="481"/>
      <c r="S274" s="482" t="n">
        <v>13.4</v>
      </c>
      <c r="T274" s="482"/>
      <c r="U274" s="482" t="n">
        <f aca="false">Q274*S274</f>
        <v>0</v>
      </c>
      <c r="V274" s="482"/>
      <c r="W274" s="483" t="s">
        <v>1878</v>
      </c>
      <c r="X274" s="483"/>
      <c r="Y274" s="484" t="s">
        <v>1892</v>
      </c>
      <c r="Z274" s="484"/>
      <c r="AA274" s="484"/>
      <c r="AB274" s="484"/>
      <c r="AC274" s="484"/>
      <c r="AD274" s="484"/>
      <c r="AE274" s="484"/>
      <c r="AF274" s="396"/>
    </row>
    <row r="275" s="501" customFormat="true" ht="30" hidden="false" customHeight="true" outlineLevel="0" collapsed="false">
      <c r="A275" s="499" t="s">
        <v>2071</v>
      </c>
      <c r="B275" s="499"/>
      <c r="C275" s="499"/>
      <c r="D275" s="478" t="s">
        <v>2072</v>
      </c>
      <c r="E275" s="478"/>
      <c r="F275" s="478"/>
      <c r="G275" s="478"/>
      <c r="H275" s="478"/>
      <c r="I275" s="478"/>
      <c r="J275" s="478"/>
      <c r="K275" s="478"/>
      <c r="L275" s="478"/>
      <c r="M275" s="479" t="n">
        <f aca="false">SUMIFS(TE!P:P,TE!G:G,$A$43,TE!H:H,A275)</f>
        <v>0</v>
      </c>
      <c r="N275" s="479"/>
      <c r="O275" s="480" t="n">
        <v>20</v>
      </c>
      <c r="P275" s="480"/>
      <c r="Q275" s="481" t="n">
        <f aca="false">ROUNDUP(M275/O275,0)</f>
        <v>0</v>
      </c>
      <c r="R275" s="481"/>
      <c r="S275" s="482" t="n">
        <v>13.4</v>
      </c>
      <c r="T275" s="482"/>
      <c r="U275" s="482" t="n">
        <f aca="false">Q275*S275</f>
        <v>0</v>
      </c>
      <c r="V275" s="482"/>
      <c r="W275" s="483" t="s">
        <v>1878</v>
      </c>
      <c r="X275" s="483"/>
      <c r="Y275" s="484" t="s">
        <v>1991</v>
      </c>
      <c r="Z275" s="484"/>
      <c r="AA275" s="484"/>
      <c r="AB275" s="484"/>
      <c r="AC275" s="484"/>
      <c r="AD275" s="484"/>
      <c r="AE275" s="484"/>
      <c r="AF275" s="396"/>
    </row>
    <row r="276" s="501" customFormat="true" ht="30" hidden="false" customHeight="true" outlineLevel="0" collapsed="false">
      <c r="A276" s="499" t="s">
        <v>2073</v>
      </c>
      <c r="B276" s="499"/>
      <c r="C276" s="499"/>
      <c r="D276" s="498" t="s">
        <v>2074</v>
      </c>
      <c r="E276" s="498"/>
      <c r="F276" s="498"/>
      <c r="G276" s="498"/>
      <c r="H276" s="498"/>
      <c r="I276" s="498"/>
      <c r="J276" s="498"/>
      <c r="K276" s="498"/>
      <c r="L276" s="498"/>
      <c r="M276" s="479" t="n">
        <f aca="false">SUMIFS(TE!P:P,TE!G:G,$A$43,TE!H:H,A276)</f>
        <v>0</v>
      </c>
      <c r="N276" s="479"/>
      <c r="O276" s="480" t="n">
        <v>10</v>
      </c>
      <c r="P276" s="480"/>
      <c r="Q276" s="481" t="n">
        <f aca="false">ROUNDUP(M276/O276,0)</f>
        <v>0</v>
      </c>
      <c r="R276" s="481"/>
      <c r="S276" s="482" t="n">
        <v>18</v>
      </c>
      <c r="T276" s="482"/>
      <c r="U276" s="482" t="n">
        <f aca="false">Q276*S276</f>
        <v>0</v>
      </c>
      <c r="V276" s="482"/>
      <c r="W276" s="483" t="s">
        <v>1878</v>
      </c>
      <c r="X276" s="483"/>
      <c r="Y276" s="484" t="s">
        <v>1711</v>
      </c>
      <c r="Z276" s="484"/>
      <c r="AA276" s="484"/>
      <c r="AB276" s="484"/>
      <c r="AC276" s="484"/>
      <c r="AD276" s="484"/>
      <c r="AE276" s="484"/>
      <c r="AF276" s="396"/>
    </row>
    <row r="277" s="501" customFormat="true" ht="30" hidden="false" customHeight="true" outlineLevel="0" collapsed="false">
      <c r="A277" s="499" t="s">
        <v>2075</v>
      </c>
      <c r="B277" s="499"/>
      <c r="C277" s="499"/>
      <c r="D277" s="498" t="s">
        <v>2076</v>
      </c>
      <c r="E277" s="498"/>
      <c r="F277" s="498"/>
      <c r="G277" s="498"/>
      <c r="H277" s="498"/>
      <c r="I277" s="498"/>
      <c r="J277" s="498"/>
      <c r="K277" s="498"/>
      <c r="L277" s="498"/>
      <c r="M277" s="479" t="n">
        <f aca="false">SUMIFS(TE!P:P,TE!G:G,$A$43,TE!H:H,A277)</f>
        <v>0</v>
      </c>
      <c r="N277" s="479"/>
      <c r="O277" s="480" t="n">
        <v>10</v>
      </c>
      <c r="P277" s="480"/>
      <c r="Q277" s="481" t="n">
        <f aca="false">ROUNDUP(M277/O277,0)</f>
        <v>0</v>
      </c>
      <c r="R277" s="481"/>
      <c r="S277" s="482" t="n">
        <v>13.4</v>
      </c>
      <c r="T277" s="482"/>
      <c r="U277" s="482" t="n">
        <f aca="false">Q277*S277</f>
        <v>0</v>
      </c>
      <c r="V277" s="482"/>
      <c r="W277" s="483" t="s">
        <v>1878</v>
      </c>
      <c r="X277" s="483"/>
      <c r="Y277" s="484" t="s">
        <v>2077</v>
      </c>
      <c r="Z277" s="484"/>
      <c r="AA277" s="484"/>
      <c r="AB277" s="484"/>
      <c r="AC277" s="484"/>
      <c r="AD277" s="484"/>
      <c r="AE277" s="484"/>
      <c r="AF277" s="396"/>
    </row>
    <row r="278" s="501" customFormat="true" ht="30" hidden="false" customHeight="true" outlineLevel="0" collapsed="false">
      <c r="A278" s="499" t="s">
        <v>2078</v>
      </c>
      <c r="B278" s="499"/>
      <c r="C278" s="499"/>
      <c r="D278" s="498" t="s">
        <v>2079</v>
      </c>
      <c r="E278" s="498"/>
      <c r="F278" s="498"/>
      <c r="G278" s="498"/>
      <c r="H278" s="498"/>
      <c r="I278" s="498"/>
      <c r="J278" s="498"/>
      <c r="K278" s="498"/>
      <c r="L278" s="498"/>
      <c r="M278" s="479" t="n">
        <f aca="false">SUMIFS(TE!P:P,TE!G:G,$A$43,TE!H:H,A278)</f>
        <v>0</v>
      </c>
      <c r="N278" s="479"/>
      <c r="O278" s="480" t="n">
        <v>4</v>
      </c>
      <c r="P278" s="480"/>
      <c r="Q278" s="481" t="n">
        <f aca="false">ROUNDUP(M278/O278,0)</f>
        <v>0</v>
      </c>
      <c r="R278" s="481"/>
      <c r="S278" s="482" t="n">
        <v>13.4</v>
      </c>
      <c r="T278" s="482"/>
      <c r="U278" s="482" t="n">
        <f aca="false">Q278*S278</f>
        <v>0</v>
      </c>
      <c r="V278" s="482"/>
      <c r="W278" s="483" t="s">
        <v>1878</v>
      </c>
      <c r="X278" s="483"/>
      <c r="Y278" s="484" t="s">
        <v>1942</v>
      </c>
      <c r="Z278" s="484"/>
      <c r="AA278" s="484"/>
      <c r="AB278" s="484"/>
      <c r="AC278" s="484"/>
      <c r="AD278" s="484"/>
      <c r="AE278" s="484"/>
      <c r="AF278" s="396"/>
    </row>
    <row r="279" s="501" customFormat="true" ht="30" hidden="false" customHeight="true" outlineLevel="0" collapsed="false">
      <c r="A279" s="499" t="s">
        <v>2080</v>
      </c>
      <c r="B279" s="499"/>
      <c r="C279" s="499"/>
      <c r="D279" s="498" t="s">
        <v>2081</v>
      </c>
      <c r="E279" s="498"/>
      <c r="F279" s="498"/>
      <c r="G279" s="498"/>
      <c r="H279" s="498"/>
      <c r="I279" s="498"/>
      <c r="J279" s="498"/>
      <c r="K279" s="498"/>
      <c r="L279" s="498"/>
      <c r="M279" s="479" t="n">
        <f aca="false">SUMIFS(TE!P:P,TE!G:G,$A$43,TE!H:H,A279)</f>
        <v>0</v>
      </c>
      <c r="N279" s="479"/>
      <c r="O279" s="480" t="n">
        <v>4</v>
      </c>
      <c r="P279" s="480"/>
      <c r="Q279" s="481" t="n">
        <f aca="false">ROUNDUP(M279/O279,0)</f>
        <v>0</v>
      </c>
      <c r="R279" s="481"/>
      <c r="S279" s="482" t="n">
        <v>13.4</v>
      </c>
      <c r="T279" s="482"/>
      <c r="U279" s="482" t="n">
        <f aca="false">Q279*S279</f>
        <v>0</v>
      </c>
      <c r="V279" s="482"/>
      <c r="W279" s="483" t="s">
        <v>1902</v>
      </c>
      <c r="X279" s="483"/>
      <c r="Y279" s="484" t="s">
        <v>1796</v>
      </c>
      <c r="Z279" s="484"/>
      <c r="AA279" s="484"/>
      <c r="AB279" s="484"/>
      <c r="AC279" s="484"/>
      <c r="AD279" s="484"/>
      <c r="AE279" s="484"/>
      <c r="AF279" s="396"/>
    </row>
    <row r="280" s="501" customFormat="true" ht="30" hidden="false" customHeight="true" outlineLevel="0" collapsed="false">
      <c r="A280" s="499" t="s">
        <v>2082</v>
      </c>
      <c r="B280" s="499"/>
      <c r="C280" s="499"/>
      <c r="D280" s="498" t="s">
        <v>2083</v>
      </c>
      <c r="E280" s="498"/>
      <c r="F280" s="498"/>
      <c r="G280" s="498"/>
      <c r="H280" s="498"/>
      <c r="I280" s="498"/>
      <c r="J280" s="498"/>
      <c r="K280" s="498"/>
      <c r="L280" s="498"/>
      <c r="M280" s="479" t="n">
        <f aca="false">SUMIFS(TE!P:P,TE!G:G,$A$43,TE!H:H,A280)</f>
        <v>0</v>
      </c>
      <c r="N280" s="479"/>
      <c r="O280" s="480" t="n">
        <v>16</v>
      </c>
      <c r="P280" s="480"/>
      <c r="Q280" s="481" t="n">
        <f aca="false">ROUNDUP(M280/O280,0)</f>
        <v>0</v>
      </c>
      <c r="R280" s="481"/>
      <c r="S280" s="482" t="n">
        <v>21</v>
      </c>
      <c r="T280" s="482"/>
      <c r="U280" s="482" t="n">
        <f aca="false">Q280*S280</f>
        <v>0</v>
      </c>
      <c r="V280" s="482"/>
      <c r="W280" s="483" t="s">
        <v>1771</v>
      </c>
      <c r="X280" s="483"/>
      <c r="Y280" s="484" t="s">
        <v>2084</v>
      </c>
      <c r="Z280" s="484"/>
      <c r="AA280" s="484"/>
      <c r="AB280" s="484"/>
      <c r="AC280" s="484"/>
      <c r="AD280" s="484"/>
      <c r="AE280" s="484"/>
      <c r="AF280" s="396"/>
    </row>
    <row r="281" s="501" customFormat="true" ht="30" hidden="false" customHeight="true" outlineLevel="0" collapsed="false">
      <c r="A281" s="502" t="s">
        <v>2085</v>
      </c>
      <c r="B281" s="502"/>
      <c r="C281" s="502"/>
      <c r="D281" s="503" t="s">
        <v>2086</v>
      </c>
      <c r="E281" s="503"/>
      <c r="F281" s="503"/>
      <c r="G281" s="503"/>
      <c r="H281" s="503"/>
      <c r="I281" s="503"/>
      <c r="J281" s="503"/>
      <c r="K281" s="503"/>
      <c r="L281" s="503"/>
      <c r="M281" s="488" t="n">
        <f aca="false">SUMIFS(TE!P:P,TE!G:G,$A$43,TE!H:H,A281)</f>
        <v>0</v>
      </c>
      <c r="N281" s="488"/>
      <c r="O281" s="489" t="n">
        <v>6</v>
      </c>
      <c r="P281" s="489"/>
      <c r="Q281" s="490" t="n">
        <f aca="false">ROUNDUP(M281/O281,0)</f>
        <v>0</v>
      </c>
      <c r="R281" s="490"/>
      <c r="S281" s="491" t="n">
        <v>13.4</v>
      </c>
      <c r="T281" s="491"/>
      <c r="U281" s="491" t="n">
        <f aca="false">Q281*S281</f>
        <v>0</v>
      </c>
      <c r="V281" s="491"/>
      <c r="W281" s="492" t="s">
        <v>1902</v>
      </c>
      <c r="X281" s="492"/>
      <c r="Y281" s="493" t="s">
        <v>1903</v>
      </c>
      <c r="Z281" s="493"/>
      <c r="AA281" s="493"/>
      <c r="AB281" s="493"/>
      <c r="AC281" s="493"/>
      <c r="AD281" s="493"/>
      <c r="AE281" s="493"/>
      <c r="AF281" s="396"/>
    </row>
    <row r="282" s="501" customFormat="true" ht="12.75" hidden="false" customHeight="true" outlineLevel="0" collapsed="false">
      <c r="A282" s="396"/>
      <c r="B282" s="396"/>
      <c r="C282" s="396"/>
      <c r="D282" s="396"/>
      <c r="E282" s="396"/>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c r="AD282" s="396"/>
      <c r="AE282" s="396"/>
      <c r="AF282" s="396"/>
    </row>
    <row r="283" s="501" customFormat="true" ht="12.75" hidden="false" customHeight="true" outlineLevel="0" collapsed="false">
      <c r="A283" s="495"/>
      <c r="B283" s="495"/>
      <c r="C283" s="495"/>
      <c r="D283" s="495"/>
      <c r="E283" s="495"/>
      <c r="F283" s="495"/>
      <c r="G283" s="495"/>
      <c r="H283" s="495"/>
      <c r="I283" s="495"/>
      <c r="J283" s="495"/>
      <c r="K283" s="495"/>
      <c r="L283" s="495"/>
      <c r="M283" s="495"/>
      <c r="N283" s="495"/>
      <c r="O283" s="495"/>
      <c r="P283" s="495"/>
      <c r="Q283" s="495"/>
      <c r="R283" s="495"/>
      <c r="S283" s="495"/>
      <c r="T283" s="495"/>
      <c r="U283" s="495"/>
      <c r="V283" s="495"/>
      <c r="W283" s="495"/>
      <c r="X283" s="495"/>
      <c r="Y283" s="495"/>
      <c r="Z283" s="495"/>
      <c r="AA283" s="495"/>
      <c r="AB283" s="453"/>
      <c r="AC283" s="454" t="s">
        <v>1657</v>
      </c>
      <c r="AD283" s="455" t="n">
        <v>10</v>
      </c>
      <c r="AE283" s="455" t="s">
        <v>29</v>
      </c>
      <c r="AF283" s="455" t="n">
        <v>27</v>
      </c>
    </row>
    <row r="284" s="501" customFormat="true" ht="12.75" hidden="false" customHeight="true" outlineLevel="0" collapsed="false">
      <c r="A284" s="398" t="s">
        <v>1522</v>
      </c>
      <c r="B284" s="398"/>
      <c r="C284" s="456" t="n">
        <v>14345</v>
      </c>
      <c r="D284" s="456"/>
      <c r="E284" s="456"/>
      <c r="F284" s="456"/>
      <c r="G284" s="456"/>
      <c r="H284" s="456"/>
      <c r="I284" s="456"/>
      <c r="J284" s="456"/>
      <c r="K284" s="456"/>
      <c r="L284" s="456"/>
      <c r="M284" s="398" t="s">
        <v>1523</v>
      </c>
      <c r="N284" s="398"/>
      <c r="O284" s="398"/>
      <c r="P284" s="398"/>
      <c r="Q284" s="398"/>
      <c r="R284" s="456" t="s">
        <v>15</v>
      </c>
      <c r="S284" s="456"/>
      <c r="T284" s="456"/>
      <c r="U284" s="456"/>
      <c r="V284" s="456"/>
      <c r="W284" s="456"/>
      <c r="X284" s="456"/>
      <c r="Y284" s="456"/>
      <c r="Z284" s="456"/>
      <c r="AA284" s="456"/>
      <c r="AB284" s="456"/>
      <c r="AC284" s="456"/>
      <c r="AD284" s="456"/>
      <c r="AE284" s="456"/>
      <c r="AF284" s="456"/>
    </row>
    <row r="285" s="501" customFormat="true" ht="12.75" hidden="false" customHeight="true" outlineLevel="0" collapsed="false">
      <c r="A285" s="458"/>
      <c r="B285" s="458"/>
      <c r="C285" s="459"/>
      <c r="D285" s="459"/>
      <c r="E285" s="459"/>
      <c r="F285" s="459"/>
      <c r="G285" s="459"/>
      <c r="H285" s="459"/>
      <c r="I285" s="459"/>
      <c r="J285" s="459"/>
      <c r="K285" s="459"/>
      <c r="L285" s="459"/>
      <c r="M285" s="458"/>
      <c r="N285" s="458"/>
      <c r="O285" s="458"/>
      <c r="P285" s="458"/>
      <c r="Q285" s="458"/>
      <c r="R285" s="459"/>
      <c r="S285" s="459"/>
      <c r="T285" s="459"/>
      <c r="U285" s="459"/>
      <c r="V285" s="459"/>
      <c r="W285" s="459"/>
      <c r="X285" s="459"/>
      <c r="Y285" s="459"/>
      <c r="Z285" s="459"/>
      <c r="AA285" s="459"/>
      <c r="AB285" s="459"/>
      <c r="AC285" s="459"/>
      <c r="AD285" s="459"/>
      <c r="AE285" s="459"/>
      <c r="AF285" s="459"/>
    </row>
    <row r="286" s="501" customFormat="true" ht="12.75" hidden="false" customHeight="true" outlineLevel="0" collapsed="false">
      <c r="A286" s="460" t="str">
        <f aca="false">A259</f>
        <v>M28261</v>
      </c>
      <c r="B286" s="460"/>
      <c r="C286" s="460"/>
      <c r="D286" s="461" t="str">
        <f aca="false">D259</f>
        <v>H&amp;S CO</v>
      </c>
      <c r="E286" s="461"/>
      <c r="F286" s="461"/>
      <c r="G286" s="461"/>
      <c r="H286" s="461"/>
      <c r="I286" s="461"/>
      <c r="J286" s="461"/>
      <c r="K286" s="461"/>
      <c r="L286" s="461"/>
      <c r="M286" s="458"/>
      <c r="N286" s="458"/>
      <c r="O286" s="458"/>
      <c r="P286" s="459"/>
      <c r="Q286" s="458"/>
      <c r="R286" s="459"/>
      <c r="S286" s="459"/>
      <c r="T286" s="459"/>
      <c r="U286" s="459"/>
      <c r="V286" s="459"/>
      <c r="W286" s="459"/>
      <c r="X286" s="459"/>
      <c r="Y286" s="459"/>
      <c r="Z286" s="459"/>
      <c r="AA286" s="459"/>
      <c r="AB286" s="459"/>
      <c r="AC286" s="459"/>
      <c r="AD286" s="459"/>
      <c r="AE286" s="459"/>
      <c r="AF286" s="459"/>
    </row>
    <row r="287" s="501" customFormat="true" ht="15.75" hidden="false" customHeight="true" outlineLevel="0" collapsed="false">
      <c r="A287" s="462" t="s">
        <v>1659</v>
      </c>
      <c r="B287" s="462"/>
      <c r="C287" s="462"/>
      <c r="D287" s="463" t="s">
        <v>1660</v>
      </c>
      <c r="E287" s="463"/>
      <c r="F287" s="463"/>
      <c r="G287" s="463"/>
      <c r="H287" s="463"/>
      <c r="I287" s="463"/>
      <c r="J287" s="463"/>
      <c r="K287" s="463"/>
      <c r="L287" s="463"/>
      <c r="M287" s="464" t="s">
        <v>1661</v>
      </c>
      <c r="N287" s="464"/>
      <c r="O287" s="465" t="s">
        <v>1662</v>
      </c>
      <c r="P287" s="465"/>
      <c r="Q287" s="465" t="s">
        <v>1663</v>
      </c>
      <c r="R287" s="465"/>
      <c r="S287" s="466" t="s">
        <v>1664</v>
      </c>
      <c r="T287" s="466"/>
      <c r="U287" s="466" t="s">
        <v>1665</v>
      </c>
      <c r="V287" s="466"/>
      <c r="W287" s="464" t="s">
        <v>1666</v>
      </c>
      <c r="X287" s="464"/>
      <c r="Y287" s="467" t="s">
        <v>1667</v>
      </c>
      <c r="Z287" s="467"/>
      <c r="AA287" s="467"/>
      <c r="AB287" s="467"/>
      <c r="AC287" s="467"/>
      <c r="AD287" s="467"/>
      <c r="AE287" s="467"/>
      <c r="AF287" s="459"/>
    </row>
    <row r="288" s="501" customFormat="true" ht="15.75" hidden="false" customHeight="true" outlineLevel="0" collapsed="false">
      <c r="A288" s="462"/>
      <c r="B288" s="462"/>
      <c r="C288" s="462"/>
      <c r="D288" s="463"/>
      <c r="E288" s="463"/>
      <c r="F288" s="463"/>
      <c r="G288" s="463"/>
      <c r="H288" s="463"/>
      <c r="I288" s="463"/>
      <c r="J288" s="463"/>
      <c r="K288" s="463"/>
      <c r="L288" s="463"/>
      <c r="M288" s="464"/>
      <c r="N288" s="464"/>
      <c r="O288" s="465"/>
      <c r="P288" s="465"/>
      <c r="Q288" s="465"/>
      <c r="R288" s="465"/>
      <c r="S288" s="466"/>
      <c r="T288" s="466"/>
      <c r="U288" s="466"/>
      <c r="V288" s="466"/>
      <c r="W288" s="464"/>
      <c r="X288" s="464"/>
      <c r="Y288" s="467"/>
      <c r="Z288" s="467"/>
      <c r="AA288" s="467"/>
      <c r="AB288" s="467"/>
      <c r="AC288" s="467"/>
      <c r="AD288" s="467"/>
      <c r="AE288" s="467"/>
      <c r="AF288" s="459"/>
    </row>
    <row r="289" s="501" customFormat="true" ht="15.75" hidden="false" customHeight="true" outlineLevel="0" collapsed="false">
      <c r="A289" s="462"/>
      <c r="B289" s="462"/>
      <c r="C289" s="462"/>
      <c r="D289" s="463"/>
      <c r="E289" s="463"/>
      <c r="F289" s="463"/>
      <c r="G289" s="463"/>
      <c r="H289" s="463"/>
      <c r="I289" s="463"/>
      <c r="J289" s="463"/>
      <c r="K289" s="463"/>
      <c r="L289" s="463"/>
      <c r="M289" s="464"/>
      <c r="N289" s="464"/>
      <c r="O289" s="465"/>
      <c r="P289" s="465"/>
      <c r="Q289" s="465"/>
      <c r="R289" s="465"/>
      <c r="S289" s="466"/>
      <c r="T289" s="466"/>
      <c r="U289" s="466"/>
      <c r="V289" s="466"/>
      <c r="W289" s="464"/>
      <c r="X289" s="464"/>
      <c r="Y289" s="467"/>
      <c r="Z289" s="467"/>
      <c r="AA289" s="467"/>
      <c r="AB289" s="467"/>
      <c r="AC289" s="467"/>
      <c r="AD289" s="467"/>
      <c r="AE289" s="467"/>
      <c r="AF289" s="468"/>
    </row>
    <row r="290" s="501" customFormat="true" ht="30" hidden="false" customHeight="true" outlineLevel="0" collapsed="false">
      <c r="A290" s="504" t="s">
        <v>2087</v>
      </c>
      <c r="B290" s="504"/>
      <c r="C290" s="504"/>
      <c r="D290" s="505" t="s">
        <v>2088</v>
      </c>
      <c r="E290" s="505"/>
      <c r="F290" s="505"/>
      <c r="G290" s="505"/>
      <c r="H290" s="505"/>
      <c r="I290" s="505"/>
      <c r="J290" s="505"/>
      <c r="K290" s="505"/>
      <c r="L290" s="505"/>
      <c r="M290" s="471" t="n">
        <f aca="false">SUMIFS(TE!P:P,TE!G:G,$A$43,TE!H:H,A290)</f>
        <v>0</v>
      </c>
      <c r="N290" s="471"/>
      <c r="O290" s="472" t="n">
        <v>20</v>
      </c>
      <c r="P290" s="472"/>
      <c r="Q290" s="473" t="n">
        <f aca="false">ROUNDUP(M290/O290,0)</f>
        <v>0</v>
      </c>
      <c r="R290" s="473"/>
      <c r="S290" s="474" t="n">
        <v>13.4</v>
      </c>
      <c r="T290" s="474"/>
      <c r="U290" s="474" t="n">
        <f aca="false">Q290*S290</f>
        <v>0</v>
      </c>
      <c r="V290" s="474"/>
      <c r="W290" s="475" t="s">
        <v>1878</v>
      </c>
      <c r="X290" s="475"/>
      <c r="Y290" s="476" t="s">
        <v>1991</v>
      </c>
      <c r="Z290" s="476"/>
      <c r="AA290" s="476"/>
      <c r="AB290" s="476"/>
      <c r="AC290" s="476"/>
      <c r="AD290" s="476"/>
      <c r="AE290" s="476"/>
      <c r="AF290" s="468"/>
    </row>
    <row r="291" s="501" customFormat="true" ht="30" hidden="false" customHeight="true" outlineLevel="0" collapsed="false">
      <c r="A291" s="497" t="s">
        <v>2089</v>
      </c>
      <c r="B291" s="497"/>
      <c r="C291" s="497"/>
      <c r="D291" s="498" t="s">
        <v>2090</v>
      </c>
      <c r="E291" s="498"/>
      <c r="F291" s="498"/>
      <c r="G291" s="498"/>
      <c r="H291" s="498"/>
      <c r="I291" s="498"/>
      <c r="J291" s="498"/>
      <c r="K291" s="498"/>
      <c r="L291" s="498"/>
      <c r="M291" s="479" t="n">
        <f aca="false">SUMIFS(TE!P:P,TE!G:G,$A$43,TE!H:H,A291)</f>
        <v>0</v>
      </c>
      <c r="N291" s="479"/>
      <c r="O291" s="480" t="n">
        <v>20</v>
      </c>
      <c r="P291" s="480"/>
      <c r="Q291" s="481" t="n">
        <f aca="false">ROUNDUP(M291/O291,0)</f>
        <v>0</v>
      </c>
      <c r="R291" s="481"/>
      <c r="S291" s="482" t="n">
        <v>13.4</v>
      </c>
      <c r="T291" s="482"/>
      <c r="U291" s="482" t="n">
        <f aca="false">Q291*S291</f>
        <v>0</v>
      </c>
      <c r="V291" s="482"/>
      <c r="W291" s="483" t="s">
        <v>1878</v>
      </c>
      <c r="X291" s="483"/>
      <c r="Y291" s="484" t="s">
        <v>1991</v>
      </c>
      <c r="Z291" s="484"/>
      <c r="AA291" s="484"/>
      <c r="AB291" s="484"/>
      <c r="AC291" s="484"/>
      <c r="AD291" s="484"/>
      <c r="AE291" s="484"/>
      <c r="AF291" s="468"/>
    </row>
    <row r="292" s="501" customFormat="true" ht="30" hidden="false" customHeight="true" outlineLevel="0" collapsed="false">
      <c r="A292" s="497" t="s">
        <v>2091</v>
      </c>
      <c r="B292" s="497"/>
      <c r="C292" s="497"/>
      <c r="D292" s="498" t="s">
        <v>2092</v>
      </c>
      <c r="E292" s="498"/>
      <c r="F292" s="498"/>
      <c r="G292" s="498"/>
      <c r="H292" s="498"/>
      <c r="I292" s="498"/>
      <c r="J292" s="498"/>
      <c r="K292" s="498"/>
      <c r="L292" s="498"/>
      <c r="M292" s="479" t="n">
        <f aca="false">SUMIFS(TE!P:P,TE!G:G,$A$43,TE!H:H,A292)</f>
        <v>0</v>
      </c>
      <c r="N292" s="479"/>
      <c r="O292" s="480" t="n">
        <v>20</v>
      </c>
      <c r="P292" s="480"/>
      <c r="Q292" s="481" t="n">
        <f aca="false">ROUNDUP(M292/O292,0)</f>
        <v>0</v>
      </c>
      <c r="R292" s="481"/>
      <c r="S292" s="482" t="n">
        <v>13.4</v>
      </c>
      <c r="T292" s="482"/>
      <c r="U292" s="482" t="n">
        <f aca="false">Q292*S292</f>
        <v>0</v>
      </c>
      <c r="V292" s="482"/>
      <c r="W292" s="483" t="s">
        <v>1878</v>
      </c>
      <c r="X292" s="483"/>
      <c r="Y292" s="484" t="s">
        <v>1991</v>
      </c>
      <c r="Z292" s="484"/>
      <c r="AA292" s="484"/>
      <c r="AB292" s="484"/>
      <c r="AC292" s="484"/>
      <c r="AD292" s="484"/>
      <c r="AE292" s="484"/>
      <c r="AF292" s="468"/>
    </row>
    <row r="293" s="501" customFormat="true" ht="30" hidden="false" customHeight="true" outlineLevel="0" collapsed="false">
      <c r="A293" s="477" t="s">
        <v>2093</v>
      </c>
      <c r="B293" s="477"/>
      <c r="C293" s="477"/>
      <c r="D293" s="478" t="s">
        <v>2094</v>
      </c>
      <c r="E293" s="478"/>
      <c r="F293" s="478"/>
      <c r="G293" s="478"/>
      <c r="H293" s="478"/>
      <c r="I293" s="478"/>
      <c r="J293" s="478"/>
      <c r="K293" s="478"/>
      <c r="L293" s="478"/>
      <c r="M293" s="479" t="n">
        <f aca="false">SUMIFS(TE!P:P,TE!G:G,$A$43,TE!H:H,A293)</f>
        <v>2</v>
      </c>
      <c r="N293" s="479"/>
      <c r="O293" s="485" t="s">
        <v>1678</v>
      </c>
      <c r="P293" s="485"/>
      <c r="Q293" s="485" t="s">
        <v>1678</v>
      </c>
      <c r="R293" s="485"/>
      <c r="S293" s="485" t="s">
        <v>1678</v>
      </c>
      <c r="T293" s="485"/>
      <c r="U293" s="485" t="s">
        <v>1678</v>
      </c>
      <c r="V293" s="485"/>
      <c r="W293" s="483" t="s">
        <v>1810</v>
      </c>
      <c r="X293" s="483"/>
      <c r="Y293" s="484" t="s">
        <v>2095</v>
      </c>
      <c r="Z293" s="484"/>
      <c r="AA293" s="484"/>
      <c r="AB293" s="484"/>
      <c r="AC293" s="484"/>
      <c r="AD293" s="484"/>
      <c r="AE293" s="484"/>
      <c r="AF293" s="468"/>
    </row>
    <row r="294" s="501" customFormat="true" ht="30" hidden="false" customHeight="true" outlineLevel="0" collapsed="false">
      <c r="A294" s="477" t="s">
        <v>2096</v>
      </c>
      <c r="B294" s="477"/>
      <c r="C294" s="477"/>
      <c r="D294" s="478" t="s">
        <v>2097</v>
      </c>
      <c r="E294" s="478"/>
      <c r="F294" s="478"/>
      <c r="G294" s="478"/>
      <c r="H294" s="478"/>
      <c r="I294" s="478"/>
      <c r="J294" s="478"/>
      <c r="K294" s="478"/>
      <c r="L294" s="478"/>
      <c r="M294" s="479" t="n">
        <f aca="false">SUMIFS(TE!P:P,TE!G:G,$A$43,TE!H:H,A294)</f>
        <v>0</v>
      </c>
      <c r="N294" s="479"/>
      <c r="O294" s="485" t="s">
        <v>1678</v>
      </c>
      <c r="P294" s="485"/>
      <c r="Q294" s="485" t="s">
        <v>1678</v>
      </c>
      <c r="R294" s="485"/>
      <c r="S294" s="485" t="s">
        <v>1678</v>
      </c>
      <c r="T294" s="485"/>
      <c r="U294" s="485" t="s">
        <v>1678</v>
      </c>
      <c r="V294" s="485"/>
      <c r="W294" s="483" t="s">
        <v>1810</v>
      </c>
      <c r="X294" s="483"/>
      <c r="Y294" s="484" t="s">
        <v>2036</v>
      </c>
      <c r="Z294" s="484"/>
      <c r="AA294" s="484"/>
      <c r="AB294" s="484"/>
      <c r="AC294" s="484"/>
      <c r="AD294" s="484"/>
      <c r="AE294" s="484"/>
      <c r="AF294" s="468"/>
    </row>
    <row r="295" s="501" customFormat="true" ht="30" hidden="false" customHeight="true" outlineLevel="0" collapsed="false">
      <c r="A295" s="477" t="s">
        <v>2098</v>
      </c>
      <c r="B295" s="477"/>
      <c r="C295" s="477"/>
      <c r="D295" s="478" t="s">
        <v>2099</v>
      </c>
      <c r="E295" s="478"/>
      <c r="F295" s="478"/>
      <c r="G295" s="478"/>
      <c r="H295" s="478"/>
      <c r="I295" s="478"/>
      <c r="J295" s="478"/>
      <c r="K295" s="478"/>
      <c r="L295" s="478"/>
      <c r="M295" s="479" t="n">
        <f aca="false">SUMIFS(TE!P:P,TE!G:G,$A$43,TE!H:H,A295)</f>
        <v>6</v>
      </c>
      <c r="N295" s="479"/>
      <c r="O295" s="480" t="n">
        <v>100</v>
      </c>
      <c r="P295" s="480"/>
      <c r="Q295" s="481" t="n">
        <f aca="false">M295/O295</f>
        <v>0.06</v>
      </c>
      <c r="R295" s="481"/>
      <c r="S295" s="482" t="n">
        <v>13.4</v>
      </c>
      <c r="T295" s="482"/>
      <c r="U295" s="482" t="n">
        <f aca="false">Q295*S295</f>
        <v>0.804</v>
      </c>
      <c r="V295" s="482"/>
      <c r="W295" s="483" t="s">
        <v>1670</v>
      </c>
      <c r="X295" s="483"/>
      <c r="Y295" s="484" t="s">
        <v>1671</v>
      </c>
      <c r="Z295" s="484"/>
      <c r="AA295" s="484"/>
      <c r="AB295" s="484"/>
      <c r="AC295" s="484"/>
      <c r="AD295" s="484"/>
      <c r="AE295" s="484"/>
      <c r="AF295" s="468"/>
    </row>
    <row r="296" s="501" customFormat="true" ht="30" hidden="false" customHeight="true" outlineLevel="0" collapsed="false">
      <c r="A296" s="477" t="s">
        <v>2100</v>
      </c>
      <c r="B296" s="477"/>
      <c r="C296" s="477"/>
      <c r="D296" s="478" t="s">
        <v>2101</v>
      </c>
      <c r="E296" s="478"/>
      <c r="F296" s="478"/>
      <c r="G296" s="478"/>
      <c r="H296" s="478"/>
      <c r="I296" s="478"/>
      <c r="J296" s="478"/>
      <c r="K296" s="478"/>
      <c r="L296" s="478"/>
      <c r="M296" s="479" t="n">
        <f aca="false">SUMIFS(TE!P:P,TE!G:G,$A$43,TE!H:H,A296)</f>
        <v>0</v>
      </c>
      <c r="N296" s="479"/>
      <c r="O296" s="480" t="n">
        <v>72</v>
      </c>
      <c r="P296" s="480"/>
      <c r="Q296" s="481" t="n">
        <f aca="false">M296/O296</f>
        <v>0</v>
      </c>
      <c r="R296" s="481"/>
      <c r="S296" s="482" t="n">
        <v>13.4</v>
      </c>
      <c r="T296" s="482"/>
      <c r="U296" s="482" t="n">
        <f aca="false">Q296*S296</f>
        <v>0</v>
      </c>
      <c r="V296" s="482"/>
      <c r="W296" s="483" t="s">
        <v>1670</v>
      </c>
      <c r="X296" s="483"/>
      <c r="Y296" s="484" t="s">
        <v>1671</v>
      </c>
      <c r="Z296" s="484"/>
      <c r="AA296" s="484"/>
      <c r="AB296" s="484"/>
      <c r="AC296" s="484"/>
      <c r="AD296" s="484"/>
      <c r="AE296" s="484"/>
      <c r="AF296" s="468"/>
    </row>
    <row r="297" s="501" customFormat="true" ht="30" hidden="false" customHeight="true" outlineLevel="0" collapsed="false">
      <c r="A297" s="477" t="s">
        <v>2102</v>
      </c>
      <c r="B297" s="477"/>
      <c r="C297" s="477"/>
      <c r="D297" s="478" t="s">
        <v>2103</v>
      </c>
      <c r="E297" s="478"/>
      <c r="F297" s="478"/>
      <c r="G297" s="478"/>
      <c r="H297" s="478"/>
      <c r="I297" s="478"/>
      <c r="J297" s="478"/>
      <c r="K297" s="478"/>
      <c r="L297" s="478"/>
      <c r="M297" s="479" t="n">
        <f aca="false">SUMIFS(TE!P:P,TE!G:G,$A$43,TE!H:H,A297)</f>
        <v>2</v>
      </c>
      <c r="N297" s="479"/>
      <c r="O297" s="480" t="n">
        <v>4</v>
      </c>
      <c r="P297" s="480"/>
      <c r="Q297" s="481" t="n">
        <f aca="false">ROUNDUP(M297/O297,0)</f>
        <v>1</v>
      </c>
      <c r="R297" s="481"/>
      <c r="S297" s="482" t="n">
        <v>15.9</v>
      </c>
      <c r="T297" s="482"/>
      <c r="U297" s="482" t="s">
        <v>2104</v>
      </c>
      <c r="V297" s="482"/>
      <c r="W297" s="483" t="s">
        <v>2105</v>
      </c>
      <c r="X297" s="483"/>
      <c r="Y297" s="484" t="s">
        <v>2106</v>
      </c>
      <c r="Z297" s="484"/>
      <c r="AA297" s="484"/>
      <c r="AB297" s="484"/>
      <c r="AC297" s="484"/>
      <c r="AD297" s="484"/>
      <c r="AE297" s="484"/>
      <c r="AF297" s="468"/>
    </row>
    <row r="298" s="501" customFormat="true" ht="30" hidden="false" customHeight="true" outlineLevel="0" collapsed="false">
      <c r="A298" s="477" t="s">
        <v>2107</v>
      </c>
      <c r="B298" s="477"/>
      <c r="C298" s="477"/>
      <c r="D298" s="478" t="s">
        <v>2108</v>
      </c>
      <c r="E298" s="478"/>
      <c r="F298" s="478"/>
      <c r="G298" s="478"/>
      <c r="H298" s="478"/>
      <c r="I298" s="478"/>
      <c r="J298" s="478"/>
      <c r="K298" s="478"/>
      <c r="L298" s="478"/>
      <c r="M298" s="479" t="n">
        <f aca="false">SUMIFS(TE!P:P,TE!G:G,$A$43,TE!H:H,A298)</f>
        <v>8</v>
      </c>
      <c r="N298" s="479"/>
      <c r="O298" s="480" t="n">
        <v>500</v>
      </c>
      <c r="P298" s="480"/>
      <c r="Q298" s="481" t="n">
        <f aca="false">M298/O298</f>
        <v>0.016</v>
      </c>
      <c r="R298" s="481"/>
      <c r="S298" s="482" t="n">
        <v>13.4</v>
      </c>
      <c r="T298" s="482"/>
      <c r="U298" s="482" t="n">
        <f aca="false">Q298*S298</f>
        <v>0.2144</v>
      </c>
      <c r="V298" s="482"/>
      <c r="W298" s="483" t="s">
        <v>1670</v>
      </c>
      <c r="X298" s="483"/>
      <c r="Y298" s="484" t="s">
        <v>1671</v>
      </c>
      <c r="Z298" s="484"/>
      <c r="AA298" s="484"/>
      <c r="AB298" s="484"/>
      <c r="AC298" s="484"/>
      <c r="AD298" s="484"/>
      <c r="AE298" s="484"/>
      <c r="AF298" s="468"/>
    </row>
    <row r="299" s="501" customFormat="true" ht="30" hidden="false" customHeight="true" outlineLevel="0" collapsed="false">
      <c r="A299" s="477" t="s">
        <v>2109</v>
      </c>
      <c r="B299" s="477"/>
      <c r="C299" s="477"/>
      <c r="D299" s="478" t="s">
        <v>2110</v>
      </c>
      <c r="E299" s="478"/>
      <c r="F299" s="478"/>
      <c r="G299" s="478"/>
      <c r="H299" s="478"/>
      <c r="I299" s="478"/>
      <c r="J299" s="478"/>
      <c r="K299" s="478"/>
      <c r="L299" s="478"/>
      <c r="M299" s="479" t="n">
        <f aca="false">SUMIFS(TE!P:P,TE!G:G,$A$43,TE!H:H,A299)</f>
        <v>0</v>
      </c>
      <c r="N299" s="479"/>
      <c r="O299" s="485" t="s">
        <v>1678</v>
      </c>
      <c r="P299" s="485"/>
      <c r="Q299" s="485" t="s">
        <v>1678</v>
      </c>
      <c r="R299" s="485"/>
      <c r="S299" s="485" t="s">
        <v>1678</v>
      </c>
      <c r="T299" s="485"/>
      <c r="U299" s="485" t="s">
        <v>1678</v>
      </c>
      <c r="V299" s="485"/>
      <c r="W299" s="483" t="s">
        <v>1679</v>
      </c>
      <c r="X299" s="483"/>
      <c r="Y299" s="484" t="s">
        <v>2111</v>
      </c>
      <c r="Z299" s="484"/>
      <c r="AA299" s="484"/>
      <c r="AB299" s="484"/>
      <c r="AC299" s="484"/>
      <c r="AD299" s="484"/>
      <c r="AE299" s="484"/>
      <c r="AF299" s="468"/>
    </row>
    <row r="300" s="501" customFormat="true" ht="30" hidden="false" customHeight="true" outlineLevel="0" collapsed="false">
      <c r="A300" s="477" t="s">
        <v>2112</v>
      </c>
      <c r="B300" s="477"/>
      <c r="C300" s="477"/>
      <c r="D300" s="478" t="s">
        <v>2113</v>
      </c>
      <c r="E300" s="478"/>
      <c r="F300" s="478"/>
      <c r="G300" s="478"/>
      <c r="H300" s="478"/>
      <c r="I300" s="478"/>
      <c r="J300" s="478"/>
      <c r="K300" s="478"/>
      <c r="L300" s="478"/>
      <c r="M300" s="479" t="n">
        <f aca="false">SUMIFS(TE!P:P,TE!G:G,$A$43,TE!H:H,A300)</f>
        <v>0</v>
      </c>
      <c r="N300" s="479"/>
      <c r="O300" s="480" t="n">
        <v>4</v>
      </c>
      <c r="P300" s="480"/>
      <c r="Q300" s="481" t="n">
        <f aca="false">ROUNDUP(M300/O300,0)</f>
        <v>0</v>
      </c>
      <c r="R300" s="481"/>
      <c r="S300" s="482" t="n">
        <v>20</v>
      </c>
      <c r="T300" s="482"/>
      <c r="U300" s="482" t="n">
        <f aca="false">Q300*S300</f>
        <v>0</v>
      </c>
      <c r="V300" s="482"/>
      <c r="W300" s="483" t="s">
        <v>1841</v>
      </c>
      <c r="X300" s="483"/>
      <c r="Y300" s="484" t="s">
        <v>1842</v>
      </c>
      <c r="Z300" s="484"/>
      <c r="AA300" s="484"/>
      <c r="AB300" s="484"/>
      <c r="AC300" s="484"/>
      <c r="AD300" s="484"/>
      <c r="AE300" s="484"/>
      <c r="AF300" s="396"/>
    </row>
    <row r="301" s="501" customFormat="true" ht="30" hidden="false" customHeight="true" outlineLevel="0" collapsed="false">
      <c r="A301" s="477" t="s">
        <v>2114</v>
      </c>
      <c r="B301" s="477"/>
      <c r="C301" s="477"/>
      <c r="D301" s="478" t="s">
        <v>1725</v>
      </c>
      <c r="E301" s="478"/>
      <c r="F301" s="478"/>
      <c r="G301" s="478"/>
      <c r="H301" s="478"/>
      <c r="I301" s="478"/>
      <c r="J301" s="478"/>
      <c r="K301" s="478"/>
      <c r="L301" s="478"/>
      <c r="M301" s="479" t="n">
        <f aca="false">SUMIFS(TE!P:P,TE!G:G,$A$43,TE!H:H,A301)</f>
        <v>0</v>
      </c>
      <c r="N301" s="479"/>
      <c r="O301" s="480" t="n">
        <v>100</v>
      </c>
      <c r="P301" s="480"/>
      <c r="Q301" s="481" t="n">
        <f aca="false">M301/O301</f>
        <v>0</v>
      </c>
      <c r="R301" s="481"/>
      <c r="S301" s="482" t="n">
        <v>13.4</v>
      </c>
      <c r="T301" s="482"/>
      <c r="U301" s="482" t="n">
        <f aca="false">Q301*S301</f>
        <v>0</v>
      </c>
      <c r="V301" s="482"/>
      <c r="W301" s="483" t="s">
        <v>1670</v>
      </c>
      <c r="X301" s="483"/>
      <c r="Y301" s="484" t="s">
        <v>1671</v>
      </c>
      <c r="Z301" s="484"/>
      <c r="AA301" s="484"/>
      <c r="AB301" s="484"/>
      <c r="AC301" s="484"/>
      <c r="AD301" s="484"/>
      <c r="AE301" s="484"/>
      <c r="AF301" s="396"/>
    </row>
    <row r="302" s="501" customFormat="true" ht="30" hidden="false" customHeight="true" outlineLevel="0" collapsed="false">
      <c r="A302" s="477" t="s">
        <v>2115</v>
      </c>
      <c r="B302" s="477"/>
      <c r="C302" s="477"/>
      <c r="D302" s="478" t="s">
        <v>2116</v>
      </c>
      <c r="E302" s="478"/>
      <c r="F302" s="478"/>
      <c r="G302" s="478"/>
      <c r="H302" s="478"/>
      <c r="I302" s="478"/>
      <c r="J302" s="478"/>
      <c r="K302" s="478"/>
      <c r="L302" s="478"/>
      <c r="M302" s="479" t="n">
        <f aca="false">SUMIFS(TE!P:P,TE!G:G,$A$43,TE!H:H,A302)</f>
        <v>0</v>
      </c>
      <c r="N302" s="479"/>
      <c r="O302" s="480" t="n">
        <v>5</v>
      </c>
      <c r="P302" s="480"/>
      <c r="Q302" s="481" t="n">
        <f aca="false">ROUNDUP(M302/O302,0)</f>
        <v>0</v>
      </c>
      <c r="R302" s="481"/>
      <c r="S302" s="482" t="n">
        <v>12</v>
      </c>
      <c r="T302" s="482"/>
      <c r="U302" s="482" t="n">
        <f aca="false">Q302*S302</f>
        <v>0</v>
      </c>
      <c r="V302" s="482"/>
      <c r="W302" s="483" t="s">
        <v>1878</v>
      </c>
      <c r="X302" s="483"/>
      <c r="Y302" s="484" t="s">
        <v>1879</v>
      </c>
      <c r="Z302" s="484"/>
      <c r="AA302" s="484"/>
      <c r="AB302" s="484"/>
      <c r="AC302" s="484"/>
      <c r="AD302" s="484"/>
      <c r="AE302" s="484"/>
      <c r="AF302" s="396"/>
    </row>
    <row r="303" s="501" customFormat="true" ht="30" hidden="false" customHeight="true" outlineLevel="0" collapsed="false">
      <c r="A303" s="477"/>
      <c r="B303" s="477"/>
      <c r="C303" s="477"/>
      <c r="D303" s="498" t="s">
        <v>2117</v>
      </c>
      <c r="E303" s="498"/>
      <c r="F303" s="498"/>
      <c r="G303" s="498"/>
      <c r="H303" s="498"/>
      <c r="I303" s="498"/>
      <c r="J303" s="498"/>
      <c r="K303" s="498"/>
      <c r="L303" s="498"/>
      <c r="M303" s="479" t="n">
        <f aca="false">SUMIFS(TE!P:P,TE!G:G,$A$43,TE!H:H,A303)</f>
        <v>0</v>
      </c>
      <c r="N303" s="479"/>
      <c r="O303" s="480" t="n">
        <v>2</v>
      </c>
      <c r="P303" s="480"/>
      <c r="Q303" s="481" t="n">
        <f aca="false">ROUNDUP(M303/O303,0)</f>
        <v>0</v>
      </c>
      <c r="R303" s="481"/>
      <c r="S303" s="482" t="n">
        <v>36</v>
      </c>
      <c r="T303" s="482"/>
      <c r="U303" s="482" t="n">
        <f aca="false">Q303*S303</f>
        <v>0</v>
      </c>
      <c r="V303" s="482"/>
      <c r="W303" s="483" t="s">
        <v>2118</v>
      </c>
      <c r="X303" s="483"/>
      <c r="Y303" s="484" t="s">
        <v>2119</v>
      </c>
      <c r="Z303" s="484"/>
      <c r="AA303" s="484"/>
      <c r="AB303" s="484"/>
      <c r="AC303" s="484"/>
      <c r="AD303" s="484"/>
      <c r="AE303" s="484"/>
      <c r="AF303" s="396"/>
    </row>
    <row r="304" s="501" customFormat="true" ht="30" hidden="false" customHeight="true" outlineLevel="0" collapsed="false">
      <c r="A304" s="477"/>
      <c r="B304" s="477"/>
      <c r="C304" s="477"/>
      <c r="D304" s="498" t="s">
        <v>2120</v>
      </c>
      <c r="E304" s="498"/>
      <c r="F304" s="498"/>
      <c r="G304" s="498"/>
      <c r="H304" s="498"/>
      <c r="I304" s="498"/>
      <c r="J304" s="498"/>
      <c r="K304" s="498"/>
      <c r="L304" s="498"/>
      <c r="M304" s="479" t="n">
        <f aca="false">SUMIFS(TE!P:P,TE!G:G,$A$43,TE!H:H,A304)</f>
        <v>0</v>
      </c>
      <c r="N304" s="479"/>
      <c r="O304" s="480" t="n">
        <v>4</v>
      </c>
      <c r="P304" s="480"/>
      <c r="Q304" s="481" t="n">
        <f aca="false">ROUNDUP(M304/O304,0)</f>
        <v>0</v>
      </c>
      <c r="R304" s="481"/>
      <c r="S304" s="482" t="n">
        <v>36</v>
      </c>
      <c r="T304" s="482"/>
      <c r="U304" s="482" t="n">
        <f aca="false">Q304*S304</f>
        <v>0</v>
      </c>
      <c r="V304" s="482"/>
      <c r="W304" s="483" t="s">
        <v>2118</v>
      </c>
      <c r="X304" s="483"/>
      <c r="Y304" s="484" t="s">
        <v>2119</v>
      </c>
      <c r="Z304" s="484"/>
      <c r="AA304" s="484"/>
      <c r="AB304" s="484"/>
      <c r="AC304" s="484"/>
      <c r="AD304" s="484"/>
      <c r="AE304" s="484"/>
      <c r="AF304" s="396"/>
    </row>
    <row r="305" s="501" customFormat="true" ht="30" hidden="false" customHeight="true" outlineLevel="0" collapsed="false">
      <c r="A305" s="477"/>
      <c r="B305" s="477"/>
      <c r="C305" s="477"/>
      <c r="D305" s="498" t="s">
        <v>2121</v>
      </c>
      <c r="E305" s="498"/>
      <c r="F305" s="498"/>
      <c r="G305" s="498"/>
      <c r="H305" s="498"/>
      <c r="I305" s="498"/>
      <c r="J305" s="498"/>
      <c r="K305" s="498"/>
      <c r="L305" s="498"/>
      <c r="M305" s="479" t="n">
        <f aca="false">SUMIFS(TE!P:P,TE!G:G,$A$43,TE!H:H,A305)</f>
        <v>0</v>
      </c>
      <c r="N305" s="479"/>
      <c r="O305" s="480" t="n">
        <v>2</v>
      </c>
      <c r="P305" s="480"/>
      <c r="Q305" s="481" t="n">
        <f aca="false">ROUNDUP(M305/O305,0)</f>
        <v>0</v>
      </c>
      <c r="R305" s="481"/>
      <c r="S305" s="482" t="n">
        <v>36</v>
      </c>
      <c r="T305" s="482"/>
      <c r="U305" s="482" t="n">
        <f aca="false">Q305*S305</f>
        <v>0</v>
      </c>
      <c r="V305" s="482"/>
      <c r="W305" s="483" t="s">
        <v>2118</v>
      </c>
      <c r="X305" s="483"/>
      <c r="Y305" s="484" t="s">
        <v>2119</v>
      </c>
      <c r="Z305" s="484"/>
      <c r="AA305" s="484"/>
      <c r="AB305" s="484"/>
      <c r="AC305" s="484"/>
      <c r="AD305" s="484"/>
      <c r="AE305" s="484"/>
      <c r="AF305" s="396"/>
    </row>
    <row r="306" s="501" customFormat="true" ht="30" hidden="false" customHeight="true" outlineLevel="0" collapsed="false">
      <c r="A306" s="477"/>
      <c r="B306" s="477"/>
      <c r="C306" s="477"/>
      <c r="D306" s="498" t="s">
        <v>2122</v>
      </c>
      <c r="E306" s="498"/>
      <c r="F306" s="498"/>
      <c r="G306" s="498"/>
      <c r="H306" s="498"/>
      <c r="I306" s="498"/>
      <c r="J306" s="498"/>
      <c r="K306" s="498"/>
      <c r="L306" s="498"/>
      <c r="M306" s="479" t="n">
        <f aca="false">SUMIFS(TE!P:P,TE!G:G,$A$43,TE!H:H,A306)</f>
        <v>0</v>
      </c>
      <c r="N306" s="479"/>
      <c r="O306" s="480" t="n">
        <v>112</v>
      </c>
      <c r="P306" s="480"/>
      <c r="Q306" s="481" t="n">
        <f aca="false">ROUNDUP(M306/O306,0)</f>
        <v>0</v>
      </c>
      <c r="R306" s="481"/>
      <c r="S306" s="482" t="n">
        <v>13.4</v>
      </c>
      <c r="T306" s="482"/>
      <c r="U306" s="482" t="n">
        <f aca="false">Q306*S306</f>
        <v>0</v>
      </c>
      <c r="V306" s="482"/>
      <c r="W306" s="483" t="s">
        <v>1670</v>
      </c>
      <c r="X306" s="483"/>
      <c r="Y306" s="484" t="s">
        <v>1671</v>
      </c>
      <c r="Z306" s="484"/>
      <c r="AA306" s="484"/>
      <c r="AB306" s="484"/>
      <c r="AC306" s="484"/>
      <c r="AD306" s="484"/>
      <c r="AE306" s="484"/>
      <c r="AF306" s="396"/>
    </row>
    <row r="307" s="501" customFormat="true" ht="30" hidden="false" customHeight="true" outlineLevel="0" collapsed="false">
      <c r="A307" s="477"/>
      <c r="B307" s="477"/>
      <c r="C307" s="477"/>
      <c r="D307" s="498" t="s">
        <v>2123</v>
      </c>
      <c r="E307" s="498"/>
      <c r="F307" s="498"/>
      <c r="G307" s="498"/>
      <c r="H307" s="498"/>
      <c r="I307" s="498"/>
      <c r="J307" s="498"/>
      <c r="K307" s="498"/>
      <c r="L307" s="498"/>
      <c r="M307" s="479" t="n">
        <f aca="false">SUMIFS(TE!P:P,TE!G:G,$A$43,TE!H:H,A307)</f>
        <v>0</v>
      </c>
      <c r="N307" s="479"/>
      <c r="O307" s="480" t="n">
        <v>112</v>
      </c>
      <c r="P307" s="480"/>
      <c r="Q307" s="481" t="n">
        <f aca="false">ROUNDUP(M307/O307,0)</f>
        <v>0</v>
      </c>
      <c r="R307" s="481"/>
      <c r="S307" s="482" t="n">
        <v>13.4</v>
      </c>
      <c r="T307" s="482"/>
      <c r="U307" s="482" t="n">
        <f aca="false">Q307*S307</f>
        <v>0</v>
      </c>
      <c r="V307" s="482"/>
      <c r="W307" s="483" t="s">
        <v>1670</v>
      </c>
      <c r="X307" s="483"/>
      <c r="Y307" s="484" t="s">
        <v>1671</v>
      </c>
      <c r="Z307" s="484"/>
      <c r="AA307" s="484"/>
      <c r="AB307" s="484"/>
      <c r="AC307" s="484"/>
      <c r="AD307" s="484"/>
      <c r="AE307" s="484"/>
      <c r="AF307" s="396"/>
    </row>
    <row r="308" s="501" customFormat="true" ht="30" hidden="false" customHeight="true" outlineLevel="0" collapsed="false">
      <c r="A308" s="486"/>
      <c r="B308" s="486"/>
      <c r="C308" s="486"/>
      <c r="D308" s="503" t="s">
        <v>2124</v>
      </c>
      <c r="E308" s="503"/>
      <c r="F308" s="503"/>
      <c r="G308" s="503"/>
      <c r="H308" s="503"/>
      <c r="I308" s="503"/>
      <c r="J308" s="503"/>
      <c r="K308" s="503"/>
      <c r="L308" s="503"/>
      <c r="M308" s="488" t="n">
        <f aca="false">SUMIFS(TE!P:P,TE!G:G,$A$43,TE!H:H,A308)</f>
        <v>0</v>
      </c>
      <c r="N308" s="488"/>
      <c r="O308" s="489" t="n">
        <v>112</v>
      </c>
      <c r="P308" s="489"/>
      <c r="Q308" s="490" t="n">
        <f aca="false">ROUNDUP(M308/O308,0)</f>
        <v>0</v>
      </c>
      <c r="R308" s="490"/>
      <c r="S308" s="491" t="n">
        <v>13.4</v>
      </c>
      <c r="T308" s="491"/>
      <c r="U308" s="491" t="n">
        <f aca="false">Q308*S308</f>
        <v>0</v>
      </c>
      <c r="V308" s="491"/>
      <c r="W308" s="492" t="s">
        <v>1670</v>
      </c>
      <c r="X308" s="492"/>
      <c r="Y308" s="493" t="s">
        <v>1671</v>
      </c>
      <c r="Z308" s="493"/>
      <c r="AA308" s="493"/>
      <c r="AB308" s="493"/>
      <c r="AC308" s="493"/>
      <c r="AD308" s="493"/>
      <c r="AE308" s="493"/>
      <c r="AF308" s="396"/>
    </row>
    <row r="309" s="501" customFormat="true" ht="12.75" hidden="false" customHeight="true" outlineLevel="0" collapsed="false">
      <c r="A309" s="396"/>
      <c r="B309" s="396"/>
      <c r="C309" s="396"/>
      <c r="D309" s="396"/>
      <c r="E309" s="396"/>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c r="AD309" s="396"/>
      <c r="AE309" s="396"/>
      <c r="AF309" s="396"/>
    </row>
    <row r="310" s="396" customFormat="true" ht="15.75" hidden="false" customHeight="true" outlineLevel="0" collapsed="false">
      <c r="A310" s="495"/>
      <c r="B310" s="495"/>
      <c r="C310" s="495"/>
      <c r="D310" s="495"/>
      <c r="E310" s="495"/>
      <c r="F310" s="495"/>
      <c r="G310" s="495"/>
      <c r="H310" s="495"/>
      <c r="I310" s="495"/>
      <c r="J310" s="495"/>
      <c r="K310" s="495"/>
      <c r="L310" s="495"/>
      <c r="M310" s="495"/>
      <c r="N310" s="495"/>
      <c r="O310" s="495"/>
      <c r="P310" s="495"/>
      <c r="Q310" s="495"/>
      <c r="R310" s="495"/>
      <c r="S310" s="495"/>
      <c r="T310" s="495"/>
      <c r="U310" s="495"/>
      <c r="V310" s="495"/>
      <c r="W310" s="495"/>
      <c r="X310" s="495"/>
      <c r="Y310" s="495"/>
      <c r="Z310" s="495"/>
      <c r="AA310" s="495"/>
      <c r="AB310" s="453"/>
      <c r="AC310" s="454" t="s">
        <v>1657</v>
      </c>
      <c r="AD310" s="455" t="n">
        <v>11</v>
      </c>
      <c r="AE310" s="455" t="s">
        <v>29</v>
      </c>
      <c r="AF310" s="455" t="n">
        <v>27</v>
      </c>
    </row>
    <row r="311" s="396" customFormat="true" ht="12.75" hidden="false" customHeight="true" outlineLevel="0" collapsed="false">
      <c r="A311" s="398" t="s">
        <v>1522</v>
      </c>
      <c r="B311" s="398"/>
      <c r="C311" s="456" t="n">
        <v>14345</v>
      </c>
      <c r="D311" s="456"/>
      <c r="E311" s="456"/>
      <c r="F311" s="456"/>
      <c r="G311" s="456"/>
      <c r="H311" s="456"/>
      <c r="I311" s="456"/>
      <c r="J311" s="456"/>
      <c r="K311" s="456"/>
      <c r="L311" s="456"/>
      <c r="M311" s="398" t="s">
        <v>1523</v>
      </c>
      <c r="N311" s="398"/>
      <c r="O311" s="398"/>
      <c r="P311" s="398"/>
      <c r="Q311" s="398"/>
      <c r="R311" s="456" t="s">
        <v>15</v>
      </c>
      <c r="S311" s="456"/>
      <c r="T311" s="456"/>
      <c r="U311" s="456"/>
      <c r="V311" s="456"/>
      <c r="W311" s="456"/>
      <c r="X311" s="456"/>
      <c r="Y311" s="456"/>
      <c r="Z311" s="456"/>
      <c r="AA311" s="456"/>
      <c r="AB311" s="456"/>
      <c r="AC311" s="456"/>
      <c r="AD311" s="456"/>
      <c r="AE311" s="456"/>
      <c r="AF311" s="456"/>
    </row>
    <row r="312" s="396" customFormat="true" ht="12.75" hidden="false" customHeight="true" outlineLevel="0" collapsed="false">
      <c r="A312" s="458"/>
      <c r="B312" s="458"/>
      <c r="C312" s="459"/>
      <c r="D312" s="459"/>
      <c r="E312" s="459"/>
      <c r="F312" s="459"/>
      <c r="G312" s="459"/>
      <c r="H312" s="459"/>
      <c r="I312" s="459"/>
      <c r="J312" s="459"/>
      <c r="K312" s="459"/>
      <c r="L312" s="459"/>
      <c r="M312" s="458"/>
      <c r="N312" s="458"/>
      <c r="O312" s="458"/>
      <c r="P312" s="458"/>
      <c r="Q312" s="458"/>
      <c r="R312" s="459"/>
      <c r="S312" s="459"/>
      <c r="T312" s="459"/>
      <c r="U312" s="459"/>
      <c r="V312" s="459"/>
      <c r="W312" s="459"/>
      <c r="X312" s="459"/>
      <c r="Y312" s="459"/>
      <c r="Z312" s="459"/>
      <c r="AA312" s="459"/>
      <c r="AB312" s="459"/>
      <c r="AC312" s="459"/>
      <c r="AD312" s="459"/>
      <c r="AE312" s="459"/>
      <c r="AF312" s="459"/>
    </row>
    <row r="313" s="396" customFormat="true" ht="12.75" hidden="false" customHeight="true" outlineLevel="0" collapsed="false">
      <c r="A313" s="460" t="str">
        <f aca="false">A286</f>
        <v>M28261</v>
      </c>
      <c r="B313" s="460"/>
      <c r="C313" s="460"/>
      <c r="D313" s="461" t="str">
        <f aca="false">D286</f>
        <v>H&amp;S CO</v>
      </c>
      <c r="E313" s="461"/>
      <c r="F313" s="461"/>
      <c r="G313" s="461"/>
      <c r="H313" s="461"/>
      <c r="I313" s="461"/>
      <c r="J313" s="461"/>
      <c r="K313" s="461"/>
      <c r="L313" s="461"/>
      <c r="M313" s="458"/>
      <c r="N313" s="458"/>
      <c r="O313" s="458"/>
      <c r="P313" s="459"/>
      <c r="Q313" s="458"/>
      <c r="R313" s="459"/>
      <c r="S313" s="459"/>
      <c r="T313" s="459"/>
      <c r="U313" s="459"/>
      <c r="V313" s="459"/>
      <c r="W313" s="459"/>
      <c r="X313" s="459"/>
      <c r="Y313" s="459"/>
      <c r="Z313" s="459"/>
      <c r="AA313" s="459"/>
      <c r="AB313" s="459"/>
      <c r="AC313" s="459"/>
      <c r="AD313" s="459"/>
      <c r="AE313" s="459"/>
      <c r="AF313" s="459"/>
    </row>
    <row r="314" s="396" customFormat="true" ht="15.75" hidden="false" customHeight="true" outlineLevel="0" collapsed="false">
      <c r="A314" s="462" t="s">
        <v>1659</v>
      </c>
      <c r="B314" s="462"/>
      <c r="C314" s="462"/>
      <c r="D314" s="463" t="s">
        <v>1660</v>
      </c>
      <c r="E314" s="463"/>
      <c r="F314" s="463"/>
      <c r="G314" s="463"/>
      <c r="H314" s="463"/>
      <c r="I314" s="463"/>
      <c r="J314" s="463"/>
      <c r="K314" s="463"/>
      <c r="L314" s="463"/>
      <c r="M314" s="464" t="s">
        <v>1661</v>
      </c>
      <c r="N314" s="464"/>
      <c r="O314" s="465" t="s">
        <v>1662</v>
      </c>
      <c r="P314" s="465"/>
      <c r="Q314" s="465" t="s">
        <v>1663</v>
      </c>
      <c r="R314" s="465"/>
      <c r="S314" s="466" t="s">
        <v>1664</v>
      </c>
      <c r="T314" s="466"/>
      <c r="U314" s="466" t="s">
        <v>1665</v>
      </c>
      <c r="V314" s="466"/>
      <c r="W314" s="464" t="s">
        <v>1666</v>
      </c>
      <c r="X314" s="464"/>
      <c r="Y314" s="467" t="s">
        <v>1667</v>
      </c>
      <c r="Z314" s="467"/>
      <c r="AA314" s="467"/>
      <c r="AB314" s="467"/>
      <c r="AC314" s="467"/>
      <c r="AD314" s="467"/>
      <c r="AE314" s="467"/>
      <c r="AF314" s="459"/>
    </row>
    <row r="315" s="396" customFormat="true" ht="15.75" hidden="false" customHeight="true" outlineLevel="0" collapsed="false">
      <c r="A315" s="462"/>
      <c r="B315" s="462"/>
      <c r="C315" s="462"/>
      <c r="D315" s="463"/>
      <c r="E315" s="463"/>
      <c r="F315" s="463"/>
      <c r="G315" s="463"/>
      <c r="H315" s="463"/>
      <c r="I315" s="463"/>
      <c r="J315" s="463"/>
      <c r="K315" s="463"/>
      <c r="L315" s="463"/>
      <c r="M315" s="464"/>
      <c r="N315" s="464"/>
      <c r="O315" s="465"/>
      <c r="P315" s="465"/>
      <c r="Q315" s="465"/>
      <c r="R315" s="465"/>
      <c r="S315" s="466"/>
      <c r="T315" s="466"/>
      <c r="U315" s="466"/>
      <c r="V315" s="466"/>
      <c r="W315" s="464"/>
      <c r="X315" s="464"/>
      <c r="Y315" s="467"/>
      <c r="Z315" s="467"/>
      <c r="AA315" s="467"/>
      <c r="AB315" s="467"/>
      <c r="AC315" s="467"/>
      <c r="AD315" s="467"/>
      <c r="AE315" s="467"/>
      <c r="AF315" s="459"/>
    </row>
    <row r="316" s="396" customFormat="true" ht="15.75" hidden="false" customHeight="true" outlineLevel="0" collapsed="false">
      <c r="A316" s="462"/>
      <c r="B316" s="462"/>
      <c r="C316" s="462"/>
      <c r="D316" s="463"/>
      <c r="E316" s="463"/>
      <c r="F316" s="463"/>
      <c r="G316" s="463"/>
      <c r="H316" s="463"/>
      <c r="I316" s="463"/>
      <c r="J316" s="463"/>
      <c r="K316" s="463"/>
      <c r="L316" s="463"/>
      <c r="M316" s="464"/>
      <c r="N316" s="464"/>
      <c r="O316" s="465"/>
      <c r="P316" s="465"/>
      <c r="Q316" s="465"/>
      <c r="R316" s="465"/>
      <c r="S316" s="466"/>
      <c r="T316" s="466"/>
      <c r="U316" s="466"/>
      <c r="V316" s="466"/>
      <c r="W316" s="464"/>
      <c r="X316" s="464"/>
      <c r="Y316" s="467"/>
      <c r="Z316" s="467"/>
      <c r="AA316" s="467"/>
      <c r="AB316" s="467"/>
      <c r="AC316" s="467"/>
      <c r="AD316" s="467"/>
      <c r="AE316" s="467"/>
      <c r="AF316" s="468"/>
    </row>
    <row r="317" s="396" customFormat="true" ht="30" hidden="false" customHeight="true" outlineLevel="0" collapsed="false">
      <c r="A317" s="469"/>
      <c r="B317" s="469"/>
      <c r="C317" s="469"/>
      <c r="D317" s="505" t="s">
        <v>2125</v>
      </c>
      <c r="E317" s="505"/>
      <c r="F317" s="505"/>
      <c r="G317" s="505"/>
      <c r="H317" s="505"/>
      <c r="I317" s="505"/>
      <c r="J317" s="505"/>
      <c r="K317" s="505"/>
      <c r="L317" s="505"/>
      <c r="M317" s="471" t="n">
        <f aca="false">SUMIFS(TE!P:P,TE!G:G,$A$43,TE!H:H,A317)</f>
        <v>0</v>
      </c>
      <c r="N317" s="471"/>
      <c r="O317" s="472" t="n">
        <v>112</v>
      </c>
      <c r="P317" s="472"/>
      <c r="Q317" s="473" t="n">
        <f aca="false">ROUNDUP(M317/O317,0)</f>
        <v>0</v>
      </c>
      <c r="R317" s="473"/>
      <c r="S317" s="474" t="n">
        <v>13.4</v>
      </c>
      <c r="T317" s="474"/>
      <c r="U317" s="474" t="n">
        <f aca="false">Q317*S317</f>
        <v>0</v>
      </c>
      <c r="V317" s="474"/>
      <c r="W317" s="475" t="s">
        <v>1670</v>
      </c>
      <c r="X317" s="475"/>
      <c r="Y317" s="476" t="s">
        <v>1671</v>
      </c>
      <c r="Z317" s="476"/>
      <c r="AA317" s="476"/>
      <c r="AB317" s="476"/>
      <c r="AC317" s="476"/>
      <c r="AD317" s="476"/>
      <c r="AE317" s="476"/>
      <c r="AF317" s="468"/>
    </row>
    <row r="318" s="396" customFormat="true" ht="30" hidden="false" customHeight="true" outlineLevel="0" collapsed="false">
      <c r="A318" s="477"/>
      <c r="B318" s="477"/>
      <c r="C318" s="477"/>
      <c r="D318" s="498" t="s">
        <v>2126</v>
      </c>
      <c r="E318" s="498"/>
      <c r="F318" s="498"/>
      <c r="G318" s="498"/>
      <c r="H318" s="498"/>
      <c r="I318" s="498"/>
      <c r="J318" s="498"/>
      <c r="K318" s="498"/>
      <c r="L318" s="498"/>
      <c r="M318" s="479" t="n">
        <f aca="false">SUMIFS(TE!P:P,TE!G:G,$A$43,TE!H:H,A318)</f>
        <v>0</v>
      </c>
      <c r="N318" s="479"/>
      <c r="O318" s="480" t="n">
        <v>11</v>
      </c>
      <c r="P318" s="480"/>
      <c r="Q318" s="481" t="n">
        <f aca="false">ROUNDUP(M318/O318,0)</f>
        <v>0</v>
      </c>
      <c r="R318" s="481"/>
      <c r="S318" s="482" t="n">
        <v>13.4</v>
      </c>
      <c r="T318" s="482"/>
      <c r="U318" s="482" t="n">
        <f aca="false">Q318*S318</f>
        <v>0</v>
      </c>
      <c r="V318" s="482"/>
      <c r="W318" s="483" t="s">
        <v>1670</v>
      </c>
      <c r="X318" s="483"/>
      <c r="Y318" s="484" t="s">
        <v>1671</v>
      </c>
      <c r="Z318" s="484"/>
      <c r="AA318" s="484"/>
      <c r="AB318" s="484"/>
      <c r="AC318" s="484"/>
      <c r="AD318" s="484"/>
      <c r="AE318" s="484"/>
      <c r="AF318" s="468"/>
    </row>
    <row r="319" s="396" customFormat="true" ht="30" hidden="false" customHeight="true" outlineLevel="0" collapsed="false">
      <c r="A319" s="477"/>
      <c r="B319" s="477"/>
      <c r="C319" s="477"/>
      <c r="D319" s="478" t="s">
        <v>2127</v>
      </c>
      <c r="E319" s="478"/>
      <c r="F319" s="478"/>
      <c r="G319" s="478"/>
      <c r="H319" s="478"/>
      <c r="I319" s="478"/>
      <c r="J319" s="478"/>
      <c r="K319" s="478"/>
      <c r="L319" s="478"/>
      <c r="M319" s="479" t="n">
        <f aca="false">SUMIFS(TE!P:P,TE!G:G,$A$43,TE!H:H,A319)</f>
        <v>0</v>
      </c>
      <c r="N319" s="479"/>
      <c r="O319" s="480" t="n">
        <v>112</v>
      </c>
      <c r="P319" s="480"/>
      <c r="Q319" s="481" t="n">
        <f aca="false">ROUNDUP(M319/O319,0)</f>
        <v>0</v>
      </c>
      <c r="R319" s="481"/>
      <c r="S319" s="482" t="n">
        <v>13.4</v>
      </c>
      <c r="T319" s="482"/>
      <c r="U319" s="482" t="n">
        <f aca="false">Q319*S319</f>
        <v>0</v>
      </c>
      <c r="V319" s="482"/>
      <c r="W319" s="483" t="s">
        <v>1670</v>
      </c>
      <c r="X319" s="483"/>
      <c r="Y319" s="484" t="s">
        <v>1671</v>
      </c>
      <c r="Z319" s="484"/>
      <c r="AA319" s="484"/>
      <c r="AB319" s="484"/>
      <c r="AC319" s="484"/>
      <c r="AD319" s="484"/>
      <c r="AE319" s="484"/>
      <c r="AF319" s="468"/>
    </row>
    <row r="320" s="396" customFormat="true" ht="30" hidden="false" customHeight="true" outlineLevel="0" collapsed="false">
      <c r="A320" s="477"/>
      <c r="B320" s="477"/>
      <c r="C320" s="477"/>
      <c r="D320" s="478" t="s">
        <v>2128</v>
      </c>
      <c r="E320" s="478"/>
      <c r="F320" s="478"/>
      <c r="G320" s="478"/>
      <c r="H320" s="478"/>
      <c r="I320" s="478"/>
      <c r="J320" s="478"/>
      <c r="K320" s="478"/>
      <c r="L320" s="478"/>
      <c r="M320" s="479" t="n">
        <f aca="false">SUMIFS(TE!P:P,TE!G:G,$A$43,TE!H:H,A320)</f>
        <v>0</v>
      </c>
      <c r="N320" s="479"/>
      <c r="O320" s="480" t="n">
        <v>6</v>
      </c>
      <c r="P320" s="480"/>
      <c r="Q320" s="481" t="n">
        <f aca="false">ROUNDUP(M320/O320,0)</f>
        <v>0</v>
      </c>
      <c r="R320" s="481"/>
      <c r="S320" s="482" t="n">
        <v>13.4</v>
      </c>
      <c r="T320" s="482"/>
      <c r="U320" s="482" t="n">
        <f aca="false">Q320*S320</f>
        <v>0</v>
      </c>
      <c r="V320" s="482"/>
      <c r="W320" s="483" t="s">
        <v>1902</v>
      </c>
      <c r="X320" s="483"/>
      <c r="Y320" s="484" t="s">
        <v>1903</v>
      </c>
      <c r="Z320" s="484"/>
      <c r="AA320" s="484"/>
      <c r="AB320" s="484"/>
      <c r="AC320" s="484"/>
      <c r="AD320" s="484"/>
      <c r="AE320" s="484"/>
      <c r="AF320" s="468"/>
    </row>
    <row r="321" s="396" customFormat="true" ht="30" hidden="false" customHeight="true" outlineLevel="0" collapsed="false">
      <c r="A321" s="477"/>
      <c r="B321" s="477"/>
      <c r="C321" s="477"/>
      <c r="D321" s="478" t="s">
        <v>2129</v>
      </c>
      <c r="E321" s="478"/>
      <c r="F321" s="478"/>
      <c r="G321" s="478"/>
      <c r="H321" s="478"/>
      <c r="I321" s="478"/>
      <c r="J321" s="478"/>
      <c r="K321" s="478"/>
      <c r="L321" s="478"/>
      <c r="M321" s="479" t="n">
        <f aca="false">SUMIFS(TE!P:P,TE!G:G,$A$43,TE!H:H,A321)</f>
        <v>0</v>
      </c>
      <c r="N321" s="479"/>
      <c r="O321" s="480" t="n">
        <v>15</v>
      </c>
      <c r="P321" s="480"/>
      <c r="Q321" s="481" t="n">
        <f aca="false">ROUNDUP(M321/O321,0)</f>
        <v>0</v>
      </c>
      <c r="R321" s="481"/>
      <c r="S321" s="482" t="n">
        <v>7.4</v>
      </c>
      <c r="T321" s="482"/>
      <c r="U321" s="482" t="n">
        <f aca="false">Q321*S321</f>
        <v>0</v>
      </c>
      <c r="V321" s="482"/>
      <c r="W321" s="483" t="s">
        <v>2130</v>
      </c>
      <c r="X321" s="483"/>
      <c r="Y321" s="484" t="s">
        <v>2131</v>
      </c>
      <c r="Z321" s="484"/>
      <c r="AA321" s="484"/>
      <c r="AB321" s="484"/>
      <c r="AC321" s="484"/>
      <c r="AD321" s="484"/>
      <c r="AE321" s="484"/>
      <c r="AF321" s="468"/>
    </row>
    <row r="322" s="396" customFormat="true" ht="30" hidden="false" customHeight="true" outlineLevel="0" collapsed="false">
      <c r="A322" s="477"/>
      <c r="B322" s="477"/>
      <c r="C322" s="477"/>
      <c r="D322" s="478" t="s">
        <v>2132</v>
      </c>
      <c r="E322" s="478"/>
      <c r="F322" s="478"/>
      <c r="G322" s="478"/>
      <c r="H322" s="478"/>
      <c r="I322" s="478"/>
      <c r="J322" s="478"/>
      <c r="K322" s="478"/>
      <c r="L322" s="478"/>
      <c r="M322" s="479" t="n">
        <f aca="false">SUMIFS(TE!P:P,TE!G:G,$A$43,TE!H:H,A322)</f>
        <v>0</v>
      </c>
      <c r="N322" s="479"/>
      <c r="O322" s="480" t="n">
        <v>80</v>
      </c>
      <c r="P322" s="480"/>
      <c r="Q322" s="481" t="n">
        <f aca="false">M322/O322</f>
        <v>0</v>
      </c>
      <c r="R322" s="481"/>
      <c r="S322" s="482" t="n">
        <v>13.4</v>
      </c>
      <c r="T322" s="482"/>
      <c r="U322" s="482" t="n">
        <f aca="false">Q322*S322</f>
        <v>0</v>
      </c>
      <c r="V322" s="482"/>
      <c r="W322" s="483" t="s">
        <v>1670</v>
      </c>
      <c r="X322" s="483"/>
      <c r="Y322" s="484" t="s">
        <v>1671</v>
      </c>
      <c r="Z322" s="484"/>
      <c r="AA322" s="484"/>
      <c r="AB322" s="484"/>
      <c r="AC322" s="484"/>
      <c r="AD322" s="484"/>
      <c r="AE322" s="484"/>
      <c r="AF322" s="468"/>
    </row>
    <row r="323" s="396" customFormat="true" ht="30" hidden="false" customHeight="true" outlineLevel="0" collapsed="false">
      <c r="A323" s="477"/>
      <c r="B323" s="477"/>
      <c r="C323" s="477"/>
      <c r="D323" s="478" t="s">
        <v>1747</v>
      </c>
      <c r="E323" s="478"/>
      <c r="F323" s="478"/>
      <c r="G323" s="478"/>
      <c r="H323" s="478"/>
      <c r="I323" s="478"/>
      <c r="J323" s="478"/>
      <c r="K323" s="478"/>
      <c r="L323" s="478"/>
      <c r="M323" s="479" t="n">
        <f aca="false">SUMIFS(TE!P:P,TE!G:G,$A$43,TE!H:H,A323)</f>
        <v>0</v>
      </c>
      <c r="N323" s="479"/>
      <c r="O323" s="480" t="n">
        <v>4</v>
      </c>
      <c r="P323" s="480"/>
      <c r="Q323" s="481" t="n">
        <f aca="false">ROUNDUP(M323/O323,0)</f>
        <v>0</v>
      </c>
      <c r="R323" s="481"/>
      <c r="S323" s="482" t="n">
        <v>20.1</v>
      </c>
      <c r="T323" s="482"/>
      <c r="U323" s="482" t="n">
        <f aca="false">Q323*S323</f>
        <v>0</v>
      </c>
      <c r="V323" s="482"/>
      <c r="W323" s="483" t="s">
        <v>1742</v>
      </c>
      <c r="X323" s="483"/>
      <c r="Y323" s="484" t="s">
        <v>1748</v>
      </c>
      <c r="Z323" s="484"/>
      <c r="AA323" s="484"/>
      <c r="AB323" s="484"/>
      <c r="AC323" s="484"/>
      <c r="AD323" s="484"/>
      <c r="AE323" s="484"/>
      <c r="AF323" s="468"/>
    </row>
    <row r="324" s="396" customFormat="true" ht="30" hidden="false" customHeight="true" outlineLevel="0" collapsed="false">
      <c r="A324" s="477"/>
      <c r="B324" s="477"/>
      <c r="C324" s="477"/>
      <c r="D324" s="478" t="s">
        <v>2133</v>
      </c>
      <c r="E324" s="478"/>
      <c r="F324" s="478"/>
      <c r="G324" s="478"/>
      <c r="H324" s="478"/>
      <c r="I324" s="478"/>
      <c r="J324" s="478"/>
      <c r="K324" s="478"/>
      <c r="L324" s="478"/>
      <c r="M324" s="479" t="n">
        <f aca="false">SUMIFS(TE!P:P,TE!G:G,$A$43,TE!H:H,A324)</f>
        <v>0</v>
      </c>
      <c r="N324" s="479"/>
      <c r="O324" s="480" t="n">
        <v>4</v>
      </c>
      <c r="P324" s="480"/>
      <c r="Q324" s="481" t="n">
        <f aca="false">ROUNDUP(M324/O324,0)</f>
        <v>0</v>
      </c>
      <c r="R324" s="481"/>
      <c r="S324" s="482" t="n">
        <v>20.1</v>
      </c>
      <c r="T324" s="482"/>
      <c r="U324" s="482" t="n">
        <f aca="false">Q324*S324</f>
        <v>0</v>
      </c>
      <c r="V324" s="482"/>
      <c r="W324" s="483" t="s">
        <v>1742</v>
      </c>
      <c r="X324" s="483"/>
      <c r="Y324" s="484" t="s">
        <v>1748</v>
      </c>
      <c r="Z324" s="484"/>
      <c r="AA324" s="484"/>
      <c r="AB324" s="484"/>
      <c r="AC324" s="484"/>
      <c r="AD324" s="484"/>
      <c r="AE324" s="484"/>
      <c r="AF324" s="468"/>
    </row>
    <row r="325" s="396" customFormat="true" ht="30" hidden="false" customHeight="true" outlineLevel="0" collapsed="false">
      <c r="A325" s="477"/>
      <c r="B325" s="477"/>
      <c r="C325" s="477"/>
      <c r="D325" s="478" t="s">
        <v>2134</v>
      </c>
      <c r="E325" s="478"/>
      <c r="F325" s="478"/>
      <c r="G325" s="478"/>
      <c r="H325" s="478"/>
      <c r="I325" s="478"/>
      <c r="J325" s="478"/>
      <c r="K325" s="478"/>
      <c r="L325" s="478"/>
      <c r="M325" s="479" t="n">
        <f aca="false">SUMIFS(TE!P:P,TE!G:G,$A$43,TE!H:H,A325)</f>
        <v>0</v>
      </c>
      <c r="N325" s="479"/>
      <c r="O325" s="480" t="n">
        <v>4</v>
      </c>
      <c r="P325" s="480"/>
      <c r="Q325" s="481" t="n">
        <f aca="false">ROUNDUP(M325/O325,0)</f>
        <v>0</v>
      </c>
      <c r="R325" s="481"/>
      <c r="S325" s="482" t="n">
        <v>20.1</v>
      </c>
      <c r="T325" s="482"/>
      <c r="U325" s="482" t="n">
        <f aca="false">Q325*S325</f>
        <v>0</v>
      </c>
      <c r="V325" s="482"/>
      <c r="W325" s="483" t="s">
        <v>1742</v>
      </c>
      <c r="X325" s="483"/>
      <c r="Y325" s="484" t="s">
        <v>1748</v>
      </c>
      <c r="Z325" s="484"/>
      <c r="AA325" s="484"/>
      <c r="AB325" s="484"/>
      <c r="AC325" s="484"/>
      <c r="AD325" s="484"/>
      <c r="AE325" s="484"/>
      <c r="AF325" s="468"/>
    </row>
    <row r="326" s="396" customFormat="true" ht="30" hidden="false" customHeight="true" outlineLevel="0" collapsed="false">
      <c r="A326" s="477"/>
      <c r="B326" s="477"/>
      <c r="C326" s="477"/>
      <c r="D326" s="478" t="s">
        <v>2135</v>
      </c>
      <c r="E326" s="478"/>
      <c r="F326" s="478"/>
      <c r="G326" s="478"/>
      <c r="H326" s="478"/>
      <c r="I326" s="478"/>
      <c r="J326" s="478"/>
      <c r="K326" s="478"/>
      <c r="L326" s="478"/>
      <c r="M326" s="479" t="n">
        <f aca="false">SUMIFS(TE!P:P,TE!G:G,$A$43,TE!H:H,A326)</f>
        <v>0</v>
      </c>
      <c r="N326" s="479"/>
      <c r="O326" s="480" t="n">
        <v>4</v>
      </c>
      <c r="P326" s="480"/>
      <c r="Q326" s="481" t="n">
        <f aca="false">ROUNDUP(M326/O326,0)</f>
        <v>0</v>
      </c>
      <c r="R326" s="481"/>
      <c r="S326" s="482" t="n">
        <v>20.1</v>
      </c>
      <c r="T326" s="482"/>
      <c r="U326" s="482" t="n">
        <f aca="false">Q326*S326</f>
        <v>0</v>
      </c>
      <c r="V326" s="482"/>
      <c r="W326" s="483" t="s">
        <v>1742</v>
      </c>
      <c r="X326" s="483"/>
      <c r="Y326" s="484" t="s">
        <v>2136</v>
      </c>
      <c r="Z326" s="484"/>
      <c r="AA326" s="484"/>
      <c r="AB326" s="484"/>
      <c r="AC326" s="484"/>
      <c r="AD326" s="484"/>
      <c r="AE326" s="484"/>
      <c r="AF326" s="468"/>
    </row>
    <row r="327" s="396" customFormat="true" ht="30" hidden="false" customHeight="true" outlineLevel="0" collapsed="false">
      <c r="A327" s="477"/>
      <c r="B327" s="477"/>
      <c r="C327" s="477"/>
      <c r="D327" s="478" t="s">
        <v>2137</v>
      </c>
      <c r="E327" s="478"/>
      <c r="F327" s="478"/>
      <c r="G327" s="478"/>
      <c r="H327" s="478"/>
      <c r="I327" s="478"/>
      <c r="J327" s="478"/>
      <c r="K327" s="478"/>
      <c r="L327" s="478"/>
      <c r="M327" s="479" t="n">
        <f aca="false">SUMIFS(TE!P:P,TE!G:G,$A$43,TE!H:H,A327)</f>
        <v>0</v>
      </c>
      <c r="N327" s="479"/>
      <c r="O327" s="485" t="s">
        <v>1678</v>
      </c>
      <c r="P327" s="485"/>
      <c r="Q327" s="485" t="s">
        <v>1678</v>
      </c>
      <c r="R327" s="485"/>
      <c r="S327" s="485" t="s">
        <v>1678</v>
      </c>
      <c r="T327" s="485"/>
      <c r="U327" s="485" t="s">
        <v>1678</v>
      </c>
      <c r="V327" s="485"/>
      <c r="W327" s="483" t="s">
        <v>1679</v>
      </c>
      <c r="X327" s="483"/>
      <c r="Y327" s="484" t="s">
        <v>2138</v>
      </c>
      <c r="Z327" s="484"/>
      <c r="AA327" s="484"/>
      <c r="AB327" s="484"/>
      <c r="AC327" s="484"/>
      <c r="AD327" s="484"/>
      <c r="AE327" s="484"/>
    </row>
    <row r="328" s="396" customFormat="true" ht="30" hidden="false" customHeight="true" outlineLevel="0" collapsed="false">
      <c r="A328" s="477"/>
      <c r="B328" s="477"/>
      <c r="C328" s="477"/>
      <c r="D328" s="478" t="s">
        <v>2139</v>
      </c>
      <c r="E328" s="478"/>
      <c r="F328" s="478"/>
      <c r="G328" s="478"/>
      <c r="H328" s="478"/>
      <c r="I328" s="478"/>
      <c r="J328" s="478"/>
      <c r="K328" s="478"/>
      <c r="L328" s="478"/>
      <c r="M328" s="479" t="n">
        <f aca="false">SUMIFS(TE!P:P,TE!G:G,$A$43,TE!H:H,A328)</f>
        <v>0</v>
      </c>
      <c r="N328" s="479"/>
      <c r="O328" s="480" t="n">
        <v>4</v>
      </c>
      <c r="P328" s="480"/>
      <c r="Q328" s="481" t="n">
        <f aca="false">ROUNDUP(M328/O328,0)</f>
        <v>0</v>
      </c>
      <c r="R328" s="481"/>
      <c r="S328" s="482" t="n">
        <v>36</v>
      </c>
      <c r="T328" s="482"/>
      <c r="U328" s="482" t="n">
        <f aca="false">Q328*S328</f>
        <v>0</v>
      </c>
      <c r="V328" s="482"/>
      <c r="W328" s="483" t="s">
        <v>2118</v>
      </c>
      <c r="X328" s="483"/>
      <c r="Y328" s="484" t="s">
        <v>1796</v>
      </c>
      <c r="Z328" s="484"/>
      <c r="AA328" s="484"/>
      <c r="AB328" s="484"/>
      <c r="AC328" s="484"/>
      <c r="AD328" s="484"/>
      <c r="AE328" s="484"/>
    </row>
    <row r="329" s="396" customFormat="true" ht="30" hidden="false" customHeight="true" outlineLevel="0" collapsed="false">
      <c r="A329" s="477" t="s">
        <v>2140</v>
      </c>
      <c r="B329" s="477"/>
      <c r="C329" s="477"/>
      <c r="D329" s="478" t="s">
        <v>2141</v>
      </c>
      <c r="E329" s="478"/>
      <c r="F329" s="478"/>
      <c r="G329" s="478"/>
      <c r="H329" s="478"/>
      <c r="I329" s="478"/>
      <c r="J329" s="478"/>
      <c r="K329" s="478"/>
      <c r="L329" s="478"/>
      <c r="M329" s="479" t="n">
        <f aca="false">SUMIFS(TE!P:P,TE!G:G,$A$43,TE!H:H,A329)</f>
        <v>0</v>
      </c>
      <c r="N329" s="479"/>
      <c r="O329" s="480" t="n">
        <v>90</v>
      </c>
      <c r="P329" s="480"/>
      <c r="Q329" s="481" t="n">
        <f aca="false">M329/O329</f>
        <v>0</v>
      </c>
      <c r="R329" s="481"/>
      <c r="S329" s="482" t="n">
        <v>13.4</v>
      </c>
      <c r="T329" s="482"/>
      <c r="U329" s="482" t="n">
        <f aca="false">Q329*S329</f>
        <v>0</v>
      </c>
      <c r="V329" s="482"/>
      <c r="W329" s="483" t="s">
        <v>1670</v>
      </c>
      <c r="X329" s="483"/>
      <c r="Y329" s="484" t="s">
        <v>1671</v>
      </c>
      <c r="Z329" s="484"/>
      <c r="AA329" s="484"/>
      <c r="AB329" s="484"/>
      <c r="AC329" s="484"/>
      <c r="AD329" s="484"/>
      <c r="AE329" s="484"/>
    </row>
    <row r="330" s="396" customFormat="true" ht="30" hidden="false" customHeight="true" outlineLevel="0" collapsed="false">
      <c r="A330" s="477"/>
      <c r="B330" s="477"/>
      <c r="C330" s="477"/>
      <c r="D330" s="478"/>
      <c r="E330" s="478"/>
      <c r="F330" s="478"/>
      <c r="G330" s="478"/>
      <c r="H330" s="478"/>
      <c r="I330" s="478"/>
      <c r="J330" s="478"/>
      <c r="K330" s="478"/>
      <c r="L330" s="478"/>
      <c r="M330" s="479" t="n">
        <f aca="false">SUMIFS(TE!P:P,TE!G:G,$A$43,TE!H:H,A330)</f>
        <v>0</v>
      </c>
      <c r="N330" s="479"/>
      <c r="O330" s="480"/>
      <c r="P330" s="480"/>
      <c r="Q330" s="481"/>
      <c r="R330" s="481"/>
      <c r="S330" s="482"/>
      <c r="T330" s="482"/>
      <c r="U330" s="482"/>
      <c r="V330" s="482"/>
      <c r="W330" s="483"/>
      <c r="X330" s="483"/>
      <c r="Y330" s="484"/>
      <c r="Z330" s="484"/>
      <c r="AA330" s="484"/>
      <c r="AB330" s="484"/>
      <c r="AC330" s="484"/>
      <c r="AD330" s="484"/>
      <c r="AE330" s="484"/>
    </row>
    <row r="331" s="396" customFormat="true" ht="30" hidden="false" customHeight="true" outlineLevel="0" collapsed="false">
      <c r="A331" s="477"/>
      <c r="B331" s="477"/>
      <c r="C331" s="477"/>
      <c r="D331" s="478"/>
      <c r="E331" s="478"/>
      <c r="F331" s="478"/>
      <c r="G331" s="478"/>
      <c r="H331" s="478"/>
      <c r="I331" s="478"/>
      <c r="J331" s="478"/>
      <c r="K331" s="478"/>
      <c r="L331" s="478"/>
      <c r="M331" s="479" t="n">
        <f aca="false">SUMIFS(TE!P:P,TE!G:G,$A$43,TE!H:H,A331)</f>
        <v>0</v>
      </c>
      <c r="N331" s="479"/>
      <c r="O331" s="480"/>
      <c r="P331" s="480"/>
      <c r="Q331" s="481"/>
      <c r="R331" s="481"/>
      <c r="S331" s="482"/>
      <c r="T331" s="482"/>
      <c r="U331" s="482"/>
      <c r="V331" s="482"/>
      <c r="W331" s="483"/>
      <c r="X331" s="483"/>
      <c r="Y331" s="484"/>
      <c r="Z331" s="484"/>
      <c r="AA331" s="484"/>
      <c r="AB331" s="484"/>
      <c r="AC331" s="484"/>
      <c r="AD331" s="484"/>
      <c r="AE331" s="484"/>
    </row>
    <row r="332" s="396" customFormat="true" ht="30" hidden="false" customHeight="true" outlineLevel="0" collapsed="false">
      <c r="A332" s="477"/>
      <c r="B332" s="477"/>
      <c r="C332" s="477"/>
      <c r="D332" s="478"/>
      <c r="E332" s="478"/>
      <c r="F332" s="478"/>
      <c r="G332" s="478"/>
      <c r="H332" s="478"/>
      <c r="I332" s="478"/>
      <c r="J332" s="478"/>
      <c r="K332" s="478"/>
      <c r="L332" s="478"/>
      <c r="M332" s="479" t="n">
        <f aca="false">SUMIFS(TE!P:P,TE!G:G,$A$43,TE!H:H,A332)</f>
        <v>0</v>
      </c>
      <c r="N332" s="479"/>
      <c r="O332" s="480"/>
      <c r="P332" s="480"/>
      <c r="Q332" s="481"/>
      <c r="R332" s="481"/>
      <c r="S332" s="482"/>
      <c r="T332" s="482"/>
      <c r="U332" s="482"/>
      <c r="V332" s="482"/>
      <c r="W332" s="483"/>
      <c r="X332" s="483"/>
      <c r="Y332" s="484"/>
      <c r="Z332" s="484"/>
      <c r="AA332" s="484"/>
      <c r="AB332" s="484"/>
      <c r="AC332" s="484"/>
      <c r="AD332" s="484"/>
      <c r="AE332" s="484"/>
    </row>
    <row r="333" s="396" customFormat="true" ht="30" hidden="false" customHeight="true" outlineLevel="0" collapsed="false">
      <c r="A333" s="477"/>
      <c r="B333" s="477"/>
      <c r="C333" s="477"/>
      <c r="D333" s="478"/>
      <c r="E333" s="478"/>
      <c r="F333" s="478"/>
      <c r="G333" s="478"/>
      <c r="H333" s="478"/>
      <c r="I333" s="478"/>
      <c r="J333" s="478"/>
      <c r="K333" s="478"/>
      <c r="L333" s="478"/>
      <c r="M333" s="479" t="n">
        <f aca="false">SUMIFS(TE!P:P,TE!G:G,$A$43,TE!H:H,A333)</f>
        <v>0</v>
      </c>
      <c r="N333" s="479"/>
      <c r="O333" s="480"/>
      <c r="P333" s="480"/>
      <c r="Q333" s="481"/>
      <c r="R333" s="481"/>
      <c r="S333" s="482"/>
      <c r="T333" s="482"/>
      <c r="U333" s="482"/>
      <c r="V333" s="482"/>
      <c r="W333" s="483"/>
      <c r="X333" s="483"/>
      <c r="Y333" s="484"/>
      <c r="Z333" s="484"/>
      <c r="AA333" s="484"/>
      <c r="AB333" s="484"/>
      <c r="AC333" s="484"/>
      <c r="AD333" s="484"/>
      <c r="AE333" s="484"/>
    </row>
    <row r="334" s="396" customFormat="true" ht="30" hidden="false" customHeight="true" outlineLevel="0" collapsed="false">
      <c r="A334" s="477"/>
      <c r="B334" s="477"/>
      <c r="C334" s="477"/>
      <c r="D334" s="478"/>
      <c r="E334" s="478"/>
      <c r="F334" s="478"/>
      <c r="G334" s="478"/>
      <c r="H334" s="478"/>
      <c r="I334" s="478"/>
      <c r="J334" s="478"/>
      <c r="K334" s="478"/>
      <c r="L334" s="478"/>
      <c r="M334" s="479" t="n">
        <f aca="false">SUMIFS(TE!P:P,TE!G:G,$A$43,TE!H:H,A334)</f>
        <v>0</v>
      </c>
      <c r="N334" s="479"/>
      <c r="O334" s="480"/>
      <c r="P334" s="480"/>
      <c r="Q334" s="481"/>
      <c r="R334" s="481"/>
      <c r="S334" s="482"/>
      <c r="T334" s="482"/>
      <c r="U334" s="482"/>
      <c r="V334" s="482"/>
      <c r="W334" s="483"/>
      <c r="X334" s="483"/>
      <c r="Y334" s="484"/>
      <c r="Z334" s="484"/>
      <c r="AA334" s="484"/>
      <c r="AB334" s="484"/>
      <c r="AC334" s="484"/>
      <c r="AD334" s="484"/>
      <c r="AE334" s="484"/>
    </row>
    <row r="335" s="396" customFormat="true" ht="30" hidden="false" customHeight="true" outlineLevel="0" collapsed="false">
      <c r="A335" s="486"/>
      <c r="B335" s="486"/>
      <c r="C335" s="486"/>
      <c r="D335" s="487"/>
      <c r="E335" s="487"/>
      <c r="F335" s="487"/>
      <c r="G335" s="487"/>
      <c r="H335" s="487"/>
      <c r="I335" s="487"/>
      <c r="J335" s="487"/>
      <c r="K335" s="487"/>
      <c r="L335" s="487"/>
      <c r="M335" s="488" t="n">
        <f aca="false">SUMIFS(TE!P:P,TE!G:G,$A$43,TE!H:H,A335)</f>
        <v>0</v>
      </c>
      <c r="N335" s="488"/>
      <c r="O335" s="489"/>
      <c r="P335" s="489"/>
      <c r="Q335" s="490"/>
      <c r="R335" s="490"/>
      <c r="S335" s="491"/>
      <c r="T335" s="491"/>
      <c r="U335" s="491"/>
      <c r="V335" s="491"/>
      <c r="W335" s="492"/>
      <c r="X335" s="492"/>
      <c r="Y335" s="493"/>
      <c r="Z335" s="493"/>
      <c r="AA335" s="493"/>
      <c r="AB335" s="493"/>
      <c r="AC335" s="493"/>
      <c r="AD335" s="493"/>
      <c r="AE335" s="493"/>
    </row>
    <row r="336" s="396" customFormat="true" ht="15.75" hidden="false" customHeight="true" outlineLevel="0" collapsed="false"/>
    <row r="337" s="396" customFormat="true" ht="15.75" hidden="false" customHeight="true" outlineLevel="0" collapsed="false">
      <c r="A337" s="495"/>
      <c r="B337" s="495"/>
      <c r="C337" s="495"/>
      <c r="D337" s="495"/>
      <c r="E337" s="495"/>
      <c r="F337" s="495"/>
      <c r="G337" s="495"/>
      <c r="H337" s="495"/>
      <c r="I337" s="495"/>
      <c r="J337" s="495"/>
      <c r="K337" s="495"/>
      <c r="L337" s="495"/>
      <c r="M337" s="495"/>
      <c r="N337" s="495"/>
      <c r="O337" s="495"/>
      <c r="P337" s="495"/>
      <c r="Q337" s="495"/>
      <c r="R337" s="495"/>
      <c r="S337" s="495"/>
      <c r="T337" s="495"/>
      <c r="U337" s="495"/>
      <c r="V337" s="495"/>
      <c r="W337" s="495"/>
      <c r="X337" s="495"/>
      <c r="Y337" s="495"/>
      <c r="Z337" s="495"/>
      <c r="AA337" s="495"/>
      <c r="AB337" s="453"/>
      <c r="AC337" s="454" t="s">
        <v>1657</v>
      </c>
      <c r="AD337" s="455" t="n">
        <v>12</v>
      </c>
      <c r="AE337" s="455" t="s">
        <v>29</v>
      </c>
      <c r="AF337" s="455" t="n">
        <v>27</v>
      </c>
    </row>
    <row r="338" s="396" customFormat="true" ht="12.75" hidden="false" customHeight="true" outlineLevel="0" collapsed="false">
      <c r="A338" s="398" t="s">
        <v>1522</v>
      </c>
      <c r="B338" s="398"/>
      <c r="C338" s="456" t="n">
        <v>14345</v>
      </c>
      <c r="D338" s="456"/>
      <c r="E338" s="456"/>
      <c r="F338" s="456"/>
      <c r="G338" s="456"/>
      <c r="H338" s="456"/>
      <c r="I338" s="456"/>
      <c r="J338" s="456"/>
      <c r="K338" s="456"/>
      <c r="L338" s="456"/>
      <c r="M338" s="398" t="s">
        <v>1523</v>
      </c>
      <c r="N338" s="398"/>
      <c r="O338" s="398"/>
      <c r="P338" s="398"/>
      <c r="Q338" s="398"/>
      <c r="R338" s="456" t="s">
        <v>15</v>
      </c>
      <c r="S338" s="456"/>
      <c r="T338" s="456"/>
      <c r="U338" s="456"/>
      <c r="V338" s="456"/>
      <c r="W338" s="456"/>
      <c r="X338" s="456"/>
      <c r="Y338" s="456"/>
      <c r="Z338" s="456"/>
      <c r="AA338" s="456"/>
      <c r="AB338" s="456"/>
      <c r="AC338" s="456"/>
      <c r="AD338" s="456"/>
      <c r="AE338" s="456"/>
      <c r="AF338" s="456"/>
    </row>
    <row r="339" s="396" customFormat="true" ht="12.75" hidden="false" customHeight="true" outlineLevel="0" collapsed="false">
      <c r="A339" s="458"/>
      <c r="B339" s="458"/>
      <c r="C339" s="459"/>
      <c r="D339" s="459"/>
      <c r="E339" s="459"/>
      <c r="F339" s="459"/>
      <c r="G339" s="459"/>
      <c r="H339" s="459"/>
      <c r="I339" s="459"/>
      <c r="J339" s="459"/>
      <c r="K339" s="459"/>
      <c r="L339" s="459"/>
      <c r="M339" s="458"/>
      <c r="N339" s="458"/>
      <c r="O339" s="458"/>
      <c r="P339" s="458"/>
      <c r="Q339" s="458"/>
      <c r="R339" s="459"/>
      <c r="S339" s="459"/>
      <c r="T339" s="459"/>
      <c r="U339" s="459"/>
      <c r="V339" s="459"/>
      <c r="W339" s="459"/>
      <c r="X339" s="459"/>
      <c r="Y339" s="459"/>
      <c r="Z339" s="459"/>
      <c r="AA339" s="459"/>
      <c r="AB339" s="459"/>
      <c r="AC339" s="459"/>
      <c r="AD339" s="459"/>
      <c r="AE339" s="459"/>
      <c r="AF339" s="459"/>
    </row>
    <row r="340" s="396" customFormat="true" ht="12.75" hidden="false" customHeight="true" outlineLevel="0" collapsed="false">
      <c r="A340" s="460" t="str">
        <f aca="false">A313</f>
        <v>M28261</v>
      </c>
      <c r="B340" s="460"/>
      <c r="C340" s="460"/>
      <c r="D340" s="461" t="str">
        <f aca="false">D313</f>
        <v>H&amp;S CO</v>
      </c>
      <c r="E340" s="461"/>
      <c r="F340" s="461"/>
      <c r="G340" s="461"/>
      <c r="H340" s="461"/>
      <c r="I340" s="461"/>
      <c r="J340" s="461"/>
      <c r="K340" s="461"/>
      <c r="L340" s="461"/>
      <c r="M340" s="458"/>
      <c r="N340" s="458"/>
      <c r="O340" s="458"/>
      <c r="P340" s="459"/>
      <c r="Q340" s="458"/>
      <c r="R340" s="459"/>
      <c r="S340" s="459"/>
      <c r="T340" s="459"/>
      <c r="U340" s="459"/>
      <c r="V340" s="459"/>
      <c r="W340" s="459"/>
      <c r="X340" s="459"/>
      <c r="Y340" s="459"/>
      <c r="Z340" s="459"/>
      <c r="AA340" s="459"/>
      <c r="AB340" s="459"/>
      <c r="AC340" s="459"/>
      <c r="AD340" s="459"/>
      <c r="AE340" s="459"/>
      <c r="AF340" s="459"/>
    </row>
    <row r="341" s="396" customFormat="true" ht="15.75" hidden="false" customHeight="true" outlineLevel="0" collapsed="false">
      <c r="A341" s="462" t="s">
        <v>1659</v>
      </c>
      <c r="B341" s="462"/>
      <c r="C341" s="462"/>
      <c r="D341" s="463" t="s">
        <v>1660</v>
      </c>
      <c r="E341" s="463"/>
      <c r="F341" s="463"/>
      <c r="G341" s="463"/>
      <c r="H341" s="463"/>
      <c r="I341" s="463"/>
      <c r="J341" s="463"/>
      <c r="K341" s="463"/>
      <c r="L341" s="463"/>
      <c r="M341" s="464" t="s">
        <v>1661</v>
      </c>
      <c r="N341" s="464"/>
      <c r="O341" s="465" t="s">
        <v>1662</v>
      </c>
      <c r="P341" s="465"/>
      <c r="Q341" s="465" t="s">
        <v>1663</v>
      </c>
      <c r="R341" s="465"/>
      <c r="S341" s="466" t="s">
        <v>1664</v>
      </c>
      <c r="T341" s="466"/>
      <c r="U341" s="466" t="s">
        <v>1665</v>
      </c>
      <c r="V341" s="466"/>
      <c r="W341" s="464" t="s">
        <v>1666</v>
      </c>
      <c r="X341" s="464"/>
      <c r="Y341" s="467" t="s">
        <v>1667</v>
      </c>
      <c r="Z341" s="467"/>
      <c r="AA341" s="467"/>
      <c r="AB341" s="467"/>
      <c r="AC341" s="467"/>
      <c r="AD341" s="467"/>
      <c r="AE341" s="467"/>
      <c r="AF341" s="459"/>
    </row>
    <row r="342" s="396" customFormat="true" ht="15.75" hidden="false" customHeight="true" outlineLevel="0" collapsed="false">
      <c r="A342" s="462"/>
      <c r="B342" s="462"/>
      <c r="C342" s="462"/>
      <c r="D342" s="463"/>
      <c r="E342" s="463"/>
      <c r="F342" s="463"/>
      <c r="G342" s="463"/>
      <c r="H342" s="463"/>
      <c r="I342" s="463"/>
      <c r="J342" s="463"/>
      <c r="K342" s="463"/>
      <c r="L342" s="463"/>
      <c r="M342" s="464"/>
      <c r="N342" s="464"/>
      <c r="O342" s="465"/>
      <c r="P342" s="465"/>
      <c r="Q342" s="465"/>
      <c r="R342" s="465"/>
      <c r="S342" s="466"/>
      <c r="T342" s="466"/>
      <c r="U342" s="466"/>
      <c r="V342" s="466"/>
      <c r="W342" s="464"/>
      <c r="X342" s="464"/>
      <c r="Y342" s="467"/>
      <c r="Z342" s="467"/>
      <c r="AA342" s="467"/>
      <c r="AB342" s="467"/>
      <c r="AC342" s="467"/>
      <c r="AD342" s="467"/>
      <c r="AE342" s="467"/>
      <c r="AF342" s="459"/>
    </row>
    <row r="343" s="396" customFormat="true" ht="15.75" hidden="false" customHeight="true" outlineLevel="0" collapsed="false">
      <c r="A343" s="462"/>
      <c r="B343" s="462"/>
      <c r="C343" s="462"/>
      <c r="D343" s="463"/>
      <c r="E343" s="463"/>
      <c r="F343" s="463"/>
      <c r="G343" s="463"/>
      <c r="H343" s="463"/>
      <c r="I343" s="463"/>
      <c r="J343" s="463"/>
      <c r="K343" s="463"/>
      <c r="L343" s="463"/>
      <c r="M343" s="464"/>
      <c r="N343" s="464"/>
      <c r="O343" s="465"/>
      <c r="P343" s="465"/>
      <c r="Q343" s="465"/>
      <c r="R343" s="465"/>
      <c r="S343" s="466"/>
      <c r="T343" s="466"/>
      <c r="U343" s="466"/>
      <c r="V343" s="466"/>
      <c r="W343" s="464"/>
      <c r="X343" s="464"/>
      <c r="Y343" s="467"/>
      <c r="Z343" s="467"/>
      <c r="AA343" s="467"/>
      <c r="AB343" s="467"/>
      <c r="AC343" s="467"/>
      <c r="AD343" s="467"/>
      <c r="AE343" s="467"/>
      <c r="AF343" s="468"/>
    </row>
    <row r="344" s="396" customFormat="true" ht="30" hidden="false" customHeight="true" outlineLevel="0" collapsed="false">
      <c r="A344" s="469"/>
      <c r="B344" s="469"/>
      <c r="C344" s="469"/>
      <c r="D344" s="505"/>
      <c r="E344" s="505"/>
      <c r="F344" s="505"/>
      <c r="G344" s="505"/>
      <c r="H344" s="505"/>
      <c r="I344" s="505"/>
      <c r="J344" s="505"/>
      <c r="K344" s="505"/>
      <c r="L344" s="505"/>
      <c r="M344" s="471" t="n">
        <f aca="false">SUMIFS(TE!P:P,TE!G:G,$A$43,TE!H:H,A344)</f>
        <v>0</v>
      </c>
      <c r="N344" s="471"/>
      <c r="O344" s="472"/>
      <c r="P344" s="472"/>
      <c r="Q344" s="473"/>
      <c r="R344" s="473"/>
      <c r="S344" s="474"/>
      <c r="T344" s="474"/>
      <c r="U344" s="474"/>
      <c r="V344" s="474"/>
      <c r="W344" s="475"/>
      <c r="X344" s="475"/>
      <c r="Y344" s="476"/>
      <c r="Z344" s="476"/>
      <c r="AA344" s="476"/>
      <c r="AB344" s="476"/>
      <c r="AC344" s="476"/>
      <c r="AD344" s="476"/>
      <c r="AE344" s="476"/>
      <c r="AF344" s="468"/>
    </row>
    <row r="345" s="396" customFormat="true" ht="30" hidden="false" customHeight="true" outlineLevel="0" collapsed="false">
      <c r="A345" s="477"/>
      <c r="B345" s="477"/>
      <c r="C345" s="477"/>
      <c r="D345" s="498"/>
      <c r="E345" s="498"/>
      <c r="F345" s="498"/>
      <c r="G345" s="498"/>
      <c r="H345" s="498"/>
      <c r="I345" s="498"/>
      <c r="J345" s="498"/>
      <c r="K345" s="498"/>
      <c r="L345" s="498"/>
      <c r="M345" s="479" t="n">
        <f aca="false">SUMIFS(TE!P:P,TE!G:G,$A$43,TE!H:H,A345)</f>
        <v>0</v>
      </c>
      <c r="N345" s="479"/>
      <c r="O345" s="480"/>
      <c r="P345" s="480"/>
      <c r="Q345" s="481"/>
      <c r="R345" s="481"/>
      <c r="S345" s="482"/>
      <c r="T345" s="482"/>
      <c r="U345" s="482"/>
      <c r="V345" s="482"/>
      <c r="W345" s="483"/>
      <c r="X345" s="483"/>
      <c r="Y345" s="484"/>
      <c r="Z345" s="484"/>
      <c r="AA345" s="484"/>
      <c r="AB345" s="484"/>
      <c r="AC345" s="484"/>
      <c r="AD345" s="484"/>
      <c r="AE345" s="484"/>
      <c r="AF345" s="468"/>
    </row>
    <row r="346" s="396" customFormat="true" ht="30" hidden="false" customHeight="true" outlineLevel="0" collapsed="false">
      <c r="A346" s="477"/>
      <c r="B346" s="477"/>
      <c r="C346" s="477"/>
      <c r="D346" s="498"/>
      <c r="E346" s="498"/>
      <c r="F346" s="498"/>
      <c r="G346" s="498"/>
      <c r="H346" s="498"/>
      <c r="I346" s="498"/>
      <c r="J346" s="498"/>
      <c r="K346" s="498"/>
      <c r="L346" s="498"/>
      <c r="M346" s="479" t="n">
        <f aca="false">SUMIFS(TE!P:P,TE!G:G,$A$43,TE!H:H,A346)</f>
        <v>0</v>
      </c>
      <c r="N346" s="479"/>
      <c r="O346" s="480"/>
      <c r="P346" s="480"/>
      <c r="Q346" s="481"/>
      <c r="R346" s="481"/>
      <c r="S346" s="482"/>
      <c r="T346" s="482"/>
      <c r="U346" s="482"/>
      <c r="V346" s="482"/>
      <c r="W346" s="483"/>
      <c r="X346" s="483"/>
      <c r="Y346" s="484"/>
      <c r="Z346" s="484"/>
      <c r="AA346" s="484"/>
      <c r="AB346" s="484"/>
      <c r="AC346" s="484"/>
      <c r="AD346" s="484"/>
      <c r="AE346" s="484"/>
      <c r="AF346" s="468"/>
    </row>
    <row r="347" s="396" customFormat="true" ht="30" hidden="false" customHeight="true" outlineLevel="0" collapsed="false">
      <c r="A347" s="477"/>
      <c r="B347" s="477"/>
      <c r="C347" s="477"/>
      <c r="D347" s="478"/>
      <c r="E347" s="478"/>
      <c r="F347" s="478"/>
      <c r="G347" s="478"/>
      <c r="H347" s="478"/>
      <c r="I347" s="478"/>
      <c r="J347" s="478"/>
      <c r="K347" s="478"/>
      <c r="L347" s="478"/>
      <c r="M347" s="479" t="n">
        <f aca="false">SUMIFS(TE!P:P,TE!G:G,$A$43,TE!H:H,A347)</f>
        <v>0</v>
      </c>
      <c r="N347" s="479"/>
      <c r="O347" s="480"/>
      <c r="P347" s="480"/>
      <c r="Q347" s="481"/>
      <c r="R347" s="481"/>
      <c r="S347" s="482"/>
      <c r="T347" s="482"/>
      <c r="U347" s="482"/>
      <c r="V347" s="482"/>
      <c r="W347" s="483"/>
      <c r="X347" s="483"/>
      <c r="Y347" s="484"/>
      <c r="Z347" s="484"/>
      <c r="AA347" s="484"/>
      <c r="AB347" s="484"/>
      <c r="AC347" s="484"/>
      <c r="AD347" s="484"/>
      <c r="AE347" s="484"/>
      <c r="AF347" s="468"/>
    </row>
    <row r="348" s="396" customFormat="true" ht="30" hidden="false" customHeight="true" outlineLevel="0" collapsed="false">
      <c r="A348" s="477"/>
      <c r="B348" s="477"/>
      <c r="C348" s="477"/>
      <c r="D348" s="478"/>
      <c r="E348" s="478"/>
      <c r="F348" s="478"/>
      <c r="G348" s="478"/>
      <c r="H348" s="478"/>
      <c r="I348" s="478"/>
      <c r="J348" s="478"/>
      <c r="K348" s="478"/>
      <c r="L348" s="478"/>
      <c r="M348" s="479" t="n">
        <f aca="false">SUMIFS(TE!P:P,TE!G:G,$A$43,TE!H:H,A348)</f>
        <v>0</v>
      </c>
      <c r="N348" s="479"/>
      <c r="O348" s="480"/>
      <c r="P348" s="480"/>
      <c r="Q348" s="481"/>
      <c r="R348" s="481"/>
      <c r="S348" s="482"/>
      <c r="T348" s="482"/>
      <c r="U348" s="482"/>
      <c r="V348" s="482"/>
      <c r="W348" s="483"/>
      <c r="X348" s="483"/>
      <c r="Y348" s="484"/>
      <c r="Z348" s="484"/>
      <c r="AA348" s="484"/>
      <c r="AB348" s="484"/>
      <c r="AC348" s="484"/>
      <c r="AD348" s="484"/>
      <c r="AE348" s="484"/>
      <c r="AF348" s="468"/>
    </row>
    <row r="349" s="396" customFormat="true" ht="30" hidden="false" customHeight="true" outlineLevel="0" collapsed="false">
      <c r="A349" s="477"/>
      <c r="B349" s="477"/>
      <c r="C349" s="477"/>
      <c r="D349" s="478"/>
      <c r="E349" s="478"/>
      <c r="F349" s="478"/>
      <c r="G349" s="478"/>
      <c r="H349" s="478"/>
      <c r="I349" s="478"/>
      <c r="J349" s="478"/>
      <c r="K349" s="478"/>
      <c r="L349" s="478"/>
      <c r="M349" s="479" t="n">
        <f aca="false">SUMIFS(TE!P:P,TE!G:G,$A$43,TE!H:H,A349)</f>
        <v>0</v>
      </c>
      <c r="N349" s="479"/>
      <c r="O349" s="480"/>
      <c r="P349" s="480"/>
      <c r="Q349" s="481"/>
      <c r="R349" s="481"/>
      <c r="S349" s="482"/>
      <c r="T349" s="482"/>
      <c r="U349" s="482"/>
      <c r="V349" s="482"/>
      <c r="W349" s="483"/>
      <c r="X349" s="483"/>
      <c r="Y349" s="484"/>
      <c r="Z349" s="484"/>
      <c r="AA349" s="484"/>
      <c r="AB349" s="484"/>
      <c r="AC349" s="484"/>
      <c r="AD349" s="484"/>
      <c r="AE349" s="484"/>
      <c r="AF349" s="468"/>
    </row>
    <row r="350" s="396" customFormat="true" ht="30" hidden="false" customHeight="true" outlineLevel="0" collapsed="false">
      <c r="A350" s="477"/>
      <c r="B350" s="477"/>
      <c r="C350" s="477"/>
      <c r="D350" s="478"/>
      <c r="E350" s="478"/>
      <c r="F350" s="478"/>
      <c r="G350" s="478"/>
      <c r="H350" s="478"/>
      <c r="I350" s="478"/>
      <c r="J350" s="478"/>
      <c r="K350" s="478"/>
      <c r="L350" s="478"/>
      <c r="M350" s="479" t="n">
        <f aca="false">SUMIFS(TE!P:P,TE!G:G,$A$43,TE!H:H,A350)</f>
        <v>0</v>
      </c>
      <c r="N350" s="479"/>
      <c r="O350" s="480"/>
      <c r="P350" s="480"/>
      <c r="Q350" s="481"/>
      <c r="R350" s="481"/>
      <c r="S350" s="482"/>
      <c r="T350" s="482"/>
      <c r="U350" s="482"/>
      <c r="V350" s="482"/>
      <c r="W350" s="483"/>
      <c r="X350" s="483"/>
      <c r="Y350" s="484"/>
      <c r="Z350" s="484"/>
      <c r="AA350" s="484"/>
      <c r="AB350" s="484"/>
      <c r="AC350" s="484"/>
      <c r="AD350" s="484"/>
      <c r="AE350" s="484"/>
      <c r="AF350" s="468"/>
    </row>
    <row r="351" s="396" customFormat="true" ht="30" hidden="false" customHeight="true" outlineLevel="0" collapsed="false">
      <c r="A351" s="477"/>
      <c r="B351" s="477"/>
      <c r="C351" s="477"/>
      <c r="D351" s="478"/>
      <c r="E351" s="478"/>
      <c r="F351" s="478"/>
      <c r="G351" s="478"/>
      <c r="H351" s="478"/>
      <c r="I351" s="478"/>
      <c r="J351" s="478"/>
      <c r="K351" s="478"/>
      <c r="L351" s="478"/>
      <c r="M351" s="479" t="n">
        <f aca="false">SUMIFS(TE!P:P,TE!G:G,$A$43,TE!H:H,A351)</f>
        <v>0</v>
      </c>
      <c r="N351" s="479"/>
      <c r="O351" s="480"/>
      <c r="P351" s="480"/>
      <c r="Q351" s="481"/>
      <c r="R351" s="481"/>
      <c r="S351" s="482"/>
      <c r="T351" s="482"/>
      <c r="U351" s="482"/>
      <c r="V351" s="482"/>
      <c r="W351" s="483"/>
      <c r="X351" s="483"/>
      <c r="Y351" s="484"/>
      <c r="Z351" s="484"/>
      <c r="AA351" s="484"/>
      <c r="AB351" s="484"/>
      <c r="AC351" s="484"/>
      <c r="AD351" s="484"/>
      <c r="AE351" s="484"/>
      <c r="AF351" s="468"/>
    </row>
    <row r="352" s="396" customFormat="true" ht="30" hidden="false" customHeight="true" outlineLevel="0" collapsed="false">
      <c r="A352" s="477"/>
      <c r="B352" s="477"/>
      <c r="C352" s="477"/>
      <c r="D352" s="478"/>
      <c r="E352" s="478"/>
      <c r="F352" s="478"/>
      <c r="G352" s="478"/>
      <c r="H352" s="478"/>
      <c r="I352" s="478"/>
      <c r="J352" s="478"/>
      <c r="K352" s="478"/>
      <c r="L352" s="478"/>
      <c r="M352" s="479" t="n">
        <f aca="false">SUMIFS(TE!P:P,TE!G:G,$A$43,TE!H:H,A352)</f>
        <v>0</v>
      </c>
      <c r="N352" s="479"/>
      <c r="O352" s="480"/>
      <c r="P352" s="480"/>
      <c r="Q352" s="481"/>
      <c r="R352" s="481"/>
      <c r="S352" s="482"/>
      <c r="T352" s="482"/>
      <c r="U352" s="482"/>
      <c r="V352" s="482"/>
      <c r="W352" s="483"/>
      <c r="X352" s="483"/>
      <c r="Y352" s="484"/>
      <c r="Z352" s="484"/>
      <c r="AA352" s="484"/>
      <c r="AB352" s="484"/>
      <c r="AC352" s="484"/>
      <c r="AD352" s="484"/>
      <c r="AE352" s="484"/>
      <c r="AF352" s="468"/>
    </row>
    <row r="353" s="396" customFormat="true" ht="30" hidden="false" customHeight="true" outlineLevel="0" collapsed="false">
      <c r="A353" s="477"/>
      <c r="B353" s="477"/>
      <c r="C353" s="477"/>
      <c r="D353" s="478"/>
      <c r="E353" s="478"/>
      <c r="F353" s="478"/>
      <c r="G353" s="478"/>
      <c r="H353" s="478"/>
      <c r="I353" s="478"/>
      <c r="J353" s="478"/>
      <c r="K353" s="478"/>
      <c r="L353" s="478"/>
      <c r="M353" s="479" t="n">
        <f aca="false">SUMIFS(TE!P:P,TE!G:G,$A$43,TE!H:H,A353)</f>
        <v>0</v>
      </c>
      <c r="N353" s="479"/>
      <c r="O353" s="480"/>
      <c r="P353" s="480"/>
      <c r="Q353" s="481"/>
      <c r="R353" s="481"/>
      <c r="S353" s="482"/>
      <c r="T353" s="482"/>
      <c r="U353" s="482"/>
      <c r="V353" s="482"/>
      <c r="W353" s="483"/>
      <c r="X353" s="483"/>
      <c r="Y353" s="484"/>
      <c r="Z353" s="484"/>
      <c r="AA353" s="484"/>
      <c r="AB353" s="484"/>
      <c r="AC353" s="484"/>
      <c r="AD353" s="484"/>
      <c r="AE353" s="484"/>
      <c r="AF353" s="468"/>
    </row>
    <row r="354" s="396" customFormat="true" ht="30" hidden="false" customHeight="true" outlineLevel="0" collapsed="false">
      <c r="A354" s="477"/>
      <c r="B354" s="477"/>
      <c r="C354" s="477"/>
      <c r="D354" s="478"/>
      <c r="E354" s="478"/>
      <c r="F354" s="478"/>
      <c r="G354" s="478"/>
      <c r="H354" s="478"/>
      <c r="I354" s="478"/>
      <c r="J354" s="478"/>
      <c r="K354" s="478"/>
      <c r="L354" s="478"/>
      <c r="M354" s="479" t="n">
        <f aca="false">SUMIFS(TE!P:P,TE!G:G,$A$43,TE!H:H,A354)</f>
        <v>0</v>
      </c>
      <c r="N354" s="479"/>
      <c r="O354" s="480"/>
      <c r="P354" s="480"/>
      <c r="Q354" s="481"/>
      <c r="R354" s="481"/>
      <c r="S354" s="482"/>
      <c r="T354" s="482"/>
      <c r="U354" s="482"/>
      <c r="V354" s="482"/>
      <c r="W354" s="483"/>
      <c r="X354" s="483"/>
      <c r="Y354" s="484"/>
      <c r="Z354" s="484"/>
      <c r="AA354" s="484"/>
      <c r="AB354" s="484"/>
      <c r="AC354" s="484"/>
      <c r="AD354" s="484"/>
      <c r="AE354" s="484"/>
      <c r="AF354" s="468"/>
    </row>
    <row r="355" s="396" customFormat="true" ht="30" hidden="false" customHeight="true" outlineLevel="0" collapsed="false">
      <c r="A355" s="477"/>
      <c r="B355" s="477"/>
      <c r="C355" s="477"/>
      <c r="D355" s="478"/>
      <c r="E355" s="478"/>
      <c r="F355" s="478"/>
      <c r="G355" s="478"/>
      <c r="H355" s="478"/>
      <c r="I355" s="478"/>
      <c r="J355" s="478"/>
      <c r="K355" s="478"/>
      <c r="L355" s="478"/>
      <c r="M355" s="479" t="n">
        <f aca="false">SUMIFS(TE!P:P,TE!G:G,$A$43,TE!H:H,A355)</f>
        <v>0</v>
      </c>
      <c r="N355" s="479"/>
      <c r="O355" s="485"/>
      <c r="P355" s="485"/>
      <c r="Q355" s="485"/>
      <c r="R355" s="485"/>
      <c r="S355" s="485"/>
      <c r="T355" s="485"/>
      <c r="U355" s="485"/>
      <c r="V355" s="485"/>
      <c r="W355" s="483"/>
      <c r="X355" s="483"/>
      <c r="Y355" s="484"/>
      <c r="Z355" s="484"/>
      <c r="AA355" s="484"/>
      <c r="AB355" s="484"/>
      <c r="AC355" s="484"/>
      <c r="AD355" s="484"/>
      <c r="AE355" s="484"/>
    </row>
    <row r="356" s="396" customFormat="true" ht="30" hidden="false" customHeight="true" outlineLevel="0" collapsed="false">
      <c r="A356" s="477"/>
      <c r="B356" s="477"/>
      <c r="C356" s="477"/>
      <c r="D356" s="478"/>
      <c r="E356" s="478"/>
      <c r="F356" s="478"/>
      <c r="G356" s="478"/>
      <c r="H356" s="478"/>
      <c r="I356" s="478"/>
      <c r="J356" s="478"/>
      <c r="K356" s="478"/>
      <c r="L356" s="478"/>
      <c r="M356" s="479" t="n">
        <f aca="false">SUMIFS(TE!P:P,TE!G:G,$A$43,TE!H:H,A356)</f>
        <v>0</v>
      </c>
      <c r="N356" s="479"/>
      <c r="O356" s="480"/>
      <c r="P356" s="480"/>
      <c r="Q356" s="481"/>
      <c r="R356" s="481"/>
      <c r="S356" s="482"/>
      <c r="T356" s="482"/>
      <c r="U356" s="482"/>
      <c r="V356" s="482"/>
      <c r="W356" s="483"/>
      <c r="X356" s="483"/>
      <c r="Y356" s="484"/>
      <c r="Z356" s="484"/>
      <c r="AA356" s="484"/>
      <c r="AB356" s="484"/>
      <c r="AC356" s="484"/>
      <c r="AD356" s="484"/>
      <c r="AE356" s="484"/>
    </row>
    <row r="357" s="396" customFormat="true" ht="30" hidden="false" customHeight="true" outlineLevel="0" collapsed="false">
      <c r="A357" s="477"/>
      <c r="B357" s="477"/>
      <c r="C357" s="477"/>
      <c r="D357" s="478"/>
      <c r="E357" s="478"/>
      <c r="F357" s="478"/>
      <c r="G357" s="478"/>
      <c r="H357" s="478"/>
      <c r="I357" s="478"/>
      <c r="J357" s="478"/>
      <c r="K357" s="478"/>
      <c r="L357" s="478"/>
      <c r="M357" s="479" t="n">
        <f aca="false">SUMIFS(TE!P:P,TE!G:G,$A$43,TE!H:H,A357)</f>
        <v>0</v>
      </c>
      <c r="N357" s="479"/>
      <c r="O357" s="480"/>
      <c r="P357" s="480"/>
      <c r="Q357" s="481"/>
      <c r="R357" s="481"/>
      <c r="S357" s="482"/>
      <c r="T357" s="482"/>
      <c r="U357" s="482"/>
      <c r="V357" s="482"/>
      <c r="W357" s="483"/>
      <c r="X357" s="483"/>
      <c r="Y357" s="484"/>
      <c r="Z357" s="484"/>
      <c r="AA357" s="484"/>
      <c r="AB357" s="484"/>
      <c r="AC357" s="484"/>
      <c r="AD357" s="484"/>
      <c r="AE357" s="484"/>
    </row>
    <row r="358" s="396" customFormat="true" ht="30" hidden="false" customHeight="true" outlineLevel="0" collapsed="false">
      <c r="A358" s="477"/>
      <c r="B358" s="477"/>
      <c r="C358" s="477"/>
      <c r="D358" s="478"/>
      <c r="E358" s="478"/>
      <c r="F358" s="478"/>
      <c r="G358" s="478"/>
      <c r="H358" s="478"/>
      <c r="I358" s="478"/>
      <c r="J358" s="478"/>
      <c r="K358" s="478"/>
      <c r="L358" s="478"/>
      <c r="M358" s="479" t="n">
        <f aca="false">SUMIFS(TE!P:P,TE!G:G,$A$43,TE!H:H,A358)</f>
        <v>0</v>
      </c>
      <c r="N358" s="479"/>
      <c r="O358" s="480"/>
      <c r="P358" s="480"/>
      <c r="Q358" s="481"/>
      <c r="R358" s="481"/>
      <c r="S358" s="482"/>
      <c r="T358" s="482"/>
      <c r="U358" s="482"/>
      <c r="V358" s="482"/>
      <c r="W358" s="483"/>
      <c r="X358" s="483"/>
      <c r="Y358" s="484"/>
      <c r="Z358" s="484"/>
      <c r="AA358" s="484"/>
      <c r="AB358" s="484"/>
      <c r="AC358" s="484"/>
      <c r="AD358" s="484"/>
      <c r="AE358" s="484"/>
    </row>
    <row r="359" s="396" customFormat="true" ht="30" hidden="false" customHeight="true" outlineLevel="0" collapsed="false">
      <c r="A359" s="477"/>
      <c r="B359" s="477"/>
      <c r="C359" s="477"/>
      <c r="D359" s="478"/>
      <c r="E359" s="478"/>
      <c r="F359" s="478"/>
      <c r="G359" s="478"/>
      <c r="H359" s="478"/>
      <c r="I359" s="478"/>
      <c r="J359" s="478"/>
      <c r="K359" s="478"/>
      <c r="L359" s="478"/>
      <c r="M359" s="479" t="n">
        <f aca="false">SUMIFS(TE!P:P,TE!G:G,$A$43,TE!H:H,A359)</f>
        <v>0</v>
      </c>
      <c r="N359" s="479"/>
      <c r="O359" s="480"/>
      <c r="P359" s="480"/>
      <c r="Q359" s="481"/>
      <c r="R359" s="481"/>
      <c r="S359" s="482"/>
      <c r="T359" s="482"/>
      <c r="U359" s="482"/>
      <c r="V359" s="482"/>
      <c r="W359" s="483"/>
      <c r="X359" s="483"/>
      <c r="Y359" s="484"/>
      <c r="Z359" s="484"/>
      <c r="AA359" s="484"/>
      <c r="AB359" s="484"/>
      <c r="AC359" s="484"/>
      <c r="AD359" s="484"/>
      <c r="AE359" s="484"/>
    </row>
    <row r="360" s="396" customFormat="true" ht="30" hidden="false" customHeight="true" outlineLevel="0" collapsed="false">
      <c r="A360" s="477"/>
      <c r="B360" s="477"/>
      <c r="C360" s="477"/>
      <c r="D360" s="478"/>
      <c r="E360" s="478"/>
      <c r="F360" s="478"/>
      <c r="G360" s="478"/>
      <c r="H360" s="478"/>
      <c r="I360" s="478"/>
      <c r="J360" s="478"/>
      <c r="K360" s="478"/>
      <c r="L360" s="478"/>
      <c r="M360" s="479" t="n">
        <f aca="false">SUMIFS(TE!P:P,TE!G:G,$A$43,TE!H:H,A360)</f>
        <v>0</v>
      </c>
      <c r="N360" s="479"/>
      <c r="O360" s="480"/>
      <c r="P360" s="480"/>
      <c r="Q360" s="481"/>
      <c r="R360" s="481"/>
      <c r="S360" s="482"/>
      <c r="T360" s="482"/>
      <c r="U360" s="482"/>
      <c r="V360" s="482"/>
      <c r="W360" s="483"/>
      <c r="X360" s="483"/>
      <c r="Y360" s="484"/>
      <c r="Z360" s="484"/>
      <c r="AA360" s="484"/>
      <c r="AB360" s="484"/>
      <c r="AC360" s="484"/>
      <c r="AD360" s="484"/>
      <c r="AE360" s="484"/>
    </row>
    <row r="361" s="396" customFormat="true" ht="30" hidden="false" customHeight="true" outlineLevel="0" collapsed="false">
      <c r="A361" s="477"/>
      <c r="B361" s="477"/>
      <c r="C361" s="477"/>
      <c r="D361" s="478"/>
      <c r="E361" s="478"/>
      <c r="F361" s="478"/>
      <c r="G361" s="478"/>
      <c r="H361" s="478"/>
      <c r="I361" s="478"/>
      <c r="J361" s="478"/>
      <c r="K361" s="478"/>
      <c r="L361" s="478"/>
      <c r="M361" s="479" t="n">
        <f aca="false">SUMIFS(TE!P:P,TE!G:G,$A$43,TE!H:H,A361)</f>
        <v>0</v>
      </c>
      <c r="N361" s="479"/>
      <c r="O361" s="480"/>
      <c r="P361" s="480"/>
      <c r="Q361" s="481"/>
      <c r="R361" s="481"/>
      <c r="S361" s="482"/>
      <c r="T361" s="482"/>
      <c r="U361" s="482"/>
      <c r="V361" s="482"/>
      <c r="W361" s="483"/>
      <c r="X361" s="483"/>
      <c r="Y361" s="484"/>
      <c r="Z361" s="484"/>
      <c r="AA361" s="484"/>
      <c r="AB361" s="484"/>
      <c r="AC361" s="484"/>
      <c r="AD361" s="484"/>
      <c r="AE361" s="484"/>
    </row>
    <row r="362" s="396" customFormat="true" ht="30" hidden="false" customHeight="true" outlineLevel="0" collapsed="false">
      <c r="A362" s="486"/>
      <c r="B362" s="486"/>
      <c r="C362" s="486"/>
      <c r="D362" s="487"/>
      <c r="E362" s="487"/>
      <c r="F362" s="487"/>
      <c r="G362" s="487"/>
      <c r="H362" s="487"/>
      <c r="I362" s="487"/>
      <c r="J362" s="487"/>
      <c r="K362" s="487"/>
      <c r="L362" s="487"/>
      <c r="M362" s="488" t="n">
        <f aca="false">SUMIFS(TE!P:P,TE!G:G,$A$43,TE!H:H,A362)</f>
        <v>0</v>
      </c>
      <c r="N362" s="488"/>
      <c r="O362" s="489"/>
      <c r="P362" s="489"/>
      <c r="Q362" s="490"/>
      <c r="R362" s="490"/>
      <c r="S362" s="491"/>
      <c r="T362" s="491"/>
      <c r="U362" s="491"/>
      <c r="V362" s="491"/>
      <c r="W362" s="492"/>
      <c r="X362" s="492"/>
      <c r="Y362" s="493"/>
      <c r="Z362" s="493"/>
      <c r="AA362" s="493"/>
      <c r="AB362" s="493"/>
      <c r="AC362" s="493"/>
      <c r="AD362" s="493"/>
      <c r="AE362" s="493"/>
    </row>
    <row r="363" s="396" customFormat="true" ht="15.75" hidden="false" customHeight="true" outlineLevel="0" collapsed="false"/>
    <row r="364" s="396" customFormat="true" ht="15.75" hidden="false" customHeight="true" outlineLevel="0" collapsed="false">
      <c r="A364" s="495"/>
      <c r="B364" s="495"/>
      <c r="C364" s="495"/>
      <c r="D364" s="495"/>
      <c r="E364" s="495"/>
      <c r="F364" s="495"/>
      <c r="G364" s="495"/>
      <c r="H364" s="495"/>
      <c r="I364" s="495"/>
      <c r="J364" s="495"/>
      <c r="K364" s="495"/>
      <c r="L364" s="495"/>
      <c r="M364" s="495"/>
      <c r="N364" s="495"/>
      <c r="O364" s="495"/>
      <c r="P364" s="495"/>
      <c r="Q364" s="495"/>
      <c r="R364" s="495"/>
      <c r="S364" s="495"/>
      <c r="T364" s="495"/>
      <c r="U364" s="495"/>
      <c r="V364" s="495"/>
      <c r="W364" s="495"/>
      <c r="X364" s="495"/>
      <c r="Y364" s="495"/>
      <c r="Z364" s="495"/>
      <c r="AA364" s="495"/>
      <c r="AB364" s="453"/>
      <c r="AC364" s="454" t="s">
        <v>1657</v>
      </c>
      <c r="AD364" s="455" t="n">
        <v>13</v>
      </c>
      <c r="AE364" s="455" t="s">
        <v>29</v>
      </c>
      <c r="AF364" s="455" t="n">
        <v>27</v>
      </c>
    </row>
    <row r="365" s="396" customFormat="true" ht="12.75" hidden="false" customHeight="true" outlineLevel="0" collapsed="false">
      <c r="A365" s="398" t="s">
        <v>1522</v>
      </c>
      <c r="B365" s="398"/>
      <c r="C365" s="456" t="n">
        <v>14345</v>
      </c>
      <c r="D365" s="456"/>
      <c r="E365" s="456"/>
      <c r="F365" s="456"/>
      <c r="G365" s="456"/>
      <c r="H365" s="456"/>
      <c r="I365" s="456"/>
      <c r="J365" s="456"/>
      <c r="K365" s="456"/>
      <c r="L365" s="456"/>
      <c r="M365" s="398" t="s">
        <v>1523</v>
      </c>
      <c r="N365" s="398"/>
      <c r="O365" s="398"/>
      <c r="P365" s="398"/>
      <c r="Q365" s="398"/>
      <c r="R365" s="456" t="str">
        <f aca="false">$R$5</f>
        <v>Armory</v>
      </c>
      <c r="S365" s="456"/>
      <c r="T365" s="456"/>
      <c r="U365" s="456"/>
      <c r="V365" s="456"/>
      <c r="W365" s="456"/>
      <c r="X365" s="456"/>
      <c r="Y365" s="456"/>
      <c r="Z365" s="456"/>
      <c r="AA365" s="456"/>
      <c r="AB365" s="456"/>
      <c r="AC365" s="456"/>
      <c r="AD365" s="456"/>
      <c r="AE365" s="456"/>
      <c r="AF365" s="456"/>
    </row>
    <row r="366" s="396" customFormat="true" ht="12.75" hidden="false" customHeight="true" outlineLevel="0" collapsed="false"/>
    <row r="367" s="396" customFormat="true" ht="12.75" hidden="false" customHeight="true" outlineLevel="0" collapsed="false">
      <c r="C367" s="460" t="str">
        <f aca="false">A259</f>
        <v>M28261</v>
      </c>
      <c r="D367" s="460"/>
      <c r="E367" s="460"/>
      <c r="F367" s="461" t="str">
        <f aca="false">D259</f>
        <v>H&amp;S CO</v>
      </c>
      <c r="G367" s="461"/>
      <c r="H367" s="461"/>
      <c r="I367" s="461"/>
      <c r="J367" s="461"/>
      <c r="K367" s="461"/>
      <c r="L367" s="461"/>
      <c r="M367" s="461"/>
      <c r="N367" s="461"/>
    </row>
    <row r="368" s="396" customFormat="true" ht="12.75" hidden="false" customHeight="true" outlineLevel="0" collapsed="false">
      <c r="C368" s="506" t="s">
        <v>2142</v>
      </c>
      <c r="D368" s="506"/>
      <c r="E368" s="507" t="s">
        <v>2143</v>
      </c>
      <c r="F368" s="507"/>
      <c r="G368" s="507"/>
      <c r="H368" s="507"/>
      <c r="I368" s="507"/>
      <c r="J368" s="507"/>
      <c r="K368" s="507"/>
      <c r="L368" s="507"/>
      <c r="M368" s="508"/>
      <c r="N368" s="509" t="s">
        <v>2144</v>
      </c>
      <c r="O368" s="509"/>
      <c r="P368" s="509"/>
      <c r="Q368" s="509"/>
      <c r="R368" s="509" t="s">
        <v>2145</v>
      </c>
      <c r="S368" s="509"/>
      <c r="T368" s="509"/>
      <c r="U368" s="509"/>
      <c r="V368" s="509" t="s">
        <v>2146</v>
      </c>
      <c r="W368" s="509"/>
      <c r="X368" s="509"/>
      <c r="Y368" s="509"/>
      <c r="Z368" s="510" t="s">
        <v>2147</v>
      </c>
      <c r="AA368" s="510"/>
      <c r="AB368" s="510"/>
      <c r="AC368" s="510"/>
    </row>
    <row r="369" s="396" customFormat="true" ht="12.75" hidden="false" customHeight="true" outlineLevel="0" collapsed="false">
      <c r="C369" s="506"/>
      <c r="D369" s="506"/>
      <c r="E369" s="507"/>
      <c r="F369" s="507"/>
      <c r="G369" s="507"/>
      <c r="H369" s="507"/>
      <c r="I369" s="507"/>
      <c r="J369" s="507"/>
      <c r="K369" s="507"/>
      <c r="L369" s="507"/>
      <c r="M369" s="511"/>
      <c r="N369" s="509"/>
      <c r="O369" s="509"/>
      <c r="P369" s="509"/>
      <c r="Q369" s="509"/>
      <c r="R369" s="509"/>
      <c r="S369" s="509"/>
      <c r="T369" s="509"/>
      <c r="U369" s="509"/>
      <c r="V369" s="509"/>
      <c r="W369" s="509"/>
      <c r="X369" s="509"/>
      <c r="Y369" s="509"/>
      <c r="Z369" s="510"/>
      <c r="AA369" s="510"/>
      <c r="AB369" s="510"/>
      <c r="AC369" s="510"/>
    </row>
    <row r="370" s="396" customFormat="true" ht="12.75" hidden="false" customHeight="true" outlineLevel="0" collapsed="false">
      <c r="C370" s="512" t="s">
        <v>1670</v>
      </c>
      <c r="D370" s="512"/>
      <c r="E370" s="513" t="s">
        <v>2148</v>
      </c>
      <c r="F370" s="513"/>
      <c r="G370" s="513"/>
      <c r="H370" s="513"/>
      <c r="I370" s="513"/>
      <c r="J370" s="513"/>
      <c r="K370" s="513"/>
      <c r="L370" s="513"/>
      <c r="M370" s="513"/>
      <c r="N370" s="514" t="n">
        <f aca="false">ROUNDUP(SUMIFS($Q$47:$R$362,$W$47:$X$362,C370),0)</f>
        <v>3</v>
      </c>
      <c r="O370" s="514"/>
      <c r="P370" s="514"/>
      <c r="Q370" s="514"/>
      <c r="R370" s="515" t="n">
        <f aca="false">EVEN(N370/2)</f>
        <v>2</v>
      </c>
      <c r="S370" s="515"/>
      <c r="T370" s="515"/>
      <c r="U370" s="515"/>
      <c r="V370" s="516" t="n">
        <v>13.4</v>
      </c>
      <c r="W370" s="516"/>
      <c r="X370" s="516"/>
      <c r="Y370" s="516"/>
      <c r="Z370" s="517" t="n">
        <f aca="false">R370*V370</f>
        <v>26.8</v>
      </c>
      <c r="AA370" s="517"/>
      <c r="AB370" s="517"/>
      <c r="AC370" s="517"/>
    </row>
    <row r="371" s="396" customFormat="true" ht="12.75" hidden="false" customHeight="true" outlineLevel="0" collapsed="false">
      <c r="C371" s="518" t="s">
        <v>1810</v>
      </c>
      <c r="D371" s="518"/>
      <c r="E371" s="519" t="s">
        <v>2149</v>
      </c>
      <c r="F371" s="519"/>
      <c r="G371" s="519"/>
      <c r="H371" s="519"/>
      <c r="I371" s="519"/>
      <c r="J371" s="519"/>
      <c r="K371" s="519"/>
      <c r="L371" s="519"/>
      <c r="M371" s="519"/>
      <c r="N371" s="520" t="s">
        <v>1678</v>
      </c>
      <c r="O371" s="520"/>
      <c r="P371" s="520"/>
      <c r="Q371" s="520"/>
      <c r="R371" s="520" t="s">
        <v>1678</v>
      </c>
      <c r="S371" s="520"/>
      <c r="T371" s="520"/>
      <c r="U371" s="520"/>
      <c r="V371" s="520" t="s">
        <v>1678</v>
      </c>
      <c r="W371" s="520"/>
      <c r="X371" s="520"/>
      <c r="Y371" s="520"/>
      <c r="Z371" s="521" t="s">
        <v>1678</v>
      </c>
      <c r="AA371" s="521"/>
      <c r="AB371" s="521"/>
      <c r="AC371" s="521"/>
    </row>
    <row r="372" s="396" customFormat="true" ht="12.75" hidden="false" customHeight="true" outlineLevel="0" collapsed="false">
      <c r="C372" s="522" t="s">
        <v>1878</v>
      </c>
      <c r="D372" s="522"/>
      <c r="E372" s="523" t="s">
        <v>2150</v>
      </c>
      <c r="F372" s="523"/>
      <c r="G372" s="523"/>
      <c r="H372" s="523"/>
      <c r="I372" s="523"/>
      <c r="J372" s="523"/>
      <c r="K372" s="523"/>
      <c r="L372" s="523"/>
      <c r="M372" s="523"/>
      <c r="N372" s="514" t="n">
        <f aca="false">ROUNDUP(SUMIFS($Q$47:$R$362,$W$47:$X$362,C372),0)</f>
        <v>1</v>
      </c>
      <c r="O372" s="514"/>
      <c r="P372" s="514"/>
      <c r="Q372" s="514"/>
      <c r="R372" s="514" t="n">
        <f aca="false">EVEN(N372/2)</f>
        <v>2</v>
      </c>
      <c r="S372" s="514"/>
      <c r="T372" s="514"/>
      <c r="U372" s="514"/>
      <c r="V372" s="524" t="n">
        <v>13.4</v>
      </c>
      <c r="W372" s="524"/>
      <c r="X372" s="524"/>
      <c r="Y372" s="524"/>
      <c r="Z372" s="525" t="n">
        <f aca="false">R372*V372</f>
        <v>26.8</v>
      </c>
      <c r="AA372" s="525"/>
      <c r="AB372" s="525"/>
      <c r="AC372" s="525"/>
    </row>
    <row r="373" s="396" customFormat="true" ht="12.75" hidden="false" customHeight="true" outlineLevel="0" collapsed="false">
      <c r="C373" s="522" t="s">
        <v>1767</v>
      </c>
      <c r="D373" s="522"/>
      <c r="E373" s="523" t="s">
        <v>2151</v>
      </c>
      <c r="F373" s="523"/>
      <c r="G373" s="523"/>
      <c r="H373" s="523"/>
      <c r="I373" s="523"/>
      <c r="J373" s="523"/>
      <c r="K373" s="523"/>
      <c r="L373" s="523"/>
      <c r="M373" s="523"/>
      <c r="N373" s="514" t="n">
        <f aca="false">ROUNDUP(SUMIFS($Q$47:$R$362,$W$47:$X$362,C373),0)</f>
        <v>3</v>
      </c>
      <c r="O373" s="514"/>
      <c r="P373" s="514"/>
      <c r="Q373" s="514"/>
      <c r="R373" s="514" t="n">
        <f aca="false">EVEN(N373/2)</f>
        <v>2</v>
      </c>
      <c r="S373" s="514"/>
      <c r="T373" s="514"/>
      <c r="U373" s="514"/>
      <c r="V373" s="524" t="n">
        <v>13.4</v>
      </c>
      <c r="W373" s="524"/>
      <c r="X373" s="524"/>
      <c r="Y373" s="524"/>
      <c r="Z373" s="525" t="n">
        <f aca="false">R373*V373</f>
        <v>26.8</v>
      </c>
      <c r="AA373" s="525"/>
      <c r="AB373" s="525"/>
      <c r="AC373" s="525"/>
    </row>
    <row r="374" s="396" customFormat="true" ht="12.75" hidden="false" customHeight="true" outlineLevel="0" collapsed="false">
      <c r="C374" s="522" t="s">
        <v>1847</v>
      </c>
      <c r="D374" s="522"/>
      <c r="E374" s="523" t="s">
        <v>2152</v>
      </c>
      <c r="F374" s="523"/>
      <c r="G374" s="523"/>
      <c r="H374" s="523"/>
      <c r="I374" s="523"/>
      <c r="J374" s="523"/>
      <c r="K374" s="523"/>
      <c r="L374" s="523"/>
      <c r="M374" s="523"/>
      <c r="N374" s="514" t="n">
        <f aca="false">ROUNDUP(SUMIFS($Q$47:$R$362,$W$47:$X$362,C374),0)</f>
        <v>8</v>
      </c>
      <c r="O374" s="514"/>
      <c r="P374" s="514"/>
      <c r="Q374" s="514"/>
      <c r="R374" s="514" t="n">
        <f aca="false">EVEN(N374/2)</f>
        <v>4</v>
      </c>
      <c r="S374" s="514"/>
      <c r="T374" s="514"/>
      <c r="U374" s="514"/>
      <c r="V374" s="524" t="n">
        <v>13.4</v>
      </c>
      <c r="W374" s="524"/>
      <c r="X374" s="524"/>
      <c r="Y374" s="524"/>
      <c r="Z374" s="525" t="n">
        <f aca="false">R374*V374</f>
        <v>53.6</v>
      </c>
      <c r="AA374" s="525"/>
      <c r="AB374" s="525"/>
      <c r="AC374" s="525"/>
    </row>
    <row r="375" s="396" customFormat="true" ht="12.75" hidden="false" customHeight="true" outlineLevel="0" collapsed="false">
      <c r="C375" s="522" t="s">
        <v>1710</v>
      </c>
      <c r="D375" s="522"/>
      <c r="E375" s="523" t="s">
        <v>2153</v>
      </c>
      <c r="F375" s="523"/>
      <c r="G375" s="523"/>
      <c r="H375" s="523"/>
      <c r="I375" s="523"/>
      <c r="J375" s="523"/>
      <c r="K375" s="523"/>
      <c r="L375" s="523"/>
      <c r="M375" s="523"/>
      <c r="N375" s="514" t="n">
        <f aca="false">ROUNDUP(SUMIFS($Q$47:$R$362,$W$47:$X$362,C375),0)</f>
        <v>0</v>
      </c>
      <c r="O375" s="514"/>
      <c r="P375" s="514"/>
      <c r="Q375" s="514"/>
      <c r="R375" s="514" t="n">
        <f aca="false">EVEN(N375/2)</f>
        <v>0</v>
      </c>
      <c r="S375" s="514"/>
      <c r="T375" s="514"/>
      <c r="U375" s="514"/>
      <c r="V375" s="524" t="n">
        <v>13.4</v>
      </c>
      <c r="W375" s="524"/>
      <c r="X375" s="524"/>
      <c r="Y375" s="524"/>
      <c r="Z375" s="525" t="n">
        <f aca="false">R375*V375</f>
        <v>0</v>
      </c>
      <c r="AA375" s="525"/>
      <c r="AB375" s="525"/>
      <c r="AC375" s="525"/>
    </row>
    <row r="376" s="396" customFormat="true" ht="12.75" hidden="false" customHeight="true" outlineLevel="0" collapsed="false">
      <c r="C376" s="522" t="s">
        <v>1891</v>
      </c>
      <c r="D376" s="522"/>
      <c r="E376" s="523" t="s">
        <v>2154</v>
      </c>
      <c r="F376" s="523"/>
      <c r="G376" s="523"/>
      <c r="H376" s="523"/>
      <c r="I376" s="523"/>
      <c r="J376" s="523"/>
      <c r="K376" s="523"/>
      <c r="L376" s="523"/>
      <c r="M376" s="523"/>
      <c r="N376" s="514" t="n">
        <f aca="false">ROUNDUP(SUMIFS($Q$47:$R$362,$W$47:$X$362,C376),0)</f>
        <v>0</v>
      </c>
      <c r="O376" s="514"/>
      <c r="P376" s="514"/>
      <c r="Q376" s="514"/>
      <c r="R376" s="514" t="n">
        <f aca="false">EVEN(N376/2)</f>
        <v>0</v>
      </c>
      <c r="S376" s="514"/>
      <c r="T376" s="514"/>
      <c r="U376" s="514"/>
      <c r="V376" s="524" t="n">
        <v>13.4</v>
      </c>
      <c r="W376" s="524"/>
      <c r="X376" s="524"/>
      <c r="Y376" s="524"/>
      <c r="Z376" s="525" t="n">
        <f aca="false">R376*V376</f>
        <v>0</v>
      </c>
      <c r="AA376" s="525"/>
      <c r="AB376" s="525"/>
      <c r="AC376" s="525"/>
    </row>
    <row r="377" s="396" customFormat="true" ht="12.75" hidden="false" customHeight="true" outlineLevel="0" collapsed="false">
      <c r="C377" s="522" t="s">
        <v>1795</v>
      </c>
      <c r="D377" s="522"/>
      <c r="E377" s="523" t="s">
        <v>2155</v>
      </c>
      <c r="F377" s="523"/>
      <c r="G377" s="523"/>
      <c r="H377" s="523"/>
      <c r="I377" s="523"/>
      <c r="J377" s="523"/>
      <c r="K377" s="523"/>
      <c r="L377" s="523"/>
      <c r="M377" s="523"/>
      <c r="N377" s="514" t="n">
        <f aca="false">ROUNDUP(SUMIFS($Q$47:$R$362,$W$47:$X$362,C377),0)</f>
        <v>1</v>
      </c>
      <c r="O377" s="514"/>
      <c r="P377" s="514"/>
      <c r="Q377" s="514"/>
      <c r="R377" s="514" t="n">
        <f aca="false">N377</f>
        <v>1</v>
      </c>
      <c r="S377" s="514"/>
      <c r="T377" s="514"/>
      <c r="U377" s="514"/>
      <c r="V377" s="524" t="n">
        <v>13.4</v>
      </c>
      <c r="W377" s="524"/>
      <c r="X377" s="524"/>
      <c r="Y377" s="524"/>
      <c r="Z377" s="525" t="n">
        <f aca="false">R377*V377</f>
        <v>13.4</v>
      </c>
      <c r="AA377" s="525"/>
      <c r="AB377" s="525"/>
      <c r="AC377" s="525"/>
    </row>
    <row r="378" s="396" customFormat="true" ht="12.75" hidden="false" customHeight="true" outlineLevel="0" collapsed="false">
      <c r="C378" s="522" t="s">
        <v>1907</v>
      </c>
      <c r="D378" s="522"/>
      <c r="E378" s="523" t="s">
        <v>2156</v>
      </c>
      <c r="F378" s="523"/>
      <c r="G378" s="523"/>
      <c r="H378" s="523"/>
      <c r="I378" s="523"/>
      <c r="J378" s="523"/>
      <c r="K378" s="523"/>
      <c r="L378" s="523"/>
      <c r="M378" s="523"/>
      <c r="N378" s="514" t="n">
        <f aca="false">ROUNDUP(SUMIFS($Q$47:$R$362,$W$47:$X$362,C378),0)</f>
        <v>1</v>
      </c>
      <c r="O378" s="514"/>
      <c r="P378" s="514"/>
      <c r="Q378" s="514"/>
      <c r="R378" s="514" t="n">
        <f aca="false">N378</f>
        <v>1</v>
      </c>
      <c r="S378" s="514"/>
      <c r="T378" s="514"/>
      <c r="U378" s="514"/>
      <c r="V378" s="524" t="n">
        <v>13.4</v>
      </c>
      <c r="W378" s="524"/>
      <c r="X378" s="524"/>
      <c r="Y378" s="524"/>
      <c r="Z378" s="525" t="n">
        <f aca="false">R378*V378</f>
        <v>13.4</v>
      </c>
      <c r="AA378" s="525"/>
      <c r="AB378" s="525"/>
      <c r="AC378" s="525"/>
    </row>
    <row r="379" s="396" customFormat="true" ht="12.75" hidden="false" customHeight="true" outlineLevel="0" collapsed="false">
      <c r="C379" s="522" t="s">
        <v>1910</v>
      </c>
      <c r="D379" s="522"/>
      <c r="E379" s="523" t="s">
        <v>2157</v>
      </c>
      <c r="F379" s="523"/>
      <c r="G379" s="523"/>
      <c r="H379" s="523"/>
      <c r="I379" s="523"/>
      <c r="J379" s="523"/>
      <c r="K379" s="523"/>
      <c r="L379" s="523"/>
      <c r="M379" s="523"/>
      <c r="N379" s="514" t="n">
        <f aca="false">ROUNDUP(SUMIFS($Q$47:$R$362,$W$47:$X$362,C379),0)</f>
        <v>0</v>
      </c>
      <c r="O379" s="514"/>
      <c r="P379" s="514"/>
      <c r="Q379" s="514"/>
      <c r="R379" s="514" t="n">
        <f aca="false">N379</f>
        <v>0</v>
      </c>
      <c r="S379" s="514"/>
      <c r="T379" s="514"/>
      <c r="U379" s="514"/>
      <c r="V379" s="524" t="n">
        <v>13.4</v>
      </c>
      <c r="W379" s="524"/>
      <c r="X379" s="524"/>
      <c r="Y379" s="524"/>
      <c r="Z379" s="525" t="n">
        <f aca="false">R379*V379</f>
        <v>0</v>
      </c>
      <c r="AA379" s="525"/>
      <c r="AB379" s="525"/>
      <c r="AC379" s="525"/>
    </row>
    <row r="380" s="396" customFormat="true" ht="12.75" hidden="false" customHeight="true" outlineLevel="0" collapsed="false">
      <c r="C380" s="522" t="s">
        <v>1902</v>
      </c>
      <c r="D380" s="522"/>
      <c r="E380" s="523" t="s">
        <v>2158</v>
      </c>
      <c r="F380" s="523"/>
      <c r="G380" s="523"/>
      <c r="H380" s="523"/>
      <c r="I380" s="523"/>
      <c r="J380" s="523"/>
      <c r="K380" s="523"/>
      <c r="L380" s="523"/>
      <c r="M380" s="523"/>
      <c r="N380" s="514" t="n">
        <f aca="false">ROUNDUP(SUMIFS($Q$47:$R$362,$W$47:$X$362,C380),0)</f>
        <v>1</v>
      </c>
      <c r="O380" s="514"/>
      <c r="P380" s="514"/>
      <c r="Q380" s="514"/>
      <c r="R380" s="514" t="n">
        <f aca="false">N380</f>
        <v>1</v>
      </c>
      <c r="S380" s="514"/>
      <c r="T380" s="514"/>
      <c r="U380" s="514"/>
      <c r="V380" s="524" t="n">
        <v>13.4</v>
      </c>
      <c r="W380" s="524"/>
      <c r="X380" s="524"/>
      <c r="Y380" s="524"/>
      <c r="Z380" s="525" t="n">
        <f aca="false">R380*V380</f>
        <v>13.4</v>
      </c>
      <c r="AA380" s="525"/>
      <c r="AB380" s="525"/>
      <c r="AC380" s="525"/>
    </row>
    <row r="381" s="396" customFormat="true" ht="12.75" hidden="false" customHeight="true" outlineLevel="0" collapsed="false">
      <c r="C381" s="522" t="s">
        <v>1915</v>
      </c>
      <c r="D381" s="522"/>
      <c r="E381" s="523" t="s">
        <v>2159</v>
      </c>
      <c r="F381" s="523"/>
      <c r="G381" s="523"/>
      <c r="H381" s="523"/>
      <c r="I381" s="523"/>
      <c r="J381" s="523"/>
      <c r="K381" s="523"/>
      <c r="L381" s="523"/>
      <c r="M381" s="523"/>
      <c r="N381" s="514" t="n">
        <f aca="false">ROUNDUP(SUMIFS($Q$47:$R$362,$W$47:$X$362,C381),0)</f>
        <v>0</v>
      </c>
      <c r="O381" s="514"/>
      <c r="P381" s="514"/>
      <c r="Q381" s="514"/>
      <c r="R381" s="514" t="n">
        <f aca="false">N381</f>
        <v>0</v>
      </c>
      <c r="S381" s="514"/>
      <c r="T381" s="514"/>
      <c r="U381" s="514"/>
      <c r="V381" s="524" t="n">
        <v>13.4</v>
      </c>
      <c r="W381" s="524"/>
      <c r="X381" s="524"/>
      <c r="Y381" s="524"/>
      <c r="Z381" s="525" t="n">
        <f aca="false">R381*V381</f>
        <v>0</v>
      </c>
      <c r="AA381" s="525"/>
      <c r="AB381" s="525"/>
      <c r="AC381" s="525"/>
    </row>
    <row r="382" s="396" customFormat="true" ht="12.75" hidden="false" customHeight="true" outlineLevel="0" collapsed="false">
      <c r="C382" s="522" t="s">
        <v>1996</v>
      </c>
      <c r="D382" s="522"/>
      <c r="E382" s="523" t="s">
        <v>2160</v>
      </c>
      <c r="F382" s="523"/>
      <c r="G382" s="523"/>
      <c r="H382" s="523"/>
      <c r="I382" s="523"/>
      <c r="J382" s="523"/>
      <c r="K382" s="523"/>
      <c r="L382" s="523"/>
      <c r="M382" s="523"/>
      <c r="N382" s="514" t="n">
        <f aca="false">ROUNDUP(SUMIFS($Q$47:$R$362,$W$47:$X$362,C382),0)</f>
        <v>0</v>
      </c>
      <c r="O382" s="514"/>
      <c r="P382" s="514"/>
      <c r="Q382" s="514"/>
      <c r="R382" s="514" t="n">
        <f aca="false">EVEN(N382/2)</f>
        <v>0</v>
      </c>
      <c r="S382" s="514"/>
      <c r="T382" s="514"/>
      <c r="U382" s="514"/>
      <c r="V382" s="524" t="n">
        <v>13.4</v>
      </c>
      <c r="W382" s="524"/>
      <c r="X382" s="524"/>
      <c r="Y382" s="524"/>
      <c r="Z382" s="525" t="n">
        <f aca="false">R382*V382</f>
        <v>0</v>
      </c>
      <c r="AA382" s="525"/>
      <c r="AB382" s="525"/>
      <c r="AC382" s="525"/>
    </row>
    <row r="383" s="396" customFormat="true" ht="12.75" hidden="false" customHeight="true" outlineLevel="0" collapsed="false">
      <c r="C383" s="522" t="s">
        <v>2007</v>
      </c>
      <c r="D383" s="522"/>
      <c r="E383" s="523" t="s">
        <v>2161</v>
      </c>
      <c r="F383" s="523"/>
      <c r="G383" s="523"/>
      <c r="H383" s="523"/>
      <c r="I383" s="523"/>
      <c r="J383" s="523"/>
      <c r="K383" s="523"/>
      <c r="L383" s="523"/>
      <c r="M383" s="523"/>
      <c r="N383" s="514" t="n">
        <f aca="false">ROUNDUP(SUMIFS($Q$47:$R$362,$W$47:$X$362,C383),0)</f>
        <v>0</v>
      </c>
      <c r="O383" s="514"/>
      <c r="P383" s="514"/>
      <c r="Q383" s="514"/>
      <c r="R383" s="514" t="n">
        <f aca="false">EVEN(N383/2)</f>
        <v>0</v>
      </c>
      <c r="S383" s="514"/>
      <c r="T383" s="514"/>
      <c r="U383" s="514"/>
      <c r="V383" s="524" t="n">
        <v>13.4</v>
      </c>
      <c r="W383" s="524"/>
      <c r="X383" s="524"/>
      <c r="Y383" s="524"/>
      <c r="Z383" s="525" t="n">
        <f aca="false">R383*V383</f>
        <v>0</v>
      </c>
      <c r="AA383" s="525"/>
      <c r="AB383" s="525"/>
      <c r="AC383" s="525"/>
    </row>
    <row r="384" s="396" customFormat="true" ht="12.75" hidden="false" customHeight="true" outlineLevel="0" collapsed="false">
      <c r="C384" s="522" t="s">
        <v>1977</v>
      </c>
      <c r="D384" s="522"/>
      <c r="E384" s="523" t="s">
        <v>2162</v>
      </c>
      <c r="F384" s="523"/>
      <c r="G384" s="523"/>
      <c r="H384" s="523"/>
      <c r="I384" s="523"/>
      <c r="J384" s="523"/>
      <c r="K384" s="523"/>
      <c r="L384" s="523"/>
      <c r="M384" s="523"/>
      <c r="N384" s="514" t="n">
        <f aca="false">ROUNDUP(SUMIFS($Q$47:$R$362,$W$47:$X$362,C384),0)</f>
        <v>0</v>
      </c>
      <c r="O384" s="514"/>
      <c r="P384" s="514"/>
      <c r="Q384" s="514"/>
      <c r="R384" s="514" t="n">
        <f aca="false">EVEN(N384/2)</f>
        <v>0</v>
      </c>
      <c r="S384" s="514"/>
      <c r="T384" s="514"/>
      <c r="U384" s="514"/>
      <c r="V384" s="524" t="n">
        <v>1.8</v>
      </c>
      <c r="W384" s="524"/>
      <c r="X384" s="524"/>
      <c r="Y384" s="524"/>
      <c r="Z384" s="525" t="n">
        <f aca="false">R384*V384</f>
        <v>0</v>
      </c>
      <c r="AA384" s="525"/>
      <c r="AB384" s="525"/>
      <c r="AC384" s="525"/>
    </row>
    <row r="385" s="396" customFormat="true" ht="12.75" hidden="false" customHeight="true" outlineLevel="0" collapsed="false">
      <c r="C385" s="522" t="s">
        <v>1771</v>
      </c>
      <c r="D385" s="522"/>
      <c r="E385" s="523" t="s">
        <v>2163</v>
      </c>
      <c r="F385" s="523"/>
      <c r="G385" s="523"/>
      <c r="H385" s="523"/>
      <c r="I385" s="523"/>
      <c r="J385" s="523"/>
      <c r="K385" s="523"/>
      <c r="L385" s="523"/>
      <c r="M385" s="523"/>
      <c r="N385" s="514" t="n">
        <f aca="false">ROUNDUP(SUMIFS($Q$47:$R$362,$W$47:$X$362,C385),0)</f>
        <v>0</v>
      </c>
      <c r="O385" s="514"/>
      <c r="P385" s="514"/>
      <c r="Q385" s="514"/>
      <c r="R385" s="514" t="n">
        <f aca="false">EVEN(N385/2)</f>
        <v>0</v>
      </c>
      <c r="S385" s="514"/>
      <c r="T385" s="514"/>
      <c r="U385" s="514"/>
      <c r="V385" s="524" t="n">
        <v>21</v>
      </c>
      <c r="W385" s="524"/>
      <c r="X385" s="524"/>
      <c r="Y385" s="524"/>
      <c r="Z385" s="525" t="n">
        <f aca="false">R385*V385</f>
        <v>0</v>
      </c>
      <c r="AA385" s="525"/>
      <c r="AB385" s="525"/>
      <c r="AC385" s="525"/>
    </row>
    <row r="386" s="396" customFormat="true" ht="12.75" hidden="false" customHeight="true" outlineLevel="0" collapsed="false">
      <c r="C386" s="522" t="s">
        <v>2118</v>
      </c>
      <c r="D386" s="522"/>
      <c r="E386" s="523" t="s">
        <v>2164</v>
      </c>
      <c r="F386" s="523"/>
      <c r="G386" s="523"/>
      <c r="H386" s="523"/>
      <c r="I386" s="523"/>
      <c r="J386" s="523"/>
      <c r="K386" s="523"/>
      <c r="L386" s="523"/>
      <c r="M386" s="523"/>
      <c r="N386" s="514" t="n">
        <f aca="false">ROUNDUP(SUMIFS($Q$47:$R$362,$W$47:$X$362,C386),0)</f>
        <v>0</v>
      </c>
      <c r="O386" s="514"/>
      <c r="P386" s="514"/>
      <c r="Q386" s="514"/>
      <c r="R386" s="514" t="n">
        <f aca="false">N386</f>
        <v>0</v>
      </c>
      <c r="S386" s="514"/>
      <c r="T386" s="514"/>
      <c r="U386" s="514"/>
      <c r="V386" s="524" t="n">
        <v>36</v>
      </c>
      <c r="W386" s="524"/>
      <c r="X386" s="524"/>
      <c r="Y386" s="524"/>
      <c r="Z386" s="525" t="n">
        <f aca="false">R386*V386</f>
        <v>0</v>
      </c>
      <c r="AA386" s="525"/>
      <c r="AB386" s="525"/>
      <c r="AC386" s="525"/>
    </row>
    <row r="387" s="396" customFormat="true" ht="12.75" hidden="false" customHeight="true" outlineLevel="0" collapsed="false">
      <c r="C387" s="518" t="s">
        <v>1722</v>
      </c>
      <c r="D387" s="518"/>
      <c r="E387" s="519" t="s">
        <v>2165</v>
      </c>
      <c r="F387" s="519"/>
      <c r="G387" s="519"/>
      <c r="H387" s="519"/>
      <c r="I387" s="519"/>
      <c r="J387" s="519"/>
      <c r="K387" s="519"/>
      <c r="L387" s="519"/>
      <c r="M387" s="519"/>
      <c r="N387" s="514" t="n">
        <f aca="false">ROUNDUP(SUMIFS($Q$47:$R$362,$W$47:$X$362,C387),0)</f>
        <v>0</v>
      </c>
      <c r="O387" s="514"/>
      <c r="P387" s="514"/>
      <c r="Q387" s="514"/>
      <c r="R387" s="526" t="n">
        <f aca="false">N387</f>
        <v>0</v>
      </c>
      <c r="S387" s="526"/>
      <c r="T387" s="526"/>
      <c r="U387" s="526"/>
      <c r="V387" s="527" t="n">
        <v>18</v>
      </c>
      <c r="W387" s="527"/>
      <c r="X387" s="527"/>
      <c r="Y387" s="527"/>
      <c r="Z387" s="528" t="n">
        <f aca="false">R387*V387</f>
        <v>0</v>
      </c>
      <c r="AA387" s="528"/>
      <c r="AB387" s="528"/>
      <c r="AC387" s="528"/>
    </row>
    <row r="388" s="396" customFormat="true" ht="12.75" hidden="false" customHeight="true" outlineLevel="0" collapsed="false">
      <c r="C388" s="522" t="s">
        <v>1679</v>
      </c>
      <c r="D388" s="522"/>
      <c r="E388" s="523" t="s">
        <v>2166</v>
      </c>
      <c r="F388" s="523"/>
      <c r="G388" s="523"/>
      <c r="H388" s="523"/>
      <c r="I388" s="523"/>
      <c r="J388" s="523"/>
      <c r="K388" s="523"/>
      <c r="L388" s="523"/>
      <c r="M388" s="523"/>
      <c r="N388" s="520" t="s">
        <v>1678</v>
      </c>
      <c r="O388" s="520"/>
      <c r="P388" s="520"/>
      <c r="Q388" s="520"/>
      <c r="R388" s="520" t="s">
        <v>1678</v>
      </c>
      <c r="S388" s="520"/>
      <c r="T388" s="520"/>
      <c r="U388" s="520"/>
      <c r="V388" s="520" t="s">
        <v>1678</v>
      </c>
      <c r="W388" s="520"/>
      <c r="X388" s="520"/>
      <c r="Y388" s="520"/>
      <c r="Z388" s="521" t="s">
        <v>1678</v>
      </c>
      <c r="AA388" s="521"/>
      <c r="AB388" s="521"/>
      <c r="AC388" s="521"/>
    </row>
    <row r="389" s="396" customFormat="true" ht="12.75" hidden="false" customHeight="true" outlineLevel="0" collapsed="false">
      <c r="C389" s="529" t="s">
        <v>2167</v>
      </c>
      <c r="D389" s="530"/>
      <c r="E389" s="531"/>
      <c r="F389" s="530"/>
      <c r="G389" s="530"/>
      <c r="H389" s="530"/>
      <c r="I389" s="530"/>
      <c r="J389" s="530"/>
      <c r="K389" s="530"/>
      <c r="L389" s="530"/>
      <c r="M389" s="530"/>
      <c r="N389" s="532" t="s">
        <v>2168</v>
      </c>
      <c r="O389" s="532"/>
      <c r="P389" s="532"/>
      <c r="Q389" s="532"/>
      <c r="R389" s="533" t="s">
        <v>2169</v>
      </c>
      <c r="S389" s="533"/>
      <c r="T389" s="533"/>
      <c r="U389" s="533"/>
      <c r="V389" s="532" t="s">
        <v>2170</v>
      </c>
      <c r="W389" s="532"/>
      <c r="X389" s="532"/>
      <c r="Y389" s="532"/>
      <c r="Z389" s="534" t="s">
        <v>2147</v>
      </c>
      <c r="AA389" s="534"/>
      <c r="AB389" s="534"/>
      <c r="AC389" s="534"/>
    </row>
    <row r="390" s="396" customFormat="true" ht="12.75" hidden="false" customHeight="true" outlineLevel="0" collapsed="false">
      <c r="C390" s="535"/>
      <c r="D390" s="535"/>
      <c r="E390" s="536"/>
      <c r="F390" s="536"/>
      <c r="G390" s="536"/>
      <c r="H390" s="536"/>
      <c r="I390" s="536"/>
      <c r="J390" s="536"/>
      <c r="K390" s="536"/>
      <c r="L390" s="536"/>
      <c r="M390" s="536"/>
      <c r="N390" s="537"/>
      <c r="O390" s="537"/>
      <c r="P390" s="537"/>
      <c r="Q390" s="537"/>
      <c r="R390" s="537"/>
      <c r="S390" s="537"/>
      <c r="T390" s="537"/>
      <c r="U390" s="537"/>
      <c r="V390" s="537"/>
      <c r="W390" s="537"/>
      <c r="X390" s="537"/>
      <c r="Y390" s="537"/>
      <c r="Z390" s="538"/>
      <c r="AA390" s="538"/>
      <c r="AB390" s="538"/>
      <c r="AC390" s="538"/>
    </row>
    <row r="391" s="396" customFormat="true" ht="12.75" hidden="false" customHeight="true" outlineLevel="0" collapsed="false">
      <c r="C391" s="529" t="s">
        <v>2171</v>
      </c>
      <c r="D391" s="530"/>
      <c r="E391" s="539"/>
      <c r="F391" s="540"/>
      <c r="G391" s="540"/>
      <c r="H391" s="540"/>
      <c r="I391" s="540"/>
      <c r="J391" s="540"/>
      <c r="K391" s="540"/>
      <c r="L391" s="540"/>
      <c r="M391" s="540"/>
      <c r="N391" s="541"/>
      <c r="O391" s="541"/>
      <c r="P391" s="541"/>
      <c r="Q391" s="541"/>
      <c r="R391" s="542"/>
      <c r="S391" s="542"/>
      <c r="T391" s="542"/>
      <c r="U391" s="542"/>
      <c r="V391" s="539"/>
      <c r="W391" s="539"/>
      <c r="X391" s="539"/>
      <c r="Y391" s="539"/>
      <c r="Z391" s="542"/>
      <c r="AA391" s="542"/>
      <c r="AB391" s="542"/>
      <c r="AC391" s="543"/>
    </row>
    <row r="392" s="396" customFormat="true" ht="12.75" hidden="false" customHeight="true" outlineLevel="0" collapsed="false">
      <c r="C392" s="512" t="s">
        <v>1742</v>
      </c>
      <c r="D392" s="512"/>
      <c r="E392" s="513" t="s">
        <v>2172</v>
      </c>
      <c r="F392" s="513"/>
      <c r="G392" s="513"/>
      <c r="H392" s="513"/>
      <c r="I392" s="513"/>
      <c r="J392" s="513"/>
      <c r="K392" s="513"/>
      <c r="L392" s="513"/>
      <c r="M392" s="513"/>
      <c r="N392" s="515" t="n">
        <f aca="false">ROUNDUP(SUMIFS($Q$47:$R$362,$W$47:$X$362,C392),0)</f>
        <v>0</v>
      </c>
      <c r="O392" s="515"/>
      <c r="P392" s="515"/>
      <c r="Q392" s="515"/>
      <c r="R392" s="544" t="n">
        <f aca="false">EVEN(N392/4)</f>
        <v>0</v>
      </c>
      <c r="S392" s="544"/>
      <c r="T392" s="544"/>
      <c r="U392" s="544"/>
      <c r="V392" s="516" t="n">
        <v>20.1</v>
      </c>
      <c r="W392" s="516"/>
      <c r="X392" s="516"/>
      <c r="Y392" s="516"/>
      <c r="Z392" s="517" t="n">
        <f aca="false">N392*V392</f>
        <v>0</v>
      </c>
      <c r="AA392" s="517"/>
      <c r="AB392" s="517"/>
      <c r="AC392" s="517"/>
    </row>
    <row r="393" s="396" customFormat="true" ht="12.75" hidden="false" customHeight="true" outlineLevel="0" collapsed="false">
      <c r="C393" s="522" t="s">
        <v>1850</v>
      </c>
      <c r="D393" s="522"/>
      <c r="E393" s="523" t="s">
        <v>2173</v>
      </c>
      <c r="F393" s="523"/>
      <c r="G393" s="523"/>
      <c r="H393" s="523"/>
      <c r="I393" s="523"/>
      <c r="J393" s="523"/>
      <c r="K393" s="523"/>
      <c r="L393" s="523"/>
      <c r="M393" s="523"/>
      <c r="N393" s="514" t="n">
        <f aca="false">ROUNDUP(SUMIFS($Q$47:$R$362,$W$47:$X$362,C393),0)</f>
        <v>0</v>
      </c>
      <c r="O393" s="514"/>
      <c r="P393" s="514"/>
      <c r="Q393" s="514"/>
      <c r="R393" s="544" t="n">
        <f aca="false">N393/3</f>
        <v>0</v>
      </c>
      <c r="S393" s="544"/>
      <c r="T393" s="544"/>
      <c r="U393" s="544"/>
      <c r="V393" s="524" t="n">
        <v>18</v>
      </c>
      <c r="W393" s="524"/>
      <c r="X393" s="524"/>
      <c r="Y393" s="524"/>
      <c r="Z393" s="525" t="n">
        <f aca="false">N393*V393</f>
        <v>0</v>
      </c>
      <c r="AA393" s="525"/>
      <c r="AB393" s="525"/>
      <c r="AC393" s="525"/>
    </row>
    <row r="394" s="396" customFormat="true" ht="12.75" hidden="false" customHeight="true" outlineLevel="0" collapsed="false">
      <c r="C394" s="522" t="s">
        <v>1924</v>
      </c>
      <c r="D394" s="522"/>
      <c r="E394" s="523" t="s">
        <v>2174</v>
      </c>
      <c r="F394" s="523"/>
      <c r="G394" s="523"/>
      <c r="H394" s="523"/>
      <c r="I394" s="523"/>
      <c r="J394" s="523"/>
      <c r="K394" s="523"/>
      <c r="L394" s="523"/>
      <c r="M394" s="523"/>
      <c r="N394" s="514" t="n">
        <f aca="false">ROUNDUP(SUMIFS($Q$47:$R$362,$W$47:$X$362,C394),0)</f>
        <v>0</v>
      </c>
      <c r="O394" s="514"/>
      <c r="P394" s="514"/>
      <c r="Q394" s="514"/>
      <c r="R394" s="544" t="n">
        <f aca="false">N394/3</f>
        <v>0</v>
      </c>
      <c r="S394" s="544"/>
      <c r="T394" s="544"/>
      <c r="U394" s="544"/>
      <c r="V394" s="524" t="n">
        <v>12.5</v>
      </c>
      <c r="W394" s="524"/>
      <c r="X394" s="524"/>
      <c r="Y394" s="524"/>
      <c r="Z394" s="525" t="n">
        <f aca="false">N394*V394</f>
        <v>0</v>
      </c>
      <c r="AA394" s="525"/>
      <c r="AB394" s="525"/>
      <c r="AC394" s="525"/>
    </row>
    <row r="395" s="396" customFormat="true" ht="12.75" hidden="false" customHeight="true" outlineLevel="0" collapsed="false">
      <c r="C395" s="522" t="s">
        <v>1751</v>
      </c>
      <c r="D395" s="522"/>
      <c r="E395" s="523" t="s">
        <v>2175</v>
      </c>
      <c r="F395" s="523"/>
      <c r="G395" s="523"/>
      <c r="H395" s="523"/>
      <c r="I395" s="523"/>
      <c r="J395" s="523"/>
      <c r="K395" s="523"/>
      <c r="L395" s="523"/>
      <c r="M395" s="523"/>
      <c r="N395" s="514" t="n">
        <f aca="false">ROUNDUP(SUMIFS($Q$47:$R$362,$W$47:$X$362,C395),0)</f>
        <v>2</v>
      </c>
      <c r="O395" s="514"/>
      <c r="P395" s="514"/>
      <c r="Q395" s="514"/>
      <c r="R395" s="544" t="n">
        <f aca="false">EVEN(N395/4)</f>
        <v>2</v>
      </c>
      <c r="S395" s="544"/>
      <c r="T395" s="544"/>
      <c r="U395" s="544"/>
      <c r="V395" s="524" t="n">
        <v>33</v>
      </c>
      <c r="W395" s="524"/>
      <c r="X395" s="524"/>
      <c r="Y395" s="524"/>
      <c r="Z395" s="525" t="n">
        <f aca="false">N395*V395</f>
        <v>66</v>
      </c>
      <c r="AA395" s="525"/>
      <c r="AB395" s="525"/>
      <c r="AC395" s="525"/>
    </row>
    <row r="396" s="396" customFormat="true" ht="12.75" hidden="false" customHeight="true" outlineLevel="0" collapsed="false">
      <c r="C396" s="522" t="s">
        <v>2176</v>
      </c>
      <c r="D396" s="522"/>
      <c r="E396" s="523" t="s">
        <v>2177</v>
      </c>
      <c r="F396" s="523"/>
      <c r="G396" s="523"/>
      <c r="H396" s="523"/>
      <c r="I396" s="523"/>
      <c r="J396" s="523"/>
      <c r="K396" s="523"/>
      <c r="L396" s="523"/>
      <c r="M396" s="523"/>
      <c r="N396" s="514" t="n">
        <f aca="false">ROUNDUP(SUMIFS($Q$47:$R$362,$W$47:$X$362,C396),0)</f>
        <v>0</v>
      </c>
      <c r="O396" s="514"/>
      <c r="P396" s="514"/>
      <c r="Q396" s="514"/>
      <c r="R396" s="544" t="n">
        <f aca="false">N396</f>
        <v>0</v>
      </c>
      <c r="S396" s="544"/>
      <c r="T396" s="544"/>
      <c r="U396" s="544"/>
      <c r="V396" s="524" t="n">
        <v>18</v>
      </c>
      <c r="W396" s="524"/>
      <c r="X396" s="524"/>
      <c r="Y396" s="524"/>
      <c r="Z396" s="525" t="n">
        <f aca="false">N396*V396</f>
        <v>0</v>
      </c>
      <c r="AA396" s="525"/>
      <c r="AB396" s="525"/>
      <c r="AC396" s="525"/>
    </row>
    <row r="397" s="396" customFormat="true" ht="12.75" hidden="false" customHeight="true" outlineLevel="0" collapsed="false">
      <c r="C397" s="522" t="s">
        <v>2105</v>
      </c>
      <c r="D397" s="522"/>
      <c r="E397" s="523" t="s">
        <v>2178</v>
      </c>
      <c r="F397" s="523"/>
      <c r="G397" s="523"/>
      <c r="H397" s="523"/>
      <c r="I397" s="523"/>
      <c r="J397" s="523"/>
      <c r="K397" s="523"/>
      <c r="L397" s="523"/>
      <c r="M397" s="523"/>
      <c r="N397" s="514" t="n">
        <f aca="false">ROUNDUP(SUMIFS($Q$47:$R$362,$W$47:$X$362,C397),0)</f>
        <v>1</v>
      </c>
      <c r="O397" s="514"/>
      <c r="P397" s="514"/>
      <c r="Q397" s="514"/>
      <c r="R397" s="544" t="n">
        <f aca="false">EVEN(N397/4)</f>
        <v>2</v>
      </c>
      <c r="S397" s="544"/>
      <c r="T397" s="544"/>
      <c r="U397" s="544"/>
      <c r="V397" s="524" t="n">
        <v>15.9</v>
      </c>
      <c r="W397" s="524"/>
      <c r="X397" s="524"/>
      <c r="Y397" s="524"/>
      <c r="Z397" s="525" t="n">
        <f aca="false">N397*V397</f>
        <v>15.9</v>
      </c>
      <c r="AA397" s="525"/>
      <c r="AB397" s="525"/>
      <c r="AC397" s="525"/>
    </row>
    <row r="398" s="396" customFormat="true" ht="12.75" hidden="false" customHeight="true" outlineLevel="0" collapsed="false">
      <c r="C398" s="522" t="s">
        <v>1858</v>
      </c>
      <c r="D398" s="522"/>
      <c r="E398" s="523" t="s">
        <v>2179</v>
      </c>
      <c r="F398" s="523"/>
      <c r="G398" s="523"/>
      <c r="H398" s="523"/>
      <c r="I398" s="523"/>
      <c r="J398" s="523"/>
      <c r="K398" s="523"/>
      <c r="L398" s="523"/>
      <c r="M398" s="523"/>
      <c r="N398" s="514" t="n">
        <f aca="false">ROUNDUP(SUMIFS($Q$47:$R$362,$W$47:$X$362,C398),0)</f>
        <v>0</v>
      </c>
      <c r="O398" s="514"/>
      <c r="P398" s="514"/>
      <c r="Q398" s="514"/>
      <c r="R398" s="544" t="n">
        <f aca="false">EVEN(N398/4)</f>
        <v>0</v>
      </c>
      <c r="S398" s="544"/>
      <c r="T398" s="544"/>
      <c r="U398" s="544"/>
      <c r="V398" s="524" t="n">
        <v>16.6</v>
      </c>
      <c r="W398" s="524"/>
      <c r="X398" s="524"/>
      <c r="Y398" s="524"/>
      <c r="Z398" s="525" t="n">
        <f aca="false">N398*V398</f>
        <v>0</v>
      </c>
      <c r="AA398" s="525"/>
      <c r="AB398" s="525"/>
      <c r="AC398" s="525"/>
    </row>
    <row r="399" s="396" customFormat="true" ht="12.75" hidden="false" customHeight="true" outlineLevel="0" collapsed="false">
      <c r="C399" s="522" t="s">
        <v>2130</v>
      </c>
      <c r="D399" s="522"/>
      <c r="E399" s="523" t="s">
        <v>2180</v>
      </c>
      <c r="F399" s="523"/>
      <c r="G399" s="523"/>
      <c r="H399" s="523"/>
      <c r="I399" s="523"/>
      <c r="J399" s="523"/>
      <c r="K399" s="523"/>
      <c r="L399" s="523"/>
      <c r="M399" s="523"/>
      <c r="N399" s="514" t="n">
        <f aca="false">ROUNDUP(SUMIFS($Q$47:$R$362,$W$47:$X$362,C399),0)</f>
        <v>0</v>
      </c>
      <c r="O399" s="514"/>
      <c r="P399" s="514"/>
      <c r="Q399" s="514"/>
      <c r="R399" s="544" t="n">
        <f aca="false">N399</f>
        <v>0</v>
      </c>
      <c r="S399" s="544"/>
      <c r="T399" s="544"/>
      <c r="U399" s="544"/>
      <c r="V399" s="524" t="n">
        <v>7.4</v>
      </c>
      <c r="W399" s="524"/>
      <c r="X399" s="524"/>
      <c r="Y399" s="524"/>
      <c r="Z399" s="525" t="n">
        <f aca="false">N399*V399</f>
        <v>0</v>
      </c>
      <c r="AA399" s="525"/>
      <c r="AB399" s="525"/>
      <c r="AC399" s="525"/>
    </row>
    <row r="400" s="396" customFormat="true" ht="12.75" hidden="false" customHeight="true" outlineLevel="0" collapsed="false">
      <c r="C400" s="522" t="s">
        <v>1777</v>
      </c>
      <c r="D400" s="522"/>
      <c r="E400" s="523" t="s">
        <v>1776</v>
      </c>
      <c r="F400" s="523"/>
      <c r="G400" s="523"/>
      <c r="H400" s="523"/>
      <c r="I400" s="523"/>
      <c r="J400" s="523"/>
      <c r="K400" s="523"/>
      <c r="L400" s="523"/>
      <c r="M400" s="523"/>
      <c r="N400" s="514" t="n">
        <f aca="false">ROUNDUP(SUMIFS($Q$47:$R$362,$W$47:$X$362,C400),0)</f>
        <v>0</v>
      </c>
      <c r="O400" s="514"/>
      <c r="P400" s="514"/>
      <c r="Q400" s="514"/>
      <c r="R400" s="544" t="n">
        <f aca="false">N400/4</f>
        <v>0</v>
      </c>
      <c r="S400" s="544"/>
      <c r="T400" s="544"/>
      <c r="U400" s="544"/>
      <c r="V400" s="524" t="n">
        <v>6</v>
      </c>
      <c r="W400" s="524"/>
      <c r="X400" s="524"/>
      <c r="Y400" s="524"/>
      <c r="Z400" s="525" t="n">
        <f aca="false">N400*V400</f>
        <v>0</v>
      </c>
      <c r="AA400" s="525"/>
      <c r="AB400" s="525"/>
      <c r="AC400" s="525"/>
    </row>
    <row r="401" s="396" customFormat="true" ht="12.75" hidden="false" customHeight="true" outlineLevel="0" collapsed="false">
      <c r="C401" s="522" t="s">
        <v>2181</v>
      </c>
      <c r="D401" s="522"/>
      <c r="E401" s="523" t="s">
        <v>2182</v>
      </c>
      <c r="F401" s="523"/>
      <c r="G401" s="523"/>
      <c r="H401" s="523"/>
      <c r="I401" s="523"/>
      <c r="J401" s="523"/>
      <c r="K401" s="523"/>
      <c r="L401" s="523"/>
      <c r="M401" s="523"/>
      <c r="N401" s="514" t="n">
        <f aca="false">ROUNDUP(SUMIFS($Q$47:$R$362,$W$47:$X$362,C401),0)</f>
        <v>0</v>
      </c>
      <c r="O401" s="514"/>
      <c r="P401" s="514"/>
      <c r="Q401" s="514"/>
      <c r="R401" s="544" t="n">
        <f aca="false">N401/5</f>
        <v>0</v>
      </c>
      <c r="S401" s="544"/>
      <c r="T401" s="544"/>
      <c r="U401" s="544"/>
      <c r="V401" s="524" t="n">
        <v>17.3</v>
      </c>
      <c r="W401" s="524"/>
      <c r="X401" s="524"/>
      <c r="Y401" s="524"/>
      <c r="Z401" s="525" t="n">
        <f aca="false">N401*V401</f>
        <v>0</v>
      </c>
      <c r="AA401" s="525"/>
      <c r="AB401" s="525"/>
      <c r="AC401" s="525"/>
    </row>
    <row r="402" s="396" customFormat="true" ht="12.75" hidden="false" customHeight="true" outlineLevel="0" collapsed="false">
      <c r="C402" s="522" t="s">
        <v>2001</v>
      </c>
      <c r="D402" s="522"/>
      <c r="E402" s="523" t="s">
        <v>2183</v>
      </c>
      <c r="F402" s="523"/>
      <c r="G402" s="523"/>
      <c r="H402" s="523"/>
      <c r="I402" s="523"/>
      <c r="J402" s="523"/>
      <c r="K402" s="523"/>
      <c r="L402" s="523"/>
      <c r="M402" s="523"/>
      <c r="N402" s="514" t="n">
        <f aca="false">ROUNDUP(SUMIFS($Q$47:$R$362,$W$47:$X$362,C402),0)</f>
        <v>0</v>
      </c>
      <c r="O402" s="514"/>
      <c r="P402" s="514"/>
      <c r="Q402" s="514"/>
      <c r="R402" s="544" t="n">
        <f aca="false">EVEN(N402/2)</f>
        <v>0</v>
      </c>
      <c r="S402" s="544"/>
      <c r="T402" s="544"/>
      <c r="U402" s="544"/>
      <c r="V402" s="524" t="n">
        <v>24.9</v>
      </c>
      <c r="W402" s="524"/>
      <c r="X402" s="524"/>
      <c r="Y402" s="524"/>
      <c r="Z402" s="525" t="n">
        <f aca="false">N402*V402</f>
        <v>0</v>
      </c>
      <c r="AA402" s="525"/>
      <c r="AB402" s="525"/>
      <c r="AC402" s="525"/>
    </row>
    <row r="403" s="396" customFormat="true" ht="12.75" hidden="false" customHeight="true" outlineLevel="0" collapsed="false">
      <c r="C403" s="522" t="s">
        <v>1927</v>
      </c>
      <c r="D403" s="522"/>
      <c r="E403" s="523" t="s">
        <v>2184</v>
      </c>
      <c r="F403" s="523"/>
      <c r="G403" s="523"/>
      <c r="H403" s="523"/>
      <c r="I403" s="523"/>
      <c r="J403" s="523"/>
      <c r="K403" s="523"/>
      <c r="L403" s="523"/>
      <c r="M403" s="523"/>
      <c r="N403" s="514" t="n">
        <f aca="false">ROUNDUP(SUMIFS($Q$47:$R$362,$W$47:$X$362,C403),0)</f>
        <v>0</v>
      </c>
      <c r="O403" s="514"/>
      <c r="P403" s="514"/>
      <c r="Q403" s="514"/>
      <c r="R403" s="544" t="n">
        <f aca="false">N403</f>
        <v>0</v>
      </c>
      <c r="S403" s="544"/>
      <c r="T403" s="544"/>
      <c r="U403" s="544"/>
      <c r="V403" s="524" t="n">
        <v>22</v>
      </c>
      <c r="W403" s="524"/>
      <c r="X403" s="524"/>
      <c r="Y403" s="524"/>
      <c r="Z403" s="525" t="n">
        <f aca="false">N403*V403</f>
        <v>0</v>
      </c>
      <c r="AA403" s="525"/>
      <c r="AB403" s="525"/>
      <c r="AC403" s="525"/>
    </row>
    <row r="404" s="396" customFormat="true" ht="12.75" hidden="false" customHeight="true" outlineLevel="0" collapsed="false">
      <c r="C404" s="522" t="s">
        <v>1732</v>
      </c>
      <c r="D404" s="522"/>
      <c r="E404" s="523" t="s">
        <v>2185</v>
      </c>
      <c r="F404" s="523"/>
      <c r="G404" s="523"/>
      <c r="H404" s="523"/>
      <c r="I404" s="523"/>
      <c r="J404" s="523"/>
      <c r="K404" s="523"/>
      <c r="L404" s="523"/>
      <c r="M404" s="523"/>
      <c r="N404" s="514" t="n">
        <f aca="false">ROUNDUP(SUMIFS($Q$47:$R$362,$W$47:$X$362,C404),0)</f>
        <v>0</v>
      </c>
      <c r="O404" s="514"/>
      <c r="P404" s="514"/>
      <c r="Q404" s="514"/>
      <c r="R404" s="544" t="n">
        <f aca="false">N404/3</f>
        <v>0</v>
      </c>
      <c r="S404" s="544"/>
      <c r="T404" s="544"/>
      <c r="U404" s="544"/>
      <c r="V404" s="524" t="n">
        <v>9.5</v>
      </c>
      <c r="W404" s="524"/>
      <c r="X404" s="524"/>
      <c r="Y404" s="524"/>
      <c r="Z404" s="525" t="n">
        <f aca="false">N404*V404</f>
        <v>0</v>
      </c>
      <c r="AA404" s="525"/>
      <c r="AB404" s="525"/>
      <c r="AC404" s="525"/>
    </row>
    <row r="405" s="396" customFormat="true" ht="12.75" hidden="false" customHeight="true" outlineLevel="0" collapsed="false">
      <c r="C405" s="522" t="s">
        <v>1920</v>
      </c>
      <c r="D405" s="522"/>
      <c r="E405" s="523" t="s">
        <v>2186</v>
      </c>
      <c r="F405" s="523"/>
      <c r="G405" s="523"/>
      <c r="H405" s="523"/>
      <c r="I405" s="523"/>
      <c r="J405" s="523"/>
      <c r="K405" s="523"/>
      <c r="L405" s="523"/>
      <c r="M405" s="523"/>
      <c r="N405" s="514" t="n">
        <f aca="false">ROUNDUP(SUMIFS($Q$47:$R$362,$W$47:$X$362,C405),0)</f>
        <v>0</v>
      </c>
      <c r="O405" s="514"/>
      <c r="P405" s="514"/>
      <c r="Q405" s="514"/>
      <c r="R405" s="544" t="n">
        <f aca="false">N405/3</f>
        <v>0</v>
      </c>
      <c r="S405" s="544"/>
      <c r="T405" s="544"/>
      <c r="U405" s="544"/>
      <c r="V405" s="524" t="n">
        <v>9.5</v>
      </c>
      <c r="W405" s="524"/>
      <c r="X405" s="524"/>
      <c r="Y405" s="524"/>
      <c r="Z405" s="525" t="n">
        <f aca="false">N405*V405</f>
        <v>0</v>
      </c>
      <c r="AA405" s="525"/>
      <c r="AB405" s="525"/>
      <c r="AC405" s="525"/>
    </row>
    <row r="406" s="396" customFormat="true" ht="12.75" hidden="false" customHeight="true" outlineLevel="0" collapsed="false">
      <c r="C406" s="522" t="s">
        <v>1954</v>
      </c>
      <c r="D406" s="522"/>
      <c r="E406" s="523" t="s">
        <v>2187</v>
      </c>
      <c r="F406" s="523"/>
      <c r="G406" s="523"/>
      <c r="H406" s="523"/>
      <c r="I406" s="523"/>
      <c r="J406" s="523"/>
      <c r="K406" s="523"/>
      <c r="L406" s="523"/>
      <c r="M406" s="523"/>
      <c r="N406" s="514" t="n">
        <f aca="false">ROUNDUP(SUMIFS($Q$47:$R$362,$W$47:$X$362,C406),0)</f>
        <v>1</v>
      </c>
      <c r="O406" s="514"/>
      <c r="P406" s="514"/>
      <c r="Q406" s="514"/>
      <c r="R406" s="544" t="n">
        <f aca="false">N406</f>
        <v>1</v>
      </c>
      <c r="S406" s="544"/>
      <c r="T406" s="544"/>
      <c r="U406" s="544"/>
      <c r="V406" s="524" t="n">
        <v>27</v>
      </c>
      <c r="W406" s="524"/>
      <c r="X406" s="524"/>
      <c r="Y406" s="524"/>
      <c r="Z406" s="525" t="n">
        <f aca="false">N406*V406</f>
        <v>27</v>
      </c>
      <c r="AA406" s="525"/>
      <c r="AB406" s="525"/>
      <c r="AC406" s="525"/>
    </row>
    <row r="407" s="396" customFormat="true" ht="12.75" hidden="false" customHeight="true" outlineLevel="0" collapsed="false">
      <c r="C407" s="522" t="s">
        <v>1883</v>
      </c>
      <c r="D407" s="522"/>
      <c r="E407" s="523" t="s">
        <v>2188</v>
      </c>
      <c r="F407" s="523"/>
      <c r="G407" s="523"/>
      <c r="H407" s="523"/>
      <c r="I407" s="523"/>
      <c r="J407" s="523"/>
      <c r="K407" s="523"/>
      <c r="L407" s="523"/>
      <c r="M407" s="523"/>
      <c r="N407" s="514" t="n">
        <f aca="false">ROUNDUP(SUMIFS($Q$47:$R$362,$W$47:$X$362,C407),0)</f>
        <v>0</v>
      </c>
      <c r="O407" s="514"/>
      <c r="P407" s="514"/>
      <c r="Q407" s="514"/>
      <c r="R407" s="544" t="n">
        <f aca="false">N407</f>
        <v>0</v>
      </c>
      <c r="S407" s="544"/>
      <c r="T407" s="544"/>
      <c r="U407" s="544"/>
      <c r="V407" s="524" t="n">
        <v>18</v>
      </c>
      <c r="W407" s="524"/>
      <c r="X407" s="524"/>
      <c r="Y407" s="524"/>
      <c r="Z407" s="525" t="n">
        <f aca="false">N407*V407</f>
        <v>0</v>
      </c>
      <c r="AA407" s="525"/>
      <c r="AB407" s="525"/>
      <c r="AC407" s="525"/>
    </row>
    <row r="408" s="396" customFormat="true" ht="12.75" hidden="false" customHeight="true" outlineLevel="0" collapsed="false">
      <c r="C408" s="522" t="s">
        <v>1841</v>
      </c>
      <c r="D408" s="522"/>
      <c r="E408" s="523" t="s">
        <v>2189</v>
      </c>
      <c r="F408" s="523"/>
      <c r="G408" s="523"/>
      <c r="H408" s="523"/>
      <c r="I408" s="523"/>
      <c r="J408" s="523"/>
      <c r="K408" s="523"/>
      <c r="L408" s="523"/>
      <c r="M408" s="523"/>
      <c r="N408" s="514" t="n">
        <f aca="false">ROUNDUP(SUMIFS($Q$47:$R$362,$W$47:$X$362,C408),0)</f>
        <v>0</v>
      </c>
      <c r="O408" s="514"/>
      <c r="P408" s="514"/>
      <c r="Q408" s="514"/>
      <c r="R408" s="544" t="n">
        <f aca="false">EVEN(N408/4)</f>
        <v>0</v>
      </c>
      <c r="S408" s="544"/>
      <c r="T408" s="544"/>
      <c r="U408" s="544"/>
      <c r="V408" s="524" t="n">
        <v>20</v>
      </c>
      <c r="W408" s="524"/>
      <c r="X408" s="524"/>
      <c r="Y408" s="524"/>
      <c r="Z408" s="525" t="n">
        <f aca="false">N408*V408</f>
        <v>0</v>
      </c>
      <c r="AA408" s="525"/>
      <c r="AB408" s="525"/>
      <c r="AC408" s="525"/>
    </row>
    <row r="409" s="396" customFormat="true" ht="12.75" hidden="false" customHeight="true" outlineLevel="0" collapsed="false">
      <c r="C409" s="522" t="s">
        <v>1970</v>
      </c>
      <c r="D409" s="522"/>
      <c r="E409" s="523" t="s">
        <v>2190</v>
      </c>
      <c r="F409" s="523"/>
      <c r="G409" s="523"/>
      <c r="H409" s="523"/>
      <c r="I409" s="523"/>
      <c r="J409" s="523"/>
      <c r="K409" s="523"/>
      <c r="L409" s="523"/>
      <c r="M409" s="523"/>
      <c r="N409" s="514" t="n">
        <f aca="false">ROUNDUP(SUMIFS($Q$47:$R$362,$W$47:$X$362,C409),0)</f>
        <v>0</v>
      </c>
      <c r="O409" s="514"/>
      <c r="P409" s="514"/>
      <c r="Q409" s="514"/>
      <c r="R409" s="544" t="n">
        <f aca="false">N409/2</f>
        <v>0</v>
      </c>
      <c r="S409" s="544"/>
      <c r="T409" s="544"/>
      <c r="U409" s="544"/>
      <c r="V409" s="524" t="n">
        <v>5.7</v>
      </c>
      <c r="W409" s="524"/>
      <c r="X409" s="524"/>
      <c r="Y409" s="524"/>
      <c r="Z409" s="525" t="n">
        <f aca="false">N409*V409</f>
        <v>0</v>
      </c>
      <c r="AA409" s="525"/>
      <c r="AB409" s="525"/>
      <c r="AC409" s="525"/>
    </row>
    <row r="410" s="396" customFormat="true" ht="12.75" hidden="false" customHeight="true" outlineLevel="0" collapsed="false">
      <c r="C410" s="545" t="s">
        <v>1985</v>
      </c>
      <c r="D410" s="545"/>
      <c r="E410" s="546" t="s">
        <v>2191</v>
      </c>
      <c r="F410" s="546"/>
      <c r="G410" s="546"/>
      <c r="H410" s="546"/>
      <c r="I410" s="546"/>
      <c r="J410" s="546"/>
      <c r="K410" s="546"/>
      <c r="L410" s="546"/>
      <c r="M410" s="546"/>
      <c r="N410" s="514" t="n">
        <f aca="false">ROUNDUP(SUMIFS($Q$47:$R$362,$W$47:$X$362,C410),0)</f>
        <v>0</v>
      </c>
      <c r="O410" s="514"/>
      <c r="P410" s="514"/>
      <c r="Q410" s="514"/>
      <c r="R410" s="544" t="n">
        <f aca="false">N410</f>
        <v>0</v>
      </c>
      <c r="S410" s="544"/>
      <c r="T410" s="544"/>
      <c r="U410" s="544"/>
      <c r="V410" s="524" t="n">
        <v>22.5</v>
      </c>
      <c r="W410" s="524"/>
      <c r="X410" s="524"/>
      <c r="Y410" s="524"/>
      <c r="Z410" s="525" t="n">
        <f aca="false">N410*V410</f>
        <v>0</v>
      </c>
      <c r="AA410" s="525"/>
      <c r="AB410" s="525"/>
      <c r="AC410" s="525"/>
    </row>
    <row r="411" s="396" customFormat="true" ht="12.75" hidden="false" customHeight="true" outlineLevel="0" collapsed="false">
      <c r="C411" s="547" t="s">
        <v>2192</v>
      </c>
      <c r="D411" s="542"/>
      <c r="E411" s="542"/>
      <c r="F411" s="542"/>
      <c r="G411" s="542"/>
      <c r="H411" s="542"/>
      <c r="I411" s="542"/>
      <c r="J411" s="542"/>
      <c r="K411" s="542"/>
      <c r="L411" s="542"/>
      <c r="M411" s="542"/>
      <c r="N411" s="541"/>
      <c r="O411" s="541"/>
      <c r="P411" s="541"/>
      <c r="Q411" s="541"/>
      <c r="R411" s="542"/>
      <c r="S411" s="542"/>
      <c r="T411" s="542"/>
      <c r="U411" s="542"/>
      <c r="V411" s="539"/>
      <c r="W411" s="539"/>
      <c r="X411" s="539"/>
      <c r="Y411" s="539"/>
      <c r="Z411" s="542"/>
      <c r="AA411" s="542"/>
      <c r="AB411" s="542"/>
      <c r="AC411" s="543"/>
    </row>
    <row r="412" s="396" customFormat="true" ht="12.75" hidden="false" customHeight="true" outlineLevel="0" collapsed="false">
      <c r="C412" s="548" t="s">
        <v>2193</v>
      </c>
      <c r="D412" s="548"/>
      <c r="E412" s="548"/>
      <c r="F412" s="548"/>
      <c r="G412" s="548"/>
      <c r="H412" s="548"/>
      <c r="I412" s="548"/>
      <c r="J412" s="548"/>
      <c r="K412" s="548"/>
      <c r="L412" s="548"/>
      <c r="M412" s="548"/>
      <c r="N412" s="515" t="s">
        <v>2194</v>
      </c>
      <c r="O412" s="515"/>
      <c r="P412" s="515"/>
      <c r="Q412" s="515"/>
      <c r="R412" s="515"/>
      <c r="S412" s="515"/>
      <c r="T412" s="515"/>
      <c r="U412" s="515"/>
      <c r="V412" s="516"/>
      <c r="W412" s="516"/>
      <c r="X412" s="516"/>
      <c r="Y412" s="516"/>
      <c r="Z412" s="549" t="n">
        <v>90</v>
      </c>
      <c r="AA412" s="549"/>
      <c r="AB412" s="549"/>
      <c r="AC412" s="549"/>
    </row>
    <row r="413" s="396" customFormat="true" ht="12.75" hidden="false" customHeight="true" outlineLevel="0" collapsed="false">
      <c r="C413" s="550" t="s">
        <v>2195</v>
      </c>
      <c r="D413" s="550"/>
      <c r="E413" s="550"/>
      <c r="F413" s="550"/>
      <c r="G413" s="550"/>
      <c r="H413" s="550"/>
      <c r="I413" s="550"/>
      <c r="J413" s="550"/>
      <c r="K413" s="550"/>
      <c r="L413" s="550"/>
      <c r="M413" s="550"/>
      <c r="N413" s="514" t="s">
        <v>2194</v>
      </c>
      <c r="O413" s="514"/>
      <c r="P413" s="514"/>
      <c r="Q413" s="514"/>
      <c r="R413" s="514"/>
      <c r="S413" s="514"/>
      <c r="T413" s="514"/>
      <c r="U413" s="514"/>
      <c r="V413" s="524"/>
      <c r="W413" s="524"/>
      <c r="X413" s="524"/>
      <c r="Y413" s="524"/>
      <c r="Z413" s="551" t="n">
        <v>13.4</v>
      </c>
      <c r="AA413" s="551"/>
      <c r="AB413" s="551"/>
      <c r="AC413" s="551"/>
    </row>
    <row r="414" s="396" customFormat="true" ht="12.75" hidden="false" customHeight="true" outlineLevel="0" collapsed="false">
      <c r="C414" s="550" t="s">
        <v>2196</v>
      </c>
      <c r="D414" s="550"/>
      <c r="E414" s="550"/>
      <c r="F414" s="550"/>
      <c r="G414" s="550"/>
      <c r="H414" s="550"/>
      <c r="I414" s="550"/>
      <c r="J414" s="550"/>
      <c r="K414" s="550"/>
      <c r="L414" s="550"/>
      <c r="M414" s="550"/>
      <c r="N414" s="514" t="s">
        <v>2194</v>
      </c>
      <c r="O414" s="514"/>
      <c r="P414" s="514"/>
      <c r="Q414" s="514"/>
      <c r="R414" s="514"/>
      <c r="S414" s="514"/>
      <c r="T414" s="514"/>
      <c r="U414" s="514"/>
      <c r="V414" s="524"/>
      <c r="W414" s="524"/>
      <c r="X414" s="524"/>
      <c r="Y414" s="524"/>
      <c r="Z414" s="551" t="n">
        <v>14.3</v>
      </c>
      <c r="AA414" s="551"/>
      <c r="AB414" s="551"/>
      <c r="AC414" s="551"/>
    </row>
    <row r="415" s="396" customFormat="true" ht="12.75" hidden="false" customHeight="true" outlineLevel="0" collapsed="false">
      <c r="C415" s="550" t="s">
        <v>2197</v>
      </c>
      <c r="D415" s="550"/>
      <c r="E415" s="550"/>
      <c r="F415" s="550"/>
      <c r="G415" s="550"/>
      <c r="H415" s="550"/>
      <c r="I415" s="550"/>
      <c r="J415" s="550"/>
      <c r="K415" s="550"/>
      <c r="L415" s="550"/>
      <c r="M415" s="550"/>
      <c r="N415" s="514" t="s">
        <v>2194</v>
      </c>
      <c r="O415" s="514"/>
      <c r="P415" s="514"/>
      <c r="Q415" s="514"/>
      <c r="R415" s="514"/>
      <c r="S415" s="514"/>
      <c r="T415" s="514"/>
      <c r="U415" s="514"/>
      <c r="V415" s="524"/>
      <c r="W415" s="524"/>
      <c r="X415" s="524"/>
      <c r="Y415" s="524"/>
      <c r="Z415" s="551" t="n">
        <v>6</v>
      </c>
      <c r="AA415" s="551"/>
      <c r="AB415" s="551"/>
      <c r="AC415" s="551"/>
    </row>
    <row r="416" s="396" customFormat="true" ht="12.75" hidden="false" customHeight="true" outlineLevel="0" collapsed="false">
      <c r="C416" s="550" t="s">
        <v>2198</v>
      </c>
      <c r="D416" s="550"/>
      <c r="E416" s="550"/>
      <c r="F416" s="550"/>
      <c r="G416" s="550"/>
      <c r="H416" s="550"/>
      <c r="I416" s="550"/>
      <c r="J416" s="550"/>
      <c r="K416" s="550"/>
      <c r="L416" s="550"/>
      <c r="M416" s="550"/>
      <c r="N416" s="514" t="s">
        <v>2194</v>
      </c>
      <c r="O416" s="514"/>
      <c r="P416" s="514"/>
      <c r="Q416" s="514"/>
      <c r="R416" s="514"/>
      <c r="S416" s="514"/>
      <c r="T416" s="514"/>
      <c r="U416" s="514"/>
      <c r="V416" s="524"/>
      <c r="W416" s="524"/>
      <c r="X416" s="524"/>
      <c r="Y416" s="524"/>
      <c r="Z416" s="551" t="n">
        <v>10.5</v>
      </c>
      <c r="AA416" s="551"/>
      <c r="AB416" s="551"/>
      <c r="AC416" s="551"/>
    </row>
    <row r="417" s="396" customFormat="true" ht="12.75" hidden="false" customHeight="true" outlineLevel="0" collapsed="false">
      <c r="C417" s="550" t="s">
        <v>2199</v>
      </c>
      <c r="D417" s="550"/>
      <c r="E417" s="550"/>
      <c r="F417" s="550"/>
      <c r="G417" s="550"/>
      <c r="H417" s="550"/>
      <c r="I417" s="550"/>
      <c r="J417" s="550"/>
      <c r="K417" s="550"/>
      <c r="L417" s="550"/>
      <c r="M417" s="550"/>
      <c r="N417" s="514" t="n">
        <f aca="false">COUNTIFS(TO!C:C,"14345o",TO!F:F,C367)</f>
        <v>0</v>
      </c>
      <c r="O417" s="514"/>
      <c r="P417" s="514"/>
      <c r="Q417" s="514"/>
      <c r="R417" s="514"/>
      <c r="S417" s="514"/>
      <c r="T417" s="514"/>
      <c r="U417" s="514"/>
      <c r="V417" s="524" t="n">
        <v>120</v>
      </c>
      <c r="W417" s="524"/>
      <c r="X417" s="524"/>
      <c r="Y417" s="524"/>
      <c r="Z417" s="551" t="n">
        <f aca="false">N417*V417</f>
        <v>0</v>
      </c>
      <c r="AA417" s="551"/>
      <c r="AB417" s="551"/>
      <c r="AC417" s="551"/>
    </row>
    <row r="418" s="396" customFormat="true" ht="12.75" hidden="false" customHeight="true" outlineLevel="0" collapsed="false">
      <c r="C418" s="550" t="s">
        <v>2200</v>
      </c>
      <c r="D418" s="550"/>
      <c r="E418" s="550"/>
      <c r="F418" s="550"/>
      <c r="G418" s="550"/>
      <c r="H418" s="550"/>
      <c r="I418" s="550"/>
      <c r="J418" s="550"/>
      <c r="K418" s="550"/>
      <c r="L418" s="550"/>
      <c r="M418" s="550"/>
      <c r="N418" s="514" t="n">
        <f aca="false">COUNTIFS(TO!C:C,"14345a",TO!F:F,C367)</f>
        <v>0</v>
      </c>
      <c r="O418" s="514"/>
      <c r="P418" s="514"/>
      <c r="Q418" s="514"/>
      <c r="R418" s="514"/>
      <c r="S418" s="514"/>
      <c r="T418" s="514"/>
      <c r="U418" s="514"/>
      <c r="V418" s="524" t="n">
        <v>105</v>
      </c>
      <c r="W418" s="524"/>
      <c r="X418" s="524"/>
      <c r="Y418" s="524"/>
      <c r="Z418" s="551" t="n">
        <f aca="false">N418*V418</f>
        <v>0</v>
      </c>
      <c r="AA418" s="551"/>
      <c r="AB418" s="551"/>
      <c r="AC418" s="551"/>
    </row>
    <row r="419" s="396" customFormat="true" ht="12.75" hidden="false" customHeight="true" outlineLevel="0" collapsed="false">
      <c r="C419" s="552" t="s">
        <v>2201</v>
      </c>
      <c r="D419" s="552"/>
      <c r="E419" s="552"/>
      <c r="F419" s="552"/>
      <c r="G419" s="552"/>
      <c r="H419" s="552"/>
      <c r="I419" s="552"/>
      <c r="J419" s="552"/>
      <c r="K419" s="552"/>
      <c r="L419" s="552"/>
      <c r="M419" s="552"/>
      <c r="N419" s="553" t="n">
        <v>0</v>
      </c>
      <c r="O419" s="553"/>
      <c r="P419" s="553"/>
      <c r="Q419" s="553"/>
      <c r="R419" s="554"/>
      <c r="S419" s="554"/>
      <c r="T419" s="554"/>
      <c r="U419" s="554"/>
      <c r="V419" s="555" t="n">
        <v>60</v>
      </c>
      <c r="W419" s="555"/>
      <c r="X419" s="555"/>
      <c r="Y419" s="555"/>
      <c r="Z419" s="556" t="n">
        <f aca="false">N419*V419</f>
        <v>0</v>
      </c>
      <c r="AA419" s="556"/>
      <c r="AB419" s="556"/>
      <c r="AC419" s="556"/>
    </row>
    <row r="420" s="396" customFormat="true" ht="12.75" hidden="false" customHeight="true" outlineLevel="0" collapsed="false">
      <c r="E420" s="557"/>
      <c r="F420" s="557"/>
      <c r="G420" s="557"/>
      <c r="H420" s="557"/>
      <c r="I420" s="557"/>
      <c r="J420" s="557"/>
      <c r="K420" s="557"/>
      <c r="L420" s="557"/>
      <c r="M420" s="557"/>
      <c r="N420" s="557"/>
      <c r="O420" s="557"/>
      <c r="P420" s="557"/>
      <c r="Q420" s="557"/>
      <c r="R420" s="557"/>
      <c r="S420" s="557"/>
      <c r="T420" s="557"/>
      <c r="U420" s="557"/>
      <c r="V420" s="557"/>
      <c r="W420" s="557"/>
      <c r="X420" s="558"/>
      <c r="Y420" s="559" t="s">
        <v>25</v>
      </c>
      <c r="Z420" s="560" t="n">
        <f aca="false">ROUNDUP(SUM(Z370:AC388,Z390,Z392:AC410,Z412:AC419),0)</f>
        <v>418</v>
      </c>
      <c r="AA420" s="560"/>
      <c r="AB420" s="560"/>
      <c r="AC420" s="560"/>
    </row>
    <row r="421" s="396" customFormat="true" ht="12.75" hidden="false" customHeight="true" outlineLevel="0" collapsed="false">
      <c r="C421" s="561"/>
      <c r="D421" s="561"/>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c r="AC421" s="561"/>
    </row>
    <row r="422" s="396" customFormat="true" ht="12.75" hidden="false" customHeight="true" outlineLevel="0" collapsed="false">
      <c r="C422" s="561"/>
      <c r="D422" s="561"/>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c r="AC422" s="561"/>
      <c r="AD422" s="501"/>
    </row>
    <row r="423" customFormat="false" ht="12.75" hidden="false" customHeight="true" outlineLevel="0" collapsed="false">
      <c r="A423" s="495"/>
      <c r="B423" s="495"/>
      <c r="C423" s="495"/>
      <c r="D423" s="495"/>
      <c r="E423" s="495"/>
      <c r="F423" s="495"/>
      <c r="G423" s="495"/>
      <c r="H423" s="495"/>
      <c r="I423" s="495"/>
      <c r="J423" s="495"/>
      <c r="K423" s="495"/>
      <c r="L423" s="495"/>
      <c r="M423" s="495"/>
      <c r="N423" s="495"/>
      <c r="O423" s="495"/>
      <c r="P423" s="495"/>
      <c r="Q423" s="495"/>
      <c r="R423" s="495"/>
      <c r="S423" s="495"/>
      <c r="T423" s="495"/>
      <c r="U423" s="495"/>
      <c r="V423" s="495"/>
      <c r="W423" s="495"/>
      <c r="X423" s="495"/>
      <c r="Y423" s="495"/>
      <c r="Z423" s="495"/>
      <c r="AA423" s="495"/>
      <c r="AB423" s="453"/>
      <c r="AC423" s="454" t="s">
        <v>1657</v>
      </c>
      <c r="AD423" s="455" t="n">
        <v>14</v>
      </c>
      <c r="AE423" s="455" t="s">
        <v>29</v>
      </c>
      <c r="AF423" s="455" t="n">
        <v>27</v>
      </c>
    </row>
    <row r="424" customFormat="false" ht="12.75" hidden="false" customHeight="true" outlineLevel="0" collapsed="false">
      <c r="A424" s="398" t="s">
        <v>1522</v>
      </c>
      <c r="B424" s="398"/>
      <c r="C424" s="456" t="n">
        <v>14345</v>
      </c>
      <c r="D424" s="456"/>
      <c r="E424" s="456"/>
      <c r="F424" s="456"/>
      <c r="G424" s="456"/>
      <c r="H424" s="456"/>
      <c r="I424" s="456"/>
      <c r="J424" s="456"/>
      <c r="K424" s="456"/>
      <c r="L424" s="456"/>
      <c r="M424" s="398" t="s">
        <v>1523</v>
      </c>
      <c r="N424" s="398"/>
      <c r="O424" s="398"/>
      <c r="P424" s="398"/>
      <c r="Q424" s="398"/>
      <c r="R424" s="456" t="s">
        <v>15</v>
      </c>
      <c r="S424" s="456"/>
      <c r="T424" s="456"/>
      <c r="U424" s="456"/>
      <c r="V424" s="456"/>
      <c r="W424" s="456"/>
      <c r="X424" s="456"/>
      <c r="Y424" s="456"/>
      <c r="Z424" s="456"/>
      <c r="AA424" s="456"/>
      <c r="AB424" s="456"/>
      <c r="AC424" s="456"/>
      <c r="AD424" s="456"/>
      <c r="AE424" s="456"/>
      <c r="AF424" s="456"/>
    </row>
    <row r="425" customFormat="false" ht="12.75" hidden="false" customHeight="true" outlineLevel="0" collapsed="false">
      <c r="A425" s="457" t="s">
        <v>1658</v>
      </c>
      <c r="B425" s="458"/>
      <c r="C425" s="459"/>
      <c r="D425" s="459"/>
      <c r="E425" s="459"/>
      <c r="F425" s="459"/>
      <c r="G425" s="459"/>
      <c r="H425" s="459"/>
      <c r="I425" s="459"/>
      <c r="J425" s="459"/>
      <c r="K425" s="459"/>
      <c r="L425" s="459"/>
      <c r="M425" s="458"/>
      <c r="N425" s="458"/>
      <c r="O425" s="458"/>
      <c r="P425" s="459"/>
      <c r="Q425" s="458"/>
      <c r="R425" s="459"/>
      <c r="S425" s="459"/>
      <c r="T425" s="459"/>
      <c r="U425" s="459"/>
      <c r="V425" s="459"/>
      <c r="W425" s="459"/>
      <c r="X425" s="459"/>
      <c r="Y425" s="459"/>
      <c r="Z425" s="459"/>
      <c r="AA425" s="459"/>
      <c r="AB425" s="459"/>
      <c r="AC425" s="459"/>
      <c r="AD425" s="459"/>
      <c r="AE425" s="459"/>
      <c r="AF425" s="459"/>
    </row>
    <row r="426" customFormat="false" ht="15.75" hidden="false" customHeight="true" outlineLevel="0" collapsed="false">
      <c r="A426" s="460" t="str">
        <f aca="false">B31</f>
        <v>M28263</v>
      </c>
      <c r="B426" s="460"/>
      <c r="C426" s="460"/>
      <c r="D426" s="461" t="str">
        <f aca="false">E31</f>
        <v>SURGICAL CO A</v>
      </c>
      <c r="E426" s="461"/>
      <c r="F426" s="461"/>
      <c r="G426" s="461"/>
      <c r="H426" s="461"/>
      <c r="I426" s="461"/>
      <c r="J426" s="461"/>
      <c r="K426" s="461"/>
      <c r="L426" s="461"/>
      <c r="M426" s="458"/>
      <c r="N426" s="458"/>
      <c r="O426" s="458"/>
      <c r="P426" s="459"/>
      <c r="Q426" s="458"/>
      <c r="R426" s="459"/>
      <c r="S426" s="459"/>
      <c r="T426" s="459"/>
      <c r="U426" s="459"/>
      <c r="V426" s="459"/>
      <c r="W426" s="459"/>
      <c r="X426" s="459"/>
      <c r="Y426" s="459"/>
      <c r="Z426" s="459"/>
      <c r="AA426" s="459"/>
      <c r="AB426" s="459"/>
      <c r="AC426" s="459"/>
      <c r="AD426" s="459"/>
      <c r="AE426" s="459"/>
      <c r="AF426" s="459"/>
    </row>
    <row r="427" customFormat="false" ht="15.75" hidden="false" customHeight="true" outlineLevel="0" collapsed="false">
      <c r="A427" s="562" t="s">
        <v>1659</v>
      </c>
      <c r="B427" s="562"/>
      <c r="C427" s="562"/>
      <c r="D427" s="563" t="s">
        <v>1660</v>
      </c>
      <c r="E427" s="563"/>
      <c r="F427" s="563"/>
      <c r="G427" s="563"/>
      <c r="H427" s="563"/>
      <c r="I427" s="563"/>
      <c r="J427" s="563"/>
      <c r="K427" s="563"/>
      <c r="L427" s="563"/>
      <c r="M427" s="564" t="s">
        <v>1661</v>
      </c>
      <c r="N427" s="564"/>
      <c r="O427" s="565" t="s">
        <v>1662</v>
      </c>
      <c r="P427" s="565"/>
      <c r="Q427" s="565" t="s">
        <v>1663</v>
      </c>
      <c r="R427" s="565"/>
      <c r="S427" s="566" t="s">
        <v>1664</v>
      </c>
      <c r="T427" s="566"/>
      <c r="U427" s="566" t="s">
        <v>1665</v>
      </c>
      <c r="V427" s="566"/>
      <c r="W427" s="564" t="s">
        <v>1666</v>
      </c>
      <c r="X427" s="564"/>
      <c r="Y427" s="567" t="s">
        <v>1667</v>
      </c>
      <c r="Z427" s="567"/>
      <c r="AA427" s="567"/>
      <c r="AB427" s="567"/>
      <c r="AC427" s="567"/>
      <c r="AD427" s="567"/>
      <c r="AE427" s="567"/>
      <c r="AF427" s="459"/>
    </row>
    <row r="428" customFormat="false" ht="15.75" hidden="false" customHeight="true" outlineLevel="0" collapsed="false">
      <c r="A428" s="562"/>
      <c r="B428" s="562"/>
      <c r="C428" s="562"/>
      <c r="D428" s="563"/>
      <c r="E428" s="563"/>
      <c r="F428" s="563"/>
      <c r="G428" s="563"/>
      <c r="H428" s="563"/>
      <c r="I428" s="563"/>
      <c r="J428" s="563"/>
      <c r="K428" s="563"/>
      <c r="L428" s="563"/>
      <c r="M428" s="564"/>
      <c r="N428" s="564"/>
      <c r="O428" s="565"/>
      <c r="P428" s="565"/>
      <c r="Q428" s="565"/>
      <c r="R428" s="565"/>
      <c r="S428" s="566"/>
      <c r="T428" s="566"/>
      <c r="U428" s="566"/>
      <c r="V428" s="566"/>
      <c r="W428" s="564"/>
      <c r="X428" s="564"/>
      <c r="Y428" s="567"/>
      <c r="Z428" s="567"/>
      <c r="AA428" s="567"/>
      <c r="AB428" s="567"/>
      <c r="AC428" s="567"/>
      <c r="AD428" s="567"/>
      <c r="AE428" s="567"/>
      <c r="AF428" s="459"/>
    </row>
    <row r="429" customFormat="false" ht="30" hidden="false" customHeight="true" outlineLevel="0" collapsed="false">
      <c r="A429" s="562"/>
      <c r="B429" s="562"/>
      <c r="C429" s="562"/>
      <c r="D429" s="563"/>
      <c r="E429" s="563"/>
      <c r="F429" s="563"/>
      <c r="G429" s="563"/>
      <c r="H429" s="563"/>
      <c r="I429" s="563"/>
      <c r="J429" s="563"/>
      <c r="K429" s="563"/>
      <c r="L429" s="563"/>
      <c r="M429" s="564"/>
      <c r="N429" s="564"/>
      <c r="O429" s="565"/>
      <c r="P429" s="565"/>
      <c r="Q429" s="565"/>
      <c r="R429" s="565"/>
      <c r="S429" s="566"/>
      <c r="T429" s="566"/>
      <c r="U429" s="566"/>
      <c r="V429" s="566"/>
      <c r="W429" s="564"/>
      <c r="X429" s="564"/>
      <c r="Y429" s="567"/>
      <c r="Z429" s="567"/>
      <c r="AA429" s="567"/>
      <c r="AB429" s="567"/>
      <c r="AC429" s="567"/>
      <c r="AD429" s="567"/>
      <c r="AE429" s="567"/>
      <c r="AF429" s="468"/>
    </row>
    <row r="430" customFormat="false" ht="30" hidden="false" customHeight="true" outlineLevel="0" collapsed="false">
      <c r="A430" s="568" t="s">
        <v>1668</v>
      </c>
      <c r="B430" s="568"/>
      <c r="C430" s="568"/>
      <c r="D430" s="569" t="s">
        <v>1669</v>
      </c>
      <c r="E430" s="569"/>
      <c r="F430" s="569"/>
      <c r="G430" s="569"/>
      <c r="H430" s="569"/>
      <c r="I430" s="569"/>
      <c r="J430" s="569"/>
      <c r="K430" s="569"/>
      <c r="L430" s="569"/>
      <c r="M430" s="570" t="n">
        <f aca="false">SUMIFS(TE!P:P,TE!G:G,$A$426,TE!H:H,A430)</f>
        <v>0</v>
      </c>
      <c r="N430" s="570"/>
      <c r="O430" s="571" t="n">
        <v>12</v>
      </c>
      <c r="P430" s="571"/>
      <c r="Q430" s="572" t="n">
        <f aca="false">M430/O430</f>
        <v>0</v>
      </c>
      <c r="R430" s="572"/>
      <c r="S430" s="573" t="n">
        <v>13.4</v>
      </c>
      <c r="T430" s="573"/>
      <c r="U430" s="573" t="n">
        <f aca="false">Q430*S430</f>
        <v>0</v>
      </c>
      <c r="V430" s="573"/>
      <c r="W430" s="574" t="s">
        <v>1670</v>
      </c>
      <c r="X430" s="574"/>
      <c r="Y430" s="575" t="s">
        <v>1671</v>
      </c>
      <c r="Z430" s="575"/>
      <c r="AA430" s="575"/>
      <c r="AB430" s="575"/>
      <c r="AC430" s="575"/>
      <c r="AD430" s="575"/>
      <c r="AE430" s="575"/>
      <c r="AF430" s="468"/>
    </row>
    <row r="431" customFormat="false" ht="30" hidden="false" customHeight="true" outlineLevel="0" collapsed="false">
      <c r="A431" s="477" t="s">
        <v>1672</v>
      </c>
      <c r="B431" s="477"/>
      <c r="C431" s="477"/>
      <c r="D431" s="478" t="s">
        <v>1673</v>
      </c>
      <c r="E431" s="478"/>
      <c r="F431" s="478"/>
      <c r="G431" s="478"/>
      <c r="H431" s="478"/>
      <c r="I431" s="478"/>
      <c r="J431" s="478"/>
      <c r="K431" s="478"/>
      <c r="L431" s="478"/>
      <c r="M431" s="479" t="n">
        <f aca="false">SUMIFS(TE!P:P,TE!G:G,$A$426,TE!H:H,A431)</f>
        <v>0</v>
      </c>
      <c r="N431" s="479"/>
      <c r="O431" s="480" t="n">
        <v>50</v>
      </c>
      <c r="P431" s="480"/>
      <c r="Q431" s="481" t="n">
        <f aca="false">M431/O431</f>
        <v>0</v>
      </c>
      <c r="R431" s="481"/>
      <c r="S431" s="482" t="n">
        <v>13.4</v>
      </c>
      <c r="T431" s="482"/>
      <c r="U431" s="482" t="n">
        <f aca="false">Q431*S431</f>
        <v>0</v>
      </c>
      <c r="V431" s="482"/>
      <c r="W431" s="483" t="s">
        <v>1670</v>
      </c>
      <c r="X431" s="483"/>
      <c r="Y431" s="484" t="s">
        <v>1671</v>
      </c>
      <c r="Z431" s="484"/>
      <c r="AA431" s="484"/>
      <c r="AB431" s="484"/>
      <c r="AC431" s="484"/>
      <c r="AD431" s="484"/>
      <c r="AE431" s="484"/>
      <c r="AF431" s="468"/>
    </row>
    <row r="432" customFormat="false" ht="30" hidden="false" customHeight="true" outlineLevel="0" collapsed="false">
      <c r="A432" s="477" t="s">
        <v>1674</v>
      </c>
      <c r="B432" s="477"/>
      <c r="C432" s="477"/>
      <c r="D432" s="478" t="s">
        <v>1675</v>
      </c>
      <c r="E432" s="478"/>
      <c r="F432" s="478"/>
      <c r="G432" s="478"/>
      <c r="H432" s="478"/>
      <c r="I432" s="478"/>
      <c r="J432" s="478"/>
      <c r="K432" s="478"/>
      <c r="L432" s="478"/>
      <c r="M432" s="479" t="n">
        <f aca="false">SUMIFS(TE!P:P,TE!G:G,$A$426,TE!H:H,A432)</f>
        <v>0</v>
      </c>
      <c r="N432" s="479"/>
      <c r="O432" s="480" t="n">
        <v>90</v>
      </c>
      <c r="P432" s="480"/>
      <c r="Q432" s="481" t="n">
        <f aca="false">M432/O432</f>
        <v>0</v>
      </c>
      <c r="R432" s="481"/>
      <c r="S432" s="482" t="n">
        <v>13.4</v>
      </c>
      <c r="T432" s="482"/>
      <c r="U432" s="482" t="n">
        <f aca="false">Q432*S432</f>
        <v>0</v>
      </c>
      <c r="V432" s="482"/>
      <c r="W432" s="483" t="s">
        <v>1670</v>
      </c>
      <c r="X432" s="483"/>
      <c r="Y432" s="484" t="s">
        <v>1671</v>
      </c>
      <c r="Z432" s="484"/>
      <c r="AA432" s="484"/>
      <c r="AB432" s="484"/>
      <c r="AC432" s="484"/>
      <c r="AD432" s="484"/>
      <c r="AE432" s="484"/>
      <c r="AF432" s="468"/>
    </row>
    <row r="433" customFormat="false" ht="49.5" hidden="false" customHeight="true" outlineLevel="0" collapsed="false">
      <c r="A433" s="477" t="s">
        <v>1676</v>
      </c>
      <c r="B433" s="477"/>
      <c r="C433" s="477"/>
      <c r="D433" s="478" t="s">
        <v>1677</v>
      </c>
      <c r="E433" s="478"/>
      <c r="F433" s="478"/>
      <c r="G433" s="478"/>
      <c r="H433" s="478"/>
      <c r="I433" s="478"/>
      <c r="J433" s="478"/>
      <c r="K433" s="478"/>
      <c r="L433" s="478"/>
      <c r="M433" s="479" t="n">
        <f aca="false">SUMIFS(TE!P:P,TE!G:G,$A$426,TE!H:H,A433)</f>
        <v>0</v>
      </c>
      <c r="N433" s="479"/>
      <c r="O433" s="485" t="s">
        <v>1678</v>
      </c>
      <c r="P433" s="485"/>
      <c r="Q433" s="485" t="s">
        <v>1678</v>
      </c>
      <c r="R433" s="485"/>
      <c r="S433" s="485" t="s">
        <v>1678</v>
      </c>
      <c r="T433" s="485"/>
      <c r="U433" s="485" t="s">
        <v>1678</v>
      </c>
      <c r="V433" s="485"/>
      <c r="W433" s="483" t="s">
        <v>1679</v>
      </c>
      <c r="X433" s="483"/>
      <c r="Y433" s="484" t="s">
        <v>1680</v>
      </c>
      <c r="Z433" s="484"/>
      <c r="AA433" s="484"/>
      <c r="AB433" s="484"/>
      <c r="AC433" s="484"/>
      <c r="AD433" s="484"/>
      <c r="AE433" s="484"/>
      <c r="AF433" s="468"/>
    </row>
    <row r="434" customFormat="false" ht="30" hidden="false" customHeight="true" outlineLevel="0" collapsed="false">
      <c r="A434" s="477" t="s">
        <v>1681</v>
      </c>
      <c r="B434" s="477"/>
      <c r="C434" s="477"/>
      <c r="D434" s="478" t="s">
        <v>1682</v>
      </c>
      <c r="E434" s="478"/>
      <c r="F434" s="478"/>
      <c r="G434" s="478"/>
      <c r="H434" s="478"/>
      <c r="I434" s="478"/>
      <c r="J434" s="478"/>
      <c r="K434" s="478"/>
      <c r="L434" s="478"/>
      <c r="M434" s="479" t="n">
        <f aca="false">SUMIFS(TE!P:P,TE!G:G,$A$426,TE!H:H,A434)</f>
        <v>0</v>
      </c>
      <c r="N434" s="479"/>
      <c r="O434" s="480" t="n">
        <v>16</v>
      </c>
      <c r="P434" s="480"/>
      <c r="Q434" s="481" t="n">
        <f aca="false">M434/O434</f>
        <v>0</v>
      </c>
      <c r="R434" s="481"/>
      <c r="S434" s="482" t="n">
        <v>13.4</v>
      </c>
      <c r="T434" s="482"/>
      <c r="U434" s="482" t="n">
        <f aca="false">Q434*S434</f>
        <v>0</v>
      </c>
      <c r="V434" s="482"/>
      <c r="W434" s="483" t="s">
        <v>1670</v>
      </c>
      <c r="X434" s="483"/>
      <c r="Y434" s="484" t="s">
        <v>1671</v>
      </c>
      <c r="Z434" s="484"/>
      <c r="AA434" s="484"/>
      <c r="AB434" s="484"/>
      <c r="AC434" s="484"/>
      <c r="AD434" s="484"/>
      <c r="AE434" s="484"/>
      <c r="AF434" s="468"/>
    </row>
    <row r="435" customFormat="false" ht="30" hidden="false" customHeight="true" outlineLevel="0" collapsed="false">
      <c r="A435" s="477" t="s">
        <v>1683</v>
      </c>
      <c r="B435" s="477"/>
      <c r="C435" s="477"/>
      <c r="D435" s="478" t="s">
        <v>1684</v>
      </c>
      <c r="E435" s="478"/>
      <c r="F435" s="478"/>
      <c r="G435" s="478"/>
      <c r="H435" s="478"/>
      <c r="I435" s="478"/>
      <c r="J435" s="478"/>
      <c r="K435" s="478"/>
      <c r="L435" s="478"/>
      <c r="M435" s="479" t="n">
        <f aca="false">SUMIFS(TE!P:P,TE!G:G,$A$426,TE!H:H,A435)</f>
        <v>0</v>
      </c>
      <c r="N435" s="479"/>
      <c r="O435" s="480" t="n">
        <v>12</v>
      </c>
      <c r="P435" s="480"/>
      <c r="Q435" s="481" t="n">
        <f aca="false">M435/O435</f>
        <v>0</v>
      </c>
      <c r="R435" s="481"/>
      <c r="S435" s="482" t="n">
        <v>13.4</v>
      </c>
      <c r="T435" s="482"/>
      <c r="U435" s="482" t="n">
        <f aca="false">Q435*S435</f>
        <v>0</v>
      </c>
      <c r="V435" s="482"/>
      <c r="W435" s="483" t="s">
        <v>1670</v>
      </c>
      <c r="X435" s="483"/>
      <c r="Y435" s="484" t="s">
        <v>1671</v>
      </c>
      <c r="Z435" s="484"/>
      <c r="AA435" s="484"/>
      <c r="AB435" s="484"/>
      <c r="AC435" s="484"/>
      <c r="AD435" s="484"/>
      <c r="AE435" s="484"/>
      <c r="AF435" s="468"/>
    </row>
    <row r="436" customFormat="false" ht="30" hidden="false" customHeight="true" outlineLevel="0" collapsed="false">
      <c r="A436" s="477" t="s">
        <v>1685</v>
      </c>
      <c r="B436" s="477"/>
      <c r="C436" s="477"/>
      <c r="D436" s="478" t="s">
        <v>1686</v>
      </c>
      <c r="E436" s="478"/>
      <c r="F436" s="478"/>
      <c r="G436" s="478"/>
      <c r="H436" s="478"/>
      <c r="I436" s="478"/>
      <c r="J436" s="478"/>
      <c r="K436" s="478"/>
      <c r="L436" s="478"/>
      <c r="M436" s="479" t="n">
        <f aca="false">SUMIFS(TE!P:P,TE!G:G,$A$426,TE!H:H,A436)</f>
        <v>0</v>
      </c>
      <c r="N436" s="479"/>
      <c r="O436" s="480" t="n">
        <v>2</v>
      </c>
      <c r="P436" s="480"/>
      <c r="Q436" s="481" t="n">
        <f aca="false">M436/O436</f>
        <v>0</v>
      </c>
      <c r="R436" s="481"/>
      <c r="S436" s="482" t="n">
        <v>13.4</v>
      </c>
      <c r="T436" s="482"/>
      <c r="U436" s="482" t="n">
        <f aca="false">Q436*S436</f>
        <v>0</v>
      </c>
      <c r="V436" s="482"/>
      <c r="W436" s="483" t="s">
        <v>1670</v>
      </c>
      <c r="X436" s="483"/>
      <c r="Y436" s="484" t="s">
        <v>1671</v>
      </c>
      <c r="Z436" s="484"/>
      <c r="AA436" s="484"/>
      <c r="AB436" s="484"/>
      <c r="AC436" s="484"/>
      <c r="AD436" s="484"/>
      <c r="AE436" s="484"/>
      <c r="AF436" s="468"/>
    </row>
    <row r="437" customFormat="false" ht="30" hidden="false" customHeight="true" outlineLevel="0" collapsed="false">
      <c r="A437" s="477" t="s">
        <v>1687</v>
      </c>
      <c r="B437" s="477"/>
      <c r="C437" s="477"/>
      <c r="D437" s="478" t="s">
        <v>1688</v>
      </c>
      <c r="E437" s="478"/>
      <c r="F437" s="478"/>
      <c r="G437" s="478"/>
      <c r="H437" s="478"/>
      <c r="I437" s="478"/>
      <c r="J437" s="478"/>
      <c r="K437" s="478"/>
      <c r="L437" s="478"/>
      <c r="M437" s="479" t="n">
        <f aca="false">SUMIFS(TE!P:P,TE!G:G,$A$426,TE!H:H,A437)</f>
        <v>0</v>
      </c>
      <c r="N437" s="479"/>
      <c r="O437" s="480" t="n">
        <v>112</v>
      </c>
      <c r="P437" s="480"/>
      <c r="Q437" s="481" t="n">
        <f aca="false">M437/O437</f>
        <v>0</v>
      </c>
      <c r="R437" s="481"/>
      <c r="S437" s="482" t="n">
        <v>13.4</v>
      </c>
      <c r="T437" s="482"/>
      <c r="U437" s="482" t="n">
        <f aca="false">Q437*S437</f>
        <v>0</v>
      </c>
      <c r="V437" s="482"/>
      <c r="W437" s="483" t="s">
        <v>1670</v>
      </c>
      <c r="X437" s="483"/>
      <c r="Y437" s="484" t="s">
        <v>1671</v>
      </c>
      <c r="Z437" s="484"/>
      <c r="AA437" s="484"/>
      <c r="AB437" s="484"/>
      <c r="AC437" s="484"/>
      <c r="AD437" s="484"/>
      <c r="AE437" s="484"/>
      <c r="AF437" s="468"/>
    </row>
    <row r="438" customFormat="false" ht="39.75" hidden="false" customHeight="true" outlineLevel="0" collapsed="false">
      <c r="A438" s="477" t="s">
        <v>1689</v>
      </c>
      <c r="B438" s="477"/>
      <c r="C438" s="477"/>
      <c r="D438" s="478" t="s">
        <v>1690</v>
      </c>
      <c r="E438" s="478"/>
      <c r="F438" s="478"/>
      <c r="G438" s="478"/>
      <c r="H438" s="478"/>
      <c r="I438" s="478"/>
      <c r="J438" s="478"/>
      <c r="K438" s="478"/>
      <c r="L438" s="478"/>
      <c r="M438" s="479" t="n">
        <f aca="false">SUMIFS(TE!P:P,TE!G:G,$A$426,TE!H:H,A438)</f>
        <v>0</v>
      </c>
      <c r="N438" s="479"/>
      <c r="O438" s="480" t="n">
        <v>112</v>
      </c>
      <c r="P438" s="480"/>
      <c r="Q438" s="481" t="n">
        <f aca="false">M438/O438</f>
        <v>0</v>
      </c>
      <c r="R438" s="481"/>
      <c r="S438" s="482" t="n">
        <v>13.4</v>
      </c>
      <c r="T438" s="482"/>
      <c r="U438" s="482" t="n">
        <f aca="false">Q438*S438</f>
        <v>0</v>
      </c>
      <c r="V438" s="482"/>
      <c r="W438" s="483" t="s">
        <v>1670</v>
      </c>
      <c r="X438" s="483"/>
      <c r="Y438" s="484" t="s">
        <v>1691</v>
      </c>
      <c r="Z438" s="484"/>
      <c r="AA438" s="484"/>
      <c r="AB438" s="484"/>
      <c r="AC438" s="484"/>
      <c r="AD438" s="484"/>
      <c r="AE438" s="484"/>
      <c r="AF438" s="468"/>
    </row>
    <row r="439" customFormat="false" ht="39.75" hidden="false" customHeight="true" outlineLevel="0" collapsed="false">
      <c r="A439" s="477" t="s">
        <v>1692</v>
      </c>
      <c r="B439" s="477"/>
      <c r="C439" s="477"/>
      <c r="D439" s="478" t="s">
        <v>1693</v>
      </c>
      <c r="E439" s="478"/>
      <c r="F439" s="478"/>
      <c r="G439" s="478"/>
      <c r="H439" s="478"/>
      <c r="I439" s="478"/>
      <c r="J439" s="478"/>
      <c r="K439" s="478"/>
      <c r="L439" s="478"/>
      <c r="M439" s="479" t="n">
        <f aca="false">SUMIFS(TE!P:P,TE!G:G,$A$426,TE!H:H,A439)</f>
        <v>0</v>
      </c>
      <c r="N439" s="479"/>
      <c r="O439" s="480" t="n">
        <v>112</v>
      </c>
      <c r="P439" s="480"/>
      <c r="Q439" s="481" t="n">
        <f aca="false">M439/O439</f>
        <v>0</v>
      </c>
      <c r="R439" s="481"/>
      <c r="S439" s="482" t="n">
        <v>13.4</v>
      </c>
      <c r="T439" s="482"/>
      <c r="U439" s="482" t="n">
        <f aca="false">Q439*S439</f>
        <v>0</v>
      </c>
      <c r="V439" s="482"/>
      <c r="W439" s="483" t="s">
        <v>1670</v>
      </c>
      <c r="X439" s="483"/>
      <c r="Y439" s="484" t="s">
        <v>1691</v>
      </c>
      <c r="Z439" s="484"/>
      <c r="AA439" s="484"/>
      <c r="AB439" s="484"/>
      <c r="AC439" s="484"/>
      <c r="AD439" s="484"/>
      <c r="AE439" s="484"/>
      <c r="AF439" s="468"/>
    </row>
    <row r="440" customFormat="false" ht="30" hidden="false" customHeight="true" outlineLevel="0" collapsed="false">
      <c r="A440" s="477" t="s">
        <v>1694</v>
      </c>
      <c r="B440" s="477"/>
      <c r="C440" s="477"/>
      <c r="D440" s="478" t="s">
        <v>1695</v>
      </c>
      <c r="E440" s="478"/>
      <c r="F440" s="478"/>
      <c r="G440" s="478"/>
      <c r="H440" s="478"/>
      <c r="I440" s="478"/>
      <c r="J440" s="478"/>
      <c r="K440" s="478"/>
      <c r="L440" s="478"/>
      <c r="M440" s="479" t="n">
        <f aca="false">SUMIFS(TE!P:P,TE!G:G,$A$426,TE!H:H,A440)</f>
        <v>0</v>
      </c>
      <c r="N440" s="479"/>
      <c r="O440" s="485" t="s">
        <v>1678</v>
      </c>
      <c r="P440" s="485"/>
      <c r="Q440" s="485" t="s">
        <v>1678</v>
      </c>
      <c r="R440" s="485"/>
      <c r="S440" s="485" t="s">
        <v>1678</v>
      </c>
      <c r="T440" s="485"/>
      <c r="U440" s="485" t="s">
        <v>1678</v>
      </c>
      <c r="V440" s="485"/>
      <c r="W440" s="483" t="s">
        <v>1679</v>
      </c>
      <c r="X440" s="483"/>
      <c r="Y440" s="484" t="s">
        <v>1696</v>
      </c>
      <c r="Z440" s="484"/>
      <c r="AA440" s="484"/>
      <c r="AB440" s="484"/>
      <c r="AC440" s="484"/>
      <c r="AD440" s="484"/>
      <c r="AE440" s="484"/>
      <c r="AF440" s="468"/>
    </row>
    <row r="441" customFormat="false" ht="30" hidden="false" customHeight="true" outlineLevel="0" collapsed="false">
      <c r="A441" s="477" t="s">
        <v>1697</v>
      </c>
      <c r="B441" s="477"/>
      <c r="C441" s="477"/>
      <c r="D441" s="478" t="s">
        <v>1698</v>
      </c>
      <c r="E441" s="478"/>
      <c r="F441" s="478"/>
      <c r="G441" s="478"/>
      <c r="H441" s="478"/>
      <c r="I441" s="478"/>
      <c r="J441" s="478"/>
      <c r="K441" s="478"/>
      <c r="L441" s="478"/>
      <c r="M441" s="479" t="n">
        <f aca="false">SUMIFS(TE!P:P,TE!G:G,$A$426,TE!H:H,A441)</f>
        <v>0</v>
      </c>
      <c r="N441" s="479"/>
      <c r="O441" s="480" t="n">
        <v>90</v>
      </c>
      <c r="P441" s="480"/>
      <c r="Q441" s="481" t="n">
        <f aca="false">M441/O441</f>
        <v>0</v>
      </c>
      <c r="R441" s="481"/>
      <c r="S441" s="482" t="n">
        <v>13.4</v>
      </c>
      <c r="T441" s="482"/>
      <c r="U441" s="482" t="n">
        <f aca="false">Q441*S441</f>
        <v>0</v>
      </c>
      <c r="V441" s="482"/>
      <c r="W441" s="483" t="s">
        <v>1670</v>
      </c>
      <c r="X441" s="483"/>
      <c r="Y441" s="484" t="s">
        <v>1671</v>
      </c>
      <c r="Z441" s="484"/>
      <c r="AA441" s="484"/>
      <c r="AB441" s="484"/>
      <c r="AC441" s="484"/>
      <c r="AD441" s="484"/>
      <c r="AE441" s="484"/>
      <c r="AF441" s="468"/>
    </row>
    <row r="442" customFormat="false" ht="30" hidden="false" customHeight="true" outlineLevel="0" collapsed="false">
      <c r="A442" s="477" t="s">
        <v>1699</v>
      </c>
      <c r="B442" s="477"/>
      <c r="C442" s="477"/>
      <c r="D442" s="478" t="s">
        <v>1700</v>
      </c>
      <c r="E442" s="478"/>
      <c r="F442" s="478"/>
      <c r="G442" s="478"/>
      <c r="H442" s="478"/>
      <c r="I442" s="478"/>
      <c r="J442" s="478"/>
      <c r="K442" s="478"/>
      <c r="L442" s="478"/>
      <c r="M442" s="479" t="n">
        <f aca="false">SUMIFS(TE!P:P,TE!G:G,$A$426,TE!H:H,A442)</f>
        <v>99</v>
      </c>
      <c r="N442" s="479"/>
      <c r="O442" s="485" t="s">
        <v>1678</v>
      </c>
      <c r="P442" s="485"/>
      <c r="Q442" s="485" t="s">
        <v>1678</v>
      </c>
      <c r="R442" s="485"/>
      <c r="S442" s="485" t="s">
        <v>1678</v>
      </c>
      <c r="T442" s="485"/>
      <c r="U442" s="485" t="s">
        <v>1678</v>
      </c>
      <c r="V442" s="485"/>
      <c r="W442" s="483" t="s">
        <v>1679</v>
      </c>
      <c r="X442" s="483"/>
      <c r="Y442" s="484" t="s">
        <v>1701</v>
      </c>
      <c r="Z442" s="484"/>
      <c r="AA442" s="484"/>
      <c r="AB442" s="484"/>
      <c r="AC442" s="484"/>
      <c r="AD442" s="484"/>
      <c r="AE442" s="484"/>
      <c r="AF442" s="468"/>
    </row>
    <row r="443" customFormat="false" ht="30" hidden="false" customHeight="true" outlineLevel="0" collapsed="false">
      <c r="A443" s="477" t="s">
        <v>1702</v>
      </c>
      <c r="B443" s="477"/>
      <c r="C443" s="477"/>
      <c r="D443" s="478" t="s">
        <v>1703</v>
      </c>
      <c r="E443" s="478"/>
      <c r="F443" s="478"/>
      <c r="G443" s="478"/>
      <c r="H443" s="478"/>
      <c r="I443" s="478"/>
      <c r="J443" s="478"/>
      <c r="K443" s="478"/>
      <c r="L443" s="478"/>
      <c r="M443" s="479" t="n">
        <f aca="false">SUMIFS(TE!P:P,TE!G:G,$A$426,TE!H:H,A443)</f>
        <v>0</v>
      </c>
      <c r="N443" s="479"/>
      <c r="O443" s="480" t="n">
        <v>24</v>
      </c>
      <c r="P443" s="480"/>
      <c r="Q443" s="481" t="n">
        <f aca="false">M443/O443</f>
        <v>0</v>
      </c>
      <c r="R443" s="481"/>
      <c r="S443" s="482" t="n">
        <v>13.4</v>
      </c>
      <c r="T443" s="482"/>
      <c r="U443" s="482" t="n">
        <f aca="false">Q443*S443</f>
        <v>0</v>
      </c>
      <c r="V443" s="482"/>
      <c r="W443" s="483" t="s">
        <v>1670</v>
      </c>
      <c r="X443" s="483"/>
      <c r="Y443" s="484" t="s">
        <v>1671</v>
      </c>
      <c r="Z443" s="484"/>
      <c r="AA443" s="484"/>
      <c r="AB443" s="484"/>
      <c r="AC443" s="484"/>
      <c r="AD443" s="484"/>
      <c r="AE443" s="484"/>
      <c r="AF443" s="468"/>
    </row>
    <row r="444" customFormat="false" ht="39.75" hidden="false" customHeight="true" outlineLevel="0" collapsed="false">
      <c r="A444" s="477" t="s">
        <v>1704</v>
      </c>
      <c r="B444" s="477"/>
      <c r="C444" s="477"/>
      <c r="D444" s="478" t="s">
        <v>1705</v>
      </c>
      <c r="E444" s="478"/>
      <c r="F444" s="478"/>
      <c r="G444" s="478"/>
      <c r="H444" s="478"/>
      <c r="I444" s="478"/>
      <c r="J444" s="478"/>
      <c r="K444" s="478"/>
      <c r="L444" s="478"/>
      <c r="M444" s="479" t="n">
        <f aca="false">SUMIFS(TE!P:P,TE!G:G,$A$426,TE!H:H,A444)</f>
        <v>0</v>
      </c>
      <c r="N444" s="479"/>
      <c r="O444" s="485" t="s">
        <v>1678</v>
      </c>
      <c r="P444" s="485"/>
      <c r="Q444" s="481" t="n">
        <f aca="false">M445/O445</f>
        <v>0</v>
      </c>
      <c r="R444" s="481"/>
      <c r="S444" s="482" t="n">
        <v>13.4</v>
      </c>
      <c r="T444" s="482"/>
      <c r="U444" s="482" t="n">
        <f aca="false">Q444*S444</f>
        <v>0</v>
      </c>
      <c r="V444" s="482"/>
      <c r="W444" s="483" t="s">
        <v>1670</v>
      </c>
      <c r="X444" s="483"/>
      <c r="Y444" s="484" t="s">
        <v>1691</v>
      </c>
      <c r="Z444" s="484"/>
      <c r="AA444" s="484"/>
      <c r="AB444" s="484"/>
      <c r="AC444" s="484"/>
      <c r="AD444" s="484"/>
      <c r="AE444" s="484"/>
      <c r="AF444" s="468"/>
    </row>
    <row r="445" customFormat="false" ht="30" hidden="false" customHeight="true" outlineLevel="0" collapsed="false">
      <c r="A445" s="477" t="s">
        <v>1706</v>
      </c>
      <c r="B445" s="477"/>
      <c r="C445" s="477"/>
      <c r="D445" s="478" t="s">
        <v>1707</v>
      </c>
      <c r="E445" s="478"/>
      <c r="F445" s="478"/>
      <c r="G445" s="478"/>
      <c r="H445" s="478"/>
      <c r="I445" s="478"/>
      <c r="J445" s="478"/>
      <c r="K445" s="478"/>
      <c r="L445" s="478"/>
      <c r="M445" s="479" t="n">
        <f aca="false">SUMIFS(TE!P:P,TE!G:G,$A$426,TE!H:H,A445)</f>
        <v>0</v>
      </c>
      <c r="N445" s="479"/>
      <c r="O445" s="480" t="n">
        <v>72</v>
      </c>
      <c r="P445" s="480"/>
      <c r="Q445" s="481" t="n">
        <f aca="false">M446/O446</f>
        <v>0</v>
      </c>
      <c r="R445" s="481"/>
      <c r="S445" s="482" t="n">
        <v>13.4</v>
      </c>
      <c r="T445" s="482"/>
      <c r="U445" s="482" t="n">
        <f aca="false">Q445*S445</f>
        <v>0</v>
      </c>
      <c r="V445" s="482"/>
      <c r="W445" s="483" t="s">
        <v>1670</v>
      </c>
      <c r="X445" s="483"/>
      <c r="Y445" s="484" t="s">
        <v>1671</v>
      </c>
      <c r="Z445" s="484"/>
      <c r="AA445" s="484"/>
      <c r="AB445" s="484"/>
      <c r="AC445" s="484"/>
      <c r="AD445" s="484"/>
      <c r="AE445" s="484"/>
      <c r="AF445" s="468"/>
    </row>
    <row r="446" customFormat="false" ht="30" hidden="false" customHeight="true" outlineLevel="0" collapsed="false">
      <c r="A446" s="477" t="s">
        <v>1708</v>
      </c>
      <c r="B446" s="477"/>
      <c r="C446" s="477"/>
      <c r="D446" s="478" t="s">
        <v>1709</v>
      </c>
      <c r="E446" s="478"/>
      <c r="F446" s="478"/>
      <c r="G446" s="478"/>
      <c r="H446" s="478"/>
      <c r="I446" s="478"/>
      <c r="J446" s="478"/>
      <c r="K446" s="478"/>
      <c r="L446" s="478"/>
      <c r="M446" s="479" t="n">
        <f aca="false">SUMIFS(TE!P:P,TE!G:G,$A$426,TE!H:H,A446)</f>
        <v>0</v>
      </c>
      <c r="N446" s="479"/>
      <c r="O446" s="480" t="n">
        <v>10</v>
      </c>
      <c r="P446" s="480"/>
      <c r="Q446" s="481" t="n">
        <f aca="false">ROUNDUP(M446/O446,0)</f>
        <v>0</v>
      </c>
      <c r="R446" s="481"/>
      <c r="S446" s="482" t="n">
        <v>13.4</v>
      </c>
      <c r="T446" s="482"/>
      <c r="U446" s="482" t="n">
        <f aca="false">Q446*S446</f>
        <v>0</v>
      </c>
      <c r="V446" s="482"/>
      <c r="W446" s="483" t="s">
        <v>1710</v>
      </c>
      <c r="X446" s="483"/>
      <c r="Y446" s="484" t="s">
        <v>1711</v>
      </c>
      <c r="Z446" s="484"/>
      <c r="AA446" s="484"/>
      <c r="AB446" s="484"/>
      <c r="AC446" s="484"/>
      <c r="AD446" s="484"/>
      <c r="AE446" s="484"/>
      <c r="AF446" s="468"/>
    </row>
    <row r="447" customFormat="false" ht="30" hidden="false" customHeight="true" outlineLevel="0" collapsed="false">
      <c r="A447" s="477" t="s">
        <v>1712</v>
      </c>
      <c r="B447" s="477"/>
      <c r="C447" s="477"/>
      <c r="D447" s="478" t="s">
        <v>1713</v>
      </c>
      <c r="E447" s="478"/>
      <c r="F447" s="478"/>
      <c r="G447" s="478"/>
      <c r="H447" s="478"/>
      <c r="I447" s="478"/>
      <c r="J447" s="478"/>
      <c r="K447" s="478"/>
      <c r="L447" s="478"/>
      <c r="M447" s="479" t="n">
        <f aca="false">SUMIFS(TE!P:P,TE!G:G,$A$426,TE!H:H,A447)</f>
        <v>0</v>
      </c>
      <c r="N447" s="479"/>
      <c r="O447" s="480" t="n">
        <v>8</v>
      </c>
      <c r="P447" s="480"/>
      <c r="Q447" s="481" t="n">
        <f aca="false">M447/O447</f>
        <v>0</v>
      </c>
      <c r="R447" s="481"/>
      <c r="S447" s="482" t="n">
        <v>13.4</v>
      </c>
      <c r="T447" s="482"/>
      <c r="U447" s="482" t="n">
        <f aca="false">Q447*S447</f>
        <v>0</v>
      </c>
      <c r="V447" s="482"/>
      <c r="W447" s="483" t="s">
        <v>1670</v>
      </c>
      <c r="X447" s="483"/>
      <c r="Y447" s="484" t="s">
        <v>1671</v>
      </c>
      <c r="Z447" s="484"/>
      <c r="AA447" s="484"/>
      <c r="AB447" s="484"/>
      <c r="AC447" s="484"/>
      <c r="AD447" s="484"/>
      <c r="AE447" s="484"/>
      <c r="AF447" s="468"/>
    </row>
    <row r="448" customFormat="false" ht="30" hidden="false" customHeight="true" outlineLevel="0" collapsed="false">
      <c r="A448" s="486" t="s">
        <v>1714</v>
      </c>
      <c r="B448" s="486"/>
      <c r="C448" s="486"/>
      <c r="D448" s="487" t="s">
        <v>1715</v>
      </c>
      <c r="E448" s="487"/>
      <c r="F448" s="487"/>
      <c r="G448" s="487"/>
      <c r="H448" s="487"/>
      <c r="I448" s="487"/>
      <c r="J448" s="487"/>
      <c r="K448" s="487"/>
      <c r="L448" s="487"/>
      <c r="M448" s="488" t="n">
        <f aca="false">SUMIFS(TE!P:P,TE!G:G,$A$426,TE!H:H,A448)</f>
        <v>0</v>
      </c>
      <c r="N448" s="488"/>
      <c r="O448" s="489" t="n">
        <v>1</v>
      </c>
      <c r="P448" s="489"/>
      <c r="Q448" s="490" t="n">
        <f aca="false">ROUNDUP(M448/O448,0)</f>
        <v>0</v>
      </c>
      <c r="R448" s="490"/>
      <c r="S448" s="491" t="n">
        <v>17.3</v>
      </c>
      <c r="T448" s="491"/>
      <c r="U448" s="491" t="n">
        <f aca="false">Q448*S448</f>
        <v>0</v>
      </c>
      <c r="V448" s="491"/>
      <c r="W448" s="492" t="s">
        <v>1716</v>
      </c>
      <c r="X448" s="492"/>
      <c r="Y448" s="493" t="s">
        <v>1717</v>
      </c>
      <c r="Z448" s="493"/>
      <c r="AA448" s="493"/>
      <c r="AB448" s="493"/>
      <c r="AC448" s="493"/>
      <c r="AD448" s="493"/>
      <c r="AE448" s="493"/>
      <c r="AF448" s="468"/>
    </row>
    <row r="449" customFormat="false" ht="12.75" hidden="false" customHeight="true" outlineLevel="0" collapsed="false">
      <c r="A449" s="494"/>
      <c r="B449" s="494"/>
      <c r="C449" s="494"/>
      <c r="D449" s="494"/>
      <c r="E449" s="494"/>
      <c r="F449" s="494"/>
      <c r="G449" s="494"/>
      <c r="H449" s="494"/>
      <c r="I449" s="494"/>
      <c r="J449" s="494"/>
      <c r="K449" s="494"/>
      <c r="L449" s="494"/>
      <c r="M449" s="494"/>
      <c r="N449" s="494"/>
      <c r="O449" s="494"/>
      <c r="P449" s="494"/>
      <c r="Q449" s="494"/>
      <c r="R449" s="494"/>
      <c r="S449" s="494"/>
      <c r="T449" s="494"/>
      <c r="U449" s="494"/>
      <c r="V449" s="494"/>
      <c r="W449" s="494"/>
      <c r="X449" s="494"/>
      <c r="Y449" s="494"/>
      <c r="Z449" s="494"/>
      <c r="AA449" s="494"/>
      <c r="AB449" s="494"/>
      <c r="AC449" s="494"/>
      <c r="AD449" s="494"/>
      <c r="AE449" s="494"/>
      <c r="AF449" s="468"/>
    </row>
    <row r="450" customFormat="false" ht="12.75" hidden="false" customHeight="true" outlineLevel="0" collapsed="false">
      <c r="A450" s="495"/>
      <c r="B450" s="495"/>
      <c r="C450" s="495"/>
      <c r="D450" s="495"/>
      <c r="E450" s="495"/>
      <c r="F450" s="495"/>
      <c r="G450" s="495"/>
      <c r="H450" s="495"/>
      <c r="I450" s="495"/>
      <c r="J450" s="495"/>
      <c r="K450" s="495"/>
      <c r="L450" s="495"/>
      <c r="M450" s="495"/>
      <c r="N450" s="495"/>
      <c r="O450" s="495"/>
      <c r="P450" s="495"/>
      <c r="Q450" s="495"/>
      <c r="R450" s="495"/>
      <c r="S450" s="495"/>
      <c r="T450" s="495"/>
      <c r="U450" s="495"/>
      <c r="V450" s="495"/>
      <c r="W450" s="495"/>
      <c r="X450" s="495"/>
      <c r="Y450" s="495"/>
      <c r="Z450" s="495"/>
      <c r="AA450" s="495"/>
      <c r="AB450" s="453"/>
      <c r="AC450" s="454" t="s">
        <v>1657</v>
      </c>
      <c r="AD450" s="455" t="n">
        <v>15</v>
      </c>
      <c r="AE450" s="455" t="s">
        <v>29</v>
      </c>
      <c r="AF450" s="455" t="n">
        <v>27</v>
      </c>
    </row>
    <row r="451" customFormat="false" ht="12.75" hidden="false" customHeight="true" outlineLevel="0" collapsed="false">
      <c r="A451" s="398" t="s">
        <v>1522</v>
      </c>
      <c r="B451" s="398"/>
      <c r="C451" s="456" t="n">
        <v>14345</v>
      </c>
      <c r="D451" s="456"/>
      <c r="E451" s="456"/>
      <c r="F451" s="456"/>
      <c r="G451" s="456"/>
      <c r="H451" s="456"/>
      <c r="I451" s="456"/>
      <c r="J451" s="456"/>
      <c r="K451" s="456"/>
      <c r="L451" s="456"/>
      <c r="M451" s="398" t="s">
        <v>1523</v>
      </c>
      <c r="N451" s="398"/>
      <c r="O451" s="398"/>
      <c r="P451" s="398"/>
      <c r="Q451" s="398"/>
      <c r="R451" s="456" t="s">
        <v>15</v>
      </c>
      <c r="S451" s="456"/>
      <c r="T451" s="456"/>
      <c r="U451" s="456"/>
      <c r="V451" s="456"/>
      <c r="W451" s="456"/>
      <c r="X451" s="456"/>
      <c r="Y451" s="456"/>
      <c r="Z451" s="456"/>
      <c r="AA451" s="456"/>
      <c r="AB451" s="456"/>
      <c r="AC451" s="456"/>
      <c r="AD451" s="456"/>
      <c r="AE451" s="456"/>
      <c r="AF451" s="456"/>
    </row>
    <row r="452" customFormat="false" ht="12.75" hidden="false" customHeight="true" outlineLevel="0" collapsed="false">
      <c r="A452" s="458"/>
      <c r="B452" s="458"/>
      <c r="C452" s="459"/>
      <c r="D452" s="459"/>
      <c r="E452" s="459"/>
      <c r="F452" s="459"/>
      <c r="G452" s="459"/>
      <c r="H452" s="459"/>
      <c r="I452" s="459"/>
      <c r="J452" s="459"/>
      <c r="K452" s="459"/>
      <c r="L452" s="459"/>
      <c r="M452" s="458"/>
      <c r="N452" s="458"/>
      <c r="O452" s="458"/>
      <c r="P452" s="458"/>
      <c r="Q452" s="458"/>
      <c r="R452" s="459"/>
      <c r="S452" s="459"/>
      <c r="T452" s="459"/>
      <c r="U452" s="459"/>
      <c r="V452" s="459"/>
      <c r="W452" s="459"/>
      <c r="X452" s="459"/>
      <c r="Y452" s="459"/>
      <c r="Z452" s="459"/>
      <c r="AA452" s="459"/>
      <c r="AB452" s="459"/>
      <c r="AC452" s="459"/>
      <c r="AD452" s="459"/>
      <c r="AE452" s="459"/>
      <c r="AF452" s="459"/>
    </row>
    <row r="453" customFormat="false" ht="15.75" hidden="false" customHeight="true" outlineLevel="0" collapsed="false">
      <c r="A453" s="460" t="str">
        <f aca="false">A426</f>
        <v>M28263</v>
      </c>
      <c r="B453" s="460"/>
      <c r="C453" s="460"/>
      <c r="D453" s="461" t="str">
        <f aca="false">D426</f>
        <v>SURGICAL CO A</v>
      </c>
      <c r="E453" s="461"/>
      <c r="F453" s="461"/>
      <c r="G453" s="461"/>
      <c r="H453" s="461"/>
      <c r="I453" s="461"/>
      <c r="J453" s="461"/>
      <c r="K453" s="461"/>
      <c r="L453" s="461"/>
      <c r="M453" s="458"/>
      <c r="N453" s="458"/>
      <c r="O453" s="458"/>
      <c r="P453" s="459"/>
      <c r="Q453" s="458"/>
      <c r="R453" s="459"/>
      <c r="S453" s="459"/>
      <c r="T453" s="459"/>
      <c r="U453" s="459"/>
      <c r="V453" s="459"/>
      <c r="W453" s="459"/>
      <c r="X453" s="459"/>
      <c r="Y453" s="459"/>
      <c r="Z453" s="459"/>
      <c r="AA453" s="459"/>
      <c r="AB453" s="459"/>
      <c r="AC453" s="459"/>
      <c r="AD453" s="459"/>
      <c r="AE453" s="459"/>
      <c r="AF453" s="459"/>
    </row>
    <row r="454" customFormat="false" ht="15.75" hidden="false" customHeight="true" outlineLevel="0" collapsed="false">
      <c r="A454" s="462" t="s">
        <v>1659</v>
      </c>
      <c r="B454" s="462"/>
      <c r="C454" s="462"/>
      <c r="D454" s="463" t="s">
        <v>1660</v>
      </c>
      <c r="E454" s="463"/>
      <c r="F454" s="463"/>
      <c r="G454" s="463"/>
      <c r="H454" s="463"/>
      <c r="I454" s="463"/>
      <c r="J454" s="463"/>
      <c r="K454" s="463"/>
      <c r="L454" s="463"/>
      <c r="M454" s="564" t="s">
        <v>1661</v>
      </c>
      <c r="N454" s="564"/>
      <c r="O454" s="465" t="s">
        <v>1662</v>
      </c>
      <c r="P454" s="465"/>
      <c r="Q454" s="465" t="s">
        <v>1663</v>
      </c>
      <c r="R454" s="465"/>
      <c r="S454" s="466" t="s">
        <v>1664</v>
      </c>
      <c r="T454" s="466"/>
      <c r="U454" s="466" t="s">
        <v>1665</v>
      </c>
      <c r="V454" s="466"/>
      <c r="W454" s="464" t="s">
        <v>1666</v>
      </c>
      <c r="X454" s="464"/>
      <c r="Y454" s="467" t="s">
        <v>1667</v>
      </c>
      <c r="Z454" s="467"/>
      <c r="AA454" s="467"/>
      <c r="AB454" s="467"/>
      <c r="AC454" s="467"/>
      <c r="AD454" s="467"/>
      <c r="AE454" s="467"/>
      <c r="AF454" s="459"/>
    </row>
    <row r="455" customFormat="false" ht="15.75" hidden="false" customHeight="true" outlineLevel="0" collapsed="false">
      <c r="A455" s="462"/>
      <c r="B455" s="462"/>
      <c r="C455" s="462"/>
      <c r="D455" s="463"/>
      <c r="E455" s="463"/>
      <c r="F455" s="463"/>
      <c r="G455" s="463"/>
      <c r="H455" s="463"/>
      <c r="I455" s="463"/>
      <c r="J455" s="463"/>
      <c r="K455" s="463"/>
      <c r="L455" s="463"/>
      <c r="M455" s="564"/>
      <c r="N455" s="564"/>
      <c r="O455" s="465"/>
      <c r="P455" s="465"/>
      <c r="Q455" s="465"/>
      <c r="R455" s="465"/>
      <c r="S455" s="466"/>
      <c r="T455" s="466"/>
      <c r="U455" s="466"/>
      <c r="V455" s="466"/>
      <c r="W455" s="464"/>
      <c r="X455" s="464"/>
      <c r="Y455" s="467"/>
      <c r="Z455" s="467"/>
      <c r="AA455" s="467"/>
      <c r="AB455" s="467"/>
      <c r="AC455" s="467"/>
      <c r="AD455" s="467"/>
      <c r="AE455" s="467"/>
      <c r="AF455" s="459"/>
    </row>
    <row r="456" customFormat="false" ht="30" hidden="false" customHeight="true" outlineLevel="0" collapsed="false">
      <c r="A456" s="462"/>
      <c r="B456" s="462"/>
      <c r="C456" s="462"/>
      <c r="D456" s="463"/>
      <c r="E456" s="463"/>
      <c r="F456" s="463"/>
      <c r="G456" s="463"/>
      <c r="H456" s="463"/>
      <c r="I456" s="463"/>
      <c r="J456" s="463"/>
      <c r="K456" s="463"/>
      <c r="L456" s="463"/>
      <c r="M456" s="564"/>
      <c r="N456" s="564"/>
      <c r="O456" s="465"/>
      <c r="P456" s="465"/>
      <c r="Q456" s="465"/>
      <c r="R456" s="465"/>
      <c r="S456" s="466"/>
      <c r="T456" s="466"/>
      <c r="U456" s="466"/>
      <c r="V456" s="466"/>
      <c r="W456" s="464"/>
      <c r="X456" s="464"/>
      <c r="Y456" s="467"/>
      <c r="Z456" s="467"/>
      <c r="AA456" s="467"/>
      <c r="AB456" s="467"/>
      <c r="AC456" s="467"/>
      <c r="AD456" s="467"/>
      <c r="AE456" s="467"/>
      <c r="AF456" s="468"/>
    </row>
    <row r="457" customFormat="false" ht="30" hidden="false" customHeight="true" outlineLevel="0" collapsed="false">
      <c r="A457" s="469" t="s">
        <v>1718</v>
      </c>
      <c r="B457" s="469"/>
      <c r="C457" s="469"/>
      <c r="D457" s="470" t="s">
        <v>1719</v>
      </c>
      <c r="E457" s="470"/>
      <c r="F457" s="470"/>
      <c r="G457" s="470"/>
      <c r="H457" s="470"/>
      <c r="I457" s="470"/>
      <c r="J457" s="470"/>
      <c r="K457" s="470"/>
      <c r="L457" s="470"/>
      <c r="M457" s="570" t="n">
        <f aca="false">SUMIFS(TE!P:P,TE!G:G,$A$426,TE!H:H,A457)</f>
        <v>0</v>
      </c>
      <c r="N457" s="570"/>
      <c r="O457" s="472" t="n">
        <v>36</v>
      </c>
      <c r="P457" s="472"/>
      <c r="Q457" s="473" t="n">
        <f aca="false">M457/O457</f>
        <v>0</v>
      </c>
      <c r="R457" s="473"/>
      <c r="S457" s="474" t="n">
        <v>13.4</v>
      </c>
      <c r="T457" s="474"/>
      <c r="U457" s="474" t="n">
        <f aca="false">Q457*S457</f>
        <v>0</v>
      </c>
      <c r="V457" s="474"/>
      <c r="W457" s="475" t="s">
        <v>1670</v>
      </c>
      <c r="X457" s="475"/>
      <c r="Y457" s="476" t="s">
        <v>1671</v>
      </c>
      <c r="Z457" s="476"/>
      <c r="AA457" s="476"/>
      <c r="AB457" s="476"/>
      <c r="AC457" s="476"/>
      <c r="AD457" s="476"/>
      <c r="AE457" s="476"/>
      <c r="AF457" s="468"/>
    </row>
    <row r="458" customFormat="false" ht="30" hidden="false" customHeight="true" outlineLevel="0" collapsed="false">
      <c r="A458" s="477" t="s">
        <v>1720</v>
      </c>
      <c r="B458" s="477"/>
      <c r="C458" s="477"/>
      <c r="D458" s="478" t="s">
        <v>1721</v>
      </c>
      <c r="E458" s="478"/>
      <c r="F458" s="478"/>
      <c r="G458" s="478"/>
      <c r="H458" s="478"/>
      <c r="I458" s="478"/>
      <c r="J458" s="478"/>
      <c r="K458" s="478"/>
      <c r="L458" s="478"/>
      <c r="M458" s="479" t="n">
        <f aca="false">SUMIFS(TE!P:P,TE!G:G,$A$426,TE!H:H,A458)</f>
        <v>0</v>
      </c>
      <c r="N458" s="479"/>
      <c r="O458" s="480" t="n">
        <v>2</v>
      </c>
      <c r="P458" s="480"/>
      <c r="Q458" s="481" t="n">
        <f aca="false">ROUNDUP(M458/O458,0)</f>
        <v>0</v>
      </c>
      <c r="R458" s="481"/>
      <c r="S458" s="482" t="n">
        <v>18</v>
      </c>
      <c r="T458" s="482"/>
      <c r="U458" s="482" t="n">
        <f aca="false">Q458*S458</f>
        <v>0</v>
      </c>
      <c r="V458" s="482"/>
      <c r="W458" s="483" t="s">
        <v>1722</v>
      </c>
      <c r="X458" s="483"/>
      <c r="Y458" s="484" t="s">
        <v>1723</v>
      </c>
      <c r="Z458" s="484"/>
      <c r="AA458" s="484"/>
      <c r="AB458" s="484"/>
      <c r="AC458" s="484"/>
      <c r="AD458" s="484"/>
      <c r="AE458" s="484"/>
      <c r="AF458" s="468"/>
    </row>
    <row r="459" customFormat="false" ht="30" hidden="false" customHeight="true" outlineLevel="0" collapsed="false">
      <c r="A459" s="477" t="s">
        <v>1724</v>
      </c>
      <c r="B459" s="477"/>
      <c r="C459" s="477"/>
      <c r="D459" s="478" t="s">
        <v>1725</v>
      </c>
      <c r="E459" s="478"/>
      <c r="F459" s="478"/>
      <c r="G459" s="478"/>
      <c r="H459" s="478"/>
      <c r="I459" s="478"/>
      <c r="J459" s="478"/>
      <c r="K459" s="478"/>
      <c r="L459" s="478"/>
      <c r="M459" s="479" t="n">
        <f aca="false">SUMIFS(TE!P:P,TE!G:G,$A$426,TE!H:H,A459)</f>
        <v>0</v>
      </c>
      <c r="N459" s="479"/>
      <c r="O459" s="480" t="n">
        <v>100</v>
      </c>
      <c r="P459" s="480"/>
      <c r="Q459" s="481" t="n">
        <f aca="false">M459/O459</f>
        <v>0</v>
      </c>
      <c r="R459" s="481"/>
      <c r="S459" s="482" t="n">
        <v>13.4</v>
      </c>
      <c r="T459" s="482"/>
      <c r="U459" s="482" t="n">
        <f aca="false">Q459*S459</f>
        <v>0</v>
      </c>
      <c r="V459" s="482"/>
      <c r="W459" s="483" t="s">
        <v>1670</v>
      </c>
      <c r="X459" s="483"/>
      <c r="Y459" s="484" t="s">
        <v>1671</v>
      </c>
      <c r="Z459" s="484"/>
      <c r="AA459" s="484"/>
      <c r="AB459" s="484"/>
      <c r="AC459" s="484"/>
      <c r="AD459" s="484"/>
      <c r="AE459" s="484"/>
      <c r="AF459" s="468"/>
    </row>
    <row r="460" customFormat="false" ht="30" hidden="false" customHeight="true" outlineLevel="0" collapsed="false">
      <c r="A460" s="477" t="s">
        <v>1726</v>
      </c>
      <c r="B460" s="477"/>
      <c r="C460" s="477"/>
      <c r="D460" s="478" t="s">
        <v>1727</v>
      </c>
      <c r="E460" s="478"/>
      <c r="F460" s="478"/>
      <c r="G460" s="478"/>
      <c r="H460" s="478"/>
      <c r="I460" s="478"/>
      <c r="J460" s="478"/>
      <c r="K460" s="478"/>
      <c r="L460" s="478"/>
      <c r="M460" s="479" t="n">
        <f aca="false">SUMIFS(TE!P:P,TE!G:G,$A$426,TE!H:H,A460)</f>
        <v>0</v>
      </c>
      <c r="N460" s="479"/>
      <c r="O460" s="485" t="s">
        <v>1678</v>
      </c>
      <c r="P460" s="485"/>
      <c r="Q460" s="485" t="s">
        <v>1678</v>
      </c>
      <c r="R460" s="485"/>
      <c r="S460" s="485" t="s">
        <v>1678</v>
      </c>
      <c r="T460" s="485"/>
      <c r="U460" s="485" t="s">
        <v>1678</v>
      </c>
      <c r="V460" s="485"/>
      <c r="W460" s="483" t="s">
        <v>1679</v>
      </c>
      <c r="X460" s="483"/>
      <c r="Y460" s="484" t="s">
        <v>1728</v>
      </c>
      <c r="Z460" s="484"/>
      <c r="AA460" s="484"/>
      <c r="AB460" s="484"/>
      <c r="AC460" s="484"/>
      <c r="AD460" s="484"/>
      <c r="AE460" s="484"/>
      <c r="AF460" s="468"/>
    </row>
    <row r="461" customFormat="false" ht="30" hidden="false" customHeight="true" outlineLevel="0" collapsed="false">
      <c r="A461" s="477" t="s">
        <v>1729</v>
      </c>
      <c r="B461" s="477"/>
      <c r="C461" s="477"/>
      <c r="D461" s="478" t="s">
        <v>1730</v>
      </c>
      <c r="E461" s="478"/>
      <c r="F461" s="478"/>
      <c r="G461" s="478"/>
      <c r="H461" s="478"/>
      <c r="I461" s="478"/>
      <c r="J461" s="478"/>
      <c r="K461" s="478"/>
      <c r="L461" s="478"/>
      <c r="M461" s="479" t="n">
        <f aca="false">SUMIFS(TE!P:P,TE!G:G,$A$426,TE!H:H,A461)</f>
        <v>0</v>
      </c>
      <c r="N461" s="479"/>
      <c r="O461" s="485" t="s">
        <v>1678</v>
      </c>
      <c r="P461" s="485"/>
      <c r="Q461" s="485" t="s">
        <v>1678</v>
      </c>
      <c r="R461" s="485"/>
      <c r="S461" s="485" t="s">
        <v>1678</v>
      </c>
      <c r="T461" s="485"/>
      <c r="U461" s="485" t="s">
        <v>1678</v>
      </c>
      <c r="V461" s="485"/>
      <c r="W461" s="483" t="s">
        <v>1679</v>
      </c>
      <c r="X461" s="483"/>
      <c r="Y461" s="484" t="s">
        <v>1728</v>
      </c>
      <c r="Z461" s="484"/>
      <c r="AA461" s="484"/>
      <c r="AB461" s="484"/>
      <c r="AC461" s="484"/>
      <c r="AD461" s="484"/>
      <c r="AE461" s="484"/>
      <c r="AF461" s="468"/>
    </row>
    <row r="462" customFormat="false" ht="30" hidden="false" customHeight="true" outlineLevel="0" collapsed="false">
      <c r="A462" s="477" t="s">
        <v>1729</v>
      </c>
      <c r="B462" s="477"/>
      <c r="C462" s="477"/>
      <c r="D462" s="478" t="s">
        <v>1731</v>
      </c>
      <c r="E462" s="478"/>
      <c r="F462" s="478"/>
      <c r="G462" s="478"/>
      <c r="H462" s="478"/>
      <c r="I462" s="478"/>
      <c r="J462" s="478"/>
      <c r="K462" s="478"/>
      <c r="L462" s="478"/>
      <c r="M462" s="479" t="n">
        <f aca="false">SUMIFS(TE!P:P,TE!G:G,$A$426,TE!H:H,A462)</f>
        <v>0</v>
      </c>
      <c r="N462" s="479"/>
      <c r="O462" s="480" t="n">
        <v>1</v>
      </c>
      <c r="P462" s="480"/>
      <c r="Q462" s="481" t="n">
        <f aca="false">ROUNDUP(M462/O462,0)</f>
        <v>0</v>
      </c>
      <c r="R462" s="481"/>
      <c r="S462" s="482" t="n">
        <v>12.5</v>
      </c>
      <c r="T462" s="482"/>
      <c r="U462" s="482" t="n">
        <f aca="false">Q462*S462</f>
        <v>0</v>
      </c>
      <c r="V462" s="482"/>
      <c r="W462" s="483" t="s">
        <v>1732</v>
      </c>
      <c r="X462" s="483"/>
      <c r="Y462" s="484" t="s">
        <v>1733</v>
      </c>
      <c r="Z462" s="484"/>
      <c r="AA462" s="484"/>
      <c r="AB462" s="484"/>
      <c r="AC462" s="484"/>
      <c r="AD462" s="484"/>
      <c r="AE462" s="484"/>
      <c r="AF462" s="468"/>
    </row>
    <row r="463" customFormat="false" ht="49.5" hidden="false" customHeight="true" outlineLevel="0" collapsed="false">
      <c r="A463" s="477" t="s">
        <v>1734</v>
      </c>
      <c r="B463" s="477"/>
      <c r="C463" s="477"/>
      <c r="D463" s="478" t="s">
        <v>1735</v>
      </c>
      <c r="E463" s="478"/>
      <c r="F463" s="478"/>
      <c r="G463" s="478"/>
      <c r="H463" s="478"/>
      <c r="I463" s="478"/>
      <c r="J463" s="478"/>
      <c r="K463" s="478"/>
      <c r="L463" s="478"/>
      <c r="M463" s="479" t="n">
        <f aca="false">SUMIFS(TE!P:P,TE!G:G,$A$426,TE!H:H,A463)</f>
        <v>114</v>
      </c>
      <c r="N463" s="479"/>
      <c r="O463" s="485" t="s">
        <v>1678</v>
      </c>
      <c r="P463" s="485"/>
      <c r="Q463" s="485" t="s">
        <v>1678</v>
      </c>
      <c r="R463" s="485"/>
      <c r="S463" s="485" t="s">
        <v>1678</v>
      </c>
      <c r="T463" s="485"/>
      <c r="U463" s="485" t="s">
        <v>1678</v>
      </c>
      <c r="V463" s="485"/>
      <c r="W463" s="483" t="s">
        <v>1679</v>
      </c>
      <c r="X463" s="483"/>
      <c r="Y463" s="484" t="s">
        <v>1680</v>
      </c>
      <c r="Z463" s="484"/>
      <c r="AA463" s="484"/>
      <c r="AB463" s="484"/>
      <c r="AC463" s="484"/>
      <c r="AD463" s="484"/>
      <c r="AE463" s="484"/>
      <c r="AF463" s="468"/>
    </row>
    <row r="464" customFormat="false" ht="30" hidden="false" customHeight="true" outlineLevel="0" collapsed="false">
      <c r="A464" s="477" t="s">
        <v>1736</v>
      </c>
      <c r="B464" s="477"/>
      <c r="C464" s="477"/>
      <c r="D464" s="478" t="s">
        <v>1737</v>
      </c>
      <c r="E464" s="478"/>
      <c r="F464" s="478"/>
      <c r="G464" s="478"/>
      <c r="H464" s="478"/>
      <c r="I464" s="478"/>
      <c r="J464" s="478"/>
      <c r="K464" s="478"/>
      <c r="L464" s="478"/>
      <c r="M464" s="479" t="n">
        <f aca="false">SUMIFS(TE!P:P,TE!G:G,$A$426,TE!H:H,A464)</f>
        <v>0</v>
      </c>
      <c r="N464" s="479"/>
      <c r="O464" s="480" t="n">
        <v>112</v>
      </c>
      <c r="P464" s="480"/>
      <c r="Q464" s="481" t="n">
        <f aca="false">M464/O464</f>
        <v>0</v>
      </c>
      <c r="R464" s="481"/>
      <c r="S464" s="482" t="n">
        <v>13.4</v>
      </c>
      <c r="T464" s="482"/>
      <c r="U464" s="482" t="n">
        <f aca="false">Q464*S464</f>
        <v>0</v>
      </c>
      <c r="V464" s="482"/>
      <c r="W464" s="483" t="s">
        <v>1670</v>
      </c>
      <c r="X464" s="483"/>
      <c r="Y464" s="484" t="s">
        <v>1671</v>
      </c>
      <c r="Z464" s="484"/>
      <c r="AA464" s="484"/>
      <c r="AB464" s="484"/>
      <c r="AC464" s="484"/>
      <c r="AD464" s="484"/>
      <c r="AE464" s="484"/>
      <c r="AF464" s="468"/>
    </row>
    <row r="465" customFormat="false" ht="30" hidden="false" customHeight="true" outlineLevel="0" collapsed="false">
      <c r="A465" s="477" t="s">
        <v>1738</v>
      </c>
      <c r="B465" s="477"/>
      <c r="C465" s="477"/>
      <c r="D465" s="478" t="s">
        <v>1739</v>
      </c>
      <c r="E465" s="478"/>
      <c r="F465" s="478"/>
      <c r="G465" s="478"/>
      <c r="H465" s="478"/>
      <c r="I465" s="478"/>
      <c r="J465" s="478"/>
      <c r="K465" s="478"/>
      <c r="L465" s="478"/>
      <c r="M465" s="479" t="n">
        <f aca="false">SUMIFS(TE!P:P,TE!G:G,$A$426,TE!H:H,A465)</f>
        <v>0</v>
      </c>
      <c r="N465" s="479"/>
      <c r="O465" s="480" t="n">
        <v>5</v>
      </c>
      <c r="P465" s="480"/>
      <c r="Q465" s="481" t="n">
        <f aca="false">M465/O465</f>
        <v>0</v>
      </c>
      <c r="R465" s="481"/>
      <c r="S465" s="482" t="n">
        <v>13.4</v>
      </c>
      <c r="T465" s="482"/>
      <c r="U465" s="482" t="n">
        <f aca="false">Q465*S465</f>
        <v>0</v>
      </c>
      <c r="V465" s="482"/>
      <c r="W465" s="483" t="s">
        <v>1670</v>
      </c>
      <c r="X465" s="483"/>
      <c r="Y465" s="484" t="s">
        <v>1671</v>
      </c>
      <c r="Z465" s="484"/>
      <c r="AA465" s="484"/>
      <c r="AB465" s="484"/>
      <c r="AC465" s="484"/>
      <c r="AD465" s="484"/>
      <c r="AE465" s="484"/>
      <c r="AF465" s="468"/>
    </row>
    <row r="466" customFormat="false" ht="30" hidden="false" customHeight="true" outlineLevel="0" collapsed="false">
      <c r="A466" s="477" t="s">
        <v>1740</v>
      </c>
      <c r="B466" s="477"/>
      <c r="C466" s="477"/>
      <c r="D466" s="478" t="s">
        <v>1741</v>
      </c>
      <c r="E466" s="478"/>
      <c r="F466" s="478"/>
      <c r="G466" s="478"/>
      <c r="H466" s="478"/>
      <c r="I466" s="478"/>
      <c r="J466" s="478"/>
      <c r="K466" s="478"/>
      <c r="L466" s="478"/>
      <c r="M466" s="479" t="n">
        <f aca="false">SUMIFS(TE!P:P,TE!G:G,$A$426,TE!H:H,A466)</f>
        <v>0</v>
      </c>
      <c r="N466" s="479"/>
      <c r="O466" s="480" t="n">
        <v>1</v>
      </c>
      <c r="P466" s="480"/>
      <c r="Q466" s="481" t="n">
        <f aca="false">ROUNDUP(M466/O466,0)</f>
        <v>0</v>
      </c>
      <c r="R466" s="481"/>
      <c r="S466" s="482" t="n">
        <v>20.1</v>
      </c>
      <c r="T466" s="482"/>
      <c r="U466" s="482" t="n">
        <f aca="false">Q466*S466</f>
        <v>0</v>
      </c>
      <c r="V466" s="482"/>
      <c r="W466" s="483" t="s">
        <v>1742</v>
      </c>
      <c r="X466" s="483"/>
      <c r="Y466" s="484" t="s">
        <v>1743</v>
      </c>
      <c r="Z466" s="484"/>
      <c r="AA466" s="484"/>
      <c r="AB466" s="484"/>
      <c r="AC466" s="484"/>
      <c r="AD466" s="484"/>
      <c r="AE466" s="484"/>
      <c r="AF466" s="468"/>
    </row>
    <row r="467" customFormat="false" ht="30" hidden="false" customHeight="true" outlineLevel="0" collapsed="false">
      <c r="A467" s="477" t="s">
        <v>1744</v>
      </c>
      <c r="B467" s="477"/>
      <c r="C467" s="477"/>
      <c r="D467" s="478" t="s">
        <v>1745</v>
      </c>
      <c r="E467" s="478"/>
      <c r="F467" s="478"/>
      <c r="G467" s="478"/>
      <c r="H467" s="478"/>
      <c r="I467" s="478"/>
      <c r="J467" s="478"/>
      <c r="K467" s="478"/>
      <c r="L467" s="478"/>
      <c r="M467" s="479" t="n">
        <f aca="false">SUMIFS(TE!P:P,TE!G:G,$A$426,TE!H:H,A467)</f>
        <v>0</v>
      </c>
      <c r="N467" s="479"/>
      <c r="O467" s="480" t="n">
        <v>49</v>
      </c>
      <c r="P467" s="480"/>
      <c r="Q467" s="481" t="n">
        <f aca="false">M467/O467</f>
        <v>0</v>
      </c>
      <c r="R467" s="481"/>
      <c r="S467" s="482" t="n">
        <v>13.4</v>
      </c>
      <c r="T467" s="482"/>
      <c r="U467" s="482" t="n">
        <f aca="false">Q467*S467</f>
        <v>0</v>
      </c>
      <c r="V467" s="482"/>
      <c r="W467" s="483" t="s">
        <v>1670</v>
      </c>
      <c r="X467" s="483"/>
      <c r="Y467" s="484" t="s">
        <v>1671</v>
      </c>
      <c r="Z467" s="484"/>
      <c r="AA467" s="484"/>
      <c r="AB467" s="484"/>
      <c r="AC467" s="484"/>
      <c r="AD467" s="484"/>
      <c r="AE467" s="484"/>
      <c r="AF467" s="468"/>
    </row>
    <row r="468" customFormat="false" ht="30" hidden="false" customHeight="true" outlineLevel="0" collapsed="false">
      <c r="A468" s="477" t="s">
        <v>1746</v>
      </c>
      <c r="B468" s="477"/>
      <c r="C468" s="477"/>
      <c r="D468" s="478" t="s">
        <v>1747</v>
      </c>
      <c r="E468" s="478"/>
      <c r="F468" s="478"/>
      <c r="G468" s="478"/>
      <c r="H468" s="478"/>
      <c r="I468" s="478"/>
      <c r="J468" s="478"/>
      <c r="K468" s="478"/>
      <c r="L468" s="478"/>
      <c r="M468" s="479" t="n">
        <f aca="false">SUMIFS(TE!P:P,TE!G:G,$A$426,TE!H:H,A468)</f>
        <v>0</v>
      </c>
      <c r="N468" s="479"/>
      <c r="O468" s="480" t="n">
        <v>3</v>
      </c>
      <c r="P468" s="480"/>
      <c r="Q468" s="481" t="n">
        <f aca="false">ROUNDUP(M468/O468,0)</f>
        <v>0</v>
      </c>
      <c r="R468" s="481"/>
      <c r="S468" s="482" t="n">
        <v>10.3333333333333</v>
      </c>
      <c r="T468" s="482"/>
      <c r="U468" s="482" t="n">
        <f aca="false">Q468*S468</f>
        <v>0</v>
      </c>
      <c r="V468" s="482"/>
      <c r="W468" s="483" t="s">
        <v>1742</v>
      </c>
      <c r="X468" s="483"/>
      <c r="Y468" s="484" t="s">
        <v>1748</v>
      </c>
      <c r="Z468" s="484"/>
      <c r="AA468" s="484"/>
      <c r="AB468" s="484"/>
      <c r="AC468" s="484"/>
      <c r="AD468" s="484"/>
      <c r="AE468" s="484"/>
      <c r="AF468" s="468"/>
    </row>
    <row r="469" customFormat="false" ht="30" hidden="false" customHeight="true" outlineLevel="0" collapsed="false">
      <c r="A469" s="477" t="s">
        <v>1749</v>
      </c>
      <c r="B469" s="477"/>
      <c r="C469" s="477"/>
      <c r="D469" s="478" t="s">
        <v>1750</v>
      </c>
      <c r="E469" s="478"/>
      <c r="F469" s="478"/>
      <c r="G469" s="478"/>
      <c r="H469" s="478"/>
      <c r="I469" s="478"/>
      <c r="J469" s="478"/>
      <c r="K469" s="478"/>
      <c r="L469" s="478"/>
      <c r="M469" s="479" t="n">
        <f aca="false">SUMIFS(TE!P:P,TE!G:G,$A$426,TE!H:H,A469)</f>
        <v>2</v>
      </c>
      <c r="N469" s="479"/>
      <c r="O469" s="480" t="n">
        <v>4</v>
      </c>
      <c r="P469" s="480"/>
      <c r="Q469" s="481" t="n">
        <f aca="false">ROUNDUP(M469/O469,0)</f>
        <v>1</v>
      </c>
      <c r="R469" s="481"/>
      <c r="S469" s="482" t="n">
        <v>33</v>
      </c>
      <c r="T469" s="482"/>
      <c r="U469" s="482" t="n">
        <f aca="false">Q469*S469</f>
        <v>33</v>
      </c>
      <c r="V469" s="482"/>
      <c r="W469" s="483" t="s">
        <v>1751</v>
      </c>
      <c r="X469" s="483"/>
      <c r="Y469" s="484" t="s">
        <v>1752</v>
      </c>
      <c r="Z469" s="484"/>
      <c r="AA469" s="484"/>
      <c r="AB469" s="484"/>
      <c r="AC469" s="484"/>
      <c r="AD469" s="484"/>
      <c r="AE469" s="484"/>
      <c r="AF469" s="468"/>
    </row>
    <row r="470" customFormat="false" ht="30" hidden="false" customHeight="true" outlineLevel="0" collapsed="false">
      <c r="A470" s="477" t="s">
        <v>1753</v>
      </c>
      <c r="B470" s="477"/>
      <c r="C470" s="477"/>
      <c r="D470" s="478" t="s">
        <v>1754</v>
      </c>
      <c r="E470" s="478"/>
      <c r="F470" s="478"/>
      <c r="G470" s="478"/>
      <c r="H470" s="478"/>
      <c r="I470" s="478"/>
      <c r="J470" s="478"/>
      <c r="K470" s="478"/>
      <c r="L470" s="478"/>
      <c r="M470" s="479" t="n">
        <f aca="false">SUMIFS(TE!P:P,TE!G:G,$A$426,TE!H:H,A470)</f>
        <v>0</v>
      </c>
      <c r="N470" s="479"/>
      <c r="O470" s="480" t="n">
        <v>80</v>
      </c>
      <c r="P470" s="480"/>
      <c r="Q470" s="481" t="n">
        <f aca="false">M470/O470</f>
        <v>0</v>
      </c>
      <c r="R470" s="481"/>
      <c r="S470" s="482" t="n">
        <v>13.4</v>
      </c>
      <c r="T470" s="482"/>
      <c r="U470" s="482" t="n">
        <f aca="false">Q470*S470</f>
        <v>0</v>
      </c>
      <c r="V470" s="482"/>
      <c r="W470" s="483" t="s">
        <v>1670</v>
      </c>
      <c r="X470" s="483"/>
      <c r="Y470" s="484" t="s">
        <v>1671</v>
      </c>
      <c r="Z470" s="484"/>
      <c r="AA470" s="484"/>
      <c r="AB470" s="484"/>
      <c r="AC470" s="484"/>
      <c r="AD470" s="484"/>
      <c r="AE470" s="484"/>
      <c r="AF470" s="468"/>
    </row>
    <row r="471" customFormat="false" ht="30" hidden="false" customHeight="true" outlineLevel="0" collapsed="false">
      <c r="A471" s="477" t="s">
        <v>1755</v>
      </c>
      <c r="B471" s="477"/>
      <c r="C471" s="477"/>
      <c r="D471" s="478" t="s">
        <v>1756</v>
      </c>
      <c r="E471" s="478"/>
      <c r="F471" s="478"/>
      <c r="G471" s="478"/>
      <c r="H471" s="478"/>
      <c r="I471" s="478"/>
      <c r="J471" s="478"/>
      <c r="K471" s="478"/>
      <c r="L471" s="478"/>
      <c r="M471" s="479" t="n">
        <f aca="false">SUMIFS(TE!P:P,TE!G:G,$A$426,TE!H:H,A471)</f>
        <v>2</v>
      </c>
      <c r="N471" s="479"/>
      <c r="O471" s="480" t="n">
        <v>60</v>
      </c>
      <c r="P471" s="480"/>
      <c r="Q471" s="481" t="n">
        <f aca="false">M471/O471</f>
        <v>0.0333333333333333</v>
      </c>
      <c r="R471" s="481"/>
      <c r="S471" s="482" t="n">
        <v>13.4</v>
      </c>
      <c r="T471" s="482"/>
      <c r="U471" s="482" t="n">
        <f aca="false">Q471*S471</f>
        <v>0.446666666666667</v>
      </c>
      <c r="V471" s="482"/>
      <c r="W471" s="483" t="s">
        <v>1670</v>
      </c>
      <c r="X471" s="483"/>
      <c r="Y471" s="484" t="s">
        <v>1671</v>
      </c>
      <c r="Z471" s="484"/>
      <c r="AA471" s="484"/>
      <c r="AB471" s="484"/>
      <c r="AC471" s="484"/>
      <c r="AD471" s="484"/>
      <c r="AE471" s="484"/>
      <c r="AF471" s="468"/>
    </row>
    <row r="472" customFormat="false" ht="30" hidden="false" customHeight="true" outlineLevel="0" collapsed="false">
      <c r="A472" s="477" t="s">
        <v>1757</v>
      </c>
      <c r="B472" s="477"/>
      <c r="C472" s="477"/>
      <c r="D472" s="478" t="s">
        <v>1758</v>
      </c>
      <c r="E472" s="478"/>
      <c r="F472" s="478"/>
      <c r="G472" s="478"/>
      <c r="H472" s="478"/>
      <c r="I472" s="478"/>
      <c r="J472" s="478"/>
      <c r="K472" s="478"/>
      <c r="L472" s="478"/>
      <c r="M472" s="479" t="n">
        <f aca="false">SUMIFS(TE!P:P,TE!G:G,$A$426,TE!H:H,A472)</f>
        <v>0</v>
      </c>
      <c r="N472" s="479"/>
      <c r="O472" s="480"/>
      <c r="P472" s="480"/>
      <c r="Q472" s="480"/>
      <c r="R472" s="480"/>
      <c r="S472" s="482" t="n">
        <v>13.4</v>
      </c>
      <c r="T472" s="482"/>
      <c r="U472" s="482" t="n">
        <f aca="false">Q472*S472</f>
        <v>0</v>
      </c>
      <c r="V472" s="482"/>
      <c r="W472" s="483" t="s">
        <v>1670</v>
      </c>
      <c r="X472" s="483"/>
      <c r="Y472" s="484" t="s">
        <v>1671</v>
      </c>
      <c r="Z472" s="484"/>
      <c r="AA472" s="484"/>
      <c r="AB472" s="484"/>
      <c r="AC472" s="484"/>
      <c r="AD472" s="484"/>
      <c r="AE472" s="484"/>
      <c r="AF472" s="468"/>
    </row>
    <row r="473" customFormat="false" ht="30" hidden="false" customHeight="true" outlineLevel="0" collapsed="false">
      <c r="A473" s="477" t="s">
        <v>1759</v>
      </c>
      <c r="B473" s="477"/>
      <c r="C473" s="477"/>
      <c r="D473" s="478" t="s">
        <v>1760</v>
      </c>
      <c r="E473" s="478"/>
      <c r="F473" s="478"/>
      <c r="G473" s="478"/>
      <c r="H473" s="478"/>
      <c r="I473" s="478"/>
      <c r="J473" s="478"/>
      <c r="K473" s="478"/>
      <c r="L473" s="478"/>
      <c r="M473" s="479" t="n">
        <f aca="false">SUMIFS(TE!P:P,TE!G:G,$A$426,TE!H:H,A473)</f>
        <v>0</v>
      </c>
      <c r="N473" s="479"/>
      <c r="O473" s="480" t="n">
        <v>3</v>
      </c>
      <c r="P473" s="480"/>
      <c r="Q473" s="481" t="n">
        <f aca="false">M473/O473</f>
        <v>0</v>
      </c>
      <c r="R473" s="481"/>
      <c r="S473" s="482" t="n">
        <v>13.4</v>
      </c>
      <c r="T473" s="482"/>
      <c r="U473" s="482" t="n">
        <f aca="false">Q473*S473</f>
        <v>0</v>
      </c>
      <c r="V473" s="482"/>
      <c r="W473" s="483" t="s">
        <v>1670</v>
      </c>
      <c r="X473" s="483"/>
      <c r="Y473" s="484" t="s">
        <v>1671</v>
      </c>
      <c r="Z473" s="484"/>
      <c r="AA473" s="484"/>
      <c r="AB473" s="484"/>
      <c r="AC473" s="484"/>
      <c r="AD473" s="484"/>
      <c r="AE473" s="484"/>
      <c r="AF473" s="468"/>
    </row>
    <row r="474" customFormat="false" ht="30" hidden="false" customHeight="true" outlineLevel="0" collapsed="false">
      <c r="A474" s="477" t="s">
        <v>1761</v>
      </c>
      <c r="B474" s="477"/>
      <c r="C474" s="477"/>
      <c r="D474" s="478" t="s">
        <v>1762</v>
      </c>
      <c r="E474" s="478"/>
      <c r="F474" s="478"/>
      <c r="G474" s="478"/>
      <c r="H474" s="478"/>
      <c r="I474" s="478"/>
      <c r="J474" s="478"/>
      <c r="K474" s="478"/>
      <c r="L474" s="478"/>
      <c r="M474" s="479" t="n">
        <f aca="false">SUMIFS(TE!P:P,TE!G:G,$A$426,TE!H:H,A474)</f>
        <v>0</v>
      </c>
      <c r="N474" s="479"/>
      <c r="O474" s="480" t="n">
        <v>5</v>
      </c>
      <c r="P474" s="480"/>
      <c r="Q474" s="481" t="n">
        <f aca="false">M474/O474</f>
        <v>0</v>
      </c>
      <c r="R474" s="481"/>
      <c r="S474" s="482" t="n">
        <v>13.4</v>
      </c>
      <c r="T474" s="482"/>
      <c r="U474" s="482" t="n">
        <f aca="false">Q474*S474</f>
        <v>0</v>
      </c>
      <c r="V474" s="482"/>
      <c r="W474" s="483" t="s">
        <v>1670</v>
      </c>
      <c r="X474" s="483"/>
      <c r="Y474" s="484" t="s">
        <v>1671</v>
      </c>
      <c r="Z474" s="484"/>
      <c r="AA474" s="484"/>
      <c r="AB474" s="484"/>
      <c r="AC474" s="484"/>
      <c r="AD474" s="484"/>
      <c r="AE474" s="484"/>
      <c r="AF474" s="468"/>
    </row>
    <row r="475" customFormat="false" ht="30" hidden="false" customHeight="true" outlineLevel="0" collapsed="false">
      <c r="A475" s="486" t="s">
        <v>1763</v>
      </c>
      <c r="B475" s="486"/>
      <c r="C475" s="486"/>
      <c r="D475" s="487" t="s">
        <v>1764</v>
      </c>
      <c r="E475" s="487"/>
      <c r="F475" s="487"/>
      <c r="G475" s="487"/>
      <c r="H475" s="487"/>
      <c r="I475" s="487"/>
      <c r="J475" s="487"/>
      <c r="K475" s="487"/>
      <c r="L475" s="487"/>
      <c r="M475" s="488" t="n">
        <f aca="false">SUMIFS(TE!P:P,TE!G:G,$A$426,TE!H:H,A475)</f>
        <v>0</v>
      </c>
      <c r="N475" s="488"/>
      <c r="O475" s="496" t="s">
        <v>1678</v>
      </c>
      <c r="P475" s="496"/>
      <c r="Q475" s="496" t="s">
        <v>1678</v>
      </c>
      <c r="R475" s="496"/>
      <c r="S475" s="496" t="s">
        <v>1678</v>
      </c>
      <c r="T475" s="496"/>
      <c r="U475" s="496" t="s">
        <v>1678</v>
      </c>
      <c r="V475" s="496"/>
      <c r="W475" s="492" t="s">
        <v>1679</v>
      </c>
      <c r="X475" s="492"/>
      <c r="Y475" s="493" t="s">
        <v>1728</v>
      </c>
      <c r="Z475" s="493"/>
      <c r="AA475" s="493"/>
      <c r="AB475" s="493"/>
      <c r="AC475" s="493"/>
      <c r="AD475" s="493"/>
      <c r="AE475" s="493"/>
      <c r="AF475" s="468"/>
    </row>
    <row r="476" customFormat="false" ht="12.75" hidden="false" customHeight="true" outlineLevel="0" collapsed="false">
      <c r="A476" s="494"/>
      <c r="B476" s="494"/>
      <c r="C476" s="494"/>
      <c r="D476" s="494"/>
      <c r="E476" s="494"/>
      <c r="F476" s="494"/>
      <c r="G476" s="494"/>
      <c r="H476" s="494"/>
      <c r="I476" s="494"/>
      <c r="J476" s="494"/>
      <c r="K476" s="494"/>
      <c r="L476" s="494"/>
      <c r="M476" s="494"/>
      <c r="N476" s="494"/>
      <c r="O476" s="494"/>
      <c r="P476" s="494"/>
      <c r="Q476" s="494"/>
      <c r="R476" s="494"/>
      <c r="S476" s="494"/>
      <c r="T476" s="494"/>
      <c r="U476" s="494"/>
      <c r="V476" s="494"/>
      <c r="W476" s="494"/>
      <c r="X476" s="494"/>
      <c r="Y476" s="494"/>
      <c r="Z476" s="494"/>
      <c r="AA476" s="494"/>
      <c r="AB476" s="494"/>
      <c r="AC476" s="494"/>
      <c r="AD476" s="494"/>
      <c r="AE476" s="494"/>
      <c r="AF476" s="468"/>
    </row>
    <row r="477" customFormat="false" ht="12.75" hidden="false" customHeight="true" outlineLevel="0" collapsed="false">
      <c r="A477" s="495"/>
      <c r="B477" s="495"/>
      <c r="C477" s="495"/>
      <c r="D477" s="495"/>
      <c r="E477" s="495"/>
      <c r="F477" s="495"/>
      <c r="G477" s="495"/>
      <c r="H477" s="495"/>
      <c r="I477" s="495"/>
      <c r="J477" s="495"/>
      <c r="K477" s="495"/>
      <c r="L477" s="495"/>
      <c r="M477" s="495"/>
      <c r="N477" s="495"/>
      <c r="O477" s="495"/>
      <c r="P477" s="495"/>
      <c r="Q477" s="495"/>
      <c r="R477" s="495"/>
      <c r="S477" s="495"/>
      <c r="T477" s="495"/>
      <c r="U477" s="495"/>
      <c r="V477" s="495"/>
      <c r="W477" s="495"/>
      <c r="X477" s="495"/>
      <c r="Y477" s="495"/>
      <c r="Z477" s="495"/>
      <c r="AA477" s="495"/>
      <c r="AB477" s="453"/>
      <c r="AC477" s="454" t="s">
        <v>1657</v>
      </c>
      <c r="AD477" s="455" t="n">
        <v>16</v>
      </c>
      <c r="AE477" s="455" t="s">
        <v>29</v>
      </c>
      <c r="AF477" s="455" t="n">
        <v>27</v>
      </c>
    </row>
    <row r="478" customFormat="false" ht="12.75" hidden="false" customHeight="true" outlineLevel="0" collapsed="false">
      <c r="A478" s="398" t="s">
        <v>1522</v>
      </c>
      <c r="B478" s="398"/>
      <c r="C478" s="456" t="n">
        <v>14345</v>
      </c>
      <c r="D478" s="456"/>
      <c r="E478" s="456"/>
      <c r="F478" s="456"/>
      <c r="G478" s="456"/>
      <c r="H478" s="456"/>
      <c r="I478" s="456"/>
      <c r="J478" s="456"/>
      <c r="K478" s="456"/>
      <c r="L478" s="456"/>
      <c r="M478" s="398" t="s">
        <v>1523</v>
      </c>
      <c r="N478" s="398"/>
      <c r="O478" s="398"/>
      <c r="P478" s="398"/>
      <c r="Q478" s="398"/>
      <c r="R478" s="456" t="s">
        <v>15</v>
      </c>
      <c r="S478" s="456"/>
      <c r="T478" s="456"/>
      <c r="U478" s="456"/>
      <c r="V478" s="456"/>
      <c r="W478" s="456"/>
      <c r="X478" s="456"/>
      <c r="Y478" s="456"/>
      <c r="Z478" s="456"/>
      <c r="AA478" s="456"/>
      <c r="AB478" s="456"/>
      <c r="AC478" s="456"/>
      <c r="AD478" s="456"/>
      <c r="AE478" s="456"/>
      <c r="AF478" s="456"/>
    </row>
    <row r="479" customFormat="false" ht="12.75" hidden="false" customHeight="true" outlineLevel="0" collapsed="false">
      <c r="A479" s="458"/>
      <c r="B479" s="458"/>
      <c r="C479" s="459"/>
      <c r="D479" s="459"/>
      <c r="E479" s="459"/>
      <c r="F479" s="459"/>
      <c r="G479" s="459"/>
      <c r="H479" s="459"/>
      <c r="I479" s="459"/>
      <c r="J479" s="459"/>
      <c r="K479" s="459"/>
      <c r="L479" s="459"/>
      <c r="M479" s="458"/>
      <c r="N479" s="458"/>
      <c r="O479" s="458"/>
      <c r="P479" s="458"/>
      <c r="Q479" s="458"/>
      <c r="R479" s="459"/>
      <c r="S479" s="459"/>
      <c r="T479" s="459"/>
      <c r="U479" s="459"/>
      <c r="V479" s="459"/>
      <c r="W479" s="459"/>
      <c r="X479" s="459"/>
      <c r="Y479" s="459"/>
      <c r="Z479" s="459"/>
      <c r="AA479" s="459"/>
      <c r="AB479" s="459"/>
      <c r="AC479" s="459"/>
      <c r="AD479" s="459"/>
      <c r="AE479" s="459"/>
      <c r="AF479" s="459"/>
    </row>
    <row r="480" customFormat="false" ht="15.75" hidden="false" customHeight="true" outlineLevel="0" collapsed="false">
      <c r="A480" s="460" t="str">
        <f aca="false">A453</f>
        <v>M28263</v>
      </c>
      <c r="B480" s="460"/>
      <c r="C480" s="460"/>
      <c r="D480" s="461" t="str">
        <f aca="false">D453</f>
        <v>SURGICAL CO A</v>
      </c>
      <c r="E480" s="461"/>
      <c r="F480" s="461"/>
      <c r="G480" s="461"/>
      <c r="H480" s="461"/>
      <c r="I480" s="461"/>
      <c r="J480" s="461"/>
      <c r="K480" s="461"/>
      <c r="L480" s="461"/>
      <c r="M480" s="458"/>
      <c r="N480" s="458"/>
      <c r="O480" s="458"/>
      <c r="P480" s="459"/>
      <c r="Q480" s="458"/>
      <c r="R480" s="459"/>
      <c r="S480" s="459"/>
      <c r="T480" s="459"/>
      <c r="U480" s="459"/>
      <c r="V480" s="459"/>
      <c r="W480" s="459"/>
      <c r="X480" s="459"/>
      <c r="Y480" s="459"/>
      <c r="Z480" s="459"/>
      <c r="AA480" s="459"/>
      <c r="AB480" s="459"/>
      <c r="AC480" s="459"/>
      <c r="AD480" s="459"/>
      <c r="AE480" s="459"/>
      <c r="AF480" s="459"/>
    </row>
    <row r="481" customFormat="false" ht="15.75" hidden="false" customHeight="true" outlineLevel="0" collapsed="false">
      <c r="A481" s="462" t="s">
        <v>1659</v>
      </c>
      <c r="B481" s="462"/>
      <c r="C481" s="462"/>
      <c r="D481" s="463" t="s">
        <v>1660</v>
      </c>
      <c r="E481" s="463"/>
      <c r="F481" s="463"/>
      <c r="G481" s="463"/>
      <c r="H481" s="463"/>
      <c r="I481" s="463"/>
      <c r="J481" s="463"/>
      <c r="K481" s="463"/>
      <c r="L481" s="463"/>
      <c r="M481" s="564" t="s">
        <v>1661</v>
      </c>
      <c r="N481" s="564"/>
      <c r="O481" s="465" t="s">
        <v>1662</v>
      </c>
      <c r="P481" s="465"/>
      <c r="Q481" s="465" t="s">
        <v>1663</v>
      </c>
      <c r="R481" s="465"/>
      <c r="S481" s="466" t="s">
        <v>1664</v>
      </c>
      <c r="T481" s="466"/>
      <c r="U481" s="466" t="s">
        <v>1665</v>
      </c>
      <c r="V481" s="466"/>
      <c r="W481" s="464" t="s">
        <v>1666</v>
      </c>
      <c r="X481" s="464"/>
      <c r="Y481" s="467" t="s">
        <v>1667</v>
      </c>
      <c r="Z481" s="467"/>
      <c r="AA481" s="467"/>
      <c r="AB481" s="467"/>
      <c r="AC481" s="467"/>
      <c r="AD481" s="467"/>
      <c r="AE481" s="467"/>
      <c r="AF481" s="459"/>
    </row>
    <row r="482" customFormat="false" ht="15.75" hidden="false" customHeight="true" outlineLevel="0" collapsed="false">
      <c r="A482" s="462"/>
      <c r="B482" s="462"/>
      <c r="C482" s="462"/>
      <c r="D482" s="463"/>
      <c r="E482" s="463"/>
      <c r="F482" s="463"/>
      <c r="G482" s="463"/>
      <c r="H482" s="463"/>
      <c r="I482" s="463"/>
      <c r="J482" s="463"/>
      <c r="K482" s="463"/>
      <c r="L482" s="463"/>
      <c r="M482" s="564"/>
      <c r="N482" s="564"/>
      <c r="O482" s="465"/>
      <c r="P482" s="465"/>
      <c r="Q482" s="465"/>
      <c r="R482" s="465"/>
      <c r="S482" s="466"/>
      <c r="T482" s="466"/>
      <c r="U482" s="466"/>
      <c r="V482" s="466"/>
      <c r="W482" s="464"/>
      <c r="X482" s="464"/>
      <c r="Y482" s="467"/>
      <c r="Z482" s="467"/>
      <c r="AA482" s="467"/>
      <c r="AB482" s="467"/>
      <c r="AC482" s="467"/>
      <c r="AD482" s="467"/>
      <c r="AE482" s="467"/>
      <c r="AF482" s="459"/>
    </row>
    <row r="483" customFormat="false" ht="30" hidden="false" customHeight="true" outlineLevel="0" collapsed="false">
      <c r="A483" s="462"/>
      <c r="B483" s="462"/>
      <c r="C483" s="462"/>
      <c r="D483" s="463"/>
      <c r="E483" s="463"/>
      <c r="F483" s="463"/>
      <c r="G483" s="463"/>
      <c r="H483" s="463"/>
      <c r="I483" s="463"/>
      <c r="J483" s="463"/>
      <c r="K483" s="463"/>
      <c r="L483" s="463"/>
      <c r="M483" s="564"/>
      <c r="N483" s="564"/>
      <c r="O483" s="465"/>
      <c r="P483" s="465"/>
      <c r="Q483" s="465"/>
      <c r="R483" s="465"/>
      <c r="S483" s="466"/>
      <c r="T483" s="466"/>
      <c r="U483" s="466"/>
      <c r="V483" s="466"/>
      <c r="W483" s="464"/>
      <c r="X483" s="464"/>
      <c r="Y483" s="467"/>
      <c r="Z483" s="467"/>
      <c r="AA483" s="467"/>
      <c r="AB483" s="467"/>
      <c r="AC483" s="467"/>
      <c r="AD483" s="467"/>
      <c r="AE483" s="467"/>
      <c r="AF483" s="468"/>
    </row>
    <row r="484" customFormat="false" ht="30" hidden="false" customHeight="true" outlineLevel="0" collapsed="false">
      <c r="A484" s="469" t="s">
        <v>1765</v>
      </c>
      <c r="B484" s="469"/>
      <c r="C484" s="469"/>
      <c r="D484" s="470" t="s">
        <v>1766</v>
      </c>
      <c r="E484" s="470"/>
      <c r="F484" s="470"/>
      <c r="G484" s="470"/>
      <c r="H484" s="470"/>
      <c r="I484" s="470"/>
      <c r="J484" s="470"/>
      <c r="K484" s="470"/>
      <c r="L484" s="470"/>
      <c r="M484" s="570" t="n">
        <f aca="false">SUMIFS(TE!P:P,TE!G:G,$A$426,TE!H:H,A484)</f>
        <v>0</v>
      </c>
      <c r="N484" s="570"/>
      <c r="O484" s="472" t="n">
        <v>21</v>
      </c>
      <c r="P484" s="472"/>
      <c r="Q484" s="473" t="n">
        <f aca="false">ROUNDUP(M484/O484,0)</f>
        <v>0</v>
      </c>
      <c r="R484" s="473"/>
      <c r="S484" s="474" t="n">
        <v>16.1666666666667</v>
      </c>
      <c r="T484" s="474"/>
      <c r="U484" s="474" t="n">
        <f aca="false">Q484*S484</f>
        <v>0</v>
      </c>
      <c r="V484" s="474"/>
      <c r="W484" s="475" t="s">
        <v>1767</v>
      </c>
      <c r="X484" s="475"/>
      <c r="Y484" s="476" t="s">
        <v>1768</v>
      </c>
      <c r="Z484" s="476"/>
      <c r="AA484" s="476"/>
      <c r="AB484" s="476"/>
      <c r="AC484" s="476"/>
      <c r="AD484" s="476"/>
      <c r="AE484" s="476"/>
      <c r="AF484" s="468"/>
    </row>
    <row r="485" customFormat="false" ht="30" hidden="false" customHeight="true" outlineLevel="0" collapsed="false">
      <c r="A485" s="477" t="s">
        <v>1769</v>
      </c>
      <c r="B485" s="477"/>
      <c r="C485" s="477"/>
      <c r="D485" s="478" t="s">
        <v>1770</v>
      </c>
      <c r="E485" s="478"/>
      <c r="F485" s="478"/>
      <c r="G485" s="478"/>
      <c r="H485" s="478"/>
      <c r="I485" s="478"/>
      <c r="J485" s="478"/>
      <c r="K485" s="478"/>
      <c r="L485" s="478"/>
      <c r="M485" s="479" t="n">
        <f aca="false">SUMIFS(TE!P:P,TE!G:G,$A$426,TE!H:H,A485)</f>
        <v>0</v>
      </c>
      <c r="N485" s="479"/>
      <c r="O485" s="480" t="n">
        <v>16</v>
      </c>
      <c r="P485" s="480"/>
      <c r="Q485" s="481" t="n">
        <f aca="false">ROUNDUP(M485/O485,0)</f>
        <v>0</v>
      </c>
      <c r="R485" s="481"/>
      <c r="S485" s="482" t="n">
        <v>21</v>
      </c>
      <c r="T485" s="482"/>
      <c r="U485" s="482" t="n">
        <f aca="false">Q485*S485</f>
        <v>0</v>
      </c>
      <c r="V485" s="482"/>
      <c r="W485" s="483" t="s">
        <v>1771</v>
      </c>
      <c r="X485" s="483"/>
      <c r="Y485" s="484" t="s">
        <v>1772</v>
      </c>
      <c r="Z485" s="484"/>
      <c r="AA485" s="484"/>
      <c r="AB485" s="484"/>
      <c r="AC485" s="484"/>
      <c r="AD485" s="484"/>
      <c r="AE485" s="484"/>
      <c r="AF485" s="468"/>
    </row>
    <row r="486" customFormat="false" ht="30" hidden="false" customHeight="true" outlineLevel="0" collapsed="false">
      <c r="A486" s="477" t="s">
        <v>1773</v>
      </c>
      <c r="B486" s="477"/>
      <c r="C486" s="477"/>
      <c r="D486" s="478" t="s">
        <v>1774</v>
      </c>
      <c r="E486" s="478"/>
      <c r="F486" s="478"/>
      <c r="G486" s="478"/>
      <c r="H486" s="478"/>
      <c r="I486" s="478"/>
      <c r="J486" s="478"/>
      <c r="K486" s="478"/>
      <c r="L486" s="478"/>
      <c r="M486" s="479" t="n">
        <f aca="false">SUMIFS(TE!P:P,TE!G:G,$A$426,TE!H:H,A486)</f>
        <v>0</v>
      </c>
      <c r="N486" s="479"/>
      <c r="O486" s="480" t="n">
        <v>12</v>
      </c>
      <c r="P486" s="480"/>
      <c r="Q486" s="481" t="n">
        <f aca="false">ROUNDUP(M486/O486,0)</f>
        <v>0</v>
      </c>
      <c r="R486" s="481"/>
      <c r="S486" s="482" t="n">
        <v>13.4</v>
      </c>
      <c r="T486" s="482"/>
      <c r="U486" s="482" t="n">
        <f aca="false">Q486*S486</f>
        <v>0</v>
      </c>
      <c r="V486" s="482"/>
      <c r="W486" s="483" t="s">
        <v>1742</v>
      </c>
      <c r="X486" s="483"/>
      <c r="Y486" s="484" t="s">
        <v>1748</v>
      </c>
      <c r="Z486" s="484"/>
      <c r="AA486" s="484"/>
      <c r="AB486" s="484"/>
      <c r="AC486" s="484"/>
      <c r="AD486" s="484"/>
      <c r="AE486" s="484"/>
      <c r="AF486" s="468"/>
    </row>
    <row r="487" customFormat="false" ht="30" hidden="false" customHeight="true" outlineLevel="0" collapsed="false">
      <c r="A487" s="477" t="s">
        <v>1775</v>
      </c>
      <c r="B487" s="477"/>
      <c r="C487" s="477"/>
      <c r="D487" s="478" t="s">
        <v>1776</v>
      </c>
      <c r="E487" s="478"/>
      <c r="F487" s="478"/>
      <c r="G487" s="478"/>
      <c r="H487" s="478"/>
      <c r="I487" s="478"/>
      <c r="J487" s="478"/>
      <c r="K487" s="478"/>
      <c r="L487" s="478"/>
      <c r="M487" s="479" t="n">
        <f aca="false">SUMIFS(TE!P:P,TE!G:G,$A$426,TE!H:H,A487)</f>
        <v>0</v>
      </c>
      <c r="N487" s="479"/>
      <c r="O487" s="480" t="n">
        <v>4</v>
      </c>
      <c r="P487" s="480"/>
      <c r="Q487" s="481" t="n">
        <f aca="false">ROUNDUP(M487/O487,0)</f>
        <v>0</v>
      </c>
      <c r="R487" s="481"/>
      <c r="S487" s="482" t="n">
        <v>8.6</v>
      </c>
      <c r="T487" s="482"/>
      <c r="U487" s="482" t="n">
        <f aca="false">Q487*S487</f>
        <v>0</v>
      </c>
      <c r="V487" s="482"/>
      <c r="W487" s="483" t="s">
        <v>1777</v>
      </c>
      <c r="X487" s="483"/>
      <c r="Y487" s="484" t="s">
        <v>1748</v>
      </c>
      <c r="Z487" s="484"/>
      <c r="AA487" s="484"/>
      <c r="AB487" s="484"/>
      <c r="AC487" s="484"/>
      <c r="AD487" s="484"/>
      <c r="AE487" s="484"/>
      <c r="AF487" s="468"/>
    </row>
    <row r="488" customFormat="false" ht="30" hidden="false" customHeight="true" outlineLevel="0" collapsed="false">
      <c r="A488" s="497" t="s">
        <v>1778</v>
      </c>
      <c r="B488" s="497"/>
      <c r="C488" s="497"/>
      <c r="D488" s="478" t="s">
        <v>1779</v>
      </c>
      <c r="E488" s="478"/>
      <c r="F488" s="478"/>
      <c r="G488" s="478"/>
      <c r="H488" s="478"/>
      <c r="I488" s="478"/>
      <c r="J488" s="478"/>
      <c r="K488" s="478"/>
      <c r="L488" s="478"/>
      <c r="M488" s="479" t="n">
        <f aca="false">SUMIFS(TE!P:P,TE!G:G,$A$426,TE!H:H,A488)</f>
        <v>0</v>
      </c>
      <c r="N488" s="479"/>
      <c r="O488" s="480" t="n">
        <v>0.5</v>
      </c>
      <c r="P488" s="480"/>
      <c r="Q488" s="481" t="n">
        <f aca="false">M488/O488</f>
        <v>0</v>
      </c>
      <c r="R488" s="481"/>
      <c r="S488" s="482" t="n">
        <v>13.4</v>
      </c>
      <c r="T488" s="482"/>
      <c r="U488" s="482" t="n">
        <f aca="false">Q488*S488</f>
        <v>0</v>
      </c>
      <c r="V488" s="482"/>
      <c r="W488" s="483" t="s">
        <v>1670</v>
      </c>
      <c r="X488" s="483"/>
      <c r="Y488" s="484" t="s">
        <v>1671</v>
      </c>
      <c r="Z488" s="484"/>
      <c r="AA488" s="484"/>
      <c r="AB488" s="484"/>
      <c r="AC488" s="484"/>
      <c r="AD488" s="484"/>
      <c r="AE488" s="484"/>
      <c r="AF488" s="468"/>
    </row>
    <row r="489" customFormat="false" ht="30" hidden="false" customHeight="true" outlineLevel="0" collapsed="false">
      <c r="A489" s="497" t="s">
        <v>1780</v>
      </c>
      <c r="B489" s="497"/>
      <c r="C489" s="497"/>
      <c r="D489" s="478" t="s">
        <v>1781</v>
      </c>
      <c r="E489" s="478"/>
      <c r="F489" s="478"/>
      <c r="G489" s="478"/>
      <c r="H489" s="478"/>
      <c r="I489" s="478"/>
      <c r="J489" s="478"/>
      <c r="K489" s="478"/>
      <c r="L489" s="478"/>
      <c r="M489" s="479" t="n">
        <f aca="false">SUMIFS(TE!P:P,TE!G:G,$A$426,TE!H:H,A489)</f>
        <v>0</v>
      </c>
      <c r="N489" s="479"/>
      <c r="O489" s="480" t="n">
        <v>0.5</v>
      </c>
      <c r="P489" s="480"/>
      <c r="Q489" s="481" t="n">
        <f aca="false">M489/O489</f>
        <v>0</v>
      </c>
      <c r="R489" s="481"/>
      <c r="S489" s="482" t="n">
        <v>13.4</v>
      </c>
      <c r="T489" s="482"/>
      <c r="U489" s="482" t="n">
        <f aca="false">Q489*S489</f>
        <v>0</v>
      </c>
      <c r="V489" s="482"/>
      <c r="W489" s="483" t="s">
        <v>1670</v>
      </c>
      <c r="X489" s="483"/>
      <c r="Y489" s="484" t="s">
        <v>1671</v>
      </c>
      <c r="Z489" s="484"/>
      <c r="AA489" s="484"/>
      <c r="AB489" s="484"/>
      <c r="AC489" s="484"/>
      <c r="AD489" s="484"/>
      <c r="AE489" s="484"/>
      <c r="AF489" s="468"/>
    </row>
    <row r="490" customFormat="false" ht="30" hidden="false" customHeight="true" outlineLevel="0" collapsed="false">
      <c r="A490" s="477" t="s">
        <v>1782</v>
      </c>
      <c r="B490" s="477"/>
      <c r="C490" s="477"/>
      <c r="D490" s="498" t="s">
        <v>1783</v>
      </c>
      <c r="E490" s="498"/>
      <c r="F490" s="498"/>
      <c r="G490" s="498"/>
      <c r="H490" s="498"/>
      <c r="I490" s="498"/>
      <c r="J490" s="498"/>
      <c r="K490" s="498"/>
      <c r="L490" s="498"/>
      <c r="M490" s="479" t="n">
        <f aca="false">SUMIFS(TE!P:P,TE!G:G,$A$426,TE!H:H,A490)</f>
        <v>0</v>
      </c>
      <c r="N490" s="479"/>
      <c r="O490" s="480" t="n">
        <v>12</v>
      </c>
      <c r="P490" s="480"/>
      <c r="Q490" s="481" t="n">
        <f aca="false">M490/O490</f>
        <v>0</v>
      </c>
      <c r="R490" s="481"/>
      <c r="S490" s="482" t="n">
        <v>13.4</v>
      </c>
      <c r="T490" s="482"/>
      <c r="U490" s="482" t="n">
        <f aca="false">Q490*S490</f>
        <v>0</v>
      </c>
      <c r="V490" s="482"/>
      <c r="W490" s="483" t="s">
        <v>1670</v>
      </c>
      <c r="X490" s="483"/>
      <c r="Y490" s="484" t="s">
        <v>1671</v>
      </c>
      <c r="Z490" s="484"/>
      <c r="AA490" s="484"/>
      <c r="AB490" s="484"/>
      <c r="AC490" s="484"/>
      <c r="AD490" s="484"/>
      <c r="AE490" s="484"/>
      <c r="AF490" s="468"/>
    </row>
    <row r="491" customFormat="false" ht="30" hidden="false" customHeight="true" outlineLevel="0" collapsed="false">
      <c r="A491" s="477" t="s">
        <v>1784</v>
      </c>
      <c r="B491" s="477"/>
      <c r="C491" s="477"/>
      <c r="D491" s="498" t="s">
        <v>1785</v>
      </c>
      <c r="E491" s="498"/>
      <c r="F491" s="498"/>
      <c r="G491" s="498"/>
      <c r="H491" s="498"/>
      <c r="I491" s="498"/>
      <c r="J491" s="498"/>
      <c r="K491" s="498"/>
      <c r="L491" s="498"/>
      <c r="M491" s="479" t="n">
        <f aca="false">SUMIFS(TE!P:P,TE!G:G,$A$426,TE!H:H,A491)</f>
        <v>0</v>
      </c>
      <c r="N491" s="479"/>
      <c r="O491" s="480" t="n">
        <v>12</v>
      </c>
      <c r="P491" s="480"/>
      <c r="Q491" s="481" t="n">
        <f aca="false">M491/O491</f>
        <v>0</v>
      </c>
      <c r="R491" s="481"/>
      <c r="S491" s="482" t="n">
        <v>13.4</v>
      </c>
      <c r="T491" s="482"/>
      <c r="U491" s="482" t="n">
        <f aca="false">Q491*S491</f>
        <v>0</v>
      </c>
      <c r="V491" s="482"/>
      <c r="W491" s="483" t="s">
        <v>1670</v>
      </c>
      <c r="X491" s="483"/>
      <c r="Y491" s="484" t="s">
        <v>1671</v>
      </c>
      <c r="Z491" s="484"/>
      <c r="AA491" s="484"/>
      <c r="AB491" s="484"/>
      <c r="AC491" s="484"/>
      <c r="AD491" s="484"/>
      <c r="AE491" s="484"/>
      <c r="AF491" s="468"/>
    </row>
    <row r="492" customFormat="false" ht="30" hidden="false" customHeight="true" outlineLevel="0" collapsed="false">
      <c r="A492" s="477" t="s">
        <v>1786</v>
      </c>
      <c r="B492" s="477"/>
      <c r="C492" s="477"/>
      <c r="D492" s="478" t="s">
        <v>1787</v>
      </c>
      <c r="E492" s="478"/>
      <c r="F492" s="478"/>
      <c r="G492" s="478"/>
      <c r="H492" s="478"/>
      <c r="I492" s="478"/>
      <c r="J492" s="478"/>
      <c r="K492" s="478"/>
      <c r="L492" s="478"/>
      <c r="M492" s="479" t="n">
        <f aca="false">SUMIFS(TE!P:P,TE!G:G,$A$426,TE!H:H,A492)</f>
        <v>0</v>
      </c>
      <c r="N492" s="479"/>
      <c r="O492" s="485" t="s">
        <v>1678</v>
      </c>
      <c r="P492" s="485"/>
      <c r="Q492" s="485" t="s">
        <v>1678</v>
      </c>
      <c r="R492" s="485"/>
      <c r="S492" s="485" t="s">
        <v>1678</v>
      </c>
      <c r="T492" s="485"/>
      <c r="U492" s="485" t="s">
        <v>1678</v>
      </c>
      <c r="V492" s="485"/>
      <c r="W492" s="483" t="s">
        <v>1679</v>
      </c>
      <c r="X492" s="483"/>
      <c r="Y492" s="484" t="s">
        <v>1788</v>
      </c>
      <c r="Z492" s="484"/>
      <c r="AA492" s="484"/>
      <c r="AB492" s="484"/>
      <c r="AC492" s="484"/>
      <c r="AD492" s="484"/>
      <c r="AE492" s="484"/>
      <c r="AF492" s="468"/>
    </row>
    <row r="493" customFormat="false" ht="30" hidden="false" customHeight="true" outlineLevel="0" collapsed="false">
      <c r="A493" s="477" t="s">
        <v>1789</v>
      </c>
      <c r="B493" s="477"/>
      <c r="C493" s="477"/>
      <c r="D493" s="478" t="s">
        <v>1790</v>
      </c>
      <c r="E493" s="478"/>
      <c r="F493" s="478"/>
      <c r="G493" s="478"/>
      <c r="H493" s="478"/>
      <c r="I493" s="478"/>
      <c r="J493" s="478"/>
      <c r="K493" s="478"/>
      <c r="L493" s="478"/>
      <c r="M493" s="479" t="n">
        <f aca="false">SUMIFS(TE!P:P,TE!G:G,$A$426,TE!H:H,A493)</f>
        <v>0</v>
      </c>
      <c r="N493" s="479"/>
      <c r="O493" s="485" t="s">
        <v>1678</v>
      </c>
      <c r="P493" s="485"/>
      <c r="Q493" s="485" t="s">
        <v>1678</v>
      </c>
      <c r="R493" s="485"/>
      <c r="S493" s="485" t="s">
        <v>1678</v>
      </c>
      <c r="T493" s="485"/>
      <c r="U493" s="485" t="s">
        <v>1678</v>
      </c>
      <c r="V493" s="485"/>
      <c r="W493" s="483" t="s">
        <v>1679</v>
      </c>
      <c r="X493" s="483"/>
      <c r="Y493" s="484" t="s">
        <v>1788</v>
      </c>
      <c r="Z493" s="484"/>
      <c r="AA493" s="484"/>
      <c r="AB493" s="484"/>
      <c r="AC493" s="484"/>
      <c r="AD493" s="484"/>
      <c r="AE493" s="484"/>
      <c r="AF493" s="468"/>
    </row>
    <row r="494" customFormat="false" ht="30" hidden="false" customHeight="true" outlineLevel="0" collapsed="false">
      <c r="A494" s="477" t="s">
        <v>1791</v>
      </c>
      <c r="B494" s="477"/>
      <c r="C494" s="477"/>
      <c r="D494" s="478" t="s">
        <v>1792</v>
      </c>
      <c r="E494" s="478"/>
      <c r="F494" s="478"/>
      <c r="G494" s="478"/>
      <c r="H494" s="478"/>
      <c r="I494" s="478"/>
      <c r="J494" s="478"/>
      <c r="K494" s="478"/>
      <c r="L494" s="478"/>
      <c r="M494" s="479" t="n">
        <f aca="false">SUMIFS(TE!P:P,TE!G:G,$A$426,TE!H:H,A494)</f>
        <v>0</v>
      </c>
      <c r="N494" s="479"/>
      <c r="O494" s="485" t="s">
        <v>1678</v>
      </c>
      <c r="P494" s="485"/>
      <c r="Q494" s="485" t="s">
        <v>1678</v>
      </c>
      <c r="R494" s="485"/>
      <c r="S494" s="485" t="s">
        <v>1678</v>
      </c>
      <c r="T494" s="485"/>
      <c r="U494" s="485" t="s">
        <v>1678</v>
      </c>
      <c r="V494" s="485"/>
      <c r="W494" s="483" t="s">
        <v>1679</v>
      </c>
      <c r="X494" s="483"/>
      <c r="Y494" s="484" t="s">
        <v>1788</v>
      </c>
      <c r="Z494" s="484"/>
      <c r="AA494" s="484"/>
      <c r="AB494" s="484"/>
      <c r="AC494" s="484"/>
      <c r="AD494" s="484"/>
      <c r="AE494" s="484"/>
      <c r="AF494" s="468"/>
    </row>
    <row r="495" customFormat="false" ht="30" hidden="false" customHeight="true" outlineLevel="0" collapsed="false">
      <c r="A495" s="477" t="s">
        <v>1793</v>
      </c>
      <c r="B495" s="477"/>
      <c r="C495" s="477"/>
      <c r="D495" s="478" t="s">
        <v>1794</v>
      </c>
      <c r="E495" s="478"/>
      <c r="F495" s="478"/>
      <c r="G495" s="478"/>
      <c r="H495" s="478"/>
      <c r="I495" s="478"/>
      <c r="J495" s="478"/>
      <c r="K495" s="478"/>
      <c r="L495" s="478"/>
      <c r="M495" s="479" t="n">
        <f aca="false">SUMIFS(TE!P:P,TE!G:G,$A$426,TE!H:H,A495)</f>
        <v>2</v>
      </c>
      <c r="N495" s="479"/>
      <c r="O495" s="480" t="n">
        <v>4</v>
      </c>
      <c r="P495" s="480"/>
      <c r="Q495" s="481" t="n">
        <f aca="false">ROUNDUP(M495/O495,0)</f>
        <v>1</v>
      </c>
      <c r="R495" s="481"/>
      <c r="S495" s="482" t="n">
        <v>13.4</v>
      </c>
      <c r="T495" s="482"/>
      <c r="U495" s="482" t="n">
        <f aca="false">Q495*S495</f>
        <v>13.4</v>
      </c>
      <c r="V495" s="482"/>
      <c r="W495" s="483" t="s">
        <v>1795</v>
      </c>
      <c r="X495" s="483"/>
      <c r="Y495" s="484" t="s">
        <v>1796</v>
      </c>
      <c r="Z495" s="484"/>
      <c r="AA495" s="484"/>
      <c r="AB495" s="484"/>
      <c r="AC495" s="484"/>
      <c r="AD495" s="484"/>
      <c r="AE495" s="484"/>
      <c r="AF495" s="468"/>
    </row>
    <row r="496" customFormat="false" ht="30" hidden="false" customHeight="true" outlineLevel="0" collapsed="false">
      <c r="A496" s="477" t="s">
        <v>1797</v>
      </c>
      <c r="B496" s="477"/>
      <c r="C496" s="477"/>
      <c r="D496" s="478" t="s">
        <v>1798</v>
      </c>
      <c r="E496" s="478"/>
      <c r="F496" s="478"/>
      <c r="G496" s="478"/>
      <c r="H496" s="478"/>
      <c r="I496" s="478"/>
      <c r="J496" s="478"/>
      <c r="K496" s="478"/>
      <c r="L496" s="478"/>
      <c r="M496" s="479" t="n">
        <f aca="false">SUMIFS(TE!P:P,TE!G:G,$A$426,TE!H:H,A496)</f>
        <v>0</v>
      </c>
      <c r="N496" s="479"/>
      <c r="O496" s="480" t="n">
        <v>30</v>
      </c>
      <c r="P496" s="480"/>
      <c r="Q496" s="485" t="s">
        <v>1678</v>
      </c>
      <c r="R496" s="485"/>
      <c r="S496" s="485" t="s">
        <v>1678</v>
      </c>
      <c r="T496" s="485"/>
      <c r="U496" s="485" t="s">
        <v>1678</v>
      </c>
      <c r="V496" s="485"/>
      <c r="W496" s="483" t="s">
        <v>1679</v>
      </c>
      <c r="X496" s="483"/>
      <c r="Y496" s="484" t="s">
        <v>1799</v>
      </c>
      <c r="Z496" s="484"/>
      <c r="AA496" s="484"/>
      <c r="AB496" s="484"/>
      <c r="AC496" s="484"/>
      <c r="AD496" s="484"/>
      <c r="AE496" s="484"/>
      <c r="AF496" s="468"/>
    </row>
    <row r="497" customFormat="false" ht="30" hidden="false" customHeight="true" outlineLevel="0" collapsed="false">
      <c r="A497" s="477" t="s">
        <v>1800</v>
      </c>
      <c r="B497" s="477"/>
      <c r="C497" s="477"/>
      <c r="D497" s="478" t="s">
        <v>1801</v>
      </c>
      <c r="E497" s="478"/>
      <c r="F497" s="478"/>
      <c r="G497" s="478"/>
      <c r="H497" s="478"/>
      <c r="I497" s="478"/>
      <c r="J497" s="478"/>
      <c r="K497" s="478"/>
      <c r="L497" s="478"/>
      <c r="M497" s="479" t="n">
        <f aca="false">SUMIFS(TE!P:P,TE!G:G,$A$426,TE!H:H,A497)</f>
        <v>0</v>
      </c>
      <c r="N497" s="479"/>
      <c r="O497" s="480" t="n">
        <v>12</v>
      </c>
      <c r="P497" s="480"/>
      <c r="Q497" s="481" t="n">
        <f aca="false">M497/O497</f>
        <v>0</v>
      </c>
      <c r="R497" s="481"/>
      <c r="S497" s="482" t="n">
        <v>13.4</v>
      </c>
      <c r="T497" s="482"/>
      <c r="U497" s="482" t="n">
        <f aca="false">Q497*S497</f>
        <v>0</v>
      </c>
      <c r="V497" s="482"/>
      <c r="W497" s="483" t="s">
        <v>1670</v>
      </c>
      <c r="X497" s="483"/>
      <c r="Y497" s="484" t="s">
        <v>1671</v>
      </c>
      <c r="Z497" s="484"/>
      <c r="AA497" s="484"/>
      <c r="AB497" s="484"/>
      <c r="AC497" s="484"/>
      <c r="AD497" s="484"/>
      <c r="AE497" s="484"/>
      <c r="AF497" s="468"/>
    </row>
    <row r="498" customFormat="false" ht="30" hidden="false" customHeight="true" outlineLevel="0" collapsed="false">
      <c r="A498" s="477" t="s">
        <v>1802</v>
      </c>
      <c r="B498" s="477"/>
      <c r="C498" s="477"/>
      <c r="D498" s="478" t="s">
        <v>1798</v>
      </c>
      <c r="E498" s="478"/>
      <c r="F498" s="478"/>
      <c r="G498" s="478"/>
      <c r="H498" s="478"/>
      <c r="I498" s="478"/>
      <c r="J498" s="478"/>
      <c r="K498" s="478"/>
      <c r="L498" s="478"/>
      <c r="M498" s="479" t="n">
        <f aca="false">SUMIFS(TE!P:P,TE!G:G,$A$426,TE!H:H,A498)</f>
        <v>0</v>
      </c>
      <c r="N498" s="479"/>
      <c r="O498" s="480" t="n">
        <v>30</v>
      </c>
      <c r="P498" s="480"/>
      <c r="Q498" s="485" t="s">
        <v>1678</v>
      </c>
      <c r="R498" s="485"/>
      <c r="S498" s="485" t="s">
        <v>1678</v>
      </c>
      <c r="T498" s="485"/>
      <c r="U498" s="485" t="s">
        <v>1678</v>
      </c>
      <c r="V498" s="485"/>
      <c r="W498" s="483" t="s">
        <v>1679</v>
      </c>
      <c r="X498" s="483"/>
      <c r="Y498" s="484" t="s">
        <v>1803</v>
      </c>
      <c r="Z498" s="484"/>
      <c r="AA498" s="484"/>
      <c r="AB498" s="484"/>
      <c r="AC498" s="484"/>
      <c r="AD498" s="484"/>
      <c r="AE498" s="484"/>
      <c r="AF498" s="468"/>
    </row>
    <row r="499" customFormat="false" ht="30" hidden="false" customHeight="true" outlineLevel="0" collapsed="false">
      <c r="A499" s="477" t="s">
        <v>1804</v>
      </c>
      <c r="B499" s="477"/>
      <c r="C499" s="477"/>
      <c r="D499" s="478" t="s">
        <v>1798</v>
      </c>
      <c r="E499" s="478"/>
      <c r="F499" s="478"/>
      <c r="G499" s="478"/>
      <c r="H499" s="478"/>
      <c r="I499" s="478"/>
      <c r="J499" s="478"/>
      <c r="K499" s="478"/>
      <c r="L499" s="478"/>
      <c r="M499" s="479" t="n">
        <f aca="false">SUMIFS(TE!P:P,TE!G:G,$A$426,TE!H:H,A499)</f>
        <v>0</v>
      </c>
      <c r="N499" s="479"/>
      <c r="O499" s="480" t="n">
        <v>30</v>
      </c>
      <c r="P499" s="480"/>
      <c r="Q499" s="485" t="s">
        <v>1678</v>
      </c>
      <c r="R499" s="485"/>
      <c r="S499" s="485" t="s">
        <v>1678</v>
      </c>
      <c r="T499" s="485"/>
      <c r="U499" s="485" t="s">
        <v>1678</v>
      </c>
      <c r="V499" s="485"/>
      <c r="W499" s="483" t="s">
        <v>1679</v>
      </c>
      <c r="X499" s="483"/>
      <c r="Y499" s="484" t="s">
        <v>1805</v>
      </c>
      <c r="Z499" s="484"/>
      <c r="AA499" s="484"/>
      <c r="AB499" s="484"/>
      <c r="AC499" s="484"/>
      <c r="AD499" s="484"/>
      <c r="AE499" s="484"/>
      <c r="AF499" s="468"/>
    </row>
    <row r="500" customFormat="false" ht="30" hidden="false" customHeight="true" outlineLevel="0" collapsed="false">
      <c r="A500" s="477" t="s">
        <v>1806</v>
      </c>
      <c r="B500" s="477"/>
      <c r="C500" s="477"/>
      <c r="D500" s="478" t="s">
        <v>1807</v>
      </c>
      <c r="E500" s="478"/>
      <c r="F500" s="478"/>
      <c r="G500" s="478"/>
      <c r="H500" s="478"/>
      <c r="I500" s="478"/>
      <c r="J500" s="478"/>
      <c r="K500" s="478"/>
      <c r="L500" s="478"/>
      <c r="M500" s="479" t="n">
        <f aca="false">SUMIFS(TE!P:P,TE!G:G,$A$426,TE!H:H,A500)</f>
        <v>0</v>
      </c>
      <c r="N500" s="479"/>
      <c r="O500" s="480" t="n">
        <v>120</v>
      </c>
      <c r="P500" s="480"/>
      <c r="Q500" s="481" t="n">
        <f aca="false">M500/O500</f>
        <v>0</v>
      </c>
      <c r="R500" s="481"/>
      <c r="S500" s="482" t="n">
        <v>13.4</v>
      </c>
      <c r="T500" s="482"/>
      <c r="U500" s="482" t="n">
        <f aca="false">Q500*S500</f>
        <v>0</v>
      </c>
      <c r="V500" s="482"/>
      <c r="W500" s="483" t="s">
        <v>1670</v>
      </c>
      <c r="X500" s="483"/>
      <c r="Y500" s="484" t="s">
        <v>1671</v>
      </c>
      <c r="Z500" s="484"/>
      <c r="AA500" s="484"/>
      <c r="AB500" s="484"/>
      <c r="AC500" s="484"/>
      <c r="AD500" s="484"/>
      <c r="AE500" s="484"/>
      <c r="AF500" s="468"/>
    </row>
    <row r="501" customFormat="false" ht="30" hidden="false" customHeight="true" outlineLevel="0" collapsed="false">
      <c r="A501" s="477" t="s">
        <v>1808</v>
      </c>
      <c r="B501" s="477"/>
      <c r="C501" s="477"/>
      <c r="D501" s="478" t="s">
        <v>1809</v>
      </c>
      <c r="E501" s="478"/>
      <c r="F501" s="478"/>
      <c r="G501" s="478"/>
      <c r="H501" s="478"/>
      <c r="I501" s="478"/>
      <c r="J501" s="478"/>
      <c r="K501" s="478"/>
      <c r="L501" s="478"/>
      <c r="M501" s="479" t="n">
        <f aca="false">SUMIFS(TE!P:P,TE!G:G,$A$426,TE!H:H,A501)</f>
        <v>0</v>
      </c>
      <c r="N501" s="479"/>
      <c r="O501" s="485" t="s">
        <v>1678</v>
      </c>
      <c r="P501" s="485"/>
      <c r="Q501" s="485" t="s">
        <v>1678</v>
      </c>
      <c r="R501" s="485"/>
      <c r="S501" s="485" t="s">
        <v>1678</v>
      </c>
      <c r="T501" s="485"/>
      <c r="U501" s="485" t="s">
        <v>1678</v>
      </c>
      <c r="V501" s="485"/>
      <c r="W501" s="483" t="s">
        <v>1810</v>
      </c>
      <c r="X501" s="483"/>
      <c r="Y501" s="484" t="s">
        <v>1811</v>
      </c>
      <c r="Z501" s="484"/>
      <c r="AA501" s="484"/>
      <c r="AB501" s="484"/>
      <c r="AC501" s="484"/>
      <c r="AD501" s="484"/>
      <c r="AE501" s="484"/>
      <c r="AF501" s="468"/>
    </row>
    <row r="502" customFormat="false" ht="30" hidden="false" customHeight="true" outlineLevel="0" collapsed="false">
      <c r="A502" s="486" t="s">
        <v>1812</v>
      </c>
      <c r="B502" s="486"/>
      <c r="C502" s="486"/>
      <c r="D502" s="487" t="s">
        <v>1813</v>
      </c>
      <c r="E502" s="487"/>
      <c r="F502" s="487"/>
      <c r="G502" s="487"/>
      <c r="H502" s="487"/>
      <c r="I502" s="487"/>
      <c r="J502" s="487"/>
      <c r="K502" s="487"/>
      <c r="L502" s="487"/>
      <c r="M502" s="488" t="n">
        <f aca="false">SUMIFS(TE!P:P,TE!G:G,$A$426,TE!H:H,A502)</f>
        <v>0</v>
      </c>
      <c r="N502" s="488"/>
      <c r="O502" s="489" t="n">
        <v>5</v>
      </c>
      <c r="P502" s="489"/>
      <c r="Q502" s="490" t="n">
        <f aca="false">M502/O502</f>
        <v>0</v>
      </c>
      <c r="R502" s="490"/>
      <c r="S502" s="491" t="n">
        <v>13.4</v>
      </c>
      <c r="T502" s="491"/>
      <c r="U502" s="491" t="n">
        <f aca="false">Q502*S502</f>
        <v>0</v>
      </c>
      <c r="V502" s="491"/>
      <c r="W502" s="492" t="s">
        <v>1670</v>
      </c>
      <c r="X502" s="492"/>
      <c r="Y502" s="493" t="s">
        <v>1671</v>
      </c>
      <c r="Z502" s="493"/>
      <c r="AA502" s="493"/>
      <c r="AB502" s="493"/>
      <c r="AC502" s="493"/>
      <c r="AD502" s="493"/>
      <c r="AE502" s="493"/>
      <c r="AF502" s="468"/>
    </row>
    <row r="503" customFormat="false" ht="12.75" hidden="false" customHeight="true" outlineLevel="0" collapsed="false">
      <c r="A503" s="494"/>
      <c r="B503" s="494"/>
      <c r="C503" s="494"/>
      <c r="D503" s="494"/>
      <c r="E503" s="494"/>
      <c r="F503" s="494"/>
      <c r="G503" s="494"/>
      <c r="H503" s="494"/>
      <c r="I503" s="494"/>
      <c r="J503" s="494"/>
      <c r="K503" s="494"/>
      <c r="L503" s="494"/>
      <c r="M503" s="494"/>
      <c r="N503" s="494"/>
      <c r="O503" s="494"/>
      <c r="P503" s="494"/>
      <c r="Q503" s="494"/>
      <c r="R503" s="494"/>
      <c r="S503" s="494"/>
      <c r="T503" s="494"/>
      <c r="U503" s="494"/>
      <c r="V503" s="494"/>
      <c r="W503" s="494"/>
      <c r="X503" s="494"/>
      <c r="Y503" s="494"/>
      <c r="Z503" s="494"/>
      <c r="AA503" s="494"/>
      <c r="AB503" s="494"/>
      <c r="AC503" s="494"/>
      <c r="AD503" s="494"/>
      <c r="AE503" s="494"/>
      <c r="AF503" s="468"/>
    </row>
    <row r="504" customFormat="false" ht="12.75" hidden="false" customHeight="true" outlineLevel="0" collapsed="false">
      <c r="A504" s="495"/>
      <c r="B504" s="495"/>
      <c r="C504" s="495"/>
      <c r="D504" s="495"/>
      <c r="E504" s="495"/>
      <c r="F504" s="495"/>
      <c r="G504" s="495"/>
      <c r="H504" s="495"/>
      <c r="I504" s="495"/>
      <c r="J504" s="495"/>
      <c r="K504" s="495"/>
      <c r="L504" s="495"/>
      <c r="M504" s="495"/>
      <c r="N504" s="495"/>
      <c r="O504" s="495"/>
      <c r="P504" s="495"/>
      <c r="Q504" s="495"/>
      <c r="R504" s="495"/>
      <c r="S504" s="495"/>
      <c r="T504" s="495"/>
      <c r="U504" s="495"/>
      <c r="V504" s="495"/>
      <c r="W504" s="495"/>
      <c r="X504" s="495"/>
      <c r="Y504" s="495"/>
      <c r="Z504" s="495"/>
      <c r="AA504" s="495"/>
      <c r="AB504" s="453"/>
      <c r="AC504" s="454" t="s">
        <v>1657</v>
      </c>
      <c r="AD504" s="455" t="n">
        <v>17</v>
      </c>
      <c r="AE504" s="455" t="s">
        <v>29</v>
      </c>
      <c r="AF504" s="455" t="n">
        <v>27</v>
      </c>
    </row>
    <row r="505" customFormat="false" ht="12.75" hidden="false" customHeight="true" outlineLevel="0" collapsed="false">
      <c r="A505" s="398" t="s">
        <v>1522</v>
      </c>
      <c r="B505" s="398"/>
      <c r="C505" s="456" t="n">
        <v>14345</v>
      </c>
      <c r="D505" s="456"/>
      <c r="E505" s="456"/>
      <c r="F505" s="456"/>
      <c r="G505" s="456"/>
      <c r="H505" s="456"/>
      <c r="I505" s="456"/>
      <c r="J505" s="456"/>
      <c r="K505" s="456"/>
      <c r="L505" s="456"/>
      <c r="M505" s="398" t="s">
        <v>1523</v>
      </c>
      <c r="N505" s="398"/>
      <c r="O505" s="398"/>
      <c r="P505" s="398"/>
      <c r="Q505" s="398"/>
      <c r="R505" s="456" t="s">
        <v>15</v>
      </c>
      <c r="S505" s="456"/>
      <c r="T505" s="456"/>
      <c r="U505" s="456"/>
      <c r="V505" s="456"/>
      <c r="W505" s="456"/>
      <c r="X505" s="456"/>
      <c r="Y505" s="456"/>
      <c r="Z505" s="456"/>
      <c r="AA505" s="456"/>
      <c r="AB505" s="456"/>
      <c r="AC505" s="456"/>
      <c r="AD505" s="456"/>
      <c r="AE505" s="456"/>
      <c r="AF505" s="456"/>
    </row>
    <row r="506" customFormat="false" ht="12.75" hidden="false" customHeight="true" outlineLevel="0" collapsed="false">
      <c r="A506" s="458"/>
      <c r="B506" s="458"/>
      <c r="C506" s="459"/>
      <c r="D506" s="459"/>
      <c r="E506" s="459"/>
      <c r="F506" s="459"/>
      <c r="G506" s="459"/>
      <c r="H506" s="459"/>
      <c r="I506" s="459"/>
      <c r="J506" s="459"/>
      <c r="K506" s="459"/>
      <c r="L506" s="459"/>
      <c r="M506" s="458"/>
      <c r="N506" s="458"/>
      <c r="O506" s="458"/>
      <c r="P506" s="458"/>
      <c r="Q506" s="458"/>
      <c r="R506" s="459"/>
      <c r="S506" s="459"/>
      <c r="T506" s="459"/>
      <c r="U506" s="459"/>
      <c r="V506" s="459"/>
      <c r="W506" s="459"/>
      <c r="X506" s="459"/>
      <c r="Y506" s="459"/>
      <c r="Z506" s="459"/>
      <c r="AA506" s="459"/>
      <c r="AB506" s="459"/>
      <c r="AC506" s="459"/>
      <c r="AD506" s="459"/>
      <c r="AE506" s="459"/>
      <c r="AF506" s="459"/>
    </row>
    <row r="507" customFormat="false" ht="15.75" hidden="false" customHeight="true" outlineLevel="0" collapsed="false">
      <c r="A507" s="460" t="str">
        <f aca="false">A480</f>
        <v>M28263</v>
      </c>
      <c r="B507" s="460"/>
      <c r="C507" s="460"/>
      <c r="D507" s="461" t="str">
        <f aca="false">D480</f>
        <v>SURGICAL CO A</v>
      </c>
      <c r="E507" s="461"/>
      <c r="F507" s="461"/>
      <c r="G507" s="461"/>
      <c r="H507" s="461"/>
      <c r="I507" s="461"/>
      <c r="J507" s="461"/>
      <c r="K507" s="461"/>
      <c r="L507" s="461"/>
      <c r="M507" s="458"/>
      <c r="N507" s="458"/>
      <c r="O507" s="458"/>
      <c r="P507" s="459"/>
      <c r="Q507" s="458"/>
      <c r="R507" s="459"/>
      <c r="S507" s="459"/>
      <c r="T507" s="459"/>
      <c r="U507" s="459"/>
      <c r="V507" s="459"/>
      <c r="W507" s="459"/>
      <c r="X507" s="459"/>
      <c r="Y507" s="459"/>
      <c r="Z507" s="459"/>
      <c r="AA507" s="459"/>
      <c r="AB507" s="459"/>
      <c r="AC507" s="459"/>
      <c r="AD507" s="459"/>
      <c r="AE507" s="459"/>
      <c r="AF507" s="459"/>
    </row>
    <row r="508" customFormat="false" ht="15.75" hidden="false" customHeight="true" outlineLevel="0" collapsed="false">
      <c r="A508" s="462" t="s">
        <v>1659</v>
      </c>
      <c r="B508" s="462"/>
      <c r="C508" s="462"/>
      <c r="D508" s="463" t="s">
        <v>1660</v>
      </c>
      <c r="E508" s="463"/>
      <c r="F508" s="463"/>
      <c r="G508" s="463"/>
      <c r="H508" s="463"/>
      <c r="I508" s="463"/>
      <c r="J508" s="463"/>
      <c r="K508" s="463"/>
      <c r="L508" s="463"/>
      <c r="M508" s="564" t="s">
        <v>1661</v>
      </c>
      <c r="N508" s="564"/>
      <c r="O508" s="465" t="s">
        <v>1662</v>
      </c>
      <c r="P508" s="465"/>
      <c r="Q508" s="465" t="s">
        <v>1663</v>
      </c>
      <c r="R508" s="465"/>
      <c r="S508" s="466" t="s">
        <v>1664</v>
      </c>
      <c r="T508" s="466"/>
      <c r="U508" s="466" t="s">
        <v>1665</v>
      </c>
      <c r="V508" s="466"/>
      <c r="W508" s="464" t="s">
        <v>1666</v>
      </c>
      <c r="X508" s="464"/>
      <c r="Y508" s="467" t="s">
        <v>1667</v>
      </c>
      <c r="Z508" s="467"/>
      <c r="AA508" s="467"/>
      <c r="AB508" s="467"/>
      <c r="AC508" s="467"/>
      <c r="AD508" s="467"/>
      <c r="AE508" s="467"/>
      <c r="AF508" s="459"/>
    </row>
    <row r="509" customFormat="false" ht="15.75" hidden="false" customHeight="true" outlineLevel="0" collapsed="false">
      <c r="A509" s="462"/>
      <c r="B509" s="462"/>
      <c r="C509" s="462"/>
      <c r="D509" s="463"/>
      <c r="E509" s="463"/>
      <c r="F509" s="463"/>
      <c r="G509" s="463"/>
      <c r="H509" s="463"/>
      <c r="I509" s="463"/>
      <c r="J509" s="463"/>
      <c r="K509" s="463"/>
      <c r="L509" s="463"/>
      <c r="M509" s="564"/>
      <c r="N509" s="564"/>
      <c r="O509" s="465"/>
      <c r="P509" s="465"/>
      <c r="Q509" s="465"/>
      <c r="R509" s="465"/>
      <c r="S509" s="466"/>
      <c r="T509" s="466"/>
      <c r="U509" s="466"/>
      <c r="V509" s="466"/>
      <c r="W509" s="464"/>
      <c r="X509" s="464"/>
      <c r="Y509" s="467"/>
      <c r="Z509" s="467"/>
      <c r="AA509" s="467"/>
      <c r="AB509" s="467"/>
      <c r="AC509" s="467"/>
      <c r="AD509" s="467"/>
      <c r="AE509" s="467"/>
      <c r="AF509" s="459"/>
    </row>
    <row r="510" customFormat="false" ht="30" hidden="false" customHeight="true" outlineLevel="0" collapsed="false">
      <c r="A510" s="462"/>
      <c r="B510" s="462"/>
      <c r="C510" s="462"/>
      <c r="D510" s="463"/>
      <c r="E510" s="463"/>
      <c r="F510" s="463"/>
      <c r="G510" s="463"/>
      <c r="H510" s="463"/>
      <c r="I510" s="463"/>
      <c r="J510" s="463"/>
      <c r="K510" s="463"/>
      <c r="L510" s="463"/>
      <c r="M510" s="564"/>
      <c r="N510" s="564"/>
      <c r="O510" s="465"/>
      <c r="P510" s="465"/>
      <c r="Q510" s="465"/>
      <c r="R510" s="465"/>
      <c r="S510" s="466"/>
      <c r="T510" s="466"/>
      <c r="U510" s="466"/>
      <c r="V510" s="466"/>
      <c r="W510" s="464"/>
      <c r="X510" s="464"/>
      <c r="Y510" s="467"/>
      <c r="Z510" s="467"/>
      <c r="AA510" s="467"/>
      <c r="AB510" s="467"/>
      <c r="AC510" s="467"/>
      <c r="AD510" s="467"/>
      <c r="AE510" s="467"/>
      <c r="AF510" s="468"/>
    </row>
    <row r="511" customFormat="false" ht="30" hidden="false" customHeight="true" outlineLevel="0" collapsed="false">
      <c r="A511" s="469" t="s">
        <v>1814</v>
      </c>
      <c r="B511" s="469"/>
      <c r="C511" s="469"/>
      <c r="D511" s="470" t="s">
        <v>1815</v>
      </c>
      <c r="E511" s="470"/>
      <c r="F511" s="470"/>
      <c r="G511" s="470"/>
      <c r="H511" s="470"/>
      <c r="I511" s="470"/>
      <c r="J511" s="470"/>
      <c r="K511" s="470"/>
      <c r="L511" s="470"/>
      <c r="M511" s="570" t="n">
        <f aca="false">SUMIFS(TE!P:P,TE!G:G,$A$426,TE!H:H,A511)</f>
        <v>0</v>
      </c>
      <c r="N511" s="570"/>
      <c r="O511" s="472" t="n">
        <v>40</v>
      </c>
      <c r="P511" s="472"/>
      <c r="Q511" s="473" t="n">
        <f aca="false">M511/O511</f>
        <v>0</v>
      </c>
      <c r="R511" s="473"/>
      <c r="S511" s="474" t="n">
        <v>13.4</v>
      </c>
      <c r="T511" s="474"/>
      <c r="U511" s="474" t="n">
        <f aca="false">Q511*S511</f>
        <v>0</v>
      </c>
      <c r="V511" s="474"/>
      <c r="W511" s="475" t="s">
        <v>1670</v>
      </c>
      <c r="X511" s="475"/>
      <c r="Y511" s="476" t="s">
        <v>1671</v>
      </c>
      <c r="Z511" s="476"/>
      <c r="AA511" s="476"/>
      <c r="AB511" s="476"/>
      <c r="AC511" s="476"/>
      <c r="AD511" s="476"/>
      <c r="AE511" s="476"/>
      <c r="AF511" s="468"/>
    </row>
    <row r="512" customFormat="false" ht="30" hidden="false" customHeight="true" outlineLevel="0" collapsed="false">
      <c r="A512" s="477" t="s">
        <v>1816</v>
      </c>
      <c r="B512" s="477"/>
      <c r="C512" s="477"/>
      <c r="D512" s="478" t="s">
        <v>1817</v>
      </c>
      <c r="E512" s="478"/>
      <c r="F512" s="478"/>
      <c r="G512" s="478"/>
      <c r="H512" s="478"/>
      <c r="I512" s="478"/>
      <c r="J512" s="478"/>
      <c r="K512" s="478"/>
      <c r="L512" s="478"/>
      <c r="M512" s="479" t="n">
        <f aca="false">SUMIFS(TE!P:P,TE!G:G,$A$426,TE!H:H,A512)</f>
        <v>0</v>
      </c>
      <c r="N512" s="479"/>
      <c r="O512" s="485" t="s">
        <v>1678</v>
      </c>
      <c r="P512" s="485"/>
      <c r="Q512" s="485" t="s">
        <v>1678</v>
      </c>
      <c r="R512" s="485"/>
      <c r="S512" s="485" t="s">
        <v>1678</v>
      </c>
      <c r="T512" s="485"/>
      <c r="U512" s="485" t="s">
        <v>1678</v>
      </c>
      <c r="V512" s="485"/>
      <c r="W512" s="483" t="s">
        <v>1679</v>
      </c>
      <c r="X512" s="483"/>
      <c r="Y512" s="484" t="s">
        <v>1818</v>
      </c>
      <c r="Z512" s="484"/>
      <c r="AA512" s="484"/>
      <c r="AB512" s="484"/>
      <c r="AC512" s="484"/>
      <c r="AD512" s="484"/>
      <c r="AE512" s="484"/>
      <c r="AF512" s="468"/>
    </row>
    <row r="513" customFormat="false" ht="30" hidden="false" customHeight="true" outlineLevel="0" collapsed="false">
      <c r="A513" s="477" t="s">
        <v>1819</v>
      </c>
      <c r="B513" s="477"/>
      <c r="C513" s="477"/>
      <c r="D513" s="478" t="s">
        <v>1820</v>
      </c>
      <c r="E513" s="478"/>
      <c r="F513" s="478"/>
      <c r="G513" s="478"/>
      <c r="H513" s="478"/>
      <c r="I513" s="478"/>
      <c r="J513" s="478"/>
      <c r="K513" s="478"/>
      <c r="L513" s="478"/>
      <c r="M513" s="479" t="n">
        <f aca="false">SUMIFS(TE!P:P,TE!G:G,$A$426,TE!H:H,A513)</f>
        <v>0</v>
      </c>
      <c r="N513" s="479"/>
      <c r="O513" s="480" t="n">
        <v>12</v>
      </c>
      <c r="P513" s="480"/>
      <c r="Q513" s="481" t="n">
        <f aca="false">M513/O513</f>
        <v>0</v>
      </c>
      <c r="R513" s="481"/>
      <c r="S513" s="482" t="n">
        <v>13.4</v>
      </c>
      <c r="T513" s="482"/>
      <c r="U513" s="482" t="n">
        <f aca="false">Q513*S513</f>
        <v>0</v>
      </c>
      <c r="V513" s="482"/>
      <c r="W513" s="483" t="s">
        <v>1670</v>
      </c>
      <c r="X513" s="483"/>
      <c r="Y513" s="484" t="s">
        <v>1671</v>
      </c>
      <c r="Z513" s="484"/>
      <c r="AA513" s="484"/>
      <c r="AB513" s="484"/>
      <c r="AC513" s="484"/>
      <c r="AD513" s="484"/>
      <c r="AE513" s="484"/>
      <c r="AF513" s="468"/>
    </row>
    <row r="514" customFormat="false" ht="30" hidden="false" customHeight="true" outlineLevel="0" collapsed="false">
      <c r="A514" s="477" t="s">
        <v>1821</v>
      </c>
      <c r="B514" s="477"/>
      <c r="C514" s="477"/>
      <c r="D514" s="478" t="s">
        <v>1822</v>
      </c>
      <c r="E514" s="478"/>
      <c r="F514" s="478"/>
      <c r="G514" s="478"/>
      <c r="H514" s="478"/>
      <c r="I514" s="478"/>
      <c r="J514" s="478"/>
      <c r="K514" s="478"/>
      <c r="L514" s="478"/>
      <c r="M514" s="479" t="n">
        <f aca="false">SUMIFS(TE!P:P,TE!G:G,$A$426,TE!H:H,A514)</f>
        <v>0</v>
      </c>
      <c r="N514" s="479"/>
      <c r="O514" s="480" t="n">
        <v>12</v>
      </c>
      <c r="P514" s="480"/>
      <c r="Q514" s="481" t="n">
        <f aca="false">M514/O514</f>
        <v>0</v>
      </c>
      <c r="R514" s="481"/>
      <c r="S514" s="482" t="n">
        <v>13.4</v>
      </c>
      <c r="T514" s="482"/>
      <c r="U514" s="482" t="n">
        <f aca="false">Q514*S514</f>
        <v>0</v>
      </c>
      <c r="V514" s="482"/>
      <c r="W514" s="483" t="s">
        <v>1670</v>
      </c>
      <c r="X514" s="483"/>
      <c r="Y514" s="484" t="s">
        <v>1671</v>
      </c>
      <c r="Z514" s="484"/>
      <c r="AA514" s="484"/>
      <c r="AB514" s="484"/>
      <c r="AC514" s="484"/>
      <c r="AD514" s="484"/>
      <c r="AE514" s="484"/>
      <c r="AF514" s="468"/>
    </row>
    <row r="515" customFormat="false" ht="30" hidden="false" customHeight="true" outlineLevel="0" collapsed="false">
      <c r="A515" s="477" t="s">
        <v>1823</v>
      </c>
      <c r="B515" s="477"/>
      <c r="C515" s="477"/>
      <c r="D515" s="478" t="s">
        <v>1824</v>
      </c>
      <c r="E515" s="478"/>
      <c r="F515" s="478"/>
      <c r="G515" s="478"/>
      <c r="H515" s="478"/>
      <c r="I515" s="478"/>
      <c r="J515" s="478"/>
      <c r="K515" s="478"/>
      <c r="L515" s="478"/>
      <c r="M515" s="479" t="n">
        <f aca="false">SUMIFS(TE!P:P,TE!G:G,$A$426,TE!H:H,A515)</f>
        <v>0</v>
      </c>
      <c r="N515" s="479"/>
      <c r="O515" s="480" t="n">
        <v>12</v>
      </c>
      <c r="P515" s="480"/>
      <c r="Q515" s="481" t="n">
        <f aca="false">M515/O515</f>
        <v>0</v>
      </c>
      <c r="R515" s="481"/>
      <c r="S515" s="482" t="n">
        <v>13.4</v>
      </c>
      <c r="T515" s="482"/>
      <c r="U515" s="482" t="n">
        <f aca="false">Q515*S515</f>
        <v>0</v>
      </c>
      <c r="V515" s="482"/>
      <c r="W515" s="483" t="s">
        <v>1670</v>
      </c>
      <c r="X515" s="483"/>
      <c r="Y515" s="484" t="s">
        <v>1671</v>
      </c>
      <c r="Z515" s="484"/>
      <c r="AA515" s="484"/>
      <c r="AB515" s="484"/>
      <c r="AC515" s="484"/>
      <c r="AD515" s="484"/>
      <c r="AE515" s="484"/>
      <c r="AF515" s="468"/>
    </row>
    <row r="516" customFormat="false" ht="30" hidden="false" customHeight="true" outlineLevel="0" collapsed="false">
      <c r="A516" s="499" t="s">
        <v>1825</v>
      </c>
      <c r="B516" s="499"/>
      <c r="C516" s="499"/>
      <c r="D516" s="478" t="s">
        <v>1826</v>
      </c>
      <c r="E516" s="478"/>
      <c r="F516" s="478"/>
      <c r="G516" s="478"/>
      <c r="H516" s="478"/>
      <c r="I516" s="478"/>
      <c r="J516" s="478"/>
      <c r="K516" s="478"/>
      <c r="L516" s="478"/>
      <c r="M516" s="479" t="n">
        <f aca="false">SUMIFS(TE!P:P,TE!G:G,$A$426,TE!H:H,A516)</f>
        <v>0</v>
      </c>
      <c r="N516" s="479"/>
      <c r="O516" s="480" t="n">
        <v>50</v>
      </c>
      <c r="P516" s="480"/>
      <c r="Q516" s="481" t="n">
        <f aca="false">M516/O516</f>
        <v>0</v>
      </c>
      <c r="R516" s="481"/>
      <c r="S516" s="482" t="n">
        <v>13.4</v>
      </c>
      <c r="T516" s="482"/>
      <c r="U516" s="482" t="n">
        <f aca="false">Q516*S516</f>
        <v>0</v>
      </c>
      <c r="V516" s="482"/>
      <c r="W516" s="483" t="s">
        <v>1670</v>
      </c>
      <c r="X516" s="483"/>
      <c r="Y516" s="484" t="s">
        <v>1671</v>
      </c>
      <c r="Z516" s="484"/>
      <c r="AA516" s="484"/>
      <c r="AB516" s="484"/>
      <c r="AC516" s="484"/>
      <c r="AD516" s="484"/>
      <c r="AE516" s="484"/>
      <c r="AF516" s="468"/>
    </row>
    <row r="517" customFormat="false" ht="30" hidden="false" customHeight="true" outlineLevel="0" collapsed="false">
      <c r="A517" s="477" t="s">
        <v>1827</v>
      </c>
      <c r="B517" s="477"/>
      <c r="C517" s="477"/>
      <c r="D517" s="478" t="s">
        <v>1828</v>
      </c>
      <c r="E517" s="478"/>
      <c r="F517" s="478"/>
      <c r="G517" s="478"/>
      <c r="H517" s="478"/>
      <c r="I517" s="478"/>
      <c r="J517" s="478"/>
      <c r="K517" s="478"/>
      <c r="L517" s="478"/>
      <c r="M517" s="479" t="n">
        <f aca="false">SUMIFS(TE!P:P,TE!G:G,$A$426,TE!H:H,A517)</f>
        <v>0</v>
      </c>
      <c r="N517" s="479"/>
      <c r="O517" s="480" t="n">
        <v>40</v>
      </c>
      <c r="P517" s="480"/>
      <c r="Q517" s="481" t="n">
        <f aca="false">M517/O517</f>
        <v>0</v>
      </c>
      <c r="R517" s="481"/>
      <c r="S517" s="482" t="n">
        <v>13.4</v>
      </c>
      <c r="T517" s="482"/>
      <c r="U517" s="482" t="n">
        <f aca="false">Q517*S517</f>
        <v>0</v>
      </c>
      <c r="V517" s="482"/>
      <c r="W517" s="483" t="s">
        <v>1670</v>
      </c>
      <c r="X517" s="483"/>
      <c r="Y517" s="484" t="s">
        <v>1671</v>
      </c>
      <c r="Z517" s="484"/>
      <c r="AA517" s="484"/>
      <c r="AB517" s="484"/>
      <c r="AC517" s="484"/>
      <c r="AD517" s="484"/>
      <c r="AE517" s="484"/>
      <c r="AF517" s="468"/>
    </row>
    <row r="518" customFormat="false" ht="30" hidden="false" customHeight="true" outlineLevel="0" collapsed="false">
      <c r="A518" s="477" t="s">
        <v>1829</v>
      </c>
      <c r="B518" s="477"/>
      <c r="C518" s="477"/>
      <c r="D518" s="478" t="s">
        <v>1830</v>
      </c>
      <c r="E518" s="478"/>
      <c r="F518" s="478"/>
      <c r="G518" s="478"/>
      <c r="H518" s="478"/>
      <c r="I518" s="478"/>
      <c r="J518" s="478"/>
      <c r="K518" s="478"/>
      <c r="L518" s="478"/>
      <c r="M518" s="479" t="n">
        <f aca="false">SUMIFS(TE!P:P,TE!G:G,$A$426,TE!H:H,A518)</f>
        <v>0</v>
      </c>
      <c r="N518" s="479"/>
      <c r="O518" s="480" t="n">
        <v>8</v>
      </c>
      <c r="P518" s="480"/>
      <c r="Q518" s="481" t="n">
        <f aca="false">M518/O518</f>
        <v>0</v>
      </c>
      <c r="R518" s="481"/>
      <c r="S518" s="482" t="n">
        <v>13.4</v>
      </c>
      <c r="T518" s="482"/>
      <c r="U518" s="482" t="n">
        <f aca="false">Q518*S518</f>
        <v>0</v>
      </c>
      <c r="V518" s="482"/>
      <c r="W518" s="483" t="s">
        <v>1670</v>
      </c>
      <c r="X518" s="483"/>
      <c r="Y518" s="484" t="s">
        <v>1671</v>
      </c>
      <c r="Z518" s="484"/>
      <c r="AA518" s="484"/>
      <c r="AB518" s="484"/>
      <c r="AC518" s="484"/>
      <c r="AD518" s="484"/>
      <c r="AE518" s="484"/>
      <c r="AF518" s="468"/>
    </row>
    <row r="519" customFormat="false" ht="30" hidden="false" customHeight="true" outlineLevel="0" collapsed="false">
      <c r="A519" s="477" t="s">
        <v>1831</v>
      </c>
      <c r="B519" s="477"/>
      <c r="C519" s="477"/>
      <c r="D519" s="478" t="s">
        <v>1832</v>
      </c>
      <c r="E519" s="478"/>
      <c r="F519" s="478"/>
      <c r="G519" s="478"/>
      <c r="H519" s="478"/>
      <c r="I519" s="478"/>
      <c r="J519" s="478"/>
      <c r="K519" s="478"/>
      <c r="L519" s="478"/>
      <c r="M519" s="479" t="n">
        <f aca="false">SUMIFS(TE!P:P,TE!G:G,$A$426,TE!H:H,A519)</f>
        <v>0</v>
      </c>
      <c r="N519" s="479"/>
      <c r="O519" s="480" t="n">
        <v>12</v>
      </c>
      <c r="P519" s="480"/>
      <c r="Q519" s="481" t="n">
        <f aca="false">M519/O519</f>
        <v>0</v>
      </c>
      <c r="R519" s="481"/>
      <c r="S519" s="482" t="n">
        <v>13.4</v>
      </c>
      <c r="T519" s="482"/>
      <c r="U519" s="482" t="n">
        <f aca="false">Q519*S519</f>
        <v>0</v>
      </c>
      <c r="V519" s="482"/>
      <c r="W519" s="483" t="s">
        <v>1670</v>
      </c>
      <c r="X519" s="483"/>
      <c r="Y519" s="484" t="s">
        <v>1671</v>
      </c>
      <c r="Z519" s="484"/>
      <c r="AA519" s="484"/>
      <c r="AB519" s="484"/>
      <c r="AC519" s="484"/>
      <c r="AD519" s="484"/>
      <c r="AE519" s="484"/>
      <c r="AF519" s="468"/>
    </row>
    <row r="520" customFormat="false" ht="30" hidden="false" customHeight="true" outlineLevel="0" collapsed="false">
      <c r="A520" s="477" t="s">
        <v>1833</v>
      </c>
      <c r="B520" s="477"/>
      <c r="C520" s="477"/>
      <c r="D520" s="478" t="s">
        <v>1834</v>
      </c>
      <c r="E520" s="478"/>
      <c r="F520" s="478"/>
      <c r="G520" s="478"/>
      <c r="H520" s="478"/>
      <c r="I520" s="478"/>
      <c r="J520" s="478"/>
      <c r="K520" s="478"/>
      <c r="L520" s="478"/>
      <c r="M520" s="479" t="n">
        <f aca="false">SUMIFS(TE!P:P,TE!G:G,$A$426,TE!H:H,A520)</f>
        <v>0</v>
      </c>
      <c r="N520" s="479"/>
      <c r="O520" s="480" t="n">
        <v>250</v>
      </c>
      <c r="P520" s="480"/>
      <c r="Q520" s="481" t="n">
        <f aca="false">M520/O520</f>
        <v>0</v>
      </c>
      <c r="R520" s="481"/>
      <c r="S520" s="482" t="n">
        <v>13.4</v>
      </c>
      <c r="T520" s="482"/>
      <c r="U520" s="482" t="n">
        <f aca="false">Q520*S520</f>
        <v>0</v>
      </c>
      <c r="V520" s="482"/>
      <c r="W520" s="483" t="s">
        <v>1670</v>
      </c>
      <c r="X520" s="483"/>
      <c r="Y520" s="484" t="s">
        <v>1671</v>
      </c>
      <c r="Z520" s="484"/>
      <c r="AA520" s="484"/>
      <c r="AB520" s="484"/>
      <c r="AC520" s="484"/>
      <c r="AD520" s="484"/>
      <c r="AE520" s="484"/>
      <c r="AF520" s="468"/>
    </row>
    <row r="521" customFormat="false" ht="30" hidden="false" customHeight="true" outlineLevel="0" collapsed="false">
      <c r="A521" s="477" t="s">
        <v>1835</v>
      </c>
      <c r="B521" s="477"/>
      <c r="C521" s="477"/>
      <c r="D521" s="478" t="s">
        <v>1836</v>
      </c>
      <c r="E521" s="478"/>
      <c r="F521" s="478"/>
      <c r="G521" s="478"/>
      <c r="H521" s="478"/>
      <c r="I521" s="478"/>
      <c r="J521" s="478"/>
      <c r="K521" s="478"/>
      <c r="L521" s="478"/>
      <c r="M521" s="479" t="n">
        <f aca="false">SUMIFS(TE!P:P,TE!G:G,$A$426,TE!H:H,A521)</f>
        <v>0</v>
      </c>
      <c r="N521" s="479"/>
      <c r="O521" s="480" t="n">
        <v>5</v>
      </c>
      <c r="P521" s="480"/>
      <c r="Q521" s="481" t="n">
        <f aca="false">M521/O521</f>
        <v>0</v>
      </c>
      <c r="R521" s="481"/>
      <c r="S521" s="482" t="n">
        <v>13.4</v>
      </c>
      <c r="T521" s="482"/>
      <c r="U521" s="482" t="n">
        <f aca="false">Q521*S521</f>
        <v>0</v>
      </c>
      <c r="V521" s="482"/>
      <c r="W521" s="483" t="s">
        <v>1670</v>
      </c>
      <c r="X521" s="483"/>
      <c r="Y521" s="484" t="s">
        <v>1671</v>
      </c>
      <c r="Z521" s="484"/>
      <c r="AA521" s="484"/>
      <c r="AB521" s="484"/>
      <c r="AC521" s="484"/>
      <c r="AD521" s="484"/>
      <c r="AE521" s="484"/>
      <c r="AF521" s="468"/>
    </row>
    <row r="522" customFormat="false" ht="30" hidden="false" customHeight="true" outlineLevel="0" collapsed="false">
      <c r="A522" s="477" t="s">
        <v>1837</v>
      </c>
      <c r="B522" s="477"/>
      <c r="C522" s="477"/>
      <c r="D522" s="478" t="s">
        <v>1838</v>
      </c>
      <c r="E522" s="478"/>
      <c r="F522" s="478"/>
      <c r="G522" s="478"/>
      <c r="H522" s="478"/>
      <c r="I522" s="478"/>
      <c r="J522" s="478"/>
      <c r="K522" s="478"/>
      <c r="L522" s="478"/>
      <c r="M522" s="479" t="n">
        <f aca="false">SUMIFS(TE!P:P,TE!G:G,$A$426,TE!H:H,A522)</f>
        <v>0</v>
      </c>
      <c r="N522" s="479"/>
      <c r="O522" s="480" t="n">
        <v>30</v>
      </c>
      <c r="P522" s="480"/>
      <c r="Q522" s="481" t="n">
        <f aca="false">M522/O522</f>
        <v>0</v>
      </c>
      <c r="R522" s="481"/>
      <c r="S522" s="482" t="n">
        <v>13.4</v>
      </c>
      <c r="T522" s="482"/>
      <c r="U522" s="482" t="n">
        <f aca="false">Q522*S522</f>
        <v>0</v>
      </c>
      <c r="V522" s="482"/>
      <c r="W522" s="483" t="s">
        <v>1670</v>
      </c>
      <c r="X522" s="483"/>
      <c r="Y522" s="484" t="s">
        <v>1671</v>
      </c>
      <c r="Z522" s="484"/>
      <c r="AA522" s="484"/>
      <c r="AB522" s="484"/>
      <c r="AC522" s="484"/>
      <c r="AD522" s="484"/>
      <c r="AE522" s="484"/>
      <c r="AF522" s="468"/>
    </row>
    <row r="523" customFormat="false" ht="30" hidden="false" customHeight="true" outlineLevel="0" collapsed="false">
      <c r="A523" s="477" t="s">
        <v>1839</v>
      </c>
      <c r="B523" s="477"/>
      <c r="C523" s="477"/>
      <c r="D523" s="478" t="s">
        <v>1840</v>
      </c>
      <c r="E523" s="478"/>
      <c r="F523" s="478"/>
      <c r="G523" s="478"/>
      <c r="H523" s="478"/>
      <c r="I523" s="478"/>
      <c r="J523" s="478"/>
      <c r="K523" s="478"/>
      <c r="L523" s="478"/>
      <c r="M523" s="479" t="n">
        <f aca="false">SUMIFS(TE!P:P,TE!G:G,$A$426,TE!H:H,A523)</f>
        <v>0</v>
      </c>
      <c r="N523" s="479"/>
      <c r="O523" s="480" t="n">
        <v>4</v>
      </c>
      <c r="P523" s="480"/>
      <c r="Q523" s="481" t="n">
        <f aca="false">ROUNDUP(M523/O523,0)</f>
        <v>0</v>
      </c>
      <c r="R523" s="481"/>
      <c r="S523" s="482" t="n">
        <v>20</v>
      </c>
      <c r="T523" s="482"/>
      <c r="U523" s="482" t="n">
        <f aca="false">Q523*S523</f>
        <v>0</v>
      </c>
      <c r="V523" s="482"/>
      <c r="W523" s="483" t="s">
        <v>1841</v>
      </c>
      <c r="X523" s="483"/>
      <c r="Y523" s="484" t="s">
        <v>1842</v>
      </c>
      <c r="Z523" s="484"/>
      <c r="AA523" s="484"/>
      <c r="AB523" s="484"/>
      <c r="AC523" s="484"/>
      <c r="AD523" s="484"/>
      <c r="AE523" s="484"/>
      <c r="AF523" s="468"/>
    </row>
    <row r="524" customFormat="false" ht="30" hidden="false" customHeight="true" outlineLevel="0" collapsed="false">
      <c r="A524" s="477" t="s">
        <v>1843</v>
      </c>
      <c r="B524" s="477"/>
      <c r="C524" s="477"/>
      <c r="D524" s="478" t="s">
        <v>1844</v>
      </c>
      <c r="E524" s="478"/>
      <c r="F524" s="478"/>
      <c r="G524" s="478"/>
      <c r="H524" s="478"/>
      <c r="I524" s="478"/>
      <c r="J524" s="478"/>
      <c r="K524" s="478"/>
      <c r="L524" s="478"/>
      <c r="M524" s="479" t="n">
        <f aca="false">SUMIFS(TE!P:P,TE!G:G,$A$426,TE!H:H,A524)</f>
        <v>0</v>
      </c>
      <c r="N524" s="479"/>
      <c r="O524" s="480" t="n">
        <v>20</v>
      </c>
      <c r="P524" s="480"/>
      <c r="Q524" s="481" t="n">
        <f aca="false">ROUNDUP(M524/O524,0)</f>
        <v>0</v>
      </c>
      <c r="R524" s="481"/>
      <c r="S524" s="482" t="n">
        <v>13.4</v>
      </c>
      <c r="T524" s="482"/>
      <c r="U524" s="482" t="n">
        <f aca="false">Q524*S524</f>
        <v>0</v>
      </c>
      <c r="V524" s="482"/>
      <c r="W524" s="483" t="s">
        <v>1767</v>
      </c>
      <c r="X524" s="483"/>
      <c r="Y524" s="484" t="s">
        <v>1768</v>
      </c>
      <c r="Z524" s="484"/>
      <c r="AA524" s="484"/>
      <c r="AB524" s="484"/>
      <c r="AC524" s="484"/>
      <c r="AD524" s="484"/>
      <c r="AE524" s="484"/>
      <c r="AF524" s="468"/>
    </row>
    <row r="525" customFormat="false" ht="30" hidden="false" customHeight="true" outlineLevel="0" collapsed="false">
      <c r="A525" s="477" t="s">
        <v>1845</v>
      </c>
      <c r="B525" s="477"/>
      <c r="C525" s="477"/>
      <c r="D525" s="478" t="s">
        <v>1846</v>
      </c>
      <c r="E525" s="478"/>
      <c r="F525" s="478"/>
      <c r="G525" s="478"/>
      <c r="H525" s="478"/>
      <c r="I525" s="478"/>
      <c r="J525" s="478"/>
      <c r="K525" s="478"/>
      <c r="L525" s="478"/>
      <c r="M525" s="479" t="n">
        <f aca="false">SUMIFS(TE!P:P,TE!G:G,$A$426,TE!H:H,A525)</f>
        <v>99</v>
      </c>
      <c r="N525" s="479"/>
      <c r="O525" s="480" t="n">
        <v>20</v>
      </c>
      <c r="P525" s="480"/>
      <c r="Q525" s="481" t="n">
        <f aca="false">ROUNDUP(M525/O525,0)</f>
        <v>5</v>
      </c>
      <c r="R525" s="481"/>
      <c r="S525" s="482" t="n">
        <v>13.4</v>
      </c>
      <c r="T525" s="482"/>
      <c r="U525" s="482" t="n">
        <f aca="false">Q525*S525</f>
        <v>67</v>
      </c>
      <c r="V525" s="482"/>
      <c r="W525" s="483" t="s">
        <v>1847</v>
      </c>
      <c r="X525" s="483"/>
      <c r="Y525" s="484" t="s">
        <v>1768</v>
      </c>
      <c r="Z525" s="484"/>
      <c r="AA525" s="484"/>
      <c r="AB525" s="484"/>
      <c r="AC525" s="484"/>
      <c r="AD525" s="484"/>
      <c r="AE525" s="484"/>
      <c r="AF525" s="468"/>
    </row>
    <row r="526" customFormat="false" ht="30" hidden="false" customHeight="true" outlineLevel="0" collapsed="false">
      <c r="A526" s="477" t="s">
        <v>1848</v>
      </c>
      <c r="B526" s="477"/>
      <c r="C526" s="477"/>
      <c r="D526" s="478" t="s">
        <v>1849</v>
      </c>
      <c r="E526" s="478"/>
      <c r="F526" s="478"/>
      <c r="G526" s="478"/>
      <c r="H526" s="478"/>
      <c r="I526" s="478"/>
      <c r="J526" s="478"/>
      <c r="K526" s="478"/>
      <c r="L526" s="478"/>
      <c r="M526" s="479" t="n">
        <f aca="false">SUMIFS(TE!P:P,TE!G:G,$A$426,TE!H:H,A526)</f>
        <v>0</v>
      </c>
      <c r="N526" s="479"/>
      <c r="O526" s="480" t="n">
        <v>1</v>
      </c>
      <c r="P526" s="480"/>
      <c r="Q526" s="481" t="n">
        <f aca="false">ROUNDUP(M526/O526,0)</f>
        <v>0</v>
      </c>
      <c r="R526" s="481"/>
      <c r="S526" s="482" t="n">
        <v>18</v>
      </c>
      <c r="T526" s="482"/>
      <c r="U526" s="482" t="n">
        <f aca="false">Q526*S526</f>
        <v>0</v>
      </c>
      <c r="V526" s="482"/>
      <c r="W526" s="483" t="s">
        <v>1850</v>
      </c>
      <c r="X526" s="483"/>
      <c r="Y526" s="484" t="s">
        <v>1851</v>
      </c>
      <c r="Z526" s="484"/>
      <c r="AA526" s="484"/>
      <c r="AB526" s="484"/>
      <c r="AC526" s="484"/>
      <c r="AD526" s="484"/>
      <c r="AE526" s="484"/>
      <c r="AF526" s="468"/>
    </row>
    <row r="527" customFormat="false" ht="30" hidden="false" customHeight="true" outlineLevel="0" collapsed="false">
      <c r="A527" s="477" t="s">
        <v>1852</v>
      </c>
      <c r="B527" s="477"/>
      <c r="C527" s="477"/>
      <c r="D527" s="478" t="s">
        <v>1853</v>
      </c>
      <c r="E527" s="478"/>
      <c r="F527" s="478"/>
      <c r="G527" s="478"/>
      <c r="H527" s="478"/>
      <c r="I527" s="478"/>
      <c r="J527" s="478"/>
      <c r="K527" s="478"/>
      <c r="L527" s="478"/>
      <c r="M527" s="479" t="n">
        <f aca="false">SUMIFS(TE!P:P,TE!G:G,$A$426,TE!H:H,A527)</f>
        <v>0</v>
      </c>
      <c r="N527" s="479"/>
      <c r="O527" s="480" t="n">
        <v>200</v>
      </c>
      <c r="P527" s="480"/>
      <c r="Q527" s="481" t="n">
        <f aca="false">M527/O527</f>
        <v>0</v>
      </c>
      <c r="R527" s="481"/>
      <c r="S527" s="482" t="n">
        <v>13.4</v>
      </c>
      <c r="T527" s="482"/>
      <c r="U527" s="482" t="n">
        <f aca="false">Q527*S527</f>
        <v>0</v>
      </c>
      <c r="V527" s="482"/>
      <c r="W527" s="483" t="s">
        <v>1670</v>
      </c>
      <c r="X527" s="483"/>
      <c r="Y527" s="484" t="s">
        <v>1671</v>
      </c>
      <c r="Z527" s="484"/>
      <c r="AA527" s="484"/>
      <c r="AB527" s="484"/>
      <c r="AC527" s="484"/>
      <c r="AD527" s="484"/>
      <c r="AE527" s="484"/>
      <c r="AF527" s="468"/>
    </row>
    <row r="528" customFormat="false" ht="30" hidden="false" customHeight="true" outlineLevel="0" collapsed="false">
      <c r="A528" s="477" t="s">
        <v>1854</v>
      </c>
      <c r="B528" s="477"/>
      <c r="C528" s="477"/>
      <c r="D528" s="478" t="s">
        <v>1855</v>
      </c>
      <c r="E528" s="478"/>
      <c r="F528" s="478"/>
      <c r="G528" s="478"/>
      <c r="H528" s="478"/>
      <c r="I528" s="478"/>
      <c r="J528" s="478"/>
      <c r="K528" s="478"/>
      <c r="L528" s="478"/>
      <c r="M528" s="479" t="n">
        <f aca="false">SUMIFS(TE!P:P,TE!G:G,$A$426,TE!H:H,A528)</f>
        <v>0</v>
      </c>
      <c r="N528" s="479"/>
      <c r="O528" s="480" t="n">
        <v>62</v>
      </c>
      <c r="P528" s="480"/>
      <c r="Q528" s="481" t="n">
        <f aca="false">M528/O528</f>
        <v>0</v>
      </c>
      <c r="R528" s="481"/>
      <c r="S528" s="482" t="n">
        <v>13.4</v>
      </c>
      <c r="T528" s="482"/>
      <c r="U528" s="482" t="n">
        <f aca="false">Q528*S528</f>
        <v>0</v>
      </c>
      <c r="V528" s="482"/>
      <c r="W528" s="483" t="s">
        <v>1670</v>
      </c>
      <c r="X528" s="483"/>
      <c r="Y528" s="484" t="s">
        <v>1671</v>
      </c>
      <c r="Z528" s="484"/>
      <c r="AA528" s="484"/>
      <c r="AB528" s="484"/>
      <c r="AC528" s="484"/>
      <c r="AD528" s="484"/>
      <c r="AE528" s="484"/>
      <c r="AF528" s="468"/>
    </row>
    <row r="529" customFormat="false" ht="30" hidden="false" customHeight="true" outlineLevel="0" collapsed="false">
      <c r="A529" s="486" t="s">
        <v>1856</v>
      </c>
      <c r="B529" s="486"/>
      <c r="C529" s="486"/>
      <c r="D529" s="487" t="s">
        <v>1857</v>
      </c>
      <c r="E529" s="487"/>
      <c r="F529" s="487"/>
      <c r="G529" s="487"/>
      <c r="H529" s="487"/>
      <c r="I529" s="487"/>
      <c r="J529" s="487"/>
      <c r="K529" s="487"/>
      <c r="L529" s="487"/>
      <c r="M529" s="488" t="n">
        <f aca="false">SUMIFS(TE!P:P,TE!G:G,$A$426,TE!H:H,A529)</f>
        <v>0</v>
      </c>
      <c r="N529" s="488"/>
      <c r="O529" s="489" t="n">
        <v>4</v>
      </c>
      <c r="P529" s="489"/>
      <c r="Q529" s="490" t="n">
        <f aca="false">ROUNDUP(M529/O529,0)</f>
        <v>0</v>
      </c>
      <c r="R529" s="490"/>
      <c r="S529" s="491" t="n">
        <v>16.6</v>
      </c>
      <c r="T529" s="491"/>
      <c r="U529" s="491" t="n">
        <f aca="false">Q529*S529</f>
        <v>0</v>
      </c>
      <c r="V529" s="491"/>
      <c r="W529" s="492" t="s">
        <v>1858</v>
      </c>
      <c r="X529" s="492"/>
      <c r="Y529" s="493" t="s">
        <v>1859</v>
      </c>
      <c r="Z529" s="493"/>
      <c r="AA529" s="493"/>
      <c r="AB529" s="493"/>
      <c r="AC529" s="493"/>
      <c r="AD529" s="493"/>
      <c r="AE529" s="493"/>
      <c r="AF529" s="468"/>
    </row>
    <row r="530" customFormat="false" ht="12.75" hidden="false" customHeight="true" outlineLevel="0" collapsed="false">
      <c r="A530" s="494"/>
      <c r="B530" s="494"/>
      <c r="C530" s="494"/>
      <c r="D530" s="494"/>
      <c r="E530" s="494"/>
      <c r="F530" s="494"/>
      <c r="G530" s="494"/>
      <c r="H530" s="494"/>
      <c r="I530" s="494"/>
      <c r="J530" s="494"/>
      <c r="K530" s="494"/>
      <c r="L530" s="494"/>
      <c r="M530" s="494"/>
      <c r="N530" s="494"/>
      <c r="O530" s="494"/>
      <c r="P530" s="494"/>
      <c r="Q530" s="494"/>
      <c r="R530" s="494"/>
      <c r="S530" s="494"/>
      <c r="T530" s="494"/>
      <c r="U530" s="494"/>
      <c r="V530" s="494"/>
      <c r="W530" s="494"/>
      <c r="X530" s="494"/>
      <c r="Y530" s="494"/>
      <c r="Z530" s="494"/>
      <c r="AA530" s="494"/>
      <c r="AB530" s="494"/>
      <c r="AC530" s="494"/>
      <c r="AD530" s="494"/>
      <c r="AE530" s="494"/>
      <c r="AF530" s="468"/>
    </row>
    <row r="531" customFormat="false" ht="12.75" hidden="false" customHeight="true" outlineLevel="0" collapsed="false">
      <c r="A531" s="495"/>
      <c r="B531" s="495"/>
      <c r="C531" s="495"/>
      <c r="D531" s="495"/>
      <c r="E531" s="495"/>
      <c r="F531" s="495"/>
      <c r="G531" s="495"/>
      <c r="H531" s="495"/>
      <c r="I531" s="495"/>
      <c r="J531" s="495"/>
      <c r="K531" s="495"/>
      <c r="L531" s="495"/>
      <c r="M531" s="495"/>
      <c r="N531" s="495"/>
      <c r="O531" s="495"/>
      <c r="P531" s="495"/>
      <c r="Q531" s="495"/>
      <c r="R531" s="495"/>
      <c r="S531" s="495"/>
      <c r="T531" s="495"/>
      <c r="U531" s="495"/>
      <c r="V531" s="495"/>
      <c r="W531" s="495"/>
      <c r="X531" s="495"/>
      <c r="Y531" s="495"/>
      <c r="Z531" s="495"/>
      <c r="AA531" s="495"/>
      <c r="AB531" s="453"/>
      <c r="AC531" s="454" t="s">
        <v>1657</v>
      </c>
      <c r="AD531" s="455" t="n">
        <v>18</v>
      </c>
      <c r="AE531" s="455" t="s">
        <v>29</v>
      </c>
      <c r="AF531" s="455" t="n">
        <v>27</v>
      </c>
    </row>
    <row r="532" customFormat="false" ht="12.75" hidden="false" customHeight="true" outlineLevel="0" collapsed="false">
      <c r="A532" s="398" t="s">
        <v>1522</v>
      </c>
      <c r="B532" s="398"/>
      <c r="C532" s="456" t="n">
        <v>14345</v>
      </c>
      <c r="D532" s="456"/>
      <c r="E532" s="456"/>
      <c r="F532" s="456"/>
      <c r="G532" s="456"/>
      <c r="H532" s="456"/>
      <c r="I532" s="456"/>
      <c r="J532" s="456"/>
      <c r="K532" s="456"/>
      <c r="L532" s="456"/>
      <c r="M532" s="398" t="s">
        <v>1523</v>
      </c>
      <c r="N532" s="398"/>
      <c r="O532" s="398"/>
      <c r="P532" s="398"/>
      <c r="Q532" s="398"/>
      <c r="R532" s="456" t="s">
        <v>15</v>
      </c>
      <c r="S532" s="456"/>
      <c r="T532" s="456"/>
      <c r="U532" s="456"/>
      <c r="V532" s="456"/>
      <c r="W532" s="456"/>
      <c r="X532" s="456"/>
      <c r="Y532" s="456"/>
      <c r="Z532" s="456"/>
      <c r="AA532" s="456"/>
      <c r="AB532" s="456"/>
      <c r="AC532" s="456"/>
      <c r="AD532" s="456"/>
      <c r="AE532" s="456"/>
      <c r="AF532" s="456"/>
    </row>
    <row r="533" customFormat="false" ht="12.75" hidden="false" customHeight="true" outlineLevel="0" collapsed="false">
      <c r="A533" s="458"/>
      <c r="B533" s="458"/>
      <c r="C533" s="459"/>
      <c r="D533" s="459"/>
      <c r="E533" s="459"/>
      <c r="F533" s="459"/>
      <c r="G533" s="459"/>
      <c r="H533" s="459"/>
      <c r="I533" s="459"/>
      <c r="J533" s="459"/>
      <c r="K533" s="459"/>
      <c r="L533" s="459"/>
      <c r="M533" s="458"/>
      <c r="N533" s="458"/>
      <c r="O533" s="458"/>
      <c r="P533" s="458"/>
      <c r="Q533" s="458"/>
      <c r="R533" s="459"/>
      <c r="S533" s="459"/>
      <c r="T533" s="459"/>
      <c r="U533" s="459"/>
      <c r="V533" s="459"/>
      <c r="W533" s="459"/>
      <c r="X533" s="459"/>
      <c r="Y533" s="459"/>
      <c r="Z533" s="459"/>
      <c r="AA533" s="459"/>
      <c r="AB533" s="459"/>
      <c r="AC533" s="459"/>
      <c r="AD533" s="459"/>
      <c r="AE533" s="459"/>
      <c r="AF533" s="459"/>
    </row>
    <row r="534" customFormat="false" ht="15.75" hidden="false" customHeight="true" outlineLevel="0" collapsed="false">
      <c r="A534" s="460" t="str">
        <f aca="false">A507</f>
        <v>M28263</v>
      </c>
      <c r="B534" s="460"/>
      <c r="C534" s="460"/>
      <c r="D534" s="461" t="str">
        <f aca="false">D507</f>
        <v>SURGICAL CO A</v>
      </c>
      <c r="E534" s="461"/>
      <c r="F534" s="461"/>
      <c r="G534" s="461"/>
      <c r="H534" s="461"/>
      <c r="I534" s="461"/>
      <c r="J534" s="461"/>
      <c r="K534" s="461"/>
      <c r="L534" s="461"/>
      <c r="M534" s="458"/>
      <c r="N534" s="458"/>
      <c r="O534" s="458"/>
      <c r="P534" s="459"/>
      <c r="Q534" s="458"/>
      <c r="R534" s="459"/>
      <c r="S534" s="459"/>
      <c r="T534" s="459"/>
      <c r="U534" s="459"/>
      <c r="V534" s="459"/>
      <c r="W534" s="459"/>
      <c r="X534" s="459"/>
      <c r="Y534" s="459"/>
      <c r="Z534" s="459"/>
      <c r="AA534" s="459"/>
      <c r="AB534" s="459"/>
      <c r="AC534" s="459"/>
      <c r="AD534" s="459"/>
      <c r="AE534" s="459"/>
      <c r="AF534" s="459"/>
    </row>
    <row r="535" customFormat="false" ht="15.75" hidden="false" customHeight="true" outlineLevel="0" collapsed="false">
      <c r="A535" s="462" t="s">
        <v>1659</v>
      </c>
      <c r="B535" s="462"/>
      <c r="C535" s="462"/>
      <c r="D535" s="463" t="s">
        <v>1660</v>
      </c>
      <c r="E535" s="463"/>
      <c r="F535" s="463"/>
      <c r="G535" s="463"/>
      <c r="H535" s="463"/>
      <c r="I535" s="463"/>
      <c r="J535" s="463"/>
      <c r="K535" s="463"/>
      <c r="L535" s="463"/>
      <c r="M535" s="564" t="s">
        <v>1661</v>
      </c>
      <c r="N535" s="564"/>
      <c r="O535" s="465" t="s">
        <v>1662</v>
      </c>
      <c r="P535" s="465"/>
      <c r="Q535" s="465" t="s">
        <v>1663</v>
      </c>
      <c r="R535" s="465"/>
      <c r="S535" s="466" t="s">
        <v>1664</v>
      </c>
      <c r="T535" s="466"/>
      <c r="U535" s="466" t="s">
        <v>1665</v>
      </c>
      <c r="V535" s="466"/>
      <c r="W535" s="464" t="s">
        <v>1666</v>
      </c>
      <c r="X535" s="464"/>
      <c r="Y535" s="467" t="s">
        <v>1667</v>
      </c>
      <c r="Z535" s="467"/>
      <c r="AA535" s="467"/>
      <c r="AB535" s="467"/>
      <c r="AC535" s="467"/>
      <c r="AD535" s="467"/>
      <c r="AE535" s="467"/>
      <c r="AF535" s="459"/>
    </row>
    <row r="536" customFormat="false" ht="15.75" hidden="false" customHeight="true" outlineLevel="0" collapsed="false">
      <c r="A536" s="462"/>
      <c r="B536" s="462"/>
      <c r="C536" s="462"/>
      <c r="D536" s="463"/>
      <c r="E536" s="463"/>
      <c r="F536" s="463"/>
      <c r="G536" s="463"/>
      <c r="H536" s="463"/>
      <c r="I536" s="463"/>
      <c r="J536" s="463"/>
      <c r="K536" s="463"/>
      <c r="L536" s="463"/>
      <c r="M536" s="564"/>
      <c r="N536" s="564"/>
      <c r="O536" s="465"/>
      <c r="P536" s="465"/>
      <c r="Q536" s="465"/>
      <c r="R536" s="465"/>
      <c r="S536" s="466"/>
      <c r="T536" s="466"/>
      <c r="U536" s="466"/>
      <c r="V536" s="466"/>
      <c r="W536" s="464"/>
      <c r="X536" s="464"/>
      <c r="Y536" s="467"/>
      <c r="Z536" s="467"/>
      <c r="AA536" s="467"/>
      <c r="AB536" s="467"/>
      <c r="AC536" s="467"/>
      <c r="AD536" s="467"/>
      <c r="AE536" s="467"/>
      <c r="AF536" s="459"/>
    </row>
    <row r="537" customFormat="false" ht="30" hidden="false" customHeight="true" outlineLevel="0" collapsed="false">
      <c r="A537" s="462"/>
      <c r="B537" s="462"/>
      <c r="C537" s="462"/>
      <c r="D537" s="463"/>
      <c r="E537" s="463"/>
      <c r="F537" s="463"/>
      <c r="G537" s="463"/>
      <c r="H537" s="463"/>
      <c r="I537" s="463"/>
      <c r="J537" s="463"/>
      <c r="K537" s="463"/>
      <c r="L537" s="463"/>
      <c r="M537" s="564"/>
      <c r="N537" s="564"/>
      <c r="O537" s="465"/>
      <c r="P537" s="465"/>
      <c r="Q537" s="465"/>
      <c r="R537" s="465"/>
      <c r="S537" s="466"/>
      <c r="T537" s="466"/>
      <c r="U537" s="466"/>
      <c r="V537" s="466"/>
      <c r="W537" s="464"/>
      <c r="X537" s="464"/>
      <c r="Y537" s="467"/>
      <c r="Z537" s="467"/>
      <c r="AA537" s="467"/>
      <c r="AB537" s="467"/>
      <c r="AC537" s="467"/>
      <c r="AD537" s="467"/>
      <c r="AE537" s="467"/>
      <c r="AF537" s="468"/>
    </row>
    <row r="538" customFormat="false" ht="30" hidden="false" customHeight="true" outlineLevel="0" collapsed="false">
      <c r="A538" s="469" t="s">
        <v>1860</v>
      </c>
      <c r="B538" s="469"/>
      <c r="C538" s="469"/>
      <c r="D538" s="470" t="s">
        <v>1861</v>
      </c>
      <c r="E538" s="470"/>
      <c r="F538" s="470"/>
      <c r="G538" s="470"/>
      <c r="H538" s="470"/>
      <c r="I538" s="470"/>
      <c r="J538" s="470"/>
      <c r="K538" s="470"/>
      <c r="L538" s="470"/>
      <c r="M538" s="570" t="n">
        <f aca="false">SUMIFS(TE!P:P,TE!G:G,$A$426,TE!H:H,A538)</f>
        <v>0</v>
      </c>
      <c r="N538" s="570"/>
      <c r="O538" s="472" t="n">
        <v>18</v>
      </c>
      <c r="P538" s="472"/>
      <c r="Q538" s="473" t="n">
        <f aca="false">M538/O538</f>
        <v>0</v>
      </c>
      <c r="R538" s="473"/>
      <c r="S538" s="474" t="n">
        <v>13.4</v>
      </c>
      <c r="T538" s="474"/>
      <c r="U538" s="474" t="n">
        <f aca="false">Q538*S538</f>
        <v>0</v>
      </c>
      <c r="V538" s="474"/>
      <c r="W538" s="475" t="s">
        <v>1670</v>
      </c>
      <c r="X538" s="475"/>
      <c r="Y538" s="476" t="s">
        <v>1671</v>
      </c>
      <c r="Z538" s="476"/>
      <c r="AA538" s="476"/>
      <c r="AB538" s="476"/>
      <c r="AC538" s="476"/>
      <c r="AD538" s="476"/>
      <c r="AE538" s="476"/>
      <c r="AF538" s="468"/>
    </row>
    <row r="539" customFormat="false" ht="30" hidden="false" customHeight="true" outlineLevel="0" collapsed="false">
      <c r="A539" s="477" t="s">
        <v>1862</v>
      </c>
      <c r="B539" s="477"/>
      <c r="C539" s="477"/>
      <c r="D539" s="478" t="s">
        <v>1863</v>
      </c>
      <c r="E539" s="478"/>
      <c r="F539" s="478"/>
      <c r="G539" s="478"/>
      <c r="H539" s="478"/>
      <c r="I539" s="478"/>
      <c r="J539" s="478"/>
      <c r="K539" s="478"/>
      <c r="L539" s="478"/>
      <c r="M539" s="479" t="n">
        <f aca="false">SUMIFS(TE!P:P,TE!G:G,$A$426,TE!H:H,A539)</f>
        <v>0</v>
      </c>
      <c r="N539" s="479"/>
      <c r="O539" s="485" t="s">
        <v>1678</v>
      </c>
      <c r="P539" s="485"/>
      <c r="Q539" s="485" t="s">
        <v>1678</v>
      </c>
      <c r="R539" s="485"/>
      <c r="S539" s="485" t="s">
        <v>1678</v>
      </c>
      <c r="T539" s="485"/>
      <c r="U539" s="485" t="s">
        <v>1678</v>
      </c>
      <c r="V539" s="485"/>
      <c r="W539" s="483" t="s">
        <v>1679</v>
      </c>
      <c r="X539" s="483"/>
      <c r="Y539" s="484" t="s">
        <v>1864</v>
      </c>
      <c r="Z539" s="484"/>
      <c r="AA539" s="484"/>
      <c r="AB539" s="484"/>
      <c r="AC539" s="484"/>
      <c r="AD539" s="484"/>
      <c r="AE539" s="484"/>
      <c r="AF539" s="468"/>
    </row>
    <row r="540" customFormat="false" ht="30" hidden="false" customHeight="true" outlineLevel="0" collapsed="false">
      <c r="A540" s="477" t="s">
        <v>1865</v>
      </c>
      <c r="B540" s="477"/>
      <c r="C540" s="477"/>
      <c r="D540" s="478" t="s">
        <v>1866</v>
      </c>
      <c r="E540" s="478"/>
      <c r="F540" s="478"/>
      <c r="G540" s="478"/>
      <c r="H540" s="478"/>
      <c r="I540" s="478"/>
      <c r="J540" s="478"/>
      <c r="K540" s="478"/>
      <c r="L540" s="478"/>
      <c r="M540" s="479" t="n">
        <f aca="false">SUMIFS(TE!P:P,TE!G:G,$A$426,TE!H:H,A540)</f>
        <v>0</v>
      </c>
      <c r="N540" s="479"/>
      <c r="O540" s="480" t="n">
        <v>200</v>
      </c>
      <c r="P540" s="480"/>
      <c r="Q540" s="481" t="n">
        <f aca="false">M540/O540</f>
        <v>0</v>
      </c>
      <c r="R540" s="481"/>
      <c r="S540" s="482" t="n">
        <v>13.4</v>
      </c>
      <c r="T540" s="482"/>
      <c r="U540" s="482" t="n">
        <f aca="false">Q540*S540</f>
        <v>0</v>
      </c>
      <c r="V540" s="482"/>
      <c r="W540" s="483" t="s">
        <v>1670</v>
      </c>
      <c r="X540" s="483"/>
      <c r="Y540" s="484" t="s">
        <v>1671</v>
      </c>
      <c r="Z540" s="484"/>
      <c r="AA540" s="484"/>
      <c r="AB540" s="484"/>
      <c r="AC540" s="484"/>
      <c r="AD540" s="484"/>
      <c r="AE540" s="484"/>
      <c r="AF540" s="468"/>
    </row>
    <row r="541" customFormat="false" ht="30" hidden="false" customHeight="true" outlineLevel="0" collapsed="false">
      <c r="A541" s="477" t="s">
        <v>1867</v>
      </c>
      <c r="B541" s="477"/>
      <c r="C541" s="477"/>
      <c r="D541" s="478" t="s">
        <v>1868</v>
      </c>
      <c r="E541" s="478"/>
      <c r="F541" s="478"/>
      <c r="G541" s="478"/>
      <c r="H541" s="478"/>
      <c r="I541" s="478"/>
      <c r="J541" s="478"/>
      <c r="K541" s="478"/>
      <c r="L541" s="478"/>
      <c r="M541" s="479" t="n">
        <f aca="false">SUMIFS(TE!P:P,TE!G:G,$A$426,TE!H:H,A541)</f>
        <v>0</v>
      </c>
      <c r="N541" s="479"/>
      <c r="O541" s="480" t="n">
        <v>30</v>
      </c>
      <c r="P541" s="480"/>
      <c r="Q541" s="481" t="n">
        <f aca="false">M541/O541</f>
        <v>0</v>
      </c>
      <c r="R541" s="481"/>
      <c r="S541" s="482" t="n">
        <v>13.4</v>
      </c>
      <c r="T541" s="482"/>
      <c r="U541" s="482" t="n">
        <f aca="false">Q541*S541</f>
        <v>0</v>
      </c>
      <c r="V541" s="482"/>
      <c r="W541" s="483" t="s">
        <v>1670</v>
      </c>
      <c r="X541" s="483"/>
      <c r="Y541" s="484" t="s">
        <v>1671</v>
      </c>
      <c r="Z541" s="484"/>
      <c r="AA541" s="484"/>
      <c r="AB541" s="484"/>
      <c r="AC541" s="484"/>
      <c r="AD541" s="484"/>
      <c r="AE541" s="484"/>
      <c r="AF541" s="468"/>
    </row>
    <row r="542" customFormat="false" ht="30" hidden="false" customHeight="true" outlineLevel="0" collapsed="false">
      <c r="A542" s="477" t="s">
        <v>1869</v>
      </c>
      <c r="B542" s="477"/>
      <c r="C542" s="477"/>
      <c r="D542" s="478" t="s">
        <v>1870</v>
      </c>
      <c r="E542" s="478"/>
      <c r="F542" s="478"/>
      <c r="G542" s="478"/>
      <c r="H542" s="478"/>
      <c r="I542" s="478"/>
      <c r="J542" s="478"/>
      <c r="K542" s="478"/>
      <c r="L542" s="478"/>
      <c r="M542" s="479" t="n">
        <f aca="false">SUMIFS(TE!P:P,TE!G:G,$A$426,TE!H:H,A542)</f>
        <v>0</v>
      </c>
      <c r="N542" s="479"/>
      <c r="O542" s="480" t="n">
        <v>24</v>
      </c>
      <c r="P542" s="480"/>
      <c r="Q542" s="481" t="n">
        <f aca="false">M542/O542</f>
        <v>0</v>
      </c>
      <c r="R542" s="481"/>
      <c r="S542" s="482" t="n">
        <v>13.4</v>
      </c>
      <c r="T542" s="482"/>
      <c r="U542" s="482" t="n">
        <f aca="false">Q542*S542</f>
        <v>0</v>
      </c>
      <c r="V542" s="482"/>
      <c r="W542" s="483" t="s">
        <v>1670</v>
      </c>
      <c r="X542" s="483"/>
      <c r="Y542" s="484" t="s">
        <v>1671</v>
      </c>
      <c r="Z542" s="484"/>
      <c r="AA542" s="484"/>
      <c r="AB542" s="484"/>
      <c r="AC542" s="484"/>
      <c r="AD542" s="484"/>
      <c r="AE542" s="484"/>
      <c r="AF542" s="468"/>
    </row>
    <row r="543" customFormat="false" ht="30" hidden="false" customHeight="true" outlineLevel="0" collapsed="false">
      <c r="A543" s="477" t="s">
        <v>1871</v>
      </c>
      <c r="B543" s="477"/>
      <c r="C543" s="477"/>
      <c r="D543" s="478" t="s">
        <v>1872</v>
      </c>
      <c r="E543" s="478"/>
      <c r="F543" s="478"/>
      <c r="G543" s="478"/>
      <c r="H543" s="478"/>
      <c r="I543" s="478"/>
      <c r="J543" s="478"/>
      <c r="K543" s="478"/>
      <c r="L543" s="478"/>
      <c r="M543" s="479" t="n">
        <f aca="false">SUMIFS(TE!P:P,TE!G:G,$A$426,TE!H:H,A543)</f>
        <v>0</v>
      </c>
      <c r="N543" s="479"/>
      <c r="O543" s="480" t="n">
        <v>160</v>
      </c>
      <c r="P543" s="480"/>
      <c r="Q543" s="481" t="n">
        <f aca="false">M543/O543</f>
        <v>0</v>
      </c>
      <c r="R543" s="481"/>
      <c r="S543" s="482" t="n">
        <v>13.4</v>
      </c>
      <c r="T543" s="482"/>
      <c r="U543" s="482" t="n">
        <f aca="false">Q543*S543</f>
        <v>0</v>
      </c>
      <c r="V543" s="482"/>
      <c r="W543" s="483" t="s">
        <v>1670</v>
      </c>
      <c r="X543" s="483"/>
      <c r="Y543" s="484" t="s">
        <v>1671</v>
      </c>
      <c r="Z543" s="484"/>
      <c r="AA543" s="484"/>
      <c r="AB543" s="484"/>
      <c r="AC543" s="484"/>
      <c r="AD543" s="484"/>
      <c r="AE543" s="484"/>
      <c r="AF543" s="468"/>
    </row>
    <row r="544" customFormat="false" ht="49.5" hidden="false" customHeight="true" outlineLevel="0" collapsed="false">
      <c r="A544" s="477" t="s">
        <v>1873</v>
      </c>
      <c r="B544" s="477"/>
      <c r="C544" s="477"/>
      <c r="D544" s="478" t="s">
        <v>1874</v>
      </c>
      <c r="E544" s="478"/>
      <c r="F544" s="478"/>
      <c r="G544" s="478"/>
      <c r="H544" s="478"/>
      <c r="I544" s="478"/>
      <c r="J544" s="478"/>
      <c r="K544" s="478"/>
      <c r="L544" s="478"/>
      <c r="M544" s="479" t="n">
        <f aca="false">SUMIFS(TE!P:P,TE!G:G,$A$426,TE!H:H,A544)</f>
        <v>0</v>
      </c>
      <c r="N544" s="479"/>
      <c r="O544" s="485" t="s">
        <v>1678</v>
      </c>
      <c r="P544" s="485"/>
      <c r="Q544" s="485" t="s">
        <v>1678</v>
      </c>
      <c r="R544" s="485"/>
      <c r="S544" s="485" t="s">
        <v>1678</v>
      </c>
      <c r="T544" s="485"/>
      <c r="U544" s="485" t="s">
        <v>1678</v>
      </c>
      <c r="V544" s="485"/>
      <c r="W544" s="483" t="s">
        <v>1679</v>
      </c>
      <c r="X544" s="483"/>
      <c r="Y544" s="484" t="s">
        <v>1875</v>
      </c>
      <c r="Z544" s="484"/>
      <c r="AA544" s="484"/>
      <c r="AB544" s="484"/>
      <c r="AC544" s="484"/>
      <c r="AD544" s="484"/>
      <c r="AE544" s="484"/>
      <c r="AF544" s="468"/>
    </row>
    <row r="545" customFormat="false" ht="39.75" hidden="false" customHeight="true" outlineLevel="0" collapsed="false">
      <c r="A545" s="477" t="s">
        <v>1876</v>
      </c>
      <c r="B545" s="477"/>
      <c r="C545" s="477"/>
      <c r="D545" s="478" t="s">
        <v>1877</v>
      </c>
      <c r="E545" s="478"/>
      <c r="F545" s="478"/>
      <c r="G545" s="478"/>
      <c r="H545" s="478"/>
      <c r="I545" s="478"/>
      <c r="J545" s="478"/>
      <c r="K545" s="478"/>
      <c r="L545" s="478"/>
      <c r="M545" s="479" t="n">
        <f aca="false">SUMIFS(TE!P:P,TE!G:G,$A$426,TE!H:H,A545)</f>
        <v>0</v>
      </c>
      <c r="N545" s="479"/>
      <c r="O545" s="480" t="n">
        <v>6</v>
      </c>
      <c r="P545" s="480"/>
      <c r="Q545" s="481" t="n">
        <f aca="false">M545/O545</f>
        <v>0</v>
      </c>
      <c r="R545" s="481"/>
      <c r="S545" s="482" t="n">
        <v>13.4</v>
      </c>
      <c r="T545" s="482"/>
      <c r="U545" s="482" t="n">
        <f aca="false">Q545*S545</f>
        <v>0</v>
      </c>
      <c r="V545" s="482"/>
      <c r="W545" s="483" t="s">
        <v>1878</v>
      </c>
      <c r="X545" s="483"/>
      <c r="Y545" s="484" t="s">
        <v>1879</v>
      </c>
      <c r="Z545" s="484"/>
      <c r="AA545" s="484"/>
      <c r="AB545" s="484"/>
      <c r="AC545" s="484"/>
      <c r="AD545" s="484"/>
      <c r="AE545" s="484"/>
      <c r="AF545" s="468"/>
    </row>
    <row r="546" customFormat="false" ht="39.75" hidden="false" customHeight="true" outlineLevel="0" collapsed="false">
      <c r="A546" s="477" t="s">
        <v>1880</v>
      </c>
      <c r="B546" s="477"/>
      <c r="C546" s="477"/>
      <c r="D546" s="478" t="s">
        <v>1881</v>
      </c>
      <c r="E546" s="478"/>
      <c r="F546" s="478"/>
      <c r="G546" s="478"/>
      <c r="H546" s="478"/>
      <c r="I546" s="478"/>
      <c r="J546" s="478"/>
      <c r="K546" s="478"/>
      <c r="L546" s="478"/>
      <c r="M546" s="479" t="n">
        <f aca="false">SUMIFS(TE!P:P,TE!G:G,$A$426,TE!H:H,A546)</f>
        <v>0</v>
      </c>
      <c r="N546" s="479"/>
      <c r="O546" s="480" t="n">
        <v>15</v>
      </c>
      <c r="P546" s="480"/>
      <c r="Q546" s="481" t="n">
        <f aca="false">M546/O546</f>
        <v>0</v>
      </c>
      <c r="R546" s="481"/>
      <c r="S546" s="482" t="n">
        <v>13.4</v>
      </c>
      <c r="T546" s="482"/>
      <c r="U546" s="482" t="n">
        <f aca="false">Q546*S546</f>
        <v>0</v>
      </c>
      <c r="V546" s="482"/>
      <c r="W546" s="483" t="s">
        <v>1878</v>
      </c>
      <c r="X546" s="483"/>
      <c r="Y546" s="484" t="s">
        <v>1879</v>
      </c>
      <c r="Z546" s="484"/>
      <c r="AA546" s="484"/>
      <c r="AB546" s="484"/>
      <c r="AC546" s="484"/>
      <c r="AD546" s="484"/>
      <c r="AE546" s="484"/>
      <c r="AF546" s="468"/>
    </row>
    <row r="547" customFormat="false" ht="30" hidden="false" customHeight="true" outlineLevel="0" collapsed="false">
      <c r="A547" s="477" t="s">
        <v>1880</v>
      </c>
      <c r="B547" s="477"/>
      <c r="C547" s="477"/>
      <c r="D547" s="478" t="s">
        <v>1882</v>
      </c>
      <c r="E547" s="478"/>
      <c r="F547" s="478"/>
      <c r="G547" s="478"/>
      <c r="H547" s="478"/>
      <c r="I547" s="478"/>
      <c r="J547" s="478"/>
      <c r="K547" s="478"/>
      <c r="L547" s="478"/>
      <c r="M547" s="479" t="n">
        <f aca="false">SUMIFS(TE!P:P,TE!G:G,$A$426,TE!H:H,A547)</f>
        <v>0</v>
      </c>
      <c r="N547" s="479"/>
      <c r="O547" s="480" t="n">
        <v>1</v>
      </c>
      <c r="P547" s="480"/>
      <c r="Q547" s="481" t="n">
        <f aca="false">ROUNDUP(M547/O547,0)</f>
        <v>0</v>
      </c>
      <c r="R547" s="481"/>
      <c r="S547" s="482" t="n">
        <v>18</v>
      </c>
      <c r="T547" s="482"/>
      <c r="U547" s="482" t="n">
        <f aca="false">Q547*S547</f>
        <v>0</v>
      </c>
      <c r="V547" s="482"/>
      <c r="W547" s="483" t="s">
        <v>1883</v>
      </c>
      <c r="X547" s="483"/>
      <c r="Y547" s="484" t="s">
        <v>1884</v>
      </c>
      <c r="Z547" s="484"/>
      <c r="AA547" s="484"/>
      <c r="AB547" s="484"/>
      <c r="AC547" s="484"/>
      <c r="AD547" s="484"/>
      <c r="AE547" s="484"/>
      <c r="AF547" s="468"/>
    </row>
    <row r="548" customFormat="false" ht="30" hidden="false" customHeight="true" outlineLevel="0" collapsed="false">
      <c r="A548" s="477" t="s">
        <v>1885</v>
      </c>
      <c r="B548" s="477"/>
      <c r="C548" s="477"/>
      <c r="D548" s="478" t="s">
        <v>1886</v>
      </c>
      <c r="E548" s="478"/>
      <c r="F548" s="478"/>
      <c r="G548" s="478"/>
      <c r="H548" s="478"/>
      <c r="I548" s="478"/>
      <c r="J548" s="478"/>
      <c r="K548" s="478"/>
      <c r="L548" s="478"/>
      <c r="M548" s="479" t="n">
        <f aca="false">SUMIFS(TE!P:P,TE!G:G,$A$426,TE!H:H,A548)</f>
        <v>0</v>
      </c>
      <c r="N548" s="479"/>
      <c r="O548" s="480" t="n">
        <v>48</v>
      </c>
      <c r="P548" s="480"/>
      <c r="Q548" s="481" t="n">
        <f aca="false">M548/O548</f>
        <v>0</v>
      </c>
      <c r="R548" s="481"/>
      <c r="S548" s="482" t="n">
        <v>13.4</v>
      </c>
      <c r="T548" s="482"/>
      <c r="U548" s="482" t="n">
        <f aca="false">Q548*S548</f>
        <v>0</v>
      </c>
      <c r="V548" s="482"/>
      <c r="W548" s="483" t="s">
        <v>1670</v>
      </c>
      <c r="X548" s="483"/>
      <c r="Y548" s="484" t="s">
        <v>1671</v>
      </c>
      <c r="Z548" s="484"/>
      <c r="AA548" s="484"/>
      <c r="AB548" s="484"/>
      <c r="AC548" s="484"/>
      <c r="AD548" s="484"/>
      <c r="AE548" s="484"/>
      <c r="AF548" s="468"/>
    </row>
    <row r="549" customFormat="false" ht="30" hidden="false" customHeight="true" outlineLevel="0" collapsed="false">
      <c r="A549" s="477" t="s">
        <v>1887</v>
      </c>
      <c r="B549" s="477"/>
      <c r="C549" s="477"/>
      <c r="D549" s="478" t="s">
        <v>1888</v>
      </c>
      <c r="E549" s="478"/>
      <c r="F549" s="478"/>
      <c r="G549" s="478"/>
      <c r="H549" s="478"/>
      <c r="I549" s="478"/>
      <c r="J549" s="478"/>
      <c r="K549" s="478"/>
      <c r="L549" s="478"/>
      <c r="M549" s="479" t="n">
        <f aca="false">SUMIFS(TE!P:P,TE!G:G,$A$426,TE!H:H,A549)</f>
        <v>0</v>
      </c>
      <c r="N549" s="479"/>
      <c r="O549" s="480" t="n">
        <v>120</v>
      </c>
      <c r="P549" s="480"/>
      <c r="Q549" s="481" t="n">
        <f aca="false">M549/O549</f>
        <v>0</v>
      </c>
      <c r="R549" s="481"/>
      <c r="S549" s="482" t="n">
        <v>13.4</v>
      </c>
      <c r="T549" s="482"/>
      <c r="U549" s="482" t="n">
        <f aca="false">Q549*S549</f>
        <v>0</v>
      </c>
      <c r="V549" s="482"/>
      <c r="W549" s="483" t="s">
        <v>1670</v>
      </c>
      <c r="X549" s="483"/>
      <c r="Y549" s="484" t="s">
        <v>1671</v>
      </c>
      <c r="Z549" s="484"/>
      <c r="AA549" s="484"/>
      <c r="AB549" s="484"/>
      <c r="AC549" s="484"/>
      <c r="AD549" s="484"/>
      <c r="AE549" s="484"/>
      <c r="AF549" s="468"/>
    </row>
    <row r="550" customFormat="false" ht="30" hidden="false" customHeight="true" outlineLevel="0" collapsed="false">
      <c r="A550" s="477" t="s">
        <v>1889</v>
      </c>
      <c r="B550" s="477"/>
      <c r="C550" s="477"/>
      <c r="D550" s="478" t="s">
        <v>1890</v>
      </c>
      <c r="E550" s="478"/>
      <c r="F550" s="478"/>
      <c r="G550" s="478"/>
      <c r="H550" s="478"/>
      <c r="I550" s="478"/>
      <c r="J550" s="478"/>
      <c r="K550" s="478"/>
      <c r="L550" s="478"/>
      <c r="M550" s="479" t="n">
        <f aca="false">SUMIFS(TE!P:P,TE!G:G,$A$426,TE!H:H,A550)</f>
        <v>0</v>
      </c>
      <c r="N550" s="479"/>
      <c r="O550" s="480" t="n">
        <v>12</v>
      </c>
      <c r="P550" s="480"/>
      <c r="Q550" s="481" t="n">
        <f aca="false">ROUNDUP(M550/O550,0)</f>
        <v>0</v>
      </c>
      <c r="R550" s="481"/>
      <c r="S550" s="482" t="n">
        <v>13.4</v>
      </c>
      <c r="T550" s="482"/>
      <c r="U550" s="482" t="n">
        <f aca="false">Q550*S550</f>
        <v>0</v>
      </c>
      <c r="V550" s="482"/>
      <c r="W550" s="483" t="s">
        <v>1891</v>
      </c>
      <c r="X550" s="483"/>
      <c r="Y550" s="484" t="s">
        <v>1892</v>
      </c>
      <c r="Z550" s="484"/>
      <c r="AA550" s="484"/>
      <c r="AB550" s="484"/>
      <c r="AC550" s="484"/>
      <c r="AD550" s="484"/>
      <c r="AE550" s="484"/>
      <c r="AF550" s="468"/>
    </row>
    <row r="551" customFormat="false" ht="39.75" hidden="false" customHeight="true" outlineLevel="0" collapsed="false">
      <c r="A551" s="477" t="s">
        <v>1889</v>
      </c>
      <c r="B551" s="477"/>
      <c r="C551" s="477"/>
      <c r="D551" s="478" t="s">
        <v>1893</v>
      </c>
      <c r="E551" s="478"/>
      <c r="F551" s="478"/>
      <c r="G551" s="478"/>
      <c r="H551" s="478"/>
      <c r="I551" s="478"/>
      <c r="J551" s="478"/>
      <c r="K551" s="478"/>
      <c r="L551" s="478"/>
      <c r="M551" s="479" t="n">
        <f aca="false">SUMIFS(TE!P:P,TE!G:G,$A$426,TE!H:H,A551)</f>
        <v>0</v>
      </c>
      <c r="N551" s="479"/>
      <c r="O551" s="485" t="s">
        <v>1678</v>
      </c>
      <c r="P551" s="485"/>
      <c r="Q551" s="485" t="s">
        <v>1678</v>
      </c>
      <c r="R551" s="485"/>
      <c r="S551" s="485" t="s">
        <v>1678</v>
      </c>
      <c r="T551" s="485"/>
      <c r="U551" s="485" t="s">
        <v>1678</v>
      </c>
      <c r="V551" s="485"/>
      <c r="W551" s="483" t="s">
        <v>1894</v>
      </c>
      <c r="X551" s="483"/>
      <c r="Y551" s="484" t="s">
        <v>1895</v>
      </c>
      <c r="Z551" s="484"/>
      <c r="AA551" s="484"/>
      <c r="AB551" s="484"/>
      <c r="AC551" s="484"/>
      <c r="AD551" s="484"/>
      <c r="AE551" s="484"/>
      <c r="AF551" s="468"/>
    </row>
    <row r="552" customFormat="false" ht="30" hidden="false" customHeight="true" outlineLevel="0" collapsed="false">
      <c r="A552" s="477" t="s">
        <v>1896</v>
      </c>
      <c r="B552" s="477"/>
      <c r="C552" s="477"/>
      <c r="D552" s="478" t="s">
        <v>1897</v>
      </c>
      <c r="E552" s="478"/>
      <c r="F552" s="478"/>
      <c r="G552" s="478"/>
      <c r="H552" s="478"/>
      <c r="I552" s="478"/>
      <c r="J552" s="478"/>
      <c r="K552" s="478"/>
      <c r="L552" s="478"/>
      <c r="M552" s="479" t="n">
        <f aca="false">SUMIFS(TE!P:P,TE!G:G,$A$426,TE!H:H,A552)</f>
        <v>0</v>
      </c>
      <c r="N552" s="479"/>
      <c r="O552" s="480" t="n">
        <v>4</v>
      </c>
      <c r="P552" s="480"/>
      <c r="Q552" s="481" t="n">
        <f aca="false">ROUNDUP(M552/O552,0)</f>
        <v>0</v>
      </c>
      <c r="R552" s="481"/>
      <c r="S552" s="482" t="n">
        <v>13.4</v>
      </c>
      <c r="T552" s="482"/>
      <c r="U552" s="482" t="n">
        <f aca="false">Q552*S552</f>
        <v>0</v>
      </c>
      <c r="V552" s="482"/>
      <c r="W552" s="483" t="s">
        <v>1795</v>
      </c>
      <c r="X552" s="483"/>
      <c r="Y552" s="484" t="s">
        <v>1796</v>
      </c>
      <c r="Z552" s="484"/>
      <c r="AA552" s="484"/>
      <c r="AB552" s="484"/>
      <c r="AC552" s="484"/>
      <c r="AD552" s="484"/>
      <c r="AE552" s="484"/>
      <c r="AF552" s="468"/>
    </row>
    <row r="553" customFormat="false" ht="30" hidden="false" customHeight="true" outlineLevel="0" collapsed="false">
      <c r="A553" s="477" t="s">
        <v>1898</v>
      </c>
      <c r="B553" s="477"/>
      <c r="C553" s="477"/>
      <c r="D553" s="478" t="s">
        <v>1899</v>
      </c>
      <c r="E553" s="478"/>
      <c r="F553" s="478"/>
      <c r="G553" s="478"/>
      <c r="H553" s="478"/>
      <c r="I553" s="478"/>
      <c r="J553" s="478"/>
      <c r="K553" s="478"/>
      <c r="L553" s="478"/>
      <c r="M553" s="479" t="n">
        <f aca="false">SUMIFS(TE!P:P,TE!G:G,$A$426,TE!H:H,A553)</f>
        <v>0</v>
      </c>
      <c r="N553" s="479"/>
      <c r="O553" s="480" t="n">
        <v>4</v>
      </c>
      <c r="P553" s="480"/>
      <c r="Q553" s="481" t="n">
        <f aca="false">ROUNDUP(M553/O553,0)</f>
        <v>0</v>
      </c>
      <c r="R553" s="481"/>
      <c r="S553" s="482" t="n">
        <v>13.4</v>
      </c>
      <c r="T553" s="482"/>
      <c r="U553" s="482" t="n">
        <f aca="false">Q553*S553</f>
        <v>0</v>
      </c>
      <c r="V553" s="482"/>
      <c r="W553" s="483" t="s">
        <v>1795</v>
      </c>
      <c r="X553" s="483"/>
      <c r="Y553" s="484" t="s">
        <v>1796</v>
      </c>
      <c r="Z553" s="484"/>
      <c r="AA553" s="484"/>
      <c r="AB553" s="484"/>
      <c r="AC553" s="484"/>
      <c r="AD553" s="484"/>
      <c r="AE553" s="484"/>
      <c r="AF553" s="468"/>
    </row>
    <row r="554" customFormat="false" ht="30" hidden="false" customHeight="true" outlineLevel="0" collapsed="false">
      <c r="A554" s="477" t="s">
        <v>1900</v>
      </c>
      <c r="B554" s="477"/>
      <c r="C554" s="477"/>
      <c r="D554" s="478" t="s">
        <v>1901</v>
      </c>
      <c r="E554" s="478"/>
      <c r="F554" s="478"/>
      <c r="G554" s="478"/>
      <c r="H554" s="478"/>
      <c r="I554" s="478"/>
      <c r="J554" s="478"/>
      <c r="K554" s="478"/>
      <c r="L554" s="478"/>
      <c r="M554" s="479" t="n">
        <f aca="false">SUMIFS(TE!P:P,TE!G:G,$A$426,TE!H:H,A554)</f>
        <v>2</v>
      </c>
      <c r="N554" s="479"/>
      <c r="O554" s="480" t="n">
        <v>6</v>
      </c>
      <c r="P554" s="480"/>
      <c r="Q554" s="481" t="n">
        <f aca="false">ROUNDUP(M554/O554,0)</f>
        <v>1</v>
      </c>
      <c r="R554" s="481"/>
      <c r="S554" s="482" t="n">
        <v>13.4</v>
      </c>
      <c r="T554" s="482"/>
      <c r="U554" s="482" t="n">
        <f aca="false">Q554*S554</f>
        <v>13.4</v>
      </c>
      <c r="V554" s="482"/>
      <c r="W554" s="483" t="s">
        <v>1902</v>
      </c>
      <c r="X554" s="483"/>
      <c r="Y554" s="484" t="s">
        <v>1903</v>
      </c>
      <c r="Z554" s="484"/>
      <c r="AA554" s="484"/>
      <c r="AB554" s="484"/>
      <c r="AC554" s="484"/>
      <c r="AD554" s="484"/>
      <c r="AE554" s="484"/>
      <c r="AF554" s="468"/>
    </row>
    <row r="555" customFormat="false" ht="39.75" hidden="false" customHeight="true" outlineLevel="0" collapsed="false">
      <c r="A555" s="477" t="s">
        <v>1900</v>
      </c>
      <c r="B555" s="477"/>
      <c r="C555" s="477"/>
      <c r="D555" s="478" t="s">
        <v>1904</v>
      </c>
      <c r="E555" s="478"/>
      <c r="F555" s="478"/>
      <c r="G555" s="478"/>
      <c r="H555" s="478"/>
      <c r="I555" s="478"/>
      <c r="J555" s="478"/>
      <c r="K555" s="478"/>
      <c r="L555" s="478"/>
      <c r="M555" s="479" t="n">
        <f aca="false">SUMIFS(TE!P:P,TE!G:G,$A$426,TE!H:H,A555)</f>
        <v>2</v>
      </c>
      <c r="N555" s="479"/>
      <c r="O555" s="485" t="s">
        <v>1678</v>
      </c>
      <c r="P555" s="485"/>
      <c r="Q555" s="485" t="s">
        <v>1678</v>
      </c>
      <c r="R555" s="485"/>
      <c r="S555" s="485" t="s">
        <v>1678</v>
      </c>
      <c r="T555" s="485"/>
      <c r="U555" s="485" t="s">
        <v>1678</v>
      </c>
      <c r="V555" s="485"/>
      <c r="W555" s="483" t="s">
        <v>1894</v>
      </c>
      <c r="X555" s="483"/>
      <c r="Y555" s="484" t="s">
        <v>1895</v>
      </c>
      <c r="Z555" s="484"/>
      <c r="AA555" s="484"/>
      <c r="AB555" s="484"/>
      <c r="AC555" s="484"/>
      <c r="AD555" s="484"/>
      <c r="AE555" s="484"/>
      <c r="AF555" s="468"/>
    </row>
    <row r="556" customFormat="false" ht="30" hidden="false" customHeight="true" outlineLevel="0" collapsed="false">
      <c r="A556" s="486" t="s">
        <v>1905</v>
      </c>
      <c r="B556" s="486"/>
      <c r="C556" s="486"/>
      <c r="D556" s="487" t="s">
        <v>1906</v>
      </c>
      <c r="E556" s="487"/>
      <c r="F556" s="487"/>
      <c r="G556" s="487"/>
      <c r="H556" s="487"/>
      <c r="I556" s="487"/>
      <c r="J556" s="487"/>
      <c r="K556" s="487"/>
      <c r="L556" s="487"/>
      <c r="M556" s="488" t="n">
        <f aca="false">SUMIFS(TE!P:P,TE!G:G,$A$426,TE!H:H,A556)</f>
        <v>2</v>
      </c>
      <c r="N556" s="488"/>
      <c r="O556" s="489" t="n">
        <v>4</v>
      </c>
      <c r="P556" s="489"/>
      <c r="Q556" s="490" t="n">
        <f aca="false">ROUNDUP(M556/O556,0)</f>
        <v>1</v>
      </c>
      <c r="R556" s="490"/>
      <c r="S556" s="491" t="n">
        <v>13.4</v>
      </c>
      <c r="T556" s="491"/>
      <c r="U556" s="491" t="n">
        <f aca="false">Q556*S556</f>
        <v>13.4</v>
      </c>
      <c r="V556" s="491"/>
      <c r="W556" s="492" t="s">
        <v>1907</v>
      </c>
      <c r="X556" s="492"/>
      <c r="Y556" s="493" t="s">
        <v>1796</v>
      </c>
      <c r="Z556" s="493"/>
      <c r="AA556" s="493"/>
      <c r="AB556" s="493"/>
      <c r="AC556" s="493"/>
      <c r="AD556" s="493"/>
      <c r="AE556" s="493"/>
      <c r="AF556" s="468"/>
    </row>
    <row r="557" customFormat="false" ht="12.75" hidden="false" customHeight="true" outlineLevel="0" collapsed="false">
      <c r="A557" s="494"/>
      <c r="B557" s="494"/>
      <c r="C557" s="494"/>
      <c r="D557" s="494"/>
      <c r="E557" s="494"/>
      <c r="F557" s="494"/>
      <c r="G557" s="494"/>
      <c r="H557" s="494"/>
      <c r="I557" s="494"/>
      <c r="J557" s="494"/>
      <c r="K557" s="494"/>
      <c r="L557" s="494"/>
      <c r="M557" s="494"/>
      <c r="N557" s="494"/>
      <c r="O557" s="494"/>
      <c r="P557" s="494"/>
      <c r="Q557" s="494"/>
      <c r="R557" s="494"/>
      <c r="S557" s="494"/>
      <c r="T557" s="494"/>
      <c r="U557" s="494"/>
      <c r="V557" s="494"/>
      <c r="W557" s="494"/>
      <c r="X557" s="494"/>
      <c r="Y557" s="494"/>
      <c r="Z557" s="494"/>
      <c r="AA557" s="494"/>
      <c r="AB557" s="494"/>
      <c r="AC557" s="494"/>
      <c r="AD557" s="494"/>
      <c r="AE557" s="494"/>
      <c r="AF557" s="468"/>
    </row>
    <row r="558" customFormat="false" ht="12.75" hidden="false" customHeight="true" outlineLevel="0" collapsed="false">
      <c r="A558" s="495"/>
      <c r="B558" s="495"/>
      <c r="C558" s="495"/>
      <c r="D558" s="495"/>
      <c r="E558" s="495"/>
      <c r="F558" s="495"/>
      <c r="G558" s="495"/>
      <c r="H558" s="495"/>
      <c r="I558" s="495"/>
      <c r="J558" s="495"/>
      <c r="K558" s="495"/>
      <c r="L558" s="495"/>
      <c r="M558" s="495"/>
      <c r="N558" s="495"/>
      <c r="O558" s="495"/>
      <c r="P558" s="495"/>
      <c r="Q558" s="495"/>
      <c r="R558" s="495"/>
      <c r="S558" s="495"/>
      <c r="T558" s="495"/>
      <c r="U558" s="495"/>
      <c r="V558" s="495"/>
      <c r="W558" s="495"/>
      <c r="X558" s="495"/>
      <c r="Y558" s="495"/>
      <c r="Z558" s="495"/>
      <c r="AA558" s="495"/>
      <c r="AB558" s="453"/>
      <c r="AC558" s="454" t="s">
        <v>1657</v>
      </c>
      <c r="AD558" s="455" t="n">
        <v>19</v>
      </c>
      <c r="AE558" s="455" t="s">
        <v>29</v>
      </c>
      <c r="AF558" s="455" t="n">
        <v>27</v>
      </c>
    </row>
    <row r="559" customFormat="false" ht="12.75" hidden="false" customHeight="true" outlineLevel="0" collapsed="false">
      <c r="A559" s="398" t="s">
        <v>1522</v>
      </c>
      <c r="B559" s="398"/>
      <c r="C559" s="456" t="n">
        <v>14345</v>
      </c>
      <c r="D559" s="456"/>
      <c r="E559" s="456"/>
      <c r="F559" s="456"/>
      <c r="G559" s="456"/>
      <c r="H559" s="456"/>
      <c r="I559" s="456"/>
      <c r="J559" s="456"/>
      <c r="K559" s="456"/>
      <c r="L559" s="456"/>
      <c r="M559" s="398" t="s">
        <v>1523</v>
      </c>
      <c r="N559" s="398"/>
      <c r="O559" s="398"/>
      <c r="P559" s="398"/>
      <c r="Q559" s="398"/>
      <c r="R559" s="456" t="s">
        <v>15</v>
      </c>
      <c r="S559" s="456"/>
      <c r="T559" s="456"/>
      <c r="U559" s="456"/>
      <c r="V559" s="456"/>
      <c r="W559" s="456"/>
      <c r="X559" s="456"/>
      <c r="Y559" s="456"/>
      <c r="Z559" s="456"/>
      <c r="AA559" s="456"/>
      <c r="AB559" s="456"/>
      <c r="AC559" s="456"/>
      <c r="AD559" s="456"/>
      <c r="AE559" s="456"/>
      <c r="AF559" s="456"/>
    </row>
    <row r="560" customFormat="false" ht="12.75" hidden="false" customHeight="true" outlineLevel="0" collapsed="false">
      <c r="A560" s="458"/>
      <c r="B560" s="458"/>
      <c r="C560" s="459"/>
      <c r="D560" s="459"/>
      <c r="E560" s="459"/>
      <c r="F560" s="459"/>
      <c r="G560" s="459"/>
      <c r="H560" s="459"/>
      <c r="I560" s="459"/>
      <c r="J560" s="459"/>
      <c r="K560" s="459"/>
      <c r="L560" s="459"/>
      <c r="M560" s="458"/>
      <c r="N560" s="458"/>
      <c r="O560" s="458"/>
      <c r="P560" s="458"/>
      <c r="Q560" s="458"/>
      <c r="R560" s="459"/>
      <c r="S560" s="459"/>
      <c r="T560" s="459"/>
      <c r="U560" s="459"/>
      <c r="V560" s="459"/>
      <c r="W560" s="459"/>
      <c r="X560" s="459"/>
      <c r="Y560" s="459"/>
      <c r="Z560" s="459"/>
      <c r="AA560" s="459"/>
      <c r="AB560" s="459"/>
      <c r="AC560" s="459"/>
      <c r="AD560" s="459"/>
      <c r="AE560" s="459"/>
      <c r="AF560" s="459"/>
    </row>
    <row r="561" customFormat="false" ht="15.75" hidden="false" customHeight="true" outlineLevel="0" collapsed="false">
      <c r="A561" s="460" t="str">
        <f aca="false">A534</f>
        <v>M28263</v>
      </c>
      <c r="B561" s="460"/>
      <c r="C561" s="460"/>
      <c r="D561" s="461" t="str">
        <f aca="false">D534</f>
        <v>SURGICAL CO A</v>
      </c>
      <c r="E561" s="461"/>
      <c r="F561" s="461"/>
      <c r="G561" s="461"/>
      <c r="H561" s="461"/>
      <c r="I561" s="461"/>
      <c r="J561" s="461"/>
      <c r="K561" s="461"/>
      <c r="L561" s="461"/>
      <c r="M561" s="458"/>
      <c r="N561" s="458"/>
      <c r="O561" s="458"/>
      <c r="P561" s="459"/>
      <c r="Q561" s="458"/>
      <c r="R561" s="459"/>
      <c r="S561" s="459"/>
      <c r="T561" s="459"/>
      <c r="U561" s="459"/>
      <c r="V561" s="459"/>
      <c r="W561" s="459"/>
      <c r="X561" s="459"/>
      <c r="Y561" s="459"/>
      <c r="Z561" s="459"/>
      <c r="AA561" s="459"/>
      <c r="AB561" s="459"/>
      <c r="AC561" s="459"/>
      <c r="AD561" s="459"/>
      <c r="AE561" s="459"/>
      <c r="AF561" s="459"/>
    </row>
    <row r="562" customFormat="false" ht="15.75" hidden="false" customHeight="true" outlineLevel="0" collapsed="false">
      <c r="A562" s="462" t="s">
        <v>1659</v>
      </c>
      <c r="B562" s="462"/>
      <c r="C562" s="462"/>
      <c r="D562" s="463" t="s">
        <v>1660</v>
      </c>
      <c r="E562" s="463"/>
      <c r="F562" s="463"/>
      <c r="G562" s="463"/>
      <c r="H562" s="463"/>
      <c r="I562" s="463"/>
      <c r="J562" s="463"/>
      <c r="K562" s="463"/>
      <c r="L562" s="463"/>
      <c r="M562" s="564" t="s">
        <v>1661</v>
      </c>
      <c r="N562" s="564"/>
      <c r="O562" s="465" t="s">
        <v>1662</v>
      </c>
      <c r="P562" s="465"/>
      <c r="Q562" s="465" t="s">
        <v>1663</v>
      </c>
      <c r="R562" s="465"/>
      <c r="S562" s="466" t="s">
        <v>1664</v>
      </c>
      <c r="T562" s="466"/>
      <c r="U562" s="466" t="s">
        <v>1665</v>
      </c>
      <c r="V562" s="466"/>
      <c r="W562" s="464" t="s">
        <v>1666</v>
      </c>
      <c r="X562" s="464"/>
      <c r="Y562" s="467" t="s">
        <v>1667</v>
      </c>
      <c r="Z562" s="467"/>
      <c r="AA562" s="467"/>
      <c r="AB562" s="467"/>
      <c r="AC562" s="467"/>
      <c r="AD562" s="467"/>
      <c r="AE562" s="467"/>
      <c r="AF562" s="459"/>
    </row>
    <row r="563" customFormat="false" ht="15.75" hidden="false" customHeight="true" outlineLevel="0" collapsed="false">
      <c r="A563" s="462"/>
      <c r="B563" s="462"/>
      <c r="C563" s="462"/>
      <c r="D563" s="463"/>
      <c r="E563" s="463"/>
      <c r="F563" s="463"/>
      <c r="G563" s="463"/>
      <c r="H563" s="463"/>
      <c r="I563" s="463"/>
      <c r="J563" s="463"/>
      <c r="K563" s="463"/>
      <c r="L563" s="463"/>
      <c r="M563" s="564"/>
      <c r="N563" s="564"/>
      <c r="O563" s="465"/>
      <c r="P563" s="465"/>
      <c r="Q563" s="465"/>
      <c r="R563" s="465"/>
      <c r="S563" s="466"/>
      <c r="T563" s="466"/>
      <c r="U563" s="466"/>
      <c r="V563" s="466"/>
      <c r="W563" s="464"/>
      <c r="X563" s="464"/>
      <c r="Y563" s="467"/>
      <c r="Z563" s="467"/>
      <c r="AA563" s="467"/>
      <c r="AB563" s="467"/>
      <c r="AC563" s="467"/>
      <c r="AD563" s="467"/>
      <c r="AE563" s="467"/>
      <c r="AF563" s="459"/>
    </row>
    <row r="564" customFormat="false" ht="30" hidden="false" customHeight="true" outlineLevel="0" collapsed="false">
      <c r="A564" s="462"/>
      <c r="B564" s="462"/>
      <c r="C564" s="462"/>
      <c r="D564" s="463"/>
      <c r="E564" s="463"/>
      <c r="F564" s="463"/>
      <c r="G564" s="463"/>
      <c r="H564" s="463"/>
      <c r="I564" s="463"/>
      <c r="J564" s="463"/>
      <c r="K564" s="463"/>
      <c r="L564" s="463"/>
      <c r="M564" s="564"/>
      <c r="N564" s="564"/>
      <c r="O564" s="465"/>
      <c r="P564" s="465"/>
      <c r="Q564" s="465"/>
      <c r="R564" s="465"/>
      <c r="S564" s="466"/>
      <c r="T564" s="466"/>
      <c r="U564" s="466"/>
      <c r="V564" s="466"/>
      <c r="W564" s="464"/>
      <c r="X564" s="464"/>
      <c r="Y564" s="467"/>
      <c r="Z564" s="467"/>
      <c r="AA564" s="467"/>
      <c r="AB564" s="467"/>
      <c r="AC564" s="467"/>
      <c r="AD564" s="467"/>
      <c r="AE564" s="467"/>
      <c r="AF564" s="468"/>
    </row>
    <row r="565" customFormat="false" ht="30" hidden="false" customHeight="true" outlineLevel="0" collapsed="false">
      <c r="A565" s="469" t="s">
        <v>1908</v>
      </c>
      <c r="B565" s="469"/>
      <c r="C565" s="469"/>
      <c r="D565" s="470" t="s">
        <v>1909</v>
      </c>
      <c r="E565" s="470"/>
      <c r="F565" s="470"/>
      <c r="G565" s="470"/>
      <c r="H565" s="470"/>
      <c r="I565" s="470"/>
      <c r="J565" s="470"/>
      <c r="K565" s="470"/>
      <c r="L565" s="470"/>
      <c r="M565" s="570" t="n">
        <f aca="false">SUMIFS(TE!P:P,TE!G:G,$A$426,TE!H:H,A565)</f>
        <v>0</v>
      </c>
      <c r="N565" s="570"/>
      <c r="O565" s="472" t="n">
        <v>6</v>
      </c>
      <c r="P565" s="472"/>
      <c r="Q565" s="473" t="n">
        <f aca="false">ROUNDUP(M565/O565,0)</f>
        <v>0</v>
      </c>
      <c r="R565" s="473"/>
      <c r="S565" s="474" t="n">
        <v>13.4</v>
      </c>
      <c r="T565" s="474"/>
      <c r="U565" s="474" t="n">
        <f aca="false">Q565*S565</f>
        <v>0</v>
      </c>
      <c r="V565" s="474"/>
      <c r="W565" s="475" t="s">
        <v>1910</v>
      </c>
      <c r="X565" s="475"/>
      <c r="Y565" s="476" t="s">
        <v>1903</v>
      </c>
      <c r="Z565" s="476"/>
      <c r="AA565" s="476"/>
      <c r="AB565" s="476"/>
      <c r="AC565" s="476"/>
      <c r="AD565" s="476"/>
      <c r="AE565" s="476"/>
      <c r="AF565" s="468"/>
    </row>
    <row r="566" customFormat="false" ht="30" hidden="false" customHeight="true" outlineLevel="0" collapsed="false">
      <c r="A566" s="477" t="s">
        <v>1911</v>
      </c>
      <c r="B566" s="477"/>
      <c r="C566" s="477"/>
      <c r="D566" s="478" t="s">
        <v>1912</v>
      </c>
      <c r="E566" s="478"/>
      <c r="F566" s="478"/>
      <c r="G566" s="478"/>
      <c r="H566" s="478"/>
      <c r="I566" s="478"/>
      <c r="J566" s="478"/>
      <c r="K566" s="478"/>
      <c r="L566" s="478"/>
      <c r="M566" s="479" t="n">
        <f aca="false">SUMIFS(TE!P:P,TE!G:G,$A$426,TE!H:H,A566)</f>
        <v>0</v>
      </c>
      <c r="N566" s="479"/>
      <c r="O566" s="480" t="n">
        <v>6</v>
      </c>
      <c r="P566" s="480"/>
      <c r="Q566" s="481" t="n">
        <f aca="false">ROUNDUP(M566/O566,0)</f>
        <v>0</v>
      </c>
      <c r="R566" s="481"/>
      <c r="S566" s="482" t="n">
        <v>13.4</v>
      </c>
      <c r="T566" s="482"/>
      <c r="U566" s="482" t="n">
        <f aca="false">Q566*S566</f>
        <v>0</v>
      </c>
      <c r="V566" s="482"/>
      <c r="W566" s="483" t="s">
        <v>1902</v>
      </c>
      <c r="X566" s="483"/>
      <c r="Y566" s="484" t="s">
        <v>1903</v>
      </c>
      <c r="Z566" s="484"/>
      <c r="AA566" s="484"/>
      <c r="AB566" s="484"/>
      <c r="AC566" s="484"/>
      <c r="AD566" s="484"/>
      <c r="AE566" s="484"/>
      <c r="AF566" s="468"/>
    </row>
    <row r="567" customFormat="false" ht="30" hidden="false" customHeight="true" outlineLevel="0" collapsed="false">
      <c r="A567" s="477" t="s">
        <v>1913</v>
      </c>
      <c r="B567" s="477"/>
      <c r="C567" s="477"/>
      <c r="D567" s="478" t="s">
        <v>1914</v>
      </c>
      <c r="E567" s="478"/>
      <c r="F567" s="478"/>
      <c r="G567" s="478"/>
      <c r="H567" s="478"/>
      <c r="I567" s="478"/>
      <c r="J567" s="478"/>
      <c r="K567" s="478"/>
      <c r="L567" s="478"/>
      <c r="M567" s="479" t="n">
        <f aca="false">SUMIFS(TE!P:P,TE!G:G,$A$426,TE!H:H,A567)</f>
        <v>0</v>
      </c>
      <c r="N567" s="479"/>
      <c r="O567" s="480" t="n">
        <v>4</v>
      </c>
      <c r="P567" s="480"/>
      <c r="Q567" s="481" t="n">
        <f aca="false">ROUNDUP(M567/O567,0)</f>
        <v>0</v>
      </c>
      <c r="R567" s="481"/>
      <c r="S567" s="482" t="n">
        <v>13.4</v>
      </c>
      <c r="T567" s="482"/>
      <c r="U567" s="482" t="n">
        <f aca="false">Q567*S567</f>
        <v>0</v>
      </c>
      <c r="V567" s="482"/>
      <c r="W567" s="483" t="s">
        <v>1915</v>
      </c>
      <c r="X567" s="483"/>
      <c r="Y567" s="484" t="s">
        <v>1796</v>
      </c>
      <c r="Z567" s="484"/>
      <c r="AA567" s="484"/>
      <c r="AB567" s="484"/>
      <c r="AC567" s="484"/>
      <c r="AD567" s="484"/>
      <c r="AE567" s="484"/>
      <c r="AF567" s="468"/>
    </row>
    <row r="568" customFormat="false" ht="39.75" hidden="false" customHeight="true" outlineLevel="0" collapsed="false">
      <c r="A568" s="477" t="s">
        <v>1913</v>
      </c>
      <c r="B568" s="477"/>
      <c r="C568" s="477"/>
      <c r="D568" s="478" t="s">
        <v>1916</v>
      </c>
      <c r="E568" s="478"/>
      <c r="F568" s="478"/>
      <c r="G568" s="478"/>
      <c r="H568" s="478"/>
      <c r="I568" s="478"/>
      <c r="J568" s="478"/>
      <c r="K568" s="478"/>
      <c r="L568" s="478"/>
      <c r="M568" s="479" t="n">
        <f aca="false">SUMIFS(TE!P:P,TE!G:G,$A$426,TE!H:H,A568)</f>
        <v>0</v>
      </c>
      <c r="N568" s="479"/>
      <c r="O568" s="485" t="s">
        <v>1678</v>
      </c>
      <c r="P568" s="485"/>
      <c r="Q568" s="485" t="s">
        <v>1678</v>
      </c>
      <c r="R568" s="485"/>
      <c r="S568" s="485" t="s">
        <v>1678</v>
      </c>
      <c r="T568" s="485"/>
      <c r="U568" s="485" t="s">
        <v>1678</v>
      </c>
      <c r="V568" s="485"/>
      <c r="W568" s="483" t="s">
        <v>1894</v>
      </c>
      <c r="X568" s="483"/>
      <c r="Y568" s="484" t="s">
        <v>1917</v>
      </c>
      <c r="Z568" s="484"/>
      <c r="AA568" s="484"/>
      <c r="AB568" s="484"/>
      <c r="AC568" s="484"/>
      <c r="AD568" s="484"/>
      <c r="AE568" s="484"/>
      <c r="AF568" s="468"/>
    </row>
    <row r="569" customFormat="false" ht="30" hidden="false" customHeight="true" outlineLevel="0" collapsed="false">
      <c r="A569" s="477" t="s">
        <v>1918</v>
      </c>
      <c r="B569" s="477"/>
      <c r="C569" s="477"/>
      <c r="D569" s="478" t="s">
        <v>1919</v>
      </c>
      <c r="E569" s="478"/>
      <c r="F569" s="478"/>
      <c r="G569" s="478"/>
      <c r="H569" s="478"/>
      <c r="I569" s="478"/>
      <c r="J569" s="478"/>
      <c r="K569" s="478"/>
      <c r="L569" s="478"/>
      <c r="M569" s="479" t="n">
        <f aca="false">SUMIFS(TE!P:P,TE!G:G,$A$426,TE!H:H,A569)</f>
        <v>0</v>
      </c>
      <c r="N569" s="479"/>
      <c r="O569" s="480" t="n">
        <v>3</v>
      </c>
      <c r="P569" s="480"/>
      <c r="Q569" s="481" t="n">
        <f aca="false">ROUNDUP(M569/O569,0)</f>
        <v>0</v>
      </c>
      <c r="R569" s="481"/>
      <c r="S569" s="482" t="n">
        <v>9.5</v>
      </c>
      <c r="T569" s="482"/>
      <c r="U569" s="482" t="n">
        <f aca="false">Q569*S569</f>
        <v>0</v>
      </c>
      <c r="V569" s="482"/>
      <c r="W569" s="483" t="s">
        <v>1920</v>
      </c>
      <c r="X569" s="483"/>
      <c r="Y569" s="484" t="s">
        <v>1921</v>
      </c>
      <c r="Z569" s="484"/>
      <c r="AA569" s="484"/>
      <c r="AB569" s="484"/>
      <c r="AC569" s="484"/>
      <c r="AD569" s="484"/>
      <c r="AE569" s="484"/>
      <c r="AF569" s="468"/>
    </row>
    <row r="570" customFormat="false" ht="30" hidden="false" customHeight="true" outlineLevel="0" collapsed="false">
      <c r="A570" s="477" t="s">
        <v>1922</v>
      </c>
      <c r="B570" s="477"/>
      <c r="C570" s="477"/>
      <c r="D570" s="478" t="s">
        <v>1923</v>
      </c>
      <c r="E570" s="478"/>
      <c r="F570" s="478"/>
      <c r="G570" s="478"/>
      <c r="H570" s="478"/>
      <c r="I570" s="478"/>
      <c r="J570" s="478"/>
      <c r="K570" s="478"/>
      <c r="L570" s="478"/>
      <c r="M570" s="479" t="n">
        <f aca="false">SUMIFS(TE!P:P,TE!G:G,$A$426,TE!H:H,A570)</f>
        <v>0</v>
      </c>
      <c r="N570" s="479"/>
      <c r="O570" s="480" t="n">
        <v>3</v>
      </c>
      <c r="P570" s="480"/>
      <c r="Q570" s="481" t="n">
        <f aca="false">ROUNDUP(M570/O570,0)</f>
        <v>0</v>
      </c>
      <c r="R570" s="481"/>
      <c r="S570" s="482" t="n">
        <v>12.5</v>
      </c>
      <c r="T570" s="482"/>
      <c r="U570" s="482" t="n">
        <f aca="false">Q570*S570</f>
        <v>0</v>
      </c>
      <c r="V570" s="482"/>
      <c r="W570" s="483" t="s">
        <v>1924</v>
      </c>
      <c r="X570" s="483"/>
      <c r="Y570" s="484" t="s">
        <v>1921</v>
      </c>
      <c r="Z570" s="484"/>
      <c r="AA570" s="484"/>
      <c r="AB570" s="484"/>
      <c r="AC570" s="484"/>
      <c r="AD570" s="484"/>
      <c r="AE570" s="484"/>
      <c r="AF570" s="468"/>
    </row>
    <row r="571" customFormat="false" ht="30" hidden="false" customHeight="true" outlineLevel="0" collapsed="false">
      <c r="A571" s="477" t="s">
        <v>1925</v>
      </c>
      <c r="B571" s="477"/>
      <c r="C571" s="477"/>
      <c r="D571" s="478" t="s">
        <v>1926</v>
      </c>
      <c r="E571" s="478"/>
      <c r="F571" s="478"/>
      <c r="G571" s="478"/>
      <c r="H571" s="478"/>
      <c r="I571" s="478"/>
      <c r="J571" s="478"/>
      <c r="K571" s="478"/>
      <c r="L571" s="478"/>
      <c r="M571" s="479" t="n">
        <f aca="false">SUMIFS(TE!P:P,TE!G:G,$A$426,TE!H:H,A571)</f>
        <v>0</v>
      </c>
      <c r="N571" s="479"/>
      <c r="O571" s="480" t="n">
        <v>3</v>
      </c>
      <c r="P571" s="480"/>
      <c r="Q571" s="481" t="n">
        <f aca="false">ROUNDUP(M571/O571,0)</f>
        <v>0</v>
      </c>
      <c r="R571" s="481"/>
      <c r="S571" s="482" t="n">
        <v>22</v>
      </c>
      <c r="T571" s="482"/>
      <c r="U571" s="482" t="n">
        <f aca="false">Q571*S571</f>
        <v>0</v>
      </c>
      <c r="V571" s="482"/>
      <c r="W571" s="483" t="s">
        <v>1927</v>
      </c>
      <c r="X571" s="483"/>
      <c r="Y571" s="484" t="s">
        <v>1928</v>
      </c>
      <c r="Z571" s="484"/>
      <c r="AA571" s="484"/>
      <c r="AB571" s="484"/>
      <c r="AC571" s="484"/>
      <c r="AD571" s="484"/>
      <c r="AE571" s="484"/>
      <c r="AF571" s="468"/>
    </row>
    <row r="572" customFormat="false" ht="30" hidden="false" customHeight="true" outlineLevel="0" collapsed="false">
      <c r="A572" s="477" t="s">
        <v>1929</v>
      </c>
      <c r="B572" s="477"/>
      <c r="C572" s="477"/>
      <c r="D572" s="478" t="s">
        <v>1930</v>
      </c>
      <c r="E572" s="478"/>
      <c r="F572" s="478"/>
      <c r="G572" s="478"/>
      <c r="H572" s="478"/>
      <c r="I572" s="478"/>
      <c r="J572" s="478"/>
      <c r="K572" s="478"/>
      <c r="L572" s="478"/>
      <c r="M572" s="479" t="n">
        <f aca="false">SUMIFS(TE!P:P,TE!G:G,$A$426,TE!H:H,A572)</f>
        <v>0</v>
      </c>
      <c r="N572" s="479"/>
      <c r="O572" s="480" t="n">
        <v>3</v>
      </c>
      <c r="P572" s="480"/>
      <c r="Q572" s="481" t="n">
        <f aca="false">ROUNDUP(M572/O572,0)</f>
        <v>0</v>
      </c>
      <c r="R572" s="481"/>
      <c r="S572" s="482" t="n">
        <v>12.5</v>
      </c>
      <c r="T572" s="482"/>
      <c r="U572" s="482" t="n">
        <f aca="false">Q572*S572</f>
        <v>0</v>
      </c>
      <c r="V572" s="482"/>
      <c r="W572" s="483" t="s">
        <v>1924</v>
      </c>
      <c r="X572" s="483"/>
      <c r="Y572" s="484" t="s">
        <v>1921</v>
      </c>
      <c r="Z572" s="484"/>
      <c r="AA572" s="484"/>
      <c r="AB572" s="484"/>
      <c r="AC572" s="484"/>
      <c r="AD572" s="484"/>
      <c r="AE572" s="484"/>
      <c r="AF572" s="468"/>
    </row>
    <row r="573" customFormat="false" ht="30" hidden="false" customHeight="true" outlineLevel="0" collapsed="false">
      <c r="A573" s="477" t="s">
        <v>1931</v>
      </c>
      <c r="B573" s="477"/>
      <c r="C573" s="477"/>
      <c r="D573" s="478" t="s">
        <v>1932</v>
      </c>
      <c r="E573" s="478"/>
      <c r="F573" s="478"/>
      <c r="G573" s="478"/>
      <c r="H573" s="478"/>
      <c r="I573" s="478"/>
      <c r="J573" s="478"/>
      <c r="K573" s="478"/>
      <c r="L573" s="478"/>
      <c r="M573" s="479" t="n">
        <f aca="false">SUMIFS(TE!P:P,TE!G:G,$A$426,TE!H:H,A573)</f>
        <v>0</v>
      </c>
      <c r="N573" s="479"/>
      <c r="O573" s="480" t="n">
        <v>5</v>
      </c>
      <c r="P573" s="480"/>
      <c r="Q573" s="481" t="n">
        <f aca="false">M573/O573</f>
        <v>0</v>
      </c>
      <c r="R573" s="481"/>
      <c r="S573" s="482" t="n">
        <v>13.4</v>
      </c>
      <c r="T573" s="482"/>
      <c r="U573" s="482" t="n">
        <f aca="false">Q573*S573</f>
        <v>0</v>
      </c>
      <c r="V573" s="482"/>
      <c r="W573" s="483" t="s">
        <v>1670</v>
      </c>
      <c r="X573" s="483"/>
      <c r="Y573" s="484" t="s">
        <v>1671</v>
      </c>
      <c r="Z573" s="484"/>
      <c r="AA573" s="484"/>
      <c r="AB573" s="484"/>
      <c r="AC573" s="484"/>
      <c r="AD573" s="484"/>
      <c r="AE573" s="484"/>
      <c r="AF573" s="468"/>
    </row>
    <row r="574" customFormat="false" ht="39.75" hidden="false" customHeight="true" outlineLevel="0" collapsed="false">
      <c r="A574" s="477" t="s">
        <v>1933</v>
      </c>
      <c r="B574" s="477"/>
      <c r="C574" s="477"/>
      <c r="D574" s="478" t="s">
        <v>1934</v>
      </c>
      <c r="E574" s="478"/>
      <c r="F574" s="478"/>
      <c r="G574" s="478"/>
      <c r="H574" s="478"/>
      <c r="I574" s="478"/>
      <c r="J574" s="478"/>
      <c r="K574" s="478"/>
      <c r="L574" s="478"/>
      <c r="M574" s="479" t="n">
        <f aca="false">SUMIFS(TE!P:P,TE!G:G,$A$426,TE!H:H,A574)</f>
        <v>0</v>
      </c>
      <c r="N574" s="479"/>
      <c r="O574" s="480" t="n">
        <v>5</v>
      </c>
      <c r="P574" s="480"/>
      <c r="Q574" s="481" t="n">
        <f aca="false">M574/O574</f>
        <v>0</v>
      </c>
      <c r="R574" s="481"/>
      <c r="S574" s="482" t="n">
        <v>13.4</v>
      </c>
      <c r="T574" s="482"/>
      <c r="U574" s="482" t="n">
        <f aca="false">Q574*S574</f>
        <v>0</v>
      </c>
      <c r="V574" s="482"/>
      <c r="W574" s="483" t="s">
        <v>1670</v>
      </c>
      <c r="X574" s="483"/>
      <c r="Y574" s="484" t="s">
        <v>1671</v>
      </c>
      <c r="Z574" s="484"/>
      <c r="AA574" s="484"/>
      <c r="AB574" s="484"/>
      <c r="AC574" s="484"/>
      <c r="AD574" s="484"/>
      <c r="AE574" s="484"/>
      <c r="AF574" s="468"/>
    </row>
    <row r="575" customFormat="false" ht="30" hidden="false" customHeight="true" outlineLevel="0" collapsed="false">
      <c r="A575" s="477" t="s">
        <v>1935</v>
      </c>
      <c r="B575" s="477"/>
      <c r="C575" s="477"/>
      <c r="D575" s="478" t="s">
        <v>1936</v>
      </c>
      <c r="E575" s="478"/>
      <c r="F575" s="478"/>
      <c r="G575" s="478"/>
      <c r="H575" s="478"/>
      <c r="I575" s="478"/>
      <c r="J575" s="478"/>
      <c r="K575" s="478"/>
      <c r="L575" s="478"/>
      <c r="M575" s="479" t="n">
        <f aca="false">SUMIFS(TE!P:P,TE!G:G,$A$426,TE!H:H,A575)</f>
        <v>0</v>
      </c>
      <c r="N575" s="479"/>
      <c r="O575" s="480" t="n">
        <v>12</v>
      </c>
      <c r="P575" s="480"/>
      <c r="Q575" s="481" t="n">
        <f aca="false">M575/O575</f>
        <v>0</v>
      </c>
      <c r="R575" s="481"/>
      <c r="S575" s="482" t="n">
        <v>13.4</v>
      </c>
      <c r="T575" s="482"/>
      <c r="U575" s="482" t="n">
        <f aca="false">Q575*S575</f>
        <v>0</v>
      </c>
      <c r="V575" s="482"/>
      <c r="W575" s="483" t="s">
        <v>1670</v>
      </c>
      <c r="X575" s="483"/>
      <c r="Y575" s="484" t="s">
        <v>1671</v>
      </c>
      <c r="Z575" s="484"/>
      <c r="AA575" s="484"/>
      <c r="AB575" s="484"/>
      <c r="AC575" s="484"/>
      <c r="AD575" s="484"/>
      <c r="AE575" s="484"/>
      <c r="AF575" s="468"/>
    </row>
    <row r="576" customFormat="false" ht="39.75" hidden="false" customHeight="true" outlineLevel="0" collapsed="false">
      <c r="A576" s="477" t="s">
        <v>1937</v>
      </c>
      <c r="B576" s="477"/>
      <c r="C576" s="477"/>
      <c r="D576" s="478" t="s">
        <v>1938</v>
      </c>
      <c r="E576" s="478"/>
      <c r="F576" s="478"/>
      <c r="G576" s="478"/>
      <c r="H576" s="478"/>
      <c r="I576" s="478"/>
      <c r="J576" s="478"/>
      <c r="K576" s="478"/>
      <c r="L576" s="478"/>
      <c r="M576" s="479" t="n">
        <f aca="false">SUMIFS(TE!P:P,TE!G:G,$A$426,TE!H:H,A576)</f>
        <v>0</v>
      </c>
      <c r="N576" s="479"/>
      <c r="O576" s="480" t="n">
        <v>4</v>
      </c>
      <c r="P576" s="480"/>
      <c r="Q576" s="481" t="n">
        <f aca="false">ROUNDUP(M576/O576,0)</f>
        <v>0</v>
      </c>
      <c r="R576" s="481"/>
      <c r="S576" s="482" t="n">
        <v>13.4</v>
      </c>
      <c r="T576" s="482"/>
      <c r="U576" s="482" t="n">
        <f aca="false">Q576*S576</f>
        <v>0</v>
      </c>
      <c r="V576" s="482"/>
      <c r="W576" s="483" t="s">
        <v>1878</v>
      </c>
      <c r="X576" s="483"/>
      <c r="Y576" s="484" t="s">
        <v>1939</v>
      </c>
      <c r="Z576" s="484"/>
      <c r="AA576" s="484"/>
      <c r="AB576" s="484"/>
      <c r="AC576" s="484"/>
      <c r="AD576" s="484"/>
      <c r="AE576" s="484"/>
      <c r="AF576" s="468"/>
    </row>
    <row r="577" customFormat="false" ht="39.75" hidden="false" customHeight="true" outlineLevel="0" collapsed="false">
      <c r="A577" s="477" t="s">
        <v>1940</v>
      </c>
      <c r="B577" s="477"/>
      <c r="C577" s="477"/>
      <c r="D577" s="478" t="s">
        <v>1941</v>
      </c>
      <c r="E577" s="478"/>
      <c r="F577" s="478"/>
      <c r="G577" s="478"/>
      <c r="H577" s="478"/>
      <c r="I577" s="478"/>
      <c r="J577" s="478"/>
      <c r="K577" s="478"/>
      <c r="L577" s="478"/>
      <c r="M577" s="479" t="n">
        <f aca="false">SUMIFS(TE!P:P,TE!G:G,$A$426,TE!H:H,A577)</f>
        <v>0</v>
      </c>
      <c r="N577" s="479"/>
      <c r="O577" s="480" t="n">
        <v>4</v>
      </c>
      <c r="P577" s="480"/>
      <c r="Q577" s="481" t="n">
        <f aca="false">ROUNDUP(M577/O577,0)</f>
        <v>0</v>
      </c>
      <c r="R577" s="481"/>
      <c r="S577" s="482" t="n">
        <v>13.4</v>
      </c>
      <c r="T577" s="482"/>
      <c r="U577" s="482" t="n">
        <f aca="false">Q577*S577</f>
        <v>0</v>
      </c>
      <c r="V577" s="482"/>
      <c r="W577" s="483" t="s">
        <v>1878</v>
      </c>
      <c r="X577" s="483"/>
      <c r="Y577" s="484" t="s">
        <v>1942</v>
      </c>
      <c r="Z577" s="484"/>
      <c r="AA577" s="484"/>
      <c r="AB577" s="484"/>
      <c r="AC577" s="484"/>
      <c r="AD577" s="484"/>
      <c r="AE577" s="484"/>
      <c r="AF577" s="468"/>
    </row>
    <row r="578" customFormat="false" ht="30" hidden="false" customHeight="true" outlineLevel="0" collapsed="false">
      <c r="A578" s="477" t="s">
        <v>1943</v>
      </c>
      <c r="B578" s="477"/>
      <c r="C578" s="477"/>
      <c r="D578" s="478" t="s">
        <v>1944</v>
      </c>
      <c r="E578" s="478"/>
      <c r="F578" s="478"/>
      <c r="G578" s="478"/>
      <c r="H578" s="478"/>
      <c r="I578" s="478"/>
      <c r="J578" s="478"/>
      <c r="K578" s="478"/>
      <c r="L578" s="478"/>
      <c r="M578" s="479" t="n">
        <f aca="false">SUMIFS(TE!P:P,TE!G:G,$A$426,TE!H:H,A578)</f>
        <v>0</v>
      </c>
      <c r="N578" s="479"/>
      <c r="O578" s="480" t="n">
        <v>12</v>
      </c>
      <c r="P578" s="480"/>
      <c r="Q578" s="481" t="n">
        <f aca="false">M578/O578</f>
        <v>0</v>
      </c>
      <c r="R578" s="481"/>
      <c r="S578" s="482" t="n">
        <f aca="false">ROUNDUP(13.4*2,0)</f>
        <v>27</v>
      </c>
      <c r="T578" s="482"/>
      <c r="U578" s="482" t="n">
        <f aca="false">Q578*S578</f>
        <v>0</v>
      </c>
      <c r="V578" s="482"/>
      <c r="W578" s="483" t="s">
        <v>1878</v>
      </c>
      <c r="X578" s="483"/>
      <c r="Y578" s="484" t="s">
        <v>1945</v>
      </c>
      <c r="Z578" s="484"/>
      <c r="AA578" s="484"/>
      <c r="AB578" s="484"/>
      <c r="AC578" s="484"/>
      <c r="AD578" s="484"/>
      <c r="AE578" s="484"/>
      <c r="AF578" s="468"/>
    </row>
    <row r="579" customFormat="false" ht="30" hidden="false" customHeight="true" outlineLevel="0" collapsed="false">
      <c r="A579" s="477" t="s">
        <v>1946</v>
      </c>
      <c r="B579" s="477"/>
      <c r="C579" s="477"/>
      <c r="D579" s="478" t="s">
        <v>1947</v>
      </c>
      <c r="E579" s="478"/>
      <c r="F579" s="478"/>
      <c r="G579" s="478"/>
      <c r="H579" s="478"/>
      <c r="I579" s="478"/>
      <c r="J579" s="478"/>
      <c r="K579" s="478"/>
      <c r="L579" s="478"/>
      <c r="M579" s="479" t="n">
        <f aca="false">SUMIFS(TE!P:P,TE!G:G,$A$426,TE!H:H,A579)</f>
        <v>2</v>
      </c>
      <c r="N579" s="479"/>
      <c r="O579" s="480" t="n">
        <v>12</v>
      </c>
      <c r="P579" s="480"/>
      <c r="Q579" s="481" t="n">
        <f aca="false">M579/O579</f>
        <v>0.166666666666667</v>
      </c>
      <c r="R579" s="481"/>
      <c r="S579" s="482" t="n">
        <f aca="false">ROUNDUP(13.4*2,0)</f>
        <v>27</v>
      </c>
      <c r="T579" s="482"/>
      <c r="U579" s="482" t="n">
        <f aca="false">Q579*S579</f>
        <v>4.5</v>
      </c>
      <c r="V579" s="482"/>
      <c r="W579" s="483" t="s">
        <v>1878</v>
      </c>
      <c r="X579" s="483"/>
      <c r="Y579" s="484" t="s">
        <v>1945</v>
      </c>
      <c r="Z579" s="484"/>
      <c r="AA579" s="484"/>
      <c r="AB579" s="484"/>
      <c r="AC579" s="484"/>
      <c r="AD579" s="484"/>
      <c r="AE579" s="484"/>
      <c r="AF579" s="468"/>
    </row>
    <row r="580" customFormat="false" ht="30" hidden="false" customHeight="true" outlineLevel="0" collapsed="false">
      <c r="A580" s="477" t="s">
        <v>1948</v>
      </c>
      <c r="B580" s="477"/>
      <c r="C580" s="477"/>
      <c r="D580" s="478" t="s">
        <v>1949</v>
      </c>
      <c r="E580" s="478"/>
      <c r="F580" s="478"/>
      <c r="G580" s="478"/>
      <c r="H580" s="478"/>
      <c r="I580" s="478"/>
      <c r="J580" s="478"/>
      <c r="K580" s="478"/>
      <c r="L580" s="478"/>
      <c r="M580" s="479" t="n">
        <f aca="false">SUMIFS(TE!P:P,TE!G:G,$A$426,TE!H:H,A580)</f>
        <v>0</v>
      </c>
      <c r="N580" s="479"/>
      <c r="O580" s="480" t="n">
        <v>30</v>
      </c>
      <c r="P580" s="480"/>
      <c r="Q580" s="481" t="n">
        <f aca="false">M580/O580</f>
        <v>0</v>
      </c>
      <c r="R580" s="481"/>
      <c r="S580" s="482" t="n">
        <f aca="false">ROUNDUP(13.4*2,0)</f>
        <v>27</v>
      </c>
      <c r="T580" s="482"/>
      <c r="U580" s="482" t="n">
        <f aca="false">Q580*S580</f>
        <v>0</v>
      </c>
      <c r="V580" s="482"/>
      <c r="W580" s="483" t="s">
        <v>1878</v>
      </c>
      <c r="X580" s="483"/>
      <c r="Y580" s="484" t="s">
        <v>1945</v>
      </c>
      <c r="Z580" s="484"/>
      <c r="AA580" s="484"/>
      <c r="AB580" s="484"/>
      <c r="AC580" s="484"/>
      <c r="AD580" s="484"/>
      <c r="AE580" s="484"/>
      <c r="AF580" s="468"/>
    </row>
    <row r="581" customFormat="false" ht="30" hidden="false" customHeight="true" outlineLevel="0" collapsed="false">
      <c r="A581" s="477" t="s">
        <v>1950</v>
      </c>
      <c r="B581" s="477"/>
      <c r="C581" s="477"/>
      <c r="D581" s="478" t="s">
        <v>1951</v>
      </c>
      <c r="E581" s="478"/>
      <c r="F581" s="478"/>
      <c r="G581" s="478"/>
      <c r="H581" s="478"/>
      <c r="I581" s="478"/>
      <c r="J581" s="478"/>
      <c r="K581" s="478"/>
      <c r="L581" s="478"/>
      <c r="M581" s="479" t="n">
        <f aca="false">SUMIFS(TE!P:P,TE!G:G,$A$426,TE!H:H,A581)</f>
        <v>2</v>
      </c>
      <c r="N581" s="479"/>
      <c r="O581" s="480" t="n">
        <v>3</v>
      </c>
      <c r="P581" s="480"/>
      <c r="Q581" s="481" t="n">
        <f aca="false">ROUNDUP(M581/O581,0)</f>
        <v>1</v>
      </c>
      <c r="R581" s="481"/>
      <c r="S581" s="482" t="n">
        <v>33</v>
      </c>
      <c r="T581" s="482"/>
      <c r="U581" s="482" t="n">
        <f aca="false">Q581*S581</f>
        <v>33</v>
      </c>
      <c r="V581" s="482"/>
      <c r="W581" s="483" t="s">
        <v>1751</v>
      </c>
      <c r="X581" s="483"/>
      <c r="Y581" s="484" t="s">
        <v>1752</v>
      </c>
      <c r="Z581" s="484"/>
      <c r="AA581" s="484"/>
      <c r="AB581" s="484"/>
      <c r="AC581" s="484"/>
      <c r="AD581" s="484"/>
      <c r="AE581" s="484"/>
      <c r="AF581" s="468"/>
    </row>
    <row r="582" customFormat="false" ht="30" hidden="false" customHeight="true" outlineLevel="0" collapsed="false">
      <c r="A582" s="477" t="s">
        <v>1952</v>
      </c>
      <c r="B582" s="477"/>
      <c r="C582" s="477"/>
      <c r="D582" s="478" t="s">
        <v>1953</v>
      </c>
      <c r="E582" s="478"/>
      <c r="F582" s="478"/>
      <c r="G582" s="478"/>
      <c r="H582" s="478"/>
      <c r="I582" s="478"/>
      <c r="J582" s="478"/>
      <c r="K582" s="478"/>
      <c r="L582" s="478"/>
      <c r="M582" s="479" t="n">
        <f aca="false">SUMIFS(TE!P:P,TE!G:G,$A$426,TE!H:H,A582)</f>
        <v>4</v>
      </c>
      <c r="N582" s="479"/>
      <c r="O582" s="480" t="n">
        <v>12</v>
      </c>
      <c r="P582" s="480"/>
      <c r="Q582" s="481" t="n">
        <f aca="false">ROUNDUP(M582/O582,0)</f>
        <v>1</v>
      </c>
      <c r="R582" s="481"/>
      <c r="S582" s="482" t="n">
        <v>27</v>
      </c>
      <c r="T582" s="482"/>
      <c r="U582" s="482" t="n">
        <f aca="false">Q582*S582</f>
        <v>27</v>
      </c>
      <c r="V582" s="482"/>
      <c r="W582" s="483" t="s">
        <v>1954</v>
      </c>
      <c r="X582" s="483"/>
      <c r="Y582" s="484" t="s">
        <v>1955</v>
      </c>
      <c r="Z582" s="484"/>
      <c r="AA582" s="484"/>
      <c r="AB582" s="484"/>
      <c r="AC582" s="484"/>
      <c r="AD582" s="484"/>
      <c r="AE582" s="484"/>
      <c r="AF582" s="468"/>
    </row>
    <row r="583" customFormat="false" ht="30" hidden="false" customHeight="true" outlineLevel="0" collapsed="false">
      <c r="A583" s="486" t="s">
        <v>1956</v>
      </c>
      <c r="B583" s="486"/>
      <c r="C583" s="486"/>
      <c r="D583" s="487" t="s">
        <v>1957</v>
      </c>
      <c r="E583" s="487"/>
      <c r="F583" s="487"/>
      <c r="G583" s="487"/>
      <c r="H583" s="487"/>
      <c r="I583" s="487"/>
      <c r="J583" s="487"/>
      <c r="K583" s="487"/>
      <c r="L583" s="487"/>
      <c r="M583" s="488" t="n">
        <f aca="false">SUMIFS(TE!P:P,TE!G:G,$A$426,TE!H:H,A583)</f>
        <v>0</v>
      </c>
      <c r="N583" s="488"/>
      <c r="O583" s="489" t="n">
        <v>56</v>
      </c>
      <c r="P583" s="489"/>
      <c r="Q583" s="490" t="n">
        <f aca="false">M583/O583</f>
        <v>0</v>
      </c>
      <c r="R583" s="490"/>
      <c r="S583" s="491" t="n">
        <v>13.4</v>
      </c>
      <c r="T583" s="491"/>
      <c r="U583" s="491" t="n">
        <f aca="false">Q583*S583</f>
        <v>0</v>
      </c>
      <c r="V583" s="491"/>
      <c r="W583" s="492" t="s">
        <v>1670</v>
      </c>
      <c r="X583" s="492"/>
      <c r="Y583" s="493" t="s">
        <v>1671</v>
      </c>
      <c r="Z583" s="493"/>
      <c r="AA583" s="493"/>
      <c r="AB583" s="493"/>
      <c r="AC583" s="493"/>
      <c r="AD583" s="493"/>
      <c r="AE583" s="493"/>
      <c r="AF583" s="468"/>
    </row>
    <row r="584" customFormat="false" ht="12.75" hidden="false" customHeight="true" outlineLevel="0" collapsed="false">
      <c r="A584" s="494"/>
      <c r="B584" s="494"/>
      <c r="C584" s="494"/>
      <c r="D584" s="494"/>
      <c r="E584" s="494"/>
      <c r="F584" s="494"/>
      <c r="G584" s="494"/>
      <c r="H584" s="494"/>
      <c r="I584" s="494"/>
      <c r="J584" s="494"/>
      <c r="K584" s="494"/>
      <c r="L584" s="494"/>
      <c r="M584" s="494"/>
      <c r="N584" s="494"/>
      <c r="O584" s="494"/>
      <c r="P584" s="494"/>
      <c r="Q584" s="494"/>
      <c r="R584" s="494"/>
      <c r="S584" s="494"/>
      <c r="T584" s="494"/>
      <c r="U584" s="494"/>
      <c r="V584" s="494"/>
      <c r="W584" s="494"/>
      <c r="X584" s="494"/>
      <c r="Y584" s="494"/>
      <c r="Z584" s="494"/>
      <c r="AA584" s="494"/>
      <c r="AB584" s="494"/>
      <c r="AC584" s="494"/>
      <c r="AD584" s="494"/>
      <c r="AE584" s="494"/>
      <c r="AF584" s="468"/>
    </row>
    <row r="585" customFormat="false" ht="12.75" hidden="false" customHeight="true" outlineLevel="0" collapsed="false">
      <c r="A585" s="495"/>
      <c r="B585" s="495"/>
      <c r="C585" s="495"/>
      <c r="D585" s="495"/>
      <c r="E585" s="495"/>
      <c r="F585" s="495"/>
      <c r="G585" s="495"/>
      <c r="H585" s="495"/>
      <c r="I585" s="495"/>
      <c r="J585" s="495"/>
      <c r="K585" s="495"/>
      <c r="L585" s="495"/>
      <c r="M585" s="495"/>
      <c r="N585" s="495"/>
      <c r="O585" s="495"/>
      <c r="P585" s="495"/>
      <c r="Q585" s="495"/>
      <c r="R585" s="495"/>
      <c r="S585" s="495"/>
      <c r="T585" s="495"/>
      <c r="U585" s="495"/>
      <c r="V585" s="495"/>
      <c r="W585" s="495"/>
      <c r="X585" s="495"/>
      <c r="Y585" s="495"/>
      <c r="Z585" s="495"/>
      <c r="AA585" s="495"/>
      <c r="AB585" s="453"/>
      <c r="AC585" s="454" t="s">
        <v>1657</v>
      </c>
      <c r="AD585" s="455" t="n">
        <v>20</v>
      </c>
      <c r="AE585" s="455" t="s">
        <v>29</v>
      </c>
      <c r="AF585" s="455" t="n">
        <v>27</v>
      </c>
    </row>
    <row r="586" customFormat="false" ht="12.75" hidden="false" customHeight="true" outlineLevel="0" collapsed="false">
      <c r="A586" s="398" t="s">
        <v>1522</v>
      </c>
      <c r="B586" s="398"/>
      <c r="C586" s="456" t="n">
        <v>14345</v>
      </c>
      <c r="D586" s="456"/>
      <c r="E586" s="456"/>
      <c r="F586" s="456"/>
      <c r="G586" s="456"/>
      <c r="H586" s="456"/>
      <c r="I586" s="456"/>
      <c r="J586" s="456"/>
      <c r="K586" s="456"/>
      <c r="L586" s="456"/>
      <c r="M586" s="398" t="s">
        <v>1523</v>
      </c>
      <c r="N586" s="398"/>
      <c r="O586" s="398"/>
      <c r="P586" s="398"/>
      <c r="Q586" s="398"/>
      <c r="R586" s="456" t="s">
        <v>15</v>
      </c>
      <c r="S586" s="456"/>
      <c r="T586" s="456"/>
      <c r="U586" s="456"/>
      <c r="V586" s="456"/>
      <c r="W586" s="456"/>
      <c r="X586" s="456"/>
      <c r="Y586" s="456"/>
      <c r="Z586" s="456"/>
      <c r="AA586" s="456"/>
      <c r="AB586" s="456"/>
      <c r="AC586" s="456"/>
      <c r="AD586" s="456"/>
      <c r="AE586" s="456"/>
      <c r="AF586" s="456"/>
    </row>
    <row r="587" customFormat="false" ht="12.75" hidden="false" customHeight="true" outlineLevel="0" collapsed="false">
      <c r="A587" s="458"/>
      <c r="B587" s="458"/>
      <c r="C587" s="459"/>
      <c r="D587" s="459"/>
      <c r="E587" s="459"/>
      <c r="F587" s="459"/>
      <c r="G587" s="459"/>
      <c r="H587" s="459"/>
      <c r="I587" s="459"/>
      <c r="J587" s="459"/>
      <c r="K587" s="459"/>
      <c r="L587" s="459"/>
      <c r="M587" s="458"/>
      <c r="N587" s="458"/>
      <c r="O587" s="458"/>
      <c r="P587" s="458"/>
      <c r="Q587" s="458"/>
      <c r="R587" s="459"/>
      <c r="S587" s="459"/>
      <c r="T587" s="459"/>
      <c r="U587" s="459"/>
      <c r="V587" s="459"/>
      <c r="W587" s="459"/>
      <c r="X587" s="459"/>
      <c r="Y587" s="459"/>
      <c r="Z587" s="459"/>
      <c r="AA587" s="459"/>
      <c r="AB587" s="459"/>
      <c r="AC587" s="459"/>
      <c r="AD587" s="459"/>
      <c r="AE587" s="459"/>
      <c r="AF587" s="459"/>
    </row>
    <row r="588" customFormat="false" ht="15.75" hidden="false" customHeight="true" outlineLevel="0" collapsed="false">
      <c r="A588" s="460" t="str">
        <f aca="false">A561</f>
        <v>M28263</v>
      </c>
      <c r="B588" s="460"/>
      <c r="C588" s="460"/>
      <c r="D588" s="461" t="str">
        <f aca="false">D561</f>
        <v>SURGICAL CO A</v>
      </c>
      <c r="E588" s="461"/>
      <c r="F588" s="461"/>
      <c r="G588" s="461"/>
      <c r="H588" s="461"/>
      <c r="I588" s="461"/>
      <c r="J588" s="461"/>
      <c r="K588" s="461"/>
      <c r="L588" s="461"/>
      <c r="M588" s="458"/>
      <c r="N588" s="458"/>
      <c r="O588" s="458"/>
      <c r="P588" s="459"/>
      <c r="Q588" s="458"/>
      <c r="R588" s="459"/>
      <c r="S588" s="459"/>
      <c r="T588" s="459"/>
      <c r="U588" s="459"/>
      <c r="V588" s="459"/>
      <c r="W588" s="459"/>
      <c r="X588" s="459"/>
      <c r="Y588" s="459"/>
      <c r="Z588" s="459"/>
      <c r="AA588" s="459"/>
      <c r="AB588" s="459"/>
      <c r="AC588" s="459"/>
      <c r="AD588" s="459"/>
      <c r="AE588" s="459"/>
      <c r="AF588" s="459"/>
    </row>
    <row r="589" customFormat="false" ht="15.75" hidden="false" customHeight="true" outlineLevel="0" collapsed="false">
      <c r="A589" s="462" t="s">
        <v>1659</v>
      </c>
      <c r="B589" s="462"/>
      <c r="C589" s="462"/>
      <c r="D589" s="463" t="s">
        <v>1660</v>
      </c>
      <c r="E589" s="463"/>
      <c r="F589" s="463"/>
      <c r="G589" s="463"/>
      <c r="H589" s="463"/>
      <c r="I589" s="463"/>
      <c r="J589" s="463"/>
      <c r="K589" s="463"/>
      <c r="L589" s="463"/>
      <c r="M589" s="564" t="s">
        <v>1661</v>
      </c>
      <c r="N589" s="564"/>
      <c r="O589" s="465" t="s">
        <v>1662</v>
      </c>
      <c r="P589" s="465"/>
      <c r="Q589" s="465" t="s">
        <v>1663</v>
      </c>
      <c r="R589" s="465"/>
      <c r="S589" s="466" t="s">
        <v>1664</v>
      </c>
      <c r="T589" s="466"/>
      <c r="U589" s="466" t="s">
        <v>1665</v>
      </c>
      <c r="V589" s="466"/>
      <c r="W589" s="464" t="s">
        <v>1666</v>
      </c>
      <c r="X589" s="464"/>
      <c r="Y589" s="467" t="s">
        <v>1667</v>
      </c>
      <c r="Z589" s="467"/>
      <c r="AA589" s="467"/>
      <c r="AB589" s="467"/>
      <c r="AC589" s="467"/>
      <c r="AD589" s="467"/>
      <c r="AE589" s="467"/>
      <c r="AF589" s="459"/>
    </row>
    <row r="590" customFormat="false" ht="15.75" hidden="false" customHeight="true" outlineLevel="0" collapsed="false">
      <c r="A590" s="462"/>
      <c r="B590" s="462"/>
      <c r="C590" s="462"/>
      <c r="D590" s="463"/>
      <c r="E590" s="463"/>
      <c r="F590" s="463"/>
      <c r="G590" s="463"/>
      <c r="H590" s="463"/>
      <c r="I590" s="463"/>
      <c r="J590" s="463"/>
      <c r="K590" s="463"/>
      <c r="L590" s="463"/>
      <c r="M590" s="564"/>
      <c r="N590" s="564"/>
      <c r="O590" s="465"/>
      <c r="P590" s="465"/>
      <c r="Q590" s="465"/>
      <c r="R590" s="465"/>
      <c r="S590" s="466"/>
      <c r="T590" s="466"/>
      <c r="U590" s="466"/>
      <c r="V590" s="466"/>
      <c r="W590" s="464"/>
      <c r="X590" s="464"/>
      <c r="Y590" s="467"/>
      <c r="Z590" s="467"/>
      <c r="AA590" s="467"/>
      <c r="AB590" s="467"/>
      <c r="AC590" s="467"/>
      <c r="AD590" s="467"/>
      <c r="AE590" s="467"/>
      <c r="AF590" s="459"/>
    </row>
    <row r="591" customFormat="false" ht="30" hidden="false" customHeight="true" outlineLevel="0" collapsed="false">
      <c r="A591" s="462"/>
      <c r="B591" s="462"/>
      <c r="C591" s="462"/>
      <c r="D591" s="463"/>
      <c r="E591" s="463"/>
      <c r="F591" s="463"/>
      <c r="G591" s="463"/>
      <c r="H591" s="463"/>
      <c r="I591" s="463"/>
      <c r="J591" s="463"/>
      <c r="K591" s="463"/>
      <c r="L591" s="463"/>
      <c r="M591" s="564"/>
      <c r="N591" s="564"/>
      <c r="O591" s="465"/>
      <c r="P591" s="465"/>
      <c r="Q591" s="465"/>
      <c r="R591" s="465"/>
      <c r="S591" s="466"/>
      <c r="T591" s="466"/>
      <c r="U591" s="466"/>
      <c r="V591" s="466"/>
      <c r="W591" s="464"/>
      <c r="X591" s="464"/>
      <c r="Y591" s="467"/>
      <c r="Z591" s="467"/>
      <c r="AA591" s="467"/>
      <c r="AB591" s="467"/>
      <c r="AC591" s="467"/>
      <c r="AD591" s="467"/>
      <c r="AE591" s="467"/>
      <c r="AF591" s="468"/>
    </row>
    <row r="592" customFormat="false" ht="30" hidden="false" customHeight="true" outlineLevel="0" collapsed="false">
      <c r="A592" s="469" t="s">
        <v>1958</v>
      </c>
      <c r="B592" s="469"/>
      <c r="C592" s="469"/>
      <c r="D592" s="470" t="s">
        <v>1959</v>
      </c>
      <c r="E592" s="470"/>
      <c r="F592" s="470"/>
      <c r="G592" s="470"/>
      <c r="H592" s="470"/>
      <c r="I592" s="470"/>
      <c r="J592" s="470"/>
      <c r="K592" s="470"/>
      <c r="L592" s="470"/>
      <c r="M592" s="570" t="n">
        <f aca="false">SUMIFS(TE!P:P,TE!G:G,$A$426,TE!H:H,A592)</f>
        <v>0</v>
      </c>
      <c r="N592" s="570"/>
      <c r="O592" s="472" t="n">
        <v>80</v>
      </c>
      <c r="P592" s="472"/>
      <c r="Q592" s="473" t="n">
        <f aca="false">M592/O592</f>
        <v>0</v>
      </c>
      <c r="R592" s="473"/>
      <c r="S592" s="474" t="n">
        <v>13.4</v>
      </c>
      <c r="T592" s="474"/>
      <c r="U592" s="474" t="n">
        <f aca="false">Q592*S592</f>
        <v>0</v>
      </c>
      <c r="V592" s="474"/>
      <c r="W592" s="475" t="s">
        <v>1670</v>
      </c>
      <c r="X592" s="475"/>
      <c r="Y592" s="476" t="s">
        <v>1671</v>
      </c>
      <c r="Z592" s="476"/>
      <c r="AA592" s="476"/>
      <c r="AB592" s="476"/>
      <c r="AC592" s="476"/>
      <c r="AD592" s="476"/>
      <c r="AE592" s="476"/>
      <c r="AF592" s="468"/>
    </row>
    <row r="593" customFormat="false" ht="30" hidden="false" customHeight="true" outlineLevel="0" collapsed="false">
      <c r="A593" s="477" t="s">
        <v>1960</v>
      </c>
      <c r="B593" s="477"/>
      <c r="C593" s="477"/>
      <c r="D593" s="478" t="s">
        <v>1961</v>
      </c>
      <c r="E593" s="478"/>
      <c r="F593" s="478"/>
      <c r="G593" s="478"/>
      <c r="H593" s="478"/>
      <c r="I593" s="478"/>
      <c r="J593" s="478"/>
      <c r="K593" s="478"/>
      <c r="L593" s="478"/>
      <c r="M593" s="479" t="n">
        <f aca="false">SUMIFS(TE!P:P,TE!G:G,$A$426,TE!H:H,A593)</f>
        <v>0</v>
      </c>
      <c r="N593" s="479"/>
      <c r="O593" s="480" t="n">
        <v>36</v>
      </c>
      <c r="P593" s="480"/>
      <c r="Q593" s="481" t="n">
        <f aca="false">M593/O593</f>
        <v>0</v>
      </c>
      <c r="R593" s="481"/>
      <c r="S593" s="482" t="n">
        <v>13.4</v>
      </c>
      <c r="T593" s="482"/>
      <c r="U593" s="482" t="n">
        <f aca="false">Q593*S593</f>
        <v>0</v>
      </c>
      <c r="V593" s="482"/>
      <c r="W593" s="483" t="s">
        <v>1670</v>
      </c>
      <c r="X593" s="483"/>
      <c r="Y593" s="484" t="s">
        <v>1671</v>
      </c>
      <c r="Z593" s="484"/>
      <c r="AA593" s="484"/>
      <c r="AB593" s="484"/>
      <c r="AC593" s="484"/>
      <c r="AD593" s="484"/>
      <c r="AE593" s="484"/>
      <c r="AF593" s="468"/>
    </row>
    <row r="594" customFormat="false" ht="30" hidden="false" customHeight="true" outlineLevel="0" collapsed="false">
      <c r="A594" s="477" t="s">
        <v>1962</v>
      </c>
      <c r="B594" s="477"/>
      <c r="C594" s="477"/>
      <c r="D594" s="478" t="s">
        <v>1963</v>
      </c>
      <c r="E594" s="478"/>
      <c r="F594" s="478"/>
      <c r="G594" s="478"/>
      <c r="H594" s="478"/>
      <c r="I594" s="478"/>
      <c r="J594" s="478"/>
      <c r="K594" s="478"/>
      <c r="L594" s="478"/>
      <c r="M594" s="479" t="n">
        <f aca="false">SUMIFS(TE!P:P,TE!G:G,$A$426,TE!H:H,A594)</f>
        <v>0</v>
      </c>
      <c r="N594" s="479"/>
      <c r="O594" s="480" t="n">
        <v>12</v>
      </c>
      <c r="P594" s="480"/>
      <c r="Q594" s="481" t="n">
        <f aca="false">M594/O594</f>
        <v>0</v>
      </c>
      <c r="R594" s="481"/>
      <c r="S594" s="482" t="n">
        <v>13.4</v>
      </c>
      <c r="T594" s="482"/>
      <c r="U594" s="482" t="n">
        <f aca="false">Q594*S594</f>
        <v>0</v>
      </c>
      <c r="V594" s="482"/>
      <c r="W594" s="483" t="s">
        <v>1670</v>
      </c>
      <c r="X594" s="483"/>
      <c r="Y594" s="484" t="s">
        <v>1671</v>
      </c>
      <c r="Z594" s="484"/>
      <c r="AA594" s="484"/>
      <c r="AB594" s="484"/>
      <c r="AC594" s="484"/>
      <c r="AD594" s="484"/>
      <c r="AE594" s="484"/>
      <c r="AF594" s="468"/>
    </row>
    <row r="595" customFormat="false" ht="30" hidden="false" customHeight="true" outlineLevel="0" collapsed="false">
      <c r="A595" s="477" t="s">
        <v>1964</v>
      </c>
      <c r="B595" s="477"/>
      <c r="C595" s="477"/>
      <c r="D595" s="478" t="s">
        <v>1965</v>
      </c>
      <c r="E595" s="478"/>
      <c r="F595" s="478"/>
      <c r="G595" s="478"/>
      <c r="H595" s="478"/>
      <c r="I595" s="478"/>
      <c r="J595" s="478"/>
      <c r="K595" s="478"/>
      <c r="L595" s="478"/>
      <c r="M595" s="479" t="n">
        <f aca="false">SUMIFS(TE!P:P,TE!G:G,$A$426,TE!H:H,A595)</f>
        <v>2</v>
      </c>
      <c r="N595" s="479"/>
      <c r="O595" s="480" t="n">
        <v>64</v>
      </c>
      <c r="P595" s="480"/>
      <c r="Q595" s="481" t="n">
        <f aca="false">M595/O595</f>
        <v>0.03125</v>
      </c>
      <c r="R595" s="481"/>
      <c r="S595" s="482" t="n">
        <v>13.4</v>
      </c>
      <c r="T595" s="482"/>
      <c r="U595" s="482" t="n">
        <f aca="false">Q595*S595</f>
        <v>0.41875</v>
      </c>
      <c r="V595" s="482"/>
      <c r="W595" s="483" t="s">
        <v>1670</v>
      </c>
      <c r="X595" s="483"/>
      <c r="Y595" s="484" t="s">
        <v>1671</v>
      </c>
      <c r="Z595" s="484"/>
      <c r="AA595" s="484"/>
      <c r="AB595" s="484"/>
      <c r="AC595" s="484"/>
      <c r="AD595" s="484"/>
      <c r="AE595" s="484"/>
      <c r="AF595" s="468"/>
    </row>
    <row r="596" customFormat="false" ht="30" hidden="false" customHeight="true" outlineLevel="0" collapsed="false">
      <c r="A596" s="477" t="s">
        <v>1966</v>
      </c>
      <c r="B596" s="477"/>
      <c r="C596" s="477"/>
      <c r="D596" s="478" t="s">
        <v>1967</v>
      </c>
      <c r="E596" s="478"/>
      <c r="F596" s="478"/>
      <c r="G596" s="478"/>
      <c r="H596" s="478"/>
      <c r="I596" s="478"/>
      <c r="J596" s="478"/>
      <c r="K596" s="478"/>
      <c r="L596" s="478"/>
      <c r="M596" s="479" t="n">
        <f aca="false">SUMIFS(TE!P:P,TE!G:G,$A$426,TE!H:H,A596)</f>
        <v>0</v>
      </c>
      <c r="N596" s="479"/>
      <c r="O596" s="480" t="n">
        <v>64</v>
      </c>
      <c r="P596" s="480"/>
      <c r="Q596" s="481" t="n">
        <f aca="false">M596/O596</f>
        <v>0</v>
      </c>
      <c r="R596" s="481"/>
      <c r="S596" s="482" t="n">
        <v>13.4</v>
      </c>
      <c r="T596" s="482"/>
      <c r="U596" s="482" t="n">
        <f aca="false">Q596*S596</f>
        <v>0</v>
      </c>
      <c r="V596" s="482"/>
      <c r="W596" s="483" t="s">
        <v>1670</v>
      </c>
      <c r="X596" s="483"/>
      <c r="Y596" s="484" t="s">
        <v>1671</v>
      </c>
      <c r="Z596" s="484"/>
      <c r="AA596" s="484"/>
      <c r="AB596" s="484"/>
      <c r="AC596" s="484"/>
      <c r="AD596" s="484"/>
      <c r="AE596" s="484"/>
      <c r="AF596" s="468"/>
    </row>
    <row r="597" customFormat="false" ht="30" hidden="false" customHeight="true" outlineLevel="0" collapsed="false">
      <c r="A597" s="477" t="s">
        <v>1968</v>
      </c>
      <c r="B597" s="477"/>
      <c r="C597" s="477"/>
      <c r="D597" s="478" t="s">
        <v>1969</v>
      </c>
      <c r="E597" s="478"/>
      <c r="F597" s="478"/>
      <c r="G597" s="478"/>
      <c r="H597" s="478"/>
      <c r="I597" s="478"/>
      <c r="J597" s="478"/>
      <c r="K597" s="478"/>
      <c r="L597" s="478"/>
      <c r="M597" s="479" t="n">
        <f aca="false">SUMIFS(TE!P:P,TE!G:G,$A$426,TE!H:H,A597)</f>
        <v>0</v>
      </c>
      <c r="N597" s="479"/>
      <c r="O597" s="480" t="n">
        <v>4</v>
      </c>
      <c r="P597" s="480"/>
      <c r="Q597" s="481" t="n">
        <f aca="false">ROUNDUP(M597/O597,0)</f>
        <v>0</v>
      </c>
      <c r="R597" s="481"/>
      <c r="S597" s="482" t="n">
        <v>5.7</v>
      </c>
      <c r="T597" s="482"/>
      <c r="U597" s="482" t="n">
        <f aca="false">Q597*S597</f>
        <v>0</v>
      </c>
      <c r="V597" s="482"/>
      <c r="W597" s="483" t="s">
        <v>2202</v>
      </c>
      <c r="X597" s="483"/>
      <c r="Y597" s="484" t="s">
        <v>1971</v>
      </c>
      <c r="Z597" s="484"/>
      <c r="AA597" s="484"/>
      <c r="AB597" s="484"/>
      <c r="AC597" s="484"/>
      <c r="AD597" s="484"/>
      <c r="AE597" s="484"/>
      <c r="AF597" s="468"/>
    </row>
    <row r="598" customFormat="false" ht="30" hidden="false" customHeight="true" outlineLevel="0" collapsed="false">
      <c r="A598" s="477" t="s">
        <v>1972</v>
      </c>
      <c r="B598" s="477"/>
      <c r="C598" s="477"/>
      <c r="D598" s="478" t="s">
        <v>1973</v>
      </c>
      <c r="E598" s="478"/>
      <c r="F598" s="478"/>
      <c r="G598" s="478"/>
      <c r="H598" s="478"/>
      <c r="I598" s="478"/>
      <c r="J598" s="478"/>
      <c r="K598" s="478"/>
      <c r="L598" s="478"/>
      <c r="M598" s="479" t="n">
        <f aca="false">SUMIFS(TE!P:P,TE!G:G,$A$426,TE!H:H,A598)</f>
        <v>0</v>
      </c>
      <c r="N598" s="479"/>
      <c r="O598" s="485" t="s">
        <v>1678</v>
      </c>
      <c r="P598" s="485"/>
      <c r="Q598" s="485" t="s">
        <v>1678</v>
      </c>
      <c r="R598" s="485"/>
      <c r="S598" s="485" t="s">
        <v>1678</v>
      </c>
      <c r="T598" s="485"/>
      <c r="U598" s="485" t="s">
        <v>1678</v>
      </c>
      <c r="V598" s="485"/>
      <c r="W598" s="483" t="s">
        <v>1679</v>
      </c>
      <c r="X598" s="483"/>
      <c r="Y598" s="484" t="s">
        <v>1974</v>
      </c>
      <c r="Z598" s="484"/>
      <c r="AA598" s="484"/>
      <c r="AB598" s="484"/>
      <c r="AC598" s="484"/>
      <c r="AD598" s="484"/>
      <c r="AE598" s="484"/>
      <c r="AF598" s="468"/>
    </row>
    <row r="599" customFormat="false" ht="30" hidden="false" customHeight="true" outlineLevel="0" collapsed="false">
      <c r="A599" s="477" t="s">
        <v>1975</v>
      </c>
      <c r="B599" s="477"/>
      <c r="C599" s="477"/>
      <c r="D599" s="478" t="s">
        <v>1976</v>
      </c>
      <c r="E599" s="478"/>
      <c r="F599" s="478"/>
      <c r="G599" s="478"/>
      <c r="H599" s="478"/>
      <c r="I599" s="478"/>
      <c r="J599" s="478"/>
      <c r="K599" s="478"/>
      <c r="L599" s="478"/>
      <c r="M599" s="479" t="n">
        <f aca="false">SUMIFS(TE!P:P,TE!G:G,$A$426,TE!H:H,A599)</f>
        <v>0</v>
      </c>
      <c r="N599" s="479"/>
      <c r="O599" s="480" t="n">
        <v>12</v>
      </c>
      <c r="P599" s="480"/>
      <c r="Q599" s="481" t="n">
        <f aca="false">ROUNDUP(M599/O599,0)</f>
        <v>0</v>
      </c>
      <c r="R599" s="481"/>
      <c r="S599" s="482" t="n">
        <v>1.75</v>
      </c>
      <c r="T599" s="482"/>
      <c r="U599" s="482" t="n">
        <f aca="false">Q599*S599</f>
        <v>0</v>
      </c>
      <c r="V599" s="482"/>
      <c r="W599" s="483" t="s">
        <v>1977</v>
      </c>
      <c r="X599" s="483"/>
      <c r="Y599" s="484" t="s">
        <v>1978</v>
      </c>
      <c r="Z599" s="484"/>
      <c r="AA599" s="484"/>
      <c r="AB599" s="484"/>
      <c r="AC599" s="484"/>
      <c r="AD599" s="484"/>
      <c r="AE599" s="484"/>
      <c r="AF599" s="468"/>
    </row>
    <row r="600" customFormat="false" ht="30" hidden="false" customHeight="true" outlineLevel="0" collapsed="false">
      <c r="A600" s="477" t="s">
        <v>1979</v>
      </c>
      <c r="B600" s="477"/>
      <c r="C600" s="477"/>
      <c r="D600" s="478" t="s">
        <v>1980</v>
      </c>
      <c r="E600" s="478"/>
      <c r="F600" s="478"/>
      <c r="G600" s="478"/>
      <c r="H600" s="478"/>
      <c r="I600" s="478"/>
      <c r="J600" s="478"/>
      <c r="K600" s="478"/>
      <c r="L600" s="478"/>
      <c r="M600" s="479" t="n">
        <f aca="false">SUMIFS(TE!P:P,TE!G:G,$A$426,TE!H:H,A600)</f>
        <v>0</v>
      </c>
      <c r="N600" s="479"/>
      <c r="O600" s="480" t="n">
        <v>12</v>
      </c>
      <c r="P600" s="480"/>
      <c r="Q600" s="481" t="n">
        <f aca="false">ROUNDUP(M600/O600,0)</f>
        <v>0</v>
      </c>
      <c r="R600" s="481"/>
      <c r="S600" s="482" t="n">
        <v>1.75</v>
      </c>
      <c r="T600" s="482"/>
      <c r="U600" s="482" t="n">
        <f aca="false">Q600*S600</f>
        <v>0</v>
      </c>
      <c r="V600" s="482"/>
      <c r="W600" s="483" t="s">
        <v>1977</v>
      </c>
      <c r="X600" s="483"/>
      <c r="Y600" s="484" t="s">
        <v>1978</v>
      </c>
      <c r="Z600" s="484"/>
      <c r="AA600" s="484"/>
      <c r="AB600" s="484"/>
      <c r="AC600" s="484"/>
      <c r="AD600" s="484"/>
      <c r="AE600" s="484"/>
      <c r="AF600" s="468"/>
    </row>
    <row r="601" customFormat="false" ht="30" hidden="false" customHeight="true" outlineLevel="0" collapsed="false">
      <c r="A601" s="477" t="s">
        <v>1981</v>
      </c>
      <c r="B601" s="477"/>
      <c r="C601" s="477"/>
      <c r="D601" s="478" t="s">
        <v>1982</v>
      </c>
      <c r="E601" s="478"/>
      <c r="F601" s="478"/>
      <c r="G601" s="478"/>
      <c r="H601" s="478"/>
      <c r="I601" s="478"/>
      <c r="J601" s="478"/>
      <c r="K601" s="478"/>
      <c r="L601" s="478"/>
      <c r="M601" s="479" t="n">
        <f aca="false">SUMIFS(TE!P:P,TE!G:G,$A$426,TE!H:H,A601)</f>
        <v>0</v>
      </c>
      <c r="N601" s="479"/>
      <c r="O601" s="485" t="s">
        <v>1678</v>
      </c>
      <c r="P601" s="485"/>
      <c r="Q601" s="485" t="s">
        <v>1678</v>
      </c>
      <c r="R601" s="485"/>
      <c r="S601" s="485" t="s">
        <v>1678</v>
      </c>
      <c r="T601" s="485"/>
      <c r="U601" s="485" t="s">
        <v>1678</v>
      </c>
      <c r="V601" s="485"/>
      <c r="W601" s="483" t="s">
        <v>1810</v>
      </c>
      <c r="X601" s="483"/>
      <c r="Y601" s="484" t="s">
        <v>1811</v>
      </c>
      <c r="Z601" s="484"/>
      <c r="AA601" s="484"/>
      <c r="AB601" s="484"/>
      <c r="AC601" s="484"/>
      <c r="AD601" s="484"/>
      <c r="AE601" s="484"/>
      <c r="AF601" s="468"/>
    </row>
    <row r="602" customFormat="false" ht="30" hidden="false" customHeight="true" outlineLevel="0" collapsed="false">
      <c r="A602" s="477" t="s">
        <v>1983</v>
      </c>
      <c r="B602" s="477"/>
      <c r="C602" s="477"/>
      <c r="D602" s="478" t="s">
        <v>1984</v>
      </c>
      <c r="E602" s="478"/>
      <c r="F602" s="478"/>
      <c r="G602" s="478"/>
      <c r="H602" s="478"/>
      <c r="I602" s="478"/>
      <c r="J602" s="478"/>
      <c r="K602" s="478"/>
      <c r="L602" s="478"/>
      <c r="M602" s="479" t="n">
        <f aca="false">SUMIFS(TE!P:P,TE!G:G,$A$426,TE!H:H,A602)</f>
        <v>0</v>
      </c>
      <c r="N602" s="479"/>
      <c r="O602" s="480" t="n">
        <v>1</v>
      </c>
      <c r="P602" s="480"/>
      <c r="Q602" s="481" t="n">
        <f aca="false">M602/O602</f>
        <v>0</v>
      </c>
      <c r="R602" s="481"/>
      <c r="S602" s="482" t="n">
        <v>22.5</v>
      </c>
      <c r="T602" s="482"/>
      <c r="U602" s="482" t="n">
        <f aca="false">Q602*S602</f>
        <v>0</v>
      </c>
      <c r="V602" s="482"/>
      <c r="W602" s="483" t="s">
        <v>1985</v>
      </c>
      <c r="X602" s="483"/>
      <c r="Y602" s="484" t="s">
        <v>1986</v>
      </c>
      <c r="Z602" s="484"/>
      <c r="AA602" s="484"/>
      <c r="AB602" s="484"/>
      <c r="AC602" s="484"/>
      <c r="AD602" s="484"/>
      <c r="AE602" s="484"/>
      <c r="AF602" s="468"/>
    </row>
    <row r="603" customFormat="false" ht="30" hidden="false" customHeight="true" outlineLevel="0" collapsed="false">
      <c r="A603" s="477" t="s">
        <v>1987</v>
      </c>
      <c r="B603" s="477"/>
      <c r="C603" s="477"/>
      <c r="D603" s="478" t="s">
        <v>1988</v>
      </c>
      <c r="E603" s="478"/>
      <c r="F603" s="478"/>
      <c r="G603" s="478"/>
      <c r="H603" s="478"/>
      <c r="I603" s="478"/>
      <c r="J603" s="478"/>
      <c r="K603" s="478"/>
      <c r="L603" s="478"/>
      <c r="M603" s="479" t="n">
        <f aca="false">SUMIFS(TE!P:P,TE!G:G,$A$426,TE!H:H,A603)</f>
        <v>0</v>
      </c>
      <c r="N603" s="479"/>
      <c r="O603" s="480" t="n">
        <v>170</v>
      </c>
      <c r="P603" s="480"/>
      <c r="Q603" s="481" t="n">
        <f aca="false">M603/O603</f>
        <v>0</v>
      </c>
      <c r="R603" s="481"/>
      <c r="S603" s="482" t="n">
        <v>13.4</v>
      </c>
      <c r="T603" s="482"/>
      <c r="U603" s="482" t="n">
        <f aca="false">Q603*S603</f>
        <v>0</v>
      </c>
      <c r="V603" s="482"/>
      <c r="W603" s="483" t="s">
        <v>1670</v>
      </c>
      <c r="X603" s="483"/>
      <c r="Y603" s="484" t="s">
        <v>1671</v>
      </c>
      <c r="Z603" s="484"/>
      <c r="AA603" s="484"/>
      <c r="AB603" s="484"/>
      <c r="AC603" s="484"/>
      <c r="AD603" s="484"/>
      <c r="AE603" s="484"/>
      <c r="AF603" s="468"/>
    </row>
    <row r="604" customFormat="false" ht="30" hidden="false" customHeight="true" outlineLevel="0" collapsed="false">
      <c r="A604" s="477" t="s">
        <v>1989</v>
      </c>
      <c r="B604" s="477"/>
      <c r="C604" s="477"/>
      <c r="D604" s="478" t="s">
        <v>1990</v>
      </c>
      <c r="E604" s="478"/>
      <c r="F604" s="478"/>
      <c r="G604" s="478"/>
      <c r="H604" s="478"/>
      <c r="I604" s="478"/>
      <c r="J604" s="478"/>
      <c r="K604" s="478"/>
      <c r="L604" s="478"/>
      <c r="M604" s="479" t="n">
        <f aca="false">SUMIFS(TE!P:P,TE!G:G,$A$426,TE!H:H,A604)</f>
        <v>0</v>
      </c>
      <c r="N604" s="479"/>
      <c r="O604" s="480" t="n">
        <v>20</v>
      </c>
      <c r="P604" s="480"/>
      <c r="Q604" s="481" t="n">
        <f aca="false">ROUNDUP(M604/O604,0)</f>
        <v>0</v>
      </c>
      <c r="R604" s="481"/>
      <c r="S604" s="482" t="n">
        <v>13.4</v>
      </c>
      <c r="T604" s="482"/>
      <c r="U604" s="482" t="n">
        <f aca="false">Q604*S604</f>
        <v>0</v>
      </c>
      <c r="V604" s="482"/>
      <c r="W604" s="483" t="s">
        <v>1767</v>
      </c>
      <c r="X604" s="483"/>
      <c r="Y604" s="484" t="s">
        <v>1991</v>
      </c>
      <c r="Z604" s="484"/>
      <c r="AA604" s="484"/>
      <c r="AB604" s="484"/>
      <c r="AC604" s="484"/>
      <c r="AD604" s="484"/>
      <c r="AE604" s="484"/>
      <c r="AF604" s="468"/>
    </row>
    <row r="605" customFormat="false" ht="30" hidden="false" customHeight="true" outlineLevel="0" collapsed="false">
      <c r="A605" s="477" t="s">
        <v>1992</v>
      </c>
      <c r="B605" s="477"/>
      <c r="C605" s="477"/>
      <c r="D605" s="478" t="s">
        <v>1993</v>
      </c>
      <c r="E605" s="478"/>
      <c r="F605" s="478"/>
      <c r="G605" s="478"/>
      <c r="H605" s="478"/>
      <c r="I605" s="478"/>
      <c r="J605" s="478"/>
      <c r="K605" s="478"/>
      <c r="L605" s="478"/>
      <c r="M605" s="479" t="n">
        <f aca="false">SUMIFS(TE!P:P,TE!G:G,$A$426,TE!H:H,A605)</f>
        <v>15</v>
      </c>
      <c r="N605" s="479"/>
      <c r="O605" s="480" t="n">
        <v>20</v>
      </c>
      <c r="P605" s="480"/>
      <c r="Q605" s="481" t="n">
        <f aca="false">ROUNDUP(M605/O605,0)</f>
        <v>1</v>
      </c>
      <c r="R605" s="481"/>
      <c r="S605" s="482" t="n">
        <v>13.4</v>
      </c>
      <c r="T605" s="482"/>
      <c r="U605" s="482" t="n">
        <f aca="false">Q605*S605</f>
        <v>13.4</v>
      </c>
      <c r="V605" s="482"/>
      <c r="W605" s="483" t="s">
        <v>1767</v>
      </c>
      <c r="X605" s="483"/>
      <c r="Y605" s="484" t="s">
        <v>1991</v>
      </c>
      <c r="Z605" s="484"/>
      <c r="AA605" s="484"/>
      <c r="AB605" s="484"/>
      <c r="AC605" s="484"/>
      <c r="AD605" s="484"/>
      <c r="AE605" s="484"/>
      <c r="AF605" s="468"/>
    </row>
    <row r="606" customFormat="false" ht="30" hidden="false" customHeight="true" outlineLevel="0" collapsed="false">
      <c r="A606" s="477" t="s">
        <v>1994</v>
      </c>
      <c r="B606" s="477"/>
      <c r="C606" s="477"/>
      <c r="D606" s="478" t="s">
        <v>1995</v>
      </c>
      <c r="E606" s="478"/>
      <c r="F606" s="478"/>
      <c r="G606" s="478"/>
      <c r="H606" s="478"/>
      <c r="I606" s="478"/>
      <c r="J606" s="478"/>
      <c r="K606" s="478"/>
      <c r="L606" s="478"/>
      <c r="M606" s="479" t="n">
        <f aca="false">SUMIFS(TE!P:P,TE!G:G,$A$426,TE!H:H,A606)</f>
        <v>0</v>
      </c>
      <c r="N606" s="479"/>
      <c r="O606" s="480" t="n">
        <v>20</v>
      </c>
      <c r="P606" s="480"/>
      <c r="Q606" s="481" t="n">
        <f aca="false">ROUNDUP(M606/O606,0)</f>
        <v>0</v>
      </c>
      <c r="R606" s="481"/>
      <c r="S606" s="482" t="n">
        <v>13.4</v>
      </c>
      <c r="T606" s="482"/>
      <c r="U606" s="482" t="n">
        <f aca="false">Q606*S606</f>
        <v>0</v>
      </c>
      <c r="V606" s="482"/>
      <c r="W606" s="483" t="s">
        <v>1996</v>
      </c>
      <c r="X606" s="483"/>
      <c r="Y606" s="484" t="s">
        <v>1991</v>
      </c>
      <c r="Z606" s="484"/>
      <c r="AA606" s="484"/>
      <c r="AB606" s="484"/>
      <c r="AC606" s="484"/>
      <c r="AD606" s="484"/>
      <c r="AE606" s="484"/>
      <c r="AF606" s="468"/>
    </row>
    <row r="607" customFormat="false" ht="30" hidden="false" customHeight="true" outlineLevel="0" collapsed="false">
      <c r="A607" s="477" t="s">
        <v>1997</v>
      </c>
      <c r="B607" s="477"/>
      <c r="C607" s="477"/>
      <c r="D607" s="478" t="s">
        <v>1998</v>
      </c>
      <c r="E607" s="478"/>
      <c r="F607" s="478"/>
      <c r="G607" s="478"/>
      <c r="H607" s="478"/>
      <c r="I607" s="478"/>
      <c r="J607" s="478"/>
      <c r="K607" s="478"/>
      <c r="L607" s="478"/>
      <c r="M607" s="479" t="n">
        <f aca="false">SUMIFS(TE!P:P,TE!G:G,$A$426,TE!H:H,A607)</f>
        <v>0</v>
      </c>
      <c r="N607" s="479"/>
      <c r="O607" s="480" t="n">
        <v>16</v>
      </c>
      <c r="P607" s="480"/>
      <c r="Q607" s="481" t="n">
        <f aca="false">ROUNDUP(M607/O607,0)</f>
        <v>0</v>
      </c>
      <c r="R607" s="481"/>
      <c r="S607" s="482" t="n">
        <v>21</v>
      </c>
      <c r="T607" s="482"/>
      <c r="U607" s="482" t="n">
        <f aca="false">Q607*S607</f>
        <v>0</v>
      </c>
      <c r="V607" s="482"/>
      <c r="W607" s="483" t="s">
        <v>1771</v>
      </c>
      <c r="X607" s="483"/>
      <c r="Y607" s="484" t="s">
        <v>1772</v>
      </c>
      <c r="Z607" s="484"/>
      <c r="AA607" s="484"/>
      <c r="AB607" s="484"/>
      <c r="AC607" s="484"/>
      <c r="AD607" s="484"/>
      <c r="AE607" s="484"/>
      <c r="AF607" s="468"/>
    </row>
    <row r="608" customFormat="false" ht="30" hidden="false" customHeight="true" outlineLevel="0" collapsed="false">
      <c r="A608" s="477" t="s">
        <v>1999</v>
      </c>
      <c r="B608" s="477"/>
      <c r="C608" s="477"/>
      <c r="D608" s="478" t="s">
        <v>2000</v>
      </c>
      <c r="E608" s="478"/>
      <c r="F608" s="478"/>
      <c r="G608" s="478"/>
      <c r="H608" s="478"/>
      <c r="I608" s="478"/>
      <c r="J608" s="478"/>
      <c r="K608" s="478"/>
      <c r="L608" s="478"/>
      <c r="M608" s="479" t="n">
        <f aca="false">SUMIFS(TE!P:P,TE!G:G,$A$426,TE!H:H,A608)</f>
        <v>0</v>
      </c>
      <c r="N608" s="479"/>
      <c r="O608" s="480" t="n">
        <v>5</v>
      </c>
      <c r="P608" s="480"/>
      <c r="Q608" s="481" t="n">
        <f aca="false">ROUNDUP(M608/O608,0)</f>
        <v>0</v>
      </c>
      <c r="R608" s="481"/>
      <c r="S608" s="482" t="n">
        <v>24.9</v>
      </c>
      <c r="T608" s="482"/>
      <c r="U608" s="482" t="n">
        <f aca="false">Q608*S608</f>
        <v>0</v>
      </c>
      <c r="V608" s="482"/>
      <c r="W608" s="483" t="s">
        <v>2001</v>
      </c>
      <c r="X608" s="483"/>
      <c r="Y608" s="484" t="s">
        <v>2002</v>
      </c>
      <c r="Z608" s="484"/>
      <c r="AA608" s="484"/>
      <c r="AB608" s="484"/>
      <c r="AC608" s="484"/>
      <c r="AD608" s="484"/>
      <c r="AE608" s="484"/>
      <c r="AF608" s="468"/>
    </row>
    <row r="609" customFormat="false" ht="30" hidden="false" customHeight="true" outlineLevel="0" collapsed="false">
      <c r="A609" s="477" t="s">
        <v>2003</v>
      </c>
      <c r="B609" s="477"/>
      <c r="C609" s="477"/>
      <c r="D609" s="478" t="s">
        <v>2004</v>
      </c>
      <c r="E609" s="478"/>
      <c r="F609" s="478"/>
      <c r="G609" s="478"/>
      <c r="H609" s="478"/>
      <c r="I609" s="478"/>
      <c r="J609" s="478"/>
      <c r="K609" s="478"/>
      <c r="L609" s="478"/>
      <c r="M609" s="479" t="n">
        <f aca="false">SUMIFS(TE!P:P,TE!G:G,$A$426,TE!H:H,A609)</f>
        <v>15</v>
      </c>
      <c r="N609" s="479"/>
      <c r="O609" s="485" t="s">
        <v>1678</v>
      </c>
      <c r="P609" s="485"/>
      <c r="Q609" s="485" t="s">
        <v>1678</v>
      </c>
      <c r="R609" s="485"/>
      <c r="S609" s="485" t="s">
        <v>1678</v>
      </c>
      <c r="T609" s="485"/>
      <c r="U609" s="485" t="s">
        <v>1678</v>
      </c>
      <c r="V609" s="485"/>
      <c r="W609" s="483" t="s">
        <v>1679</v>
      </c>
      <c r="X609" s="483"/>
      <c r="Y609" s="484" t="s">
        <v>1701</v>
      </c>
      <c r="Z609" s="484"/>
      <c r="AA609" s="484"/>
      <c r="AB609" s="484"/>
      <c r="AC609" s="484"/>
      <c r="AD609" s="484"/>
      <c r="AE609" s="484"/>
      <c r="AF609" s="468"/>
    </row>
    <row r="610" customFormat="false" ht="30" hidden="false" customHeight="true" outlineLevel="0" collapsed="false">
      <c r="A610" s="486" t="s">
        <v>2005</v>
      </c>
      <c r="B610" s="486"/>
      <c r="C610" s="486"/>
      <c r="D610" s="487" t="s">
        <v>2006</v>
      </c>
      <c r="E610" s="487"/>
      <c r="F610" s="487"/>
      <c r="G610" s="487"/>
      <c r="H610" s="487"/>
      <c r="I610" s="487"/>
      <c r="J610" s="487"/>
      <c r="K610" s="487"/>
      <c r="L610" s="487"/>
      <c r="M610" s="488" t="n">
        <f aca="false">SUMIFS(TE!P:P,TE!G:G,$A$426,TE!H:H,A610)</f>
        <v>0</v>
      </c>
      <c r="N610" s="488"/>
      <c r="O610" s="489" t="n">
        <v>20</v>
      </c>
      <c r="P610" s="489"/>
      <c r="Q610" s="490" t="n">
        <f aca="false">ROUNDUP(M610/O610,0)</f>
        <v>0</v>
      </c>
      <c r="R610" s="490"/>
      <c r="S610" s="491" t="n">
        <v>13.4</v>
      </c>
      <c r="T610" s="491"/>
      <c r="U610" s="491" t="n">
        <f aca="false">Q610*S610</f>
        <v>0</v>
      </c>
      <c r="V610" s="491"/>
      <c r="W610" s="492" t="s">
        <v>2007</v>
      </c>
      <c r="X610" s="492"/>
      <c r="Y610" s="493" t="s">
        <v>1991</v>
      </c>
      <c r="Z610" s="493"/>
      <c r="AA610" s="493"/>
      <c r="AB610" s="493"/>
      <c r="AC610" s="493"/>
      <c r="AD610" s="493"/>
      <c r="AE610" s="493"/>
      <c r="AF610" s="468"/>
    </row>
    <row r="611" customFormat="false" ht="12.75" hidden="false" customHeight="true" outlineLevel="0" collapsed="false">
      <c r="A611" s="494"/>
      <c r="B611" s="494"/>
      <c r="C611" s="494"/>
      <c r="D611" s="494"/>
      <c r="E611" s="494"/>
      <c r="F611" s="494"/>
      <c r="G611" s="494"/>
      <c r="H611" s="494"/>
      <c r="I611" s="494"/>
      <c r="J611" s="494"/>
      <c r="K611" s="494"/>
      <c r="L611" s="494"/>
      <c r="M611" s="494"/>
      <c r="N611" s="494"/>
      <c r="O611" s="494"/>
      <c r="P611" s="494"/>
      <c r="Q611" s="494"/>
      <c r="R611" s="494"/>
      <c r="S611" s="494"/>
      <c r="T611" s="494"/>
      <c r="U611" s="494"/>
      <c r="V611" s="494"/>
      <c r="W611" s="494"/>
      <c r="X611" s="494"/>
      <c r="Y611" s="494"/>
      <c r="Z611" s="494"/>
      <c r="AA611" s="494"/>
      <c r="AB611" s="494"/>
      <c r="AC611" s="494"/>
      <c r="AD611" s="494"/>
      <c r="AE611" s="494"/>
      <c r="AF611" s="468"/>
    </row>
    <row r="612" customFormat="false" ht="12.75" hidden="false" customHeight="true" outlineLevel="0" collapsed="false">
      <c r="A612" s="495"/>
      <c r="B612" s="495"/>
      <c r="C612" s="495"/>
      <c r="D612" s="495"/>
      <c r="E612" s="495"/>
      <c r="F612" s="495"/>
      <c r="G612" s="495"/>
      <c r="H612" s="495"/>
      <c r="I612" s="495"/>
      <c r="J612" s="495"/>
      <c r="K612" s="495"/>
      <c r="L612" s="495"/>
      <c r="M612" s="495"/>
      <c r="N612" s="495"/>
      <c r="O612" s="495"/>
      <c r="P612" s="495"/>
      <c r="Q612" s="495"/>
      <c r="R612" s="495"/>
      <c r="S612" s="495"/>
      <c r="T612" s="495"/>
      <c r="U612" s="495"/>
      <c r="V612" s="495"/>
      <c r="W612" s="495"/>
      <c r="X612" s="495"/>
      <c r="Y612" s="495"/>
      <c r="Z612" s="495"/>
      <c r="AA612" s="495"/>
      <c r="AB612" s="453"/>
      <c r="AC612" s="454" t="s">
        <v>1657</v>
      </c>
      <c r="AD612" s="455" t="n">
        <v>21</v>
      </c>
      <c r="AE612" s="455" t="s">
        <v>29</v>
      </c>
      <c r="AF612" s="455" t="n">
        <v>27</v>
      </c>
    </row>
    <row r="613" customFormat="false" ht="12.75" hidden="false" customHeight="true" outlineLevel="0" collapsed="false">
      <c r="A613" s="398" t="s">
        <v>1522</v>
      </c>
      <c r="B613" s="398"/>
      <c r="C613" s="456" t="n">
        <v>14345</v>
      </c>
      <c r="D613" s="456"/>
      <c r="E613" s="456"/>
      <c r="F613" s="456"/>
      <c r="G613" s="456"/>
      <c r="H613" s="456"/>
      <c r="I613" s="456"/>
      <c r="J613" s="456"/>
      <c r="K613" s="456"/>
      <c r="L613" s="456"/>
      <c r="M613" s="398" t="s">
        <v>1523</v>
      </c>
      <c r="N613" s="398"/>
      <c r="O613" s="398"/>
      <c r="P613" s="398"/>
      <c r="Q613" s="398"/>
      <c r="R613" s="456" t="s">
        <v>15</v>
      </c>
      <c r="S613" s="456"/>
      <c r="T613" s="456"/>
      <c r="U613" s="456"/>
      <c r="V613" s="456"/>
      <c r="W613" s="456"/>
      <c r="X613" s="456"/>
      <c r="Y613" s="456"/>
      <c r="Z613" s="456"/>
      <c r="AA613" s="456"/>
      <c r="AB613" s="456"/>
      <c r="AC613" s="456"/>
      <c r="AD613" s="456"/>
      <c r="AE613" s="456"/>
      <c r="AF613" s="456"/>
    </row>
    <row r="614" customFormat="false" ht="12.75" hidden="false" customHeight="true" outlineLevel="0" collapsed="false">
      <c r="A614" s="458"/>
      <c r="B614" s="458"/>
      <c r="C614" s="459"/>
      <c r="D614" s="459"/>
      <c r="E614" s="459"/>
      <c r="F614" s="459"/>
      <c r="G614" s="459"/>
      <c r="H614" s="459"/>
      <c r="I614" s="459"/>
      <c r="J614" s="459"/>
      <c r="K614" s="459"/>
      <c r="L614" s="459"/>
      <c r="M614" s="458"/>
      <c r="N614" s="458"/>
      <c r="O614" s="458"/>
      <c r="P614" s="458"/>
      <c r="Q614" s="458"/>
      <c r="R614" s="459"/>
      <c r="S614" s="459"/>
      <c r="T614" s="459"/>
      <c r="U614" s="459"/>
      <c r="V614" s="459"/>
      <c r="W614" s="459"/>
      <c r="X614" s="459"/>
      <c r="Y614" s="459"/>
      <c r="Z614" s="459"/>
      <c r="AA614" s="459"/>
      <c r="AB614" s="459"/>
      <c r="AC614" s="459"/>
      <c r="AD614" s="459"/>
      <c r="AE614" s="459"/>
      <c r="AF614" s="459"/>
    </row>
    <row r="615" customFormat="false" ht="15.75" hidden="false" customHeight="true" outlineLevel="0" collapsed="false">
      <c r="A615" s="460" t="str">
        <f aca="false">A588</f>
        <v>M28263</v>
      </c>
      <c r="B615" s="460"/>
      <c r="C615" s="460"/>
      <c r="D615" s="461" t="str">
        <f aca="false">D588</f>
        <v>SURGICAL CO A</v>
      </c>
      <c r="E615" s="461"/>
      <c r="F615" s="461"/>
      <c r="G615" s="461"/>
      <c r="H615" s="461"/>
      <c r="I615" s="461"/>
      <c r="J615" s="461"/>
      <c r="K615" s="461"/>
      <c r="L615" s="461"/>
      <c r="M615" s="458"/>
      <c r="N615" s="458"/>
      <c r="O615" s="458"/>
      <c r="P615" s="459"/>
      <c r="Q615" s="458"/>
      <c r="R615" s="459"/>
      <c r="S615" s="459"/>
      <c r="T615" s="459"/>
      <c r="U615" s="459"/>
      <c r="V615" s="459"/>
      <c r="W615" s="459"/>
      <c r="X615" s="459"/>
      <c r="Y615" s="459"/>
      <c r="Z615" s="459"/>
      <c r="AA615" s="459"/>
      <c r="AB615" s="459"/>
      <c r="AC615" s="459"/>
      <c r="AD615" s="459"/>
      <c r="AE615" s="459"/>
      <c r="AF615" s="459"/>
    </row>
    <row r="616" customFormat="false" ht="15.75" hidden="false" customHeight="true" outlineLevel="0" collapsed="false">
      <c r="A616" s="462" t="s">
        <v>1659</v>
      </c>
      <c r="B616" s="462"/>
      <c r="C616" s="462"/>
      <c r="D616" s="463" t="s">
        <v>1660</v>
      </c>
      <c r="E616" s="463"/>
      <c r="F616" s="463"/>
      <c r="G616" s="463"/>
      <c r="H616" s="463"/>
      <c r="I616" s="463"/>
      <c r="J616" s="463"/>
      <c r="K616" s="463"/>
      <c r="L616" s="463"/>
      <c r="M616" s="564" t="s">
        <v>1661</v>
      </c>
      <c r="N616" s="564"/>
      <c r="O616" s="465" t="s">
        <v>1662</v>
      </c>
      <c r="P616" s="465"/>
      <c r="Q616" s="465" t="s">
        <v>1663</v>
      </c>
      <c r="R616" s="465"/>
      <c r="S616" s="466" t="s">
        <v>1664</v>
      </c>
      <c r="T616" s="466"/>
      <c r="U616" s="466" t="s">
        <v>1665</v>
      </c>
      <c r="V616" s="466"/>
      <c r="W616" s="464" t="s">
        <v>1666</v>
      </c>
      <c r="X616" s="464"/>
      <c r="Y616" s="467" t="s">
        <v>1667</v>
      </c>
      <c r="Z616" s="467"/>
      <c r="AA616" s="467"/>
      <c r="AB616" s="467"/>
      <c r="AC616" s="467"/>
      <c r="AD616" s="467"/>
      <c r="AE616" s="467"/>
      <c r="AF616" s="459"/>
    </row>
    <row r="617" customFormat="false" ht="15.75" hidden="false" customHeight="true" outlineLevel="0" collapsed="false">
      <c r="A617" s="462"/>
      <c r="B617" s="462"/>
      <c r="C617" s="462"/>
      <c r="D617" s="463"/>
      <c r="E617" s="463"/>
      <c r="F617" s="463"/>
      <c r="G617" s="463"/>
      <c r="H617" s="463"/>
      <c r="I617" s="463"/>
      <c r="J617" s="463"/>
      <c r="K617" s="463"/>
      <c r="L617" s="463"/>
      <c r="M617" s="564"/>
      <c r="N617" s="564"/>
      <c r="O617" s="465"/>
      <c r="P617" s="465"/>
      <c r="Q617" s="465"/>
      <c r="R617" s="465"/>
      <c r="S617" s="466"/>
      <c r="T617" s="466"/>
      <c r="U617" s="466"/>
      <c r="V617" s="466"/>
      <c r="W617" s="464"/>
      <c r="X617" s="464"/>
      <c r="Y617" s="467"/>
      <c r="Z617" s="467"/>
      <c r="AA617" s="467"/>
      <c r="AB617" s="467"/>
      <c r="AC617" s="467"/>
      <c r="AD617" s="467"/>
      <c r="AE617" s="467"/>
      <c r="AF617" s="459"/>
    </row>
    <row r="618" customFormat="false" ht="30" hidden="false" customHeight="true" outlineLevel="0" collapsed="false">
      <c r="A618" s="462"/>
      <c r="B618" s="462"/>
      <c r="C618" s="462"/>
      <c r="D618" s="463"/>
      <c r="E618" s="463"/>
      <c r="F618" s="463"/>
      <c r="G618" s="463"/>
      <c r="H618" s="463"/>
      <c r="I618" s="463"/>
      <c r="J618" s="463"/>
      <c r="K618" s="463"/>
      <c r="L618" s="463"/>
      <c r="M618" s="564"/>
      <c r="N618" s="564"/>
      <c r="O618" s="465"/>
      <c r="P618" s="465"/>
      <c r="Q618" s="465"/>
      <c r="R618" s="465"/>
      <c r="S618" s="466"/>
      <c r="T618" s="466"/>
      <c r="U618" s="466"/>
      <c r="V618" s="466"/>
      <c r="W618" s="464"/>
      <c r="X618" s="464"/>
      <c r="Y618" s="467"/>
      <c r="Z618" s="467"/>
      <c r="AA618" s="467"/>
      <c r="AB618" s="467"/>
      <c r="AC618" s="467"/>
      <c r="AD618" s="467"/>
      <c r="AE618" s="467"/>
      <c r="AF618" s="468"/>
    </row>
    <row r="619" customFormat="false" ht="30" hidden="false" customHeight="true" outlineLevel="0" collapsed="false">
      <c r="A619" s="469" t="s">
        <v>2008</v>
      </c>
      <c r="B619" s="469"/>
      <c r="C619" s="469"/>
      <c r="D619" s="470" t="s">
        <v>2009</v>
      </c>
      <c r="E619" s="470"/>
      <c r="F619" s="470"/>
      <c r="G619" s="470"/>
      <c r="H619" s="470"/>
      <c r="I619" s="470"/>
      <c r="J619" s="470"/>
      <c r="K619" s="470"/>
      <c r="L619" s="470"/>
      <c r="M619" s="570" t="n">
        <f aca="false">SUMIFS(TE!P:P,TE!G:G,$A$426,TE!H:H,A619)</f>
        <v>0</v>
      </c>
      <c r="N619" s="570"/>
      <c r="O619" s="472" t="n">
        <v>20</v>
      </c>
      <c r="P619" s="472"/>
      <c r="Q619" s="473" t="n">
        <f aca="false">ROUNDUP(M619/O619,0)</f>
        <v>0</v>
      </c>
      <c r="R619" s="473"/>
      <c r="S619" s="474" t="n">
        <v>13.4</v>
      </c>
      <c r="T619" s="474"/>
      <c r="U619" s="474" t="n">
        <f aca="false">Q619*S619</f>
        <v>0</v>
      </c>
      <c r="V619" s="474"/>
      <c r="W619" s="475" t="s">
        <v>2007</v>
      </c>
      <c r="X619" s="475"/>
      <c r="Y619" s="476" t="s">
        <v>1991</v>
      </c>
      <c r="Z619" s="476"/>
      <c r="AA619" s="476"/>
      <c r="AB619" s="476"/>
      <c r="AC619" s="476"/>
      <c r="AD619" s="476"/>
      <c r="AE619" s="476"/>
      <c r="AF619" s="468"/>
    </row>
    <row r="620" customFormat="false" ht="30" hidden="false" customHeight="true" outlineLevel="0" collapsed="false">
      <c r="A620" s="477" t="s">
        <v>2010</v>
      </c>
      <c r="B620" s="477"/>
      <c r="C620" s="477"/>
      <c r="D620" s="478" t="s">
        <v>2011</v>
      </c>
      <c r="E620" s="478"/>
      <c r="F620" s="478"/>
      <c r="G620" s="478"/>
      <c r="H620" s="478"/>
      <c r="I620" s="478"/>
      <c r="J620" s="478"/>
      <c r="K620" s="478"/>
      <c r="L620" s="478"/>
      <c r="M620" s="479" t="n">
        <f aca="false">SUMIFS(TE!P:P,TE!G:G,$A$426,TE!H:H,A620)</f>
        <v>0</v>
      </c>
      <c r="N620" s="479"/>
      <c r="O620" s="480" t="n">
        <v>20</v>
      </c>
      <c r="P620" s="480"/>
      <c r="Q620" s="481" t="n">
        <f aca="false">ROUNDUP(M620/O620,0)</f>
        <v>0</v>
      </c>
      <c r="R620" s="481"/>
      <c r="S620" s="482" t="n">
        <v>13.4</v>
      </c>
      <c r="T620" s="482"/>
      <c r="U620" s="482" t="n">
        <f aca="false">Q620*S620</f>
        <v>0</v>
      </c>
      <c r="V620" s="482"/>
      <c r="W620" s="483" t="s">
        <v>2007</v>
      </c>
      <c r="X620" s="483"/>
      <c r="Y620" s="484" t="s">
        <v>1991</v>
      </c>
      <c r="Z620" s="484"/>
      <c r="AA620" s="484"/>
      <c r="AB620" s="484"/>
      <c r="AC620" s="484"/>
      <c r="AD620" s="484"/>
      <c r="AE620" s="484"/>
      <c r="AF620" s="468"/>
    </row>
    <row r="621" customFormat="false" ht="30" hidden="false" customHeight="true" outlineLevel="0" collapsed="false">
      <c r="A621" s="477" t="s">
        <v>2012</v>
      </c>
      <c r="B621" s="477"/>
      <c r="C621" s="477"/>
      <c r="D621" s="478" t="s">
        <v>2013</v>
      </c>
      <c r="E621" s="478"/>
      <c r="F621" s="478"/>
      <c r="G621" s="478"/>
      <c r="H621" s="478"/>
      <c r="I621" s="478"/>
      <c r="J621" s="478"/>
      <c r="K621" s="478"/>
      <c r="L621" s="478"/>
      <c r="M621" s="479" t="n">
        <f aca="false">SUMIFS(TE!P:P,TE!G:G,$A$426,TE!H:H,A621)</f>
        <v>0</v>
      </c>
      <c r="N621" s="479"/>
      <c r="O621" s="480" t="n">
        <v>40</v>
      </c>
      <c r="P621" s="480"/>
      <c r="Q621" s="481" t="n">
        <f aca="false">M621/O621</f>
        <v>0</v>
      </c>
      <c r="R621" s="481"/>
      <c r="S621" s="482" t="n">
        <v>13.4</v>
      </c>
      <c r="T621" s="482"/>
      <c r="U621" s="482" t="n">
        <f aca="false">Q621*S621</f>
        <v>0</v>
      </c>
      <c r="V621" s="482"/>
      <c r="W621" s="483" t="s">
        <v>1670</v>
      </c>
      <c r="X621" s="483"/>
      <c r="Y621" s="484" t="s">
        <v>1671</v>
      </c>
      <c r="Z621" s="484"/>
      <c r="AA621" s="484"/>
      <c r="AB621" s="484"/>
      <c r="AC621" s="484"/>
      <c r="AD621" s="484"/>
      <c r="AE621" s="484"/>
      <c r="AF621" s="468"/>
    </row>
    <row r="622" customFormat="false" ht="30" hidden="false" customHeight="true" outlineLevel="0" collapsed="false">
      <c r="A622" s="477" t="s">
        <v>2014</v>
      </c>
      <c r="B622" s="477"/>
      <c r="C622" s="477"/>
      <c r="D622" s="478" t="s">
        <v>2015</v>
      </c>
      <c r="E622" s="478"/>
      <c r="F622" s="478"/>
      <c r="G622" s="478"/>
      <c r="H622" s="478"/>
      <c r="I622" s="478"/>
      <c r="J622" s="478"/>
      <c r="K622" s="478"/>
      <c r="L622" s="478"/>
      <c r="M622" s="479" t="n">
        <f aca="false">SUMIFS(TE!P:P,TE!G:G,$A$426,TE!H:H,A622)</f>
        <v>0</v>
      </c>
      <c r="N622" s="479"/>
      <c r="O622" s="485" t="s">
        <v>1678</v>
      </c>
      <c r="P622" s="485"/>
      <c r="Q622" s="485" t="s">
        <v>1678</v>
      </c>
      <c r="R622" s="485"/>
      <c r="S622" s="485" t="s">
        <v>1678</v>
      </c>
      <c r="T622" s="485"/>
      <c r="U622" s="485" t="s">
        <v>1678</v>
      </c>
      <c r="V622" s="485"/>
      <c r="W622" s="483" t="s">
        <v>1894</v>
      </c>
      <c r="X622" s="483"/>
      <c r="Y622" s="484" t="s">
        <v>2016</v>
      </c>
      <c r="Z622" s="484"/>
      <c r="AA622" s="484"/>
      <c r="AB622" s="484"/>
      <c r="AC622" s="484"/>
      <c r="AD622" s="484"/>
      <c r="AE622" s="484"/>
      <c r="AF622" s="468"/>
    </row>
    <row r="623" customFormat="false" ht="30" hidden="false" customHeight="true" outlineLevel="0" collapsed="false">
      <c r="A623" s="477" t="s">
        <v>2017</v>
      </c>
      <c r="B623" s="477"/>
      <c r="C623" s="477"/>
      <c r="D623" s="478" t="s">
        <v>2018</v>
      </c>
      <c r="E623" s="478"/>
      <c r="F623" s="478"/>
      <c r="G623" s="478"/>
      <c r="H623" s="478"/>
      <c r="I623" s="478"/>
      <c r="J623" s="478"/>
      <c r="K623" s="478"/>
      <c r="L623" s="478"/>
      <c r="M623" s="479" t="n">
        <f aca="false">SUMIFS(TE!P:P,TE!G:G,$A$426,TE!H:H,A623)</f>
        <v>0</v>
      </c>
      <c r="N623" s="479"/>
      <c r="O623" s="480" t="n">
        <v>64</v>
      </c>
      <c r="P623" s="480"/>
      <c r="Q623" s="481" t="n">
        <f aca="false">M623/O623</f>
        <v>0</v>
      </c>
      <c r="R623" s="481"/>
      <c r="S623" s="482" t="n">
        <v>13.4</v>
      </c>
      <c r="T623" s="482"/>
      <c r="U623" s="482" t="n">
        <f aca="false">Q623*S623</f>
        <v>0</v>
      </c>
      <c r="V623" s="482"/>
      <c r="W623" s="483" t="s">
        <v>1670</v>
      </c>
      <c r="X623" s="483"/>
      <c r="Y623" s="484" t="s">
        <v>1671</v>
      </c>
      <c r="Z623" s="484"/>
      <c r="AA623" s="484"/>
      <c r="AB623" s="484"/>
      <c r="AC623" s="484"/>
      <c r="AD623" s="484"/>
      <c r="AE623" s="484"/>
      <c r="AF623" s="468"/>
    </row>
    <row r="624" customFormat="false" ht="30" hidden="false" customHeight="true" outlineLevel="0" collapsed="false">
      <c r="A624" s="477" t="s">
        <v>2019</v>
      </c>
      <c r="B624" s="477"/>
      <c r="C624" s="477"/>
      <c r="D624" s="478" t="s">
        <v>2020</v>
      </c>
      <c r="E624" s="478"/>
      <c r="F624" s="478"/>
      <c r="G624" s="478"/>
      <c r="H624" s="478"/>
      <c r="I624" s="478"/>
      <c r="J624" s="478"/>
      <c r="K624" s="478"/>
      <c r="L624" s="478"/>
      <c r="M624" s="479" t="n">
        <f aca="false">SUMIFS(TE!P:P,TE!G:G,$A$426,TE!H:H,A624)</f>
        <v>0</v>
      </c>
      <c r="N624" s="479"/>
      <c r="O624" s="485" t="s">
        <v>1678</v>
      </c>
      <c r="P624" s="485"/>
      <c r="Q624" s="485" t="s">
        <v>1678</v>
      </c>
      <c r="R624" s="485"/>
      <c r="S624" s="485" t="s">
        <v>1678</v>
      </c>
      <c r="T624" s="485"/>
      <c r="U624" s="485" t="s">
        <v>1678</v>
      </c>
      <c r="V624" s="485"/>
      <c r="W624" s="483" t="s">
        <v>1679</v>
      </c>
      <c r="X624" s="483"/>
      <c r="Y624" s="484" t="s">
        <v>1701</v>
      </c>
      <c r="Z624" s="484"/>
      <c r="AA624" s="484"/>
      <c r="AB624" s="484"/>
      <c r="AC624" s="484"/>
      <c r="AD624" s="484"/>
      <c r="AE624" s="484"/>
      <c r="AF624" s="468"/>
    </row>
    <row r="625" customFormat="false" ht="30" hidden="false" customHeight="true" outlineLevel="0" collapsed="false">
      <c r="A625" s="477" t="s">
        <v>2021</v>
      </c>
      <c r="B625" s="477"/>
      <c r="C625" s="477"/>
      <c r="D625" s="478" t="s">
        <v>2022</v>
      </c>
      <c r="E625" s="478"/>
      <c r="F625" s="478"/>
      <c r="G625" s="478"/>
      <c r="H625" s="478"/>
      <c r="I625" s="478"/>
      <c r="J625" s="478"/>
      <c r="K625" s="478"/>
      <c r="L625" s="478"/>
      <c r="M625" s="479" t="n">
        <f aca="false">SUMIFS(TE!P:P,TE!G:G,$A$426,TE!H:H,A625)</f>
        <v>0</v>
      </c>
      <c r="N625" s="479"/>
      <c r="O625" s="480" t="n">
        <v>60</v>
      </c>
      <c r="P625" s="480"/>
      <c r="Q625" s="481" t="n">
        <f aca="false">M625/O625</f>
        <v>0</v>
      </c>
      <c r="R625" s="481"/>
      <c r="S625" s="482" t="n">
        <v>13.4</v>
      </c>
      <c r="T625" s="482"/>
      <c r="U625" s="482" t="n">
        <f aca="false">Q625*S625</f>
        <v>0</v>
      </c>
      <c r="V625" s="482"/>
      <c r="W625" s="483" t="s">
        <v>1670</v>
      </c>
      <c r="X625" s="483"/>
      <c r="Y625" s="484" t="s">
        <v>1671</v>
      </c>
      <c r="Z625" s="484"/>
      <c r="AA625" s="484"/>
      <c r="AB625" s="484"/>
      <c r="AC625" s="484"/>
      <c r="AD625" s="484"/>
      <c r="AE625" s="484"/>
      <c r="AF625" s="468"/>
    </row>
    <row r="626" customFormat="false" ht="30" hidden="false" customHeight="true" outlineLevel="0" collapsed="false">
      <c r="A626" s="477" t="s">
        <v>2023</v>
      </c>
      <c r="B626" s="477"/>
      <c r="C626" s="477"/>
      <c r="D626" s="478" t="s">
        <v>2024</v>
      </c>
      <c r="E626" s="478"/>
      <c r="F626" s="478"/>
      <c r="G626" s="478"/>
      <c r="H626" s="478"/>
      <c r="I626" s="478"/>
      <c r="J626" s="478"/>
      <c r="K626" s="478"/>
      <c r="L626" s="478"/>
      <c r="M626" s="479" t="n">
        <f aca="false">SUMIFS(TE!P:P,TE!G:G,$A$426,TE!H:H,A626)</f>
        <v>4</v>
      </c>
      <c r="N626" s="479"/>
      <c r="O626" s="480" t="n">
        <v>100</v>
      </c>
      <c r="P626" s="480"/>
      <c r="Q626" s="481" t="n">
        <f aca="false">M626/O626</f>
        <v>0.04</v>
      </c>
      <c r="R626" s="481"/>
      <c r="S626" s="482" t="n">
        <v>13.4</v>
      </c>
      <c r="T626" s="482"/>
      <c r="U626" s="482" t="n">
        <f aca="false">Q626*S626</f>
        <v>0.536</v>
      </c>
      <c r="V626" s="482"/>
      <c r="W626" s="483" t="s">
        <v>1670</v>
      </c>
      <c r="X626" s="483"/>
      <c r="Y626" s="484" t="s">
        <v>1671</v>
      </c>
      <c r="Z626" s="484"/>
      <c r="AA626" s="484"/>
      <c r="AB626" s="484"/>
      <c r="AC626" s="484"/>
      <c r="AD626" s="484"/>
      <c r="AE626" s="484"/>
      <c r="AF626" s="468"/>
    </row>
    <row r="627" customFormat="false" ht="30" hidden="false" customHeight="true" outlineLevel="0" collapsed="false">
      <c r="A627" s="477" t="s">
        <v>2023</v>
      </c>
      <c r="B627" s="477"/>
      <c r="C627" s="477"/>
      <c r="D627" s="478" t="s">
        <v>2025</v>
      </c>
      <c r="E627" s="478"/>
      <c r="F627" s="478"/>
      <c r="G627" s="478"/>
      <c r="H627" s="478"/>
      <c r="I627" s="478"/>
      <c r="J627" s="478"/>
      <c r="K627" s="478"/>
      <c r="L627" s="478"/>
      <c r="M627" s="479" t="n">
        <f aca="false">SUMIFS(TE!P:P,TE!G:G,$A$426,TE!H:H,A627)</f>
        <v>4</v>
      </c>
      <c r="N627" s="479"/>
      <c r="O627" s="480" t="n">
        <v>180</v>
      </c>
      <c r="P627" s="480"/>
      <c r="Q627" s="481" t="n">
        <f aca="false">M627/O627</f>
        <v>0.0222222222222222</v>
      </c>
      <c r="R627" s="481"/>
      <c r="S627" s="482" t="n">
        <v>13.4</v>
      </c>
      <c r="T627" s="482"/>
      <c r="U627" s="482" t="n">
        <f aca="false">Q627*S627</f>
        <v>0.297777777777778</v>
      </c>
      <c r="V627" s="482"/>
      <c r="W627" s="483" t="s">
        <v>1670</v>
      </c>
      <c r="X627" s="483"/>
      <c r="Y627" s="484" t="s">
        <v>1671</v>
      </c>
      <c r="Z627" s="484"/>
      <c r="AA627" s="484"/>
      <c r="AB627" s="484"/>
      <c r="AC627" s="484"/>
      <c r="AD627" s="484"/>
      <c r="AE627" s="484"/>
      <c r="AF627" s="468"/>
    </row>
    <row r="628" customFormat="false" ht="30" hidden="false" customHeight="true" outlineLevel="0" collapsed="false">
      <c r="A628" s="477" t="s">
        <v>2026</v>
      </c>
      <c r="B628" s="477"/>
      <c r="C628" s="477"/>
      <c r="D628" s="478" t="s">
        <v>2027</v>
      </c>
      <c r="E628" s="478"/>
      <c r="F628" s="478"/>
      <c r="G628" s="478"/>
      <c r="H628" s="478"/>
      <c r="I628" s="478"/>
      <c r="J628" s="478"/>
      <c r="K628" s="478"/>
      <c r="L628" s="478"/>
      <c r="M628" s="479" t="n">
        <f aca="false">SUMIFS(TE!P:P,TE!G:G,$A$426,TE!H:H,A628)</f>
        <v>0</v>
      </c>
      <c r="N628" s="479"/>
      <c r="O628" s="480" t="n">
        <v>100</v>
      </c>
      <c r="P628" s="480"/>
      <c r="Q628" s="481" t="n">
        <f aca="false">M628/O628</f>
        <v>0</v>
      </c>
      <c r="R628" s="481"/>
      <c r="S628" s="482" t="n">
        <v>13.4</v>
      </c>
      <c r="T628" s="482"/>
      <c r="U628" s="482" t="n">
        <f aca="false">Q628*S628</f>
        <v>0</v>
      </c>
      <c r="V628" s="482"/>
      <c r="W628" s="483" t="s">
        <v>1670</v>
      </c>
      <c r="X628" s="483"/>
      <c r="Y628" s="484" t="s">
        <v>1671</v>
      </c>
      <c r="Z628" s="484"/>
      <c r="AA628" s="484"/>
      <c r="AB628" s="484"/>
      <c r="AC628" s="484"/>
      <c r="AD628" s="484"/>
      <c r="AE628" s="484"/>
      <c r="AF628" s="468"/>
    </row>
    <row r="629" customFormat="false" ht="39.75" hidden="false" customHeight="true" outlineLevel="0" collapsed="false">
      <c r="A629" s="477" t="s">
        <v>2028</v>
      </c>
      <c r="B629" s="477"/>
      <c r="C629" s="477"/>
      <c r="D629" s="478" t="s">
        <v>2029</v>
      </c>
      <c r="E629" s="478"/>
      <c r="F629" s="478"/>
      <c r="G629" s="478"/>
      <c r="H629" s="478"/>
      <c r="I629" s="478"/>
      <c r="J629" s="478"/>
      <c r="K629" s="478"/>
      <c r="L629" s="478"/>
      <c r="M629" s="479" t="n">
        <f aca="false">SUMIFS(TE!P:P,TE!G:G,$A$426,TE!H:H,A629)</f>
        <v>0</v>
      </c>
      <c r="N629" s="479"/>
      <c r="O629" s="480" t="n">
        <v>90</v>
      </c>
      <c r="P629" s="480"/>
      <c r="Q629" s="481" t="n">
        <f aca="false">M629/O629</f>
        <v>0</v>
      </c>
      <c r="R629" s="481"/>
      <c r="S629" s="482" t="n">
        <v>13.4</v>
      </c>
      <c r="T629" s="482"/>
      <c r="U629" s="482" t="n">
        <f aca="false">Q629*S629</f>
        <v>0</v>
      </c>
      <c r="V629" s="482"/>
      <c r="W629" s="483" t="s">
        <v>1878</v>
      </c>
      <c r="X629" s="483"/>
      <c r="Y629" s="484" t="s">
        <v>1879</v>
      </c>
      <c r="Z629" s="484"/>
      <c r="AA629" s="484"/>
      <c r="AB629" s="484"/>
      <c r="AC629" s="484"/>
      <c r="AD629" s="484"/>
      <c r="AE629" s="484"/>
      <c r="AF629" s="396"/>
    </row>
    <row r="630" customFormat="false" ht="30" hidden="false" customHeight="true" outlineLevel="0" collapsed="false">
      <c r="A630" s="477" t="s">
        <v>2030</v>
      </c>
      <c r="B630" s="477"/>
      <c r="C630" s="477"/>
      <c r="D630" s="478" t="s">
        <v>2031</v>
      </c>
      <c r="E630" s="478"/>
      <c r="F630" s="478"/>
      <c r="G630" s="478"/>
      <c r="H630" s="478"/>
      <c r="I630" s="478"/>
      <c r="J630" s="478"/>
      <c r="K630" s="478"/>
      <c r="L630" s="478"/>
      <c r="M630" s="479" t="n">
        <f aca="false">SUMIFS(TE!P:P,TE!G:G,$A$426,TE!H:H,A630)</f>
        <v>0</v>
      </c>
      <c r="N630" s="479"/>
      <c r="O630" s="480" t="n">
        <v>40</v>
      </c>
      <c r="P630" s="480"/>
      <c r="Q630" s="481" t="n">
        <f aca="false">M630/O630</f>
        <v>0</v>
      </c>
      <c r="R630" s="481"/>
      <c r="S630" s="482" t="n">
        <v>13.4</v>
      </c>
      <c r="T630" s="482"/>
      <c r="U630" s="482" t="n">
        <f aca="false">Q630*S630</f>
        <v>0</v>
      </c>
      <c r="V630" s="482"/>
      <c r="W630" s="483" t="s">
        <v>1670</v>
      </c>
      <c r="X630" s="483"/>
      <c r="Y630" s="484" t="s">
        <v>1671</v>
      </c>
      <c r="Z630" s="484"/>
      <c r="AA630" s="484"/>
      <c r="AB630" s="484"/>
      <c r="AC630" s="484"/>
      <c r="AD630" s="484"/>
      <c r="AE630" s="484"/>
      <c r="AF630" s="396"/>
    </row>
    <row r="631" customFormat="false" ht="39.75" hidden="false" customHeight="true" outlineLevel="0" collapsed="false">
      <c r="A631" s="477" t="s">
        <v>2032</v>
      </c>
      <c r="B631" s="477"/>
      <c r="C631" s="477"/>
      <c r="D631" s="478" t="s">
        <v>2033</v>
      </c>
      <c r="E631" s="478"/>
      <c r="F631" s="478"/>
      <c r="G631" s="478"/>
      <c r="H631" s="478"/>
      <c r="I631" s="478"/>
      <c r="J631" s="478"/>
      <c r="K631" s="478"/>
      <c r="L631" s="478"/>
      <c r="M631" s="479" t="n">
        <f aca="false">SUMIFS(TE!P:P,TE!G:G,$A$426,TE!H:H,A631)</f>
        <v>0</v>
      </c>
      <c r="N631" s="479"/>
      <c r="O631" s="480" t="n">
        <v>4</v>
      </c>
      <c r="P631" s="480"/>
      <c r="Q631" s="481" t="n">
        <f aca="false">M631/O631</f>
        <v>0</v>
      </c>
      <c r="R631" s="481"/>
      <c r="S631" s="482" t="n">
        <v>13.4</v>
      </c>
      <c r="T631" s="482"/>
      <c r="U631" s="482" t="n">
        <f aca="false">Q631*S631</f>
        <v>0</v>
      </c>
      <c r="V631" s="482"/>
      <c r="W631" s="483" t="s">
        <v>1878</v>
      </c>
      <c r="X631" s="483"/>
      <c r="Y631" s="484" t="s">
        <v>1879</v>
      </c>
      <c r="Z631" s="484"/>
      <c r="AA631" s="484"/>
      <c r="AB631" s="484"/>
      <c r="AC631" s="484"/>
      <c r="AD631" s="484"/>
      <c r="AE631" s="484"/>
      <c r="AF631" s="396"/>
    </row>
    <row r="632" customFormat="false" ht="30" hidden="false" customHeight="true" outlineLevel="0" collapsed="false">
      <c r="A632" s="477" t="s">
        <v>2034</v>
      </c>
      <c r="B632" s="477"/>
      <c r="C632" s="477"/>
      <c r="D632" s="478" t="s">
        <v>2035</v>
      </c>
      <c r="E632" s="478"/>
      <c r="F632" s="478"/>
      <c r="G632" s="478"/>
      <c r="H632" s="478"/>
      <c r="I632" s="478"/>
      <c r="J632" s="478"/>
      <c r="K632" s="478"/>
      <c r="L632" s="478"/>
      <c r="M632" s="479" t="n">
        <f aca="false">SUMIFS(TE!P:P,TE!G:G,$A$426,TE!H:H,A632)</f>
        <v>0</v>
      </c>
      <c r="N632" s="479"/>
      <c r="O632" s="485" t="s">
        <v>1678</v>
      </c>
      <c r="P632" s="485"/>
      <c r="Q632" s="485" t="s">
        <v>1678</v>
      </c>
      <c r="R632" s="485"/>
      <c r="S632" s="485" t="s">
        <v>1678</v>
      </c>
      <c r="T632" s="485"/>
      <c r="U632" s="485" t="s">
        <v>1678</v>
      </c>
      <c r="V632" s="485"/>
      <c r="W632" s="483" t="s">
        <v>1810</v>
      </c>
      <c r="X632" s="483"/>
      <c r="Y632" s="484" t="s">
        <v>2036</v>
      </c>
      <c r="Z632" s="484"/>
      <c r="AA632" s="484"/>
      <c r="AB632" s="484"/>
      <c r="AC632" s="484"/>
      <c r="AD632" s="484"/>
      <c r="AE632" s="484"/>
      <c r="AF632" s="396"/>
    </row>
    <row r="633" customFormat="false" ht="30" hidden="false" customHeight="true" outlineLevel="0" collapsed="false">
      <c r="A633" s="477" t="s">
        <v>2037</v>
      </c>
      <c r="B633" s="477"/>
      <c r="C633" s="477"/>
      <c r="D633" s="478" t="s">
        <v>2038</v>
      </c>
      <c r="E633" s="478"/>
      <c r="F633" s="478"/>
      <c r="G633" s="478"/>
      <c r="H633" s="478"/>
      <c r="I633" s="478"/>
      <c r="J633" s="478"/>
      <c r="K633" s="478"/>
      <c r="L633" s="478"/>
      <c r="M633" s="479" t="n">
        <f aca="false">SUMIFS(TE!P:P,TE!G:G,$A$426,TE!H:H,A633)</f>
        <v>0</v>
      </c>
      <c r="N633" s="479"/>
      <c r="O633" s="485" t="s">
        <v>1678</v>
      </c>
      <c r="P633" s="485"/>
      <c r="Q633" s="485" t="s">
        <v>1678</v>
      </c>
      <c r="R633" s="485"/>
      <c r="S633" s="485" t="s">
        <v>1678</v>
      </c>
      <c r="T633" s="485"/>
      <c r="U633" s="485" t="s">
        <v>1678</v>
      </c>
      <c r="V633" s="485"/>
      <c r="W633" s="483" t="s">
        <v>1810</v>
      </c>
      <c r="X633" s="483"/>
      <c r="Y633" s="484" t="s">
        <v>2036</v>
      </c>
      <c r="Z633" s="484"/>
      <c r="AA633" s="484"/>
      <c r="AB633" s="484"/>
      <c r="AC633" s="484"/>
      <c r="AD633" s="484"/>
      <c r="AE633" s="484"/>
      <c r="AF633" s="396"/>
    </row>
    <row r="634" customFormat="false" ht="30" hidden="false" customHeight="true" outlineLevel="0" collapsed="false">
      <c r="A634" s="477" t="s">
        <v>2039</v>
      </c>
      <c r="B634" s="477"/>
      <c r="C634" s="477"/>
      <c r="D634" s="478" t="s">
        <v>2040</v>
      </c>
      <c r="E634" s="478"/>
      <c r="F634" s="478"/>
      <c r="G634" s="478"/>
      <c r="H634" s="478"/>
      <c r="I634" s="478"/>
      <c r="J634" s="478"/>
      <c r="K634" s="478"/>
      <c r="L634" s="478"/>
      <c r="M634" s="479" t="n">
        <f aca="false">SUMIFS(TE!P:P,TE!G:G,$A$426,TE!H:H,A634)</f>
        <v>0</v>
      </c>
      <c r="N634" s="479"/>
      <c r="O634" s="485" t="s">
        <v>1678</v>
      </c>
      <c r="P634" s="485"/>
      <c r="Q634" s="485" t="s">
        <v>1678</v>
      </c>
      <c r="R634" s="485"/>
      <c r="S634" s="485" t="s">
        <v>1678</v>
      </c>
      <c r="T634" s="485"/>
      <c r="U634" s="485" t="s">
        <v>1678</v>
      </c>
      <c r="V634" s="485"/>
      <c r="W634" s="483" t="s">
        <v>1810</v>
      </c>
      <c r="X634" s="483"/>
      <c r="Y634" s="484" t="s">
        <v>2036</v>
      </c>
      <c r="Z634" s="484"/>
      <c r="AA634" s="484"/>
      <c r="AB634" s="484"/>
      <c r="AC634" s="484"/>
      <c r="AD634" s="484"/>
      <c r="AE634" s="484"/>
      <c r="AF634" s="396"/>
    </row>
    <row r="635" customFormat="false" ht="30" hidden="false" customHeight="true" outlineLevel="0" collapsed="false">
      <c r="A635" s="477" t="s">
        <v>2041</v>
      </c>
      <c r="B635" s="477"/>
      <c r="C635" s="477"/>
      <c r="D635" s="478" t="s">
        <v>2042</v>
      </c>
      <c r="E635" s="478"/>
      <c r="F635" s="478"/>
      <c r="G635" s="478"/>
      <c r="H635" s="478"/>
      <c r="I635" s="478"/>
      <c r="J635" s="478"/>
      <c r="K635" s="478"/>
      <c r="L635" s="478"/>
      <c r="M635" s="479" t="n">
        <f aca="false">SUMIFS(TE!P:P,TE!G:G,$A$426,TE!H:H,A635)</f>
        <v>0</v>
      </c>
      <c r="N635" s="479"/>
      <c r="O635" s="485" t="s">
        <v>1678</v>
      </c>
      <c r="P635" s="485"/>
      <c r="Q635" s="485" t="s">
        <v>1678</v>
      </c>
      <c r="R635" s="485"/>
      <c r="S635" s="485" t="s">
        <v>1678</v>
      </c>
      <c r="T635" s="485"/>
      <c r="U635" s="485" t="s">
        <v>1678</v>
      </c>
      <c r="V635" s="485"/>
      <c r="W635" s="483" t="s">
        <v>1810</v>
      </c>
      <c r="X635" s="483"/>
      <c r="Y635" s="484" t="s">
        <v>2036</v>
      </c>
      <c r="Z635" s="484"/>
      <c r="AA635" s="484"/>
      <c r="AB635" s="484"/>
      <c r="AC635" s="484"/>
      <c r="AD635" s="484"/>
      <c r="AE635" s="484"/>
      <c r="AF635" s="396"/>
    </row>
    <row r="636" customFormat="false" ht="39.75" hidden="false" customHeight="true" outlineLevel="0" collapsed="false">
      <c r="A636" s="477" t="s">
        <v>2043</v>
      </c>
      <c r="B636" s="477"/>
      <c r="C636" s="477"/>
      <c r="D636" s="478" t="s">
        <v>2044</v>
      </c>
      <c r="E636" s="478"/>
      <c r="F636" s="478"/>
      <c r="G636" s="478"/>
      <c r="H636" s="478"/>
      <c r="I636" s="478"/>
      <c r="J636" s="478"/>
      <c r="K636" s="478"/>
      <c r="L636" s="478"/>
      <c r="M636" s="479" t="n">
        <f aca="false">SUMIFS(TE!P:P,TE!G:G,$A$426,TE!H:H,A636)</f>
        <v>2</v>
      </c>
      <c r="N636" s="479"/>
      <c r="O636" s="480" t="n">
        <v>16</v>
      </c>
      <c r="P636" s="480"/>
      <c r="Q636" s="481" t="n">
        <f aca="false">M636/O636</f>
        <v>0.125</v>
      </c>
      <c r="R636" s="481"/>
      <c r="S636" s="482" t="n">
        <v>13.4</v>
      </c>
      <c r="T636" s="482"/>
      <c r="U636" s="482" t="n">
        <f aca="false">Q636*S636</f>
        <v>1.675</v>
      </c>
      <c r="V636" s="482"/>
      <c r="W636" s="483" t="s">
        <v>1878</v>
      </c>
      <c r="X636" s="483"/>
      <c r="Y636" s="484" t="s">
        <v>1879</v>
      </c>
      <c r="Z636" s="484"/>
      <c r="AA636" s="484"/>
      <c r="AB636" s="484"/>
      <c r="AC636" s="484"/>
      <c r="AD636" s="484"/>
      <c r="AE636" s="484"/>
      <c r="AF636" s="396"/>
    </row>
    <row r="637" customFormat="false" ht="39.75" hidden="false" customHeight="true" outlineLevel="0" collapsed="false">
      <c r="A637" s="486" t="s">
        <v>2045</v>
      </c>
      <c r="B637" s="486"/>
      <c r="C637" s="486"/>
      <c r="D637" s="487" t="s">
        <v>2046</v>
      </c>
      <c r="E637" s="487"/>
      <c r="F637" s="487"/>
      <c r="G637" s="487"/>
      <c r="H637" s="487"/>
      <c r="I637" s="487"/>
      <c r="J637" s="487"/>
      <c r="K637" s="487"/>
      <c r="L637" s="487"/>
      <c r="M637" s="488" t="n">
        <f aca="false">SUMIFS(TE!P:P,TE!G:G,$A$426,TE!H:H,A637)</f>
        <v>4</v>
      </c>
      <c r="N637" s="488"/>
      <c r="O637" s="489" t="n">
        <v>16</v>
      </c>
      <c r="P637" s="489"/>
      <c r="Q637" s="490" t="n">
        <f aca="false">M637/O637</f>
        <v>0.25</v>
      </c>
      <c r="R637" s="490"/>
      <c r="S637" s="491" t="n">
        <v>13.4</v>
      </c>
      <c r="T637" s="491"/>
      <c r="U637" s="491" t="n">
        <f aca="false">Q637*S637</f>
        <v>3.35</v>
      </c>
      <c r="V637" s="491"/>
      <c r="W637" s="492" t="s">
        <v>1878</v>
      </c>
      <c r="X637" s="492"/>
      <c r="Y637" s="493" t="s">
        <v>1879</v>
      </c>
      <c r="Z637" s="493"/>
      <c r="AA637" s="493"/>
      <c r="AB637" s="493"/>
      <c r="AC637" s="493"/>
      <c r="AD637" s="493"/>
      <c r="AE637" s="493"/>
      <c r="AF637" s="396"/>
    </row>
    <row r="638" customFormat="false" ht="12.75" hidden="false" customHeight="true" outlineLevel="0" collapsed="false">
      <c r="A638" s="396"/>
      <c r="B638" s="396"/>
      <c r="C638" s="396"/>
      <c r="D638" s="396"/>
      <c r="E638" s="396"/>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c r="AD638" s="396"/>
      <c r="AE638" s="396"/>
      <c r="AF638" s="396"/>
    </row>
    <row r="639" customFormat="false" ht="12.75" hidden="false" customHeight="true" outlineLevel="0" collapsed="false">
      <c r="A639" s="495"/>
      <c r="B639" s="495"/>
      <c r="C639" s="495"/>
      <c r="D639" s="495"/>
      <c r="E639" s="495"/>
      <c r="F639" s="495"/>
      <c r="G639" s="495"/>
      <c r="H639" s="495"/>
      <c r="I639" s="495"/>
      <c r="J639" s="495"/>
      <c r="K639" s="495"/>
      <c r="L639" s="495"/>
      <c r="M639" s="495"/>
      <c r="N639" s="495"/>
      <c r="O639" s="495"/>
      <c r="P639" s="495"/>
      <c r="Q639" s="495"/>
      <c r="R639" s="495"/>
      <c r="S639" s="495"/>
      <c r="T639" s="495"/>
      <c r="U639" s="495"/>
      <c r="V639" s="495"/>
      <c r="W639" s="495"/>
      <c r="X639" s="495"/>
      <c r="Y639" s="495"/>
      <c r="Z639" s="495"/>
      <c r="AA639" s="495"/>
      <c r="AB639" s="453"/>
      <c r="AC639" s="454" t="s">
        <v>1657</v>
      </c>
      <c r="AD639" s="455" t="n">
        <v>22</v>
      </c>
      <c r="AE639" s="455" t="s">
        <v>29</v>
      </c>
      <c r="AF639" s="455" t="n">
        <v>27</v>
      </c>
    </row>
    <row r="640" customFormat="false" ht="12.75" hidden="false" customHeight="true" outlineLevel="0" collapsed="false">
      <c r="A640" s="398" t="s">
        <v>1522</v>
      </c>
      <c r="B640" s="398"/>
      <c r="C640" s="456" t="n">
        <v>14345</v>
      </c>
      <c r="D640" s="456"/>
      <c r="E640" s="456"/>
      <c r="F640" s="456"/>
      <c r="G640" s="456"/>
      <c r="H640" s="456"/>
      <c r="I640" s="456"/>
      <c r="J640" s="456"/>
      <c r="K640" s="456"/>
      <c r="L640" s="456"/>
      <c r="M640" s="398" t="s">
        <v>1523</v>
      </c>
      <c r="N640" s="398"/>
      <c r="O640" s="398"/>
      <c r="P640" s="398"/>
      <c r="Q640" s="398"/>
      <c r="R640" s="456" t="s">
        <v>15</v>
      </c>
      <c r="S640" s="456"/>
      <c r="T640" s="456"/>
      <c r="U640" s="456"/>
      <c r="V640" s="456"/>
      <c r="W640" s="456"/>
      <c r="X640" s="456"/>
      <c r="Y640" s="456"/>
      <c r="Z640" s="456"/>
      <c r="AA640" s="456"/>
      <c r="AB640" s="456"/>
      <c r="AC640" s="456"/>
      <c r="AD640" s="456"/>
      <c r="AE640" s="456"/>
      <c r="AF640" s="456"/>
    </row>
    <row r="641" customFormat="false" ht="12.75" hidden="false" customHeight="true" outlineLevel="0" collapsed="false">
      <c r="A641" s="458"/>
      <c r="B641" s="458"/>
      <c r="C641" s="459"/>
      <c r="D641" s="459"/>
      <c r="E641" s="459"/>
      <c r="F641" s="459"/>
      <c r="G641" s="459"/>
      <c r="H641" s="459"/>
      <c r="I641" s="459"/>
      <c r="J641" s="459"/>
      <c r="K641" s="459"/>
      <c r="L641" s="459"/>
      <c r="M641" s="458"/>
      <c r="N641" s="458"/>
      <c r="O641" s="458"/>
      <c r="P641" s="458"/>
      <c r="Q641" s="458"/>
      <c r="R641" s="459"/>
      <c r="S641" s="459"/>
      <c r="T641" s="459"/>
      <c r="U641" s="459"/>
      <c r="V641" s="459"/>
      <c r="W641" s="459"/>
      <c r="X641" s="459"/>
      <c r="Y641" s="459"/>
      <c r="Z641" s="459"/>
      <c r="AA641" s="459"/>
      <c r="AB641" s="459"/>
      <c r="AC641" s="459"/>
      <c r="AD641" s="459"/>
      <c r="AE641" s="459"/>
      <c r="AF641" s="459"/>
    </row>
    <row r="642" customFormat="false" ht="15.75" hidden="false" customHeight="true" outlineLevel="0" collapsed="false">
      <c r="A642" s="460" t="str">
        <f aca="false">A615</f>
        <v>M28263</v>
      </c>
      <c r="B642" s="460"/>
      <c r="C642" s="460"/>
      <c r="D642" s="461" t="str">
        <f aca="false">D615</f>
        <v>SURGICAL CO A</v>
      </c>
      <c r="E642" s="461"/>
      <c r="F642" s="461"/>
      <c r="G642" s="461"/>
      <c r="H642" s="461"/>
      <c r="I642" s="461"/>
      <c r="J642" s="461"/>
      <c r="K642" s="461"/>
      <c r="L642" s="461"/>
      <c r="M642" s="458"/>
      <c r="N642" s="458"/>
      <c r="O642" s="458"/>
      <c r="P642" s="459"/>
      <c r="Q642" s="458"/>
      <c r="R642" s="459"/>
      <c r="S642" s="459"/>
      <c r="T642" s="459"/>
      <c r="U642" s="459"/>
      <c r="V642" s="459"/>
      <c r="W642" s="459"/>
      <c r="X642" s="459"/>
      <c r="Y642" s="459"/>
      <c r="Z642" s="459"/>
      <c r="AA642" s="459"/>
      <c r="AB642" s="459"/>
      <c r="AC642" s="459"/>
      <c r="AD642" s="459"/>
      <c r="AE642" s="459"/>
      <c r="AF642" s="459"/>
    </row>
    <row r="643" customFormat="false" ht="15.75" hidden="false" customHeight="true" outlineLevel="0" collapsed="false">
      <c r="A643" s="462" t="s">
        <v>1659</v>
      </c>
      <c r="B643" s="462"/>
      <c r="C643" s="462"/>
      <c r="D643" s="463" t="s">
        <v>1660</v>
      </c>
      <c r="E643" s="463"/>
      <c r="F643" s="463"/>
      <c r="G643" s="463"/>
      <c r="H643" s="463"/>
      <c r="I643" s="463"/>
      <c r="J643" s="463"/>
      <c r="K643" s="463"/>
      <c r="L643" s="463"/>
      <c r="M643" s="564" t="s">
        <v>1661</v>
      </c>
      <c r="N643" s="564"/>
      <c r="O643" s="465" t="s">
        <v>1662</v>
      </c>
      <c r="P643" s="465"/>
      <c r="Q643" s="465" t="s">
        <v>1663</v>
      </c>
      <c r="R643" s="465"/>
      <c r="S643" s="466" t="s">
        <v>1664</v>
      </c>
      <c r="T643" s="466"/>
      <c r="U643" s="466" t="s">
        <v>1665</v>
      </c>
      <c r="V643" s="466"/>
      <c r="W643" s="464" t="s">
        <v>1666</v>
      </c>
      <c r="X643" s="464"/>
      <c r="Y643" s="467" t="s">
        <v>1667</v>
      </c>
      <c r="Z643" s="467"/>
      <c r="AA643" s="467"/>
      <c r="AB643" s="467"/>
      <c r="AC643" s="467"/>
      <c r="AD643" s="467"/>
      <c r="AE643" s="467"/>
      <c r="AF643" s="459"/>
    </row>
    <row r="644" customFormat="false" ht="15.75" hidden="false" customHeight="true" outlineLevel="0" collapsed="false">
      <c r="A644" s="462"/>
      <c r="B644" s="462"/>
      <c r="C644" s="462"/>
      <c r="D644" s="463"/>
      <c r="E644" s="463"/>
      <c r="F644" s="463"/>
      <c r="G644" s="463"/>
      <c r="H644" s="463"/>
      <c r="I644" s="463"/>
      <c r="J644" s="463"/>
      <c r="K644" s="463"/>
      <c r="L644" s="463"/>
      <c r="M644" s="564"/>
      <c r="N644" s="564"/>
      <c r="O644" s="465"/>
      <c r="P644" s="465"/>
      <c r="Q644" s="465"/>
      <c r="R644" s="465"/>
      <c r="S644" s="466"/>
      <c r="T644" s="466"/>
      <c r="U644" s="466"/>
      <c r="V644" s="466"/>
      <c r="W644" s="464"/>
      <c r="X644" s="464"/>
      <c r="Y644" s="467"/>
      <c r="Z644" s="467"/>
      <c r="AA644" s="467"/>
      <c r="AB644" s="467"/>
      <c r="AC644" s="467"/>
      <c r="AD644" s="467"/>
      <c r="AE644" s="467"/>
      <c r="AF644" s="459"/>
    </row>
    <row r="645" customFormat="false" ht="30" hidden="false" customHeight="true" outlineLevel="0" collapsed="false">
      <c r="A645" s="462"/>
      <c r="B645" s="462"/>
      <c r="C645" s="462"/>
      <c r="D645" s="463"/>
      <c r="E645" s="463"/>
      <c r="F645" s="463"/>
      <c r="G645" s="463"/>
      <c r="H645" s="463"/>
      <c r="I645" s="463"/>
      <c r="J645" s="463"/>
      <c r="K645" s="463"/>
      <c r="L645" s="463"/>
      <c r="M645" s="564"/>
      <c r="N645" s="564"/>
      <c r="O645" s="465"/>
      <c r="P645" s="465"/>
      <c r="Q645" s="465"/>
      <c r="R645" s="465"/>
      <c r="S645" s="466"/>
      <c r="T645" s="466"/>
      <c r="U645" s="466"/>
      <c r="V645" s="466"/>
      <c r="W645" s="464"/>
      <c r="X645" s="464"/>
      <c r="Y645" s="467"/>
      <c r="Z645" s="467"/>
      <c r="AA645" s="467"/>
      <c r="AB645" s="467"/>
      <c r="AC645" s="467"/>
      <c r="AD645" s="467"/>
      <c r="AE645" s="467"/>
      <c r="AF645" s="468"/>
    </row>
    <row r="646" customFormat="false" ht="30" hidden="false" customHeight="true" outlineLevel="0" collapsed="false">
      <c r="A646" s="469" t="s">
        <v>2047</v>
      </c>
      <c r="B646" s="469"/>
      <c r="C646" s="469"/>
      <c r="D646" s="470" t="s">
        <v>2048</v>
      </c>
      <c r="E646" s="470"/>
      <c r="F646" s="470"/>
      <c r="G646" s="470"/>
      <c r="H646" s="470"/>
      <c r="I646" s="470"/>
      <c r="J646" s="470"/>
      <c r="K646" s="470"/>
      <c r="L646" s="470"/>
      <c r="M646" s="570" t="n">
        <f aca="false">SUMIFS(TE!P:P,TE!G:G,$A$426,TE!H:H,A646)</f>
        <v>0</v>
      </c>
      <c r="N646" s="570"/>
      <c r="O646" s="472" t="n">
        <v>12</v>
      </c>
      <c r="P646" s="472"/>
      <c r="Q646" s="473" t="n">
        <f aca="false">M646/O646</f>
        <v>0</v>
      </c>
      <c r="R646" s="473"/>
      <c r="S646" s="474" t="n">
        <v>13.4</v>
      </c>
      <c r="T646" s="474"/>
      <c r="U646" s="474" t="n">
        <f aca="false">Q646*S646</f>
        <v>0</v>
      </c>
      <c r="V646" s="474"/>
      <c r="W646" s="475" t="s">
        <v>1670</v>
      </c>
      <c r="X646" s="475"/>
      <c r="Y646" s="476" t="s">
        <v>1671</v>
      </c>
      <c r="Z646" s="476"/>
      <c r="AA646" s="476"/>
      <c r="AB646" s="476"/>
      <c r="AC646" s="476"/>
      <c r="AD646" s="476"/>
      <c r="AE646" s="476"/>
      <c r="AF646" s="468"/>
    </row>
    <row r="647" customFormat="false" ht="39.75" hidden="false" customHeight="true" outlineLevel="0" collapsed="false">
      <c r="A647" s="477" t="s">
        <v>2047</v>
      </c>
      <c r="B647" s="477"/>
      <c r="C647" s="477"/>
      <c r="D647" s="478" t="s">
        <v>2049</v>
      </c>
      <c r="E647" s="478"/>
      <c r="F647" s="478"/>
      <c r="G647" s="478"/>
      <c r="H647" s="478"/>
      <c r="I647" s="478"/>
      <c r="J647" s="478"/>
      <c r="K647" s="478"/>
      <c r="L647" s="478"/>
      <c r="M647" s="479" t="n">
        <f aca="false">SUMIFS(TE!P:P,TE!G:G,$A$426,TE!H:H,A647)</f>
        <v>0</v>
      </c>
      <c r="N647" s="479"/>
      <c r="O647" s="480" t="n">
        <v>24</v>
      </c>
      <c r="P647" s="480"/>
      <c r="Q647" s="481" t="n">
        <f aca="false">M647/O647</f>
        <v>0</v>
      </c>
      <c r="R647" s="481"/>
      <c r="S647" s="482" t="n">
        <v>13.4</v>
      </c>
      <c r="T647" s="482"/>
      <c r="U647" s="482" t="n">
        <f aca="false">Q647*S647</f>
        <v>0</v>
      </c>
      <c r="V647" s="482"/>
      <c r="W647" s="483" t="s">
        <v>1670</v>
      </c>
      <c r="X647" s="483"/>
      <c r="Y647" s="484" t="s">
        <v>1671</v>
      </c>
      <c r="Z647" s="484"/>
      <c r="AA647" s="484"/>
      <c r="AB647" s="484"/>
      <c r="AC647" s="484"/>
      <c r="AD647" s="484"/>
      <c r="AE647" s="484"/>
      <c r="AF647" s="468"/>
    </row>
    <row r="648" customFormat="false" ht="30" hidden="false" customHeight="true" outlineLevel="0" collapsed="false">
      <c r="A648" s="477" t="s">
        <v>2050</v>
      </c>
      <c r="B648" s="477"/>
      <c r="C648" s="477"/>
      <c r="D648" s="478" t="s">
        <v>2051</v>
      </c>
      <c r="E648" s="478"/>
      <c r="F648" s="478"/>
      <c r="G648" s="478"/>
      <c r="H648" s="478"/>
      <c r="I648" s="478"/>
      <c r="J648" s="478"/>
      <c r="K648" s="478"/>
      <c r="L648" s="478"/>
      <c r="M648" s="479" t="n">
        <f aca="false">SUMIFS(TE!P:P,TE!G:G,$A$426,TE!H:H,A648)</f>
        <v>0</v>
      </c>
      <c r="N648" s="479"/>
      <c r="O648" s="485" t="s">
        <v>1678</v>
      </c>
      <c r="P648" s="485"/>
      <c r="Q648" s="485" t="s">
        <v>1678</v>
      </c>
      <c r="R648" s="485"/>
      <c r="S648" s="485" t="s">
        <v>1678</v>
      </c>
      <c r="T648" s="485"/>
      <c r="U648" s="485" t="s">
        <v>1678</v>
      </c>
      <c r="V648" s="485"/>
      <c r="W648" s="483" t="s">
        <v>1810</v>
      </c>
      <c r="X648" s="483"/>
      <c r="Y648" s="484" t="s">
        <v>2036</v>
      </c>
      <c r="Z648" s="484"/>
      <c r="AA648" s="484"/>
      <c r="AB648" s="484"/>
      <c r="AC648" s="484"/>
      <c r="AD648" s="484"/>
      <c r="AE648" s="484"/>
      <c r="AF648" s="468"/>
    </row>
    <row r="649" customFormat="false" ht="30" hidden="false" customHeight="true" outlineLevel="0" collapsed="false">
      <c r="A649" s="477" t="s">
        <v>2052</v>
      </c>
      <c r="B649" s="477"/>
      <c r="C649" s="477"/>
      <c r="D649" s="478" t="s">
        <v>2053</v>
      </c>
      <c r="E649" s="478"/>
      <c r="F649" s="478"/>
      <c r="G649" s="478"/>
      <c r="H649" s="478"/>
      <c r="I649" s="478"/>
      <c r="J649" s="478"/>
      <c r="K649" s="478"/>
      <c r="L649" s="478"/>
      <c r="M649" s="479" t="n">
        <f aca="false">SUMIFS(TE!P:P,TE!G:G,$A$426,TE!H:H,A649)</f>
        <v>0</v>
      </c>
      <c r="N649" s="479"/>
      <c r="O649" s="485" t="s">
        <v>1678</v>
      </c>
      <c r="P649" s="485"/>
      <c r="Q649" s="485" t="s">
        <v>1678</v>
      </c>
      <c r="R649" s="485"/>
      <c r="S649" s="485" t="s">
        <v>1678</v>
      </c>
      <c r="T649" s="485"/>
      <c r="U649" s="485" t="s">
        <v>1678</v>
      </c>
      <c r="V649" s="485"/>
      <c r="W649" s="483" t="s">
        <v>1810</v>
      </c>
      <c r="X649" s="483"/>
      <c r="Y649" s="484" t="s">
        <v>2036</v>
      </c>
      <c r="Z649" s="484"/>
      <c r="AA649" s="484"/>
      <c r="AB649" s="484"/>
      <c r="AC649" s="484"/>
      <c r="AD649" s="484"/>
      <c r="AE649" s="484"/>
      <c r="AF649" s="468"/>
    </row>
    <row r="650" customFormat="false" ht="30" hidden="false" customHeight="true" outlineLevel="0" collapsed="false">
      <c r="A650" s="477" t="s">
        <v>2054</v>
      </c>
      <c r="B650" s="477"/>
      <c r="C650" s="477"/>
      <c r="D650" s="478" t="s">
        <v>2055</v>
      </c>
      <c r="E650" s="478"/>
      <c r="F650" s="478"/>
      <c r="G650" s="478"/>
      <c r="H650" s="478"/>
      <c r="I650" s="478"/>
      <c r="J650" s="478"/>
      <c r="K650" s="478"/>
      <c r="L650" s="478"/>
      <c r="M650" s="479" t="n">
        <f aca="false">SUMIFS(TE!P:P,TE!G:G,$A$426,TE!H:H,A650)</f>
        <v>0</v>
      </c>
      <c r="N650" s="479"/>
      <c r="O650" s="485" t="s">
        <v>1678</v>
      </c>
      <c r="P650" s="485"/>
      <c r="Q650" s="485" t="s">
        <v>1678</v>
      </c>
      <c r="R650" s="485"/>
      <c r="S650" s="485" t="s">
        <v>1678</v>
      </c>
      <c r="T650" s="485"/>
      <c r="U650" s="485" t="s">
        <v>1678</v>
      </c>
      <c r="V650" s="485"/>
      <c r="W650" s="483" t="s">
        <v>1810</v>
      </c>
      <c r="X650" s="483"/>
      <c r="Y650" s="484" t="s">
        <v>2036</v>
      </c>
      <c r="Z650" s="484"/>
      <c r="AA650" s="484"/>
      <c r="AB650" s="484"/>
      <c r="AC650" s="484"/>
      <c r="AD650" s="484"/>
      <c r="AE650" s="484"/>
      <c r="AF650" s="468"/>
    </row>
    <row r="651" customFormat="false" ht="30" hidden="false" customHeight="true" outlineLevel="0" collapsed="false">
      <c r="A651" s="477" t="s">
        <v>2056</v>
      </c>
      <c r="B651" s="477"/>
      <c r="C651" s="477"/>
      <c r="D651" s="478" t="s">
        <v>2057</v>
      </c>
      <c r="E651" s="478"/>
      <c r="F651" s="478"/>
      <c r="G651" s="478"/>
      <c r="H651" s="478"/>
      <c r="I651" s="478"/>
      <c r="J651" s="478"/>
      <c r="K651" s="478"/>
      <c r="L651" s="478"/>
      <c r="M651" s="479" t="n">
        <f aca="false">SUMIFS(TE!P:P,TE!G:G,$A$426,TE!H:H,A651)</f>
        <v>0</v>
      </c>
      <c r="N651" s="479"/>
      <c r="O651" s="485" t="s">
        <v>1678</v>
      </c>
      <c r="P651" s="485"/>
      <c r="Q651" s="485" t="s">
        <v>1678</v>
      </c>
      <c r="R651" s="485"/>
      <c r="S651" s="485" t="s">
        <v>1678</v>
      </c>
      <c r="T651" s="485"/>
      <c r="U651" s="485" t="s">
        <v>1678</v>
      </c>
      <c r="V651" s="485"/>
      <c r="W651" s="483" t="s">
        <v>1810</v>
      </c>
      <c r="X651" s="483"/>
      <c r="Y651" s="484" t="s">
        <v>2036</v>
      </c>
      <c r="Z651" s="484"/>
      <c r="AA651" s="484"/>
      <c r="AB651" s="484"/>
      <c r="AC651" s="484"/>
      <c r="AD651" s="484"/>
      <c r="AE651" s="484"/>
      <c r="AF651" s="468"/>
    </row>
    <row r="652" customFormat="false" ht="30" hidden="false" customHeight="true" outlineLevel="0" collapsed="false">
      <c r="A652" s="477" t="s">
        <v>2058</v>
      </c>
      <c r="B652" s="477"/>
      <c r="C652" s="477"/>
      <c r="D652" s="478" t="s">
        <v>2059</v>
      </c>
      <c r="E652" s="478"/>
      <c r="F652" s="478"/>
      <c r="G652" s="478"/>
      <c r="H652" s="478"/>
      <c r="I652" s="478"/>
      <c r="J652" s="478"/>
      <c r="K652" s="478"/>
      <c r="L652" s="478"/>
      <c r="M652" s="479" t="n">
        <f aca="false">SUMIFS(TE!P:P,TE!G:G,$A$426,TE!H:H,A652)</f>
        <v>0</v>
      </c>
      <c r="N652" s="479"/>
      <c r="O652" s="485" t="s">
        <v>1678</v>
      </c>
      <c r="P652" s="485"/>
      <c r="Q652" s="485" t="s">
        <v>1678</v>
      </c>
      <c r="R652" s="485"/>
      <c r="S652" s="485" t="s">
        <v>1678</v>
      </c>
      <c r="T652" s="485"/>
      <c r="U652" s="485" t="s">
        <v>1678</v>
      </c>
      <c r="V652" s="485"/>
      <c r="W652" s="483" t="s">
        <v>1810</v>
      </c>
      <c r="X652" s="483"/>
      <c r="Y652" s="484" t="s">
        <v>2060</v>
      </c>
      <c r="Z652" s="484"/>
      <c r="AA652" s="484"/>
      <c r="AB652" s="484"/>
      <c r="AC652" s="484"/>
      <c r="AD652" s="484"/>
      <c r="AE652" s="484"/>
      <c r="AF652" s="468"/>
    </row>
    <row r="653" customFormat="false" ht="30" hidden="false" customHeight="true" outlineLevel="0" collapsed="false">
      <c r="A653" s="477" t="s">
        <v>2061</v>
      </c>
      <c r="B653" s="477"/>
      <c r="C653" s="477"/>
      <c r="D653" s="478" t="s">
        <v>2062</v>
      </c>
      <c r="E653" s="478"/>
      <c r="F653" s="478"/>
      <c r="G653" s="478"/>
      <c r="H653" s="478"/>
      <c r="I653" s="478"/>
      <c r="J653" s="478"/>
      <c r="K653" s="478"/>
      <c r="L653" s="478"/>
      <c r="M653" s="479" t="n">
        <f aca="false">SUMIFS(TE!P:P,TE!G:G,$A$426,TE!H:H,A653)</f>
        <v>0</v>
      </c>
      <c r="N653" s="479"/>
      <c r="O653" s="485" t="s">
        <v>1678</v>
      </c>
      <c r="P653" s="485"/>
      <c r="Q653" s="485" t="s">
        <v>1678</v>
      </c>
      <c r="R653" s="485"/>
      <c r="S653" s="485" t="s">
        <v>1678</v>
      </c>
      <c r="T653" s="485"/>
      <c r="U653" s="485" t="s">
        <v>1678</v>
      </c>
      <c r="V653" s="485"/>
      <c r="W653" s="483" t="s">
        <v>1810</v>
      </c>
      <c r="X653" s="483"/>
      <c r="Y653" s="484" t="s">
        <v>2060</v>
      </c>
      <c r="Z653" s="484"/>
      <c r="AA653" s="484"/>
      <c r="AB653" s="484"/>
      <c r="AC653" s="484"/>
      <c r="AD653" s="484"/>
      <c r="AE653" s="484"/>
      <c r="AF653" s="468"/>
    </row>
    <row r="654" customFormat="false" ht="39.75" hidden="false" customHeight="true" outlineLevel="0" collapsed="false">
      <c r="A654" s="477" t="s">
        <v>2063</v>
      </c>
      <c r="B654" s="477"/>
      <c r="C654" s="477"/>
      <c r="D654" s="478" t="s">
        <v>2064</v>
      </c>
      <c r="E654" s="478"/>
      <c r="F654" s="478"/>
      <c r="G654" s="478"/>
      <c r="H654" s="478"/>
      <c r="I654" s="478"/>
      <c r="J654" s="478"/>
      <c r="K654" s="478"/>
      <c r="L654" s="478"/>
      <c r="M654" s="479" t="n">
        <f aca="false">SUMIFS(TE!P:P,TE!G:G,$A$426,TE!H:H,A654)</f>
        <v>0</v>
      </c>
      <c r="N654" s="479"/>
      <c r="O654" s="480" t="n">
        <v>4</v>
      </c>
      <c r="P654" s="480"/>
      <c r="Q654" s="481" t="n">
        <f aca="false">M654/O654</f>
        <v>0</v>
      </c>
      <c r="R654" s="481"/>
      <c r="S654" s="482" t="n">
        <v>13.4</v>
      </c>
      <c r="T654" s="482"/>
      <c r="U654" s="482" t="n">
        <f aca="false">Q654*S654</f>
        <v>0</v>
      </c>
      <c r="V654" s="482"/>
      <c r="W654" s="483" t="s">
        <v>1878</v>
      </c>
      <c r="X654" s="483"/>
      <c r="Y654" s="484" t="s">
        <v>1879</v>
      </c>
      <c r="Z654" s="484"/>
      <c r="AA654" s="484"/>
      <c r="AB654" s="484"/>
      <c r="AC654" s="484"/>
      <c r="AD654" s="484"/>
      <c r="AE654" s="484"/>
      <c r="AF654" s="468"/>
    </row>
    <row r="655" customFormat="false" ht="30" hidden="false" customHeight="true" outlineLevel="0" collapsed="false">
      <c r="A655" s="499" t="s">
        <v>2065</v>
      </c>
      <c r="B655" s="499"/>
      <c r="C655" s="499"/>
      <c r="D655" s="478" t="s">
        <v>2066</v>
      </c>
      <c r="E655" s="478"/>
      <c r="F655" s="478"/>
      <c r="G655" s="478"/>
      <c r="H655" s="478"/>
      <c r="I655" s="478"/>
      <c r="J655" s="478"/>
      <c r="K655" s="478"/>
      <c r="L655" s="478"/>
      <c r="M655" s="479" t="n">
        <f aca="false">SUMIFS(TE!P:P,TE!G:G,$A$426,TE!H:H,A655)</f>
        <v>0</v>
      </c>
      <c r="N655" s="479"/>
      <c r="O655" s="480" t="n">
        <v>20</v>
      </c>
      <c r="P655" s="480"/>
      <c r="Q655" s="481" t="n">
        <f aca="false">ROUNDUP(M655/O655,0)</f>
        <v>0</v>
      </c>
      <c r="R655" s="481"/>
      <c r="S655" s="482" t="n">
        <v>13.4</v>
      </c>
      <c r="T655" s="482"/>
      <c r="U655" s="482" t="n">
        <f aca="false">Q655*S655</f>
        <v>0</v>
      </c>
      <c r="V655" s="482"/>
      <c r="W655" s="483" t="s">
        <v>1878</v>
      </c>
      <c r="X655" s="483"/>
      <c r="Y655" s="484" t="s">
        <v>1991</v>
      </c>
      <c r="Z655" s="484"/>
      <c r="AA655" s="484"/>
      <c r="AB655" s="484"/>
      <c r="AC655" s="484"/>
      <c r="AD655" s="484"/>
      <c r="AE655" s="484"/>
      <c r="AF655" s="468"/>
    </row>
    <row r="656" customFormat="false" ht="39.75" hidden="false" customHeight="true" outlineLevel="0" collapsed="false">
      <c r="A656" s="477" t="s">
        <v>2067</v>
      </c>
      <c r="B656" s="477"/>
      <c r="C656" s="477"/>
      <c r="D656" s="478" t="s">
        <v>2068</v>
      </c>
      <c r="E656" s="478"/>
      <c r="F656" s="478"/>
      <c r="G656" s="478"/>
      <c r="H656" s="478"/>
      <c r="I656" s="478"/>
      <c r="J656" s="478"/>
      <c r="K656" s="478"/>
      <c r="L656" s="478"/>
      <c r="M656" s="479" t="n">
        <f aca="false">SUMIFS(TE!P:P,TE!G:G,$A$426,TE!H:H,A656)</f>
        <v>0</v>
      </c>
      <c r="N656" s="479"/>
      <c r="O656" s="480" t="n">
        <v>5</v>
      </c>
      <c r="P656" s="480"/>
      <c r="Q656" s="481" t="n">
        <f aca="false">M656/O656</f>
        <v>0</v>
      </c>
      <c r="R656" s="481"/>
      <c r="S656" s="482" t="n">
        <v>13.4</v>
      </c>
      <c r="T656" s="482"/>
      <c r="U656" s="482" t="n">
        <f aca="false">Q656*S656</f>
        <v>0</v>
      </c>
      <c r="V656" s="482"/>
      <c r="W656" s="483" t="s">
        <v>1878</v>
      </c>
      <c r="X656" s="483"/>
      <c r="Y656" s="484" t="s">
        <v>1879</v>
      </c>
      <c r="Z656" s="484"/>
      <c r="AA656" s="484"/>
      <c r="AB656" s="484"/>
      <c r="AC656" s="484"/>
      <c r="AD656" s="484"/>
      <c r="AE656" s="484"/>
      <c r="AF656" s="396"/>
    </row>
    <row r="657" customFormat="false" ht="30" hidden="false" customHeight="true" outlineLevel="0" collapsed="false">
      <c r="A657" s="499" t="s">
        <v>2069</v>
      </c>
      <c r="B657" s="499"/>
      <c r="C657" s="499"/>
      <c r="D657" s="478" t="s">
        <v>2070</v>
      </c>
      <c r="E657" s="478"/>
      <c r="F657" s="478"/>
      <c r="G657" s="478"/>
      <c r="H657" s="478"/>
      <c r="I657" s="478"/>
      <c r="J657" s="478"/>
      <c r="K657" s="478"/>
      <c r="L657" s="478"/>
      <c r="M657" s="479" t="n">
        <f aca="false">SUMIFS(TE!P:P,TE!G:G,$A$426,TE!H:H,A657)</f>
        <v>0</v>
      </c>
      <c r="N657" s="479"/>
      <c r="O657" s="480" t="n">
        <v>12</v>
      </c>
      <c r="P657" s="480"/>
      <c r="Q657" s="481" t="n">
        <f aca="false">ROUNDUP(M657/O657,0)</f>
        <v>0</v>
      </c>
      <c r="R657" s="481"/>
      <c r="S657" s="482" t="n">
        <v>13.4</v>
      </c>
      <c r="T657" s="482"/>
      <c r="U657" s="482" t="n">
        <f aca="false">Q657*S657</f>
        <v>0</v>
      </c>
      <c r="V657" s="482"/>
      <c r="W657" s="483" t="s">
        <v>1878</v>
      </c>
      <c r="X657" s="483"/>
      <c r="Y657" s="484" t="s">
        <v>1892</v>
      </c>
      <c r="Z657" s="484"/>
      <c r="AA657" s="484"/>
      <c r="AB657" s="484"/>
      <c r="AC657" s="484"/>
      <c r="AD657" s="484"/>
      <c r="AE657" s="484"/>
      <c r="AF657" s="396"/>
    </row>
    <row r="658" customFormat="false" ht="30" hidden="false" customHeight="true" outlineLevel="0" collapsed="false">
      <c r="A658" s="499" t="s">
        <v>2071</v>
      </c>
      <c r="B658" s="499"/>
      <c r="C658" s="499"/>
      <c r="D658" s="478" t="s">
        <v>2072</v>
      </c>
      <c r="E658" s="478"/>
      <c r="F658" s="478"/>
      <c r="G658" s="478"/>
      <c r="H658" s="478"/>
      <c r="I658" s="478"/>
      <c r="J658" s="478"/>
      <c r="K658" s="478"/>
      <c r="L658" s="478"/>
      <c r="M658" s="479" t="n">
        <f aca="false">SUMIFS(TE!P:P,TE!G:G,$A$426,TE!H:H,A658)</f>
        <v>0</v>
      </c>
      <c r="N658" s="479"/>
      <c r="O658" s="480" t="n">
        <v>20</v>
      </c>
      <c r="P658" s="480"/>
      <c r="Q658" s="481" t="n">
        <f aca="false">ROUNDUP(M658/O658,0)</f>
        <v>0</v>
      </c>
      <c r="R658" s="481"/>
      <c r="S658" s="482" t="n">
        <v>13.4</v>
      </c>
      <c r="T658" s="482"/>
      <c r="U658" s="482" t="n">
        <f aca="false">Q658*S658</f>
        <v>0</v>
      </c>
      <c r="V658" s="482"/>
      <c r="W658" s="483" t="s">
        <v>1878</v>
      </c>
      <c r="X658" s="483"/>
      <c r="Y658" s="484" t="s">
        <v>1991</v>
      </c>
      <c r="Z658" s="484"/>
      <c r="AA658" s="484"/>
      <c r="AB658" s="484"/>
      <c r="AC658" s="484"/>
      <c r="AD658" s="484"/>
      <c r="AE658" s="484"/>
      <c r="AF658" s="396"/>
    </row>
    <row r="659" customFormat="false" ht="30" hidden="false" customHeight="true" outlineLevel="0" collapsed="false">
      <c r="A659" s="499" t="s">
        <v>2073</v>
      </c>
      <c r="B659" s="499"/>
      <c r="C659" s="499"/>
      <c r="D659" s="498" t="s">
        <v>2074</v>
      </c>
      <c r="E659" s="498"/>
      <c r="F659" s="498"/>
      <c r="G659" s="498"/>
      <c r="H659" s="498"/>
      <c r="I659" s="498"/>
      <c r="J659" s="498"/>
      <c r="K659" s="498"/>
      <c r="L659" s="498"/>
      <c r="M659" s="479" t="n">
        <f aca="false">SUMIFS(TE!P:P,TE!G:G,$A$426,TE!H:H,A659)</f>
        <v>0</v>
      </c>
      <c r="N659" s="479"/>
      <c r="O659" s="480" t="n">
        <v>10</v>
      </c>
      <c r="P659" s="480"/>
      <c r="Q659" s="481" t="n">
        <f aca="false">ROUNDUP(M659/O659,0)</f>
        <v>0</v>
      </c>
      <c r="R659" s="481"/>
      <c r="S659" s="482" t="n">
        <v>18</v>
      </c>
      <c r="T659" s="482"/>
      <c r="U659" s="482" t="n">
        <f aca="false">Q659*S659</f>
        <v>0</v>
      </c>
      <c r="V659" s="482"/>
      <c r="W659" s="483" t="s">
        <v>1878</v>
      </c>
      <c r="X659" s="483"/>
      <c r="Y659" s="484" t="s">
        <v>1711</v>
      </c>
      <c r="Z659" s="484"/>
      <c r="AA659" s="484"/>
      <c r="AB659" s="484"/>
      <c r="AC659" s="484"/>
      <c r="AD659" s="484"/>
      <c r="AE659" s="484"/>
      <c r="AF659" s="396"/>
    </row>
    <row r="660" customFormat="false" ht="30" hidden="false" customHeight="true" outlineLevel="0" collapsed="false">
      <c r="A660" s="499" t="s">
        <v>2075</v>
      </c>
      <c r="B660" s="499"/>
      <c r="C660" s="499"/>
      <c r="D660" s="498" t="s">
        <v>2076</v>
      </c>
      <c r="E660" s="498"/>
      <c r="F660" s="498"/>
      <c r="G660" s="498"/>
      <c r="H660" s="498"/>
      <c r="I660" s="498"/>
      <c r="J660" s="498"/>
      <c r="K660" s="498"/>
      <c r="L660" s="498"/>
      <c r="M660" s="479" t="n">
        <f aca="false">SUMIFS(TE!P:P,TE!G:G,$A$426,TE!H:H,A660)</f>
        <v>0</v>
      </c>
      <c r="N660" s="479"/>
      <c r="O660" s="480" t="n">
        <v>10</v>
      </c>
      <c r="P660" s="480"/>
      <c r="Q660" s="481" t="n">
        <f aca="false">ROUNDUP(M660/O660,0)</f>
        <v>0</v>
      </c>
      <c r="R660" s="481"/>
      <c r="S660" s="482" t="n">
        <v>13.4</v>
      </c>
      <c r="T660" s="482"/>
      <c r="U660" s="482" t="n">
        <f aca="false">Q660*S660</f>
        <v>0</v>
      </c>
      <c r="V660" s="482"/>
      <c r="W660" s="483" t="s">
        <v>1878</v>
      </c>
      <c r="X660" s="483"/>
      <c r="Y660" s="484" t="s">
        <v>2077</v>
      </c>
      <c r="Z660" s="484"/>
      <c r="AA660" s="484"/>
      <c r="AB660" s="484"/>
      <c r="AC660" s="484"/>
      <c r="AD660" s="484"/>
      <c r="AE660" s="484"/>
      <c r="AF660" s="396"/>
    </row>
    <row r="661" customFormat="false" ht="39.75" hidden="false" customHeight="true" outlineLevel="0" collapsed="false">
      <c r="A661" s="499" t="s">
        <v>2078</v>
      </c>
      <c r="B661" s="499"/>
      <c r="C661" s="499"/>
      <c r="D661" s="498" t="s">
        <v>2079</v>
      </c>
      <c r="E661" s="498"/>
      <c r="F661" s="498"/>
      <c r="G661" s="498"/>
      <c r="H661" s="498"/>
      <c r="I661" s="498"/>
      <c r="J661" s="498"/>
      <c r="K661" s="498"/>
      <c r="L661" s="498"/>
      <c r="M661" s="479" t="n">
        <f aca="false">SUMIFS(TE!P:P,TE!G:G,$A$426,TE!H:H,A661)</f>
        <v>0</v>
      </c>
      <c r="N661" s="479"/>
      <c r="O661" s="480" t="n">
        <v>4</v>
      </c>
      <c r="P661" s="480"/>
      <c r="Q661" s="481" t="n">
        <f aca="false">ROUNDUP(M661/O661,0)</f>
        <v>0</v>
      </c>
      <c r="R661" s="481"/>
      <c r="S661" s="482" t="n">
        <v>13.4</v>
      </c>
      <c r="T661" s="482"/>
      <c r="U661" s="482" t="n">
        <f aca="false">Q661*S661</f>
        <v>0</v>
      </c>
      <c r="V661" s="482"/>
      <c r="W661" s="483" t="s">
        <v>1878</v>
      </c>
      <c r="X661" s="483"/>
      <c r="Y661" s="484" t="s">
        <v>1942</v>
      </c>
      <c r="Z661" s="484"/>
      <c r="AA661" s="484"/>
      <c r="AB661" s="484"/>
      <c r="AC661" s="484"/>
      <c r="AD661" s="484"/>
      <c r="AE661" s="484"/>
      <c r="AF661" s="396"/>
    </row>
    <row r="662" customFormat="false" ht="30" hidden="false" customHeight="true" outlineLevel="0" collapsed="false">
      <c r="A662" s="499" t="s">
        <v>2080</v>
      </c>
      <c r="B662" s="499"/>
      <c r="C662" s="499"/>
      <c r="D662" s="498" t="s">
        <v>2081</v>
      </c>
      <c r="E662" s="498"/>
      <c r="F662" s="498"/>
      <c r="G662" s="498"/>
      <c r="H662" s="498"/>
      <c r="I662" s="498"/>
      <c r="J662" s="498"/>
      <c r="K662" s="498"/>
      <c r="L662" s="498"/>
      <c r="M662" s="479" t="n">
        <f aca="false">SUMIFS(TE!P:P,TE!G:G,$A$426,TE!H:H,A662)</f>
        <v>0</v>
      </c>
      <c r="N662" s="479"/>
      <c r="O662" s="480" t="n">
        <v>4</v>
      </c>
      <c r="P662" s="480"/>
      <c r="Q662" s="481" t="n">
        <f aca="false">ROUNDUP(M662/O662,0)</f>
        <v>0</v>
      </c>
      <c r="R662" s="481"/>
      <c r="S662" s="482" t="n">
        <v>13.4</v>
      </c>
      <c r="T662" s="482"/>
      <c r="U662" s="482" t="n">
        <f aca="false">Q662*S662</f>
        <v>0</v>
      </c>
      <c r="V662" s="482"/>
      <c r="W662" s="483" t="s">
        <v>1902</v>
      </c>
      <c r="X662" s="483"/>
      <c r="Y662" s="484" t="s">
        <v>1796</v>
      </c>
      <c r="Z662" s="484"/>
      <c r="AA662" s="484"/>
      <c r="AB662" s="484"/>
      <c r="AC662" s="484"/>
      <c r="AD662" s="484"/>
      <c r="AE662" s="484"/>
      <c r="AF662" s="396"/>
    </row>
    <row r="663" customFormat="false" ht="30" hidden="false" customHeight="true" outlineLevel="0" collapsed="false">
      <c r="A663" s="499" t="s">
        <v>2082</v>
      </c>
      <c r="B663" s="499"/>
      <c r="C663" s="499"/>
      <c r="D663" s="498" t="s">
        <v>2083</v>
      </c>
      <c r="E663" s="498"/>
      <c r="F663" s="498"/>
      <c r="G663" s="498"/>
      <c r="H663" s="498"/>
      <c r="I663" s="498"/>
      <c r="J663" s="498"/>
      <c r="K663" s="498"/>
      <c r="L663" s="498"/>
      <c r="M663" s="479" t="n">
        <f aca="false">SUMIFS(TE!P:P,TE!G:G,$A$426,TE!H:H,A663)</f>
        <v>0</v>
      </c>
      <c r="N663" s="479"/>
      <c r="O663" s="480" t="n">
        <v>16</v>
      </c>
      <c r="P663" s="480"/>
      <c r="Q663" s="481" t="n">
        <f aca="false">ROUNDUP(M663/O663,0)</f>
        <v>0</v>
      </c>
      <c r="R663" s="481"/>
      <c r="S663" s="482" t="n">
        <v>21</v>
      </c>
      <c r="T663" s="482"/>
      <c r="U663" s="482" t="n">
        <f aca="false">Q663*S663</f>
        <v>0</v>
      </c>
      <c r="V663" s="482"/>
      <c r="W663" s="483" t="s">
        <v>1771</v>
      </c>
      <c r="X663" s="483"/>
      <c r="Y663" s="484" t="s">
        <v>2084</v>
      </c>
      <c r="Z663" s="484"/>
      <c r="AA663" s="484"/>
      <c r="AB663" s="484"/>
      <c r="AC663" s="484"/>
      <c r="AD663" s="484"/>
      <c r="AE663" s="484"/>
      <c r="AF663" s="396"/>
    </row>
    <row r="664" customFormat="false" ht="30" hidden="false" customHeight="true" outlineLevel="0" collapsed="false">
      <c r="A664" s="502" t="s">
        <v>2085</v>
      </c>
      <c r="B664" s="502"/>
      <c r="C664" s="502"/>
      <c r="D664" s="503" t="s">
        <v>2086</v>
      </c>
      <c r="E664" s="503"/>
      <c r="F664" s="503"/>
      <c r="G664" s="503"/>
      <c r="H664" s="503"/>
      <c r="I664" s="503"/>
      <c r="J664" s="503"/>
      <c r="K664" s="503"/>
      <c r="L664" s="503"/>
      <c r="M664" s="488" t="n">
        <f aca="false">SUMIFS(TE!P:P,TE!G:G,$A$426,TE!H:H,A664)</f>
        <v>0</v>
      </c>
      <c r="N664" s="488"/>
      <c r="O664" s="489" t="n">
        <v>6</v>
      </c>
      <c r="P664" s="489"/>
      <c r="Q664" s="490" t="n">
        <f aca="false">ROUNDUP(M664/O664,0)</f>
        <v>0</v>
      </c>
      <c r="R664" s="490"/>
      <c r="S664" s="491" t="n">
        <v>13.4</v>
      </c>
      <c r="T664" s="491"/>
      <c r="U664" s="491" t="n">
        <f aca="false">Q664*S664</f>
        <v>0</v>
      </c>
      <c r="V664" s="491"/>
      <c r="W664" s="492" t="s">
        <v>1902</v>
      </c>
      <c r="X664" s="492"/>
      <c r="Y664" s="493" t="s">
        <v>1903</v>
      </c>
      <c r="Z664" s="493"/>
      <c r="AA664" s="493"/>
      <c r="AB664" s="493"/>
      <c r="AC664" s="493"/>
      <c r="AD664" s="493"/>
      <c r="AE664" s="493"/>
      <c r="AF664" s="396"/>
    </row>
    <row r="665" customFormat="false" ht="12.75" hidden="false" customHeight="true" outlineLevel="0" collapsed="false">
      <c r="A665" s="396"/>
      <c r="B665" s="396"/>
      <c r="C665" s="396"/>
      <c r="D665" s="396"/>
      <c r="E665" s="396"/>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c r="AD665" s="396"/>
      <c r="AE665" s="396"/>
      <c r="AF665" s="396"/>
    </row>
    <row r="666" customFormat="false" ht="12.75" hidden="false" customHeight="true" outlineLevel="0" collapsed="false">
      <c r="A666" s="495"/>
      <c r="B666" s="495"/>
      <c r="C666" s="495"/>
      <c r="D666" s="495"/>
      <c r="E666" s="495"/>
      <c r="F666" s="495"/>
      <c r="G666" s="495"/>
      <c r="H666" s="495"/>
      <c r="I666" s="495"/>
      <c r="J666" s="495"/>
      <c r="K666" s="495"/>
      <c r="L666" s="495"/>
      <c r="M666" s="495"/>
      <c r="N666" s="495"/>
      <c r="O666" s="495"/>
      <c r="P666" s="495"/>
      <c r="Q666" s="495"/>
      <c r="R666" s="495"/>
      <c r="S666" s="495"/>
      <c r="T666" s="495"/>
      <c r="U666" s="495"/>
      <c r="V666" s="495"/>
      <c r="W666" s="495"/>
      <c r="X666" s="495"/>
      <c r="Y666" s="495"/>
      <c r="Z666" s="495"/>
      <c r="AA666" s="495"/>
      <c r="AB666" s="453"/>
      <c r="AC666" s="454" t="s">
        <v>1657</v>
      </c>
      <c r="AD666" s="455" t="n">
        <v>23</v>
      </c>
      <c r="AE666" s="455" t="s">
        <v>29</v>
      </c>
      <c r="AF666" s="455" t="n">
        <v>27</v>
      </c>
    </row>
    <row r="667" customFormat="false" ht="12.75" hidden="false" customHeight="true" outlineLevel="0" collapsed="false">
      <c r="A667" s="398" t="s">
        <v>1522</v>
      </c>
      <c r="B667" s="398"/>
      <c r="C667" s="456" t="n">
        <v>14345</v>
      </c>
      <c r="D667" s="456"/>
      <c r="E667" s="456"/>
      <c r="F667" s="456"/>
      <c r="G667" s="456"/>
      <c r="H667" s="456"/>
      <c r="I667" s="456"/>
      <c r="J667" s="456"/>
      <c r="K667" s="456"/>
      <c r="L667" s="456"/>
      <c r="M667" s="398" t="s">
        <v>1523</v>
      </c>
      <c r="N667" s="398"/>
      <c r="O667" s="398"/>
      <c r="P667" s="398"/>
      <c r="Q667" s="398"/>
      <c r="R667" s="456" t="s">
        <v>15</v>
      </c>
      <c r="S667" s="456"/>
      <c r="T667" s="456"/>
      <c r="U667" s="456"/>
      <c r="V667" s="456"/>
      <c r="W667" s="456"/>
      <c r="X667" s="456"/>
      <c r="Y667" s="456"/>
      <c r="Z667" s="456"/>
      <c r="AA667" s="456"/>
      <c r="AB667" s="456"/>
      <c r="AC667" s="456"/>
      <c r="AD667" s="456"/>
      <c r="AE667" s="456"/>
      <c r="AF667" s="456"/>
    </row>
    <row r="668" customFormat="false" ht="12.75" hidden="false" customHeight="true" outlineLevel="0" collapsed="false">
      <c r="A668" s="458"/>
      <c r="B668" s="458"/>
      <c r="C668" s="459"/>
      <c r="D668" s="459"/>
      <c r="E668" s="459"/>
      <c r="F668" s="459"/>
      <c r="G668" s="459"/>
      <c r="H668" s="459"/>
      <c r="I668" s="459"/>
      <c r="J668" s="459"/>
      <c r="K668" s="459"/>
      <c r="L668" s="459"/>
      <c r="M668" s="458"/>
      <c r="N668" s="458"/>
      <c r="O668" s="458"/>
      <c r="P668" s="458"/>
      <c r="Q668" s="458"/>
      <c r="R668" s="459"/>
      <c r="S668" s="459"/>
      <c r="T668" s="459"/>
      <c r="U668" s="459"/>
      <c r="V668" s="459"/>
      <c r="W668" s="459"/>
      <c r="X668" s="459"/>
      <c r="Y668" s="459"/>
      <c r="Z668" s="459"/>
      <c r="AA668" s="459"/>
      <c r="AB668" s="459"/>
      <c r="AC668" s="459"/>
      <c r="AD668" s="459"/>
      <c r="AE668" s="459"/>
      <c r="AF668" s="459"/>
    </row>
    <row r="669" customFormat="false" ht="15.75" hidden="false" customHeight="true" outlineLevel="0" collapsed="false">
      <c r="A669" s="460" t="str">
        <f aca="false">A642</f>
        <v>M28263</v>
      </c>
      <c r="B669" s="460"/>
      <c r="C669" s="460"/>
      <c r="D669" s="461" t="str">
        <f aca="false">D642</f>
        <v>SURGICAL CO A</v>
      </c>
      <c r="E669" s="461"/>
      <c r="F669" s="461"/>
      <c r="G669" s="461"/>
      <c r="H669" s="461"/>
      <c r="I669" s="461"/>
      <c r="J669" s="461"/>
      <c r="K669" s="461"/>
      <c r="L669" s="461"/>
      <c r="M669" s="458"/>
      <c r="N669" s="458"/>
      <c r="O669" s="458"/>
      <c r="P669" s="459"/>
      <c r="Q669" s="458"/>
      <c r="R669" s="459"/>
      <c r="S669" s="459"/>
      <c r="T669" s="459"/>
      <c r="U669" s="459"/>
      <c r="V669" s="459"/>
      <c r="W669" s="459"/>
      <c r="X669" s="459"/>
      <c r="Y669" s="459"/>
      <c r="Z669" s="459"/>
      <c r="AA669" s="459"/>
      <c r="AB669" s="459"/>
      <c r="AC669" s="459"/>
      <c r="AD669" s="459"/>
      <c r="AE669" s="459"/>
      <c r="AF669" s="459"/>
    </row>
    <row r="670" customFormat="false" ht="15.75" hidden="false" customHeight="true" outlineLevel="0" collapsed="false">
      <c r="A670" s="462" t="s">
        <v>1659</v>
      </c>
      <c r="B670" s="462"/>
      <c r="C670" s="462"/>
      <c r="D670" s="463" t="s">
        <v>1660</v>
      </c>
      <c r="E670" s="463"/>
      <c r="F670" s="463"/>
      <c r="G670" s="463"/>
      <c r="H670" s="463"/>
      <c r="I670" s="463"/>
      <c r="J670" s="463"/>
      <c r="K670" s="463"/>
      <c r="L670" s="463"/>
      <c r="M670" s="564" t="s">
        <v>1661</v>
      </c>
      <c r="N670" s="564"/>
      <c r="O670" s="465" t="s">
        <v>1662</v>
      </c>
      <c r="P670" s="465"/>
      <c r="Q670" s="465" t="s">
        <v>1663</v>
      </c>
      <c r="R670" s="465"/>
      <c r="S670" s="466" t="s">
        <v>1664</v>
      </c>
      <c r="T670" s="466"/>
      <c r="U670" s="466" t="s">
        <v>1665</v>
      </c>
      <c r="V670" s="466"/>
      <c r="W670" s="464" t="s">
        <v>1666</v>
      </c>
      <c r="X670" s="464"/>
      <c r="Y670" s="467" t="s">
        <v>1667</v>
      </c>
      <c r="Z670" s="467"/>
      <c r="AA670" s="467"/>
      <c r="AB670" s="467"/>
      <c r="AC670" s="467"/>
      <c r="AD670" s="467"/>
      <c r="AE670" s="467"/>
      <c r="AF670" s="459"/>
    </row>
    <row r="671" customFormat="false" ht="15.75" hidden="false" customHeight="true" outlineLevel="0" collapsed="false">
      <c r="A671" s="462"/>
      <c r="B671" s="462"/>
      <c r="C671" s="462"/>
      <c r="D671" s="463"/>
      <c r="E671" s="463"/>
      <c r="F671" s="463"/>
      <c r="G671" s="463"/>
      <c r="H671" s="463"/>
      <c r="I671" s="463"/>
      <c r="J671" s="463"/>
      <c r="K671" s="463"/>
      <c r="L671" s="463"/>
      <c r="M671" s="564"/>
      <c r="N671" s="564"/>
      <c r="O671" s="465"/>
      <c r="P671" s="465"/>
      <c r="Q671" s="465"/>
      <c r="R671" s="465"/>
      <c r="S671" s="466"/>
      <c r="T671" s="466"/>
      <c r="U671" s="466"/>
      <c r="V671" s="466"/>
      <c r="W671" s="464"/>
      <c r="X671" s="464"/>
      <c r="Y671" s="467"/>
      <c r="Z671" s="467"/>
      <c r="AA671" s="467"/>
      <c r="AB671" s="467"/>
      <c r="AC671" s="467"/>
      <c r="AD671" s="467"/>
      <c r="AE671" s="467"/>
      <c r="AF671" s="459"/>
    </row>
    <row r="672" customFormat="false" ht="30" hidden="false" customHeight="true" outlineLevel="0" collapsed="false">
      <c r="A672" s="462"/>
      <c r="B672" s="462"/>
      <c r="C672" s="462"/>
      <c r="D672" s="463"/>
      <c r="E672" s="463"/>
      <c r="F672" s="463"/>
      <c r="G672" s="463"/>
      <c r="H672" s="463"/>
      <c r="I672" s="463"/>
      <c r="J672" s="463"/>
      <c r="K672" s="463"/>
      <c r="L672" s="463"/>
      <c r="M672" s="564"/>
      <c r="N672" s="564"/>
      <c r="O672" s="465"/>
      <c r="P672" s="465"/>
      <c r="Q672" s="465"/>
      <c r="R672" s="465"/>
      <c r="S672" s="466"/>
      <c r="T672" s="466"/>
      <c r="U672" s="466"/>
      <c r="V672" s="466"/>
      <c r="W672" s="464"/>
      <c r="X672" s="464"/>
      <c r="Y672" s="467"/>
      <c r="Z672" s="467"/>
      <c r="AA672" s="467"/>
      <c r="AB672" s="467"/>
      <c r="AC672" s="467"/>
      <c r="AD672" s="467"/>
      <c r="AE672" s="467"/>
      <c r="AF672" s="468"/>
    </row>
    <row r="673" customFormat="false" ht="30" hidden="false" customHeight="true" outlineLevel="0" collapsed="false">
      <c r="A673" s="504" t="s">
        <v>2087</v>
      </c>
      <c r="B673" s="504"/>
      <c r="C673" s="504"/>
      <c r="D673" s="505" t="s">
        <v>2088</v>
      </c>
      <c r="E673" s="505"/>
      <c r="F673" s="505"/>
      <c r="G673" s="505"/>
      <c r="H673" s="505"/>
      <c r="I673" s="505"/>
      <c r="J673" s="505"/>
      <c r="K673" s="505"/>
      <c r="L673" s="505"/>
      <c r="M673" s="570" t="n">
        <f aca="false">SUMIFS(TE!P:P,TE!G:G,$A$426,TE!H:H,A673)</f>
        <v>0</v>
      </c>
      <c r="N673" s="570"/>
      <c r="O673" s="472" t="n">
        <v>20</v>
      </c>
      <c r="P673" s="472"/>
      <c r="Q673" s="473" t="n">
        <f aca="false">ROUNDUP(M673/O673,0)</f>
        <v>0</v>
      </c>
      <c r="R673" s="473"/>
      <c r="S673" s="474" t="n">
        <v>13.4</v>
      </c>
      <c r="T673" s="474"/>
      <c r="U673" s="474" t="n">
        <f aca="false">Q673*S673</f>
        <v>0</v>
      </c>
      <c r="V673" s="474"/>
      <c r="W673" s="475" t="s">
        <v>1878</v>
      </c>
      <c r="X673" s="475"/>
      <c r="Y673" s="476" t="s">
        <v>1991</v>
      </c>
      <c r="Z673" s="476"/>
      <c r="AA673" s="476"/>
      <c r="AB673" s="476"/>
      <c r="AC673" s="476"/>
      <c r="AD673" s="476"/>
      <c r="AE673" s="476"/>
      <c r="AF673" s="468"/>
    </row>
    <row r="674" customFormat="false" ht="30" hidden="false" customHeight="true" outlineLevel="0" collapsed="false">
      <c r="A674" s="497" t="s">
        <v>2089</v>
      </c>
      <c r="B674" s="497"/>
      <c r="C674" s="497"/>
      <c r="D674" s="498" t="s">
        <v>2090</v>
      </c>
      <c r="E674" s="498"/>
      <c r="F674" s="498"/>
      <c r="G674" s="498"/>
      <c r="H674" s="498"/>
      <c r="I674" s="498"/>
      <c r="J674" s="498"/>
      <c r="K674" s="498"/>
      <c r="L674" s="498"/>
      <c r="M674" s="479" t="n">
        <f aca="false">SUMIFS(TE!P:P,TE!G:G,$A$426,TE!H:H,A674)</f>
        <v>0</v>
      </c>
      <c r="N674" s="479"/>
      <c r="O674" s="480" t="n">
        <v>20</v>
      </c>
      <c r="P674" s="480"/>
      <c r="Q674" s="481" t="n">
        <f aca="false">ROUNDUP(M674/O674,0)</f>
        <v>0</v>
      </c>
      <c r="R674" s="481"/>
      <c r="S674" s="482" t="n">
        <v>13.4</v>
      </c>
      <c r="T674" s="482"/>
      <c r="U674" s="482" t="n">
        <f aca="false">Q674*S674</f>
        <v>0</v>
      </c>
      <c r="V674" s="482"/>
      <c r="W674" s="483" t="s">
        <v>1878</v>
      </c>
      <c r="X674" s="483"/>
      <c r="Y674" s="484" t="s">
        <v>1991</v>
      </c>
      <c r="Z674" s="484"/>
      <c r="AA674" s="484"/>
      <c r="AB674" s="484"/>
      <c r="AC674" s="484"/>
      <c r="AD674" s="484"/>
      <c r="AE674" s="484"/>
      <c r="AF674" s="468"/>
    </row>
    <row r="675" customFormat="false" ht="30" hidden="false" customHeight="true" outlineLevel="0" collapsed="false">
      <c r="A675" s="497" t="s">
        <v>2091</v>
      </c>
      <c r="B675" s="497"/>
      <c r="C675" s="497"/>
      <c r="D675" s="498" t="s">
        <v>2092</v>
      </c>
      <c r="E675" s="498"/>
      <c r="F675" s="498"/>
      <c r="G675" s="498"/>
      <c r="H675" s="498"/>
      <c r="I675" s="498"/>
      <c r="J675" s="498"/>
      <c r="K675" s="498"/>
      <c r="L675" s="498"/>
      <c r="M675" s="479" t="n">
        <f aca="false">SUMIFS(TE!P:P,TE!G:G,$A$426,TE!H:H,A675)</f>
        <v>0</v>
      </c>
      <c r="N675" s="479"/>
      <c r="O675" s="480" t="n">
        <v>20</v>
      </c>
      <c r="P675" s="480"/>
      <c r="Q675" s="481" t="n">
        <f aca="false">ROUNDUP(M675/O675,0)</f>
        <v>0</v>
      </c>
      <c r="R675" s="481"/>
      <c r="S675" s="482" t="n">
        <v>13.4</v>
      </c>
      <c r="T675" s="482"/>
      <c r="U675" s="482" t="n">
        <f aca="false">Q675*S675</f>
        <v>0</v>
      </c>
      <c r="V675" s="482"/>
      <c r="W675" s="483" t="s">
        <v>1878</v>
      </c>
      <c r="X675" s="483"/>
      <c r="Y675" s="484" t="s">
        <v>1991</v>
      </c>
      <c r="Z675" s="484"/>
      <c r="AA675" s="484"/>
      <c r="AB675" s="484"/>
      <c r="AC675" s="484"/>
      <c r="AD675" s="484"/>
      <c r="AE675" s="484"/>
      <c r="AF675" s="468"/>
    </row>
    <row r="676" customFormat="false" ht="30" hidden="false" customHeight="true" outlineLevel="0" collapsed="false">
      <c r="A676" s="477" t="s">
        <v>2093</v>
      </c>
      <c r="B676" s="477"/>
      <c r="C676" s="477"/>
      <c r="D676" s="478" t="s">
        <v>2094</v>
      </c>
      <c r="E676" s="478"/>
      <c r="F676" s="478"/>
      <c r="G676" s="478"/>
      <c r="H676" s="478"/>
      <c r="I676" s="478"/>
      <c r="J676" s="478"/>
      <c r="K676" s="478"/>
      <c r="L676" s="478"/>
      <c r="M676" s="479" t="n">
        <f aca="false">SUMIFS(TE!P:P,TE!G:G,$A$426,TE!H:H,A676)</f>
        <v>0</v>
      </c>
      <c r="N676" s="479"/>
      <c r="O676" s="485" t="s">
        <v>1678</v>
      </c>
      <c r="P676" s="485"/>
      <c r="Q676" s="485" t="s">
        <v>1678</v>
      </c>
      <c r="R676" s="485"/>
      <c r="S676" s="485" t="s">
        <v>1678</v>
      </c>
      <c r="T676" s="485"/>
      <c r="U676" s="485" t="s">
        <v>1678</v>
      </c>
      <c r="V676" s="485"/>
      <c r="W676" s="483" t="s">
        <v>1810</v>
      </c>
      <c r="X676" s="483"/>
      <c r="Y676" s="484" t="s">
        <v>2095</v>
      </c>
      <c r="Z676" s="484"/>
      <c r="AA676" s="484"/>
      <c r="AB676" s="484"/>
      <c r="AC676" s="484"/>
      <c r="AD676" s="484"/>
      <c r="AE676" s="484"/>
      <c r="AF676" s="468"/>
    </row>
    <row r="677" customFormat="false" ht="30" hidden="false" customHeight="true" outlineLevel="0" collapsed="false">
      <c r="A677" s="477" t="s">
        <v>2096</v>
      </c>
      <c r="B677" s="477"/>
      <c r="C677" s="477"/>
      <c r="D677" s="478" t="s">
        <v>2097</v>
      </c>
      <c r="E677" s="478"/>
      <c r="F677" s="478"/>
      <c r="G677" s="478"/>
      <c r="H677" s="478"/>
      <c r="I677" s="478"/>
      <c r="J677" s="478"/>
      <c r="K677" s="478"/>
      <c r="L677" s="478"/>
      <c r="M677" s="479" t="n">
        <f aca="false">SUMIFS(TE!P:P,TE!G:G,$A$426,TE!H:H,A677)</f>
        <v>0</v>
      </c>
      <c r="N677" s="479"/>
      <c r="O677" s="485" t="s">
        <v>1678</v>
      </c>
      <c r="P677" s="485"/>
      <c r="Q677" s="485" t="s">
        <v>1678</v>
      </c>
      <c r="R677" s="485"/>
      <c r="S677" s="485" t="s">
        <v>1678</v>
      </c>
      <c r="T677" s="485"/>
      <c r="U677" s="485" t="s">
        <v>1678</v>
      </c>
      <c r="V677" s="485"/>
      <c r="W677" s="483" t="s">
        <v>1810</v>
      </c>
      <c r="X677" s="483"/>
      <c r="Y677" s="484" t="s">
        <v>2036</v>
      </c>
      <c r="Z677" s="484"/>
      <c r="AA677" s="484"/>
      <c r="AB677" s="484"/>
      <c r="AC677" s="484"/>
      <c r="AD677" s="484"/>
      <c r="AE677" s="484"/>
      <c r="AF677" s="468"/>
    </row>
    <row r="678" customFormat="false" ht="30" hidden="false" customHeight="true" outlineLevel="0" collapsed="false">
      <c r="A678" s="477" t="s">
        <v>2098</v>
      </c>
      <c r="B678" s="477"/>
      <c r="C678" s="477"/>
      <c r="D678" s="478" t="s">
        <v>2099</v>
      </c>
      <c r="E678" s="478"/>
      <c r="F678" s="478"/>
      <c r="G678" s="478"/>
      <c r="H678" s="478"/>
      <c r="I678" s="478"/>
      <c r="J678" s="478"/>
      <c r="K678" s="478"/>
      <c r="L678" s="478"/>
      <c r="M678" s="479" t="n">
        <f aca="false">SUMIFS(TE!P:P,TE!G:G,$A$426,TE!H:H,A678)</f>
        <v>2</v>
      </c>
      <c r="N678" s="479"/>
      <c r="O678" s="480" t="n">
        <v>100</v>
      </c>
      <c r="P678" s="480"/>
      <c r="Q678" s="481" t="n">
        <f aca="false">M678/O678</f>
        <v>0.02</v>
      </c>
      <c r="R678" s="481"/>
      <c r="S678" s="482" t="n">
        <v>13.4</v>
      </c>
      <c r="T678" s="482"/>
      <c r="U678" s="482" t="n">
        <f aca="false">Q678*S678</f>
        <v>0.268</v>
      </c>
      <c r="V678" s="482"/>
      <c r="W678" s="483" t="s">
        <v>1670</v>
      </c>
      <c r="X678" s="483"/>
      <c r="Y678" s="484" t="s">
        <v>1671</v>
      </c>
      <c r="Z678" s="484"/>
      <c r="AA678" s="484"/>
      <c r="AB678" s="484"/>
      <c r="AC678" s="484"/>
      <c r="AD678" s="484"/>
      <c r="AE678" s="484"/>
      <c r="AF678" s="468"/>
    </row>
    <row r="679" customFormat="false" ht="30" hidden="false" customHeight="true" outlineLevel="0" collapsed="false">
      <c r="A679" s="477" t="s">
        <v>2100</v>
      </c>
      <c r="B679" s="477"/>
      <c r="C679" s="477"/>
      <c r="D679" s="478" t="s">
        <v>2101</v>
      </c>
      <c r="E679" s="478"/>
      <c r="F679" s="478"/>
      <c r="G679" s="478"/>
      <c r="H679" s="478"/>
      <c r="I679" s="478"/>
      <c r="J679" s="478"/>
      <c r="K679" s="478"/>
      <c r="L679" s="478"/>
      <c r="M679" s="479" t="n">
        <f aca="false">SUMIFS(TE!P:P,TE!G:G,$A$426,TE!H:H,A679)</f>
        <v>0</v>
      </c>
      <c r="N679" s="479"/>
      <c r="O679" s="480" t="n">
        <v>72</v>
      </c>
      <c r="P679" s="480"/>
      <c r="Q679" s="481" t="n">
        <f aca="false">M679/O679</f>
        <v>0</v>
      </c>
      <c r="R679" s="481"/>
      <c r="S679" s="482" t="n">
        <v>13.4</v>
      </c>
      <c r="T679" s="482"/>
      <c r="U679" s="482" t="n">
        <f aca="false">Q679*S679</f>
        <v>0</v>
      </c>
      <c r="V679" s="482"/>
      <c r="W679" s="483" t="s">
        <v>1670</v>
      </c>
      <c r="X679" s="483"/>
      <c r="Y679" s="484" t="s">
        <v>1671</v>
      </c>
      <c r="Z679" s="484"/>
      <c r="AA679" s="484"/>
      <c r="AB679" s="484"/>
      <c r="AC679" s="484"/>
      <c r="AD679" s="484"/>
      <c r="AE679" s="484"/>
      <c r="AF679" s="468"/>
    </row>
    <row r="680" customFormat="false" ht="30" hidden="false" customHeight="true" outlineLevel="0" collapsed="false">
      <c r="A680" s="477" t="s">
        <v>2102</v>
      </c>
      <c r="B680" s="477"/>
      <c r="C680" s="477"/>
      <c r="D680" s="478" t="s">
        <v>2103</v>
      </c>
      <c r="E680" s="478"/>
      <c r="F680" s="478"/>
      <c r="G680" s="478"/>
      <c r="H680" s="478"/>
      <c r="I680" s="478"/>
      <c r="J680" s="478"/>
      <c r="K680" s="478"/>
      <c r="L680" s="478"/>
      <c r="M680" s="479" t="n">
        <f aca="false">SUMIFS(TE!P:P,TE!G:G,$A$426,TE!H:H,A680)</f>
        <v>3</v>
      </c>
      <c r="N680" s="479"/>
      <c r="O680" s="480" t="n">
        <v>4</v>
      </c>
      <c r="P680" s="480"/>
      <c r="Q680" s="481" t="n">
        <f aca="false">ROUNDUP(M680/O680,0)</f>
        <v>1</v>
      </c>
      <c r="R680" s="481"/>
      <c r="S680" s="482" t="n">
        <v>15.9</v>
      </c>
      <c r="T680" s="482"/>
      <c r="U680" s="482" t="s">
        <v>2104</v>
      </c>
      <c r="V680" s="482"/>
      <c r="W680" s="483" t="s">
        <v>2105</v>
      </c>
      <c r="X680" s="483"/>
      <c r="Y680" s="484" t="s">
        <v>2106</v>
      </c>
      <c r="Z680" s="484"/>
      <c r="AA680" s="484"/>
      <c r="AB680" s="484"/>
      <c r="AC680" s="484"/>
      <c r="AD680" s="484"/>
      <c r="AE680" s="484"/>
      <c r="AF680" s="468"/>
    </row>
    <row r="681" customFormat="false" ht="30" hidden="false" customHeight="true" outlineLevel="0" collapsed="false">
      <c r="A681" s="477" t="s">
        <v>2107</v>
      </c>
      <c r="B681" s="477"/>
      <c r="C681" s="477"/>
      <c r="D681" s="478" t="s">
        <v>2108</v>
      </c>
      <c r="E681" s="478"/>
      <c r="F681" s="478"/>
      <c r="G681" s="478"/>
      <c r="H681" s="478"/>
      <c r="I681" s="478"/>
      <c r="J681" s="478"/>
      <c r="K681" s="478"/>
      <c r="L681" s="478"/>
      <c r="M681" s="479" t="n">
        <f aca="false">SUMIFS(TE!P:P,TE!G:G,$A$426,TE!H:H,A681)</f>
        <v>12</v>
      </c>
      <c r="N681" s="479"/>
      <c r="O681" s="480" t="n">
        <v>500</v>
      </c>
      <c r="P681" s="480"/>
      <c r="Q681" s="481" t="n">
        <f aca="false">M681/O681</f>
        <v>0.024</v>
      </c>
      <c r="R681" s="481"/>
      <c r="S681" s="482" t="n">
        <v>13.4</v>
      </c>
      <c r="T681" s="482"/>
      <c r="U681" s="482" t="n">
        <f aca="false">Q681*S681</f>
        <v>0.3216</v>
      </c>
      <c r="V681" s="482"/>
      <c r="W681" s="483" t="s">
        <v>1670</v>
      </c>
      <c r="X681" s="483"/>
      <c r="Y681" s="484" t="s">
        <v>1671</v>
      </c>
      <c r="Z681" s="484"/>
      <c r="AA681" s="484"/>
      <c r="AB681" s="484"/>
      <c r="AC681" s="484"/>
      <c r="AD681" s="484"/>
      <c r="AE681" s="484"/>
      <c r="AF681" s="468"/>
    </row>
    <row r="682" customFormat="false" ht="30" hidden="false" customHeight="true" outlineLevel="0" collapsed="false">
      <c r="A682" s="477" t="s">
        <v>2109</v>
      </c>
      <c r="B682" s="477"/>
      <c r="C682" s="477"/>
      <c r="D682" s="478" t="s">
        <v>2110</v>
      </c>
      <c r="E682" s="478"/>
      <c r="F682" s="478"/>
      <c r="G682" s="478"/>
      <c r="H682" s="478"/>
      <c r="I682" s="478"/>
      <c r="J682" s="478"/>
      <c r="K682" s="478"/>
      <c r="L682" s="478"/>
      <c r="M682" s="479" t="n">
        <f aca="false">SUMIFS(TE!P:P,TE!G:G,$A$426,TE!H:H,A682)</f>
        <v>0</v>
      </c>
      <c r="N682" s="479"/>
      <c r="O682" s="485" t="s">
        <v>1678</v>
      </c>
      <c r="P682" s="485"/>
      <c r="Q682" s="485" t="s">
        <v>1678</v>
      </c>
      <c r="R682" s="485"/>
      <c r="S682" s="485" t="s">
        <v>1678</v>
      </c>
      <c r="T682" s="485"/>
      <c r="U682" s="485" t="s">
        <v>1678</v>
      </c>
      <c r="V682" s="485"/>
      <c r="W682" s="483" t="s">
        <v>1679</v>
      </c>
      <c r="X682" s="483"/>
      <c r="Y682" s="484" t="s">
        <v>2111</v>
      </c>
      <c r="Z682" s="484"/>
      <c r="AA682" s="484"/>
      <c r="AB682" s="484"/>
      <c r="AC682" s="484"/>
      <c r="AD682" s="484"/>
      <c r="AE682" s="484"/>
      <c r="AF682" s="468"/>
    </row>
    <row r="683" customFormat="false" ht="30" hidden="false" customHeight="true" outlineLevel="0" collapsed="false">
      <c r="A683" s="477" t="s">
        <v>2112</v>
      </c>
      <c r="B683" s="477"/>
      <c r="C683" s="477"/>
      <c r="D683" s="478" t="s">
        <v>2113</v>
      </c>
      <c r="E683" s="478"/>
      <c r="F683" s="478"/>
      <c r="G683" s="478"/>
      <c r="H683" s="478"/>
      <c r="I683" s="478"/>
      <c r="J683" s="478"/>
      <c r="K683" s="478"/>
      <c r="L683" s="478"/>
      <c r="M683" s="479" t="n">
        <f aca="false">SUMIFS(TE!P:P,TE!G:G,$A$426,TE!H:H,A683)</f>
        <v>0</v>
      </c>
      <c r="N683" s="479"/>
      <c r="O683" s="480" t="n">
        <v>4</v>
      </c>
      <c r="P683" s="480"/>
      <c r="Q683" s="481" t="n">
        <f aca="false">ROUNDUP(M683/O683,0)</f>
        <v>0</v>
      </c>
      <c r="R683" s="481"/>
      <c r="S683" s="482" t="n">
        <v>20</v>
      </c>
      <c r="T683" s="482"/>
      <c r="U683" s="482" t="n">
        <f aca="false">Q683*S683</f>
        <v>0</v>
      </c>
      <c r="V683" s="482"/>
      <c r="W683" s="483" t="s">
        <v>1841</v>
      </c>
      <c r="X683" s="483"/>
      <c r="Y683" s="484" t="s">
        <v>1842</v>
      </c>
      <c r="Z683" s="484"/>
      <c r="AA683" s="484"/>
      <c r="AB683" s="484"/>
      <c r="AC683" s="484"/>
      <c r="AD683" s="484"/>
      <c r="AE683" s="484"/>
      <c r="AF683" s="396"/>
    </row>
    <row r="684" customFormat="false" ht="30" hidden="false" customHeight="true" outlineLevel="0" collapsed="false">
      <c r="A684" s="477" t="s">
        <v>2114</v>
      </c>
      <c r="B684" s="477"/>
      <c r="C684" s="477"/>
      <c r="D684" s="478" t="s">
        <v>1725</v>
      </c>
      <c r="E684" s="478"/>
      <c r="F684" s="478"/>
      <c r="G684" s="478"/>
      <c r="H684" s="478"/>
      <c r="I684" s="478"/>
      <c r="J684" s="478"/>
      <c r="K684" s="478"/>
      <c r="L684" s="478"/>
      <c r="M684" s="479" t="n">
        <f aca="false">SUMIFS(TE!P:P,TE!G:G,$A$426,TE!H:H,A684)</f>
        <v>0</v>
      </c>
      <c r="N684" s="479"/>
      <c r="O684" s="480" t="n">
        <v>100</v>
      </c>
      <c r="P684" s="480"/>
      <c r="Q684" s="481" t="n">
        <f aca="false">M684/O684</f>
        <v>0</v>
      </c>
      <c r="R684" s="481"/>
      <c r="S684" s="482" t="n">
        <v>13.4</v>
      </c>
      <c r="T684" s="482"/>
      <c r="U684" s="482" t="n">
        <f aca="false">Q684*S684</f>
        <v>0</v>
      </c>
      <c r="V684" s="482"/>
      <c r="W684" s="483" t="s">
        <v>1670</v>
      </c>
      <c r="X684" s="483"/>
      <c r="Y684" s="484" t="s">
        <v>1671</v>
      </c>
      <c r="Z684" s="484"/>
      <c r="AA684" s="484"/>
      <c r="AB684" s="484"/>
      <c r="AC684" s="484"/>
      <c r="AD684" s="484"/>
      <c r="AE684" s="484"/>
      <c r="AF684" s="396"/>
    </row>
    <row r="685" customFormat="false" ht="39.75" hidden="false" customHeight="true" outlineLevel="0" collapsed="false">
      <c r="A685" s="477" t="s">
        <v>2115</v>
      </c>
      <c r="B685" s="477"/>
      <c r="C685" s="477"/>
      <c r="D685" s="478" t="s">
        <v>2116</v>
      </c>
      <c r="E685" s="478"/>
      <c r="F685" s="478"/>
      <c r="G685" s="478"/>
      <c r="H685" s="478"/>
      <c r="I685" s="478"/>
      <c r="J685" s="478"/>
      <c r="K685" s="478"/>
      <c r="L685" s="478"/>
      <c r="M685" s="479" t="n">
        <f aca="false">SUMIFS(TE!P:P,TE!G:G,$A$426,TE!H:H,A685)</f>
        <v>0</v>
      </c>
      <c r="N685" s="479"/>
      <c r="O685" s="480" t="n">
        <v>5</v>
      </c>
      <c r="P685" s="480"/>
      <c r="Q685" s="481" t="n">
        <f aca="false">ROUNDUP(M685/O685,0)</f>
        <v>0</v>
      </c>
      <c r="R685" s="481"/>
      <c r="S685" s="482" t="n">
        <v>12</v>
      </c>
      <c r="T685" s="482"/>
      <c r="U685" s="482" t="n">
        <f aca="false">Q685*S685</f>
        <v>0</v>
      </c>
      <c r="V685" s="482"/>
      <c r="W685" s="483" t="s">
        <v>1878</v>
      </c>
      <c r="X685" s="483"/>
      <c r="Y685" s="484" t="s">
        <v>1879</v>
      </c>
      <c r="Z685" s="484"/>
      <c r="AA685" s="484"/>
      <c r="AB685" s="484"/>
      <c r="AC685" s="484"/>
      <c r="AD685" s="484"/>
      <c r="AE685" s="484"/>
      <c r="AF685" s="396"/>
    </row>
    <row r="686" customFormat="false" ht="30" hidden="false" customHeight="true" outlineLevel="0" collapsed="false">
      <c r="A686" s="477"/>
      <c r="B686" s="477"/>
      <c r="C686" s="477"/>
      <c r="D686" s="498" t="s">
        <v>2117</v>
      </c>
      <c r="E686" s="498"/>
      <c r="F686" s="498"/>
      <c r="G686" s="498"/>
      <c r="H686" s="498"/>
      <c r="I686" s="498"/>
      <c r="J686" s="498"/>
      <c r="K686" s="498"/>
      <c r="L686" s="498"/>
      <c r="M686" s="479" t="n">
        <f aca="false">SUMIFS(TE!P:P,TE!G:G,$A$426,TE!H:H,A686)</f>
        <v>0</v>
      </c>
      <c r="N686" s="479"/>
      <c r="O686" s="480" t="n">
        <v>2</v>
      </c>
      <c r="P686" s="480"/>
      <c r="Q686" s="481" t="n">
        <f aca="false">ROUNDUP(M686/O686,0)</f>
        <v>0</v>
      </c>
      <c r="R686" s="481"/>
      <c r="S686" s="482" t="n">
        <v>36</v>
      </c>
      <c r="T686" s="482"/>
      <c r="U686" s="482" t="n">
        <f aca="false">Q686*S686</f>
        <v>0</v>
      </c>
      <c r="V686" s="482"/>
      <c r="W686" s="483" t="s">
        <v>2118</v>
      </c>
      <c r="X686" s="483"/>
      <c r="Y686" s="484" t="s">
        <v>2119</v>
      </c>
      <c r="Z686" s="484"/>
      <c r="AA686" s="484"/>
      <c r="AB686" s="484"/>
      <c r="AC686" s="484"/>
      <c r="AD686" s="484"/>
      <c r="AE686" s="484"/>
      <c r="AF686" s="396"/>
    </row>
    <row r="687" customFormat="false" ht="30" hidden="false" customHeight="true" outlineLevel="0" collapsed="false">
      <c r="A687" s="477"/>
      <c r="B687" s="477"/>
      <c r="C687" s="477"/>
      <c r="D687" s="498" t="s">
        <v>2120</v>
      </c>
      <c r="E687" s="498"/>
      <c r="F687" s="498"/>
      <c r="G687" s="498"/>
      <c r="H687" s="498"/>
      <c r="I687" s="498"/>
      <c r="J687" s="498"/>
      <c r="K687" s="498"/>
      <c r="L687" s="498"/>
      <c r="M687" s="479" t="n">
        <f aca="false">SUMIFS(TE!P:P,TE!G:G,$A$426,TE!H:H,A687)</f>
        <v>0</v>
      </c>
      <c r="N687" s="479"/>
      <c r="O687" s="480" t="n">
        <v>4</v>
      </c>
      <c r="P687" s="480"/>
      <c r="Q687" s="481" t="n">
        <f aca="false">ROUNDUP(M687/O687,0)</f>
        <v>0</v>
      </c>
      <c r="R687" s="481"/>
      <c r="S687" s="482" t="n">
        <v>36</v>
      </c>
      <c r="T687" s="482"/>
      <c r="U687" s="482" t="n">
        <f aca="false">Q687*S687</f>
        <v>0</v>
      </c>
      <c r="V687" s="482"/>
      <c r="W687" s="483" t="s">
        <v>2118</v>
      </c>
      <c r="X687" s="483"/>
      <c r="Y687" s="484" t="s">
        <v>2119</v>
      </c>
      <c r="Z687" s="484"/>
      <c r="AA687" s="484"/>
      <c r="AB687" s="484"/>
      <c r="AC687" s="484"/>
      <c r="AD687" s="484"/>
      <c r="AE687" s="484"/>
      <c r="AF687" s="396"/>
    </row>
    <row r="688" customFormat="false" ht="30" hidden="false" customHeight="true" outlineLevel="0" collapsed="false">
      <c r="A688" s="477"/>
      <c r="B688" s="477"/>
      <c r="C688" s="477"/>
      <c r="D688" s="498" t="s">
        <v>2121</v>
      </c>
      <c r="E688" s="498"/>
      <c r="F688" s="498"/>
      <c r="G688" s="498"/>
      <c r="H688" s="498"/>
      <c r="I688" s="498"/>
      <c r="J688" s="498"/>
      <c r="K688" s="498"/>
      <c r="L688" s="498"/>
      <c r="M688" s="479" t="n">
        <f aca="false">SUMIFS(TE!P:P,TE!G:G,$A$426,TE!H:H,A688)</f>
        <v>0</v>
      </c>
      <c r="N688" s="479"/>
      <c r="O688" s="480" t="n">
        <v>2</v>
      </c>
      <c r="P688" s="480"/>
      <c r="Q688" s="481" t="n">
        <f aca="false">ROUNDUP(M688/O688,0)</f>
        <v>0</v>
      </c>
      <c r="R688" s="481"/>
      <c r="S688" s="482" t="n">
        <v>36</v>
      </c>
      <c r="T688" s="482"/>
      <c r="U688" s="482" t="n">
        <f aca="false">Q688*S688</f>
        <v>0</v>
      </c>
      <c r="V688" s="482"/>
      <c r="W688" s="483" t="s">
        <v>2118</v>
      </c>
      <c r="X688" s="483"/>
      <c r="Y688" s="484" t="s">
        <v>2119</v>
      </c>
      <c r="Z688" s="484"/>
      <c r="AA688" s="484"/>
      <c r="AB688" s="484"/>
      <c r="AC688" s="484"/>
      <c r="AD688" s="484"/>
      <c r="AE688" s="484"/>
      <c r="AF688" s="396"/>
    </row>
    <row r="689" customFormat="false" ht="30" hidden="false" customHeight="true" outlineLevel="0" collapsed="false">
      <c r="A689" s="477"/>
      <c r="B689" s="477"/>
      <c r="C689" s="477"/>
      <c r="D689" s="498" t="s">
        <v>2122</v>
      </c>
      <c r="E689" s="498"/>
      <c r="F689" s="498"/>
      <c r="G689" s="498"/>
      <c r="H689" s="498"/>
      <c r="I689" s="498"/>
      <c r="J689" s="498"/>
      <c r="K689" s="498"/>
      <c r="L689" s="498"/>
      <c r="M689" s="479" t="n">
        <f aca="false">SUMIFS(TE!P:P,TE!G:G,$A$426,TE!H:H,A689)</f>
        <v>0</v>
      </c>
      <c r="N689" s="479"/>
      <c r="O689" s="480" t="n">
        <v>112</v>
      </c>
      <c r="P689" s="480"/>
      <c r="Q689" s="481" t="n">
        <f aca="false">ROUNDUP(M689/O689,0)</f>
        <v>0</v>
      </c>
      <c r="R689" s="481"/>
      <c r="S689" s="482" t="n">
        <v>13.4</v>
      </c>
      <c r="T689" s="482"/>
      <c r="U689" s="482" t="n">
        <f aca="false">Q689*S689</f>
        <v>0</v>
      </c>
      <c r="V689" s="482"/>
      <c r="W689" s="483" t="s">
        <v>1670</v>
      </c>
      <c r="X689" s="483"/>
      <c r="Y689" s="484" t="s">
        <v>1671</v>
      </c>
      <c r="Z689" s="484"/>
      <c r="AA689" s="484"/>
      <c r="AB689" s="484"/>
      <c r="AC689" s="484"/>
      <c r="AD689" s="484"/>
      <c r="AE689" s="484"/>
      <c r="AF689" s="396"/>
    </row>
    <row r="690" customFormat="false" ht="30" hidden="false" customHeight="true" outlineLevel="0" collapsed="false">
      <c r="A690" s="477"/>
      <c r="B690" s="477"/>
      <c r="C690" s="477"/>
      <c r="D690" s="498" t="s">
        <v>2123</v>
      </c>
      <c r="E690" s="498"/>
      <c r="F690" s="498"/>
      <c r="G690" s="498"/>
      <c r="H690" s="498"/>
      <c r="I690" s="498"/>
      <c r="J690" s="498"/>
      <c r="K690" s="498"/>
      <c r="L690" s="498"/>
      <c r="M690" s="479" t="n">
        <f aca="false">SUMIFS(TE!P:P,TE!G:G,$A$426,TE!H:H,A690)</f>
        <v>0</v>
      </c>
      <c r="N690" s="479"/>
      <c r="O690" s="480" t="n">
        <v>112</v>
      </c>
      <c r="P690" s="480"/>
      <c r="Q690" s="481" t="n">
        <f aca="false">ROUNDUP(M690/O690,0)</f>
        <v>0</v>
      </c>
      <c r="R690" s="481"/>
      <c r="S690" s="482" t="n">
        <v>13.4</v>
      </c>
      <c r="T690" s="482"/>
      <c r="U690" s="482" t="n">
        <f aca="false">Q690*S690</f>
        <v>0</v>
      </c>
      <c r="V690" s="482"/>
      <c r="W690" s="483" t="s">
        <v>1670</v>
      </c>
      <c r="X690" s="483"/>
      <c r="Y690" s="484" t="s">
        <v>1671</v>
      </c>
      <c r="Z690" s="484"/>
      <c r="AA690" s="484"/>
      <c r="AB690" s="484"/>
      <c r="AC690" s="484"/>
      <c r="AD690" s="484"/>
      <c r="AE690" s="484"/>
      <c r="AF690" s="396"/>
    </row>
    <row r="691" customFormat="false" ht="30" hidden="false" customHeight="true" outlineLevel="0" collapsed="false">
      <c r="A691" s="486"/>
      <c r="B691" s="486"/>
      <c r="C691" s="486"/>
      <c r="D691" s="503" t="s">
        <v>2124</v>
      </c>
      <c r="E691" s="503"/>
      <c r="F691" s="503"/>
      <c r="G691" s="503"/>
      <c r="H691" s="503"/>
      <c r="I691" s="503"/>
      <c r="J691" s="503"/>
      <c r="K691" s="503"/>
      <c r="L691" s="503"/>
      <c r="M691" s="488" t="n">
        <f aca="false">SUMIFS(TE!P:P,TE!G:G,$A$426,TE!H:H,A691)</f>
        <v>0</v>
      </c>
      <c r="N691" s="488"/>
      <c r="O691" s="489" t="n">
        <v>112</v>
      </c>
      <c r="P691" s="489"/>
      <c r="Q691" s="490" t="n">
        <f aca="false">ROUNDUP(M691/O691,0)</f>
        <v>0</v>
      </c>
      <c r="R691" s="490"/>
      <c r="S691" s="491" t="n">
        <v>13.4</v>
      </c>
      <c r="T691" s="491"/>
      <c r="U691" s="491" t="n">
        <f aca="false">Q691*S691</f>
        <v>0</v>
      </c>
      <c r="V691" s="491"/>
      <c r="W691" s="492" t="s">
        <v>1670</v>
      </c>
      <c r="X691" s="492"/>
      <c r="Y691" s="493" t="s">
        <v>1671</v>
      </c>
      <c r="Z691" s="493"/>
      <c r="AA691" s="493"/>
      <c r="AB691" s="493"/>
      <c r="AC691" s="493"/>
      <c r="AD691" s="493"/>
      <c r="AE691" s="493"/>
      <c r="AF691" s="396"/>
    </row>
    <row r="692" customFormat="false" ht="12.75" hidden="false" customHeight="true" outlineLevel="0" collapsed="false">
      <c r="A692" s="396"/>
      <c r="B692" s="396"/>
      <c r="C692" s="396"/>
      <c r="D692" s="396"/>
      <c r="E692" s="396"/>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c r="AD692" s="396"/>
      <c r="AE692" s="396"/>
      <c r="AF692" s="396"/>
    </row>
    <row r="693" customFormat="false" ht="12.75" hidden="false" customHeight="true" outlineLevel="0" collapsed="false">
      <c r="A693" s="495"/>
      <c r="B693" s="495"/>
      <c r="C693" s="495"/>
      <c r="D693" s="495"/>
      <c r="E693" s="495"/>
      <c r="F693" s="495"/>
      <c r="G693" s="495"/>
      <c r="H693" s="495"/>
      <c r="I693" s="495"/>
      <c r="J693" s="495"/>
      <c r="K693" s="495"/>
      <c r="L693" s="495"/>
      <c r="M693" s="495"/>
      <c r="N693" s="495"/>
      <c r="O693" s="495"/>
      <c r="P693" s="495"/>
      <c r="Q693" s="495"/>
      <c r="R693" s="495"/>
      <c r="S693" s="495"/>
      <c r="T693" s="495"/>
      <c r="U693" s="495"/>
      <c r="V693" s="495"/>
      <c r="W693" s="495"/>
      <c r="X693" s="495"/>
      <c r="Y693" s="495"/>
      <c r="Z693" s="495"/>
      <c r="AA693" s="495"/>
      <c r="AB693" s="453"/>
      <c r="AC693" s="454" t="s">
        <v>1657</v>
      </c>
      <c r="AD693" s="455" t="n">
        <v>24</v>
      </c>
      <c r="AE693" s="455" t="s">
        <v>29</v>
      </c>
      <c r="AF693" s="455" t="n">
        <v>27</v>
      </c>
    </row>
    <row r="694" customFormat="false" ht="12.75" hidden="false" customHeight="true" outlineLevel="0" collapsed="false">
      <c r="A694" s="398" t="s">
        <v>1522</v>
      </c>
      <c r="B694" s="398"/>
      <c r="C694" s="456" t="n">
        <v>14345</v>
      </c>
      <c r="D694" s="456"/>
      <c r="E694" s="456"/>
      <c r="F694" s="456"/>
      <c r="G694" s="456"/>
      <c r="H694" s="456"/>
      <c r="I694" s="456"/>
      <c r="J694" s="456"/>
      <c r="K694" s="456"/>
      <c r="L694" s="456"/>
      <c r="M694" s="398" t="s">
        <v>1523</v>
      </c>
      <c r="N694" s="398"/>
      <c r="O694" s="398"/>
      <c r="P694" s="398"/>
      <c r="Q694" s="398"/>
      <c r="R694" s="456" t="s">
        <v>15</v>
      </c>
      <c r="S694" s="456"/>
      <c r="T694" s="456"/>
      <c r="U694" s="456"/>
      <c r="V694" s="456"/>
      <c r="W694" s="456"/>
      <c r="X694" s="456"/>
      <c r="Y694" s="456"/>
      <c r="Z694" s="456"/>
      <c r="AA694" s="456"/>
      <c r="AB694" s="456"/>
      <c r="AC694" s="456"/>
      <c r="AD694" s="456"/>
      <c r="AE694" s="456"/>
      <c r="AF694" s="456"/>
    </row>
    <row r="695" customFormat="false" ht="12.75" hidden="false" customHeight="true" outlineLevel="0" collapsed="false">
      <c r="A695" s="458"/>
      <c r="B695" s="458"/>
      <c r="C695" s="459"/>
      <c r="D695" s="459"/>
      <c r="E695" s="459"/>
      <c r="F695" s="459"/>
      <c r="G695" s="459"/>
      <c r="H695" s="459"/>
      <c r="I695" s="459"/>
      <c r="J695" s="459"/>
      <c r="K695" s="459"/>
      <c r="L695" s="459"/>
      <c r="M695" s="458"/>
      <c r="N695" s="458"/>
      <c r="O695" s="458"/>
      <c r="P695" s="458"/>
      <c r="Q695" s="458"/>
      <c r="R695" s="459"/>
      <c r="S695" s="459"/>
      <c r="T695" s="459"/>
      <c r="U695" s="459"/>
      <c r="V695" s="459"/>
      <c r="W695" s="459"/>
      <c r="X695" s="459"/>
      <c r="Y695" s="459"/>
      <c r="Z695" s="459"/>
      <c r="AA695" s="459"/>
      <c r="AB695" s="459"/>
      <c r="AC695" s="459"/>
      <c r="AD695" s="459"/>
      <c r="AE695" s="459"/>
      <c r="AF695" s="459"/>
    </row>
    <row r="696" customFormat="false" ht="15.75" hidden="false" customHeight="true" outlineLevel="0" collapsed="false">
      <c r="A696" s="460" t="str">
        <f aca="false">A669</f>
        <v>M28263</v>
      </c>
      <c r="B696" s="460"/>
      <c r="C696" s="460"/>
      <c r="D696" s="461" t="str">
        <f aca="false">D669</f>
        <v>SURGICAL CO A</v>
      </c>
      <c r="E696" s="461"/>
      <c r="F696" s="461"/>
      <c r="G696" s="461"/>
      <c r="H696" s="461"/>
      <c r="I696" s="461"/>
      <c r="J696" s="461"/>
      <c r="K696" s="461"/>
      <c r="L696" s="461"/>
      <c r="M696" s="458"/>
      <c r="N696" s="458"/>
      <c r="O696" s="458"/>
      <c r="P696" s="459"/>
      <c r="Q696" s="458"/>
      <c r="R696" s="459"/>
      <c r="S696" s="459"/>
      <c r="T696" s="459"/>
      <c r="U696" s="459"/>
      <c r="V696" s="459"/>
      <c r="W696" s="459"/>
      <c r="X696" s="459"/>
      <c r="Y696" s="459"/>
      <c r="Z696" s="459"/>
      <c r="AA696" s="459"/>
      <c r="AB696" s="459"/>
      <c r="AC696" s="459"/>
      <c r="AD696" s="459"/>
      <c r="AE696" s="459"/>
      <c r="AF696" s="459"/>
    </row>
    <row r="697" customFormat="false" ht="15.75" hidden="false" customHeight="true" outlineLevel="0" collapsed="false">
      <c r="A697" s="462" t="s">
        <v>1659</v>
      </c>
      <c r="B697" s="462"/>
      <c r="C697" s="462"/>
      <c r="D697" s="463" t="s">
        <v>1660</v>
      </c>
      <c r="E697" s="463"/>
      <c r="F697" s="463"/>
      <c r="G697" s="463"/>
      <c r="H697" s="463"/>
      <c r="I697" s="463"/>
      <c r="J697" s="463"/>
      <c r="K697" s="463"/>
      <c r="L697" s="463"/>
      <c r="M697" s="564" t="s">
        <v>1661</v>
      </c>
      <c r="N697" s="564"/>
      <c r="O697" s="465" t="s">
        <v>1662</v>
      </c>
      <c r="P697" s="465"/>
      <c r="Q697" s="465" t="s">
        <v>1663</v>
      </c>
      <c r="R697" s="465"/>
      <c r="S697" s="466" t="s">
        <v>1664</v>
      </c>
      <c r="T697" s="466"/>
      <c r="U697" s="466" t="s">
        <v>1665</v>
      </c>
      <c r="V697" s="466"/>
      <c r="W697" s="464" t="s">
        <v>1666</v>
      </c>
      <c r="X697" s="464"/>
      <c r="Y697" s="467" t="s">
        <v>1667</v>
      </c>
      <c r="Z697" s="467"/>
      <c r="AA697" s="467"/>
      <c r="AB697" s="467"/>
      <c r="AC697" s="467"/>
      <c r="AD697" s="467"/>
      <c r="AE697" s="467"/>
      <c r="AF697" s="459"/>
    </row>
    <row r="698" customFormat="false" ht="15.75" hidden="false" customHeight="true" outlineLevel="0" collapsed="false">
      <c r="A698" s="462"/>
      <c r="B698" s="462"/>
      <c r="C698" s="462"/>
      <c r="D698" s="463"/>
      <c r="E698" s="463"/>
      <c r="F698" s="463"/>
      <c r="G698" s="463"/>
      <c r="H698" s="463"/>
      <c r="I698" s="463"/>
      <c r="J698" s="463"/>
      <c r="K698" s="463"/>
      <c r="L698" s="463"/>
      <c r="M698" s="564"/>
      <c r="N698" s="564"/>
      <c r="O698" s="465"/>
      <c r="P698" s="465"/>
      <c r="Q698" s="465"/>
      <c r="R698" s="465"/>
      <c r="S698" s="466"/>
      <c r="T698" s="466"/>
      <c r="U698" s="466"/>
      <c r="V698" s="466"/>
      <c r="W698" s="464"/>
      <c r="X698" s="464"/>
      <c r="Y698" s="467"/>
      <c r="Z698" s="467"/>
      <c r="AA698" s="467"/>
      <c r="AB698" s="467"/>
      <c r="AC698" s="467"/>
      <c r="AD698" s="467"/>
      <c r="AE698" s="467"/>
      <c r="AF698" s="459"/>
    </row>
    <row r="699" customFormat="false" ht="30" hidden="false" customHeight="true" outlineLevel="0" collapsed="false">
      <c r="A699" s="462"/>
      <c r="B699" s="462"/>
      <c r="C699" s="462"/>
      <c r="D699" s="463"/>
      <c r="E699" s="463"/>
      <c r="F699" s="463"/>
      <c r="G699" s="463"/>
      <c r="H699" s="463"/>
      <c r="I699" s="463"/>
      <c r="J699" s="463"/>
      <c r="K699" s="463"/>
      <c r="L699" s="463"/>
      <c r="M699" s="564"/>
      <c r="N699" s="564"/>
      <c r="O699" s="465"/>
      <c r="P699" s="465"/>
      <c r="Q699" s="465"/>
      <c r="R699" s="465"/>
      <c r="S699" s="466"/>
      <c r="T699" s="466"/>
      <c r="U699" s="466"/>
      <c r="V699" s="466"/>
      <c r="W699" s="464"/>
      <c r="X699" s="464"/>
      <c r="Y699" s="467"/>
      <c r="Z699" s="467"/>
      <c r="AA699" s="467"/>
      <c r="AB699" s="467"/>
      <c r="AC699" s="467"/>
      <c r="AD699" s="467"/>
      <c r="AE699" s="467"/>
      <c r="AF699" s="468"/>
    </row>
    <row r="700" customFormat="false" ht="30" hidden="false" customHeight="true" outlineLevel="0" collapsed="false">
      <c r="A700" s="469"/>
      <c r="B700" s="469"/>
      <c r="C700" s="469"/>
      <c r="D700" s="505" t="s">
        <v>2125</v>
      </c>
      <c r="E700" s="505"/>
      <c r="F700" s="505"/>
      <c r="G700" s="505"/>
      <c r="H700" s="505"/>
      <c r="I700" s="505"/>
      <c r="J700" s="505"/>
      <c r="K700" s="505"/>
      <c r="L700" s="505"/>
      <c r="M700" s="570" t="n">
        <f aca="false">SUMIFS(TE!P:P,TE!G:G,$A$426,TE!H:H,A700)</f>
        <v>0</v>
      </c>
      <c r="N700" s="570"/>
      <c r="O700" s="472" t="n">
        <v>112</v>
      </c>
      <c r="P700" s="472"/>
      <c r="Q700" s="473" t="n">
        <f aca="false">ROUNDUP(M700/O700,0)</f>
        <v>0</v>
      </c>
      <c r="R700" s="473"/>
      <c r="S700" s="474" t="n">
        <v>13.4</v>
      </c>
      <c r="T700" s="474"/>
      <c r="U700" s="474" t="n">
        <f aca="false">Q700*S700</f>
        <v>0</v>
      </c>
      <c r="V700" s="474"/>
      <c r="W700" s="475" t="s">
        <v>1670</v>
      </c>
      <c r="X700" s="475"/>
      <c r="Y700" s="476" t="s">
        <v>1671</v>
      </c>
      <c r="Z700" s="476"/>
      <c r="AA700" s="476"/>
      <c r="AB700" s="476"/>
      <c r="AC700" s="476"/>
      <c r="AD700" s="476"/>
      <c r="AE700" s="476"/>
      <c r="AF700" s="468"/>
    </row>
    <row r="701" customFormat="false" ht="30" hidden="false" customHeight="true" outlineLevel="0" collapsed="false">
      <c r="A701" s="477"/>
      <c r="B701" s="477"/>
      <c r="C701" s="477"/>
      <c r="D701" s="498" t="s">
        <v>2126</v>
      </c>
      <c r="E701" s="498"/>
      <c r="F701" s="498"/>
      <c r="G701" s="498"/>
      <c r="H701" s="498"/>
      <c r="I701" s="498"/>
      <c r="J701" s="498"/>
      <c r="K701" s="498"/>
      <c r="L701" s="498"/>
      <c r="M701" s="479" t="n">
        <f aca="false">SUMIFS(TE!P:P,TE!G:G,$A$426,TE!H:H,A701)</f>
        <v>0</v>
      </c>
      <c r="N701" s="479"/>
      <c r="O701" s="480" t="n">
        <v>11</v>
      </c>
      <c r="P701" s="480"/>
      <c r="Q701" s="481" t="n">
        <f aca="false">ROUNDUP(M701/O701,0)</f>
        <v>0</v>
      </c>
      <c r="R701" s="481"/>
      <c r="S701" s="482" t="n">
        <v>13.4</v>
      </c>
      <c r="T701" s="482"/>
      <c r="U701" s="482" t="n">
        <f aca="false">Q701*S701</f>
        <v>0</v>
      </c>
      <c r="V701" s="482"/>
      <c r="W701" s="483" t="s">
        <v>1670</v>
      </c>
      <c r="X701" s="483"/>
      <c r="Y701" s="484" t="s">
        <v>1671</v>
      </c>
      <c r="Z701" s="484"/>
      <c r="AA701" s="484"/>
      <c r="AB701" s="484"/>
      <c r="AC701" s="484"/>
      <c r="AD701" s="484"/>
      <c r="AE701" s="484"/>
      <c r="AF701" s="468"/>
    </row>
    <row r="702" customFormat="false" ht="30" hidden="false" customHeight="true" outlineLevel="0" collapsed="false">
      <c r="A702" s="477"/>
      <c r="B702" s="477"/>
      <c r="C702" s="477"/>
      <c r="D702" s="478" t="s">
        <v>2127</v>
      </c>
      <c r="E702" s="478"/>
      <c r="F702" s="478"/>
      <c r="G702" s="478"/>
      <c r="H702" s="478"/>
      <c r="I702" s="478"/>
      <c r="J702" s="478"/>
      <c r="K702" s="478"/>
      <c r="L702" s="478"/>
      <c r="M702" s="479" t="n">
        <f aca="false">SUMIFS(TE!P:P,TE!G:G,$A$426,TE!H:H,A702)</f>
        <v>0</v>
      </c>
      <c r="N702" s="479"/>
      <c r="O702" s="480" t="n">
        <v>112</v>
      </c>
      <c r="P702" s="480"/>
      <c r="Q702" s="481" t="n">
        <f aca="false">ROUNDUP(M702/O702,0)</f>
        <v>0</v>
      </c>
      <c r="R702" s="481"/>
      <c r="S702" s="482" t="n">
        <v>13.4</v>
      </c>
      <c r="T702" s="482"/>
      <c r="U702" s="482" t="n">
        <f aca="false">Q702*S702</f>
        <v>0</v>
      </c>
      <c r="V702" s="482"/>
      <c r="W702" s="483" t="s">
        <v>1670</v>
      </c>
      <c r="X702" s="483"/>
      <c r="Y702" s="484" t="s">
        <v>1671</v>
      </c>
      <c r="Z702" s="484"/>
      <c r="AA702" s="484"/>
      <c r="AB702" s="484"/>
      <c r="AC702" s="484"/>
      <c r="AD702" s="484"/>
      <c r="AE702" s="484"/>
      <c r="AF702" s="468"/>
    </row>
    <row r="703" customFormat="false" ht="30" hidden="false" customHeight="true" outlineLevel="0" collapsed="false">
      <c r="A703" s="477"/>
      <c r="B703" s="477"/>
      <c r="C703" s="477"/>
      <c r="D703" s="478" t="s">
        <v>2128</v>
      </c>
      <c r="E703" s="478"/>
      <c r="F703" s="478"/>
      <c r="G703" s="478"/>
      <c r="H703" s="478"/>
      <c r="I703" s="478"/>
      <c r="J703" s="478"/>
      <c r="K703" s="478"/>
      <c r="L703" s="478"/>
      <c r="M703" s="479" t="n">
        <f aca="false">SUMIFS(TE!P:P,TE!G:G,$A$426,TE!H:H,A703)</f>
        <v>0</v>
      </c>
      <c r="N703" s="479"/>
      <c r="O703" s="480" t="n">
        <v>6</v>
      </c>
      <c r="P703" s="480"/>
      <c r="Q703" s="481" t="n">
        <f aca="false">ROUNDUP(M703/O703,0)</f>
        <v>0</v>
      </c>
      <c r="R703" s="481"/>
      <c r="S703" s="482" t="n">
        <v>13.4</v>
      </c>
      <c r="T703" s="482"/>
      <c r="U703" s="482" t="n">
        <f aca="false">Q703*S703</f>
        <v>0</v>
      </c>
      <c r="V703" s="482"/>
      <c r="W703" s="483" t="s">
        <v>1902</v>
      </c>
      <c r="X703" s="483"/>
      <c r="Y703" s="484" t="s">
        <v>1903</v>
      </c>
      <c r="Z703" s="484"/>
      <c r="AA703" s="484"/>
      <c r="AB703" s="484"/>
      <c r="AC703" s="484"/>
      <c r="AD703" s="484"/>
      <c r="AE703" s="484"/>
      <c r="AF703" s="468"/>
    </row>
    <row r="704" customFormat="false" ht="30" hidden="false" customHeight="true" outlineLevel="0" collapsed="false">
      <c r="A704" s="477"/>
      <c r="B704" s="477"/>
      <c r="C704" s="477"/>
      <c r="D704" s="478" t="s">
        <v>2129</v>
      </c>
      <c r="E704" s="478"/>
      <c r="F704" s="478"/>
      <c r="G704" s="478"/>
      <c r="H704" s="478"/>
      <c r="I704" s="478"/>
      <c r="J704" s="478"/>
      <c r="K704" s="478"/>
      <c r="L704" s="478"/>
      <c r="M704" s="479" t="n">
        <f aca="false">SUMIFS(TE!P:P,TE!G:G,$A$426,TE!H:H,A704)</f>
        <v>0</v>
      </c>
      <c r="N704" s="479"/>
      <c r="O704" s="480" t="n">
        <v>15</v>
      </c>
      <c r="P704" s="480"/>
      <c r="Q704" s="481" t="n">
        <f aca="false">ROUNDUP(M704/O704,0)</f>
        <v>0</v>
      </c>
      <c r="R704" s="481"/>
      <c r="S704" s="482" t="n">
        <v>7.4</v>
      </c>
      <c r="T704" s="482"/>
      <c r="U704" s="482" t="n">
        <f aca="false">Q704*S704</f>
        <v>0</v>
      </c>
      <c r="V704" s="482"/>
      <c r="W704" s="483" t="s">
        <v>2130</v>
      </c>
      <c r="X704" s="483"/>
      <c r="Y704" s="484" t="s">
        <v>2131</v>
      </c>
      <c r="Z704" s="484"/>
      <c r="AA704" s="484"/>
      <c r="AB704" s="484"/>
      <c r="AC704" s="484"/>
      <c r="AD704" s="484"/>
      <c r="AE704" s="484"/>
      <c r="AF704" s="468"/>
    </row>
    <row r="705" customFormat="false" ht="30" hidden="false" customHeight="true" outlineLevel="0" collapsed="false">
      <c r="A705" s="477"/>
      <c r="B705" s="477"/>
      <c r="C705" s="477"/>
      <c r="D705" s="478" t="s">
        <v>2132</v>
      </c>
      <c r="E705" s="478"/>
      <c r="F705" s="478"/>
      <c r="G705" s="478"/>
      <c r="H705" s="478"/>
      <c r="I705" s="478"/>
      <c r="J705" s="478"/>
      <c r="K705" s="478"/>
      <c r="L705" s="478"/>
      <c r="M705" s="479" t="n">
        <f aca="false">SUMIFS(TE!P:P,TE!G:G,$A$426,TE!H:H,A705)</f>
        <v>0</v>
      </c>
      <c r="N705" s="479"/>
      <c r="O705" s="480" t="n">
        <v>80</v>
      </c>
      <c r="P705" s="480"/>
      <c r="Q705" s="481" t="n">
        <f aca="false">M705/O705</f>
        <v>0</v>
      </c>
      <c r="R705" s="481"/>
      <c r="S705" s="482" t="n">
        <v>13.4</v>
      </c>
      <c r="T705" s="482"/>
      <c r="U705" s="482" t="n">
        <f aca="false">Q705*S705</f>
        <v>0</v>
      </c>
      <c r="V705" s="482"/>
      <c r="W705" s="483" t="s">
        <v>1670</v>
      </c>
      <c r="X705" s="483"/>
      <c r="Y705" s="484" t="s">
        <v>1671</v>
      </c>
      <c r="Z705" s="484"/>
      <c r="AA705" s="484"/>
      <c r="AB705" s="484"/>
      <c r="AC705" s="484"/>
      <c r="AD705" s="484"/>
      <c r="AE705" s="484"/>
      <c r="AF705" s="468"/>
    </row>
    <row r="706" customFormat="false" ht="30" hidden="false" customHeight="true" outlineLevel="0" collapsed="false">
      <c r="A706" s="477"/>
      <c r="B706" s="477"/>
      <c r="C706" s="477"/>
      <c r="D706" s="478" t="s">
        <v>1747</v>
      </c>
      <c r="E706" s="478"/>
      <c r="F706" s="478"/>
      <c r="G706" s="478"/>
      <c r="H706" s="478"/>
      <c r="I706" s="478"/>
      <c r="J706" s="478"/>
      <c r="K706" s="478"/>
      <c r="L706" s="478"/>
      <c r="M706" s="479" t="n">
        <f aca="false">SUMIFS(TE!P:P,TE!G:G,$A$426,TE!H:H,A706)</f>
        <v>0</v>
      </c>
      <c r="N706" s="479"/>
      <c r="O706" s="480" t="n">
        <v>4</v>
      </c>
      <c r="P706" s="480"/>
      <c r="Q706" s="481" t="n">
        <f aca="false">ROUNDUP(M706/O706,0)</f>
        <v>0</v>
      </c>
      <c r="R706" s="481"/>
      <c r="S706" s="482" t="n">
        <v>20.1</v>
      </c>
      <c r="T706" s="482"/>
      <c r="U706" s="482" t="n">
        <f aca="false">Q706*S706</f>
        <v>0</v>
      </c>
      <c r="V706" s="482"/>
      <c r="W706" s="483" t="s">
        <v>1742</v>
      </c>
      <c r="X706" s="483"/>
      <c r="Y706" s="484" t="s">
        <v>1748</v>
      </c>
      <c r="Z706" s="484"/>
      <c r="AA706" s="484"/>
      <c r="AB706" s="484"/>
      <c r="AC706" s="484"/>
      <c r="AD706" s="484"/>
      <c r="AE706" s="484"/>
      <c r="AF706" s="468"/>
    </row>
    <row r="707" customFormat="false" ht="30" hidden="false" customHeight="true" outlineLevel="0" collapsed="false">
      <c r="A707" s="477"/>
      <c r="B707" s="477"/>
      <c r="C707" s="477"/>
      <c r="D707" s="478" t="s">
        <v>2133</v>
      </c>
      <c r="E707" s="478"/>
      <c r="F707" s="478"/>
      <c r="G707" s="478"/>
      <c r="H707" s="478"/>
      <c r="I707" s="478"/>
      <c r="J707" s="478"/>
      <c r="K707" s="478"/>
      <c r="L707" s="478"/>
      <c r="M707" s="479" t="n">
        <f aca="false">SUMIFS(TE!P:P,TE!G:G,$A$426,TE!H:H,A707)</f>
        <v>0</v>
      </c>
      <c r="N707" s="479"/>
      <c r="O707" s="480" t="n">
        <v>4</v>
      </c>
      <c r="P707" s="480"/>
      <c r="Q707" s="481" t="n">
        <f aca="false">ROUNDUP(M707/O707,0)</f>
        <v>0</v>
      </c>
      <c r="R707" s="481"/>
      <c r="S707" s="482" t="n">
        <v>20.1</v>
      </c>
      <c r="T707" s="482"/>
      <c r="U707" s="482" t="n">
        <f aca="false">Q707*S707</f>
        <v>0</v>
      </c>
      <c r="V707" s="482"/>
      <c r="W707" s="483" t="s">
        <v>1742</v>
      </c>
      <c r="X707" s="483"/>
      <c r="Y707" s="484" t="s">
        <v>1748</v>
      </c>
      <c r="Z707" s="484"/>
      <c r="AA707" s="484"/>
      <c r="AB707" s="484"/>
      <c r="AC707" s="484"/>
      <c r="AD707" s="484"/>
      <c r="AE707" s="484"/>
      <c r="AF707" s="468"/>
    </row>
    <row r="708" customFormat="false" ht="30" hidden="false" customHeight="true" outlineLevel="0" collapsed="false">
      <c r="A708" s="477"/>
      <c r="B708" s="477"/>
      <c r="C708" s="477"/>
      <c r="D708" s="478" t="s">
        <v>2134</v>
      </c>
      <c r="E708" s="478"/>
      <c r="F708" s="478"/>
      <c r="G708" s="478"/>
      <c r="H708" s="478"/>
      <c r="I708" s="478"/>
      <c r="J708" s="478"/>
      <c r="K708" s="478"/>
      <c r="L708" s="478"/>
      <c r="M708" s="479" t="n">
        <f aca="false">SUMIFS(TE!P:P,TE!G:G,$A$426,TE!H:H,A708)</f>
        <v>0</v>
      </c>
      <c r="N708" s="479"/>
      <c r="O708" s="480" t="n">
        <v>4</v>
      </c>
      <c r="P708" s="480"/>
      <c r="Q708" s="481" t="n">
        <f aca="false">ROUNDUP(M708/O708,0)</f>
        <v>0</v>
      </c>
      <c r="R708" s="481"/>
      <c r="S708" s="482" t="n">
        <v>20.1</v>
      </c>
      <c r="T708" s="482"/>
      <c r="U708" s="482" t="n">
        <f aca="false">Q708*S708</f>
        <v>0</v>
      </c>
      <c r="V708" s="482"/>
      <c r="W708" s="483" t="s">
        <v>1742</v>
      </c>
      <c r="X708" s="483"/>
      <c r="Y708" s="484" t="s">
        <v>1748</v>
      </c>
      <c r="Z708" s="484"/>
      <c r="AA708" s="484"/>
      <c r="AB708" s="484"/>
      <c r="AC708" s="484"/>
      <c r="AD708" s="484"/>
      <c r="AE708" s="484"/>
      <c r="AF708" s="468"/>
    </row>
    <row r="709" customFormat="false" ht="30" hidden="false" customHeight="true" outlineLevel="0" collapsed="false">
      <c r="A709" s="477"/>
      <c r="B709" s="477"/>
      <c r="C709" s="477"/>
      <c r="D709" s="478" t="s">
        <v>2135</v>
      </c>
      <c r="E709" s="478"/>
      <c r="F709" s="478"/>
      <c r="G709" s="478"/>
      <c r="H709" s="478"/>
      <c r="I709" s="478"/>
      <c r="J709" s="478"/>
      <c r="K709" s="478"/>
      <c r="L709" s="478"/>
      <c r="M709" s="479" t="n">
        <f aca="false">SUMIFS(TE!P:P,TE!G:G,$A$426,TE!H:H,A709)</f>
        <v>0</v>
      </c>
      <c r="N709" s="479"/>
      <c r="O709" s="480" t="n">
        <v>4</v>
      </c>
      <c r="P709" s="480"/>
      <c r="Q709" s="481" t="n">
        <f aca="false">ROUNDUP(M709/O709,0)</f>
        <v>0</v>
      </c>
      <c r="R709" s="481"/>
      <c r="S709" s="482" t="n">
        <v>20.1</v>
      </c>
      <c r="T709" s="482"/>
      <c r="U709" s="482" t="n">
        <f aca="false">Q709*S709</f>
        <v>0</v>
      </c>
      <c r="V709" s="482"/>
      <c r="W709" s="483" t="s">
        <v>1742</v>
      </c>
      <c r="X709" s="483"/>
      <c r="Y709" s="484" t="s">
        <v>2136</v>
      </c>
      <c r="Z709" s="484"/>
      <c r="AA709" s="484"/>
      <c r="AB709" s="484"/>
      <c r="AC709" s="484"/>
      <c r="AD709" s="484"/>
      <c r="AE709" s="484"/>
      <c r="AF709" s="468"/>
    </row>
    <row r="710" customFormat="false" ht="30" hidden="false" customHeight="true" outlineLevel="0" collapsed="false">
      <c r="A710" s="477"/>
      <c r="B710" s="477"/>
      <c r="C710" s="477"/>
      <c r="D710" s="478" t="s">
        <v>2137</v>
      </c>
      <c r="E710" s="478"/>
      <c r="F710" s="478"/>
      <c r="G710" s="478"/>
      <c r="H710" s="478"/>
      <c r="I710" s="478"/>
      <c r="J710" s="478"/>
      <c r="K710" s="478"/>
      <c r="L710" s="478"/>
      <c r="M710" s="479" t="n">
        <f aca="false">SUMIFS(TE!P:P,TE!G:G,$A$426,TE!H:H,A710)</f>
        <v>0</v>
      </c>
      <c r="N710" s="479"/>
      <c r="O710" s="485" t="s">
        <v>1678</v>
      </c>
      <c r="P710" s="485"/>
      <c r="Q710" s="485" t="s">
        <v>1678</v>
      </c>
      <c r="R710" s="485"/>
      <c r="S710" s="485" t="s">
        <v>1678</v>
      </c>
      <c r="T710" s="485"/>
      <c r="U710" s="485" t="s">
        <v>1678</v>
      </c>
      <c r="V710" s="485"/>
      <c r="W710" s="483" t="s">
        <v>1679</v>
      </c>
      <c r="X710" s="483"/>
      <c r="Y710" s="484" t="s">
        <v>2138</v>
      </c>
      <c r="Z710" s="484"/>
      <c r="AA710" s="484"/>
      <c r="AB710" s="484"/>
      <c r="AC710" s="484"/>
      <c r="AD710" s="484"/>
      <c r="AE710" s="484"/>
      <c r="AF710" s="396"/>
    </row>
    <row r="711" customFormat="false" ht="30" hidden="false" customHeight="true" outlineLevel="0" collapsed="false">
      <c r="A711" s="477"/>
      <c r="B711" s="477"/>
      <c r="C711" s="477"/>
      <c r="D711" s="478" t="s">
        <v>2139</v>
      </c>
      <c r="E711" s="478"/>
      <c r="F711" s="478"/>
      <c r="G711" s="478"/>
      <c r="H711" s="478"/>
      <c r="I711" s="478"/>
      <c r="J711" s="478"/>
      <c r="K711" s="478"/>
      <c r="L711" s="478"/>
      <c r="M711" s="479" t="n">
        <f aca="false">SUMIFS(TE!P:P,TE!G:G,$A$426,TE!H:H,A711)</f>
        <v>0</v>
      </c>
      <c r="N711" s="479"/>
      <c r="O711" s="480" t="n">
        <v>4</v>
      </c>
      <c r="P711" s="480"/>
      <c r="Q711" s="481" t="n">
        <f aca="false">ROUNDUP(M711/O711,0)</f>
        <v>0</v>
      </c>
      <c r="R711" s="481"/>
      <c r="S711" s="482" t="n">
        <v>36</v>
      </c>
      <c r="T711" s="482"/>
      <c r="U711" s="482" t="n">
        <f aca="false">Q711*S711</f>
        <v>0</v>
      </c>
      <c r="V711" s="482"/>
      <c r="W711" s="483" t="s">
        <v>2118</v>
      </c>
      <c r="X711" s="483"/>
      <c r="Y711" s="484" t="s">
        <v>1796</v>
      </c>
      <c r="Z711" s="484"/>
      <c r="AA711" s="484"/>
      <c r="AB711" s="484"/>
      <c r="AC711" s="484"/>
      <c r="AD711" s="484"/>
      <c r="AE711" s="484"/>
      <c r="AF711" s="396"/>
    </row>
    <row r="712" customFormat="false" ht="30" hidden="false" customHeight="true" outlineLevel="0" collapsed="false">
      <c r="A712" s="477" t="s">
        <v>2140</v>
      </c>
      <c r="B712" s="477"/>
      <c r="C712" s="477"/>
      <c r="D712" s="478" t="s">
        <v>2141</v>
      </c>
      <c r="E712" s="478"/>
      <c r="F712" s="478"/>
      <c r="G712" s="478"/>
      <c r="H712" s="478"/>
      <c r="I712" s="478"/>
      <c r="J712" s="478"/>
      <c r="K712" s="478"/>
      <c r="L712" s="478"/>
      <c r="M712" s="479" t="n">
        <f aca="false">SUMIFS(TE!P:P,TE!G:G,$A$426,TE!H:H,A712)</f>
        <v>0</v>
      </c>
      <c r="N712" s="479"/>
      <c r="O712" s="480" t="n">
        <v>90</v>
      </c>
      <c r="P712" s="480"/>
      <c r="Q712" s="481" t="n">
        <f aca="false">M712/O712</f>
        <v>0</v>
      </c>
      <c r="R712" s="481"/>
      <c r="S712" s="482" t="n">
        <v>13.4</v>
      </c>
      <c r="T712" s="482"/>
      <c r="U712" s="482" t="n">
        <f aca="false">Q712*S712</f>
        <v>0</v>
      </c>
      <c r="V712" s="482"/>
      <c r="W712" s="483" t="s">
        <v>1670</v>
      </c>
      <c r="X712" s="483"/>
      <c r="Y712" s="484" t="s">
        <v>1671</v>
      </c>
      <c r="Z712" s="484"/>
      <c r="AA712" s="484"/>
      <c r="AB712" s="484"/>
      <c r="AC712" s="484"/>
      <c r="AD712" s="484"/>
      <c r="AE712" s="484"/>
      <c r="AF712" s="396"/>
    </row>
    <row r="713" customFormat="false" ht="30" hidden="false" customHeight="true" outlineLevel="0" collapsed="false">
      <c r="A713" s="477"/>
      <c r="B713" s="477"/>
      <c r="C713" s="477"/>
      <c r="D713" s="478"/>
      <c r="E713" s="478"/>
      <c r="F713" s="478"/>
      <c r="G713" s="478"/>
      <c r="H713" s="478"/>
      <c r="I713" s="478"/>
      <c r="J713" s="478"/>
      <c r="K713" s="478"/>
      <c r="L713" s="478"/>
      <c r="M713" s="479" t="n">
        <f aca="false">SUMIFS(TE!P:P,TE!G:G,$A$426,TE!H:H,A713)</f>
        <v>0</v>
      </c>
      <c r="N713" s="479"/>
      <c r="O713" s="480"/>
      <c r="P713" s="480"/>
      <c r="Q713" s="481"/>
      <c r="R713" s="481"/>
      <c r="S713" s="482"/>
      <c r="T713" s="482"/>
      <c r="U713" s="482"/>
      <c r="V713" s="482"/>
      <c r="W713" s="483"/>
      <c r="X713" s="483"/>
      <c r="Y713" s="484"/>
      <c r="Z713" s="484"/>
      <c r="AA713" s="484"/>
      <c r="AB713" s="484"/>
      <c r="AC713" s="484"/>
      <c r="AD713" s="484"/>
      <c r="AE713" s="484"/>
      <c r="AF713" s="396"/>
    </row>
    <row r="714" customFormat="false" ht="30" hidden="false" customHeight="true" outlineLevel="0" collapsed="false">
      <c r="A714" s="477"/>
      <c r="B714" s="477"/>
      <c r="C714" s="477"/>
      <c r="D714" s="478"/>
      <c r="E714" s="478"/>
      <c r="F714" s="478"/>
      <c r="G714" s="478"/>
      <c r="H714" s="478"/>
      <c r="I714" s="478"/>
      <c r="J714" s="478"/>
      <c r="K714" s="478"/>
      <c r="L714" s="478"/>
      <c r="M714" s="479" t="n">
        <f aca="false">SUMIFS(TE!P:P,TE!G:G,$A$426,TE!H:H,A714)</f>
        <v>0</v>
      </c>
      <c r="N714" s="479"/>
      <c r="O714" s="480"/>
      <c r="P714" s="480"/>
      <c r="Q714" s="481"/>
      <c r="R714" s="481"/>
      <c r="S714" s="482"/>
      <c r="T714" s="482"/>
      <c r="U714" s="482"/>
      <c r="V714" s="482"/>
      <c r="W714" s="483"/>
      <c r="X714" s="483"/>
      <c r="Y714" s="484"/>
      <c r="Z714" s="484"/>
      <c r="AA714" s="484"/>
      <c r="AB714" s="484"/>
      <c r="AC714" s="484"/>
      <c r="AD714" s="484"/>
      <c r="AE714" s="484"/>
      <c r="AF714" s="396"/>
    </row>
    <row r="715" customFormat="false" ht="30" hidden="false" customHeight="true" outlineLevel="0" collapsed="false">
      <c r="A715" s="477"/>
      <c r="B715" s="477"/>
      <c r="C715" s="477"/>
      <c r="D715" s="478"/>
      <c r="E715" s="478"/>
      <c r="F715" s="478"/>
      <c r="G715" s="478"/>
      <c r="H715" s="478"/>
      <c r="I715" s="478"/>
      <c r="J715" s="478"/>
      <c r="K715" s="478"/>
      <c r="L715" s="478"/>
      <c r="M715" s="479" t="n">
        <f aca="false">SUMIFS(TE!P:P,TE!G:G,$A$426,TE!H:H,A715)</f>
        <v>0</v>
      </c>
      <c r="N715" s="479"/>
      <c r="O715" s="480"/>
      <c r="P715" s="480"/>
      <c r="Q715" s="481"/>
      <c r="R715" s="481"/>
      <c r="S715" s="482"/>
      <c r="T715" s="482"/>
      <c r="U715" s="482"/>
      <c r="V715" s="482"/>
      <c r="W715" s="483"/>
      <c r="X715" s="483"/>
      <c r="Y715" s="484"/>
      <c r="Z715" s="484"/>
      <c r="AA715" s="484"/>
      <c r="AB715" s="484"/>
      <c r="AC715" s="484"/>
      <c r="AD715" s="484"/>
      <c r="AE715" s="484"/>
      <c r="AF715" s="396"/>
    </row>
    <row r="716" customFormat="false" ht="30" hidden="false" customHeight="true" outlineLevel="0" collapsed="false">
      <c r="A716" s="477"/>
      <c r="B716" s="477"/>
      <c r="C716" s="477"/>
      <c r="D716" s="478"/>
      <c r="E716" s="478"/>
      <c r="F716" s="478"/>
      <c r="G716" s="478"/>
      <c r="H716" s="478"/>
      <c r="I716" s="478"/>
      <c r="J716" s="478"/>
      <c r="K716" s="478"/>
      <c r="L716" s="478"/>
      <c r="M716" s="479" t="n">
        <f aca="false">SUMIFS(TE!P:P,TE!G:G,$A$426,TE!H:H,A716)</f>
        <v>0</v>
      </c>
      <c r="N716" s="479"/>
      <c r="O716" s="480"/>
      <c r="P716" s="480"/>
      <c r="Q716" s="481"/>
      <c r="R716" s="481"/>
      <c r="S716" s="482"/>
      <c r="T716" s="482"/>
      <c r="U716" s="482"/>
      <c r="V716" s="482"/>
      <c r="W716" s="483"/>
      <c r="X716" s="483"/>
      <c r="Y716" s="484"/>
      <c r="Z716" s="484"/>
      <c r="AA716" s="484"/>
      <c r="AB716" s="484"/>
      <c r="AC716" s="484"/>
      <c r="AD716" s="484"/>
      <c r="AE716" s="484"/>
      <c r="AF716" s="396"/>
    </row>
    <row r="717" customFormat="false" ht="30" hidden="false" customHeight="true" outlineLevel="0" collapsed="false">
      <c r="A717" s="477"/>
      <c r="B717" s="477"/>
      <c r="C717" s="477"/>
      <c r="D717" s="478"/>
      <c r="E717" s="478"/>
      <c r="F717" s="478"/>
      <c r="G717" s="478"/>
      <c r="H717" s="478"/>
      <c r="I717" s="478"/>
      <c r="J717" s="478"/>
      <c r="K717" s="478"/>
      <c r="L717" s="478"/>
      <c r="M717" s="479" t="n">
        <f aca="false">SUMIFS(TE!P:P,TE!G:G,$A$426,TE!H:H,A717)</f>
        <v>0</v>
      </c>
      <c r="N717" s="479"/>
      <c r="O717" s="480"/>
      <c r="P717" s="480"/>
      <c r="Q717" s="481"/>
      <c r="R717" s="481"/>
      <c r="S717" s="482"/>
      <c r="T717" s="482"/>
      <c r="U717" s="482"/>
      <c r="V717" s="482"/>
      <c r="W717" s="483"/>
      <c r="X717" s="483"/>
      <c r="Y717" s="484"/>
      <c r="Z717" s="484"/>
      <c r="AA717" s="484"/>
      <c r="AB717" s="484"/>
      <c r="AC717" s="484"/>
      <c r="AD717" s="484"/>
      <c r="AE717" s="484"/>
      <c r="AF717" s="396"/>
    </row>
    <row r="718" customFormat="false" ht="30" hidden="false" customHeight="true" outlineLevel="0" collapsed="false">
      <c r="A718" s="486"/>
      <c r="B718" s="486"/>
      <c r="C718" s="486"/>
      <c r="D718" s="487"/>
      <c r="E718" s="487"/>
      <c r="F718" s="487"/>
      <c r="G718" s="487"/>
      <c r="H718" s="487"/>
      <c r="I718" s="487"/>
      <c r="J718" s="487"/>
      <c r="K718" s="487"/>
      <c r="L718" s="487"/>
      <c r="M718" s="488" t="n">
        <f aca="false">SUMIFS(TE!P:P,TE!G:G,$A$426,TE!H:H,A718)</f>
        <v>0</v>
      </c>
      <c r="N718" s="488"/>
      <c r="O718" s="489"/>
      <c r="P718" s="489"/>
      <c r="Q718" s="490"/>
      <c r="R718" s="490"/>
      <c r="S718" s="491"/>
      <c r="T718" s="491"/>
      <c r="U718" s="491"/>
      <c r="V718" s="491"/>
      <c r="W718" s="492"/>
      <c r="X718" s="492"/>
      <c r="Y718" s="493"/>
      <c r="Z718" s="493"/>
      <c r="AA718" s="493"/>
      <c r="AB718" s="493"/>
      <c r="AC718" s="493"/>
      <c r="AD718" s="493"/>
      <c r="AE718" s="493"/>
      <c r="AF718" s="396"/>
    </row>
    <row r="719" customFormat="false" ht="12.75" hidden="false" customHeight="true" outlineLevel="0" collapsed="false">
      <c r="A719" s="396"/>
      <c r="B719" s="396"/>
      <c r="C719" s="396"/>
      <c r="D719" s="396"/>
      <c r="E719" s="396"/>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c r="AD719" s="396"/>
      <c r="AE719" s="396"/>
      <c r="AF719" s="396"/>
    </row>
    <row r="720" customFormat="false" ht="12.75" hidden="false" customHeight="true" outlineLevel="0" collapsed="false">
      <c r="A720" s="495"/>
      <c r="B720" s="495"/>
      <c r="C720" s="495"/>
      <c r="D720" s="495"/>
      <c r="E720" s="495"/>
      <c r="F720" s="495"/>
      <c r="G720" s="495"/>
      <c r="H720" s="495"/>
      <c r="I720" s="495"/>
      <c r="J720" s="495"/>
      <c r="K720" s="495"/>
      <c r="L720" s="495"/>
      <c r="M720" s="495"/>
      <c r="N720" s="495"/>
      <c r="O720" s="495"/>
      <c r="P720" s="495"/>
      <c r="Q720" s="495"/>
      <c r="R720" s="495"/>
      <c r="S720" s="495"/>
      <c r="T720" s="495"/>
      <c r="U720" s="495"/>
      <c r="V720" s="495"/>
      <c r="W720" s="495"/>
      <c r="X720" s="495"/>
      <c r="Y720" s="495"/>
      <c r="Z720" s="495"/>
      <c r="AA720" s="495"/>
      <c r="AB720" s="453"/>
      <c r="AC720" s="454" t="s">
        <v>1657</v>
      </c>
      <c r="AD720" s="455" t="n">
        <v>25</v>
      </c>
      <c r="AE720" s="455" t="s">
        <v>29</v>
      </c>
      <c r="AF720" s="455" t="n">
        <v>27</v>
      </c>
    </row>
    <row r="721" customFormat="false" ht="12.75" hidden="false" customHeight="true" outlineLevel="0" collapsed="false">
      <c r="A721" s="398" t="s">
        <v>1522</v>
      </c>
      <c r="B721" s="398"/>
      <c r="C721" s="456" t="n">
        <v>14345</v>
      </c>
      <c r="D721" s="456"/>
      <c r="E721" s="456"/>
      <c r="F721" s="456"/>
      <c r="G721" s="456"/>
      <c r="H721" s="456"/>
      <c r="I721" s="456"/>
      <c r="J721" s="456"/>
      <c r="K721" s="456"/>
      <c r="L721" s="456"/>
      <c r="M721" s="398" t="s">
        <v>1523</v>
      </c>
      <c r="N721" s="398"/>
      <c r="O721" s="398"/>
      <c r="P721" s="398"/>
      <c r="Q721" s="398"/>
      <c r="R721" s="456" t="s">
        <v>15</v>
      </c>
      <c r="S721" s="456"/>
      <c r="T721" s="456"/>
      <c r="U721" s="456"/>
      <c r="V721" s="456"/>
      <c r="W721" s="456"/>
      <c r="X721" s="456"/>
      <c r="Y721" s="456"/>
      <c r="Z721" s="456"/>
      <c r="AA721" s="456"/>
      <c r="AB721" s="456"/>
      <c r="AC721" s="456"/>
      <c r="AD721" s="456"/>
      <c r="AE721" s="456"/>
      <c r="AF721" s="456"/>
    </row>
    <row r="722" customFormat="false" ht="12.75" hidden="false" customHeight="true" outlineLevel="0" collapsed="false">
      <c r="A722" s="458"/>
      <c r="B722" s="458"/>
      <c r="C722" s="459"/>
      <c r="D722" s="459"/>
      <c r="E722" s="459"/>
      <c r="F722" s="459"/>
      <c r="G722" s="459"/>
      <c r="H722" s="459"/>
      <c r="I722" s="459"/>
      <c r="J722" s="459"/>
      <c r="K722" s="459"/>
      <c r="L722" s="459"/>
      <c r="M722" s="458"/>
      <c r="N722" s="458"/>
      <c r="O722" s="458"/>
      <c r="P722" s="458"/>
      <c r="Q722" s="458"/>
      <c r="R722" s="459"/>
      <c r="S722" s="459"/>
      <c r="T722" s="459"/>
      <c r="U722" s="459"/>
      <c r="V722" s="459"/>
      <c r="W722" s="459"/>
      <c r="X722" s="459"/>
      <c r="Y722" s="459"/>
      <c r="Z722" s="459"/>
      <c r="AA722" s="459"/>
      <c r="AB722" s="459"/>
      <c r="AC722" s="459"/>
      <c r="AD722" s="459"/>
      <c r="AE722" s="459"/>
      <c r="AF722" s="459"/>
    </row>
    <row r="723" customFormat="false" ht="15.75" hidden="false" customHeight="true" outlineLevel="0" collapsed="false">
      <c r="A723" s="460" t="str">
        <f aca="false">A696</f>
        <v>M28263</v>
      </c>
      <c r="B723" s="460"/>
      <c r="C723" s="460"/>
      <c r="D723" s="461" t="str">
        <f aca="false">D696</f>
        <v>SURGICAL CO A</v>
      </c>
      <c r="E723" s="461"/>
      <c r="F723" s="461"/>
      <c r="G723" s="461"/>
      <c r="H723" s="461"/>
      <c r="I723" s="461"/>
      <c r="J723" s="461"/>
      <c r="K723" s="461"/>
      <c r="L723" s="461"/>
      <c r="M723" s="458"/>
      <c r="N723" s="458"/>
      <c r="O723" s="458"/>
      <c r="P723" s="459"/>
      <c r="Q723" s="458"/>
      <c r="R723" s="459"/>
      <c r="S723" s="459"/>
      <c r="T723" s="459"/>
      <c r="U723" s="459"/>
      <c r="V723" s="459"/>
      <c r="W723" s="459"/>
      <c r="X723" s="459"/>
      <c r="Y723" s="459"/>
      <c r="Z723" s="459"/>
      <c r="AA723" s="459"/>
      <c r="AB723" s="459"/>
      <c r="AC723" s="459"/>
      <c r="AD723" s="459"/>
      <c r="AE723" s="459"/>
      <c r="AF723" s="459"/>
    </row>
    <row r="724" customFormat="false" ht="15.75" hidden="false" customHeight="true" outlineLevel="0" collapsed="false">
      <c r="A724" s="462" t="s">
        <v>1659</v>
      </c>
      <c r="B724" s="462"/>
      <c r="C724" s="462"/>
      <c r="D724" s="463" t="s">
        <v>1660</v>
      </c>
      <c r="E724" s="463"/>
      <c r="F724" s="463"/>
      <c r="G724" s="463"/>
      <c r="H724" s="463"/>
      <c r="I724" s="463"/>
      <c r="J724" s="463"/>
      <c r="K724" s="463"/>
      <c r="L724" s="463"/>
      <c r="M724" s="564" t="s">
        <v>1661</v>
      </c>
      <c r="N724" s="564"/>
      <c r="O724" s="465" t="s">
        <v>1662</v>
      </c>
      <c r="P724" s="465"/>
      <c r="Q724" s="465" t="s">
        <v>1663</v>
      </c>
      <c r="R724" s="465"/>
      <c r="S724" s="466" t="s">
        <v>1664</v>
      </c>
      <c r="T724" s="466"/>
      <c r="U724" s="466" t="s">
        <v>1665</v>
      </c>
      <c r="V724" s="466"/>
      <c r="W724" s="464" t="s">
        <v>1666</v>
      </c>
      <c r="X724" s="464"/>
      <c r="Y724" s="467" t="s">
        <v>1667</v>
      </c>
      <c r="Z724" s="467"/>
      <c r="AA724" s="467"/>
      <c r="AB724" s="467"/>
      <c r="AC724" s="467"/>
      <c r="AD724" s="467"/>
      <c r="AE724" s="467"/>
      <c r="AF724" s="459"/>
    </row>
    <row r="725" customFormat="false" ht="15.75" hidden="false" customHeight="true" outlineLevel="0" collapsed="false">
      <c r="A725" s="462"/>
      <c r="B725" s="462"/>
      <c r="C725" s="462"/>
      <c r="D725" s="463"/>
      <c r="E725" s="463"/>
      <c r="F725" s="463"/>
      <c r="G725" s="463"/>
      <c r="H725" s="463"/>
      <c r="I725" s="463"/>
      <c r="J725" s="463"/>
      <c r="K725" s="463"/>
      <c r="L725" s="463"/>
      <c r="M725" s="564"/>
      <c r="N725" s="564"/>
      <c r="O725" s="465"/>
      <c r="P725" s="465"/>
      <c r="Q725" s="465"/>
      <c r="R725" s="465"/>
      <c r="S725" s="466"/>
      <c r="T725" s="466"/>
      <c r="U725" s="466"/>
      <c r="V725" s="466"/>
      <c r="W725" s="464"/>
      <c r="X725" s="464"/>
      <c r="Y725" s="467"/>
      <c r="Z725" s="467"/>
      <c r="AA725" s="467"/>
      <c r="AB725" s="467"/>
      <c r="AC725" s="467"/>
      <c r="AD725" s="467"/>
      <c r="AE725" s="467"/>
      <c r="AF725" s="459"/>
    </row>
    <row r="726" customFormat="false" ht="30" hidden="false" customHeight="true" outlineLevel="0" collapsed="false">
      <c r="A726" s="462"/>
      <c r="B726" s="462"/>
      <c r="C726" s="462"/>
      <c r="D726" s="463"/>
      <c r="E726" s="463"/>
      <c r="F726" s="463"/>
      <c r="G726" s="463"/>
      <c r="H726" s="463"/>
      <c r="I726" s="463"/>
      <c r="J726" s="463"/>
      <c r="K726" s="463"/>
      <c r="L726" s="463"/>
      <c r="M726" s="564"/>
      <c r="N726" s="564"/>
      <c r="O726" s="465"/>
      <c r="P726" s="465"/>
      <c r="Q726" s="465"/>
      <c r="R726" s="465"/>
      <c r="S726" s="466"/>
      <c r="T726" s="466"/>
      <c r="U726" s="466"/>
      <c r="V726" s="466"/>
      <c r="W726" s="464"/>
      <c r="X726" s="464"/>
      <c r="Y726" s="467"/>
      <c r="Z726" s="467"/>
      <c r="AA726" s="467"/>
      <c r="AB726" s="467"/>
      <c r="AC726" s="467"/>
      <c r="AD726" s="467"/>
      <c r="AE726" s="467"/>
      <c r="AF726" s="468"/>
    </row>
    <row r="727" customFormat="false" ht="30" hidden="false" customHeight="true" outlineLevel="0" collapsed="false">
      <c r="A727" s="469"/>
      <c r="B727" s="469"/>
      <c r="C727" s="469"/>
      <c r="D727" s="505"/>
      <c r="E727" s="505"/>
      <c r="F727" s="505"/>
      <c r="G727" s="505"/>
      <c r="H727" s="505"/>
      <c r="I727" s="505"/>
      <c r="J727" s="505"/>
      <c r="K727" s="505"/>
      <c r="L727" s="505"/>
      <c r="M727" s="570" t="n">
        <f aca="false">SUMIFS(TE!P:P,TE!G:G,$A$426,TE!H:H,A727)</f>
        <v>0</v>
      </c>
      <c r="N727" s="570"/>
      <c r="O727" s="472"/>
      <c r="P727" s="472"/>
      <c r="Q727" s="473"/>
      <c r="R727" s="473"/>
      <c r="S727" s="474"/>
      <c r="T727" s="474"/>
      <c r="U727" s="474"/>
      <c r="V727" s="474"/>
      <c r="W727" s="475"/>
      <c r="X727" s="475"/>
      <c r="Y727" s="476"/>
      <c r="Z727" s="476"/>
      <c r="AA727" s="476"/>
      <c r="AB727" s="476"/>
      <c r="AC727" s="476"/>
      <c r="AD727" s="476"/>
      <c r="AE727" s="476"/>
      <c r="AF727" s="468"/>
    </row>
    <row r="728" customFormat="false" ht="30" hidden="false" customHeight="true" outlineLevel="0" collapsed="false">
      <c r="A728" s="477"/>
      <c r="B728" s="477"/>
      <c r="C728" s="477"/>
      <c r="D728" s="498"/>
      <c r="E728" s="498"/>
      <c r="F728" s="498"/>
      <c r="G728" s="498"/>
      <c r="H728" s="498"/>
      <c r="I728" s="498"/>
      <c r="J728" s="498"/>
      <c r="K728" s="498"/>
      <c r="L728" s="498"/>
      <c r="M728" s="479" t="n">
        <f aca="false">SUMIFS(TE!P:P,TE!G:G,$A$426,TE!H:H,A728)</f>
        <v>0</v>
      </c>
      <c r="N728" s="479"/>
      <c r="O728" s="480"/>
      <c r="P728" s="480"/>
      <c r="Q728" s="481"/>
      <c r="R728" s="481"/>
      <c r="S728" s="482"/>
      <c r="T728" s="482"/>
      <c r="U728" s="482"/>
      <c r="V728" s="482"/>
      <c r="W728" s="483"/>
      <c r="X728" s="483"/>
      <c r="Y728" s="484"/>
      <c r="Z728" s="484"/>
      <c r="AA728" s="484"/>
      <c r="AB728" s="484"/>
      <c r="AC728" s="484"/>
      <c r="AD728" s="484"/>
      <c r="AE728" s="484"/>
      <c r="AF728" s="468"/>
    </row>
    <row r="729" customFormat="false" ht="30" hidden="false" customHeight="true" outlineLevel="0" collapsed="false">
      <c r="A729" s="477"/>
      <c r="B729" s="477"/>
      <c r="C729" s="477"/>
      <c r="D729" s="498"/>
      <c r="E729" s="498"/>
      <c r="F729" s="498"/>
      <c r="G729" s="498"/>
      <c r="H729" s="498"/>
      <c r="I729" s="498"/>
      <c r="J729" s="498"/>
      <c r="K729" s="498"/>
      <c r="L729" s="498"/>
      <c r="M729" s="479" t="n">
        <f aca="false">SUMIFS(TE!P:P,TE!G:G,$A$426,TE!H:H,A729)</f>
        <v>0</v>
      </c>
      <c r="N729" s="479"/>
      <c r="O729" s="480"/>
      <c r="P729" s="480"/>
      <c r="Q729" s="481"/>
      <c r="R729" s="481"/>
      <c r="S729" s="482"/>
      <c r="T729" s="482"/>
      <c r="U729" s="482"/>
      <c r="V729" s="482"/>
      <c r="W729" s="483"/>
      <c r="X729" s="483"/>
      <c r="Y729" s="484"/>
      <c r="Z729" s="484"/>
      <c r="AA729" s="484"/>
      <c r="AB729" s="484"/>
      <c r="AC729" s="484"/>
      <c r="AD729" s="484"/>
      <c r="AE729" s="484"/>
      <c r="AF729" s="468"/>
    </row>
    <row r="730" customFormat="false" ht="30" hidden="false" customHeight="true" outlineLevel="0" collapsed="false">
      <c r="A730" s="477"/>
      <c r="B730" s="477"/>
      <c r="C730" s="477"/>
      <c r="D730" s="478"/>
      <c r="E730" s="478"/>
      <c r="F730" s="478"/>
      <c r="G730" s="478"/>
      <c r="H730" s="478"/>
      <c r="I730" s="478"/>
      <c r="J730" s="478"/>
      <c r="K730" s="478"/>
      <c r="L730" s="478"/>
      <c r="M730" s="479" t="n">
        <f aca="false">SUMIFS(TE!P:P,TE!G:G,$A$426,TE!H:H,A730)</f>
        <v>0</v>
      </c>
      <c r="N730" s="479"/>
      <c r="O730" s="480"/>
      <c r="P730" s="480"/>
      <c r="Q730" s="481"/>
      <c r="R730" s="481"/>
      <c r="S730" s="482"/>
      <c r="T730" s="482"/>
      <c r="U730" s="482"/>
      <c r="V730" s="482"/>
      <c r="W730" s="483"/>
      <c r="X730" s="483"/>
      <c r="Y730" s="484"/>
      <c r="Z730" s="484"/>
      <c r="AA730" s="484"/>
      <c r="AB730" s="484"/>
      <c r="AC730" s="484"/>
      <c r="AD730" s="484"/>
      <c r="AE730" s="484"/>
      <c r="AF730" s="468"/>
    </row>
    <row r="731" customFormat="false" ht="30" hidden="false" customHeight="true" outlineLevel="0" collapsed="false">
      <c r="A731" s="477"/>
      <c r="B731" s="477"/>
      <c r="C731" s="477"/>
      <c r="D731" s="478"/>
      <c r="E731" s="478"/>
      <c r="F731" s="478"/>
      <c r="G731" s="478"/>
      <c r="H731" s="478"/>
      <c r="I731" s="478"/>
      <c r="J731" s="478"/>
      <c r="K731" s="478"/>
      <c r="L731" s="478"/>
      <c r="M731" s="479" t="n">
        <f aca="false">SUMIFS(TE!P:P,TE!G:G,$A$426,TE!H:H,A731)</f>
        <v>0</v>
      </c>
      <c r="N731" s="479"/>
      <c r="O731" s="480"/>
      <c r="P731" s="480"/>
      <c r="Q731" s="481"/>
      <c r="R731" s="481"/>
      <c r="S731" s="482"/>
      <c r="T731" s="482"/>
      <c r="U731" s="482"/>
      <c r="V731" s="482"/>
      <c r="W731" s="483"/>
      <c r="X731" s="483"/>
      <c r="Y731" s="484"/>
      <c r="Z731" s="484"/>
      <c r="AA731" s="484"/>
      <c r="AB731" s="484"/>
      <c r="AC731" s="484"/>
      <c r="AD731" s="484"/>
      <c r="AE731" s="484"/>
      <c r="AF731" s="468"/>
    </row>
    <row r="732" customFormat="false" ht="30" hidden="false" customHeight="true" outlineLevel="0" collapsed="false">
      <c r="A732" s="477"/>
      <c r="B732" s="477"/>
      <c r="C732" s="477"/>
      <c r="D732" s="478"/>
      <c r="E732" s="478"/>
      <c r="F732" s="478"/>
      <c r="G732" s="478"/>
      <c r="H732" s="478"/>
      <c r="I732" s="478"/>
      <c r="J732" s="478"/>
      <c r="K732" s="478"/>
      <c r="L732" s="478"/>
      <c r="M732" s="479" t="n">
        <f aca="false">SUMIFS(TE!P:P,TE!G:G,$A$426,TE!H:H,A732)</f>
        <v>0</v>
      </c>
      <c r="N732" s="479"/>
      <c r="O732" s="480"/>
      <c r="P732" s="480"/>
      <c r="Q732" s="481"/>
      <c r="R732" s="481"/>
      <c r="S732" s="482"/>
      <c r="T732" s="482"/>
      <c r="U732" s="482"/>
      <c r="V732" s="482"/>
      <c r="W732" s="483"/>
      <c r="X732" s="483"/>
      <c r="Y732" s="484"/>
      <c r="Z732" s="484"/>
      <c r="AA732" s="484"/>
      <c r="AB732" s="484"/>
      <c r="AC732" s="484"/>
      <c r="AD732" s="484"/>
      <c r="AE732" s="484"/>
      <c r="AF732" s="468"/>
    </row>
    <row r="733" customFormat="false" ht="30" hidden="false" customHeight="true" outlineLevel="0" collapsed="false">
      <c r="A733" s="477"/>
      <c r="B733" s="477"/>
      <c r="C733" s="477"/>
      <c r="D733" s="478"/>
      <c r="E733" s="478"/>
      <c r="F733" s="478"/>
      <c r="G733" s="478"/>
      <c r="H733" s="478"/>
      <c r="I733" s="478"/>
      <c r="J733" s="478"/>
      <c r="K733" s="478"/>
      <c r="L733" s="478"/>
      <c r="M733" s="479" t="n">
        <f aca="false">SUMIFS(TE!P:P,TE!G:G,$A$426,TE!H:H,A733)</f>
        <v>0</v>
      </c>
      <c r="N733" s="479"/>
      <c r="O733" s="480"/>
      <c r="P733" s="480"/>
      <c r="Q733" s="481"/>
      <c r="R733" s="481"/>
      <c r="S733" s="482"/>
      <c r="T733" s="482"/>
      <c r="U733" s="482"/>
      <c r="V733" s="482"/>
      <c r="W733" s="483"/>
      <c r="X733" s="483"/>
      <c r="Y733" s="484"/>
      <c r="Z733" s="484"/>
      <c r="AA733" s="484"/>
      <c r="AB733" s="484"/>
      <c r="AC733" s="484"/>
      <c r="AD733" s="484"/>
      <c r="AE733" s="484"/>
      <c r="AF733" s="468"/>
    </row>
    <row r="734" customFormat="false" ht="30" hidden="false" customHeight="true" outlineLevel="0" collapsed="false">
      <c r="A734" s="477"/>
      <c r="B734" s="477"/>
      <c r="C734" s="477"/>
      <c r="D734" s="478"/>
      <c r="E734" s="478"/>
      <c r="F734" s="478"/>
      <c r="G734" s="478"/>
      <c r="H734" s="478"/>
      <c r="I734" s="478"/>
      <c r="J734" s="478"/>
      <c r="K734" s="478"/>
      <c r="L734" s="478"/>
      <c r="M734" s="479" t="n">
        <f aca="false">SUMIFS(TE!P:P,TE!G:G,$A$426,TE!H:H,A734)</f>
        <v>0</v>
      </c>
      <c r="N734" s="479"/>
      <c r="O734" s="480"/>
      <c r="P734" s="480"/>
      <c r="Q734" s="481"/>
      <c r="R734" s="481"/>
      <c r="S734" s="482"/>
      <c r="T734" s="482"/>
      <c r="U734" s="482"/>
      <c r="V734" s="482"/>
      <c r="W734" s="483"/>
      <c r="X734" s="483"/>
      <c r="Y734" s="484"/>
      <c r="Z734" s="484"/>
      <c r="AA734" s="484"/>
      <c r="AB734" s="484"/>
      <c r="AC734" s="484"/>
      <c r="AD734" s="484"/>
      <c r="AE734" s="484"/>
      <c r="AF734" s="468"/>
    </row>
    <row r="735" customFormat="false" ht="30" hidden="false" customHeight="true" outlineLevel="0" collapsed="false">
      <c r="A735" s="477"/>
      <c r="B735" s="477"/>
      <c r="C735" s="477"/>
      <c r="D735" s="478"/>
      <c r="E735" s="478"/>
      <c r="F735" s="478"/>
      <c r="G735" s="478"/>
      <c r="H735" s="478"/>
      <c r="I735" s="478"/>
      <c r="J735" s="478"/>
      <c r="K735" s="478"/>
      <c r="L735" s="478"/>
      <c r="M735" s="479" t="n">
        <f aca="false">SUMIFS(TE!P:P,TE!G:G,$A$426,TE!H:H,A735)</f>
        <v>0</v>
      </c>
      <c r="N735" s="479"/>
      <c r="O735" s="480"/>
      <c r="P735" s="480"/>
      <c r="Q735" s="481"/>
      <c r="R735" s="481"/>
      <c r="S735" s="482"/>
      <c r="T735" s="482"/>
      <c r="U735" s="482"/>
      <c r="V735" s="482"/>
      <c r="W735" s="483"/>
      <c r="X735" s="483"/>
      <c r="Y735" s="484"/>
      <c r="Z735" s="484"/>
      <c r="AA735" s="484"/>
      <c r="AB735" s="484"/>
      <c r="AC735" s="484"/>
      <c r="AD735" s="484"/>
      <c r="AE735" s="484"/>
      <c r="AF735" s="468"/>
    </row>
    <row r="736" customFormat="false" ht="30" hidden="false" customHeight="true" outlineLevel="0" collapsed="false">
      <c r="A736" s="477"/>
      <c r="B736" s="477"/>
      <c r="C736" s="477"/>
      <c r="D736" s="478"/>
      <c r="E736" s="478"/>
      <c r="F736" s="478"/>
      <c r="G736" s="478"/>
      <c r="H736" s="478"/>
      <c r="I736" s="478"/>
      <c r="J736" s="478"/>
      <c r="K736" s="478"/>
      <c r="L736" s="478"/>
      <c r="M736" s="479" t="n">
        <f aca="false">SUMIFS(TE!P:P,TE!G:G,$A$426,TE!H:H,A736)</f>
        <v>0</v>
      </c>
      <c r="N736" s="479"/>
      <c r="O736" s="480"/>
      <c r="P736" s="480"/>
      <c r="Q736" s="481"/>
      <c r="R736" s="481"/>
      <c r="S736" s="482"/>
      <c r="T736" s="482"/>
      <c r="U736" s="482"/>
      <c r="V736" s="482"/>
      <c r="W736" s="483"/>
      <c r="X736" s="483"/>
      <c r="Y736" s="484"/>
      <c r="Z736" s="484"/>
      <c r="AA736" s="484"/>
      <c r="AB736" s="484"/>
      <c r="AC736" s="484"/>
      <c r="AD736" s="484"/>
      <c r="AE736" s="484"/>
      <c r="AF736" s="468"/>
    </row>
    <row r="737" customFormat="false" ht="30" hidden="false" customHeight="true" outlineLevel="0" collapsed="false">
      <c r="A737" s="477"/>
      <c r="B737" s="477"/>
      <c r="C737" s="477"/>
      <c r="D737" s="478"/>
      <c r="E737" s="478"/>
      <c r="F737" s="478"/>
      <c r="G737" s="478"/>
      <c r="H737" s="478"/>
      <c r="I737" s="478"/>
      <c r="J737" s="478"/>
      <c r="K737" s="478"/>
      <c r="L737" s="478"/>
      <c r="M737" s="479" t="n">
        <f aca="false">SUMIFS(TE!P:P,TE!G:G,$A$426,TE!H:H,A737)</f>
        <v>0</v>
      </c>
      <c r="N737" s="479"/>
      <c r="O737" s="480"/>
      <c r="P737" s="480"/>
      <c r="Q737" s="481"/>
      <c r="R737" s="481"/>
      <c r="S737" s="482"/>
      <c r="T737" s="482"/>
      <c r="U737" s="482"/>
      <c r="V737" s="482"/>
      <c r="W737" s="483"/>
      <c r="X737" s="483"/>
      <c r="Y737" s="484"/>
      <c r="Z737" s="484"/>
      <c r="AA737" s="484"/>
      <c r="AB737" s="484"/>
      <c r="AC737" s="484"/>
      <c r="AD737" s="484"/>
      <c r="AE737" s="484"/>
      <c r="AF737" s="468"/>
    </row>
    <row r="738" customFormat="false" ht="30" hidden="false" customHeight="true" outlineLevel="0" collapsed="false">
      <c r="A738" s="477"/>
      <c r="B738" s="477"/>
      <c r="C738" s="477"/>
      <c r="D738" s="478"/>
      <c r="E738" s="478"/>
      <c r="F738" s="478"/>
      <c r="G738" s="478"/>
      <c r="H738" s="478"/>
      <c r="I738" s="478"/>
      <c r="J738" s="478"/>
      <c r="K738" s="478"/>
      <c r="L738" s="478"/>
      <c r="M738" s="479" t="n">
        <f aca="false">SUMIFS(TE!P:P,TE!G:G,$A$426,TE!H:H,A738)</f>
        <v>0</v>
      </c>
      <c r="N738" s="479"/>
      <c r="O738" s="485"/>
      <c r="P738" s="485"/>
      <c r="Q738" s="485"/>
      <c r="R738" s="485"/>
      <c r="S738" s="485"/>
      <c r="T738" s="485"/>
      <c r="U738" s="485"/>
      <c r="V738" s="485"/>
      <c r="W738" s="483"/>
      <c r="X738" s="483"/>
      <c r="Y738" s="484"/>
      <c r="Z738" s="484"/>
      <c r="AA738" s="484"/>
      <c r="AB738" s="484"/>
      <c r="AC738" s="484"/>
      <c r="AD738" s="484"/>
      <c r="AE738" s="484"/>
      <c r="AF738" s="396"/>
    </row>
    <row r="739" customFormat="false" ht="30" hidden="false" customHeight="true" outlineLevel="0" collapsed="false">
      <c r="A739" s="477"/>
      <c r="B739" s="477"/>
      <c r="C739" s="477"/>
      <c r="D739" s="478"/>
      <c r="E739" s="478"/>
      <c r="F739" s="478"/>
      <c r="G739" s="478"/>
      <c r="H739" s="478"/>
      <c r="I739" s="478"/>
      <c r="J739" s="478"/>
      <c r="K739" s="478"/>
      <c r="L739" s="478"/>
      <c r="M739" s="479" t="n">
        <f aca="false">SUMIFS(TE!P:P,TE!G:G,$A$426,TE!H:H,A739)</f>
        <v>0</v>
      </c>
      <c r="N739" s="479"/>
      <c r="O739" s="480"/>
      <c r="P739" s="480"/>
      <c r="Q739" s="481"/>
      <c r="R739" s="481"/>
      <c r="S739" s="482"/>
      <c r="T739" s="482"/>
      <c r="U739" s="482"/>
      <c r="V739" s="482"/>
      <c r="W739" s="483"/>
      <c r="X739" s="483"/>
      <c r="Y739" s="484"/>
      <c r="Z739" s="484"/>
      <c r="AA739" s="484"/>
      <c r="AB739" s="484"/>
      <c r="AC739" s="484"/>
      <c r="AD739" s="484"/>
      <c r="AE739" s="484"/>
      <c r="AF739" s="396"/>
    </row>
    <row r="740" customFormat="false" ht="30" hidden="false" customHeight="true" outlineLevel="0" collapsed="false">
      <c r="A740" s="477"/>
      <c r="B740" s="477"/>
      <c r="C740" s="477"/>
      <c r="D740" s="478"/>
      <c r="E740" s="478"/>
      <c r="F740" s="478"/>
      <c r="G740" s="478"/>
      <c r="H740" s="478"/>
      <c r="I740" s="478"/>
      <c r="J740" s="478"/>
      <c r="K740" s="478"/>
      <c r="L740" s="478"/>
      <c r="M740" s="479" t="n">
        <f aca="false">SUMIFS(TE!P:P,TE!G:G,$A$426,TE!H:H,A740)</f>
        <v>0</v>
      </c>
      <c r="N740" s="479"/>
      <c r="O740" s="480"/>
      <c r="P740" s="480"/>
      <c r="Q740" s="481"/>
      <c r="R740" s="481"/>
      <c r="S740" s="482"/>
      <c r="T740" s="482"/>
      <c r="U740" s="482"/>
      <c r="V740" s="482"/>
      <c r="W740" s="483"/>
      <c r="X740" s="483"/>
      <c r="Y740" s="484"/>
      <c r="Z740" s="484"/>
      <c r="AA740" s="484"/>
      <c r="AB740" s="484"/>
      <c r="AC740" s="484"/>
      <c r="AD740" s="484"/>
      <c r="AE740" s="484"/>
      <c r="AF740" s="396"/>
    </row>
    <row r="741" customFormat="false" ht="30" hidden="false" customHeight="true" outlineLevel="0" collapsed="false">
      <c r="A741" s="477"/>
      <c r="B741" s="477"/>
      <c r="C741" s="477"/>
      <c r="D741" s="478"/>
      <c r="E741" s="478"/>
      <c r="F741" s="478"/>
      <c r="G741" s="478"/>
      <c r="H741" s="478"/>
      <c r="I741" s="478"/>
      <c r="J741" s="478"/>
      <c r="K741" s="478"/>
      <c r="L741" s="478"/>
      <c r="M741" s="479" t="n">
        <f aca="false">SUMIFS(TE!P:P,TE!G:G,$A$426,TE!H:H,A741)</f>
        <v>0</v>
      </c>
      <c r="N741" s="479"/>
      <c r="O741" s="480"/>
      <c r="P741" s="480"/>
      <c r="Q741" s="481"/>
      <c r="R741" s="481"/>
      <c r="S741" s="482"/>
      <c r="T741" s="482"/>
      <c r="U741" s="482"/>
      <c r="V741" s="482"/>
      <c r="W741" s="483"/>
      <c r="X741" s="483"/>
      <c r="Y741" s="484"/>
      <c r="Z741" s="484"/>
      <c r="AA741" s="484"/>
      <c r="AB741" s="484"/>
      <c r="AC741" s="484"/>
      <c r="AD741" s="484"/>
      <c r="AE741" s="484"/>
      <c r="AF741" s="396"/>
    </row>
    <row r="742" customFormat="false" ht="30" hidden="false" customHeight="true" outlineLevel="0" collapsed="false">
      <c r="A742" s="477"/>
      <c r="B742" s="477"/>
      <c r="C742" s="477"/>
      <c r="D742" s="478"/>
      <c r="E742" s="478"/>
      <c r="F742" s="478"/>
      <c r="G742" s="478"/>
      <c r="H742" s="478"/>
      <c r="I742" s="478"/>
      <c r="J742" s="478"/>
      <c r="K742" s="478"/>
      <c r="L742" s="478"/>
      <c r="M742" s="479" t="n">
        <f aca="false">SUMIFS(TE!P:P,TE!G:G,$A$426,TE!H:H,A742)</f>
        <v>0</v>
      </c>
      <c r="N742" s="479"/>
      <c r="O742" s="480"/>
      <c r="P742" s="480"/>
      <c r="Q742" s="481"/>
      <c r="R742" s="481"/>
      <c r="S742" s="482"/>
      <c r="T742" s="482"/>
      <c r="U742" s="482"/>
      <c r="V742" s="482"/>
      <c r="W742" s="483"/>
      <c r="X742" s="483"/>
      <c r="Y742" s="484"/>
      <c r="Z742" s="484"/>
      <c r="AA742" s="484"/>
      <c r="AB742" s="484"/>
      <c r="AC742" s="484"/>
      <c r="AD742" s="484"/>
      <c r="AE742" s="484"/>
      <c r="AF742" s="396"/>
    </row>
    <row r="743" customFormat="false" ht="30" hidden="false" customHeight="true" outlineLevel="0" collapsed="false">
      <c r="A743" s="477"/>
      <c r="B743" s="477"/>
      <c r="C743" s="477"/>
      <c r="D743" s="478"/>
      <c r="E743" s="478"/>
      <c r="F743" s="478"/>
      <c r="G743" s="478"/>
      <c r="H743" s="478"/>
      <c r="I743" s="478"/>
      <c r="J743" s="478"/>
      <c r="K743" s="478"/>
      <c r="L743" s="478"/>
      <c r="M743" s="479" t="n">
        <f aca="false">SUMIFS(TE!P:P,TE!G:G,$A$426,TE!H:H,A743)</f>
        <v>0</v>
      </c>
      <c r="N743" s="479"/>
      <c r="O743" s="480"/>
      <c r="P743" s="480"/>
      <c r="Q743" s="481"/>
      <c r="R743" s="481"/>
      <c r="S743" s="482"/>
      <c r="T743" s="482"/>
      <c r="U743" s="482"/>
      <c r="V743" s="482"/>
      <c r="W743" s="483"/>
      <c r="X743" s="483"/>
      <c r="Y743" s="484"/>
      <c r="Z743" s="484"/>
      <c r="AA743" s="484"/>
      <c r="AB743" s="484"/>
      <c r="AC743" s="484"/>
      <c r="AD743" s="484"/>
      <c r="AE743" s="484"/>
      <c r="AF743" s="396"/>
    </row>
    <row r="744" customFormat="false" ht="30" hidden="false" customHeight="true" outlineLevel="0" collapsed="false">
      <c r="A744" s="477"/>
      <c r="B744" s="477"/>
      <c r="C744" s="477"/>
      <c r="D744" s="478"/>
      <c r="E744" s="478"/>
      <c r="F744" s="478"/>
      <c r="G744" s="478"/>
      <c r="H744" s="478"/>
      <c r="I744" s="478"/>
      <c r="J744" s="478"/>
      <c r="K744" s="478"/>
      <c r="L744" s="478"/>
      <c r="M744" s="479" t="n">
        <f aca="false">SUMIFS(TE!P:P,TE!G:G,$A$426,TE!H:H,A744)</f>
        <v>0</v>
      </c>
      <c r="N744" s="479"/>
      <c r="O744" s="480"/>
      <c r="P744" s="480"/>
      <c r="Q744" s="481"/>
      <c r="R744" s="481"/>
      <c r="S744" s="482"/>
      <c r="T744" s="482"/>
      <c r="U744" s="482"/>
      <c r="V744" s="482"/>
      <c r="W744" s="483"/>
      <c r="X744" s="483"/>
      <c r="Y744" s="484"/>
      <c r="Z744" s="484"/>
      <c r="AA744" s="484"/>
      <c r="AB744" s="484"/>
      <c r="AC744" s="484"/>
      <c r="AD744" s="484"/>
      <c r="AE744" s="484"/>
      <c r="AF744" s="396"/>
    </row>
    <row r="745" customFormat="false" ht="30" hidden="false" customHeight="true" outlineLevel="0" collapsed="false">
      <c r="A745" s="486"/>
      <c r="B745" s="486"/>
      <c r="C745" s="486"/>
      <c r="D745" s="487"/>
      <c r="E745" s="487"/>
      <c r="F745" s="487"/>
      <c r="G745" s="487"/>
      <c r="H745" s="487"/>
      <c r="I745" s="487"/>
      <c r="J745" s="487"/>
      <c r="K745" s="487"/>
      <c r="L745" s="487"/>
      <c r="M745" s="488" t="n">
        <f aca="false">SUMIFS(TE!P:P,TE!G:G,$A$426,TE!H:H,A745)</f>
        <v>0</v>
      </c>
      <c r="N745" s="488"/>
      <c r="O745" s="489"/>
      <c r="P745" s="489"/>
      <c r="Q745" s="490"/>
      <c r="R745" s="490"/>
      <c r="S745" s="491"/>
      <c r="T745" s="491"/>
      <c r="U745" s="491"/>
      <c r="V745" s="491"/>
      <c r="W745" s="492"/>
      <c r="X745" s="492"/>
      <c r="Y745" s="493"/>
      <c r="Z745" s="493"/>
      <c r="AA745" s="493"/>
      <c r="AB745" s="493"/>
      <c r="AC745" s="493"/>
      <c r="AD745" s="493"/>
      <c r="AE745" s="493"/>
      <c r="AF745" s="396"/>
    </row>
    <row r="746" customFormat="false" ht="12.75" hidden="false" customHeight="true" outlineLevel="0" collapsed="false">
      <c r="A746" s="396"/>
      <c r="B746" s="396"/>
      <c r="C746" s="396"/>
      <c r="D746" s="396"/>
      <c r="E746" s="396"/>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c r="AD746" s="396"/>
      <c r="AE746" s="396"/>
      <c r="AF746" s="396"/>
    </row>
    <row r="747" customFormat="false" ht="12.75" hidden="false" customHeight="true" outlineLevel="0" collapsed="false">
      <c r="A747" s="495"/>
      <c r="B747" s="495"/>
      <c r="C747" s="495"/>
      <c r="D747" s="495"/>
      <c r="E747" s="495"/>
      <c r="F747" s="495"/>
      <c r="G747" s="495"/>
      <c r="H747" s="495"/>
      <c r="I747" s="495"/>
      <c r="J747" s="495"/>
      <c r="K747" s="495"/>
      <c r="L747" s="495"/>
      <c r="M747" s="495"/>
      <c r="N747" s="495"/>
      <c r="O747" s="495"/>
      <c r="P747" s="495"/>
      <c r="Q747" s="495"/>
      <c r="R747" s="495"/>
      <c r="S747" s="495"/>
      <c r="T747" s="495"/>
      <c r="U747" s="495"/>
      <c r="V747" s="495"/>
      <c r="W747" s="495"/>
      <c r="X747" s="495"/>
      <c r="Y747" s="495"/>
      <c r="Z747" s="495"/>
      <c r="AA747" s="495"/>
      <c r="AB747" s="453"/>
      <c r="AC747" s="454" t="s">
        <v>1657</v>
      </c>
      <c r="AD747" s="455" t="n">
        <v>26</v>
      </c>
      <c r="AE747" s="455" t="s">
        <v>29</v>
      </c>
      <c r="AF747" s="455" t="n">
        <v>27</v>
      </c>
    </row>
    <row r="748" customFormat="false" ht="12.75" hidden="false" customHeight="true" outlineLevel="0" collapsed="false">
      <c r="A748" s="398" t="s">
        <v>1522</v>
      </c>
      <c r="B748" s="398"/>
      <c r="C748" s="456" t="n">
        <v>14345</v>
      </c>
      <c r="D748" s="456"/>
      <c r="E748" s="456"/>
      <c r="F748" s="456"/>
      <c r="G748" s="456"/>
      <c r="H748" s="456"/>
      <c r="I748" s="456"/>
      <c r="J748" s="456"/>
      <c r="K748" s="456"/>
      <c r="L748" s="456"/>
      <c r="M748" s="398" t="s">
        <v>1523</v>
      </c>
      <c r="N748" s="398"/>
      <c r="O748" s="398"/>
      <c r="P748" s="398"/>
      <c r="Q748" s="398"/>
      <c r="R748" s="456" t="str">
        <f aca="false">$R$5</f>
        <v>Armory</v>
      </c>
      <c r="S748" s="456"/>
      <c r="T748" s="456"/>
      <c r="U748" s="456"/>
      <c r="V748" s="456"/>
      <c r="W748" s="456"/>
      <c r="X748" s="456"/>
      <c r="Y748" s="456"/>
      <c r="Z748" s="456"/>
      <c r="AA748" s="456"/>
      <c r="AB748" s="456"/>
      <c r="AC748" s="456"/>
      <c r="AD748" s="456"/>
      <c r="AE748" s="456"/>
      <c r="AF748" s="456"/>
    </row>
    <row r="749" customFormat="false" ht="12.75" hidden="false" customHeight="true" outlineLevel="0" collapsed="false">
      <c r="A749" s="396"/>
      <c r="B749" s="396"/>
      <c r="C749" s="396"/>
      <c r="D749" s="396"/>
      <c r="E749" s="396"/>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c r="AD749" s="396"/>
      <c r="AE749" s="396"/>
      <c r="AF749" s="396"/>
    </row>
    <row r="750" customFormat="false" ht="12.75" hidden="false" customHeight="true" outlineLevel="0" collapsed="false">
      <c r="A750" s="396"/>
      <c r="B750" s="396"/>
      <c r="C750" s="460" t="str">
        <f aca="false">A642</f>
        <v>M28263</v>
      </c>
      <c r="D750" s="460"/>
      <c r="E750" s="460"/>
      <c r="F750" s="461" t="str">
        <f aca="false">D642</f>
        <v>SURGICAL CO A</v>
      </c>
      <c r="G750" s="461"/>
      <c r="H750" s="461"/>
      <c r="I750" s="461"/>
      <c r="J750" s="461"/>
      <c r="K750" s="461"/>
      <c r="L750" s="461"/>
      <c r="M750" s="461"/>
      <c r="N750" s="461"/>
      <c r="O750" s="396"/>
      <c r="P750" s="396"/>
      <c r="Q750" s="396"/>
      <c r="R750" s="396"/>
      <c r="S750" s="396"/>
      <c r="T750" s="396"/>
      <c r="U750" s="396"/>
      <c r="V750" s="396"/>
      <c r="W750" s="396"/>
      <c r="X750" s="396"/>
      <c r="Y750" s="396"/>
      <c r="Z750" s="396"/>
      <c r="AA750" s="396"/>
      <c r="AB750" s="396"/>
      <c r="AC750" s="396"/>
      <c r="AD750" s="396"/>
      <c r="AE750" s="396"/>
      <c r="AF750" s="396"/>
    </row>
    <row r="751" customFormat="false" ht="12.75" hidden="false" customHeight="true" outlineLevel="0" collapsed="false">
      <c r="A751" s="396"/>
      <c r="B751" s="396"/>
      <c r="C751" s="506" t="s">
        <v>2142</v>
      </c>
      <c r="D751" s="506"/>
      <c r="E751" s="507" t="s">
        <v>2143</v>
      </c>
      <c r="F751" s="507"/>
      <c r="G751" s="507"/>
      <c r="H751" s="507"/>
      <c r="I751" s="507"/>
      <c r="J751" s="507"/>
      <c r="K751" s="507"/>
      <c r="L751" s="507"/>
      <c r="M751" s="508"/>
      <c r="N751" s="509" t="s">
        <v>2144</v>
      </c>
      <c r="O751" s="509"/>
      <c r="P751" s="509"/>
      <c r="Q751" s="509"/>
      <c r="R751" s="509" t="s">
        <v>2145</v>
      </c>
      <c r="S751" s="509"/>
      <c r="T751" s="509"/>
      <c r="U751" s="509"/>
      <c r="V751" s="509" t="s">
        <v>2146</v>
      </c>
      <c r="W751" s="509"/>
      <c r="X751" s="509"/>
      <c r="Y751" s="509"/>
      <c r="Z751" s="510" t="s">
        <v>2147</v>
      </c>
      <c r="AA751" s="510"/>
      <c r="AB751" s="510"/>
      <c r="AC751" s="510"/>
      <c r="AD751" s="396"/>
      <c r="AE751" s="396"/>
      <c r="AF751" s="396"/>
    </row>
    <row r="752" customFormat="false" ht="12.75" hidden="false" customHeight="true" outlineLevel="0" collapsed="false">
      <c r="A752" s="396"/>
      <c r="B752" s="396"/>
      <c r="C752" s="506"/>
      <c r="D752" s="506"/>
      <c r="E752" s="507"/>
      <c r="F752" s="507"/>
      <c r="G752" s="507"/>
      <c r="H752" s="507"/>
      <c r="I752" s="507"/>
      <c r="J752" s="507"/>
      <c r="K752" s="507"/>
      <c r="L752" s="507"/>
      <c r="M752" s="511"/>
      <c r="N752" s="509"/>
      <c r="O752" s="509"/>
      <c r="P752" s="509"/>
      <c r="Q752" s="509"/>
      <c r="R752" s="509"/>
      <c r="S752" s="509"/>
      <c r="T752" s="509"/>
      <c r="U752" s="509"/>
      <c r="V752" s="509"/>
      <c r="W752" s="509"/>
      <c r="X752" s="509"/>
      <c r="Y752" s="509"/>
      <c r="Z752" s="510"/>
      <c r="AA752" s="510"/>
      <c r="AB752" s="510"/>
      <c r="AC752" s="510"/>
      <c r="AD752" s="396"/>
      <c r="AE752" s="396"/>
      <c r="AF752" s="396"/>
    </row>
    <row r="753" customFormat="false" ht="12.75" hidden="false" customHeight="true" outlineLevel="0" collapsed="false">
      <c r="A753" s="396"/>
      <c r="B753" s="396"/>
      <c r="C753" s="512" t="s">
        <v>1670</v>
      </c>
      <c r="D753" s="512"/>
      <c r="E753" s="513" t="s">
        <v>2148</v>
      </c>
      <c r="F753" s="513"/>
      <c r="G753" s="513"/>
      <c r="H753" s="513"/>
      <c r="I753" s="513"/>
      <c r="J753" s="513"/>
      <c r="K753" s="513"/>
      <c r="L753" s="513"/>
      <c r="M753" s="513"/>
      <c r="N753" s="514" t="n">
        <f aca="false">ROUNDUP(SUMIFS($Q$430:$R$745,$W$430:$X$745,C753),0)</f>
        <v>1</v>
      </c>
      <c r="O753" s="514"/>
      <c r="P753" s="514"/>
      <c r="Q753" s="514"/>
      <c r="R753" s="515" t="n">
        <f aca="false">EVEN(N753/2)</f>
        <v>2</v>
      </c>
      <c r="S753" s="515"/>
      <c r="T753" s="515"/>
      <c r="U753" s="515"/>
      <c r="V753" s="516" t="n">
        <v>13.4</v>
      </c>
      <c r="W753" s="516"/>
      <c r="X753" s="516"/>
      <c r="Y753" s="516"/>
      <c r="Z753" s="517" t="n">
        <f aca="false">R753*V753</f>
        <v>26.8</v>
      </c>
      <c r="AA753" s="517"/>
      <c r="AB753" s="517"/>
      <c r="AC753" s="517"/>
      <c r="AD753" s="396"/>
      <c r="AE753" s="396"/>
      <c r="AF753" s="396"/>
    </row>
    <row r="754" customFormat="false" ht="12.75" hidden="false" customHeight="true" outlineLevel="0" collapsed="false">
      <c r="A754" s="396"/>
      <c r="B754" s="396"/>
      <c r="C754" s="518" t="s">
        <v>1810</v>
      </c>
      <c r="D754" s="518"/>
      <c r="E754" s="519" t="s">
        <v>2149</v>
      </c>
      <c r="F754" s="519"/>
      <c r="G754" s="519"/>
      <c r="H754" s="519"/>
      <c r="I754" s="519"/>
      <c r="J754" s="519"/>
      <c r="K754" s="519"/>
      <c r="L754" s="519"/>
      <c r="M754" s="519"/>
      <c r="N754" s="520" t="s">
        <v>1678</v>
      </c>
      <c r="O754" s="520"/>
      <c r="P754" s="520"/>
      <c r="Q754" s="520"/>
      <c r="R754" s="520" t="s">
        <v>1678</v>
      </c>
      <c r="S754" s="520"/>
      <c r="T754" s="520"/>
      <c r="U754" s="520"/>
      <c r="V754" s="520" t="s">
        <v>1678</v>
      </c>
      <c r="W754" s="520"/>
      <c r="X754" s="520"/>
      <c r="Y754" s="520"/>
      <c r="Z754" s="521" t="s">
        <v>1678</v>
      </c>
      <c r="AA754" s="521"/>
      <c r="AB754" s="521"/>
      <c r="AC754" s="521"/>
      <c r="AD754" s="396"/>
      <c r="AE754" s="396"/>
      <c r="AF754" s="396"/>
    </row>
    <row r="755" customFormat="false" ht="12.75" hidden="false" customHeight="true" outlineLevel="0" collapsed="false">
      <c r="A755" s="396"/>
      <c r="B755" s="396"/>
      <c r="C755" s="522" t="s">
        <v>1878</v>
      </c>
      <c r="D755" s="522"/>
      <c r="E755" s="523" t="s">
        <v>2150</v>
      </c>
      <c r="F755" s="523"/>
      <c r="G755" s="523"/>
      <c r="H755" s="523"/>
      <c r="I755" s="523"/>
      <c r="J755" s="523"/>
      <c r="K755" s="523"/>
      <c r="L755" s="523"/>
      <c r="M755" s="523"/>
      <c r="N755" s="514" t="n">
        <f aca="false">ROUNDUP(SUMIFS($Q$430:$R$745,$W$430:$X$745,C755),0)</f>
        <v>1</v>
      </c>
      <c r="O755" s="514"/>
      <c r="P755" s="514"/>
      <c r="Q755" s="514"/>
      <c r="R755" s="514" t="n">
        <f aca="false">EVEN(N755/2)</f>
        <v>2</v>
      </c>
      <c r="S755" s="514"/>
      <c r="T755" s="514"/>
      <c r="U755" s="514"/>
      <c r="V755" s="524" t="n">
        <v>13.4</v>
      </c>
      <c r="W755" s="524"/>
      <c r="X755" s="524"/>
      <c r="Y755" s="524"/>
      <c r="Z755" s="525" t="n">
        <f aca="false">R755*V755</f>
        <v>26.8</v>
      </c>
      <c r="AA755" s="525"/>
      <c r="AB755" s="525"/>
      <c r="AC755" s="525"/>
      <c r="AD755" s="396"/>
      <c r="AE755" s="396"/>
      <c r="AF755" s="396"/>
    </row>
    <row r="756" customFormat="false" ht="12.75" hidden="false" customHeight="true" outlineLevel="0" collapsed="false">
      <c r="A756" s="396"/>
      <c r="B756" s="396"/>
      <c r="C756" s="522" t="s">
        <v>1767</v>
      </c>
      <c r="D756" s="522"/>
      <c r="E756" s="523" t="s">
        <v>2151</v>
      </c>
      <c r="F756" s="523"/>
      <c r="G756" s="523"/>
      <c r="H756" s="523"/>
      <c r="I756" s="523"/>
      <c r="J756" s="523"/>
      <c r="K756" s="523"/>
      <c r="L756" s="523"/>
      <c r="M756" s="523"/>
      <c r="N756" s="514" t="n">
        <f aca="false">ROUNDUP(SUMIFS($Q$430:$R$745,$W$430:$X$745,C756),0)</f>
        <v>1</v>
      </c>
      <c r="O756" s="514"/>
      <c r="P756" s="514"/>
      <c r="Q756" s="514"/>
      <c r="R756" s="514" t="n">
        <f aca="false">EVEN(N756/2)</f>
        <v>2</v>
      </c>
      <c r="S756" s="514"/>
      <c r="T756" s="514"/>
      <c r="U756" s="514"/>
      <c r="V756" s="524" t="n">
        <v>13.4</v>
      </c>
      <c r="W756" s="524"/>
      <c r="X756" s="524"/>
      <c r="Y756" s="524"/>
      <c r="Z756" s="525" t="n">
        <f aca="false">R756*V756</f>
        <v>26.8</v>
      </c>
      <c r="AA756" s="525"/>
      <c r="AB756" s="525"/>
      <c r="AC756" s="525"/>
      <c r="AD756" s="396"/>
      <c r="AE756" s="396"/>
      <c r="AF756" s="396"/>
    </row>
    <row r="757" customFormat="false" ht="12.75" hidden="false" customHeight="true" outlineLevel="0" collapsed="false">
      <c r="A757" s="396"/>
      <c r="B757" s="396"/>
      <c r="C757" s="522" t="s">
        <v>1847</v>
      </c>
      <c r="D757" s="522"/>
      <c r="E757" s="523" t="s">
        <v>2152</v>
      </c>
      <c r="F757" s="523"/>
      <c r="G757" s="523"/>
      <c r="H757" s="523"/>
      <c r="I757" s="523"/>
      <c r="J757" s="523"/>
      <c r="K757" s="523"/>
      <c r="L757" s="523"/>
      <c r="M757" s="523"/>
      <c r="N757" s="514" t="n">
        <f aca="false">ROUNDUP(SUMIFS($Q$430:$R$745,$W$430:$X$745,C757),0)</f>
        <v>5</v>
      </c>
      <c r="O757" s="514"/>
      <c r="P757" s="514"/>
      <c r="Q757" s="514"/>
      <c r="R757" s="514" t="n">
        <f aca="false">EVEN(N757/2)</f>
        <v>4</v>
      </c>
      <c r="S757" s="514"/>
      <c r="T757" s="514"/>
      <c r="U757" s="514"/>
      <c r="V757" s="524" t="n">
        <v>13.4</v>
      </c>
      <c r="W757" s="524"/>
      <c r="X757" s="524"/>
      <c r="Y757" s="524"/>
      <c r="Z757" s="525" t="n">
        <f aca="false">R757*V757</f>
        <v>53.6</v>
      </c>
      <c r="AA757" s="525"/>
      <c r="AB757" s="525"/>
      <c r="AC757" s="525"/>
      <c r="AD757" s="396"/>
      <c r="AE757" s="396"/>
      <c r="AF757" s="396"/>
    </row>
    <row r="758" customFormat="false" ht="12.75" hidden="false" customHeight="true" outlineLevel="0" collapsed="false">
      <c r="A758" s="396"/>
      <c r="B758" s="396"/>
      <c r="C758" s="522" t="s">
        <v>1710</v>
      </c>
      <c r="D758" s="522"/>
      <c r="E758" s="523" t="s">
        <v>2153</v>
      </c>
      <c r="F758" s="523"/>
      <c r="G758" s="523"/>
      <c r="H758" s="523"/>
      <c r="I758" s="523"/>
      <c r="J758" s="523"/>
      <c r="K758" s="523"/>
      <c r="L758" s="523"/>
      <c r="M758" s="523"/>
      <c r="N758" s="514" t="n">
        <f aca="false">ROUNDUP(SUMIFS($Q$430:$R$745,$W$430:$X$745,C758),0)</f>
        <v>0</v>
      </c>
      <c r="O758" s="514"/>
      <c r="P758" s="514"/>
      <c r="Q758" s="514"/>
      <c r="R758" s="514" t="n">
        <f aca="false">EVEN(N758/2)</f>
        <v>0</v>
      </c>
      <c r="S758" s="514"/>
      <c r="T758" s="514"/>
      <c r="U758" s="514"/>
      <c r="V758" s="524" t="n">
        <v>13.4</v>
      </c>
      <c r="W758" s="524"/>
      <c r="X758" s="524"/>
      <c r="Y758" s="524"/>
      <c r="Z758" s="525" t="n">
        <f aca="false">R758*V758</f>
        <v>0</v>
      </c>
      <c r="AA758" s="525"/>
      <c r="AB758" s="525"/>
      <c r="AC758" s="525"/>
      <c r="AD758" s="396"/>
      <c r="AE758" s="396"/>
      <c r="AF758" s="396"/>
    </row>
    <row r="759" customFormat="false" ht="12.75" hidden="false" customHeight="true" outlineLevel="0" collapsed="false">
      <c r="A759" s="396"/>
      <c r="B759" s="396"/>
      <c r="C759" s="522" t="s">
        <v>1891</v>
      </c>
      <c r="D759" s="522"/>
      <c r="E759" s="523" t="s">
        <v>2154</v>
      </c>
      <c r="F759" s="523"/>
      <c r="G759" s="523"/>
      <c r="H759" s="523"/>
      <c r="I759" s="523"/>
      <c r="J759" s="523"/>
      <c r="K759" s="523"/>
      <c r="L759" s="523"/>
      <c r="M759" s="523"/>
      <c r="N759" s="514" t="n">
        <f aca="false">ROUNDUP(SUMIFS($Q$430:$R$745,$W$430:$X$745,C759),0)</f>
        <v>0</v>
      </c>
      <c r="O759" s="514"/>
      <c r="P759" s="514"/>
      <c r="Q759" s="514"/>
      <c r="R759" s="514" t="n">
        <f aca="false">EVEN(N759/2)</f>
        <v>0</v>
      </c>
      <c r="S759" s="514"/>
      <c r="T759" s="514"/>
      <c r="U759" s="514"/>
      <c r="V759" s="524" t="n">
        <v>13.4</v>
      </c>
      <c r="W759" s="524"/>
      <c r="X759" s="524"/>
      <c r="Y759" s="524"/>
      <c r="Z759" s="525" t="n">
        <f aca="false">R759*V759</f>
        <v>0</v>
      </c>
      <c r="AA759" s="525"/>
      <c r="AB759" s="525"/>
      <c r="AC759" s="525"/>
      <c r="AD759" s="396"/>
      <c r="AE759" s="396"/>
      <c r="AF759" s="396"/>
    </row>
    <row r="760" customFormat="false" ht="12.75" hidden="false" customHeight="true" outlineLevel="0" collapsed="false">
      <c r="A760" s="396"/>
      <c r="B760" s="396"/>
      <c r="C760" s="522" t="s">
        <v>1795</v>
      </c>
      <c r="D760" s="522"/>
      <c r="E760" s="523" t="s">
        <v>2155</v>
      </c>
      <c r="F760" s="523"/>
      <c r="G760" s="523"/>
      <c r="H760" s="523"/>
      <c r="I760" s="523"/>
      <c r="J760" s="523"/>
      <c r="K760" s="523"/>
      <c r="L760" s="523"/>
      <c r="M760" s="523"/>
      <c r="N760" s="514" t="n">
        <f aca="false">ROUNDUP(SUMIFS($Q$430:$R$745,$W$430:$X$745,C760),0)</f>
        <v>1</v>
      </c>
      <c r="O760" s="514"/>
      <c r="P760" s="514"/>
      <c r="Q760" s="514"/>
      <c r="R760" s="514" t="n">
        <f aca="false">N760</f>
        <v>1</v>
      </c>
      <c r="S760" s="514"/>
      <c r="T760" s="514"/>
      <c r="U760" s="514"/>
      <c r="V760" s="524" t="n">
        <v>13.4</v>
      </c>
      <c r="W760" s="524"/>
      <c r="X760" s="524"/>
      <c r="Y760" s="524"/>
      <c r="Z760" s="525" t="n">
        <f aca="false">R760*V760</f>
        <v>13.4</v>
      </c>
      <c r="AA760" s="525"/>
      <c r="AB760" s="525"/>
      <c r="AC760" s="525"/>
      <c r="AD760" s="396"/>
      <c r="AE760" s="396"/>
      <c r="AF760" s="396"/>
    </row>
    <row r="761" customFormat="false" ht="12.75" hidden="false" customHeight="true" outlineLevel="0" collapsed="false">
      <c r="A761" s="396"/>
      <c r="B761" s="396"/>
      <c r="C761" s="522" t="s">
        <v>1907</v>
      </c>
      <c r="D761" s="522"/>
      <c r="E761" s="523" t="s">
        <v>2156</v>
      </c>
      <c r="F761" s="523"/>
      <c r="G761" s="523"/>
      <c r="H761" s="523"/>
      <c r="I761" s="523"/>
      <c r="J761" s="523"/>
      <c r="K761" s="523"/>
      <c r="L761" s="523"/>
      <c r="M761" s="523"/>
      <c r="N761" s="514" t="n">
        <f aca="false">ROUNDUP(SUMIFS($Q$430:$R$745,$W$430:$X$745,C761),0)</f>
        <v>1</v>
      </c>
      <c r="O761" s="514"/>
      <c r="P761" s="514"/>
      <c r="Q761" s="514"/>
      <c r="R761" s="514" t="n">
        <f aca="false">N761</f>
        <v>1</v>
      </c>
      <c r="S761" s="514"/>
      <c r="T761" s="514"/>
      <c r="U761" s="514"/>
      <c r="V761" s="524" t="n">
        <v>13.4</v>
      </c>
      <c r="W761" s="524"/>
      <c r="X761" s="524"/>
      <c r="Y761" s="524"/>
      <c r="Z761" s="525" t="n">
        <f aca="false">R761*V761</f>
        <v>13.4</v>
      </c>
      <c r="AA761" s="525"/>
      <c r="AB761" s="525"/>
      <c r="AC761" s="525"/>
      <c r="AD761" s="396"/>
      <c r="AE761" s="396"/>
      <c r="AF761" s="396"/>
    </row>
    <row r="762" customFormat="false" ht="12.75" hidden="false" customHeight="true" outlineLevel="0" collapsed="false">
      <c r="A762" s="396"/>
      <c r="B762" s="396"/>
      <c r="C762" s="522" t="s">
        <v>1910</v>
      </c>
      <c r="D762" s="522"/>
      <c r="E762" s="523" t="s">
        <v>2157</v>
      </c>
      <c r="F762" s="523"/>
      <c r="G762" s="523"/>
      <c r="H762" s="523"/>
      <c r="I762" s="523"/>
      <c r="J762" s="523"/>
      <c r="K762" s="523"/>
      <c r="L762" s="523"/>
      <c r="M762" s="523"/>
      <c r="N762" s="514" t="n">
        <f aca="false">ROUNDUP(SUMIFS($Q$430:$R$745,$W$430:$X$745,C762),0)</f>
        <v>0</v>
      </c>
      <c r="O762" s="514"/>
      <c r="P762" s="514"/>
      <c r="Q762" s="514"/>
      <c r="R762" s="514" t="n">
        <f aca="false">N762</f>
        <v>0</v>
      </c>
      <c r="S762" s="514"/>
      <c r="T762" s="514"/>
      <c r="U762" s="514"/>
      <c r="V762" s="524" t="n">
        <v>13.4</v>
      </c>
      <c r="W762" s="524"/>
      <c r="X762" s="524"/>
      <c r="Y762" s="524"/>
      <c r="Z762" s="525" t="n">
        <f aca="false">R762*V762</f>
        <v>0</v>
      </c>
      <c r="AA762" s="525"/>
      <c r="AB762" s="525"/>
      <c r="AC762" s="525"/>
      <c r="AD762" s="396"/>
      <c r="AE762" s="396"/>
      <c r="AF762" s="396"/>
    </row>
    <row r="763" customFormat="false" ht="12.75" hidden="false" customHeight="true" outlineLevel="0" collapsed="false">
      <c r="A763" s="396"/>
      <c r="B763" s="396"/>
      <c r="C763" s="522" t="s">
        <v>1902</v>
      </c>
      <c r="D763" s="522"/>
      <c r="E763" s="523" t="s">
        <v>2158</v>
      </c>
      <c r="F763" s="523"/>
      <c r="G763" s="523"/>
      <c r="H763" s="523"/>
      <c r="I763" s="523"/>
      <c r="J763" s="523"/>
      <c r="K763" s="523"/>
      <c r="L763" s="523"/>
      <c r="M763" s="523"/>
      <c r="N763" s="514" t="n">
        <f aca="false">ROUNDUP(SUMIFS($Q$430:$R$745,$W$430:$X$745,C763),0)</f>
        <v>1</v>
      </c>
      <c r="O763" s="514"/>
      <c r="P763" s="514"/>
      <c r="Q763" s="514"/>
      <c r="R763" s="514" t="n">
        <f aca="false">N763</f>
        <v>1</v>
      </c>
      <c r="S763" s="514"/>
      <c r="T763" s="514"/>
      <c r="U763" s="514"/>
      <c r="V763" s="524" t="n">
        <v>13.4</v>
      </c>
      <c r="W763" s="524"/>
      <c r="X763" s="524"/>
      <c r="Y763" s="524"/>
      <c r="Z763" s="525" t="n">
        <f aca="false">R763*V763</f>
        <v>13.4</v>
      </c>
      <c r="AA763" s="525"/>
      <c r="AB763" s="525"/>
      <c r="AC763" s="525"/>
      <c r="AD763" s="396"/>
      <c r="AE763" s="396"/>
      <c r="AF763" s="396"/>
    </row>
    <row r="764" customFormat="false" ht="12.75" hidden="false" customHeight="true" outlineLevel="0" collapsed="false">
      <c r="A764" s="396"/>
      <c r="B764" s="396"/>
      <c r="C764" s="522" t="s">
        <v>1915</v>
      </c>
      <c r="D764" s="522"/>
      <c r="E764" s="523" t="s">
        <v>2159</v>
      </c>
      <c r="F764" s="523"/>
      <c r="G764" s="523"/>
      <c r="H764" s="523"/>
      <c r="I764" s="523"/>
      <c r="J764" s="523"/>
      <c r="K764" s="523"/>
      <c r="L764" s="523"/>
      <c r="M764" s="523"/>
      <c r="N764" s="514" t="n">
        <f aca="false">ROUNDUP(SUMIFS($Q$430:$R$745,$W$430:$X$745,C764),0)</f>
        <v>0</v>
      </c>
      <c r="O764" s="514"/>
      <c r="P764" s="514"/>
      <c r="Q764" s="514"/>
      <c r="R764" s="514" t="n">
        <f aca="false">N764</f>
        <v>0</v>
      </c>
      <c r="S764" s="514"/>
      <c r="T764" s="514"/>
      <c r="U764" s="514"/>
      <c r="V764" s="524" t="n">
        <v>13.4</v>
      </c>
      <c r="W764" s="524"/>
      <c r="X764" s="524"/>
      <c r="Y764" s="524"/>
      <c r="Z764" s="525" t="n">
        <f aca="false">R764*V764</f>
        <v>0</v>
      </c>
      <c r="AA764" s="525"/>
      <c r="AB764" s="525"/>
      <c r="AC764" s="525"/>
      <c r="AD764" s="396"/>
      <c r="AE764" s="396"/>
      <c r="AF764" s="396"/>
    </row>
    <row r="765" customFormat="false" ht="12.75" hidden="false" customHeight="true" outlineLevel="0" collapsed="false">
      <c r="A765" s="396"/>
      <c r="B765" s="396"/>
      <c r="C765" s="522" t="s">
        <v>1996</v>
      </c>
      <c r="D765" s="522"/>
      <c r="E765" s="523" t="s">
        <v>2160</v>
      </c>
      <c r="F765" s="523"/>
      <c r="G765" s="523"/>
      <c r="H765" s="523"/>
      <c r="I765" s="523"/>
      <c r="J765" s="523"/>
      <c r="K765" s="523"/>
      <c r="L765" s="523"/>
      <c r="M765" s="523"/>
      <c r="N765" s="514" t="n">
        <f aca="false">ROUNDUP(SUMIFS($Q$430:$R$745,$W$430:$X$745,C765),0)</f>
        <v>0</v>
      </c>
      <c r="O765" s="514"/>
      <c r="P765" s="514"/>
      <c r="Q765" s="514"/>
      <c r="R765" s="514" t="n">
        <f aca="false">EVEN(N765/2)</f>
        <v>0</v>
      </c>
      <c r="S765" s="514"/>
      <c r="T765" s="514"/>
      <c r="U765" s="514"/>
      <c r="V765" s="524" t="n">
        <v>13.4</v>
      </c>
      <c r="W765" s="524"/>
      <c r="X765" s="524"/>
      <c r="Y765" s="524"/>
      <c r="Z765" s="525" t="n">
        <f aca="false">R765*V765</f>
        <v>0</v>
      </c>
      <c r="AA765" s="525"/>
      <c r="AB765" s="525"/>
      <c r="AC765" s="525"/>
      <c r="AD765" s="396"/>
      <c r="AE765" s="396"/>
      <c r="AF765" s="396"/>
    </row>
    <row r="766" customFormat="false" ht="12.75" hidden="false" customHeight="true" outlineLevel="0" collapsed="false">
      <c r="A766" s="396"/>
      <c r="B766" s="396"/>
      <c r="C766" s="522" t="s">
        <v>2007</v>
      </c>
      <c r="D766" s="522"/>
      <c r="E766" s="523" t="s">
        <v>2161</v>
      </c>
      <c r="F766" s="523"/>
      <c r="G766" s="523"/>
      <c r="H766" s="523"/>
      <c r="I766" s="523"/>
      <c r="J766" s="523"/>
      <c r="K766" s="523"/>
      <c r="L766" s="523"/>
      <c r="M766" s="523"/>
      <c r="N766" s="514" t="n">
        <f aca="false">ROUNDUP(SUMIFS($Q$430:$R$745,$W$430:$X$745,C766),0)</f>
        <v>0</v>
      </c>
      <c r="O766" s="514"/>
      <c r="P766" s="514"/>
      <c r="Q766" s="514"/>
      <c r="R766" s="514" t="n">
        <f aca="false">EVEN(N766/2)</f>
        <v>0</v>
      </c>
      <c r="S766" s="514"/>
      <c r="T766" s="514"/>
      <c r="U766" s="514"/>
      <c r="V766" s="524" t="n">
        <v>13.4</v>
      </c>
      <c r="W766" s="524"/>
      <c r="X766" s="524"/>
      <c r="Y766" s="524"/>
      <c r="Z766" s="525" t="n">
        <f aca="false">R766*V766</f>
        <v>0</v>
      </c>
      <c r="AA766" s="525"/>
      <c r="AB766" s="525"/>
      <c r="AC766" s="525"/>
      <c r="AD766" s="396"/>
      <c r="AE766" s="396"/>
      <c r="AF766" s="396"/>
    </row>
    <row r="767" customFormat="false" ht="12.75" hidden="false" customHeight="true" outlineLevel="0" collapsed="false">
      <c r="A767" s="396"/>
      <c r="B767" s="396"/>
      <c r="C767" s="522" t="s">
        <v>1977</v>
      </c>
      <c r="D767" s="522"/>
      <c r="E767" s="523" t="s">
        <v>2162</v>
      </c>
      <c r="F767" s="523"/>
      <c r="G767" s="523"/>
      <c r="H767" s="523"/>
      <c r="I767" s="523"/>
      <c r="J767" s="523"/>
      <c r="K767" s="523"/>
      <c r="L767" s="523"/>
      <c r="M767" s="523"/>
      <c r="N767" s="514" t="n">
        <f aca="false">ROUNDUP(SUMIFS($Q$430:$R$745,$W$430:$X$745,C767),0)</f>
        <v>0</v>
      </c>
      <c r="O767" s="514"/>
      <c r="P767" s="514"/>
      <c r="Q767" s="514"/>
      <c r="R767" s="514" t="n">
        <f aca="false">EVEN(N767/2)</f>
        <v>0</v>
      </c>
      <c r="S767" s="514"/>
      <c r="T767" s="514"/>
      <c r="U767" s="514"/>
      <c r="V767" s="524" t="n">
        <v>1.8</v>
      </c>
      <c r="W767" s="524"/>
      <c r="X767" s="524"/>
      <c r="Y767" s="524"/>
      <c r="Z767" s="525" t="n">
        <f aca="false">R767*V767</f>
        <v>0</v>
      </c>
      <c r="AA767" s="525"/>
      <c r="AB767" s="525"/>
      <c r="AC767" s="525"/>
      <c r="AD767" s="396"/>
      <c r="AE767" s="396"/>
      <c r="AF767" s="396"/>
    </row>
    <row r="768" customFormat="false" ht="12.75" hidden="false" customHeight="true" outlineLevel="0" collapsed="false">
      <c r="A768" s="396"/>
      <c r="B768" s="396"/>
      <c r="C768" s="522" t="s">
        <v>1771</v>
      </c>
      <c r="D768" s="522"/>
      <c r="E768" s="523" t="s">
        <v>2163</v>
      </c>
      <c r="F768" s="523"/>
      <c r="G768" s="523"/>
      <c r="H768" s="523"/>
      <c r="I768" s="523"/>
      <c r="J768" s="523"/>
      <c r="K768" s="523"/>
      <c r="L768" s="523"/>
      <c r="M768" s="523"/>
      <c r="N768" s="514" t="n">
        <f aca="false">ROUNDUP(SUMIFS($Q$430:$R$745,$W$430:$X$745,C768),0)</f>
        <v>0</v>
      </c>
      <c r="O768" s="514"/>
      <c r="P768" s="514"/>
      <c r="Q768" s="514"/>
      <c r="R768" s="514" t="n">
        <f aca="false">EVEN(N768/2)</f>
        <v>0</v>
      </c>
      <c r="S768" s="514"/>
      <c r="T768" s="514"/>
      <c r="U768" s="514"/>
      <c r="V768" s="524" t="n">
        <v>21</v>
      </c>
      <c r="W768" s="524"/>
      <c r="X768" s="524"/>
      <c r="Y768" s="524"/>
      <c r="Z768" s="525" t="n">
        <f aca="false">R768*V768</f>
        <v>0</v>
      </c>
      <c r="AA768" s="525"/>
      <c r="AB768" s="525"/>
      <c r="AC768" s="525"/>
      <c r="AD768" s="396"/>
      <c r="AE768" s="396"/>
      <c r="AF768" s="396"/>
    </row>
    <row r="769" customFormat="false" ht="12.75" hidden="false" customHeight="true" outlineLevel="0" collapsed="false">
      <c r="A769" s="396"/>
      <c r="B769" s="396"/>
      <c r="C769" s="522" t="s">
        <v>2118</v>
      </c>
      <c r="D769" s="522"/>
      <c r="E769" s="523" t="s">
        <v>2164</v>
      </c>
      <c r="F769" s="523"/>
      <c r="G769" s="523"/>
      <c r="H769" s="523"/>
      <c r="I769" s="523"/>
      <c r="J769" s="523"/>
      <c r="K769" s="523"/>
      <c r="L769" s="523"/>
      <c r="M769" s="523"/>
      <c r="N769" s="514" t="n">
        <f aca="false">ROUNDUP(SUMIFS($Q$430:$R$745,$W$430:$X$745,C769),0)</f>
        <v>0</v>
      </c>
      <c r="O769" s="514"/>
      <c r="P769" s="514"/>
      <c r="Q769" s="514"/>
      <c r="R769" s="514" t="n">
        <f aca="false">N769</f>
        <v>0</v>
      </c>
      <c r="S769" s="514"/>
      <c r="T769" s="514"/>
      <c r="U769" s="514"/>
      <c r="V769" s="524" t="n">
        <v>36</v>
      </c>
      <c r="W769" s="524"/>
      <c r="X769" s="524"/>
      <c r="Y769" s="524"/>
      <c r="Z769" s="525" t="n">
        <f aca="false">R769*V769</f>
        <v>0</v>
      </c>
      <c r="AA769" s="525"/>
      <c r="AB769" s="525"/>
      <c r="AC769" s="525"/>
      <c r="AD769" s="396"/>
      <c r="AE769" s="396"/>
      <c r="AF769" s="396"/>
    </row>
    <row r="770" customFormat="false" ht="12.75" hidden="false" customHeight="true" outlineLevel="0" collapsed="false">
      <c r="A770" s="396"/>
      <c r="B770" s="396"/>
      <c r="C770" s="518" t="s">
        <v>1722</v>
      </c>
      <c r="D770" s="518"/>
      <c r="E770" s="519" t="s">
        <v>2165</v>
      </c>
      <c r="F770" s="519"/>
      <c r="G770" s="519"/>
      <c r="H770" s="519"/>
      <c r="I770" s="519"/>
      <c r="J770" s="519"/>
      <c r="K770" s="519"/>
      <c r="L770" s="519"/>
      <c r="M770" s="519"/>
      <c r="N770" s="514" t="n">
        <f aca="false">ROUNDUP(SUMIFS($Q$430:$R$745,$W$430:$X$745,C770),0)</f>
        <v>0</v>
      </c>
      <c r="O770" s="514"/>
      <c r="P770" s="514"/>
      <c r="Q770" s="514"/>
      <c r="R770" s="526" t="n">
        <f aca="false">N770</f>
        <v>0</v>
      </c>
      <c r="S770" s="526"/>
      <c r="T770" s="526"/>
      <c r="U770" s="526"/>
      <c r="V770" s="527" t="n">
        <v>18</v>
      </c>
      <c r="W770" s="527"/>
      <c r="X770" s="527"/>
      <c r="Y770" s="527"/>
      <c r="Z770" s="528" t="n">
        <f aca="false">R770*V770</f>
        <v>0</v>
      </c>
      <c r="AA770" s="528"/>
      <c r="AB770" s="528"/>
      <c r="AC770" s="528"/>
      <c r="AD770" s="396"/>
      <c r="AE770" s="396"/>
      <c r="AF770" s="396"/>
    </row>
    <row r="771" customFormat="false" ht="12.75" hidden="false" customHeight="true" outlineLevel="0" collapsed="false">
      <c r="A771" s="396"/>
      <c r="B771" s="396"/>
      <c r="C771" s="522" t="s">
        <v>1679</v>
      </c>
      <c r="D771" s="522"/>
      <c r="E771" s="523" t="s">
        <v>2166</v>
      </c>
      <c r="F771" s="523"/>
      <c r="G771" s="523"/>
      <c r="H771" s="523"/>
      <c r="I771" s="523"/>
      <c r="J771" s="523"/>
      <c r="K771" s="523"/>
      <c r="L771" s="523"/>
      <c r="M771" s="523"/>
      <c r="N771" s="520" t="s">
        <v>1678</v>
      </c>
      <c r="O771" s="520"/>
      <c r="P771" s="520"/>
      <c r="Q771" s="520"/>
      <c r="R771" s="520" t="s">
        <v>1678</v>
      </c>
      <c r="S771" s="520"/>
      <c r="T771" s="520"/>
      <c r="U771" s="520"/>
      <c r="V771" s="520" t="s">
        <v>1678</v>
      </c>
      <c r="W771" s="520"/>
      <c r="X771" s="520"/>
      <c r="Y771" s="520"/>
      <c r="Z771" s="521" t="s">
        <v>1678</v>
      </c>
      <c r="AA771" s="521"/>
      <c r="AB771" s="521"/>
      <c r="AC771" s="521"/>
      <c r="AD771" s="396"/>
      <c r="AE771" s="396"/>
      <c r="AF771" s="396"/>
    </row>
    <row r="772" customFormat="false" ht="12.75" hidden="false" customHeight="true" outlineLevel="0" collapsed="false">
      <c r="A772" s="396"/>
      <c r="B772" s="396"/>
      <c r="C772" s="529" t="s">
        <v>2167</v>
      </c>
      <c r="D772" s="530"/>
      <c r="E772" s="531"/>
      <c r="F772" s="530"/>
      <c r="G772" s="530"/>
      <c r="H772" s="530"/>
      <c r="I772" s="530"/>
      <c r="J772" s="530"/>
      <c r="K772" s="530"/>
      <c r="L772" s="530"/>
      <c r="M772" s="530"/>
      <c r="N772" s="532" t="s">
        <v>2168</v>
      </c>
      <c r="O772" s="532"/>
      <c r="P772" s="532"/>
      <c r="Q772" s="532"/>
      <c r="R772" s="533" t="s">
        <v>2169</v>
      </c>
      <c r="S772" s="533"/>
      <c r="T772" s="533"/>
      <c r="U772" s="533"/>
      <c r="V772" s="532" t="s">
        <v>2170</v>
      </c>
      <c r="W772" s="532"/>
      <c r="X772" s="532"/>
      <c r="Y772" s="532"/>
      <c r="Z772" s="534" t="s">
        <v>2147</v>
      </c>
      <c r="AA772" s="534"/>
      <c r="AB772" s="534"/>
      <c r="AC772" s="534"/>
      <c r="AD772" s="396"/>
      <c r="AE772" s="396"/>
      <c r="AF772" s="396"/>
    </row>
    <row r="773" customFormat="false" ht="12.75" hidden="false" customHeight="true" outlineLevel="0" collapsed="false">
      <c r="A773" s="396"/>
      <c r="B773" s="396"/>
      <c r="C773" s="535"/>
      <c r="D773" s="535"/>
      <c r="E773" s="536"/>
      <c r="F773" s="536"/>
      <c r="G773" s="536"/>
      <c r="H773" s="536"/>
      <c r="I773" s="536"/>
      <c r="J773" s="536"/>
      <c r="K773" s="536"/>
      <c r="L773" s="536"/>
      <c r="M773" s="536"/>
      <c r="N773" s="537"/>
      <c r="O773" s="537"/>
      <c r="P773" s="537"/>
      <c r="Q773" s="537"/>
      <c r="R773" s="537"/>
      <c r="S773" s="537"/>
      <c r="T773" s="537"/>
      <c r="U773" s="537"/>
      <c r="V773" s="537"/>
      <c r="W773" s="537"/>
      <c r="X773" s="537"/>
      <c r="Y773" s="537"/>
      <c r="Z773" s="538"/>
      <c r="AA773" s="538"/>
      <c r="AB773" s="538"/>
      <c r="AC773" s="538"/>
      <c r="AD773" s="396"/>
      <c r="AE773" s="396"/>
      <c r="AF773" s="396"/>
    </row>
    <row r="774" customFormat="false" ht="12.75" hidden="false" customHeight="true" outlineLevel="0" collapsed="false">
      <c r="A774" s="396"/>
      <c r="B774" s="396"/>
      <c r="C774" s="529" t="s">
        <v>2171</v>
      </c>
      <c r="D774" s="530"/>
      <c r="E774" s="539"/>
      <c r="F774" s="540"/>
      <c r="G774" s="540"/>
      <c r="H774" s="540"/>
      <c r="I774" s="540"/>
      <c r="J774" s="540"/>
      <c r="K774" s="540"/>
      <c r="L774" s="540"/>
      <c r="M774" s="540"/>
      <c r="N774" s="541"/>
      <c r="O774" s="541"/>
      <c r="P774" s="541"/>
      <c r="Q774" s="541"/>
      <c r="R774" s="542"/>
      <c r="S774" s="542"/>
      <c r="T774" s="542"/>
      <c r="U774" s="542"/>
      <c r="V774" s="539"/>
      <c r="W774" s="539"/>
      <c r="X774" s="539"/>
      <c r="Y774" s="539"/>
      <c r="Z774" s="542"/>
      <c r="AA774" s="542"/>
      <c r="AB774" s="542"/>
      <c r="AC774" s="543"/>
      <c r="AD774" s="396"/>
      <c r="AE774" s="396"/>
      <c r="AF774" s="396"/>
    </row>
    <row r="775" customFormat="false" ht="12.75" hidden="false" customHeight="true" outlineLevel="0" collapsed="false">
      <c r="A775" s="396"/>
      <c r="B775" s="396"/>
      <c r="C775" s="512" t="s">
        <v>1742</v>
      </c>
      <c r="D775" s="512"/>
      <c r="E775" s="513" t="s">
        <v>2172</v>
      </c>
      <c r="F775" s="513"/>
      <c r="G775" s="513"/>
      <c r="H775" s="513"/>
      <c r="I775" s="513"/>
      <c r="J775" s="513"/>
      <c r="K775" s="513"/>
      <c r="L775" s="513"/>
      <c r="M775" s="513"/>
      <c r="N775" s="515" t="n">
        <f aca="false">ROUNDUP(SUMIFS($Q$430:$R$745,$W$430:$X$745,C775),0)</f>
        <v>0</v>
      </c>
      <c r="O775" s="515"/>
      <c r="P775" s="515"/>
      <c r="Q775" s="515"/>
      <c r="R775" s="544" t="n">
        <f aca="false">EVEN(N775/4)</f>
        <v>0</v>
      </c>
      <c r="S775" s="544"/>
      <c r="T775" s="544"/>
      <c r="U775" s="544"/>
      <c r="V775" s="516" t="n">
        <v>20.1</v>
      </c>
      <c r="W775" s="516"/>
      <c r="X775" s="516"/>
      <c r="Y775" s="516"/>
      <c r="Z775" s="517" t="n">
        <f aca="false">N775*V775</f>
        <v>0</v>
      </c>
      <c r="AA775" s="517"/>
      <c r="AB775" s="517"/>
      <c r="AC775" s="517"/>
      <c r="AD775" s="396"/>
      <c r="AE775" s="396"/>
      <c r="AF775" s="396"/>
    </row>
    <row r="776" customFormat="false" ht="12.75" hidden="false" customHeight="true" outlineLevel="0" collapsed="false">
      <c r="A776" s="396"/>
      <c r="B776" s="396"/>
      <c r="C776" s="522" t="s">
        <v>1850</v>
      </c>
      <c r="D776" s="522"/>
      <c r="E776" s="523" t="s">
        <v>2173</v>
      </c>
      <c r="F776" s="523"/>
      <c r="G776" s="523"/>
      <c r="H776" s="523"/>
      <c r="I776" s="523"/>
      <c r="J776" s="523"/>
      <c r="K776" s="523"/>
      <c r="L776" s="523"/>
      <c r="M776" s="523"/>
      <c r="N776" s="514" t="n">
        <f aca="false">ROUNDUP(SUMIFS($Q$430:$R$745,$W$430:$X$745,C776),0)</f>
        <v>0</v>
      </c>
      <c r="O776" s="514"/>
      <c r="P776" s="514"/>
      <c r="Q776" s="514"/>
      <c r="R776" s="544" t="n">
        <f aca="false">N776/3</f>
        <v>0</v>
      </c>
      <c r="S776" s="544"/>
      <c r="T776" s="544"/>
      <c r="U776" s="544"/>
      <c r="V776" s="524" t="n">
        <v>18</v>
      </c>
      <c r="W776" s="524"/>
      <c r="X776" s="524"/>
      <c r="Y776" s="524"/>
      <c r="Z776" s="525" t="n">
        <f aca="false">N776*V776</f>
        <v>0</v>
      </c>
      <c r="AA776" s="525"/>
      <c r="AB776" s="525"/>
      <c r="AC776" s="525"/>
      <c r="AD776" s="396"/>
      <c r="AE776" s="396"/>
      <c r="AF776" s="396"/>
    </row>
    <row r="777" customFormat="false" ht="12.75" hidden="false" customHeight="true" outlineLevel="0" collapsed="false">
      <c r="A777" s="396"/>
      <c r="B777" s="396"/>
      <c r="C777" s="522" t="s">
        <v>1924</v>
      </c>
      <c r="D777" s="522"/>
      <c r="E777" s="523" t="s">
        <v>2174</v>
      </c>
      <c r="F777" s="523"/>
      <c r="G777" s="523"/>
      <c r="H777" s="523"/>
      <c r="I777" s="523"/>
      <c r="J777" s="523"/>
      <c r="K777" s="523"/>
      <c r="L777" s="523"/>
      <c r="M777" s="523"/>
      <c r="N777" s="514" t="n">
        <f aca="false">ROUNDUP(SUMIFS($Q$430:$R$745,$W$430:$X$745,C777),0)</f>
        <v>0</v>
      </c>
      <c r="O777" s="514"/>
      <c r="P777" s="514"/>
      <c r="Q777" s="514"/>
      <c r="R777" s="544" t="n">
        <f aca="false">N777/3</f>
        <v>0</v>
      </c>
      <c r="S777" s="544"/>
      <c r="T777" s="544"/>
      <c r="U777" s="544"/>
      <c r="V777" s="524" t="n">
        <v>12.5</v>
      </c>
      <c r="W777" s="524"/>
      <c r="X777" s="524"/>
      <c r="Y777" s="524"/>
      <c r="Z777" s="525" t="n">
        <f aca="false">N777*V777</f>
        <v>0</v>
      </c>
      <c r="AA777" s="525"/>
      <c r="AB777" s="525"/>
      <c r="AC777" s="525"/>
      <c r="AD777" s="396"/>
      <c r="AE777" s="396"/>
      <c r="AF777" s="396"/>
    </row>
    <row r="778" customFormat="false" ht="12.75" hidden="false" customHeight="true" outlineLevel="0" collapsed="false">
      <c r="A778" s="396"/>
      <c r="B778" s="396"/>
      <c r="C778" s="522" t="s">
        <v>1751</v>
      </c>
      <c r="D778" s="522"/>
      <c r="E778" s="523" t="s">
        <v>2175</v>
      </c>
      <c r="F778" s="523"/>
      <c r="G778" s="523"/>
      <c r="H778" s="523"/>
      <c r="I778" s="523"/>
      <c r="J778" s="523"/>
      <c r="K778" s="523"/>
      <c r="L778" s="523"/>
      <c r="M778" s="523"/>
      <c r="N778" s="514" t="n">
        <f aca="false">ROUNDUP(SUMIFS($Q$430:$R$745,$W$430:$X$745,C778),0)</f>
        <v>2</v>
      </c>
      <c r="O778" s="514"/>
      <c r="P778" s="514"/>
      <c r="Q778" s="514"/>
      <c r="R778" s="544" t="n">
        <f aca="false">EVEN(N778/4)</f>
        <v>2</v>
      </c>
      <c r="S778" s="544"/>
      <c r="T778" s="544"/>
      <c r="U778" s="544"/>
      <c r="V778" s="524" t="n">
        <v>33</v>
      </c>
      <c r="W778" s="524"/>
      <c r="X778" s="524"/>
      <c r="Y778" s="524"/>
      <c r="Z778" s="525" t="n">
        <f aca="false">N778*V778</f>
        <v>66</v>
      </c>
      <c r="AA778" s="525"/>
      <c r="AB778" s="525"/>
      <c r="AC778" s="525"/>
      <c r="AD778" s="396"/>
      <c r="AE778" s="396"/>
      <c r="AF778" s="396"/>
    </row>
    <row r="779" customFormat="false" ht="12.75" hidden="false" customHeight="true" outlineLevel="0" collapsed="false">
      <c r="A779" s="396"/>
      <c r="B779" s="396"/>
      <c r="C779" s="522" t="s">
        <v>2176</v>
      </c>
      <c r="D779" s="522"/>
      <c r="E779" s="523" t="s">
        <v>2177</v>
      </c>
      <c r="F779" s="523"/>
      <c r="G779" s="523"/>
      <c r="H779" s="523"/>
      <c r="I779" s="523"/>
      <c r="J779" s="523"/>
      <c r="K779" s="523"/>
      <c r="L779" s="523"/>
      <c r="M779" s="523"/>
      <c r="N779" s="514" t="n">
        <f aca="false">ROUNDUP(SUMIFS($Q$430:$R$745,$W$430:$X$745,C779),0)</f>
        <v>0</v>
      </c>
      <c r="O779" s="514"/>
      <c r="P779" s="514"/>
      <c r="Q779" s="514"/>
      <c r="R779" s="544" t="n">
        <f aca="false">N779</f>
        <v>0</v>
      </c>
      <c r="S779" s="544"/>
      <c r="T779" s="544"/>
      <c r="U779" s="544"/>
      <c r="V779" s="524" t="n">
        <v>18</v>
      </c>
      <c r="W779" s="524"/>
      <c r="X779" s="524"/>
      <c r="Y779" s="524"/>
      <c r="Z779" s="525" t="n">
        <f aca="false">N779*V779</f>
        <v>0</v>
      </c>
      <c r="AA779" s="525"/>
      <c r="AB779" s="525"/>
      <c r="AC779" s="525"/>
      <c r="AD779" s="396"/>
      <c r="AE779" s="396"/>
      <c r="AF779" s="396"/>
    </row>
    <row r="780" customFormat="false" ht="12.75" hidden="false" customHeight="true" outlineLevel="0" collapsed="false">
      <c r="A780" s="396"/>
      <c r="B780" s="396"/>
      <c r="C780" s="522" t="s">
        <v>2105</v>
      </c>
      <c r="D780" s="522"/>
      <c r="E780" s="523" t="s">
        <v>2178</v>
      </c>
      <c r="F780" s="523"/>
      <c r="G780" s="523"/>
      <c r="H780" s="523"/>
      <c r="I780" s="523"/>
      <c r="J780" s="523"/>
      <c r="K780" s="523"/>
      <c r="L780" s="523"/>
      <c r="M780" s="523"/>
      <c r="N780" s="514" t="n">
        <f aca="false">ROUNDUP(SUMIFS($Q$430:$R$745,$W$430:$X$745,C780),0)</f>
        <v>1</v>
      </c>
      <c r="O780" s="514"/>
      <c r="P780" s="514"/>
      <c r="Q780" s="514"/>
      <c r="R780" s="544" t="n">
        <f aca="false">EVEN(N780/4)</f>
        <v>2</v>
      </c>
      <c r="S780" s="544"/>
      <c r="T780" s="544"/>
      <c r="U780" s="544"/>
      <c r="V780" s="524" t="n">
        <v>15.9</v>
      </c>
      <c r="W780" s="524"/>
      <c r="X780" s="524"/>
      <c r="Y780" s="524"/>
      <c r="Z780" s="525" t="n">
        <f aca="false">N780*V780</f>
        <v>15.9</v>
      </c>
      <c r="AA780" s="525"/>
      <c r="AB780" s="525"/>
      <c r="AC780" s="525"/>
      <c r="AD780" s="396"/>
      <c r="AE780" s="396"/>
      <c r="AF780" s="396"/>
    </row>
    <row r="781" customFormat="false" ht="12.75" hidden="false" customHeight="true" outlineLevel="0" collapsed="false">
      <c r="A781" s="396"/>
      <c r="B781" s="396"/>
      <c r="C781" s="522" t="s">
        <v>1858</v>
      </c>
      <c r="D781" s="522"/>
      <c r="E781" s="523" t="s">
        <v>2179</v>
      </c>
      <c r="F781" s="523"/>
      <c r="G781" s="523"/>
      <c r="H781" s="523"/>
      <c r="I781" s="523"/>
      <c r="J781" s="523"/>
      <c r="K781" s="523"/>
      <c r="L781" s="523"/>
      <c r="M781" s="523"/>
      <c r="N781" s="514" t="n">
        <f aca="false">ROUNDUP(SUMIFS($Q$430:$R$745,$W$430:$X$745,C781),0)</f>
        <v>0</v>
      </c>
      <c r="O781" s="514"/>
      <c r="P781" s="514"/>
      <c r="Q781" s="514"/>
      <c r="R781" s="544" t="n">
        <f aca="false">EVEN(N781/4)</f>
        <v>0</v>
      </c>
      <c r="S781" s="544"/>
      <c r="T781" s="544"/>
      <c r="U781" s="544"/>
      <c r="V781" s="524" t="n">
        <v>16.6</v>
      </c>
      <c r="W781" s="524"/>
      <c r="X781" s="524"/>
      <c r="Y781" s="524"/>
      <c r="Z781" s="525" t="n">
        <f aca="false">N781*V781</f>
        <v>0</v>
      </c>
      <c r="AA781" s="525"/>
      <c r="AB781" s="525"/>
      <c r="AC781" s="525"/>
      <c r="AD781" s="396"/>
      <c r="AE781" s="396"/>
      <c r="AF781" s="396"/>
    </row>
    <row r="782" customFormat="false" ht="12.75" hidden="false" customHeight="true" outlineLevel="0" collapsed="false">
      <c r="A782" s="396"/>
      <c r="B782" s="396"/>
      <c r="C782" s="522" t="s">
        <v>2130</v>
      </c>
      <c r="D782" s="522"/>
      <c r="E782" s="523" t="s">
        <v>2180</v>
      </c>
      <c r="F782" s="523"/>
      <c r="G782" s="523"/>
      <c r="H782" s="523"/>
      <c r="I782" s="523"/>
      <c r="J782" s="523"/>
      <c r="K782" s="523"/>
      <c r="L782" s="523"/>
      <c r="M782" s="523"/>
      <c r="N782" s="514" t="n">
        <f aca="false">ROUNDUP(SUMIFS($Q$430:$R$745,$W$430:$X$745,C782),0)</f>
        <v>0</v>
      </c>
      <c r="O782" s="514"/>
      <c r="P782" s="514"/>
      <c r="Q782" s="514"/>
      <c r="R782" s="544" t="n">
        <f aca="false">N782</f>
        <v>0</v>
      </c>
      <c r="S782" s="544"/>
      <c r="T782" s="544"/>
      <c r="U782" s="544"/>
      <c r="V782" s="524" t="n">
        <v>7.4</v>
      </c>
      <c r="W782" s="524"/>
      <c r="X782" s="524"/>
      <c r="Y782" s="524"/>
      <c r="Z782" s="525" t="n">
        <f aca="false">N782*V782</f>
        <v>0</v>
      </c>
      <c r="AA782" s="525"/>
      <c r="AB782" s="525"/>
      <c r="AC782" s="525"/>
      <c r="AD782" s="396"/>
      <c r="AE782" s="396"/>
      <c r="AF782" s="396"/>
    </row>
    <row r="783" customFormat="false" ht="12.75" hidden="false" customHeight="true" outlineLevel="0" collapsed="false">
      <c r="A783" s="396"/>
      <c r="B783" s="396"/>
      <c r="C783" s="522" t="s">
        <v>1777</v>
      </c>
      <c r="D783" s="522"/>
      <c r="E783" s="523" t="s">
        <v>1776</v>
      </c>
      <c r="F783" s="523"/>
      <c r="G783" s="523"/>
      <c r="H783" s="523"/>
      <c r="I783" s="523"/>
      <c r="J783" s="523"/>
      <c r="K783" s="523"/>
      <c r="L783" s="523"/>
      <c r="M783" s="523"/>
      <c r="N783" s="514" t="n">
        <f aca="false">ROUNDUP(SUMIFS($Q$430:$R$745,$W$430:$X$745,C783),0)</f>
        <v>0</v>
      </c>
      <c r="O783" s="514"/>
      <c r="P783" s="514"/>
      <c r="Q783" s="514"/>
      <c r="R783" s="544" t="n">
        <f aca="false">N783/4</f>
        <v>0</v>
      </c>
      <c r="S783" s="544"/>
      <c r="T783" s="544"/>
      <c r="U783" s="544"/>
      <c r="V783" s="524" t="n">
        <v>6</v>
      </c>
      <c r="W783" s="524"/>
      <c r="X783" s="524"/>
      <c r="Y783" s="524"/>
      <c r="Z783" s="525" t="n">
        <f aca="false">N783*V783</f>
        <v>0</v>
      </c>
      <c r="AA783" s="525"/>
      <c r="AB783" s="525"/>
      <c r="AC783" s="525"/>
      <c r="AD783" s="396"/>
      <c r="AE783" s="396"/>
      <c r="AF783" s="396"/>
    </row>
    <row r="784" customFormat="false" ht="12.75" hidden="false" customHeight="true" outlineLevel="0" collapsed="false">
      <c r="A784" s="396"/>
      <c r="B784" s="396"/>
      <c r="C784" s="522" t="s">
        <v>2181</v>
      </c>
      <c r="D784" s="522"/>
      <c r="E784" s="523" t="s">
        <v>2182</v>
      </c>
      <c r="F784" s="523"/>
      <c r="G784" s="523"/>
      <c r="H784" s="523"/>
      <c r="I784" s="523"/>
      <c r="J784" s="523"/>
      <c r="K784" s="523"/>
      <c r="L784" s="523"/>
      <c r="M784" s="523"/>
      <c r="N784" s="514" t="n">
        <f aca="false">ROUNDUP(SUMIFS($Q$430:$R$745,$W$430:$X$745,C784),0)</f>
        <v>0</v>
      </c>
      <c r="O784" s="514"/>
      <c r="P784" s="514"/>
      <c r="Q784" s="514"/>
      <c r="R784" s="544" t="n">
        <f aca="false">N784/5</f>
        <v>0</v>
      </c>
      <c r="S784" s="544"/>
      <c r="T784" s="544"/>
      <c r="U784" s="544"/>
      <c r="V784" s="524" t="n">
        <v>17.3</v>
      </c>
      <c r="W784" s="524"/>
      <c r="X784" s="524"/>
      <c r="Y784" s="524"/>
      <c r="Z784" s="525" t="n">
        <f aca="false">N784*V784</f>
        <v>0</v>
      </c>
      <c r="AA784" s="525"/>
      <c r="AB784" s="525"/>
      <c r="AC784" s="525"/>
      <c r="AD784" s="396"/>
      <c r="AE784" s="396"/>
      <c r="AF784" s="396"/>
    </row>
    <row r="785" customFormat="false" ht="12.75" hidden="false" customHeight="true" outlineLevel="0" collapsed="false">
      <c r="A785" s="396"/>
      <c r="B785" s="396"/>
      <c r="C785" s="522" t="s">
        <v>2001</v>
      </c>
      <c r="D785" s="522"/>
      <c r="E785" s="523" t="s">
        <v>2183</v>
      </c>
      <c r="F785" s="523"/>
      <c r="G785" s="523"/>
      <c r="H785" s="523"/>
      <c r="I785" s="523"/>
      <c r="J785" s="523"/>
      <c r="K785" s="523"/>
      <c r="L785" s="523"/>
      <c r="M785" s="523"/>
      <c r="N785" s="514" t="n">
        <f aca="false">ROUNDUP(SUMIFS($Q$430:$R$745,$W$430:$X$745,C785),0)</f>
        <v>0</v>
      </c>
      <c r="O785" s="514"/>
      <c r="P785" s="514"/>
      <c r="Q785" s="514"/>
      <c r="R785" s="544" t="n">
        <f aca="false">EVEN(N785/2)</f>
        <v>0</v>
      </c>
      <c r="S785" s="544"/>
      <c r="T785" s="544"/>
      <c r="U785" s="544"/>
      <c r="V785" s="524" t="n">
        <v>24.9</v>
      </c>
      <c r="W785" s="524"/>
      <c r="X785" s="524"/>
      <c r="Y785" s="524"/>
      <c r="Z785" s="525" t="n">
        <f aca="false">N785*V785</f>
        <v>0</v>
      </c>
      <c r="AA785" s="525"/>
      <c r="AB785" s="525"/>
      <c r="AC785" s="525"/>
      <c r="AD785" s="396"/>
      <c r="AE785" s="396"/>
      <c r="AF785" s="396"/>
    </row>
    <row r="786" customFormat="false" ht="12.75" hidden="false" customHeight="true" outlineLevel="0" collapsed="false">
      <c r="A786" s="396"/>
      <c r="B786" s="396"/>
      <c r="C786" s="522" t="s">
        <v>1927</v>
      </c>
      <c r="D786" s="522"/>
      <c r="E786" s="523" t="s">
        <v>2184</v>
      </c>
      <c r="F786" s="523"/>
      <c r="G786" s="523"/>
      <c r="H786" s="523"/>
      <c r="I786" s="523"/>
      <c r="J786" s="523"/>
      <c r="K786" s="523"/>
      <c r="L786" s="523"/>
      <c r="M786" s="523"/>
      <c r="N786" s="514" t="n">
        <f aca="false">ROUNDUP(SUMIFS($Q$430:$R$745,$W$430:$X$745,C786),0)</f>
        <v>0</v>
      </c>
      <c r="O786" s="514"/>
      <c r="P786" s="514"/>
      <c r="Q786" s="514"/>
      <c r="R786" s="544" t="n">
        <f aca="false">N786</f>
        <v>0</v>
      </c>
      <c r="S786" s="544"/>
      <c r="T786" s="544"/>
      <c r="U786" s="544"/>
      <c r="V786" s="524" t="n">
        <v>22</v>
      </c>
      <c r="W786" s="524"/>
      <c r="X786" s="524"/>
      <c r="Y786" s="524"/>
      <c r="Z786" s="525" t="n">
        <f aca="false">N786*V786</f>
        <v>0</v>
      </c>
      <c r="AA786" s="525"/>
      <c r="AB786" s="525"/>
      <c r="AC786" s="525"/>
      <c r="AD786" s="396"/>
      <c r="AE786" s="396"/>
      <c r="AF786" s="396"/>
    </row>
    <row r="787" customFormat="false" ht="12.75" hidden="false" customHeight="true" outlineLevel="0" collapsed="false">
      <c r="A787" s="396"/>
      <c r="B787" s="396"/>
      <c r="C787" s="522" t="s">
        <v>1732</v>
      </c>
      <c r="D787" s="522"/>
      <c r="E787" s="523" t="s">
        <v>2185</v>
      </c>
      <c r="F787" s="523"/>
      <c r="G787" s="523"/>
      <c r="H787" s="523"/>
      <c r="I787" s="523"/>
      <c r="J787" s="523"/>
      <c r="K787" s="523"/>
      <c r="L787" s="523"/>
      <c r="M787" s="523"/>
      <c r="N787" s="514" t="n">
        <f aca="false">ROUNDUP(SUMIFS($Q$430:$R$745,$W$430:$X$745,C787),0)</f>
        <v>0</v>
      </c>
      <c r="O787" s="514"/>
      <c r="P787" s="514"/>
      <c r="Q787" s="514"/>
      <c r="R787" s="544" t="n">
        <f aca="false">N787/3</f>
        <v>0</v>
      </c>
      <c r="S787" s="544"/>
      <c r="T787" s="544"/>
      <c r="U787" s="544"/>
      <c r="V787" s="524" t="n">
        <v>9.5</v>
      </c>
      <c r="W787" s="524"/>
      <c r="X787" s="524"/>
      <c r="Y787" s="524"/>
      <c r="Z787" s="525" t="n">
        <f aca="false">N787*V787</f>
        <v>0</v>
      </c>
      <c r="AA787" s="525"/>
      <c r="AB787" s="525"/>
      <c r="AC787" s="525"/>
      <c r="AD787" s="396"/>
      <c r="AE787" s="396"/>
      <c r="AF787" s="396"/>
    </row>
    <row r="788" customFormat="false" ht="12.75" hidden="false" customHeight="true" outlineLevel="0" collapsed="false">
      <c r="A788" s="396"/>
      <c r="B788" s="396"/>
      <c r="C788" s="522" t="s">
        <v>1920</v>
      </c>
      <c r="D788" s="522"/>
      <c r="E788" s="523" t="s">
        <v>2186</v>
      </c>
      <c r="F788" s="523"/>
      <c r="G788" s="523"/>
      <c r="H788" s="523"/>
      <c r="I788" s="523"/>
      <c r="J788" s="523"/>
      <c r="K788" s="523"/>
      <c r="L788" s="523"/>
      <c r="M788" s="523"/>
      <c r="N788" s="514" t="n">
        <f aca="false">ROUNDUP(SUMIFS($Q$430:$R$745,$W$430:$X$745,C788),0)</f>
        <v>0</v>
      </c>
      <c r="O788" s="514"/>
      <c r="P788" s="514"/>
      <c r="Q788" s="514"/>
      <c r="R788" s="544" t="n">
        <f aca="false">N788/3</f>
        <v>0</v>
      </c>
      <c r="S788" s="544"/>
      <c r="T788" s="544"/>
      <c r="U788" s="544"/>
      <c r="V788" s="524" t="n">
        <v>9.5</v>
      </c>
      <c r="W788" s="524"/>
      <c r="X788" s="524"/>
      <c r="Y788" s="524"/>
      <c r="Z788" s="525" t="n">
        <f aca="false">N788*V788</f>
        <v>0</v>
      </c>
      <c r="AA788" s="525"/>
      <c r="AB788" s="525"/>
      <c r="AC788" s="525"/>
      <c r="AD788" s="396"/>
      <c r="AE788" s="396"/>
      <c r="AF788" s="396"/>
    </row>
    <row r="789" customFormat="false" ht="12.75" hidden="false" customHeight="true" outlineLevel="0" collapsed="false">
      <c r="A789" s="396"/>
      <c r="B789" s="396"/>
      <c r="C789" s="522" t="s">
        <v>1954</v>
      </c>
      <c r="D789" s="522"/>
      <c r="E789" s="523" t="s">
        <v>2187</v>
      </c>
      <c r="F789" s="523"/>
      <c r="G789" s="523"/>
      <c r="H789" s="523"/>
      <c r="I789" s="523"/>
      <c r="J789" s="523"/>
      <c r="K789" s="523"/>
      <c r="L789" s="523"/>
      <c r="M789" s="523"/>
      <c r="N789" s="514" t="n">
        <f aca="false">ROUNDUP(SUMIFS($Q$430:$R$745,$W$430:$X$745,C789),0)</f>
        <v>1</v>
      </c>
      <c r="O789" s="514"/>
      <c r="P789" s="514"/>
      <c r="Q789" s="514"/>
      <c r="R789" s="544" t="n">
        <f aca="false">N789</f>
        <v>1</v>
      </c>
      <c r="S789" s="544"/>
      <c r="T789" s="544"/>
      <c r="U789" s="544"/>
      <c r="V789" s="524" t="n">
        <v>27</v>
      </c>
      <c r="W789" s="524"/>
      <c r="X789" s="524"/>
      <c r="Y789" s="524"/>
      <c r="Z789" s="525" t="n">
        <f aca="false">N789*V789</f>
        <v>27</v>
      </c>
      <c r="AA789" s="525"/>
      <c r="AB789" s="525"/>
      <c r="AC789" s="525"/>
      <c r="AD789" s="396"/>
      <c r="AE789" s="396"/>
      <c r="AF789" s="396"/>
    </row>
    <row r="790" customFormat="false" ht="12.75" hidden="false" customHeight="true" outlineLevel="0" collapsed="false">
      <c r="A790" s="396"/>
      <c r="B790" s="396"/>
      <c r="C790" s="522" t="s">
        <v>1883</v>
      </c>
      <c r="D790" s="522"/>
      <c r="E790" s="523" t="s">
        <v>2188</v>
      </c>
      <c r="F790" s="523"/>
      <c r="G790" s="523"/>
      <c r="H790" s="523"/>
      <c r="I790" s="523"/>
      <c r="J790" s="523"/>
      <c r="K790" s="523"/>
      <c r="L790" s="523"/>
      <c r="M790" s="523"/>
      <c r="N790" s="514" t="n">
        <f aca="false">ROUNDUP(SUMIFS($Q$430:$R$745,$W$430:$X$745,C790),0)</f>
        <v>0</v>
      </c>
      <c r="O790" s="514"/>
      <c r="P790" s="514"/>
      <c r="Q790" s="514"/>
      <c r="R790" s="544" t="n">
        <f aca="false">N790</f>
        <v>0</v>
      </c>
      <c r="S790" s="544"/>
      <c r="T790" s="544"/>
      <c r="U790" s="544"/>
      <c r="V790" s="524" t="n">
        <v>18</v>
      </c>
      <c r="W790" s="524"/>
      <c r="X790" s="524"/>
      <c r="Y790" s="524"/>
      <c r="Z790" s="525" t="n">
        <f aca="false">N790*V790</f>
        <v>0</v>
      </c>
      <c r="AA790" s="525"/>
      <c r="AB790" s="525"/>
      <c r="AC790" s="525"/>
      <c r="AD790" s="396"/>
      <c r="AE790" s="396"/>
      <c r="AF790" s="396"/>
    </row>
    <row r="791" customFormat="false" ht="12.75" hidden="false" customHeight="true" outlineLevel="0" collapsed="false">
      <c r="A791" s="396"/>
      <c r="B791" s="396"/>
      <c r="C791" s="522" t="s">
        <v>1841</v>
      </c>
      <c r="D791" s="522"/>
      <c r="E791" s="523" t="s">
        <v>2189</v>
      </c>
      <c r="F791" s="523"/>
      <c r="G791" s="523"/>
      <c r="H791" s="523"/>
      <c r="I791" s="523"/>
      <c r="J791" s="523"/>
      <c r="K791" s="523"/>
      <c r="L791" s="523"/>
      <c r="M791" s="523"/>
      <c r="N791" s="514" t="n">
        <f aca="false">ROUNDUP(SUMIFS($Q$430:$R$745,$W$430:$X$745,C791),0)</f>
        <v>0</v>
      </c>
      <c r="O791" s="514"/>
      <c r="P791" s="514"/>
      <c r="Q791" s="514"/>
      <c r="R791" s="544" t="n">
        <f aca="false">EVEN(N791/4)</f>
        <v>0</v>
      </c>
      <c r="S791" s="544"/>
      <c r="T791" s="544"/>
      <c r="U791" s="544"/>
      <c r="V791" s="524" t="n">
        <v>20</v>
      </c>
      <c r="W791" s="524"/>
      <c r="X791" s="524"/>
      <c r="Y791" s="524"/>
      <c r="Z791" s="525" t="n">
        <f aca="false">N791*V791</f>
        <v>0</v>
      </c>
      <c r="AA791" s="525"/>
      <c r="AB791" s="525"/>
      <c r="AC791" s="525"/>
      <c r="AD791" s="396"/>
      <c r="AE791" s="396"/>
      <c r="AF791" s="396"/>
    </row>
    <row r="792" customFormat="false" ht="12.75" hidden="false" customHeight="true" outlineLevel="0" collapsed="false">
      <c r="A792" s="396"/>
      <c r="B792" s="396"/>
      <c r="C792" s="522" t="s">
        <v>1970</v>
      </c>
      <c r="D792" s="522"/>
      <c r="E792" s="523" t="s">
        <v>2190</v>
      </c>
      <c r="F792" s="523"/>
      <c r="G792" s="523"/>
      <c r="H792" s="523"/>
      <c r="I792" s="523"/>
      <c r="J792" s="523"/>
      <c r="K792" s="523"/>
      <c r="L792" s="523"/>
      <c r="M792" s="523"/>
      <c r="N792" s="514" t="n">
        <f aca="false">ROUNDUP(SUMIFS($Q$430:$R$745,$W$430:$X$745,C792),0)</f>
        <v>0</v>
      </c>
      <c r="O792" s="514"/>
      <c r="P792" s="514"/>
      <c r="Q792" s="514"/>
      <c r="R792" s="544" t="n">
        <f aca="false">N792/2</f>
        <v>0</v>
      </c>
      <c r="S792" s="544"/>
      <c r="T792" s="544"/>
      <c r="U792" s="544"/>
      <c r="V792" s="524" t="n">
        <v>5.7</v>
      </c>
      <c r="W792" s="524"/>
      <c r="X792" s="524"/>
      <c r="Y792" s="524"/>
      <c r="Z792" s="525" t="n">
        <f aca="false">N792*V792</f>
        <v>0</v>
      </c>
      <c r="AA792" s="525"/>
      <c r="AB792" s="525"/>
      <c r="AC792" s="525"/>
      <c r="AD792" s="396"/>
      <c r="AE792" s="396"/>
      <c r="AF792" s="396"/>
    </row>
    <row r="793" customFormat="false" ht="12.75" hidden="false" customHeight="true" outlineLevel="0" collapsed="false">
      <c r="A793" s="396"/>
      <c r="B793" s="396"/>
      <c r="C793" s="545" t="s">
        <v>1985</v>
      </c>
      <c r="D793" s="545"/>
      <c r="E793" s="546" t="s">
        <v>2191</v>
      </c>
      <c r="F793" s="546"/>
      <c r="G793" s="546"/>
      <c r="H793" s="546"/>
      <c r="I793" s="546"/>
      <c r="J793" s="546"/>
      <c r="K793" s="546"/>
      <c r="L793" s="546"/>
      <c r="M793" s="546"/>
      <c r="N793" s="514" t="n">
        <f aca="false">ROUNDUP(SUMIFS($Q$430:$R$745,$W$430:$X$745,C793),0)</f>
        <v>0</v>
      </c>
      <c r="O793" s="514"/>
      <c r="P793" s="514"/>
      <c r="Q793" s="514"/>
      <c r="R793" s="544" t="n">
        <f aca="false">N793</f>
        <v>0</v>
      </c>
      <c r="S793" s="544"/>
      <c r="T793" s="544"/>
      <c r="U793" s="544"/>
      <c r="V793" s="524" t="n">
        <v>22.5</v>
      </c>
      <c r="W793" s="524"/>
      <c r="X793" s="524"/>
      <c r="Y793" s="524"/>
      <c r="Z793" s="525" t="n">
        <f aca="false">N793*V793</f>
        <v>0</v>
      </c>
      <c r="AA793" s="525"/>
      <c r="AB793" s="525"/>
      <c r="AC793" s="525"/>
      <c r="AD793" s="396"/>
      <c r="AE793" s="396"/>
      <c r="AF793" s="396"/>
    </row>
    <row r="794" customFormat="false" ht="12.75" hidden="false" customHeight="true" outlineLevel="0" collapsed="false">
      <c r="A794" s="396"/>
      <c r="B794" s="396"/>
      <c r="C794" s="547" t="s">
        <v>2192</v>
      </c>
      <c r="D794" s="542"/>
      <c r="E794" s="542"/>
      <c r="F794" s="542"/>
      <c r="G794" s="542"/>
      <c r="H794" s="542"/>
      <c r="I794" s="542"/>
      <c r="J794" s="542"/>
      <c r="K794" s="542"/>
      <c r="L794" s="542"/>
      <c r="M794" s="542"/>
      <c r="N794" s="541"/>
      <c r="O794" s="541"/>
      <c r="P794" s="541"/>
      <c r="Q794" s="541"/>
      <c r="R794" s="542"/>
      <c r="S794" s="542"/>
      <c r="T794" s="542"/>
      <c r="U794" s="542"/>
      <c r="V794" s="539"/>
      <c r="W794" s="539"/>
      <c r="X794" s="539"/>
      <c r="Y794" s="539"/>
      <c r="Z794" s="542"/>
      <c r="AA794" s="542"/>
      <c r="AB794" s="542"/>
      <c r="AC794" s="543"/>
      <c r="AD794" s="396"/>
      <c r="AE794" s="396"/>
      <c r="AF794" s="396"/>
    </row>
    <row r="795" customFormat="false" ht="12.75" hidden="false" customHeight="true" outlineLevel="0" collapsed="false">
      <c r="A795" s="396"/>
      <c r="B795" s="396"/>
      <c r="C795" s="548" t="s">
        <v>2193</v>
      </c>
      <c r="D795" s="548"/>
      <c r="E795" s="548"/>
      <c r="F795" s="548"/>
      <c r="G795" s="548"/>
      <c r="H795" s="548"/>
      <c r="I795" s="548"/>
      <c r="J795" s="548"/>
      <c r="K795" s="548"/>
      <c r="L795" s="548"/>
      <c r="M795" s="548"/>
      <c r="N795" s="515" t="s">
        <v>2194</v>
      </c>
      <c r="O795" s="515"/>
      <c r="P795" s="515"/>
      <c r="Q795" s="515"/>
      <c r="R795" s="515"/>
      <c r="S795" s="515"/>
      <c r="T795" s="515"/>
      <c r="U795" s="515"/>
      <c r="V795" s="516"/>
      <c r="W795" s="516"/>
      <c r="X795" s="516"/>
      <c r="Y795" s="516"/>
      <c r="Z795" s="549" t="n">
        <v>90</v>
      </c>
      <c r="AA795" s="549"/>
      <c r="AB795" s="549"/>
      <c r="AC795" s="549"/>
      <c r="AD795" s="396"/>
      <c r="AE795" s="396"/>
      <c r="AF795" s="396"/>
    </row>
    <row r="796" customFormat="false" ht="12.75" hidden="false" customHeight="true" outlineLevel="0" collapsed="false">
      <c r="A796" s="396"/>
      <c r="B796" s="396"/>
      <c r="C796" s="550" t="s">
        <v>2195</v>
      </c>
      <c r="D796" s="550"/>
      <c r="E796" s="550"/>
      <c r="F796" s="550"/>
      <c r="G796" s="550"/>
      <c r="H796" s="550"/>
      <c r="I796" s="550"/>
      <c r="J796" s="550"/>
      <c r="K796" s="550"/>
      <c r="L796" s="550"/>
      <c r="M796" s="550"/>
      <c r="N796" s="514" t="s">
        <v>2194</v>
      </c>
      <c r="O796" s="514"/>
      <c r="P796" s="514"/>
      <c r="Q796" s="514"/>
      <c r="R796" s="514"/>
      <c r="S796" s="514"/>
      <c r="T796" s="514"/>
      <c r="U796" s="514"/>
      <c r="V796" s="524"/>
      <c r="W796" s="524"/>
      <c r="X796" s="524"/>
      <c r="Y796" s="524"/>
      <c r="Z796" s="551" t="n">
        <v>13.4</v>
      </c>
      <c r="AA796" s="551"/>
      <c r="AB796" s="551"/>
      <c r="AC796" s="551"/>
      <c r="AD796" s="396"/>
      <c r="AE796" s="396"/>
      <c r="AF796" s="396"/>
    </row>
    <row r="797" customFormat="false" ht="12.75" hidden="false" customHeight="true" outlineLevel="0" collapsed="false">
      <c r="A797" s="396"/>
      <c r="B797" s="396"/>
      <c r="C797" s="550" t="s">
        <v>2196</v>
      </c>
      <c r="D797" s="550"/>
      <c r="E797" s="550"/>
      <c r="F797" s="550"/>
      <c r="G797" s="550"/>
      <c r="H797" s="550"/>
      <c r="I797" s="550"/>
      <c r="J797" s="550"/>
      <c r="K797" s="550"/>
      <c r="L797" s="550"/>
      <c r="M797" s="550"/>
      <c r="N797" s="514" t="s">
        <v>2194</v>
      </c>
      <c r="O797" s="514"/>
      <c r="P797" s="514"/>
      <c r="Q797" s="514"/>
      <c r="R797" s="514"/>
      <c r="S797" s="514"/>
      <c r="T797" s="514"/>
      <c r="U797" s="514"/>
      <c r="V797" s="524"/>
      <c r="W797" s="524"/>
      <c r="X797" s="524"/>
      <c r="Y797" s="524"/>
      <c r="Z797" s="551" t="n">
        <v>14.3</v>
      </c>
      <c r="AA797" s="551"/>
      <c r="AB797" s="551"/>
      <c r="AC797" s="551"/>
      <c r="AD797" s="396"/>
      <c r="AE797" s="396"/>
      <c r="AF797" s="396"/>
    </row>
    <row r="798" customFormat="false" ht="12.75" hidden="false" customHeight="true" outlineLevel="0" collapsed="false">
      <c r="A798" s="396"/>
      <c r="B798" s="396"/>
      <c r="C798" s="550" t="s">
        <v>2197</v>
      </c>
      <c r="D798" s="550"/>
      <c r="E798" s="550"/>
      <c r="F798" s="550"/>
      <c r="G798" s="550"/>
      <c r="H798" s="550"/>
      <c r="I798" s="550"/>
      <c r="J798" s="550"/>
      <c r="K798" s="550"/>
      <c r="L798" s="550"/>
      <c r="M798" s="550"/>
      <c r="N798" s="514" t="s">
        <v>2194</v>
      </c>
      <c r="O798" s="514"/>
      <c r="P798" s="514"/>
      <c r="Q798" s="514"/>
      <c r="R798" s="514"/>
      <c r="S798" s="514"/>
      <c r="T798" s="514"/>
      <c r="U798" s="514"/>
      <c r="V798" s="524"/>
      <c r="W798" s="524"/>
      <c r="X798" s="524"/>
      <c r="Y798" s="524"/>
      <c r="Z798" s="551" t="n">
        <v>6</v>
      </c>
      <c r="AA798" s="551"/>
      <c r="AB798" s="551"/>
      <c r="AC798" s="551"/>
      <c r="AD798" s="396"/>
      <c r="AE798" s="396"/>
      <c r="AF798" s="396"/>
    </row>
    <row r="799" customFormat="false" ht="12.75" hidden="false" customHeight="true" outlineLevel="0" collapsed="false">
      <c r="A799" s="396"/>
      <c r="B799" s="396"/>
      <c r="C799" s="550" t="s">
        <v>2198</v>
      </c>
      <c r="D799" s="550"/>
      <c r="E799" s="550"/>
      <c r="F799" s="550"/>
      <c r="G799" s="550"/>
      <c r="H799" s="550"/>
      <c r="I799" s="550"/>
      <c r="J799" s="550"/>
      <c r="K799" s="550"/>
      <c r="L799" s="550"/>
      <c r="M799" s="550"/>
      <c r="N799" s="514" t="s">
        <v>2194</v>
      </c>
      <c r="O799" s="514"/>
      <c r="P799" s="514"/>
      <c r="Q799" s="514"/>
      <c r="R799" s="514"/>
      <c r="S799" s="514"/>
      <c r="T799" s="514"/>
      <c r="U799" s="514"/>
      <c r="V799" s="524"/>
      <c r="W799" s="524"/>
      <c r="X799" s="524"/>
      <c r="Y799" s="524"/>
      <c r="Z799" s="551" t="n">
        <v>10.5</v>
      </c>
      <c r="AA799" s="551"/>
      <c r="AB799" s="551"/>
      <c r="AC799" s="551"/>
      <c r="AD799" s="396"/>
      <c r="AE799" s="396"/>
      <c r="AF799" s="396"/>
    </row>
    <row r="800" customFormat="false" ht="12.75" hidden="false" customHeight="true" outlineLevel="0" collapsed="false">
      <c r="A800" s="396"/>
      <c r="B800" s="396"/>
      <c r="C800" s="550" t="s">
        <v>2199</v>
      </c>
      <c r="D800" s="550"/>
      <c r="E800" s="550"/>
      <c r="F800" s="550"/>
      <c r="G800" s="550"/>
      <c r="H800" s="550"/>
      <c r="I800" s="550"/>
      <c r="J800" s="550"/>
      <c r="K800" s="550"/>
      <c r="L800" s="550"/>
      <c r="M800" s="550"/>
      <c r="N800" s="514" t="n">
        <f aca="false">COUNTIFS(TO!C:C,"14345o",TO!F:F,$C$750)</f>
        <v>0</v>
      </c>
      <c r="O800" s="514"/>
      <c r="P800" s="514"/>
      <c r="Q800" s="514"/>
      <c r="R800" s="514"/>
      <c r="S800" s="514"/>
      <c r="T800" s="514"/>
      <c r="U800" s="514"/>
      <c r="V800" s="524" t="n">
        <v>120</v>
      </c>
      <c r="W800" s="524"/>
      <c r="X800" s="524"/>
      <c r="Y800" s="524"/>
      <c r="Z800" s="551" t="n">
        <f aca="false">N800*V800</f>
        <v>0</v>
      </c>
      <c r="AA800" s="551"/>
      <c r="AB800" s="551"/>
      <c r="AC800" s="551"/>
      <c r="AD800" s="396"/>
      <c r="AE800" s="396"/>
      <c r="AF800" s="396"/>
    </row>
    <row r="801" customFormat="false" ht="12.75" hidden="false" customHeight="true" outlineLevel="0" collapsed="false">
      <c r="A801" s="396"/>
      <c r="B801" s="396"/>
      <c r="C801" s="550" t="s">
        <v>2200</v>
      </c>
      <c r="D801" s="550"/>
      <c r="E801" s="550"/>
      <c r="F801" s="550"/>
      <c r="G801" s="550"/>
      <c r="H801" s="550"/>
      <c r="I801" s="550"/>
      <c r="J801" s="550"/>
      <c r="K801" s="550"/>
      <c r="L801" s="550"/>
      <c r="M801" s="550"/>
      <c r="N801" s="514" t="n">
        <f aca="false">COUNTIFS(TO!C:C,"14345a",TO!F:F,C750)</f>
        <v>0</v>
      </c>
      <c r="O801" s="514"/>
      <c r="P801" s="514"/>
      <c r="Q801" s="514"/>
      <c r="R801" s="514"/>
      <c r="S801" s="514"/>
      <c r="T801" s="514"/>
      <c r="U801" s="514"/>
      <c r="V801" s="524" t="n">
        <v>105</v>
      </c>
      <c r="W801" s="524"/>
      <c r="X801" s="524"/>
      <c r="Y801" s="524"/>
      <c r="Z801" s="551" t="n">
        <f aca="false">N801*V801</f>
        <v>0</v>
      </c>
      <c r="AA801" s="551"/>
      <c r="AB801" s="551"/>
      <c r="AC801" s="551"/>
      <c r="AD801" s="396"/>
      <c r="AE801" s="396"/>
      <c r="AF801" s="396"/>
    </row>
    <row r="802" customFormat="false" ht="12.75" hidden="false" customHeight="true" outlineLevel="0" collapsed="false">
      <c r="A802" s="396"/>
      <c r="B802" s="396"/>
      <c r="C802" s="552" t="s">
        <v>2201</v>
      </c>
      <c r="D802" s="552"/>
      <c r="E802" s="552"/>
      <c r="F802" s="552"/>
      <c r="G802" s="552"/>
      <c r="H802" s="552"/>
      <c r="I802" s="552"/>
      <c r="J802" s="552"/>
      <c r="K802" s="552"/>
      <c r="L802" s="552"/>
      <c r="M802" s="552"/>
      <c r="N802" s="576" t="n">
        <v>0</v>
      </c>
      <c r="O802" s="576"/>
      <c r="P802" s="576"/>
      <c r="Q802" s="576"/>
      <c r="R802" s="554"/>
      <c r="S802" s="554"/>
      <c r="T802" s="554"/>
      <c r="U802" s="554"/>
      <c r="V802" s="555" t="n">
        <v>60</v>
      </c>
      <c r="W802" s="555"/>
      <c r="X802" s="555"/>
      <c r="Y802" s="555"/>
      <c r="Z802" s="556" t="n">
        <f aca="false">N802*V802</f>
        <v>0</v>
      </c>
      <c r="AA802" s="556"/>
      <c r="AB802" s="556"/>
      <c r="AC802" s="556"/>
      <c r="AD802" s="396"/>
      <c r="AE802" s="396"/>
      <c r="AF802" s="396"/>
    </row>
    <row r="803" customFormat="false" ht="12.75" hidden="false" customHeight="true" outlineLevel="0" collapsed="false">
      <c r="A803" s="396"/>
      <c r="B803" s="396"/>
      <c r="C803" s="396"/>
      <c r="D803" s="396"/>
      <c r="E803" s="557"/>
      <c r="F803" s="557"/>
      <c r="G803" s="557"/>
      <c r="H803" s="557"/>
      <c r="I803" s="557"/>
      <c r="J803" s="557"/>
      <c r="K803" s="557"/>
      <c r="L803" s="557"/>
      <c r="M803" s="557"/>
      <c r="N803" s="557"/>
      <c r="O803" s="557"/>
      <c r="P803" s="557"/>
      <c r="Q803" s="557"/>
      <c r="R803" s="557"/>
      <c r="S803" s="557"/>
      <c r="T803" s="557"/>
      <c r="U803" s="557"/>
      <c r="V803" s="557"/>
      <c r="W803" s="557"/>
      <c r="X803" s="558"/>
      <c r="Y803" s="559" t="s">
        <v>25</v>
      </c>
      <c r="Z803" s="560" t="n">
        <f aca="false">ROUNDUP(SUM(Z753:AC771,Z773,Z775:AC793,Z795:AC802),0)</f>
        <v>418</v>
      </c>
      <c r="AA803" s="560"/>
      <c r="AB803" s="560"/>
      <c r="AC803" s="560"/>
      <c r="AD803" s="396"/>
      <c r="AE803" s="396"/>
      <c r="AF803" s="396"/>
    </row>
    <row r="804" customFormat="false" ht="12.75" hidden="false" customHeight="true" outlineLevel="0" collapsed="false">
      <c r="A804" s="396"/>
      <c r="B804" s="396"/>
      <c r="C804" s="561"/>
      <c r="D804" s="561"/>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c r="AC804" s="561"/>
      <c r="AD804" s="396"/>
      <c r="AE804" s="396"/>
      <c r="AF804" s="396"/>
    </row>
    <row r="805" customFormat="false" ht="12.75" hidden="false" customHeight="true" outlineLevel="0" collapsed="false">
      <c r="A805" s="396"/>
      <c r="B805" s="396"/>
      <c r="C805" s="561"/>
      <c r="D805" s="561"/>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c r="AC805" s="561"/>
      <c r="AD805" s="501"/>
      <c r="AE805" s="396"/>
      <c r="AF805" s="396"/>
    </row>
    <row r="806" customFormat="false" ht="12.75" hidden="false" customHeight="true" outlineLevel="0" collapsed="false">
      <c r="A806" s="495"/>
      <c r="B806" s="495"/>
      <c r="C806" s="495"/>
      <c r="D806" s="495"/>
      <c r="E806" s="495"/>
      <c r="F806" s="495"/>
      <c r="G806" s="495"/>
      <c r="H806" s="495"/>
      <c r="I806" s="495"/>
      <c r="J806" s="495"/>
      <c r="K806" s="495"/>
      <c r="L806" s="495"/>
      <c r="M806" s="495"/>
      <c r="N806" s="495"/>
      <c r="O806" s="495"/>
      <c r="P806" s="495"/>
      <c r="Q806" s="495"/>
      <c r="R806" s="495"/>
      <c r="S806" s="495"/>
      <c r="T806" s="495"/>
      <c r="U806" s="495"/>
      <c r="V806" s="495"/>
      <c r="W806" s="495"/>
      <c r="X806" s="495"/>
      <c r="Y806" s="495"/>
      <c r="Z806" s="495"/>
      <c r="AA806" s="495"/>
      <c r="AB806" s="453"/>
      <c r="AC806" s="454" t="s">
        <v>1657</v>
      </c>
      <c r="AD806" s="455" t="n">
        <v>27</v>
      </c>
      <c r="AE806" s="455" t="s">
        <v>29</v>
      </c>
      <c r="AF806" s="455" t="n">
        <v>27</v>
      </c>
    </row>
    <row r="807" customFormat="false" ht="12.75" hidden="false" customHeight="true" outlineLevel="0" collapsed="false">
      <c r="A807" s="577"/>
      <c r="B807" s="577"/>
      <c r="C807" s="578"/>
      <c r="D807" s="578"/>
      <c r="E807" s="578"/>
      <c r="F807" s="578"/>
      <c r="G807" s="578"/>
      <c r="H807" s="578"/>
      <c r="I807" s="578"/>
      <c r="J807" s="578"/>
      <c r="K807" s="578"/>
      <c r="L807" s="578"/>
      <c r="M807" s="577"/>
      <c r="N807" s="577"/>
      <c r="O807" s="577"/>
      <c r="P807" s="577"/>
      <c r="Q807" s="577"/>
      <c r="R807" s="578"/>
      <c r="S807" s="578"/>
      <c r="T807" s="578"/>
      <c r="U807" s="578"/>
      <c r="V807" s="578"/>
      <c r="W807" s="578"/>
      <c r="X807" s="578"/>
      <c r="Y807" s="578"/>
      <c r="Z807" s="578"/>
      <c r="AA807" s="578"/>
      <c r="AB807" s="578"/>
      <c r="AC807" s="578"/>
      <c r="AD807" s="578"/>
      <c r="AE807" s="578"/>
      <c r="AF807" s="578"/>
    </row>
    <row r="808" customFormat="false" ht="12.75" hidden="false" customHeight="true" outlineLevel="0" collapsed="false">
      <c r="A808" s="457"/>
      <c r="B808" s="458"/>
      <c r="C808" s="459"/>
      <c r="D808" s="459"/>
      <c r="E808" s="459"/>
      <c r="F808" s="459"/>
      <c r="G808" s="459"/>
      <c r="H808" s="459"/>
      <c r="I808" s="459"/>
      <c r="J808" s="459"/>
      <c r="K808" s="459"/>
      <c r="L808" s="459"/>
      <c r="M808" s="458"/>
      <c r="N808" s="458"/>
      <c r="O808" s="458"/>
      <c r="P808" s="459"/>
      <c r="Q808" s="458"/>
      <c r="R808" s="459"/>
      <c r="S808" s="459"/>
      <c r="T808" s="459"/>
      <c r="U808" s="459"/>
      <c r="V808" s="459"/>
      <c r="W808" s="459"/>
      <c r="X808" s="459"/>
      <c r="Y808" s="459"/>
      <c r="Z808" s="459"/>
      <c r="AA808" s="459"/>
      <c r="AB808" s="459"/>
      <c r="AC808" s="459"/>
      <c r="AD808" s="459"/>
      <c r="AE808" s="459"/>
      <c r="AF808" s="459"/>
    </row>
    <row r="809" customFormat="false" ht="15.75" hidden="false" customHeight="true" outlineLevel="0" collapsed="false">
      <c r="A809" s="579"/>
      <c r="B809" s="579"/>
      <c r="C809" s="579"/>
      <c r="D809" s="580"/>
      <c r="E809" s="580"/>
      <c r="F809" s="580"/>
      <c r="G809" s="580"/>
      <c r="H809" s="580"/>
      <c r="I809" s="580"/>
      <c r="J809" s="580"/>
      <c r="K809" s="580"/>
      <c r="L809" s="580"/>
      <c r="M809" s="458"/>
      <c r="N809" s="458"/>
      <c r="O809" s="458"/>
      <c r="P809" s="459"/>
      <c r="Q809" s="458"/>
      <c r="R809" s="459"/>
      <c r="S809" s="459"/>
      <c r="T809" s="459"/>
      <c r="U809" s="459"/>
      <c r="V809" s="459"/>
      <c r="W809" s="459"/>
      <c r="X809" s="459"/>
      <c r="Y809" s="459"/>
      <c r="Z809" s="459"/>
      <c r="AA809" s="459"/>
      <c r="AB809" s="459"/>
      <c r="AC809" s="459"/>
      <c r="AD809" s="459"/>
      <c r="AE809" s="459"/>
      <c r="AF809" s="459"/>
    </row>
    <row r="810" customFormat="false" ht="15.75" hidden="false" customHeight="true" outlineLevel="0" collapsed="false">
      <c r="A810" s="581"/>
      <c r="B810" s="581"/>
      <c r="C810" s="581"/>
      <c r="D810" s="581"/>
      <c r="E810" s="581"/>
      <c r="F810" s="581"/>
      <c r="G810" s="581"/>
      <c r="H810" s="581"/>
      <c r="I810" s="581"/>
      <c r="J810" s="581"/>
      <c r="K810" s="581"/>
      <c r="L810" s="581"/>
      <c r="M810" s="582"/>
      <c r="N810" s="582"/>
      <c r="O810" s="583"/>
      <c r="P810" s="583"/>
      <c r="Q810" s="583"/>
      <c r="R810" s="583"/>
      <c r="S810" s="584"/>
      <c r="T810" s="584"/>
      <c r="U810" s="584"/>
      <c r="V810" s="584"/>
      <c r="W810" s="582"/>
      <c r="X810" s="582"/>
      <c r="Y810" s="582"/>
      <c r="Z810" s="582"/>
      <c r="AA810" s="582"/>
      <c r="AB810" s="582"/>
      <c r="AC810" s="582"/>
      <c r="AD810" s="582"/>
      <c r="AE810" s="582"/>
      <c r="AF810" s="459"/>
    </row>
    <row r="811" customFormat="false" ht="15.75" hidden="false" customHeight="true" outlineLevel="0" collapsed="false">
      <c r="A811" s="581"/>
      <c r="B811" s="581"/>
      <c r="C811" s="581"/>
      <c r="D811" s="581"/>
      <c r="E811" s="581"/>
      <c r="F811" s="581"/>
      <c r="G811" s="581"/>
      <c r="H811" s="581"/>
      <c r="I811" s="581"/>
      <c r="J811" s="581"/>
      <c r="K811" s="581"/>
      <c r="L811" s="581"/>
      <c r="M811" s="582"/>
      <c r="N811" s="582"/>
      <c r="O811" s="583"/>
      <c r="P811" s="583"/>
      <c r="Q811" s="583"/>
      <c r="R811" s="583"/>
      <c r="S811" s="584"/>
      <c r="T811" s="584"/>
      <c r="U811" s="584"/>
      <c r="V811" s="584"/>
      <c r="W811" s="582"/>
      <c r="X811" s="582"/>
      <c r="Y811" s="582"/>
      <c r="Z811" s="582"/>
      <c r="AA811" s="582"/>
      <c r="AB811" s="582"/>
      <c r="AC811" s="582"/>
      <c r="AD811" s="582"/>
      <c r="AE811" s="582"/>
      <c r="AF811" s="459"/>
    </row>
    <row r="812" customFormat="false" ht="30" hidden="false" customHeight="true" outlineLevel="0" collapsed="false">
      <c r="A812" s="581"/>
      <c r="B812" s="581"/>
      <c r="C812" s="581"/>
      <c r="D812" s="581"/>
      <c r="E812" s="581"/>
      <c r="F812" s="581"/>
      <c r="G812" s="581"/>
      <c r="H812" s="581"/>
      <c r="I812" s="581"/>
      <c r="J812" s="581"/>
      <c r="K812" s="581"/>
      <c r="L812" s="581"/>
      <c r="M812" s="582"/>
      <c r="N812" s="582"/>
      <c r="O812" s="583"/>
      <c r="P812" s="583"/>
      <c r="Q812" s="583"/>
      <c r="R812" s="583"/>
      <c r="S812" s="584"/>
      <c r="T812" s="584"/>
      <c r="U812" s="584"/>
      <c r="V812" s="584"/>
      <c r="W812" s="582"/>
      <c r="X812" s="582"/>
      <c r="Y812" s="582"/>
      <c r="Z812" s="582"/>
      <c r="AA812" s="582"/>
      <c r="AB812" s="582"/>
      <c r="AC812" s="582"/>
      <c r="AD812" s="582"/>
      <c r="AE812" s="582"/>
      <c r="AF812" s="468"/>
    </row>
    <row r="813" customFormat="false" ht="30" hidden="false" customHeight="true" outlineLevel="0" collapsed="false">
      <c r="A813" s="581"/>
      <c r="B813" s="581"/>
      <c r="C813" s="581"/>
      <c r="D813" s="585"/>
      <c r="E813" s="585"/>
      <c r="F813" s="585"/>
      <c r="G813" s="585"/>
      <c r="H813" s="585"/>
      <c r="I813" s="585"/>
      <c r="J813" s="585"/>
      <c r="K813" s="585"/>
      <c r="L813" s="585"/>
      <c r="M813" s="582"/>
      <c r="N813" s="582"/>
      <c r="O813" s="586"/>
      <c r="P813" s="586"/>
      <c r="Q813" s="587"/>
      <c r="R813" s="587"/>
      <c r="S813" s="588"/>
      <c r="T813" s="588"/>
      <c r="U813" s="588"/>
      <c r="V813" s="588"/>
      <c r="W813" s="582"/>
      <c r="X813" s="582"/>
      <c r="Y813" s="589"/>
      <c r="Z813" s="589"/>
      <c r="AA813" s="589"/>
      <c r="AB813" s="589"/>
      <c r="AC813" s="589"/>
      <c r="AD813" s="589"/>
      <c r="AE813" s="589"/>
      <c r="AF813" s="468"/>
    </row>
    <row r="814" customFormat="false" ht="30" hidden="false" customHeight="true" outlineLevel="0" collapsed="false">
      <c r="A814" s="581"/>
      <c r="B814" s="581"/>
      <c r="C814" s="581"/>
      <c r="D814" s="585"/>
      <c r="E814" s="585"/>
      <c r="F814" s="585"/>
      <c r="G814" s="585"/>
      <c r="H814" s="585"/>
      <c r="I814" s="585"/>
      <c r="J814" s="585"/>
      <c r="K814" s="585"/>
      <c r="L814" s="585"/>
      <c r="M814" s="582"/>
      <c r="N814" s="582"/>
      <c r="O814" s="586"/>
      <c r="P814" s="586"/>
      <c r="Q814" s="587"/>
      <c r="R814" s="587"/>
      <c r="S814" s="588"/>
      <c r="T814" s="588"/>
      <c r="U814" s="588"/>
      <c r="V814" s="588"/>
      <c r="W814" s="582"/>
      <c r="X814" s="582"/>
      <c r="Y814" s="589"/>
      <c r="Z814" s="589"/>
      <c r="AA814" s="589"/>
      <c r="AB814" s="589"/>
      <c r="AC814" s="589"/>
      <c r="AD814" s="589"/>
      <c r="AE814" s="589"/>
      <c r="AF814" s="468"/>
    </row>
    <row r="815" customFormat="false" ht="30" hidden="false" customHeight="true" outlineLevel="0" collapsed="false">
      <c r="A815" s="581"/>
      <c r="B815" s="581"/>
      <c r="C815" s="581"/>
      <c r="D815" s="585"/>
      <c r="E815" s="585"/>
      <c r="F815" s="585"/>
      <c r="G815" s="585"/>
      <c r="H815" s="585"/>
      <c r="I815" s="585"/>
      <c r="J815" s="585"/>
      <c r="K815" s="585"/>
      <c r="L815" s="585"/>
      <c r="M815" s="582"/>
      <c r="N815" s="582"/>
      <c r="O815" s="586"/>
      <c r="P815" s="586"/>
      <c r="Q815" s="587"/>
      <c r="R815" s="587"/>
      <c r="S815" s="588"/>
      <c r="T815" s="588"/>
      <c r="U815" s="588"/>
      <c r="V815" s="588"/>
      <c r="W815" s="582"/>
      <c r="X815" s="582"/>
      <c r="Y815" s="589"/>
      <c r="Z815" s="589"/>
      <c r="AA815" s="589"/>
      <c r="AB815" s="589"/>
      <c r="AC815" s="589"/>
      <c r="AD815" s="589"/>
      <c r="AE815" s="589"/>
      <c r="AF815" s="468"/>
    </row>
    <row r="816" customFormat="false" ht="30" hidden="false" customHeight="true" outlineLevel="0" collapsed="false">
      <c r="A816" s="581"/>
      <c r="B816" s="581"/>
      <c r="C816" s="581"/>
      <c r="D816" s="585"/>
      <c r="E816" s="585"/>
      <c r="F816" s="585"/>
      <c r="G816" s="585"/>
      <c r="H816" s="585"/>
      <c r="I816" s="585"/>
      <c r="J816" s="585"/>
      <c r="K816" s="585"/>
      <c r="L816" s="585"/>
      <c r="M816" s="582"/>
      <c r="N816" s="582"/>
      <c r="O816" s="590"/>
      <c r="P816" s="590"/>
      <c r="Q816" s="590"/>
      <c r="R816" s="590"/>
      <c r="S816" s="590"/>
      <c r="T816" s="590"/>
      <c r="U816" s="590"/>
      <c r="V816" s="590"/>
      <c r="W816" s="582"/>
      <c r="X816" s="582"/>
      <c r="Y816" s="589"/>
      <c r="Z816" s="589"/>
      <c r="AA816" s="589"/>
      <c r="AB816" s="589"/>
      <c r="AC816" s="589"/>
      <c r="AD816" s="589"/>
      <c r="AE816" s="589"/>
      <c r="AF816" s="468"/>
    </row>
    <row r="817" customFormat="false" ht="30" hidden="false" customHeight="true" outlineLevel="0" collapsed="false">
      <c r="A817" s="581"/>
      <c r="B817" s="581"/>
      <c r="C817" s="581"/>
      <c r="D817" s="585"/>
      <c r="E817" s="585"/>
      <c r="F817" s="585"/>
      <c r="G817" s="585"/>
      <c r="H817" s="585"/>
      <c r="I817" s="585"/>
      <c r="J817" s="585"/>
      <c r="K817" s="585"/>
      <c r="L817" s="585"/>
      <c r="M817" s="582"/>
      <c r="N817" s="582"/>
      <c r="O817" s="586"/>
      <c r="P817" s="586"/>
      <c r="Q817" s="587"/>
      <c r="R817" s="587"/>
      <c r="S817" s="588"/>
      <c r="T817" s="588"/>
      <c r="U817" s="588"/>
      <c r="V817" s="588"/>
      <c r="W817" s="582"/>
      <c r="X817" s="582"/>
      <c r="Y817" s="589"/>
      <c r="Z817" s="589"/>
      <c r="AA817" s="589"/>
      <c r="AB817" s="589"/>
      <c r="AC817" s="589"/>
      <c r="AD817" s="589"/>
      <c r="AE817" s="589"/>
      <c r="AF817" s="468"/>
    </row>
    <row r="818" customFormat="false" ht="30" hidden="false" customHeight="true" outlineLevel="0" collapsed="false">
      <c r="A818" s="581"/>
      <c r="B818" s="581"/>
      <c r="C818" s="581"/>
      <c r="D818" s="585"/>
      <c r="E818" s="585"/>
      <c r="F818" s="585"/>
      <c r="G818" s="585"/>
      <c r="H818" s="585"/>
      <c r="I818" s="585"/>
      <c r="J818" s="585"/>
      <c r="K818" s="585"/>
      <c r="L818" s="585"/>
      <c r="M818" s="582"/>
      <c r="N818" s="582"/>
      <c r="O818" s="586"/>
      <c r="P818" s="586"/>
      <c r="Q818" s="587"/>
      <c r="R818" s="587"/>
      <c r="S818" s="588"/>
      <c r="T818" s="588"/>
      <c r="U818" s="588"/>
      <c r="V818" s="588"/>
      <c r="W818" s="582"/>
      <c r="X818" s="582"/>
      <c r="Y818" s="589"/>
      <c r="Z818" s="589"/>
      <c r="AA818" s="589"/>
      <c r="AB818" s="589"/>
      <c r="AC818" s="589"/>
      <c r="AD818" s="589"/>
      <c r="AE818" s="589"/>
      <c r="AF818" s="468"/>
    </row>
    <row r="819" customFormat="false" ht="30" hidden="false" customHeight="true" outlineLevel="0" collapsed="false">
      <c r="A819" s="581"/>
      <c r="B819" s="581"/>
      <c r="C819" s="581"/>
      <c r="D819" s="585"/>
      <c r="E819" s="585"/>
      <c r="F819" s="585"/>
      <c r="G819" s="585"/>
      <c r="H819" s="585"/>
      <c r="I819" s="585"/>
      <c r="J819" s="585"/>
      <c r="K819" s="585"/>
      <c r="L819" s="585"/>
      <c r="M819" s="582"/>
      <c r="N819" s="582"/>
      <c r="O819" s="586"/>
      <c r="P819" s="586"/>
      <c r="Q819" s="587"/>
      <c r="R819" s="587"/>
      <c r="S819" s="588"/>
      <c r="T819" s="588"/>
      <c r="U819" s="588"/>
      <c r="V819" s="588"/>
      <c r="W819" s="582"/>
      <c r="X819" s="582"/>
      <c r="Y819" s="589"/>
      <c r="Z819" s="589"/>
      <c r="AA819" s="589"/>
      <c r="AB819" s="589"/>
      <c r="AC819" s="589"/>
      <c r="AD819" s="589"/>
      <c r="AE819" s="589"/>
      <c r="AF819" s="468"/>
    </row>
    <row r="820" customFormat="false" ht="30" hidden="false" customHeight="true" outlineLevel="0" collapsed="false">
      <c r="A820" s="581"/>
      <c r="B820" s="581"/>
      <c r="C820" s="581"/>
      <c r="D820" s="585"/>
      <c r="E820" s="585"/>
      <c r="F820" s="585"/>
      <c r="G820" s="585"/>
      <c r="H820" s="585"/>
      <c r="I820" s="585"/>
      <c r="J820" s="585"/>
      <c r="K820" s="585"/>
      <c r="L820" s="585"/>
      <c r="M820" s="582"/>
      <c r="N820" s="582"/>
      <c r="O820" s="586"/>
      <c r="P820" s="586"/>
      <c r="Q820" s="587"/>
      <c r="R820" s="587"/>
      <c r="S820" s="588"/>
      <c r="T820" s="588"/>
      <c r="U820" s="588"/>
      <c r="V820" s="588"/>
      <c r="W820" s="582"/>
      <c r="X820" s="582"/>
      <c r="Y820" s="589"/>
      <c r="Z820" s="589"/>
      <c r="AA820" s="589"/>
      <c r="AB820" s="589"/>
      <c r="AC820" s="589"/>
      <c r="AD820" s="589"/>
      <c r="AE820" s="589"/>
      <c r="AF820" s="468"/>
    </row>
    <row r="821" customFormat="false" ht="30" hidden="false" customHeight="true" outlineLevel="0" collapsed="false">
      <c r="A821" s="581"/>
      <c r="B821" s="581"/>
      <c r="C821" s="581"/>
      <c r="D821" s="585"/>
      <c r="E821" s="585"/>
      <c r="F821" s="585"/>
      <c r="G821" s="585"/>
      <c r="H821" s="585"/>
      <c r="I821" s="585"/>
      <c r="J821" s="585"/>
      <c r="K821" s="585"/>
      <c r="L821" s="585"/>
      <c r="M821" s="582"/>
      <c r="N821" s="582"/>
      <c r="O821" s="586"/>
      <c r="P821" s="586"/>
      <c r="Q821" s="587"/>
      <c r="R821" s="587"/>
      <c r="S821" s="588"/>
      <c r="T821" s="588"/>
      <c r="U821" s="588"/>
      <c r="V821" s="588"/>
      <c r="W821" s="582"/>
      <c r="X821" s="582"/>
      <c r="Y821" s="589"/>
      <c r="Z821" s="589"/>
      <c r="AA821" s="589"/>
      <c r="AB821" s="589"/>
      <c r="AC821" s="589"/>
      <c r="AD821" s="589"/>
      <c r="AE821" s="589"/>
      <c r="AF821" s="468"/>
    </row>
    <row r="822" customFormat="false" ht="30" hidden="false" customHeight="true" outlineLevel="0" collapsed="false">
      <c r="A822" s="581"/>
      <c r="B822" s="581"/>
      <c r="C822" s="581"/>
      <c r="D822" s="585"/>
      <c r="E822" s="585"/>
      <c r="F822" s="585"/>
      <c r="G822" s="585"/>
      <c r="H822" s="585"/>
      <c r="I822" s="585"/>
      <c r="J822" s="585"/>
      <c r="K822" s="585"/>
      <c r="L822" s="585"/>
      <c r="M822" s="582"/>
      <c r="N822" s="582"/>
      <c r="O822" s="586"/>
      <c r="P822" s="586"/>
      <c r="Q822" s="587"/>
      <c r="R822" s="587"/>
      <c r="S822" s="588"/>
      <c r="T822" s="588"/>
      <c r="U822" s="588"/>
      <c r="V822" s="588"/>
      <c r="W822" s="582"/>
      <c r="X822" s="582"/>
      <c r="Y822" s="589"/>
      <c r="Z822" s="589"/>
      <c r="AA822" s="589"/>
      <c r="AB822" s="589"/>
      <c r="AC822" s="589"/>
      <c r="AD822" s="589"/>
      <c r="AE822" s="589"/>
      <c r="AF822" s="468"/>
    </row>
    <row r="823" customFormat="false" ht="30" hidden="false" customHeight="true" outlineLevel="0" collapsed="false">
      <c r="A823" s="581"/>
      <c r="B823" s="581"/>
      <c r="C823" s="581"/>
      <c r="D823" s="585"/>
      <c r="E823" s="585"/>
      <c r="F823" s="585"/>
      <c r="G823" s="585"/>
      <c r="H823" s="585"/>
      <c r="I823" s="585"/>
      <c r="J823" s="585"/>
      <c r="K823" s="585"/>
      <c r="L823" s="585"/>
      <c r="M823" s="582"/>
      <c r="N823" s="582"/>
      <c r="O823" s="590"/>
      <c r="P823" s="590"/>
      <c r="Q823" s="590"/>
      <c r="R823" s="590"/>
      <c r="S823" s="590"/>
      <c r="T823" s="590"/>
      <c r="U823" s="590"/>
      <c r="V823" s="590"/>
      <c r="W823" s="582"/>
      <c r="X823" s="582"/>
      <c r="Y823" s="589"/>
      <c r="Z823" s="589"/>
      <c r="AA823" s="589"/>
      <c r="AB823" s="589"/>
      <c r="AC823" s="589"/>
      <c r="AD823" s="589"/>
      <c r="AE823" s="589"/>
      <c r="AF823" s="468"/>
    </row>
    <row r="824" customFormat="false" ht="30" hidden="false" customHeight="true" outlineLevel="0" collapsed="false">
      <c r="A824" s="581"/>
      <c r="B824" s="581"/>
      <c r="C824" s="581"/>
      <c r="D824" s="585"/>
      <c r="E824" s="585"/>
      <c r="F824" s="585"/>
      <c r="G824" s="585"/>
      <c r="H824" s="585"/>
      <c r="I824" s="585"/>
      <c r="J824" s="585"/>
      <c r="K824" s="585"/>
      <c r="L824" s="585"/>
      <c r="M824" s="582"/>
      <c r="N824" s="582"/>
      <c r="O824" s="586"/>
      <c r="P824" s="586"/>
      <c r="Q824" s="587"/>
      <c r="R824" s="587"/>
      <c r="S824" s="588"/>
      <c r="T824" s="588"/>
      <c r="U824" s="588"/>
      <c r="V824" s="588"/>
      <c r="W824" s="582"/>
      <c r="X824" s="582"/>
      <c r="Y824" s="589"/>
      <c r="Z824" s="589"/>
      <c r="AA824" s="589"/>
      <c r="AB824" s="589"/>
      <c r="AC824" s="589"/>
      <c r="AD824" s="589"/>
      <c r="AE824" s="589"/>
      <c r="AF824" s="468"/>
    </row>
    <row r="825" customFormat="false" ht="30" hidden="false" customHeight="true" outlineLevel="0" collapsed="false">
      <c r="A825" s="581"/>
      <c r="B825" s="581"/>
      <c r="C825" s="581"/>
      <c r="D825" s="585"/>
      <c r="E825" s="585"/>
      <c r="F825" s="585"/>
      <c r="G825" s="585"/>
      <c r="H825" s="585"/>
      <c r="I825" s="585"/>
      <c r="J825" s="585"/>
      <c r="K825" s="585"/>
      <c r="L825" s="585"/>
      <c r="M825" s="582"/>
      <c r="N825" s="582"/>
      <c r="O825" s="590"/>
      <c r="P825" s="590"/>
      <c r="Q825" s="590"/>
      <c r="R825" s="590"/>
      <c r="S825" s="590"/>
      <c r="T825" s="590"/>
      <c r="U825" s="590"/>
      <c r="V825" s="590"/>
      <c r="W825" s="582"/>
      <c r="X825" s="582"/>
      <c r="Y825" s="589"/>
      <c r="Z825" s="589"/>
      <c r="AA825" s="589"/>
      <c r="AB825" s="589"/>
      <c r="AC825" s="589"/>
      <c r="AD825" s="589"/>
      <c r="AE825" s="589"/>
      <c r="AF825" s="468"/>
    </row>
    <row r="826" customFormat="false" ht="30" hidden="false" customHeight="true" outlineLevel="0" collapsed="false">
      <c r="A826" s="581"/>
      <c r="B826" s="581"/>
      <c r="C826" s="581"/>
      <c r="D826" s="585"/>
      <c r="E826" s="585"/>
      <c r="F826" s="585"/>
      <c r="G826" s="585"/>
      <c r="H826" s="585"/>
      <c r="I826" s="585"/>
      <c r="J826" s="585"/>
      <c r="K826" s="585"/>
      <c r="L826" s="585"/>
      <c r="M826" s="582"/>
      <c r="N826" s="582"/>
      <c r="O826" s="586"/>
      <c r="P826" s="586"/>
      <c r="Q826" s="587"/>
      <c r="R826" s="587"/>
      <c r="S826" s="588"/>
      <c r="T826" s="588"/>
      <c r="U826" s="588"/>
      <c r="V826" s="588"/>
      <c r="W826" s="582"/>
      <c r="X826" s="582"/>
      <c r="Y826" s="589"/>
      <c r="Z826" s="589"/>
      <c r="AA826" s="589"/>
      <c r="AB826" s="589"/>
      <c r="AC826" s="589"/>
      <c r="AD826" s="589"/>
      <c r="AE826" s="589"/>
      <c r="AF826" s="468"/>
    </row>
    <row r="827" customFormat="false" ht="30" hidden="false" customHeight="true" outlineLevel="0" collapsed="false">
      <c r="A827" s="581"/>
      <c r="B827" s="581"/>
      <c r="C827" s="581"/>
      <c r="D827" s="585"/>
      <c r="E827" s="585"/>
      <c r="F827" s="585"/>
      <c r="G827" s="585"/>
      <c r="H827" s="585"/>
      <c r="I827" s="585"/>
      <c r="J827" s="585"/>
      <c r="K827" s="585"/>
      <c r="L827" s="585"/>
      <c r="M827" s="582"/>
      <c r="N827" s="582"/>
      <c r="O827" s="590"/>
      <c r="P827" s="590"/>
      <c r="Q827" s="587"/>
      <c r="R827" s="587"/>
      <c r="S827" s="588"/>
      <c r="T827" s="588"/>
      <c r="U827" s="588"/>
      <c r="V827" s="588"/>
      <c r="W827" s="582"/>
      <c r="X827" s="582"/>
      <c r="Y827" s="589"/>
      <c r="Z827" s="589"/>
      <c r="AA827" s="589"/>
      <c r="AB827" s="589"/>
      <c r="AC827" s="589"/>
      <c r="AD827" s="589"/>
      <c r="AE827" s="589"/>
      <c r="AF827" s="468"/>
    </row>
    <row r="828" customFormat="false" ht="30" hidden="false" customHeight="true" outlineLevel="0" collapsed="false">
      <c r="A828" s="581"/>
      <c r="B828" s="581"/>
      <c r="C828" s="581"/>
      <c r="D828" s="585"/>
      <c r="E828" s="585"/>
      <c r="F828" s="585"/>
      <c r="G828" s="585"/>
      <c r="H828" s="585"/>
      <c r="I828" s="585"/>
      <c r="J828" s="585"/>
      <c r="K828" s="585"/>
      <c r="L828" s="585"/>
      <c r="M828" s="582"/>
      <c r="N828" s="582"/>
      <c r="O828" s="586"/>
      <c r="P828" s="586"/>
      <c r="Q828" s="587"/>
      <c r="R828" s="587"/>
      <c r="S828" s="588"/>
      <c r="T828" s="588"/>
      <c r="U828" s="588"/>
      <c r="V828" s="588"/>
      <c r="W828" s="582"/>
      <c r="X828" s="582"/>
      <c r="Y828" s="589"/>
      <c r="Z828" s="589"/>
      <c r="AA828" s="589"/>
      <c r="AB828" s="589"/>
      <c r="AC828" s="589"/>
      <c r="AD828" s="589"/>
      <c r="AE828" s="589"/>
      <c r="AF828" s="468"/>
    </row>
    <row r="829" customFormat="false" ht="30" hidden="false" customHeight="true" outlineLevel="0" collapsed="false">
      <c r="A829" s="581"/>
      <c r="B829" s="581"/>
      <c r="C829" s="581"/>
      <c r="D829" s="585"/>
      <c r="E829" s="585"/>
      <c r="F829" s="585"/>
      <c r="G829" s="585"/>
      <c r="H829" s="585"/>
      <c r="I829" s="585"/>
      <c r="J829" s="585"/>
      <c r="K829" s="585"/>
      <c r="L829" s="585"/>
      <c r="M829" s="582"/>
      <c r="N829" s="582"/>
      <c r="O829" s="586"/>
      <c r="P829" s="586"/>
      <c r="Q829" s="587"/>
      <c r="R829" s="587"/>
      <c r="S829" s="588"/>
      <c r="T829" s="588"/>
      <c r="U829" s="588"/>
      <c r="V829" s="588"/>
      <c r="W829" s="582"/>
      <c r="X829" s="582"/>
      <c r="Y829" s="589"/>
      <c r="Z829" s="589"/>
      <c r="AA829" s="589"/>
      <c r="AB829" s="589"/>
      <c r="AC829" s="589"/>
      <c r="AD829" s="589"/>
      <c r="AE829" s="589"/>
      <c r="AF829" s="468"/>
    </row>
    <row r="830" customFormat="false" ht="30" hidden="false" customHeight="true" outlineLevel="0" collapsed="false">
      <c r="A830" s="581"/>
      <c r="B830" s="581"/>
      <c r="C830" s="581"/>
      <c r="D830" s="585"/>
      <c r="E830" s="585"/>
      <c r="F830" s="585"/>
      <c r="G830" s="585"/>
      <c r="H830" s="585"/>
      <c r="I830" s="585"/>
      <c r="J830" s="585"/>
      <c r="K830" s="585"/>
      <c r="L830" s="585"/>
      <c r="M830" s="582"/>
      <c r="N830" s="582"/>
      <c r="O830" s="586"/>
      <c r="P830" s="586"/>
      <c r="Q830" s="587"/>
      <c r="R830" s="587"/>
      <c r="S830" s="588"/>
      <c r="T830" s="588"/>
      <c r="U830" s="588"/>
      <c r="V830" s="588"/>
      <c r="W830" s="582"/>
      <c r="X830" s="582"/>
      <c r="Y830" s="589"/>
      <c r="Z830" s="589"/>
      <c r="AA830" s="589"/>
      <c r="AB830" s="589"/>
      <c r="AC830" s="589"/>
      <c r="AD830" s="589"/>
      <c r="AE830" s="589"/>
      <c r="AF830" s="468"/>
    </row>
    <row r="831" customFormat="false" ht="30" hidden="false" customHeight="true" outlineLevel="0" collapsed="false">
      <c r="A831" s="581"/>
      <c r="B831" s="581"/>
      <c r="C831" s="581"/>
      <c r="D831" s="585"/>
      <c r="E831" s="585"/>
      <c r="F831" s="585"/>
      <c r="G831" s="585"/>
      <c r="H831" s="585"/>
      <c r="I831" s="585"/>
      <c r="J831" s="585"/>
      <c r="K831" s="585"/>
      <c r="L831" s="585"/>
      <c r="M831" s="582"/>
      <c r="N831" s="582"/>
      <c r="O831" s="586"/>
      <c r="P831" s="586"/>
      <c r="Q831" s="587"/>
      <c r="R831" s="587"/>
      <c r="S831" s="588"/>
      <c r="T831" s="588"/>
      <c r="U831" s="588"/>
      <c r="V831" s="588"/>
      <c r="W831" s="582"/>
      <c r="X831" s="582"/>
      <c r="Y831" s="589"/>
      <c r="Z831" s="589"/>
      <c r="AA831" s="589"/>
      <c r="AB831" s="589"/>
      <c r="AC831" s="589"/>
      <c r="AD831" s="589"/>
      <c r="AE831" s="589"/>
      <c r="AF831" s="468"/>
    </row>
    <row r="832" customFormat="false" ht="12.75" hidden="false" customHeight="true" outlineLevel="0" collapsed="false">
      <c r="A832" s="494"/>
      <c r="B832" s="494"/>
      <c r="C832" s="494"/>
      <c r="D832" s="494"/>
      <c r="E832" s="494"/>
      <c r="F832" s="494"/>
      <c r="G832" s="494"/>
      <c r="H832" s="494"/>
      <c r="I832" s="494"/>
      <c r="J832" s="494"/>
      <c r="K832" s="494"/>
      <c r="L832" s="494"/>
      <c r="M832" s="494"/>
      <c r="N832" s="494"/>
      <c r="O832" s="494"/>
      <c r="P832" s="494"/>
      <c r="Q832" s="494"/>
      <c r="R832" s="494"/>
      <c r="S832" s="494"/>
      <c r="T832" s="494"/>
      <c r="U832" s="494"/>
      <c r="V832" s="494"/>
      <c r="W832" s="494"/>
      <c r="X832" s="494"/>
      <c r="Y832" s="494"/>
      <c r="Z832" s="494"/>
      <c r="AA832" s="494"/>
      <c r="AB832" s="494"/>
      <c r="AC832" s="494"/>
      <c r="AD832" s="494"/>
      <c r="AE832" s="494"/>
      <c r="AF832" s="468"/>
    </row>
    <row r="833" customFormat="false" ht="12.75" hidden="false" customHeight="true" outlineLevel="0" collapsed="false">
      <c r="A833" s="396"/>
      <c r="B833" s="396"/>
      <c r="C833" s="396"/>
      <c r="D833" s="396"/>
      <c r="E833" s="396"/>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591"/>
      <c r="AC833" s="592"/>
      <c r="AD833" s="593"/>
      <c r="AE833" s="593"/>
      <c r="AF833" s="593"/>
    </row>
    <row r="834" customFormat="false" ht="12.75" hidden="false" customHeight="true" outlineLevel="0" collapsed="false">
      <c r="A834" s="577"/>
      <c r="B834" s="577"/>
      <c r="C834" s="578"/>
      <c r="D834" s="578"/>
      <c r="E834" s="578"/>
      <c r="F834" s="578"/>
      <c r="G834" s="578"/>
      <c r="H834" s="578"/>
      <c r="I834" s="578"/>
      <c r="J834" s="578"/>
      <c r="K834" s="578"/>
      <c r="L834" s="578"/>
      <c r="M834" s="577"/>
      <c r="N834" s="577"/>
      <c r="O834" s="577"/>
      <c r="P834" s="577"/>
      <c r="Q834" s="577"/>
      <c r="R834" s="578"/>
      <c r="S834" s="578"/>
      <c r="T834" s="578"/>
      <c r="U834" s="578"/>
      <c r="V834" s="578"/>
      <c r="W834" s="578"/>
      <c r="X834" s="578"/>
      <c r="Y834" s="578"/>
      <c r="Z834" s="578"/>
      <c r="AA834" s="578"/>
      <c r="AB834" s="578"/>
      <c r="AC834" s="578"/>
      <c r="AD834" s="578"/>
      <c r="AE834" s="578"/>
      <c r="AF834" s="578"/>
    </row>
    <row r="835" customFormat="false" ht="12.75" hidden="false" customHeight="true" outlineLevel="0" collapsed="false">
      <c r="A835" s="458"/>
      <c r="B835" s="458"/>
      <c r="C835" s="459"/>
      <c r="D835" s="459"/>
      <c r="E835" s="459"/>
      <c r="F835" s="459"/>
      <c r="G835" s="459"/>
      <c r="H835" s="459"/>
      <c r="I835" s="459"/>
      <c r="J835" s="459"/>
      <c r="K835" s="459"/>
      <c r="L835" s="459"/>
      <c r="M835" s="458"/>
      <c r="N835" s="458"/>
      <c r="O835" s="458"/>
      <c r="P835" s="458"/>
      <c r="Q835" s="458"/>
      <c r="R835" s="459"/>
      <c r="S835" s="459"/>
      <c r="T835" s="459"/>
      <c r="U835" s="459"/>
      <c r="V835" s="459"/>
      <c r="W835" s="459"/>
      <c r="X835" s="459"/>
      <c r="Y835" s="459"/>
      <c r="Z835" s="459"/>
      <c r="AA835" s="459"/>
      <c r="AB835" s="459"/>
      <c r="AC835" s="459"/>
      <c r="AD835" s="459"/>
      <c r="AE835" s="459"/>
      <c r="AF835" s="459"/>
    </row>
    <row r="836" customFormat="false" ht="15.75" hidden="false" customHeight="true" outlineLevel="0" collapsed="false">
      <c r="A836" s="579"/>
      <c r="B836" s="579"/>
      <c r="C836" s="579"/>
      <c r="D836" s="580"/>
      <c r="E836" s="580"/>
      <c r="F836" s="580"/>
      <c r="G836" s="580"/>
      <c r="H836" s="580"/>
      <c r="I836" s="580"/>
      <c r="J836" s="580"/>
      <c r="K836" s="580"/>
      <c r="L836" s="580"/>
      <c r="M836" s="458"/>
      <c r="N836" s="458"/>
      <c r="O836" s="458"/>
      <c r="P836" s="459"/>
      <c r="Q836" s="458"/>
      <c r="R836" s="459"/>
      <c r="S836" s="459"/>
      <c r="T836" s="459"/>
      <c r="U836" s="459"/>
      <c r="V836" s="459"/>
      <c r="W836" s="459"/>
      <c r="X836" s="459"/>
      <c r="Y836" s="459"/>
      <c r="Z836" s="459"/>
      <c r="AA836" s="459"/>
      <c r="AB836" s="459"/>
      <c r="AC836" s="459"/>
      <c r="AD836" s="459"/>
      <c r="AE836" s="459"/>
      <c r="AF836" s="459"/>
    </row>
    <row r="837" customFormat="false" ht="15.75" hidden="false" customHeight="true" outlineLevel="0" collapsed="false">
      <c r="A837" s="581"/>
      <c r="B837" s="581"/>
      <c r="C837" s="581"/>
      <c r="D837" s="581"/>
      <c r="E837" s="581"/>
      <c r="F837" s="581"/>
      <c r="G837" s="581"/>
      <c r="H837" s="581"/>
      <c r="I837" s="581"/>
      <c r="J837" s="581"/>
      <c r="K837" s="581"/>
      <c r="L837" s="581"/>
      <c r="M837" s="582"/>
      <c r="N837" s="582"/>
      <c r="O837" s="583"/>
      <c r="P837" s="583"/>
      <c r="Q837" s="583"/>
      <c r="R837" s="583"/>
      <c r="S837" s="584"/>
      <c r="T837" s="584"/>
      <c r="U837" s="584"/>
      <c r="V837" s="584"/>
      <c r="W837" s="582"/>
      <c r="X837" s="582"/>
      <c r="Y837" s="582"/>
      <c r="Z837" s="582"/>
      <c r="AA837" s="582"/>
      <c r="AB837" s="582"/>
      <c r="AC837" s="582"/>
      <c r="AD837" s="582"/>
      <c r="AE837" s="582"/>
      <c r="AF837" s="459"/>
    </row>
    <row r="838" customFormat="false" ht="15.75" hidden="false" customHeight="true" outlineLevel="0" collapsed="false">
      <c r="A838" s="581"/>
      <c r="B838" s="581"/>
      <c r="C838" s="581"/>
      <c r="D838" s="581"/>
      <c r="E838" s="581"/>
      <c r="F838" s="581"/>
      <c r="G838" s="581"/>
      <c r="H838" s="581"/>
      <c r="I838" s="581"/>
      <c r="J838" s="581"/>
      <c r="K838" s="581"/>
      <c r="L838" s="581"/>
      <c r="M838" s="582"/>
      <c r="N838" s="582"/>
      <c r="O838" s="583"/>
      <c r="P838" s="583"/>
      <c r="Q838" s="583"/>
      <c r="R838" s="583"/>
      <c r="S838" s="584"/>
      <c r="T838" s="584"/>
      <c r="U838" s="584"/>
      <c r="V838" s="584"/>
      <c r="W838" s="582"/>
      <c r="X838" s="582"/>
      <c r="Y838" s="582"/>
      <c r="Z838" s="582"/>
      <c r="AA838" s="582"/>
      <c r="AB838" s="582"/>
      <c r="AC838" s="582"/>
      <c r="AD838" s="582"/>
      <c r="AE838" s="582"/>
      <c r="AF838" s="459"/>
    </row>
    <row r="839" customFormat="false" ht="30" hidden="false" customHeight="true" outlineLevel="0" collapsed="false">
      <c r="A839" s="581"/>
      <c r="B839" s="581"/>
      <c r="C839" s="581"/>
      <c r="D839" s="581"/>
      <c r="E839" s="581"/>
      <c r="F839" s="581"/>
      <c r="G839" s="581"/>
      <c r="H839" s="581"/>
      <c r="I839" s="581"/>
      <c r="J839" s="581"/>
      <c r="K839" s="581"/>
      <c r="L839" s="581"/>
      <c r="M839" s="582"/>
      <c r="N839" s="582"/>
      <c r="O839" s="583"/>
      <c r="P839" s="583"/>
      <c r="Q839" s="583"/>
      <c r="R839" s="583"/>
      <c r="S839" s="584"/>
      <c r="T839" s="584"/>
      <c r="U839" s="584"/>
      <c r="V839" s="584"/>
      <c r="W839" s="582"/>
      <c r="X839" s="582"/>
      <c r="Y839" s="582"/>
      <c r="Z839" s="582"/>
      <c r="AA839" s="582"/>
      <c r="AB839" s="582"/>
      <c r="AC839" s="582"/>
      <c r="AD839" s="582"/>
      <c r="AE839" s="582"/>
      <c r="AF839" s="468"/>
    </row>
    <row r="840" customFormat="false" ht="30" hidden="false" customHeight="true" outlineLevel="0" collapsed="false">
      <c r="A840" s="581"/>
      <c r="B840" s="581"/>
      <c r="C840" s="581"/>
      <c r="D840" s="585"/>
      <c r="E840" s="585"/>
      <c r="F840" s="585"/>
      <c r="G840" s="585"/>
      <c r="H840" s="585"/>
      <c r="I840" s="585"/>
      <c r="J840" s="585"/>
      <c r="K840" s="585"/>
      <c r="L840" s="585"/>
      <c r="M840" s="582"/>
      <c r="N840" s="582"/>
      <c r="O840" s="586"/>
      <c r="P840" s="586"/>
      <c r="Q840" s="587"/>
      <c r="R840" s="587"/>
      <c r="S840" s="588"/>
      <c r="T840" s="588"/>
      <c r="U840" s="588"/>
      <c r="V840" s="588"/>
      <c r="W840" s="582"/>
      <c r="X840" s="582"/>
      <c r="Y840" s="589"/>
      <c r="Z840" s="589"/>
      <c r="AA840" s="589"/>
      <c r="AB840" s="589"/>
      <c r="AC840" s="589"/>
      <c r="AD840" s="589"/>
      <c r="AE840" s="589"/>
      <c r="AF840" s="468"/>
    </row>
    <row r="841" customFormat="false" ht="30" hidden="false" customHeight="true" outlineLevel="0" collapsed="false">
      <c r="A841" s="581"/>
      <c r="B841" s="581"/>
      <c r="C841" s="581"/>
      <c r="D841" s="585"/>
      <c r="E841" s="585"/>
      <c r="F841" s="585"/>
      <c r="G841" s="585"/>
      <c r="H841" s="585"/>
      <c r="I841" s="585"/>
      <c r="J841" s="585"/>
      <c r="K841" s="585"/>
      <c r="L841" s="585"/>
      <c r="M841" s="582"/>
      <c r="N841" s="582"/>
      <c r="O841" s="586"/>
      <c r="P841" s="586"/>
      <c r="Q841" s="587"/>
      <c r="R841" s="587"/>
      <c r="S841" s="588"/>
      <c r="T841" s="588"/>
      <c r="U841" s="588"/>
      <c r="V841" s="588"/>
      <c r="W841" s="582"/>
      <c r="X841" s="582"/>
      <c r="Y841" s="589"/>
      <c r="Z841" s="589"/>
      <c r="AA841" s="589"/>
      <c r="AB841" s="589"/>
      <c r="AC841" s="589"/>
      <c r="AD841" s="589"/>
      <c r="AE841" s="589"/>
      <c r="AF841" s="468"/>
    </row>
    <row r="842" customFormat="false" ht="30" hidden="false" customHeight="true" outlineLevel="0" collapsed="false">
      <c r="A842" s="581"/>
      <c r="B842" s="581"/>
      <c r="C842" s="581"/>
      <c r="D842" s="585"/>
      <c r="E842" s="585"/>
      <c r="F842" s="585"/>
      <c r="G842" s="585"/>
      <c r="H842" s="585"/>
      <c r="I842" s="585"/>
      <c r="J842" s="585"/>
      <c r="K842" s="585"/>
      <c r="L842" s="585"/>
      <c r="M842" s="582"/>
      <c r="N842" s="582"/>
      <c r="O842" s="586"/>
      <c r="P842" s="586"/>
      <c r="Q842" s="587"/>
      <c r="R842" s="587"/>
      <c r="S842" s="588"/>
      <c r="T842" s="588"/>
      <c r="U842" s="588"/>
      <c r="V842" s="588"/>
      <c r="W842" s="582"/>
      <c r="X842" s="582"/>
      <c r="Y842" s="589"/>
      <c r="Z842" s="589"/>
      <c r="AA842" s="589"/>
      <c r="AB842" s="589"/>
      <c r="AC842" s="589"/>
      <c r="AD842" s="589"/>
      <c r="AE842" s="589"/>
      <c r="AF842" s="468"/>
    </row>
    <row r="843" customFormat="false" ht="30" hidden="false" customHeight="true" outlineLevel="0" collapsed="false">
      <c r="A843" s="581"/>
      <c r="B843" s="581"/>
      <c r="C843" s="581"/>
      <c r="D843" s="585"/>
      <c r="E843" s="585"/>
      <c r="F843" s="585"/>
      <c r="G843" s="585"/>
      <c r="H843" s="585"/>
      <c r="I843" s="585"/>
      <c r="J843" s="585"/>
      <c r="K843" s="585"/>
      <c r="L843" s="585"/>
      <c r="M843" s="582"/>
      <c r="N843" s="582"/>
      <c r="O843" s="590"/>
      <c r="P843" s="590"/>
      <c r="Q843" s="590"/>
      <c r="R843" s="590"/>
      <c r="S843" s="590"/>
      <c r="T843" s="590"/>
      <c r="U843" s="590"/>
      <c r="V843" s="590"/>
      <c r="W843" s="582"/>
      <c r="X843" s="582"/>
      <c r="Y843" s="589"/>
      <c r="Z843" s="589"/>
      <c r="AA843" s="589"/>
      <c r="AB843" s="589"/>
      <c r="AC843" s="589"/>
      <c r="AD843" s="589"/>
      <c r="AE843" s="589"/>
      <c r="AF843" s="468"/>
    </row>
    <row r="844" customFormat="false" ht="30" hidden="false" customHeight="true" outlineLevel="0" collapsed="false">
      <c r="A844" s="581"/>
      <c r="B844" s="581"/>
      <c r="C844" s="581"/>
      <c r="D844" s="585"/>
      <c r="E844" s="585"/>
      <c r="F844" s="585"/>
      <c r="G844" s="585"/>
      <c r="H844" s="585"/>
      <c r="I844" s="585"/>
      <c r="J844" s="585"/>
      <c r="K844" s="585"/>
      <c r="L844" s="585"/>
      <c r="M844" s="582"/>
      <c r="N844" s="582"/>
      <c r="O844" s="590"/>
      <c r="P844" s="590"/>
      <c r="Q844" s="590"/>
      <c r="R844" s="590"/>
      <c r="S844" s="590"/>
      <c r="T844" s="590"/>
      <c r="U844" s="590"/>
      <c r="V844" s="590"/>
      <c r="W844" s="582"/>
      <c r="X844" s="582"/>
      <c r="Y844" s="589"/>
      <c r="Z844" s="589"/>
      <c r="AA844" s="589"/>
      <c r="AB844" s="589"/>
      <c r="AC844" s="589"/>
      <c r="AD844" s="589"/>
      <c r="AE844" s="589"/>
      <c r="AF844" s="468"/>
    </row>
    <row r="845" customFormat="false" ht="30" hidden="false" customHeight="true" outlineLevel="0" collapsed="false">
      <c r="A845" s="581"/>
      <c r="B845" s="581"/>
      <c r="C845" s="581"/>
      <c r="D845" s="585"/>
      <c r="E845" s="585"/>
      <c r="F845" s="585"/>
      <c r="G845" s="585"/>
      <c r="H845" s="585"/>
      <c r="I845" s="585"/>
      <c r="J845" s="585"/>
      <c r="K845" s="585"/>
      <c r="L845" s="585"/>
      <c r="M845" s="582"/>
      <c r="N845" s="582"/>
      <c r="O845" s="586"/>
      <c r="P845" s="586"/>
      <c r="Q845" s="587"/>
      <c r="R845" s="587"/>
      <c r="S845" s="588"/>
      <c r="T845" s="588"/>
      <c r="U845" s="588"/>
      <c r="V845" s="588"/>
      <c r="W845" s="582"/>
      <c r="X845" s="582"/>
      <c r="Y845" s="589"/>
      <c r="Z845" s="589"/>
      <c r="AA845" s="589"/>
      <c r="AB845" s="589"/>
      <c r="AC845" s="589"/>
      <c r="AD845" s="589"/>
      <c r="AE845" s="589"/>
      <c r="AF845" s="468"/>
    </row>
    <row r="846" customFormat="false" ht="30" hidden="false" customHeight="true" outlineLevel="0" collapsed="false">
      <c r="A846" s="581"/>
      <c r="B846" s="581"/>
      <c r="C846" s="581"/>
      <c r="D846" s="585"/>
      <c r="E846" s="585"/>
      <c r="F846" s="585"/>
      <c r="G846" s="585"/>
      <c r="H846" s="585"/>
      <c r="I846" s="585"/>
      <c r="J846" s="585"/>
      <c r="K846" s="585"/>
      <c r="L846" s="585"/>
      <c r="M846" s="582"/>
      <c r="N846" s="582"/>
      <c r="O846" s="590"/>
      <c r="P846" s="590"/>
      <c r="Q846" s="590"/>
      <c r="R846" s="590"/>
      <c r="S846" s="590"/>
      <c r="T846" s="590"/>
      <c r="U846" s="590"/>
      <c r="V846" s="590"/>
      <c r="W846" s="582"/>
      <c r="X846" s="582"/>
      <c r="Y846" s="589"/>
      <c r="Z846" s="589"/>
      <c r="AA846" s="589"/>
      <c r="AB846" s="589"/>
      <c r="AC846" s="589"/>
      <c r="AD846" s="589"/>
      <c r="AE846" s="589"/>
      <c r="AF846" s="468"/>
    </row>
    <row r="847" customFormat="false" ht="30" hidden="false" customHeight="true" outlineLevel="0" collapsed="false">
      <c r="A847" s="581"/>
      <c r="B847" s="581"/>
      <c r="C847" s="581"/>
      <c r="D847" s="585"/>
      <c r="E847" s="585"/>
      <c r="F847" s="585"/>
      <c r="G847" s="585"/>
      <c r="H847" s="585"/>
      <c r="I847" s="585"/>
      <c r="J847" s="585"/>
      <c r="K847" s="585"/>
      <c r="L847" s="585"/>
      <c r="M847" s="582"/>
      <c r="N847" s="582"/>
      <c r="O847" s="586"/>
      <c r="P847" s="586"/>
      <c r="Q847" s="587"/>
      <c r="R847" s="587"/>
      <c r="S847" s="588"/>
      <c r="T847" s="588"/>
      <c r="U847" s="588"/>
      <c r="V847" s="588"/>
      <c r="W847" s="582"/>
      <c r="X847" s="582"/>
      <c r="Y847" s="589"/>
      <c r="Z847" s="589"/>
      <c r="AA847" s="589"/>
      <c r="AB847" s="589"/>
      <c r="AC847" s="589"/>
      <c r="AD847" s="589"/>
      <c r="AE847" s="589"/>
      <c r="AF847" s="468"/>
    </row>
    <row r="848" customFormat="false" ht="30" hidden="false" customHeight="true" outlineLevel="0" collapsed="false">
      <c r="A848" s="581"/>
      <c r="B848" s="581"/>
      <c r="C848" s="581"/>
      <c r="D848" s="585"/>
      <c r="E848" s="585"/>
      <c r="F848" s="585"/>
      <c r="G848" s="585"/>
      <c r="H848" s="585"/>
      <c r="I848" s="585"/>
      <c r="J848" s="585"/>
      <c r="K848" s="585"/>
      <c r="L848" s="585"/>
      <c r="M848" s="582"/>
      <c r="N848" s="582"/>
      <c r="O848" s="586"/>
      <c r="P848" s="586"/>
      <c r="Q848" s="587"/>
      <c r="R848" s="587"/>
      <c r="S848" s="588"/>
      <c r="T848" s="588"/>
      <c r="U848" s="588"/>
      <c r="V848" s="588"/>
      <c r="W848" s="582"/>
      <c r="X848" s="582"/>
      <c r="Y848" s="589"/>
      <c r="Z848" s="589"/>
      <c r="AA848" s="589"/>
      <c r="AB848" s="589"/>
      <c r="AC848" s="589"/>
      <c r="AD848" s="589"/>
      <c r="AE848" s="589"/>
      <c r="AF848" s="468"/>
    </row>
    <row r="849" customFormat="false" ht="30" hidden="false" customHeight="true" outlineLevel="0" collapsed="false">
      <c r="A849" s="581"/>
      <c r="B849" s="581"/>
      <c r="C849" s="581"/>
      <c r="D849" s="585"/>
      <c r="E849" s="585"/>
      <c r="F849" s="585"/>
      <c r="G849" s="585"/>
      <c r="H849" s="585"/>
      <c r="I849" s="585"/>
      <c r="J849" s="585"/>
      <c r="K849" s="585"/>
      <c r="L849" s="585"/>
      <c r="M849" s="582"/>
      <c r="N849" s="582"/>
      <c r="O849" s="586"/>
      <c r="P849" s="586"/>
      <c r="Q849" s="587"/>
      <c r="R849" s="587"/>
      <c r="S849" s="588"/>
      <c r="T849" s="588"/>
      <c r="U849" s="588"/>
      <c r="V849" s="588"/>
      <c r="W849" s="582"/>
      <c r="X849" s="582"/>
      <c r="Y849" s="589"/>
      <c r="Z849" s="589"/>
      <c r="AA849" s="589"/>
      <c r="AB849" s="589"/>
      <c r="AC849" s="589"/>
      <c r="AD849" s="589"/>
      <c r="AE849" s="589"/>
      <c r="AF849" s="468"/>
    </row>
    <row r="850" customFormat="false" ht="30" hidden="false" customHeight="true" outlineLevel="0" collapsed="false">
      <c r="A850" s="581"/>
      <c r="B850" s="581"/>
      <c r="C850" s="581"/>
      <c r="D850" s="585"/>
      <c r="E850" s="585"/>
      <c r="F850" s="585"/>
      <c r="G850" s="585"/>
      <c r="H850" s="585"/>
      <c r="I850" s="585"/>
      <c r="J850" s="585"/>
      <c r="K850" s="585"/>
      <c r="L850" s="585"/>
      <c r="M850" s="582"/>
      <c r="N850" s="582"/>
      <c r="O850" s="586"/>
      <c r="P850" s="586"/>
      <c r="Q850" s="587"/>
      <c r="R850" s="587"/>
      <c r="S850" s="588"/>
      <c r="T850" s="588"/>
      <c r="U850" s="588"/>
      <c r="V850" s="588"/>
      <c r="W850" s="582"/>
      <c r="X850" s="582"/>
      <c r="Y850" s="589"/>
      <c r="Z850" s="589"/>
      <c r="AA850" s="589"/>
      <c r="AB850" s="589"/>
      <c r="AC850" s="589"/>
      <c r="AD850" s="589"/>
      <c r="AE850" s="589"/>
      <c r="AF850" s="468"/>
    </row>
    <row r="851" customFormat="false" ht="30" hidden="false" customHeight="true" outlineLevel="0" collapsed="false">
      <c r="A851" s="581"/>
      <c r="B851" s="581"/>
      <c r="C851" s="581"/>
      <c r="D851" s="585"/>
      <c r="E851" s="585"/>
      <c r="F851" s="585"/>
      <c r="G851" s="585"/>
      <c r="H851" s="585"/>
      <c r="I851" s="585"/>
      <c r="J851" s="585"/>
      <c r="K851" s="585"/>
      <c r="L851" s="585"/>
      <c r="M851" s="582"/>
      <c r="N851" s="582"/>
      <c r="O851" s="586"/>
      <c r="P851" s="586"/>
      <c r="Q851" s="587"/>
      <c r="R851" s="587"/>
      <c r="S851" s="588"/>
      <c r="T851" s="588"/>
      <c r="U851" s="588"/>
      <c r="V851" s="588"/>
      <c r="W851" s="582"/>
      <c r="X851" s="582"/>
      <c r="Y851" s="589"/>
      <c r="Z851" s="589"/>
      <c r="AA851" s="589"/>
      <c r="AB851" s="589"/>
      <c r="AC851" s="589"/>
      <c r="AD851" s="589"/>
      <c r="AE851" s="589"/>
      <c r="AF851" s="468"/>
    </row>
    <row r="852" customFormat="false" ht="30" hidden="false" customHeight="true" outlineLevel="0" collapsed="false">
      <c r="A852" s="581"/>
      <c r="B852" s="581"/>
      <c r="C852" s="581"/>
      <c r="D852" s="585"/>
      <c r="E852" s="585"/>
      <c r="F852" s="585"/>
      <c r="G852" s="585"/>
      <c r="H852" s="585"/>
      <c r="I852" s="585"/>
      <c r="J852" s="585"/>
      <c r="K852" s="585"/>
      <c r="L852" s="585"/>
      <c r="M852" s="582"/>
      <c r="N852" s="582"/>
      <c r="O852" s="586"/>
      <c r="P852" s="586"/>
      <c r="Q852" s="587"/>
      <c r="R852" s="587"/>
      <c r="S852" s="588"/>
      <c r="T852" s="588"/>
      <c r="U852" s="588"/>
      <c r="V852" s="588"/>
      <c r="W852" s="582"/>
      <c r="X852" s="582"/>
      <c r="Y852" s="589"/>
      <c r="Z852" s="589"/>
      <c r="AA852" s="589"/>
      <c r="AB852" s="589"/>
      <c r="AC852" s="589"/>
      <c r="AD852" s="589"/>
      <c r="AE852" s="589"/>
      <c r="AF852" s="468"/>
    </row>
    <row r="853" customFormat="false" ht="30" hidden="false" customHeight="true" outlineLevel="0" collapsed="false">
      <c r="A853" s="581"/>
      <c r="B853" s="581"/>
      <c r="C853" s="581"/>
      <c r="D853" s="585"/>
      <c r="E853" s="585"/>
      <c r="F853" s="585"/>
      <c r="G853" s="585"/>
      <c r="H853" s="585"/>
      <c r="I853" s="585"/>
      <c r="J853" s="585"/>
      <c r="K853" s="585"/>
      <c r="L853" s="585"/>
      <c r="M853" s="582"/>
      <c r="N853" s="582"/>
      <c r="O853" s="586"/>
      <c r="P853" s="586"/>
      <c r="Q853" s="587"/>
      <c r="R853" s="587"/>
      <c r="S853" s="588"/>
      <c r="T853" s="588"/>
      <c r="U853" s="588"/>
      <c r="V853" s="588"/>
      <c r="W853" s="582"/>
      <c r="X853" s="582"/>
      <c r="Y853" s="589"/>
      <c r="Z853" s="589"/>
      <c r="AA853" s="589"/>
      <c r="AB853" s="589"/>
      <c r="AC853" s="589"/>
      <c r="AD853" s="589"/>
      <c r="AE853" s="589"/>
      <c r="AF853" s="468"/>
    </row>
    <row r="854" customFormat="false" ht="30" hidden="false" customHeight="true" outlineLevel="0" collapsed="false">
      <c r="A854" s="581"/>
      <c r="B854" s="581"/>
      <c r="C854" s="581"/>
      <c r="D854" s="585"/>
      <c r="E854" s="585"/>
      <c r="F854" s="585"/>
      <c r="G854" s="585"/>
      <c r="H854" s="585"/>
      <c r="I854" s="585"/>
      <c r="J854" s="585"/>
      <c r="K854" s="585"/>
      <c r="L854" s="585"/>
      <c r="M854" s="582"/>
      <c r="N854" s="582"/>
      <c r="O854" s="586"/>
      <c r="P854" s="586"/>
      <c r="Q854" s="587"/>
      <c r="R854" s="587"/>
      <c r="S854" s="588"/>
      <c r="T854" s="588"/>
      <c r="U854" s="588"/>
      <c r="V854" s="588"/>
      <c r="W854" s="582"/>
      <c r="X854" s="582"/>
      <c r="Y854" s="589"/>
      <c r="Z854" s="589"/>
      <c r="AA854" s="589"/>
      <c r="AB854" s="589"/>
      <c r="AC854" s="589"/>
      <c r="AD854" s="589"/>
      <c r="AE854" s="589"/>
      <c r="AF854" s="468"/>
    </row>
    <row r="855" customFormat="false" ht="30" hidden="false" customHeight="true" outlineLevel="0" collapsed="false">
      <c r="A855" s="581"/>
      <c r="B855" s="581"/>
      <c r="C855" s="581"/>
      <c r="D855" s="585"/>
      <c r="E855" s="585"/>
      <c r="F855" s="585"/>
      <c r="G855" s="585"/>
      <c r="H855" s="585"/>
      <c r="I855" s="585"/>
      <c r="J855" s="585"/>
      <c r="K855" s="585"/>
      <c r="L855" s="585"/>
      <c r="M855" s="582"/>
      <c r="N855" s="582"/>
      <c r="O855" s="586"/>
      <c r="P855" s="586"/>
      <c r="Q855" s="586"/>
      <c r="R855" s="586"/>
      <c r="S855" s="588"/>
      <c r="T855" s="588"/>
      <c r="U855" s="588"/>
      <c r="V855" s="588"/>
      <c r="W855" s="582"/>
      <c r="X855" s="582"/>
      <c r="Y855" s="589"/>
      <c r="Z855" s="589"/>
      <c r="AA855" s="589"/>
      <c r="AB855" s="589"/>
      <c r="AC855" s="589"/>
      <c r="AD855" s="589"/>
      <c r="AE855" s="589"/>
      <c r="AF855" s="468"/>
    </row>
    <row r="856" customFormat="false" ht="30" hidden="false" customHeight="true" outlineLevel="0" collapsed="false">
      <c r="A856" s="581"/>
      <c r="B856" s="581"/>
      <c r="C856" s="581"/>
      <c r="D856" s="585"/>
      <c r="E856" s="585"/>
      <c r="F856" s="585"/>
      <c r="G856" s="585"/>
      <c r="H856" s="585"/>
      <c r="I856" s="585"/>
      <c r="J856" s="585"/>
      <c r="K856" s="585"/>
      <c r="L856" s="585"/>
      <c r="M856" s="582"/>
      <c r="N856" s="582"/>
      <c r="O856" s="586"/>
      <c r="P856" s="586"/>
      <c r="Q856" s="587"/>
      <c r="R856" s="587"/>
      <c r="S856" s="588"/>
      <c r="T856" s="588"/>
      <c r="U856" s="588"/>
      <c r="V856" s="588"/>
      <c r="W856" s="582"/>
      <c r="X856" s="582"/>
      <c r="Y856" s="589"/>
      <c r="Z856" s="589"/>
      <c r="AA856" s="589"/>
      <c r="AB856" s="589"/>
      <c r="AC856" s="589"/>
      <c r="AD856" s="589"/>
      <c r="AE856" s="589"/>
      <c r="AF856" s="468"/>
    </row>
    <row r="857" customFormat="false" ht="30" hidden="false" customHeight="true" outlineLevel="0" collapsed="false">
      <c r="A857" s="581"/>
      <c r="B857" s="581"/>
      <c r="C857" s="581"/>
      <c r="D857" s="585"/>
      <c r="E857" s="585"/>
      <c r="F857" s="585"/>
      <c r="G857" s="585"/>
      <c r="H857" s="585"/>
      <c r="I857" s="585"/>
      <c r="J857" s="585"/>
      <c r="K857" s="585"/>
      <c r="L857" s="585"/>
      <c r="M857" s="582"/>
      <c r="N857" s="582"/>
      <c r="O857" s="586"/>
      <c r="P857" s="586"/>
      <c r="Q857" s="587"/>
      <c r="R857" s="587"/>
      <c r="S857" s="588"/>
      <c r="T857" s="588"/>
      <c r="U857" s="588"/>
      <c r="V857" s="588"/>
      <c r="W857" s="582"/>
      <c r="X857" s="582"/>
      <c r="Y857" s="589"/>
      <c r="Z857" s="589"/>
      <c r="AA857" s="589"/>
      <c r="AB857" s="589"/>
      <c r="AC857" s="589"/>
      <c r="AD857" s="589"/>
      <c r="AE857" s="589"/>
      <c r="AF857" s="468"/>
    </row>
    <row r="858" customFormat="false" ht="30" hidden="false" customHeight="true" outlineLevel="0" collapsed="false">
      <c r="A858" s="581"/>
      <c r="B858" s="581"/>
      <c r="C858" s="581"/>
      <c r="D858" s="585"/>
      <c r="E858" s="585"/>
      <c r="F858" s="585"/>
      <c r="G858" s="585"/>
      <c r="H858" s="585"/>
      <c r="I858" s="585"/>
      <c r="J858" s="585"/>
      <c r="K858" s="585"/>
      <c r="L858" s="585"/>
      <c r="M858" s="582"/>
      <c r="N858" s="582"/>
      <c r="O858" s="590"/>
      <c r="P858" s="590"/>
      <c r="Q858" s="590"/>
      <c r="R858" s="590"/>
      <c r="S858" s="590"/>
      <c r="T858" s="590"/>
      <c r="U858" s="590"/>
      <c r="V858" s="590"/>
      <c r="W858" s="582"/>
      <c r="X858" s="582"/>
      <c r="Y858" s="589"/>
      <c r="Z858" s="589"/>
      <c r="AA858" s="589"/>
      <c r="AB858" s="589"/>
      <c r="AC858" s="589"/>
      <c r="AD858" s="589"/>
      <c r="AE858" s="589"/>
      <c r="AF858" s="468"/>
    </row>
    <row r="859" customFormat="false" ht="12.75" hidden="false" customHeight="true" outlineLevel="0" collapsed="false">
      <c r="A859" s="494"/>
      <c r="B859" s="494"/>
      <c r="C859" s="494"/>
      <c r="D859" s="494"/>
      <c r="E859" s="494"/>
      <c r="F859" s="494"/>
      <c r="G859" s="494"/>
      <c r="H859" s="494"/>
      <c r="I859" s="494"/>
      <c r="J859" s="494"/>
      <c r="K859" s="494"/>
      <c r="L859" s="494"/>
      <c r="M859" s="494"/>
      <c r="N859" s="494"/>
      <c r="O859" s="494"/>
      <c r="P859" s="494"/>
      <c r="Q859" s="494"/>
      <c r="R859" s="494"/>
      <c r="S859" s="494"/>
      <c r="T859" s="494"/>
      <c r="U859" s="494"/>
      <c r="V859" s="494"/>
      <c r="W859" s="494"/>
      <c r="X859" s="494"/>
      <c r="Y859" s="494"/>
      <c r="Z859" s="494"/>
      <c r="AA859" s="494"/>
      <c r="AB859" s="494"/>
      <c r="AC859" s="494"/>
      <c r="AD859" s="494"/>
      <c r="AE859" s="494"/>
      <c r="AF859" s="468"/>
    </row>
    <row r="860" customFormat="false" ht="12.75" hidden="false" customHeight="true" outlineLevel="0" collapsed="false">
      <c r="A860" s="396"/>
      <c r="B860" s="396"/>
      <c r="C860" s="396"/>
      <c r="D860" s="396"/>
      <c r="E860" s="396"/>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591"/>
      <c r="AC860" s="592"/>
      <c r="AD860" s="593"/>
      <c r="AE860" s="593"/>
      <c r="AF860" s="593"/>
    </row>
    <row r="861" customFormat="false" ht="12.75" hidden="false" customHeight="true" outlineLevel="0" collapsed="false">
      <c r="A861" s="577"/>
      <c r="B861" s="577"/>
      <c r="C861" s="578"/>
      <c r="D861" s="578"/>
      <c r="E861" s="578"/>
      <c r="F861" s="578"/>
      <c r="G861" s="578"/>
      <c r="H861" s="578"/>
      <c r="I861" s="578"/>
      <c r="J861" s="578"/>
      <c r="K861" s="578"/>
      <c r="L861" s="578"/>
      <c r="M861" s="577"/>
      <c r="N861" s="577"/>
      <c r="O861" s="577"/>
      <c r="P861" s="577"/>
      <c r="Q861" s="577"/>
      <c r="R861" s="578"/>
      <c r="S861" s="578"/>
      <c r="T861" s="578"/>
      <c r="U861" s="578"/>
      <c r="V861" s="578"/>
      <c r="W861" s="578"/>
      <c r="X861" s="578"/>
      <c r="Y861" s="578"/>
      <c r="Z861" s="578"/>
      <c r="AA861" s="578"/>
      <c r="AB861" s="578"/>
      <c r="AC861" s="578"/>
      <c r="AD861" s="578"/>
      <c r="AE861" s="578"/>
      <c r="AF861" s="578"/>
    </row>
    <row r="862" customFormat="false" ht="12.75" hidden="false" customHeight="true" outlineLevel="0" collapsed="false">
      <c r="A862" s="458"/>
      <c r="B862" s="458"/>
      <c r="C862" s="459"/>
      <c r="D862" s="459"/>
      <c r="E862" s="459"/>
      <c r="F862" s="459"/>
      <c r="G862" s="459"/>
      <c r="H862" s="459"/>
      <c r="I862" s="459"/>
      <c r="J862" s="459"/>
      <c r="K862" s="459"/>
      <c r="L862" s="459"/>
      <c r="M862" s="458"/>
      <c r="N862" s="458"/>
      <c r="O862" s="458"/>
      <c r="P862" s="458"/>
      <c r="Q862" s="458"/>
      <c r="R862" s="459"/>
      <c r="S862" s="459"/>
      <c r="T862" s="459"/>
      <c r="U862" s="459"/>
      <c r="V862" s="459"/>
      <c r="W862" s="459"/>
      <c r="X862" s="459"/>
      <c r="Y862" s="459"/>
      <c r="Z862" s="459"/>
      <c r="AA862" s="459"/>
      <c r="AB862" s="459"/>
      <c r="AC862" s="459"/>
      <c r="AD862" s="459"/>
      <c r="AE862" s="459"/>
      <c r="AF862" s="459"/>
    </row>
    <row r="863" customFormat="false" ht="15.75" hidden="false" customHeight="true" outlineLevel="0" collapsed="false">
      <c r="A863" s="579"/>
      <c r="B863" s="579"/>
      <c r="C863" s="579"/>
      <c r="D863" s="580"/>
      <c r="E863" s="580"/>
      <c r="F863" s="580"/>
      <c r="G863" s="580"/>
      <c r="H863" s="580"/>
      <c r="I863" s="580"/>
      <c r="J863" s="580"/>
      <c r="K863" s="580"/>
      <c r="L863" s="580"/>
      <c r="M863" s="458"/>
      <c r="N863" s="458"/>
      <c r="O863" s="458"/>
      <c r="P863" s="459"/>
      <c r="Q863" s="458"/>
      <c r="R863" s="459"/>
      <c r="S863" s="459"/>
      <c r="T863" s="459"/>
      <c r="U863" s="459"/>
      <c r="V863" s="459"/>
      <c r="W863" s="459"/>
      <c r="X863" s="459"/>
      <c r="Y863" s="459"/>
      <c r="Z863" s="459"/>
      <c r="AA863" s="459"/>
      <c r="AB863" s="459"/>
      <c r="AC863" s="459"/>
      <c r="AD863" s="459"/>
      <c r="AE863" s="459"/>
      <c r="AF863" s="459"/>
    </row>
    <row r="864" customFormat="false" ht="15.75" hidden="false" customHeight="true" outlineLevel="0" collapsed="false">
      <c r="A864" s="581"/>
      <c r="B864" s="581"/>
      <c r="C864" s="581"/>
      <c r="D864" s="581"/>
      <c r="E864" s="581"/>
      <c r="F864" s="581"/>
      <c r="G864" s="581"/>
      <c r="H864" s="581"/>
      <c r="I864" s="581"/>
      <c r="J864" s="581"/>
      <c r="K864" s="581"/>
      <c r="L864" s="581"/>
      <c r="M864" s="582"/>
      <c r="N864" s="582"/>
      <c r="O864" s="583"/>
      <c r="P864" s="583"/>
      <c r="Q864" s="583"/>
      <c r="R864" s="583"/>
      <c r="S864" s="584"/>
      <c r="T864" s="584"/>
      <c r="U864" s="584"/>
      <c r="V864" s="584"/>
      <c r="W864" s="582"/>
      <c r="X864" s="582"/>
      <c r="Y864" s="582"/>
      <c r="Z864" s="582"/>
      <c r="AA864" s="582"/>
      <c r="AB864" s="582"/>
      <c r="AC864" s="582"/>
      <c r="AD864" s="582"/>
      <c r="AE864" s="582"/>
      <c r="AF864" s="459"/>
    </row>
    <row r="865" customFormat="false" ht="15.75" hidden="false" customHeight="true" outlineLevel="0" collapsed="false">
      <c r="A865" s="581"/>
      <c r="B865" s="581"/>
      <c r="C865" s="581"/>
      <c r="D865" s="581"/>
      <c r="E865" s="581"/>
      <c r="F865" s="581"/>
      <c r="G865" s="581"/>
      <c r="H865" s="581"/>
      <c r="I865" s="581"/>
      <c r="J865" s="581"/>
      <c r="K865" s="581"/>
      <c r="L865" s="581"/>
      <c r="M865" s="582"/>
      <c r="N865" s="582"/>
      <c r="O865" s="583"/>
      <c r="P865" s="583"/>
      <c r="Q865" s="583"/>
      <c r="R865" s="583"/>
      <c r="S865" s="584"/>
      <c r="T865" s="584"/>
      <c r="U865" s="584"/>
      <c r="V865" s="584"/>
      <c r="W865" s="582"/>
      <c r="X865" s="582"/>
      <c r="Y865" s="582"/>
      <c r="Z865" s="582"/>
      <c r="AA865" s="582"/>
      <c r="AB865" s="582"/>
      <c r="AC865" s="582"/>
      <c r="AD865" s="582"/>
      <c r="AE865" s="582"/>
      <c r="AF865" s="459"/>
    </row>
    <row r="866" customFormat="false" ht="30" hidden="false" customHeight="true" outlineLevel="0" collapsed="false">
      <c r="A866" s="581"/>
      <c r="B866" s="581"/>
      <c r="C866" s="581"/>
      <c r="D866" s="581"/>
      <c r="E866" s="581"/>
      <c r="F866" s="581"/>
      <c r="G866" s="581"/>
      <c r="H866" s="581"/>
      <c r="I866" s="581"/>
      <c r="J866" s="581"/>
      <c r="K866" s="581"/>
      <c r="L866" s="581"/>
      <c r="M866" s="582"/>
      <c r="N866" s="582"/>
      <c r="O866" s="583"/>
      <c r="P866" s="583"/>
      <c r="Q866" s="583"/>
      <c r="R866" s="583"/>
      <c r="S866" s="584"/>
      <c r="T866" s="584"/>
      <c r="U866" s="584"/>
      <c r="V866" s="584"/>
      <c r="W866" s="582"/>
      <c r="X866" s="582"/>
      <c r="Y866" s="582"/>
      <c r="Z866" s="582"/>
      <c r="AA866" s="582"/>
      <c r="AB866" s="582"/>
      <c r="AC866" s="582"/>
      <c r="AD866" s="582"/>
      <c r="AE866" s="582"/>
      <c r="AF866" s="468"/>
    </row>
    <row r="867" customFormat="false" ht="30" hidden="false" customHeight="true" outlineLevel="0" collapsed="false">
      <c r="A867" s="581"/>
      <c r="B867" s="581"/>
      <c r="C867" s="581"/>
      <c r="D867" s="585"/>
      <c r="E867" s="585"/>
      <c r="F867" s="585"/>
      <c r="G867" s="585"/>
      <c r="H867" s="585"/>
      <c r="I867" s="585"/>
      <c r="J867" s="585"/>
      <c r="K867" s="585"/>
      <c r="L867" s="585"/>
      <c r="M867" s="582"/>
      <c r="N867" s="582"/>
      <c r="O867" s="586"/>
      <c r="P867" s="586"/>
      <c r="Q867" s="587"/>
      <c r="R867" s="587"/>
      <c r="S867" s="588"/>
      <c r="T867" s="588"/>
      <c r="U867" s="588"/>
      <c r="V867" s="588"/>
      <c r="W867" s="582"/>
      <c r="X867" s="582"/>
      <c r="Y867" s="589"/>
      <c r="Z867" s="589"/>
      <c r="AA867" s="589"/>
      <c r="AB867" s="589"/>
      <c r="AC867" s="589"/>
      <c r="AD867" s="589"/>
      <c r="AE867" s="589"/>
      <c r="AF867" s="468"/>
    </row>
    <row r="868" customFormat="false" ht="30" hidden="false" customHeight="true" outlineLevel="0" collapsed="false">
      <c r="A868" s="581"/>
      <c r="B868" s="581"/>
      <c r="C868" s="581"/>
      <c r="D868" s="585"/>
      <c r="E868" s="585"/>
      <c r="F868" s="585"/>
      <c r="G868" s="585"/>
      <c r="H868" s="585"/>
      <c r="I868" s="585"/>
      <c r="J868" s="585"/>
      <c r="K868" s="585"/>
      <c r="L868" s="585"/>
      <c r="M868" s="582"/>
      <c r="N868" s="582"/>
      <c r="O868" s="586"/>
      <c r="P868" s="586"/>
      <c r="Q868" s="587"/>
      <c r="R868" s="587"/>
      <c r="S868" s="588"/>
      <c r="T868" s="588"/>
      <c r="U868" s="588"/>
      <c r="V868" s="588"/>
      <c r="W868" s="582"/>
      <c r="X868" s="582"/>
      <c r="Y868" s="589"/>
      <c r="Z868" s="589"/>
      <c r="AA868" s="589"/>
      <c r="AB868" s="589"/>
      <c r="AC868" s="589"/>
      <c r="AD868" s="589"/>
      <c r="AE868" s="589"/>
      <c r="AF868" s="468"/>
    </row>
    <row r="869" customFormat="false" ht="30" hidden="false" customHeight="true" outlineLevel="0" collapsed="false">
      <c r="A869" s="581"/>
      <c r="B869" s="581"/>
      <c r="C869" s="581"/>
      <c r="D869" s="585"/>
      <c r="E869" s="585"/>
      <c r="F869" s="585"/>
      <c r="G869" s="585"/>
      <c r="H869" s="585"/>
      <c r="I869" s="585"/>
      <c r="J869" s="585"/>
      <c r="K869" s="585"/>
      <c r="L869" s="585"/>
      <c r="M869" s="582"/>
      <c r="N869" s="582"/>
      <c r="O869" s="586"/>
      <c r="P869" s="586"/>
      <c r="Q869" s="587"/>
      <c r="R869" s="587"/>
      <c r="S869" s="588"/>
      <c r="T869" s="588"/>
      <c r="U869" s="588"/>
      <c r="V869" s="588"/>
      <c r="W869" s="582"/>
      <c r="X869" s="582"/>
      <c r="Y869" s="589"/>
      <c r="Z869" s="589"/>
      <c r="AA869" s="589"/>
      <c r="AB869" s="589"/>
      <c r="AC869" s="589"/>
      <c r="AD869" s="589"/>
      <c r="AE869" s="589"/>
      <c r="AF869" s="468"/>
    </row>
    <row r="870" customFormat="false" ht="30" hidden="false" customHeight="true" outlineLevel="0" collapsed="false">
      <c r="A870" s="581"/>
      <c r="B870" s="581"/>
      <c r="C870" s="581"/>
      <c r="D870" s="585"/>
      <c r="E870" s="585"/>
      <c r="F870" s="585"/>
      <c r="G870" s="585"/>
      <c r="H870" s="585"/>
      <c r="I870" s="585"/>
      <c r="J870" s="585"/>
      <c r="K870" s="585"/>
      <c r="L870" s="585"/>
      <c r="M870" s="582"/>
      <c r="N870" s="582"/>
      <c r="O870" s="586"/>
      <c r="P870" s="586"/>
      <c r="Q870" s="587"/>
      <c r="R870" s="587"/>
      <c r="S870" s="588"/>
      <c r="T870" s="588"/>
      <c r="U870" s="588"/>
      <c r="V870" s="588"/>
      <c r="W870" s="582"/>
      <c r="X870" s="582"/>
      <c r="Y870" s="589"/>
      <c r="Z870" s="589"/>
      <c r="AA870" s="589"/>
      <c r="AB870" s="589"/>
      <c r="AC870" s="589"/>
      <c r="AD870" s="589"/>
      <c r="AE870" s="589"/>
      <c r="AF870" s="468"/>
    </row>
    <row r="871" customFormat="false" ht="30" hidden="false" customHeight="true" outlineLevel="0" collapsed="false">
      <c r="A871" s="594"/>
      <c r="B871" s="594"/>
      <c r="C871" s="594"/>
      <c r="D871" s="585"/>
      <c r="E871" s="585"/>
      <c r="F871" s="585"/>
      <c r="G871" s="585"/>
      <c r="H871" s="585"/>
      <c r="I871" s="585"/>
      <c r="J871" s="585"/>
      <c r="K871" s="585"/>
      <c r="L871" s="585"/>
      <c r="M871" s="582"/>
      <c r="N871" s="582"/>
      <c r="O871" s="586"/>
      <c r="P871" s="586"/>
      <c r="Q871" s="587"/>
      <c r="R871" s="587"/>
      <c r="S871" s="588"/>
      <c r="T871" s="588"/>
      <c r="U871" s="588"/>
      <c r="V871" s="588"/>
      <c r="W871" s="582"/>
      <c r="X871" s="582"/>
      <c r="Y871" s="589"/>
      <c r="Z871" s="589"/>
      <c r="AA871" s="589"/>
      <c r="AB871" s="589"/>
      <c r="AC871" s="589"/>
      <c r="AD871" s="589"/>
      <c r="AE871" s="589"/>
      <c r="AF871" s="468"/>
    </row>
    <row r="872" customFormat="false" ht="30" hidden="false" customHeight="true" outlineLevel="0" collapsed="false">
      <c r="A872" s="594"/>
      <c r="B872" s="594"/>
      <c r="C872" s="594"/>
      <c r="D872" s="585"/>
      <c r="E872" s="585"/>
      <c r="F872" s="585"/>
      <c r="G872" s="585"/>
      <c r="H872" s="585"/>
      <c r="I872" s="585"/>
      <c r="J872" s="585"/>
      <c r="K872" s="585"/>
      <c r="L872" s="585"/>
      <c r="M872" s="582"/>
      <c r="N872" s="582"/>
      <c r="O872" s="586"/>
      <c r="P872" s="586"/>
      <c r="Q872" s="587"/>
      <c r="R872" s="587"/>
      <c r="S872" s="588"/>
      <c r="T872" s="588"/>
      <c r="U872" s="588"/>
      <c r="V872" s="588"/>
      <c r="W872" s="582"/>
      <c r="X872" s="582"/>
      <c r="Y872" s="589"/>
      <c r="Z872" s="589"/>
      <c r="AA872" s="589"/>
      <c r="AB872" s="589"/>
      <c r="AC872" s="589"/>
      <c r="AD872" s="589"/>
      <c r="AE872" s="589"/>
      <c r="AF872" s="468"/>
    </row>
    <row r="873" customFormat="false" ht="30" hidden="false" customHeight="true" outlineLevel="0" collapsed="false">
      <c r="A873" s="581"/>
      <c r="B873" s="581"/>
      <c r="C873" s="581"/>
      <c r="D873" s="595"/>
      <c r="E873" s="595"/>
      <c r="F873" s="595"/>
      <c r="G873" s="595"/>
      <c r="H873" s="595"/>
      <c r="I873" s="595"/>
      <c r="J873" s="595"/>
      <c r="K873" s="595"/>
      <c r="L873" s="595"/>
      <c r="M873" s="582"/>
      <c r="N873" s="582"/>
      <c r="O873" s="586"/>
      <c r="P873" s="586"/>
      <c r="Q873" s="587"/>
      <c r="R873" s="587"/>
      <c r="S873" s="588"/>
      <c r="T873" s="588"/>
      <c r="U873" s="588"/>
      <c r="V873" s="588"/>
      <c r="W873" s="582"/>
      <c r="X873" s="582"/>
      <c r="Y873" s="589"/>
      <c r="Z873" s="589"/>
      <c r="AA873" s="589"/>
      <c r="AB873" s="589"/>
      <c r="AC873" s="589"/>
      <c r="AD873" s="589"/>
      <c r="AE873" s="589"/>
      <c r="AF873" s="468"/>
    </row>
    <row r="874" customFormat="false" ht="30" hidden="false" customHeight="true" outlineLevel="0" collapsed="false">
      <c r="A874" s="581"/>
      <c r="B874" s="581"/>
      <c r="C874" s="581"/>
      <c r="D874" s="595"/>
      <c r="E874" s="595"/>
      <c r="F874" s="595"/>
      <c r="G874" s="595"/>
      <c r="H874" s="595"/>
      <c r="I874" s="595"/>
      <c r="J874" s="595"/>
      <c r="K874" s="595"/>
      <c r="L874" s="595"/>
      <c r="M874" s="582"/>
      <c r="N874" s="582"/>
      <c r="O874" s="586"/>
      <c r="P874" s="586"/>
      <c r="Q874" s="587"/>
      <c r="R874" s="587"/>
      <c r="S874" s="588"/>
      <c r="T874" s="588"/>
      <c r="U874" s="588"/>
      <c r="V874" s="588"/>
      <c r="W874" s="582"/>
      <c r="X874" s="582"/>
      <c r="Y874" s="589"/>
      <c r="Z874" s="589"/>
      <c r="AA874" s="589"/>
      <c r="AB874" s="589"/>
      <c r="AC874" s="589"/>
      <c r="AD874" s="589"/>
      <c r="AE874" s="589"/>
      <c r="AF874" s="468"/>
    </row>
    <row r="875" customFormat="false" ht="30" hidden="false" customHeight="true" outlineLevel="0" collapsed="false">
      <c r="A875" s="581"/>
      <c r="B875" s="581"/>
      <c r="C875" s="581"/>
      <c r="D875" s="585"/>
      <c r="E875" s="585"/>
      <c r="F875" s="585"/>
      <c r="G875" s="585"/>
      <c r="H875" s="585"/>
      <c r="I875" s="585"/>
      <c r="J875" s="585"/>
      <c r="K875" s="585"/>
      <c r="L875" s="585"/>
      <c r="M875" s="582"/>
      <c r="N875" s="582"/>
      <c r="O875" s="590"/>
      <c r="P875" s="590"/>
      <c r="Q875" s="590"/>
      <c r="R875" s="590"/>
      <c r="S875" s="590"/>
      <c r="T875" s="590"/>
      <c r="U875" s="590"/>
      <c r="V875" s="590"/>
      <c r="W875" s="582"/>
      <c r="X875" s="582"/>
      <c r="Y875" s="589"/>
      <c r="Z875" s="589"/>
      <c r="AA875" s="589"/>
      <c r="AB875" s="589"/>
      <c r="AC875" s="589"/>
      <c r="AD875" s="589"/>
      <c r="AE875" s="589"/>
      <c r="AF875" s="468"/>
    </row>
    <row r="876" customFormat="false" ht="30" hidden="false" customHeight="true" outlineLevel="0" collapsed="false">
      <c r="A876" s="581"/>
      <c r="B876" s="581"/>
      <c r="C876" s="581"/>
      <c r="D876" s="585"/>
      <c r="E876" s="585"/>
      <c r="F876" s="585"/>
      <c r="G876" s="585"/>
      <c r="H876" s="585"/>
      <c r="I876" s="585"/>
      <c r="J876" s="585"/>
      <c r="K876" s="585"/>
      <c r="L876" s="585"/>
      <c r="M876" s="582"/>
      <c r="N876" s="582"/>
      <c r="O876" s="590"/>
      <c r="P876" s="590"/>
      <c r="Q876" s="590"/>
      <c r="R876" s="590"/>
      <c r="S876" s="590"/>
      <c r="T876" s="590"/>
      <c r="U876" s="590"/>
      <c r="V876" s="590"/>
      <c r="W876" s="582"/>
      <c r="X876" s="582"/>
      <c r="Y876" s="589"/>
      <c r="Z876" s="589"/>
      <c r="AA876" s="589"/>
      <c r="AB876" s="589"/>
      <c r="AC876" s="589"/>
      <c r="AD876" s="589"/>
      <c r="AE876" s="589"/>
      <c r="AF876" s="468"/>
    </row>
    <row r="877" customFormat="false" ht="30" hidden="false" customHeight="true" outlineLevel="0" collapsed="false">
      <c r="A877" s="581"/>
      <c r="B877" s="581"/>
      <c r="C877" s="581"/>
      <c r="D877" s="585"/>
      <c r="E877" s="585"/>
      <c r="F877" s="585"/>
      <c r="G877" s="585"/>
      <c r="H877" s="585"/>
      <c r="I877" s="585"/>
      <c r="J877" s="585"/>
      <c r="K877" s="585"/>
      <c r="L877" s="585"/>
      <c r="M877" s="582"/>
      <c r="N877" s="582"/>
      <c r="O877" s="590"/>
      <c r="P877" s="590"/>
      <c r="Q877" s="590"/>
      <c r="R877" s="590"/>
      <c r="S877" s="590"/>
      <c r="T877" s="590"/>
      <c r="U877" s="590"/>
      <c r="V877" s="590"/>
      <c r="W877" s="582"/>
      <c r="X877" s="582"/>
      <c r="Y877" s="589"/>
      <c r="Z877" s="589"/>
      <c r="AA877" s="589"/>
      <c r="AB877" s="589"/>
      <c r="AC877" s="589"/>
      <c r="AD877" s="589"/>
      <c r="AE877" s="589"/>
      <c r="AF877" s="468"/>
    </row>
    <row r="878" customFormat="false" ht="30" hidden="false" customHeight="true" outlineLevel="0" collapsed="false">
      <c r="A878" s="581"/>
      <c r="B878" s="581"/>
      <c r="C878" s="581"/>
      <c r="D878" s="585"/>
      <c r="E878" s="585"/>
      <c r="F878" s="585"/>
      <c r="G878" s="585"/>
      <c r="H878" s="585"/>
      <c r="I878" s="585"/>
      <c r="J878" s="585"/>
      <c r="K878" s="585"/>
      <c r="L878" s="585"/>
      <c r="M878" s="582"/>
      <c r="N878" s="582"/>
      <c r="O878" s="586"/>
      <c r="P878" s="586"/>
      <c r="Q878" s="587"/>
      <c r="R878" s="587"/>
      <c r="S878" s="588"/>
      <c r="T878" s="588"/>
      <c r="U878" s="588"/>
      <c r="V878" s="588"/>
      <c r="W878" s="582"/>
      <c r="X878" s="582"/>
      <c r="Y878" s="589"/>
      <c r="Z878" s="589"/>
      <c r="AA878" s="589"/>
      <c r="AB878" s="589"/>
      <c r="AC878" s="589"/>
      <c r="AD878" s="589"/>
      <c r="AE878" s="589"/>
      <c r="AF878" s="468"/>
    </row>
    <row r="879" customFormat="false" ht="30" hidden="false" customHeight="true" outlineLevel="0" collapsed="false">
      <c r="A879" s="581"/>
      <c r="B879" s="581"/>
      <c r="C879" s="581"/>
      <c r="D879" s="585"/>
      <c r="E879" s="585"/>
      <c r="F879" s="585"/>
      <c r="G879" s="585"/>
      <c r="H879" s="585"/>
      <c r="I879" s="585"/>
      <c r="J879" s="585"/>
      <c r="K879" s="585"/>
      <c r="L879" s="585"/>
      <c r="M879" s="582"/>
      <c r="N879" s="582"/>
      <c r="O879" s="586"/>
      <c r="P879" s="586"/>
      <c r="Q879" s="590"/>
      <c r="R879" s="590"/>
      <c r="S879" s="590"/>
      <c r="T879" s="590"/>
      <c r="U879" s="590"/>
      <c r="V879" s="590"/>
      <c r="W879" s="582"/>
      <c r="X879" s="582"/>
      <c r="Y879" s="589"/>
      <c r="Z879" s="589"/>
      <c r="AA879" s="589"/>
      <c r="AB879" s="589"/>
      <c r="AC879" s="589"/>
      <c r="AD879" s="589"/>
      <c r="AE879" s="589"/>
      <c r="AF879" s="468"/>
    </row>
    <row r="880" customFormat="false" ht="30" hidden="false" customHeight="true" outlineLevel="0" collapsed="false">
      <c r="A880" s="581"/>
      <c r="B880" s="581"/>
      <c r="C880" s="581"/>
      <c r="D880" s="585"/>
      <c r="E880" s="585"/>
      <c r="F880" s="585"/>
      <c r="G880" s="585"/>
      <c r="H880" s="585"/>
      <c r="I880" s="585"/>
      <c r="J880" s="585"/>
      <c r="K880" s="585"/>
      <c r="L880" s="585"/>
      <c r="M880" s="582"/>
      <c r="N880" s="582"/>
      <c r="O880" s="586"/>
      <c r="P880" s="586"/>
      <c r="Q880" s="587"/>
      <c r="R880" s="587"/>
      <c r="S880" s="588"/>
      <c r="T880" s="588"/>
      <c r="U880" s="588"/>
      <c r="V880" s="588"/>
      <c r="W880" s="582"/>
      <c r="X880" s="582"/>
      <c r="Y880" s="589"/>
      <c r="Z880" s="589"/>
      <c r="AA880" s="589"/>
      <c r="AB880" s="589"/>
      <c r="AC880" s="589"/>
      <c r="AD880" s="589"/>
      <c r="AE880" s="589"/>
      <c r="AF880" s="468"/>
    </row>
    <row r="881" customFormat="false" ht="30" hidden="false" customHeight="true" outlineLevel="0" collapsed="false">
      <c r="A881" s="581"/>
      <c r="B881" s="581"/>
      <c r="C881" s="581"/>
      <c r="D881" s="585"/>
      <c r="E881" s="585"/>
      <c r="F881" s="585"/>
      <c r="G881" s="585"/>
      <c r="H881" s="585"/>
      <c r="I881" s="585"/>
      <c r="J881" s="585"/>
      <c r="K881" s="585"/>
      <c r="L881" s="585"/>
      <c r="M881" s="582"/>
      <c r="N881" s="582"/>
      <c r="O881" s="586"/>
      <c r="P881" s="586"/>
      <c r="Q881" s="590"/>
      <c r="R881" s="590"/>
      <c r="S881" s="590"/>
      <c r="T881" s="590"/>
      <c r="U881" s="590"/>
      <c r="V881" s="590"/>
      <c r="W881" s="582"/>
      <c r="X881" s="582"/>
      <c r="Y881" s="589"/>
      <c r="Z881" s="589"/>
      <c r="AA881" s="589"/>
      <c r="AB881" s="589"/>
      <c r="AC881" s="589"/>
      <c r="AD881" s="589"/>
      <c r="AE881" s="589"/>
      <c r="AF881" s="468"/>
    </row>
    <row r="882" customFormat="false" ht="30" hidden="false" customHeight="true" outlineLevel="0" collapsed="false">
      <c r="A882" s="581"/>
      <c r="B882" s="581"/>
      <c r="C882" s="581"/>
      <c r="D882" s="585"/>
      <c r="E882" s="585"/>
      <c r="F882" s="585"/>
      <c r="G882" s="585"/>
      <c r="H882" s="585"/>
      <c r="I882" s="585"/>
      <c r="J882" s="585"/>
      <c r="K882" s="585"/>
      <c r="L882" s="585"/>
      <c r="M882" s="582"/>
      <c r="N882" s="582"/>
      <c r="O882" s="586"/>
      <c r="P882" s="586"/>
      <c r="Q882" s="590"/>
      <c r="R882" s="590"/>
      <c r="S882" s="590"/>
      <c r="T882" s="590"/>
      <c r="U882" s="590"/>
      <c r="V882" s="590"/>
      <c r="W882" s="582"/>
      <c r="X882" s="582"/>
      <c r="Y882" s="589"/>
      <c r="Z882" s="589"/>
      <c r="AA882" s="589"/>
      <c r="AB882" s="589"/>
      <c r="AC882" s="589"/>
      <c r="AD882" s="589"/>
      <c r="AE882" s="589"/>
      <c r="AF882" s="468"/>
    </row>
    <row r="883" customFormat="false" ht="30" hidden="false" customHeight="true" outlineLevel="0" collapsed="false">
      <c r="A883" s="581"/>
      <c r="B883" s="581"/>
      <c r="C883" s="581"/>
      <c r="D883" s="585"/>
      <c r="E883" s="585"/>
      <c r="F883" s="585"/>
      <c r="G883" s="585"/>
      <c r="H883" s="585"/>
      <c r="I883" s="585"/>
      <c r="J883" s="585"/>
      <c r="K883" s="585"/>
      <c r="L883" s="585"/>
      <c r="M883" s="582"/>
      <c r="N883" s="582"/>
      <c r="O883" s="586"/>
      <c r="P883" s="586"/>
      <c r="Q883" s="587"/>
      <c r="R883" s="587"/>
      <c r="S883" s="588"/>
      <c r="T883" s="588"/>
      <c r="U883" s="588"/>
      <c r="V883" s="588"/>
      <c r="W883" s="582"/>
      <c r="X883" s="582"/>
      <c r="Y883" s="589"/>
      <c r="Z883" s="589"/>
      <c r="AA883" s="589"/>
      <c r="AB883" s="589"/>
      <c r="AC883" s="589"/>
      <c r="AD883" s="589"/>
      <c r="AE883" s="589"/>
      <c r="AF883" s="468"/>
    </row>
    <row r="884" customFormat="false" ht="30" hidden="false" customHeight="true" outlineLevel="0" collapsed="false">
      <c r="A884" s="581"/>
      <c r="B884" s="581"/>
      <c r="C884" s="581"/>
      <c r="D884" s="585"/>
      <c r="E884" s="585"/>
      <c r="F884" s="585"/>
      <c r="G884" s="585"/>
      <c r="H884" s="585"/>
      <c r="I884" s="585"/>
      <c r="J884" s="585"/>
      <c r="K884" s="585"/>
      <c r="L884" s="585"/>
      <c r="M884" s="582"/>
      <c r="N884" s="582"/>
      <c r="O884" s="590"/>
      <c r="P884" s="590"/>
      <c r="Q884" s="590"/>
      <c r="R884" s="590"/>
      <c r="S884" s="590"/>
      <c r="T884" s="590"/>
      <c r="U884" s="590"/>
      <c r="V884" s="590"/>
      <c r="W884" s="582"/>
      <c r="X884" s="582"/>
      <c r="Y884" s="589"/>
      <c r="Z884" s="589"/>
      <c r="AA884" s="589"/>
      <c r="AB884" s="589"/>
      <c r="AC884" s="589"/>
      <c r="AD884" s="589"/>
      <c r="AE884" s="589"/>
      <c r="AF884" s="468"/>
    </row>
    <row r="885" customFormat="false" ht="30" hidden="false" customHeight="true" outlineLevel="0" collapsed="false">
      <c r="A885" s="581"/>
      <c r="B885" s="581"/>
      <c r="C885" s="581"/>
      <c r="D885" s="585"/>
      <c r="E885" s="585"/>
      <c r="F885" s="585"/>
      <c r="G885" s="585"/>
      <c r="H885" s="585"/>
      <c r="I885" s="585"/>
      <c r="J885" s="585"/>
      <c r="K885" s="585"/>
      <c r="L885" s="585"/>
      <c r="M885" s="582"/>
      <c r="N885" s="582"/>
      <c r="O885" s="586"/>
      <c r="P885" s="586"/>
      <c r="Q885" s="587"/>
      <c r="R885" s="587"/>
      <c r="S885" s="588"/>
      <c r="T885" s="588"/>
      <c r="U885" s="588"/>
      <c r="V885" s="588"/>
      <c r="W885" s="582"/>
      <c r="X885" s="582"/>
      <c r="Y885" s="589"/>
      <c r="Z885" s="589"/>
      <c r="AA885" s="589"/>
      <c r="AB885" s="589"/>
      <c r="AC885" s="589"/>
      <c r="AD885" s="589"/>
      <c r="AE885" s="589"/>
      <c r="AF885" s="468"/>
    </row>
    <row r="886" customFormat="false" ht="12.75" hidden="false" customHeight="true" outlineLevel="0" collapsed="false">
      <c r="A886" s="494"/>
      <c r="B886" s="494"/>
      <c r="C886" s="494"/>
      <c r="D886" s="494"/>
      <c r="E886" s="494"/>
      <c r="F886" s="494"/>
      <c r="G886" s="494"/>
      <c r="H886" s="494"/>
      <c r="I886" s="494"/>
      <c r="J886" s="494"/>
      <c r="K886" s="494"/>
      <c r="L886" s="494"/>
      <c r="M886" s="494"/>
      <c r="N886" s="494"/>
      <c r="O886" s="494"/>
      <c r="P886" s="494"/>
      <c r="Q886" s="494"/>
      <c r="R886" s="494"/>
      <c r="S886" s="494"/>
      <c r="T886" s="494"/>
      <c r="U886" s="494"/>
      <c r="V886" s="494"/>
      <c r="W886" s="494"/>
      <c r="X886" s="494"/>
      <c r="Y886" s="494"/>
      <c r="Z886" s="494"/>
      <c r="AA886" s="494"/>
      <c r="AB886" s="494"/>
      <c r="AC886" s="494"/>
      <c r="AD886" s="494"/>
      <c r="AE886" s="494"/>
      <c r="AF886" s="468"/>
    </row>
    <row r="887" customFormat="false" ht="12.75" hidden="false" customHeight="true" outlineLevel="0" collapsed="false">
      <c r="A887" s="396"/>
      <c r="B887" s="396"/>
      <c r="C887" s="396"/>
      <c r="D887" s="396"/>
      <c r="E887" s="396"/>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591"/>
      <c r="AC887" s="592"/>
      <c r="AD887" s="593"/>
      <c r="AE887" s="593"/>
      <c r="AF887" s="593"/>
    </row>
    <row r="888" customFormat="false" ht="12.75" hidden="false" customHeight="true" outlineLevel="0" collapsed="false">
      <c r="A888" s="577"/>
      <c r="B888" s="577"/>
      <c r="C888" s="578"/>
      <c r="D888" s="578"/>
      <c r="E888" s="578"/>
      <c r="F888" s="578"/>
      <c r="G888" s="578"/>
      <c r="H888" s="578"/>
      <c r="I888" s="578"/>
      <c r="J888" s="578"/>
      <c r="K888" s="578"/>
      <c r="L888" s="578"/>
      <c r="M888" s="577"/>
      <c r="N888" s="577"/>
      <c r="O888" s="577"/>
      <c r="P888" s="577"/>
      <c r="Q888" s="577"/>
      <c r="R888" s="578"/>
      <c r="S888" s="578"/>
      <c r="T888" s="578"/>
      <c r="U888" s="578"/>
      <c r="V888" s="578"/>
      <c r="W888" s="578"/>
      <c r="X888" s="578"/>
      <c r="Y888" s="578"/>
      <c r="Z888" s="578"/>
      <c r="AA888" s="578"/>
      <c r="AB888" s="578"/>
      <c r="AC888" s="578"/>
      <c r="AD888" s="578"/>
      <c r="AE888" s="578"/>
      <c r="AF888" s="578"/>
    </row>
    <row r="889" customFormat="false" ht="12.75" hidden="false" customHeight="true" outlineLevel="0" collapsed="false">
      <c r="A889" s="458"/>
      <c r="B889" s="458"/>
      <c r="C889" s="459"/>
      <c r="D889" s="459"/>
      <c r="E889" s="459"/>
      <c r="F889" s="459"/>
      <c r="G889" s="459"/>
      <c r="H889" s="459"/>
      <c r="I889" s="459"/>
      <c r="J889" s="459"/>
      <c r="K889" s="459"/>
      <c r="L889" s="459"/>
      <c r="M889" s="458"/>
      <c r="N889" s="458"/>
      <c r="O889" s="458"/>
      <c r="P889" s="458"/>
      <c r="Q889" s="458"/>
      <c r="R889" s="459"/>
      <c r="S889" s="459"/>
      <c r="T889" s="459"/>
      <c r="U889" s="459"/>
      <c r="V889" s="459"/>
      <c r="W889" s="459"/>
      <c r="X889" s="459"/>
      <c r="Y889" s="459"/>
      <c r="Z889" s="459"/>
      <c r="AA889" s="459"/>
      <c r="AB889" s="459"/>
      <c r="AC889" s="459"/>
      <c r="AD889" s="459"/>
      <c r="AE889" s="459"/>
      <c r="AF889" s="459"/>
    </row>
    <row r="890" customFormat="false" ht="15.75" hidden="false" customHeight="true" outlineLevel="0" collapsed="false">
      <c r="A890" s="579"/>
      <c r="B890" s="579"/>
      <c r="C890" s="579"/>
      <c r="D890" s="580"/>
      <c r="E890" s="580"/>
      <c r="F890" s="580"/>
      <c r="G890" s="580"/>
      <c r="H890" s="580"/>
      <c r="I890" s="580"/>
      <c r="J890" s="580"/>
      <c r="K890" s="580"/>
      <c r="L890" s="580"/>
      <c r="M890" s="458"/>
      <c r="N890" s="458"/>
      <c r="O890" s="458"/>
      <c r="P890" s="459"/>
      <c r="Q890" s="458"/>
      <c r="R890" s="459"/>
      <c r="S890" s="459"/>
      <c r="T890" s="459"/>
      <c r="U890" s="459"/>
      <c r="V890" s="459"/>
      <c r="W890" s="459"/>
      <c r="X890" s="459"/>
      <c r="Y890" s="459"/>
      <c r="Z890" s="459"/>
      <c r="AA890" s="459"/>
      <c r="AB890" s="459"/>
      <c r="AC890" s="459"/>
      <c r="AD890" s="459"/>
      <c r="AE890" s="459"/>
      <c r="AF890" s="459"/>
    </row>
    <row r="891" customFormat="false" ht="15.75" hidden="false" customHeight="true" outlineLevel="0" collapsed="false">
      <c r="A891" s="581"/>
      <c r="B891" s="581"/>
      <c r="C891" s="581"/>
      <c r="D891" s="581"/>
      <c r="E891" s="581"/>
      <c r="F891" s="581"/>
      <c r="G891" s="581"/>
      <c r="H891" s="581"/>
      <c r="I891" s="581"/>
      <c r="J891" s="581"/>
      <c r="K891" s="581"/>
      <c r="L891" s="581"/>
      <c r="M891" s="582"/>
      <c r="N891" s="582"/>
      <c r="O891" s="583"/>
      <c r="P891" s="583"/>
      <c r="Q891" s="583"/>
      <c r="R891" s="583"/>
      <c r="S891" s="584"/>
      <c r="T891" s="584"/>
      <c r="U891" s="584"/>
      <c r="V891" s="584"/>
      <c r="W891" s="582"/>
      <c r="X891" s="582"/>
      <c r="Y891" s="582"/>
      <c r="Z891" s="582"/>
      <c r="AA891" s="582"/>
      <c r="AB891" s="582"/>
      <c r="AC891" s="582"/>
      <c r="AD891" s="582"/>
      <c r="AE891" s="582"/>
      <c r="AF891" s="459"/>
    </row>
    <row r="892" customFormat="false" ht="15.75" hidden="false" customHeight="true" outlineLevel="0" collapsed="false">
      <c r="A892" s="581"/>
      <c r="B892" s="581"/>
      <c r="C892" s="581"/>
      <c r="D892" s="581"/>
      <c r="E892" s="581"/>
      <c r="F892" s="581"/>
      <c r="G892" s="581"/>
      <c r="H892" s="581"/>
      <c r="I892" s="581"/>
      <c r="J892" s="581"/>
      <c r="K892" s="581"/>
      <c r="L892" s="581"/>
      <c r="M892" s="582"/>
      <c r="N892" s="582"/>
      <c r="O892" s="583"/>
      <c r="P892" s="583"/>
      <c r="Q892" s="583"/>
      <c r="R892" s="583"/>
      <c r="S892" s="584"/>
      <c r="T892" s="584"/>
      <c r="U892" s="584"/>
      <c r="V892" s="584"/>
      <c r="W892" s="582"/>
      <c r="X892" s="582"/>
      <c r="Y892" s="582"/>
      <c r="Z892" s="582"/>
      <c r="AA892" s="582"/>
      <c r="AB892" s="582"/>
      <c r="AC892" s="582"/>
      <c r="AD892" s="582"/>
      <c r="AE892" s="582"/>
      <c r="AF892" s="459"/>
    </row>
    <row r="893" customFormat="false" ht="30" hidden="false" customHeight="true" outlineLevel="0" collapsed="false">
      <c r="A893" s="581"/>
      <c r="B893" s="581"/>
      <c r="C893" s="581"/>
      <c r="D893" s="581"/>
      <c r="E893" s="581"/>
      <c r="F893" s="581"/>
      <c r="G893" s="581"/>
      <c r="H893" s="581"/>
      <c r="I893" s="581"/>
      <c r="J893" s="581"/>
      <c r="K893" s="581"/>
      <c r="L893" s="581"/>
      <c r="M893" s="582"/>
      <c r="N893" s="582"/>
      <c r="O893" s="583"/>
      <c r="P893" s="583"/>
      <c r="Q893" s="583"/>
      <c r="R893" s="583"/>
      <c r="S893" s="584"/>
      <c r="T893" s="584"/>
      <c r="U893" s="584"/>
      <c r="V893" s="584"/>
      <c r="W893" s="582"/>
      <c r="X893" s="582"/>
      <c r="Y893" s="582"/>
      <c r="Z893" s="582"/>
      <c r="AA893" s="582"/>
      <c r="AB893" s="582"/>
      <c r="AC893" s="582"/>
      <c r="AD893" s="582"/>
      <c r="AE893" s="582"/>
      <c r="AF893" s="468"/>
    </row>
    <row r="894" customFormat="false" ht="30" hidden="false" customHeight="true" outlineLevel="0" collapsed="false">
      <c r="A894" s="581"/>
      <c r="B894" s="581"/>
      <c r="C894" s="581"/>
      <c r="D894" s="585"/>
      <c r="E894" s="585"/>
      <c r="F894" s="585"/>
      <c r="G894" s="585"/>
      <c r="H894" s="585"/>
      <c r="I894" s="585"/>
      <c r="J894" s="585"/>
      <c r="K894" s="585"/>
      <c r="L894" s="585"/>
      <c r="M894" s="582"/>
      <c r="N894" s="582"/>
      <c r="O894" s="586"/>
      <c r="P894" s="586"/>
      <c r="Q894" s="587"/>
      <c r="R894" s="587"/>
      <c r="S894" s="588"/>
      <c r="T894" s="588"/>
      <c r="U894" s="588"/>
      <c r="V894" s="588"/>
      <c r="W894" s="582"/>
      <c r="X894" s="582"/>
      <c r="Y894" s="589"/>
      <c r="Z894" s="589"/>
      <c r="AA894" s="589"/>
      <c r="AB894" s="589"/>
      <c r="AC894" s="589"/>
      <c r="AD894" s="589"/>
      <c r="AE894" s="589"/>
      <c r="AF894" s="468"/>
    </row>
    <row r="895" customFormat="false" ht="30" hidden="false" customHeight="true" outlineLevel="0" collapsed="false">
      <c r="A895" s="581"/>
      <c r="B895" s="581"/>
      <c r="C895" s="581"/>
      <c r="D895" s="585"/>
      <c r="E895" s="585"/>
      <c r="F895" s="585"/>
      <c r="G895" s="585"/>
      <c r="H895" s="585"/>
      <c r="I895" s="585"/>
      <c r="J895" s="585"/>
      <c r="K895" s="585"/>
      <c r="L895" s="585"/>
      <c r="M895" s="582"/>
      <c r="N895" s="582"/>
      <c r="O895" s="590"/>
      <c r="P895" s="590"/>
      <c r="Q895" s="590"/>
      <c r="R895" s="590"/>
      <c r="S895" s="590"/>
      <c r="T895" s="590"/>
      <c r="U895" s="590"/>
      <c r="V895" s="590"/>
      <c r="W895" s="582"/>
      <c r="X895" s="582"/>
      <c r="Y895" s="589"/>
      <c r="Z895" s="589"/>
      <c r="AA895" s="589"/>
      <c r="AB895" s="589"/>
      <c r="AC895" s="589"/>
      <c r="AD895" s="589"/>
      <c r="AE895" s="589"/>
      <c r="AF895" s="468"/>
    </row>
    <row r="896" customFormat="false" ht="30" hidden="false" customHeight="true" outlineLevel="0" collapsed="false">
      <c r="A896" s="581"/>
      <c r="B896" s="581"/>
      <c r="C896" s="581"/>
      <c r="D896" s="585"/>
      <c r="E896" s="585"/>
      <c r="F896" s="585"/>
      <c r="G896" s="585"/>
      <c r="H896" s="585"/>
      <c r="I896" s="585"/>
      <c r="J896" s="585"/>
      <c r="K896" s="585"/>
      <c r="L896" s="585"/>
      <c r="M896" s="582"/>
      <c r="N896" s="582"/>
      <c r="O896" s="586"/>
      <c r="P896" s="586"/>
      <c r="Q896" s="587"/>
      <c r="R896" s="587"/>
      <c r="S896" s="588"/>
      <c r="T896" s="588"/>
      <c r="U896" s="588"/>
      <c r="V896" s="588"/>
      <c r="W896" s="582"/>
      <c r="X896" s="582"/>
      <c r="Y896" s="589"/>
      <c r="Z896" s="589"/>
      <c r="AA896" s="589"/>
      <c r="AB896" s="589"/>
      <c r="AC896" s="589"/>
      <c r="AD896" s="589"/>
      <c r="AE896" s="589"/>
      <c r="AF896" s="468"/>
    </row>
    <row r="897" customFormat="false" ht="30" hidden="false" customHeight="true" outlineLevel="0" collapsed="false">
      <c r="A897" s="581"/>
      <c r="B897" s="581"/>
      <c r="C897" s="581"/>
      <c r="D897" s="585"/>
      <c r="E897" s="585"/>
      <c r="F897" s="585"/>
      <c r="G897" s="585"/>
      <c r="H897" s="585"/>
      <c r="I897" s="585"/>
      <c r="J897" s="585"/>
      <c r="K897" s="585"/>
      <c r="L897" s="585"/>
      <c r="M897" s="582"/>
      <c r="N897" s="582"/>
      <c r="O897" s="586"/>
      <c r="P897" s="586"/>
      <c r="Q897" s="587"/>
      <c r="R897" s="587"/>
      <c r="S897" s="588"/>
      <c r="T897" s="588"/>
      <c r="U897" s="588"/>
      <c r="V897" s="588"/>
      <c r="W897" s="582"/>
      <c r="X897" s="582"/>
      <c r="Y897" s="589"/>
      <c r="Z897" s="589"/>
      <c r="AA897" s="589"/>
      <c r="AB897" s="589"/>
      <c r="AC897" s="589"/>
      <c r="AD897" s="589"/>
      <c r="AE897" s="589"/>
      <c r="AF897" s="468"/>
    </row>
    <row r="898" customFormat="false" ht="30" hidden="false" customHeight="true" outlineLevel="0" collapsed="false">
      <c r="A898" s="581"/>
      <c r="B898" s="581"/>
      <c r="C898" s="581"/>
      <c r="D898" s="585"/>
      <c r="E898" s="585"/>
      <c r="F898" s="585"/>
      <c r="G898" s="585"/>
      <c r="H898" s="585"/>
      <c r="I898" s="585"/>
      <c r="J898" s="585"/>
      <c r="K898" s="585"/>
      <c r="L898" s="585"/>
      <c r="M898" s="582"/>
      <c r="N898" s="582"/>
      <c r="O898" s="586"/>
      <c r="P898" s="586"/>
      <c r="Q898" s="587"/>
      <c r="R898" s="587"/>
      <c r="S898" s="588"/>
      <c r="T898" s="588"/>
      <c r="U898" s="588"/>
      <c r="V898" s="588"/>
      <c r="W898" s="582"/>
      <c r="X898" s="582"/>
      <c r="Y898" s="589"/>
      <c r="Z898" s="589"/>
      <c r="AA898" s="589"/>
      <c r="AB898" s="589"/>
      <c r="AC898" s="589"/>
      <c r="AD898" s="589"/>
      <c r="AE898" s="589"/>
      <c r="AF898" s="468"/>
    </row>
    <row r="899" customFormat="false" ht="30" hidden="false" customHeight="true" outlineLevel="0" collapsed="false">
      <c r="A899" s="596"/>
      <c r="B899" s="596"/>
      <c r="C899" s="596"/>
      <c r="D899" s="585"/>
      <c r="E899" s="585"/>
      <c r="F899" s="585"/>
      <c r="G899" s="585"/>
      <c r="H899" s="585"/>
      <c r="I899" s="585"/>
      <c r="J899" s="585"/>
      <c r="K899" s="585"/>
      <c r="L899" s="585"/>
      <c r="M899" s="582"/>
      <c r="N899" s="582"/>
      <c r="O899" s="586"/>
      <c r="P899" s="586"/>
      <c r="Q899" s="587"/>
      <c r="R899" s="587"/>
      <c r="S899" s="588"/>
      <c r="T899" s="588"/>
      <c r="U899" s="588"/>
      <c r="V899" s="588"/>
      <c r="W899" s="582"/>
      <c r="X899" s="582"/>
      <c r="Y899" s="589"/>
      <c r="Z899" s="589"/>
      <c r="AA899" s="589"/>
      <c r="AB899" s="589"/>
      <c r="AC899" s="589"/>
      <c r="AD899" s="589"/>
      <c r="AE899" s="589"/>
      <c r="AF899" s="468"/>
    </row>
    <row r="900" customFormat="false" ht="30" hidden="false" customHeight="true" outlineLevel="0" collapsed="false">
      <c r="A900" s="581"/>
      <c r="B900" s="581"/>
      <c r="C900" s="581"/>
      <c r="D900" s="585"/>
      <c r="E900" s="585"/>
      <c r="F900" s="585"/>
      <c r="G900" s="585"/>
      <c r="H900" s="585"/>
      <c r="I900" s="585"/>
      <c r="J900" s="585"/>
      <c r="K900" s="585"/>
      <c r="L900" s="585"/>
      <c r="M900" s="582"/>
      <c r="N900" s="582"/>
      <c r="O900" s="586"/>
      <c r="P900" s="586"/>
      <c r="Q900" s="587"/>
      <c r="R900" s="587"/>
      <c r="S900" s="588"/>
      <c r="T900" s="588"/>
      <c r="U900" s="588"/>
      <c r="V900" s="588"/>
      <c r="W900" s="582"/>
      <c r="X900" s="582"/>
      <c r="Y900" s="589"/>
      <c r="Z900" s="589"/>
      <c r="AA900" s="589"/>
      <c r="AB900" s="589"/>
      <c r="AC900" s="589"/>
      <c r="AD900" s="589"/>
      <c r="AE900" s="589"/>
      <c r="AF900" s="468"/>
    </row>
    <row r="901" customFormat="false" ht="30" hidden="false" customHeight="true" outlineLevel="0" collapsed="false">
      <c r="A901" s="581"/>
      <c r="B901" s="581"/>
      <c r="C901" s="581"/>
      <c r="D901" s="585"/>
      <c r="E901" s="585"/>
      <c r="F901" s="585"/>
      <c r="G901" s="585"/>
      <c r="H901" s="585"/>
      <c r="I901" s="585"/>
      <c r="J901" s="585"/>
      <c r="K901" s="585"/>
      <c r="L901" s="585"/>
      <c r="M901" s="582"/>
      <c r="N901" s="582"/>
      <c r="O901" s="586"/>
      <c r="P901" s="586"/>
      <c r="Q901" s="587"/>
      <c r="R901" s="587"/>
      <c r="S901" s="588"/>
      <c r="T901" s="588"/>
      <c r="U901" s="588"/>
      <c r="V901" s="588"/>
      <c r="W901" s="582"/>
      <c r="X901" s="582"/>
      <c r="Y901" s="589"/>
      <c r="Z901" s="589"/>
      <c r="AA901" s="589"/>
      <c r="AB901" s="589"/>
      <c r="AC901" s="589"/>
      <c r="AD901" s="589"/>
      <c r="AE901" s="589"/>
      <c r="AF901" s="468"/>
    </row>
    <row r="902" customFormat="false" ht="30" hidden="false" customHeight="true" outlineLevel="0" collapsed="false">
      <c r="A902" s="581"/>
      <c r="B902" s="581"/>
      <c r="C902" s="581"/>
      <c r="D902" s="585"/>
      <c r="E902" s="585"/>
      <c r="F902" s="585"/>
      <c r="G902" s="585"/>
      <c r="H902" s="585"/>
      <c r="I902" s="585"/>
      <c r="J902" s="585"/>
      <c r="K902" s="585"/>
      <c r="L902" s="585"/>
      <c r="M902" s="582"/>
      <c r="N902" s="582"/>
      <c r="O902" s="586"/>
      <c r="P902" s="586"/>
      <c r="Q902" s="587"/>
      <c r="R902" s="587"/>
      <c r="S902" s="588"/>
      <c r="T902" s="588"/>
      <c r="U902" s="588"/>
      <c r="V902" s="588"/>
      <c r="W902" s="582"/>
      <c r="X902" s="582"/>
      <c r="Y902" s="589"/>
      <c r="Z902" s="589"/>
      <c r="AA902" s="589"/>
      <c r="AB902" s="589"/>
      <c r="AC902" s="589"/>
      <c r="AD902" s="589"/>
      <c r="AE902" s="589"/>
      <c r="AF902" s="468"/>
    </row>
    <row r="903" customFormat="false" ht="30" hidden="false" customHeight="true" outlineLevel="0" collapsed="false">
      <c r="A903" s="581"/>
      <c r="B903" s="581"/>
      <c r="C903" s="581"/>
      <c r="D903" s="585"/>
      <c r="E903" s="585"/>
      <c r="F903" s="585"/>
      <c r="G903" s="585"/>
      <c r="H903" s="585"/>
      <c r="I903" s="585"/>
      <c r="J903" s="585"/>
      <c r="K903" s="585"/>
      <c r="L903" s="585"/>
      <c r="M903" s="582"/>
      <c r="N903" s="582"/>
      <c r="O903" s="586"/>
      <c r="P903" s="586"/>
      <c r="Q903" s="587"/>
      <c r="R903" s="587"/>
      <c r="S903" s="588"/>
      <c r="T903" s="588"/>
      <c r="U903" s="588"/>
      <c r="V903" s="588"/>
      <c r="W903" s="582"/>
      <c r="X903" s="582"/>
      <c r="Y903" s="589"/>
      <c r="Z903" s="589"/>
      <c r="AA903" s="589"/>
      <c r="AB903" s="589"/>
      <c r="AC903" s="589"/>
      <c r="AD903" s="589"/>
      <c r="AE903" s="589"/>
      <c r="AF903" s="468"/>
    </row>
    <row r="904" customFormat="false" ht="30" hidden="false" customHeight="true" outlineLevel="0" collapsed="false">
      <c r="A904" s="581"/>
      <c r="B904" s="581"/>
      <c r="C904" s="581"/>
      <c r="D904" s="585"/>
      <c r="E904" s="585"/>
      <c r="F904" s="585"/>
      <c r="G904" s="585"/>
      <c r="H904" s="585"/>
      <c r="I904" s="585"/>
      <c r="J904" s="585"/>
      <c r="K904" s="585"/>
      <c r="L904" s="585"/>
      <c r="M904" s="582"/>
      <c r="N904" s="582"/>
      <c r="O904" s="586"/>
      <c r="P904" s="586"/>
      <c r="Q904" s="587"/>
      <c r="R904" s="587"/>
      <c r="S904" s="588"/>
      <c r="T904" s="588"/>
      <c r="U904" s="588"/>
      <c r="V904" s="588"/>
      <c r="W904" s="582"/>
      <c r="X904" s="582"/>
      <c r="Y904" s="589"/>
      <c r="Z904" s="589"/>
      <c r="AA904" s="589"/>
      <c r="AB904" s="589"/>
      <c r="AC904" s="589"/>
      <c r="AD904" s="589"/>
      <c r="AE904" s="589"/>
      <c r="AF904" s="468"/>
    </row>
    <row r="905" customFormat="false" ht="30" hidden="false" customHeight="true" outlineLevel="0" collapsed="false">
      <c r="A905" s="581"/>
      <c r="B905" s="581"/>
      <c r="C905" s="581"/>
      <c r="D905" s="585"/>
      <c r="E905" s="585"/>
      <c r="F905" s="585"/>
      <c r="G905" s="585"/>
      <c r="H905" s="585"/>
      <c r="I905" s="585"/>
      <c r="J905" s="585"/>
      <c r="K905" s="585"/>
      <c r="L905" s="585"/>
      <c r="M905" s="582"/>
      <c r="N905" s="582"/>
      <c r="O905" s="586"/>
      <c r="P905" s="586"/>
      <c r="Q905" s="587"/>
      <c r="R905" s="587"/>
      <c r="S905" s="588"/>
      <c r="T905" s="588"/>
      <c r="U905" s="588"/>
      <c r="V905" s="588"/>
      <c r="W905" s="582"/>
      <c r="X905" s="582"/>
      <c r="Y905" s="589"/>
      <c r="Z905" s="589"/>
      <c r="AA905" s="589"/>
      <c r="AB905" s="589"/>
      <c r="AC905" s="589"/>
      <c r="AD905" s="589"/>
      <c r="AE905" s="589"/>
      <c r="AF905" s="468"/>
    </row>
    <row r="906" customFormat="false" ht="30" hidden="false" customHeight="true" outlineLevel="0" collapsed="false">
      <c r="A906" s="581"/>
      <c r="B906" s="581"/>
      <c r="C906" s="581"/>
      <c r="D906" s="585"/>
      <c r="E906" s="585"/>
      <c r="F906" s="585"/>
      <c r="G906" s="585"/>
      <c r="H906" s="585"/>
      <c r="I906" s="585"/>
      <c r="J906" s="585"/>
      <c r="K906" s="585"/>
      <c r="L906" s="585"/>
      <c r="M906" s="582"/>
      <c r="N906" s="582"/>
      <c r="O906" s="586"/>
      <c r="P906" s="586"/>
      <c r="Q906" s="587"/>
      <c r="R906" s="587"/>
      <c r="S906" s="588"/>
      <c r="T906" s="588"/>
      <c r="U906" s="588"/>
      <c r="V906" s="588"/>
      <c r="W906" s="582"/>
      <c r="X906" s="582"/>
      <c r="Y906" s="589"/>
      <c r="Z906" s="589"/>
      <c r="AA906" s="589"/>
      <c r="AB906" s="589"/>
      <c r="AC906" s="589"/>
      <c r="AD906" s="589"/>
      <c r="AE906" s="589"/>
      <c r="AF906" s="468"/>
    </row>
    <row r="907" customFormat="false" ht="30" hidden="false" customHeight="true" outlineLevel="0" collapsed="false">
      <c r="A907" s="581"/>
      <c r="B907" s="581"/>
      <c r="C907" s="581"/>
      <c r="D907" s="585"/>
      <c r="E907" s="585"/>
      <c r="F907" s="585"/>
      <c r="G907" s="585"/>
      <c r="H907" s="585"/>
      <c r="I907" s="585"/>
      <c r="J907" s="585"/>
      <c r="K907" s="585"/>
      <c r="L907" s="585"/>
      <c r="M907" s="582"/>
      <c r="N907" s="582"/>
      <c r="O907" s="586"/>
      <c r="P907" s="586"/>
      <c r="Q907" s="587"/>
      <c r="R907" s="587"/>
      <c r="S907" s="588"/>
      <c r="T907" s="588"/>
      <c r="U907" s="588"/>
      <c r="V907" s="588"/>
      <c r="W907" s="582"/>
      <c r="X907" s="582"/>
      <c r="Y907" s="589"/>
      <c r="Z907" s="589"/>
      <c r="AA907" s="589"/>
      <c r="AB907" s="589"/>
      <c r="AC907" s="589"/>
      <c r="AD907" s="589"/>
      <c r="AE907" s="589"/>
      <c r="AF907" s="468"/>
    </row>
    <row r="908" customFormat="false" ht="30" hidden="false" customHeight="true" outlineLevel="0" collapsed="false">
      <c r="A908" s="581"/>
      <c r="B908" s="581"/>
      <c r="C908" s="581"/>
      <c r="D908" s="585"/>
      <c r="E908" s="585"/>
      <c r="F908" s="585"/>
      <c r="G908" s="585"/>
      <c r="H908" s="585"/>
      <c r="I908" s="585"/>
      <c r="J908" s="585"/>
      <c r="K908" s="585"/>
      <c r="L908" s="585"/>
      <c r="M908" s="582"/>
      <c r="N908" s="582"/>
      <c r="O908" s="586"/>
      <c r="P908" s="586"/>
      <c r="Q908" s="587"/>
      <c r="R908" s="587"/>
      <c r="S908" s="588"/>
      <c r="T908" s="588"/>
      <c r="U908" s="588"/>
      <c r="V908" s="588"/>
      <c r="W908" s="582"/>
      <c r="X908" s="582"/>
      <c r="Y908" s="589"/>
      <c r="Z908" s="589"/>
      <c r="AA908" s="589"/>
      <c r="AB908" s="589"/>
      <c r="AC908" s="589"/>
      <c r="AD908" s="589"/>
      <c r="AE908" s="589"/>
      <c r="AF908" s="468"/>
    </row>
    <row r="909" customFormat="false" ht="30" hidden="false" customHeight="true" outlineLevel="0" collapsed="false">
      <c r="A909" s="581"/>
      <c r="B909" s="581"/>
      <c r="C909" s="581"/>
      <c r="D909" s="585"/>
      <c r="E909" s="585"/>
      <c r="F909" s="585"/>
      <c r="G909" s="585"/>
      <c r="H909" s="585"/>
      <c r="I909" s="585"/>
      <c r="J909" s="585"/>
      <c r="K909" s="585"/>
      <c r="L909" s="585"/>
      <c r="M909" s="582"/>
      <c r="N909" s="582"/>
      <c r="O909" s="586"/>
      <c r="P909" s="586"/>
      <c r="Q909" s="587"/>
      <c r="R909" s="587"/>
      <c r="S909" s="588"/>
      <c r="T909" s="588"/>
      <c r="U909" s="588"/>
      <c r="V909" s="588"/>
      <c r="W909" s="582"/>
      <c r="X909" s="582"/>
      <c r="Y909" s="589"/>
      <c r="Z909" s="589"/>
      <c r="AA909" s="589"/>
      <c r="AB909" s="589"/>
      <c r="AC909" s="589"/>
      <c r="AD909" s="589"/>
      <c r="AE909" s="589"/>
      <c r="AF909" s="468"/>
    </row>
    <row r="910" customFormat="false" ht="30" hidden="false" customHeight="true" outlineLevel="0" collapsed="false">
      <c r="A910" s="581"/>
      <c r="B910" s="581"/>
      <c r="C910" s="581"/>
      <c r="D910" s="585"/>
      <c r="E910" s="585"/>
      <c r="F910" s="585"/>
      <c r="G910" s="585"/>
      <c r="H910" s="585"/>
      <c r="I910" s="585"/>
      <c r="J910" s="585"/>
      <c r="K910" s="585"/>
      <c r="L910" s="585"/>
      <c r="M910" s="582"/>
      <c r="N910" s="582"/>
      <c r="O910" s="586"/>
      <c r="P910" s="586"/>
      <c r="Q910" s="587"/>
      <c r="R910" s="587"/>
      <c r="S910" s="588"/>
      <c r="T910" s="588"/>
      <c r="U910" s="588"/>
      <c r="V910" s="588"/>
      <c r="W910" s="582"/>
      <c r="X910" s="582"/>
      <c r="Y910" s="589"/>
      <c r="Z910" s="589"/>
      <c r="AA910" s="589"/>
      <c r="AB910" s="589"/>
      <c r="AC910" s="589"/>
      <c r="AD910" s="589"/>
      <c r="AE910" s="589"/>
      <c r="AF910" s="468"/>
    </row>
    <row r="911" customFormat="false" ht="30" hidden="false" customHeight="true" outlineLevel="0" collapsed="false">
      <c r="A911" s="581"/>
      <c r="B911" s="581"/>
      <c r="C911" s="581"/>
      <c r="D911" s="585"/>
      <c r="E911" s="585"/>
      <c r="F911" s="585"/>
      <c r="G911" s="585"/>
      <c r="H911" s="585"/>
      <c r="I911" s="585"/>
      <c r="J911" s="585"/>
      <c r="K911" s="585"/>
      <c r="L911" s="585"/>
      <c r="M911" s="582"/>
      <c r="N911" s="582"/>
      <c r="O911" s="586"/>
      <c r="P911" s="586"/>
      <c r="Q911" s="587"/>
      <c r="R911" s="587"/>
      <c r="S911" s="588"/>
      <c r="T911" s="588"/>
      <c r="U911" s="588"/>
      <c r="V911" s="588"/>
      <c r="W911" s="582"/>
      <c r="X911" s="582"/>
      <c r="Y911" s="589"/>
      <c r="Z911" s="589"/>
      <c r="AA911" s="589"/>
      <c r="AB911" s="589"/>
      <c r="AC911" s="589"/>
      <c r="AD911" s="589"/>
      <c r="AE911" s="589"/>
      <c r="AF911" s="468"/>
    </row>
    <row r="912" customFormat="false" ht="30" hidden="false" customHeight="true" outlineLevel="0" collapsed="false">
      <c r="A912" s="581"/>
      <c r="B912" s="581"/>
      <c r="C912" s="581"/>
      <c r="D912" s="585"/>
      <c r="E912" s="585"/>
      <c r="F912" s="585"/>
      <c r="G912" s="585"/>
      <c r="H912" s="585"/>
      <c r="I912" s="585"/>
      <c r="J912" s="585"/>
      <c r="K912" s="585"/>
      <c r="L912" s="585"/>
      <c r="M912" s="582"/>
      <c r="N912" s="582"/>
      <c r="O912" s="586"/>
      <c r="P912" s="586"/>
      <c r="Q912" s="587"/>
      <c r="R912" s="587"/>
      <c r="S912" s="588"/>
      <c r="T912" s="588"/>
      <c r="U912" s="588"/>
      <c r="V912" s="588"/>
      <c r="W912" s="582"/>
      <c r="X912" s="582"/>
      <c r="Y912" s="589"/>
      <c r="Z912" s="589"/>
      <c r="AA912" s="589"/>
      <c r="AB912" s="589"/>
      <c r="AC912" s="589"/>
      <c r="AD912" s="589"/>
      <c r="AE912" s="589"/>
      <c r="AF912" s="468"/>
    </row>
    <row r="913" customFormat="false" ht="12.75" hidden="false" customHeight="true" outlineLevel="0" collapsed="false">
      <c r="A913" s="494"/>
      <c r="B913" s="494"/>
      <c r="C913" s="494"/>
      <c r="D913" s="494"/>
      <c r="E913" s="494"/>
      <c r="F913" s="494"/>
      <c r="G913" s="494"/>
      <c r="H913" s="494"/>
      <c r="I913" s="494"/>
      <c r="J913" s="494"/>
      <c r="K913" s="494"/>
      <c r="L913" s="494"/>
      <c r="M913" s="494"/>
      <c r="N913" s="494"/>
      <c r="O913" s="494"/>
      <c r="P913" s="494"/>
      <c r="Q913" s="494"/>
      <c r="R913" s="494"/>
      <c r="S913" s="494"/>
      <c r="T913" s="494"/>
      <c r="U913" s="494"/>
      <c r="V913" s="494"/>
      <c r="W913" s="494"/>
      <c r="X913" s="494"/>
      <c r="Y913" s="494"/>
      <c r="Z913" s="494"/>
      <c r="AA913" s="494"/>
      <c r="AB913" s="494"/>
      <c r="AC913" s="494"/>
      <c r="AD913" s="494"/>
      <c r="AE913" s="494"/>
      <c r="AF913" s="468"/>
    </row>
    <row r="914" customFormat="false" ht="12.75" hidden="false" customHeight="true" outlineLevel="0" collapsed="false">
      <c r="A914" s="396"/>
      <c r="B914" s="396"/>
      <c r="C914" s="396"/>
      <c r="D914" s="396"/>
      <c r="E914" s="396"/>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591"/>
      <c r="AC914" s="592"/>
      <c r="AD914" s="593"/>
      <c r="AE914" s="593"/>
      <c r="AF914" s="593"/>
    </row>
    <row r="915" customFormat="false" ht="12.75" hidden="false" customHeight="true" outlineLevel="0" collapsed="false">
      <c r="A915" s="577"/>
      <c r="B915" s="577"/>
      <c r="C915" s="578"/>
      <c r="D915" s="578"/>
      <c r="E915" s="578"/>
      <c r="F915" s="578"/>
      <c r="G915" s="578"/>
      <c r="H915" s="578"/>
      <c r="I915" s="578"/>
      <c r="J915" s="578"/>
      <c r="K915" s="578"/>
      <c r="L915" s="578"/>
      <c r="M915" s="577"/>
      <c r="N915" s="577"/>
      <c r="O915" s="577"/>
      <c r="P915" s="577"/>
      <c r="Q915" s="577"/>
      <c r="R915" s="578"/>
      <c r="S915" s="578"/>
      <c r="T915" s="578"/>
      <c r="U915" s="578"/>
      <c r="V915" s="578"/>
      <c r="W915" s="578"/>
      <c r="X915" s="578"/>
      <c r="Y915" s="578"/>
      <c r="Z915" s="578"/>
      <c r="AA915" s="578"/>
      <c r="AB915" s="578"/>
      <c r="AC915" s="578"/>
      <c r="AD915" s="578"/>
      <c r="AE915" s="578"/>
      <c r="AF915" s="578"/>
    </row>
    <row r="916" customFormat="false" ht="12.75" hidden="false" customHeight="true" outlineLevel="0" collapsed="false">
      <c r="A916" s="458"/>
      <c r="B916" s="458"/>
      <c r="C916" s="459"/>
      <c r="D916" s="459"/>
      <c r="E916" s="459"/>
      <c r="F916" s="459"/>
      <c r="G916" s="459"/>
      <c r="H916" s="459"/>
      <c r="I916" s="459"/>
      <c r="J916" s="459"/>
      <c r="K916" s="459"/>
      <c r="L916" s="459"/>
      <c r="M916" s="458"/>
      <c r="N916" s="458"/>
      <c r="O916" s="458"/>
      <c r="P916" s="458"/>
      <c r="Q916" s="458"/>
      <c r="R916" s="459"/>
      <c r="S916" s="459"/>
      <c r="T916" s="459"/>
      <c r="U916" s="459"/>
      <c r="V916" s="459"/>
      <c r="W916" s="459"/>
      <c r="X916" s="459"/>
      <c r="Y916" s="459"/>
      <c r="Z916" s="459"/>
      <c r="AA916" s="459"/>
      <c r="AB916" s="459"/>
      <c r="AC916" s="459"/>
      <c r="AD916" s="459"/>
      <c r="AE916" s="459"/>
      <c r="AF916" s="459"/>
    </row>
    <row r="917" customFormat="false" ht="15.75" hidden="false" customHeight="true" outlineLevel="0" collapsed="false">
      <c r="A917" s="579"/>
      <c r="B917" s="579"/>
      <c r="C917" s="579"/>
      <c r="D917" s="580"/>
      <c r="E917" s="580"/>
      <c r="F917" s="580"/>
      <c r="G917" s="580"/>
      <c r="H917" s="580"/>
      <c r="I917" s="580"/>
      <c r="J917" s="580"/>
      <c r="K917" s="580"/>
      <c r="L917" s="580"/>
      <c r="M917" s="458"/>
      <c r="N917" s="458"/>
      <c r="O917" s="458"/>
      <c r="P917" s="459"/>
      <c r="Q917" s="458"/>
      <c r="R917" s="459"/>
      <c r="S917" s="459"/>
      <c r="T917" s="459"/>
      <c r="U917" s="459"/>
      <c r="V917" s="459"/>
      <c r="W917" s="459"/>
      <c r="X917" s="459"/>
      <c r="Y917" s="459"/>
      <c r="Z917" s="459"/>
      <c r="AA917" s="459"/>
      <c r="AB917" s="459"/>
      <c r="AC917" s="459"/>
      <c r="AD917" s="459"/>
      <c r="AE917" s="459"/>
      <c r="AF917" s="459"/>
    </row>
    <row r="918" customFormat="false" ht="15.75" hidden="false" customHeight="true" outlineLevel="0" collapsed="false">
      <c r="A918" s="581"/>
      <c r="B918" s="581"/>
      <c r="C918" s="581"/>
      <c r="D918" s="581"/>
      <c r="E918" s="581"/>
      <c r="F918" s="581"/>
      <c r="G918" s="581"/>
      <c r="H918" s="581"/>
      <c r="I918" s="581"/>
      <c r="J918" s="581"/>
      <c r="K918" s="581"/>
      <c r="L918" s="581"/>
      <c r="M918" s="582"/>
      <c r="N918" s="582"/>
      <c r="O918" s="583"/>
      <c r="P918" s="583"/>
      <c r="Q918" s="583"/>
      <c r="R918" s="583"/>
      <c r="S918" s="584"/>
      <c r="T918" s="584"/>
      <c r="U918" s="584"/>
      <c r="V918" s="584"/>
      <c r="W918" s="582"/>
      <c r="X918" s="582"/>
      <c r="Y918" s="582"/>
      <c r="Z918" s="582"/>
      <c r="AA918" s="582"/>
      <c r="AB918" s="582"/>
      <c r="AC918" s="582"/>
      <c r="AD918" s="582"/>
      <c r="AE918" s="582"/>
      <c r="AF918" s="459"/>
    </row>
    <row r="919" customFormat="false" ht="15.75" hidden="false" customHeight="true" outlineLevel="0" collapsed="false">
      <c r="A919" s="581"/>
      <c r="B919" s="581"/>
      <c r="C919" s="581"/>
      <c r="D919" s="581"/>
      <c r="E919" s="581"/>
      <c r="F919" s="581"/>
      <c r="G919" s="581"/>
      <c r="H919" s="581"/>
      <c r="I919" s="581"/>
      <c r="J919" s="581"/>
      <c r="K919" s="581"/>
      <c r="L919" s="581"/>
      <c r="M919" s="582"/>
      <c r="N919" s="582"/>
      <c r="O919" s="583"/>
      <c r="P919" s="583"/>
      <c r="Q919" s="583"/>
      <c r="R919" s="583"/>
      <c r="S919" s="584"/>
      <c r="T919" s="584"/>
      <c r="U919" s="584"/>
      <c r="V919" s="584"/>
      <c r="W919" s="582"/>
      <c r="X919" s="582"/>
      <c r="Y919" s="582"/>
      <c r="Z919" s="582"/>
      <c r="AA919" s="582"/>
      <c r="AB919" s="582"/>
      <c r="AC919" s="582"/>
      <c r="AD919" s="582"/>
      <c r="AE919" s="582"/>
      <c r="AF919" s="459"/>
    </row>
    <row r="920" customFormat="false" ht="30" hidden="false" customHeight="true" outlineLevel="0" collapsed="false">
      <c r="A920" s="581"/>
      <c r="B920" s="581"/>
      <c r="C920" s="581"/>
      <c r="D920" s="581"/>
      <c r="E920" s="581"/>
      <c r="F920" s="581"/>
      <c r="G920" s="581"/>
      <c r="H920" s="581"/>
      <c r="I920" s="581"/>
      <c r="J920" s="581"/>
      <c r="K920" s="581"/>
      <c r="L920" s="581"/>
      <c r="M920" s="582"/>
      <c r="N920" s="582"/>
      <c r="O920" s="583"/>
      <c r="P920" s="583"/>
      <c r="Q920" s="583"/>
      <c r="R920" s="583"/>
      <c r="S920" s="584"/>
      <c r="T920" s="584"/>
      <c r="U920" s="584"/>
      <c r="V920" s="584"/>
      <c r="W920" s="582"/>
      <c r="X920" s="582"/>
      <c r="Y920" s="582"/>
      <c r="Z920" s="582"/>
      <c r="AA920" s="582"/>
      <c r="AB920" s="582"/>
      <c r="AC920" s="582"/>
      <c r="AD920" s="582"/>
      <c r="AE920" s="582"/>
      <c r="AF920" s="468"/>
    </row>
    <row r="921" customFormat="false" ht="30" hidden="false" customHeight="true" outlineLevel="0" collapsed="false">
      <c r="A921" s="581"/>
      <c r="B921" s="581"/>
      <c r="C921" s="581"/>
      <c r="D921" s="585"/>
      <c r="E921" s="585"/>
      <c r="F921" s="585"/>
      <c r="G921" s="585"/>
      <c r="H921" s="585"/>
      <c r="I921" s="585"/>
      <c r="J921" s="585"/>
      <c r="K921" s="585"/>
      <c r="L921" s="585"/>
      <c r="M921" s="582"/>
      <c r="N921" s="582"/>
      <c r="O921" s="586"/>
      <c r="P921" s="586"/>
      <c r="Q921" s="587"/>
      <c r="R921" s="587"/>
      <c r="S921" s="588"/>
      <c r="T921" s="588"/>
      <c r="U921" s="588"/>
      <c r="V921" s="588"/>
      <c r="W921" s="582"/>
      <c r="X921" s="582"/>
      <c r="Y921" s="589"/>
      <c r="Z921" s="589"/>
      <c r="AA921" s="589"/>
      <c r="AB921" s="589"/>
      <c r="AC921" s="589"/>
      <c r="AD921" s="589"/>
      <c r="AE921" s="589"/>
      <c r="AF921" s="468"/>
    </row>
    <row r="922" customFormat="false" ht="30" hidden="false" customHeight="true" outlineLevel="0" collapsed="false">
      <c r="A922" s="581"/>
      <c r="B922" s="581"/>
      <c r="C922" s="581"/>
      <c r="D922" s="585"/>
      <c r="E922" s="585"/>
      <c r="F922" s="585"/>
      <c r="G922" s="585"/>
      <c r="H922" s="585"/>
      <c r="I922" s="585"/>
      <c r="J922" s="585"/>
      <c r="K922" s="585"/>
      <c r="L922" s="585"/>
      <c r="M922" s="582"/>
      <c r="N922" s="582"/>
      <c r="O922" s="590"/>
      <c r="P922" s="590"/>
      <c r="Q922" s="590"/>
      <c r="R922" s="590"/>
      <c r="S922" s="590"/>
      <c r="T922" s="590"/>
      <c r="U922" s="590"/>
      <c r="V922" s="590"/>
      <c r="W922" s="582"/>
      <c r="X922" s="582"/>
      <c r="Y922" s="589"/>
      <c r="Z922" s="589"/>
      <c r="AA922" s="589"/>
      <c r="AB922" s="589"/>
      <c r="AC922" s="589"/>
      <c r="AD922" s="589"/>
      <c r="AE922" s="589"/>
      <c r="AF922" s="468"/>
    </row>
    <row r="923" customFormat="false" ht="30" hidden="false" customHeight="true" outlineLevel="0" collapsed="false">
      <c r="A923" s="581"/>
      <c r="B923" s="581"/>
      <c r="C923" s="581"/>
      <c r="D923" s="585"/>
      <c r="E923" s="585"/>
      <c r="F923" s="585"/>
      <c r="G923" s="585"/>
      <c r="H923" s="585"/>
      <c r="I923" s="585"/>
      <c r="J923" s="585"/>
      <c r="K923" s="585"/>
      <c r="L923" s="585"/>
      <c r="M923" s="582"/>
      <c r="N923" s="582"/>
      <c r="O923" s="586"/>
      <c r="P923" s="586"/>
      <c r="Q923" s="587"/>
      <c r="R923" s="587"/>
      <c r="S923" s="588"/>
      <c r="T923" s="588"/>
      <c r="U923" s="588"/>
      <c r="V923" s="588"/>
      <c r="W923" s="582"/>
      <c r="X923" s="582"/>
      <c r="Y923" s="589"/>
      <c r="Z923" s="589"/>
      <c r="AA923" s="589"/>
      <c r="AB923" s="589"/>
      <c r="AC923" s="589"/>
      <c r="AD923" s="589"/>
      <c r="AE923" s="589"/>
      <c r="AF923" s="468"/>
    </row>
    <row r="924" customFormat="false" ht="30" hidden="false" customHeight="true" outlineLevel="0" collapsed="false">
      <c r="A924" s="581"/>
      <c r="B924" s="581"/>
      <c r="C924" s="581"/>
      <c r="D924" s="585"/>
      <c r="E924" s="585"/>
      <c r="F924" s="585"/>
      <c r="G924" s="585"/>
      <c r="H924" s="585"/>
      <c r="I924" s="585"/>
      <c r="J924" s="585"/>
      <c r="K924" s="585"/>
      <c r="L924" s="585"/>
      <c r="M924" s="582"/>
      <c r="N924" s="582"/>
      <c r="O924" s="586"/>
      <c r="P924" s="586"/>
      <c r="Q924" s="587"/>
      <c r="R924" s="587"/>
      <c r="S924" s="588"/>
      <c r="T924" s="588"/>
      <c r="U924" s="588"/>
      <c r="V924" s="588"/>
      <c r="W924" s="582"/>
      <c r="X924" s="582"/>
      <c r="Y924" s="589"/>
      <c r="Z924" s="589"/>
      <c r="AA924" s="589"/>
      <c r="AB924" s="589"/>
      <c r="AC924" s="589"/>
      <c r="AD924" s="589"/>
      <c r="AE924" s="589"/>
      <c r="AF924" s="468"/>
    </row>
    <row r="925" customFormat="false" ht="30" hidden="false" customHeight="true" outlineLevel="0" collapsed="false">
      <c r="A925" s="581"/>
      <c r="B925" s="581"/>
      <c r="C925" s="581"/>
      <c r="D925" s="585"/>
      <c r="E925" s="585"/>
      <c r="F925" s="585"/>
      <c r="G925" s="585"/>
      <c r="H925" s="585"/>
      <c r="I925" s="585"/>
      <c r="J925" s="585"/>
      <c r="K925" s="585"/>
      <c r="L925" s="585"/>
      <c r="M925" s="582"/>
      <c r="N925" s="582"/>
      <c r="O925" s="586"/>
      <c r="P925" s="586"/>
      <c r="Q925" s="587"/>
      <c r="R925" s="587"/>
      <c r="S925" s="588"/>
      <c r="T925" s="588"/>
      <c r="U925" s="588"/>
      <c r="V925" s="588"/>
      <c r="W925" s="582"/>
      <c r="X925" s="582"/>
      <c r="Y925" s="589"/>
      <c r="Z925" s="589"/>
      <c r="AA925" s="589"/>
      <c r="AB925" s="589"/>
      <c r="AC925" s="589"/>
      <c r="AD925" s="589"/>
      <c r="AE925" s="589"/>
      <c r="AF925" s="468"/>
    </row>
    <row r="926" customFormat="false" ht="30" hidden="false" customHeight="true" outlineLevel="0" collapsed="false">
      <c r="A926" s="581"/>
      <c r="B926" s="581"/>
      <c r="C926" s="581"/>
      <c r="D926" s="585"/>
      <c r="E926" s="585"/>
      <c r="F926" s="585"/>
      <c r="G926" s="585"/>
      <c r="H926" s="585"/>
      <c r="I926" s="585"/>
      <c r="J926" s="585"/>
      <c r="K926" s="585"/>
      <c r="L926" s="585"/>
      <c r="M926" s="582"/>
      <c r="N926" s="582"/>
      <c r="O926" s="586"/>
      <c r="P926" s="586"/>
      <c r="Q926" s="587"/>
      <c r="R926" s="587"/>
      <c r="S926" s="588"/>
      <c r="T926" s="588"/>
      <c r="U926" s="588"/>
      <c r="V926" s="588"/>
      <c r="W926" s="582"/>
      <c r="X926" s="582"/>
      <c r="Y926" s="589"/>
      <c r="Z926" s="589"/>
      <c r="AA926" s="589"/>
      <c r="AB926" s="589"/>
      <c r="AC926" s="589"/>
      <c r="AD926" s="589"/>
      <c r="AE926" s="589"/>
      <c r="AF926" s="468"/>
    </row>
    <row r="927" customFormat="false" ht="30" hidden="false" customHeight="true" outlineLevel="0" collapsed="false">
      <c r="A927" s="581"/>
      <c r="B927" s="581"/>
      <c r="C927" s="581"/>
      <c r="D927" s="585"/>
      <c r="E927" s="585"/>
      <c r="F927" s="585"/>
      <c r="G927" s="585"/>
      <c r="H927" s="585"/>
      <c r="I927" s="585"/>
      <c r="J927" s="585"/>
      <c r="K927" s="585"/>
      <c r="L927" s="585"/>
      <c r="M927" s="582"/>
      <c r="N927" s="582"/>
      <c r="O927" s="590"/>
      <c r="P927" s="590"/>
      <c r="Q927" s="590"/>
      <c r="R927" s="590"/>
      <c r="S927" s="590"/>
      <c r="T927" s="590"/>
      <c r="U927" s="590"/>
      <c r="V927" s="590"/>
      <c r="W927" s="582"/>
      <c r="X927" s="582"/>
      <c r="Y927" s="589"/>
      <c r="Z927" s="589"/>
      <c r="AA927" s="589"/>
      <c r="AB927" s="589"/>
      <c r="AC927" s="589"/>
      <c r="AD927" s="589"/>
      <c r="AE927" s="589"/>
      <c r="AF927" s="468"/>
    </row>
    <row r="928" customFormat="false" ht="30" hidden="false" customHeight="true" outlineLevel="0" collapsed="false">
      <c r="A928" s="581"/>
      <c r="B928" s="581"/>
      <c r="C928" s="581"/>
      <c r="D928" s="585"/>
      <c r="E928" s="585"/>
      <c r="F928" s="585"/>
      <c r="G928" s="585"/>
      <c r="H928" s="585"/>
      <c r="I928" s="585"/>
      <c r="J928" s="585"/>
      <c r="K928" s="585"/>
      <c r="L928" s="585"/>
      <c r="M928" s="582"/>
      <c r="N928" s="582"/>
      <c r="O928" s="586"/>
      <c r="P928" s="586"/>
      <c r="Q928" s="587"/>
      <c r="R928" s="587"/>
      <c r="S928" s="588"/>
      <c r="T928" s="588"/>
      <c r="U928" s="588"/>
      <c r="V928" s="588"/>
      <c r="W928" s="582"/>
      <c r="X928" s="582"/>
      <c r="Y928" s="589"/>
      <c r="Z928" s="589"/>
      <c r="AA928" s="589"/>
      <c r="AB928" s="589"/>
      <c r="AC928" s="589"/>
      <c r="AD928" s="589"/>
      <c r="AE928" s="589"/>
      <c r="AF928" s="468"/>
    </row>
    <row r="929" customFormat="false" ht="30" hidden="false" customHeight="true" outlineLevel="0" collapsed="false">
      <c r="A929" s="581"/>
      <c r="B929" s="581"/>
      <c r="C929" s="581"/>
      <c r="D929" s="585"/>
      <c r="E929" s="585"/>
      <c r="F929" s="585"/>
      <c r="G929" s="585"/>
      <c r="H929" s="585"/>
      <c r="I929" s="585"/>
      <c r="J929" s="585"/>
      <c r="K929" s="585"/>
      <c r="L929" s="585"/>
      <c r="M929" s="582"/>
      <c r="N929" s="582"/>
      <c r="O929" s="586"/>
      <c r="P929" s="586"/>
      <c r="Q929" s="587"/>
      <c r="R929" s="587"/>
      <c r="S929" s="588"/>
      <c r="T929" s="588"/>
      <c r="U929" s="588"/>
      <c r="V929" s="588"/>
      <c r="W929" s="582"/>
      <c r="X929" s="582"/>
      <c r="Y929" s="589"/>
      <c r="Z929" s="589"/>
      <c r="AA929" s="589"/>
      <c r="AB929" s="589"/>
      <c r="AC929" s="589"/>
      <c r="AD929" s="589"/>
      <c r="AE929" s="589"/>
      <c r="AF929" s="468"/>
    </row>
    <row r="930" customFormat="false" ht="30" hidden="false" customHeight="true" outlineLevel="0" collapsed="false">
      <c r="A930" s="581"/>
      <c r="B930" s="581"/>
      <c r="C930" s="581"/>
      <c r="D930" s="585"/>
      <c r="E930" s="585"/>
      <c r="F930" s="585"/>
      <c r="G930" s="585"/>
      <c r="H930" s="585"/>
      <c r="I930" s="585"/>
      <c r="J930" s="585"/>
      <c r="K930" s="585"/>
      <c r="L930" s="585"/>
      <c r="M930" s="582"/>
      <c r="N930" s="582"/>
      <c r="O930" s="586"/>
      <c r="P930" s="586"/>
      <c r="Q930" s="587"/>
      <c r="R930" s="587"/>
      <c r="S930" s="588"/>
      <c r="T930" s="588"/>
      <c r="U930" s="588"/>
      <c r="V930" s="588"/>
      <c r="W930" s="582"/>
      <c r="X930" s="582"/>
      <c r="Y930" s="589"/>
      <c r="Z930" s="589"/>
      <c r="AA930" s="589"/>
      <c r="AB930" s="589"/>
      <c r="AC930" s="589"/>
      <c r="AD930" s="589"/>
      <c r="AE930" s="589"/>
      <c r="AF930" s="468"/>
    </row>
    <row r="931" customFormat="false" ht="30" hidden="false" customHeight="true" outlineLevel="0" collapsed="false">
      <c r="A931" s="581"/>
      <c r="B931" s="581"/>
      <c r="C931" s="581"/>
      <c r="D931" s="585"/>
      <c r="E931" s="585"/>
      <c r="F931" s="585"/>
      <c r="G931" s="585"/>
      <c r="H931" s="585"/>
      <c r="I931" s="585"/>
      <c r="J931" s="585"/>
      <c r="K931" s="585"/>
      <c r="L931" s="585"/>
      <c r="M931" s="582"/>
      <c r="N931" s="582"/>
      <c r="O931" s="586"/>
      <c r="P931" s="586"/>
      <c r="Q931" s="587"/>
      <c r="R931" s="587"/>
      <c r="S931" s="588"/>
      <c r="T931" s="588"/>
      <c r="U931" s="588"/>
      <c r="V931" s="588"/>
      <c r="W931" s="582"/>
      <c r="X931" s="582"/>
      <c r="Y931" s="589"/>
      <c r="Z931" s="589"/>
      <c r="AA931" s="589"/>
      <c r="AB931" s="589"/>
      <c r="AC931" s="589"/>
      <c r="AD931" s="589"/>
      <c r="AE931" s="589"/>
      <c r="AF931" s="468"/>
    </row>
    <row r="932" customFormat="false" ht="30" hidden="false" customHeight="true" outlineLevel="0" collapsed="false">
      <c r="A932" s="581"/>
      <c r="B932" s="581"/>
      <c r="C932" s="581"/>
      <c r="D932" s="585"/>
      <c r="E932" s="585"/>
      <c r="F932" s="585"/>
      <c r="G932" s="585"/>
      <c r="H932" s="585"/>
      <c r="I932" s="585"/>
      <c r="J932" s="585"/>
      <c r="K932" s="585"/>
      <c r="L932" s="585"/>
      <c r="M932" s="582"/>
      <c r="N932" s="582"/>
      <c r="O932" s="586"/>
      <c r="P932" s="586"/>
      <c r="Q932" s="587"/>
      <c r="R932" s="587"/>
      <c r="S932" s="588"/>
      <c r="T932" s="588"/>
      <c r="U932" s="588"/>
      <c r="V932" s="588"/>
      <c r="W932" s="582"/>
      <c r="X932" s="582"/>
      <c r="Y932" s="589"/>
      <c r="Z932" s="589"/>
      <c r="AA932" s="589"/>
      <c r="AB932" s="589"/>
      <c r="AC932" s="589"/>
      <c r="AD932" s="589"/>
      <c r="AE932" s="589"/>
      <c r="AF932" s="468"/>
    </row>
    <row r="933" customFormat="false" ht="30" hidden="false" customHeight="true" outlineLevel="0" collapsed="false">
      <c r="A933" s="581"/>
      <c r="B933" s="581"/>
      <c r="C933" s="581"/>
      <c r="D933" s="585"/>
      <c r="E933" s="585"/>
      <c r="F933" s="585"/>
      <c r="G933" s="585"/>
      <c r="H933" s="585"/>
      <c r="I933" s="585"/>
      <c r="J933" s="585"/>
      <c r="K933" s="585"/>
      <c r="L933" s="585"/>
      <c r="M933" s="582"/>
      <c r="N933" s="582"/>
      <c r="O933" s="586"/>
      <c r="P933" s="586"/>
      <c r="Q933" s="587"/>
      <c r="R933" s="587"/>
      <c r="S933" s="588"/>
      <c r="T933" s="588"/>
      <c r="U933" s="588"/>
      <c r="V933" s="588"/>
      <c r="W933" s="582"/>
      <c r="X933" s="582"/>
      <c r="Y933" s="589"/>
      <c r="Z933" s="589"/>
      <c r="AA933" s="589"/>
      <c r="AB933" s="589"/>
      <c r="AC933" s="589"/>
      <c r="AD933" s="589"/>
      <c r="AE933" s="589"/>
      <c r="AF933" s="468"/>
    </row>
    <row r="934" customFormat="false" ht="30" hidden="false" customHeight="true" outlineLevel="0" collapsed="false">
      <c r="A934" s="581"/>
      <c r="B934" s="581"/>
      <c r="C934" s="581"/>
      <c r="D934" s="585"/>
      <c r="E934" s="585"/>
      <c r="F934" s="585"/>
      <c r="G934" s="585"/>
      <c r="H934" s="585"/>
      <c r="I934" s="585"/>
      <c r="J934" s="585"/>
      <c r="K934" s="585"/>
      <c r="L934" s="585"/>
      <c r="M934" s="582"/>
      <c r="N934" s="582"/>
      <c r="O934" s="590"/>
      <c r="P934" s="590"/>
      <c r="Q934" s="590"/>
      <c r="R934" s="590"/>
      <c r="S934" s="590"/>
      <c r="T934" s="590"/>
      <c r="U934" s="590"/>
      <c r="V934" s="590"/>
      <c r="W934" s="582"/>
      <c r="X934" s="582"/>
      <c r="Y934" s="589"/>
      <c r="Z934" s="589"/>
      <c r="AA934" s="589"/>
      <c r="AB934" s="589"/>
      <c r="AC934" s="589"/>
      <c r="AD934" s="589"/>
      <c r="AE934" s="589"/>
      <c r="AF934" s="468"/>
    </row>
    <row r="935" customFormat="false" ht="30" hidden="false" customHeight="true" outlineLevel="0" collapsed="false">
      <c r="A935" s="581"/>
      <c r="B935" s="581"/>
      <c r="C935" s="581"/>
      <c r="D935" s="585"/>
      <c r="E935" s="585"/>
      <c r="F935" s="585"/>
      <c r="G935" s="585"/>
      <c r="H935" s="585"/>
      <c r="I935" s="585"/>
      <c r="J935" s="585"/>
      <c r="K935" s="585"/>
      <c r="L935" s="585"/>
      <c r="M935" s="582"/>
      <c r="N935" s="582"/>
      <c r="O935" s="586"/>
      <c r="P935" s="586"/>
      <c r="Q935" s="587"/>
      <c r="R935" s="587"/>
      <c r="S935" s="588"/>
      <c r="T935" s="588"/>
      <c r="U935" s="588"/>
      <c r="V935" s="588"/>
      <c r="W935" s="582"/>
      <c r="X935" s="582"/>
      <c r="Y935" s="589"/>
      <c r="Z935" s="589"/>
      <c r="AA935" s="589"/>
      <c r="AB935" s="589"/>
      <c r="AC935" s="589"/>
      <c r="AD935" s="589"/>
      <c r="AE935" s="589"/>
      <c r="AF935" s="468"/>
    </row>
    <row r="936" customFormat="false" ht="30" hidden="false" customHeight="true" outlineLevel="0" collapsed="false">
      <c r="A936" s="581"/>
      <c r="B936" s="581"/>
      <c r="C936" s="581"/>
      <c r="D936" s="585"/>
      <c r="E936" s="585"/>
      <c r="F936" s="585"/>
      <c r="G936" s="585"/>
      <c r="H936" s="585"/>
      <c r="I936" s="585"/>
      <c r="J936" s="585"/>
      <c r="K936" s="585"/>
      <c r="L936" s="585"/>
      <c r="M936" s="582"/>
      <c r="N936" s="582"/>
      <c r="O936" s="586"/>
      <c r="P936" s="586"/>
      <c r="Q936" s="587"/>
      <c r="R936" s="587"/>
      <c r="S936" s="588"/>
      <c r="T936" s="588"/>
      <c r="U936" s="588"/>
      <c r="V936" s="588"/>
      <c r="W936" s="582"/>
      <c r="X936" s="582"/>
      <c r="Y936" s="589"/>
      <c r="Z936" s="589"/>
      <c r="AA936" s="589"/>
      <c r="AB936" s="589"/>
      <c r="AC936" s="589"/>
      <c r="AD936" s="589"/>
      <c r="AE936" s="589"/>
      <c r="AF936" s="468"/>
    </row>
    <row r="937" customFormat="false" ht="30" hidden="false" customHeight="true" outlineLevel="0" collapsed="false">
      <c r="A937" s="581"/>
      <c r="B937" s="581"/>
      <c r="C937" s="581"/>
      <c r="D937" s="585"/>
      <c r="E937" s="585"/>
      <c r="F937" s="585"/>
      <c r="G937" s="585"/>
      <c r="H937" s="585"/>
      <c r="I937" s="585"/>
      <c r="J937" s="585"/>
      <c r="K937" s="585"/>
      <c r="L937" s="585"/>
      <c r="M937" s="582"/>
      <c r="N937" s="582"/>
      <c r="O937" s="586"/>
      <c r="P937" s="586"/>
      <c r="Q937" s="587"/>
      <c r="R937" s="587"/>
      <c r="S937" s="588"/>
      <c r="T937" s="588"/>
      <c r="U937" s="588"/>
      <c r="V937" s="588"/>
      <c r="W937" s="582"/>
      <c r="X937" s="582"/>
      <c r="Y937" s="589"/>
      <c r="Z937" s="589"/>
      <c r="AA937" s="589"/>
      <c r="AB937" s="589"/>
      <c r="AC937" s="589"/>
      <c r="AD937" s="589"/>
      <c r="AE937" s="589"/>
      <c r="AF937" s="468"/>
    </row>
    <row r="938" customFormat="false" ht="30" hidden="false" customHeight="true" outlineLevel="0" collapsed="false">
      <c r="A938" s="581"/>
      <c r="B938" s="581"/>
      <c r="C938" s="581"/>
      <c r="D938" s="585"/>
      <c r="E938" s="585"/>
      <c r="F938" s="585"/>
      <c r="G938" s="585"/>
      <c r="H938" s="585"/>
      <c r="I938" s="585"/>
      <c r="J938" s="585"/>
      <c r="K938" s="585"/>
      <c r="L938" s="585"/>
      <c r="M938" s="582"/>
      <c r="N938" s="582"/>
      <c r="O938" s="590"/>
      <c r="P938" s="590"/>
      <c r="Q938" s="590"/>
      <c r="R938" s="590"/>
      <c r="S938" s="590"/>
      <c r="T938" s="590"/>
      <c r="U938" s="590"/>
      <c r="V938" s="590"/>
      <c r="W938" s="582"/>
      <c r="X938" s="582"/>
      <c r="Y938" s="589"/>
      <c r="Z938" s="589"/>
      <c r="AA938" s="589"/>
      <c r="AB938" s="589"/>
      <c r="AC938" s="589"/>
      <c r="AD938" s="589"/>
      <c r="AE938" s="589"/>
      <c r="AF938" s="468"/>
    </row>
    <row r="939" customFormat="false" ht="30" hidden="false" customHeight="true" outlineLevel="0" collapsed="false">
      <c r="A939" s="581"/>
      <c r="B939" s="581"/>
      <c r="C939" s="581"/>
      <c r="D939" s="585"/>
      <c r="E939" s="585"/>
      <c r="F939" s="585"/>
      <c r="G939" s="585"/>
      <c r="H939" s="585"/>
      <c r="I939" s="585"/>
      <c r="J939" s="585"/>
      <c r="K939" s="585"/>
      <c r="L939" s="585"/>
      <c r="M939" s="582"/>
      <c r="N939" s="582"/>
      <c r="O939" s="586"/>
      <c r="P939" s="586"/>
      <c r="Q939" s="587"/>
      <c r="R939" s="587"/>
      <c r="S939" s="588"/>
      <c r="T939" s="588"/>
      <c r="U939" s="588"/>
      <c r="V939" s="588"/>
      <c r="W939" s="582"/>
      <c r="X939" s="582"/>
      <c r="Y939" s="589"/>
      <c r="Z939" s="589"/>
      <c r="AA939" s="589"/>
      <c r="AB939" s="589"/>
      <c r="AC939" s="589"/>
      <c r="AD939" s="589"/>
      <c r="AE939" s="589"/>
      <c r="AF939" s="468"/>
    </row>
    <row r="940" customFormat="false" ht="12.75" hidden="false" customHeight="true" outlineLevel="0" collapsed="false">
      <c r="A940" s="494"/>
      <c r="B940" s="494"/>
      <c r="C940" s="494"/>
      <c r="D940" s="494"/>
      <c r="E940" s="494"/>
      <c r="F940" s="494"/>
      <c r="G940" s="494"/>
      <c r="H940" s="494"/>
      <c r="I940" s="494"/>
      <c r="J940" s="494"/>
      <c r="K940" s="494"/>
      <c r="L940" s="494"/>
      <c r="M940" s="494"/>
      <c r="N940" s="494"/>
      <c r="O940" s="494"/>
      <c r="P940" s="494"/>
      <c r="Q940" s="494"/>
      <c r="R940" s="494"/>
      <c r="S940" s="494"/>
      <c r="T940" s="494"/>
      <c r="U940" s="494"/>
      <c r="V940" s="494"/>
      <c r="W940" s="494"/>
      <c r="X940" s="494"/>
      <c r="Y940" s="494"/>
      <c r="Z940" s="494"/>
      <c r="AA940" s="494"/>
      <c r="AB940" s="494"/>
      <c r="AC940" s="494"/>
      <c r="AD940" s="494"/>
      <c r="AE940" s="494"/>
      <c r="AF940" s="468"/>
    </row>
    <row r="941" customFormat="false" ht="12.75" hidden="false" customHeight="true" outlineLevel="0" collapsed="false">
      <c r="A941" s="396"/>
      <c r="B941" s="396"/>
      <c r="C941" s="396"/>
      <c r="D941" s="396"/>
      <c r="E941" s="396"/>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591"/>
      <c r="AC941" s="592"/>
      <c r="AD941" s="593"/>
      <c r="AE941" s="593"/>
      <c r="AF941" s="593"/>
    </row>
    <row r="942" customFormat="false" ht="12.75" hidden="false" customHeight="true" outlineLevel="0" collapsed="false">
      <c r="A942" s="577"/>
      <c r="B942" s="577"/>
      <c r="C942" s="578"/>
      <c r="D942" s="578"/>
      <c r="E942" s="578"/>
      <c r="F942" s="578"/>
      <c r="G942" s="578"/>
      <c r="H942" s="578"/>
      <c r="I942" s="578"/>
      <c r="J942" s="578"/>
      <c r="K942" s="578"/>
      <c r="L942" s="578"/>
      <c r="M942" s="577"/>
      <c r="N942" s="577"/>
      <c r="O942" s="577"/>
      <c r="P942" s="577"/>
      <c r="Q942" s="577"/>
      <c r="R942" s="578"/>
      <c r="S942" s="578"/>
      <c r="T942" s="578"/>
      <c r="U942" s="578"/>
      <c r="V942" s="578"/>
      <c r="W942" s="578"/>
      <c r="X942" s="578"/>
      <c r="Y942" s="578"/>
      <c r="Z942" s="578"/>
      <c r="AA942" s="578"/>
      <c r="AB942" s="578"/>
      <c r="AC942" s="578"/>
      <c r="AD942" s="578"/>
      <c r="AE942" s="578"/>
      <c r="AF942" s="578"/>
    </row>
    <row r="943" customFormat="false" ht="12.75" hidden="false" customHeight="true" outlineLevel="0" collapsed="false">
      <c r="A943" s="458"/>
      <c r="B943" s="458"/>
      <c r="C943" s="459"/>
      <c r="D943" s="459"/>
      <c r="E943" s="459"/>
      <c r="F943" s="459"/>
      <c r="G943" s="459"/>
      <c r="H943" s="459"/>
      <c r="I943" s="459"/>
      <c r="J943" s="459"/>
      <c r="K943" s="459"/>
      <c r="L943" s="459"/>
      <c r="M943" s="458"/>
      <c r="N943" s="458"/>
      <c r="O943" s="458"/>
      <c r="P943" s="458"/>
      <c r="Q943" s="458"/>
      <c r="R943" s="459"/>
      <c r="S943" s="459"/>
      <c r="T943" s="459"/>
      <c r="U943" s="459"/>
      <c r="V943" s="459"/>
      <c r="W943" s="459"/>
      <c r="X943" s="459"/>
      <c r="Y943" s="459"/>
      <c r="Z943" s="459"/>
      <c r="AA943" s="459"/>
      <c r="AB943" s="459"/>
      <c r="AC943" s="459"/>
      <c r="AD943" s="459"/>
      <c r="AE943" s="459"/>
      <c r="AF943" s="459"/>
    </row>
    <row r="944" customFormat="false" ht="15.75" hidden="false" customHeight="true" outlineLevel="0" collapsed="false">
      <c r="A944" s="579"/>
      <c r="B944" s="579"/>
      <c r="C944" s="579"/>
      <c r="D944" s="580"/>
      <c r="E944" s="580"/>
      <c r="F944" s="580"/>
      <c r="G944" s="580"/>
      <c r="H944" s="580"/>
      <c r="I944" s="580"/>
      <c r="J944" s="580"/>
      <c r="K944" s="580"/>
      <c r="L944" s="580"/>
      <c r="M944" s="458"/>
      <c r="N944" s="458"/>
      <c r="O944" s="458"/>
      <c r="P944" s="459"/>
      <c r="Q944" s="458"/>
      <c r="R944" s="459"/>
      <c r="S944" s="459"/>
      <c r="T944" s="459"/>
      <c r="U944" s="459"/>
      <c r="V944" s="459"/>
      <c r="W944" s="459"/>
      <c r="X944" s="459"/>
      <c r="Y944" s="459"/>
      <c r="Z944" s="459"/>
      <c r="AA944" s="459"/>
      <c r="AB944" s="459"/>
      <c r="AC944" s="459"/>
      <c r="AD944" s="459"/>
      <c r="AE944" s="459"/>
      <c r="AF944" s="459"/>
    </row>
    <row r="945" customFormat="false" ht="15.75" hidden="false" customHeight="true" outlineLevel="0" collapsed="false">
      <c r="A945" s="581"/>
      <c r="B945" s="581"/>
      <c r="C945" s="581"/>
      <c r="D945" s="581"/>
      <c r="E945" s="581"/>
      <c r="F945" s="581"/>
      <c r="G945" s="581"/>
      <c r="H945" s="581"/>
      <c r="I945" s="581"/>
      <c r="J945" s="581"/>
      <c r="K945" s="581"/>
      <c r="L945" s="581"/>
      <c r="M945" s="582"/>
      <c r="N945" s="582"/>
      <c r="O945" s="583"/>
      <c r="P945" s="583"/>
      <c r="Q945" s="583"/>
      <c r="R945" s="583"/>
      <c r="S945" s="584"/>
      <c r="T945" s="584"/>
      <c r="U945" s="584"/>
      <c r="V945" s="584"/>
      <c r="W945" s="582"/>
      <c r="X945" s="582"/>
      <c r="Y945" s="582"/>
      <c r="Z945" s="582"/>
      <c r="AA945" s="582"/>
      <c r="AB945" s="582"/>
      <c r="AC945" s="582"/>
      <c r="AD945" s="582"/>
      <c r="AE945" s="582"/>
      <c r="AF945" s="459"/>
    </row>
    <row r="946" customFormat="false" ht="15.75" hidden="false" customHeight="true" outlineLevel="0" collapsed="false">
      <c r="A946" s="581"/>
      <c r="B946" s="581"/>
      <c r="C946" s="581"/>
      <c r="D946" s="581"/>
      <c r="E946" s="581"/>
      <c r="F946" s="581"/>
      <c r="G946" s="581"/>
      <c r="H946" s="581"/>
      <c r="I946" s="581"/>
      <c r="J946" s="581"/>
      <c r="K946" s="581"/>
      <c r="L946" s="581"/>
      <c r="M946" s="582"/>
      <c r="N946" s="582"/>
      <c r="O946" s="583"/>
      <c r="P946" s="583"/>
      <c r="Q946" s="583"/>
      <c r="R946" s="583"/>
      <c r="S946" s="584"/>
      <c r="T946" s="584"/>
      <c r="U946" s="584"/>
      <c r="V946" s="584"/>
      <c r="W946" s="582"/>
      <c r="X946" s="582"/>
      <c r="Y946" s="582"/>
      <c r="Z946" s="582"/>
      <c r="AA946" s="582"/>
      <c r="AB946" s="582"/>
      <c r="AC946" s="582"/>
      <c r="AD946" s="582"/>
      <c r="AE946" s="582"/>
      <c r="AF946" s="459"/>
    </row>
    <row r="947" customFormat="false" ht="30" hidden="false" customHeight="true" outlineLevel="0" collapsed="false">
      <c r="A947" s="581"/>
      <c r="B947" s="581"/>
      <c r="C947" s="581"/>
      <c r="D947" s="581"/>
      <c r="E947" s="581"/>
      <c r="F947" s="581"/>
      <c r="G947" s="581"/>
      <c r="H947" s="581"/>
      <c r="I947" s="581"/>
      <c r="J947" s="581"/>
      <c r="K947" s="581"/>
      <c r="L947" s="581"/>
      <c r="M947" s="582"/>
      <c r="N947" s="582"/>
      <c r="O947" s="583"/>
      <c r="P947" s="583"/>
      <c r="Q947" s="583"/>
      <c r="R947" s="583"/>
      <c r="S947" s="584"/>
      <c r="T947" s="584"/>
      <c r="U947" s="584"/>
      <c r="V947" s="584"/>
      <c r="W947" s="582"/>
      <c r="X947" s="582"/>
      <c r="Y947" s="582"/>
      <c r="Z947" s="582"/>
      <c r="AA947" s="582"/>
      <c r="AB947" s="582"/>
      <c r="AC947" s="582"/>
      <c r="AD947" s="582"/>
      <c r="AE947" s="582"/>
      <c r="AF947" s="468"/>
    </row>
    <row r="948" customFormat="false" ht="30" hidden="false" customHeight="true" outlineLevel="0" collapsed="false">
      <c r="A948" s="581"/>
      <c r="B948" s="581"/>
      <c r="C948" s="581"/>
      <c r="D948" s="585"/>
      <c r="E948" s="585"/>
      <c r="F948" s="585"/>
      <c r="G948" s="585"/>
      <c r="H948" s="585"/>
      <c r="I948" s="585"/>
      <c r="J948" s="585"/>
      <c r="K948" s="585"/>
      <c r="L948" s="585"/>
      <c r="M948" s="582"/>
      <c r="N948" s="582"/>
      <c r="O948" s="586"/>
      <c r="P948" s="586"/>
      <c r="Q948" s="587"/>
      <c r="R948" s="587"/>
      <c r="S948" s="588"/>
      <c r="T948" s="588"/>
      <c r="U948" s="588"/>
      <c r="V948" s="588"/>
      <c r="W948" s="582"/>
      <c r="X948" s="582"/>
      <c r="Y948" s="589"/>
      <c r="Z948" s="589"/>
      <c r="AA948" s="589"/>
      <c r="AB948" s="589"/>
      <c r="AC948" s="589"/>
      <c r="AD948" s="589"/>
      <c r="AE948" s="589"/>
      <c r="AF948" s="468"/>
    </row>
    <row r="949" customFormat="false" ht="30" hidden="false" customHeight="true" outlineLevel="0" collapsed="false">
      <c r="A949" s="581"/>
      <c r="B949" s="581"/>
      <c r="C949" s="581"/>
      <c r="D949" s="585"/>
      <c r="E949" s="585"/>
      <c r="F949" s="585"/>
      <c r="G949" s="585"/>
      <c r="H949" s="585"/>
      <c r="I949" s="585"/>
      <c r="J949" s="585"/>
      <c r="K949" s="585"/>
      <c r="L949" s="585"/>
      <c r="M949" s="582"/>
      <c r="N949" s="582"/>
      <c r="O949" s="586"/>
      <c r="P949" s="586"/>
      <c r="Q949" s="587"/>
      <c r="R949" s="587"/>
      <c r="S949" s="588"/>
      <c r="T949" s="588"/>
      <c r="U949" s="588"/>
      <c r="V949" s="588"/>
      <c r="W949" s="582"/>
      <c r="X949" s="582"/>
      <c r="Y949" s="589"/>
      <c r="Z949" s="589"/>
      <c r="AA949" s="589"/>
      <c r="AB949" s="589"/>
      <c r="AC949" s="589"/>
      <c r="AD949" s="589"/>
      <c r="AE949" s="589"/>
      <c r="AF949" s="468"/>
    </row>
    <row r="950" customFormat="false" ht="30" hidden="false" customHeight="true" outlineLevel="0" collapsed="false">
      <c r="A950" s="581"/>
      <c r="B950" s="581"/>
      <c r="C950" s="581"/>
      <c r="D950" s="585"/>
      <c r="E950" s="585"/>
      <c r="F950" s="585"/>
      <c r="G950" s="585"/>
      <c r="H950" s="585"/>
      <c r="I950" s="585"/>
      <c r="J950" s="585"/>
      <c r="K950" s="585"/>
      <c r="L950" s="585"/>
      <c r="M950" s="582"/>
      <c r="N950" s="582"/>
      <c r="O950" s="586"/>
      <c r="P950" s="586"/>
      <c r="Q950" s="587"/>
      <c r="R950" s="587"/>
      <c r="S950" s="588"/>
      <c r="T950" s="588"/>
      <c r="U950" s="588"/>
      <c r="V950" s="588"/>
      <c r="W950" s="582"/>
      <c r="X950" s="582"/>
      <c r="Y950" s="589"/>
      <c r="Z950" s="589"/>
      <c r="AA950" s="589"/>
      <c r="AB950" s="589"/>
      <c r="AC950" s="589"/>
      <c r="AD950" s="589"/>
      <c r="AE950" s="589"/>
      <c r="AF950" s="468"/>
    </row>
    <row r="951" customFormat="false" ht="30" hidden="false" customHeight="true" outlineLevel="0" collapsed="false">
      <c r="A951" s="581"/>
      <c r="B951" s="581"/>
      <c r="C951" s="581"/>
      <c r="D951" s="585"/>
      <c r="E951" s="585"/>
      <c r="F951" s="585"/>
      <c r="G951" s="585"/>
      <c r="H951" s="585"/>
      <c r="I951" s="585"/>
      <c r="J951" s="585"/>
      <c r="K951" s="585"/>
      <c r="L951" s="585"/>
      <c r="M951" s="582"/>
      <c r="N951" s="582"/>
      <c r="O951" s="590"/>
      <c r="P951" s="590"/>
      <c r="Q951" s="590"/>
      <c r="R951" s="590"/>
      <c r="S951" s="590"/>
      <c r="T951" s="590"/>
      <c r="U951" s="590"/>
      <c r="V951" s="590"/>
      <c r="W951" s="582"/>
      <c r="X951" s="582"/>
      <c r="Y951" s="589"/>
      <c r="Z951" s="589"/>
      <c r="AA951" s="589"/>
      <c r="AB951" s="589"/>
      <c r="AC951" s="589"/>
      <c r="AD951" s="589"/>
      <c r="AE951" s="589"/>
      <c r="AF951" s="468"/>
    </row>
    <row r="952" customFormat="false" ht="30" hidden="false" customHeight="true" outlineLevel="0" collapsed="false">
      <c r="A952" s="581"/>
      <c r="B952" s="581"/>
      <c r="C952" s="581"/>
      <c r="D952" s="585"/>
      <c r="E952" s="585"/>
      <c r="F952" s="585"/>
      <c r="G952" s="585"/>
      <c r="H952" s="585"/>
      <c r="I952" s="585"/>
      <c r="J952" s="585"/>
      <c r="K952" s="585"/>
      <c r="L952" s="585"/>
      <c r="M952" s="582"/>
      <c r="N952" s="582"/>
      <c r="O952" s="586"/>
      <c r="P952" s="586"/>
      <c r="Q952" s="587"/>
      <c r="R952" s="587"/>
      <c r="S952" s="588"/>
      <c r="T952" s="588"/>
      <c r="U952" s="588"/>
      <c r="V952" s="588"/>
      <c r="W952" s="582"/>
      <c r="X952" s="582"/>
      <c r="Y952" s="589"/>
      <c r="Z952" s="589"/>
      <c r="AA952" s="589"/>
      <c r="AB952" s="589"/>
      <c r="AC952" s="589"/>
      <c r="AD952" s="589"/>
      <c r="AE952" s="589"/>
      <c r="AF952" s="468"/>
    </row>
    <row r="953" customFormat="false" ht="30" hidden="false" customHeight="true" outlineLevel="0" collapsed="false">
      <c r="A953" s="581"/>
      <c r="B953" s="581"/>
      <c r="C953" s="581"/>
      <c r="D953" s="585"/>
      <c r="E953" s="585"/>
      <c r="F953" s="585"/>
      <c r="G953" s="585"/>
      <c r="H953" s="585"/>
      <c r="I953" s="585"/>
      <c r="J953" s="585"/>
      <c r="K953" s="585"/>
      <c r="L953" s="585"/>
      <c r="M953" s="582"/>
      <c r="N953" s="582"/>
      <c r="O953" s="586"/>
      <c r="P953" s="586"/>
      <c r="Q953" s="587"/>
      <c r="R953" s="587"/>
      <c r="S953" s="588"/>
      <c r="T953" s="588"/>
      <c r="U953" s="588"/>
      <c r="V953" s="588"/>
      <c r="W953" s="582"/>
      <c r="X953" s="582"/>
      <c r="Y953" s="589"/>
      <c r="Z953" s="589"/>
      <c r="AA953" s="589"/>
      <c r="AB953" s="589"/>
      <c r="AC953" s="589"/>
      <c r="AD953" s="589"/>
      <c r="AE953" s="589"/>
      <c r="AF953" s="468"/>
    </row>
    <row r="954" customFormat="false" ht="30" hidden="false" customHeight="true" outlineLevel="0" collapsed="false">
      <c r="A954" s="581"/>
      <c r="B954" s="581"/>
      <c r="C954" s="581"/>
      <c r="D954" s="585"/>
      <c r="E954" s="585"/>
      <c r="F954" s="585"/>
      <c r="G954" s="585"/>
      <c r="H954" s="585"/>
      <c r="I954" s="585"/>
      <c r="J954" s="585"/>
      <c r="K954" s="585"/>
      <c r="L954" s="585"/>
      <c r="M954" s="582"/>
      <c r="N954" s="582"/>
      <c r="O954" s="586"/>
      <c r="P954" s="586"/>
      <c r="Q954" s="587"/>
      <c r="R954" s="587"/>
      <c r="S954" s="588"/>
      <c r="T954" s="588"/>
      <c r="U954" s="588"/>
      <c r="V954" s="588"/>
      <c r="W954" s="582"/>
      <c r="X954" s="582"/>
      <c r="Y954" s="589"/>
      <c r="Z954" s="589"/>
      <c r="AA954" s="589"/>
      <c r="AB954" s="589"/>
      <c r="AC954" s="589"/>
      <c r="AD954" s="589"/>
      <c r="AE954" s="589"/>
      <c r="AF954" s="468"/>
    </row>
    <row r="955" customFormat="false" ht="30" hidden="false" customHeight="true" outlineLevel="0" collapsed="false">
      <c r="A955" s="581"/>
      <c r="B955" s="581"/>
      <c r="C955" s="581"/>
      <c r="D955" s="585"/>
      <c r="E955" s="585"/>
      <c r="F955" s="585"/>
      <c r="G955" s="585"/>
      <c r="H955" s="585"/>
      <c r="I955" s="585"/>
      <c r="J955" s="585"/>
      <c r="K955" s="585"/>
      <c r="L955" s="585"/>
      <c r="M955" s="582"/>
      <c r="N955" s="582"/>
      <c r="O955" s="586"/>
      <c r="P955" s="586"/>
      <c r="Q955" s="587"/>
      <c r="R955" s="587"/>
      <c r="S955" s="588"/>
      <c r="T955" s="588"/>
      <c r="U955" s="588"/>
      <c r="V955" s="588"/>
      <c r="W955" s="582"/>
      <c r="X955" s="582"/>
      <c r="Y955" s="589"/>
      <c r="Z955" s="589"/>
      <c r="AA955" s="589"/>
      <c r="AB955" s="589"/>
      <c r="AC955" s="589"/>
      <c r="AD955" s="589"/>
      <c r="AE955" s="589"/>
      <c r="AF955" s="468"/>
    </row>
    <row r="956" customFormat="false" ht="30" hidden="false" customHeight="true" outlineLevel="0" collapsed="false">
      <c r="A956" s="581"/>
      <c r="B956" s="581"/>
      <c r="C956" s="581"/>
      <c r="D956" s="585"/>
      <c r="E956" s="585"/>
      <c r="F956" s="585"/>
      <c r="G956" s="585"/>
      <c r="H956" s="585"/>
      <c r="I956" s="585"/>
      <c r="J956" s="585"/>
      <c r="K956" s="585"/>
      <c r="L956" s="585"/>
      <c r="M956" s="582"/>
      <c r="N956" s="582"/>
      <c r="O956" s="586"/>
      <c r="P956" s="586"/>
      <c r="Q956" s="587"/>
      <c r="R956" s="587"/>
      <c r="S956" s="588"/>
      <c r="T956" s="588"/>
      <c r="U956" s="588"/>
      <c r="V956" s="588"/>
      <c r="W956" s="582"/>
      <c r="X956" s="582"/>
      <c r="Y956" s="589"/>
      <c r="Z956" s="589"/>
      <c r="AA956" s="589"/>
      <c r="AB956" s="589"/>
      <c r="AC956" s="589"/>
      <c r="AD956" s="589"/>
      <c r="AE956" s="589"/>
      <c r="AF956" s="468"/>
    </row>
    <row r="957" customFormat="false" ht="30" hidden="false" customHeight="true" outlineLevel="0" collapsed="false">
      <c r="A957" s="581"/>
      <c r="B957" s="581"/>
      <c r="C957" s="581"/>
      <c r="D957" s="585"/>
      <c r="E957" s="585"/>
      <c r="F957" s="585"/>
      <c r="G957" s="585"/>
      <c r="H957" s="585"/>
      <c r="I957" s="585"/>
      <c r="J957" s="585"/>
      <c r="K957" s="585"/>
      <c r="L957" s="585"/>
      <c r="M957" s="582"/>
      <c r="N957" s="582"/>
      <c r="O957" s="586"/>
      <c r="P957" s="586"/>
      <c r="Q957" s="587"/>
      <c r="R957" s="587"/>
      <c r="S957" s="588"/>
      <c r="T957" s="588"/>
      <c r="U957" s="588"/>
      <c r="V957" s="588"/>
      <c r="W957" s="582"/>
      <c r="X957" s="582"/>
      <c r="Y957" s="589"/>
      <c r="Z957" s="589"/>
      <c r="AA957" s="589"/>
      <c r="AB957" s="589"/>
      <c r="AC957" s="589"/>
      <c r="AD957" s="589"/>
      <c r="AE957" s="589"/>
      <c r="AF957" s="468"/>
    </row>
    <row r="958" customFormat="false" ht="30" hidden="false" customHeight="true" outlineLevel="0" collapsed="false">
      <c r="A958" s="581"/>
      <c r="B958" s="581"/>
      <c r="C958" s="581"/>
      <c r="D958" s="585"/>
      <c r="E958" s="585"/>
      <c r="F958" s="585"/>
      <c r="G958" s="585"/>
      <c r="H958" s="585"/>
      <c r="I958" s="585"/>
      <c r="J958" s="585"/>
      <c r="K958" s="585"/>
      <c r="L958" s="585"/>
      <c r="M958" s="582"/>
      <c r="N958" s="582"/>
      <c r="O958" s="586"/>
      <c r="P958" s="586"/>
      <c r="Q958" s="587"/>
      <c r="R958" s="587"/>
      <c r="S958" s="588"/>
      <c r="T958" s="588"/>
      <c r="U958" s="588"/>
      <c r="V958" s="588"/>
      <c r="W958" s="582"/>
      <c r="X958" s="582"/>
      <c r="Y958" s="589"/>
      <c r="Z958" s="589"/>
      <c r="AA958" s="589"/>
      <c r="AB958" s="589"/>
      <c r="AC958" s="589"/>
      <c r="AD958" s="589"/>
      <c r="AE958" s="589"/>
      <c r="AF958" s="468"/>
    </row>
    <row r="959" customFormat="false" ht="30" hidden="false" customHeight="true" outlineLevel="0" collapsed="false">
      <c r="A959" s="581"/>
      <c r="B959" s="581"/>
      <c r="C959" s="581"/>
      <c r="D959" s="585"/>
      <c r="E959" s="585"/>
      <c r="F959" s="585"/>
      <c r="G959" s="585"/>
      <c r="H959" s="585"/>
      <c r="I959" s="585"/>
      <c r="J959" s="585"/>
      <c r="K959" s="585"/>
      <c r="L959" s="585"/>
      <c r="M959" s="582"/>
      <c r="N959" s="582"/>
      <c r="O959" s="586"/>
      <c r="P959" s="586"/>
      <c r="Q959" s="587"/>
      <c r="R959" s="587"/>
      <c r="S959" s="588"/>
      <c r="T959" s="588"/>
      <c r="U959" s="588"/>
      <c r="V959" s="588"/>
      <c r="W959" s="582"/>
      <c r="X959" s="582"/>
      <c r="Y959" s="589"/>
      <c r="Z959" s="589"/>
      <c r="AA959" s="589"/>
      <c r="AB959" s="589"/>
      <c r="AC959" s="589"/>
      <c r="AD959" s="589"/>
      <c r="AE959" s="589"/>
      <c r="AF959" s="468"/>
    </row>
    <row r="960" customFormat="false" ht="30" hidden="false" customHeight="true" outlineLevel="0" collapsed="false">
      <c r="A960" s="581"/>
      <c r="B960" s="581"/>
      <c r="C960" s="581"/>
      <c r="D960" s="585"/>
      <c r="E960" s="585"/>
      <c r="F960" s="585"/>
      <c r="G960" s="585"/>
      <c r="H960" s="585"/>
      <c r="I960" s="585"/>
      <c r="J960" s="585"/>
      <c r="K960" s="585"/>
      <c r="L960" s="585"/>
      <c r="M960" s="582"/>
      <c r="N960" s="582"/>
      <c r="O960" s="586"/>
      <c r="P960" s="586"/>
      <c r="Q960" s="587"/>
      <c r="R960" s="587"/>
      <c r="S960" s="588"/>
      <c r="T960" s="588"/>
      <c r="U960" s="588"/>
      <c r="V960" s="588"/>
      <c r="W960" s="582"/>
      <c r="X960" s="582"/>
      <c r="Y960" s="589"/>
      <c r="Z960" s="589"/>
      <c r="AA960" s="589"/>
      <c r="AB960" s="589"/>
      <c r="AC960" s="589"/>
      <c r="AD960" s="589"/>
      <c r="AE960" s="589"/>
      <c r="AF960" s="468"/>
    </row>
    <row r="961" customFormat="false" ht="30" hidden="false" customHeight="true" outlineLevel="0" collapsed="false">
      <c r="A961" s="581"/>
      <c r="B961" s="581"/>
      <c r="C961" s="581"/>
      <c r="D961" s="585"/>
      <c r="E961" s="585"/>
      <c r="F961" s="585"/>
      <c r="G961" s="585"/>
      <c r="H961" s="585"/>
      <c r="I961" s="585"/>
      <c r="J961" s="585"/>
      <c r="K961" s="585"/>
      <c r="L961" s="585"/>
      <c r="M961" s="582"/>
      <c r="N961" s="582"/>
      <c r="O961" s="586"/>
      <c r="P961" s="586"/>
      <c r="Q961" s="587"/>
      <c r="R961" s="587"/>
      <c r="S961" s="588"/>
      <c r="T961" s="588"/>
      <c r="U961" s="588"/>
      <c r="V961" s="588"/>
      <c r="W961" s="582"/>
      <c r="X961" s="582"/>
      <c r="Y961" s="589"/>
      <c r="Z961" s="589"/>
      <c r="AA961" s="589"/>
      <c r="AB961" s="589"/>
      <c r="AC961" s="589"/>
      <c r="AD961" s="589"/>
      <c r="AE961" s="589"/>
      <c r="AF961" s="468"/>
    </row>
    <row r="962" customFormat="false" ht="30" hidden="false" customHeight="true" outlineLevel="0" collapsed="false">
      <c r="A962" s="581"/>
      <c r="B962" s="581"/>
      <c r="C962" s="581"/>
      <c r="D962" s="585"/>
      <c r="E962" s="585"/>
      <c r="F962" s="585"/>
      <c r="G962" s="585"/>
      <c r="H962" s="585"/>
      <c r="I962" s="585"/>
      <c r="J962" s="585"/>
      <c r="K962" s="585"/>
      <c r="L962" s="585"/>
      <c r="M962" s="582"/>
      <c r="N962" s="582"/>
      <c r="O962" s="586"/>
      <c r="P962" s="586"/>
      <c r="Q962" s="587"/>
      <c r="R962" s="587"/>
      <c r="S962" s="588"/>
      <c r="T962" s="588"/>
      <c r="U962" s="588"/>
      <c r="V962" s="588"/>
      <c r="W962" s="582"/>
      <c r="X962" s="582"/>
      <c r="Y962" s="589"/>
      <c r="Z962" s="589"/>
      <c r="AA962" s="589"/>
      <c r="AB962" s="589"/>
      <c r="AC962" s="589"/>
      <c r="AD962" s="589"/>
      <c r="AE962" s="589"/>
      <c r="AF962" s="468"/>
    </row>
    <row r="963" customFormat="false" ht="30" hidden="false" customHeight="true" outlineLevel="0" collapsed="false">
      <c r="A963" s="581"/>
      <c r="B963" s="581"/>
      <c r="C963" s="581"/>
      <c r="D963" s="585"/>
      <c r="E963" s="585"/>
      <c r="F963" s="585"/>
      <c r="G963" s="585"/>
      <c r="H963" s="585"/>
      <c r="I963" s="585"/>
      <c r="J963" s="585"/>
      <c r="K963" s="585"/>
      <c r="L963" s="585"/>
      <c r="M963" s="582"/>
      <c r="N963" s="582"/>
      <c r="O963" s="586"/>
      <c r="P963" s="586"/>
      <c r="Q963" s="587"/>
      <c r="R963" s="587"/>
      <c r="S963" s="588"/>
      <c r="T963" s="588"/>
      <c r="U963" s="588"/>
      <c r="V963" s="588"/>
      <c r="W963" s="582"/>
      <c r="X963" s="582"/>
      <c r="Y963" s="589"/>
      <c r="Z963" s="589"/>
      <c r="AA963" s="589"/>
      <c r="AB963" s="589"/>
      <c r="AC963" s="589"/>
      <c r="AD963" s="589"/>
      <c r="AE963" s="589"/>
      <c r="AF963" s="468"/>
    </row>
    <row r="964" customFormat="false" ht="30" hidden="false" customHeight="true" outlineLevel="0" collapsed="false">
      <c r="A964" s="581"/>
      <c r="B964" s="581"/>
      <c r="C964" s="581"/>
      <c r="D964" s="585"/>
      <c r="E964" s="585"/>
      <c r="F964" s="585"/>
      <c r="G964" s="585"/>
      <c r="H964" s="585"/>
      <c r="I964" s="585"/>
      <c r="J964" s="585"/>
      <c r="K964" s="585"/>
      <c r="L964" s="585"/>
      <c r="M964" s="582"/>
      <c r="N964" s="582"/>
      <c r="O964" s="586"/>
      <c r="P964" s="586"/>
      <c r="Q964" s="587"/>
      <c r="R964" s="587"/>
      <c r="S964" s="588"/>
      <c r="T964" s="588"/>
      <c r="U964" s="588"/>
      <c r="V964" s="588"/>
      <c r="W964" s="582"/>
      <c r="X964" s="582"/>
      <c r="Y964" s="589"/>
      <c r="Z964" s="589"/>
      <c r="AA964" s="589"/>
      <c r="AB964" s="589"/>
      <c r="AC964" s="589"/>
      <c r="AD964" s="589"/>
      <c r="AE964" s="589"/>
      <c r="AF964" s="468"/>
    </row>
    <row r="965" customFormat="false" ht="30" hidden="false" customHeight="true" outlineLevel="0" collapsed="false">
      <c r="A965" s="581"/>
      <c r="B965" s="581"/>
      <c r="C965" s="581"/>
      <c r="D965" s="585"/>
      <c r="E965" s="585"/>
      <c r="F965" s="585"/>
      <c r="G965" s="585"/>
      <c r="H965" s="585"/>
      <c r="I965" s="585"/>
      <c r="J965" s="585"/>
      <c r="K965" s="585"/>
      <c r="L965" s="585"/>
      <c r="M965" s="582"/>
      <c r="N965" s="582"/>
      <c r="O965" s="586"/>
      <c r="P965" s="586"/>
      <c r="Q965" s="587"/>
      <c r="R965" s="587"/>
      <c r="S965" s="588"/>
      <c r="T965" s="588"/>
      <c r="U965" s="588"/>
      <c r="V965" s="588"/>
      <c r="W965" s="582"/>
      <c r="X965" s="582"/>
      <c r="Y965" s="589"/>
      <c r="Z965" s="589"/>
      <c r="AA965" s="589"/>
      <c r="AB965" s="589"/>
      <c r="AC965" s="589"/>
      <c r="AD965" s="589"/>
      <c r="AE965" s="589"/>
      <c r="AF965" s="468"/>
    </row>
    <row r="966" customFormat="false" ht="30" hidden="false" customHeight="true" outlineLevel="0" collapsed="false">
      <c r="A966" s="581"/>
      <c r="B966" s="581"/>
      <c r="C966" s="581"/>
      <c r="D966" s="585"/>
      <c r="E966" s="585"/>
      <c r="F966" s="585"/>
      <c r="G966" s="585"/>
      <c r="H966" s="585"/>
      <c r="I966" s="585"/>
      <c r="J966" s="585"/>
      <c r="K966" s="585"/>
      <c r="L966" s="585"/>
      <c r="M966" s="582"/>
      <c r="N966" s="582"/>
      <c r="O966" s="586"/>
      <c r="P966" s="586"/>
      <c r="Q966" s="587"/>
      <c r="R966" s="587"/>
      <c r="S966" s="588"/>
      <c r="T966" s="588"/>
      <c r="U966" s="588"/>
      <c r="V966" s="588"/>
      <c r="W966" s="582"/>
      <c r="X966" s="582"/>
      <c r="Y966" s="589"/>
      <c r="Z966" s="589"/>
      <c r="AA966" s="589"/>
      <c r="AB966" s="589"/>
      <c r="AC966" s="589"/>
      <c r="AD966" s="589"/>
      <c r="AE966" s="589"/>
      <c r="AF966" s="468"/>
    </row>
    <row r="967" customFormat="false" ht="12.75" hidden="false" customHeight="true" outlineLevel="0" collapsed="false">
      <c r="A967" s="494"/>
      <c r="B967" s="494"/>
      <c r="C967" s="494"/>
      <c r="D967" s="494"/>
      <c r="E967" s="494"/>
      <c r="F967" s="494"/>
      <c r="G967" s="494"/>
      <c r="H967" s="494"/>
      <c r="I967" s="494"/>
      <c r="J967" s="494"/>
      <c r="K967" s="494"/>
      <c r="L967" s="494"/>
      <c r="M967" s="494"/>
      <c r="N967" s="494"/>
      <c r="O967" s="494"/>
      <c r="P967" s="494"/>
      <c r="Q967" s="494"/>
      <c r="R967" s="494"/>
      <c r="S967" s="494"/>
      <c r="T967" s="494"/>
      <c r="U967" s="494"/>
      <c r="V967" s="494"/>
      <c r="W967" s="494"/>
      <c r="X967" s="494"/>
      <c r="Y967" s="494"/>
      <c r="Z967" s="494"/>
      <c r="AA967" s="494"/>
      <c r="AB967" s="494"/>
      <c r="AC967" s="494"/>
      <c r="AD967" s="494"/>
      <c r="AE967" s="494"/>
      <c r="AF967" s="468"/>
    </row>
    <row r="968" customFormat="false" ht="12.75" hidden="false" customHeight="true" outlineLevel="0" collapsed="false">
      <c r="A968" s="396"/>
      <c r="B968" s="396"/>
      <c r="C968" s="396"/>
      <c r="D968" s="396"/>
      <c r="E968" s="396"/>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591"/>
      <c r="AC968" s="592"/>
      <c r="AD968" s="593"/>
      <c r="AE968" s="593"/>
      <c r="AF968" s="593"/>
    </row>
    <row r="969" customFormat="false" ht="12.75" hidden="false" customHeight="true" outlineLevel="0" collapsed="false">
      <c r="A969" s="577"/>
      <c r="B969" s="577"/>
      <c r="C969" s="578"/>
      <c r="D969" s="578"/>
      <c r="E969" s="578"/>
      <c r="F969" s="578"/>
      <c r="G969" s="578"/>
      <c r="H969" s="578"/>
      <c r="I969" s="578"/>
      <c r="J969" s="578"/>
      <c r="K969" s="578"/>
      <c r="L969" s="578"/>
      <c r="M969" s="577"/>
      <c r="N969" s="577"/>
      <c r="O969" s="577"/>
      <c r="P969" s="577"/>
      <c r="Q969" s="577"/>
      <c r="R969" s="578"/>
      <c r="S969" s="578"/>
      <c r="T969" s="578"/>
      <c r="U969" s="578"/>
      <c r="V969" s="578"/>
      <c r="W969" s="578"/>
      <c r="X969" s="578"/>
      <c r="Y969" s="578"/>
      <c r="Z969" s="578"/>
      <c r="AA969" s="578"/>
      <c r="AB969" s="578"/>
      <c r="AC969" s="578"/>
      <c r="AD969" s="578"/>
      <c r="AE969" s="578"/>
      <c r="AF969" s="578"/>
    </row>
    <row r="970" customFormat="false" ht="12.75" hidden="false" customHeight="true" outlineLevel="0" collapsed="false">
      <c r="A970" s="458"/>
      <c r="B970" s="458"/>
      <c r="C970" s="459"/>
      <c r="D970" s="459"/>
      <c r="E970" s="459"/>
      <c r="F970" s="459"/>
      <c r="G970" s="459"/>
      <c r="H970" s="459"/>
      <c r="I970" s="459"/>
      <c r="J970" s="459"/>
      <c r="K970" s="459"/>
      <c r="L970" s="459"/>
      <c r="M970" s="458"/>
      <c r="N970" s="458"/>
      <c r="O970" s="458"/>
      <c r="P970" s="458"/>
      <c r="Q970" s="458"/>
      <c r="R970" s="459"/>
      <c r="S970" s="459"/>
      <c r="T970" s="459"/>
      <c r="U970" s="459"/>
      <c r="V970" s="459"/>
      <c r="W970" s="459"/>
      <c r="X970" s="459"/>
      <c r="Y970" s="459"/>
      <c r="Z970" s="459"/>
      <c r="AA970" s="459"/>
      <c r="AB970" s="459"/>
      <c r="AC970" s="459"/>
      <c r="AD970" s="459"/>
      <c r="AE970" s="459"/>
      <c r="AF970" s="459"/>
    </row>
    <row r="971" customFormat="false" ht="15.75" hidden="false" customHeight="true" outlineLevel="0" collapsed="false">
      <c r="A971" s="579"/>
      <c r="B971" s="579"/>
      <c r="C971" s="579"/>
      <c r="D971" s="580"/>
      <c r="E971" s="580"/>
      <c r="F971" s="580"/>
      <c r="G971" s="580"/>
      <c r="H971" s="580"/>
      <c r="I971" s="580"/>
      <c r="J971" s="580"/>
      <c r="K971" s="580"/>
      <c r="L971" s="580"/>
      <c r="M971" s="458"/>
      <c r="N971" s="458"/>
      <c r="O971" s="458"/>
      <c r="P971" s="459"/>
      <c r="Q971" s="458"/>
      <c r="R971" s="459"/>
      <c r="S971" s="459"/>
      <c r="T971" s="459"/>
      <c r="U971" s="459"/>
      <c r="V971" s="459"/>
      <c r="W971" s="459"/>
      <c r="X971" s="459"/>
      <c r="Y971" s="459"/>
      <c r="Z971" s="459"/>
      <c r="AA971" s="459"/>
      <c r="AB971" s="459"/>
      <c r="AC971" s="459"/>
      <c r="AD971" s="459"/>
      <c r="AE971" s="459"/>
      <c r="AF971" s="459"/>
    </row>
    <row r="972" customFormat="false" ht="15.75" hidden="false" customHeight="true" outlineLevel="0" collapsed="false">
      <c r="A972" s="581"/>
      <c r="B972" s="581"/>
      <c r="C972" s="581"/>
      <c r="D972" s="581"/>
      <c r="E972" s="581"/>
      <c r="F972" s="581"/>
      <c r="G972" s="581"/>
      <c r="H972" s="581"/>
      <c r="I972" s="581"/>
      <c r="J972" s="581"/>
      <c r="K972" s="581"/>
      <c r="L972" s="581"/>
      <c r="M972" s="582"/>
      <c r="N972" s="582"/>
      <c r="O972" s="583"/>
      <c r="P972" s="583"/>
      <c r="Q972" s="583"/>
      <c r="R972" s="583"/>
      <c r="S972" s="584"/>
      <c r="T972" s="584"/>
      <c r="U972" s="584"/>
      <c r="V972" s="584"/>
      <c r="W972" s="582"/>
      <c r="X972" s="582"/>
      <c r="Y972" s="582"/>
      <c r="Z972" s="582"/>
      <c r="AA972" s="582"/>
      <c r="AB972" s="582"/>
      <c r="AC972" s="582"/>
      <c r="AD972" s="582"/>
      <c r="AE972" s="582"/>
      <c r="AF972" s="459"/>
    </row>
    <row r="973" customFormat="false" ht="15.75" hidden="false" customHeight="true" outlineLevel="0" collapsed="false">
      <c r="A973" s="581"/>
      <c r="B973" s="581"/>
      <c r="C973" s="581"/>
      <c r="D973" s="581"/>
      <c r="E973" s="581"/>
      <c r="F973" s="581"/>
      <c r="G973" s="581"/>
      <c r="H973" s="581"/>
      <c r="I973" s="581"/>
      <c r="J973" s="581"/>
      <c r="K973" s="581"/>
      <c r="L973" s="581"/>
      <c r="M973" s="582"/>
      <c r="N973" s="582"/>
      <c r="O973" s="583"/>
      <c r="P973" s="583"/>
      <c r="Q973" s="583"/>
      <c r="R973" s="583"/>
      <c r="S973" s="584"/>
      <c r="T973" s="584"/>
      <c r="U973" s="584"/>
      <c r="V973" s="584"/>
      <c r="W973" s="582"/>
      <c r="X973" s="582"/>
      <c r="Y973" s="582"/>
      <c r="Z973" s="582"/>
      <c r="AA973" s="582"/>
      <c r="AB973" s="582"/>
      <c r="AC973" s="582"/>
      <c r="AD973" s="582"/>
      <c r="AE973" s="582"/>
      <c r="AF973" s="459"/>
    </row>
    <row r="974" customFormat="false" ht="30" hidden="false" customHeight="true" outlineLevel="0" collapsed="false">
      <c r="A974" s="581"/>
      <c r="B974" s="581"/>
      <c r="C974" s="581"/>
      <c r="D974" s="581"/>
      <c r="E974" s="581"/>
      <c r="F974" s="581"/>
      <c r="G974" s="581"/>
      <c r="H974" s="581"/>
      <c r="I974" s="581"/>
      <c r="J974" s="581"/>
      <c r="K974" s="581"/>
      <c r="L974" s="581"/>
      <c r="M974" s="582"/>
      <c r="N974" s="582"/>
      <c r="O974" s="583"/>
      <c r="P974" s="583"/>
      <c r="Q974" s="583"/>
      <c r="R974" s="583"/>
      <c r="S974" s="584"/>
      <c r="T974" s="584"/>
      <c r="U974" s="584"/>
      <c r="V974" s="584"/>
      <c r="W974" s="582"/>
      <c r="X974" s="582"/>
      <c r="Y974" s="582"/>
      <c r="Z974" s="582"/>
      <c r="AA974" s="582"/>
      <c r="AB974" s="582"/>
      <c r="AC974" s="582"/>
      <c r="AD974" s="582"/>
      <c r="AE974" s="582"/>
      <c r="AF974" s="468"/>
    </row>
    <row r="975" customFormat="false" ht="30" hidden="false" customHeight="true" outlineLevel="0" collapsed="false">
      <c r="A975" s="581"/>
      <c r="B975" s="581"/>
      <c r="C975" s="581"/>
      <c r="D975" s="585"/>
      <c r="E975" s="585"/>
      <c r="F975" s="585"/>
      <c r="G975" s="585"/>
      <c r="H975" s="585"/>
      <c r="I975" s="585"/>
      <c r="J975" s="585"/>
      <c r="K975" s="585"/>
      <c r="L975" s="585"/>
      <c r="M975" s="582"/>
      <c r="N975" s="582"/>
      <c r="O975" s="586"/>
      <c r="P975" s="586"/>
      <c r="Q975" s="587"/>
      <c r="R975" s="587"/>
      <c r="S975" s="588"/>
      <c r="T975" s="588"/>
      <c r="U975" s="588"/>
      <c r="V975" s="588"/>
      <c r="W975" s="582"/>
      <c r="X975" s="582"/>
      <c r="Y975" s="589"/>
      <c r="Z975" s="589"/>
      <c r="AA975" s="589"/>
      <c r="AB975" s="589"/>
      <c r="AC975" s="589"/>
      <c r="AD975" s="589"/>
      <c r="AE975" s="589"/>
      <c r="AF975" s="468"/>
    </row>
    <row r="976" customFormat="false" ht="30" hidden="false" customHeight="true" outlineLevel="0" collapsed="false">
      <c r="A976" s="581"/>
      <c r="B976" s="581"/>
      <c r="C976" s="581"/>
      <c r="D976" s="585"/>
      <c r="E976" s="585"/>
      <c r="F976" s="585"/>
      <c r="G976" s="585"/>
      <c r="H976" s="585"/>
      <c r="I976" s="585"/>
      <c r="J976" s="585"/>
      <c r="K976" s="585"/>
      <c r="L976" s="585"/>
      <c r="M976" s="582"/>
      <c r="N976" s="582"/>
      <c r="O976" s="586"/>
      <c r="P976" s="586"/>
      <c r="Q976" s="587"/>
      <c r="R976" s="587"/>
      <c r="S976" s="588"/>
      <c r="T976" s="588"/>
      <c r="U976" s="588"/>
      <c r="V976" s="588"/>
      <c r="W976" s="582"/>
      <c r="X976" s="582"/>
      <c r="Y976" s="589"/>
      <c r="Z976" s="589"/>
      <c r="AA976" s="589"/>
      <c r="AB976" s="589"/>
      <c r="AC976" s="589"/>
      <c r="AD976" s="589"/>
      <c r="AE976" s="589"/>
      <c r="AF976" s="468"/>
    </row>
    <row r="977" customFormat="false" ht="30" hidden="false" customHeight="true" outlineLevel="0" collapsed="false">
      <c r="A977" s="581"/>
      <c r="B977" s="581"/>
      <c r="C977" s="581"/>
      <c r="D977" s="585"/>
      <c r="E977" s="585"/>
      <c r="F977" s="585"/>
      <c r="G977" s="585"/>
      <c r="H977" s="585"/>
      <c r="I977" s="585"/>
      <c r="J977" s="585"/>
      <c r="K977" s="585"/>
      <c r="L977" s="585"/>
      <c r="M977" s="582"/>
      <c r="N977" s="582"/>
      <c r="O977" s="586"/>
      <c r="P977" s="586"/>
      <c r="Q977" s="587"/>
      <c r="R977" s="587"/>
      <c r="S977" s="588"/>
      <c r="T977" s="588"/>
      <c r="U977" s="588"/>
      <c r="V977" s="588"/>
      <c r="W977" s="582"/>
      <c r="X977" s="582"/>
      <c r="Y977" s="589"/>
      <c r="Z977" s="589"/>
      <c r="AA977" s="589"/>
      <c r="AB977" s="589"/>
      <c r="AC977" s="589"/>
      <c r="AD977" s="589"/>
      <c r="AE977" s="589"/>
      <c r="AF977" s="468"/>
    </row>
    <row r="978" customFormat="false" ht="30" hidden="false" customHeight="true" outlineLevel="0" collapsed="false">
      <c r="A978" s="581"/>
      <c r="B978" s="581"/>
      <c r="C978" s="581"/>
      <c r="D978" s="585"/>
      <c r="E978" s="585"/>
      <c r="F978" s="585"/>
      <c r="G978" s="585"/>
      <c r="H978" s="585"/>
      <c r="I978" s="585"/>
      <c r="J978" s="585"/>
      <c r="K978" s="585"/>
      <c r="L978" s="585"/>
      <c r="M978" s="582"/>
      <c r="N978" s="582"/>
      <c r="O978" s="586"/>
      <c r="P978" s="586"/>
      <c r="Q978" s="587"/>
      <c r="R978" s="587"/>
      <c r="S978" s="588"/>
      <c r="T978" s="588"/>
      <c r="U978" s="588"/>
      <c r="V978" s="588"/>
      <c r="W978" s="582"/>
      <c r="X978" s="582"/>
      <c r="Y978" s="589"/>
      <c r="Z978" s="589"/>
      <c r="AA978" s="589"/>
      <c r="AB978" s="589"/>
      <c r="AC978" s="589"/>
      <c r="AD978" s="589"/>
      <c r="AE978" s="589"/>
      <c r="AF978" s="468"/>
    </row>
    <row r="979" customFormat="false" ht="30" hidden="false" customHeight="true" outlineLevel="0" collapsed="false">
      <c r="A979" s="581"/>
      <c r="B979" s="581"/>
      <c r="C979" s="581"/>
      <c r="D979" s="585"/>
      <c r="E979" s="585"/>
      <c r="F979" s="585"/>
      <c r="G979" s="585"/>
      <c r="H979" s="585"/>
      <c r="I979" s="585"/>
      <c r="J979" s="585"/>
      <c r="K979" s="585"/>
      <c r="L979" s="585"/>
      <c r="M979" s="582"/>
      <c r="N979" s="582"/>
      <c r="O979" s="586"/>
      <c r="P979" s="586"/>
      <c r="Q979" s="587"/>
      <c r="R979" s="587"/>
      <c r="S979" s="588"/>
      <c r="T979" s="588"/>
      <c r="U979" s="588"/>
      <c r="V979" s="588"/>
      <c r="W979" s="582"/>
      <c r="X979" s="582"/>
      <c r="Y979" s="589"/>
      <c r="Z979" s="589"/>
      <c r="AA979" s="589"/>
      <c r="AB979" s="589"/>
      <c r="AC979" s="589"/>
      <c r="AD979" s="589"/>
      <c r="AE979" s="589"/>
      <c r="AF979" s="468"/>
    </row>
    <row r="980" customFormat="false" ht="30" hidden="false" customHeight="true" outlineLevel="0" collapsed="false">
      <c r="A980" s="581"/>
      <c r="B980" s="581"/>
      <c r="C980" s="581"/>
      <c r="D980" s="585"/>
      <c r="E980" s="585"/>
      <c r="F980" s="585"/>
      <c r="G980" s="585"/>
      <c r="H980" s="585"/>
      <c r="I980" s="585"/>
      <c r="J980" s="585"/>
      <c r="K980" s="585"/>
      <c r="L980" s="585"/>
      <c r="M980" s="582"/>
      <c r="N980" s="582"/>
      <c r="O980" s="586"/>
      <c r="P980" s="586"/>
      <c r="Q980" s="587"/>
      <c r="R980" s="587"/>
      <c r="S980" s="588"/>
      <c r="T980" s="588"/>
      <c r="U980" s="588"/>
      <c r="V980" s="588"/>
      <c r="W980" s="582"/>
      <c r="X980" s="582"/>
      <c r="Y980" s="589"/>
      <c r="Z980" s="589"/>
      <c r="AA980" s="589"/>
      <c r="AB980" s="589"/>
      <c r="AC980" s="589"/>
      <c r="AD980" s="589"/>
      <c r="AE980" s="589"/>
      <c r="AF980" s="468"/>
    </row>
    <row r="981" customFormat="false" ht="30" hidden="false" customHeight="true" outlineLevel="0" collapsed="false">
      <c r="A981" s="581"/>
      <c r="B981" s="581"/>
      <c r="C981" s="581"/>
      <c r="D981" s="585"/>
      <c r="E981" s="585"/>
      <c r="F981" s="585"/>
      <c r="G981" s="585"/>
      <c r="H981" s="585"/>
      <c r="I981" s="585"/>
      <c r="J981" s="585"/>
      <c r="K981" s="585"/>
      <c r="L981" s="585"/>
      <c r="M981" s="582"/>
      <c r="N981" s="582"/>
      <c r="O981" s="590"/>
      <c r="P981" s="590"/>
      <c r="Q981" s="590"/>
      <c r="R981" s="590"/>
      <c r="S981" s="590"/>
      <c r="T981" s="590"/>
      <c r="U981" s="590"/>
      <c r="V981" s="590"/>
      <c r="W981" s="582"/>
      <c r="X981" s="582"/>
      <c r="Y981" s="589"/>
      <c r="Z981" s="589"/>
      <c r="AA981" s="589"/>
      <c r="AB981" s="589"/>
      <c r="AC981" s="589"/>
      <c r="AD981" s="589"/>
      <c r="AE981" s="589"/>
      <c r="AF981" s="468"/>
    </row>
    <row r="982" customFormat="false" ht="30" hidden="false" customHeight="true" outlineLevel="0" collapsed="false">
      <c r="A982" s="581"/>
      <c r="B982" s="581"/>
      <c r="C982" s="581"/>
      <c r="D982" s="585"/>
      <c r="E982" s="585"/>
      <c r="F982" s="585"/>
      <c r="G982" s="585"/>
      <c r="H982" s="585"/>
      <c r="I982" s="585"/>
      <c r="J982" s="585"/>
      <c r="K982" s="585"/>
      <c r="L982" s="585"/>
      <c r="M982" s="582"/>
      <c r="N982" s="582"/>
      <c r="O982" s="586"/>
      <c r="P982" s="586"/>
      <c r="Q982" s="587"/>
      <c r="R982" s="587"/>
      <c r="S982" s="588"/>
      <c r="T982" s="588"/>
      <c r="U982" s="588"/>
      <c r="V982" s="588"/>
      <c r="W982" s="582"/>
      <c r="X982" s="582"/>
      <c r="Y982" s="589"/>
      <c r="Z982" s="589"/>
      <c r="AA982" s="589"/>
      <c r="AB982" s="589"/>
      <c r="AC982" s="589"/>
      <c r="AD982" s="589"/>
      <c r="AE982" s="589"/>
      <c r="AF982" s="468"/>
    </row>
    <row r="983" customFormat="false" ht="30" hidden="false" customHeight="true" outlineLevel="0" collapsed="false">
      <c r="A983" s="581"/>
      <c r="B983" s="581"/>
      <c r="C983" s="581"/>
      <c r="D983" s="585"/>
      <c r="E983" s="585"/>
      <c r="F983" s="585"/>
      <c r="G983" s="585"/>
      <c r="H983" s="585"/>
      <c r="I983" s="585"/>
      <c r="J983" s="585"/>
      <c r="K983" s="585"/>
      <c r="L983" s="585"/>
      <c r="M983" s="582"/>
      <c r="N983" s="582"/>
      <c r="O983" s="586"/>
      <c r="P983" s="586"/>
      <c r="Q983" s="587"/>
      <c r="R983" s="587"/>
      <c r="S983" s="588"/>
      <c r="T983" s="588"/>
      <c r="U983" s="588"/>
      <c r="V983" s="588"/>
      <c r="W983" s="582"/>
      <c r="X983" s="582"/>
      <c r="Y983" s="589"/>
      <c r="Z983" s="589"/>
      <c r="AA983" s="589"/>
      <c r="AB983" s="589"/>
      <c r="AC983" s="589"/>
      <c r="AD983" s="589"/>
      <c r="AE983" s="589"/>
      <c r="AF983" s="468"/>
    </row>
    <row r="984" customFormat="false" ht="30" hidden="false" customHeight="true" outlineLevel="0" collapsed="false">
      <c r="A984" s="581"/>
      <c r="B984" s="581"/>
      <c r="C984" s="581"/>
      <c r="D984" s="585"/>
      <c r="E984" s="585"/>
      <c r="F984" s="585"/>
      <c r="G984" s="585"/>
      <c r="H984" s="585"/>
      <c r="I984" s="585"/>
      <c r="J984" s="585"/>
      <c r="K984" s="585"/>
      <c r="L984" s="585"/>
      <c r="M984" s="582"/>
      <c r="N984" s="582"/>
      <c r="O984" s="590"/>
      <c r="P984" s="590"/>
      <c r="Q984" s="590"/>
      <c r="R984" s="590"/>
      <c r="S984" s="590"/>
      <c r="T984" s="590"/>
      <c r="U984" s="590"/>
      <c r="V984" s="590"/>
      <c r="W984" s="582"/>
      <c r="X984" s="582"/>
      <c r="Y984" s="589"/>
      <c r="Z984" s="589"/>
      <c r="AA984" s="589"/>
      <c r="AB984" s="589"/>
      <c r="AC984" s="589"/>
      <c r="AD984" s="589"/>
      <c r="AE984" s="589"/>
      <c r="AF984" s="468"/>
    </row>
    <row r="985" customFormat="false" ht="30" hidden="false" customHeight="true" outlineLevel="0" collapsed="false">
      <c r="A985" s="581"/>
      <c r="B985" s="581"/>
      <c r="C985" s="581"/>
      <c r="D985" s="585"/>
      <c r="E985" s="585"/>
      <c r="F985" s="585"/>
      <c r="G985" s="585"/>
      <c r="H985" s="585"/>
      <c r="I985" s="585"/>
      <c r="J985" s="585"/>
      <c r="K985" s="585"/>
      <c r="L985" s="585"/>
      <c r="M985" s="582"/>
      <c r="N985" s="582"/>
      <c r="O985" s="586"/>
      <c r="P985" s="586"/>
      <c r="Q985" s="587"/>
      <c r="R985" s="587"/>
      <c r="S985" s="588"/>
      <c r="T985" s="588"/>
      <c r="U985" s="588"/>
      <c r="V985" s="588"/>
      <c r="W985" s="582"/>
      <c r="X985" s="582"/>
      <c r="Y985" s="589"/>
      <c r="Z985" s="589"/>
      <c r="AA985" s="589"/>
      <c r="AB985" s="589"/>
      <c r="AC985" s="589"/>
      <c r="AD985" s="589"/>
      <c r="AE985" s="589"/>
      <c r="AF985" s="468"/>
    </row>
    <row r="986" customFormat="false" ht="30" hidden="false" customHeight="true" outlineLevel="0" collapsed="false">
      <c r="A986" s="581"/>
      <c r="B986" s="581"/>
      <c r="C986" s="581"/>
      <c r="D986" s="585"/>
      <c r="E986" s="585"/>
      <c r="F986" s="585"/>
      <c r="G986" s="585"/>
      <c r="H986" s="585"/>
      <c r="I986" s="585"/>
      <c r="J986" s="585"/>
      <c r="K986" s="585"/>
      <c r="L986" s="585"/>
      <c r="M986" s="582"/>
      <c r="N986" s="582"/>
      <c r="O986" s="586"/>
      <c r="P986" s="586"/>
      <c r="Q986" s="587"/>
      <c r="R986" s="587"/>
      <c r="S986" s="588"/>
      <c r="T986" s="588"/>
      <c r="U986" s="588"/>
      <c r="V986" s="588"/>
      <c r="W986" s="582"/>
      <c r="X986" s="582"/>
      <c r="Y986" s="589"/>
      <c r="Z986" s="589"/>
      <c r="AA986" s="589"/>
      <c r="AB986" s="589"/>
      <c r="AC986" s="589"/>
      <c r="AD986" s="589"/>
      <c r="AE986" s="589"/>
      <c r="AF986" s="468"/>
    </row>
    <row r="987" customFormat="false" ht="30" hidden="false" customHeight="true" outlineLevel="0" collapsed="false">
      <c r="A987" s="581"/>
      <c r="B987" s="581"/>
      <c r="C987" s="581"/>
      <c r="D987" s="585"/>
      <c r="E987" s="585"/>
      <c r="F987" s="585"/>
      <c r="G987" s="585"/>
      <c r="H987" s="585"/>
      <c r="I987" s="585"/>
      <c r="J987" s="585"/>
      <c r="K987" s="585"/>
      <c r="L987" s="585"/>
      <c r="M987" s="582"/>
      <c r="N987" s="582"/>
      <c r="O987" s="586"/>
      <c r="P987" s="586"/>
      <c r="Q987" s="587"/>
      <c r="R987" s="587"/>
      <c r="S987" s="588"/>
      <c r="T987" s="588"/>
      <c r="U987" s="588"/>
      <c r="V987" s="588"/>
      <c r="W987" s="582"/>
      <c r="X987" s="582"/>
      <c r="Y987" s="589"/>
      <c r="Z987" s="589"/>
      <c r="AA987" s="589"/>
      <c r="AB987" s="589"/>
      <c r="AC987" s="589"/>
      <c r="AD987" s="589"/>
      <c r="AE987" s="589"/>
      <c r="AF987" s="468"/>
    </row>
    <row r="988" customFormat="false" ht="30" hidden="false" customHeight="true" outlineLevel="0" collapsed="false">
      <c r="A988" s="581"/>
      <c r="B988" s="581"/>
      <c r="C988" s="581"/>
      <c r="D988" s="585"/>
      <c r="E988" s="585"/>
      <c r="F988" s="585"/>
      <c r="G988" s="585"/>
      <c r="H988" s="585"/>
      <c r="I988" s="585"/>
      <c r="J988" s="585"/>
      <c r="K988" s="585"/>
      <c r="L988" s="585"/>
      <c r="M988" s="582"/>
      <c r="N988" s="582"/>
      <c r="O988" s="586"/>
      <c r="P988" s="586"/>
      <c r="Q988" s="587"/>
      <c r="R988" s="587"/>
      <c r="S988" s="588"/>
      <c r="T988" s="588"/>
      <c r="U988" s="588"/>
      <c r="V988" s="588"/>
      <c r="W988" s="582"/>
      <c r="X988" s="582"/>
      <c r="Y988" s="589"/>
      <c r="Z988" s="589"/>
      <c r="AA988" s="589"/>
      <c r="AB988" s="589"/>
      <c r="AC988" s="589"/>
      <c r="AD988" s="589"/>
      <c r="AE988" s="589"/>
      <c r="AF988" s="468"/>
    </row>
    <row r="989" customFormat="false" ht="30" hidden="false" customHeight="true" outlineLevel="0" collapsed="false">
      <c r="A989" s="581"/>
      <c r="B989" s="581"/>
      <c r="C989" s="581"/>
      <c r="D989" s="585"/>
      <c r="E989" s="585"/>
      <c r="F989" s="585"/>
      <c r="G989" s="585"/>
      <c r="H989" s="585"/>
      <c r="I989" s="585"/>
      <c r="J989" s="585"/>
      <c r="K989" s="585"/>
      <c r="L989" s="585"/>
      <c r="M989" s="582"/>
      <c r="N989" s="582"/>
      <c r="O989" s="586"/>
      <c r="P989" s="586"/>
      <c r="Q989" s="587"/>
      <c r="R989" s="587"/>
      <c r="S989" s="588"/>
      <c r="T989" s="588"/>
      <c r="U989" s="588"/>
      <c r="V989" s="588"/>
      <c r="W989" s="582"/>
      <c r="X989" s="582"/>
      <c r="Y989" s="589"/>
      <c r="Z989" s="589"/>
      <c r="AA989" s="589"/>
      <c r="AB989" s="589"/>
      <c r="AC989" s="589"/>
      <c r="AD989" s="589"/>
      <c r="AE989" s="589"/>
      <c r="AF989" s="468"/>
    </row>
    <row r="990" customFormat="false" ht="30" hidden="false" customHeight="true" outlineLevel="0" collapsed="false">
      <c r="A990" s="581"/>
      <c r="B990" s="581"/>
      <c r="C990" s="581"/>
      <c r="D990" s="585"/>
      <c r="E990" s="585"/>
      <c r="F990" s="585"/>
      <c r="G990" s="585"/>
      <c r="H990" s="585"/>
      <c r="I990" s="585"/>
      <c r="J990" s="585"/>
      <c r="K990" s="585"/>
      <c r="L990" s="585"/>
      <c r="M990" s="582"/>
      <c r="N990" s="582"/>
      <c r="O990" s="586"/>
      <c r="P990" s="586"/>
      <c r="Q990" s="587"/>
      <c r="R990" s="587"/>
      <c r="S990" s="588"/>
      <c r="T990" s="588"/>
      <c r="U990" s="588"/>
      <c r="V990" s="588"/>
      <c r="W990" s="582"/>
      <c r="X990" s="582"/>
      <c r="Y990" s="589"/>
      <c r="Z990" s="589"/>
      <c r="AA990" s="589"/>
      <c r="AB990" s="589"/>
      <c r="AC990" s="589"/>
      <c r="AD990" s="589"/>
      <c r="AE990" s="589"/>
      <c r="AF990" s="468"/>
    </row>
    <row r="991" customFormat="false" ht="30" hidden="false" customHeight="true" outlineLevel="0" collapsed="false">
      <c r="A991" s="581"/>
      <c r="B991" s="581"/>
      <c r="C991" s="581"/>
      <c r="D991" s="585"/>
      <c r="E991" s="585"/>
      <c r="F991" s="585"/>
      <c r="G991" s="585"/>
      <c r="H991" s="585"/>
      <c r="I991" s="585"/>
      <c r="J991" s="585"/>
      <c r="K991" s="585"/>
      <c r="L991" s="585"/>
      <c r="M991" s="582"/>
      <c r="N991" s="582"/>
      <c r="O991" s="586"/>
      <c r="P991" s="586"/>
      <c r="Q991" s="587"/>
      <c r="R991" s="587"/>
      <c r="S991" s="588"/>
      <c r="T991" s="588"/>
      <c r="U991" s="588"/>
      <c r="V991" s="588"/>
      <c r="W991" s="582"/>
      <c r="X991" s="582"/>
      <c r="Y991" s="589"/>
      <c r="Z991" s="589"/>
      <c r="AA991" s="589"/>
      <c r="AB991" s="589"/>
      <c r="AC991" s="589"/>
      <c r="AD991" s="589"/>
      <c r="AE991" s="589"/>
      <c r="AF991" s="468"/>
    </row>
    <row r="992" customFormat="false" ht="30" hidden="false" customHeight="true" outlineLevel="0" collapsed="false">
      <c r="A992" s="581"/>
      <c r="B992" s="581"/>
      <c r="C992" s="581"/>
      <c r="D992" s="585"/>
      <c r="E992" s="585"/>
      <c r="F992" s="585"/>
      <c r="G992" s="585"/>
      <c r="H992" s="585"/>
      <c r="I992" s="585"/>
      <c r="J992" s="585"/>
      <c r="K992" s="585"/>
      <c r="L992" s="585"/>
      <c r="M992" s="582"/>
      <c r="N992" s="582"/>
      <c r="O992" s="590"/>
      <c r="P992" s="590"/>
      <c r="Q992" s="590"/>
      <c r="R992" s="590"/>
      <c r="S992" s="590"/>
      <c r="T992" s="590"/>
      <c r="U992" s="590"/>
      <c r="V992" s="590"/>
      <c r="W992" s="582"/>
      <c r="X992" s="582"/>
      <c r="Y992" s="589"/>
      <c r="Z992" s="589"/>
      <c r="AA992" s="589"/>
      <c r="AB992" s="589"/>
      <c r="AC992" s="589"/>
      <c r="AD992" s="589"/>
      <c r="AE992" s="589"/>
      <c r="AF992" s="468"/>
    </row>
    <row r="993" customFormat="false" ht="30" hidden="false" customHeight="true" outlineLevel="0" collapsed="false">
      <c r="A993" s="581"/>
      <c r="B993" s="581"/>
      <c r="C993" s="581"/>
      <c r="D993" s="585"/>
      <c r="E993" s="585"/>
      <c r="F993" s="585"/>
      <c r="G993" s="585"/>
      <c r="H993" s="585"/>
      <c r="I993" s="585"/>
      <c r="J993" s="585"/>
      <c r="K993" s="585"/>
      <c r="L993" s="585"/>
      <c r="M993" s="582"/>
      <c r="N993" s="582"/>
      <c r="O993" s="586"/>
      <c r="P993" s="586"/>
      <c r="Q993" s="587"/>
      <c r="R993" s="587"/>
      <c r="S993" s="588"/>
      <c r="T993" s="588"/>
      <c r="U993" s="588"/>
      <c r="V993" s="588"/>
      <c r="W993" s="582"/>
      <c r="X993" s="582"/>
      <c r="Y993" s="589"/>
      <c r="Z993" s="589"/>
      <c r="AA993" s="589"/>
      <c r="AB993" s="589"/>
      <c r="AC993" s="589"/>
      <c r="AD993" s="589"/>
      <c r="AE993" s="589"/>
      <c r="AF993" s="468"/>
    </row>
    <row r="994" customFormat="false" ht="12.75" hidden="false" customHeight="true" outlineLevel="0" collapsed="false">
      <c r="A994" s="494"/>
      <c r="B994" s="494"/>
      <c r="C994" s="494"/>
      <c r="D994" s="494"/>
      <c r="E994" s="494"/>
      <c r="F994" s="494"/>
      <c r="G994" s="494"/>
      <c r="H994" s="494"/>
      <c r="I994" s="494"/>
      <c r="J994" s="494"/>
      <c r="K994" s="494"/>
      <c r="L994" s="494"/>
      <c r="M994" s="494"/>
      <c r="N994" s="494"/>
      <c r="O994" s="494"/>
      <c r="P994" s="494"/>
      <c r="Q994" s="494"/>
      <c r="R994" s="494"/>
      <c r="S994" s="494"/>
      <c r="T994" s="494"/>
      <c r="U994" s="494"/>
      <c r="V994" s="494"/>
      <c r="W994" s="494"/>
      <c r="X994" s="494"/>
      <c r="Y994" s="494"/>
      <c r="Z994" s="494"/>
      <c r="AA994" s="494"/>
      <c r="AB994" s="494"/>
      <c r="AC994" s="494"/>
      <c r="AD994" s="494"/>
      <c r="AE994" s="494"/>
      <c r="AF994" s="468"/>
    </row>
    <row r="995" customFormat="false" ht="12.75" hidden="false" customHeight="true" outlineLevel="0" collapsed="false">
      <c r="A995" s="396"/>
      <c r="B995" s="396"/>
      <c r="C995" s="396"/>
      <c r="D995" s="396"/>
      <c r="E995" s="396"/>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591"/>
      <c r="AC995" s="592"/>
      <c r="AD995" s="593"/>
      <c r="AE995" s="593"/>
      <c r="AF995" s="593"/>
    </row>
    <row r="996" customFormat="false" ht="12.75" hidden="false" customHeight="true" outlineLevel="0" collapsed="false">
      <c r="A996" s="577"/>
      <c r="B996" s="577"/>
      <c r="C996" s="578"/>
      <c r="D996" s="578"/>
      <c r="E996" s="578"/>
      <c r="F996" s="578"/>
      <c r="G996" s="578"/>
      <c r="H996" s="578"/>
      <c r="I996" s="578"/>
      <c r="J996" s="578"/>
      <c r="K996" s="578"/>
      <c r="L996" s="578"/>
      <c r="M996" s="577"/>
      <c r="N996" s="577"/>
      <c r="O996" s="577"/>
      <c r="P996" s="577"/>
      <c r="Q996" s="577"/>
      <c r="R996" s="578"/>
      <c r="S996" s="578"/>
      <c r="T996" s="578"/>
      <c r="U996" s="578"/>
      <c r="V996" s="578"/>
      <c r="W996" s="578"/>
      <c r="X996" s="578"/>
      <c r="Y996" s="578"/>
      <c r="Z996" s="578"/>
      <c r="AA996" s="578"/>
      <c r="AB996" s="578"/>
      <c r="AC996" s="578"/>
      <c r="AD996" s="578"/>
      <c r="AE996" s="578"/>
      <c r="AF996" s="578"/>
    </row>
    <row r="997" customFormat="false" ht="12.75" hidden="false" customHeight="true" outlineLevel="0" collapsed="false">
      <c r="A997" s="458"/>
      <c r="B997" s="458"/>
      <c r="C997" s="459"/>
      <c r="D997" s="459"/>
      <c r="E997" s="459"/>
      <c r="F997" s="459"/>
      <c r="G997" s="459"/>
      <c r="H997" s="459"/>
      <c r="I997" s="459"/>
      <c r="J997" s="459"/>
      <c r="K997" s="459"/>
      <c r="L997" s="459"/>
      <c r="M997" s="458"/>
      <c r="N997" s="458"/>
      <c r="O997" s="458"/>
      <c r="P997" s="458"/>
      <c r="Q997" s="458"/>
      <c r="R997" s="459"/>
      <c r="S997" s="459"/>
      <c r="T997" s="459"/>
      <c r="U997" s="459"/>
      <c r="V997" s="459"/>
      <c r="W997" s="459"/>
      <c r="X997" s="459"/>
      <c r="Y997" s="459"/>
      <c r="Z997" s="459"/>
      <c r="AA997" s="459"/>
      <c r="AB997" s="459"/>
      <c r="AC997" s="459"/>
      <c r="AD997" s="459"/>
      <c r="AE997" s="459"/>
      <c r="AF997" s="459"/>
    </row>
    <row r="998" customFormat="false" ht="15.75" hidden="false" customHeight="true" outlineLevel="0" collapsed="false">
      <c r="A998" s="579"/>
      <c r="B998" s="579"/>
      <c r="C998" s="579"/>
      <c r="D998" s="580"/>
      <c r="E998" s="580"/>
      <c r="F998" s="580"/>
      <c r="G998" s="580"/>
      <c r="H998" s="580"/>
      <c r="I998" s="580"/>
      <c r="J998" s="580"/>
      <c r="K998" s="580"/>
      <c r="L998" s="580"/>
      <c r="M998" s="458"/>
      <c r="N998" s="458"/>
      <c r="O998" s="458"/>
      <c r="P998" s="459"/>
      <c r="Q998" s="458"/>
      <c r="R998" s="459"/>
      <c r="S998" s="459"/>
      <c r="T998" s="459"/>
      <c r="U998" s="459"/>
      <c r="V998" s="459"/>
      <c r="W998" s="459"/>
      <c r="X998" s="459"/>
      <c r="Y998" s="459"/>
      <c r="Z998" s="459"/>
      <c r="AA998" s="459"/>
      <c r="AB998" s="459"/>
      <c r="AC998" s="459"/>
      <c r="AD998" s="459"/>
      <c r="AE998" s="459"/>
      <c r="AF998" s="459"/>
    </row>
    <row r="999" customFormat="false" ht="15.75" hidden="false" customHeight="true" outlineLevel="0" collapsed="false">
      <c r="A999" s="581"/>
      <c r="B999" s="581"/>
      <c r="C999" s="581"/>
      <c r="D999" s="581"/>
      <c r="E999" s="581"/>
      <c r="F999" s="581"/>
      <c r="G999" s="581"/>
      <c r="H999" s="581"/>
      <c r="I999" s="581"/>
      <c r="J999" s="581"/>
      <c r="K999" s="581"/>
      <c r="L999" s="581"/>
      <c r="M999" s="582"/>
      <c r="N999" s="582"/>
      <c r="O999" s="583"/>
      <c r="P999" s="583"/>
      <c r="Q999" s="583"/>
      <c r="R999" s="583"/>
      <c r="S999" s="584"/>
      <c r="T999" s="584"/>
      <c r="U999" s="584"/>
      <c r="V999" s="584"/>
      <c r="W999" s="582"/>
      <c r="X999" s="582"/>
      <c r="Y999" s="582"/>
      <c r="Z999" s="582"/>
      <c r="AA999" s="582"/>
      <c r="AB999" s="582"/>
      <c r="AC999" s="582"/>
      <c r="AD999" s="582"/>
      <c r="AE999" s="582"/>
      <c r="AF999" s="459"/>
    </row>
    <row r="1000" customFormat="false" ht="15.75" hidden="false" customHeight="true" outlineLevel="0" collapsed="false">
      <c r="A1000" s="581"/>
      <c r="B1000" s="581"/>
      <c r="C1000" s="581"/>
      <c r="D1000" s="581"/>
      <c r="E1000" s="581"/>
      <c r="F1000" s="581"/>
      <c r="G1000" s="581"/>
      <c r="H1000" s="581"/>
      <c r="I1000" s="581"/>
      <c r="J1000" s="581"/>
      <c r="K1000" s="581"/>
      <c r="L1000" s="581"/>
      <c r="M1000" s="582"/>
      <c r="N1000" s="582"/>
      <c r="O1000" s="583"/>
      <c r="P1000" s="583"/>
      <c r="Q1000" s="583"/>
      <c r="R1000" s="583"/>
      <c r="S1000" s="584"/>
      <c r="T1000" s="584"/>
      <c r="U1000" s="584"/>
      <c r="V1000" s="584"/>
      <c r="W1000" s="582"/>
      <c r="X1000" s="582"/>
      <c r="Y1000" s="582"/>
      <c r="Z1000" s="582"/>
      <c r="AA1000" s="582"/>
      <c r="AB1000" s="582"/>
      <c r="AC1000" s="582"/>
      <c r="AD1000" s="582"/>
      <c r="AE1000" s="582"/>
      <c r="AF1000" s="459"/>
    </row>
    <row r="1001" customFormat="false" ht="30" hidden="false" customHeight="true" outlineLevel="0" collapsed="false">
      <c r="A1001" s="581"/>
      <c r="B1001" s="581"/>
      <c r="C1001" s="581"/>
      <c r="D1001" s="581"/>
      <c r="E1001" s="581"/>
      <c r="F1001" s="581"/>
      <c r="G1001" s="581"/>
      <c r="H1001" s="581"/>
      <c r="I1001" s="581"/>
      <c r="J1001" s="581"/>
      <c r="K1001" s="581"/>
      <c r="L1001" s="581"/>
      <c r="M1001" s="582"/>
      <c r="N1001" s="582"/>
      <c r="O1001" s="583"/>
      <c r="P1001" s="583"/>
      <c r="Q1001" s="583"/>
      <c r="R1001" s="583"/>
      <c r="S1001" s="584"/>
      <c r="T1001" s="584"/>
      <c r="U1001" s="584"/>
      <c r="V1001" s="584"/>
      <c r="W1001" s="582"/>
      <c r="X1001" s="582"/>
      <c r="Y1001" s="582"/>
      <c r="Z1001" s="582"/>
      <c r="AA1001" s="582"/>
      <c r="AB1001" s="582"/>
      <c r="AC1001" s="582"/>
      <c r="AD1001" s="582"/>
      <c r="AE1001" s="582"/>
      <c r="AF1001" s="468"/>
    </row>
    <row r="1002" customFormat="false" ht="30" hidden="false" customHeight="true" outlineLevel="0" collapsed="false">
      <c r="A1002" s="581"/>
      <c r="B1002" s="581"/>
      <c r="C1002" s="581"/>
      <c r="D1002" s="585"/>
      <c r="E1002" s="585"/>
      <c r="F1002" s="585"/>
      <c r="G1002" s="585"/>
      <c r="H1002" s="585"/>
      <c r="I1002" s="585"/>
      <c r="J1002" s="585"/>
      <c r="K1002" s="585"/>
      <c r="L1002" s="585"/>
      <c r="M1002" s="582"/>
      <c r="N1002" s="582"/>
      <c r="O1002" s="586"/>
      <c r="P1002" s="586"/>
      <c r="Q1002" s="587"/>
      <c r="R1002" s="587"/>
      <c r="S1002" s="588"/>
      <c r="T1002" s="588"/>
      <c r="U1002" s="588"/>
      <c r="V1002" s="588"/>
      <c r="W1002" s="582"/>
      <c r="X1002" s="582"/>
      <c r="Y1002" s="589"/>
      <c r="Z1002" s="589"/>
      <c r="AA1002" s="589"/>
      <c r="AB1002" s="589"/>
      <c r="AC1002" s="589"/>
      <c r="AD1002" s="589"/>
      <c r="AE1002" s="589"/>
      <c r="AF1002" s="468"/>
    </row>
    <row r="1003" customFormat="false" ht="30" hidden="false" customHeight="true" outlineLevel="0" collapsed="false">
      <c r="A1003" s="581"/>
      <c r="B1003" s="581"/>
      <c r="C1003" s="581"/>
      <c r="D1003" s="585"/>
      <c r="E1003" s="585"/>
      <c r="F1003" s="585"/>
      <c r="G1003" s="585"/>
      <c r="H1003" s="585"/>
      <c r="I1003" s="585"/>
      <c r="J1003" s="585"/>
      <c r="K1003" s="585"/>
      <c r="L1003" s="585"/>
      <c r="M1003" s="582"/>
      <c r="N1003" s="582"/>
      <c r="O1003" s="586"/>
      <c r="P1003" s="586"/>
      <c r="Q1003" s="587"/>
      <c r="R1003" s="587"/>
      <c r="S1003" s="588"/>
      <c r="T1003" s="588"/>
      <c r="U1003" s="588"/>
      <c r="V1003" s="588"/>
      <c r="W1003" s="582"/>
      <c r="X1003" s="582"/>
      <c r="Y1003" s="589"/>
      <c r="Z1003" s="589"/>
      <c r="AA1003" s="589"/>
      <c r="AB1003" s="589"/>
      <c r="AC1003" s="589"/>
      <c r="AD1003" s="589"/>
      <c r="AE1003" s="589"/>
      <c r="AF1003" s="468"/>
    </row>
    <row r="1004" customFormat="false" ht="30" hidden="false" customHeight="true" outlineLevel="0" collapsed="false">
      <c r="A1004" s="581"/>
      <c r="B1004" s="581"/>
      <c r="C1004" s="581"/>
      <c r="D1004" s="585"/>
      <c r="E1004" s="585"/>
      <c r="F1004" s="585"/>
      <c r="G1004" s="585"/>
      <c r="H1004" s="585"/>
      <c r="I1004" s="585"/>
      <c r="J1004" s="585"/>
      <c r="K1004" s="585"/>
      <c r="L1004" s="585"/>
      <c r="M1004" s="582"/>
      <c r="N1004" s="582"/>
      <c r="O1004" s="586"/>
      <c r="P1004" s="586"/>
      <c r="Q1004" s="587"/>
      <c r="R1004" s="587"/>
      <c r="S1004" s="588"/>
      <c r="T1004" s="588"/>
      <c r="U1004" s="588"/>
      <c r="V1004" s="588"/>
      <c r="W1004" s="582"/>
      <c r="X1004" s="582"/>
      <c r="Y1004" s="589"/>
      <c r="Z1004" s="589"/>
      <c r="AA1004" s="589"/>
      <c r="AB1004" s="589"/>
      <c r="AC1004" s="589"/>
      <c r="AD1004" s="589"/>
      <c r="AE1004" s="589"/>
      <c r="AF1004" s="468"/>
    </row>
    <row r="1005" customFormat="false" ht="30" hidden="false" customHeight="true" outlineLevel="0" collapsed="false">
      <c r="A1005" s="581"/>
      <c r="B1005" s="581"/>
      <c r="C1005" s="581"/>
      <c r="D1005" s="585"/>
      <c r="E1005" s="585"/>
      <c r="F1005" s="585"/>
      <c r="G1005" s="585"/>
      <c r="H1005" s="585"/>
      <c r="I1005" s="585"/>
      <c r="J1005" s="585"/>
      <c r="K1005" s="585"/>
      <c r="L1005" s="585"/>
      <c r="M1005" s="582"/>
      <c r="N1005" s="582"/>
      <c r="O1005" s="590"/>
      <c r="P1005" s="590"/>
      <c r="Q1005" s="590"/>
      <c r="R1005" s="590"/>
      <c r="S1005" s="590"/>
      <c r="T1005" s="590"/>
      <c r="U1005" s="590"/>
      <c r="V1005" s="590"/>
      <c r="W1005" s="582"/>
      <c r="X1005" s="582"/>
      <c r="Y1005" s="589"/>
      <c r="Z1005" s="589"/>
      <c r="AA1005" s="589"/>
      <c r="AB1005" s="589"/>
      <c r="AC1005" s="589"/>
      <c r="AD1005" s="589"/>
      <c r="AE1005" s="589"/>
      <c r="AF1005" s="468"/>
    </row>
    <row r="1006" customFormat="false" ht="30" hidden="false" customHeight="true" outlineLevel="0" collapsed="false">
      <c r="A1006" s="581"/>
      <c r="B1006" s="581"/>
      <c r="C1006" s="581"/>
      <c r="D1006" s="585"/>
      <c r="E1006" s="585"/>
      <c r="F1006" s="585"/>
      <c r="G1006" s="585"/>
      <c r="H1006" s="585"/>
      <c r="I1006" s="585"/>
      <c r="J1006" s="585"/>
      <c r="K1006" s="585"/>
      <c r="L1006" s="585"/>
      <c r="M1006" s="582"/>
      <c r="N1006" s="582"/>
      <c r="O1006" s="586"/>
      <c r="P1006" s="586"/>
      <c r="Q1006" s="587"/>
      <c r="R1006" s="587"/>
      <c r="S1006" s="588"/>
      <c r="T1006" s="588"/>
      <c r="U1006" s="588"/>
      <c r="V1006" s="588"/>
      <c r="W1006" s="582"/>
      <c r="X1006" s="582"/>
      <c r="Y1006" s="589"/>
      <c r="Z1006" s="589"/>
      <c r="AA1006" s="589"/>
      <c r="AB1006" s="589"/>
      <c r="AC1006" s="589"/>
      <c r="AD1006" s="589"/>
      <c r="AE1006" s="589"/>
      <c r="AF1006" s="468"/>
    </row>
    <row r="1007" customFormat="false" ht="30" hidden="false" customHeight="true" outlineLevel="0" collapsed="false">
      <c r="A1007" s="581"/>
      <c r="B1007" s="581"/>
      <c r="C1007" s="581"/>
      <c r="D1007" s="585"/>
      <c r="E1007" s="585"/>
      <c r="F1007" s="585"/>
      <c r="G1007" s="585"/>
      <c r="H1007" s="585"/>
      <c r="I1007" s="585"/>
      <c r="J1007" s="585"/>
      <c r="K1007" s="585"/>
      <c r="L1007" s="585"/>
      <c r="M1007" s="582"/>
      <c r="N1007" s="582"/>
      <c r="O1007" s="590"/>
      <c r="P1007" s="590"/>
      <c r="Q1007" s="590"/>
      <c r="R1007" s="590"/>
      <c r="S1007" s="590"/>
      <c r="T1007" s="590"/>
      <c r="U1007" s="590"/>
      <c r="V1007" s="590"/>
      <c r="W1007" s="582"/>
      <c r="X1007" s="582"/>
      <c r="Y1007" s="589"/>
      <c r="Z1007" s="589"/>
      <c r="AA1007" s="589"/>
      <c r="AB1007" s="589"/>
      <c r="AC1007" s="589"/>
      <c r="AD1007" s="589"/>
      <c r="AE1007" s="589"/>
      <c r="AF1007" s="468"/>
    </row>
    <row r="1008" customFormat="false" ht="30" hidden="false" customHeight="true" outlineLevel="0" collapsed="false">
      <c r="A1008" s="581"/>
      <c r="B1008" s="581"/>
      <c r="C1008" s="581"/>
      <c r="D1008" s="585"/>
      <c r="E1008" s="585"/>
      <c r="F1008" s="585"/>
      <c r="G1008" s="585"/>
      <c r="H1008" s="585"/>
      <c r="I1008" s="585"/>
      <c r="J1008" s="585"/>
      <c r="K1008" s="585"/>
      <c r="L1008" s="585"/>
      <c r="M1008" s="582"/>
      <c r="N1008" s="582"/>
      <c r="O1008" s="586"/>
      <c r="P1008" s="586"/>
      <c r="Q1008" s="587"/>
      <c r="R1008" s="587"/>
      <c r="S1008" s="588"/>
      <c r="T1008" s="588"/>
      <c r="U1008" s="588"/>
      <c r="V1008" s="588"/>
      <c r="W1008" s="582"/>
      <c r="X1008" s="582"/>
      <c r="Y1008" s="589"/>
      <c r="Z1008" s="589"/>
      <c r="AA1008" s="589"/>
      <c r="AB1008" s="589"/>
      <c r="AC1008" s="589"/>
      <c r="AD1008" s="589"/>
      <c r="AE1008" s="589"/>
      <c r="AF1008" s="468"/>
    </row>
    <row r="1009" customFormat="false" ht="30" hidden="false" customHeight="true" outlineLevel="0" collapsed="false">
      <c r="A1009" s="581"/>
      <c r="B1009" s="581"/>
      <c r="C1009" s="581"/>
      <c r="D1009" s="585"/>
      <c r="E1009" s="585"/>
      <c r="F1009" s="585"/>
      <c r="G1009" s="585"/>
      <c r="H1009" s="585"/>
      <c r="I1009" s="585"/>
      <c r="J1009" s="585"/>
      <c r="K1009" s="585"/>
      <c r="L1009" s="585"/>
      <c r="M1009" s="582"/>
      <c r="N1009" s="582"/>
      <c r="O1009" s="586"/>
      <c r="P1009" s="586"/>
      <c r="Q1009" s="587"/>
      <c r="R1009" s="587"/>
      <c r="S1009" s="588"/>
      <c r="T1009" s="588"/>
      <c r="U1009" s="588"/>
      <c r="V1009" s="588"/>
      <c r="W1009" s="582"/>
      <c r="X1009" s="582"/>
      <c r="Y1009" s="589"/>
      <c r="Z1009" s="589"/>
      <c r="AA1009" s="589"/>
      <c r="AB1009" s="589"/>
      <c r="AC1009" s="589"/>
      <c r="AD1009" s="589"/>
      <c r="AE1009" s="589"/>
      <c r="AF1009" s="468"/>
    </row>
    <row r="1010" customFormat="false" ht="30" hidden="false" customHeight="true" outlineLevel="0" collapsed="false">
      <c r="A1010" s="581"/>
      <c r="B1010" s="581"/>
      <c r="C1010" s="581"/>
      <c r="D1010" s="585"/>
      <c r="E1010" s="585"/>
      <c r="F1010" s="585"/>
      <c r="G1010" s="585"/>
      <c r="H1010" s="585"/>
      <c r="I1010" s="585"/>
      <c r="J1010" s="585"/>
      <c r="K1010" s="585"/>
      <c r="L1010" s="585"/>
      <c r="M1010" s="582"/>
      <c r="N1010" s="582"/>
      <c r="O1010" s="586"/>
      <c r="P1010" s="586"/>
      <c r="Q1010" s="587"/>
      <c r="R1010" s="587"/>
      <c r="S1010" s="588"/>
      <c r="T1010" s="588"/>
      <c r="U1010" s="588"/>
      <c r="V1010" s="588"/>
      <c r="W1010" s="582"/>
      <c r="X1010" s="582"/>
      <c r="Y1010" s="589"/>
      <c r="Z1010" s="589"/>
      <c r="AA1010" s="589"/>
      <c r="AB1010" s="589"/>
      <c r="AC1010" s="589"/>
      <c r="AD1010" s="589"/>
      <c r="AE1010" s="589"/>
      <c r="AF1010" s="468"/>
    </row>
    <row r="1011" customFormat="false" ht="30" hidden="false" customHeight="true" outlineLevel="0" collapsed="false">
      <c r="A1011" s="581"/>
      <c r="B1011" s="581"/>
      <c r="C1011" s="581"/>
      <c r="D1011" s="585"/>
      <c r="E1011" s="585"/>
      <c r="F1011" s="585"/>
      <c r="G1011" s="585"/>
      <c r="H1011" s="585"/>
      <c r="I1011" s="585"/>
      <c r="J1011" s="585"/>
      <c r="K1011" s="585"/>
      <c r="L1011" s="585"/>
      <c r="M1011" s="582"/>
      <c r="N1011" s="582"/>
      <c r="O1011" s="586"/>
      <c r="P1011" s="586"/>
      <c r="Q1011" s="587"/>
      <c r="R1011" s="587"/>
      <c r="S1011" s="588"/>
      <c r="T1011" s="588"/>
      <c r="U1011" s="588"/>
      <c r="V1011" s="588"/>
      <c r="W1011" s="582"/>
      <c r="X1011" s="582"/>
      <c r="Y1011" s="589"/>
      <c r="Z1011" s="589"/>
      <c r="AA1011" s="589"/>
      <c r="AB1011" s="589"/>
      <c r="AC1011" s="589"/>
      <c r="AD1011" s="589"/>
      <c r="AE1011" s="589"/>
      <c r="AF1011" s="468"/>
    </row>
    <row r="1012" customFormat="false" ht="30" hidden="false" customHeight="true" outlineLevel="0" collapsed="false">
      <c r="A1012" s="581"/>
      <c r="B1012" s="581"/>
      <c r="C1012" s="581"/>
      <c r="D1012" s="585"/>
      <c r="E1012" s="585"/>
      <c r="F1012" s="585"/>
      <c r="G1012" s="585"/>
      <c r="H1012" s="585"/>
      <c r="I1012" s="585"/>
      <c r="J1012" s="585"/>
      <c r="K1012" s="585"/>
      <c r="L1012" s="585"/>
      <c r="M1012" s="582"/>
      <c r="N1012" s="582"/>
      <c r="O1012" s="586"/>
      <c r="P1012" s="586"/>
      <c r="Q1012" s="587"/>
      <c r="R1012" s="587"/>
      <c r="S1012" s="588"/>
      <c r="T1012" s="588"/>
      <c r="U1012" s="588"/>
      <c r="V1012" s="588"/>
      <c r="W1012" s="582"/>
      <c r="X1012" s="582"/>
      <c r="Y1012" s="589"/>
      <c r="Z1012" s="589"/>
      <c r="AA1012" s="589"/>
      <c r="AB1012" s="589"/>
      <c r="AC1012" s="589"/>
      <c r="AD1012" s="589"/>
      <c r="AE1012" s="589"/>
      <c r="AF1012" s="396"/>
    </row>
    <row r="1013" customFormat="false" ht="30" hidden="false" customHeight="true" outlineLevel="0" collapsed="false">
      <c r="A1013" s="581"/>
      <c r="B1013" s="581"/>
      <c r="C1013" s="581"/>
      <c r="D1013" s="585"/>
      <c r="E1013" s="585"/>
      <c r="F1013" s="585"/>
      <c r="G1013" s="585"/>
      <c r="H1013" s="585"/>
      <c r="I1013" s="585"/>
      <c r="J1013" s="585"/>
      <c r="K1013" s="585"/>
      <c r="L1013" s="585"/>
      <c r="M1013" s="582"/>
      <c r="N1013" s="582"/>
      <c r="O1013" s="586"/>
      <c r="P1013" s="586"/>
      <c r="Q1013" s="587"/>
      <c r="R1013" s="587"/>
      <c r="S1013" s="588"/>
      <c r="T1013" s="588"/>
      <c r="U1013" s="588"/>
      <c r="V1013" s="588"/>
      <c r="W1013" s="582"/>
      <c r="X1013" s="582"/>
      <c r="Y1013" s="589"/>
      <c r="Z1013" s="589"/>
      <c r="AA1013" s="589"/>
      <c r="AB1013" s="589"/>
      <c r="AC1013" s="589"/>
      <c r="AD1013" s="589"/>
      <c r="AE1013" s="589"/>
      <c r="AF1013" s="396"/>
    </row>
    <row r="1014" customFormat="false" ht="30" hidden="false" customHeight="true" outlineLevel="0" collapsed="false">
      <c r="A1014" s="581"/>
      <c r="B1014" s="581"/>
      <c r="C1014" s="581"/>
      <c r="D1014" s="585"/>
      <c r="E1014" s="585"/>
      <c r="F1014" s="585"/>
      <c r="G1014" s="585"/>
      <c r="H1014" s="585"/>
      <c r="I1014" s="585"/>
      <c r="J1014" s="585"/>
      <c r="K1014" s="585"/>
      <c r="L1014" s="585"/>
      <c r="M1014" s="582"/>
      <c r="N1014" s="582"/>
      <c r="O1014" s="586"/>
      <c r="P1014" s="586"/>
      <c r="Q1014" s="587"/>
      <c r="R1014" s="587"/>
      <c r="S1014" s="588"/>
      <c r="T1014" s="588"/>
      <c r="U1014" s="588"/>
      <c r="V1014" s="588"/>
      <c r="W1014" s="582"/>
      <c r="X1014" s="582"/>
      <c r="Y1014" s="589"/>
      <c r="Z1014" s="589"/>
      <c r="AA1014" s="589"/>
      <c r="AB1014" s="589"/>
      <c r="AC1014" s="589"/>
      <c r="AD1014" s="589"/>
      <c r="AE1014" s="589"/>
      <c r="AF1014" s="396"/>
    </row>
    <row r="1015" customFormat="false" ht="30" hidden="false" customHeight="true" outlineLevel="0" collapsed="false">
      <c r="A1015" s="581"/>
      <c r="B1015" s="581"/>
      <c r="C1015" s="581"/>
      <c r="D1015" s="585"/>
      <c r="E1015" s="585"/>
      <c r="F1015" s="585"/>
      <c r="G1015" s="585"/>
      <c r="H1015" s="585"/>
      <c r="I1015" s="585"/>
      <c r="J1015" s="585"/>
      <c r="K1015" s="585"/>
      <c r="L1015" s="585"/>
      <c r="M1015" s="582"/>
      <c r="N1015" s="582"/>
      <c r="O1015" s="590"/>
      <c r="P1015" s="590"/>
      <c r="Q1015" s="590"/>
      <c r="R1015" s="590"/>
      <c r="S1015" s="590"/>
      <c r="T1015" s="590"/>
      <c r="U1015" s="590"/>
      <c r="V1015" s="590"/>
      <c r="W1015" s="582"/>
      <c r="X1015" s="582"/>
      <c r="Y1015" s="589"/>
      <c r="Z1015" s="589"/>
      <c r="AA1015" s="589"/>
      <c r="AB1015" s="589"/>
      <c r="AC1015" s="589"/>
      <c r="AD1015" s="589"/>
      <c r="AE1015" s="589"/>
      <c r="AF1015" s="396"/>
    </row>
    <row r="1016" customFormat="false" ht="30" hidden="false" customHeight="true" outlineLevel="0" collapsed="false">
      <c r="A1016" s="581"/>
      <c r="B1016" s="581"/>
      <c r="C1016" s="581"/>
      <c r="D1016" s="585"/>
      <c r="E1016" s="585"/>
      <c r="F1016" s="585"/>
      <c r="G1016" s="585"/>
      <c r="H1016" s="585"/>
      <c r="I1016" s="585"/>
      <c r="J1016" s="585"/>
      <c r="K1016" s="585"/>
      <c r="L1016" s="585"/>
      <c r="M1016" s="582"/>
      <c r="N1016" s="582"/>
      <c r="O1016" s="590"/>
      <c r="P1016" s="590"/>
      <c r="Q1016" s="590"/>
      <c r="R1016" s="590"/>
      <c r="S1016" s="590"/>
      <c r="T1016" s="590"/>
      <c r="U1016" s="590"/>
      <c r="V1016" s="590"/>
      <c r="W1016" s="582"/>
      <c r="X1016" s="582"/>
      <c r="Y1016" s="589"/>
      <c r="Z1016" s="589"/>
      <c r="AA1016" s="589"/>
      <c r="AB1016" s="589"/>
      <c r="AC1016" s="589"/>
      <c r="AD1016" s="589"/>
      <c r="AE1016" s="589"/>
      <c r="AF1016" s="396"/>
    </row>
    <row r="1017" customFormat="false" ht="30" hidden="false" customHeight="true" outlineLevel="0" collapsed="false">
      <c r="A1017" s="581"/>
      <c r="B1017" s="581"/>
      <c r="C1017" s="581"/>
      <c r="D1017" s="585"/>
      <c r="E1017" s="585"/>
      <c r="F1017" s="585"/>
      <c r="G1017" s="585"/>
      <c r="H1017" s="585"/>
      <c r="I1017" s="585"/>
      <c r="J1017" s="585"/>
      <c r="K1017" s="585"/>
      <c r="L1017" s="585"/>
      <c r="M1017" s="582"/>
      <c r="N1017" s="582"/>
      <c r="O1017" s="590"/>
      <c r="P1017" s="590"/>
      <c r="Q1017" s="590"/>
      <c r="R1017" s="590"/>
      <c r="S1017" s="590"/>
      <c r="T1017" s="590"/>
      <c r="U1017" s="590"/>
      <c r="V1017" s="590"/>
      <c r="W1017" s="582"/>
      <c r="X1017" s="582"/>
      <c r="Y1017" s="589"/>
      <c r="Z1017" s="589"/>
      <c r="AA1017" s="589"/>
      <c r="AB1017" s="589"/>
      <c r="AC1017" s="589"/>
      <c r="AD1017" s="589"/>
      <c r="AE1017" s="589"/>
      <c r="AF1017" s="396"/>
    </row>
    <row r="1018" customFormat="false" ht="30" hidden="false" customHeight="true" outlineLevel="0" collapsed="false">
      <c r="A1018" s="581"/>
      <c r="B1018" s="581"/>
      <c r="C1018" s="581"/>
      <c r="D1018" s="585"/>
      <c r="E1018" s="585"/>
      <c r="F1018" s="585"/>
      <c r="G1018" s="585"/>
      <c r="H1018" s="585"/>
      <c r="I1018" s="585"/>
      <c r="J1018" s="585"/>
      <c r="K1018" s="585"/>
      <c r="L1018" s="585"/>
      <c r="M1018" s="582"/>
      <c r="N1018" s="582"/>
      <c r="O1018" s="590"/>
      <c r="P1018" s="590"/>
      <c r="Q1018" s="590"/>
      <c r="R1018" s="590"/>
      <c r="S1018" s="590"/>
      <c r="T1018" s="590"/>
      <c r="U1018" s="590"/>
      <c r="V1018" s="590"/>
      <c r="W1018" s="582"/>
      <c r="X1018" s="582"/>
      <c r="Y1018" s="589"/>
      <c r="Z1018" s="589"/>
      <c r="AA1018" s="589"/>
      <c r="AB1018" s="589"/>
      <c r="AC1018" s="589"/>
      <c r="AD1018" s="589"/>
      <c r="AE1018" s="589"/>
      <c r="AF1018" s="396"/>
    </row>
    <row r="1019" customFormat="false" ht="30" hidden="false" customHeight="true" outlineLevel="0" collapsed="false">
      <c r="A1019" s="581"/>
      <c r="B1019" s="581"/>
      <c r="C1019" s="581"/>
      <c r="D1019" s="585"/>
      <c r="E1019" s="585"/>
      <c r="F1019" s="585"/>
      <c r="G1019" s="585"/>
      <c r="H1019" s="585"/>
      <c r="I1019" s="585"/>
      <c r="J1019" s="585"/>
      <c r="K1019" s="585"/>
      <c r="L1019" s="585"/>
      <c r="M1019" s="582"/>
      <c r="N1019" s="582"/>
      <c r="O1019" s="586"/>
      <c r="P1019" s="586"/>
      <c r="Q1019" s="587"/>
      <c r="R1019" s="587"/>
      <c r="S1019" s="588"/>
      <c r="T1019" s="588"/>
      <c r="U1019" s="588"/>
      <c r="V1019" s="588"/>
      <c r="W1019" s="582"/>
      <c r="X1019" s="582"/>
      <c r="Y1019" s="589"/>
      <c r="Z1019" s="589"/>
      <c r="AA1019" s="589"/>
      <c r="AB1019" s="589"/>
      <c r="AC1019" s="589"/>
      <c r="AD1019" s="589"/>
      <c r="AE1019" s="589"/>
      <c r="AF1019" s="396"/>
    </row>
    <row r="1020" customFormat="false" ht="30" hidden="false" customHeight="true" outlineLevel="0" collapsed="false">
      <c r="A1020" s="581"/>
      <c r="B1020" s="581"/>
      <c r="C1020" s="581"/>
      <c r="D1020" s="585"/>
      <c r="E1020" s="585"/>
      <c r="F1020" s="585"/>
      <c r="G1020" s="585"/>
      <c r="H1020" s="585"/>
      <c r="I1020" s="585"/>
      <c r="J1020" s="585"/>
      <c r="K1020" s="585"/>
      <c r="L1020" s="585"/>
      <c r="M1020" s="582"/>
      <c r="N1020" s="582"/>
      <c r="O1020" s="586"/>
      <c r="P1020" s="586"/>
      <c r="Q1020" s="587"/>
      <c r="R1020" s="587"/>
      <c r="S1020" s="588"/>
      <c r="T1020" s="588"/>
      <c r="U1020" s="588"/>
      <c r="V1020" s="588"/>
      <c r="W1020" s="582"/>
      <c r="X1020" s="582"/>
      <c r="Y1020" s="589"/>
      <c r="Z1020" s="589"/>
      <c r="AA1020" s="589"/>
      <c r="AB1020" s="589"/>
      <c r="AC1020" s="589"/>
      <c r="AD1020" s="589"/>
      <c r="AE1020" s="589"/>
      <c r="AF1020" s="396"/>
    </row>
    <row r="1021" customFormat="false" ht="12.75" hidden="false" customHeight="true" outlineLevel="0" collapsed="false">
      <c r="A1021" s="396"/>
      <c r="B1021" s="396"/>
      <c r="C1021" s="396"/>
      <c r="D1021" s="396"/>
      <c r="E1021" s="396"/>
      <c r="F1021" s="396"/>
      <c r="G1021" s="396"/>
      <c r="H1021" s="396"/>
      <c r="I1021" s="396"/>
      <c r="J1021" s="396"/>
      <c r="K1021" s="396"/>
      <c r="L1021" s="396"/>
      <c r="M1021" s="396"/>
      <c r="N1021" s="396"/>
      <c r="O1021" s="396"/>
      <c r="P1021" s="396"/>
      <c r="Q1021" s="396"/>
      <c r="R1021" s="396"/>
      <c r="S1021" s="396"/>
      <c r="T1021" s="396"/>
      <c r="U1021" s="396"/>
      <c r="V1021" s="396"/>
      <c r="W1021" s="396"/>
      <c r="X1021" s="396"/>
      <c r="Y1021" s="396"/>
      <c r="Z1021" s="396"/>
      <c r="AA1021" s="396"/>
      <c r="AB1021" s="396"/>
      <c r="AC1021" s="396"/>
      <c r="AD1021" s="396"/>
      <c r="AE1021" s="396"/>
      <c r="AF1021" s="396"/>
    </row>
    <row r="1022" customFormat="false" ht="12.75" hidden="false" customHeight="true" outlineLevel="0" collapsed="false">
      <c r="A1022" s="396"/>
      <c r="B1022" s="396"/>
      <c r="C1022" s="396"/>
      <c r="D1022" s="396"/>
      <c r="E1022" s="396"/>
      <c r="F1022" s="396"/>
      <c r="G1022" s="396"/>
      <c r="H1022" s="396"/>
      <c r="I1022" s="396"/>
      <c r="J1022" s="396"/>
      <c r="K1022" s="396"/>
      <c r="L1022" s="396"/>
      <c r="M1022" s="396"/>
      <c r="N1022" s="396"/>
      <c r="O1022" s="396"/>
      <c r="P1022" s="396"/>
      <c r="Q1022" s="396"/>
      <c r="R1022" s="396"/>
      <c r="S1022" s="396"/>
      <c r="T1022" s="396"/>
      <c r="U1022" s="396"/>
      <c r="V1022" s="396"/>
      <c r="W1022" s="396"/>
      <c r="X1022" s="396"/>
      <c r="Y1022" s="396"/>
      <c r="Z1022" s="396"/>
      <c r="AA1022" s="396"/>
      <c r="AB1022" s="591"/>
      <c r="AC1022" s="592"/>
      <c r="AD1022" s="593"/>
      <c r="AE1022" s="593"/>
      <c r="AF1022" s="593"/>
    </row>
    <row r="1023" customFormat="false" ht="12.75" hidden="false" customHeight="true" outlineLevel="0" collapsed="false">
      <c r="A1023" s="577"/>
      <c r="B1023" s="577"/>
      <c r="C1023" s="578"/>
      <c r="D1023" s="578"/>
      <c r="E1023" s="578"/>
      <c r="F1023" s="578"/>
      <c r="G1023" s="578"/>
      <c r="H1023" s="578"/>
      <c r="I1023" s="578"/>
      <c r="J1023" s="578"/>
      <c r="K1023" s="578"/>
      <c r="L1023" s="578"/>
      <c r="M1023" s="577"/>
      <c r="N1023" s="577"/>
      <c r="O1023" s="577"/>
      <c r="P1023" s="577"/>
      <c r="Q1023" s="577"/>
      <c r="R1023" s="578"/>
      <c r="S1023" s="578"/>
      <c r="T1023" s="578"/>
      <c r="U1023" s="578"/>
      <c r="V1023" s="578"/>
      <c r="W1023" s="578"/>
      <c r="X1023" s="578"/>
      <c r="Y1023" s="578"/>
      <c r="Z1023" s="578"/>
      <c r="AA1023" s="578"/>
      <c r="AB1023" s="578"/>
      <c r="AC1023" s="578"/>
      <c r="AD1023" s="578"/>
      <c r="AE1023" s="578"/>
      <c r="AF1023" s="578"/>
    </row>
    <row r="1024" customFormat="false" ht="12.75" hidden="false" customHeight="true" outlineLevel="0" collapsed="false">
      <c r="A1024" s="458"/>
      <c r="B1024" s="458"/>
      <c r="C1024" s="459"/>
      <c r="D1024" s="459"/>
      <c r="E1024" s="459"/>
      <c r="F1024" s="459"/>
      <c r="G1024" s="459"/>
      <c r="H1024" s="459"/>
      <c r="I1024" s="459"/>
      <c r="J1024" s="459"/>
      <c r="K1024" s="459"/>
      <c r="L1024" s="459"/>
      <c r="M1024" s="458"/>
      <c r="N1024" s="458"/>
      <c r="O1024" s="458"/>
      <c r="P1024" s="458"/>
      <c r="Q1024" s="458"/>
      <c r="R1024" s="459"/>
      <c r="S1024" s="459"/>
      <c r="T1024" s="459"/>
      <c r="U1024" s="459"/>
      <c r="V1024" s="459"/>
      <c r="W1024" s="459"/>
      <c r="X1024" s="459"/>
      <c r="Y1024" s="459"/>
      <c r="Z1024" s="459"/>
      <c r="AA1024" s="459"/>
      <c r="AB1024" s="459"/>
      <c r="AC1024" s="459"/>
      <c r="AD1024" s="459"/>
      <c r="AE1024" s="459"/>
      <c r="AF1024" s="459"/>
    </row>
    <row r="1025" customFormat="false" ht="15.75" hidden="false" customHeight="true" outlineLevel="0" collapsed="false">
      <c r="A1025" s="579"/>
      <c r="B1025" s="579"/>
      <c r="C1025" s="579"/>
      <c r="D1025" s="580"/>
      <c r="E1025" s="580"/>
      <c r="F1025" s="580"/>
      <c r="G1025" s="580"/>
      <c r="H1025" s="580"/>
      <c r="I1025" s="580"/>
      <c r="J1025" s="580"/>
      <c r="K1025" s="580"/>
      <c r="L1025" s="580"/>
      <c r="M1025" s="458"/>
      <c r="N1025" s="458"/>
      <c r="O1025" s="458"/>
      <c r="P1025" s="459"/>
      <c r="Q1025" s="458"/>
      <c r="R1025" s="459"/>
      <c r="S1025" s="459"/>
      <c r="T1025" s="459"/>
      <c r="U1025" s="459"/>
      <c r="V1025" s="459"/>
      <c r="W1025" s="459"/>
      <c r="X1025" s="459"/>
      <c r="Y1025" s="459"/>
      <c r="Z1025" s="459"/>
      <c r="AA1025" s="459"/>
      <c r="AB1025" s="459"/>
      <c r="AC1025" s="459"/>
      <c r="AD1025" s="459"/>
      <c r="AE1025" s="459"/>
      <c r="AF1025" s="459"/>
    </row>
    <row r="1026" customFormat="false" ht="15.75" hidden="false" customHeight="true" outlineLevel="0" collapsed="false">
      <c r="A1026" s="581"/>
      <c r="B1026" s="581"/>
      <c r="C1026" s="581"/>
      <c r="D1026" s="581"/>
      <c r="E1026" s="581"/>
      <c r="F1026" s="581"/>
      <c r="G1026" s="581"/>
      <c r="H1026" s="581"/>
      <c r="I1026" s="581"/>
      <c r="J1026" s="581"/>
      <c r="K1026" s="581"/>
      <c r="L1026" s="581"/>
      <c r="M1026" s="582"/>
      <c r="N1026" s="582"/>
      <c r="O1026" s="583"/>
      <c r="P1026" s="583"/>
      <c r="Q1026" s="583"/>
      <c r="R1026" s="583"/>
      <c r="S1026" s="584"/>
      <c r="T1026" s="584"/>
      <c r="U1026" s="584"/>
      <c r="V1026" s="584"/>
      <c r="W1026" s="582"/>
      <c r="X1026" s="582"/>
      <c r="Y1026" s="582"/>
      <c r="Z1026" s="582"/>
      <c r="AA1026" s="582"/>
      <c r="AB1026" s="582"/>
      <c r="AC1026" s="582"/>
      <c r="AD1026" s="582"/>
      <c r="AE1026" s="582"/>
      <c r="AF1026" s="459"/>
    </row>
    <row r="1027" customFormat="false" ht="15.75" hidden="false" customHeight="true" outlineLevel="0" collapsed="false">
      <c r="A1027" s="581"/>
      <c r="B1027" s="581"/>
      <c r="C1027" s="581"/>
      <c r="D1027" s="581"/>
      <c r="E1027" s="581"/>
      <c r="F1027" s="581"/>
      <c r="G1027" s="581"/>
      <c r="H1027" s="581"/>
      <c r="I1027" s="581"/>
      <c r="J1027" s="581"/>
      <c r="K1027" s="581"/>
      <c r="L1027" s="581"/>
      <c r="M1027" s="582"/>
      <c r="N1027" s="582"/>
      <c r="O1027" s="583"/>
      <c r="P1027" s="583"/>
      <c r="Q1027" s="583"/>
      <c r="R1027" s="583"/>
      <c r="S1027" s="584"/>
      <c r="T1027" s="584"/>
      <c r="U1027" s="584"/>
      <c r="V1027" s="584"/>
      <c r="W1027" s="582"/>
      <c r="X1027" s="582"/>
      <c r="Y1027" s="582"/>
      <c r="Z1027" s="582"/>
      <c r="AA1027" s="582"/>
      <c r="AB1027" s="582"/>
      <c r="AC1027" s="582"/>
      <c r="AD1027" s="582"/>
      <c r="AE1027" s="582"/>
      <c r="AF1027" s="459"/>
    </row>
    <row r="1028" customFormat="false" ht="30" hidden="false" customHeight="true" outlineLevel="0" collapsed="false">
      <c r="A1028" s="581"/>
      <c r="B1028" s="581"/>
      <c r="C1028" s="581"/>
      <c r="D1028" s="581"/>
      <c r="E1028" s="581"/>
      <c r="F1028" s="581"/>
      <c r="G1028" s="581"/>
      <c r="H1028" s="581"/>
      <c r="I1028" s="581"/>
      <c r="J1028" s="581"/>
      <c r="K1028" s="581"/>
      <c r="L1028" s="581"/>
      <c r="M1028" s="582"/>
      <c r="N1028" s="582"/>
      <c r="O1028" s="583"/>
      <c r="P1028" s="583"/>
      <c r="Q1028" s="583"/>
      <c r="R1028" s="583"/>
      <c r="S1028" s="584"/>
      <c r="T1028" s="584"/>
      <c r="U1028" s="584"/>
      <c r="V1028" s="584"/>
      <c r="W1028" s="582"/>
      <c r="X1028" s="582"/>
      <c r="Y1028" s="582"/>
      <c r="Z1028" s="582"/>
      <c r="AA1028" s="582"/>
      <c r="AB1028" s="582"/>
      <c r="AC1028" s="582"/>
      <c r="AD1028" s="582"/>
      <c r="AE1028" s="582"/>
      <c r="AF1028" s="468"/>
    </row>
    <row r="1029" customFormat="false" ht="30" hidden="false" customHeight="true" outlineLevel="0" collapsed="false">
      <c r="A1029" s="581"/>
      <c r="B1029" s="581"/>
      <c r="C1029" s="581"/>
      <c r="D1029" s="585"/>
      <c r="E1029" s="585"/>
      <c r="F1029" s="585"/>
      <c r="G1029" s="585"/>
      <c r="H1029" s="585"/>
      <c r="I1029" s="585"/>
      <c r="J1029" s="585"/>
      <c r="K1029" s="585"/>
      <c r="L1029" s="585"/>
      <c r="M1029" s="582"/>
      <c r="N1029" s="582"/>
      <c r="O1029" s="586"/>
      <c r="P1029" s="586"/>
      <c r="Q1029" s="587"/>
      <c r="R1029" s="587"/>
      <c r="S1029" s="588"/>
      <c r="T1029" s="588"/>
      <c r="U1029" s="588"/>
      <c r="V1029" s="588"/>
      <c r="W1029" s="582"/>
      <c r="X1029" s="582"/>
      <c r="Y1029" s="589"/>
      <c r="Z1029" s="589"/>
      <c r="AA1029" s="589"/>
      <c r="AB1029" s="589"/>
      <c r="AC1029" s="589"/>
      <c r="AD1029" s="589"/>
      <c r="AE1029" s="589"/>
      <c r="AF1029" s="468"/>
    </row>
    <row r="1030" customFormat="false" ht="30" hidden="false" customHeight="true" outlineLevel="0" collapsed="false">
      <c r="A1030" s="581"/>
      <c r="B1030" s="581"/>
      <c r="C1030" s="581"/>
      <c r="D1030" s="585"/>
      <c r="E1030" s="585"/>
      <c r="F1030" s="585"/>
      <c r="G1030" s="585"/>
      <c r="H1030" s="585"/>
      <c r="I1030" s="585"/>
      <c r="J1030" s="585"/>
      <c r="K1030" s="585"/>
      <c r="L1030" s="585"/>
      <c r="M1030" s="582"/>
      <c r="N1030" s="582"/>
      <c r="O1030" s="586"/>
      <c r="P1030" s="586"/>
      <c r="Q1030" s="587"/>
      <c r="R1030" s="587"/>
      <c r="S1030" s="588"/>
      <c r="T1030" s="588"/>
      <c r="U1030" s="588"/>
      <c r="V1030" s="588"/>
      <c r="W1030" s="582"/>
      <c r="X1030" s="582"/>
      <c r="Y1030" s="589"/>
      <c r="Z1030" s="589"/>
      <c r="AA1030" s="589"/>
      <c r="AB1030" s="589"/>
      <c r="AC1030" s="589"/>
      <c r="AD1030" s="589"/>
      <c r="AE1030" s="589"/>
      <c r="AF1030" s="468"/>
    </row>
    <row r="1031" customFormat="false" ht="30" hidden="false" customHeight="true" outlineLevel="0" collapsed="false">
      <c r="A1031" s="581"/>
      <c r="B1031" s="581"/>
      <c r="C1031" s="581"/>
      <c r="D1031" s="585"/>
      <c r="E1031" s="585"/>
      <c r="F1031" s="585"/>
      <c r="G1031" s="585"/>
      <c r="H1031" s="585"/>
      <c r="I1031" s="585"/>
      <c r="J1031" s="585"/>
      <c r="K1031" s="585"/>
      <c r="L1031" s="585"/>
      <c r="M1031" s="582"/>
      <c r="N1031" s="582"/>
      <c r="O1031" s="590"/>
      <c r="P1031" s="590"/>
      <c r="Q1031" s="590"/>
      <c r="R1031" s="590"/>
      <c r="S1031" s="590"/>
      <c r="T1031" s="590"/>
      <c r="U1031" s="590"/>
      <c r="V1031" s="590"/>
      <c r="W1031" s="582"/>
      <c r="X1031" s="582"/>
      <c r="Y1031" s="589"/>
      <c r="Z1031" s="589"/>
      <c r="AA1031" s="589"/>
      <c r="AB1031" s="589"/>
      <c r="AC1031" s="589"/>
      <c r="AD1031" s="589"/>
      <c r="AE1031" s="589"/>
      <c r="AF1031" s="468"/>
    </row>
    <row r="1032" customFormat="false" ht="30" hidden="false" customHeight="true" outlineLevel="0" collapsed="false">
      <c r="A1032" s="581"/>
      <c r="B1032" s="581"/>
      <c r="C1032" s="581"/>
      <c r="D1032" s="585"/>
      <c r="E1032" s="585"/>
      <c r="F1032" s="585"/>
      <c r="G1032" s="585"/>
      <c r="H1032" s="585"/>
      <c r="I1032" s="585"/>
      <c r="J1032" s="585"/>
      <c r="K1032" s="585"/>
      <c r="L1032" s="585"/>
      <c r="M1032" s="582"/>
      <c r="N1032" s="582"/>
      <c r="O1032" s="590"/>
      <c r="P1032" s="590"/>
      <c r="Q1032" s="590"/>
      <c r="R1032" s="590"/>
      <c r="S1032" s="590"/>
      <c r="T1032" s="590"/>
      <c r="U1032" s="590"/>
      <c r="V1032" s="590"/>
      <c r="W1032" s="582"/>
      <c r="X1032" s="582"/>
      <c r="Y1032" s="589"/>
      <c r="Z1032" s="589"/>
      <c r="AA1032" s="589"/>
      <c r="AB1032" s="589"/>
      <c r="AC1032" s="589"/>
      <c r="AD1032" s="589"/>
      <c r="AE1032" s="589"/>
      <c r="AF1032" s="468"/>
    </row>
    <row r="1033" customFormat="false" ht="30" hidden="false" customHeight="true" outlineLevel="0" collapsed="false">
      <c r="A1033" s="581"/>
      <c r="B1033" s="581"/>
      <c r="C1033" s="581"/>
      <c r="D1033" s="585"/>
      <c r="E1033" s="585"/>
      <c r="F1033" s="585"/>
      <c r="G1033" s="585"/>
      <c r="H1033" s="585"/>
      <c r="I1033" s="585"/>
      <c r="J1033" s="585"/>
      <c r="K1033" s="585"/>
      <c r="L1033" s="585"/>
      <c r="M1033" s="582"/>
      <c r="N1033" s="582"/>
      <c r="O1033" s="590"/>
      <c r="P1033" s="590"/>
      <c r="Q1033" s="590"/>
      <c r="R1033" s="590"/>
      <c r="S1033" s="590"/>
      <c r="T1033" s="590"/>
      <c r="U1033" s="590"/>
      <c r="V1033" s="590"/>
      <c r="W1033" s="582"/>
      <c r="X1033" s="582"/>
      <c r="Y1033" s="589"/>
      <c r="Z1033" s="589"/>
      <c r="AA1033" s="589"/>
      <c r="AB1033" s="589"/>
      <c r="AC1033" s="589"/>
      <c r="AD1033" s="589"/>
      <c r="AE1033" s="589"/>
      <c r="AF1033" s="468"/>
    </row>
    <row r="1034" customFormat="false" ht="30" hidden="false" customHeight="true" outlineLevel="0" collapsed="false">
      <c r="A1034" s="581"/>
      <c r="B1034" s="581"/>
      <c r="C1034" s="581"/>
      <c r="D1034" s="585"/>
      <c r="E1034" s="585"/>
      <c r="F1034" s="585"/>
      <c r="G1034" s="585"/>
      <c r="H1034" s="585"/>
      <c r="I1034" s="585"/>
      <c r="J1034" s="585"/>
      <c r="K1034" s="585"/>
      <c r="L1034" s="585"/>
      <c r="M1034" s="582"/>
      <c r="N1034" s="582"/>
      <c r="O1034" s="590"/>
      <c r="P1034" s="590"/>
      <c r="Q1034" s="590"/>
      <c r="R1034" s="590"/>
      <c r="S1034" s="590"/>
      <c r="T1034" s="590"/>
      <c r="U1034" s="590"/>
      <c r="V1034" s="590"/>
      <c r="W1034" s="582"/>
      <c r="X1034" s="582"/>
      <c r="Y1034" s="589"/>
      <c r="Z1034" s="589"/>
      <c r="AA1034" s="589"/>
      <c r="AB1034" s="589"/>
      <c r="AC1034" s="589"/>
      <c r="AD1034" s="589"/>
      <c r="AE1034" s="589"/>
      <c r="AF1034" s="468"/>
    </row>
    <row r="1035" customFormat="false" ht="30" hidden="false" customHeight="true" outlineLevel="0" collapsed="false">
      <c r="A1035" s="581"/>
      <c r="B1035" s="581"/>
      <c r="C1035" s="581"/>
      <c r="D1035" s="585"/>
      <c r="E1035" s="585"/>
      <c r="F1035" s="585"/>
      <c r="G1035" s="585"/>
      <c r="H1035" s="585"/>
      <c r="I1035" s="585"/>
      <c r="J1035" s="585"/>
      <c r="K1035" s="585"/>
      <c r="L1035" s="585"/>
      <c r="M1035" s="582"/>
      <c r="N1035" s="582"/>
      <c r="O1035" s="590"/>
      <c r="P1035" s="590"/>
      <c r="Q1035" s="590"/>
      <c r="R1035" s="590"/>
      <c r="S1035" s="590"/>
      <c r="T1035" s="590"/>
      <c r="U1035" s="590"/>
      <c r="V1035" s="590"/>
      <c r="W1035" s="582"/>
      <c r="X1035" s="582"/>
      <c r="Y1035" s="589"/>
      <c r="Z1035" s="589"/>
      <c r="AA1035" s="589"/>
      <c r="AB1035" s="589"/>
      <c r="AC1035" s="589"/>
      <c r="AD1035" s="589"/>
      <c r="AE1035" s="589"/>
      <c r="AF1035" s="468"/>
    </row>
    <row r="1036" customFormat="false" ht="30" hidden="false" customHeight="true" outlineLevel="0" collapsed="false">
      <c r="A1036" s="581"/>
      <c r="B1036" s="581"/>
      <c r="C1036" s="581"/>
      <c r="D1036" s="585"/>
      <c r="E1036" s="585"/>
      <c r="F1036" s="585"/>
      <c r="G1036" s="585"/>
      <c r="H1036" s="585"/>
      <c r="I1036" s="585"/>
      <c r="J1036" s="585"/>
      <c r="K1036" s="585"/>
      <c r="L1036" s="585"/>
      <c r="M1036" s="582"/>
      <c r="N1036" s="582"/>
      <c r="O1036" s="590"/>
      <c r="P1036" s="590"/>
      <c r="Q1036" s="590"/>
      <c r="R1036" s="590"/>
      <c r="S1036" s="590"/>
      <c r="T1036" s="590"/>
      <c r="U1036" s="590"/>
      <c r="V1036" s="590"/>
      <c r="W1036" s="582"/>
      <c r="X1036" s="582"/>
      <c r="Y1036" s="589"/>
      <c r="Z1036" s="589"/>
      <c r="AA1036" s="589"/>
      <c r="AB1036" s="589"/>
      <c r="AC1036" s="589"/>
      <c r="AD1036" s="589"/>
      <c r="AE1036" s="589"/>
      <c r="AF1036" s="468"/>
    </row>
    <row r="1037" customFormat="false" ht="30" hidden="false" customHeight="true" outlineLevel="0" collapsed="false">
      <c r="A1037" s="581"/>
      <c r="B1037" s="581"/>
      <c r="C1037" s="581"/>
      <c r="D1037" s="585"/>
      <c r="E1037" s="585"/>
      <c r="F1037" s="585"/>
      <c r="G1037" s="585"/>
      <c r="H1037" s="585"/>
      <c r="I1037" s="585"/>
      <c r="J1037" s="585"/>
      <c r="K1037" s="585"/>
      <c r="L1037" s="585"/>
      <c r="M1037" s="582"/>
      <c r="N1037" s="582"/>
      <c r="O1037" s="586"/>
      <c r="P1037" s="586"/>
      <c r="Q1037" s="587"/>
      <c r="R1037" s="587"/>
      <c r="S1037" s="588"/>
      <c r="T1037" s="588"/>
      <c r="U1037" s="588"/>
      <c r="V1037" s="588"/>
      <c r="W1037" s="582"/>
      <c r="X1037" s="582"/>
      <c r="Y1037" s="589"/>
      <c r="Z1037" s="589"/>
      <c r="AA1037" s="589"/>
      <c r="AB1037" s="589"/>
      <c r="AC1037" s="589"/>
      <c r="AD1037" s="589"/>
      <c r="AE1037" s="589"/>
      <c r="AF1037" s="468"/>
    </row>
    <row r="1038" customFormat="false" ht="30" hidden="false" customHeight="true" outlineLevel="0" collapsed="false">
      <c r="A1038" s="596"/>
      <c r="B1038" s="596"/>
      <c r="C1038" s="596"/>
      <c r="D1038" s="585"/>
      <c r="E1038" s="585"/>
      <c r="F1038" s="585"/>
      <c r="G1038" s="585"/>
      <c r="H1038" s="585"/>
      <c r="I1038" s="585"/>
      <c r="J1038" s="585"/>
      <c r="K1038" s="585"/>
      <c r="L1038" s="585"/>
      <c r="M1038" s="582"/>
      <c r="N1038" s="582"/>
      <c r="O1038" s="586"/>
      <c r="P1038" s="586"/>
      <c r="Q1038" s="587"/>
      <c r="R1038" s="587"/>
      <c r="S1038" s="588"/>
      <c r="T1038" s="588"/>
      <c r="U1038" s="588"/>
      <c r="V1038" s="588"/>
      <c r="W1038" s="582"/>
      <c r="X1038" s="582"/>
      <c r="Y1038" s="589"/>
      <c r="Z1038" s="589"/>
      <c r="AA1038" s="589"/>
      <c r="AB1038" s="589"/>
      <c r="AC1038" s="589"/>
      <c r="AD1038" s="589"/>
      <c r="AE1038" s="589"/>
      <c r="AF1038" s="468"/>
    </row>
    <row r="1039" customFormat="false" ht="30" hidden="false" customHeight="true" outlineLevel="0" collapsed="false">
      <c r="A1039" s="581"/>
      <c r="B1039" s="581"/>
      <c r="C1039" s="581"/>
      <c r="D1039" s="585"/>
      <c r="E1039" s="585"/>
      <c r="F1039" s="585"/>
      <c r="G1039" s="585"/>
      <c r="H1039" s="585"/>
      <c r="I1039" s="585"/>
      <c r="J1039" s="585"/>
      <c r="K1039" s="585"/>
      <c r="L1039" s="585"/>
      <c r="M1039" s="582"/>
      <c r="N1039" s="582"/>
      <c r="O1039" s="586"/>
      <c r="P1039" s="586"/>
      <c r="Q1039" s="587"/>
      <c r="R1039" s="587"/>
      <c r="S1039" s="588"/>
      <c r="T1039" s="588"/>
      <c r="U1039" s="588"/>
      <c r="V1039" s="588"/>
      <c r="W1039" s="582"/>
      <c r="X1039" s="582"/>
      <c r="Y1039" s="589"/>
      <c r="Z1039" s="589"/>
      <c r="AA1039" s="589"/>
      <c r="AB1039" s="589"/>
      <c r="AC1039" s="589"/>
      <c r="AD1039" s="589"/>
      <c r="AE1039" s="589"/>
      <c r="AF1039" s="396"/>
    </row>
    <row r="1040" customFormat="false" ht="30" hidden="false" customHeight="true" outlineLevel="0" collapsed="false">
      <c r="A1040" s="596"/>
      <c r="B1040" s="596"/>
      <c r="C1040" s="596"/>
      <c r="D1040" s="585"/>
      <c r="E1040" s="585"/>
      <c r="F1040" s="585"/>
      <c r="G1040" s="585"/>
      <c r="H1040" s="585"/>
      <c r="I1040" s="585"/>
      <c r="J1040" s="585"/>
      <c r="K1040" s="585"/>
      <c r="L1040" s="585"/>
      <c r="M1040" s="582"/>
      <c r="N1040" s="582"/>
      <c r="O1040" s="586"/>
      <c r="P1040" s="586"/>
      <c r="Q1040" s="587"/>
      <c r="R1040" s="587"/>
      <c r="S1040" s="588"/>
      <c r="T1040" s="588"/>
      <c r="U1040" s="588"/>
      <c r="V1040" s="588"/>
      <c r="W1040" s="582"/>
      <c r="X1040" s="582"/>
      <c r="Y1040" s="589"/>
      <c r="Z1040" s="589"/>
      <c r="AA1040" s="589"/>
      <c r="AB1040" s="589"/>
      <c r="AC1040" s="589"/>
      <c r="AD1040" s="589"/>
      <c r="AE1040" s="589"/>
      <c r="AF1040" s="396"/>
    </row>
    <row r="1041" customFormat="false" ht="30" hidden="false" customHeight="true" outlineLevel="0" collapsed="false">
      <c r="A1041" s="596"/>
      <c r="B1041" s="596"/>
      <c r="C1041" s="596"/>
      <c r="D1041" s="585"/>
      <c r="E1041" s="585"/>
      <c r="F1041" s="585"/>
      <c r="G1041" s="585"/>
      <c r="H1041" s="585"/>
      <c r="I1041" s="585"/>
      <c r="J1041" s="585"/>
      <c r="K1041" s="585"/>
      <c r="L1041" s="585"/>
      <c r="M1041" s="582"/>
      <c r="N1041" s="582"/>
      <c r="O1041" s="586"/>
      <c r="P1041" s="586"/>
      <c r="Q1041" s="587"/>
      <c r="R1041" s="587"/>
      <c r="S1041" s="588"/>
      <c r="T1041" s="588"/>
      <c r="U1041" s="588"/>
      <c r="V1041" s="588"/>
      <c r="W1041" s="582"/>
      <c r="X1041" s="582"/>
      <c r="Y1041" s="589"/>
      <c r="Z1041" s="589"/>
      <c r="AA1041" s="589"/>
      <c r="AB1041" s="589"/>
      <c r="AC1041" s="589"/>
      <c r="AD1041" s="589"/>
      <c r="AE1041" s="589"/>
      <c r="AF1041" s="396"/>
    </row>
    <row r="1042" customFormat="false" ht="30" hidden="false" customHeight="true" outlineLevel="0" collapsed="false">
      <c r="A1042" s="596"/>
      <c r="B1042" s="596"/>
      <c r="C1042" s="596"/>
      <c r="D1042" s="595"/>
      <c r="E1042" s="595"/>
      <c r="F1042" s="595"/>
      <c r="G1042" s="595"/>
      <c r="H1042" s="595"/>
      <c r="I1042" s="595"/>
      <c r="J1042" s="595"/>
      <c r="K1042" s="595"/>
      <c r="L1042" s="595"/>
      <c r="M1042" s="582"/>
      <c r="N1042" s="582"/>
      <c r="O1042" s="586"/>
      <c r="P1042" s="586"/>
      <c r="Q1042" s="587"/>
      <c r="R1042" s="587"/>
      <c r="S1042" s="588"/>
      <c r="T1042" s="588"/>
      <c r="U1042" s="588"/>
      <c r="V1042" s="588"/>
      <c r="W1042" s="582"/>
      <c r="X1042" s="582"/>
      <c r="Y1042" s="589"/>
      <c r="Z1042" s="589"/>
      <c r="AA1042" s="589"/>
      <c r="AB1042" s="589"/>
      <c r="AC1042" s="589"/>
      <c r="AD1042" s="589"/>
      <c r="AE1042" s="589"/>
      <c r="AF1042" s="396"/>
    </row>
    <row r="1043" customFormat="false" ht="30" hidden="false" customHeight="true" outlineLevel="0" collapsed="false">
      <c r="A1043" s="596"/>
      <c r="B1043" s="596"/>
      <c r="C1043" s="596"/>
      <c r="D1043" s="595"/>
      <c r="E1043" s="595"/>
      <c r="F1043" s="595"/>
      <c r="G1043" s="595"/>
      <c r="H1043" s="595"/>
      <c r="I1043" s="595"/>
      <c r="J1043" s="595"/>
      <c r="K1043" s="595"/>
      <c r="L1043" s="595"/>
      <c r="M1043" s="582"/>
      <c r="N1043" s="582"/>
      <c r="O1043" s="586"/>
      <c r="P1043" s="586"/>
      <c r="Q1043" s="587"/>
      <c r="R1043" s="587"/>
      <c r="S1043" s="588"/>
      <c r="T1043" s="588"/>
      <c r="U1043" s="588"/>
      <c r="V1043" s="588"/>
      <c r="W1043" s="582"/>
      <c r="X1043" s="582"/>
      <c r="Y1043" s="589"/>
      <c r="Z1043" s="589"/>
      <c r="AA1043" s="589"/>
      <c r="AB1043" s="589"/>
      <c r="AC1043" s="589"/>
      <c r="AD1043" s="589"/>
      <c r="AE1043" s="589"/>
      <c r="AF1043" s="396"/>
    </row>
    <row r="1044" customFormat="false" ht="30" hidden="false" customHeight="true" outlineLevel="0" collapsed="false">
      <c r="A1044" s="596"/>
      <c r="B1044" s="596"/>
      <c r="C1044" s="596"/>
      <c r="D1044" s="595"/>
      <c r="E1044" s="595"/>
      <c r="F1044" s="595"/>
      <c r="G1044" s="595"/>
      <c r="H1044" s="595"/>
      <c r="I1044" s="595"/>
      <c r="J1044" s="595"/>
      <c r="K1044" s="595"/>
      <c r="L1044" s="595"/>
      <c r="M1044" s="582"/>
      <c r="N1044" s="582"/>
      <c r="O1044" s="586"/>
      <c r="P1044" s="586"/>
      <c r="Q1044" s="587"/>
      <c r="R1044" s="587"/>
      <c r="S1044" s="588"/>
      <c r="T1044" s="588"/>
      <c r="U1044" s="588"/>
      <c r="V1044" s="588"/>
      <c r="W1044" s="582"/>
      <c r="X1044" s="582"/>
      <c r="Y1044" s="589"/>
      <c r="Z1044" s="589"/>
      <c r="AA1044" s="589"/>
      <c r="AB1044" s="589"/>
      <c r="AC1044" s="589"/>
      <c r="AD1044" s="589"/>
      <c r="AE1044" s="589"/>
      <c r="AF1044" s="396"/>
    </row>
    <row r="1045" customFormat="false" ht="30" hidden="false" customHeight="true" outlineLevel="0" collapsed="false">
      <c r="A1045" s="596"/>
      <c r="B1045" s="596"/>
      <c r="C1045" s="596"/>
      <c r="D1045" s="595"/>
      <c r="E1045" s="595"/>
      <c r="F1045" s="595"/>
      <c r="G1045" s="595"/>
      <c r="H1045" s="595"/>
      <c r="I1045" s="595"/>
      <c r="J1045" s="595"/>
      <c r="K1045" s="595"/>
      <c r="L1045" s="595"/>
      <c r="M1045" s="582"/>
      <c r="N1045" s="582"/>
      <c r="O1045" s="586"/>
      <c r="P1045" s="586"/>
      <c r="Q1045" s="587"/>
      <c r="R1045" s="587"/>
      <c r="S1045" s="588"/>
      <c r="T1045" s="588"/>
      <c r="U1045" s="588"/>
      <c r="V1045" s="588"/>
      <c r="W1045" s="582"/>
      <c r="X1045" s="582"/>
      <c r="Y1045" s="589"/>
      <c r="Z1045" s="589"/>
      <c r="AA1045" s="589"/>
      <c r="AB1045" s="589"/>
      <c r="AC1045" s="589"/>
      <c r="AD1045" s="589"/>
      <c r="AE1045" s="589"/>
      <c r="AF1045" s="396"/>
    </row>
    <row r="1046" customFormat="false" ht="30" hidden="false" customHeight="true" outlineLevel="0" collapsed="false">
      <c r="A1046" s="596"/>
      <c r="B1046" s="596"/>
      <c r="C1046" s="596"/>
      <c r="D1046" s="595"/>
      <c r="E1046" s="595"/>
      <c r="F1046" s="595"/>
      <c r="G1046" s="595"/>
      <c r="H1046" s="595"/>
      <c r="I1046" s="595"/>
      <c r="J1046" s="595"/>
      <c r="K1046" s="595"/>
      <c r="L1046" s="595"/>
      <c r="M1046" s="582"/>
      <c r="N1046" s="582"/>
      <c r="O1046" s="586"/>
      <c r="P1046" s="586"/>
      <c r="Q1046" s="587"/>
      <c r="R1046" s="587"/>
      <c r="S1046" s="588"/>
      <c r="T1046" s="588"/>
      <c r="U1046" s="588"/>
      <c r="V1046" s="588"/>
      <c r="W1046" s="582"/>
      <c r="X1046" s="582"/>
      <c r="Y1046" s="589"/>
      <c r="Z1046" s="589"/>
      <c r="AA1046" s="589"/>
      <c r="AB1046" s="589"/>
      <c r="AC1046" s="589"/>
      <c r="AD1046" s="589"/>
      <c r="AE1046" s="589"/>
      <c r="AF1046" s="396"/>
    </row>
    <row r="1047" customFormat="false" ht="30" hidden="false" customHeight="true" outlineLevel="0" collapsed="false">
      <c r="A1047" s="596"/>
      <c r="B1047" s="596"/>
      <c r="C1047" s="596"/>
      <c r="D1047" s="595"/>
      <c r="E1047" s="595"/>
      <c r="F1047" s="595"/>
      <c r="G1047" s="595"/>
      <c r="H1047" s="595"/>
      <c r="I1047" s="595"/>
      <c r="J1047" s="595"/>
      <c r="K1047" s="595"/>
      <c r="L1047" s="595"/>
      <c r="M1047" s="582"/>
      <c r="N1047" s="582"/>
      <c r="O1047" s="586"/>
      <c r="P1047" s="586"/>
      <c r="Q1047" s="587"/>
      <c r="R1047" s="587"/>
      <c r="S1047" s="588"/>
      <c r="T1047" s="588"/>
      <c r="U1047" s="588"/>
      <c r="V1047" s="588"/>
      <c r="W1047" s="582"/>
      <c r="X1047" s="582"/>
      <c r="Y1047" s="589"/>
      <c r="Z1047" s="589"/>
      <c r="AA1047" s="589"/>
      <c r="AB1047" s="589"/>
      <c r="AC1047" s="589"/>
      <c r="AD1047" s="589"/>
      <c r="AE1047" s="589"/>
      <c r="AF1047" s="396"/>
    </row>
    <row r="1048" customFormat="false" ht="12.75" hidden="false" customHeight="true" outlineLevel="0" collapsed="false">
      <c r="A1048" s="396"/>
      <c r="B1048" s="396"/>
      <c r="C1048" s="396"/>
      <c r="D1048" s="396"/>
      <c r="E1048" s="396"/>
      <c r="F1048" s="396"/>
      <c r="G1048" s="396"/>
      <c r="H1048" s="396"/>
      <c r="I1048" s="396"/>
      <c r="J1048" s="396"/>
      <c r="K1048" s="396"/>
      <c r="L1048" s="396"/>
      <c r="M1048" s="396"/>
      <c r="N1048" s="396"/>
      <c r="O1048" s="396"/>
      <c r="P1048" s="396"/>
      <c r="Q1048" s="396"/>
      <c r="R1048" s="396"/>
      <c r="S1048" s="396"/>
      <c r="T1048" s="396"/>
      <c r="U1048" s="396"/>
      <c r="V1048" s="396"/>
      <c r="W1048" s="396"/>
      <c r="X1048" s="396"/>
      <c r="Y1048" s="396"/>
      <c r="Z1048" s="396"/>
      <c r="AA1048" s="396"/>
      <c r="AB1048" s="396"/>
      <c r="AC1048" s="396"/>
      <c r="AD1048" s="396"/>
      <c r="AE1048" s="396"/>
      <c r="AF1048" s="396"/>
    </row>
    <row r="1049" customFormat="false" ht="12.75" hidden="false" customHeight="true" outlineLevel="0" collapsed="false">
      <c r="A1049" s="396"/>
      <c r="B1049" s="396"/>
      <c r="C1049" s="396"/>
      <c r="D1049" s="396"/>
      <c r="E1049" s="396"/>
      <c r="F1049" s="396"/>
      <c r="G1049" s="396"/>
      <c r="H1049" s="396"/>
      <c r="I1049" s="396"/>
      <c r="J1049" s="396"/>
      <c r="K1049" s="396"/>
      <c r="L1049" s="396"/>
      <c r="M1049" s="396"/>
      <c r="N1049" s="396"/>
      <c r="O1049" s="396"/>
      <c r="P1049" s="396"/>
      <c r="Q1049" s="396"/>
      <c r="R1049" s="396"/>
      <c r="S1049" s="396"/>
      <c r="T1049" s="396"/>
      <c r="U1049" s="396"/>
      <c r="V1049" s="396"/>
      <c r="W1049" s="396"/>
      <c r="X1049" s="396"/>
      <c r="Y1049" s="396"/>
      <c r="Z1049" s="396"/>
      <c r="AA1049" s="396"/>
      <c r="AB1049" s="591"/>
      <c r="AC1049" s="592"/>
      <c r="AD1049" s="593"/>
      <c r="AE1049" s="593"/>
      <c r="AF1049" s="593"/>
    </row>
    <row r="1050" customFormat="false" ht="12.75" hidden="false" customHeight="true" outlineLevel="0" collapsed="false">
      <c r="A1050" s="577"/>
      <c r="B1050" s="577"/>
      <c r="C1050" s="578"/>
      <c r="D1050" s="578"/>
      <c r="E1050" s="578"/>
      <c r="F1050" s="578"/>
      <c r="G1050" s="578"/>
      <c r="H1050" s="578"/>
      <c r="I1050" s="578"/>
      <c r="J1050" s="578"/>
      <c r="K1050" s="578"/>
      <c r="L1050" s="578"/>
      <c r="M1050" s="577"/>
      <c r="N1050" s="577"/>
      <c r="O1050" s="577"/>
      <c r="P1050" s="577"/>
      <c r="Q1050" s="577"/>
      <c r="R1050" s="578"/>
      <c r="S1050" s="578"/>
      <c r="T1050" s="578"/>
      <c r="U1050" s="578"/>
      <c r="V1050" s="578"/>
      <c r="W1050" s="578"/>
      <c r="X1050" s="578"/>
      <c r="Y1050" s="578"/>
      <c r="Z1050" s="578"/>
      <c r="AA1050" s="578"/>
      <c r="AB1050" s="578"/>
      <c r="AC1050" s="578"/>
      <c r="AD1050" s="578"/>
      <c r="AE1050" s="578"/>
      <c r="AF1050" s="578"/>
    </row>
    <row r="1051" customFormat="false" ht="12.75" hidden="false" customHeight="true" outlineLevel="0" collapsed="false">
      <c r="A1051" s="458"/>
      <c r="B1051" s="458"/>
      <c r="C1051" s="459"/>
      <c r="D1051" s="459"/>
      <c r="E1051" s="459"/>
      <c r="F1051" s="459"/>
      <c r="G1051" s="459"/>
      <c r="H1051" s="459"/>
      <c r="I1051" s="459"/>
      <c r="J1051" s="459"/>
      <c r="K1051" s="459"/>
      <c r="L1051" s="459"/>
      <c r="M1051" s="458"/>
      <c r="N1051" s="458"/>
      <c r="O1051" s="458"/>
      <c r="P1051" s="458"/>
      <c r="Q1051" s="458"/>
      <c r="R1051" s="459"/>
      <c r="S1051" s="459"/>
      <c r="T1051" s="459"/>
      <c r="U1051" s="459"/>
      <c r="V1051" s="459"/>
      <c r="W1051" s="459"/>
      <c r="X1051" s="459"/>
      <c r="Y1051" s="459"/>
      <c r="Z1051" s="459"/>
      <c r="AA1051" s="459"/>
      <c r="AB1051" s="459"/>
      <c r="AC1051" s="459"/>
      <c r="AD1051" s="459"/>
      <c r="AE1051" s="459"/>
      <c r="AF1051" s="459"/>
    </row>
    <row r="1052" customFormat="false" ht="15.75" hidden="false" customHeight="true" outlineLevel="0" collapsed="false">
      <c r="A1052" s="579"/>
      <c r="B1052" s="579"/>
      <c r="C1052" s="579"/>
      <c r="D1052" s="580"/>
      <c r="E1052" s="580"/>
      <c r="F1052" s="580"/>
      <c r="G1052" s="580"/>
      <c r="H1052" s="580"/>
      <c r="I1052" s="580"/>
      <c r="J1052" s="580"/>
      <c r="K1052" s="580"/>
      <c r="L1052" s="580"/>
      <c r="M1052" s="458"/>
      <c r="N1052" s="458"/>
      <c r="O1052" s="458"/>
      <c r="P1052" s="459"/>
      <c r="Q1052" s="458"/>
      <c r="R1052" s="459"/>
      <c r="S1052" s="459"/>
      <c r="T1052" s="459"/>
      <c r="U1052" s="459"/>
      <c r="V1052" s="459"/>
      <c r="W1052" s="459"/>
      <c r="X1052" s="459"/>
      <c r="Y1052" s="459"/>
      <c r="Z1052" s="459"/>
      <c r="AA1052" s="459"/>
      <c r="AB1052" s="459"/>
      <c r="AC1052" s="459"/>
      <c r="AD1052" s="459"/>
      <c r="AE1052" s="459"/>
      <c r="AF1052" s="459"/>
    </row>
    <row r="1053" customFormat="false" ht="15.75" hidden="false" customHeight="true" outlineLevel="0" collapsed="false">
      <c r="A1053" s="581"/>
      <c r="B1053" s="581"/>
      <c r="C1053" s="581"/>
      <c r="D1053" s="581"/>
      <c r="E1053" s="581"/>
      <c r="F1053" s="581"/>
      <c r="G1053" s="581"/>
      <c r="H1053" s="581"/>
      <c r="I1053" s="581"/>
      <c r="J1053" s="581"/>
      <c r="K1053" s="581"/>
      <c r="L1053" s="581"/>
      <c r="M1053" s="582"/>
      <c r="N1053" s="582"/>
      <c r="O1053" s="583"/>
      <c r="P1053" s="583"/>
      <c r="Q1053" s="583"/>
      <c r="R1053" s="583"/>
      <c r="S1053" s="584"/>
      <c r="T1053" s="584"/>
      <c r="U1053" s="584"/>
      <c r="V1053" s="584"/>
      <c r="W1053" s="582"/>
      <c r="X1053" s="582"/>
      <c r="Y1053" s="582"/>
      <c r="Z1053" s="582"/>
      <c r="AA1053" s="582"/>
      <c r="AB1053" s="582"/>
      <c r="AC1053" s="582"/>
      <c r="AD1053" s="582"/>
      <c r="AE1053" s="582"/>
      <c r="AF1053" s="459"/>
    </row>
    <row r="1054" customFormat="false" ht="15.75" hidden="false" customHeight="true" outlineLevel="0" collapsed="false">
      <c r="A1054" s="581"/>
      <c r="B1054" s="581"/>
      <c r="C1054" s="581"/>
      <c r="D1054" s="581"/>
      <c r="E1054" s="581"/>
      <c r="F1054" s="581"/>
      <c r="G1054" s="581"/>
      <c r="H1054" s="581"/>
      <c r="I1054" s="581"/>
      <c r="J1054" s="581"/>
      <c r="K1054" s="581"/>
      <c r="L1054" s="581"/>
      <c r="M1054" s="582"/>
      <c r="N1054" s="582"/>
      <c r="O1054" s="583"/>
      <c r="P1054" s="583"/>
      <c r="Q1054" s="583"/>
      <c r="R1054" s="583"/>
      <c r="S1054" s="584"/>
      <c r="T1054" s="584"/>
      <c r="U1054" s="584"/>
      <c r="V1054" s="584"/>
      <c r="W1054" s="582"/>
      <c r="X1054" s="582"/>
      <c r="Y1054" s="582"/>
      <c r="Z1054" s="582"/>
      <c r="AA1054" s="582"/>
      <c r="AB1054" s="582"/>
      <c r="AC1054" s="582"/>
      <c r="AD1054" s="582"/>
      <c r="AE1054" s="582"/>
      <c r="AF1054" s="459"/>
    </row>
    <row r="1055" customFormat="false" ht="30" hidden="false" customHeight="true" outlineLevel="0" collapsed="false">
      <c r="A1055" s="581"/>
      <c r="B1055" s="581"/>
      <c r="C1055" s="581"/>
      <c r="D1055" s="581"/>
      <c r="E1055" s="581"/>
      <c r="F1055" s="581"/>
      <c r="G1055" s="581"/>
      <c r="H1055" s="581"/>
      <c r="I1055" s="581"/>
      <c r="J1055" s="581"/>
      <c r="K1055" s="581"/>
      <c r="L1055" s="581"/>
      <c r="M1055" s="582"/>
      <c r="N1055" s="582"/>
      <c r="O1055" s="583"/>
      <c r="P1055" s="583"/>
      <c r="Q1055" s="583"/>
      <c r="R1055" s="583"/>
      <c r="S1055" s="584"/>
      <c r="T1055" s="584"/>
      <c r="U1055" s="584"/>
      <c r="V1055" s="584"/>
      <c r="W1055" s="582"/>
      <c r="X1055" s="582"/>
      <c r="Y1055" s="582"/>
      <c r="Z1055" s="582"/>
      <c r="AA1055" s="582"/>
      <c r="AB1055" s="582"/>
      <c r="AC1055" s="582"/>
      <c r="AD1055" s="582"/>
      <c r="AE1055" s="582"/>
      <c r="AF1055" s="468"/>
    </row>
    <row r="1056" customFormat="false" ht="30" hidden="false" customHeight="true" outlineLevel="0" collapsed="false">
      <c r="A1056" s="594"/>
      <c r="B1056" s="594"/>
      <c r="C1056" s="594"/>
      <c r="D1056" s="595"/>
      <c r="E1056" s="595"/>
      <c r="F1056" s="595"/>
      <c r="G1056" s="595"/>
      <c r="H1056" s="595"/>
      <c r="I1056" s="595"/>
      <c r="J1056" s="595"/>
      <c r="K1056" s="595"/>
      <c r="L1056" s="595"/>
      <c r="M1056" s="582"/>
      <c r="N1056" s="582"/>
      <c r="O1056" s="586"/>
      <c r="P1056" s="586"/>
      <c r="Q1056" s="587"/>
      <c r="R1056" s="587"/>
      <c r="S1056" s="588"/>
      <c r="T1056" s="588"/>
      <c r="U1056" s="588"/>
      <c r="V1056" s="588"/>
      <c r="W1056" s="582"/>
      <c r="X1056" s="582"/>
      <c r="Y1056" s="589"/>
      <c r="Z1056" s="589"/>
      <c r="AA1056" s="589"/>
      <c r="AB1056" s="589"/>
      <c r="AC1056" s="589"/>
      <c r="AD1056" s="589"/>
      <c r="AE1056" s="589"/>
      <c r="AF1056" s="468"/>
    </row>
    <row r="1057" customFormat="false" ht="30" hidden="false" customHeight="true" outlineLevel="0" collapsed="false">
      <c r="A1057" s="594"/>
      <c r="B1057" s="594"/>
      <c r="C1057" s="594"/>
      <c r="D1057" s="595"/>
      <c r="E1057" s="595"/>
      <c r="F1057" s="595"/>
      <c r="G1057" s="595"/>
      <c r="H1057" s="595"/>
      <c r="I1057" s="595"/>
      <c r="J1057" s="595"/>
      <c r="K1057" s="595"/>
      <c r="L1057" s="595"/>
      <c r="M1057" s="582"/>
      <c r="N1057" s="582"/>
      <c r="O1057" s="586"/>
      <c r="P1057" s="586"/>
      <c r="Q1057" s="587"/>
      <c r="R1057" s="587"/>
      <c r="S1057" s="588"/>
      <c r="T1057" s="588"/>
      <c r="U1057" s="588"/>
      <c r="V1057" s="588"/>
      <c r="W1057" s="582"/>
      <c r="X1057" s="582"/>
      <c r="Y1057" s="589"/>
      <c r="Z1057" s="589"/>
      <c r="AA1057" s="589"/>
      <c r="AB1057" s="589"/>
      <c r="AC1057" s="589"/>
      <c r="AD1057" s="589"/>
      <c r="AE1057" s="589"/>
      <c r="AF1057" s="468"/>
    </row>
    <row r="1058" customFormat="false" ht="30" hidden="false" customHeight="true" outlineLevel="0" collapsed="false">
      <c r="A1058" s="594"/>
      <c r="B1058" s="594"/>
      <c r="C1058" s="594"/>
      <c r="D1058" s="595"/>
      <c r="E1058" s="595"/>
      <c r="F1058" s="595"/>
      <c r="G1058" s="595"/>
      <c r="H1058" s="595"/>
      <c r="I1058" s="595"/>
      <c r="J1058" s="595"/>
      <c r="K1058" s="595"/>
      <c r="L1058" s="595"/>
      <c r="M1058" s="582"/>
      <c r="N1058" s="582"/>
      <c r="O1058" s="586"/>
      <c r="P1058" s="586"/>
      <c r="Q1058" s="587"/>
      <c r="R1058" s="587"/>
      <c r="S1058" s="588"/>
      <c r="T1058" s="588"/>
      <c r="U1058" s="588"/>
      <c r="V1058" s="588"/>
      <c r="W1058" s="582"/>
      <c r="X1058" s="582"/>
      <c r="Y1058" s="589"/>
      <c r="Z1058" s="589"/>
      <c r="AA1058" s="589"/>
      <c r="AB1058" s="589"/>
      <c r="AC1058" s="589"/>
      <c r="AD1058" s="589"/>
      <c r="AE1058" s="589"/>
      <c r="AF1058" s="468"/>
    </row>
    <row r="1059" customFormat="false" ht="30" hidden="false" customHeight="true" outlineLevel="0" collapsed="false">
      <c r="A1059" s="581"/>
      <c r="B1059" s="581"/>
      <c r="C1059" s="581"/>
      <c r="D1059" s="585"/>
      <c r="E1059" s="585"/>
      <c r="F1059" s="585"/>
      <c r="G1059" s="585"/>
      <c r="H1059" s="585"/>
      <c r="I1059" s="585"/>
      <c r="J1059" s="585"/>
      <c r="K1059" s="585"/>
      <c r="L1059" s="585"/>
      <c r="M1059" s="582"/>
      <c r="N1059" s="582"/>
      <c r="O1059" s="590"/>
      <c r="P1059" s="590"/>
      <c r="Q1059" s="590"/>
      <c r="R1059" s="590"/>
      <c r="S1059" s="590"/>
      <c r="T1059" s="590"/>
      <c r="U1059" s="590"/>
      <c r="V1059" s="590"/>
      <c r="W1059" s="582"/>
      <c r="X1059" s="582"/>
      <c r="Y1059" s="589"/>
      <c r="Z1059" s="589"/>
      <c r="AA1059" s="589"/>
      <c r="AB1059" s="589"/>
      <c r="AC1059" s="589"/>
      <c r="AD1059" s="589"/>
      <c r="AE1059" s="589"/>
      <c r="AF1059" s="468"/>
    </row>
    <row r="1060" customFormat="false" ht="30" hidden="false" customHeight="true" outlineLevel="0" collapsed="false">
      <c r="A1060" s="581"/>
      <c r="B1060" s="581"/>
      <c r="C1060" s="581"/>
      <c r="D1060" s="585"/>
      <c r="E1060" s="585"/>
      <c r="F1060" s="585"/>
      <c r="G1060" s="585"/>
      <c r="H1060" s="585"/>
      <c r="I1060" s="585"/>
      <c r="J1060" s="585"/>
      <c r="K1060" s="585"/>
      <c r="L1060" s="585"/>
      <c r="M1060" s="582"/>
      <c r="N1060" s="582"/>
      <c r="O1060" s="590"/>
      <c r="P1060" s="590"/>
      <c r="Q1060" s="590"/>
      <c r="R1060" s="590"/>
      <c r="S1060" s="590"/>
      <c r="T1060" s="590"/>
      <c r="U1060" s="590"/>
      <c r="V1060" s="590"/>
      <c r="W1060" s="582"/>
      <c r="X1060" s="582"/>
      <c r="Y1060" s="589"/>
      <c r="Z1060" s="589"/>
      <c r="AA1060" s="589"/>
      <c r="AB1060" s="589"/>
      <c r="AC1060" s="589"/>
      <c r="AD1060" s="589"/>
      <c r="AE1060" s="589"/>
      <c r="AF1060" s="468"/>
    </row>
    <row r="1061" customFormat="false" ht="30" hidden="false" customHeight="true" outlineLevel="0" collapsed="false">
      <c r="A1061" s="581"/>
      <c r="B1061" s="581"/>
      <c r="C1061" s="581"/>
      <c r="D1061" s="585"/>
      <c r="E1061" s="585"/>
      <c r="F1061" s="585"/>
      <c r="G1061" s="585"/>
      <c r="H1061" s="585"/>
      <c r="I1061" s="585"/>
      <c r="J1061" s="585"/>
      <c r="K1061" s="585"/>
      <c r="L1061" s="585"/>
      <c r="M1061" s="582"/>
      <c r="N1061" s="582"/>
      <c r="O1061" s="586"/>
      <c r="P1061" s="586"/>
      <c r="Q1061" s="587"/>
      <c r="R1061" s="587"/>
      <c r="S1061" s="588"/>
      <c r="T1061" s="588"/>
      <c r="U1061" s="588"/>
      <c r="V1061" s="588"/>
      <c r="W1061" s="582"/>
      <c r="X1061" s="582"/>
      <c r="Y1061" s="589"/>
      <c r="Z1061" s="589"/>
      <c r="AA1061" s="589"/>
      <c r="AB1061" s="589"/>
      <c r="AC1061" s="589"/>
      <c r="AD1061" s="589"/>
      <c r="AE1061" s="589"/>
      <c r="AF1061" s="468"/>
    </row>
    <row r="1062" customFormat="false" ht="30" hidden="false" customHeight="true" outlineLevel="0" collapsed="false">
      <c r="A1062" s="581"/>
      <c r="B1062" s="581"/>
      <c r="C1062" s="581"/>
      <c r="D1062" s="585"/>
      <c r="E1062" s="585"/>
      <c r="F1062" s="585"/>
      <c r="G1062" s="585"/>
      <c r="H1062" s="585"/>
      <c r="I1062" s="585"/>
      <c r="J1062" s="585"/>
      <c r="K1062" s="585"/>
      <c r="L1062" s="585"/>
      <c r="M1062" s="582"/>
      <c r="N1062" s="582"/>
      <c r="O1062" s="586"/>
      <c r="P1062" s="586"/>
      <c r="Q1062" s="587"/>
      <c r="R1062" s="587"/>
      <c r="S1062" s="588"/>
      <c r="T1062" s="588"/>
      <c r="U1062" s="588"/>
      <c r="V1062" s="588"/>
      <c r="W1062" s="582"/>
      <c r="X1062" s="582"/>
      <c r="Y1062" s="589"/>
      <c r="Z1062" s="589"/>
      <c r="AA1062" s="589"/>
      <c r="AB1062" s="589"/>
      <c r="AC1062" s="589"/>
      <c r="AD1062" s="589"/>
      <c r="AE1062" s="589"/>
      <c r="AF1062" s="468"/>
    </row>
    <row r="1063" customFormat="false" ht="30" hidden="false" customHeight="true" outlineLevel="0" collapsed="false">
      <c r="A1063" s="581"/>
      <c r="B1063" s="581"/>
      <c r="C1063" s="581"/>
      <c r="D1063" s="585"/>
      <c r="E1063" s="585"/>
      <c r="F1063" s="585"/>
      <c r="G1063" s="585"/>
      <c r="H1063" s="585"/>
      <c r="I1063" s="585"/>
      <c r="J1063" s="585"/>
      <c r="K1063" s="585"/>
      <c r="L1063" s="585"/>
      <c r="M1063" s="582"/>
      <c r="N1063" s="582"/>
      <c r="O1063" s="586"/>
      <c r="P1063" s="586"/>
      <c r="Q1063" s="587"/>
      <c r="R1063" s="587"/>
      <c r="S1063" s="588"/>
      <c r="T1063" s="588"/>
      <c r="U1063" s="588"/>
      <c r="V1063" s="588"/>
      <c r="W1063" s="582"/>
      <c r="X1063" s="582"/>
      <c r="Y1063" s="589"/>
      <c r="Z1063" s="589"/>
      <c r="AA1063" s="589"/>
      <c r="AB1063" s="589"/>
      <c r="AC1063" s="589"/>
      <c r="AD1063" s="589"/>
      <c r="AE1063" s="589"/>
      <c r="AF1063" s="468"/>
    </row>
    <row r="1064" customFormat="false" ht="30" hidden="false" customHeight="true" outlineLevel="0" collapsed="false">
      <c r="A1064" s="581"/>
      <c r="B1064" s="581"/>
      <c r="C1064" s="581"/>
      <c r="D1064" s="585"/>
      <c r="E1064" s="585"/>
      <c r="F1064" s="585"/>
      <c r="G1064" s="585"/>
      <c r="H1064" s="585"/>
      <c r="I1064" s="585"/>
      <c r="J1064" s="585"/>
      <c r="K1064" s="585"/>
      <c r="L1064" s="585"/>
      <c r="M1064" s="582"/>
      <c r="N1064" s="582"/>
      <c r="O1064" s="586"/>
      <c r="P1064" s="586"/>
      <c r="Q1064" s="587"/>
      <c r="R1064" s="587"/>
      <c r="S1064" s="588"/>
      <c r="T1064" s="588"/>
      <c r="U1064" s="588"/>
      <c r="V1064" s="588"/>
      <c r="W1064" s="582"/>
      <c r="X1064" s="582"/>
      <c r="Y1064" s="589"/>
      <c r="Z1064" s="589"/>
      <c r="AA1064" s="589"/>
      <c r="AB1064" s="589"/>
      <c r="AC1064" s="589"/>
      <c r="AD1064" s="589"/>
      <c r="AE1064" s="589"/>
      <c r="AF1064" s="468"/>
    </row>
    <row r="1065" customFormat="false" ht="30" hidden="false" customHeight="true" outlineLevel="0" collapsed="false">
      <c r="A1065" s="581"/>
      <c r="B1065" s="581"/>
      <c r="C1065" s="581"/>
      <c r="D1065" s="585"/>
      <c r="E1065" s="585"/>
      <c r="F1065" s="585"/>
      <c r="G1065" s="585"/>
      <c r="H1065" s="585"/>
      <c r="I1065" s="585"/>
      <c r="J1065" s="585"/>
      <c r="K1065" s="585"/>
      <c r="L1065" s="585"/>
      <c r="M1065" s="582"/>
      <c r="N1065" s="582"/>
      <c r="O1065" s="590"/>
      <c r="P1065" s="590"/>
      <c r="Q1065" s="590"/>
      <c r="R1065" s="590"/>
      <c r="S1065" s="590"/>
      <c r="T1065" s="590"/>
      <c r="U1065" s="590"/>
      <c r="V1065" s="590"/>
      <c r="W1065" s="582"/>
      <c r="X1065" s="582"/>
      <c r="Y1065" s="589"/>
      <c r="Z1065" s="589"/>
      <c r="AA1065" s="589"/>
      <c r="AB1065" s="589"/>
      <c r="AC1065" s="589"/>
      <c r="AD1065" s="589"/>
      <c r="AE1065" s="589"/>
      <c r="AF1065" s="468"/>
    </row>
    <row r="1066" customFormat="false" ht="30" hidden="false" customHeight="true" outlineLevel="0" collapsed="false">
      <c r="A1066" s="581"/>
      <c r="B1066" s="581"/>
      <c r="C1066" s="581"/>
      <c r="D1066" s="585"/>
      <c r="E1066" s="585"/>
      <c r="F1066" s="585"/>
      <c r="G1066" s="585"/>
      <c r="H1066" s="585"/>
      <c r="I1066" s="585"/>
      <c r="J1066" s="585"/>
      <c r="K1066" s="585"/>
      <c r="L1066" s="585"/>
      <c r="M1066" s="582"/>
      <c r="N1066" s="582"/>
      <c r="O1066" s="586"/>
      <c r="P1066" s="586"/>
      <c r="Q1066" s="587"/>
      <c r="R1066" s="587"/>
      <c r="S1066" s="588"/>
      <c r="T1066" s="588"/>
      <c r="U1066" s="588"/>
      <c r="V1066" s="588"/>
      <c r="W1066" s="582"/>
      <c r="X1066" s="582"/>
      <c r="Y1066" s="589"/>
      <c r="Z1066" s="589"/>
      <c r="AA1066" s="589"/>
      <c r="AB1066" s="589"/>
      <c r="AC1066" s="589"/>
      <c r="AD1066" s="589"/>
      <c r="AE1066" s="589"/>
      <c r="AF1066" s="396"/>
    </row>
    <row r="1067" customFormat="false" ht="30" hidden="false" customHeight="true" outlineLevel="0" collapsed="false">
      <c r="A1067" s="581"/>
      <c r="B1067" s="581"/>
      <c r="C1067" s="581"/>
      <c r="D1067" s="585"/>
      <c r="E1067" s="585"/>
      <c r="F1067" s="585"/>
      <c r="G1067" s="585"/>
      <c r="H1067" s="585"/>
      <c r="I1067" s="585"/>
      <c r="J1067" s="585"/>
      <c r="K1067" s="585"/>
      <c r="L1067" s="585"/>
      <c r="M1067" s="582"/>
      <c r="N1067" s="582"/>
      <c r="O1067" s="586"/>
      <c r="P1067" s="586"/>
      <c r="Q1067" s="587"/>
      <c r="R1067" s="587"/>
      <c r="S1067" s="588"/>
      <c r="T1067" s="588"/>
      <c r="U1067" s="588"/>
      <c r="V1067" s="588"/>
      <c r="W1067" s="582"/>
      <c r="X1067" s="582"/>
      <c r="Y1067" s="589"/>
      <c r="Z1067" s="589"/>
      <c r="AA1067" s="589"/>
      <c r="AB1067" s="589"/>
      <c r="AC1067" s="589"/>
      <c r="AD1067" s="589"/>
      <c r="AE1067" s="589"/>
      <c r="AF1067" s="396"/>
    </row>
    <row r="1068" customFormat="false" ht="30" hidden="false" customHeight="true" outlineLevel="0" collapsed="false">
      <c r="A1068" s="581"/>
      <c r="B1068" s="581"/>
      <c r="C1068" s="581"/>
      <c r="D1068" s="585"/>
      <c r="E1068" s="585"/>
      <c r="F1068" s="585"/>
      <c r="G1068" s="585"/>
      <c r="H1068" s="585"/>
      <c r="I1068" s="585"/>
      <c r="J1068" s="585"/>
      <c r="K1068" s="585"/>
      <c r="L1068" s="585"/>
      <c r="M1068" s="582"/>
      <c r="N1068" s="582"/>
      <c r="O1068" s="586"/>
      <c r="P1068" s="586"/>
      <c r="Q1068" s="587"/>
      <c r="R1068" s="587"/>
      <c r="S1068" s="588"/>
      <c r="T1068" s="588"/>
      <c r="U1068" s="588"/>
      <c r="V1068" s="588"/>
      <c r="W1068" s="582"/>
      <c r="X1068" s="582"/>
      <c r="Y1068" s="589"/>
      <c r="Z1068" s="589"/>
      <c r="AA1068" s="589"/>
      <c r="AB1068" s="589"/>
      <c r="AC1068" s="589"/>
      <c r="AD1068" s="589"/>
      <c r="AE1068" s="589"/>
      <c r="AF1068" s="396"/>
    </row>
    <row r="1069" customFormat="false" ht="30" hidden="false" customHeight="true" outlineLevel="0" collapsed="false">
      <c r="A1069" s="581"/>
      <c r="B1069" s="581"/>
      <c r="C1069" s="581"/>
      <c r="D1069" s="595"/>
      <c r="E1069" s="595"/>
      <c r="F1069" s="595"/>
      <c r="G1069" s="595"/>
      <c r="H1069" s="595"/>
      <c r="I1069" s="595"/>
      <c r="J1069" s="595"/>
      <c r="K1069" s="595"/>
      <c r="L1069" s="595"/>
      <c r="M1069" s="582"/>
      <c r="N1069" s="582"/>
      <c r="O1069" s="586"/>
      <c r="P1069" s="586"/>
      <c r="Q1069" s="587"/>
      <c r="R1069" s="587"/>
      <c r="S1069" s="588"/>
      <c r="T1069" s="588"/>
      <c r="U1069" s="588"/>
      <c r="V1069" s="588"/>
      <c r="W1069" s="582"/>
      <c r="X1069" s="582"/>
      <c r="Y1069" s="589"/>
      <c r="Z1069" s="589"/>
      <c r="AA1069" s="589"/>
      <c r="AB1069" s="589"/>
      <c r="AC1069" s="589"/>
      <c r="AD1069" s="589"/>
      <c r="AE1069" s="589"/>
      <c r="AF1069" s="396"/>
    </row>
    <row r="1070" customFormat="false" ht="30" hidden="false" customHeight="true" outlineLevel="0" collapsed="false">
      <c r="A1070" s="581"/>
      <c r="B1070" s="581"/>
      <c r="C1070" s="581"/>
      <c r="D1070" s="595"/>
      <c r="E1070" s="595"/>
      <c r="F1070" s="595"/>
      <c r="G1070" s="595"/>
      <c r="H1070" s="595"/>
      <c r="I1070" s="595"/>
      <c r="J1070" s="595"/>
      <c r="K1070" s="595"/>
      <c r="L1070" s="595"/>
      <c r="M1070" s="582"/>
      <c r="N1070" s="582"/>
      <c r="O1070" s="586"/>
      <c r="P1070" s="586"/>
      <c r="Q1070" s="587"/>
      <c r="R1070" s="587"/>
      <c r="S1070" s="588"/>
      <c r="T1070" s="588"/>
      <c r="U1070" s="588"/>
      <c r="V1070" s="588"/>
      <c r="W1070" s="582"/>
      <c r="X1070" s="582"/>
      <c r="Y1070" s="589"/>
      <c r="Z1070" s="589"/>
      <c r="AA1070" s="589"/>
      <c r="AB1070" s="589"/>
      <c r="AC1070" s="589"/>
      <c r="AD1070" s="589"/>
      <c r="AE1070" s="589"/>
      <c r="AF1070" s="396"/>
    </row>
    <row r="1071" customFormat="false" ht="30" hidden="false" customHeight="true" outlineLevel="0" collapsed="false">
      <c r="A1071" s="581"/>
      <c r="B1071" s="581"/>
      <c r="C1071" s="581"/>
      <c r="D1071" s="595"/>
      <c r="E1071" s="595"/>
      <c r="F1071" s="595"/>
      <c r="G1071" s="595"/>
      <c r="H1071" s="595"/>
      <c r="I1071" s="595"/>
      <c r="J1071" s="595"/>
      <c r="K1071" s="595"/>
      <c r="L1071" s="595"/>
      <c r="M1071" s="582"/>
      <c r="N1071" s="582"/>
      <c r="O1071" s="586"/>
      <c r="P1071" s="586"/>
      <c r="Q1071" s="587"/>
      <c r="R1071" s="587"/>
      <c r="S1071" s="588"/>
      <c r="T1071" s="588"/>
      <c r="U1071" s="588"/>
      <c r="V1071" s="588"/>
      <c r="W1071" s="582"/>
      <c r="X1071" s="582"/>
      <c r="Y1071" s="589"/>
      <c r="Z1071" s="589"/>
      <c r="AA1071" s="589"/>
      <c r="AB1071" s="589"/>
      <c r="AC1071" s="589"/>
      <c r="AD1071" s="589"/>
      <c r="AE1071" s="589"/>
      <c r="AF1071" s="396"/>
    </row>
    <row r="1072" customFormat="false" ht="30" hidden="false" customHeight="true" outlineLevel="0" collapsed="false">
      <c r="A1072" s="581"/>
      <c r="B1072" s="581"/>
      <c r="C1072" s="581"/>
      <c r="D1072" s="595"/>
      <c r="E1072" s="595"/>
      <c r="F1072" s="595"/>
      <c r="G1072" s="595"/>
      <c r="H1072" s="595"/>
      <c r="I1072" s="595"/>
      <c r="J1072" s="595"/>
      <c r="K1072" s="595"/>
      <c r="L1072" s="595"/>
      <c r="M1072" s="582"/>
      <c r="N1072" s="582"/>
      <c r="O1072" s="586"/>
      <c r="P1072" s="586"/>
      <c r="Q1072" s="587"/>
      <c r="R1072" s="587"/>
      <c r="S1072" s="588"/>
      <c r="T1072" s="588"/>
      <c r="U1072" s="588"/>
      <c r="V1072" s="588"/>
      <c r="W1072" s="582"/>
      <c r="X1072" s="582"/>
      <c r="Y1072" s="589"/>
      <c r="Z1072" s="589"/>
      <c r="AA1072" s="589"/>
      <c r="AB1072" s="589"/>
      <c r="AC1072" s="589"/>
      <c r="AD1072" s="589"/>
      <c r="AE1072" s="589"/>
      <c r="AF1072" s="396"/>
    </row>
    <row r="1073" customFormat="false" ht="30" hidden="false" customHeight="true" outlineLevel="0" collapsed="false">
      <c r="A1073" s="581"/>
      <c r="B1073" s="581"/>
      <c r="C1073" s="581"/>
      <c r="D1073" s="595"/>
      <c r="E1073" s="595"/>
      <c r="F1073" s="595"/>
      <c r="G1073" s="595"/>
      <c r="H1073" s="595"/>
      <c r="I1073" s="595"/>
      <c r="J1073" s="595"/>
      <c r="K1073" s="595"/>
      <c r="L1073" s="595"/>
      <c r="M1073" s="582"/>
      <c r="N1073" s="582"/>
      <c r="O1073" s="586"/>
      <c r="P1073" s="586"/>
      <c r="Q1073" s="587"/>
      <c r="R1073" s="587"/>
      <c r="S1073" s="588"/>
      <c r="T1073" s="588"/>
      <c r="U1073" s="588"/>
      <c r="V1073" s="588"/>
      <c r="W1073" s="582"/>
      <c r="X1073" s="582"/>
      <c r="Y1073" s="589"/>
      <c r="Z1073" s="589"/>
      <c r="AA1073" s="589"/>
      <c r="AB1073" s="589"/>
      <c r="AC1073" s="589"/>
      <c r="AD1073" s="589"/>
      <c r="AE1073" s="589"/>
      <c r="AF1073" s="396"/>
    </row>
    <row r="1074" customFormat="false" ht="30" hidden="false" customHeight="true" outlineLevel="0" collapsed="false">
      <c r="A1074" s="581"/>
      <c r="B1074" s="581"/>
      <c r="C1074" s="581"/>
      <c r="D1074" s="595"/>
      <c r="E1074" s="595"/>
      <c r="F1074" s="595"/>
      <c r="G1074" s="595"/>
      <c r="H1074" s="595"/>
      <c r="I1074" s="595"/>
      <c r="J1074" s="595"/>
      <c r="K1074" s="595"/>
      <c r="L1074" s="595"/>
      <c r="M1074" s="582"/>
      <c r="N1074" s="582"/>
      <c r="O1074" s="586"/>
      <c r="P1074" s="586"/>
      <c r="Q1074" s="587"/>
      <c r="R1074" s="587"/>
      <c r="S1074" s="588"/>
      <c r="T1074" s="588"/>
      <c r="U1074" s="588"/>
      <c r="V1074" s="588"/>
      <c r="W1074" s="582"/>
      <c r="X1074" s="582"/>
      <c r="Y1074" s="589"/>
      <c r="Z1074" s="589"/>
      <c r="AA1074" s="589"/>
      <c r="AB1074" s="589"/>
      <c r="AC1074" s="589"/>
      <c r="AD1074" s="589"/>
      <c r="AE1074" s="589"/>
      <c r="AF1074" s="396"/>
    </row>
    <row r="1075" customFormat="false" ht="12.75" hidden="false" customHeight="true" outlineLevel="0" collapsed="false">
      <c r="A1075" s="396"/>
      <c r="B1075" s="396"/>
      <c r="C1075" s="396"/>
      <c r="D1075" s="396"/>
      <c r="E1075" s="396"/>
      <c r="F1075" s="396"/>
      <c r="G1075" s="396"/>
      <c r="H1075" s="396"/>
      <c r="I1075" s="396"/>
      <c r="J1075" s="396"/>
      <c r="K1075" s="396"/>
      <c r="L1075" s="396"/>
      <c r="M1075" s="396"/>
      <c r="N1075" s="396"/>
      <c r="O1075" s="396"/>
      <c r="P1075" s="396"/>
      <c r="Q1075" s="396"/>
      <c r="R1075" s="396"/>
      <c r="S1075" s="396"/>
      <c r="T1075" s="396"/>
      <c r="U1075" s="396"/>
      <c r="V1075" s="396"/>
      <c r="W1075" s="396"/>
      <c r="X1075" s="396"/>
      <c r="Y1075" s="396"/>
      <c r="Z1075" s="396"/>
      <c r="AA1075" s="396"/>
      <c r="AB1075" s="396"/>
      <c r="AC1075" s="396"/>
      <c r="AD1075" s="396"/>
      <c r="AE1075" s="396"/>
      <c r="AF1075" s="396"/>
    </row>
    <row r="1076" customFormat="false" ht="12.75" hidden="false" customHeight="true" outlineLevel="0" collapsed="false">
      <c r="A1076" s="396"/>
      <c r="B1076" s="396"/>
      <c r="C1076" s="396"/>
      <c r="D1076" s="396"/>
      <c r="E1076" s="396"/>
      <c r="F1076" s="396"/>
      <c r="G1076" s="396"/>
      <c r="H1076" s="396"/>
      <c r="I1076" s="396"/>
      <c r="J1076" s="396"/>
      <c r="K1076" s="396"/>
      <c r="L1076" s="396"/>
      <c r="M1076" s="396"/>
      <c r="N1076" s="396"/>
      <c r="O1076" s="396"/>
      <c r="P1076" s="396"/>
      <c r="Q1076" s="396"/>
      <c r="R1076" s="396"/>
      <c r="S1076" s="396"/>
      <c r="T1076" s="396"/>
      <c r="U1076" s="396"/>
      <c r="V1076" s="396"/>
      <c r="W1076" s="396"/>
      <c r="X1076" s="396"/>
      <c r="Y1076" s="396"/>
      <c r="Z1076" s="396"/>
      <c r="AA1076" s="396"/>
      <c r="AB1076" s="591"/>
      <c r="AC1076" s="592"/>
      <c r="AD1076" s="593"/>
      <c r="AE1076" s="593"/>
      <c r="AF1076" s="593"/>
    </row>
    <row r="1077" customFormat="false" ht="12.75" hidden="false" customHeight="true" outlineLevel="0" collapsed="false">
      <c r="A1077" s="577"/>
      <c r="B1077" s="577"/>
      <c r="C1077" s="578"/>
      <c r="D1077" s="578"/>
      <c r="E1077" s="578"/>
      <c r="F1077" s="578"/>
      <c r="G1077" s="578"/>
      <c r="H1077" s="578"/>
      <c r="I1077" s="578"/>
      <c r="J1077" s="578"/>
      <c r="K1077" s="578"/>
      <c r="L1077" s="578"/>
      <c r="M1077" s="577"/>
      <c r="N1077" s="577"/>
      <c r="O1077" s="577"/>
      <c r="P1077" s="577"/>
      <c r="Q1077" s="577"/>
      <c r="R1077" s="578"/>
      <c r="S1077" s="578"/>
      <c r="T1077" s="578"/>
      <c r="U1077" s="578"/>
      <c r="V1077" s="578"/>
      <c r="W1077" s="578"/>
      <c r="X1077" s="578"/>
      <c r="Y1077" s="578"/>
      <c r="Z1077" s="578"/>
      <c r="AA1077" s="578"/>
      <c r="AB1077" s="578"/>
      <c r="AC1077" s="578"/>
      <c r="AD1077" s="578"/>
      <c r="AE1077" s="578"/>
      <c r="AF1077" s="578"/>
    </row>
    <row r="1078" customFormat="false" ht="12.75" hidden="false" customHeight="true" outlineLevel="0" collapsed="false">
      <c r="A1078" s="458"/>
      <c r="B1078" s="458"/>
      <c r="C1078" s="459"/>
      <c r="D1078" s="459"/>
      <c r="E1078" s="459"/>
      <c r="F1078" s="459"/>
      <c r="G1078" s="459"/>
      <c r="H1078" s="459"/>
      <c r="I1078" s="459"/>
      <c r="J1078" s="459"/>
      <c r="K1078" s="459"/>
      <c r="L1078" s="459"/>
      <c r="M1078" s="458"/>
      <c r="N1078" s="458"/>
      <c r="O1078" s="458"/>
      <c r="P1078" s="458"/>
      <c r="Q1078" s="458"/>
      <c r="R1078" s="459"/>
      <c r="S1078" s="459"/>
      <c r="T1078" s="459"/>
      <c r="U1078" s="459"/>
      <c r="V1078" s="459"/>
      <c r="W1078" s="459"/>
      <c r="X1078" s="459"/>
      <c r="Y1078" s="459"/>
      <c r="Z1078" s="459"/>
      <c r="AA1078" s="459"/>
      <c r="AB1078" s="459"/>
      <c r="AC1078" s="459"/>
      <c r="AD1078" s="459"/>
      <c r="AE1078" s="459"/>
      <c r="AF1078" s="459"/>
    </row>
    <row r="1079" customFormat="false" ht="15.75" hidden="false" customHeight="true" outlineLevel="0" collapsed="false">
      <c r="A1079" s="579"/>
      <c r="B1079" s="579"/>
      <c r="C1079" s="579"/>
      <c r="D1079" s="580"/>
      <c r="E1079" s="580"/>
      <c r="F1079" s="580"/>
      <c r="G1079" s="580"/>
      <c r="H1079" s="580"/>
      <c r="I1079" s="580"/>
      <c r="J1079" s="580"/>
      <c r="K1079" s="580"/>
      <c r="L1079" s="580"/>
      <c r="M1079" s="458"/>
      <c r="N1079" s="458"/>
      <c r="O1079" s="458"/>
      <c r="P1079" s="459"/>
      <c r="Q1079" s="458"/>
      <c r="R1079" s="459"/>
      <c r="S1079" s="459"/>
      <c r="T1079" s="459"/>
      <c r="U1079" s="459"/>
      <c r="V1079" s="459"/>
      <c r="W1079" s="459"/>
      <c r="X1079" s="459"/>
      <c r="Y1079" s="459"/>
      <c r="Z1079" s="459"/>
      <c r="AA1079" s="459"/>
      <c r="AB1079" s="459"/>
      <c r="AC1079" s="459"/>
      <c r="AD1079" s="459"/>
      <c r="AE1079" s="459"/>
      <c r="AF1079" s="459"/>
    </row>
    <row r="1080" customFormat="false" ht="15.75" hidden="false" customHeight="true" outlineLevel="0" collapsed="false">
      <c r="A1080" s="581"/>
      <c r="B1080" s="581"/>
      <c r="C1080" s="581"/>
      <c r="D1080" s="581"/>
      <c r="E1080" s="581"/>
      <c r="F1080" s="581"/>
      <c r="G1080" s="581"/>
      <c r="H1080" s="581"/>
      <c r="I1080" s="581"/>
      <c r="J1080" s="581"/>
      <c r="K1080" s="581"/>
      <c r="L1080" s="581"/>
      <c r="M1080" s="582"/>
      <c r="N1080" s="582"/>
      <c r="O1080" s="583"/>
      <c r="P1080" s="583"/>
      <c r="Q1080" s="583"/>
      <c r="R1080" s="583"/>
      <c r="S1080" s="584"/>
      <c r="T1080" s="584"/>
      <c r="U1080" s="584"/>
      <c r="V1080" s="584"/>
      <c r="W1080" s="582"/>
      <c r="X1080" s="582"/>
      <c r="Y1080" s="582"/>
      <c r="Z1080" s="582"/>
      <c r="AA1080" s="582"/>
      <c r="AB1080" s="582"/>
      <c r="AC1080" s="582"/>
      <c r="AD1080" s="582"/>
      <c r="AE1080" s="582"/>
      <c r="AF1080" s="459"/>
    </row>
    <row r="1081" customFormat="false" ht="15.75" hidden="false" customHeight="true" outlineLevel="0" collapsed="false">
      <c r="A1081" s="581"/>
      <c r="B1081" s="581"/>
      <c r="C1081" s="581"/>
      <c r="D1081" s="581"/>
      <c r="E1081" s="581"/>
      <c r="F1081" s="581"/>
      <c r="G1081" s="581"/>
      <c r="H1081" s="581"/>
      <c r="I1081" s="581"/>
      <c r="J1081" s="581"/>
      <c r="K1081" s="581"/>
      <c r="L1081" s="581"/>
      <c r="M1081" s="582"/>
      <c r="N1081" s="582"/>
      <c r="O1081" s="583"/>
      <c r="P1081" s="583"/>
      <c r="Q1081" s="583"/>
      <c r="R1081" s="583"/>
      <c r="S1081" s="584"/>
      <c r="T1081" s="584"/>
      <c r="U1081" s="584"/>
      <c r="V1081" s="584"/>
      <c r="W1081" s="582"/>
      <c r="X1081" s="582"/>
      <c r="Y1081" s="582"/>
      <c r="Z1081" s="582"/>
      <c r="AA1081" s="582"/>
      <c r="AB1081" s="582"/>
      <c r="AC1081" s="582"/>
      <c r="AD1081" s="582"/>
      <c r="AE1081" s="582"/>
      <c r="AF1081" s="459"/>
    </row>
    <row r="1082" customFormat="false" ht="30" hidden="false" customHeight="true" outlineLevel="0" collapsed="false">
      <c r="A1082" s="581"/>
      <c r="B1082" s="581"/>
      <c r="C1082" s="581"/>
      <c r="D1082" s="581"/>
      <c r="E1082" s="581"/>
      <c r="F1082" s="581"/>
      <c r="G1082" s="581"/>
      <c r="H1082" s="581"/>
      <c r="I1082" s="581"/>
      <c r="J1082" s="581"/>
      <c r="K1082" s="581"/>
      <c r="L1082" s="581"/>
      <c r="M1082" s="582"/>
      <c r="N1082" s="582"/>
      <c r="O1082" s="583"/>
      <c r="P1082" s="583"/>
      <c r="Q1082" s="583"/>
      <c r="R1082" s="583"/>
      <c r="S1082" s="584"/>
      <c r="T1082" s="584"/>
      <c r="U1082" s="584"/>
      <c r="V1082" s="584"/>
      <c r="W1082" s="582"/>
      <c r="X1082" s="582"/>
      <c r="Y1082" s="582"/>
      <c r="Z1082" s="582"/>
      <c r="AA1082" s="582"/>
      <c r="AB1082" s="582"/>
      <c r="AC1082" s="582"/>
      <c r="AD1082" s="582"/>
      <c r="AE1082" s="582"/>
      <c r="AF1082" s="468"/>
    </row>
    <row r="1083" customFormat="false" ht="30" hidden="false" customHeight="true" outlineLevel="0" collapsed="false">
      <c r="A1083" s="581"/>
      <c r="B1083" s="581"/>
      <c r="C1083" s="581"/>
      <c r="D1083" s="595"/>
      <c r="E1083" s="595"/>
      <c r="F1083" s="595"/>
      <c r="G1083" s="595"/>
      <c r="H1083" s="595"/>
      <c r="I1083" s="595"/>
      <c r="J1083" s="595"/>
      <c r="K1083" s="595"/>
      <c r="L1083" s="595"/>
      <c r="M1083" s="582"/>
      <c r="N1083" s="582"/>
      <c r="O1083" s="586"/>
      <c r="P1083" s="586"/>
      <c r="Q1083" s="587"/>
      <c r="R1083" s="587"/>
      <c r="S1083" s="588"/>
      <c r="T1083" s="588"/>
      <c r="U1083" s="588"/>
      <c r="V1083" s="588"/>
      <c r="W1083" s="582"/>
      <c r="X1083" s="582"/>
      <c r="Y1083" s="589"/>
      <c r="Z1083" s="589"/>
      <c r="AA1083" s="589"/>
      <c r="AB1083" s="589"/>
      <c r="AC1083" s="589"/>
      <c r="AD1083" s="589"/>
      <c r="AE1083" s="589"/>
      <c r="AF1083" s="468"/>
    </row>
    <row r="1084" customFormat="false" ht="30" hidden="false" customHeight="true" outlineLevel="0" collapsed="false">
      <c r="A1084" s="581"/>
      <c r="B1084" s="581"/>
      <c r="C1084" s="581"/>
      <c r="D1084" s="595"/>
      <c r="E1084" s="595"/>
      <c r="F1084" s="595"/>
      <c r="G1084" s="595"/>
      <c r="H1084" s="595"/>
      <c r="I1084" s="595"/>
      <c r="J1084" s="595"/>
      <c r="K1084" s="595"/>
      <c r="L1084" s="595"/>
      <c r="M1084" s="582"/>
      <c r="N1084" s="582"/>
      <c r="O1084" s="586"/>
      <c r="P1084" s="586"/>
      <c r="Q1084" s="587"/>
      <c r="R1084" s="587"/>
      <c r="S1084" s="588"/>
      <c r="T1084" s="588"/>
      <c r="U1084" s="588"/>
      <c r="V1084" s="588"/>
      <c r="W1084" s="582"/>
      <c r="X1084" s="582"/>
      <c r="Y1084" s="589"/>
      <c r="Z1084" s="589"/>
      <c r="AA1084" s="589"/>
      <c r="AB1084" s="589"/>
      <c r="AC1084" s="589"/>
      <c r="AD1084" s="589"/>
      <c r="AE1084" s="589"/>
      <c r="AF1084" s="468"/>
    </row>
    <row r="1085" customFormat="false" ht="30" hidden="false" customHeight="true" outlineLevel="0" collapsed="false">
      <c r="A1085" s="581"/>
      <c r="B1085" s="581"/>
      <c r="C1085" s="581"/>
      <c r="D1085" s="585"/>
      <c r="E1085" s="585"/>
      <c r="F1085" s="585"/>
      <c r="G1085" s="585"/>
      <c r="H1085" s="585"/>
      <c r="I1085" s="585"/>
      <c r="J1085" s="585"/>
      <c r="K1085" s="585"/>
      <c r="L1085" s="585"/>
      <c r="M1085" s="582"/>
      <c r="N1085" s="582"/>
      <c r="O1085" s="586"/>
      <c r="P1085" s="586"/>
      <c r="Q1085" s="587"/>
      <c r="R1085" s="587"/>
      <c r="S1085" s="588"/>
      <c r="T1085" s="588"/>
      <c r="U1085" s="588"/>
      <c r="V1085" s="588"/>
      <c r="W1085" s="582"/>
      <c r="X1085" s="582"/>
      <c r="Y1085" s="589"/>
      <c r="Z1085" s="589"/>
      <c r="AA1085" s="589"/>
      <c r="AB1085" s="589"/>
      <c r="AC1085" s="589"/>
      <c r="AD1085" s="589"/>
      <c r="AE1085" s="589"/>
      <c r="AF1085" s="468"/>
    </row>
    <row r="1086" customFormat="false" ht="30" hidden="false" customHeight="true" outlineLevel="0" collapsed="false">
      <c r="A1086" s="581"/>
      <c r="B1086" s="581"/>
      <c r="C1086" s="581"/>
      <c r="D1086" s="585"/>
      <c r="E1086" s="585"/>
      <c r="F1086" s="585"/>
      <c r="G1086" s="585"/>
      <c r="H1086" s="585"/>
      <c r="I1086" s="585"/>
      <c r="J1086" s="585"/>
      <c r="K1086" s="585"/>
      <c r="L1086" s="585"/>
      <c r="M1086" s="582"/>
      <c r="N1086" s="582"/>
      <c r="O1086" s="586"/>
      <c r="P1086" s="586"/>
      <c r="Q1086" s="587"/>
      <c r="R1086" s="587"/>
      <c r="S1086" s="588"/>
      <c r="T1086" s="588"/>
      <c r="U1086" s="588"/>
      <c r="V1086" s="588"/>
      <c r="W1086" s="582"/>
      <c r="X1086" s="582"/>
      <c r="Y1086" s="589"/>
      <c r="Z1086" s="589"/>
      <c r="AA1086" s="589"/>
      <c r="AB1086" s="589"/>
      <c r="AC1086" s="589"/>
      <c r="AD1086" s="589"/>
      <c r="AE1086" s="589"/>
      <c r="AF1086" s="468"/>
    </row>
    <row r="1087" customFormat="false" ht="30" hidden="false" customHeight="true" outlineLevel="0" collapsed="false">
      <c r="A1087" s="581"/>
      <c r="B1087" s="581"/>
      <c r="C1087" s="581"/>
      <c r="D1087" s="585"/>
      <c r="E1087" s="585"/>
      <c r="F1087" s="585"/>
      <c r="G1087" s="585"/>
      <c r="H1087" s="585"/>
      <c r="I1087" s="585"/>
      <c r="J1087" s="585"/>
      <c r="K1087" s="585"/>
      <c r="L1087" s="585"/>
      <c r="M1087" s="582"/>
      <c r="N1087" s="582"/>
      <c r="O1087" s="586"/>
      <c r="P1087" s="586"/>
      <c r="Q1087" s="587"/>
      <c r="R1087" s="587"/>
      <c r="S1087" s="588"/>
      <c r="T1087" s="588"/>
      <c r="U1087" s="588"/>
      <c r="V1087" s="588"/>
      <c r="W1087" s="582"/>
      <c r="X1087" s="582"/>
      <c r="Y1087" s="589"/>
      <c r="Z1087" s="589"/>
      <c r="AA1087" s="589"/>
      <c r="AB1087" s="589"/>
      <c r="AC1087" s="589"/>
      <c r="AD1087" s="589"/>
      <c r="AE1087" s="589"/>
      <c r="AF1087" s="468"/>
    </row>
    <row r="1088" customFormat="false" ht="30" hidden="false" customHeight="true" outlineLevel="0" collapsed="false">
      <c r="A1088" s="581"/>
      <c r="B1088" s="581"/>
      <c r="C1088" s="581"/>
      <c r="D1088" s="585"/>
      <c r="E1088" s="585"/>
      <c r="F1088" s="585"/>
      <c r="G1088" s="585"/>
      <c r="H1088" s="585"/>
      <c r="I1088" s="585"/>
      <c r="J1088" s="585"/>
      <c r="K1088" s="585"/>
      <c r="L1088" s="585"/>
      <c r="M1088" s="582"/>
      <c r="N1088" s="582"/>
      <c r="O1088" s="586"/>
      <c r="P1088" s="586"/>
      <c r="Q1088" s="587"/>
      <c r="R1088" s="587"/>
      <c r="S1088" s="588"/>
      <c r="T1088" s="588"/>
      <c r="U1088" s="588"/>
      <c r="V1088" s="588"/>
      <c r="W1088" s="582"/>
      <c r="X1088" s="582"/>
      <c r="Y1088" s="589"/>
      <c r="Z1088" s="589"/>
      <c r="AA1088" s="589"/>
      <c r="AB1088" s="589"/>
      <c r="AC1088" s="589"/>
      <c r="AD1088" s="589"/>
      <c r="AE1088" s="589"/>
      <c r="AF1088" s="468"/>
    </row>
    <row r="1089" customFormat="false" ht="30" hidden="false" customHeight="true" outlineLevel="0" collapsed="false">
      <c r="A1089" s="581"/>
      <c r="B1089" s="581"/>
      <c r="C1089" s="581"/>
      <c r="D1089" s="585"/>
      <c r="E1089" s="585"/>
      <c r="F1089" s="585"/>
      <c r="G1089" s="585"/>
      <c r="H1089" s="585"/>
      <c r="I1089" s="585"/>
      <c r="J1089" s="585"/>
      <c r="K1089" s="585"/>
      <c r="L1089" s="585"/>
      <c r="M1089" s="582"/>
      <c r="N1089" s="582"/>
      <c r="O1089" s="586"/>
      <c r="P1089" s="586"/>
      <c r="Q1089" s="587"/>
      <c r="R1089" s="587"/>
      <c r="S1089" s="588"/>
      <c r="T1089" s="588"/>
      <c r="U1089" s="588"/>
      <c r="V1089" s="588"/>
      <c r="W1089" s="582"/>
      <c r="X1089" s="582"/>
      <c r="Y1089" s="589"/>
      <c r="Z1089" s="589"/>
      <c r="AA1089" s="589"/>
      <c r="AB1089" s="589"/>
      <c r="AC1089" s="589"/>
      <c r="AD1089" s="589"/>
      <c r="AE1089" s="589"/>
      <c r="AF1089" s="468"/>
    </row>
    <row r="1090" customFormat="false" ht="30" hidden="false" customHeight="true" outlineLevel="0" collapsed="false">
      <c r="A1090" s="581"/>
      <c r="B1090" s="581"/>
      <c r="C1090" s="581"/>
      <c r="D1090" s="585"/>
      <c r="E1090" s="585"/>
      <c r="F1090" s="585"/>
      <c r="G1090" s="585"/>
      <c r="H1090" s="585"/>
      <c r="I1090" s="585"/>
      <c r="J1090" s="585"/>
      <c r="K1090" s="585"/>
      <c r="L1090" s="585"/>
      <c r="M1090" s="582"/>
      <c r="N1090" s="582"/>
      <c r="O1090" s="586"/>
      <c r="P1090" s="586"/>
      <c r="Q1090" s="587"/>
      <c r="R1090" s="587"/>
      <c r="S1090" s="588"/>
      <c r="T1090" s="588"/>
      <c r="U1090" s="588"/>
      <c r="V1090" s="588"/>
      <c r="W1090" s="582"/>
      <c r="X1090" s="582"/>
      <c r="Y1090" s="589"/>
      <c r="Z1090" s="589"/>
      <c r="AA1090" s="589"/>
      <c r="AB1090" s="589"/>
      <c r="AC1090" s="589"/>
      <c r="AD1090" s="589"/>
      <c r="AE1090" s="589"/>
      <c r="AF1090" s="468"/>
    </row>
    <row r="1091" customFormat="false" ht="30" hidden="false" customHeight="true" outlineLevel="0" collapsed="false">
      <c r="A1091" s="581"/>
      <c r="B1091" s="581"/>
      <c r="C1091" s="581"/>
      <c r="D1091" s="585"/>
      <c r="E1091" s="585"/>
      <c r="F1091" s="585"/>
      <c r="G1091" s="585"/>
      <c r="H1091" s="585"/>
      <c r="I1091" s="585"/>
      <c r="J1091" s="585"/>
      <c r="K1091" s="585"/>
      <c r="L1091" s="585"/>
      <c r="M1091" s="582"/>
      <c r="N1091" s="582"/>
      <c r="O1091" s="586"/>
      <c r="P1091" s="586"/>
      <c r="Q1091" s="587"/>
      <c r="R1091" s="587"/>
      <c r="S1091" s="588"/>
      <c r="T1091" s="588"/>
      <c r="U1091" s="588"/>
      <c r="V1091" s="588"/>
      <c r="W1091" s="582"/>
      <c r="X1091" s="582"/>
      <c r="Y1091" s="589"/>
      <c r="Z1091" s="589"/>
      <c r="AA1091" s="589"/>
      <c r="AB1091" s="589"/>
      <c r="AC1091" s="589"/>
      <c r="AD1091" s="589"/>
      <c r="AE1091" s="589"/>
      <c r="AF1091" s="468"/>
    </row>
    <row r="1092" customFormat="false" ht="30" hidden="false" customHeight="true" outlineLevel="0" collapsed="false">
      <c r="A1092" s="581"/>
      <c r="B1092" s="581"/>
      <c r="C1092" s="581"/>
      <c r="D1092" s="585"/>
      <c r="E1092" s="585"/>
      <c r="F1092" s="585"/>
      <c r="G1092" s="585"/>
      <c r="H1092" s="585"/>
      <c r="I1092" s="585"/>
      <c r="J1092" s="585"/>
      <c r="K1092" s="585"/>
      <c r="L1092" s="585"/>
      <c r="M1092" s="582"/>
      <c r="N1092" s="582"/>
      <c r="O1092" s="586"/>
      <c r="P1092" s="586"/>
      <c r="Q1092" s="587"/>
      <c r="R1092" s="587"/>
      <c r="S1092" s="588"/>
      <c r="T1092" s="588"/>
      <c r="U1092" s="588"/>
      <c r="V1092" s="588"/>
      <c r="W1092" s="582"/>
      <c r="X1092" s="582"/>
      <c r="Y1092" s="589"/>
      <c r="Z1092" s="589"/>
      <c r="AA1092" s="589"/>
      <c r="AB1092" s="589"/>
      <c r="AC1092" s="589"/>
      <c r="AD1092" s="589"/>
      <c r="AE1092" s="589"/>
      <c r="AF1092" s="468"/>
    </row>
    <row r="1093" customFormat="false" ht="30" hidden="false" customHeight="true" outlineLevel="0" collapsed="false">
      <c r="A1093" s="581"/>
      <c r="B1093" s="581"/>
      <c r="C1093" s="581"/>
      <c r="D1093" s="585"/>
      <c r="E1093" s="585"/>
      <c r="F1093" s="585"/>
      <c r="G1093" s="585"/>
      <c r="H1093" s="585"/>
      <c r="I1093" s="585"/>
      <c r="J1093" s="585"/>
      <c r="K1093" s="585"/>
      <c r="L1093" s="585"/>
      <c r="M1093" s="582"/>
      <c r="N1093" s="582"/>
      <c r="O1093" s="590"/>
      <c r="P1093" s="590"/>
      <c r="Q1093" s="590"/>
      <c r="R1093" s="590"/>
      <c r="S1093" s="590"/>
      <c r="T1093" s="590"/>
      <c r="U1093" s="590"/>
      <c r="V1093" s="590"/>
      <c r="W1093" s="582"/>
      <c r="X1093" s="582"/>
      <c r="Y1093" s="589"/>
      <c r="Z1093" s="589"/>
      <c r="AA1093" s="589"/>
      <c r="AB1093" s="589"/>
      <c r="AC1093" s="589"/>
      <c r="AD1093" s="589"/>
      <c r="AE1093" s="589"/>
      <c r="AF1093" s="396"/>
    </row>
    <row r="1094" customFormat="false" ht="30" hidden="false" customHeight="true" outlineLevel="0" collapsed="false">
      <c r="A1094" s="581"/>
      <c r="B1094" s="581"/>
      <c r="C1094" s="581"/>
      <c r="D1094" s="585"/>
      <c r="E1094" s="585"/>
      <c r="F1094" s="585"/>
      <c r="G1094" s="585"/>
      <c r="H1094" s="585"/>
      <c r="I1094" s="585"/>
      <c r="J1094" s="585"/>
      <c r="K1094" s="585"/>
      <c r="L1094" s="585"/>
      <c r="M1094" s="582"/>
      <c r="N1094" s="582"/>
      <c r="O1094" s="586"/>
      <c r="P1094" s="586"/>
      <c r="Q1094" s="587"/>
      <c r="R1094" s="587"/>
      <c r="S1094" s="588"/>
      <c r="T1094" s="588"/>
      <c r="U1094" s="588"/>
      <c r="V1094" s="588"/>
      <c r="W1094" s="582"/>
      <c r="X1094" s="582"/>
      <c r="Y1094" s="589"/>
      <c r="Z1094" s="589"/>
      <c r="AA1094" s="589"/>
      <c r="AB1094" s="589"/>
      <c r="AC1094" s="589"/>
      <c r="AD1094" s="589"/>
      <c r="AE1094" s="589"/>
      <c r="AF1094" s="396"/>
    </row>
    <row r="1095" customFormat="false" ht="30" hidden="false" customHeight="true" outlineLevel="0" collapsed="false">
      <c r="A1095" s="581"/>
      <c r="B1095" s="581"/>
      <c r="C1095" s="581"/>
      <c r="D1095" s="585"/>
      <c r="E1095" s="585"/>
      <c r="F1095" s="585"/>
      <c r="G1095" s="585"/>
      <c r="H1095" s="585"/>
      <c r="I1095" s="585"/>
      <c r="J1095" s="585"/>
      <c r="K1095" s="585"/>
      <c r="L1095" s="585"/>
      <c r="M1095" s="582"/>
      <c r="N1095" s="582"/>
      <c r="O1095" s="586"/>
      <c r="P1095" s="586"/>
      <c r="Q1095" s="587"/>
      <c r="R1095" s="587"/>
      <c r="S1095" s="588"/>
      <c r="T1095" s="588"/>
      <c r="U1095" s="588"/>
      <c r="V1095" s="588"/>
      <c r="W1095" s="582"/>
      <c r="X1095" s="582"/>
      <c r="Y1095" s="589"/>
      <c r="Z1095" s="589"/>
      <c r="AA1095" s="589"/>
      <c r="AB1095" s="589"/>
      <c r="AC1095" s="589"/>
      <c r="AD1095" s="589"/>
      <c r="AE1095" s="589"/>
      <c r="AF1095" s="396"/>
    </row>
    <row r="1096" customFormat="false" ht="30" hidden="false" customHeight="true" outlineLevel="0" collapsed="false">
      <c r="A1096" s="581"/>
      <c r="B1096" s="581"/>
      <c r="C1096" s="581"/>
      <c r="D1096" s="585"/>
      <c r="E1096" s="585"/>
      <c r="F1096" s="585"/>
      <c r="G1096" s="585"/>
      <c r="H1096" s="585"/>
      <c r="I1096" s="585"/>
      <c r="J1096" s="585"/>
      <c r="K1096" s="585"/>
      <c r="L1096" s="585"/>
      <c r="M1096" s="582"/>
      <c r="N1096" s="582"/>
      <c r="O1096" s="586"/>
      <c r="P1096" s="586"/>
      <c r="Q1096" s="587"/>
      <c r="R1096" s="587"/>
      <c r="S1096" s="588"/>
      <c r="T1096" s="588"/>
      <c r="U1096" s="588"/>
      <c r="V1096" s="588"/>
      <c r="W1096" s="582"/>
      <c r="X1096" s="582"/>
      <c r="Y1096" s="589"/>
      <c r="Z1096" s="589"/>
      <c r="AA1096" s="589"/>
      <c r="AB1096" s="589"/>
      <c r="AC1096" s="589"/>
      <c r="AD1096" s="589"/>
      <c r="AE1096" s="589"/>
      <c r="AF1096" s="396"/>
    </row>
    <row r="1097" customFormat="false" ht="30" hidden="false" customHeight="true" outlineLevel="0" collapsed="false">
      <c r="A1097" s="581"/>
      <c r="B1097" s="581"/>
      <c r="C1097" s="581"/>
      <c r="D1097" s="585"/>
      <c r="E1097" s="585"/>
      <c r="F1097" s="585"/>
      <c r="G1097" s="585"/>
      <c r="H1097" s="585"/>
      <c r="I1097" s="585"/>
      <c r="J1097" s="585"/>
      <c r="K1097" s="585"/>
      <c r="L1097" s="585"/>
      <c r="M1097" s="582"/>
      <c r="N1097" s="582"/>
      <c r="O1097" s="586"/>
      <c r="P1097" s="586"/>
      <c r="Q1097" s="587"/>
      <c r="R1097" s="587"/>
      <c r="S1097" s="588"/>
      <c r="T1097" s="588"/>
      <c r="U1097" s="588"/>
      <c r="V1097" s="588"/>
      <c r="W1097" s="582"/>
      <c r="X1097" s="582"/>
      <c r="Y1097" s="589"/>
      <c r="Z1097" s="589"/>
      <c r="AA1097" s="589"/>
      <c r="AB1097" s="589"/>
      <c r="AC1097" s="589"/>
      <c r="AD1097" s="589"/>
      <c r="AE1097" s="589"/>
      <c r="AF1097" s="396"/>
    </row>
    <row r="1098" customFormat="false" ht="30" hidden="false" customHeight="true" outlineLevel="0" collapsed="false">
      <c r="A1098" s="581"/>
      <c r="B1098" s="581"/>
      <c r="C1098" s="581"/>
      <c r="D1098" s="585"/>
      <c r="E1098" s="585"/>
      <c r="F1098" s="585"/>
      <c r="G1098" s="585"/>
      <c r="H1098" s="585"/>
      <c r="I1098" s="585"/>
      <c r="J1098" s="585"/>
      <c r="K1098" s="585"/>
      <c r="L1098" s="585"/>
      <c r="M1098" s="582"/>
      <c r="N1098" s="582"/>
      <c r="O1098" s="586"/>
      <c r="P1098" s="586"/>
      <c r="Q1098" s="587"/>
      <c r="R1098" s="587"/>
      <c r="S1098" s="588"/>
      <c r="T1098" s="588"/>
      <c r="U1098" s="588"/>
      <c r="V1098" s="588"/>
      <c r="W1098" s="582"/>
      <c r="X1098" s="582"/>
      <c r="Y1098" s="589"/>
      <c r="Z1098" s="589"/>
      <c r="AA1098" s="589"/>
      <c r="AB1098" s="589"/>
      <c r="AC1098" s="589"/>
      <c r="AD1098" s="589"/>
      <c r="AE1098" s="589"/>
      <c r="AF1098" s="396"/>
    </row>
    <row r="1099" customFormat="false" ht="30" hidden="false" customHeight="true" outlineLevel="0" collapsed="false">
      <c r="A1099" s="581"/>
      <c r="B1099" s="581"/>
      <c r="C1099" s="581"/>
      <c r="D1099" s="585"/>
      <c r="E1099" s="585"/>
      <c r="F1099" s="585"/>
      <c r="G1099" s="585"/>
      <c r="H1099" s="585"/>
      <c r="I1099" s="585"/>
      <c r="J1099" s="585"/>
      <c r="K1099" s="585"/>
      <c r="L1099" s="585"/>
      <c r="M1099" s="582"/>
      <c r="N1099" s="582"/>
      <c r="O1099" s="586"/>
      <c r="P1099" s="586"/>
      <c r="Q1099" s="587"/>
      <c r="R1099" s="587"/>
      <c r="S1099" s="588"/>
      <c r="T1099" s="588"/>
      <c r="U1099" s="588"/>
      <c r="V1099" s="588"/>
      <c r="W1099" s="582"/>
      <c r="X1099" s="582"/>
      <c r="Y1099" s="589"/>
      <c r="Z1099" s="589"/>
      <c r="AA1099" s="589"/>
      <c r="AB1099" s="589"/>
      <c r="AC1099" s="589"/>
      <c r="AD1099" s="589"/>
      <c r="AE1099" s="589"/>
      <c r="AF1099" s="396"/>
    </row>
    <row r="1100" customFormat="false" ht="30" hidden="false" customHeight="true" outlineLevel="0" collapsed="false">
      <c r="A1100" s="581"/>
      <c r="B1100" s="581"/>
      <c r="C1100" s="581"/>
      <c r="D1100" s="585"/>
      <c r="E1100" s="585"/>
      <c r="F1100" s="585"/>
      <c r="G1100" s="585"/>
      <c r="H1100" s="585"/>
      <c r="I1100" s="585"/>
      <c r="J1100" s="585"/>
      <c r="K1100" s="585"/>
      <c r="L1100" s="585"/>
      <c r="M1100" s="582"/>
      <c r="N1100" s="582"/>
      <c r="O1100" s="586"/>
      <c r="P1100" s="586"/>
      <c r="Q1100" s="587"/>
      <c r="R1100" s="587"/>
      <c r="S1100" s="588"/>
      <c r="T1100" s="588"/>
      <c r="U1100" s="588"/>
      <c r="V1100" s="588"/>
      <c r="W1100" s="582"/>
      <c r="X1100" s="582"/>
      <c r="Y1100" s="589"/>
      <c r="Z1100" s="589"/>
      <c r="AA1100" s="589"/>
      <c r="AB1100" s="589"/>
      <c r="AC1100" s="589"/>
      <c r="AD1100" s="589"/>
      <c r="AE1100" s="589"/>
      <c r="AF1100" s="396"/>
    </row>
    <row r="1101" customFormat="false" ht="30" hidden="false" customHeight="true" outlineLevel="0" collapsed="false">
      <c r="A1101" s="581"/>
      <c r="B1101" s="581"/>
      <c r="C1101" s="581"/>
      <c r="D1101" s="585"/>
      <c r="E1101" s="585"/>
      <c r="F1101" s="585"/>
      <c r="G1101" s="585"/>
      <c r="H1101" s="585"/>
      <c r="I1101" s="585"/>
      <c r="J1101" s="585"/>
      <c r="K1101" s="585"/>
      <c r="L1101" s="585"/>
      <c r="M1101" s="582"/>
      <c r="N1101" s="582"/>
      <c r="O1101" s="586"/>
      <c r="P1101" s="586"/>
      <c r="Q1101" s="587"/>
      <c r="R1101" s="587"/>
      <c r="S1101" s="588"/>
      <c r="T1101" s="588"/>
      <c r="U1101" s="588"/>
      <c r="V1101" s="588"/>
      <c r="W1101" s="582"/>
      <c r="X1101" s="582"/>
      <c r="Y1101" s="589"/>
      <c r="Z1101" s="589"/>
      <c r="AA1101" s="589"/>
      <c r="AB1101" s="589"/>
      <c r="AC1101" s="589"/>
      <c r="AD1101" s="589"/>
      <c r="AE1101" s="589"/>
      <c r="AF1101" s="396"/>
    </row>
    <row r="1102" customFormat="false" ht="12.75" hidden="false" customHeight="true" outlineLevel="0" collapsed="false">
      <c r="A1102" s="396"/>
      <c r="B1102" s="396"/>
      <c r="C1102" s="396"/>
      <c r="D1102" s="396"/>
      <c r="E1102" s="396"/>
      <c r="F1102" s="396"/>
      <c r="G1102" s="396"/>
      <c r="H1102" s="396"/>
      <c r="I1102" s="396"/>
      <c r="J1102" s="396"/>
      <c r="K1102" s="396"/>
      <c r="L1102" s="396"/>
      <c r="M1102" s="396"/>
      <c r="N1102" s="396"/>
      <c r="O1102" s="396"/>
      <c r="P1102" s="396"/>
      <c r="Q1102" s="396"/>
      <c r="R1102" s="396"/>
      <c r="S1102" s="396"/>
      <c r="T1102" s="396"/>
      <c r="U1102" s="396"/>
      <c r="V1102" s="396"/>
      <c r="W1102" s="396"/>
      <c r="X1102" s="396"/>
      <c r="Y1102" s="396"/>
      <c r="Z1102" s="396"/>
      <c r="AA1102" s="396"/>
      <c r="AB1102" s="396"/>
      <c r="AC1102" s="396"/>
      <c r="AD1102" s="396"/>
      <c r="AE1102" s="396"/>
      <c r="AF1102" s="396"/>
    </row>
    <row r="1103" customFormat="false" ht="12.75" hidden="false" customHeight="true" outlineLevel="0" collapsed="false">
      <c r="A1103" s="396"/>
      <c r="B1103" s="396"/>
      <c r="C1103" s="396"/>
      <c r="D1103" s="396"/>
      <c r="E1103" s="396"/>
      <c r="F1103" s="396"/>
      <c r="G1103" s="396"/>
      <c r="H1103" s="396"/>
      <c r="I1103" s="396"/>
      <c r="J1103" s="396"/>
      <c r="K1103" s="396"/>
      <c r="L1103" s="396"/>
      <c r="M1103" s="396"/>
      <c r="N1103" s="396"/>
      <c r="O1103" s="396"/>
      <c r="P1103" s="396"/>
      <c r="Q1103" s="396"/>
      <c r="R1103" s="396"/>
      <c r="S1103" s="396"/>
      <c r="T1103" s="396"/>
      <c r="U1103" s="396"/>
      <c r="V1103" s="396"/>
      <c r="W1103" s="396"/>
      <c r="X1103" s="396"/>
      <c r="Y1103" s="396"/>
      <c r="Z1103" s="396"/>
      <c r="AA1103" s="396"/>
      <c r="AB1103" s="591"/>
      <c r="AC1103" s="592"/>
      <c r="AD1103" s="593"/>
      <c r="AE1103" s="593"/>
      <c r="AF1103" s="593"/>
    </row>
    <row r="1104" customFormat="false" ht="12.75" hidden="false" customHeight="true" outlineLevel="0" collapsed="false">
      <c r="A1104" s="577"/>
      <c r="B1104" s="577"/>
      <c r="C1104" s="578"/>
      <c r="D1104" s="578"/>
      <c r="E1104" s="578"/>
      <c r="F1104" s="578"/>
      <c r="G1104" s="578"/>
      <c r="H1104" s="578"/>
      <c r="I1104" s="578"/>
      <c r="J1104" s="578"/>
      <c r="K1104" s="578"/>
      <c r="L1104" s="578"/>
      <c r="M1104" s="577"/>
      <c r="N1104" s="577"/>
      <c r="O1104" s="577"/>
      <c r="P1104" s="577"/>
      <c r="Q1104" s="577"/>
      <c r="R1104" s="578"/>
      <c r="S1104" s="578"/>
      <c r="T1104" s="578"/>
      <c r="U1104" s="578"/>
      <c r="V1104" s="578"/>
      <c r="W1104" s="578"/>
      <c r="X1104" s="578"/>
      <c r="Y1104" s="578"/>
      <c r="Z1104" s="578"/>
      <c r="AA1104" s="578"/>
      <c r="AB1104" s="578"/>
      <c r="AC1104" s="578"/>
      <c r="AD1104" s="578"/>
      <c r="AE1104" s="578"/>
      <c r="AF1104" s="578"/>
    </row>
    <row r="1105" customFormat="false" ht="12.75" hidden="false" customHeight="true" outlineLevel="0" collapsed="false">
      <c r="A1105" s="458"/>
      <c r="B1105" s="458"/>
      <c r="C1105" s="459"/>
      <c r="D1105" s="459"/>
      <c r="E1105" s="459"/>
      <c r="F1105" s="459"/>
      <c r="G1105" s="459"/>
      <c r="H1105" s="459"/>
      <c r="I1105" s="459"/>
      <c r="J1105" s="459"/>
      <c r="K1105" s="459"/>
      <c r="L1105" s="459"/>
      <c r="M1105" s="458"/>
      <c r="N1105" s="458"/>
      <c r="O1105" s="458"/>
      <c r="P1105" s="458"/>
      <c r="Q1105" s="458"/>
      <c r="R1105" s="459"/>
      <c r="S1105" s="459"/>
      <c r="T1105" s="459"/>
      <c r="U1105" s="459"/>
      <c r="V1105" s="459"/>
      <c r="W1105" s="459"/>
      <c r="X1105" s="459"/>
      <c r="Y1105" s="459"/>
      <c r="Z1105" s="459"/>
      <c r="AA1105" s="459"/>
      <c r="AB1105" s="459"/>
      <c r="AC1105" s="459"/>
      <c r="AD1105" s="459"/>
      <c r="AE1105" s="459"/>
      <c r="AF1105" s="459"/>
    </row>
    <row r="1106" customFormat="false" ht="15.75" hidden="false" customHeight="true" outlineLevel="0" collapsed="false">
      <c r="A1106" s="579"/>
      <c r="B1106" s="579"/>
      <c r="C1106" s="579"/>
      <c r="D1106" s="580"/>
      <c r="E1106" s="580"/>
      <c r="F1106" s="580"/>
      <c r="G1106" s="580"/>
      <c r="H1106" s="580"/>
      <c r="I1106" s="580"/>
      <c r="J1106" s="580"/>
      <c r="K1106" s="580"/>
      <c r="L1106" s="580"/>
      <c r="M1106" s="458"/>
      <c r="N1106" s="458"/>
      <c r="O1106" s="458"/>
      <c r="P1106" s="459"/>
      <c r="Q1106" s="458"/>
      <c r="R1106" s="459"/>
      <c r="S1106" s="459"/>
      <c r="T1106" s="459"/>
      <c r="U1106" s="459"/>
      <c r="V1106" s="459"/>
      <c r="W1106" s="459"/>
      <c r="X1106" s="459"/>
      <c r="Y1106" s="459"/>
      <c r="Z1106" s="459"/>
      <c r="AA1106" s="459"/>
      <c r="AB1106" s="459"/>
      <c r="AC1106" s="459"/>
      <c r="AD1106" s="459"/>
      <c r="AE1106" s="459"/>
      <c r="AF1106" s="459"/>
    </row>
    <row r="1107" customFormat="false" ht="15.75" hidden="false" customHeight="true" outlineLevel="0" collapsed="false">
      <c r="A1107" s="581"/>
      <c r="B1107" s="581"/>
      <c r="C1107" s="581"/>
      <c r="D1107" s="581"/>
      <c r="E1107" s="581"/>
      <c r="F1107" s="581"/>
      <c r="G1107" s="581"/>
      <c r="H1107" s="581"/>
      <c r="I1107" s="581"/>
      <c r="J1107" s="581"/>
      <c r="K1107" s="581"/>
      <c r="L1107" s="581"/>
      <c r="M1107" s="582"/>
      <c r="N1107" s="582"/>
      <c r="O1107" s="583"/>
      <c r="P1107" s="583"/>
      <c r="Q1107" s="583"/>
      <c r="R1107" s="583"/>
      <c r="S1107" s="584"/>
      <c r="T1107" s="584"/>
      <c r="U1107" s="584"/>
      <c r="V1107" s="584"/>
      <c r="W1107" s="582"/>
      <c r="X1107" s="582"/>
      <c r="Y1107" s="582"/>
      <c r="Z1107" s="582"/>
      <c r="AA1107" s="582"/>
      <c r="AB1107" s="582"/>
      <c r="AC1107" s="582"/>
      <c r="AD1107" s="582"/>
      <c r="AE1107" s="582"/>
      <c r="AF1107" s="459"/>
    </row>
    <row r="1108" customFormat="false" ht="15.75" hidden="false" customHeight="true" outlineLevel="0" collapsed="false">
      <c r="A1108" s="581"/>
      <c r="B1108" s="581"/>
      <c r="C1108" s="581"/>
      <c r="D1108" s="581"/>
      <c r="E1108" s="581"/>
      <c r="F1108" s="581"/>
      <c r="G1108" s="581"/>
      <c r="H1108" s="581"/>
      <c r="I1108" s="581"/>
      <c r="J1108" s="581"/>
      <c r="K1108" s="581"/>
      <c r="L1108" s="581"/>
      <c r="M1108" s="582"/>
      <c r="N1108" s="582"/>
      <c r="O1108" s="583"/>
      <c r="P1108" s="583"/>
      <c r="Q1108" s="583"/>
      <c r="R1108" s="583"/>
      <c r="S1108" s="584"/>
      <c r="T1108" s="584"/>
      <c r="U1108" s="584"/>
      <c r="V1108" s="584"/>
      <c r="W1108" s="582"/>
      <c r="X1108" s="582"/>
      <c r="Y1108" s="582"/>
      <c r="Z1108" s="582"/>
      <c r="AA1108" s="582"/>
      <c r="AB1108" s="582"/>
      <c r="AC1108" s="582"/>
      <c r="AD1108" s="582"/>
      <c r="AE1108" s="582"/>
      <c r="AF1108" s="459"/>
    </row>
    <row r="1109" customFormat="false" ht="30" hidden="false" customHeight="true" outlineLevel="0" collapsed="false">
      <c r="A1109" s="581"/>
      <c r="B1109" s="581"/>
      <c r="C1109" s="581"/>
      <c r="D1109" s="581"/>
      <c r="E1109" s="581"/>
      <c r="F1109" s="581"/>
      <c r="G1109" s="581"/>
      <c r="H1109" s="581"/>
      <c r="I1109" s="581"/>
      <c r="J1109" s="581"/>
      <c r="K1109" s="581"/>
      <c r="L1109" s="581"/>
      <c r="M1109" s="582"/>
      <c r="N1109" s="582"/>
      <c r="O1109" s="583"/>
      <c r="P1109" s="583"/>
      <c r="Q1109" s="583"/>
      <c r="R1109" s="583"/>
      <c r="S1109" s="584"/>
      <c r="T1109" s="584"/>
      <c r="U1109" s="584"/>
      <c r="V1109" s="584"/>
      <c r="W1109" s="582"/>
      <c r="X1109" s="582"/>
      <c r="Y1109" s="582"/>
      <c r="Z1109" s="582"/>
      <c r="AA1109" s="582"/>
      <c r="AB1109" s="582"/>
      <c r="AC1109" s="582"/>
      <c r="AD1109" s="582"/>
      <c r="AE1109" s="582"/>
      <c r="AF1109" s="468"/>
    </row>
    <row r="1110" customFormat="false" ht="30" hidden="false" customHeight="true" outlineLevel="0" collapsed="false">
      <c r="A1110" s="581"/>
      <c r="B1110" s="581"/>
      <c r="C1110" s="581"/>
      <c r="D1110" s="595"/>
      <c r="E1110" s="595"/>
      <c r="F1110" s="595"/>
      <c r="G1110" s="595"/>
      <c r="H1110" s="595"/>
      <c r="I1110" s="595"/>
      <c r="J1110" s="595"/>
      <c r="K1110" s="595"/>
      <c r="L1110" s="595"/>
      <c r="M1110" s="582"/>
      <c r="N1110" s="582"/>
      <c r="O1110" s="586"/>
      <c r="P1110" s="586"/>
      <c r="Q1110" s="587"/>
      <c r="R1110" s="587"/>
      <c r="S1110" s="588"/>
      <c r="T1110" s="588"/>
      <c r="U1110" s="588"/>
      <c r="V1110" s="588"/>
      <c r="W1110" s="582"/>
      <c r="X1110" s="582"/>
      <c r="Y1110" s="589"/>
      <c r="Z1110" s="589"/>
      <c r="AA1110" s="589"/>
      <c r="AB1110" s="589"/>
      <c r="AC1110" s="589"/>
      <c r="AD1110" s="589"/>
      <c r="AE1110" s="589"/>
      <c r="AF1110" s="468"/>
    </row>
    <row r="1111" customFormat="false" ht="30" hidden="false" customHeight="true" outlineLevel="0" collapsed="false">
      <c r="A1111" s="581"/>
      <c r="B1111" s="581"/>
      <c r="C1111" s="581"/>
      <c r="D1111" s="595"/>
      <c r="E1111" s="595"/>
      <c r="F1111" s="595"/>
      <c r="G1111" s="595"/>
      <c r="H1111" s="595"/>
      <c r="I1111" s="595"/>
      <c r="J1111" s="595"/>
      <c r="K1111" s="595"/>
      <c r="L1111" s="595"/>
      <c r="M1111" s="582"/>
      <c r="N1111" s="582"/>
      <c r="O1111" s="586"/>
      <c r="P1111" s="586"/>
      <c r="Q1111" s="587"/>
      <c r="R1111" s="587"/>
      <c r="S1111" s="588"/>
      <c r="T1111" s="588"/>
      <c r="U1111" s="588"/>
      <c r="V1111" s="588"/>
      <c r="W1111" s="582"/>
      <c r="X1111" s="582"/>
      <c r="Y1111" s="589"/>
      <c r="Z1111" s="589"/>
      <c r="AA1111" s="589"/>
      <c r="AB1111" s="589"/>
      <c r="AC1111" s="589"/>
      <c r="AD1111" s="589"/>
      <c r="AE1111" s="589"/>
      <c r="AF1111" s="468"/>
    </row>
    <row r="1112" customFormat="false" ht="30" hidden="false" customHeight="true" outlineLevel="0" collapsed="false">
      <c r="A1112" s="581"/>
      <c r="B1112" s="581"/>
      <c r="C1112" s="581"/>
      <c r="D1112" s="595"/>
      <c r="E1112" s="595"/>
      <c r="F1112" s="595"/>
      <c r="G1112" s="595"/>
      <c r="H1112" s="595"/>
      <c r="I1112" s="595"/>
      <c r="J1112" s="595"/>
      <c r="K1112" s="595"/>
      <c r="L1112" s="595"/>
      <c r="M1112" s="582"/>
      <c r="N1112" s="582"/>
      <c r="O1112" s="586"/>
      <c r="P1112" s="586"/>
      <c r="Q1112" s="587"/>
      <c r="R1112" s="587"/>
      <c r="S1112" s="588"/>
      <c r="T1112" s="588"/>
      <c r="U1112" s="588"/>
      <c r="V1112" s="588"/>
      <c r="W1112" s="582"/>
      <c r="X1112" s="582"/>
      <c r="Y1112" s="589"/>
      <c r="Z1112" s="589"/>
      <c r="AA1112" s="589"/>
      <c r="AB1112" s="589"/>
      <c r="AC1112" s="589"/>
      <c r="AD1112" s="589"/>
      <c r="AE1112" s="589"/>
      <c r="AF1112" s="468"/>
    </row>
    <row r="1113" customFormat="false" ht="30" hidden="false" customHeight="true" outlineLevel="0" collapsed="false">
      <c r="A1113" s="581"/>
      <c r="B1113" s="581"/>
      <c r="C1113" s="581"/>
      <c r="D1113" s="585"/>
      <c r="E1113" s="585"/>
      <c r="F1113" s="585"/>
      <c r="G1113" s="585"/>
      <c r="H1113" s="585"/>
      <c r="I1113" s="585"/>
      <c r="J1113" s="585"/>
      <c r="K1113" s="585"/>
      <c r="L1113" s="585"/>
      <c r="M1113" s="582"/>
      <c r="N1113" s="582"/>
      <c r="O1113" s="586"/>
      <c r="P1113" s="586"/>
      <c r="Q1113" s="587"/>
      <c r="R1113" s="587"/>
      <c r="S1113" s="588"/>
      <c r="T1113" s="588"/>
      <c r="U1113" s="588"/>
      <c r="V1113" s="588"/>
      <c r="W1113" s="582"/>
      <c r="X1113" s="582"/>
      <c r="Y1113" s="589"/>
      <c r="Z1113" s="589"/>
      <c r="AA1113" s="589"/>
      <c r="AB1113" s="589"/>
      <c r="AC1113" s="589"/>
      <c r="AD1113" s="589"/>
      <c r="AE1113" s="589"/>
      <c r="AF1113" s="468"/>
    </row>
    <row r="1114" customFormat="false" ht="30" hidden="false" customHeight="true" outlineLevel="0" collapsed="false">
      <c r="A1114" s="581"/>
      <c r="B1114" s="581"/>
      <c r="C1114" s="581"/>
      <c r="D1114" s="585"/>
      <c r="E1114" s="585"/>
      <c r="F1114" s="585"/>
      <c r="G1114" s="585"/>
      <c r="H1114" s="585"/>
      <c r="I1114" s="585"/>
      <c r="J1114" s="585"/>
      <c r="K1114" s="585"/>
      <c r="L1114" s="585"/>
      <c r="M1114" s="582"/>
      <c r="N1114" s="582"/>
      <c r="O1114" s="586"/>
      <c r="P1114" s="586"/>
      <c r="Q1114" s="587"/>
      <c r="R1114" s="587"/>
      <c r="S1114" s="588"/>
      <c r="T1114" s="588"/>
      <c r="U1114" s="588"/>
      <c r="V1114" s="588"/>
      <c r="W1114" s="582"/>
      <c r="X1114" s="582"/>
      <c r="Y1114" s="589"/>
      <c r="Z1114" s="589"/>
      <c r="AA1114" s="589"/>
      <c r="AB1114" s="589"/>
      <c r="AC1114" s="589"/>
      <c r="AD1114" s="589"/>
      <c r="AE1114" s="589"/>
      <c r="AF1114" s="468"/>
    </row>
    <row r="1115" customFormat="false" ht="30" hidden="false" customHeight="true" outlineLevel="0" collapsed="false">
      <c r="A1115" s="581"/>
      <c r="B1115" s="581"/>
      <c r="C1115" s="581"/>
      <c r="D1115" s="585"/>
      <c r="E1115" s="585"/>
      <c r="F1115" s="585"/>
      <c r="G1115" s="585"/>
      <c r="H1115" s="585"/>
      <c r="I1115" s="585"/>
      <c r="J1115" s="585"/>
      <c r="K1115" s="585"/>
      <c r="L1115" s="585"/>
      <c r="M1115" s="582"/>
      <c r="N1115" s="582"/>
      <c r="O1115" s="586"/>
      <c r="P1115" s="586"/>
      <c r="Q1115" s="587"/>
      <c r="R1115" s="587"/>
      <c r="S1115" s="588"/>
      <c r="T1115" s="588"/>
      <c r="U1115" s="588"/>
      <c r="V1115" s="588"/>
      <c r="W1115" s="582"/>
      <c r="X1115" s="582"/>
      <c r="Y1115" s="589"/>
      <c r="Z1115" s="589"/>
      <c r="AA1115" s="589"/>
      <c r="AB1115" s="589"/>
      <c r="AC1115" s="589"/>
      <c r="AD1115" s="589"/>
      <c r="AE1115" s="589"/>
      <c r="AF1115" s="468"/>
    </row>
    <row r="1116" customFormat="false" ht="30" hidden="false" customHeight="true" outlineLevel="0" collapsed="false">
      <c r="A1116" s="581"/>
      <c r="B1116" s="581"/>
      <c r="C1116" s="581"/>
      <c r="D1116" s="585"/>
      <c r="E1116" s="585"/>
      <c r="F1116" s="585"/>
      <c r="G1116" s="585"/>
      <c r="H1116" s="585"/>
      <c r="I1116" s="585"/>
      <c r="J1116" s="585"/>
      <c r="K1116" s="585"/>
      <c r="L1116" s="585"/>
      <c r="M1116" s="582"/>
      <c r="N1116" s="582"/>
      <c r="O1116" s="586"/>
      <c r="P1116" s="586"/>
      <c r="Q1116" s="587"/>
      <c r="R1116" s="587"/>
      <c r="S1116" s="588"/>
      <c r="T1116" s="588"/>
      <c r="U1116" s="588"/>
      <c r="V1116" s="588"/>
      <c r="W1116" s="582"/>
      <c r="X1116" s="582"/>
      <c r="Y1116" s="589"/>
      <c r="Z1116" s="589"/>
      <c r="AA1116" s="589"/>
      <c r="AB1116" s="589"/>
      <c r="AC1116" s="589"/>
      <c r="AD1116" s="589"/>
      <c r="AE1116" s="589"/>
      <c r="AF1116" s="468"/>
    </row>
    <row r="1117" customFormat="false" ht="30" hidden="false" customHeight="true" outlineLevel="0" collapsed="false">
      <c r="A1117" s="581"/>
      <c r="B1117" s="581"/>
      <c r="C1117" s="581"/>
      <c r="D1117" s="585"/>
      <c r="E1117" s="585"/>
      <c r="F1117" s="585"/>
      <c r="G1117" s="585"/>
      <c r="H1117" s="585"/>
      <c r="I1117" s="585"/>
      <c r="J1117" s="585"/>
      <c r="K1117" s="585"/>
      <c r="L1117" s="585"/>
      <c r="M1117" s="582"/>
      <c r="N1117" s="582"/>
      <c r="O1117" s="586"/>
      <c r="P1117" s="586"/>
      <c r="Q1117" s="587"/>
      <c r="R1117" s="587"/>
      <c r="S1117" s="588"/>
      <c r="T1117" s="588"/>
      <c r="U1117" s="588"/>
      <c r="V1117" s="588"/>
      <c r="W1117" s="582"/>
      <c r="X1117" s="582"/>
      <c r="Y1117" s="589"/>
      <c r="Z1117" s="589"/>
      <c r="AA1117" s="589"/>
      <c r="AB1117" s="589"/>
      <c r="AC1117" s="589"/>
      <c r="AD1117" s="589"/>
      <c r="AE1117" s="589"/>
      <c r="AF1117" s="468"/>
    </row>
    <row r="1118" customFormat="false" ht="30" hidden="false" customHeight="true" outlineLevel="0" collapsed="false">
      <c r="A1118" s="581"/>
      <c r="B1118" s="581"/>
      <c r="C1118" s="581"/>
      <c r="D1118" s="585"/>
      <c r="E1118" s="585"/>
      <c r="F1118" s="585"/>
      <c r="G1118" s="585"/>
      <c r="H1118" s="585"/>
      <c r="I1118" s="585"/>
      <c r="J1118" s="585"/>
      <c r="K1118" s="585"/>
      <c r="L1118" s="585"/>
      <c r="M1118" s="582"/>
      <c r="N1118" s="582"/>
      <c r="O1118" s="586"/>
      <c r="P1118" s="586"/>
      <c r="Q1118" s="587"/>
      <c r="R1118" s="587"/>
      <c r="S1118" s="588"/>
      <c r="T1118" s="588"/>
      <c r="U1118" s="588"/>
      <c r="V1118" s="588"/>
      <c r="W1118" s="582"/>
      <c r="X1118" s="582"/>
      <c r="Y1118" s="589"/>
      <c r="Z1118" s="589"/>
      <c r="AA1118" s="589"/>
      <c r="AB1118" s="589"/>
      <c r="AC1118" s="589"/>
      <c r="AD1118" s="589"/>
      <c r="AE1118" s="589"/>
      <c r="AF1118" s="468"/>
    </row>
    <row r="1119" customFormat="false" ht="30" hidden="false" customHeight="true" outlineLevel="0" collapsed="false">
      <c r="A1119" s="581"/>
      <c r="B1119" s="581"/>
      <c r="C1119" s="581"/>
      <c r="D1119" s="585"/>
      <c r="E1119" s="585"/>
      <c r="F1119" s="585"/>
      <c r="G1119" s="585"/>
      <c r="H1119" s="585"/>
      <c r="I1119" s="585"/>
      <c r="J1119" s="585"/>
      <c r="K1119" s="585"/>
      <c r="L1119" s="585"/>
      <c r="M1119" s="582"/>
      <c r="N1119" s="582"/>
      <c r="O1119" s="586"/>
      <c r="P1119" s="586"/>
      <c r="Q1119" s="587"/>
      <c r="R1119" s="587"/>
      <c r="S1119" s="588"/>
      <c r="T1119" s="588"/>
      <c r="U1119" s="588"/>
      <c r="V1119" s="588"/>
      <c r="W1119" s="582"/>
      <c r="X1119" s="582"/>
      <c r="Y1119" s="589"/>
      <c r="Z1119" s="589"/>
      <c r="AA1119" s="589"/>
      <c r="AB1119" s="589"/>
      <c r="AC1119" s="589"/>
      <c r="AD1119" s="589"/>
      <c r="AE1119" s="589"/>
      <c r="AF1119" s="468"/>
    </row>
    <row r="1120" customFormat="false" ht="30" hidden="false" customHeight="true" outlineLevel="0" collapsed="false">
      <c r="A1120" s="581"/>
      <c r="B1120" s="581"/>
      <c r="C1120" s="581"/>
      <c r="D1120" s="585"/>
      <c r="E1120" s="585"/>
      <c r="F1120" s="585"/>
      <c r="G1120" s="585"/>
      <c r="H1120" s="585"/>
      <c r="I1120" s="585"/>
      <c r="J1120" s="585"/>
      <c r="K1120" s="585"/>
      <c r="L1120" s="585"/>
      <c r="M1120" s="582"/>
      <c r="N1120" s="582"/>
      <c r="O1120" s="586"/>
      <c r="P1120" s="586"/>
      <c r="Q1120" s="587"/>
      <c r="R1120" s="587"/>
      <c r="S1120" s="588"/>
      <c r="T1120" s="588"/>
      <c r="U1120" s="588"/>
      <c r="V1120" s="588"/>
      <c r="W1120" s="582"/>
      <c r="X1120" s="582"/>
      <c r="Y1120" s="589"/>
      <c r="Z1120" s="589"/>
      <c r="AA1120" s="589"/>
      <c r="AB1120" s="589"/>
      <c r="AC1120" s="589"/>
      <c r="AD1120" s="589"/>
      <c r="AE1120" s="589"/>
      <c r="AF1120" s="468"/>
    </row>
    <row r="1121" customFormat="false" ht="30" hidden="false" customHeight="true" outlineLevel="0" collapsed="false">
      <c r="A1121" s="581"/>
      <c r="B1121" s="581"/>
      <c r="C1121" s="581"/>
      <c r="D1121" s="585"/>
      <c r="E1121" s="585"/>
      <c r="F1121" s="585"/>
      <c r="G1121" s="585"/>
      <c r="H1121" s="585"/>
      <c r="I1121" s="585"/>
      <c r="J1121" s="585"/>
      <c r="K1121" s="585"/>
      <c r="L1121" s="585"/>
      <c r="M1121" s="582"/>
      <c r="N1121" s="582"/>
      <c r="O1121" s="590"/>
      <c r="P1121" s="590"/>
      <c r="Q1121" s="590"/>
      <c r="R1121" s="590"/>
      <c r="S1121" s="590"/>
      <c r="T1121" s="590"/>
      <c r="U1121" s="590"/>
      <c r="V1121" s="590"/>
      <c r="W1121" s="582"/>
      <c r="X1121" s="582"/>
      <c r="Y1121" s="589"/>
      <c r="Z1121" s="589"/>
      <c r="AA1121" s="589"/>
      <c r="AB1121" s="589"/>
      <c r="AC1121" s="589"/>
      <c r="AD1121" s="589"/>
      <c r="AE1121" s="589"/>
      <c r="AF1121" s="396"/>
    </row>
    <row r="1122" customFormat="false" ht="30" hidden="false" customHeight="true" outlineLevel="0" collapsed="false">
      <c r="A1122" s="581"/>
      <c r="B1122" s="581"/>
      <c r="C1122" s="581"/>
      <c r="D1122" s="585"/>
      <c r="E1122" s="585"/>
      <c r="F1122" s="585"/>
      <c r="G1122" s="585"/>
      <c r="H1122" s="585"/>
      <c r="I1122" s="585"/>
      <c r="J1122" s="585"/>
      <c r="K1122" s="585"/>
      <c r="L1122" s="585"/>
      <c r="M1122" s="582"/>
      <c r="N1122" s="582"/>
      <c r="O1122" s="586"/>
      <c r="P1122" s="586"/>
      <c r="Q1122" s="587"/>
      <c r="R1122" s="587"/>
      <c r="S1122" s="588"/>
      <c r="T1122" s="588"/>
      <c r="U1122" s="588"/>
      <c r="V1122" s="588"/>
      <c r="W1122" s="582"/>
      <c r="X1122" s="582"/>
      <c r="Y1122" s="589"/>
      <c r="Z1122" s="589"/>
      <c r="AA1122" s="589"/>
      <c r="AB1122" s="589"/>
      <c r="AC1122" s="589"/>
      <c r="AD1122" s="589"/>
      <c r="AE1122" s="589"/>
      <c r="AF1122" s="396"/>
    </row>
    <row r="1123" customFormat="false" ht="30" hidden="false" customHeight="true" outlineLevel="0" collapsed="false">
      <c r="A1123" s="581"/>
      <c r="B1123" s="581"/>
      <c r="C1123" s="581"/>
      <c r="D1123" s="585"/>
      <c r="E1123" s="585"/>
      <c r="F1123" s="585"/>
      <c r="G1123" s="585"/>
      <c r="H1123" s="585"/>
      <c r="I1123" s="585"/>
      <c r="J1123" s="585"/>
      <c r="K1123" s="585"/>
      <c r="L1123" s="585"/>
      <c r="M1123" s="582"/>
      <c r="N1123" s="582"/>
      <c r="O1123" s="586"/>
      <c r="P1123" s="586"/>
      <c r="Q1123" s="587"/>
      <c r="R1123" s="587"/>
      <c r="S1123" s="588"/>
      <c r="T1123" s="588"/>
      <c r="U1123" s="588"/>
      <c r="V1123" s="588"/>
      <c r="W1123" s="582"/>
      <c r="X1123" s="582"/>
      <c r="Y1123" s="589"/>
      <c r="Z1123" s="589"/>
      <c r="AA1123" s="589"/>
      <c r="AB1123" s="589"/>
      <c r="AC1123" s="589"/>
      <c r="AD1123" s="589"/>
      <c r="AE1123" s="589"/>
      <c r="AF1123" s="396"/>
    </row>
    <row r="1124" customFormat="false" ht="30" hidden="false" customHeight="true" outlineLevel="0" collapsed="false">
      <c r="A1124" s="581"/>
      <c r="B1124" s="581"/>
      <c r="C1124" s="581"/>
      <c r="D1124" s="585"/>
      <c r="E1124" s="585"/>
      <c r="F1124" s="585"/>
      <c r="G1124" s="585"/>
      <c r="H1124" s="585"/>
      <c r="I1124" s="585"/>
      <c r="J1124" s="585"/>
      <c r="K1124" s="585"/>
      <c r="L1124" s="585"/>
      <c r="M1124" s="582"/>
      <c r="N1124" s="582"/>
      <c r="O1124" s="586"/>
      <c r="P1124" s="586"/>
      <c r="Q1124" s="587"/>
      <c r="R1124" s="587"/>
      <c r="S1124" s="588"/>
      <c r="T1124" s="588"/>
      <c r="U1124" s="588"/>
      <c r="V1124" s="588"/>
      <c r="W1124" s="582"/>
      <c r="X1124" s="582"/>
      <c r="Y1124" s="589"/>
      <c r="Z1124" s="589"/>
      <c r="AA1124" s="589"/>
      <c r="AB1124" s="589"/>
      <c r="AC1124" s="589"/>
      <c r="AD1124" s="589"/>
      <c r="AE1124" s="589"/>
      <c r="AF1124" s="396"/>
    </row>
    <row r="1125" customFormat="false" ht="30" hidden="false" customHeight="true" outlineLevel="0" collapsed="false">
      <c r="A1125" s="581"/>
      <c r="B1125" s="581"/>
      <c r="C1125" s="581"/>
      <c r="D1125" s="585"/>
      <c r="E1125" s="585"/>
      <c r="F1125" s="585"/>
      <c r="G1125" s="585"/>
      <c r="H1125" s="585"/>
      <c r="I1125" s="585"/>
      <c r="J1125" s="585"/>
      <c r="K1125" s="585"/>
      <c r="L1125" s="585"/>
      <c r="M1125" s="582"/>
      <c r="N1125" s="582"/>
      <c r="O1125" s="586"/>
      <c r="P1125" s="586"/>
      <c r="Q1125" s="587"/>
      <c r="R1125" s="587"/>
      <c r="S1125" s="588"/>
      <c r="T1125" s="588"/>
      <c r="U1125" s="588"/>
      <c r="V1125" s="588"/>
      <c r="W1125" s="582"/>
      <c r="X1125" s="582"/>
      <c r="Y1125" s="589"/>
      <c r="Z1125" s="589"/>
      <c r="AA1125" s="589"/>
      <c r="AB1125" s="589"/>
      <c r="AC1125" s="589"/>
      <c r="AD1125" s="589"/>
      <c r="AE1125" s="589"/>
      <c r="AF1125" s="396"/>
    </row>
    <row r="1126" customFormat="false" ht="30" hidden="false" customHeight="true" outlineLevel="0" collapsed="false">
      <c r="A1126" s="581"/>
      <c r="B1126" s="581"/>
      <c r="C1126" s="581"/>
      <c r="D1126" s="585"/>
      <c r="E1126" s="585"/>
      <c r="F1126" s="585"/>
      <c r="G1126" s="585"/>
      <c r="H1126" s="585"/>
      <c r="I1126" s="585"/>
      <c r="J1126" s="585"/>
      <c r="K1126" s="585"/>
      <c r="L1126" s="585"/>
      <c r="M1126" s="582"/>
      <c r="N1126" s="582"/>
      <c r="O1126" s="586"/>
      <c r="P1126" s="586"/>
      <c r="Q1126" s="587"/>
      <c r="R1126" s="587"/>
      <c r="S1126" s="588"/>
      <c r="T1126" s="588"/>
      <c r="U1126" s="588"/>
      <c r="V1126" s="588"/>
      <c r="W1126" s="582"/>
      <c r="X1126" s="582"/>
      <c r="Y1126" s="589"/>
      <c r="Z1126" s="589"/>
      <c r="AA1126" s="589"/>
      <c r="AB1126" s="589"/>
      <c r="AC1126" s="589"/>
      <c r="AD1126" s="589"/>
      <c r="AE1126" s="589"/>
      <c r="AF1126" s="396"/>
    </row>
    <row r="1127" customFormat="false" ht="30" hidden="false" customHeight="true" outlineLevel="0" collapsed="false">
      <c r="A1127" s="581"/>
      <c r="B1127" s="581"/>
      <c r="C1127" s="581"/>
      <c r="D1127" s="585"/>
      <c r="E1127" s="585"/>
      <c r="F1127" s="585"/>
      <c r="G1127" s="585"/>
      <c r="H1127" s="585"/>
      <c r="I1127" s="585"/>
      <c r="J1127" s="585"/>
      <c r="K1127" s="585"/>
      <c r="L1127" s="585"/>
      <c r="M1127" s="582"/>
      <c r="N1127" s="582"/>
      <c r="O1127" s="586"/>
      <c r="P1127" s="586"/>
      <c r="Q1127" s="587"/>
      <c r="R1127" s="587"/>
      <c r="S1127" s="588"/>
      <c r="T1127" s="588"/>
      <c r="U1127" s="588"/>
      <c r="V1127" s="588"/>
      <c r="W1127" s="582"/>
      <c r="X1127" s="582"/>
      <c r="Y1127" s="589"/>
      <c r="Z1127" s="589"/>
      <c r="AA1127" s="589"/>
      <c r="AB1127" s="589"/>
      <c r="AC1127" s="589"/>
      <c r="AD1127" s="589"/>
      <c r="AE1127" s="589"/>
      <c r="AF1127" s="396"/>
    </row>
    <row r="1128" customFormat="false" ht="30" hidden="false" customHeight="true" outlineLevel="0" collapsed="false">
      <c r="A1128" s="581"/>
      <c r="B1128" s="581"/>
      <c r="C1128" s="581"/>
      <c r="D1128" s="585"/>
      <c r="E1128" s="585"/>
      <c r="F1128" s="585"/>
      <c r="G1128" s="585"/>
      <c r="H1128" s="585"/>
      <c r="I1128" s="585"/>
      <c r="J1128" s="585"/>
      <c r="K1128" s="585"/>
      <c r="L1128" s="585"/>
      <c r="M1128" s="582"/>
      <c r="N1128" s="582"/>
      <c r="O1128" s="586"/>
      <c r="P1128" s="586"/>
      <c r="Q1128" s="587"/>
      <c r="R1128" s="587"/>
      <c r="S1128" s="588"/>
      <c r="T1128" s="588"/>
      <c r="U1128" s="588"/>
      <c r="V1128" s="588"/>
      <c r="W1128" s="582"/>
      <c r="X1128" s="582"/>
      <c r="Y1128" s="589"/>
      <c r="Z1128" s="589"/>
      <c r="AA1128" s="589"/>
      <c r="AB1128" s="589"/>
      <c r="AC1128" s="589"/>
      <c r="AD1128" s="589"/>
      <c r="AE1128" s="589"/>
      <c r="AF1128" s="396"/>
    </row>
    <row r="1129" customFormat="false" ht="12.75" hidden="false" customHeight="true" outlineLevel="0" collapsed="false">
      <c r="A1129" s="396"/>
      <c r="B1129" s="396"/>
      <c r="C1129" s="396"/>
      <c r="D1129" s="396"/>
      <c r="E1129" s="396"/>
      <c r="F1129" s="396"/>
      <c r="G1129" s="396"/>
      <c r="H1129" s="396"/>
      <c r="I1129" s="396"/>
      <c r="J1129" s="396"/>
      <c r="K1129" s="396"/>
      <c r="L1129" s="396"/>
      <c r="M1129" s="396"/>
      <c r="N1129" s="396"/>
      <c r="O1129" s="396"/>
      <c r="P1129" s="396"/>
      <c r="Q1129" s="396"/>
      <c r="R1129" s="396"/>
      <c r="S1129" s="396"/>
      <c r="T1129" s="396"/>
      <c r="U1129" s="396"/>
      <c r="V1129" s="396"/>
      <c r="W1129" s="396"/>
      <c r="X1129" s="396"/>
      <c r="Y1129" s="396"/>
      <c r="Z1129" s="396"/>
      <c r="AA1129" s="396"/>
      <c r="AB1129" s="396"/>
      <c r="AC1129" s="396"/>
      <c r="AD1129" s="396"/>
      <c r="AE1129" s="396"/>
      <c r="AF1129" s="396"/>
    </row>
    <row r="1130" customFormat="false" ht="12.75" hidden="false" customHeight="true" outlineLevel="0" collapsed="false">
      <c r="A1130" s="396"/>
      <c r="B1130" s="396"/>
      <c r="C1130" s="396"/>
      <c r="D1130" s="396"/>
      <c r="E1130" s="396"/>
      <c r="F1130" s="396"/>
      <c r="G1130" s="396"/>
      <c r="H1130" s="396"/>
      <c r="I1130" s="396"/>
      <c r="J1130" s="396"/>
      <c r="K1130" s="396"/>
      <c r="L1130" s="396"/>
      <c r="M1130" s="396"/>
      <c r="N1130" s="396"/>
      <c r="O1130" s="396"/>
      <c r="P1130" s="396"/>
      <c r="Q1130" s="396"/>
      <c r="R1130" s="396"/>
      <c r="S1130" s="396"/>
      <c r="T1130" s="396"/>
      <c r="U1130" s="396"/>
      <c r="V1130" s="396"/>
      <c r="W1130" s="396"/>
      <c r="X1130" s="396"/>
      <c r="Y1130" s="396"/>
      <c r="Z1130" s="396"/>
      <c r="AA1130" s="396"/>
      <c r="AB1130" s="591"/>
      <c r="AC1130" s="592"/>
      <c r="AD1130" s="593"/>
      <c r="AE1130" s="593"/>
      <c r="AF1130" s="593"/>
    </row>
    <row r="1131" customFormat="false" ht="12.75" hidden="false" customHeight="true" outlineLevel="0" collapsed="false">
      <c r="A1131" s="577"/>
      <c r="B1131" s="577"/>
      <c r="C1131" s="578"/>
      <c r="D1131" s="578"/>
      <c r="E1131" s="578"/>
      <c r="F1131" s="578"/>
      <c r="G1131" s="578"/>
      <c r="H1131" s="578"/>
      <c r="I1131" s="578"/>
      <c r="J1131" s="578"/>
      <c r="K1131" s="578"/>
      <c r="L1131" s="578"/>
      <c r="M1131" s="577"/>
      <c r="N1131" s="577"/>
      <c r="O1131" s="577"/>
      <c r="P1131" s="577"/>
      <c r="Q1131" s="577"/>
      <c r="R1131" s="578"/>
      <c r="S1131" s="578"/>
      <c r="T1131" s="578"/>
      <c r="U1131" s="578"/>
      <c r="V1131" s="578"/>
      <c r="W1131" s="578"/>
      <c r="X1131" s="578"/>
      <c r="Y1131" s="578"/>
      <c r="Z1131" s="578"/>
      <c r="AA1131" s="578"/>
      <c r="AB1131" s="578"/>
      <c r="AC1131" s="578"/>
      <c r="AD1131" s="578"/>
      <c r="AE1131" s="578"/>
      <c r="AF1131" s="578"/>
    </row>
    <row r="1132" customFormat="false" ht="12.75" hidden="false" customHeight="true" outlineLevel="0" collapsed="false">
      <c r="A1132" s="396"/>
      <c r="B1132" s="396"/>
      <c r="C1132" s="396"/>
      <c r="D1132" s="396"/>
      <c r="E1132" s="396"/>
      <c r="F1132" s="396"/>
      <c r="G1132" s="396"/>
      <c r="H1132" s="396"/>
      <c r="I1132" s="396"/>
      <c r="J1132" s="396"/>
      <c r="K1132" s="396"/>
      <c r="L1132" s="396"/>
      <c r="M1132" s="396"/>
      <c r="N1132" s="396"/>
      <c r="O1132" s="396"/>
      <c r="P1132" s="396"/>
      <c r="Q1132" s="396"/>
      <c r="R1132" s="396"/>
      <c r="S1132" s="396"/>
      <c r="T1132" s="396"/>
      <c r="U1132" s="396"/>
      <c r="V1132" s="396"/>
      <c r="W1132" s="396"/>
      <c r="X1132" s="396"/>
      <c r="Y1132" s="396"/>
      <c r="Z1132" s="396"/>
      <c r="AA1132" s="396"/>
      <c r="AB1132" s="396"/>
      <c r="AC1132" s="396"/>
      <c r="AD1132" s="396"/>
      <c r="AE1132" s="396"/>
      <c r="AF1132" s="396"/>
    </row>
    <row r="1133" customFormat="false" ht="12.75" hidden="false" customHeight="true" outlineLevel="0" collapsed="false">
      <c r="A1133" s="396"/>
      <c r="B1133" s="396"/>
      <c r="C1133" s="579"/>
      <c r="D1133" s="579"/>
      <c r="E1133" s="579"/>
      <c r="F1133" s="580"/>
      <c r="G1133" s="580"/>
      <c r="H1133" s="580"/>
      <c r="I1133" s="580"/>
      <c r="J1133" s="580"/>
      <c r="K1133" s="580"/>
      <c r="L1133" s="580"/>
      <c r="M1133" s="580"/>
      <c r="N1133" s="580"/>
      <c r="O1133" s="396"/>
      <c r="P1133" s="396"/>
      <c r="Q1133" s="396"/>
      <c r="R1133" s="396"/>
      <c r="S1133" s="396"/>
      <c r="T1133" s="396"/>
      <c r="U1133" s="396"/>
      <c r="V1133" s="396"/>
      <c r="W1133" s="396"/>
      <c r="X1133" s="396"/>
      <c r="Y1133" s="396"/>
      <c r="Z1133" s="396"/>
      <c r="AA1133" s="396"/>
      <c r="AB1133" s="396"/>
      <c r="AC1133" s="396"/>
      <c r="AD1133" s="396"/>
      <c r="AE1133" s="396"/>
      <c r="AF1133" s="396"/>
    </row>
    <row r="1134" customFormat="false" ht="12.75" hidden="false" customHeight="true" outlineLevel="0" collapsed="false">
      <c r="A1134" s="396"/>
      <c r="B1134" s="396"/>
      <c r="C1134" s="597"/>
      <c r="D1134" s="597"/>
      <c r="E1134" s="598"/>
      <c r="F1134" s="598"/>
      <c r="G1134" s="598"/>
      <c r="H1134" s="598"/>
      <c r="I1134" s="598"/>
      <c r="J1134" s="598"/>
      <c r="K1134" s="598"/>
      <c r="L1134" s="598"/>
      <c r="M1134" s="599"/>
      <c r="N1134" s="597"/>
      <c r="O1134" s="597"/>
      <c r="P1134" s="597"/>
      <c r="Q1134" s="597"/>
      <c r="R1134" s="597"/>
      <c r="S1134" s="597"/>
      <c r="T1134" s="597"/>
      <c r="U1134" s="597"/>
      <c r="V1134" s="597"/>
      <c r="W1134" s="597"/>
      <c r="X1134" s="597"/>
      <c r="Y1134" s="597"/>
      <c r="Z1134" s="597"/>
      <c r="AA1134" s="597"/>
      <c r="AB1134" s="597"/>
      <c r="AC1134" s="597"/>
      <c r="AD1134" s="396"/>
      <c r="AE1134" s="396"/>
      <c r="AF1134" s="396"/>
    </row>
    <row r="1135" customFormat="false" ht="12.75" hidden="false" customHeight="true" outlineLevel="0" collapsed="false">
      <c r="A1135" s="396"/>
      <c r="B1135" s="396"/>
      <c r="C1135" s="597"/>
      <c r="D1135" s="597"/>
      <c r="E1135" s="598"/>
      <c r="F1135" s="598"/>
      <c r="G1135" s="598"/>
      <c r="H1135" s="598"/>
      <c r="I1135" s="598"/>
      <c r="J1135" s="598"/>
      <c r="K1135" s="598"/>
      <c r="L1135" s="598"/>
      <c r="M1135" s="599"/>
      <c r="N1135" s="597"/>
      <c r="O1135" s="597"/>
      <c r="P1135" s="597"/>
      <c r="Q1135" s="597"/>
      <c r="R1135" s="597"/>
      <c r="S1135" s="597"/>
      <c r="T1135" s="597"/>
      <c r="U1135" s="597"/>
      <c r="V1135" s="597"/>
      <c r="W1135" s="597"/>
      <c r="X1135" s="597"/>
      <c r="Y1135" s="597"/>
      <c r="Z1135" s="597"/>
      <c r="AA1135" s="597"/>
      <c r="AB1135" s="597"/>
      <c r="AC1135" s="597"/>
      <c r="AD1135" s="396"/>
      <c r="AE1135" s="396"/>
      <c r="AF1135" s="396"/>
    </row>
    <row r="1136" customFormat="false" ht="12.75" hidden="false" customHeight="true" outlineLevel="0" collapsed="false">
      <c r="A1136" s="396"/>
      <c r="B1136" s="396"/>
      <c r="C1136" s="524"/>
      <c r="D1136" s="524"/>
      <c r="E1136" s="523"/>
      <c r="F1136" s="523"/>
      <c r="G1136" s="523"/>
      <c r="H1136" s="523"/>
      <c r="I1136" s="523"/>
      <c r="J1136" s="523"/>
      <c r="K1136" s="523"/>
      <c r="L1136" s="523"/>
      <c r="M1136" s="523"/>
      <c r="N1136" s="514"/>
      <c r="O1136" s="514"/>
      <c r="P1136" s="514"/>
      <c r="Q1136" s="514"/>
      <c r="R1136" s="514"/>
      <c r="S1136" s="514"/>
      <c r="T1136" s="514"/>
      <c r="U1136" s="514"/>
      <c r="V1136" s="524"/>
      <c r="W1136" s="524"/>
      <c r="X1136" s="524"/>
      <c r="Y1136" s="524"/>
      <c r="Z1136" s="524"/>
      <c r="AA1136" s="524"/>
      <c r="AB1136" s="524"/>
      <c r="AC1136" s="524"/>
      <c r="AD1136" s="396"/>
      <c r="AE1136" s="396"/>
      <c r="AF1136" s="396"/>
    </row>
    <row r="1137" customFormat="false" ht="12.75" hidden="false" customHeight="true" outlineLevel="0" collapsed="false">
      <c r="A1137" s="396"/>
      <c r="B1137" s="396"/>
      <c r="C1137" s="527"/>
      <c r="D1137" s="527"/>
      <c r="E1137" s="519"/>
      <c r="F1137" s="519"/>
      <c r="G1137" s="519"/>
      <c r="H1137" s="519"/>
      <c r="I1137" s="519"/>
      <c r="J1137" s="519"/>
      <c r="K1137" s="519"/>
      <c r="L1137" s="519"/>
      <c r="M1137" s="519"/>
      <c r="N1137" s="520"/>
      <c r="O1137" s="520"/>
      <c r="P1137" s="520"/>
      <c r="Q1137" s="520"/>
      <c r="R1137" s="520"/>
      <c r="S1137" s="520"/>
      <c r="T1137" s="520"/>
      <c r="U1137" s="520"/>
      <c r="V1137" s="520"/>
      <c r="W1137" s="520"/>
      <c r="X1137" s="520"/>
      <c r="Y1137" s="520"/>
      <c r="Z1137" s="520"/>
      <c r="AA1137" s="520"/>
      <c r="AB1137" s="520"/>
      <c r="AC1137" s="520"/>
      <c r="AD1137" s="396"/>
      <c r="AE1137" s="396"/>
      <c r="AF1137" s="396"/>
    </row>
    <row r="1138" customFormat="false" ht="12.75" hidden="false" customHeight="true" outlineLevel="0" collapsed="false">
      <c r="A1138" s="396"/>
      <c r="B1138" s="396"/>
      <c r="C1138" s="524"/>
      <c r="D1138" s="524"/>
      <c r="E1138" s="523"/>
      <c r="F1138" s="523"/>
      <c r="G1138" s="523"/>
      <c r="H1138" s="523"/>
      <c r="I1138" s="523"/>
      <c r="J1138" s="523"/>
      <c r="K1138" s="523"/>
      <c r="L1138" s="523"/>
      <c r="M1138" s="523"/>
      <c r="N1138" s="514"/>
      <c r="O1138" s="514"/>
      <c r="P1138" s="514"/>
      <c r="Q1138" s="514"/>
      <c r="R1138" s="514"/>
      <c r="S1138" s="514"/>
      <c r="T1138" s="514"/>
      <c r="U1138" s="514"/>
      <c r="V1138" s="524"/>
      <c r="W1138" s="524"/>
      <c r="X1138" s="524"/>
      <c r="Y1138" s="524"/>
      <c r="Z1138" s="524"/>
      <c r="AA1138" s="524"/>
      <c r="AB1138" s="524"/>
      <c r="AC1138" s="524"/>
      <c r="AD1138" s="396"/>
      <c r="AE1138" s="396"/>
      <c r="AF1138" s="396"/>
    </row>
    <row r="1139" customFormat="false" ht="12.75" hidden="false" customHeight="true" outlineLevel="0" collapsed="false">
      <c r="A1139" s="396"/>
      <c r="B1139" s="396"/>
      <c r="C1139" s="524"/>
      <c r="D1139" s="524"/>
      <c r="E1139" s="523"/>
      <c r="F1139" s="523"/>
      <c r="G1139" s="523"/>
      <c r="H1139" s="523"/>
      <c r="I1139" s="523"/>
      <c r="J1139" s="523"/>
      <c r="K1139" s="523"/>
      <c r="L1139" s="523"/>
      <c r="M1139" s="523"/>
      <c r="N1139" s="514"/>
      <c r="O1139" s="514"/>
      <c r="P1139" s="514"/>
      <c r="Q1139" s="514"/>
      <c r="R1139" s="514"/>
      <c r="S1139" s="514"/>
      <c r="T1139" s="514"/>
      <c r="U1139" s="514"/>
      <c r="V1139" s="524"/>
      <c r="W1139" s="524"/>
      <c r="X1139" s="524"/>
      <c r="Y1139" s="524"/>
      <c r="Z1139" s="524"/>
      <c r="AA1139" s="524"/>
      <c r="AB1139" s="524"/>
      <c r="AC1139" s="524"/>
      <c r="AD1139" s="396"/>
      <c r="AE1139" s="396"/>
      <c r="AF1139" s="396"/>
    </row>
    <row r="1140" customFormat="false" ht="12.75" hidden="false" customHeight="true" outlineLevel="0" collapsed="false">
      <c r="A1140" s="396"/>
      <c r="B1140" s="396"/>
      <c r="C1140" s="524"/>
      <c r="D1140" s="524"/>
      <c r="E1140" s="523"/>
      <c r="F1140" s="523"/>
      <c r="G1140" s="523"/>
      <c r="H1140" s="523"/>
      <c r="I1140" s="523"/>
      <c r="J1140" s="523"/>
      <c r="K1140" s="523"/>
      <c r="L1140" s="523"/>
      <c r="M1140" s="523"/>
      <c r="N1140" s="514"/>
      <c r="O1140" s="514"/>
      <c r="P1140" s="514"/>
      <c r="Q1140" s="514"/>
      <c r="R1140" s="514"/>
      <c r="S1140" s="514"/>
      <c r="T1140" s="514"/>
      <c r="U1140" s="514"/>
      <c r="V1140" s="524"/>
      <c r="W1140" s="524"/>
      <c r="X1140" s="524"/>
      <c r="Y1140" s="524"/>
      <c r="Z1140" s="524"/>
      <c r="AA1140" s="524"/>
      <c r="AB1140" s="524"/>
      <c r="AC1140" s="524"/>
      <c r="AD1140" s="396"/>
      <c r="AE1140" s="396"/>
      <c r="AF1140" s="396"/>
    </row>
    <row r="1141" customFormat="false" ht="12.75" hidden="false" customHeight="true" outlineLevel="0" collapsed="false">
      <c r="A1141" s="396"/>
      <c r="B1141" s="396"/>
      <c r="C1141" s="524"/>
      <c r="D1141" s="524"/>
      <c r="E1141" s="523"/>
      <c r="F1141" s="523"/>
      <c r="G1141" s="523"/>
      <c r="H1141" s="523"/>
      <c r="I1141" s="523"/>
      <c r="J1141" s="523"/>
      <c r="K1141" s="523"/>
      <c r="L1141" s="523"/>
      <c r="M1141" s="523"/>
      <c r="N1141" s="514"/>
      <c r="O1141" s="514"/>
      <c r="P1141" s="514"/>
      <c r="Q1141" s="514"/>
      <c r="R1141" s="514"/>
      <c r="S1141" s="514"/>
      <c r="T1141" s="514"/>
      <c r="U1141" s="514"/>
      <c r="V1141" s="524"/>
      <c r="W1141" s="524"/>
      <c r="X1141" s="524"/>
      <c r="Y1141" s="524"/>
      <c r="Z1141" s="524"/>
      <c r="AA1141" s="524"/>
      <c r="AB1141" s="524"/>
      <c r="AC1141" s="524"/>
      <c r="AD1141" s="396"/>
      <c r="AE1141" s="396"/>
      <c r="AF1141" s="396"/>
    </row>
    <row r="1142" customFormat="false" ht="12.75" hidden="false" customHeight="true" outlineLevel="0" collapsed="false">
      <c r="A1142" s="396"/>
      <c r="B1142" s="396"/>
      <c r="C1142" s="524"/>
      <c r="D1142" s="524"/>
      <c r="E1142" s="523"/>
      <c r="F1142" s="523"/>
      <c r="G1142" s="523"/>
      <c r="H1142" s="523"/>
      <c r="I1142" s="523"/>
      <c r="J1142" s="523"/>
      <c r="K1142" s="523"/>
      <c r="L1142" s="523"/>
      <c r="M1142" s="523"/>
      <c r="N1142" s="514"/>
      <c r="O1142" s="514"/>
      <c r="P1142" s="514"/>
      <c r="Q1142" s="514"/>
      <c r="R1142" s="514"/>
      <c r="S1142" s="514"/>
      <c r="T1142" s="514"/>
      <c r="U1142" s="514"/>
      <c r="V1142" s="524"/>
      <c r="W1142" s="524"/>
      <c r="X1142" s="524"/>
      <c r="Y1142" s="524"/>
      <c r="Z1142" s="524"/>
      <c r="AA1142" s="524"/>
      <c r="AB1142" s="524"/>
      <c r="AC1142" s="524"/>
      <c r="AD1142" s="396"/>
      <c r="AE1142" s="396"/>
      <c r="AF1142" s="396"/>
    </row>
    <row r="1143" customFormat="false" ht="12.75" hidden="false" customHeight="true" outlineLevel="0" collapsed="false">
      <c r="A1143" s="396"/>
      <c r="B1143" s="396"/>
      <c r="C1143" s="524"/>
      <c r="D1143" s="524"/>
      <c r="E1143" s="523"/>
      <c r="F1143" s="523"/>
      <c r="G1143" s="523"/>
      <c r="H1143" s="523"/>
      <c r="I1143" s="523"/>
      <c r="J1143" s="523"/>
      <c r="K1143" s="523"/>
      <c r="L1143" s="523"/>
      <c r="M1143" s="523"/>
      <c r="N1143" s="514"/>
      <c r="O1143" s="514"/>
      <c r="P1143" s="514"/>
      <c r="Q1143" s="514"/>
      <c r="R1143" s="514"/>
      <c r="S1143" s="514"/>
      <c r="T1143" s="514"/>
      <c r="U1143" s="514"/>
      <c r="V1143" s="524"/>
      <c r="W1143" s="524"/>
      <c r="X1143" s="524"/>
      <c r="Y1143" s="524"/>
      <c r="Z1143" s="524"/>
      <c r="AA1143" s="524"/>
      <c r="AB1143" s="524"/>
      <c r="AC1143" s="524"/>
      <c r="AD1143" s="396"/>
      <c r="AE1143" s="396"/>
      <c r="AF1143" s="396"/>
    </row>
    <row r="1144" customFormat="false" ht="12.75" hidden="false" customHeight="true" outlineLevel="0" collapsed="false">
      <c r="A1144" s="396"/>
      <c r="B1144" s="396"/>
      <c r="C1144" s="524"/>
      <c r="D1144" s="524"/>
      <c r="E1144" s="523"/>
      <c r="F1144" s="523"/>
      <c r="G1144" s="523"/>
      <c r="H1144" s="523"/>
      <c r="I1144" s="523"/>
      <c r="J1144" s="523"/>
      <c r="K1144" s="523"/>
      <c r="L1144" s="523"/>
      <c r="M1144" s="523"/>
      <c r="N1144" s="514"/>
      <c r="O1144" s="514"/>
      <c r="P1144" s="514"/>
      <c r="Q1144" s="514"/>
      <c r="R1144" s="514"/>
      <c r="S1144" s="514"/>
      <c r="T1144" s="514"/>
      <c r="U1144" s="514"/>
      <c r="V1144" s="524"/>
      <c r="W1144" s="524"/>
      <c r="X1144" s="524"/>
      <c r="Y1144" s="524"/>
      <c r="Z1144" s="524"/>
      <c r="AA1144" s="524"/>
      <c r="AB1144" s="524"/>
      <c r="AC1144" s="524"/>
      <c r="AD1144" s="396"/>
      <c r="AE1144" s="396"/>
      <c r="AF1144" s="396"/>
    </row>
    <row r="1145" customFormat="false" ht="12.75" hidden="false" customHeight="true" outlineLevel="0" collapsed="false">
      <c r="A1145" s="396"/>
      <c r="B1145" s="396"/>
      <c r="C1145" s="524"/>
      <c r="D1145" s="524"/>
      <c r="E1145" s="523"/>
      <c r="F1145" s="523"/>
      <c r="G1145" s="523"/>
      <c r="H1145" s="523"/>
      <c r="I1145" s="523"/>
      <c r="J1145" s="523"/>
      <c r="K1145" s="523"/>
      <c r="L1145" s="523"/>
      <c r="M1145" s="523"/>
      <c r="N1145" s="514"/>
      <c r="O1145" s="514"/>
      <c r="P1145" s="514"/>
      <c r="Q1145" s="514"/>
      <c r="R1145" s="514"/>
      <c r="S1145" s="514"/>
      <c r="T1145" s="514"/>
      <c r="U1145" s="514"/>
      <c r="V1145" s="524"/>
      <c r="W1145" s="524"/>
      <c r="X1145" s="524"/>
      <c r="Y1145" s="524"/>
      <c r="Z1145" s="524"/>
      <c r="AA1145" s="524"/>
      <c r="AB1145" s="524"/>
      <c r="AC1145" s="524"/>
      <c r="AD1145" s="396"/>
      <c r="AE1145" s="396"/>
      <c r="AF1145" s="396"/>
    </row>
    <row r="1146" customFormat="false" ht="12.75" hidden="false" customHeight="true" outlineLevel="0" collapsed="false">
      <c r="A1146" s="396"/>
      <c r="B1146" s="396"/>
      <c r="C1146" s="524"/>
      <c r="D1146" s="524"/>
      <c r="E1146" s="523"/>
      <c r="F1146" s="523"/>
      <c r="G1146" s="523"/>
      <c r="H1146" s="523"/>
      <c r="I1146" s="523"/>
      <c r="J1146" s="523"/>
      <c r="K1146" s="523"/>
      <c r="L1146" s="523"/>
      <c r="M1146" s="523"/>
      <c r="N1146" s="514"/>
      <c r="O1146" s="514"/>
      <c r="P1146" s="514"/>
      <c r="Q1146" s="514"/>
      <c r="R1146" s="514"/>
      <c r="S1146" s="514"/>
      <c r="T1146" s="514"/>
      <c r="U1146" s="514"/>
      <c r="V1146" s="524"/>
      <c r="W1146" s="524"/>
      <c r="X1146" s="524"/>
      <c r="Y1146" s="524"/>
      <c r="Z1146" s="524"/>
      <c r="AA1146" s="524"/>
      <c r="AB1146" s="524"/>
      <c r="AC1146" s="524"/>
      <c r="AD1146" s="396"/>
      <c r="AE1146" s="396"/>
      <c r="AF1146" s="396"/>
    </row>
    <row r="1147" customFormat="false" ht="12.75" hidden="false" customHeight="true" outlineLevel="0" collapsed="false">
      <c r="A1147" s="396"/>
      <c r="B1147" s="396"/>
      <c r="C1147" s="524"/>
      <c r="D1147" s="524"/>
      <c r="E1147" s="523"/>
      <c r="F1147" s="523"/>
      <c r="G1147" s="523"/>
      <c r="H1147" s="523"/>
      <c r="I1147" s="523"/>
      <c r="J1147" s="523"/>
      <c r="K1147" s="523"/>
      <c r="L1147" s="523"/>
      <c r="M1147" s="523"/>
      <c r="N1147" s="514"/>
      <c r="O1147" s="514"/>
      <c r="P1147" s="514"/>
      <c r="Q1147" s="514"/>
      <c r="R1147" s="514"/>
      <c r="S1147" s="514"/>
      <c r="T1147" s="514"/>
      <c r="U1147" s="514"/>
      <c r="V1147" s="524"/>
      <c r="W1147" s="524"/>
      <c r="X1147" s="524"/>
      <c r="Y1147" s="524"/>
      <c r="Z1147" s="524"/>
      <c r="AA1147" s="524"/>
      <c r="AB1147" s="524"/>
      <c r="AC1147" s="524"/>
      <c r="AD1147" s="396"/>
      <c r="AE1147" s="396"/>
      <c r="AF1147" s="396"/>
    </row>
    <row r="1148" customFormat="false" ht="12.75" hidden="false" customHeight="true" outlineLevel="0" collapsed="false">
      <c r="A1148" s="396"/>
      <c r="B1148" s="396"/>
      <c r="C1148" s="524"/>
      <c r="D1148" s="524"/>
      <c r="E1148" s="523"/>
      <c r="F1148" s="523"/>
      <c r="G1148" s="523"/>
      <c r="H1148" s="523"/>
      <c r="I1148" s="523"/>
      <c r="J1148" s="523"/>
      <c r="K1148" s="523"/>
      <c r="L1148" s="523"/>
      <c r="M1148" s="523"/>
      <c r="N1148" s="514"/>
      <c r="O1148" s="514"/>
      <c r="P1148" s="514"/>
      <c r="Q1148" s="514"/>
      <c r="R1148" s="514"/>
      <c r="S1148" s="514"/>
      <c r="T1148" s="514"/>
      <c r="U1148" s="514"/>
      <c r="V1148" s="524"/>
      <c r="W1148" s="524"/>
      <c r="X1148" s="524"/>
      <c r="Y1148" s="524"/>
      <c r="Z1148" s="524"/>
      <c r="AA1148" s="524"/>
      <c r="AB1148" s="524"/>
      <c r="AC1148" s="524"/>
      <c r="AD1148" s="396"/>
      <c r="AE1148" s="396"/>
      <c r="AF1148" s="396"/>
    </row>
    <row r="1149" customFormat="false" ht="12.75" hidden="false" customHeight="true" outlineLevel="0" collapsed="false">
      <c r="A1149" s="396"/>
      <c r="B1149" s="396"/>
      <c r="C1149" s="524"/>
      <c r="D1149" s="524"/>
      <c r="E1149" s="523"/>
      <c r="F1149" s="523"/>
      <c r="G1149" s="523"/>
      <c r="H1149" s="523"/>
      <c r="I1149" s="523"/>
      <c r="J1149" s="523"/>
      <c r="K1149" s="523"/>
      <c r="L1149" s="523"/>
      <c r="M1149" s="523"/>
      <c r="N1149" s="514"/>
      <c r="O1149" s="514"/>
      <c r="P1149" s="514"/>
      <c r="Q1149" s="514"/>
      <c r="R1149" s="514"/>
      <c r="S1149" s="514"/>
      <c r="T1149" s="514"/>
      <c r="U1149" s="514"/>
      <c r="V1149" s="524"/>
      <c r="W1149" s="524"/>
      <c r="X1149" s="524"/>
      <c r="Y1149" s="524"/>
      <c r="Z1149" s="524"/>
      <c r="AA1149" s="524"/>
      <c r="AB1149" s="524"/>
      <c r="AC1149" s="524"/>
      <c r="AD1149" s="396"/>
      <c r="AE1149" s="396"/>
      <c r="AF1149" s="396"/>
    </row>
    <row r="1150" customFormat="false" ht="12.75" hidden="false" customHeight="true" outlineLevel="0" collapsed="false">
      <c r="A1150" s="396"/>
      <c r="B1150" s="396"/>
      <c r="C1150" s="524"/>
      <c r="D1150" s="524"/>
      <c r="E1150" s="523"/>
      <c r="F1150" s="523"/>
      <c r="G1150" s="523"/>
      <c r="H1150" s="523"/>
      <c r="I1150" s="523"/>
      <c r="J1150" s="523"/>
      <c r="K1150" s="523"/>
      <c r="L1150" s="523"/>
      <c r="M1150" s="523"/>
      <c r="N1150" s="514"/>
      <c r="O1150" s="514"/>
      <c r="P1150" s="514"/>
      <c r="Q1150" s="514"/>
      <c r="R1150" s="514"/>
      <c r="S1150" s="514"/>
      <c r="T1150" s="514"/>
      <c r="U1150" s="514"/>
      <c r="V1150" s="524"/>
      <c r="W1150" s="524"/>
      <c r="X1150" s="524"/>
      <c r="Y1150" s="524"/>
      <c r="Z1150" s="524"/>
      <c r="AA1150" s="524"/>
      <c r="AB1150" s="524"/>
      <c r="AC1150" s="524"/>
      <c r="AD1150" s="396"/>
      <c r="AE1150" s="396"/>
      <c r="AF1150" s="396"/>
    </row>
    <row r="1151" customFormat="false" ht="12.75" hidden="false" customHeight="true" outlineLevel="0" collapsed="false">
      <c r="A1151" s="396"/>
      <c r="B1151" s="396"/>
      <c r="C1151" s="524"/>
      <c r="D1151" s="524"/>
      <c r="E1151" s="523"/>
      <c r="F1151" s="523"/>
      <c r="G1151" s="523"/>
      <c r="H1151" s="523"/>
      <c r="I1151" s="523"/>
      <c r="J1151" s="523"/>
      <c r="K1151" s="523"/>
      <c r="L1151" s="523"/>
      <c r="M1151" s="523"/>
      <c r="N1151" s="514"/>
      <c r="O1151" s="514"/>
      <c r="P1151" s="514"/>
      <c r="Q1151" s="514"/>
      <c r="R1151" s="514"/>
      <c r="S1151" s="514"/>
      <c r="T1151" s="514"/>
      <c r="U1151" s="514"/>
      <c r="V1151" s="524"/>
      <c r="W1151" s="524"/>
      <c r="X1151" s="524"/>
      <c r="Y1151" s="524"/>
      <c r="Z1151" s="524"/>
      <c r="AA1151" s="524"/>
      <c r="AB1151" s="524"/>
      <c r="AC1151" s="524"/>
      <c r="AD1151" s="396"/>
      <c r="AE1151" s="396"/>
      <c r="AF1151" s="396"/>
    </row>
    <row r="1152" customFormat="false" ht="12.75" hidden="false" customHeight="true" outlineLevel="0" collapsed="false">
      <c r="A1152" s="396"/>
      <c r="B1152" s="396"/>
      <c r="C1152" s="524"/>
      <c r="D1152" s="524"/>
      <c r="E1152" s="523"/>
      <c r="F1152" s="523"/>
      <c r="G1152" s="523"/>
      <c r="H1152" s="523"/>
      <c r="I1152" s="523"/>
      <c r="J1152" s="523"/>
      <c r="K1152" s="523"/>
      <c r="L1152" s="523"/>
      <c r="M1152" s="523"/>
      <c r="N1152" s="514"/>
      <c r="O1152" s="514"/>
      <c r="P1152" s="514"/>
      <c r="Q1152" s="514"/>
      <c r="R1152" s="514"/>
      <c r="S1152" s="514"/>
      <c r="T1152" s="514"/>
      <c r="U1152" s="514"/>
      <c r="V1152" s="524"/>
      <c r="W1152" s="524"/>
      <c r="X1152" s="524"/>
      <c r="Y1152" s="524"/>
      <c r="Z1152" s="524"/>
      <c r="AA1152" s="524"/>
      <c r="AB1152" s="524"/>
      <c r="AC1152" s="524"/>
      <c r="AD1152" s="396"/>
      <c r="AE1152" s="396"/>
      <c r="AF1152" s="396"/>
    </row>
    <row r="1153" customFormat="false" ht="12.75" hidden="false" customHeight="true" outlineLevel="0" collapsed="false">
      <c r="A1153" s="396"/>
      <c r="B1153" s="396"/>
      <c r="C1153" s="527"/>
      <c r="D1153" s="527"/>
      <c r="E1153" s="519"/>
      <c r="F1153" s="519"/>
      <c r="G1153" s="519"/>
      <c r="H1153" s="519"/>
      <c r="I1153" s="519"/>
      <c r="J1153" s="519"/>
      <c r="K1153" s="519"/>
      <c r="L1153" s="519"/>
      <c r="M1153" s="519"/>
      <c r="N1153" s="514"/>
      <c r="O1153" s="514"/>
      <c r="P1153" s="514"/>
      <c r="Q1153" s="514"/>
      <c r="R1153" s="526"/>
      <c r="S1153" s="526"/>
      <c r="T1153" s="526"/>
      <c r="U1153" s="526"/>
      <c r="V1153" s="527"/>
      <c r="W1153" s="527"/>
      <c r="X1153" s="527"/>
      <c r="Y1153" s="527"/>
      <c r="Z1153" s="527"/>
      <c r="AA1153" s="527"/>
      <c r="AB1153" s="527"/>
      <c r="AC1153" s="527"/>
      <c r="AD1153" s="396"/>
      <c r="AE1153" s="396"/>
      <c r="AF1153" s="396"/>
    </row>
    <row r="1154" customFormat="false" ht="12.75" hidden="false" customHeight="true" outlineLevel="0" collapsed="false">
      <c r="A1154" s="396"/>
      <c r="B1154" s="396"/>
      <c r="C1154" s="524"/>
      <c r="D1154" s="524"/>
      <c r="E1154" s="523"/>
      <c r="F1154" s="523"/>
      <c r="G1154" s="523"/>
      <c r="H1154" s="523"/>
      <c r="I1154" s="523"/>
      <c r="J1154" s="523"/>
      <c r="K1154" s="523"/>
      <c r="L1154" s="523"/>
      <c r="M1154" s="523"/>
      <c r="N1154" s="520"/>
      <c r="O1154" s="520"/>
      <c r="P1154" s="520"/>
      <c r="Q1154" s="520"/>
      <c r="R1154" s="520"/>
      <c r="S1154" s="520"/>
      <c r="T1154" s="520"/>
      <c r="U1154" s="520"/>
      <c r="V1154" s="520"/>
      <c r="W1154" s="520"/>
      <c r="X1154" s="520"/>
      <c r="Y1154" s="520"/>
      <c r="Z1154" s="520"/>
      <c r="AA1154" s="520"/>
      <c r="AB1154" s="520"/>
      <c r="AC1154" s="520"/>
      <c r="AD1154" s="396"/>
      <c r="AE1154" s="396"/>
      <c r="AF1154" s="396"/>
    </row>
    <row r="1155" customFormat="false" ht="12.75" hidden="false" customHeight="true" outlineLevel="0" collapsed="false">
      <c r="A1155" s="396"/>
      <c r="B1155" s="396"/>
      <c r="C1155" s="558"/>
      <c r="D1155" s="600"/>
      <c r="E1155" s="558"/>
      <c r="F1155" s="600"/>
      <c r="G1155" s="600"/>
      <c r="H1155" s="600"/>
      <c r="I1155" s="600"/>
      <c r="J1155" s="600"/>
      <c r="K1155" s="600"/>
      <c r="L1155" s="600"/>
      <c r="M1155" s="600"/>
      <c r="N1155" s="524"/>
      <c r="O1155" s="524"/>
      <c r="P1155" s="524"/>
      <c r="Q1155" s="524"/>
      <c r="R1155" s="601"/>
      <c r="S1155" s="601"/>
      <c r="T1155" s="601"/>
      <c r="U1155" s="601"/>
      <c r="V1155" s="524"/>
      <c r="W1155" s="524"/>
      <c r="X1155" s="524"/>
      <c r="Y1155" s="524"/>
      <c r="Z1155" s="601"/>
      <c r="AA1155" s="601"/>
      <c r="AB1155" s="601"/>
      <c r="AC1155" s="601"/>
      <c r="AD1155" s="396"/>
      <c r="AE1155" s="396"/>
      <c r="AF1155" s="396"/>
    </row>
    <row r="1156" customFormat="false" ht="12.75" hidden="false" customHeight="true" outlineLevel="0" collapsed="false">
      <c r="A1156" s="396"/>
      <c r="B1156" s="396"/>
      <c r="C1156" s="524"/>
      <c r="D1156" s="524"/>
      <c r="E1156" s="523"/>
      <c r="F1156" s="523"/>
      <c r="G1156" s="523"/>
      <c r="H1156" s="523"/>
      <c r="I1156" s="523"/>
      <c r="J1156" s="523"/>
      <c r="K1156" s="523"/>
      <c r="L1156" s="523"/>
      <c r="M1156" s="523"/>
      <c r="N1156" s="514"/>
      <c r="O1156" s="514"/>
      <c r="P1156" s="514"/>
      <c r="Q1156" s="514"/>
      <c r="R1156" s="514"/>
      <c r="S1156" s="514"/>
      <c r="T1156" s="514"/>
      <c r="U1156" s="514"/>
      <c r="V1156" s="514"/>
      <c r="W1156" s="514"/>
      <c r="X1156" s="514"/>
      <c r="Y1156" s="514"/>
      <c r="Z1156" s="514"/>
      <c r="AA1156" s="514"/>
      <c r="AB1156" s="514"/>
      <c r="AC1156" s="514"/>
      <c r="AD1156" s="396"/>
      <c r="AE1156" s="396"/>
      <c r="AF1156" s="396"/>
    </row>
    <row r="1157" customFormat="false" ht="12.75" hidden="false" customHeight="true" outlineLevel="0" collapsed="false">
      <c r="A1157" s="396"/>
      <c r="B1157" s="396"/>
      <c r="C1157" s="558"/>
      <c r="D1157" s="600"/>
      <c r="E1157" s="494"/>
      <c r="F1157" s="602"/>
      <c r="G1157" s="602"/>
      <c r="H1157" s="602"/>
      <c r="I1157" s="602"/>
      <c r="J1157" s="602"/>
      <c r="K1157" s="602"/>
      <c r="L1157" s="602"/>
      <c r="M1157" s="602"/>
      <c r="N1157" s="603"/>
      <c r="O1157" s="603"/>
      <c r="P1157" s="603"/>
      <c r="Q1157" s="603"/>
      <c r="R1157" s="604"/>
      <c r="S1157" s="604"/>
      <c r="T1157" s="604"/>
      <c r="U1157" s="604"/>
      <c r="V1157" s="494"/>
      <c r="W1157" s="494"/>
      <c r="X1157" s="494"/>
      <c r="Y1157" s="494"/>
      <c r="Z1157" s="604"/>
      <c r="AA1157" s="604"/>
      <c r="AB1157" s="604"/>
      <c r="AC1157" s="438"/>
      <c r="AD1157" s="396"/>
      <c r="AE1157" s="396"/>
      <c r="AF1157" s="396"/>
    </row>
    <row r="1158" customFormat="false" ht="12.75" hidden="false" customHeight="true" outlineLevel="0" collapsed="false">
      <c r="A1158" s="396"/>
      <c r="B1158" s="396"/>
      <c r="C1158" s="524"/>
      <c r="D1158" s="524"/>
      <c r="E1158" s="523"/>
      <c r="F1158" s="523"/>
      <c r="G1158" s="523"/>
      <c r="H1158" s="523"/>
      <c r="I1158" s="523"/>
      <c r="J1158" s="523"/>
      <c r="K1158" s="523"/>
      <c r="L1158" s="523"/>
      <c r="M1158" s="523"/>
      <c r="N1158" s="514"/>
      <c r="O1158" s="514"/>
      <c r="P1158" s="514"/>
      <c r="Q1158" s="514"/>
      <c r="R1158" s="544"/>
      <c r="S1158" s="544"/>
      <c r="T1158" s="544"/>
      <c r="U1158" s="544"/>
      <c r="V1158" s="524"/>
      <c r="W1158" s="524"/>
      <c r="X1158" s="524"/>
      <c r="Y1158" s="524"/>
      <c r="Z1158" s="524"/>
      <c r="AA1158" s="524"/>
      <c r="AB1158" s="524"/>
      <c r="AC1158" s="524"/>
      <c r="AD1158" s="396"/>
      <c r="AE1158" s="396"/>
      <c r="AF1158" s="396"/>
    </row>
    <row r="1159" customFormat="false" ht="12.75" hidden="false" customHeight="true" outlineLevel="0" collapsed="false">
      <c r="A1159" s="396"/>
      <c r="B1159" s="396"/>
      <c r="C1159" s="524"/>
      <c r="D1159" s="524"/>
      <c r="E1159" s="523"/>
      <c r="F1159" s="523"/>
      <c r="G1159" s="523"/>
      <c r="H1159" s="523"/>
      <c r="I1159" s="523"/>
      <c r="J1159" s="523"/>
      <c r="K1159" s="523"/>
      <c r="L1159" s="523"/>
      <c r="M1159" s="523"/>
      <c r="N1159" s="514"/>
      <c r="O1159" s="514"/>
      <c r="P1159" s="514"/>
      <c r="Q1159" s="514"/>
      <c r="R1159" s="544"/>
      <c r="S1159" s="544"/>
      <c r="T1159" s="544"/>
      <c r="U1159" s="544"/>
      <c r="V1159" s="524"/>
      <c r="W1159" s="524"/>
      <c r="X1159" s="524"/>
      <c r="Y1159" s="524"/>
      <c r="Z1159" s="524"/>
      <c r="AA1159" s="524"/>
      <c r="AB1159" s="524"/>
      <c r="AC1159" s="524"/>
      <c r="AD1159" s="396"/>
      <c r="AE1159" s="396"/>
      <c r="AF1159" s="396"/>
    </row>
    <row r="1160" customFormat="false" ht="12.75" hidden="false" customHeight="true" outlineLevel="0" collapsed="false">
      <c r="A1160" s="396"/>
      <c r="B1160" s="396"/>
      <c r="C1160" s="524"/>
      <c r="D1160" s="524"/>
      <c r="E1160" s="523"/>
      <c r="F1160" s="523"/>
      <c r="G1160" s="523"/>
      <c r="H1160" s="523"/>
      <c r="I1160" s="523"/>
      <c r="J1160" s="523"/>
      <c r="K1160" s="523"/>
      <c r="L1160" s="523"/>
      <c r="M1160" s="523"/>
      <c r="N1160" s="514"/>
      <c r="O1160" s="514"/>
      <c r="P1160" s="514"/>
      <c r="Q1160" s="514"/>
      <c r="R1160" s="544"/>
      <c r="S1160" s="544"/>
      <c r="T1160" s="544"/>
      <c r="U1160" s="544"/>
      <c r="V1160" s="524"/>
      <c r="W1160" s="524"/>
      <c r="X1160" s="524"/>
      <c r="Y1160" s="524"/>
      <c r="Z1160" s="524"/>
      <c r="AA1160" s="524"/>
      <c r="AB1160" s="524"/>
      <c r="AC1160" s="524"/>
      <c r="AD1160" s="396"/>
      <c r="AE1160" s="396"/>
      <c r="AF1160" s="396"/>
    </row>
    <row r="1161" customFormat="false" ht="12.75" hidden="false" customHeight="true" outlineLevel="0" collapsed="false">
      <c r="A1161" s="396"/>
      <c r="B1161" s="396"/>
      <c r="C1161" s="524"/>
      <c r="D1161" s="524"/>
      <c r="E1161" s="523"/>
      <c r="F1161" s="523"/>
      <c r="G1161" s="523"/>
      <c r="H1161" s="523"/>
      <c r="I1161" s="523"/>
      <c r="J1161" s="523"/>
      <c r="K1161" s="523"/>
      <c r="L1161" s="523"/>
      <c r="M1161" s="523"/>
      <c r="N1161" s="514"/>
      <c r="O1161" s="514"/>
      <c r="P1161" s="514"/>
      <c r="Q1161" s="514"/>
      <c r="R1161" s="544"/>
      <c r="S1161" s="544"/>
      <c r="T1161" s="544"/>
      <c r="U1161" s="544"/>
      <c r="V1161" s="524"/>
      <c r="W1161" s="524"/>
      <c r="X1161" s="524"/>
      <c r="Y1161" s="524"/>
      <c r="Z1161" s="524"/>
      <c r="AA1161" s="524"/>
      <c r="AB1161" s="524"/>
      <c r="AC1161" s="524"/>
      <c r="AD1161" s="396"/>
      <c r="AE1161" s="396"/>
      <c r="AF1161" s="396"/>
    </row>
    <row r="1162" customFormat="false" ht="12.75" hidden="false" customHeight="true" outlineLevel="0" collapsed="false">
      <c r="A1162" s="396"/>
      <c r="B1162" s="396"/>
      <c r="C1162" s="524"/>
      <c r="D1162" s="524"/>
      <c r="E1162" s="523"/>
      <c r="F1162" s="523"/>
      <c r="G1162" s="523"/>
      <c r="H1162" s="523"/>
      <c r="I1162" s="523"/>
      <c r="J1162" s="523"/>
      <c r="K1162" s="523"/>
      <c r="L1162" s="523"/>
      <c r="M1162" s="523"/>
      <c r="N1162" s="514"/>
      <c r="O1162" s="514"/>
      <c r="P1162" s="514"/>
      <c r="Q1162" s="514"/>
      <c r="R1162" s="544"/>
      <c r="S1162" s="544"/>
      <c r="T1162" s="544"/>
      <c r="U1162" s="544"/>
      <c r="V1162" s="524"/>
      <c r="W1162" s="524"/>
      <c r="X1162" s="524"/>
      <c r="Y1162" s="524"/>
      <c r="Z1162" s="524"/>
      <c r="AA1162" s="524"/>
      <c r="AB1162" s="524"/>
      <c r="AC1162" s="524"/>
      <c r="AD1162" s="396"/>
      <c r="AE1162" s="396"/>
      <c r="AF1162" s="396"/>
    </row>
    <row r="1163" customFormat="false" ht="12.75" hidden="false" customHeight="true" outlineLevel="0" collapsed="false">
      <c r="A1163" s="396"/>
      <c r="B1163" s="396"/>
      <c r="C1163" s="524"/>
      <c r="D1163" s="524"/>
      <c r="E1163" s="523"/>
      <c r="F1163" s="523"/>
      <c r="G1163" s="523"/>
      <c r="H1163" s="523"/>
      <c r="I1163" s="523"/>
      <c r="J1163" s="523"/>
      <c r="K1163" s="523"/>
      <c r="L1163" s="523"/>
      <c r="M1163" s="523"/>
      <c r="N1163" s="514"/>
      <c r="O1163" s="514"/>
      <c r="P1163" s="514"/>
      <c r="Q1163" s="514"/>
      <c r="R1163" s="544"/>
      <c r="S1163" s="544"/>
      <c r="T1163" s="544"/>
      <c r="U1163" s="544"/>
      <c r="V1163" s="524"/>
      <c r="W1163" s="524"/>
      <c r="X1163" s="524"/>
      <c r="Y1163" s="524"/>
      <c r="Z1163" s="524"/>
      <c r="AA1163" s="524"/>
      <c r="AB1163" s="524"/>
      <c r="AC1163" s="524"/>
      <c r="AD1163" s="396"/>
      <c r="AE1163" s="396"/>
      <c r="AF1163" s="396"/>
    </row>
    <row r="1164" customFormat="false" ht="12.75" hidden="false" customHeight="true" outlineLevel="0" collapsed="false">
      <c r="A1164" s="396"/>
      <c r="B1164" s="396"/>
      <c r="C1164" s="524"/>
      <c r="D1164" s="524"/>
      <c r="E1164" s="523"/>
      <c r="F1164" s="523"/>
      <c r="G1164" s="523"/>
      <c r="H1164" s="523"/>
      <c r="I1164" s="523"/>
      <c r="J1164" s="523"/>
      <c r="K1164" s="523"/>
      <c r="L1164" s="523"/>
      <c r="M1164" s="523"/>
      <c r="N1164" s="514"/>
      <c r="O1164" s="514"/>
      <c r="P1164" s="514"/>
      <c r="Q1164" s="514"/>
      <c r="R1164" s="544"/>
      <c r="S1164" s="544"/>
      <c r="T1164" s="544"/>
      <c r="U1164" s="544"/>
      <c r="V1164" s="524"/>
      <c r="W1164" s="524"/>
      <c r="X1164" s="524"/>
      <c r="Y1164" s="524"/>
      <c r="Z1164" s="524"/>
      <c r="AA1164" s="524"/>
      <c r="AB1164" s="524"/>
      <c r="AC1164" s="524"/>
      <c r="AD1164" s="396"/>
      <c r="AE1164" s="396"/>
      <c r="AF1164" s="396"/>
    </row>
    <row r="1165" customFormat="false" ht="12.75" hidden="false" customHeight="true" outlineLevel="0" collapsed="false">
      <c r="A1165" s="396"/>
      <c r="B1165" s="396"/>
      <c r="C1165" s="524"/>
      <c r="D1165" s="524"/>
      <c r="E1165" s="523"/>
      <c r="F1165" s="523"/>
      <c r="G1165" s="523"/>
      <c r="H1165" s="523"/>
      <c r="I1165" s="523"/>
      <c r="J1165" s="523"/>
      <c r="K1165" s="523"/>
      <c r="L1165" s="523"/>
      <c r="M1165" s="523"/>
      <c r="N1165" s="514"/>
      <c r="O1165" s="514"/>
      <c r="P1165" s="514"/>
      <c r="Q1165" s="514"/>
      <c r="R1165" s="544"/>
      <c r="S1165" s="544"/>
      <c r="T1165" s="544"/>
      <c r="U1165" s="544"/>
      <c r="V1165" s="524"/>
      <c r="W1165" s="524"/>
      <c r="X1165" s="524"/>
      <c r="Y1165" s="524"/>
      <c r="Z1165" s="524"/>
      <c r="AA1165" s="524"/>
      <c r="AB1165" s="524"/>
      <c r="AC1165" s="524"/>
      <c r="AD1165" s="396"/>
      <c r="AE1165" s="396"/>
      <c r="AF1165" s="396"/>
    </row>
    <row r="1166" customFormat="false" ht="12.75" hidden="false" customHeight="true" outlineLevel="0" collapsed="false">
      <c r="A1166" s="396"/>
      <c r="B1166" s="396"/>
      <c r="C1166" s="524"/>
      <c r="D1166" s="524"/>
      <c r="E1166" s="523"/>
      <c r="F1166" s="523"/>
      <c r="G1166" s="523"/>
      <c r="H1166" s="523"/>
      <c r="I1166" s="523"/>
      <c r="J1166" s="523"/>
      <c r="K1166" s="523"/>
      <c r="L1166" s="523"/>
      <c r="M1166" s="523"/>
      <c r="N1166" s="514"/>
      <c r="O1166" s="514"/>
      <c r="P1166" s="514"/>
      <c r="Q1166" s="514"/>
      <c r="R1166" s="544"/>
      <c r="S1166" s="544"/>
      <c r="T1166" s="544"/>
      <c r="U1166" s="544"/>
      <c r="V1166" s="524"/>
      <c r="W1166" s="524"/>
      <c r="X1166" s="524"/>
      <c r="Y1166" s="524"/>
      <c r="Z1166" s="524"/>
      <c r="AA1166" s="524"/>
      <c r="AB1166" s="524"/>
      <c r="AC1166" s="524"/>
      <c r="AD1166" s="396"/>
      <c r="AE1166" s="396"/>
      <c r="AF1166" s="396"/>
    </row>
    <row r="1167" customFormat="false" ht="12.75" hidden="false" customHeight="true" outlineLevel="0" collapsed="false">
      <c r="A1167" s="396"/>
      <c r="B1167" s="396"/>
      <c r="C1167" s="524"/>
      <c r="D1167" s="524"/>
      <c r="E1167" s="523"/>
      <c r="F1167" s="523"/>
      <c r="G1167" s="523"/>
      <c r="H1167" s="523"/>
      <c r="I1167" s="523"/>
      <c r="J1167" s="523"/>
      <c r="K1167" s="523"/>
      <c r="L1167" s="523"/>
      <c r="M1167" s="523"/>
      <c r="N1167" s="514"/>
      <c r="O1167" s="514"/>
      <c r="P1167" s="514"/>
      <c r="Q1167" s="514"/>
      <c r="R1167" s="544"/>
      <c r="S1167" s="544"/>
      <c r="T1167" s="544"/>
      <c r="U1167" s="544"/>
      <c r="V1167" s="524"/>
      <c r="W1167" s="524"/>
      <c r="X1167" s="524"/>
      <c r="Y1167" s="524"/>
      <c r="Z1167" s="524"/>
      <c r="AA1167" s="524"/>
      <c r="AB1167" s="524"/>
      <c r="AC1167" s="524"/>
      <c r="AD1167" s="396"/>
      <c r="AE1167" s="396"/>
      <c r="AF1167" s="396"/>
    </row>
    <row r="1168" customFormat="false" ht="12.75" hidden="false" customHeight="true" outlineLevel="0" collapsed="false">
      <c r="A1168" s="396"/>
      <c r="B1168" s="396"/>
      <c r="C1168" s="524"/>
      <c r="D1168" s="524"/>
      <c r="E1168" s="523"/>
      <c r="F1168" s="523"/>
      <c r="G1168" s="523"/>
      <c r="H1168" s="523"/>
      <c r="I1168" s="523"/>
      <c r="J1168" s="523"/>
      <c r="K1168" s="523"/>
      <c r="L1168" s="523"/>
      <c r="M1168" s="523"/>
      <c r="N1168" s="514"/>
      <c r="O1168" s="514"/>
      <c r="P1168" s="514"/>
      <c r="Q1168" s="514"/>
      <c r="R1168" s="544"/>
      <c r="S1168" s="544"/>
      <c r="T1168" s="544"/>
      <c r="U1168" s="544"/>
      <c r="V1168" s="524"/>
      <c r="W1168" s="524"/>
      <c r="X1168" s="524"/>
      <c r="Y1168" s="524"/>
      <c r="Z1168" s="524"/>
      <c r="AA1168" s="524"/>
      <c r="AB1168" s="524"/>
      <c r="AC1168" s="524"/>
      <c r="AD1168" s="396"/>
      <c r="AE1168" s="396"/>
      <c r="AF1168" s="396"/>
    </row>
    <row r="1169" customFormat="false" ht="12.75" hidden="false" customHeight="true" outlineLevel="0" collapsed="false">
      <c r="A1169" s="396"/>
      <c r="B1169" s="396"/>
      <c r="C1169" s="524"/>
      <c r="D1169" s="524"/>
      <c r="E1169" s="523"/>
      <c r="F1169" s="523"/>
      <c r="G1169" s="523"/>
      <c r="H1169" s="523"/>
      <c r="I1169" s="523"/>
      <c r="J1169" s="523"/>
      <c r="K1169" s="523"/>
      <c r="L1169" s="523"/>
      <c r="M1169" s="523"/>
      <c r="N1169" s="514"/>
      <c r="O1169" s="514"/>
      <c r="P1169" s="514"/>
      <c r="Q1169" s="514"/>
      <c r="R1169" s="544"/>
      <c r="S1169" s="544"/>
      <c r="T1169" s="544"/>
      <c r="U1169" s="544"/>
      <c r="V1169" s="524"/>
      <c r="W1169" s="524"/>
      <c r="X1169" s="524"/>
      <c r="Y1169" s="524"/>
      <c r="Z1169" s="524"/>
      <c r="AA1169" s="524"/>
      <c r="AB1169" s="524"/>
      <c r="AC1169" s="524"/>
      <c r="AD1169" s="396"/>
      <c r="AE1169" s="396"/>
      <c r="AF1169" s="396"/>
    </row>
    <row r="1170" customFormat="false" ht="12.75" hidden="false" customHeight="true" outlineLevel="0" collapsed="false">
      <c r="A1170" s="396"/>
      <c r="B1170" s="396"/>
      <c r="C1170" s="524"/>
      <c r="D1170" s="524"/>
      <c r="E1170" s="523"/>
      <c r="F1170" s="523"/>
      <c r="G1170" s="523"/>
      <c r="H1170" s="523"/>
      <c r="I1170" s="523"/>
      <c r="J1170" s="523"/>
      <c r="K1170" s="523"/>
      <c r="L1170" s="523"/>
      <c r="M1170" s="523"/>
      <c r="N1170" s="514"/>
      <c r="O1170" s="514"/>
      <c r="P1170" s="514"/>
      <c r="Q1170" s="514"/>
      <c r="R1170" s="544"/>
      <c r="S1170" s="544"/>
      <c r="T1170" s="544"/>
      <c r="U1170" s="544"/>
      <c r="V1170" s="524"/>
      <c r="W1170" s="524"/>
      <c r="X1170" s="524"/>
      <c r="Y1170" s="524"/>
      <c r="Z1170" s="524"/>
      <c r="AA1170" s="524"/>
      <c r="AB1170" s="524"/>
      <c r="AC1170" s="524"/>
      <c r="AD1170" s="396"/>
      <c r="AE1170" s="396"/>
      <c r="AF1170" s="396"/>
    </row>
    <row r="1171" customFormat="false" ht="12.75" hidden="false" customHeight="true" outlineLevel="0" collapsed="false">
      <c r="A1171" s="396"/>
      <c r="B1171" s="396"/>
      <c r="C1171" s="524"/>
      <c r="D1171" s="524"/>
      <c r="E1171" s="523"/>
      <c r="F1171" s="523"/>
      <c r="G1171" s="523"/>
      <c r="H1171" s="523"/>
      <c r="I1171" s="523"/>
      <c r="J1171" s="523"/>
      <c r="K1171" s="523"/>
      <c r="L1171" s="523"/>
      <c r="M1171" s="523"/>
      <c r="N1171" s="514"/>
      <c r="O1171" s="514"/>
      <c r="P1171" s="514"/>
      <c r="Q1171" s="514"/>
      <c r="R1171" s="544"/>
      <c r="S1171" s="544"/>
      <c r="T1171" s="544"/>
      <c r="U1171" s="544"/>
      <c r="V1171" s="524"/>
      <c r="W1171" s="524"/>
      <c r="X1171" s="524"/>
      <c r="Y1171" s="524"/>
      <c r="Z1171" s="524"/>
      <c r="AA1171" s="524"/>
      <c r="AB1171" s="524"/>
      <c r="AC1171" s="524"/>
      <c r="AD1171" s="396"/>
      <c r="AE1171" s="396"/>
      <c r="AF1171" s="396"/>
    </row>
    <row r="1172" customFormat="false" ht="12.75" hidden="false" customHeight="true" outlineLevel="0" collapsed="false">
      <c r="A1172" s="396"/>
      <c r="B1172" s="396"/>
      <c r="C1172" s="524"/>
      <c r="D1172" s="524"/>
      <c r="E1172" s="523"/>
      <c r="F1172" s="523"/>
      <c r="G1172" s="523"/>
      <c r="H1172" s="523"/>
      <c r="I1172" s="523"/>
      <c r="J1172" s="523"/>
      <c r="K1172" s="523"/>
      <c r="L1172" s="523"/>
      <c r="M1172" s="523"/>
      <c r="N1172" s="514"/>
      <c r="O1172" s="514"/>
      <c r="P1172" s="514"/>
      <c r="Q1172" s="514"/>
      <c r="R1172" s="544"/>
      <c r="S1172" s="544"/>
      <c r="T1172" s="544"/>
      <c r="U1172" s="544"/>
      <c r="V1172" s="524"/>
      <c r="W1172" s="524"/>
      <c r="X1172" s="524"/>
      <c r="Y1172" s="524"/>
      <c r="Z1172" s="524"/>
      <c r="AA1172" s="524"/>
      <c r="AB1172" s="524"/>
      <c r="AC1172" s="524"/>
      <c r="AD1172" s="396"/>
      <c r="AE1172" s="396"/>
      <c r="AF1172" s="396"/>
    </row>
    <row r="1173" customFormat="false" ht="12.75" hidden="false" customHeight="true" outlineLevel="0" collapsed="false">
      <c r="A1173" s="396"/>
      <c r="B1173" s="396"/>
      <c r="C1173" s="524"/>
      <c r="D1173" s="524"/>
      <c r="E1173" s="523"/>
      <c r="F1173" s="523"/>
      <c r="G1173" s="523"/>
      <c r="H1173" s="523"/>
      <c r="I1173" s="523"/>
      <c r="J1173" s="523"/>
      <c r="K1173" s="523"/>
      <c r="L1173" s="523"/>
      <c r="M1173" s="523"/>
      <c r="N1173" s="514"/>
      <c r="O1173" s="514"/>
      <c r="P1173" s="514"/>
      <c r="Q1173" s="514"/>
      <c r="R1173" s="544"/>
      <c r="S1173" s="544"/>
      <c r="T1173" s="544"/>
      <c r="U1173" s="544"/>
      <c r="V1173" s="524"/>
      <c r="W1173" s="524"/>
      <c r="X1173" s="524"/>
      <c r="Y1173" s="524"/>
      <c r="Z1173" s="524"/>
      <c r="AA1173" s="524"/>
      <c r="AB1173" s="524"/>
      <c r="AC1173" s="524"/>
      <c r="AD1173" s="396"/>
      <c r="AE1173" s="396"/>
      <c r="AF1173" s="396"/>
    </row>
    <row r="1174" customFormat="false" ht="12.75" hidden="false" customHeight="true" outlineLevel="0" collapsed="false">
      <c r="A1174" s="396"/>
      <c r="B1174" s="396"/>
      <c r="C1174" s="524"/>
      <c r="D1174" s="524"/>
      <c r="E1174" s="523"/>
      <c r="F1174" s="523"/>
      <c r="G1174" s="523"/>
      <c r="H1174" s="523"/>
      <c r="I1174" s="523"/>
      <c r="J1174" s="523"/>
      <c r="K1174" s="523"/>
      <c r="L1174" s="523"/>
      <c r="M1174" s="523"/>
      <c r="N1174" s="514"/>
      <c r="O1174" s="514"/>
      <c r="P1174" s="514"/>
      <c r="Q1174" s="514"/>
      <c r="R1174" s="544"/>
      <c r="S1174" s="544"/>
      <c r="T1174" s="544"/>
      <c r="U1174" s="544"/>
      <c r="V1174" s="524"/>
      <c r="W1174" s="524"/>
      <c r="X1174" s="524"/>
      <c r="Y1174" s="524"/>
      <c r="Z1174" s="524"/>
      <c r="AA1174" s="524"/>
      <c r="AB1174" s="524"/>
      <c r="AC1174" s="524"/>
      <c r="AD1174" s="396"/>
      <c r="AE1174" s="396"/>
      <c r="AF1174" s="396"/>
    </row>
    <row r="1175" customFormat="false" ht="12.75" hidden="false" customHeight="true" outlineLevel="0" collapsed="false">
      <c r="A1175" s="396"/>
      <c r="B1175" s="396"/>
      <c r="C1175" s="524"/>
      <c r="D1175" s="524"/>
      <c r="E1175" s="523"/>
      <c r="F1175" s="523"/>
      <c r="G1175" s="523"/>
      <c r="H1175" s="523"/>
      <c r="I1175" s="523"/>
      <c r="J1175" s="523"/>
      <c r="K1175" s="523"/>
      <c r="L1175" s="523"/>
      <c r="M1175" s="523"/>
      <c r="N1175" s="514"/>
      <c r="O1175" s="514"/>
      <c r="P1175" s="514"/>
      <c r="Q1175" s="514"/>
      <c r="R1175" s="544"/>
      <c r="S1175" s="544"/>
      <c r="T1175" s="544"/>
      <c r="U1175" s="544"/>
      <c r="V1175" s="524"/>
      <c r="W1175" s="524"/>
      <c r="X1175" s="524"/>
      <c r="Y1175" s="524"/>
      <c r="Z1175" s="524"/>
      <c r="AA1175" s="524"/>
      <c r="AB1175" s="524"/>
      <c r="AC1175" s="524"/>
      <c r="AD1175" s="396"/>
      <c r="AE1175" s="396"/>
      <c r="AF1175" s="396"/>
    </row>
    <row r="1176" customFormat="false" ht="12.75" hidden="false" customHeight="true" outlineLevel="0" collapsed="false">
      <c r="A1176" s="396"/>
      <c r="B1176" s="396"/>
      <c r="C1176" s="524"/>
      <c r="D1176" s="524"/>
      <c r="E1176" s="523"/>
      <c r="F1176" s="523"/>
      <c r="G1176" s="523"/>
      <c r="H1176" s="523"/>
      <c r="I1176" s="523"/>
      <c r="J1176" s="523"/>
      <c r="K1176" s="523"/>
      <c r="L1176" s="523"/>
      <c r="M1176" s="523"/>
      <c r="N1176" s="514"/>
      <c r="O1176" s="514"/>
      <c r="P1176" s="514"/>
      <c r="Q1176" s="514"/>
      <c r="R1176" s="544"/>
      <c r="S1176" s="544"/>
      <c r="T1176" s="544"/>
      <c r="U1176" s="544"/>
      <c r="V1176" s="524"/>
      <c r="W1176" s="524"/>
      <c r="X1176" s="524"/>
      <c r="Y1176" s="524"/>
      <c r="Z1176" s="524"/>
      <c r="AA1176" s="524"/>
      <c r="AB1176" s="524"/>
      <c r="AC1176" s="524"/>
      <c r="AD1176" s="396"/>
      <c r="AE1176" s="396"/>
      <c r="AF1176" s="396"/>
    </row>
    <row r="1177" customFormat="false" ht="12.75" hidden="false" customHeight="true" outlineLevel="0" collapsed="false">
      <c r="A1177" s="396"/>
      <c r="B1177" s="396"/>
      <c r="C1177" s="605"/>
      <c r="D1177" s="604"/>
      <c r="E1177" s="604"/>
      <c r="F1177" s="604"/>
      <c r="G1177" s="604"/>
      <c r="H1177" s="604"/>
      <c r="I1177" s="604"/>
      <c r="J1177" s="604"/>
      <c r="K1177" s="604"/>
      <c r="L1177" s="604"/>
      <c r="M1177" s="604"/>
      <c r="N1177" s="603"/>
      <c r="O1177" s="603"/>
      <c r="P1177" s="603"/>
      <c r="Q1177" s="603"/>
      <c r="R1177" s="604"/>
      <c r="S1177" s="604"/>
      <c r="T1177" s="604"/>
      <c r="U1177" s="604"/>
      <c r="V1177" s="494"/>
      <c r="W1177" s="494"/>
      <c r="X1177" s="494"/>
      <c r="Y1177" s="494"/>
      <c r="Z1177" s="604"/>
      <c r="AA1177" s="604"/>
      <c r="AB1177" s="604"/>
      <c r="AC1177" s="438"/>
      <c r="AD1177" s="396"/>
      <c r="AE1177" s="396"/>
      <c r="AF1177" s="396"/>
    </row>
    <row r="1178" customFormat="false" ht="12.75" hidden="false" customHeight="true" outlineLevel="0" collapsed="false">
      <c r="A1178" s="396"/>
      <c r="B1178" s="396"/>
      <c r="C1178" s="523"/>
      <c r="D1178" s="523"/>
      <c r="E1178" s="523"/>
      <c r="F1178" s="523"/>
      <c r="G1178" s="523"/>
      <c r="H1178" s="523"/>
      <c r="I1178" s="523"/>
      <c r="J1178" s="523"/>
      <c r="K1178" s="523"/>
      <c r="L1178" s="523"/>
      <c r="M1178" s="523"/>
      <c r="N1178" s="514"/>
      <c r="O1178" s="514"/>
      <c r="P1178" s="514"/>
      <c r="Q1178" s="514"/>
      <c r="R1178" s="514"/>
      <c r="S1178" s="514"/>
      <c r="T1178" s="514"/>
      <c r="U1178" s="514"/>
      <c r="V1178" s="524"/>
      <c r="W1178" s="524"/>
      <c r="X1178" s="524"/>
      <c r="Y1178" s="524"/>
      <c r="Z1178" s="524"/>
      <c r="AA1178" s="524"/>
      <c r="AB1178" s="524"/>
      <c r="AC1178" s="524"/>
      <c r="AD1178" s="396"/>
      <c r="AE1178" s="396"/>
      <c r="AF1178" s="396"/>
    </row>
    <row r="1179" customFormat="false" ht="12.75" hidden="false" customHeight="true" outlineLevel="0" collapsed="false">
      <c r="A1179" s="396"/>
      <c r="B1179" s="396"/>
      <c r="C1179" s="523"/>
      <c r="D1179" s="523"/>
      <c r="E1179" s="523"/>
      <c r="F1179" s="523"/>
      <c r="G1179" s="523"/>
      <c r="H1179" s="523"/>
      <c r="I1179" s="523"/>
      <c r="J1179" s="523"/>
      <c r="K1179" s="523"/>
      <c r="L1179" s="523"/>
      <c r="M1179" s="523"/>
      <c r="N1179" s="514"/>
      <c r="O1179" s="514"/>
      <c r="P1179" s="514"/>
      <c r="Q1179" s="514"/>
      <c r="R1179" s="514"/>
      <c r="S1179" s="514"/>
      <c r="T1179" s="514"/>
      <c r="U1179" s="514"/>
      <c r="V1179" s="524"/>
      <c r="W1179" s="524"/>
      <c r="X1179" s="524"/>
      <c r="Y1179" s="524"/>
      <c r="Z1179" s="524"/>
      <c r="AA1179" s="524"/>
      <c r="AB1179" s="524"/>
      <c r="AC1179" s="524"/>
      <c r="AD1179" s="396"/>
      <c r="AE1179" s="396"/>
      <c r="AF1179" s="396"/>
    </row>
    <row r="1180" customFormat="false" ht="12.75" hidden="false" customHeight="true" outlineLevel="0" collapsed="false">
      <c r="A1180" s="396"/>
      <c r="B1180" s="396"/>
      <c r="C1180" s="523"/>
      <c r="D1180" s="523"/>
      <c r="E1180" s="523"/>
      <c r="F1180" s="523"/>
      <c r="G1180" s="523"/>
      <c r="H1180" s="523"/>
      <c r="I1180" s="523"/>
      <c r="J1180" s="523"/>
      <c r="K1180" s="523"/>
      <c r="L1180" s="523"/>
      <c r="M1180" s="523"/>
      <c r="N1180" s="514"/>
      <c r="O1180" s="514"/>
      <c r="P1180" s="514"/>
      <c r="Q1180" s="514"/>
      <c r="R1180" s="514"/>
      <c r="S1180" s="514"/>
      <c r="T1180" s="514"/>
      <c r="U1180" s="514"/>
      <c r="V1180" s="524"/>
      <c r="W1180" s="524"/>
      <c r="X1180" s="524"/>
      <c r="Y1180" s="524"/>
      <c r="Z1180" s="524"/>
      <c r="AA1180" s="524"/>
      <c r="AB1180" s="524"/>
      <c r="AC1180" s="524"/>
      <c r="AD1180" s="396"/>
      <c r="AE1180" s="396"/>
      <c r="AF1180" s="396"/>
    </row>
    <row r="1181" customFormat="false" ht="12.75" hidden="false" customHeight="true" outlineLevel="0" collapsed="false">
      <c r="A1181" s="396"/>
      <c r="B1181" s="396"/>
      <c r="C1181" s="523"/>
      <c r="D1181" s="523"/>
      <c r="E1181" s="523"/>
      <c r="F1181" s="523"/>
      <c r="G1181" s="523"/>
      <c r="H1181" s="523"/>
      <c r="I1181" s="523"/>
      <c r="J1181" s="523"/>
      <c r="K1181" s="523"/>
      <c r="L1181" s="523"/>
      <c r="M1181" s="523"/>
      <c r="N1181" s="514"/>
      <c r="O1181" s="514"/>
      <c r="P1181" s="514"/>
      <c r="Q1181" s="514"/>
      <c r="R1181" s="514"/>
      <c r="S1181" s="514"/>
      <c r="T1181" s="514"/>
      <c r="U1181" s="514"/>
      <c r="V1181" s="524"/>
      <c r="W1181" s="524"/>
      <c r="X1181" s="524"/>
      <c r="Y1181" s="524"/>
      <c r="Z1181" s="524"/>
      <c r="AA1181" s="524"/>
      <c r="AB1181" s="524"/>
      <c r="AC1181" s="524"/>
      <c r="AD1181" s="396"/>
      <c r="AE1181" s="396"/>
      <c r="AF1181" s="396"/>
    </row>
    <row r="1182" customFormat="false" ht="12.75" hidden="false" customHeight="true" outlineLevel="0" collapsed="false">
      <c r="A1182" s="396"/>
      <c r="B1182" s="396"/>
      <c r="C1182" s="523"/>
      <c r="D1182" s="523"/>
      <c r="E1182" s="523"/>
      <c r="F1182" s="523"/>
      <c r="G1182" s="523"/>
      <c r="H1182" s="523"/>
      <c r="I1182" s="523"/>
      <c r="J1182" s="523"/>
      <c r="K1182" s="523"/>
      <c r="L1182" s="523"/>
      <c r="M1182" s="523"/>
      <c r="N1182" s="514"/>
      <c r="O1182" s="514"/>
      <c r="P1182" s="514"/>
      <c r="Q1182" s="514"/>
      <c r="R1182" s="514"/>
      <c r="S1182" s="514"/>
      <c r="T1182" s="514"/>
      <c r="U1182" s="514"/>
      <c r="V1182" s="524"/>
      <c r="W1182" s="524"/>
      <c r="X1182" s="524"/>
      <c r="Y1182" s="524"/>
      <c r="Z1182" s="524"/>
      <c r="AA1182" s="524"/>
      <c r="AB1182" s="524"/>
      <c r="AC1182" s="524"/>
      <c r="AD1182" s="396"/>
      <c r="AE1182" s="396"/>
      <c r="AF1182" s="396"/>
    </row>
    <row r="1183" customFormat="false" ht="12.75" hidden="false" customHeight="true" outlineLevel="0" collapsed="false">
      <c r="A1183" s="396"/>
      <c r="B1183" s="396"/>
      <c r="C1183" s="523"/>
      <c r="D1183" s="523"/>
      <c r="E1183" s="523"/>
      <c r="F1183" s="523"/>
      <c r="G1183" s="523"/>
      <c r="H1183" s="523"/>
      <c r="I1183" s="523"/>
      <c r="J1183" s="523"/>
      <c r="K1183" s="523"/>
      <c r="L1183" s="523"/>
      <c r="M1183" s="523"/>
      <c r="N1183" s="514"/>
      <c r="O1183" s="514"/>
      <c r="P1183" s="514"/>
      <c r="Q1183" s="514"/>
      <c r="R1183" s="514"/>
      <c r="S1183" s="514"/>
      <c r="T1183" s="514"/>
      <c r="U1183" s="514"/>
      <c r="V1183" s="524"/>
      <c r="W1183" s="524"/>
      <c r="X1183" s="524"/>
      <c r="Y1183" s="524"/>
      <c r="Z1183" s="524"/>
      <c r="AA1183" s="524"/>
      <c r="AB1183" s="524"/>
      <c r="AC1183" s="524"/>
      <c r="AD1183" s="396"/>
      <c r="AE1183" s="396"/>
      <c r="AF1183" s="396"/>
    </row>
    <row r="1184" customFormat="false" ht="12.75" hidden="false" customHeight="true" outlineLevel="0" collapsed="false">
      <c r="A1184" s="396"/>
      <c r="B1184" s="396"/>
      <c r="C1184" s="523"/>
      <c r="D1184" s="523"/>
      <c r="E1184" s="523"/>
      <c r="F1184" s="523"/>
      <c r="G1184" s="523"/>
      <c r="H1184" s="523"/>
      <c r="I1184" s="523"/>
      <c r="J1184" s="523"/>
      <c r="K1184" s="523"/>
      <c r="L1184" s="523"/>
      <c r="M1184" s="523"/>
      <c r="N1184" s="514"/>
      <c r="O1184" s="514"/>
      <c r="P1184" s="514"/>
      <c r="Q1184" s="514"/>
      <c r="R1184" s="606"/>
      <c r="S1184" s="606"/>
      <c r="T1184" s="606"/>
      <c r="U1184" s="606"/>
      <c r="V1184" s="524"/>
      <c r="W1184" s="524"/>
      <c r="X1184" s="524"/>
      <c r="Y1184" s="524"/>
      <c r="Z1184" s="524"/>
      <c r="AA1184" s="524"/>
      <c r="AB1184" s="524"/>
      <c r="AC1184" s="524"/>
      <c r="AD1184" s="396"/>
      <c r="AE1184" s="396"/>
      <c r="AF1184" s="396"/>
    </row>
    <row r="1185" customFormat="false" ht="12.75" hidden="false" customHeight="true" outlineLevel="0" collapsed="false">
      <c r="A1185" s="396"/>
      <c r="B1185" s="396"/>
      <c r="C1185" s="523"/>
      <c r="D1185" s="523"/>
      <c r="E1185" s="523"/>
      <c r="F1185" s="523"/>
      <c r="G1185" s="523"/>
      <c r="H1185" s="523"/>
      <c r="I1185" s="523"/>
      <c r="J1185" s="523"/>
      <c r="K1185" s="523"/>
      <c r="L1185" s="523"/>
      <c r="M1185" s="523"/>
      <c r="N1185" s="514"/>
      <c r="O1185" s="514"/>
      <c r="P1185" s="514"/>
      <c r="Q1185" s="514"/>
      <c r="R1185" s="514"/>
      <c r="S1185" s="514"/>
      <c r="T1185" s="514"/>
      <c r="U1185" s="514"/>
      <c r="V1185" s="524"/>
      <c r="W1185" s="524"/>
      <c r="X1185" s="524"/>
      <c r="Y1185" s="524"/>
      <c r="Z1185" s="524"/>
      <c r="AA1185" s="524"/>
      <c r="AB1185" s="524"/>
      <c r="AC1185" s="524"/>
      <c r="AD1185" s="396"/>
      <c r="AE1185" s="396"/>
      <c r="AF1185" s="396"/>
    </row>
    <row r="1186" customFormat="false" ht="12.75" hidden="false" customHeight="true" outlineLevel="0" collapsed="false">
      <c r="A1186" s="396"/>
      <c r="B1186" s="396"/>
      <c r="C1186" s="396"/>
      <c r="D1186" s="396"/>
      <c r="E1186" s="557"/>
      <c r="F1186" s="557"/>
      <c r="G1186" s="557"/>
      <c r="H1186" s="557"/>
      <c r="I1186" s="557"/>
      <c r="J1186" s="557"/>
      <c r="K1186" s="557"/>
      <c r="L1186" s="557"/>
      <c r="M1186" s="557"/>
      <c r="N1186" s="557"/>
      <c r="O1186" s="557"/>
      <c r="P1186" s="557"/>
      <c r="Q1186" s="557"/>
      <c r="R1186" s="557"/>
      <c r="S1186" s="557"/>
      <c r="T1186" s="557"/>
      <c r="U1186" s="557"/>
      <c r="V1186" s="557"/>
      <c r="W1186" s="557"/>
      <c r="X1186" s="558"/>
      <c r="Y1186" s="559"/>
      <c r="Z1186" s="560"/>
      <c r="AA1186" s="560"/>
      <c r="AB1186" s="560"/>
      <c r="AC1186" s="560"/>
      <c r="AD1186" s="396"/>
      <c r="AE1186" s="396"/>
      <c r="AF1186" s="396"/>
    </row>
    <row r="1187" customFormat="false" ht="12.75" hidden="false" customHeight="true" outlineLevel="0" collapsed="false">
      <c r="A1187" s="396"/>
      <c r="B1187" s="396"/>
      <c r="C1187" s="607"/>
      <c r="D1187" s="607"/>
      <c r="E1187" s="607"/>
      <c r="F1187" s="607"/>
      <c r="G1187" s="607"/>
      <c r="H1187" s="607"/>
      <c r="I1187" s="607"/>
      <c r="J1187" s="607"/>
      <c r="K1187" s="607"/>
      <c r="L1187" s="607"/>
      <c r="M1187" s="607"/>
      <c r="N1187" s="607"/>
      <c r="O1187" s="607"/>
      <c r="P1187" s="607"/>
      <c r="Q1187" s="607"/>
      <c r="R1187" s="607"/>
      <c r="S1187" s="607"/>
      <c r="T1187" s="607"/>
      <c r="U1187" s="607"/>
      <c r="V1187" s="607"/>
      <c r="W1187" s="607"/>
      <c r="X1187" s="607"/>
      <c r="Y1187" s="607"/>
      <c r="Z1187" s="607"/>
      <c r="AA1187" s="607"/>
      <c r="AB1187" s="607"/>
      <c r="AC1187" s="607"/>
      <c r="AD1187" s="396"/>
      <c r="AE1187" s="396"/>
      <c r="AF1187" s="396"/>
    </row>
    <row r="1188" customFormat="false" ht="12.75" hidden="false" customHeight="true" outlineLevel="0" collapsed="false">
      <c r="A1188" s="396"/>
      <c r="B1188" s="396"/>
      <c r="C1188" s="607"/>
      <c r="D1188" s="607"/>
      <c r="E1188" s="607"/>
      <c r="F1188" s="607"/>
      <c r="G1188" s="607"/>
      <c r="H1188" s="607"/>
      <c r="I1188" s="607"/>
      <c r="J1188" s="607"/>
      <c r="K1188" s="607"/>
      <c r="L1188" s="607"/>
      <c r="M1188" s="607"/>
      <c r="N1188" s="607"/>
      <c r="O1188" s="607"/>
      <c r="P1188" s="607"/>
      <c r="Q1188" s="607"/>
      <c r="R1188" s="607"/>
      <c r="S1188" s="607"/>
      <c r="T1188" s="607"/>
      <c r="U1188" s="607"/>
      <c r="V1188" s="607"/>
      <c r="W1188" s="607"/>
      <c r="X1188" s="607"/>
      <c r="Y1188" s="607"/>
      <c r="Z1188" s="607"/>
      <c r="AA1188" s="607"/>
      <c r="AB1188" s="607"/>
      <c r="AC1188" s="607"/>
      <c r="AD1188" s="501"/>
      <c r="AE1188" s="396"/>
      <c r="AF1188" s="396"/>
    </row>
    <row r="1189" customFormat="false" ht="12.75" hidden="false" customHeight="true" outlineLevel="0" collapsed="false">
      <c r="A1189" s="396"/>
      <c r="B1189" s="396"/>
      <c r="C1189" s="396"/>
      <c r="D1189" s="396"/>
      <c r="E1189" s="396"/>
      <c r="F1189" s="396"/>
      <c r="G1189" s="396"/>
      <c r="H1189" s="396"/>
      <c r="I1189" s="396"/>
      <c r="J1189" s="396"/>
      <c r="K1189" s="396"/>
      <c r="L1189" s="396"/>
      <c r="M1189" s="396"/>
      <c r="N1189" s="396"/>
      <c r="O1189" s="396"/>
      <c r="P1189" s="396"/>
      <c r="Q1189" s="396"/>
      <c r="R1189" s="396"/>
      <c r="S1189" s="396"/>
      <c r="T1189" s="396"/>
      <c r="U1189" s="396"/>
      <c r="V1189" s="396"/>
      <c r="W1189" s="396"/>
      <c r="X1189" s="396"/>
      <c r="Y1189" s="396"/>
      <c r="Z1189" s="396"/>
      <c r="AA1189" s="396"/>
      <c r="AB1189" s="591"/>
      <c r="AC1189" s="592"/>
      <c r="AD1189" s="593"/>
      <c r="AE1189" s="593"/>
      <c r="AF1189" s="593"/>
    </row>
  </sheetData>
  <mergeCells count="7620">
    <mergeCell ref="A1:AF2"/>
    <mergeCell ref="A3:E3"/>
    <mergeCell ref="M3:Q3"/>
    <mergeCell ref="AE3:AF3"/>
    <mergeCell ref="M4:Q4"/>
    <mergeCell ref="R4:X4"/>
    <mergeCell ref="Y4:AD4"/>
    <mergeCell ref="AE4:AF4"/>
    <mergeCell ref="A5:B5"/>
    <mergeCell ref="C5:L5"/>
    <mergeCell ref="M5:Q5"/>
    <mergeCell ref="R5:AF5"/>
    <mergeCell ref="A6:AF6"/>
    <mergeCell ref="A7:AF7"/>
    <mergeCell ref="A8:A13"/>
    <mergeCell ref="B8:AF13"/>
    <mergeCell ref="A14:AF14"/>
    <mergeCell ref="B15:AF15"/>
    <mergeCell ref="B16:AE16"/>
    <mergeCell ref="B19:AF19"/>
    <mergeCell ref="B20:AF20"/>
    <mergeCell ref="B21:AF21"/>
    <mergeCell ref="B24:F24"/>
    <mergeCell ref="G24:J24"/>
    <mergeCell ref="K24:O24"/>
    <mergeCell ref="P24:T24"/>
    <mergeCell ref="B25:F25"/>
    <mergeCell ref="G25:J25"/>
    <mergeCell ref="K25:O25"/>
    <mergeCell ref="P25:T25"/>
    <mergeCell ref="B27:AF27"/>
    <mergeCell ref="B28:L29"/>
    <mergeCell ref="M28:P29"/>
    <mergeCell ref="Q28:T28"/>
    <mergeCell ref="Q29:T29"/>
    <mergeCell ref="B30:D30"/>
    <mergeCell ref="E30:L30"/>
    <mergeCell ref="M30:P30"/>
    <mergeCell ref="Q30:T30"/>
    <mergeCell ref="B31:D31"/>
    <mergeCell ref="E31:L31"/>
    <mergeCell ref="M31:P31"/>
    <mergeCell ref="Q31:T31"/>
    <mergeCell ref="Q32:T32"/>
    <mergeCell ref="B34:AE39"/>
    <mergeCell ref="A40:G40"/>
    <mergeCell ref="H40:K40"/>
    <mergeCell ref="M40:N40"/>
    <mergeCell ref="O40:Q40"/>
    <mergeCell ref="A41:B41"/>
    <mergeCell ref="C41:L41"/>
    <mergeCell ref="M41:Q41"/>
    <mergeCell ref="R41:AF41"/>
    <mergeCell ref="A43:C43"/>
    <mergeCell ref="D43:L43"/>
    <mergeCell ref="A44:C46"/>
    <mergeCell ref="D44:L46"/>
    <mergeCell ref="M44:N46"/>
    <mergeCell ref="O44:P46"/>
    <mergeCell ref="Q44:R46"/>
    <mergeCell ref="S44:T46"/>
    <mergeCell ref="U44:V46"/>
    <mergeCell ref="W44:X46"/>
    <mergeCell ref="Y44:AE46"/>
    <mergeCell ref="A47:C47"/>
    <mergeCell ref="D47:L47"/>
    <mergeCell ref="M47:N47"/>
    <mergeCell ref="O47:P47"/>
    <mergeCell ref="Q47:R47"/>
    <mergeCell ref="S47:T47"/>
    <mergeCell ref="U47:V47"/>
    <mergeCell ref="W47:X47"/>
    <mergeCell ref="Y47:AE47"/>
    <mergeCell ref="A48:C48"/>
    <mergeCell ref="D48:L48"/>
    <mergeCell ref="M48:N48"/>
    <mergeCell ref="O48:P48"/>
    <mergeCell ref="Q48:R48"/>
    <mergeCell ref="S48:T48"/>
    <mergeCell ref="U48:V48"/>
    <mergeCell ref="W48:X48"/>
    <mergeCell ref="Y48:AE48"/>
    <mergeCell ref="A49:C49"/>
    <mergeCell ref="D49:L49"/>
    <mergeCell ref="M49:N49"/>
    <mergeCell ref="O49:P49"/>
    <mergeCell ref="Q49:R49"/>
    <mergeCell ref="S49:T49"/>
    <mergeCell ref="U49:V49"/>
    <mergeCell ref="W49:X49"/>
    <mergeCell ref="Y49:AE49"/>
    <mergeCell ref="A50:C50"/>
    <mergeCell ref="D50:L50"/>
    <mergeCell ref="M50:N50"/>
    <mergeCell ref="O50:P50"/>
    <mergeCell ref="Q50:R50"/>
    <mergeCell ref="S50:T50"/>
    <mergeCell ref="U50:V50"/>
    <mergeCell ref="W50:X50"/>
    <mergeCell ref="Y50:AE50"/>
    <mergeCell ref="A51:C51"/>
    <mergeCell ref="D51:L51"/>
    <mergeCell ref="M51:N51"/>
    <mergeCell ref="O51:P51"/>
    <mergeCell ref="Q51:R51"/>
    <mergeCell ref="S51:T51"/>
    <mergeCell ref="U51:V51"/>
    <mergeCell ref="W51:X51"/>
    <mergeCell ref="Y51:AE51"/>
    <mergeCell ref="A52:C52"/>
    <mergeCell ref="D52:L52"/>
    <mergeCell ref="M52:N52"/>
    <mergeCell ref="O52:P52"/>
    <mergeCell ref="Q52:R52"/>
    <mergeCell ref="S52:T52"/>
    <mergeCell ref="U52:V52"/>
    <mergeCell ref="W52:X52"/>
    <mergeCell ref="Y52:AE52"/>
    <mergeCell ref="A53:C53"/>
    <mergeCell ref="D53:L53"/>
    <mergeCell ref="M53:N53"/>
    <mergeCell ref="O53:P53"/>
    <mergeCell ref="Q53:R53"/>
    <mergeCell ref="S53:T53"/>
    <mergeCell ref="U53:V53"/>
    <mergeCell ref="W53:X53"/>
    <mergeCell ref="Y53:AE53"/>
    <mergeCell ref="A54:C54"/>
    <mergeCell ref="D54:L54"/>
    <mergeCell ref="M54:N54"/>
    <mergeCell ref="O54:P54"/>
    <mergeCell ref="Q54:R54"/>
    <mergeCell ref="S54:T54"/>
    <mergeCell ref="U54:V54"/>
    <mergeCell ref="W54:X54"/>
    <mergeCell ref="Y54:AE54"/>
    <mergeCell ref="A55:C55"/>
    <mergeCell ref="D55:L55"/>
    <mergeCell ref="M55:N55"/>
    <mergeCell ref="O55:P55"/>
    <mergeCell ref="Q55:R55"/>
    <mergeCell ref="S55:T55"/>
    <mergeCell ref="U55:V55"/>
    <mergeCell ref="W55:X55"/>
    <mergeCell ref="Y55:AE55"/>
    <mergeCell ref="A56:C56"/>
    <mergeCell ref="D56:L56"/>
    <mergeCell ref="M56:N56"/>
    <mergeCell ref="O56:P56"/>
    <mergeCell ref="Q56:R56"/>
    <mergeCell ref="S56:T56"/>
    <mergeCell ref="U56:V56"/>
    <mergeCell ref="W56:X56"/>
    <mergeCell ref="Y56:AE56"/>
    <mergeCell ref="A57:C57"/>
    <mergeCell ref="D57:L57"/>
    <mergeCell ref="M57:N57"/>
    <mergeCell ref="O57:P57"/>
    <mergeCell ref="Q57:R57"/>
    <mergeCell ref="S57:T57"/>
    <mergeCell ref="U57:V57"/>
    <mergeCell ref="W57:X57"/>
    <mergeCell ref="Y57:AE57"/>
    <mergeCell ref="A58:C58"/>
    <mergeCell ref="D58:L58"/>
    <mergeCell ref="M58:N58"/>
    <mergeCell ref="O58:P58"/>
    <mergeCell ref="Q58:R58"/>
    <mergeCell ref="S58:T58"/>
    <mergeCell ref="U58:V58"/>
    <mergeCell ref="W58:X58"/>
    <mergeCell ref="Y58:AE58"/>
    <mergeCell ref="A59:C59"/>
    <mergeCell ref="D59:L59"/>
    <mergeCell ref="M59:N59"/>
    <mergeCell ref="O59:P59"/>
    <mergeCell ref="Q59:R59"/>
    <mergeCell ref="S59:T59"/>
    <mergeCell ref="U59:V59"/>
    <mergeCell ref="W59:X59"/>
    <mergeCell ref="Y59:AE59"/>
    <mergeCell ref="A60:C60"/>
    <mergeCell ref="D60:L60"/>
    <mergeCell ref="M60:N60"/>
    <mergeCell ref="O60:P60"/>
    <mergeCell ref="Q60:R60"/>
    <mergeCell ref="S60:T60"/>
    <mergeCell ref="U60:V60"/>
    <mergeCell ref="W60:X60"/>
    <mergeCell ref="Y60:AE60"/>
    <mergeCell ref="A61:C61"/>
    <mergeCell ref="D61:L61"/>
    <mergeCell ref="M61:N61"/>
    <mergeCell ref="O61:P61"/>
    <mergeCell ref="Q61:R61"/>
    <mergeCell ref="S61:T61"/>
    <mergeCell ref="U61:V61"/>
    <mergeCell ref="W61:X61"/>
    <mergeCell ref="Y61:AE61"/>
    <mergeCell ref="A62:C62"/>
    <mergeCell ref="D62:L62"/>
    <mergeCell ref="M62:N62"/>
    <mergeCell ref="O62:P62"/>
    <mergeCell ref="Q62:R62"/>
    <mergeCell ref="S62:T62"/>
    <mergeCell ref="U62:V62"/>
    <mergeCell ref="W62:X62"/>
    <mergeCell ref="Y62:AE62"/>
    <mergeCell ref="A63:C63"/>
    <mergeCell ref="D63:L63"/>
    <mergeCell ref="M63:N63"/>
    <mergeCell ref="O63:P63"/>
    <mergeCell ref="Q63:R63"/>
    <mergeCell ref="S63:T63"/>
    <mergeCell ref="U63:V63"/>
    <mergeCell ref="W63:X63"/>
    <mergeCell ref="Y63:AE63"/>
    <mergeCell ref="A64:C64"/>
    <mergeCell ref="D64:L64"/>
    <mergeCell ref="M64:N64"/>
    <mergeCell ref="O64:P64"/>
    <mergeCell ref="Q64:R64"/>
    <mergeCell ref="S64:T64"/>
    <mergeCell ref="U64:V64"/>
    <mergeCell ref="W64:X64"/>
    <mergeCell ref="Y64:AE64"/>
    <mergeCell ref="A65:C65"/>
    <mergeCell ref="D65:L65"/>
    <mergeCell ref="M65:N65"/>
    <mergeCell ref="O65:P65"/>
    <mergeCell ref="Q65:R65"/>
    <mergeCell ref="S65:T65"/>
    <mergeCell ref="U65:V65"/>
    <mergeCell ref="W65:X65"/>
    <mergeCell ref="Y65:AE65"/>
    <mergeCell ref="A68:B68"/>
    <mergeCell ref="C68:L68"/>
    <mergeCell ref="M68:Q68"/>
    <mergeCell ref="R68:AF68"/>
    <mergeCell ref="A70:C70"/>
    <mergeCell ref="D70:L70"/>
    <mergeCell ref="A71:C73"/>
    <mergeCell ref="D71:L73"/>
    <mergeCell ref="M71:N73"/>
    <mergeCell ref="O71:P73"/>
    <mergeCell ref="Q71:R73"/>
    <mergeCell ref="S71:T73"/>
    <mergeCell ref="U71:V73"/>
    <mergeCell ref="W71:X73"/>
    <mergeCell ref="Y71:AE73"/>
    <mergeCell ref="A74:C74"/>
    <mergeCell ref="D74:L74"/>
    <mergeCell ref="M74:N74"/>
    <mergeCell ref="O74:P74"/>
    <mergeCell ref="Q74:R74"/>
    <mergeCell ref="S74:T74"/>
    <mergeCell ref="U74:V74"/>
    <mergeCell ref="W74:X74"/>
    <mergeCell ref="Y74:AE74"/>
    <mergeCell ref="A75:C75"/>
    <mergeCell ref="D75:L75"/>
    <mergeCell ref="M75:N75"/>
    <mergeCell ref="O75:P75"/>
    <mergeCell ref="Q75:R75"/>
    <mergeCell ref="S75:T75"/>
    <mergeCell ref="U75:V75"/>
    <mergeCell ref="W75:X75"/>
    <mergeCell ref="Y75:AE75"/>
    <mergeCell ref="A76:C76"/>
    <mergeCell ref="D76:L76"/>
    <mergeCell ref="M76:N76"/>
    <mergeCell ref="O76:P76"/>
    <mergeCell ref="Q76:R76"/>
    <mergeCell ref="S76:T76"/>
    <mergeCell ref="U76:V76"/>
    <mergeCell ref="W76:X76"/>
    <mergeCell ref="Y76:AE76"/>
    <mergeCell ref="A77:C77"/>
    <mergeCell ref="D77:L77"/>
    <mergeCell ref="M77:N77"/>
    <mergeCell ref="O77:P77"/>
    <mergeCell ref="Q77:R77"/>
    <mergeCell ref="S77:T77"/>
    <mergeCell ref="U77:V77"/>
    <mergeCell ref="W77:X77"/>
    <mergeCell ref="Y77:AE77"/>
    <mergeCell ref="A78:C78"/>
    <mergeCell ref="D78:L78"/>
    <mergeCell ref="M78:N78"/>
    <mergeCell ref="O78:P78"/>
    <mergeCell ref="Q78:R78"/>
    <mergeCell ref="S78:T78"/>
    <mergeCell ref="U78:V78"/>
    <mergeCell ref="W78:X78"/>
    <mergeCell ref="Y78:AE78"/>
    <mergeCell ref="A79:C79"/>
    <mergeCell ref="D79:L79"/>
    <mergeCell ref="M79:N79"/>
    <mergeCell ref="O79:P79"/>
    <mergeCell ref="Q79:R79"/>
    <mergeCell ref="S79:T79"/>
    <mergeCell ref="U79:V79"/>
    <mergeCell ref="W79:X79"/>
    <mergeCell ref="Y79:AE79"/>
    <mergeCell ref="A80:C80"/>
    <mergeCell ref="D80:L80"/>
    <mergeCell ref="M80:N80"/>
    <mergeCell ref="O80:P80"/>
    <mergeCell ref="Q80:R80"/>
    <mergeCell ref="S80:T80"/>
    <mergeCell ref="U80:V80"/>
    <mergeCell ref="W80:X80"/>
    <mergeCell ref="Y80:AE80"/>
    <mergeCell ref="A81:C81"/>
    <mergeCell ref="D81:L81"/>
    <mergeCell ref="M81:N81"/>
    <mergeCell ref="O81:P81"/>
    <mergeCell ref="Q81:R81"/>
    <mergeCell ref="S81:T81"/>
    <mergeCell ref="U81:V81"/>
    <mergeCell ref="W81:X81"/>
    <mergeCell ref="Y81:AE81"/>
    <mergeCell ref="A82:C82"/>
    <mergeCell ref="D82:L82"/>
    <mergeCell ref="M82:N82"/>
    <mergeCell ref="O82:P82"/>
    <mergeCell ref="Q82:R82"/>
    <mergeCell ref="S82:T82"/>
    <mergeCell ref="U82:V82"/>
    <mergeCell ref="W82:X82"/>
    <mergeCell ref="Y82:AE82"/>
    <mergeCell ref="A83:C83"/>
    <mergeCell ref="D83:L83"/>
    <mergeCell ref="M83:N83"/>
    <mergeCell ref="O83:P83"/>
    <mergeCell ref="Q83:R83"/>
    <mergeCell ref="S83:T83"/>
    <mergeCell ref="U83:V83"/>
    <mergeCell ref="W83:X83"/>
    <mergeCell ref="Y83:AE83"/>
    <mergeCell ref="A84:C84"/>
    <mergeCell ref="D84:L84"/>
    <mergeCell ref="M84:N84"/>
    <mergeCell ref="O84:P84"/>
    <mergeCell ref="Q84:R84"/>
    <mergeCell ref="S84:T84"/>
    <mergeCell ref="U84:V84"/>
    <mergeCell ref="W84:X84"/>
    <mergeCell ref="Y84:AE84"/>
    <mergeCell ref="A85:C85"/>
    <mergeCell ref="D85:L85"/>
    <mergeCell ref="M85:N85"/>
    <mergeCell ref="O85:P85"/>
    <mergeCell ref="Q85:R85"/>
    <mergeCell ref="S85:T85"/>
    <mergeCell ref="U85:V85"/>
    <mergeCell ref="W85:X85"/>
    <mergeCell ref="Y85:AE85"/>
    <mergeCell ref="A86:C86"/>
    <mergeCell ref="D86:L86"/>
    <mergeCell ref="M86:N86"/>
    <mergeCell ref="O86:P86"/>
    <mergeCell ref="Q86:R86"/>
    <mergeCell ref="S86:T86"/>
    <mergeCell ref="U86:V86"/>
    <mergeCell ref="W86:X86"/>
    <mergeCell ref="Y86:AE86"/>
    <mergeCell ref="A87:C87"/>
    <mergeCell ref="D87:L87"/>
    <mergeCell ref="M87:N87"/>
    <mergeCell ref="O87:P87"/>
    <mergeCell ref="Q87:R87"/>
    <mergeCell ref="S87:T87"/>
    <mergeCell ref="U87:V87"/>
    <mergeCell ref="W87:X87"/>
    <mergeCell ref="Y87:AE87"/>
    <mergeCell ref="A88:C88"/>
    <mergeCell ref="D88:L88"/>
    <mergeCell ref="M88:N88"/>
    <mergeCell ref="O88:P88"/>
    <mergeCell ref="Q88:R88"/>
    <mergeCell ref="S88:T88"/>
    <mergeCell ref="U88:V88"/>
    <mergeCell ref="W88:X88"/>
    <mergeCell ref="Y88:AE88"/>
    <mergeCell ref="A89:C89"/>
    <mergeCell ref="D89:L89"/>
    <mergeCell ref="M89:N89"/>
    <mergeCell ref="O89:P89"/>
    <mergeCell ref="Q89:R89"/>
    <mergeCell ref="S89:T89"/>
    <mergeCell ref="U89:V89"/>
    <mergeCell ref="W89:X89"/>
    <mergeCell ref="Y89:AE89"/>
    <mergeCell ref="A90:C90"/>
    <mergeCell ref="D90:L90"/>
    <mergeCell ref="M90:N90"/>
    <mergeCell ref="O90:P90"/>
    <mergeCell ref="Q90:R90"/>
    <mergeCell ref="S90:T90"/>
    <mergeCell ref="U90:V90"/>
    <mergeCell ref="W90:X90"/>
    <mergeCell ref="Y90:AE90"/>
    <mergeCell ref="A91:C91"/>
    <mergeCell ref="D91:L91"/>
    <mergeCell ref="M91:N91"/>
    <mergeCell ref="O91:P91"/>
    <mergeCell ref="Q91:R91"/>
    <mergeCell ref="S91:T91"/>
    <mergeCell ref="U91:V91"/>
    <mergeCell ref="W91:X91"/>
    <mergeCell ref="Y91:AE91"/>
    <mergeCell ref="A92:C92"/>
    <mergeCell ref="D92:L92"/>
    <mergeCell ref="M92:N92"/>
    <mergeCell ref="O92:P92"/>
    <mergeCell ref="Q92:R92"/>
    <mergeCell ref="S92:T92"/>
    <mergeCell ref="U92:V92"/>
    <mergeCell ref="W92:X92"/>
    <mergeCell ref="Y92:AE92"/>
    <mergeCell ref="A95:B95"/>
    <mergeCell ref="C95:L95"/>
    <mergeCell ref="M95:Q95"/>
    <mergeCell ref="R95:AF95"/>
    <mergeCell ref="A97:C97"/>
    <mergeCell ref="D97:L97"/>
    <mergeCell ref="A98:C100"/>
    <mergeCell ref="D98:L100"/>
    <mergeCell ref="M98:N100"/>
    <mergeCell ref="O98:P100"/>
    <mergeCell ref="Q98:R100"/>
    <mergeCell ref="S98:T100"/>
    <mergeCell ref="U98:V100"/>
    <mergeCell ref="W98:X100"/>
    <mergeCell ref="Y98:AE100"/>
    <mergeCell ref="A101:C101"/>
    <mergeCell ref="D101:L101"/>
    <mergeCell ref="M101:N101"/>
    <mergeCell ref="O101:P101"/>
    <mergeCell ref="Q101:R101"/>
    <mergeCell ref="S101:T101"/>
    <mergeCell ref="U101:V101"/>
    <mergeCell ref="W101:X101"/>
    <mergeCell ref="Y101:AE101"/>
    <mergeCell ref="A102:C102"/>
    <mergeCell ref="D102:L102"/>
    <mergeCell ref="M102:N102"/>
    <mergeCell ref="O102:P102"/>
    <mergeCell ref="Q102:R102"/>
    <mergeCell ref="S102:T102"/>
    <mergeCell ref="U102:V102"/>
    <mergeCell ref="W102:X102"/>
    <mergeCell ref="Y102:AE102"/>
    <mergeCell ref="A103:C103"/>
    <mergeCell ref="D103:L103"/>
    <mergeCell ref="M103:N103"/>
    <mergeCell ref="O103:P103"/>
    <mergeCell ref="Q103:R103"/>
    <mergeCell ref="S103:T103"/>
    <mergeCell ref="U103:V103"/>
    <mergeCell ref="W103:X103"/>
    <mergeCell ref="Y103:AE103"/>
    <mergeCell ref="A104:C104"/>
    <mergeCell ref="D104:L104"/>
    <mergeCell ref="M104:N104"/>
    <mergeCell ref="O104:P104"/>
    <mergeCell ref="Q104:R104"/>
    <mergeCell ref="S104:T104"/>
    <mergeCell ref="U104:V104"/>
    <mergeCell ref="W104:X104"/>
    <mergeCell ref="Y104:AE104"/>
    <mergeCell ref="A105:C105"/>
    <mergeCell ref="D105:L105"/>
    <mergeCell ref="M105:N105"/>
    <mergeCell ref="O105:P105"/>
    <mergeCell ref="Q105:R105"/>
    <mergeCell ref="S105:T105"/>
    <mergeCell ref="U105:V105"/>
    <mergeCell ref="W105:X105"/>
    <mergeCell ref="Y105:AE105"/>
    <mergeCell ref="A106:C106"/>
    <mergeCell ref="D106:L106"/>
    <mergeCell ref="M106:N106"/>
    <mergeCell ref="O106:P106"/>
    <mergeCell ref="Q106:R106"/>
    <mergeCell ref="S106:T106"/>
    <mergeCell ref="U106:V106"/>
    <mergeCell ref="W106:X106"/>
    <mergeCell ref="Y106:AE106"/>
    <mergeCell ref="A107:C107"/>
    <mergeCell ref="D107:L107"/>
    <mergeCell ref="M107:N107"/>
    <mergeCell ref="O107:P107"/>
    <mergeCell ref="Q107:R107"/>
    <mergeCell ref="S107:T107"/>
    <mergeCell ref="U107:V107"/>
    <mergeCell ref="W107:X107"/>
    <mergeCell ref="Y107:AE107"/>
    <mergeCell ref="A108:C108"/>
    <mergeCell ref="D108:L108"/>
    <mergeCell ref="M108:N108"/>
    <mergeCell ref="O108:P108"/>
    <mergeCell ref="Q108:R108"/>
    <mergeCell ref="S108:T108"/>
    <mergeCell ref="U108:V108"/>
    <mergeCell ref="W108:X108"/>
    <mergeCell ref="Y108:AE108"/>
    <mergeCell ref="A109:C109"/>
    <mergeCell ref="D109:L109"/>
    <mergeCell ref="M109:N109"/>
    <mergeCell ref="O109:P109"/>
    <mergeCell ref="Q109:R109"/>
    <mergeCell ref="S109:T109"/>
    <mergeCell ref="U109:V109"/>
    <mergeCell ref="W109:X109"/>
    <mergeCell ref="Y109:AE109"/>
    <mergeCell ref="A110:C110"/>
    <mergeCell ref="D110:L110"/>
    <mergeCell ref="M110:N110"/>
    <mergeCell ref="O110:P110"/>
    <mergeCell ref="Q110:R110"/>
    <mergeCell ref="S110:T110"/>
    <mergeCell ref="U110:V110"/>
    <mergeCell ref="W110:X110"/>
    <mergeCell ref="Y110:AE110"/>
    <mergeCell ref="A111:C111"/>
    <mergeCell ref="D111:L111"/>
    <mergeCell ref="M111:N111"/>
    <mergeCell ref="O111:P111"/>
    <mergeCell ref="Q111:R111"/>
    <mergeCell ref="S111:T111"/>
    <mergeCell ref="U111:V111"/>
    <mergeCell ref="W111:X111"/>
    <mergeCell ref="Y111:AE111"/>
    <mergeCell ref="A112:C112"/>
    <mergeCell ref="D112:L112"/>
    <mergeCell ref="M112:N112"/>
    <mergeCell ref="O112:P112"/>
    <mergeCell ref="Q112:R112"/>
    <mergeCell ref="S112:T112"/>
    <mergeCell ref="U112:V112"/>
    <mergeCell ref="W112:X112"/>
    <mergeCell ref="Y112:AE112"/>
    <mergeCell ref="A113:C113"/>
    <mergeCell ref="D113:L113"/>
    <mergeCell ref="M113:N113"/>
    <mergeCell ref="O113:P113"/>
    <mergeCell ref="Q113:R113"/>
    <mergeCell ref="S113:T113"/>
    <mergeCell ref="U113:V113"/>
    <mergeCell ref="W113:X113"/>
    <mergeCell ref="Y113:AE113"/>
    <mergeCell ref="A114:C114"/>
    <mergeCell ref="D114:L114"/>
    <mergeCell ref="M114:N114"/>
    <mergeCell ref="O114:P114"/>
    <mergeCell ref="Q114:R114"/>
    <mergeCell ref="S114:T114"/>
    <mergeCell ref="U114:V114"/>
    <mergeCell ref="W114:X114"/>
    <mergeCell ref="Y114:AE114"/>
    <mergeCell ref="A115:C115"/>
    <mergeCell ref="D115:L115"/>
    <mergeCell ref="M115:N115"/>
    <mergeCell ref="O115:P115"/>
    <mergeCell ref="Q115:R115"/>
    <mergeCell ref="S115:T115"/>
    <mergeCell ref="U115:V115"/>
    <mergeCell ref="W115:X115"/>
    <mergeCell ref="Y115:AE115"/>
    <mergeCell ref="A116:C116"/>
    <mergeCell ref="D116:L116"/>
    <mergeCell ref="M116:N116"/>
    <mergeCell ref="O116:P116"/>
    <mergeCell ref="Q116:R116"/>
    <mergeCell ref="S116:T116"/>
    <mergeCell ref="U116:V116"/>
    <mergeCell ref="W116:X116"/>
    <mergeCell ref="Y116:AE116"/>
    <mergeCell ref="A117:C117"/>
    <mergeCell ref="D117:L117"/>
    <mergeCell ref="M117:N117"/>
    <mergeCell ref="O117:P117"/>
    <mergeCell ref="Q117:R117"/>
    <mergeCell ref="S117:T117"/>
    <mergeCell ref="U117:V117"/>
    <mergeCell ref="W117:X117"/>
    <mergeCell ref="Y117:AE117"/>
    <mergeCell ref="A118:C118"/>
    <mergeCell ref="D118:L118"/>
    <mergeCell ref="M118:N118"/>
    <mergeCell ref="O118:P118"/>
    <mergeCell ref="Q118:R118"/>
    <mergeCell ref="S118:T118"/>
    <mergeCell ref="U118:V118"/>
    <mergeCell ref="W118:X118"/>
    <mergeCell ref="Y118:AE118"/>
    <mergeCell ref="A119:C119"/>
    <mergeCell ref="D119:L119"/>
    <mergeCell ref="M119:N119"/>
    <mergeCell ref="O119:P119"/>
    <mergeCell ref="Q119:R119"/>
    <mergeCell ref="S119:T119"/>
    <mergeCell ref="U119:V119"/>
    <mergeCell ref="W119:X119"/>
    <mergeCell ref="Y119:AE119"/>
    <mergeCell ref="A122:B122"/>
    <mergeCell ref="C122:L122"/>
    <mergeCell ref="M122:Q122"/>
    <mergeCell ref="R122:AF122"/>
    <mergeCell ref="A124:C124"/>
    <mergeCell ref="D124:L124"/>
    <mergeCell ref="A125:C127"/>
    <mergeCell ref="D125:L127"/>
    <mergeCell ref="M125:N127"/>
    <mergeCell ref="O125:P127"/>
    <mergeCell ref="Q125:R127"/>
    <mergeCell ref="S125:T127"/>
    <mergeCell ref="U125:V127"/>
    <mergeCell ref="W125:X127"/>
    <mergeCell ref="Y125:AE127"/>
    <mergeCell ref="A128:C128"/>
    <mergeCell ref="D128:L128"/>
    <mergeCell ref="M128:N128"/>
    <mergeCell ref="O128:P128"/>
    <mergeCell ref="Q128:R128"/>
    <mergeCell ref="S128:T128"/>
    <mergeCell ref="U128:V128"/>
    <mergeCell ref="W128:X128"/>
    <mergeCell ref="Y128:AE128"/>
    <mergeCell ref="A129:C129"/>
    <mergeCell ref="D129:L129"/>
    <mergeCell ref="M129:N129"/>
    <mergeCell ref="O129:P129"/>
    <mergeCell ref="Q129:R129"/>
    <mergeCell ref="S129:T129"/>
    <mergeCell ref="U129:V129"/>
    <mergeCell ref="W129:X129"/>
    <mergeCell ref="Y129:AE129"/>
    <mergeCell ref="A130:C130"/>
    <mergeCell ref="D130:L130"/>
    <mergeCell ref="M130:N130"/>
    <mergeCell ref="O130:P130"/>
    <mergeCell ref="Q130:R130"/>
    <mergeCell ref="S130:T130"/>
    <mergeCell ref="U130:V130"/>
    <mergeCell ref="W130:X130"/>
    <mergeCell ref="Y130:AE130"/>
    <mergeCell ref="A131:C131"/>
    <mergeCell ref="D131:L131"/>
    <mergeCell ref="M131:N131"/>
    <mergeCell ref="O131:P131"/>
    <mergeCell ref="Q131:R131"/>
    <mergeCell ref="S131:T131"/>
    <mergeCell ref="U131:V131"/>
    <mergeCell ref="W131:X131"/>
    <mergeCell ref="Y131:AE131"/>
    <mergeCell ref="A132:C132"/>
    <mergeCell ref="D132:L132"/>
    <mergeCell ref="M132:N132"/>
    <mergeCell ref="O132:P132"/>
    <mergeCell ref="Q132:R132"/>
    <mergeCell ref="S132:T132"/>
    <mergeCell ref="U132:V132"/>
    <mergeCell ref="W132:X132"/>
    <mergeCell ref="Y132:AE132"/>
    <mergeCell ref="A133:C133"/>
    <mergeCell ref="D133:L133"/>
    <mergeCell ref="M133:N133"/>
    <mergeCell ref="O133:P133"/>
    <mergeCell ref="Q133:R133"/>
    <mergeCell ref="S133:T133"/>
    <mergeCell ref="U133:V133"/>
    <mergeCell ref="W133:X133"/>
    <mergeCell ref="Y133:AE133"/>
    <mergeCell ref="A134:C134"/>
    <mergeCell ref="D134:L134"/>
    <mergeCell ref="M134:N134"/>
    <mergeCell ref="O134:P134"/>
    <mergeCell ref="Q134:R134"/>
    <mergeCell ref="S134:T134"/>
    <mergeCell ref="U134:V134"/>
    <mergeCell ref="W134:X134"/>
    <mergeCell ref="Y134:AE134"/>
    <mergeCell ref="A135:C135"/>
    <mergeCell ref="D135:L135"/>
    <mergeCell ref="M135:N135"/>
    <mergeCell ref="O135:P135"/>
    <mergeCell ref="Q135:R135"/>
    <mergeCell ref="S135:T135"/>
    <mergeCell ref="U135:V135"/>
    <mergeCell ref="W135:X135"/>
    <mergeCell ref="Y135:AE135"/>
    <mergeCell ref="A136:C136"/>
    <mergeCell ref="D136:L136"/>
    <mergeCell ref="M136:N136"/>
    <mergeCell ref="O136:P136"/>
    <mergeCell ref="Q136:R136"/>
    <mergeCell ref="S136:T136"/>
    <mergeCell ref="U136:V136"/>
    <mergeCell ref="W136:X136"/>
    <mergeCell ref="Y136:AE136"/>
    <mergeCell ref="A137:C137"/>
    <mergeCell ref="D137:L137"/>
    <mergeCell ref="M137:N137"/>
    <mergeCell ref="O137:P137"/>
    <mergeCell ref="Q137:R137"/>
    <mergeCell ref="S137:T137"/>
    <mergeCell ref="U137:V137"/>
    <mergeCell ref="W137:X137"/>
    <mergeCell ref="Y137:AE137"/>
    <mergeCell ref="A138:C138"/>
    <mergeCell ref="D138:L138"/>
    <mergeCell ref="M138:N138"/>
    <mergeCell ref="O138:P138"/>
    <mergeCell ref="Q138:R138"/>
    <mergeCell ref="S138:T138"/>
    <mergeCell ref="U138:V138"/>
    <mergeCell ref="W138:X138"/>
    <mergeCell ref="Y138:AE138"/>
    <mergeCell ref="A139:C139"/>
    <mergeCell ref="D139:L139"/>
    <mergeCell ref="M139:N139"/>
    <mergeCell ref="O139:P139"/>
    <mergeCell ref="Q139:R139"/>
    <mergeCell ref="S139:T139"/>
    <mergeCell ref="U139:V139"/>
    <mergeCell ref="W139:X139"/>
    <mergeCell ref="Y139:AE139"/>
    <mergeCell ref="A140:C140"/>
    <mergeCell ref="D140:L140"/>
    <mergeCell ref="M140:N140"/>
    <mergeCell ref="O140:P140"/>
    <mergeCell ref="Q140:R140"/>
    <mergeCell ref="S140:T140"/>
    <mergeCell ref="U140:V140"/>
    <mergeCell ref="W140:X140"/>
    <mergeCell ref="Y140:AE140"/>
    <mergeCell ref="A141:C141"/>
    <mergeCell ref="D141:L141"/>
    <mergeCell ref="M141:N141"/>
    <mergeCell ref="O141:P141"/>
    <mergeCell ref="Q141:R141"/>
    <mergeCell ref="S141:T141"/>
    <mergeCell ref="U141:V141"/>
    <mergeCell ref="W141:X141"/>
    <mergeCell ref="Y141:AE141"/>
    <mergeCell ref="A142:C142"/>
    <mergeCell ref="D142:L142"/>
    <mergeCell ref="M142:N142"/>
    <mergeCell ref="O142:P142"/>
    <mergeCell ref="Q142:R142"/>
    <mergeCell ref="S142:T142"/>
    <mergeCell ref="U142:V142"/>
    <mergeCell ref="W142:X142"/>
    <mergeCell ref="Y142:AE142"/>
    <mergeCell ref="A143:C143"/>
    <mergeCell ref="D143:L143"/>
    <mergeCell ref="M143:N143"/>
    <mergeCell ref="O143:P143"/>
    <mergeCell ref="Q143:R143"/>
    <mergeCell ref="S143:T143"/>
    <mergeCell ref="U143:V143"/>
    <mergeCell ref="W143:X143"/>
    <mergeCell ref="Y143:AE143"/>
    <mergeCell ref="A144:C144"/>
    <mergeCell ref="D144:L144"/>
    <mergeCell ref="M144:N144"/>
    <mergeCell ref="O144:P144"/>
    <mergeCell ref="Q144:R144"/>
    <mergeCell ref="S144:T144"/>
    <mergeCell ref="U144:V144"/>
    <mergeCell ref="W144:X144"/>
    <mergeCell ref="Y144:AE144"/>
    <mergeCell ref="A145:C145"/>
    <mergeCell ref="D145:L145"/>
    <mergeCell ref="M145:N145"/>
    <mergeCell ref="O145:P145"/>
    <mergeCell ref="Q145:R145"/>
    <mergeCell ref="S145:T145"/>
    <mergeCell ref="U145:V145"/>
    <mergeCell ref="W145:X145"/>
    <mergeCell ref="Y145:AE145"/>
    <mergeCell ref="A146:C146"/>
    <mergeCell ref="D146:L146"/>
    <mergeCell ref="M146:N146"/>
    <mergeCell ref="O146:P146"/>
    <mergeCell ref="Q146:R146"/>
    <mergeCell ref="S146:T146"/>
    <mergeCell ref="U146:V146"/>
    <mergeCell ref="W146:X146"/>
    <mergeCell ref="Y146:AE146"/>
    <mergeCell ref="A149:B149"/>
    <mergeCell ref="C149:L149"/>
    <mergeCell ref="M149:Q149"/>
    <mergeCell ref="R149:AF149"/>
    <mergeCell ref="A151:C151"/>
    <mergeCell ref="D151:L151"/>
    <mergeCell ref="A152:C154"/>
    <mergeCell ref="D152:L154"/>
    <mergeCell ref="M152:N154"/>
    <mergeCell ref="O152:P154"/>
    <mergeCell ref="Q152:R154"/>
    <mergeCell ref="S152:T154"/>
    <mergeCell ref="U152:V154"/>
    <mergeCell ref="W152:X154"/>
    <mergeCell ref="Y152:AE154"/>
    <mergeCell ref="A155:C155"/>
    <mergeCell ref="D155:L155"/>
    <mergeCell ref="M155:N155"/>
    <mergeCell ref="O155:P155"/>
    <mergeCell ref="Q155:R155"/>
    <mergeCell ref="S155:T155"/>
    <mergeCell ref="U155:V155"/>
    <mergeCell ref="W155:X155"/>
    <mergeCell ref="Y155:AE155"/>
    <mergeCell ref="A156:C156"/>
    <mergeCell ref="D156:L156"/>
    <mergeCell ref="M156:N156"/>
    <mergeCell ref="O156:P156"/>
    <mergeCell ref="Q156:R156"/>
    <mergeCell ref="S156:T156"/>
    <mergeCell ref="U156:V156"/>
    <mergeCell ref="W156:X156"/>
    <mergeCell ref="Y156:AE156"/>
    <mergeCell ref="A157:C157"/>
    <mergeCell ref="D157:L157"/>
    <mergeCell ref="M157:N157"/>
    <mergeCell ref="O157:P157"/>
    <mergeCell ref="Q157:R157"/>
    <mergeCell ref="S157:T157"/>
    <mergeCell ref="U157:V157"/>
    <mergeCell ref="W157:X157"/>
    <mergeCell ref="Y157:AE157"/>
    <mergeCell ref="A158:C158"/>
    <mergeCell ref="D158:L158"/>
    <mergeCell ref="M158:N158"/>
    <mergeCell ref="O158:P158"/>
    <mergeCell ref="Q158:R158"/>
    <mergeCell ref="S158:T158"/>
    <mergeCell ref="U158:V158"/>
    <mergeCell ref="W158:X158"/>
    <mergeCell ref="Y158:AE158"/>
    <mergeCell ref="A159:C159"/>
    <mergeCell ref="D159:L159"/>
    <mergeCell ref="M159:N159"/>
    <mergeCell ref="O159:P159"/>
    <mergeCell ref="Q159:R159"/>
    <mergeCell ref="S159:T159"/>
    <mergeCell ref="U159:V159"/>
    <mergeCell ref="W159:X159"/>
    <mergeCell ref="Y159:AE159"/>
    <mergeCell ref="A160:C160"/>
    <mergeCell ref="D160:L160"/>
    <mergeCell ref="M160:N160"/>
    <mergeCell ref="O160:P160"/>
    <mergeCell ref="Q160:R160"/>
    <mergeCell ref="S160:T160"/>
    <mergeCell ref="U160:V160"/>
    <mergeCell ref="W160:X160"/>
    <mergeCell ref="Y160:AE160"/>
    <mergeCell ref="A161:C161"/>
    <mergeCell ref="D161:L161"/>
    <mergeCell ref="M161:N161"/>
    <mergeCell ref="O161:P161"/>
    <mergeCell ref="Q161:R161"/>
    <mergeCell ref="S161:T161"/>
    <mergeCell ref="U161:V161"/>
    <mergeCell ref="W161:X161"/>
    <mergeCell ref="Y161:AE161"/>
    <mergeCell ref="A162:C162"/>
    <mergeCell ref="D162:L162"/>
    <mergeCell ref="M162:N162"/>
    <mergeCell ref="O162:P162"/>
    <mergeCell ref="Q162:R162"/>
    <mergeCell ref="S162:T162"/>
    <mergeCell ref="U162:V162"/>
    <mergeCell ref="W162:X162"/>
    <mergeCell ref="Y162:AE162"/>
    <mergeCell ref="A163:C163"/>
    <mergeCell ref="D163:L163"/>
    <mergeCell ref="M163:N163"/>
    <mergeCell ref="O163:P163"/>
    <mergeCell ref="Q163:R163"/>
    <mergeCell ref="S163:T163"/>
    <mergeCell ref="U163:V163"/>
    <mergeCell ref="W163:X163"/>
    <mergeCell ref="Y163:AE163"/>
    <mergeCell ref="A164:C164"/>
    <mergeCell ref="D164:L164"/>
    <mergeCell ref="M164:N164"/>
    <mergeCell ref="O164:P164"/>
    <mergeCell ref="Q164:R164"/>
    <mergeCell ref="S164:T164"/>
    <mergeCell ref="U164:V164"/>
    <mergeCell ref="W164:X164"/>
    <mergeCell ref="Y164:AE164"/>
    <mergeCell ref="A165:C165"/>
    <mergeCell ref="D165:L165"/>
    <mergeCell ref="M165:N165"/>
    <mergeCell ref="O165:P165"/>
    <mergeCell ref="Q165:R165"/>
    <mergeCell ref="S165:T165"/>
    <mergeCell ref="U165:V165"/>
    <mergeCell ref="W165:X165"/>
    <mergeCell ref="Y165:AE165"/>
    <mergeCell ref="A166:C166"/>
    <mergeCell ref="D166:L166"/>
    <mergeCell ref="M166:N166"/>
    <mergeCell ref="O166:P166"/>
    <mergeCell ref="Q166:R166"/>
    <mergeCell ref="S166:T166"/>
    <mergeCell ref="U166:V166"/>
    <mergeCell ref="W166:X166"/>
    <mergeCell ref="Y166:AE166"/>
    <mergeCell ref="A167:C167"/>
    <mergeCell ref="D167:L167"/>
    <mergeCell ref="M167:N167"/>
    <mergeCell ref="O167:P167"/>
    <mergeCell ref="Q167:R167"/>
    <mergeCell ref="S167:T167"/>
    <mergeCell ref="U167:V167"/>
    <mergeCell ref="W167:X167"/>
    <mergeCell ref="Y167:AE167"/>
    <mergeCell ref="A168:C168"/>
    <mergeCell ref="D168:L168"/>
    <mergeCell ref="M168:N168"/>
    <mergeCell ref="O168:P168"/>
    <mergeCell ref="Q168:R168"/>
    <mergeCell ref="S168:T168"/>
    <mergeCell ref="U168:V168"/>
    <mergeCell ref="W168:X168"/>
    <mergeCell ref="Y168:AE168"/>
    <mergeCell ref="A169:C169"/>
    <mergeCell ref="D169:L169"/>
    <mergeCell ref="M169:N169"/>
    <mergeCell ref="O169:P169"/>
    <mergeCell ref="Q169:R169"/>
    <mergeCell ref="S169:T169"/>
    <mergeCell ref="U169:V169"/>
    <mergeCell ref="W169:X169"/>
    <mergeCell ref="Y169:AE169"/>
    <mergeCell ref="A170:C170"/>
    <mergeCell ref="D170:L170"/>
    <mergeCell ref="M170:N170"/>
    <mergeCell ref="O170:P170"/>
    <mergeCell ref="Q170:R170"/>
    <mergeCell ref="S170:T170"/>
    <mergeCell ref="U170:V170"/>
    <mergeCell ref="W170:X170"/>
    <mergeCell ref="Y170:AE170"/>
    <mergeCell ref="A171:C171"/>
    <mergeCell ref="D171:L171"/>
    <mergeCell ref="M171:N171"/>
    <mergeCell ref="O171:P171"/>
    <mergeCell ref="Q171:R171"/>
    <mergeCell ref="S171:T171"/>
    <mergeCell ref="U171:V171"/>
    <mergeCell ref="W171:X171"/>
    <mergeCell ref="Y171:AE171"/>
    <mergeCell ref="A172:C172"/>
    <mergeCell ref="D172:L172"/>
    <mergeCell ref="M172:N172"/>
    <mergeCell ref="O172:P172"/>
    <mergeCell ref="Q172:R172"/>
    <mergeCell ref="S172:T172"/>
    <mergeCell ref="U172:V172"/>
    <mergeCell ref="W172:X172"/>
    <mergeCell ref="Y172:AE172"/>
    <mergeCell ref="A173:C173"/>
    <mergeCell ref="D173:L173"/>
    <mergeCell ref="M173:N173"/>
    <mergeCell ref="O173:P173"/>
    <mergeCell ref="Q173:R173"/>
    <mergeCell ref="S173:T173"/>
    <mergeCell ref="U173:V173"/>
    <mergeCell ref="W173:X173"/>
    <mergeCell ref="Y173:AE173"/>
    <mergeCell ref="A176:B176"/>
    <mergeCell ref="C176:L176"/>
    <mergeCell ref="M176:Q176"/>
    <mergeCell ref="R176:AF176"/>
    <mergeCell ref="A178:C178"/>
    <mergeCell ref="D178:L178"/>
    <mergeCell ref="A179:C181"/>
    <mergeCell ref="D179:L181"/>
    <mergeCell ref="M179:N181"/>
    <mergeCell ref="O179:P181"/>
    <mergeCell ref="Q179:R181"/>
    <mergeCell ref="S179:T181"/>
    <mergeCell ref="U179:V181"/>
    <mergeCell ref="W179:X181"/>
    <mergeCell ref="Y179:AE181"/>
    <mergeCell ref="A182:C182"/>
    <mergeCell ref="D182:L182"/>
    <mergeCell ref="M182:N182"/>
    <mergeCell ref="O182:P182"/>
    <mergeCell ref="Q182:R182"/>
    <mergeCell ref="S182:T182"/>
    <mergeCell ref="U182:V182"/>
    <mergeCell ref="W182:X182"/>
    <mergeCell ref="Y182:AE182"/>
    <mergeCell ref="A183:C183"/>
    <mergeCell ref="D183:L183"/>
    <mergeCell ref="M183:N183"/>
    <mergeCell ref="O183:P183"/>
    <mergeCell ref="Q183:R183"/>
    <mergeCell ref="S183:T183"/>
    <mergeCell ref="U183:V183"/>
    <mergeCell ref="W183:X183"/>
    <mergeCell ref="Y183:AE183"/>
    <mergeCell ref="A184:C184"/>
    <mergeCell ref="D184:L184"/>
    <mergeCell ref="M184:N184"/>
    <mergeCell ref="O184:P184"/>
    <mergeCell ref="Q184:R184"/>
    <mergeCell ref="S184:T184"/>
    <mergeCell ref="U184:V184"/>
    <mergeCell ref="W184:X184"/>
    <mergeCell ref="Y184:AE184"/>
    <mergeCell ref="A185:C185"/>
    <mergeCell ref="D185:L185"/>
    <mergeCell ref="M185:N185"/>
    <mergeCell ref="O185:P185"/>
    <mergeCell ref="Q185:R185"/>
    <mergeCell ref="S185:T185"/>
    <mergeCell ref="U185:V185"/>
    <mergeCell ref="W185:X185"/>
    <mergeCell ref="Y185:AE185"/>
    <mergeCell ref="A186:C186"/>
    <mergeCell ref="D186:L186"/>
    <mergeCell ref="M186:N186"/>
    <mergeCell ref="O186:P186"/>
    <mergeCell ref="Q186:R186"/>
    <mergeCell ref="S186:T186"/>
    <mergeCell ref="U186:V186"/>
    <mergeCell ref="W186:X186"/>
    <mergeCell ref="Y186:AE186"/>
    <mergeCell ref="A187:C187"/>
    <mergeCell ref="D187:L187"/>
    <mergeCell ref="M187:N187"/>
    <mergeCell ref="O187:P187"/>
    <mergeCell ref="Q187:R187"/>
    <mergeCell ref="S187:T187"/>
    <mergeCell ref="U187:V187"/>
    <mergeCell ref="W187:X187"/>
    <mergeCell ref="Y187:AE187"/>
    <mergeCell ref="A188:C188"/>
    <mergeCell ref="D188:L188"/>
    <mergeCell ref="M188:N188"/>
    <mergeCell ref="O188:P188"/>
    <mergeCell ref="Q188:R188"/>
    <mergeCell ref="S188:T188"/>
    <mergeCell ref="U188:V188"/>
    <mergeCell ref="W188:X188"/>
    <mergeCell ref="Y188:AE188"/>
    <mergeCell ref="A189:C189"/>
    <mergeCell ref="D189:L189"/>
    <mergeCell ref="M189:N189"/>
    <mergeCell ref="O189:P189"/>
    <mergeCell ref="Q189:R189"/>
    <mergeCell ref="S189:T189"/>
    <mergeCell ref="U189:V189"/>
    <mergeCell ref="W189:X189"/>
    <mergeCell ref="Y189:AE189"/>
    <mergeCell ref="A190:C190"/>
    <mergeCell ref="D190:L190"/>
    <mergeCell ref="M190:N190"/>
    <mergeCell ref="O190:P190"/>
    <mergeCell ref="Q190:R190"/>
    <mergeCell ref="S190:T190"/>
    <mergeCell ref="U190:V190"/>
    <mergeCell ref="W190:X190"/>
    <mergeCell ref="Y190:AE190"/>
    <mergeCell ref="A191:C191"/>
    <mergeCell ref="D191:L191"/>
    <mergeCell ref="M191:N191"/>
    <mergeCell ref="O191:P191"/>
    <mergeCell ref="Q191:R191"/>
    <mergeCell ref="S191:T191"/>
    <mergeCell ref="U191:V191"/>
    <mergeCell ref="W191:X191"/>
    <mergeCell ref="Y191:AE191"/>
    <mergeCell ref="A192:C192"/>
    <mergeCell ref="D192:L192"/>
    <mergeCell ref="M192:N192"/>
    <mergeCell ref="O192:P192"/>
    <mergeCell ref="Q192:R192"/>
    <mergeCell ref="S192:T192"/>
    <mergeCell ref="U192:V192"/>
    <mergeCell ref="W192:X192"/>
    <mergeCell ref="Y192:AE192"/>
    <mergeCell ref="A193:C193"/>
    <mergeCell ref="D193:L193"/>
    <mergeCell ref="M193:N193"/>
    <mergeCell ref="O193:P193"/>
    <mergeCell ref="Q193:R193"/>
    <mergeCell ref="S193:T193"/>
    <mergeCell ref="U193:V193"/>
    <mergeCell ref="W193:X193"/>
    <mergeCell ref="Y193:AE193"/>
    <mergeCell ref="A194:C194"/>
    <mergeCell ref="D194:L194"/>
    <mergeCell ref="M194:N194"/>
    <mergeCell ref="O194:P194"/>
    <mergeCell ref="Q194:R194"/>
    <mergeCell ref="S194:T194"/>
    <mergeCell ref="U194:V194"/>
    <mergeCell ref="W194:X194"/>
    <mergeCell ref="Y194:AE194"/>
    <mergeCell ref="A195:C195"/>
    <mergeCell ref="D195:L195"/>
    <mergeCell ref="M195:N195"/>
    <mergeCell ref="O195:P195"/>
    <mergeCell ref="Q195:R195"/>
    <mergeCell ref="S195:T195"/>
    <mergeCell ref="U195:V195"/>
    <mergeCell ref="W195:X195"/>
    <mergeCell ref="Y195:AE195"/>
    <mergeCell ref="A196:C196"/>
    <mergeCell ref="D196:L196"/>
    <mergeCell ref="M196:N196"/>
    <mergeCell ref="O196:P196"/>
    <mergeCell ref="Q196:R196"/>
    <mergeCell ref="S196:T196"/>
    <mergeCell ref="U196:V196"/>
    <mergeCell ref="W196:X196"/>
    <mergeCell ref="Y196:AE196"/>
    <mergeCell ref="A197:C197"/>
    <mergeCell ref="D197:L197"/>
    <mergeCell ref="M197:N197"/>
    <mergeCell ref="O197:P197"/>
    <mergeCell ref="Q197:R197"/>
    <mergeCell ref="S197:T197"/>
    <mergeCell ref="U197:V197"/>
    <mergeCell ref="W197:X197"/>
    <mergeCell ref="Y197:AE197"/>
    <mergeCell ref="A198:C198"/>
    <mergeCell ref="D198:L198"/>
    <mergeCell ref="M198:N198"/>
    <mergeCell ref="O198:P198"/>
    <mergeCell ref="Q198:R198"/>
    <mergeCell ref="S198:T198"/>
    <mergeCell ref="U198:V198"/>
    <mergeCell ref="W198:X198"/>
    <mergeCell ref="Y198:AE198"/>
    <mergeCell ref="A199:C199"/>
    <mergeCell ref="D199:L199"/>
    <mergeCell ref="M199:N199"/>
    <mergeCell ref="O199:P199"/>
    <mergeCell ref="Q199:R199"/>
    <mergeCell ref="S199:T199"/>
    <mergeCell ref="U199:V199"/>
    <mergeCell ref="W199:X199"/>
    <mergeCell ref="Y199:AE199"/>
    <mergeCell ref="A200:C200"/>
    <mergeCell ref="D200:L200"/>
    <mergeCell ref="M200:N200"/>
    <mergeCell ref="O200:P200"/>
    <mergeCell ref="Q200:R200"/>
    <mergeCell ref="S200:T200"/>
    <mergeCell ref="U200:V200"/>
    <mergeCell ref="W200:X200"/>
    <mergeCell ref="Y200:AE200"/>
    <mergeCell ref="A203:B203"/>
    <mergeCell ref="C203:L203"/>
    <mergeCell ref="M203:Q203"/>
    <mergeCell ref="R203:AF203"/>
    <mergeCell ref="A205:C205"/>
    <mergeCell ref="D205:L205"/>
    <mergeCell ref="A206:C208"/>
    <mergeCell ref="D206:L208"/>
    <mergeCell ref="M206:N208"/>
    <mergeCell ref="O206:P208"/>
    <mergeCell ref="Q206:R208"/>
    <mergeCell ref="S206:T208"/>
    <mergeCell ref="U206:V208"/>
    <mergeCell ref="W206:X208"/>
    <mergeCell ref="Y206:AE208"/>
    <mergeCell ref="A209:C209"/>
    <mergeCell ref="D209:L209"/>
    <mergeCell ref="M209:N209"/>
    <mergeCell ref="O209:P209"/>
    <mergeCell ref="Q209:R209"/>
    <mergeCell ref="S209:T209"/>
    <mergeCell ref="U209:V209"/>
    <mergeCell ref="W209:X209"/>
    <mergeCell ref="Y209:AE209"/>
    <mergeCell ref="A210:C210"/>
    <mergeCell ref="D210:L210"/>
    <mergeCell ref="M210:N210"/>
    <mergeCell ref="O210:P210"/>
    <mergeCell ref="Q210:R210"/>
    <mergeCell ref="S210:T210"/>
    <mergeCell ref="U210:V210"/>
    <mergeCell ref="W210:X210"/>
    <mergeCell ref="Y210:AE210"/>
    <mergeCell ref="A211:C211"/>
    <mergeCell ref="D211:L211"/>
    <mergeCell ref="M211:N211"/>
    <mergeCell ref="O211:P211"/>
    <mergeCell ref="Q211:R211"/>
    <mergeCell ref="S211:T211"/>
    <mergeCell ref="U211:V211"/>
    <mergeCell ref="W211:X211"/>
    <mergeCell ref="Y211:AE211"/>
    <mergeCell ref="A212:C212"/>
    <mergeCell ref="D212:L212"/>
    <mergeCell ref="M212:N212"/>
    <mergeCell ref="O212:P212"/>
    <mergeCell ref="Q212:R212"/>
    <mergeCell ref="S212:T212"/>
    <mergeCell ref="U212:V212"/>
    <mergeCell ref="W212:X212"/>
    <mergeCell ref="Y212:AE212"/>
    <mergeCell ref="A213:C213"/>
    <mergeCell ref="D213:L213"/>
    <mergeCell ref="M213:N213"/>
    <mergeCell ref="O213:P213"/>
    <mergeCell ref="Q213:R213"/>
    <mergeCell ref="S213:T213"/>
    <mergeCell ref="U213:V213"/>
    <mergeCell ref="W213:X213"/>
    <mergeCell ref="Y213:AE213"/>
    <mergeCell ref="A214:C214"/>
    <mergeCell ref="D214:L214"/>
    <mergeCell ref="M214:N214"/>
    <mergeCell ref="O214:P214"/>
    <mergeCell ref="Q214:R214"/>
    <mergeCell ref="S214:T214"/>
    <mergeCell ref="U214:V214"/>
    <mergeCell ref="W214:X214"/>
    <mergeCell ref="Y214:AE214"/>
    <mergeCell ref="A215:C215"/>
    <mergeCell ref="D215:L215"/>
    <mergeCell ref="M215:N215"/>
    <mergeCell ref="O215:P215"/>
    <mergeCell ref="Q215:R215"/>
    <mergeCell ref="S215:T215"/>
    <mergeCell ref="U215:V215"/>
    <mergeCell ref="W215:X215"/>
    <mergeCell ref="Y215:AE215"/>
    <mergeCell ref="A216:C216"/>
    <mergeCell ref="D216:L216"/>
    <mergeCell ref="M216:N216"/>
    <mergeCell ref="O216:P216"/>
    <mergeCell ref="Q216:R216"/>
    <mergeCell ref="S216:T216"/>
    <mergeCell ref="U216:V216"/>
    <mergeCell ref="W216:X216"/>
    <mergeCell ref="Y216:AE216"/>
    <mergeCell ref="A217:C217"/>
    <mergeCell ref="D217:L217"/>
    <mergeCell ref="M217:N217"/>
    <mergeCell ref="O217:P217"/>
    <mergeCell ref="Q217:R217"/>
    <mergeCell ref="S217:T217"/>
    <mergeCell ref="U217:V217"/>
    <mergeCell ref="W217:X217"/>
    <mergeCell ref="Y217:AE217"/>
    <mergeCell ref="A218:C218"/>
    <mergeCell ref="D218:L218"/>
    <mergeCell ref="M218:N218"/>
    <mergeCell ref="O218:P218"/>
    <mergeCell ref="Q218:R218"/>
    <mergeCell ref="S218:T218"/>
    <mergeCell ref="U218:V218"/>
    <mergeCell ref="W218:X218"/>
    <mergeCell ref="Y218:AE218"/>
    <mergeCell ref="A219:C219"/>
    <mergeCell ref="D219:L219"/>
    <mergeCell ref="M219:N219"/>
    <mergeCell ref="O219:P219"/>
    <mergeCell ref="Q219:R219"/>
    <mergeCell ref="S219:T219"/>
    <mergeCell ref="U219:V219"/>
    <mergeCell ref="W219:X219"/>
    <mergeCell ref="Y219:AE219"/>
    <mergeCell ref="A220:C220"/>
    <mergeCell ref="D220:L220"/>
    <mergeCell ref="M220:N220"/>
    <mergeCell ref="O220:P220"/>
    <mergeCell ref="Q220:R220"/>
    <mergeCell ref="S220:T220"/>
    <mergeCell ref="U220:V220"/>
    <mergeCell ref="W220:X220"/>
    <mergeCell ref="Y220:AE220"/>
    <mergeCell ref="A221:C221"/>
    <mergeCell ref="D221:L221"/>
    <mergeCell ref="M221:N221"/>
    <mergeCell ref="O221:P221"/>
    <mergeCell ref="Q221:R221"/>
    <mergeCell ref="S221:T221"/>
    <mergeCell ref="U221:V221"/>
    <mergeCell ref="W221:X221"/>
    <mergeCell ref="Y221:AE221"/>
    <mergeCell ref="A222:C222"/>
    <mergeCell ref="D222:L222"/>
    <mergeCell ref="M222:N222"/>
    <mergeCell ref="O222:P222"/>
    <mergeCell ref="Q222:R222"/>
    <mergeCell ref="S222:T222"/>
    <mergeCell ref="U222:V222"/>
    <mergeCell ref="W222:X222"/>
    <mergeCell ref="Y222:AE222"/>
    <mergeCell ref="A223:C223"/>
    <mergeCell ref="D223:L223"/>
    <mergeCell ref="M223:N223"/>
    <mergeCell ref="O223:P223"/>
    <mergeCell ref="Q223:R223"/>
    <mergeCell ref="S223:T223"/>
    <mergeCell ref="U223:V223"/>
    <mergeCell ref="W223:X223"/>
    <mergeCell ref="Y223:AE223"/>
    <mergeCell ref="A224:C224"/>
    <mergeCell ref="D224:L224"/>
    <mergeCell ref="M224:N224"/>
    <mergeCell ref="O224:P224"/>
    <mergeCell ref="Q224:R224"/>
    <mergeCell ref="S224:T224"/>
    <mergeCell ref="U224:V224"/>
    <mergeCell ref="W224:X224"/>
    <mergeCell ref="Y224:AE224"/>
    <mergeCell ref="A225:C225"/>
    <mergeCell ref="D225:L225"/>
    <mergeCell ref="M225:N225"/>
    <mergeCell ref="O225:P225"/>
    <mergeCell ref="Q225:R225"/>
    <mergeCell ref="S225:T225"/>
    <mergeCell ref="U225:V225"/>
    <mergeCell ref="W225:X225"/>
    <mergeCell ref="Y225:AE225"/>
    <mergeCell ref="A226:C226"/>
    <mergeCell ref="D226:L226"/>
    <mergeCell ref="M226:N226"/>
    <mergeCell ref="O226:P226"/>
    <mergeCell ref="Q226:R226"/>
    <mergeCell ref="S226:T226"/>
    <mergeCell ref="U226:V226"/>
    <mergeCell ref="W226:X226"/>
    <mergeCell ref="Y226:AE226"/>
    <mergeCell ref="A227:C227"/>
    <mergeCell ref="D227:L227"/>
    <mergeCell ref="M227:N227"/>
    <mergeCell ref="O227:P227"/>
    <mergeCell ref="Q227:R227"/>
    <mergeCell ref="S227:T227"/>
    <mergeCell ref="U227:V227"/>
    <mergeCell ref="W227:X227"/>
    <mergeCell ref="Y227:AE227"/>
    <mergeCell ref="A230:B230"/>
    <mergeCell ref="C230:L230"/>
    <mergeCell ref="M230:Q230"/>
    <mergeCell ref="R230:AF230"/>
    <mergeCell ref="A232:C232"/>
    <mergeCell ref="D232:L232"/>
    <mergeCell ref="A233:C235"/>
    <mergeCell ref="D233:L235"/>
    <mergeCell ref="M233:N235"/>
    <mergeCell ref="O233:P235"/>
    <mergeCell ref="Q233:R235"/>
    <mergeCell ref="S233:T235"/>
    <mergeCell ref="U233:V235"/>
    <mergeCell ref="W233:X235"/>
    <mergeCell ref="Y233:AE235"/>
    <mergeCell ref="A236:C236"/>
    <mergeCell ref="D236:L236"/>
    <mergeCell ref="M236:N236"/>
    <mergeCell ref="O236:P236"/>
    <mergeCell ref="Q236:R236"/>
    <mergeCell ref="S236:T236"/>
    <mergeCell ref="U236:V236"/>
    <mergeCell ref="W236:X236"/>
    <mergeCell ref="Y236:AE236"/>
    <mergeCell ref="A237:C237"/>
    <mergeCell ref="D237:L237"/>
    <mergeCell ref="M237:N237"/>
    <mergeCell ref="O237:P237"/>
    <mergeCell ref="Q237:R237"/>
    <mergeCell ref="S237:T237"/>
    <mergeCell ref="U237:V237"/>
    <mergeCell ref="W237:X237"/>
    <mergeCell ref="Y237:AE237"/>
    <mergeCell ref="A238:C238"/>
    <mergeCell ref="D238:L238"/>
    <mergeCell ref="M238:N238"/>
    <mergeCell ref="O238:P238"/>
    <mergeCell ref="Q238:R238"/>
    <mergeCell ref="S238:T238"/>
    <mergeCell ref="U238:V238"/>
    <mergeCell ref="W238:X238"/>
    <mergeCell ref="Y238:AE238"/>
    <mergeCell ref="A239:C239"/>
    <mergeCell ref="D239:L239"/>
    <mergeCell ref="M239:N239"/>
    <mergeCell ref="O239:P239"/>
    <mergeCell ref="Q239:R239"/>
    <mergeCell ref="S239:T239"/>
    <mergeCell ref="U239:V239"/>
    <mergeCell ref="W239:X239"/>
    <mergeCell ref="Y239:AE239"/>
    <mergeCell ref="A240:C240"/>
    <mergeCell ref="D240:L240"/>
    <mergeCell ref="M240:N240"/>
    <mergeCell ref="O240:P240"/>
    <mergeCell ref="Q240:R240"/>
    <mergeCell ref="S240:T240"/>
    <mergeCell ref="U240:V240"/>
    <mergeCell ref="W240:X240"/>
    <mergeCell ref="Y240:AE240"/>
    <mergeCell ref="A241:C241"/>
    <mergeCell ref="D241:L241"/>
    <mergeCell ref="M241:N241"/>
    <mergeCell ref="O241:P241"/>
    <mergeCell ref="Q241:R241"/>
    <mergeCell ref="S241:T241"/>
    <mergeCell ref="U241:V241"/>
    <mergeCell ref="W241:X241"/>
    <mergeCell ref="Y241:AE241"/>
    <mergeCell ref="A242:C242"/>
    <mergeCell ref="D242:L242"/>
    <mergeCell ref="M242:N242"/>
    <mergeCell ref="O242:P242"/>
    <mergeCell ref="Q242:R242"/>
    <mergeCell ref="S242:T242"/>
    <mergeCell ref="U242:V242"/>
    <mergeCell ref="W242:X242"/>
    <mergeCell ref="Y242:AE242"/>
    <mergeCell ref="A243:C243"/>
    <mergeCell ref="D243:L243"/>
    <mergeCell ref="M243:N243"/>
    <mergeCell ref="O243:P243"/>
    <mergeCell ref="Q243:R243"/>
    <mergeCell ref="S243:T243"/>
    <mergeCell ref="U243:V243"/>
    <mergeCell ref="W243:X243"/>
    <mergeCell ref="Y243:AE243"/>
    <mergeCell ref="A244:C244"/>
    <mergeCell ref="D244:L244"/>
    <mergeCell ref="M244:N244"/>
    <mergeCell ref="O244:P244"/>
    <mergeCell ref="Q244:R244"/>
    <mergeCell ref="S244:T244"/>
    <mergeCell ref="U244:V244"/>
    <mergeCell ref="W244:X244"/>
    <mergeCell ref="Y244:AE244"/>
    <mergeCell ref="A245:C245"/>
    <mergeCell ref="D245:L245"/>
    <mergeCell ref="M245:N245"/>
    <mergeCell ref="O245:P245"/>
    <mergeCell ref="Q245:R245"/>
    <mergeCell ref="S245:T245"/>
    <mergeCell ref="U245:V245"/>
    <mergeCell ref="W245:X245"/>
    <mergeCell ref="Y245:AE245"/>
    <mergeCell ref="A246:C246"/>
    <mergeCell ref="D246:L246"/>
    <mergeCell ref="M246:N246"/>
    <mergeCell ref="O246:P246"/>
    <mergeCell ref="Q246:R246"/>
    <mergeCell ref="S246:T246"/>
    <mergeCell ref="U246:V246"/>
    <mergeCell ref="W246:X246"/>
    <mergeCell ref="Y246:AE246"/>
    <mergeCell ref="A247:C247"/>
    <mergeCell ref="D247:L247"/>
    <mergeCell ref="M247:N247"/>
    <mergeCell ref="O247:P247"/>
    <mergeCell ref="Q247:R247"/>
    <mergeCell ref="S247:T247"/>
    <mergeCell ref="U247:V247"/>
    <mergeCell ref="W247:X247"/>
    <mergeCell ref="Y247:AE247"/>
    <mergeCell ref="A248:C248"/>
    <mergeCell ref="D248:L248"/>
    <mergeCell ref="M248:N248"/>
    <mergeCell ref="O248:P248"/>
    <mergeCell ref="Q248:R248"/>
    <mergeCell ref="S248:T248"/>
    <mergeCell ref="U248:V248"/>
    <mergeCell ref="W248:X248"/>
    <mergeCell ref="Y248:AE248"/>
    <mergeCell ref="A249:C249"/>
    <mergeCell ref="D249:L249"/>
    <mergeCell ref="M249:N249"/>
    <mergeCell ref="O249:P249"/>
    <mergeCell ref="Q249:R249"/>
    <mergeCell ref="S249:T249"/>
    <mergeCell ref="U249:V249"/>
    <mergeCell ref="W249:X249"/>
    <mergeCell ref="Y249:AE249"/>
    <mergeCell ref="A250:C250"/>
    <mergeCell ref="D250:L250"/>
    <mergeCell ref="M250:N250"/>
    <mergeCell ref="O250:P250"/>
    <mergeCell ref="Q250:R250"/>
    <mergeCell ref="S250:T250"/>
    <mergeCell ref="U250:V250"/>
    <mergeCell ref="W250:X250"/>
    <mergeCell ref="Y250:AE250"/>
    <mergeCell ref="A251:C251"/>
    <mergeCell ref="D251:L251"/>
    <mergeCell ref="M251:N251"/>
    <mergeCell ref="O251:P251"/>
    <mergeCell ref="Q251:R251"/>
    <mergeCell ref="S251:T251"/>
    <mergeCell ref="U251:V251"/>
    <mergeCell ref="W251:X251"/>
    <mergeCell ref="Y251:AE251"/>
    <mergeCell ref="A252:C252"/>
    <mergeCell ref="D252:L252"/>
    <mergeCell ref="M252:N252"/>
    <mergeCell ref="O252:P252"/>
    <mergeCell ref="Q252:R252"/>
    <mergeCell ref="S252:T252"/>
    <mergeCell ref="U252:V252"/>
    <mergeCell ref="W252:X252"/>
    <mergeCell ref="Y252:AE252"/>
    <mergeCell ref="A253:C253"/>
    <mergeCell ref="D253:L253"/>
    <mergeCell ref="M253:N253"/>
    <mergeCell ref="O253:P253"/>
    <mergeCell ref="Q253:R253"/>
    <mergeCell ref="S253:T253"/>
    <mergeCell ref="U253:V253"/>
    <mergeCell ref="W253:X253"/>
    <mergeCell ref="Y253:AE253"/>
    <mergeCell ref="A254:C254"/>
    <mergeCell ref="D254:L254"/>
    <mergeCell ref="M254:N254"/>
    <mergeCell ref="O254:P254"/>
    <mergeCell ref="Q254:R254"/>
    <mergeCell ref="S254:T254"/>
    <mergeCell ref="U254:V254"/>
    <mergeCell ref="W254:X254"/>
    <mergeCell ref="Y254:AE254"/>
    <mergeCell ref="A257:B257"/>
    <mergeCell ref="C257:L257"/>
    <mergeCell ref="M257:Q257"/>
    <mergeCell ref="R257:AF257"/>
    <mergeCell ref="A259:C259"/>
    <mergeCell ref="D259:L259"/>
    <mergeCell ref="A260:C262"/>
    <mergeCell ref="D260:L262"/>
    <mergeCell ref="M260:N262"/>
    <mergeCell ref="O260:P262"/>
    <mergeCell ref="Q260:R262"/>
    <mergeCell ref="S260:T262"/>
    <mergeCell ref="U260:V262"/>
    <mergeCell ref="W260:X262"/>
    <mergeCell ref="Y260:AE262"/>
    <mergeCell ref="A263:C263"/>
    <mergeCell ref="D263:L263"/>
    <mergeCell ref="M263:N263"/>
    <mergeCell ref="O263:P263"/>
    <mergeCell ref="Q263:R263"/>
    <mergeCell ref="S263:T263"/>
    <mergeCell ref="U263:V263"/>
    <mergeCell ref="W263:X263"/>
    <mergeCell ref="Y263:AE263"/>
    <mergeCell ref="A264:C264"/>
    <mergeCell ref="D264:L264"/>
    <mergeCell ref="M264:N264"/>
    <mergeCell ref="O264:P264"/>
    <mergeCell ref="Q264:R264"/>
    <mergeCell ref="S264:T264"/>
    <mergeCell ref="U264:V264"/>
    <mergeCell ref="W264:X264"/>
    <mergeCell ref="Y264:AE264"/>
    <mergeCell ref="A265:C265"/>
    <mergeCell ref="D265:L265"/>
    <mergeCell ref="M265:N265"/>
    <mergeCell ref="O265:P265"/>
    <mergeCell ref="Q265:R265"/>
    <mergeCell ref="S265:T265"/>
    <mergeCell ref="U265:V265"/>
    <mergeCell ref="W265:X265"/>
    <mergeCell ref="Y265:AE265"/>
    <mergeCell ref="A266:C266"/>
    <mergeCell ref="D266:L266"/>
    <mergeCell ref="M266:N266"/>
    <mergeCell ref="O266:P266"/>
    <mergeCell ref="Q266:R266"/>
    <mergeCell ref="S266:T266"/>
    <mergeCell ref="U266:V266"/>
    <mergeCell ref="W266:X266"/>
    <mergeCell ref="Y266:AE266"/>
    <mergeCell ref="A267:C267"/>
    <mergeCell ref="D267:L267"/>
    <mergeCell ref="M267:N267"/>
    <mergeCell ref="O267:P267"/>
    <mergeCell ref="Q267:R267"/>
    <mergeCell ref="S267:T267"/>
    <mergeCell ref="U267:V267"/>
    <mergeCell ref="W267:X267"/>
    <mergeCell ref="Y267:AE267"/>
    <mergeCell ref="A268:C268"/>
    <mergeCell ref="D268:L268"/>
    <mergeCell ref="M268:N268"/>
    <mergeCell ref="O268:P268"/>
    <mergeCell ref="Q268:R268"/>
    <mergeCell ref="S268:T268"/>
    <mergeCell ref="U268:V268"/>
    <mergeCell ref="W268:X268"/>
    <mergeCell ref="Y268:AE268"/>
    <mergeCell ref="A269:C269"/>
    <mergeCell ref="D269:L269"/>
    <mergeCell ref="M269:N269"/>
    <mergeCell ref="O269:P269"/>
    <mergeCell ref="Q269:R269"/>
    <mergeCell ref="S269:T269"/>
    <mergeCell ref="U269:V269"/>
    <mergeCell ref="W269:X269"/>
    <mergeCell ref="Y269:AE269"/>
    <mergeCell ref="A270:C270"/>
    <mergeCell ref="D270:L270"/>
    <mergeCell ref="M270:N270"/>
    <mergeCell ref="O270:P270"/>
    <mergeCell ref="Q270:R270"/>
    <mergeCell ref="S270:T270"/>
    <mergeCell ref="U270:V270"/>
    <mergeCell ref="W270:X270"/>
    <mergeCell ref="Y270:AE270"/>
    <mergeCell ref="A271:C271"/>
    <mergeCell ref="D271:L271"/>
    <mergeCell ref="M271:N271"/>
    <mergeCell ref="O271:P271"/>
    <mergeCell ref="Q271:R271"/>
    <mergeCell ref="S271:T271"/>
    <mergeCell ref="U271:V271"/>
    <mergeCell ref="W271:X271"/>
    <mergeCell ref="Y271:AE271"/>
    <mergeCell ref="A272:C272"/>
    <mergeCell ref="D272:L272"/>
    <mergeCell ref="M272:N272"/>
    <mergeCell ref="O272:P272"/>
    <mergeCell ref="Q272:R272"/>
    <mergeCell ref="S272:T272"/>
    <mergeCell ref="U272:V272"/>
    <mergeCell ref="W272:X272"/>
    <mergeCell ref="Y272:AE272"/>
    <mergeCell ref="A273:C273"/>
    <mergeCell ref="D273:L273"/>
    <mergeCell ref="M273:N273"/>
    <mergeCell ref="O273:P273"/>
    <mergeCell ref="Q273:R273"/>
    <mergeCell ref="S273:T273"/>
    <mergeCell ref="U273:V273"/>
    <mergeCell ref="W273:X273"/>
    <mergeCell ref="Y273:AE273"/>
    <mergeCell ref="A274:C274"/>
    <mergeCell ref="D274:L274"/>
    <mergeCell ref="M274:N274"/>
    <mergeCell ref="O274:P274"/>
    <mergeCell ref="Q274:R274"/>
    <mergeCell ref="S274:T274"/>
    <mergeCell ref="U274:V274"/>
    <mergeCell ref="W274:X274"/>
    <mergeCell ref="Y274:AE274"/>
    <mergeCell ref="A275:C275"/>
    <mergeCell ref="D275:L275"/>
    <mergeCell ref="M275:N275"/>
    <mergeCell ref="O275:P275"/>
    <mergeCell ref="Q275:R275"/>
    <mergeCell ref="S275:T275"/>
    <mergeCell ref="U275:V275"/>
    <mergeCell ref="W275:X275"/>
    <mergeCell ref="Y275:AE275"/>
    <mergeCell ref="A276:C276"/>
    <mergeCell ref="D276:L276"/>
    <mergeCell ref="M276:N276"/>
    <mergeCell ref="O276:P276"/>
    <mergeCell ref="Q276:R276"/>
    <mergeCell ref="S276:T276"/>
    <mergeCell ref="U276:V276"/>
    <mergeCell ref="W276:X276"/>
    <mergeCell ref="Y276:AE276"/>
    <mergeCell ref="A277:C277"/>
    <mergeCell ref="D277:L277"/>
    <mergeCell ref="M277:N277"/>
    <mergeCell ref="O277:P277"/>
    <mergeCell ref="Q277:R277"/>
    <mergeCell ref="S277:T277"/>
    <mergeCell ref="U277:V277"/>
    <mergeCell ref="W277:X277"/>
    <mergeCell ref="Y277:AE277"/>
    <mergeCell ref="A278:C278"/>
    <mergeCell ref="D278:L278"/>
    <mergeCell ref="M278:N278"/>
    <mergeCell ref="O278:P278"/>
    <mergeCell ref="Q278:R278"/>
    <mergeCell ref="S278:T278"/>
    <mergeCell ref="U278:V278"/>
    <mergeCell ref="W278:X278"/>
    <mergeCell ref="Y278:AE278"/>
    <mergeCell ref="A279:C279"/>
    <mergeCell ref="D279:L279"/>
    <mergeCell ref="M279:N279"/>
    <mergeCell ref="O279:P279"/>
    <mergeCell ref="Q279:R279"/>
    <mergeCell ref="S279:T279"/>
    <mergeCell ref="U279:V279"/>
    <mergeCell ref="W279:X279"/>
    <mergeCell ref="Y279:AE279"/>
    <mergeCell ref="A280:C280"/>
    <mergeCell ref="D280:L280"/>
    <mergeCell ref="M280:N280"/>
    <mergeCell ref="O280:P280"/>
    <mergeCell ref="Q280:R280"/>
    <mergeCell ref="S280:T280"/>
    <mergeCell ref="U280:V280"/>
    <mergeCell ref="W280:X280"/>
    <mergeCell ref="Y280:AE280"/>
    <mergeCell ref="A281:C281"/>
    <mergeCell ref="D281:L281"/>
    <mergeCell ref="M281:N281"/>
    <mergeCell ref="O281:P281"/>
    <mergeCell ref="Q281:R281"/>
    <mergeCell ref="S281:T281"/>
    <mergeCell ref="U281:V281"/>
    <mergeCell ref="W281:X281"/>
    <mergeCell ref="Y281:AE281"/>
    <mergeCell ref="A284:B284"/>
    <mergeCell ref="C284:L284"/>
    <mergeCell ref="M284:Q284"/>
    <mergeCell ref="R284:AF284"/>
    <mergeCell ref="A286:C286"/>
    <mergeCell ref="D286:L286"/>
    <mergeCell ref="A287:C289"/>
    <mergeCell ref="D287:L289"/>
    <mergeCell ref="M287:N289"/>
    <mergeCell ref="O287:P289"/>
    <mergeCell ref="Q287:R289"/>
    <mergeCell ref="S287:T289"/>
    <mergeCell ref="U287:V289"/>
    <mergeCell ref="W287:X289"/>
    <mergeCell ref="Y287:AE289"/>
    <mergeCell ref="A290:C290"/>
    <mergeCell ref="D290:L290"/>
    <mergeCell ref="M290:N290"/>
    <mergeCell ref="O290:P290"/>
    <mergeCell ref="Q290:R290"/>
    <mergeCell ref="S290:T290"/>
    <mergeCell ref="U290:V290"/>
    <mergeCell ref="W290:X290"/>
    <mergeCell ref="Y290:AE290"/>
    <mergeCell ref="A291:C291"/>
    <mergeCell ref="D291:L291"/>
    <mergeCell ref="M291:N291"/>
    <mergeCell ref="O291:P291"/>
    <mergeCell ref="Q291:R291"/>
    <mergeCell ref="S291:T291"/>
    <mergeCell ref="U291:V291"/>
    <mergeCell ref="W291:X291"/>
    <mergeCell ref="Y291:AE291"/>
    <mergeCell ref="A292:C292"/>
    <mergeCell ref="D292:L292"/>
    <mergeCell ref="M292:N292"/>
    <mergeCell ref="O292:P292"/>
    <mergeCell ref="Q292:R292"/>
    <mergeCell ref="S292:T292"/>
    <mergeCell ref="U292:V292"/>
    <mergeCell ref="W292:X292"/>
    <mergeCell ref="Y292:AE292"/>
    <mergeCell ref="A293:C293"/>
    <mergeCell ref="D293:L293"/>
    <mergeCell ref="M293:N293"/>
    <mergeCell ref="O293:P293"/>
    <mergeCell ref="Q293:R293"/>
    <mergeCell ref="S293:T293"/>
    <mergeCell ref="U293:V293"/>
    <mergeCell ref="W293:X293"/>
    <mergeCell ref="Y293:AE293"/>
    <mergeCell ref="A294:C294"/>
    <mergeCell ref="D294:L294"/>
    <mergeCell ref="M294:N294"/>
    <mergeCell ref="O294:P294"/>
    <mergeCell ref="Q294:R294"/>
    <mergeCell ref="S294:T294"/>
    <mergeCell ref="U294:V294"/>
    <mergeCell ref="W294:X294"/>
    <mergeCell ref="Y294:AE294"/>
    <mergeCell ref="A295:C295"/>
    <mergeCell ref="D295:L295"/>
    <mergeCell ref="M295:N295"/>
    <mergeCell ref="O295:P295"/>
    <mergeCell ref="Q295:R295"/>
    <mergeCell ref="S295:T295"/>
    <mergeCell ref="U295:V295"/>
    <mergeCell ref="W295:X295"/>
    <mergeCell ref="Y295:AE295"/>
    <mergeCell ref="A296:C296"/>
    <mergeCell ref="D296:L296"/>
    <mergeCell ref="M296:N296"/>
    <mergeCell ref="O296:P296"/>
    <mergeCell ref="Q296:R296"/>
    <mergeCell ref="S296:T296"/>
    <mergeCell ref="U296:V296"/>
    <mergeCell ref="W296:X296"/>
    <mergeCell ref="Y296:AE296"/>
    <mergeCell ref="A297:C297"/>
    <mergeCell ref="D297:L297"/>
    <mergeCell ref="M297:N297"/>
    <mergeCell ref="O297:P297"/>
    <mergeCell ref="Q297:R297"/>
    <mergeCell ref="S297:T297"/>
    <mergeCell ref="U297:V297"/>
    <mergeCell ref="W297:X297"/>
    <mergeCell ref="Y297:AE297"/>
    <mergeCell ref="A298:C298"/>
    <mergeCell ref="D298:L298"/>
    <mergeCell ref="M298:N298"/>
    <mergeCell ref="O298:P298"/>
    <mergeCell ref="Q298:R298"/>
    <mergeCell ref="S298:T298"/>
    <mergeCell ref="U298:V298"/>
    <mergeCell ref="W298:X298"/>
    <mergeCell ref="Y298:AE298"/>
    <mergeCell ref="A299:C299"/>
    <mergeCell ref="D299:L299"/>
    <mergeCell ref="M299:N299"/>
    <mergeCell ref="O299:P299"/>
    <mergeCell ref="Q299:R299"/>
    <mergeCell ref="S299:T299"/>
    <mergeCell ref="U299:V299"/>
    <mergeCell ref="W299:X299"/>
    <mergeCell ref="Y299:AE299"/>
    <mergeCell ref="A300:C300"/>
    <mergeCell ref="D300:L300"/>
    <mergeCell ref="M300:N300"/>
    <mergeCell ref="O300:P300"/>
    <mergeCell ref="Q300:R300"/>
    <mergeCell ref="S300:T300"/>
    <mergeCell ref="U300:V300"/>
    <mergeCell ref="W300:X300"/>
    <mergeCell ref="Y300:AE300"/>
    <mergeCell ref="A301:C301"/>
    <mergeCell ref="D301:L301"/>
    <mergeCell ref="M301:N301"/>
    <mergeCell ref="O301:P301"/>
    <mergeCell ref="Q301:R301"/>
    <mergeCell ref="S301:T301"/>
    <mergeCell ref="U301:V301"/>
    <mergeCell ref="W301:X301"/>
    <mergeCell ref="Y301:AE301"/>
    <mergeCell ref="A302:C302"/>
    <mergeCell ref="D302:L302"/>
    <mergeCell ref="M302:N302"/>
    <mergeCell ref="O302:P302"/>
    <mergeCell ref="Q302:R302"/>
    <mergeCell ref="S302:T302"/>
    <mergeCell ref="U302:V302"/>
    <mergeCell ref="W302:X302"/>
    <mergeCell ref="Y302:AE302"/>
    <mergeCell ref="A303:C303"/>
    <mergeCell ref="D303:L303"/>
    <mergeCell ref="M303:N303"/>
    <mergeCell ref="O303:P303"/>
    <mergeCell ref="Q303:R303"/>
    <mergeCell ref="S303:T303"/>
    <mergeCell ref="U303:V303"/>
    <mergeCell ref="W303:X303"/>
    <mergeCell ref="Y303:AE303"/>
    <mergeCell ref="A304:C304"/>
    <mergeCell ref="D304:L304"/>
    <mergeCell ref="M304:N304"/>
    <mergeCell ref="O304:P304"/>
    <mergeCell ref="Q304:R304"/>
    <mergeCell ref="S304:T304"/>
    <mergeCell ref="U304:V304"/>
    <mergeCell ref="W304:X304"/>
    <mergeCell ref="Y304:AE304"/>
    <mergeCell ref="A305:C305"/>
    <mergeCell ref="D305:L305"/>
    <mergeCell ref="M305:N305"/>
    <mergeCell ref="O305:P305"/>
    <mergeCell ref="Q305:R305"/>
    <mergeCell ref="S305:T305"/>
    <mergeCell ref="U305:V305"/>
    <mergeCell ref="W305:X305"/>
    <mergeCell ref="Y305:AE305"/>
    <mergeCell ref="A306:C306"/>
    <mergeCell ref="D306:L306"/>
    <mergeCell ref="M306:N306"/>
    <mergeCell ref="O306:P306"/>
    <mergeCell ref="Q306:R306"/>
    <mergeCell ref="S306:T306"/>
    <mergeCell ref="U306:V306"/>
    <mergeCell ref="W306:X306"/>
    <mergeCell ref="Y306:AE306"/>
    <mergeCell ref="A307:C307"/>
    <mergeCell ref="D307:L307"/>
    <mergeCell ref="M307:N307"/>
    <mergeCell ref="O307:P307"/>
    <mergeCell ref="Q307:R307"/>
    <mergeCell ref="S307:T307"/>
    <mergeCell ref="U307:V307"/>
    <mergeCell ref="W307:X307"/>
    <mergeCell ref="Y307:AE307"/>
    <mergeCell ref="A308:C308"/>
    <mergeCell ref="D308:L308"/>
    <mergeCell ref="M308:N308"/>
    <mergeCell ref="O308:P308"/>
    <mergeCell ref="Q308:R308"/>
    <mergeCell ref="S308:T308"/>
    <mergeCell ref="U308:V308"/>
    <mergeCell ref="W308:X308"/>
    <mergeCell ref="Y308:AE308"/>
    <mergeCell ref="A311:B311"/>
    <mergeCell ref="C311:L311"/>
    <mergeCell ref="M311:Q311"/>
    <mergeCell ref="R311:AF311"/>
    <mergeCell ref="A313:C313"/>
    <mergeCell ref="D313:L313"/>
    <mergeCell ref="A314:C316"/>
    <mergeCell ref="D314:L316"/>
    <mergeCell ref="M314:N316"/>
    <mergeCell ref="O314:P316"/>
    <mergeCell ref="Q314:R316"/>
    <mergeCell ref="S314:T316"/>
    <mergeCell ref="U314:V316"/>
    <mergeCell ref="W314:X316"/>
    <mergeCell ref="Y314:AE316"/>
    <mergeCell ref="A317:C317"/>
    <mergeCell ref="D317:L317"/>
    <mergeCell ref="M317:N317"/>
    <mergeCell ref="O317:P317"/>
    <mergeCell ref="Q317:R317"/>
    <mergeCell ref="S317:T317"/>
    <mergeCell ref="U317:V317"/>
    <mergeCell ref="W317:X317"/>
    <mergeCell ref="Y317:AE317"/>
    <mergeCell ref="A318:C318"/>
    <mergeCell ref="D318:L318"/>
    <mergeCell ref="M318:N318"/>
    <mergeCell ref="O318:P318"/>
    <mergeCell ref="Q318:R318"/>
    <mergeCell ref="S318:T318"/>
    <mergeCell ref="U318:V318"/>
    <mergeCell ref="W318:X318"/>
    <mergeCell ref="Y318:AE318"/>
    <mergeCell ref="A319:C319"/>
    <mergeCell ref="D319:L319"/>
    <mergeCell ref="M319:N319"/>
    <mergeCell ref="O319:P319"/>
    <mergeCell ref="Q319:R319"/>
    <mergeCell ref="S319:T319"/>
    <mergeCell ref="U319:V319"/>
    <mergeCell ref="W319:X319"/>
    <mergeCell ref="Y319:AE319"/>
    <mergeCell ref="A320:C320"/>
    <mergeCell ref="D320:L320"/>
    <mergeCell ref="M320:N320"/>
    <mergeCell ref="O320:P320"/>
    <mergeCell ref="Q320:R320"/>
    <mergeCell ref="S320:T320"/>
    <mergeCell ref="U320:V320"/>
    <mergeCell ref="W320:X320"/>
    <mergeCell ref="Y320:AE320"/>
    <mergeCell ref="A321:C321"/>
    <mergeCell ref="D321:L321"/>
    <mergeCell ref="M321:N321"/>
    <mergeCell ref="O321:P321"/>
    <mergeCell ref="Q321:R321"/>
    <mergeCell ref="S321:T321"/>
    <mergeCell ref="U321:V321"/>
    <mergeCell ref="W321:X321"/>
    <mergeCell ref="Y321:AE321"/>
    <mergeCell ref="A322:C322"/>
    <mergeCell ref="D322:L322"/>
    <mergeCell ref="M322:N322"/>
    <mergeCell ref="O322:P322"/>
    <mergeCell ref="Q322:R322"/>
    <mergeCell ref="S322:T322"/>
    <mergeCell ref="U322:V322"/>
    <mergeCell ref="W322:X322"/>
    <mergeCell ref="Y322:AE322"/>
    <mergeCell ref="A323:C323"/>
    <mergeCell ref="D323:L323"/>
    <mergeCell ref="M323:N323"/>
    <mergeCell ref="O323:P323"/>
    <mergeCell ref="Q323:R323"/>
    <mergeCell ref="S323:T323"/>
    <mergeCell ref="U323:V323"/>
    <mergeCell ref="W323:X323"/>
    <mergeCell ref="Y323:AE323"/>
    <mergeCell ref="A324:C324"/>
    <mergeCell ref="D324:L324"/>
    <mergeCell ref="M324:N324"/>
    <mergeCell ref="O324:P324"/>
    <mergeCell ref="Q324:R324"/>
    <mergeCell ref="S324:T324"/>
    <mergeCell ref="U324:V324"/>
    <mergeCell ref="W324:X324"/>
    <mergeCell ref="Y324:AE324"/>
    <mergeCell ref="A325:C325"/>
    <mergeCell ref="D325:L325"/>
    <mergeCell ref="M325:N325"/>
    <mergeCell ref="O325:P325"/>
    <mergeCell ref="Q325:R325"/>
    <mergeCell ref="S325:T325"/>
    <mergeCell ref="U325:V325"/>
    <mergeCell ref="W325:X325"/>
    <mergeCell ref="Y325:AE325"/>
    <mergeCell ref="A326:C326"/>
    <mergeCell ref="D326:L326"/>
    <mergeCell ref="M326:N326"/>
    <mergeCell ref="O326:P326"/>
    <mergeCell ref="Q326:R326"/>
    <mergeCell ref="S326:T326"/>
    <mergeCell ref="U326:V326"/>
    <mergeCell ref="W326:X326"/>
    <mergeCell ref="Y326:AE326"/>
    <mergeCell ref="A327:C327"/>
    <mergeCell ref="D327:L327"/>
    <mergeCell ref="M327:N327"/>
    <mergeCell ref="O327:P327"/>
    <mergeCell ref="Q327:R327"/>
    <mergeCell ref="S327:T327"/>
    <mergeCell ref="U327:V327"/>
    <mergeCell ref="W327:X327"/>
    <mergeCell ref="Y327:AE327"/>
    <mergeCell ref="A328:C328"/>
    <mergeCell ref="D328:L328"/>
    <mergeCell ref="M328:N328"/>
    <mergeCell ref="O328:P328"/>
    <mergeCell ref="Q328:R328"/>
    <mergeCell ref="S328:T328"/>
    <mergeCell ref="U328:V328"/>
    <mergeCell ref="W328:X328"/>
    <mergeCell ref="Y328:AE328"/>
    <mergeCell ref="A329:C329"/>
    <mergeCell ref="D329:L329"/>
    <mergeCell ref="M329:N329"/>
    <mergeCell ref="O329:P329"/>
    <mergeCell ref="Q329:R329"/>
    <mergeCell ref="S329:T329"/>
    <mergeCell ref="U329:V329"/>
    <mergeCell ref="W329:X329"/>
    <mergeCell ref="Y329:AE329"/>
    <mergeCell ref="A330:C330"/>
    <mergeCell ref="D330:L330"/>
    <mergeCell ref="M330:N330"/>
    <mergeCell ref="O330:P330"/>
    <mergeCell ref="Q330:R330"/>
    <mergeCell ref="S330:T330"/>
    <mergeCell ref="U330:V330"/>
    <mergeCell ref="W330:X330"/>
    <mergeCell ref="Y330:AE330"/>
    <mergeCell ref="A331:C331"/>
    <mergeCell ref="D331:L331"/>
    <mergeCell ref="M331:N331"/>
    <mergeCell ref="O331:P331"/>
    <mergeCell ref="Q331:R331"/>
    <mergeCell ref="S331:T331"/>
    <mergeCell ref="U331:V331"/>
    <mergeCell ref="W331:X331"/>
    <mergeCell ref="Y331:AE331"/>
    <mergeCell ref="A332:C332"/>
    <mergeCell ref="D332:L332"/>
    <mergeCell ref="M332:N332"/>
    <mergeCell ref="O332:P332"/>
    <mergeCell ref="Q332:R332"/>
    <mergeCell ref="S332:T332"/>
    <mergeCell ref="U332:V332"/>
    <mergeCell ref="W332:X332"/>
    <mergeCell ref="Y332:AE332"/>
    <mergeCell ref="A333:C333"/>
    <mergeCell ref="D333:L333"/>
    <mergeCell ref="M333:N333"/>
    <mergeCell ref="O333:P333"/>
    <mergeCell ref="Q333:R333"/>
    <mergeCell ref="S333:T333"/>
    <mergeCell ref="U333:V333"/>
    <mergeCell ref="W333:X333"/>
    <mergeCell ref="Y333:AE333"/>
    <mergeCell ref="A334:C334"/>
    <mergeCell ref="D334:L334"/>
    <mergeCell ref="M334:N334"/>
    <mergeCell ref="O334:P334"/>
    <mergeCell ref="Q334:R334"/>
    <mergeCell ref="S334:T334"/>
    <mergeCell ref="U334:V334"/>
    <mergeCell ref="W334:X334"/>
    <mergeCell ref="Y334:AE334"/>
    <mergeCell ref="A335:C335"/>
    <mergeCell ref="D335:L335"/>
    <mergeCell ref="M335:N335"/>
    <mergeCell ref="O335:P335"/>
    <mergeCell ref="Q335:R335"/>
    <mergeCell ref="S335:T335"/>
    <mergeCell ref="U335:V335"/>
    <mergeCell ref="W335:X335"/>
    <mergeCell ref="Y335:AE335"/>
    <mergeCell ref="A338:B338"/>
    <mergeCell ref="C338:L338"/>
    <mergeCell ref="M338:Q338"/>
    <mergeCell ref="R338:AF338"/>
    <mergeCell ref="A340:C340"/>
    <mergeCell ref="D340:L340"/>
    <mergeCell ref="A341:C343"/>
    <mergeCell ref="D341:L343"/>
    <mergeCell ref="M341:N343"/>
    <mergeCell ref="O341:P343"/>
    <mergeCell ref="Q341:R343"/>
    <mergeCell ref="S341:T343"/>
    <mergeCell ref="U341:V343"/>
    <mergeCell ref="W341:X343"/>
    <mergeCell ref="Y341:AE343"/>
    <mergeCell ref="A344:C344"/>
    <mergeCell ref="D344:L344"/>
    <mergeCell ref="M344:N344"/>
    <mergeCell ref="O344:P344"/>
    <mergeCell ref="Q344:R344"/>
    <mergeCell ref="S344:T344"/>
    <mergeCell ref="U344:V344"/>
    <mergeCell ref="W344:X344"/>
    <mergeCell ref="Y344:AE344"/>
    <mergeCell ref="A345:C345"/>
    <mergeCell ref="D345:L345"/>
    <mergeCell ref="M345:N345"/>
    <mergeCell ref="O345:P345"/>
    <mergeCell ref="Q345:R345"/>
    <mergeCell ref="S345:T345"/>
    <mergeCell ref="U345:V345"/>
    <mergeCell ref="W345:X345"/>
    <mergeCell ref="Y345:AE345"/>
    <mergeCell ref="A346:C346"/>
    <mergeCell ref="D346:L346"/>
    <mergeCell ref="M346:N346"/>
    <mergeCell ref="O346:P346"/>
    <mergeCell ref="Q346:R346"/>
    <mergeCell ref="S346:T346"/>
    <mergeCell ref="U346:V346"/>
    <mergeCell ref="W346:X346"/>
    <mergeCell ref="Y346:AE346"/>
    <mergeCell ref="A347:C347"/>
    <mergeCell ref="D347:L347"/>
    <mergeCell ref="M347:N347"/>
    <mergeCell ref="O347:P347"/>
    <mergeCell ref="Q347:R347"/>
    <mergeCell ref="S347:T347"/>
    <mergeCell ref="U347:V347"/>
    <mergeCell ref="W347:X347"/>
    <mergeCell ref="Y347:AE347"/>
    <mergeCell ref="A348:C348"/>
    <mergeCell ref="D348:L348"/>
    <mergeCell ref="M348:N348"/>
    <mergeCell ref="O348:P348"/>
    <mergeCell ref="Q348:R348"/>
    <mergeCell ref="S348:T348"/>
    <mergeCell ref="U348:V348"/>
    <mergeCell ref="W348:X348"/>
    <mergeCell ref="Y348:AE348"/>
    <mergeCell ref="A349:C349"/>
    <mergeCell ref="D349:L349"/>
    <mergeCell ref="M349:N349"/>
    <mergeCell ref="O349:P349"/>
    <mergeCell ref="Q349:R349"/>
    <mergeCell ref="S349:T349"/>
    <mergeCell ref="U349:V349"/>
    <mergeCell ref="W349:X349"/>
    <mergeCell ref="Y349:AE349"/>
    <mergeCell ref="A350:C350"/>
    <mergeCell ref="D350:L350"/>
    <mergeCell ref="M350:N350"/>
    <mergeCell ref="O350:P350"/>
    <mergeCell ref="Q350:R350"/>
    <mergeCell ref="S350:T350"/>
    <mergeCell ref="U350:V350"/>
    <mergeCell ref="W350:X350"/>
    <mergeCell ref="Y350:AE350"/>
    <mergeCell ref="A351:C351"/>
    <mergeCell ref="D351:L351"/>
    <mergeCell ref="M351:N351"/>
    <mergeCell ref="O351:P351"/>
    <mergeCell ref="Q351:R351"/>
    <mergeCell ref="S351:T351"/>
    <mergeCell ref="U351:V351"/>
    <mergeCell ref="W351:X351"/>
    <mergeCell ref="Y351:AE351"/>
    <mergeCell ref="A352:C352"/>
    <mergeCell ref="D352:L352"/>
    <mergeCell ref="M352:N352"/>
    <mergeCell ref="O352:P352"/>
    <mergeCell ref="Q352:R352"/>
    <mergeCell ref="S352:T352"/>
    <mergeCell ref="U352:V352"/>
    <mergeCell ref="W352:X352"/>
    <mergeCell ref="Y352:AE352"/>
    <mergeCell ref="A353:C353"/>
    <mergeCell ref="D353:L353"/>
    <mergeCell ref="M353:N353"/>
    <mergeCell ref="O353:P353"/>
    <mergeCell ref="Q353:R353"/>
    <mergeCell ref="S353:T353"/>
    <mergeCell ref="U353:V353"/>
    <mergeCell ref="W353:X353"/>
    <mergeCell ref="Y353:AE353"/>
    <mergeCell ref="A354:C354"/>
    <mergeCell ref="D354:L354"/>
    <mergeCell ref="M354:N354"/>
    <mergeCell ref="O354:P354"/>
    <mergeCell ref="Q354:R354"/>
    <mergeCell ref="S354:T354"/>
    <mergeCell ref="U354:V354"/>
    <mergeCell ref="W354:X354"/>
    <mergeCell ref="Y354:AE354"/>
    <mergeCell ref="A355:C355"/>
    <mergeCell ref="D355:L355"/>
    <mergeCell ref="M355:N355"/>
    <mergeCell ref="O355:P355"/>
    <mergeCell ref="Q355:R355"/>
    <mergeCell ref="S355:T355"/>
    <mergeCell ref="U355:V355"/>
    <mergeCell ref="W355:X355"/>
    <mergeCell ref="Y355:AE355"/>
    <mergeCell ref="A356:C356"/>
    <mergeCell ref="D356:L356"/>
    <mergeCell ref="M356:N356"/>
    <mergeCell ref="O356:P356"/>
    <mergeCell ref="Q356:R356"/>
    <mergeCell ref="S356:T356"/>
    <mergeCell ref="U356:V356"/>
    <mergeCell ref="W356:X356"/>
    <mergeCell ref="Y356:AE356"/>
    <mergeCell ref="A357:C357"/>
    <mergeCell ref="D357:L357"/>
    <mergeCell ref="M357:N357"/>
    <mergeCell ref="O357:P357"/>
    <mergeCell ref="Q357:R357"/>
    <mergeCell ref="S357:T357"/>
    <mergeCell ref="U357:V357"/>
    <mergeCell ref="W357:X357"/>
    <mergeCell ref="Y357:AE357"/>
    <mergeCell ref="A358:C358"/>
    <mergeCell ref="D358:L358"/>
    <mergeCell ref="M358:N358"/>
    <mergeCell ref="O358:P358"/>
    <mergeCell ref="Q358:R358"/>
    <mergeCell ref="S358:T358"/>
    <mergeCell ref="U358:V358"/>
    <mergeCell ref="W358:X358"/>
    <mergeCell ref="Y358:AE358"/>
    <mergeCell ref="A359:C359"/>
    <mergeCell ref="D359:L359"/>
    <mergeCell ref="M359:N359"/>
    <mergeCell ref="O359:P359"/>
    <mergeCell ref="Q359:R359"/>
    <mergeCell ref="S359:T359"/>
    <mergeCell ref="U359:V359"/>
    <mergeCell ref="W359:X359"/>
    <mergeCell ref="Y359:AE359"/>
    <mergeCell ref="A360:C360"/>
    <mergeCell ref="D360:L360"/>
    <mergeCell ref="M360:N360"/>
    <mergeCell ref="O360:P360"/>
    <mergeCell ref="Q360:R360"/>
    <mergeCell ref="S360:T360"/>
    <mergeCell ref="U360:V360"/>
    <mergeCell ref="W360:X360"/>
    <mergeCell ref="Y360:AE360"/>
    <mergeCell ref="A361:C361"/>
    <mergeCell ref="D361:L361"/>
    <mergeCell ref="M361:N361"/>
    <mergeCell ref="O361:P361"/>
    <mergeCell ref="Q361:R361"/>
    <mergeCell ref="S361:T361"/>
    <mergeCell ref="U361:V361"/>
    <mergeCell ref="W361:X361"/>
    <mergeCell ref="Y361:AE361"/>
    <mergeCell ref="A362:C362"/>
    <mergeCell ref="D362:L362"/>
    <mergeCell ref="M362:N362"/>
    <mergeCell ref="O362:P362"/>
    <mergeCell ref="Q362:R362"/>
    <mergeCell ref="S362:T362"/>
    <mergeCell ref="U362:V362"/>
    <mergeCell ref="W362:X362"/>
    <mergeCell ref="Y362:AE362"/>
    <mergeCell ref="A365:B365"/>
    <mergeCell ref="C365:L365"/>
    <mergeCell ref="M365:Q365"/>
    <mergeCell ref="R365:AF365"/>
    <mergeCell ref="C367:E367"/>
    <mergeCell ref="F367:N367"/>
    <mergeCell ref="C368:D369"/>
    <mergeCell ref="E368:L369"/>
    <mergeCell ref="N368:Q369"/>
    <mergeCell ref="R368:U369"/>
    <mergeCell ref="V368:Y369"/>
    <mergeCell ref="Z368:AC369"/>
    <mergeCell ref="C370:D370"/>
    <mergeCell ref="E370:M370"/>
    <mergeCell ref="N370:Q370"/>
    <mergeCell ref="R370:U370"/>
    <mergeCell ref="V370:Y370"/>
    <mergeCell ref="Z370:AC370"/>
    <mergeCell ref="C371:D371"/>
    <mergeCell ref="E371:M371"/>
    <mergeCell ref="N371:Q371"/>
    <mergeCell ref="R371:U371"/>
    <mergeCell ref="V371:Y371"/>
    <mergeCell ref="Z371:AC371"/>
    <mergeCell ref="C372:D372"/>
    <mergeCell ref="E372:M372"/>
    <mergeCell ref="N372:Q372"/>
    <mergeCell ref="R372:U372"/>
    <mergeCell ref="V372:Y372"/>
    <mergeCell ref="Z372:AC372"/>
    <mergeCell ref="C373:D373"/>
    <mergeCell ref="E373:M373"/>
    <mergeCell ref="N373:Q373"/>
    <mergeCell ref="R373:U373"/>
    <mergeCell ref="V373:Y373"/>
    <mergeCell ref="Z373:AC373"/>
    <mergeCell ref="C374:D374"/>
    <mergeCell ref="E374:M374"/>
    <mergeCell ref="N374:Q374"/>
    <mergeCell ref="R374:U374"/>
    <mergeCell ref="V374:Y374"/>
    <mergeCell ref="Z374:AC374"/>
    <mergeCell ref="C375:D375"/>
    <mergeCell ref="E375:M375"/>
    <mergeCell ref="N375:Q375"/>
    <mergeCell ref="R375:U375"/>
    <mergeCell ref="V375:Y375"/>
    <mergeCell ref="Z375:AC375"/>
    <mergeCell ref="C376:D376"/>
    <mergeCell ref="E376:M376"/>
    <mergeCell ref="N376:Q376"/>
    <mergeCell ref="R376:U376"/>
    <mergeCell ref="V376:Y376"/>
    <mergeCell ref="Z376:AC376"/>
    <mergeCell ref="C377:D377"/>
    <mergeCell ref="E377:M377"/>
    <mergeCell ref="N377:Q377"/>
    <mergeCell ref="R377:U377"/>
    <mergeCell ref="V377:Y377"/>
    <mergeCell ref="Z377:AC377"/>
    <mergeCell ref="C378:D378"/>
    <mergeCell ref="E378:M378"/>
    <mergeCell ref="N378:Q378"/>
    <mergeCell ref="R378:U378"/>
    <mergeCell ref="V378:Y378"/>
    <mergeCell ref="Z378:AC378"/>
    <mergeCell ref="C379:D379"/>
    <mergeCell ref="E379:M379"/>
    <mergeCell ref="N379:Q379"/>
    <mergeCell ref="R379:U379"/>
    <mergeCell ref="V379:Y379"/>
    <mergeCell ref="Z379:AC379"/>
    <mergeCell ref="C380:D380"/>
    <mergeCell ref="E380:M380"/>
    <mergeCell ref="N380:Q380"/>
    <mergeCell ref="R380:U380"/>
    <mergeCell ref="V380:Y380"/>
    <mergeCell ref="Z380:AC380"/>
    <mergeCell ref="C381:D381"/>
    <mergeCell ref="E381:M381"/>
    <mergeCell ref="N381:Q381"/>
    <mergeCell ref="R381:U381"/>
    <mergeCell ref="V381:Y381"/>
    <mergeCell ref="Z381:AC381"/>
    <mergeCell ref="C382:D382"/>
    <mergeCell ref="E382:M382"/>
    <mergeCell ref="N382:Q382"/>
    <mergeCell ref="R382:U382"/>
    <mergeCell ref="V382:Y382"/>
    <mergeCell ref="Z382:AC382"/>
    <mergeCell ref="C383:D383"/>
    <mergeCell ref="E383:M383"/>
    <mergeCell ref="N383:Q383"/>
    <mergeCell ref="R383:U383"/>
    <mergeCell ref="V383:Y383"/>
    <mergeCell ref="Z383:AC383"/>
    <mergeCell ref="C384:D384"/>
    <mergeCell ref="E384:M384"/>
    <mergeCell ref="N384:Q384"/>
    <mergeCell ref="R384:U384"/>
    <mergeCell ref="V384:Y384"/>
    <mergeCell ref="Z384:AC384"/>
    <mergeCell ref="C385:D385"/>
    <mergeCell ref="E385:M385"/>
    <mergeCell ref="N385:Q385"/>
    <mergeCell ref="R385:U385"/>
    <mergeCell ref="V385:Y385"/>
    <mergeCell ref="Z385:AC385"/>
    <mergeCell ref="C386:D386"/>
    <mergeCell ref="E386:M386"/>
    <mergeCell ref="N386:Q386"/>
    <mergeCell ref="R386:U386"/>
    <mergeCell ref="V386:Y386"/>
    <mergeCell ref="Z386:AC386"/>
    <mergeCell ref="C387:D387"/>
    <mergeCell ref="E387:M387"/>
    <mergeCell ref="N387:Q387"/>
    <mergeCell ref="R387:U387"/>
    <mergeCell ref="V387:Y387"/>
    <mergeCell ref="Z387:AC387"/>
    <mergeCell ref="C388:D388"/>
    <mergeCell ref="E388:M388"/>
    <mergeCell ref="N388:Q388"/>
    <mergeCell ref="R388:U388"/>
    <mergeCell ref="V388:Y388"/>
    <mergeCell ref="Z388:AC388"/>
    <mergeCell ref="N389:Q389"/>
    <mergeCell ref="R389:U389"/>
    <mergeCell ref="V389:Y389"/>
    <mergeCell ref="Z389:AC389"/>
    <mergeCell ref="C390:D390"/>
    <mergeCell ref="E390:M390"/>
    <mergeCell ref="N390:Q390"/>
    <mergeCell ref="R390:U390"/>
    <mergeCell ref="V390:Y390"/>
    <mergeCell ref="Z390:AC390"/>
    <mergeCell ref="C392:D392"/>
    <mergeCell ref="E392:M392"/>
    <mergeCell ref="N392:Q392"/>
    <mergeCell ref="R392:U392"/>
    <mergeCell ref="V392:Y392"/>
    <mergeCell ref="Z392:AC392"/>
    <mergeCell ref="C393:D393"/>
    <mergeCell ref="E393:M393"/>
    <mergeCell ref="N393:Q393"/>
    <mergeCell ref="R393:U393"/>
    <mergeCell ref="V393:Y393"/>
    <mergeCell ref="Z393:AC393"/>
    <mergeCell ref="C394:D394"/>
    <mergeCell ref="E394:M394"/>
    <mergeCell ref="N394:Q394"/>
    <mergeCell ref="R394:U394"/>
    <mergeCell ref="V394:Y394"/>
    <mergeCell ref="Z394:AC394"/>
    <mergeCell ref="C395:D395"/>
    <mergeCell ref="E395:M395"/>
    <mergeCell ref="N395:Q395"/>
    <mergeCell ref="R395:U395"/>
    <mergeCell ref="V395:Y395"/>
    <mergeCell ref="Z395:AC395"/>
    <mergeCell ref="C396:D396"/>
    <mergeCell ref="E396:M396"/>
    <mergeCell ref="N396:Q396"/>
    <mergeCell ref="R396:U396"/>
    <mergeCell ref="V396:Y396"/>
    <mergeCell ref="Z396:AC396"/>
    <mergeCell ref="C397:D397"/>
    <mergeCell ref="E397:M397"/>
    <mergeCell ref="N397:Q397"/>
    <mergeCell ref="R397:U397"/>
    <mergeCell ref="V397:Y397"/>
    <mergeCell ref="Z397:AC397"/>
    <mergeCell ref="C398:D398"/>
    <mergeCell ref="E398:M398"/>
    <mergeCell ref="N398:Q398"/>
    <mergeCell ref="R398:U398"/>
    <mergeCell ref="V398:Y398"/>
    <mergeCell ref="Z398:AC398"/>
    <mergeCell ref="C399:D399"/>
    <mergeCell ref="E399:M399"/>
    <mergeCell ref="N399:Q399"/>
    <mergeCell ref="R399:U399"/>
    <mergeCell ref="V399:Y399"/>
    <mergeCell ref="Z399:AC399"/>
    <mergeCell ref="C400:D400"/>
    <mergeCell ref="E400:M400"/>
    <mergeCell ref="N400:Q400"/>
    <mergeCell ref="R400:U400"/>
    <mergeCell ref="V400:Y400"/>
    <mergeCell ref="Z400:AC400"/>
    <mergeCell ref="C401:D401"/>
    <mergeCell ref="E401:M401"/>
    <mergeCell ref="N401:Q401"/>
    <mergeCell ref="R401:U401"/>
    <mergeCell ref="V401:Y401"/>
    <mergeCell ref="Z401:AC401"/>
    <mergeCell ref="C402:D402"/>
    <mergeCell ref="E402:M402"/>
    <mergeCell ref="N402:Q402"/>
    <mergeCell ref="R402:U402"/>
    <mergeCell ref="V402:Y402"/>
    <mergeCell ref="Z402:AC402"/>
    <mergeCell ref="C403:D403"/>
    <mergeCell ref="E403:M403"/>
    <mergeCell ref="N403:Q403"/>
    <mergeCell ref="R403:U403"/>
    <mergeCell ref="V403:Y403"/>
    <mergeCell ref="Z403:AC403"/>
    <mergeCell ref="C404:D404"/>
    <mergeCell ref="E404:M404"/>
    <mergeCell ref="N404:Q404"/>
    <mergeCell ref="R404:U404"/>
    <mergeCell ref="V404:Y404"/>
    <mergeCell ref="Z404:AC404"/>
    <mergeCell ref="C405:D405"/>
    <mergeCell ref="E405:M405"/>
    <mergeCell ref="N405:Q405"/>
    <mergeCell ref="R405:U405"/>
    <mergeCell ref="V405:Y405"/>
    <mergeCell ref="Z405:AC405"/>
    <mergeCell ref="C406:D406"/>
    <mergeCell ref="E406:M406"/>
    <mergeCell ref="N406:Q406"/>
    <mergeCell ref="R406:U406"/>
    <mergeCell ref="V406:Y406"/>
    <mergeCell ref="Z406:AC406"/>
    <mergeCell ref="C407:D407"/>
    <mergeCell ref="E407:M407"/>
    <mergeCell ref="N407:Q407"/>
    <mergeCell ref="R407:U407"/>
    <mergeCell ref="V407:Y407"/>
    <mergeCell ref="Z407:AC407"/>
    <mergeCell ref="C408:D408"/>
    <mergeCell ref="E408:M408"/>
    <mergeCell ref="N408:Q408"/>
    <mergeCell ref="R408:U408"/>
    <mergeCell ref="V408:Y408"/>
    <mergeCell ref="Z408:AC408"/>
    <mergeCell ref="C409:D409"/>
    <mergeCell ref="E409:M409"/>
    <mergeCell ref="N409:Q409"/>
    <mergeCell ref="R409:U409"/>
    <mergeCell ref="V409:Y409"/>
    <mergeCell ref="Z409:AC409"/>
    <mergeCell ref="C410:D410"/>
    <mergeCell ref="E410:M410"/>
    <mergeCell ref="N410:Q410"/>
    <mergeCell ref="R410:U410"/>
    <mergeCell ref="V410:Y410"/>
    <mergeCell ref="Z410:AC410"/>
    <mergeCell ref="C412:M412"/>
    <mergeCell ref="N412:Q412"/>
    <mergeCell ref="R412:U412"/>
    <mergeCell ref="V412:Y412"/>
    <mergeCell ref="Z412:AC412"/>
    <mergeCell ref="C413:M413"/>
    <mergeCell ref="N413:Q413"/>
    <mergeCell ref="R413:U413"/>
    <mergeCell ref="V413:Y413"/>
    <mergeCell ref="Z413:AC413"/>
    <mergeCell ref="C414:M414"/>
    <mergeCell ref="N414:Q414"/>
    <mergeCell ref="R414:U414"/>
    <mergeCell ref="V414:Y414"/>
    <mergeCell ref="Z414:AC414"/>
    <mergeCell ref="C415:M415"/>
    <mergeCell ref="N415:Q415"/>
    <mergeCell ref="R415:U415"/>
    <mergeCell ref="V415:Y415"/>
    <mergeCell ref="Z415:AC415"/>
    <mergeCell ref="C416:M416"/>
    <mergeCell ref="N416:Q416"/>
    <mergeCell ref="R416:U416"/>
    <mergeCell ref="V416:Y416"/>
    <mergeCell ref="Z416:AC416"/>
    <mergeCell ref="C417:M417"/>
    <mergeCell ref="N417:Q417"/>
    <mergeCell ref="R417:U417"/>
    <mergeCell ref="V417:Y417"/>
    <mergeCell ref="Z417:AC417"/>
    <mergeCell ref="C418:M418"/>
    <mergeCell ref="N418:Q418"/>
    <mergeCell ref="R418:U418"/>
    <mergeCell ref="V418:Y418"/>
    <mergeCell ref="Z418:AC418"/>
    <mergeCell ref="C419:M419"/>
    <mergeCell ref="N419:Q419"/>
    <mergeCell ref="R419:U419"/>
    <mergeCell ref="V419:Y419"/>
    <mergeCell ref="Z419:AC419"/>
    <mergeCell ref="Z420:AC420"/>
    <mergeCell ref="C421:AC422"/>
    <mergeCell ref="A424:B424"/>
    <mergeCell ref="C424:L424"/>
    <mergeCell ref="M424:Q424"/>
    <mergeCell ref="R424:AF424"/>
    <mergeCell ref="A426:C426"/>
    <mergeCell ref="D426:L426"/>
    <mergeCell ref="A427:C429"/>
    <mergeCell ref="D427:L429"/>
    <mergeCell ref="M427:N429"/>
    <mergeCell ref="O427:P429"/>
    <mergeCell ref="Q427:R429"/>
    <mergeCell ref="S427:T429"/>
    <mergeCell ref="U427:V429"/>
    <mergeCell ref="W427:X429"/>
    <mergeCell ref="Y427:AE429"/>
    <mergeCell ref="A430:C430"/>
    <mergeCell ref="D430:L430"/>
    <mergeCell ref="M430:N430"/>
    <mergeCell ref="O430:P430"/>
    <mergeCell ref="Q430:R430"/>
    <mergeCell ref="S430:T430"/>
    <mergeCell ref="U430:V430"/>
    <mergeCell ref="W430:X430"/>
    <mergeCell ref="Y430:AE430"/>
    <mergeCell ref="A431:C431"/>
    <mergeCell ref="D431:L431"/>
    <mergeCell ref="M431:N431"/>
    <mergeCell ref="O431:P431"/>
    <mergeCell ref="Q431:R431"/>
    <mergeCell ref="S431:T431"/>
    <mergeCell ref="U431:V431"/>
    <mergeCell ref="W431:X431"/>
    <mergeCell ref="Y431:AE431"/>
    <mergeCell ref="A432:C432"/>
    <mergeCell ref="D432:L432"/>
    <mergeCell ref="M432:N432"/>
    <mergeCell ref="O432:P432"/>
    <mergeCell ref="Q432:R432"/>
    <mergeCell ref="S432:T432"/>
    <mergeCell ref="U432:V432"/>
    <mergeCell ref="W432:X432"/>
    <mergeCell ref="Y432:AE432"/>
    <mergeCell ref="A433:C433"/>
    <mergeCell ref="D433:L433"/>
    <mergeCell ref="M433:N433"/>
    <mergeCell ref="O433:P433"/>
    <mergeCell ref="Q433:R433"/>
    <mergeCell ref="S433:T433"/>
    <mergeCell ref="U433:V433"/>
    <mergeCell ref="W433:X433"/>
    <mergeCell ref="Y433:AE433"/>
    <mergeCell ref="A434:C434"/>
    <mergeCell ref="D434:L434"/>
    <mergeCell ref="M434:N434"/>
    <mergeCell ref="O434:P434"/>
    <mergeCell ref="Q434:R434"/>
    <mergeCell ref="S434:T434"/>
    <mergeCell ref="U434:V434"/>
    <mergeCell ref="W434:X434"/>
    <mergeCell ref="Y434:AE434"/>
    <mergeCell ref="A435:C435"/>
    <mergeCell ref="D435:L435"/>
    <mergeCell ref="M435:N435"/>
    <mergeCell ref="O435:P435"/>
    <mergeCell ref="Q435:R435"/>
    <mergeCell ref="S435:T435"/>
    <mergeCell ref="U435:V435"/>
    <mergeCell ref="W435:X435"/>
    <mergeCell ref="Y435:AE435"/>
    <mergeCell ref="A436:C436"/>
    <mergeCell ref="D436:L436"/>
    <mergeCell ref="M436:N436"/>
    <mergeCell ref="O436:P436"/>
    <mergeCell ref="Q436:R436"/>
    <mergeCell ref="S436:T436"/>
    <mergeCell ref="U436:V436"/>
    <mergeCell ref="W436:X436"/>
    <mergeCell ref="Y436:AE436"/>
    <mergeCell ref="A437:C437"/>
    <mergeCell ref="D437:L437"/>
    <mergeCell ref="M437:N437"/>
    <mergeCell ref="O437:P437"/>
    <mergeCell ref="Q437:R437"/>
    <mergeCell ref="S437:T437"/>
    <mergeCell ref="U437:V437"/>
    <mergeCell ref="W437:X437"/>
    <mergeCell ref="Y437:AE437"/>
    <mergeCell ref="A438:C438"/>
    <mergeCell ref="D438:L438"/>
    <mergeCell ref="M438:N438"/>
    <mergeCell ref="O438:P438"/>
    <mergeCell ref="Q438:R438"/>
    <mergeCell ref="S438:T438"/>
    <mergeCell ref="U438:V438"/>
    <mergeCell ref="W438:X438"/>
    <mergeCell ref="Y438:AE438"/>
    <mergeCell ref="A439:C439"/>
    <mergeCell ref="D439:L439"/>
    <mergeCell ref="M439:N439"/>
    <mergeCell ref="O439:P439"/>
    <mergeCell ref="Q439:R439"/>
    <mergeCell ref="S439:T439"/>
    <mergeCell ref="U439:V439"/>
    <mergeCell ref="W439:X439"/>
    <mergeCell ref="Y439:AE439"/>
    <mergeCell ref="A440:C440"/>
    <mergeCell ref="D440:L440"/>
    <mergeCell ref="M440:N440"/>
    <mergeCell ref="O440:P440"/>
    <mergeCell ref="Q440:R440"/>
    <mergeCell ref="S440:T440"/>
    <mergeCell ref="U440:V440"/>
    <mergeCell ref="W440:X440"/>
    <mergeCell ref="Y440:AE440"/>
    <mergeCell ref="A441:C441"/>
    <mergeCell ref="D441:L441"/>
    <mergeCell ref="M441:N441"/>
    <mergeCell ref="O441:P441"/>
    <mergeCell ref="Q441:R441"/>
    <mergeCell ref="S441:T441"/>
    <mergeCell ref="U441:V441"/>
    <mergeCell ref="W441:X441"/>
    <mergeCell ref="Y441:AE441"/>
    <mergeCell ref="A442:C442"/>
    <mergeCell ref="D442:L442"/>
    <mergeCell ref="M442:N442"/>
    <mergeCell ref="O442:P442"/>
    <mergeCell ref="Q442:R442"/>
    <mergeCell ref="S442:T442"/>
    <mergeCell ref="U442:V442"/>
    <mergeCell ref="W442:X442"/>
    <mergeCell ref="Y442:AE442"/>
    <mergeCell ref="A443:C443"/>
    <mergeCell ref="D443:L443"/>
    <mergeCell ref="M443:N443"/>
    <mergeCell ref="O443:P443"/>
    <mergeCell ref="Q443:R443"/>
    <mergeCell ref="S443:T443"/>
    <mergeCell ref="U443:V443"/>
    <mergeCell ref="W443:X443"/>
    <mergeCell ref="Y443:AE443"/>
    <mergeCell ref="A444:C444"/>
    <mergeCell ref="D444:L444"/>
    <mergeCell ref="M444:N444"/>
    <mergeCell ref="O444:P444"/>
    <mergeCell ref="Q444:R444"/>
    <mergeCell ref="S444:T444"/>
    <mergeCell ref="U444:V444"/>
    <mergeCell ref="W444:X444"/>
    <mergeCell ref="Y444:AE444"/>
    <mergeCell ref="A445:C445"/>
    <mergeCell ref="D445:L445"/>
    <mergeCell ref="M445:N445"/>
    <mergeCell ref="O445:P445"/>
    <mergeCell ref="Q445:R445"/>
    <mergeCell ref="S445:T445"/>
    <mergeCell ref="U445:V445"/>
    <mergeCell ref="W445:X445"/>
    <mergeCell ref="Y445:AE445"/>
    <mergeCell ref="A446:C446"/>
    <mergeCell ref="D446:L446"/>
    <mergeCell ref="M446:N446"/>
    <mergeCell ref="O446:P446"/>
    <mergeCell ref="Q446:R446"/>
    <mergeCell ref="S446:T446"/>
    <mergeCell ref="U446:V446"/>
    <mergeCell ref="W446:X446"/>
    <mergeCell ref="Y446:AE446"/>
    <mergeCell ref="A447:C447"/>
    <mergeCell ref="D447:L447"/>
    <mergeCell ref="M447:N447"/>
    <mergeCell ref="O447:P447"/>
    <mergeCell ref="Q447:R447"/>
    <mergeCell ref="S447:T447"/>
    <mergeCell ref="U447:V447"/>
    <mergeCell ref="W447:X447"/>
    <mergeCell ref="Y447:AE447"/>
    <mergeCell ref="A448:C448"/>
    <mergeCell ref="D448:L448"/>
    <mergeCell ref="M448:N448"/>
    <mergeCell ref="O448:P448"/>
    <mergeCell ref="Q448:R448"/>
    <mergeCell ref="S448:T448"/>
    <mergeCell ref="U448:V448"/>
    <mergeCell ref="W448:X448"/>
    <mergeCell ref="Y448:AE448"/>
    <mergeCell ref="A451:B451"/>
    <mergeCell ref="C451:L451"/>
    <mergeCell ref="M451:Q451"/>
    <mergeCell ref="R451:AF451"/>
    <mergeCell ref="A453:C453"/>
    <mergeCell ref="D453:L453"/>
    <mergeCell ref="A454:C456"/>
    <mergeCell ref="D454:L456"/>
    <mergeCell ref="M454:N456"/>
    <mergeCell ref="O454:P456"/>
    <mergeCell ref="Q454:R456"/>
    <mergeCell ref="S454:T456"/>
    <mergeCell ref="U454:V456"/>
    <mergeCell ref="W454:X456"/>
    <mergeCell ref="Y454:AE456"/>
    <mergeCell ref="A457:C457"/>
    <mergeCell ref="D457:L457"/>
    <mergeCell ref="M457:N457"/>
    <mergeCell ref="O457:P457"/>
    <mergeCell ref="Q457:R457"/>
    <mergeCell ref="S457:T457"/>
    <mergeCell ref="U457:V457"/>
    <mergeCell ref="W457:X457"/>
    <mergeCell ref="Y457:AE457"/>
    <mergeCell ref="A458:C458"/>
    <mergeCell ref="D458:L458"/>
    <mergeCell ref="M458:N458"/>
    <mergeCell ref="O458:P458"/>
    <mergeCell ref="Q458:R458"/>
    <mergeCell ref="S458:T458"/>
    <mergeCell ref="U458:V458"/>
    <mergeCell ref="W458:X458"/>
    <mergeCell ref="Y458:AE458"/>
    <mergeCell ref="A459:C459"/>
    <mergeCell ref="D459:L459"/>
    <mergeCell ref="M459:N459"/>
    <mergeCell ref="O459:P459"/>
    <mergeCell ref="Q459:R459"/>
    <mergeCell ref="S459:T459"/>
    <mergeCell ref="U459:V459"/>
    <mergeCell ref="W459:X459"/>
    <mergeCell ref="Y459:AE459"/>
    <mergeCell ref="A460:C460"/>
    <mergeCell ref="D460:L460"/>
    <mergeCell ref="M460:N460"/>
    <mergeCell ref="O460:P460"/>
    <mergeCell ref="Q460:R460"/>
    <mergeCell ref="S460:T460"/>
    <mergeCell ref="U460:V460"/>
    <mergeCell ref="W460:X460"/>
    <mergeCell ref="Y460:AE460"/>
    <mergeCell ref="A461:C461"/>
    <mergeCell ref="D461:L461"/>
    <mergeCell ref="M461:N461"/>
    <mergeCell ref="O461:P461"/>
    <mergeCell ref="Q461:R461"/>
    <mergeCell ref="S461:T461"/>
    <mergeCell ref="U461:V461"/>
    <mergeCell ref="W461:X461"/>
    <mergeCell ref="Y461:AE461"/>
    <mergeCell ref="A462:C462"/>
    <mergeCell ref="D462:L462"/>
    <mergeCell ref="M462:N462"/>
    <mergeCell ref="O462:P462"/>
    <mergeCell ref="Q462:R462"/>
    <mergeCell ref="S462:T462"/>
    <mergeCell ref="U462:V462"/>
    <mergeCell ref="W462:X462"/>
    <mergeCell ref="Y462:AE462"/>
    <mergeCell ref="A463:C463"/>
    <mergeCell ref="D463:L463"/>
    <mergeCell ref="M463:N463"/>
    <mergeCell ref="O463:P463"/>
    <mergeCell ref="Q463:R463"/>
    <mergeCell ref="S463:T463"/>
    <mergeCell ref="U463:V463"/>
    <mergeCell ref="W463:X463"/>
    <mergeCell ref="Y463:AE463"/>
    <mergeCell ref="A464:C464"/>
    <mergeCell ref="D464:L464"/>
    <mergeCell ref="M464:N464"/>
    <mergeCell ref="O464:P464"/>
    <mergeCell ref="Q464:R464"/>
    <mergeCell ref="S464:T464"/>
    <mergeCell ref="U464:V464"/>
    <mergeCell ref="W464:X464"/>
    <mergeCell ref="Y464:AE464"/>
    <mergeCell ref="A465:C465"/>
    <mergeCell ref="D465:L465"/>
    <mergeCell ref="M465:N465"/>
    <mergeCell ref="O465:P465"/>
    <mergeCell ref="Q465:R465"/>
    <mergeCell ref="S465:T465"/>
    <mergeCell ref="U465:V465"/>
    <mergeCell ref="W465:X465"/>
    <mergeCell ref="Y465:AE465"/>
    <mergeCell ref="A466:C466"/>
    <mergeCell ref="D466:L466"/>
    <mergeCell ref="M466:N466"/>
    <mergeCell ref="O466:P466"/>
    <mergeCell ref="Q466:R466"/>
    <mergeCell ref="S466:T466"/>
    <mergeCell ref="U466:V466"/>
    <mergeCell ref="W466:X466"/>
    <mergeCell ref="Y466:AE466"/>
    <mergeCell ref="A467:C467"/>
    <mergeCell ref="D467:L467"/>
    <mergeCell ref="M467:N467"/>
    <mergeCell ref="O467:P467"/>
    <mergeCell ref="Q467:R467"/>
    <mergeCell ref="S467:T467"/>
    <mergeCell ref="U467:V467"/>
    <mergeCell ref="W467:X467"/>
    <mergeCell ref="Y467:AE467"/>
    <mergeCell ref="A468:C468"/>
    <mergeCell ref="D468:L468"/>
    <mergeCell ref="M468:N468"/>
    <mergeCell ref="O468:P468"/>
    <mergeCell ref="Q468:R468"/>
    <mergeCell ref="S468:T468"/>
    <mergeCell ref="U468:V468"/>
    <mergeCell ref="W468:X468"/>
    <mergeCell ref="Y468:AE468"/>
    <mergeCell ref="A469:C469"/>
    <mergeCell ref="D469:L469"/>
    <mergeCell ref="M469:N469"/>
    <mergeCell ref="O469:P469"/>
    <mergeCell ref="Q469:R469"/>
    <mergeCell ref="S469:T469"/>
    <mergeCell ref="U469:V469"/>
    <mergeCell ref="W469:X469"/>
    <mergeCell ref="Y469:AE469"/>
    <mergeCell ref="A470:C470"/>
    <mergeCell ref="D470:L470"/>
    <mergeCell ref="M470:N470"/>
    <mergeCell ref="O470:P470"/>
    <mergeCell ref="Q470:R470"/>
    <mergeCell ref="S470:T470"/>
    <mergeCell ref="U470:V470"/>
    <mergeCell ref="W470:X470"/>
    <mergeCell ref="Y470:AE470"/>
    <mergeCell ref="A471:C471"/>
    <mergeCell ref="D471:L471"/>
    <mergeCell ref="M471:N471"/>
    <mergeCell ref="O471:P471"/>
    <mergeCell ref="Q471:R471"/>
    <mergeCell ref="S471:T471"/>
    <mergeCell ref="U471:V471"/>
    <mergeCell ref="W471:X471"/>
    <mergeCell ref="Y471:AE471"/>
    <mergeCell ref="A472:C472"/>
    <mergeCell ref="D472:L472"/>
    <mergeCell ref="M472:N472"/>
    <mergeCell ref="O472:P472"/>
    <mergeCell ref="Q472:R472"/>
    <mergeCell ref="S472:T472"/>
    <mergeCell ref="U472:V472"/>
    <mergeCell ref="W472:X472"/>
    <mergeCell ref="Y472:AE472"/>
    <mergeCell ref="A473:C473"/>
    <mergeCell ref="D473:L473"/>
    <mergeCell ref="M473:N473"/>
    <mergeCell ref="O473:P473"/>
    <mergeCell ref="Q473:R473"/>
    <mergeCell ref="S473:T473"/>
    <mergeCell ref="U473:V473"/>
    <mergeCell ref="W473:X473"/>
    <mergeCell ref="Y473:AE473"/>
    <mergeCell ref="A474:C474"/>
    <mergeCell ref="D474:L474"/>
    <mergeCell ref="M474:N474"/>
    <mergeCell ref="O474:P474"/>
    <mergeCell ref="Q474:R474"/>
    <mergeCell ref="S474:T474"/>
    <mergeCell ref="U474:V474"/>
    <mergeCell ref="W474:X474"/>
    <mergeCell ref="Y474:AE474"/>
    <mergeCell ref="A475:C475"/>
    <mergeCell ref="D475:L475"/>
    <mergeCell ref="M475:N475"/>
    <mergeCell ref="O475:P475"/>
    <mergeCell ref="Q475:R475"/>
    <mergeCell ref="S475:T475"/>
    <mergeCell ref="U475:V475"/>
    <mergeCell ref="W475:X475"/>
    <mergeCell ref="Y475:AE475"/>
    <mergeCell ref="A478:B478"/>
    <mergeCell ref="C478:L478"/>
    <mergeCell ref="M478:Q478"/>
    <mergeCell ref="R478:AF478"/>
    <mergeCell ref="A480:C480"/>
    <mergeCell ref="D480:L480"/>
    <mergeCell ref="A481:C483"/>
    <mergeCell ref="D481:L483"/>
    <mergeCell ref="M481:N483"/>
    <mergeCell ref="O481:P483"/>
    <mergeCell ref="Q481:R483"/>
    <mergeCell ref="S481:T483"/>
    <mergeCell ref="U481:V483"/>
    <mergeCell ref="W481:X483"/>
    <mergeCell ref="Y481:AE483"/>
    <mergeCell ref="A484:C484"/>
    <mergeCell ref="D484:L484"/>
    <mergeCell ref="M484:N484"/>
    <mergeCell ref="O484:P484"/>
    <mergeCell ref="Q484:R484"/>
    <mergeCell ref="S484:T484"/>
    <mergeCell ref="U484:V484"/>
    <mergeCell ref="W484:X484"/>
    <mergeCell ref="Y484:AE484"/>
    <mergeCell ref="A485:C485"/>
    <mergeCell ref="D485:L485"/>
    <mergeCell ref="M485:N485"/>
    <mergeCell ref="O485:P485"/>
    <mergeCell ref="Q485:R485"/>
    <mergeCell ref="S485:T485"/>
    <mergeCell ref="U485:V485"/>
    <mergeCell ref="W485:X485"/>
    <mergeCell ref="Y485:AE485"/>
    <mergeCell ref="A486:C486"/>
    <mergeCell ref="D486:L486"/>
    <mergeCell ref="M486:N486"/>
    <mergeCell ref="O486:P486"/>
    <mergeCell ref="Q486:R486"/>
    <mergeCell ref="S486:T486"/>
    <mergeCell ref="U486:V486"/>
    <mergeCell ref="W486:X486"/>
    <mergeCell ref="Y486:AE486"/>
    <mergeCell ref="A487:C487"/>
    <mergeCell ref="D487:L487"/>
    <mergeCell ref="M487:N487"/>
    <mergeCell ref="O487:P487"/>
    <mergeCell ref="Q487:R487"/>
    <mergeCell ref="S487:T487"/>
    <mergeCell ref="U487:V487"/>
    <mergeCell ref="W487:X487"/>
    <mergeCell ref="Y487:AE487"/>
    <mergeCell ref="A488:C488"/>
    <mergeCell ref="D488:L488"/>
    <mergeCell ref="M488:N488"/>
    <mergeCell ref="O488:P488"/>
    <mergeCell ref="Q488:R488"/>
    <mergeCell ref="S488:T488"/>
    <mergeCell ref="U488:V488"/>
    <mergeCell ref="W488:X488"/>
    <mergeCell ref="Y488:AE488"/>
    <mergeCell ref="A489:C489"/>
    <mergeCell ref="D489:L489"/>
    <mergeCell ref="M489:N489"/>
    <mergeCell ref="O489:P489"/>
    <mergeCell ref="Q489:R489"/>
    <mergeCell ref="S489:T489"/>
    <mergeCell ref="U489:V489"/>
    <mergeCell ref="W489:X489"/>
    <mergeCell ref="Y489:AE489"/>
    <mergeCell ref="A490:C490"/>
    <mergeCell ref="D490:L490"/>
    <mergeCell ref="M490:N490"/>
    <mergeCell ref="O490:P490"/>
    <mergeCell ref="Q490:R490"/>
    <mergeCell ref="S490:T490"/>
    <mergeCell ref="U490:V490"/>
    <mergeCell ref="W490:X490"/>
    <mergeCell ref="Y490:AE490"/>
    <mergeCell ref="A491:C491"/>
    <mergeCell ref="D491:L491"/>
    <mergeCell ref="M491:N491"/>
    <mergeCell ref="O491:P491"/>
    <mergeCell ref="Q491:R491"/>
    <mergeCell ref="S491:T491"/>
    <mergeCell ref="U491:V491"/>
    <mergeCell ref="W491:X491"/>
    <mergeCell ref="Y491:AE491"/>
    <mergeCell ref="A492:C492"/>
    <mergeCell ref="D492:L492"/>
    <mergeCell ref="M492:N492"/>
    <mergeCell ref="O492:P492"/>
    <mergeCell ref="Q492:R492"/>
    <mergeCell ref="S492:T492"/>
    <mergeCell ref="U492:V492"/>
    <mergeCell ref="W492:X492"/>
    <mergeCell ref="Y492:AE492"/>
    <mergeCell ref="A493:C493"/>
    <mergeCell ref="D493:L493"/>
    <mergeCell ref="M493:N493"/>
    <mergeCell ref="O493:P493"/>
    <mergeCell ref="Q493:R493"/>
    <mergeCell ref="S493:T493"/>
    <mergeCell ref="U493:V493"/>
    <mergeCell ref="W493:X493"/>
    <mergeCell ref="Y493:AE493"/>
    <mergeCell ref="A494:C494"/>
    <mergeCell ref="D494:L494"/>
    <mergeCell ref="M494:N494"/>
    <mergeCell ref="O494:P494"/>
    <mergeCell ref="Q494:R494"/>
    <mergeCell ref="S494:T494"/>
    <mergeCell ref="U494:V494"/>
    <mergeCell ref="W494:X494"/>
    <mergeCell ref="Y494:AE494"/>
    <mergeCell ref="A495:C495"/>
    <mergeCell ref="D495:L495"/>
    <mergeCell ref="M495:N495"/>
    <mergeCell ref="O495:P495"/>
    <mergeCell ref="Q495:R495"/>
    <mergeCell ref="S495:T495"/>
    <mergeCell ref="U495:V495"/>
    <mergeCell ref="W495:X495"/>
    <mergeCell ref="Y495:AE495"/>
    <mergeCell ref="A496:C496"/>
    <mergeCell ref="D496:L496"/>
    <mergeCell ref="M496:N496"/>
    <mergeCell ref="O496:P496"/>
    <mergeCell ref="Q496:R496"/>
    <mergeCell ref="S496:T496"/>
    <mergeCell ref="U496:V496"/>
    <mergeCell ref="W496:X496"/>
    <mergeCell ref="Y496:AE496"/>
    <mergeCell ref="A497:C497"/>
    <mergeCell ref="D497:L497"/>
    <mergeCell ref="M497:N497"/>
    <mergeCell ref="O497:P497"/>
    <mergeCell ref="Q497:R497"/>
    <mergeCell ref="S497:T497"/>
    <mergeCell ref="U497:V497"/>
    <mergeCell ref="W497:X497"/>
    <mergeCell ref="Y497:AE497"/>
    <mergeCell ref="A498:C498"/>
    <mergeCell ref="D498:L498"/>
    <mergeCell ref="M498:N498"/>
    <mergeCell ref="O498:P498"/>
    <mergeCell ref="Q498:R498"/>
    <mergeCell ref="S498:T498"/>
    <mergeCell ref="U498:V498"/>
    <mergeCell ref="W498:X498"/>
    <mergeCell ref="Y498:AE498"/>
    <mergeCell ref="A499:C499"/>
    <mergeCell ref="D499:L499"/>
    <mergeCell ref="M499:N499"/>
    <mergeCell ref="O499:P499"/>
    <mergeCell ref="Q499:R499"/>
    <mergeCell ref="S499:T499"/>
    <mergeCell ref="U499:V499"/>
    <mergeCell ref="W499:X499"/>
    <mergeCell ref="Y499:AE499"/>
    <mergeCell ref="A500:C500"/>
    <mergeCell ref="D500:L500"/>
    <mergeCell ref="M500:N500"/>
    <mergeCell ref="O500:P500"/>
    <mergeCell ref="Q500:R500"/>
    <mergeCell ref="S500:T500"/>
    <mergeCell ref="U500:V500"/>
    <mergeCell ref="W500:X500"/>
    <mergeCell ref="Y500:AE500"/>
    <mergeCell ref="A501:C501"/>
    <mergeCell ref="D501:L501"/>
    <mergeCell ref="M501:N501"/>
    <mergeCell ref="O501:P501"/>
    <mergeCell ref="Q501:R501"/>
    <mergeCell ref="S501:T501"/>
    <mergeCell ref="U501:V501"/>
    <mergeCell ref="W501:X501"/>
    <mergeCell ref="Y501:AE501"/>
    <mergeCell ref="A502:C502"/>
    <mergeCell ref="D502:L502"/>
    <mergeCell ref="M502:N502"/>
    <mergeCell ref="O502:P502"/>
    <mergeCell ref="Q502:R502"/>
    <mergeCell ref="S502:T502"/>
    <mergeCell ref="U502:V502"/>
    <mergeCell ref="W502:X502"/>
    <mergeCell ref="Y502:AE502"/>
    <mergeCell ref="A505:B505"/>
    <mergeCell ref="C505:L505"/>
    <mergeCell ref="M505:Q505"/>
    <mergeCell ref="R505:AF505"/>
    <mergeCell ref="A507:C507"/>
    <mergeCell ref="D507:L507"/>
    <mergeCell ref="A508:C510"/>
    <mergeCell ref="D508:L510"/>
    <mergeCell ref="M508:N510"/>
    <mergeCell ref="O508:P510"/>
    <mergeCell ref="Q508:R510"/>
    <mergeCell ref="S508:T510"/>
    <mergeCell ref="U508:V510"/>
    <mergeCell ref="W508:X510"/>
    <mergeCell ref="Y508:AE510"/>
    <mergeCell ref="A511:C511"/>
    <mergeCell ref="D511:L511"/>
    <mergeCell ref="M511:N511"/>
    <mergeCell ref="O511:P511"/>
    <mergeCell ref="Q511:R511"/>
    <mergeCell ref="S511:T511"/>
    <mergeCell ref="U511:V511"/>
    <mergeCell ref="W511:X511"/>
    <mergeCell ref="Y511:AE511"/>
    <mergeCell ref="A512:C512"/>
    <mergeCell ref="D512:L512"/>
    <mergeCell ref="M512:N512"/>
    <mergeCell ref="O512:P512"/>
    <mergeCell ref="Q512:R512"/>
    <mergeCell ref="S512:T512"/>
    <mergeCell ref="U512:V512"/>
    <mergeCell ref="W512:X512"/>
    <mergeCell ref="Y512:AE512"/>
    <mergeCell ref="A513:C513"/>
    <mergeCell ref="D513:L513"/>
    <mergeCell ref="M513:N513"/>
    <mergeCell ref="O513:P513"/>
    <mergeCell ref="Q513:R513"/>
    <mergeCell ref="S513:T513"/>
    <mergeCell ref="U513:V513"/>
    <mergeCell ref="W513:X513"/>
    <mergeCell ref="Y513:AE513"/>
    <mergeCell ref="A514:C514"/>
    <mergeCell ref="D514:L514"/>
    <mergeCell ref="M514:N514"/>
    <mergeCell ref="O514:P514"/>
    <mergeCell ref="Q514:R514"/>
    <mergeCell ref="S514:T514"/>
    <mergeCell ref="U514:V514"/>
    <mergeCell ref="W514:X514"/>
    <mergeCell ref="Y514:AE514"/>
    <mergeCell ref="A515:C515"/>
    <mergeCell ref="D515:L515"/>
    <mergeCell ref="M515:N515"/>
    <mergeCell ref="O515:P515"/>
    <mergeCell ref="Q515:R515"/>
    <mergeCell ref="S515:T515"/>
    <mergeCell ref="U515:V515"/>
    <mergeCell ref="W515:X515"/>
    <mergeCell ref="Y515:AE515"/>
    <mergeCell ref="A516:C516"/>
    <mergeCell ref="D516:L516"/>
    <mergeCell ref="M516:N516"/>
    <mergeCell ref="O516:P516"/>
    <mergeCell ref="Q516:R516"/>
    <mergeCell ref="S516:T516"/>
    <mergeCell ref="U516:V516"/>
    <mergeCell ref="W516:X516"/>
    <mergeCell ref="Y516:AE516"/>
    <mergeCell ref="A517:C517"/>
    <mergeCell ref="D517:L517"/>
    <mergeCell ref="M517:N517"/>
    <mergeCell ref="O517:P517"/>
    <mergeCell ref="Q517:R517"/>
    <mergeCell ref="S517:T517"/>
    <mergeCell ref="U517:V517"/>
    <mergeCell ref="W517:X517"/>
    <mergeCell ref="Y517:AE517"/>
    <mergeCell ref="A518:C518"/>
    <mergeCell ref="D518:L518"/>
    <mergeCell ref="M518:N518"/>
    <mergeCell ref="O518:P518"/>
    <mergeCell ref="Q518:R518"/>
    <mergeCell ref="S518:T518"/>
    <mergeCell ref="U518:V518"/>
    <mergeCell ref="W518:X518"/>
    <mergeCell ref="Y518:AE518"/>
    <mergeCell ref="A519:C519"/>
    <mergeCell ref="D519:L519"/>
    <mergeCell ref="M519:N519"/>
    <mergeCell ref="O519:P519"/>
    <mergeCell ref="Q519:R519"/>
    <mergeCell ref="S519:T519"/>
    <mergeCell ref="U519:V519"/>
    <mergeCell ref="W519:X519"/>
    <mergeCell ref="Y519:AE519"/>
    <mergeCell ref="A520:C520"/>
    <mergeCell ref="D520:L520"/>
    <mergeCell ref="M520:N520"/>
    <mergeCell ref="O520:P520"/>
    <mergeCell ref="Q520:R520"/>
    <mergeCell ref="S520:T520"/>
    <mergeCell ref="U520:V520"/>
    <mergeCell ref="W520:X520"/>
    <mergeCell ref="Y520:AE520"/>
    <mergeCell ref="A521:C521"/>
    <mergeCell ref="D521:L521"/>
    <mergeCell ref="M521:N521"/>
    <mergeCell ref="O521:P521"/>
    <mergeCell ref="Q521:R521"/>
    <mergeCell ref="S521:T521"/>
    <mergeCell ref="U521:V521"/>
    <mergeCell ref="W521:X521"/>
    <mergeCell ref="Y521:AE521"/>
    <mergeCell ref="A522:C522"/>
    <mergeCell ref="D522:L522"/>
    <mergeCell ref="M522:N522"/>
    <mergeCell ref="O522:P522"/>
    <mergeCell ref="Q522:R522"/>
    <mergeCell ref="S522:T522"/>
    <mergeCell ref="U522:V522"/>
    <mergeCell ref="W522:X522"/>
    <mergeCell ref="Y522:AE522"/>
    <mergeCell ref="A523:C523"/>
    <mergeCell ref="D523:L523"/>
    <mergeCell ref="M523:N523"/>
    <mergeCell ref="O523:P523"/>
    <mergeCell ref="Q523:R523"/>
    <mergeCell ref="S523:T523"/>
    <mergeCell ref="U523:V523"/>
    <mergeCell ref="W523:X523"/>
    <mergeCell ref="Y523:AE523"/>
    <mergeCell ref="A524:C524"/>
    <mergeCell ref="D524:L524"/>
    <mergeCell ref="M524:N524"/>
    <mergeCell ref="O524:P524"/>
    <mergeCell ref="Q524:R524"/>
    <mergeCell ref="S524:T524"/>
    <mergeCell ref="U524:V524"/>
    <mergeCell ref="W524:X524"/>
    <mergeCell ref="Y524:AE524"/>
    <mergeCell ref="A525:C525"/>
    <mergeCell ref="D525:L525"/>
    <mergeCell ref="M525:N525"/>
    <mergeCell ref="O525:P525"/>
    <mergeCell ref="Q525:R525"/>
    <mergeCell ref="S525:T525"/>
    <mergeCell ref="U525:V525"/>
    <mergeCell ref="W525:X525"/>
    <mergeCell ref="Y525:AE525"/>
    <mergeCell ref="A526:C526"/>
    <mergeCell ref="D526:L526"/>
    <mergeCell ref="M526:N526"/>
    <mergeCell ref="O526:P526"/>
    <mergeCell ref="Q526:R526"/>
    <mergeCell ref="S526:T526"/>
    <mergeCell ref="U526:V526"/>
    <mergeCell ref="W526:X526"/>
    <mergeCell ref="Y526:AE526"/>
    <mergeCell ref="A527:C527"/>
    <mergeCell ref="D527:L527"/>
    <mergeCell ref="M527:N527"/>
    <mergeCell ref="O527:P527"/>
    <mergeCell ref="Q527:R527"/>
    <mergeCell ref="S527:T527"/>
    <mergeCell ref="U527:V527"/>
    <mergeCell ref="W527:X527"/>
    <mergeCell ref="Y527:AE527"/>
    <mergeCell ref="A528:C528"/>
    <mergeCell ref="D528:L528"/>
    <mergeCell ref="M528:N528"/>
    <mergeCell ref="O528:P528"/>
    <mergeCell ref="Q528:R528"/>
    <mergeCell ref="S528:T528"/>
    <mergeCell ref="U528:V528"/>
    <mergeCell ref="W528:X528"/>
    <mergeCell ref="Y528:AE528"/>
    <mergeCell ref="A529:C529"/>
    <mergeCell ref="D529:L529"/>
    <mergeCell ref="M529:N529"/>
    <mergeCell ref="O529:P529"/>
    <mergeCell ref="Q529:R529"/>
    <mergeCell ref="S529:T529"/>
    <mergeCell ref="U529:V529"/>
    <mergeCell ref="W529:X529"/>
    <mergeCell ref="Y529:AE529"/>
    <mergeCell ref="A532:B532"/>
    <mergeCell ref="C532:L532"/>
    <mergeCell ref="M532:Q532"/>
    <mergeCell ref="R532:AF532"/>
    <mergeCell ref="A534:C534"/>
    <mergeCell ref="D534:L534"/>
    <mergeCell ref="A535:C537"/>
    <mergeCell ref="D535:L537"/>
    <mergeCell ref="M535:N537"/>
    <mergeCell ref="O535:P537"/>
    <mergeCell ref="Q535:R537"/>
    <mergeCell ref="S535:T537"/>
    <mergeCell ref="U535:V537"/>
    <mergeCell ref="W535:X537"/>
    <mergeCell ref="Y535:AE537"/>
    <mergeCell ref="A538:C538"/>
    <mergeCell ref="D538:L538"/>
    <mergeCell ref="M538:N538"/>
    <mergeCell ref="O538:P538"/>
    <mergeCell ref="Q538:R538"/>
    <mergeCell ref="S538:T538"/>
    <mergeCell ref="U538:V538"/>
    <mergeCell ref="W538:X538"/>
    <mergeCell ref="Y538:AE538"/>
    <mergeCell ref="A539:C539"/>
    <mergeCell ref="D539:L539"/>
    <mergeCell ref="M539:N539"/>
    <mergeCell ref="O539:P539"/>
    <mergeCell ref="Q539:R539"/>
    <mergeCell ref="S539:T539"/>
    <mergeCell ref="U539:V539"/>
    <mergeCell ref="W539:X539"/>
    <mergeCell ref="Y539:AE539"/>
    <mergeCell ref="A540:C540"/>
    <mergeCell ref="D540:L540"/>
    <mergeCell ref="M540:N540"/>
    <mergeCell ref="O540:P540"/>
    <mergeCell ref="Q540:R540"/>
    <mergeCell ref="S540:T540"/>
    <mergeCell ref="U540:V540"/>
    <mergeCell ref="W540:X540"/>
    <mergeCell ref="Y540:AE540"/>
    <mergeCell ref="A541:C541"/>
    <mergeCell ref="D541:L541"/>
    <mergeCell ref="M541:N541"/>
    <mergeCell ref="O541:P541"/>
    <mergeCell ref="Q541:R541"/>
    <mergeCell ref="S541:T541"/>
    <mergeCell ref="U541:V541"/>
    <mergeCell ref="W541:X541"/>
    <mergeCell ref="Y541:AE541"/>
    <mergeCell ref="A542:C542"/>
    <mergeCell ref="D542:L542"/>
    <mergeCell ref="M542:N542"/>
    <mergeCell ref="O542:P542"/>
    <mergeCell ref="Q542:R542"/>
    <mergeCell ref="S542:T542"/>
    <mergeCell ref="U542:V542"/>
    <mergeCell ref="W542:X542"/>
    <mergeCell ref="Y542:AE542"/>
    <mergeCell ref="A543:C543"/>
    <mergeCell ref="D543:L543"/>
    <mergeCell ref="M543:N543"/>
    <mergeCell ref="O543:P543"/>
    <mergeCell ref="Q543:R543"/>
    <mergeCell ref="S543:T543"/>
    <mergeCell ref="U543:V543"/>
    <mergeCell ref="W543:X543"/>
    <mergeCell ref="Y543:AE543"/>
    <mergeCell ref="A544:C544"/>
    <mergeCell ref="D544:L544"/>
    <mergeCell ref="M544:N544"/>
    <mergeCell ref="O544:P544"/>
    <mergeCell ref="Q544:R544"/>
    <mergeCell ref="S544:T544"/>
    <mergeCell ref="U544:V544"/>
    <mergeCell ref="W544:X544"/>
    <mergeCell ref="Y544:AE544"/>
    <mergeCell ref="A545:C545"/>
    <mergeCell ref="D545:L545"/>
    <mergeCell ref="M545:N545"/>
    <mergeCell ref="O545:P545"/>
    <mergeCell ref="Q545:R545"/>
    <mergeCell ref="S545:T545"/>
    <mergeCell ref="U545:V545"/>
    <mergeCell ref="W545:X545"/>
    <mergeCell ref="Y545:AE545"/>
    <mergeCell ref="A546:C546"/>
    <mergeCell ref="D546:L546"/>
    <mergeCell ref="M546:N546"/>
    <mergeCell ref="O546:P546"/>
    <mergeCell ref="Q546:R546"/>
    <mergeCell ref="S546:T546"/>
    <mergeCell ref="U546:V546"/>
    <mergeCell ref="W546:X546"/>
    <mergeCell ref="Y546:AE546"/>
    <mergeCell ref="A547:C547"/>
    <mergeCell ref="D547:L547"/>
    <mergeCell ref="M547:N547"/>
    <mergeCell ref="O547:P547"/>
    <mergeCell ref="Q547:R547"/>
    <mergeCell ref="S547:T547"/>
    <mergeCell ref="U547:V547"/>
    <mergeCell ref="W547:X547"/>
    <mergeCell ref="Y547:AE547"/>
    <mergeCell ref="A548:C548"/>
    <mergeCell ref="D548:L548"/>
    <mergeCell ref="M548:N548"/>
    <mergeCell ref="O548:P548"/>
    <mergeCell ref="Q548:R548"/>
    <mergeCell ref="S548:T548"/>
    <mergeCell ref="U548:V548"/>
    <mergeCell ref="W548:X548"/>
    <mergeCell ref="Y548:AE548"/>
    <mergeCell ref="A549:C549"/>
    <mergeCell ref="D549:L549"/>
    <mergeCell ref="M549:N549"/>
    <mergeCell ref="O549:P549"/>
    <mergeCell ref="Q549:R549"/>
    <mergeCell ref="S549:T549"/>
    <mergeCell ref="U549:V549"/>
    <mergeCell ref="W549:X549"/>
    <mergeCell ref="Y549:AE549"/>
    <mergeCell ref="A550:C550"/>
    <mergeCell ref="D550:L550"/>
    <mergeCell ref="M550:N550"/>
    <mergeCell ref="O550:P550"/>
    <mergeCell ref="Q550:R550"/>
    <mergeCell ref="S550:T550"/>
    <mergeCell ref="U550:V550"/>
    <mergeCell ref="W550:X550"/>
    <mergeCell ref="Y550:AE550"/>
    <mergeCell ref="A551:C551"/>
    <mergeCell ref="D551:L551"/>
    <mergeCell ref="M551:N551"/>
    <mergeCell ref="O551:P551"/>
    <mergeCell ref="Q551:R551"/>
    <mergeCell ref="S551:T551"/>
    <mergeCell ref="U551:V551"/>
    <mergeCell ref="W551:X551"/>
    <mergeCell ref="Y551:AE551"/>
    <mergeCell ref="A552:C552"/>
    <mergeCell ref="D552:L552"/>
    <mergeCell ref="M552:N552"/>
    <mergeCell ref="O552:P552"/>
    <mergeCell ref="Q552:R552"/>
    <mergeCell ref="S552:T552"/>
    <mergeCell ref="U552:V552"/>
    <mergeCell ref="W552:X552"/>
    <mergeCell ref="Y552:AE552"/>
    <mergeCell ref="A553:C553"/>
    <mergeCell ref="D553:L553"/>
    <mergeCell ref="M553:N553"/>
    <mergeCell ref="O553:P553"/>
    <mergeCell ref="Q553:R553"/>
    <mergeCell ref="S553:T553"/>
    <mergeCell ref="U553:V553"/>
    <mergeCell ref="W553:X553"/>
    <mergeCell ref="Y553:AE553"/>
    <mergeCell ref="A554:C554"/>
    <mergeCell ref="D554:L554"/>
    <mergeCell ref="M554:N554"/>
    <mergeCell ref="O554:P554"/>
    <mergeCell ref="Q554:R554"/>
    <mergeCell ref="S554:T554"/>
    <mergeCell ref="U554:V554"/>
    <mergeCell ref="W554:X554"/>
    <mergeCell ref="Y554:AE554"/>
    <mergeCell ref="A555:C555"/>
    <mergeCell ref="D555:L555"/>
    <mergeCell ref="M555:N555"/>
    <mergeCell ref="O555:P555"/>
    <mergeCell ref="Q555:R555"/>
    <mergeCell ref="S555:T555"/>
    <mergeCell ref="U555:V555"/>
    <mergeCell ref="W555:X555"/>
    <mergeCell ref="Y555:AE555"/>
    <mergeCell ref="A556:C556"/>
    <mergeCell ref="D556:L556"/>
    <mergeCell ref="M556:N556"/>
    <mergeCell ref="O556:P556"/>
    <mergeCell ref="Q556:R556"/>
    <mergeCell ref="S556:T556"/>
    <mergeCell ref="U556:V556"/>
    <mergeCell ref="W556:X556"/>
    <mergeCell ref="Y556:AE556"/>
    <mergeCell ref="A559:B559"/>
    <mergeCell ref="C559:L559"/>
    <mergeCell ref="M559:Q559"/>
    <mergeCell ref="R559:AF559"/>
    <mergeCell ref="A561:C561"/>
    <mergeCell ref="D561:L561"/>
    <mergeCell ref="A562:C564"/>
    <mergeCell ref="D562:L564"/>
    <mergeCell ref="M562:N564"/>
    <mergeCell ref="O562:P564"/>
    <mergeCell ref="Q562:R564"/>
    <mergeCell ref="S562:T564"/>
    <mergeCell ref="U562:V564"/>
    <mergeCell ref="W562:X564"/>
    <mergeCell ref="Y562:AE564"/>
    <mergeCell ref="A565:C565"/>
    <mergeCell ref="D565:L565"/>
    <mergeCell ref="M565:N565"/>
    <mergeCell ref="O565:P565"/>
    <mergeCell ref="Q565:R565"/>
    <mergeCell ref="S565:T565"/>
    <mergeCell ref="U565:V565"/>
    <mergeCell ref="W565:X565"/>
    <mergeCell ref="Y565:AE565"/>
    <mergeCell ref="A566:C566"/>
    <mergeCell ref="D566:L566"/>
    <mergeCell ref="M566:N566"/>
    <mergeCell ref="O566:P566"/>
    <mergeCell ref="Q566:R566"/>
    <mergeCell ref="S566:T566"/>
    <mergeCell ref="U566:V566"/>
    <mergeCell ref="W566:X566"/>
    <mergeCell ref="Y566:AE566"/>
    <mergeCell ref="A567:C567"/>
    <mergeCell ref="D567:L567"/>
    <mergeCell ref="M567:N567"/>
    <mergeCell ref="O567:P567"/>
    <mergeCell ref="Q567:R567"/>
    <mergeCell ref="S567:T567"/>
    <mergeCell ref="U567:V567"/>
    <mergeCell ref="W567:X567"/>
    <mergeCell ref="Y567:AE567"/>
    <mergeCell ref="A568:C568"/>
    <mergeCell ref="D568:L568"/>
    <mergeCell ref="M568:N568"/>
    <mergeCell ref="O568:P568"/>
    <mergeCell ref="Q568:R568"/>
    <mergeCell ref="S568:T568"/>
    <mergeCell ref="U568:V568"/>
    <mergeCell ref="W568:X568"/>
    <mergeCell ref="Y568:AE568"/>
    <mergeCell ref="A569:C569"/>
    <mergeCell ref="D569:L569"/>
    <mergeCell ref="M569:N569"/>
    <mergeCell ref="O569:P569"/>
    <mergeCell ref="Q569:R569"/>
    <mergeCell ref="S569:T569"/>
    <mergeCell ref="U569:V569"/>
    <mergeCell ref="W569:X569"/>
    <mergeCell ref="Y569:AE569"/>
    <mergeCell ref="A570:C570"/>
    <mergeCell ref="D570:L570"/>
    <mergeCell ref="M570:N570"/>
    <mergeCell ref="O570:P570"/>
    <mergeCell ref="Q570:R570"/>
    <mergeCell ref="S570:T570"/>
    <mergeCell ref="U570:V570"/>
    <mergeCell ref="W570:X570"/>
    <mergeCell ref="Y570:AE570"/>
    <mergeCell ref="A571:C571"/>
    <mergeCell ref="D571:L571"/>
    <mergeCell ref="M571:N571"/>
    <mergeCell ref="O571:P571"/>
    <mergeCell ref="Q571:R571"/>
    <mergeCell ref="S571:T571"/>
    <mergeCell ref="U571:V571"/>
    <mergeCell ref="W571:X571"/>
    <mergeCell ref="Y571:AE571"/>
    <mergeCell ref="A572:C572"/>
    <mergeCell ref="D572:L572"/>
    <mergeCell ref="M572:N572"/>
    <mergeCell ref="O572:P572"/>
    <mergeCell ref="Q572:R572"/>
    <mergeCell ref="S572:T572"/>
    <mergeCell ref="U572:V572"/>
    <mergeCell ref="W572:X572"/>
    <mergeCell ref="Y572:AE572"/>
    <mergeCell ref="A573:C573"/>
    <mergeCell ref="D573:L573"/>
    <mergeCell ref="M573:N573"/>
    <mergeCell ref="O573:P573"/>
    <mergeCell ref="Q573:R573"/>
    <mergeCell ref="S573:T573"/>
    <mergeCell ref="U573:V573"/>
    <mergeCell ref="W573:X573"/>
    <mergeCell ref="Y573:AE573"/>
    <mergeCell ref="A574:C574"/>
    <mergeCell ref="D574:L574"/>
    <mergeCell ref="M574:N574"/>
    <mergeCell ref="O574:P574"/>
    <mergeCell ref="Q574:R574"/>
    <mergeCell ref="S574:T574"/>
    <mergeCell ref="U574:V574"/>
    <mergeCell ref="W574:X574"/>
    <mergeCell ref="Y574:AE574"/>
    <mergeCell ref="A575:C575"/>
    <mergeCell ref="D575:L575"/>
    <mergeCell ref="M575:N575"/>
    <mergeCell ref="O575:P575"/>
    <mergeCell ref="Q575:R575"/>
    <mergeCell ref="S575:T575"/>
    <mergeCell ref="U575:V575"/>
    <mergeCell ref="W575:X575"/>
    <mergeCell ref="Y575:AE575"/>
    <mergeCell ref="A576:C576"/>
    <mergeCell ref="D576:L576"/>
    <mergeCell ref="M576:N576"/>
    <mergeCell ref="O576:P576"/>
    <mergeCell ref="Q576:R576"/>
    <mergeCell ref="S576:T576"/>
    <mergeCell ref="U576:V576"/>
    <mergeCell ref="W576:X576"/>
    <mergeCell ref="Y576:AE576"/>
    <mergeCell ref="A577:C577"/>
    <mergeCell ref="D577:L577"/>
    <mergeCell ref="M577:N577"/>
    <mergeCell ref="O577:P577"/>
    <mergeCell ref="Q577:R577"/>
    <mergeCell ref="S577:T577"/>
    <mergeCell ref="U577:V577"/>
    <mergeCell ref="W577:X577"/>
    <mergeCell ref="Y577:AE577"/>
    <mergeCell ref="A578:C578"/>
    <mergeCell ref="D578:L578"/>
    <mergeCell ref="M578:N578"/>
    <mergeCell ref="O578:P578"/>
    <mergeCell ref="Q578:R578"/>
    <mergeCell ref="S578:T578"/>
    <mergeCell ref="U578:V578"/>
    <mergeCell ref="W578:X578"/>
    <mergeCell ref="Y578:AE578"/>
    <mergeCell ref="A579:C579"/>
    <mergeCell ref="D579:L579"/>
    <mergeCell ref="M579:N579"/>
    <mergeCell ref="O579:P579"/>
    <mergeCell ref="Q579:R579"/>
    <mergeCell ref="S579:T579"/>
    <mergeCell ref="U579:V579"/>
    <mergeCell ref="W579:X579"/>
    <mergeCell ref="Y579:AE579"/>
    <mergeCell ref="A580:C580"/>
    <mergeCell ref="D580:L580"/>
    <mergeCell ref="M580:N580"/>
    <mergeCell ref="O580:P580"/>
    <mergeCell ref="Q580:R580"/>
    <mergeCell ref="S580:T580"/>
    <mergeCell ref="U580:V580"/>
    <mergeCell ref="W580:X580"/>
    <mergeCell ref="Y580:AE580"/>
    <mergeCell ref="A581:C581"/>
    <mergeCell ref="D581:L581"/>
    <mergeCell ref="M581:N581"/>
    <mergeCell ref="O581:P581"/>
    <mergeCell ref="Q581:R581"/>
    <mergeCell ref="S581:T581"/>
    <mergeCell ref="U581:V581"/>
    <mergeCell ref="W581:X581"/>
    <mergeCell ref="Y581:AE581"/>
    <mergeCell ref="A582:C582"/>
    <mergeCell ref="D582:L582"/>
    <mergeCell ref="M582:N582"/>
    <mergeCell ref="O582:P582"/>
    <mergeCell ref="Q582:R582"/>
    <mergeCell ref="S582:T582"/>
    <mergeCell ref="U582:V582"/>
    <mergeCell ref="W582:X582"/>
    <mergeCell ref="Y582:AE582"/>
    <mergeCell ref="A583:C583"/>
    <mergeCell ref="D583:L583"/>
    <mergeCell ref="M583:N583"/>
    <mergeCell ref="O583:P583"/>
    <mergeCell ref="Q583:R583"/>
    <mergeCell ref="S583:T583"/>
    <mergeCell ref="U583:V583"/>
    <mergeCell ref="W583:X583"/>
    <mergeCell ref="Y583:AE583"/>
    <mergeCell ref="A586:B586"/>
    <mergeCell ref="C586:L586"/>
    <mergeCell ref="M586:Q586"/>
    <mergeCell ref="R586:AF586"/>
    <mergeCell ref="A588:C588"/>
    <mergeCell ref="D588:L588"/>
    <mergeCell ref="A589:C591"/>
    <mergeCell ref="D589:L591"/>
    <mergeCell ref="M589:N591"/>
    <mergeCell ref="O589:P591"/>
    <mergeCell ref="Q589:R591"/>
    <mergeCell ref="S589:T591"/>
    <mergeCell ref="U589:V591"/>
    <mergeCell ref="W589:X591"/>
    <mergeCell ref="Y589:AE591"/>
    <mergeCell ref="A592:C592"/>
    <mergeCell ref="D592:L592"/>
    <mergeCell ref="M592:N592"/>
    <mergeCell ref="O592:P592"/>
    <mergeCell ref="Q592:R592"/>
    <mergeCell ref="S592:T592"/>
    <mergeCell ref="U592:V592"/>
    <mergeCell ref="W592:X592"/>
    <mergeCell ref="Y592:AE592"/>
    <mergeCell ref="A593:C593"/>
    <mergeCell ref="D593:L593"/>
    <mergeCell ref="M593:N593"/>
    <mergeCell ref="O593:P593"/>
    <mergeCell ref="Q593:R593"/>
    <mergeCell ref="S593:T593"/>
    <mergeCell ref="U593:V593"/>
    <mergeCell ref="W593:X593"/>
    <mergeCell ref="Y593:AE593"/>
    <mergeCell ref="A594:C594"/>
    <mergeCell ref="D594:L594"/>
    <mergeCell ref="M594:N594"/>
    <mergeCell ref="O594:P594"/>
    <mergeCell ref="Q594:R594"/>
    <mergeCell ref="S594:T594"/>
    <mergeCell ref="U594:V594"/>
    <mergeCell ref="W594:X594"/>
    <mergeCell ref="Y594:AE594"/>
    <mergeCell ref="A595:C595"/>
    <mergeCell ref="D595:L595"/>
    <mergeCell ref="M595:N595"/>
    <mergeCell ref="O595:P595"/>
    <mergeCell ref="Q595:R595"/>
    <mergeCell ref="S595:T595"/>
    <mergeCell ref="U595:V595"/>
    <mergeCell ref="W595:X595"/>
    <mergeCell ref="Y595:AE595"/>
    <mergeCell ref="A596:C596"/>
    <mergeCell ref="D596:L596"/>
    <mergeCell ref="M596:N596"/>
    <mergeCell ref="O596:P596"/>
    <mergeCell ref="Q596:R596"/>
    <mergeCell ref="S596:T596"/>
    <mergeCell ref="U596:V596"/>
    <mergeCell ref="W596:X596"/>
    <mergeCell ref="Y596:AE596"/>
    <mergeCell ref="A597:C597"/>
    <mergeCell ref="D597:L597"/>
    <mergeCell ref="M597:N597"/>
    <mergeCell ref="O597:P597"/>
    <mergeCell ref="Q597:R597"/>
    <mergeCell ref="S597:T597"/>
    <mergeCell ref="U597:V597"/>
    <mergeCell ref="W597:X597"/>
    <mergeCell ref="Y597:AE597"/>
    <mergeCell ref="A598:C598"/>
    <mergeCell ref="D598:L598"/>
    <mergeCell ref="M598:N598"/>
    <mergeCell ref="O598:P598"/>
    <mergeCell ref="Q598:R598"/>
    <mergeCell ref="S598:T598"/>
    <mergeCell ref="U598:V598"/>
    <mergeCell ref="W598:X598"/>
    <mergeCell ref="Y598:AE598"/>
    <mergeCell ref="A599:C599"/>
    <mergeCell ref="D599:L599"/>
    <mergeCell ref="M599:N599"/>
    <mergeCell ref="O599:P599"/>
    <mergeCell ref="Q599:R599"/>
    <mergeCell ref="S599:T599"/>
    <mergeCell ref="U599:V599"/>
    <mergeCell ref="W599:X599"/>
    <mergeCell ref="Y599:AE599"/>
    <mergeCell ref="A600:C600"/>
    <mergeCell ref="D600:L600"/>
    <mergeCell ref="M600:N600"/>
    <mergeCell ref="O600:P600"/>
    <mergeCell ref="Q600:R600"/>
    <mergeCell ref="S600:T600"/>
    <mergeCell ref="U600:V600"/>
    <mergeCell ref="W600:X600"/>
    <mergeCell ref="Y600:AE600"/>
    <mergeCell ref="A601:C601"/>
    <mergeCell ref="D601:L601"/>
    <mergeCell ref="M601:N601"/>
    <mergeCell ref="O601:P601"/>
    <mergeCell ref="Q601:R601"/>
    <mergeCell ref="S601:T601"/>
    <mergeCell ref="U601:V601"/>
    <mergeCell ref="W601:X601"/>
    <mergeCell ref="Y601:AE601"/>
    <mergeCell ref="A602:C602"/>
    <mergeCell ref="D602:L602"/>
    <mergeCell ref="M602:N602"/>
    <mergeCell ref="O602:P602"/>
    <mergeCell ref="Q602:R602"/>
    <mergeCell ref="S602:T602"/>
    <mergeCell ref="U602:V602"/>
    <mergeCell ref="W602:X602"/>
    <mergeCell ref="Y602:AE602"/>
    <mergeCell ref="A603:C603"/>
    <mergeCell ref="D603:L603"/>
    <mergeCell ref="M603:N603"/>
    <mergeCell ref="O603:P603"/>
    <mergeCell ref="Q603:R603"/>
    <mergeCell ref="S603:T603"/>
    <mergeCell ref="U603:V603"/>
    <mergeCell ref="W603:X603"/>
    <mergeCell ref="Y603:AE603"/>
    <mergeCell ref="A604:C604"/>
    <mergeCell ref="D604:L604"/>
    <mergeCell ref="M604:N604"/>
    <mergeCell ref="O604:P604"/>
    <mergeCell ref="Q604:R604"/>
    <mergeCell ref="S604:T604"/>
    <mergeCell ref="U604:V604"/>
    <mergeCell ref="W604:X604"/>
    <mergeCell ref="Y604:AE604"/>
    <mergeCell ref="A605:C605"/>
    <mergeCell ref="D605:L605"/>
    <mergeCell ref="M605:N605"/>
    <mergeCell ref="O605:P605"/>
    <mergeCell ref="Q605:R605"/>
    <mergeCell ref="S605:T605"/>
    <mergeCell ref="U605:V605"/>
    <mergeCell ref="W605:X605"/>
    <mergeCell ref="Y605:AE605"/>
    <mergeCell ref="A606:C606"/>
    <mergeCell ref="D606:L606"/>
    <mergeCell ref="M606:N606"/>
    <mergeCell ref="O606:P606"/>
    <mergeCell ref="Q606:R606"/>
    <mergeCell ref="S606:T606"/>
    <mergeCell ref="U606:V606"/>
    <mergeCell ref="W606:X606"/>
    <mergeCell ref="Y606:AE606"/>
    <mergeCell ref="A607:C607"/>
    <mergeCell ref="D607:L607"/>
    <mergeCell ref="M607:N607"/>
    <mergeCell ref="O607:P607"/>
    <mergeCell ref="Q607:R607"/>
    <mergeCell ref="S607:T607"/>
    <mergeCell ref="U607:V607"/>
    <mergeCell ref="W607:X607"/>
    <mergeCell ref="Y607:AE607"/>
    <mergeCell ref="A608:C608"/>
    <mergeCell ref="D608:L608"/>
    <mergeCell ref="M608:N608"/>
    <mergeCell ref="O608:P608"/>
    <mergeCell ref="Q608:R608"/>
    <mergeCell ref="S608:T608"/>
    <mergeCell ref="U608:V608"/>
    <mergeCell ref="W608:X608"/>
    <mergeCell ref="Y608:AE608"/>
    <mergeCell ref="A609:C609"/>
    <mergeCell ref="D609:L609"/>
    <mergeCell ref="M609:N609"/>
    <mergeCell ref="O609:P609"/>
    <mergeCell ref="Q609:R609"/>
    <mergeCell ref="S609:T609"/>
    <mergeCell ref="U609:V609"/>
    <mergeCell ref="W609:X609"/>
    <mergeCell ref="Y609:AE609"/>
    <mergeCell ref="A610:C610"/>
    <mergeCell ref="D610:L610"/>
    <mergeCell ref="M610:N610"/>
    <mergeCell ref="O610:P610"/>
    <mergeCell ref="Q610:R610"/>
    <mergeCell ref="S610:T610"/>
    <mergeCell ref="U610:V610"/>
    <mergeCell ref="W610:X610"/>
    <mergeCell ref="Y610:AE610"/>
    <mergeCell ref="A613:B613"/>
    <mergeCell ref="C613:L613"/>
    <mergeCell ref="M613:Q613"/>
    <mergeCell ref="R613:AF613"/>
    <mergeCell ref="A615:C615"/>
    <mergeCell ref="D615:L615"/>
    <mergeCell ref="A616:C618"/>
    <mergeCell ref="D616:L618"/>
    <mergeCell ref="M616:N618"/>
    <mergeCell ref="O616:P618"/>
    <mergeCell ref="Q616:R618"/>
    <mergeCell ref="S616:T618"/>
    <mergeCell ref="U616:V618"/>
    <mergeCell ref="W616:X618"/>
    <mergeCell ref="Y616:AE618"/>
    <mergeCell ref="A619:C619"/>
    <mergeCell ref="D619:L619"/>
    <mergeCell ref="M619:N619"/>
    <mergeCell ref="O619:P619"/>
    <mergeCell ref="Q619:R619"/>
    <mergeCell ref="S619:T619"/>
    <mergeCell ref="U619:V619"/>
    <mergeCell ref="W619:X619"/>
    <mergeCell ref="Y619:AE619"/>
    <mergeCell ref="A620:C620"/>
    <mergeCell ref="D620:L620"/>
    <mergeCell ref="M620:N620"/>
    <mergeCell ref="O620:P620"/>
    <mergeCell ref="Q620:R620"/>
    <mergeCell ref="S620:T620"/>
    <mergeCell ref="U620:V620"/>
    <mergeCell ref="W620:X620"/>
    <mergeCell ref="Y620:AE620"/>
    <mergeCell ref="A621:C621"/>
    <mergeCell ref="D621:L621"/>
    <mergeCell ref="M621:N621"/>
    <mergeCell ref="O621:P621"/>
    <mergeCell ref="Q621:R621"/>
    <mergeCell ref="S621:T621"/>
    <mergeCell ref="U621:V621"/>
    <mergeCell ref="W621:X621"/>
    <mergeCell ref="Y621:AE621"/>
    <mergeCell ref="A622:C622"/>
    <mergeCell ref="D622:L622"/>
    <mergeCell ref="M622:N622"/>
    <mergeCell ref="O622:P622"/>
    <mergeCell ref="Q622:R622"/>
    <mergeCell ref="S622:T622"/>
    <mergeCell ref="U622:V622"/>
    <mergeCell ref="W622:X622"/>
    <mergeCell ref="Y622:AE622"/>
    <mergeCell ref="A623:C623"/>
    <mergeCell ref="D623:L623"/>
    <mergeCell ref="M623:N623"/>
    <mergeCell ref="O623:P623"/>
    <mergeCell ref="Q623:R623"/>
    <mergeCell ref="S623:T623"/>
    <mergeCell ref="U623:V623"/>
    <mergeCell ref="W623:X623"/>
    <mergeCell ref="Y623:AE623"/>
    <mergeCell ref="A624:C624"/>
    <mergeCell ref="D624:L624"/>
    <mergeCell ref="M624:N624"/>
    <mergeCell ref="O624:P624"/>
    <mergeCell ref="Q624:R624"/>
    <mergeCell ref="S624:T624"/>
    <mergeCell ref="U624:V624"/>
    <mergeCell ref="W624:X624"/>
    <mergeCell ref="Y624:AE624"/>
    <mergeCell ref="A625:C625"/>
    <mergeCell ref="D625:L625"/>
    <mergeCell ref="M625:N625"/>
    <mergeCell ref="O625:P625"/>
    <mergeCell ref="Q625:R625"/>
    <mergeCell ref="S625:T625"/>
    <mergeCell ref="U625:V625"/>
    <mergeCell ref="W625:X625"/>
    <mergeCell ref="Y625:AE625"/>
    <mergeCell ref="A626:C626"/>
    <mergeCell ref="D626:L626"/>
    <mergeCell ref="M626:N626"/>
    <mergeCell ref="O626:P626"/>
    <mergeCell ref="Q626:R626"/>
    <mergeCell ref="S626:T626"/>
    <mergeCell ref="U626:V626"/>
    <mergeCell ref="W626:X626"/>
    <mergeCell ref="Y626:AE626"/>
    <mergeCell ref="A627:C627"/>
    <mergeCell ref="D627:L627"/>
    <mergeCell ref="M627:N627"/>
    <mergeCell ref="O627:P627"/>
    <mergeCell ref="Q627:R627"/>
    <mergeCell ref="S627:T627"/>
    <mergeCell ref="U627:V627"/>
    <mergeCell ref="W627:X627"/>
    <mergeCell ref="Y627:AE627"/>
    <mergeCell ref="A628:C628"/>
    <mergeCell ref="D628:L628"/>
    <mergeCell ref="M628:N628"/>
    <mergeCell ref="O628:P628"/>
    <mergeCell ref="Q628:R628"/>
    <mergeCell ref="S628:T628"/>
    <mergeCell ref="U628:V628"/>
    <mergeCell ref="W628:X628"/>
    <mergeCell ref="Y628:AE628"/>
    <mergeCell ref="A629:C629"/>
    <mergeCell ref="D629:L629"/>
    <mergeCell ref="M629:N629"/>
    <mergeCell ref="O629:P629"/>
    <mergeCell ref="Q629:R629"/>
    <mergeCell ref="S629:T629"/>
    <mergeCell ref="U629:V629"/>
    <mergeCell ref="W629:X629"/>
    <mergeCell ref="Y629:AE629"/>
    <mergeCell ref="A630:C630"/>
    <mergeCell ref="D630:L630"/>
    <mergeCell ref="M630:N630"/>
    <mergeCell ref="O630:P630"/>
    <mergeCell ref="Q630:R630"/>
    <mergeCell ref="S630:T630"/>
    <mergeCell ref="U630:V630"/>
    <mergeCell ref="W630:X630"/>
    <mergeCell ref="Y630:AE630"/>
    <mergeCell ref="A631:C631"/>
    <mergeCell ref="D631:L631"/>
    <mergeCell ref="M631:N631"/>
    <mergeCell ref="O631:P631"/>
    <mergeCell ref="Q631:R631"/>
    <mergeCell ref="S631:T631"/>
    <mergeCell ref="U631:V631"/>
    <mergeCell ref="W631:X631"/>
    <mergeCell ref="Y631:AE631"/>
    <mergeCell ref="A632:C632"/>
    <mergeCell ref="D632:L632"/>
    <mergeCell ref="M632:N632"/>
    <mergeCell ref="O632:P632"/>
    <mergeCell ref="Q632:R632"/>
    <mergeCell ref="S632:T632"/>
    <mergeCell ref="U632:V632"/>
    <mergeCell ref="W632:X632"/>
    <mergeCell ref="Y632:AE632"/>
    <mergeCell ref="A633:C633"/>
    <mergeCell ref="D633:L633"/>
    <mergeCell ref="M633:N633"/>
    <mergeCell ref="O633:P633"/>
    <mergeCell ref="Q633:R633"/>
    <mergeCell ref="S633:T633"/>
    <mergeCell ref="U633:V633"/>
    <mergeCell ref="W633:X633"/>
    <mergeCell ref="Y633:AE633"/>
    <mergeCell ref="A634:C634"/>
    <mergeCell ref="D634:L634"/>
    <mergeCell ref="M634:N634"/>
    <mergeCell ref="O634:P634"/>
    <mergeCell ref="Q634:R634"/>
    <mergeCell ref="S634:T634"/>
    <mergeCell ref="U634:V634"/>
    <mergeCell ref="W634:X634"/>
    <mergeCell ref="Y634:AE634"/>
    <mergeCell ref="A635:C635"/>
    <mergeCell ref="D635:L635"/>
    <mergeCell ref="M635:N635"/>
    <mergeCell ref="O635:P635"/>
    <mergeCell ref="Q635:R635"/>
    <mergeCell ref="S635:T635"/>
    <mergeCell ref="U635:V635"/>
    <mergeCell ref="W635:X635"/>
    <mergeCell ref="Y635:AE635"/>
    <mergeCell ref="A636:C636"/>
    <mergeCell ref="D636:L636"/>
    <mergeCell ref="M636:N636"/>
    <mergeCell ref="O636:P636"/>
    <mergeCell ref="Q636:R636"/>
    <mergeCell ref="S636:T636"/>
    <mergeCell ref="U636:V636"/>
    <mergeCell ref="W636:X636"/>
    <mergeCell ref="Y636:AE636"/>
    <mergeCell ref="A637:C637"/>
    <mergeCell ref="D637:L637"/>
    <mergeCell ref="M637:N637"/>
    <mergeCell ref="O637:P637"/>
    <mergeCell ref="Q637:R637"/>
    <mergeCell ref="S637:T637"/>
    <mergeCell ref="U637:V637"/>
    <mergeCell ref="W637:X637"/>
    <mergeCell ref="Y637:AE637"/>
    <mergeCell ref="A640:B640"/>
    <mergeCell ref="C640:L640"/>
    <mergeCell ref="M640:Q640"/>
    <mergeCell ref="R640:AF640"/>
    <mergeCell ref="A642:C642"/>
    <mergeCell ref="D642:L642"/>
    <mergeCell ref="A643:C645"/>
    <mergeCell ref="D643:L645"/>
    <mergeCell ref="M643:N645"/>
    <mergeCell ref="O643:P645"/>
    <mergeCell ref="Q643:R645"/>
    <mergeCell ref="S643:T645"/>
    <mergeCell ref="U643:V645"/>
    <mergeCell ref="W643:X645"/>
    <mergeCell ref="Y643:AE645"/>
    <mergeCell ref="A646:C646"/>
    <mergeCell ref="D646:L646"/>
    <mergeCell ref="M646:N646"/>
    <mergeCell ref="O646:P646"/>
    <mergeCell ref="Q646:R646"/>
    <mergeCell ref="S646:T646"/>
    <mergeCell ref="U646:V646"/>
    <mergeCell ref="W646:X646"/>
    <mergeCell ref="Y646:AE646"/>
    <mergeCell ref="A647:C647"/>
    <mergeCell ref="D647:L647"/>
    <mergeCell ref="M647:N647"/>
    <mergeCell ref="O647:P647"/>
    <mergeCell ref="Q647:R647"/>
    <mergeCell ref="S647:T647"/>
    <mergeCell ref="U647:V647"/>
    <mergeCell ref="W647:X647"/>
    <mergeCell ref="Y647:AE647"/>
    <mergeCell ref="A648:C648"/>
    <mergeCell ref="D648:L648"/>
    <mergeCell ref="M648:N648"/>
    <mergeCell ref="O648:P648"/>
    <mergeCell ref="Q648:R648"/>
    <mergeCell ref="S648:T648"/>
    <mergeCell ref="U648:V648"/>
    <mergeCell ref="W648:X648"/>
    <mergeCell ref="Y648:AE648"/>
    <mergeCell ref="A649:C649"/>
    <mergeCell ref="D649:L649"/>
    <mergeCell ref="M649:N649"/>
    <mergeCell ref="O649:P649"/>
    <mergeCell ref="Q649:R649"/>
    <mergeCell ref="S649:T649"/>
    <mergeCell ref="U649:V649"/>
    <mergeCell ref="W649:X649"/>
    <mergeCell ref="Y649:AE649"/>
    <mergeCell ref="A650:C650"/>
    <mergeCell ref="D650:L650"/>
    <mergeCell ref="M650:N650"/>
    <mergeCell ref="O650:P650"/>
    <mergeCell ref="Q650:R650"/>
    <mergeCell ref="S650:T650"/>
    <mergeCell ref="U650:V650"/>
    <mergeCell ref="W650:X650"/>
    <mergeCell ref="Y650:AE650"/>
    <mergeCell ref="A651:C651"/>
    <mergeCell ref="D651:L651"/>
    <mergeCell ref="M651:N651"/>
    <mergeCell ref="O651:P651"/>
    <mergeCell ref="Q651:R651"/>
    <mergeCell ref="S651:T651"/>
    <mergeCell ref="U651:V651"/>
    <mergeCell ref="W651:X651"/>
    <mergeCell ref="Y651:AE651"/>
    <mergeCell ref="A652:C652"/>
    <mergeCell ref="D652:L652"/>
    <mergeCell ref="M652:N652"/>
    <mergeCell ref="O652:P652"/>
    <mergeCell ref="Q652:R652"/>
    <mergeCell ref="S652:T652"/>
    <mergeCell ref="U652:V652"/>
    <mergeCell ref="W652:X652"/>
    <mergeCell ref="Y652:AE652"/>
    <mergeCell ref="A653:C653"/>
    <mergeCell ref="D653:L653"/>
    <mergeCell ref="M653:N653"/>
    <mergeCell ref="O653:P653"/>
    <mergeCell ref="Q653:R653"/>
    <mergeCell ref="S653:T653"/>
    <mergeCell ref="U653:V653"/>
    <mergeCell ref="W653:X653"/>
    <mergeCell ref="Y653:AE653"/>
    <mergeCell ref="A654:C654"/>
    <mergeCell ref="D654:L654"/>
    <mergeCell ref="M654:N654"/>
    <mergeCell ref="O654:P654"/>
    <mergeCell ref="Q654:R654"/>
    <mergeCell ref="S654:T654"/>
    <mergeCell ref="U654:V654"/>
    <mergeCell ref="W654:X654"/>
    <mergeCell ref="Y654:AE654"/>
    <mergeCell ref="A655:C655"/>
    <mergeCell ref="D655:L655"/>
    <mergeCell ref="M655:N655"/>
    <mergeCell ref="O655:P655"/>
    <mergeCell ref="Q655:R655"/>
    <mergeCell ref="S655:T655"/>
    <mergeCell ref="U655:V655"/>
    <mergeCell ref="W655:X655"/>
    <mergeCell ref="Y655:AE655"/>
    <mergeCell ref="A656:C656"/>
    <mergeCell ref="D656:L656"/>
    <mergeCell ref="M656:N656"/>
    <mergeCell ref="O656:P656"/>
    <mergeCell ref="Q656:R656"/>
    <mergeCell ref="S656:T656"/>
    <mergeCell ref="U656:V656"/>
    <mergeCell ref="W656:X656"/>
    <mergeCell ref="Y656:AE656"/>
    <mergeCell ref="A657:C657"/>
    <mergeCell ref="D657:L657"/>
    <mergeCell ref="M657:N657"/>
    <mergeCell ref="O657:P657"/>
    <mergeCell ref="Q657:R657"/>
    <mergeCell ref="S657:T657"/>
    <mergeCell ref="U657:V657"/>
    <mergeCell ref="W657:X657"/>
    <mergeCell ref="Y657:AE657"/>
    <mergeCell ref="A658:C658"/>
    <mergeCell ref="D658:L658"/>
    <mergeCell ref="M658:N658"/>
    <mergeCell ref="O658:P658"/>
    <mergeCell ref="Q658:R658"/>
    <mergeCell ref="S658:T658"/>
    <mergeCell ref="U658:V658"/>
    <mergeCell ref="W658:X658"/>
    <mergeCell ref="Y658:AE658"/>
    <mergeCell ref="A659:C659"/>
    <mergeCell ref="D659:L659"/>
    <mergeCell ref="M659:N659"/>
    <mergeCell ref="O659:P659"/>
    <mergeCell ref="Q659:R659"/>
    <mergeCell ref="S659:T659"/>
    <mergeCell ref="U659:V659"/>
    <mergeCell ref="W659:X659"/>
    <mergeCell ref="Y659:AE659"/>
    <mergeCell ref="A660:C660"/>
    <mergeCell ref="D660:L660"/>
    <mergeCell ref="M660:N660"/>
    <mergeCell ref="O660:P660"/>
    <mergeCell ref="Q660:R660"/>
    <mergeCell ref="S660:T660"/>
    <mergeCell ref="U660:V660"/>
    <mergeCell ref="W660:X660"/>
    <mergeCell ref="Y660:AE660"/>
    <mergeCell ref="A661:C661"/>
    <mergeCell ref="D661:L661"/>
    <mergeCell ref="M661:N661"/>
    <mergeCell ref="O661:P661"/>
    <mergeCell ref="Q661:R661"/>
    <mergeCell ref="S661:T661"/>
    <mergeCell ref="U661:V661"/>
    <mergeCell ref="W661:X661"/>
    <mergeCell ref="Y661:AE661"/>
    <mergeCell ref="A662:C662"/>
    <mergeCell ref="D662:L662"/>
    <mergeCell ref="M662:N662"/>
    <mergeCell ref="O662:P662"/>
    <mergeCell ref="Q662:R662"/>
    <mergeCell ref="S662:T662"/>
    <mergeCell ref="U662:V662"/>
    <mergeCell ref="W662:X662"/>
    <mergeCell ref="Y662:AE662"/>
    <mergeCell ref="A663:C663"/>
    <mergeCell ref="D663:L663"/>
    <mergeCell ref="M663:N663"/>
    <mergeCell ref="O663:P663"/>
    <mergeCell ref="Q663:R663"/>
    <mergeCell ref="S663:T663"/>
    <mergeCell ref="U663:V663"/>
    <mergeCell ref="W663:X663"/>
    <mergeCell ref="Y663:AE663"/>
    <mergeCell ref="A664:C664"/>
    <mergeCell ref="D664:L664"/>
    <mergeCell ref="M664:N664"/>
    <mergeCell ref="O664:P664"/>
    <mergeCell ref="Q664:R664"/>
    <mergeCell ref="S664:T664"/>
    <mergeCell ref="U664:V664"/>
    <mergeCell ref="W664:X664"/>
    <mergeCell ref="Y664:AE664"/>
    <mergeCell ref="A667:B667"/>
    <mergeCell ref="C667:L667"/>
    <mergeCell ref="M667:Q667"/>
    <mergeCell ref="R667:AF667"/>
    <mergeCell ref="A669:C669"/>
    <mergeCell ref="D669:L669"/>
    <mergeCell ref="A670:C672"/>
    <mergeCell ref="D670:L672"/>
    <mergeCell ref="M670:N672"/>
    <mergeCell ref="O670:P672"/>
    <mergeCell ref="Q670:R672"/>
    <mergeCell ref="S670:T672"/>
    <mergeCell ref="U670:V672"/>
    <mergeCell ref="W670:X672"/>
    <mergeCell ref="Y670:AE672"/>
    <mergeCell ref="A673:C673"/>
    <mergeCell ref="D673:L673"/>
    <mergeCell ref="M673:N673"/>
    <mergeCell ref="O673:P673"/>
    <mergeCell ref="Q673:R673"/>
    <mergeCell ref="S673:T673"/>
    <mergeCell ref="U673:V673"/>
    <mergeCell ref="W673:X673"/>
    <mergeCell ref="Y673:AE673"/>
    <mergeCell ref="A674:C674"/>
    <mergeCell ref="D674:L674"/>
    <mergeCell ref="M674:N674"/>
    <mergeCell ref="O674:P674"/>
    <mergeCell ref="Q674:R674"/>
    <mergeCell ref="S674:T674"/>
    <mergeCell ref="U674:V674"/>
    <mergeCell ref="W674:X674"/>
    <mergeCell ref="Y674:AE674"/>
    <mergeCell ref="A675:C675"/>
    <mergeCell ref="D675:L675"/>
    <mergeCell ref="M675:N675"/>
    <mergeCell ref="O675:P675"/>
    <mergeCell ref="Q675:R675"/>
    <mergeCell ref="S675:T675"/>
    <mergeCell ref="U675:V675"/>
    <mergeCell ref="W675:X675"/>
    <mergeCell ref="Y675:AE675"/>
    <mergeCell ref="A676:C676"/>
    <mergeCell ref="D676:L676"/>
    <mergeCell ref="M676:N676"/>
    <mergeCell ref="O676:P676"/>
    <mergeCell ref="Q676:R676"/>
    <mergeCell ref="S676:T676"/>
    <mergeCell ref="U676:V676"/>
    <mergeCell ref="W676:X676"/>
    <mergeCell ref="Y676:AE676"/>
    <mergeCell ref="A677:C677"/>
    <mergeCell ref="D677:L677"/>
    <mergeCell ref="M677:N677"/>
    <mergeCell ref="O677:P677"/>
    <mergeCell ref="Q677:R677"/>
    <mergeCell ref="S677:T677"/>
    <mergeCell ref="U677:V677"/>
    <mergeCell ref="W677:X677"/>
    <mergeCell ref="Y677:AE677"/>
    <mergeCell ref="A678:C678"/>
    <mergeCell ref="D678:L678"/>
    <mergeCell ref="M678:N678"/>
    <mergeCell ref="O678:P678"/>
    <mergeCell ref="Q678:R678"/>
    <mergeCell ref="S678:T678"/>
    <mergeCell ref="U678:V678"/>
    <mergeCell ref="W678:X678"/>
    <mergeCell ref="Y678:AE678"/>
    <mergeCell ref="A679:C679"/>
    <mergeCell ref="D679:L679"/>
    <mergeCell ref="M679:N679"/>
    <mergeCell ref="O679:P679"/>
    <mergeCell ref="Q679:R679"/>
    <mergeCell ref="S679:T679"/>
    <mergeCell ref="U679:V679"/>
    <mergeCell ref="W679:X679"/>
    <mergeCell ref="Y679:AE679"/>
    <mergeCell ref="A680:C680"/>
    <mergeCell ref="D680:L680"/>
    <mergeCell ref="M680:N680"/>
    <mergeCell ref="O680:P680"/>
    <mergeCell ref="Q680:R680"/>
    <mergeCell ref="S680:T680"/>
    <mergeCell ref="U680:V680"/>
    <mergeCell ref="W680:X680"/>
    <mergeCell ref="Y680:AE680"/>
    <mergeCell ref="A681:C681"/>
    <mergeCell ref="D681:L681"/>
    <mergeCell ref="M681:N681"/>
    <mergeCell ref="O681:P681"/>
    <mergeCell ref="Q681:R681"/>
    <mergeCell ref="S681:T681"/>
    <mergeCell ref="U681:V681"/>
    <mergeCell ref="W681:X681"/>
    <mergeCell ref="Y681:AE681"/>
    <mergeCell ref="A682:C682"/>
    <mergeCell ref="D682:L682"/>
    <mergeCell ref="M682:N682"/>
    <mergeCell ref="O682:P682"/>
    <mergeCell ref="Q682:R682"/>
    <mergeCell ref="S682:T682"/>
    <mergeCell ref="U682:V682"/>
    <mergeCell ref="W682:X682"/>
    <mergeCell ref="Y682:AE682"/>
    <mergeCell ref="A683:C683"/>
    <mergeCell ref="D683:L683"/>
    <mergeCell ref="M683:N683"/>
    <mergeCell ref="O683:P683"/>
    <mergeCell ref="Q683:R683"/>
    <mergeCell ref="S683:T683"/>
    <mergeCell ref="U683:V683"/>
    <mergeCell ref="W683:X683"/>
    <mergeCell ref="Y683:AE683"/>
    <mergeCell ref="A684:C684"/>
    <mergeCell ref="D684:L684"/>
    <mergeCell ref="M684:N684"/>
    <mergeCell ref="O684:P684"/>
    <mergeCell ref="Q684:R684"/>
    <mergeCell ref="S684:T684"/>
    <mergeCell ref="U684:V684"/>
    <mergeCell ref="W684:X684"/>
    <mergeCell ref="Y684:AE684"/>
    <mergeCell ref="A685:C685"/>
    <mergeCell ref="D685:L685"/>
    <mergeCell ref="M685:N685"/>
    <mergeCell ref="O685:P685"/>
    <mergeCell ref="Q685:R685"/>
    <mergeCell ref="S685:T685"/>
    <mergeCell ref="U685:V685"/>
    <mergeCell ref="W685:X685"/>
    <mergeCell ref="Y685:AE685"/>
    <mergeCell ref="A686:C686"/>
    <mergeCell ref="D686:L686"/>
    <mergeCell ref="M686:N686"/>
    <mergeCell ref="O686:P686"/>
    <mergeCell ref="Q686:R686"/>
    <mergeCell ref="S686:T686"/>
    <mergeCell ref="U686:V686"/>
    <mergeCell ref="W686:X686"/>
    <mergeCell ref="Y686:AE686"/>
    <mergeCell ref="A687:C687"/>
    <mergeCell ref="D687:L687"/>
    <mergeCell ref="M687:N687"/>
    <mergeCell ref="O687:P687"/>
    <mergeCell ref="Q687:R687"/>
    <mergeCell ref="S687:T687"/>
    <mergeCell ref="U687:V687"/>
    <mergeCell ref="W687:X687"/>
    <mergeCell ref="Y687:AE687"/>
    <mergeCell ref="A688:C688"/>
    <mergeCell ref="D688:L688"/>
    <mergeCell ref="M688:N688"/>
    <mergeCell ref="O688:P688"/>
    <mergeCell ref="Q688:R688"/>
    <mergeCell ref="S688:T688"/>
    <mergeCell ref="U688:V688"/>
    <mergeCell ref="W688:X688"/>
    <mergeCell ref="Y688:AE688"/>
    <mergeCell ref="A689:C689"/>
    <mergeCell ref="D689:L689"/>
    <mergeCell ref="M689:N689"/>
    <mergeCell ref="O689:P689"/>
    <mergeCell ref="Q689:R689"/>
    <mergeCell ref="S689:T689"/>
    <mergeCell ref="U689:V689"/>
    <mergeCell ref="W689:X689"/>
    <mergeCell ref="Y689:AE689"/>
    <mergeCell ref="A690:C690"/>
    <mergeCell ref="D690:L690"/>
    <mergeCell ref="M690:N690"/>
    <mergeCell ref="O690:P690"/>
    <mergeCell ref="Q690:R690"/>
    <mergeCell ref="S690:T690"/>
    <mergeCell ref="U690:V690"/>
    <mergeCell ref="W690:X690"/>
    <mergeCell ref="Y690:AE690"/>
    <mergeCell ref="A691:C691"/>
    <mergeCell ref="D691:L691"/>
    <mergeCell ref="M691:N691"/>
    <mergeCell ref="O691:P691"/>
    <mergeCell ref="Q691:R691"/>
    <mergeCell ref="S691:T691"/>
    <mergeCell ref="U691:V691"/>
    <mergeCell ref="W691:X691"/>
    <mergeCell ref="Y691:AE691"/>
    <mergeCell ref="A694:B694"/>
    <mergeCell ref="C694:L694"/>
    <mergeCell ref="M694:Q694"/>
    <mergeCell ref="R694:AF694"/>
    <mergeCell ref="A696:C696"/>
    <mergeCell ref="D696:L696"/>
    <mergeCell ref="A697:C699"/>
    <mergeCell ref="D697:L699"/>
    <mergeCell ref="M697:N699"/>
    <mergeCell ref="O697:P699"/>
    <mergeCell ref="Q697:R699"/>
    <mergeCell ref="S697:T699"/>
    <mergeCell ref="U697:V699"/>
    <mergeCell ref="W697:X699"/>
    <mergeCell ref="Y697:AE699"/>
    <mergeCell ref="A700:C700"/>
    <mergeCell ref="D700:L700"/>
    <mergeCell ref="M700:N700"/>
    <mergeCell ref="O700:P700"/>
    <mergeCell ref="Q700:R700"/>
    <mergeCell ref="S700:T700"/>
    <mergeCell ref="U700:V700"/>
    <mergeCell ref="W700:X700"/>
    <mergeCell ref="Y700:AE700"/>
    <mergeCell ref="A701:C701"/>
    <mergeCell ref="D701:L701"/>
    <mergeCell ref="M701:N701"/>
    <mergeCell ref="O701:P701"/>
    <mergeCell ref="Q701:R701"/>
    <mergeCell ref="S701:T701"/>
    <mergeCell ref="U701:V701"/>
    <mergeCell ref="W701:X701"/>
    <mergeCell ref="Y701:AE701"/>
    <mergeCell ref="A702:C702"/>
    <mergeCell ref="D702:L702"/>
    <mergeCell ref="M702:N702"/>
    <mergeCell ref="O702:P702"/>
    <mergeCell ref="Q702:R702"/>
    <mergeCell ref="S702:T702"/>
    <mergeCell ref="U702:V702"/>
    <mergeCell ref="W702:X702"/>
    <mergeCell ref="Y702:AE702"/>
    <mergeCell ref="A703:C703"/>
    <mergeCell ref="D703:L703"/>
    <mergeCell ref="M703:N703"/>
    <mergeCell ref="O703:P703"/>
    <mergeCell ref="Q703:R703"/>
    <mergeCell ref="S703:T703"/>
    <mergeCell ref="U703:V703"/>
    <mergeCell ref="W703:X703"/>
    <mergeCell ref="Y703:AE703"/>
    <mergeCell ref="A704:C704"/>
    <mergeCell ref="D704:L704"/>
    <mergeCell ref="M704:N704"/>
    <mergeCell ref="O704:P704"/>
    <mergeCell ref="Q704:R704"/>
    <mergeCell ref="S704:T704"/>
    <mergeCell ref="U704:V704"/>
    <mergeCell ref="W704:X704"/>
    <mergeCell ref="Y704:AE704"/>
    <mergeCell ref="A705:C705"/>
    <mergeCell ref="D705:L705"/>
    <mergeCell ref="M705:N705"/>
    <mergeCell ref="O705:P705"/>
    <mergeCell ref="Q705:R705"/>
    <mergeCell ref="S705:T705"/>
    <mergeCell ref="U705:V705"/>
    <mergeCell ref="W705:X705"/>
    <mergeCell ref="Y705:AE705"/>
    <mergeCell ref="A706:C706"/>
    <mergeCell ref="D706:L706"/>
    <mergeCell ref="M706:N706"/>
    <mergeCell ref="O706:P706"/>
    <mergeCell ref="Q706:R706"/>
    <mergeCell ref="S706:T706"/>
    <mergeCell ref="U706:V706"/>
    <mergeCell ref="W706:X706"/>
    <mergeCell ref="Y706:AE706"/>
    <mergeCell ref="A707:C707"/>
    <mergeCell ref="D707:L707"/>
    <mergeCell ref="M707:N707"/>
    <mergeCell ref="O707:P707"/>
    <mergeCell ref="Q707:R707"/>
    <mergeCell ref="S707:T707"/>
    <mergeCell ref="U707:V707"/>
    <mergeCell ref="W707:X707"/>
    <mergeCell ref="Y707:AE707"/>
    <mergeCell ref="A708:C708"/>
    <mergeCell ref="D708:L708"/>
    <mergeCell ref="M708:N708"/>
    <mergeCell ref="O708:P708"/>
    <mergeCell ref="Q708:R708"/>
    <mergeCell ref="S708:T708"/>
    <mergeCell ref="U708:V708"/>
    <mergeCell ref="W708:X708"/>
    <mergeCell ref="Y708:AE708"/>
    <mergeCell ref="A709:C709"/>
    <mergeCell ref="D709:L709"/>
    <mergeCell ref="M709:N709"/>
    <mergeCell ref="O709:P709"/>
    <mergeCell ref="Q709:R709"/>
    <mergeCell ref="S709:T709"/>
    <mergeCell ref="U709:V709"/>
    <mergeCell ref="W709:X709"/>
    <mergeCell ref="Y709:AE709"/>
    <mergeCell ref="A710:C710"/>
    <mergeCell ref="D710:L710"/>
    <mergeCell ref="M710:N710"/>
    <mergeCell ref="O710:P710"/>
    <mergeCell ref="Q710:R710"/>
    <mergeCell ref="S710:T710"/>
    <mergeCell ref="U710:V710"/>
    <mergeCell ref="W710:X710"/>
    <mergeCell ref="Y710:AE710"/>
    <mergeCell ref="A711:C711"/>
    <mergeCell ref="D711:L711"/>
    <mergeCell ref="M711:N711"/>
    <mergeCell ref="O711:P711"/>
    <mergeCell ref="Q711:R711"/>
    <mergeCell ref="S711:T711"/>
    <mergeCell ref="U711:V711"/>
    <mergeCell ref="W711:X711"/>
    <mergeCell ref="Y711:AE711"/>
    <mergeCell ref="A712:C712"/>
    <mergeCell ref="D712:L712"/>
    <mergeCell ref="M712:N712"/>
    <mergeCell ref="O712:P712"/>
    <mergeCell ref="Q712:R712"/>
    <mergeCell ref="S712:T712"/>
    <mergeCell ref="U712:V712"/>
    <mergeCell ref="W712:X712"/>
    <mergeCell ref="Y712:AE712"/>
    <mergeCell ref="A713:C713"/>
    <mergeCell ref="D713:L713"/>
    <mergeCell ref="M713:N713"/>
    <mergeCell ref="O713:P713"/>
    <mergeCell ref="Q713:R713"/>
    <mergeCell ref="S713:T713"/>
    <mergeCell ref="U713:V713"/>
    <mergeCell ref="W713:X713"/>
    <mergeCell ref="Y713:AE713"/>
    <mergeCell ref="A714:C714"/>
    <mergeCell ref="D714:L714"/>
    <mergeCell ref="M714:N714"/>
    <mergeCell ref="O714:P714"/>
    <mergeCell ref="Q714:R714"/>
    <mergeCell ref="S714:T714"/>
    <mergeCell ref="U714:V714"/>
    <mergeCell ref="W714:X714"/>
    <mergeCell ref="Y714:AE714"/>
    <mergeCell ref="A715:C715"/>
    <mergeCell ref="D715:L715"/>
    <mergeCell ref="M715:N715"/>
    <mergeCell ref="O715:P715"/>
    <mergeCell ref="Q715:R715"/>
    <mergeCell ref="S715:T715"/>
    <mergeCell ref="U715:V715"/>
    <mergeCell ref="W715:X715"/>
    <mergeCell ref="Y715:AE715"/>
    <mergeCell ref="A716:C716"/>
    <mergeCell ref="D716:L716"/>
    <mergeCell ref="M716:N716"/>
    <mergeCell ref="O716:P716"/>
    <mergeCell ref="Q716:R716"/>
    <mergeCell ref="S716:T716"/>
    <mergeCell ref="U716:V716"/>
    <mergeCell ref="W716:X716"/>
    <mergeCell ref="Y716:AE716"/>
    <mergeCell ref="A717:C717"/>
    <mergeCell ref="D717:L717"/>
    <mergeCell ref="M717:N717"/>
    <mergeCell ref="O717:P717"/>
    <mergeCell ref="Q717:R717"/>
    <mergeCell ref="S717:T717"/>
    <mergeCell ref="U717:V717"/>
    <mergeCell ref="W717:X717"/>
    <mergeCell ref="Y717:AE717"/>
    <mergeCell ref="A718:C718"/>
    <mergeCell ref="D718:L718"/>
    <mergeCell ref="M718:N718"/>
    <mergeCell ref="O718:P718"/>
    <mergeCell ref="Q718:R718"/>
    <mergeCell ref="S718:T718"/>
    <mergeCell ref="U718:V718"/>
    <mergeCell ref="W718:X718"/>
    <mergeCell ref="Y718:AE718"/>
    <mergeCell ref="A721:B721"/>
    <mergeCell ref="C721:L721"/>
    <mergeCell ref="M721:Q721"/>
    <mergeCell ref="R721:AF721"/>
    <mergeCell ref="A723:C723"/>
    <mergeCell ref="D723:L723"/>
    <mergeCell ref="A724:C726"/>
    <mergeCell ref="D724:L726"/>
    <mergeCell ref="M724:N726"/>
    <mergeCell ref="O724:P726"/>
    <mergeCell ref="Q724:R726"/>
    <mergeCell ref="S724:T726"/>
    <mergeCell ref="U724:V726"/>
    <mergeCell ref="W724:X726"/>
    <mergeCell ref="Y724:AE726"/>
    <mergeCell ref="A727:C727"/>
    <mergeCell ref="D727:L727"/>
    <mergeCell ref="M727:N727"/>
    <mergeCell ref="O727:P727"/>
    <mergeCell ref="Q727:R727"/>
    <mergeCell ref="S727:T727"/>
    <mergeCell ref="U727:V727"/>
    <mergeCell ref="W727:X727"/>
    <mergeCell ref="Y727:AE727"/>
    <mergeCell ref="A728:C728"/>
    <mergeCell ref="D728:L728"/>
    <mergeCell ref="M728:N728"/>
    <mergeCell ref="O728:P728"/>
    <mergeCell ref="Q728:R728"/>
    <mergeCell ref="S728:T728"/>
    <mergeCell ref="U728:V728"/>
    <mergeCell ref="W728:X728"/>
    <mergeCell ref="Y728:AE728"/>
    <mergeCell ref="A729:C729"/>
    <mergeCell ref="D729:L729"/>
    <mergeCell ref="M729:N729"/>
    <mergeCell ref="O729:P729"/>
    <mergeCell ref="Q729:R729"/>
    <mergeCell ref="S729:T729"/>
    <mergeCell ref="U729:V729"/>
    <mergeCell ref="W729:X729"/>
    <mergeCell ref="Y729:AE729"/>
    <mergeCell ref="A730:C730"/>
    <mergeCell ref="D730:L730"/>
    <mergeCell ref="M730:N730"/>
    <mergeCell ref="O730:P730"/>
    <mergeCell ref="Q730:R730"/>
    <mergeCell ref="S730:T730"/>
    <mergeCell ref="U730:V730"/>
    <mergeCell ref="W730:X730"/>
    <mergeCell ref="Y730:AE730"/>
    <mergeCell ref="A731:C731"/>
    <mergeCell ref="D731:L731"/>
    <mergeCell ref="M731:N731"/>
    <mergeCell ref="O731:P731"/>
    <mergeCell ref="Q731:R731"/>
    <mergeCell ref="S731:T731"/>
    <mergeCell ref="U731:V731"/>
    <mergeCell ref="W731:X731"/>
    <mergeCell ref="Y731:AE731"/>
    <mergeCell ref="A732:C732"/>
    <mergeCell ref="D732:L732"/>
    <mergeCell ref="M732:N732"/>
    <mergeCell ref="O732:P732"/>
    <mergeCell ref="Q732:R732"/>
    <mergeCell ref="S732:T732"/>
    <mergeCell ref="U732:V732"/>
    <mergeCell ref="W732:X732"/>
    <mergeCell ref="Y732:AE732"/>
    <mergeCell ref="A733:C733"/>
    <mergeCell ref="D733:L733"/>
    <mergeCell ref="M733:N733"/>
    <mergeCell ref="O733:P733"/>
    <mergeCell ref="Q733:R733"/>
    <mergeCell ref="S733:T733"/>
    <mergeCell ref="U733:V733"/>
    <mergeCell ref="W733:X733"/>
    <mergeCell ref="Y733:AE733"/>
    <mergeCell ref="A734:C734"/>
    <mergeCell ref="D734:L734"/>
    <mergeCell ref="M734:N734"/>
    <mergeCell ref="O734:P734"/>
    <mergeCell ref="Q734:R734"/>
    <mergeCell ref="S734:T734"/>
    <mergeCell ref="U734:V734"/>
    <mergeCell ref="W734:X734"/>
    <mergeCell ref="Y734:AE734"/>
    <mergeCell ref="A735:C735"/>
    <mergeCell ref="D735:L735"/>
    <mergeCell ref="M735:N735"/>
    <mergeCell ref="O735:P735"/>
    <mergeCell ref="Q735:R735"/>
    <mergeCell ref="S735:T735"/>
    <mergeCell ref="U735:V735"/>
    <mergeCell ref="W735:X735"/>
    <mergeCell ref="Y735:AE735"/>
    <mergeCell ref="A736:C736"/>
    <mergeCell ref="D736:L736"/>
    <mergeCell ref="M736:N736"/>
    <mergeCell ref="O736:P736"/>
    <mergeCell ref="Q736:R736"/>
    <mergeCell ref="S736:T736"/>
    <mergeCell ref="U736:V736"/>
    <mergeCell ref="W736:X736"/>
    <mergeCell ref="Y736:AE736"/>
    <mergeCell ref="A737:C737"/>
    <mergeCell ref="D737:L737"/>
    <mergeCell ref="M737:N737"/>
    <mergeCell ref="O737:P737"/>
    <mergeCell ref="Q737:R737"/>
    <mergeCell ref="S737:T737"/>
    <mergeCell ref="U737:V737"/>
    <mergeCell ref="W737:X737"/>
    <mergeCell ref="Y737:AE737"/>
    <mergeCell ref="A738:C738"/>
    <mergeCell ref="D738:L738"/>
    <mergeCell ref="M738:N738"/>
    <mergeCell ref="O738:P738"/>
    <mergeCell ref="Q738:R738"/>
    <mergeCell ref="S738:T738"/>
    <mergeCell ref="U738:V738"/>
    <mergeCell ref="W738:X738"/>
    <mergeCell ref="Y738:AE738"/>
    <mergeCell ref="A739:C739"/>
    <mergeCell ref="D739:L739"/>
    <mergeCell ref="M739:N739"/>
    <mergeCell ref="O739:P739"/>
    <mergeCell ref="Q739:R739"/>
    <mergeCell ref="S739:T739"/>
    <mergeCell ref="U739:V739"/>
    <mergeCell ref="W739:X739"/>
    <mergeCell ref="Y739:AE739"/>
    <mergeCell ref="A740:C740"/>
    <mergeCell ref="D740:L740"/>
    <mergeCell ref="M740:N740"/>
    <mergeCell ref="O740:P740"/>
    <mergeCell ref="Q740:R740"/>
    <mergeCell ref="S740:T740"/>
    <mergeCell ref="U740:V740"/>
    <mergeCell ref="W740:X740"/>
    <mergeCell ref="Y740:AE740"/>
    <mergeCell ref="A741:C741"/>
    <mergeCell ref="D741:L741"/>
    <mergeCell ref="M741:N741"/>
    <mergeCell ref="O741:P741"/>
    <mergeCell ref="Q741:R741"/>
    <mergeCell ref="S741:T741"/>
    <mergeCell ref="U741:V741"/>
    <mergeCell ref="W741:X741"/>
    <mergeCell ref="Y741:AE741"/>
    <mergeCell ref="A742:C742"/>
    <mergeCell ref="D742:L742"/>
    <mergeCell ref="M742:N742"/>
    <mergeCell ref="O742:P742"/>
    <mergeCell ref="Q742:R742"/>
    <mergeCell ref="S742:T742"/>
    <mergeCell ref="U742:V742"/>
    <mergeCell ref="W742:X742"/>
    <mergeCell ref="Y742:AE742"/>
    <mergeCell ref="A743:C743"/>
    <mergeCell ref="D743:L743"/>
    <mergeCell ref="M743:N743"/>
    <mergeCell ref="O743:P743"/>
    <mergeCell ref="Q743:R743"/>
    <mergeCell ref="S743:T743"/>
    <mergeCell ref="U743:V743"/>
    <mergeCell ref="W743:X743"/>
    <mergeCell ref="Y743:AE743"/>
    <mergeCell ref="A744:C744"/>
    <mergeCell ref="D744:L744"/>
    <mergeCell ref="M744:N744"/>
    <mergeCell ref="O744:P744"/>
    <mergeCell ref="Q744:R744"/>
    <mergeCell ref="S744:T744"/>
    <mergeCell ref="U744:V744"/>
    <mergeCell ref="W744:X744"/>
    <mergeCell ref="Y744:AE744"/>
    <mergeCell ref="A745:C745"/>
    <mergeCell ref="D745:L745"/>
    <mergeCell ref="M745:N745"/>
    <mergeCell ref="O745:P745"/>
    <mergeCell ref="Q745:R745"/>
    <mergeCell ref="S745:T745"/>
    <mergeCell ref="U745:V745"/>
    <mergeCell ref="W745:X745"/>
    <mergeCell ref="Y745:AE745"/>
    <mergeCell ref="A748:B748"/>
    <mergeCell ref="C748:L748"/>
    <mergeCell ref="M748:Q748"/>
    <mergeCell ref="R748:AF748"/>
    <mergeCell ref="C750:E750"/>
    <mergeCell ref="F750:N750"/>
    <mergeCell ref="C751:D752"/>
    <mergeCell ref="E751:L752"/>
    <mergeCell ref="N751:Q752"/>
    <mergeCell ref="R751:U752"/>
    <mergeCell ref="V751:Y752"/>
    <mergeCell ref="Z751:AC752"/>
    <mergeCell ref="C753:D753"/>
    <mergeCell ref="E753:M753"/>
    <mergeCell ref="N753:Q753"/>
    <mergeCell ref="R753:U753"/>
    <mergeCell ref="V753:Y753"/>
    <mergeCell ref="Z753:AC753"/>
    <mergeCell ref="C754:D754"/>
    <mergeCell ref="E754:M754"/>
    <mergeCell ref="N754:Q754"/>
    <mergeCell ref="R754:U754"/>
    <mergeCell ref="V754:Y754"/>
    <mergeCell ref="Z754:AC754"/>
    <mergeCell ref="C755:D755"/>
    <mergeCell ref="E755:M755"/>
    <mergeCell ref="N755:Q755"/>
    <mergeCell ref="R755:U755"/>
    <mergeCell ref="V755:Y755"/>
    <mergeCell ref="Z755:AC755"/>
    <mergeCell ref="C756:D756"/>
    <mergeCell ref="E756:M756"/>
    <mergeCell ref="N756:Q756"/>
    <mergeCell ref="R756:U756"/>
    <mergeCell ref="V756:Y756"/>
    <mergeCell ref="Z756:AC756"/>
    <mergeCell ref="C757:D757"/>
    <mergeCell ref="E757:M757"/>
    <mergeCell ref="N757:Q757"/>
    <mergeCell ref="R757:U757"/>
    <mergeCell ref="V757:Y757"/>
    <mergeCell ref="Z757:AC757"/>
    <mergeCell ref="C758:D758"/>
    <mergeCell ref="E758:M758"/>
    <mergeCell ref="N758:Q758"/>
    <mergeCell ref="R758:U758"/>
    <mergeCell ref="V758:Y758"/>
    <mergeCell ref="Z758:AC758"/>
    <mergeCell ref="C759:D759"/>
    <mergeCell ref="E759:M759"/>
    <mergeCell ref="N759:Q759"/>
    <mergeCell ref="R759:U759"/>
    <mergeCell ref="V759:Y759"/>
    <mergeCell ref="Z759:AC759"/>
    <mergeCell ref="C760:D760"/>
    <mergeCell ref="E760:M760"/>
    <mergeCell ref="N760:Q760"/>
    <mergeCell ref="R760:U760"/>
    <mergeCell ref="V760:Y760"/>
    <mergeCell ref="Z760:AC760"/>
    <mergeCell ref="C761:D761"/>
    <mergeCell ref="E761:M761"/>
    <mergeCell ref="N761:Q761"/>
    <mergeCell ref="R761:U761"/>
    <mergeCell ref="V761:Y761"/>
    <mergeCell ref="Z761:AC761"/>
    <mergeCell ref="C762:D762"/>
    <mergeCell ref="E762:M762"/>
    <mergeCell ref="N762:Q762"/>
    <mergeCell ref="R762:U762"/>
    <mergeCell ref="V762:Y762"/>
    <mergeCell ref="Z762:AC762"/>
    <mergeCell ref="C763:D763"/>
    <mergeCell ref="E763:M763"/>
    <mergeCell ref="N763:Q763"/>
    <mergeCell ref="R763:U763"/>
    <mergeCell ref="V763:Y763"/>
    <mergeCell ref="Z763:AC763"/>
    <mergeCell ref="C764:D764"/>
    <mergeCell ref="E764:M764"/>
    <mergeCell ref="N764:Q764"/>
    <mergeCell ref="R764:U764"/>
    <mergeCell ref="V764:Y764"/>
    <mergeCell ref="Z764:AC764"/>
    <mergeCell ref="C765:D765"/>
    <mergeCell ref="E765:M765"/>
    <mergeCell ref="N765:Q765"/>
    <mergeCell ref="R765:U765"/>
    <mergeCell ref="V765:Y765"/>
    <mergeCell ref="Z765:AC765"/>
    <mergeCell ref="C766:D766"/>
    <mergeCell ref="E766:M766"/>
    <mergeCell ref="N766:Q766"/>
    <mergeCell ref="R766:U766"/>
    <mergeCell ref="V766:Y766"/>
    <mergeCell ref="Z766:AC766"/>
    <mergeCell ref="C767:D767"/>
    <mergeCell ref="E767:M767"/>
    <mergeCell ref="N767:Q767"/>
    <mergeCell ref="R767:U767"/>
    <mergeCell ref="V767:Y767"/>
    <mergeCell ref="Z767:AC767"/>
    <mergeCell ref="C768:D768"/>
    <mergeCell ref="E768:M768"/>
    <mergeCell ref="N768:Q768"/>
    <mergeCell ref="R768:U768"/>
    <mergeCell ref="V768:Y768"/>
    <mergeCell ref="Z768:AC768"/>
    <mergeCell ref="C769:D769"/>
    <mergeCell ref="E769:M769"/>
    <mergeCell ref="N769:Q769"/>
    <mergeCell ref="R769:U769"/>
    <mergeCell ref="V769:Y769"/>
    <mergeCell ref="Z769:AC769"/>
    <mergeCell ref="C770:D770"/>
    <mergeCell ref="E770:M770"/>
    <mergeCell ref="N770:Q770"/>
    <mergeCell ref="R770:U770"/>
    <mergeCell ref="V770:Y770"/>
    <mergeCell ref="Z770:AC770"/>
    <mergeCell ref="C771:D771"/>
    <mergeCell ref="E771:M771"/>
    <mergeCell ref="N771:Q771"/>
    <mergeCell ref="R771:U771"/>
    <mergeCell ref="V771:Y771"/>
    <mergeCell ref="Z771:AC771"/>
    <mergeCell ref="N772:Q772"/>
    <mergeCell ref="R772:U772"/>
    <mergeCell ref="V772:Y772"/>
    <mergeCell ref="Z772:AC772"/>
    <mergeCell ref="C773:D773"/>
    <mergeCell ref="E773:M773"/>
    <mergeCell ref="N773:Q773"/>
    <mergeCell ref="R773:U773"/>
    <mergeCell ref="V773:Y773"/>
    <mergeCell ref="Z773:AC773"/>
    <mergeCell ref="C775:D775"/>
    <mergeCell ref="E775:M775"/>
    <mergeCell ref="N775:Q775"/>
    <mergeCell ref="R775:U775"/>
    <mergeCell ref="V775:Y775"/>
    <mergeCell ref="Z775:AC775"/>
    <mergeCell ref="C776:D776"/>
    <mergeCell ref="E776:M776"/>
    <mergeCell ref="N776:Q776"/>
    <mergeCell ref="R776:U776"/>
    <mergeCell ref="V776:Y776"/>
    <mergeCell ref="Z776:AC776"/>
    <mergeCell ref="C777:D777"/>
    <mergeCell ref="E777:M777"/>
    <mergeCell ref="N777:Q777"/>
    <mergeCell ref="R777:U777"/>
    <mergeCell ref="V777:Y777"/>
    <mergeCell ref="Z777:AC777"/>
    <mergeCell ref="C778:D778"/>
    <mergeCell ref="E778:M778"/>
    <mergeCell ref="N778:Q778"/>
    <mergeCell ref="R778:U778"/>
    <mergeCell ref="V778:Y778"/>
    <mergeCell ref="Z778:AC778"/>
    <mergeCell ref="C779:D779"/>
    <mergeCell ref="E779:M779"/>
    <mergeCell ref="N779:Q779"/>
    <mergeCell ref="R779:U779"/>
    <mergeCell ref="V779:Y779"/>
    <mergeCell ref="Z779:AC779"/>
    <mergeCell ref="C780:D780"/>
    <mergeCell ref="E780:M780"/>
    <mergeCell ref="N780:Q780"/>
    <mergeCell ref="R780:U780"/>
    <mergeCell ref="V780:Y780"/>
    <mergeCell ref="Z780:AC780"/>
    <mergeCell ref="C781:D781"/>
    <mergeCell ref="E781:M781"/>
    <mergeCell ref="N781:Q781"/>
    <mergeCell ref="R781:U781"/>
    <mergeCell ref="V781:Y781"/>
    <mergeCell ref="Z781:AC781"/>
    <mergeCell ref="C782:D782"/>
    <mergeCell ref="E782:M782"/>
    <mergeCell ref="N782:Q782"/>
    <mergeCell ref="R782:U782"/>
    <mergeCell ref="V782:Y782"/>
    <mergeCell ref="Z782:AC782"/>
    <mergeCell ref="C783:D783"/>
    <mergeCell ref="E783:M783"/>
    <mergeCell ref="N783:Q783"/>
    <mergeCell ref="R783:U783"/>
    <mergeCell ref="V783:Y783"/>
    <mergeCell ref="Z783:AC783"/>
    <mergeCell ref="C784:D784"/>
    <mergeCell ref="E784:M784"/>
    <mergeCell ref="N784:Q784"/>
    <mergeCell ref="R784:U784"/>
    <mergeCell ref="V784:Y784"/>
    <mergeCell ref="Z784:AC784"/>
    <mergeCell ref="C785:D785"/>
    <mergeCell ref="E785:M785"/>
    <mergeCell ref="N785:Q785"/>
    <mergeCell ref="R785:U785"/>
    <mergeCell ref="V785:Y785"/>
    <mergeCell ref="Z785:AC785"/>
    <mergeCell ref="C786:D786"/>
    <mergeCell ref="E786:M786"/>
    <mergeCell ref="N786:Q786"/>
    <mergeCell ref="R786:U786"/>
    <mergeCell ref="V786:Y786"/>
    <mergeCell ref="Z786:AC786"/>
    <mergeCell ref="C787:D787"/>
    <mergeCell ref="E787:M787"/>
    <mergeCell ref="N787:Q787"/>
    <mergeCell ref="R787:U787"/>
    <mergeCell ref="V787:Y787"/>
    <mergeCell ref="Z787:AC787"/>
    <mergeCell ref="C788:D788"/>
    <mergeCell ref="E788:M788"/>
    <mergeCell ref="N788:Q788"/>
    <mergeCell ref="R788:U788"/>
    <mergeCell ref="V788:Y788"/>
    <mergeCell ref="Z788:AC788"/>
    <mergeCell ref="C789:D789"/>
    <mergeCell ref="E789:M789"/>
    <mergeCell ref="N789:Q789"/>
    <mergeCell ref="R789:U789"/>
    <mergeCell ref="V789:Y789"/>
    <mergeCell ref="Z789:AC789"/>
    <mergeCell ref="C790:D790"/>
    <mergeCell ref="E790:M790"/>
    <mergeCell ref="N790:Q790"/>
    <mergeCell ref="R790:U790"/>
    <mergeCell ref="V790:Y790"/>
    <mergeCell ref="Z790:AC790"/>
    <mergeCell ref="C791:D791"/>
    <mergeCell ref="E791:M791"/>
    <mergeCell ref="N791:Q791"/>
    <mergeCell ref="R791:U791"/>
    <mergeCell ref="V791:Y791"/>
    <mergeCell ref="Z791:AC791"/>
    <mergeCell ref="C792:D792"/>
    <mergeCell ref="E792:M792"/>
    <mergeCell ref="N792:Q792"/>
    <mergeCell ref="R792:U792"/>
    <mergeCell ref="V792:Y792"/>
    <mergeCell ref="Z792:AC792"/>
    <mergeCell ref="C793:D793"/>
    <mergeCell ref="E793:M793"/>
    <mergeCell ref="N793:Q793"/>
    <mergeCell ref="R793:U793"/>
    <mergeCell ref="V793:Y793"/>
    <mergeCell ref="Z793:AC793"/>
    <mergeCell ref="C795:M795"/>
    <mergeCell ref="N795:Q795"/>
    <mergeCell ref="R795:U795"/>
    <mergeCell ref="V795:Y795"/>
    <mergeCell ref="Z795:AC795"/>
    <mergeCell ref="C796:M796"/>
    <mergeCell ref="N796:Q796"/>
    <mergeCell ref="R796:U796"/>
    <mergeCell ref="V796:Y796"/>
    <mergeCell ref="Z796:AC796"/>
    <mergeCell ref="C797:M797"/>
    <mergeCell ref="N797:Q797"/>
    <mergeCell ref="R797:U797"/>
    <mergeCell ref="V797:Y797"/>
    <mergeCell ref="Z797:AC797"/>
    <mergeCell ref="C798:M798"/>
    <mergeCell ref="N798:Q798"/>
    <mergeCell ref="R798:U798"/>
    <mergeCell ref="V798:Y798"/>
    <mergeCell ref="Z798:AC798"/>
    <mergeCell ref="C799:M799"/>
    <mergeCell ref="N799:Q799"/>
    <mergeCell ref="R799:U799"/>
    <mergeCell ref="V799:Y799"/>
    <mergeCell ref="Z799:AC799"/>
    <mergeCell ref="C800:M800"/>
    <mergeCell ref="N800:Q800"/>
    <mergeCell ref="R800:U800"/>
    <mergeCell ref="V800:Y800"/>
    <mergeCell ref="Z800:AC800"/>
    <mergeCell ref="C801:M801"/>
    <mergeCell ref="N801:Q801"/>
    <mergeCell ref="R801:U801"/>
    <mergeCell ref="V801:Y801"/>
    <mergeCell ref="Z801:AC801"/>
    <mergeCell ref="C802:M802"/>
    <mergeCell ref="N802:Q802"/>
    <mergeCell ref="R802:U802"/>
    <mergeCell ref="V802:Y802"/>
    <mergeCell ref="Z802:AC802"/>
    <mergeCell ref="Z803:AC803"/>
    <mergeCell ref="C804:AC805"/>
    <mergeCell ref="A807:B807"/>
    <mergeCell ref="C807:L807"/>
    <mergeCell ref="M807:Q807"/>
    <mergeCell ref="R807:AF807"/>
    <mergeCell ref="A809:C809"/>
    <mergeCell ref="D809:L809"/>
    <mergeCell ref="A810:C812"/>
    <mergeCell ref="D810:L812"/>
    <mergeCell ref="M810:N812"/>
    <mergeCell ref="O810:P812"/>
    <mergeCell ref="Q810:R812"/>
    <mergeCell ref="S810:T812"/>
    <mergeCell ref="U810:V812"/>
    <mergeCell ref="W810:X812"/>
    <mergeCell ref="Y810:AE812"/>
    <mergeCell ref="A813:C813"/>
    <mergeCell ref="D813:L813"/>
    <mergeCell ref="M813:N813"/>
    <mergeCell ref="O813:P813"/>
    <mergeCell ref="Q813:R813"/>
    <mergeCell ref="S813:T813"/>
    <mergeCell ref="U813:V813"/>
    <mergeCell ref="W813:X813"/>
    <mergeCell ref="Y813:AE813"/>
    <mergeCell ref="A814:C814"/>
    <mergeCell ref="D814:L814"/>
    <mergeCell ref="M814:N814"/>
    <mergeCell ref="O814:P814"/>
    <mergeCell ref="Q814:R814"/>
    <mergeCell ref="S814:T814"/>
    <mergeCell ref="U814:V814"/>
    <mergeCell ref="W814:X814"/>
    <mergeCell ref="Y814:AE814"/>
    <mergeCell ref="A815:C815"/>
    <mergeCell ref="D815:L815"/>
    <mergeCell ref="M815:N815"/>
    <mergeCell ref="O815:P815"/>
    <mergeCell ref="Q815:R815"/>
    <mergeCell ref="S815:T815"/>
    <mergeCell ref="U815:V815"/>
    <mergeCell ref="W815:X815"/>
    <mergeCell ref="Y815:AE815"/>
    <mergeCell ref="A816:C816"/>
    <mergeCell ref="D816:L816"/>
    <mergeCell ref="M816:N816"/>
    <mergeCell ref="O816:P816"/>
    <mergeCell ref="Q816:R816"/>
    <mergeCell ref="S816:T816"/>
    <mergeCell ref="U816:V816"/>
    <mergeCell ref="W816:X816"/>
    <mergeCell ref="Y816:AE816"/>
    <mergeCell ref="A817:C817"/>
    <mergeCell ref="D817:L817"/>
    <mergeCell ref="M817:N817"/>
    <mergeCell ref="O817:P817"/>
    <mergeCell ref="Q817:R817"/>
    <mergeCell ref="S817:T817"/>
    <mergeCell ref="U817:V817"/>
    <mergeCell ref="W817:X817"/>
    <mergeCell ref="Y817:AE817"/>
    <mergeCell ref="A818:C818"/>
    <mergeCell ref="D818:L818"/>
    <mergeCell ref="M818:N818"/>
    <mergeCell ref="O818:P818"/>
    <mergeCell ref="Q818:R818"/>
    <mergeCell ref="S818:T818"/>
    <mergeCell ref="U818:V818"/>
    <mergeCell ref="W818:X818"/>
    <mergeCell ref="Y818:AE818"/>
    <mergeCell ref="A819:C819"/>
    <mergeCell ref="D819:L819"/>
    <mergeCell ref="M819:N819"/>
    <mergeCell ref="O819:P819"/>
    <mergeCell ref="Q819:R819"/>
    <mergeCell ref="S819:T819"/>
    <mergeCell ref="U819:V819"/>
    <mergeCell ref="W819:X819"/>
    <mergeCell ref="Y819:AE819"/>
    <mergeCell ref="A820:C820"/>
    <mergeCell ref="D820:L820"/>
    <mergeCell ref="M820:N820"/>
    <mergeCell ref="O820:P820"/>
    <mergeCell ref="Q820:R820"/>
    <mergeCell ref="S820:T820"/>
    <mergeCell ref="U820:V820"/>
    <mergeCell ref="W820:X820"/>
    <mergeCell ref="Y820:AE820"/>
    <mergeCell ref="A821:C821"/>
    <mergeCell ref="D821:L821"/>
    <mergeCell ref="M821:N821"/>
    <mergeCell ref="O821:P821"/>
    <mergeCell ref="Q821:R821"/>
    <mergeCell ref="S821:T821"/>
    <mergeCell ref="U821:V821"/>
    <mergeCell ref="W821:X821"/>
    <mergeCell ref="Y821:AE821"/>
    <mergeCell ref="A822:C822"/>
    <mergeCell ref="D822:L822"/>
    <mergeCell ref="M822:N822"/>
    <mergeCell ref="O822:P822"/>
    <mergeCell ref="Q822:R822"/>
    <mergeCell ref="S822:T822"/>
    <mergeCell ref="U822:V822"/>
    <mergeCell ref="W822:X822"/>
    <mergeCell ref="Y822:AE822"/>
    <mergeCell ref="A823:C823"/>
    <mergeCell ref="D823:L823"/>
    <mergeCell ref="M823:N823"/>
    <mergeCell ref="O823:P823"/>
    <mergeCell ref="Q823:R823"/>
    <mergeCell ref="S823:T823"/>
    <mergeCell ref="U823:V823"/>
    <mergeCell ref="W823:X823"/>
    <mergeCell ref="Y823:AE823"/>
    <mergeCell ref="A824:C824"/>
    <mergeCell ref="D824:L824"/>
    <mergeCell ref="M824:N824"/>
    <mergeCell ref="O824:P824"/>
    <mergeCell ref="Q824:R824"/>
    <mergeCell ref="S824:T824"/>
    <mergeCell ref="U824:V824"/>
    <mergeCell ref="W824:X824"/>
    <mergeCell ref="Y824:AE824"/>
    <mergeCell ref="A825:C825"/>
    <mergeCell ref="D825:L825"/>
    <mergeCell ref="M825:N825"/>
    <mergeCell ref="O825:P825"/>
    <mergeCell ref="Q825:R825"/>
    <mergeCell ref="S825:T825"/>
    <mergeCell ref="U825:V825"/>
    <mergeCell ref="W825:X825"/>
    <mergeCell ref="Y825:AE825"/>
    <mergeCell ref="A826:C826"/>
    <mergeCell ref="D826:L826"/>
    <mergeCell ref="M826:N826"/>
    <mergeCell ref="O826:P826"/>
    <mergeCell ref="Q826:R826"/>
    <mergeCell ref="S826:T826"/>
    <mergeCell ref="U826:V826"/>
    <mergeCell ref="W826:X826"/>
    <mergeCell ref="Y826:AE826"/>
    <mergeCell ref="A827:C827"/>
    <mergeCell ref="D827:L827"/>
    <mergeCell ref="M827:N827"/>
    <mergeCell ref="O827:P827"/>
    <mergeCell ref="Q827:R827"/>
    <mergeCell ref="S827:T827"/>
    <mergeCell ref="U827:V827"/>
    <mergeCell ref="W827:X827"/>
    <mergeCell ref="Y827:AE827"/>
    <mergeCell ref="A828:C828"/>
    <mergeCell ref="D828:L828"/>
    <mergeCell ref="M828:N828"/>
    <mergeCell ref="O828:P828"/>
    <mergeCell ref="Q828:R828"/>
    <mergeCell ref="S828:T828"/>
    <mergeCell ref="U828:V828"/>
    <mergeCell ref="W828:X828"/>
    <mergeCell ref="Y828:AE828"/>
    <mergeCell ref="A829:C829"/>
    <mergeCell ref="D829:L829"/>
    <mergeCell ref="M829:N829"/>
    <mergeCell ref="O829:P829"/>
    <mergeCell ref="Q829:R829"/>
    <mergeCell ref="S829:T829"/>
    <mergeCell ref="U829:V829"/>
    <mergeCell ref="W829:X829"/>
    <mergeCell ref="Y829:AE829"/>
    <mergeCell ref="A830:C830"/>
    <mergeCell ref="D830:L830"/>
    <mergeCell ref="M830:N830"/>
    <mergeCell ref="O830:P830"/>
    <mergeCell ref="Q830:R830"/>
    <mergeCell ref="S830:T830"/>
    <mergeCell ref="U830:V830"/>
    <mergeCell ref="W830:X830"/>
    <mergeCell ref="Y830:AE830"/>
    <mergeCell ref="A831:C831"/>
    <mergeCell ref="D831:L831"/>
    <mergeCell ref="M831:N831"/>
    <mergeCell ref="O831:P831"/>
    <mergeCell ref="Q831:R831"/>
    <mergeCell ref="S831:T831"/>
    <mergeCell ref="U831:V831"/>
    <mergeCell ref="W831:X831"/>
    <mergeCell ref="Y831:AE831"/>
    <mergeCell ref="A834:B834"/>
    <mergeCell ref="C834:L834"/>
    <mergeCell ref="M834:Q834"/>
    <mergeCell ref="R834:AF834"/>
    <mergeCell ref="A836:C836"/>
    <mergeCell ref="D836:L836"/>
    <mergeCell ref="A837:C839"/>
    <mergeCell ref="D837:L839"/>
    <mergeCell ref="M837:N839"/>
    <mergeCell ref="O837:P839"/>
    <mergeCell ref="Q837:R839"/>
    <mergeCell ref="S837:T839"/>
    <mergeCell ref="U837:V839"/>
    <mergeCell ref="W837:X839"/>
    <mergeCell ref="Y837:AE839"/>
    <mergeCell ref="A840:C840"/>
    <mergeCell ref="D840:L840"/>
    <mergeCell ref="M840:N840"/>
    <mergeCell ref="O840:P840"/>
    <mergeCell ref="Q840:R840"/>
    <mergeCell ref="S840:T840"/>
    <mergeCell ref="U840:V840"/>
    <mergeCell ref="W840:X840"/>
    <mergeCell ref="Y840:AE840"/>
    <mergeCell ref="A841:C841"/>
    <mergeCell ref="D841:L841"/>
    <mergeCell ref="M841:N841"/>
    <mergeCell ref="O841:P841"/>
    <mergeCell ref="Q841:R841"/>
    <mergeCell ref="S841:T841"/>
    <mergeCell ref="U841:V841"/>
    <mergeCell ref="W841:X841"/>
    <mergeCell ref="Y841:AE841"/>
    <mergeCell ref="A842:C842"/>
    <mergeCell ref="D842:L842"/>
    <mergeCell ref="M842:N842"/>
    <mergeCell ref="O842:P842"/>
    <mergeCell ref="Q842:R842"/>
    <mergeCell ref="S842:T842"/>
    <mergeCell ref="U842:V842"/>
    <mergeCell ref="W842:X842"/>
    <mergeCell ref="Y842:AE842"/>
    <mergeCell ref="A843:C843"/>
    <mergeCell ref="D843:L843"/>
    <mergeCell ref="M843:N843"/>
    <mergeCell ref="O843:P843"/>
    <mergeCell ref="Q843:R843"/>
    <mergeCell ref="S843:T843"/>
    <mergeCell ref="U843:V843"/>
    <mergeCell ref="W843:X843"/>
    <mergeCell ref="Y843:AE843"/>
    <mergeCell ref="A844:C844"/>
    <mergeCell ref="D844:L844"/>
    <mergeCell ref="M844:N844"/>
    <mergeCell ref="O844:P844"/>
    <mergeCell ref="Q844:R844"/>
    <mergeCell ref="S844:T844"/>
    <mergeCell ref="U844:V844"/>
    <mergeCell ref="W844:X844"/>
    <mergeCell ref="Y844:AE844"/>
    <mergeCell ref="A845:C845"/>
    <mergeCell ref="D845:L845"/>
    <mergeCell ref="M845:N845"/>
    <mergeCell ref="O845:P845"/>
    <mergeCell ref="Q845:R845"/>
    <mergeCell ref="S845:T845"/>
    <mergeCell ref="U845:V845"/>
    <mergeCell ref="W845:X845"/>
    <mergeCell ref="Y845:AE845"/>
    <mergeCell ref="A846:C846"/>
    <mergeCell ref="D846:L846"/>
    <mergeCell ref="M846:N846"/>
    <mergeCell ref="O846:P846"/>
    <mergeCell ref="Q846:R846"/>
    <mergeCell ref="S846:T846"/>
    <mergeCell ref="U846:V846"/>
    <mergeCell ref="W846:X846"/>
    <mergeCell ref="Y846:AE846"/>
    <mergeCell ref="A847:C847"/>
    <mergeCell ref="D847:L847"/>
    <mergeCell ref="M847:N847"/>
    <mergeCell ref="O847:P847"/>
    <mergeCell ref="Q847:R847"/>
    <mergeCell ref="S847:T847"/>
    <mergeCell ref="U847:V847"/>
    <mergeCell ref="W847:X847"/>
    <mergeCell ref="Y847:AE847"/>
    <mergeCell ref="A848:C848"/>
    <mergeCell ref="D848:L848"/>
    <mergeCell ref="M848:N848"/>
    <mergeCell ref="O848:P848"/>
    <mergeCell ref="Q848:R848"/>
    <mergeCell ref="S848:T848"/>
    <mergeCell ref="U848:V848"/>
    <mergeCell ref="W848:X848"/>
    <mergeCell ref="Y848:AE848"/>
    <mergeCell ref="A849:C849"/>
    <mergeCell ref="D849:L849"/>
    <mergeCell ref="M849:N849"/>
    <mergeCell ref="O849:P849"/>
    <mergeCell ref="Q849:R849"/>
    <mergeCell ref="S849:T849"/>
    <mergeCell ref="U849:V849"/>
    <mergeCell ref="W849:X849"/>
    <mergeCell ref="Y849:AE849"/>
    <mergeCell ref="A850:C850"/>
    <mergeCell ref="D850:L850"/>
    <mergeCell ref="M850:N850"/>
    <mergeCell ref="O850:P850"/>
    <mergeCell ref="Q850:R850"/>
    <mergeCell ref="S850:T850"/>
    <mergeCell ref="U850:V850"/>
    <mergeCell ref="W850:X850"/>
    <mergeCell ref="Y850:AE850"/>
    <mergeCell ref="A851:C851"/>
    <mergeCell ref="D851:L851"/>
    <mergeCell ref="M851:N851"/>
    <mergeCell ref="O851:P851"/>
    <mergeCell ref="Q851:R851"/>
    <mergeCell ref="S851:T851"/>
    <mergeCell ref="U851:V851"/>
    <mergeCell ref="W851:X851"/>
    <mergeCell ref="Y851:AE851"/>
    <mergeCell ref="A852:C852"/>
    <mergeCell ref="D852:L852"/>
    <mergeCell ref="M852:N852"/>
    <mergeCell ref="O852:P852"/>
    <mergeCell ref="Q852:R852"/>
    <mergeCell ref="S852:T852"/>
    <mergeCell ref="U852:V852"/>
    <mergeCell ref="W852:X852"/>
    <mergeCell ref="Y852:AE852"/>
    <mergeCell ref="A853:C853"/>
    <mergeCell ref="D853:L853"/>
    <mergeCell ref="M853:N853"/>
    <mergeCell ref="O853:P853"/>
    <mergeCell ref="Q853:R853"/>
    <mergeCell ref="S853:T853"/>
    <mergeCell ref="U853:V853"/>
    <mergeCell ref="W853:X853"/>
    <mergeCell ref="Y853:AE853"/>
    <mergeCell ref="A854:C854"/>
    <mergeCell ref="D854:L854"/>
    <mergeCell ref="M854:N854"/>
    <mergeCell ref="O854:P854"/>
    <mergeCell ref="Q854:R854"/>
    <mergeCell ref="S854:T854"/>
    <mergeCell ref="U854:V854"/>
    <mergeCell ref="W854:X854"/>
    <mergeCell ref="Y854:AE854"/>
    <mergeCell ref="A855:C855"/>
    <mergeCell ref="D855:L855"/>
    <mergeCell ref="M855:N855"/>
    <mergeCell ref="O855:P855"/>
    <mergeCell ref="Q855:R855"/>
    <mergeCell ref="S855:T855"/>
    <mergeCell ref="U855:V855"/>
    <mergeCell ref="W855:X855"/>
    <mergeCell ref="Y855:AE855"/>
    <mergeCell ref="A856:C856"/>
    <mergeCell ref="D856:L856"/>
    <mergeCell ref="M856:N856"/>
    <mergeCell ref="O856:P856"/>
    <mergeCell ref="Q856:R856"/>
    <mergeCell ref="S856:T856"/>
    <mergeCell ref="U856:V856"/>
    <mergeCell ref="W856:X856"/>
    <mergeCell ref="Y856:AE856"/>
    <mergeCell ref="A857:C857"/>
    <mergeCell ref="D857:L857"/>
    <mergeCell ref="M857:N857"/>
    <mergeCell ref="O857:P857"/>
    <mergeCell ref="Q857:R857"/>
    <mergeCell ref="S857:T857"/>
    <mergeCell ref="U857:V857"/>
    <mergeCell ref="W857:X857"/>
    <mergeCell ref="Y857:AE857"/>
    <mergeCell ref="A858:C858"/>
    <mergeCell ref="D858:L858"/>
    <mergeCell ref="M858:N858"/>
    <mergeCell ref="O858:P858"/>
    <mergeCell ref="Q858:R858"/>
    <mergeCell ref="S858:T858"/>
    <mergeCell ref="U858:V858"/>
    <mergeCell ref="W858:X858"/>
    <mergeCell ref="Y858:AE858"/>
    <mergeCell ref="A861:B861"/>
    <mergeCell ref="C861:L861"/>
    <mergeCell ref="M861:Q861"/>
    <mergeCell ref="R861:AF861"/>
    <mergeCell ref="A863:C863"/>
    <mergeCell ref="D863:L863"/>
    <mergeCell ref="A864:C866"/>
    <mergeCell ref="D864:L866"/>
    <mergeCell ref="M864:N866"/>
    <mergeCell ref="O864:P866"/>
    <mergeCell ref="Q864:R866"/>
    <mergeCell ref="S864:T866"/>
    <mergeCell ref="U864:V866"/>
    <mergeCell ref="W864:X866"/>
    <mergeCell ref="Y864:AE866"/>
    <mergeCell ref="A867:C867"/>
    <mergeCell ref="D867:L867"/>
    <mergeCell ref="M867:N867"/>
    <mergeCell ref="O867:P867"/>
    <mergeCell ref="Q867:R867"/>
    <mergeCell ref="S867:T867"/>
    <mergeCell ref="U867:V867"/>
    <mergeCell ref="W867:X867"/>
    <mergeCell ref="Y867:AE867"/>
    <mergeCell ref="A868:C868"/>
    <mergeCell ref="D868:L868"/>
    <mergeCell ref="M868:N868"/>
    <mergeCell ref="O868:P868"/>
    <mergeCell ref="Q868:R868"/>
    <mergeCell ref="S868:T868"/>
    <mergeCell ref="U868:V868"/>
    <mergeCell ref="W868:X868"/>
    <mergeCell ref="Y868:AE868"/>
    <mergeCell ref="A869:C869"/>
    <mergeCell ref="D869:L869"/>
    <mergeCell ref="M869:N869"/>
    <mergeCell ref="O869:P869"/>
    <mergeCell ref="Q869:R869"/>
    <mergeCell ref="S869:T869"/>
    <mergeCell ref="U869:V869"/>
    <mergeCell ref="W869:X869"/>
    <mergeCell ref="Y869:AE869"/>
    <mergeCell ref="A870:C870"/>
    <mergeCell ref="D870:L870"/>
    <mergeCell ref="M870:N870"/>
    <mergeCell ref="O870:P870"/>
    <mergeCell ref="Q870:R870"/>
    <mergeCell ref="S870:T870"/>
    <mergeCell ref="U870:V870"/>
    <mergeCell ref="W870:X870"/>
    <mergeCell ref="Y870:AE870"/>
    <mergeCell ref="A871:C871"/>
    <mergeCell ref="D871:L871"/>
    <mergeCell ref="M871:N871"/>
    <mergeCell ref="O871:P871"/>
    <mergeCell ref="Q871:R871"/>
    <mergeCell ref="S871:T871"/>
    <mergeCell ref="U871:V871"/>
    <mergeCell ref="W871:X871"/>
    <mergeCell ref="Y871:AE871"/>
    <mergeCell ref="A872:C872"/>
    <mergeCell ref="D872:L872"/>
    <mergeCell ref="M872:N872"/>
    <mergeCell ref="O872:P872"/>
    <mergeCell ref="Q872:R872"/>
    <mergeCell ref="S872:T872"/>
    <mergeCell ref="U872:V872"/>
    <mergeCell ref="W872:X872"/>
    <mergeCell ref="Y872:AE872"/>
    <mergeCell ref="A873:C873"/>
    <mergeCell ref="D873:L873"/>
    <mergeCell ref="M873:N873"/>
    <mergeCell ref="O873:P873"/>
    <mergeCell ref="Q873:R873"/>
    <mergeCell ref="S873:T873"/>
    <mergeCell ref="U873:V873"/>
    <mergeCell ref="W873:X873"/>
    <mergeCell ref="Y873:AE873"/>
    <mergeCell ref="A874:C874"/>
    <mergeCell ref="D874:L874"/>
    <mergeCell ref="M874:N874"/>
    <mergeCell ref="O874:P874"/>
    <mergeCell ref="Q874:R874"/>
    <mergeCell ref="S874:T874"/>
    <mergeCell ref="U874:V874"/>
    <mergeCell ref="W874:X874"/>
    <mergeCell ref="Y874:AE874"/>
    <mergeCell ref="A875:C875"/>
    <mergeCell ref="D875:L875"/>
    <mergeCell ref="M875:N875"/>
    <mergeCell ref="O875:P875"/>
    <mergeCell ref="Q875:R875"/>
    <mergeCell ref="S875:T875"/>
    <mergeCell ref="U875:V875"/>
    <mergeCell ref="W875:X875"/>
    <mergeCell ref="Y875:AE875"/>
    <mergeCell ref="A876:C876"/>
    <mergeCell ref="D876:L876"/>
    <mergeCell ref="M876:N876"/>
    <mergeCell ref="O876:P876"/>
    <mergeCell ref="Q876:R876"/>
    <mergeCell ref="S876:T876"/>
    <mergeCell ref="U876:V876"/>
    <mergeCell ref="W876:X876"/>
    <mergeCell ref="Y876:AE876"/>
    <mergeCell ref="A877:C877"/>
    <mergeCell ref="D877:L877"/>
    <mergeCell ref="M877:N877"/>
    <mergeCell ref="O877:P877"/>
    <mergeCell ref="Q877:R877"/>
    <mergeCell ref="S877:T877"/>
    <mergeCell ref="U877:V877"/>
    <mergeCell ref="W877:X877"/>
    <mergeCell ref="Y877:AE877"/>
    <mergeCell ref="A878:C878"/>
    <mergeCell ref="D878:L878"/>
    <mergeCell ref="M878:N878"/>
    <mergeCell ref="O878:P878"/>
    <mergeCell ref="Q878:R878"/>
    <mergeCell ref="S878:T878"/>
    <mergeCell ref="U878:V878"/>
    <mergeCell ref="W878:X878"/>
    <mergeCell ref="Y878:AE878"/>
    <mergeCell ref="A879:C879"/>
    <mergeCell ref="D879:L879"/>
    <mergeCell ref="M879:N879"/>
    <mergeCell ref="O879:P879"/>
    <mergeCell ref="Q879:R879"/>
    <mergeCell ref="S879:T879"/>
    <mergeCell ref="U879:V879"/>
    <mergeCell ref="W879:X879"/>
    <mergeCell ref="Y879:AE879"/>
    <mergeCell ref="A880:C880"/>
    <mergeCell ref="D880:L880"/>
    <mergeCell ref="M880:N880"/>
    <mergeCell ref="O880:P880"/>
    <mergeCell ref="Q880:R880"/>
    <mergeCell ref="S880:T880"/>
    <mergeCell ref="U880:V880"/>
    <mergeCell ref="W880:X880"/>
    <mergeCell ref="Y880:AE880"/>
    <mergeCell ref="A881:C881"/>
    <mergeCell ref="D881:L881"/>
    <mergeCell ref="M881:N881"/>
    <mergeCell ref="O881:P881"/>
    <mergeCell ref="Q881:R881"/>
    <mergeCell ref="S881:T881"/>
    <mergeCell ref="U881:V881"/>
    <mergeCell ref="W881:X881"/>
    <mergeCell ref="Y881:AE881"/>
    <mergeCell ref="A882:C882"/>
    <mergeCell ref="D882:L882"/>
    <mergeCell ref="M882:N882"/>
    <mergeCell ref="O882:P882"/>
    <mergeCell ref="Q882:R882"/>
    <mergeCell ref="S882:T882"/>
    <mergeCell ref="U882:V882"/>
    <mergeCell ref="W882:X882"/>
    <mergeCell ref="Y882:AE882"/>
    <mergeCell ref="A883:C883"/>
    <mergeCell ref="D883:L883"/>
    <mergeCell ref="M883:N883"/>
    <mergeCell ref="O883:P883"/>
    <mergeCell ref="Q883:R883"/>
    <mergeCell ref="S883:T883"/>
    <mergeCell ref="U883:V883"/>
    <mergeCell ref="W883:X883"/>
    <mergeCell ref="Y883:AE883"/>
    <mergeCell ref="A884:C884"/>
    <mergeCell ref="D884:L884"/>
    <mergeCell ref="M884:N884"/>
    <mergeCell ref="O884:P884"/>
    <mergeCell ref="Q884:R884"/>
    <mergeCell ref="S884:T884"/>
    <mergeCell ref="U884:V884"/>
    <mergeCell ref="W884:X884"/>
    <mergeCell ref="Y884:AE884"/>
    <mergeCell ref="A885:C885"/>
    <mergeCell ref="D885:L885"/>
    <mergeCell ref="M885:N885"/>
    <mergeCell ref="O885:P885"/>
    <mergeCell ref="Q885:R885"/>
    <mergeCell ref="S885:T885"/>
    <mergeCell ref="U885:V885"/>
    <mergeCell ref="W885:X885"/>
    <mergeCell ref="Y885:AE885"/>
    <mergeCell ref="A888:B888"/>
    <mergeCell ref="C888:L888"/>
    <mergeCell ref="M888:Q888"/>
    <mergeCell ref="R888:AF888"/>
    <mergeCell ref="A890:C890"/>
    <mergeCell ref="D890:L890"/>
    <mergeCell ref="A891:C893"/>
    <mergeCell ref="D891:L893"/>
    <mergeCell ref="M891:N893"/>
    <mergeCell ref="O891:P893"/>
    <mergeCell ref="Q891:R893"/>
    <mergeCell ref="S891:T893"/>
    <mergeCell ref="U891:V893"/>
    <mergeCell ref="W891:X893"/>
    <mergeCell ref="Y891:AE893"/>
    <mergeCell ref="A894:C894"/>
    <mergeCell ref="D894:L894"/>
    <mergeCell ref="M894:N894"/>
    <mergeCell ref="O894:P894"/>
    <mergeCell ref="Q894:R894"/>
    <mergeCell ref="S894:T894"/>
    <mergeCell ref="U894:V894"/>
    <mergeCell ref="W894:X894"/>
    <mergeCell ref="Y894:AE894"/>
    <mergeCell ref="A895:C895"/>
    <mergeCell ref="D895:L895"/>
    <mergeCell ref="M895:N895"/>
    <mergeCell ref="O895:P895"/>
    <mergeCell ref="Q895:R895"/>
    <mergeCell ref="S895:T895"/>
    <mergeCell ref="U895:V895"/>
    <mergeCell ref="W895:X895"/>
    <mergeCell ref="Y895:AE895"/>
    <mergeCell ref="A896:C896"/>
    <mergeCell ref="D896:L896"/>
    <mergeCell ref="M896:N896"/>
    <mergeCell ref="O896:P896"/>
    <mergeCell ref="Q896:R896"/>
    <mergeCell ref="S896:T896"/>
    <mergeCell ref="U896:V896"/>
    <mergeCell ref="W896:X896"/>
    <mergeCell ref="Y896:AE896"/>
    <mergeCell ref="A897:C897"/>
    <mergeCell ref="D897:L897"/>
    <mergeCell ref="M897:N897"/>
    <mergeCell ref="O897:P897"/>
    <mergeCell ref="Q897:R897"/>
    <mergeCell ref="S897:T897"/>
    <mergeCell ref="U897:V897"/>
    <mergeCell ref="W897:X897"/>
    <mergeCell ref="Y897:AE897"/>
    <mergeCell ref="A898:C898"/>
    <mergeCell ref="D898:L898"/>
    <mergeCell ref="M898:N898"/>
    <mergeCell ref="O898:P898"/>
    <mergeCell ref="Q898:R898"/>
    <mergeCell ref="S898:T898"/>
    <mergeCell ref="U898:V898"/>
    <mergeCell ref="W898:X898"/>
    <mergeCell ref="Y898:AE898"/>
    <mergeCell ref="A899:C899"/>
    <mergeCell ref="D899:L899"/>
    <mergeCell ref="M899:N899"/>
    <mergeCell ref="O899:P899"/>
    <mergeCell ref="Q899:R899"/>
    <mergeCell ref="S899:T899"/>
    <mergeCell ref="U899:V899"/>
    <mergeCell ref="W899:X899"/>
    <mergeCell ref="Y899:AE899"/>
    <mergeCell ref="A900:C900"/>
    <mergeCell ref="D900:L900"/>
    <mergeCell ref="M900:N900"/>
    <mergeCell ref="O900:P900"/>
    <mergeCell ref="Q900:R900"/>
    <mergeCell ref="S900:T900"/>
    <mergeCell ref="U900:V900"/>
    <mergeCell ref="W900:X900"/>
    <mergeCell ref="Y900:AE900"/>
    <mergeCell ref="A901:C901"/>
    <mergeCell ref="D901:L901"/>
    <mergeCell ref="M901:N901"/>
    <mergeCell ref="O901:P901"/>
    <mergeCell ref="Q901:R901"/>
    <mergeCell ref="S901:T901"/>
    <mergeCell ref="U901:V901"/>
    <mergeCell ref="W901:X901"/>
    <mergeCell ref="Y901:AE901"/>
    <mergeCell ref="A902:C902"/>
    <mergeCell ref="D902:L902"/>
    <mergeCell ref="M902:N902"/>
    <mergeCell ref="O902:P902"/>
    <mergeCell ref="Q902:R902"/>
    <mergeCell ref="S902:T902"/>
    <mergeCell ref="U902:V902"/>
    <mergeCell ref="W902:X902"/>
    <mergeCell ref="Y902:AE902"/>
    <mergeCell ref="A903:C903"/>
    <mergeCell ref="D903:L903"/>
    <mergeCell ref="M903:N903"/>
    <mergeCell ref="O903:P903"/>
    <mergeCell ref="Q903:R903"/>
    <mergeCell ref="S903:T903"/>
    <mergeCell ref="U903:V903"/>
    <mergeCell ref="W903:X903"/>
    <mergeCell ref="Y903:AE903"/>
    <mergeCell ref="A904:C904"/>
    <mergeCell ref="D904:L904"/>
    <mergeCell ref="M904:N904"/>
    <mergeCell ref="O904:P904"/>
    <mergeCell ref="Q904:R904"/>
    <mergeCell ref="S904:T904"/>
    <mergeCell ref="U904:V904"/>
    <mergeCell ref="W904:X904"/>
    <mergeCell ref="Y904:AE904"/>
    <mergeCell ref="A905:C905"/>
    <mergeCell ref="D905:L905"/>
    <mergeCell ref="M905:N905"/>
    <mergeCell ref="O905:P905"/>
    <mergeCell ref="Q905:R905"/>
    <mergeCell ref="S905:T905"/>
    <mergeCell ref="U905:V905"/>
    <mergeCell ref="W905:X905"/>
    <mergeCell ref="Y905:AE905"/>
    <mergeCell ref="A906:C906"/>
    <mergeCell ref="D906:L906"/>
    <mergeCell ref="M906:N906"/>
    <mergeCell ref="O906:P906"/>
    <mergeCell ref="Q906:R906"/>
    <mergeCell ref="S906:T906"/>
    <mergeCell ref="U906:V906"/>
    <mergeCell ref="W906:X906"/>
    <mergeCell ref="Y906:AE906"/>
    <mergeCell ref="A907:C907"/>
    <mergeCell ref="D907:L907"/>
    <mergeCell ref="M907:N907"/>
    <mergeCell ref="O907:P907"/>
    <mergeCell ref="Q907:R907"/>
    <mergeCell ref="S907:T907"/>
    <mergeCell ref="U907:V907"/>
    <mergeCell ref="W907:X907"/>
    <mergeCell ref="Y907:AE907"/>
    <mergeCell ref="A908:C908"/>
    <mergeCell ref="D908:L908"/>
    <mergeCell ref="M908:N908"/>
    <mergeCell ref="O908:P908"/>
    <mergeCell ref="Q908:R908"/>
    <mergeCell ref="S908:T908"/>
    <mergeCell ref="U908:V908"/>
    <mergeCell ref="W908:X908"/>
    <mergeCell ref="Y908:AE908"/>
    <mergeCell ref="A909:C909"/>
    <mergeCell ref="D909:L909"/>
    <mergeCell ref="M909:N909"/>
    <mergeCell ref="O909:P909"/>
    <mergeCell ref="Q909:R909"/>
    <mergeCell ref="S909:T909"/>
    <mergeCell ref="U909:V909"/>
    <mergeCell ref="W909:X909"/>
    <mergeCell ref="Y909:AE909"/>
    <mergeCell ref="A910:C910"/>
    <mergeCell ref="D910:L910"/>
    <mergeCell ref="M910:N910"/>
    <mergeCell ref="O910:P910"/>
    <mergeCell ref="Q910:R910"/>
    <mergeCell ref="S910:T910"/>
    <mergeCell ref="U910:V910"/>
    <mergeCell ref="W910:X910"/>
    <mergeCell ref="Y910:AE910"/>
    <mergeCell ref="A911:C911"/>
    <mergeCell ref="D911:L911"/>
    <mergeCell ref="M911:N911"/>
    <mergeCell ref="O911:P911"/>
    <mergeCell ref="Q911:R911"/>
    <mergeCell ref="S911:T911"/>
    <mergeCell ref="U911:V911"/>
    <mergeCell ref="W911:X911"/>
    <mergeCell ref="Y911:AE911"/>
    <mergeCell ref="A912:C912"/>
    <mergeCell ref="D912:L912"/>
    <mergeCell ref="M912:N912"/>
    <mergeCell ref="O912:P912"/>
    <mergeCell ref="Q912:R912"/>
    <mergeCell ref="S912:T912"/>
    <mergeCell ref="U912:V912"/>
    <mergeCell ref="W912:X912"/>
    <mergeCell ref="Y912:AE912"/>
    <mergeCell ref="A915:B915"/>
    <mergeCell ref="C915:L915"/>
    <mergeCell ref="M915:Q915"/>
    <mergeCell ref="R915:AF915"/>
    <mergeCell ref="A917:C917"/>
    <mergeCell ref="D917:L917"/>
    <mergeCell ref="A918:C920"/>
    <mergeCell ref="D918:L920"/>
    <mergeCell ref="M918:N920"/>
    <mergeCell ref="O918:P920"/>
    <mergeCell ref="Q918:R920"/>
    <mergeCell ref="S918:T920"/>
    <mergeCell ref="U918:V920"/>
    <mergeCell ref="W918:X920"/>
    <mergeCell ref="Y918:AE920"/>
    <mergeCell ref="A921:C921"/>
    <mergeCell ref="D921:L921"/>
    <mergeCell ref="M921:N921"/>
    <mergeCell ref="O921:P921"/>
    <mergeCell ref="Q921:R921"/>
    <mergeCell ref="S921:T921"/>
    <mergeCell ref="U921:V921"/>
    <mergeCell ref="W921:X921"/>
    <mergeCell ref="Y921:AE921"/>
    <mergeCell ref="A922:C922"/>
    <mergeCell ref="D922:L922"/>
    <mergeCell ref="M922:N922"/>
    <mergeCell ref="O922:P922"/>
    <mergeCell ref="Q922:R922"/>
    <mergeCell ref="S922:T922"/>
    <mergeCell ref="U922:V922"/>
    <mergeCell ref="W922:X922"/>
    <mergeCell ref="Y922:AE922"/>
    <mergeCell ref="A923:C923"/>
    <mergeCell ref="D923:L923"/>
    <mergeCell ref="M923:N923"/>
    <mergeCell ref="O923:P923"/>
    <mergeCell ref="Q923:R923"/>
    <mergeCell ref="S923:T923"/>
    <mergeCell ref="U923:V923"/>
    <mergeCell ref="W923:X923"/>
    <mergeCell ref="Y923:AE923"/>
    <mergeCell ref="A924:C924"/>
    <mergeCell ref="D924:L924"/>
    <mergeCell ref="M924:N924"/>
    <mergeCell ref="O924:P924"/>
    <mergeCell ref="Q924:R924"/>
    <mergeCell ref="S924:T924"/>
    <mergeCell ref="U924:V924"/>
    <mergeCell ref="W924:X924"/>
    <mergeCell ref="Y924:AE924"/>
    <mergeCell ref="A925:C925"/>
    <mergeCell ref="D925:L925"/>
    <mergeCell ref="M925:N925"/>
    <mergeCell ref="O925:P925"/>
    <mergeCell ref="Q925:R925"/>
    <mergeCell ref="S925:T925"/>
    <mergeCell ref="U925:V925"/>
    <mergeCell ref="W925:X925"/>
    <mergeCell ref="Y925:AE925"/>
    <mergeCell ref="A926:C926"/>
    <mergeCell ref="D926:L926"/>
    <mergeCell ref="M926:N926"/>
    <mergeCell ref="O926:P926"/>
    <mergeCell ref="Q926:R926"/>
    <mergeCell ref="S926:T926"/>
    <mergeCell ref="U926:V926"/>
    <mergeCell ref="W926:X926"/>
    <mergeCell ref="Y926:AE926"/>
    <mergeCell ref="A927:C927"/>
    <mergeCell ref="D927:L927"/>
    <mergeCell ref="M927:N927"/>
    <mergeCell ref="O927:P927"/>
    <mergeCell ref="Q927:R927"/>
    <mergeCell ref="S927:T927"/>
    <mergeCell ref="U927:V927"/>
    <mergeCell ref="W927:X927"/>
    <mergeCell ref="Y927:AE927"/>
    <mergeCell ref="A928:C928"/>
    <mergeCell ref="D928:L928"/>
    <mergeCell ref="M928:N928"/>
    <mergeCell ref="O928:P928"/>
    <mergeCell ref="Q928:R928"/>
    <mergeCell ref="S928:T928"/>
    <mergeCell ref="U928:V928"/>
    <mergeCell ref="W928:X928"/>
    <mergeCell ref="Y928:AE928"/>
    <mergeCell ref="A929:C929"/>
    <mergeCell ref="D929:L929"/>
    <mergeCell ref="M929:N929"/>
    <mergeCell ref="O929:P929"/>
    <mergeCell ref="Q929:R929"/>
    <mergeCell ref="S929:T929"/>
    <mergeCell ref="U929:V929"/>
    <mergeCell ref="W929:X929"/>
    <mergeCell ref="Y929:AE929"/>
    <mergeCell ref="A930:C930"/>
    <mergeCell ref="D930:L930"/>
    <mergeCell ref="M930:N930"/>
    <mergeCell ref="O930:P930"/>
    <mergeCell ref="Q930:R930"/>
    <mergeCell ref="S930:T930"/>
    <mergeCell ref="U930:V930"/>
    <mergeCell ref="W930:X930"/>
    <mergeCell ref="Y930:AE930"/>
    <mergeCell ref="A931:C931"/>
    <mergeCell ref="D931:L931"/>
    <mergeCell ref="M931:N931"/>
    <mergeCell ref="O931:P931"/>
    <mergeCell ref="Q931:R931"/>
    <mergeCell ref="S931:T931"/>
    <mergeCell ref="U931:V931"/>
    <mergeCell ref="W931:X931"/>
    <mergeCell ref="Y931:AE931"/>
    <mergeCell ref="A932:C932"/>
    <mergeCell ref="D932:L932"/>
    <mergeCell ref="M932:N932"/>
    <mergeCell ref="O932:P932"/>
    <mergeCell ref="Q932:R932"/>
    <mergeCell ref="S932:T932"/>
    <mergeCell ref="U932:V932"/>
    <mergeCell ref="W932:X932"/>
    <mergeCell ref="Y932:AE932"/>
    <mergeCell ref="A933:C933"/>
    <mergeCell ref="D933:L933"/>
    <mergeCell ref="M933:N933"/>
    <mergeCell ref="O933:P933"/>
    <mergeCell ref="Q933:R933"/>
    <mergeCell ref="S933:T933"/>
    <mergeCell ref="U933:V933"/>
    <mergeCell ref="W933:X933"/>
    <mergeCell ref="Y933:AE933"/>
    <mergeCell ref="A934:C934"/>
    <mergeCell ref="D934:L934"/>
    <mergeCell ref="M934:N934"/>
    <mergeCell ref="O934:P934"/>
    <mergeCell ref="Q934:R934"/>
    <mergeCell ref="S934:T934"/>
    <mergeCell ref="U934:V934"/>
    <mergeCell ref="W934:X934"/>
    <mergeCell ref="Y934:AE934"/>
    <mergeCell ref="A935:C935"/>
    <mergeCell ref="D935:L935"/>
    <mergeCell ref="M935:N935"/>
    <mergeCell ref="O935:P935"/>
    <mergeCell ref="Q935:R935"/>
    <mergeCell ref="S935:T935"/>
    <mergeCell ref="U935:V935"/>
    <mergeCell ref="W935:X935"/>
    <mergeCell ref="Y935:AE935"/>
    <mergeCell ref="A936:C936"/>
    <mergeCell ref="D936:L936"/>
    <mergeCell ref="M936:N936"/>
    <mergeCell ref="O936:P936"/>
    <mergeCell ref="Q936:R936"/>
    <mergeCell ref="S936:T936"/>
    <mergeCell ref="U936:V936"/>
    <mergeCell ref="W936:X936"/>
    <mergeCell ref="Y936:AE936"/>
    <mergeCell ref="A937:C937"/>
    <mergeCell ref="D937:L937"/>
    <mergeCell ref="M937:N937"/>
    <mergeCell ref="O937:P937"/>
    <mergeCell ref="Q937:R937"/>
    <mergeCell ref="S937:T937"/>
    <mergeCell ref="U937:V937"/>
    <mergeCell ref="W937:X937"/>
    <mergeCell ref="Y937:AE937"/>
    <mergeCell ref="A938:C938"/>
    <mergeCell ref="D938:L938"/>
    <mergeCell ref="M938:N938"/>
    <mergeCell ref="O938:P938"/>
    <mergeCell ref="Q938:R938"/>
    <mergeCell ref="S938:T938"/>
    <mergeCell ref="U938:V938"/>
    <mergeCell ref="W938:X938"/>
    <mergeCell ref="Y938:AE938"/>
    <mergeCell ref="A939:C939"/>
    <mergeCell ref="D939:L939"/>
    <mergeCell ref="M939:N939"/>
    <mergeCell ref="O939:P939"/>
    <mergeCell ref="Q939:R939"/>
    <mergeCell ref="S939:T939"/>
    <mergeCell ref="U939:V939"/>
    <mergeCell ref="W939:X939"/>
    <mergeCell ref="Y939:AE939"/>
    <mergeCell ref="A942:B942"/>
    <mergeCell ref="C942:L942"/>
    <mergeCell ref="M942:Q942"/>
    <mergeCell ref="R942:AF942"/>
    <mergeCell ref="A944:C944"/>
    <mergeCell ref="D944:L944"/>
    <mergeCell ref="A945:C947"/>
    <mergeCell ref="D945:L947"/>
    <mergeCell ref="M945:N947"/>
    <mergeCell ref="O945:P947"/>
    <mergeCell ref="Q945:R947"/>
    <mergeCell ref="S945:T947"/>
    <mergeCell ref="U945:V947"/>
    <mergeCell ref="W945:X947"/>
    <mergeCell ref="Y945:AE947"/>
    <mergeCell ref="A948:C948"/>
    <mergeCell ref="D948:L948"/>
    <mergeCell ref="M948:N948"/>
    <mergeCell ref="O948:P948"/>
    <mergeCell ref="Q948:R948"/>
    <mergeCell ref="S948:T948"/>
    <mergeCell ref="U948:V948"/>
    <mergeCell ref="W948:X948"/>
    <mergeCell ref="Y948:AE948"/>
    <mergeCell ref="A949:C949"/>
    <mergeCell ref="D949:L949"/>
    <mergeCell ref="M949:N949"/>
    <mergeCell ref="O949:P949"/>
    <mergeCell ref="Q949:R949"/>
    <mergeCell ref="S949:T949"/>
    <mergeCell ref="U949:V949"/>
    <mergeCell ref="W949:X949"/>
    <mergeCell ref="Y949:AE949"/>
    <mergeCell ref="A950:C950"/>
    <mergeCell ref="D950:L950"/>
    <mergeCell ref="M950:N950"/>
    <mergeCell ref="O950:P950"/>
    <mergeCell ref="Q950:R950"/>
    <mergeCell ref="S950:T950"/>
    <mergeCell ref="U950:V950"/>
    <mergeCell ref="W950:X950"/>
    <mergeCell ref="Y950:AE950"/>
    <mergeCell ref="A951:C951"/>
    <mergeCell ref="D951:L951"/>
    <mergeCell ref="M951:N951"/>
    <mergeCell ref="O951:P951"/>
    <mergeCell ref="Q951:R951"/>
    <mergeCell ref="S951:T951"/>
    <mergeCell ref="U951:V951"/>
    <mergeCell ref="W951:X951"/>
    <mergeCell ref="Y951:AE951"/>
    <mergeCell ref="A952:C952"/>
    <mergeCell ref="D952:L952"/>
    <mergeCell ref="M952:N952"/>
    <mergeCell ref="O952:P952"/>
    <mergeCell ref="Q952:R952"/>
    <mergeCell ref="S952:T952"/>
    <mergeCell ref="U952:V952"/>
    <mergeCell ref="W952:X952"/>
    <mergeCell ref="Y952:AE952"/>
    <mergeCell ref="A953:C953"/>
    <mergeCell ref="D953:L953"/>
    <mergeCell ref="M953:N953"/>
    <mergeCell ref="O953:P953"/>
    <mergeCell ref="Q953:R953"/>
    <mergeCell ref="S953:T953"/>
    <mergeCell ref="U953:V953"/>
    <mergeCell ref="W953:X953"/>
    <mergeCell ref="Y953:AE953"/>
    <mergeCell ref="A954:C954"/>
    <mergeCell ref="D954:L954"/>
    <mergeCell ref="M954:N954"/>
    <mergeCell ref="O954:P954"/>
    <mergeCell ref="Q954:R954"/>
    <mergeCell ref="S954:T954"/>
    <mergeCell ref="U954:V954"/>
    <mergeCell ref="W954:X954"/>
    <mergeCell ref="Y954:AE954"/>
    <mergeCell ref="A955:C955"/>
    <mergeCell ref="D955:L955"/>
    <mergeCell ref="M955:N955"/>
    <mergeCell ref="O955:P955"/>
    <mergeCell ref="Q955:R955"/>
    <mergeCell ref="S955:T955"/>
    <mergeCell ref="U955:V955"/>
    <mergeCell ref="W955:X955"/>
    <mergeCell ref="Y955:AE955"/>
    <mergeCell ref="A956:C956"/>
    <mergeCell ref="D956:L956"/>
    <mergeCell ref="M956:N956"/>
    <mergeCell ref="O956:P956"/>
    <mergeCell ref="Q956:R956"/>
    <mergeCell ref="S956:T956"/>
    <mergeCell ref="U956:V956"/>
    <mergeCell ref="W956:X956"/>
    <mergeCell ref="Y956:AE956"/>
    <mergeCell ref="A957:C957"/>
    <mergeCell ref="D957:L957"/>
    <mergeCell ref="M957:N957"/>
    <mergeCell ref="O957:P957"/>
    <mergeCell ref="Q957:R957"/>
    <mergeCell ref="S957:T957"/>
    <mergeCell ref="U957:V957"/>
    <mergeCell ref="W957:X957"/>
    <mergeCell ref="Y957:AE957"/>
    <mergeCell ref="A958:C958"/>
    <mergeCell ref="D958:L958"/>
    <mergeCell ref="M958:N958"/>
    <mergeCell ref="O958:P958"/>
    <mergeCell ref="Q958:R958"/>
    <mergeCell ref="S958:T958"/>
    <mergeCell ref="U958:V958"/>
    <mergeCell ref="W958:X958"/>
    <mergeCell ref="Y958:AE958"/>
    <mergeCell ref="A959:C959"/>
    <mergeCell ref="D959:L959"/>
    <mergeCell ref="M959:N959"/>
    <mergeCell ref="O959:P959"/>
    <mergeCell ref="Q959:R959"/>
    <mergeCell ref="S959:T959"/>
    <mergeCell ref="U959:V959"/>
    <mergeCell ref="W959:X959"/>
    <mergeCell ref="Y959:AE959"/>
    <mergeCell ref="A960:C960"/>
    <mergeCell ref="D960:L960"/>
    <mergeCell ref="M960:N960"/>
    <mergeCell ref="O960:P960"/>
    <mergeCell ref="Q960:R960"/>
    <mergeCell ref="S960:T960"/>
    <mergeCell ref="U960:V960"/>
    <mergeCell ref="W960:X960"/>
    <mergeCell ref="Y960:AE960"/>
    <mergeCell ref="A961:C961"/>
    <mergeCell ref="D961:L961"/>
    <mergeCell ref="M961:N961"/>
    <mergeCell ref="O961:P961"/>
    <mergeCell ref="Q961:R961"/>
    <mergeCell ref="S961:T961"/>
    <mergeCell ref="U961:V961"/>
    <mergeCell ref="W961:X961"/>
    <mergeCell ref="Y961:AE961"/>
    <mergeCell ref="A962:C962"/>
    <mergeCell ref="D962:L962"/>
    <mergeCell ref="M962:N962"/>
    <mergeCell ref="O962:P962"/>
    <mergeCell ref="Q962:R962"/>
    <mergeCell ref="S962:T962"/>
    <mergeCell ref="U962:V962"/>
    <mergeCell ref="W962:X962"/>
    <mergeCell ref="Y962:AE962"/>
    <mergeCell ref="A963:C963"/>
    <mergeCell ref="D963:L963"/>
    <mergeCell ref="M963:N963"/>
    <mergeCell ref="O963:P963"/>
    <mergeCell ref="Q963:R963"/>
    <mergeCell ref="S963:T963"/>
    <mergeCell ref="U963:V963"/>
    <mergeCell ref="W963:X963"/>
    <mergeCell ref="Y963:AE963"/>
    <mergeCell ref="A964:C964"/>
    <mergeCell ref="D964:L964"/>
    <mergeCell ref="M964:N964"/>
    <mergeCell ref="O964:P964"/>
    <mergeCell ref="Q964:R964"/>
    <mergeCell ref="S964:T964"/>
    <mergeCell ref="U964:V964"/>
    <mergeCell ref="W964:X964"/>
    <mergeCell ref="Y964:AE964"/>
    <mergeCell ref="A965:C965"/>
    <mergeCell ref="D965:L965"/>
    <mergeCell ref="M965:N965"/>
    <mergeCell ref="O965:P965"/>
    <mergeCell ref="Q965:R965"/>
    <mergeCell ref="S965:T965"/>
    <mergeCell ref="U965:V965"/>
    <mergeCell ref="W965:X965"/>
    <mergeCell ref="Y965:AE965"/>
    <mergeCell ref="A966:C966"/>
    <mergeCell ref="D966:L966"/>
    <mergeCell ref="M966:N966"/>
    <mergeCell ref="O966:P966"/>
    <mergeCell ref="Q966:R966"/>
    <mergeCell ref="S966:T966"/>
    <mergeCell ref="U966:V966"/>
    <mergeCell ref="W966:X966"/>
    <mergeCell ref="Y966:AE966"/>
    <mergeCell ref="A969:B969"/>
    <mergeCell ref="C969:L969"/>
    <mergeCell ref="M969:Q969"/>
    <mergeCell ref="R969:AF969"/>
    <mergeCell ref="A971:C971"/>
    <mergeCell ref="D971:L971"/>
    <mergeCell ref="A972:C974"/>
    <mergeCell ref="D972:L974"/>
    <mergeCell ref="M972:N974"/>
    <mergeCell ref="O972:P974"/>
    <mergeCell ref="Q972:R974"/>
    <mergeCell ref="S972:T974"/>
    <mergeCell ref="U972:V974"/>
    <mergeCell ref="W972:X974"/>
    <mergeCell ref="Y972:AE974"/>
    <mergeCell ref="A975:C975"/>
    <mergeCell ref="D975:L975"/>
    <mergeCell ref="M975:N975"/>
    <mergeCell ref="O975:P975"/>
    <mergeCell ref="Q975:R975"/>
    <mergeCell ref="S975:T975"/>
    <mergeCell ref="U975:V975"/>
    <mergeCell ref="W975:X975"/>
    <mergeCell ref="Y975:AE975"/>
    <mergeCell ref="A976:C976"/>
    <mergeCell ref="D976:L976"/>
    <mergeCell ref="M976:N976"/>
    <mergeCell ref="O976:P976"/>
    <mergeCell ref="Q976:R976"/>
    <mergeCell ref="S976:T976"/>
    <mergeCell ref="U976:V976"/>
    <mergeCell ref="W976:X976"/>
    <mergeCell ref="Y976:AE976"/>
    <mergeCell ref="A977:C977"/>
    <mergeCell ref="D977:L977"/>
    <mergeCell ref="M977:N977"/>
    <mergeCell ref="O977:P977"/>
    <mergeCell ref="Q977:R977"/>
    <mergeCell ref="S977:T977"/>
    <mergeCell ref="U977:V977"/>
    <mergeCell ref="W977:X977"/>
    <mergeCell ref="Y977:AE977"/>
    <mergeCell ref="A978:C978"/>
    <mergeCell ref="D978:L978"/>
    <mergeCell ref="M978:N978"/>
    <mergeCell ref="O978:P978"/>
    <mergeCell ref="Q978:R978"/>
    <mergeCell ref="S978:T978"/>
    <mergeCell ref="U978:V978"/>
    <mergeCell ref="W978:X978"/>
    <mergeCell ref="Y978:AE978"/>
    <mergeCell ref="A979:C979"/>
    <mergeCell ref="D979:L979"/>
    <mergeCell ref="M979:N979"/>
    <mergeCell ref="O979:P979"/>
    <mergeCell ref="Q979:R979"/>
    <mergeCell ref="S979:T979"/>
    <mergeCell ref="U979:V979"/>
    <mergeCell ref="W979:X979"/>
    <mergeCell ref="Y979:AE979"/>
    <mergeCell ref="A980:C980"/>
    <mergeCell ref="D980:L980"/>
    <mergeCell ref="M980:N980"/>
    <mergeCell ref="O980:P980"/>
    <mergeCell ref="Q980:R980"/>
    <mergeCell ref="S980:T980"/>
    <mergeCell ref="U980:V980"/>
    <mergeCell ref="W980:X980"/>
    <mergeCell ref="Y980:AE980"/>
    <mergeCell ref="A981:C981"/>
    <mergeCell ref="D981:L981"/>
    <mergeCell ref="M981:N981"/>
    <mergeCell ref="O981:P981"/>
    <mergeCell ref="Q981:R981"/>
    <mergeCell ref="S981:T981"/>
    <mergeCell ref="U981:V981"/>
    <mergeCell ref="W981:X981"/>
    <mergeCell ref="Y981:AE981"/>
    <mergeCell ref="A982:C982"/>
    <mergeCell ref="D982:L982"/>
    <mergeCell ref="M982:N982"/>
    <mergeCell ref="O982:P982"/>
    <mergeCell ref="Q982:R982"/>
    <mergeCell ref="S982:T982"/>
    <mergeCell ref="U982:V982"/>
    <mergeCell ref="W982:X982"/>
    <mergeCell ref="Y982:AE982"/>
    <mergeCell ref="A983:C983"/>
    <mergeCell ref="D983:L983"/>
    <mergeCell ref="M983:N983"/>
    <mergeCell ref="O983:P983"/>
    <mergeCell ref="Q983:R983"/>
    <mergeCell ref="S983:T983"/>
    <mergeCell ref="U983:V983"/>
    <mergeCell ref="W983:X983"/>
    <mergeCell ref="Y983:AE983"/>
    <mergeCell ref="A984:C984"/>
    <mergeCell ref="D984:L984"/>
    <mergeCell ref="M984:N984"/>
    <mergeCell ref="O984:P984"/>
    <mergeCell ref="Q984:R984"/>
    <mergeCell ref="S984:T984"/>
    <mergeCell ref="U984:V984"/>
    <mergeCell ref="W984:X984"/>
    <mergeCell ref="Y984:AE984"/>
    <mergeCell ref="A985:C985"/>
    <mergeCell ref="D985:L985"/>
    <mergeCell ref="M985:N985"/>
    <mergeCell ref="O985:P985"/>
    <mergeCell ref="Q985:R985"/>
    <mergeCell ref="S985:T985"/>
    <mergeCell ref="U985:V985"/>
    <mergeCell ref="W985:X985"/>
    <mergeCell ref="Y985:AE985"/>
    <mergeCell ref="A986:C986"/>
    <mergeCell ref="D986:L986"/>
    <mergeCell ref="M986:N986"/>
    <mergeCell ref="O986:P986"/>
    <mergeCell ref="Q986:R986"/>
    <mergeCell ref="S986:T986"/>
    <mergeCell ref="U986:V986"/>
    <mergeCell ref="W986:X986"/>
    <mergeCell ref="Y986:AE986"/>
    <mergeCell ref="A987:C987"/>
    <mergeCell ref="D987:L987"/>
    <mergeCell ref="M987:N987"/>
    <mergeCell ref="O987:P987"/>
    <mergeCell ref="Q987:R987"/>
    <mergeCell ref="S987:T987"/>
    <mergeCell ref="U987:V987"/>
    <mergeCell ref="W987:X987"/>
    <mergeCell ref="Y987:AE987"/>
    <mergeCell ref="A988:C988"/>
    <mergeCell ref="D988:L988"/>
    <mergeCell ref="M988:N988"/>
    <mergeCell ref="O988:P988"/>
    <mergeCell ref="Q988:R988"/>
    <mergeCell ref="S988:T988"/>
    <mergeCell ref="U988:V988"/>
    <mergeCell ref="W988:X988"/>
    <mergeCell ref="Y988:AE988"/>
    <mergeCell ref="A989:C989"/>
    <mergeCell ref="D989:L989"/>
    <mergeCell ref="M989:N989"/>
    <mergeCell ref="O989:P989"/>
    <mergeCell ref="Q989:R989"/>
    <mergeCell ref="S989:T989"/>
    <mergeCell ref="U989:V989"/>
    <mergeCell ref="W989:X989"/>
    <mergeCell ref="Y989:AE989"/>
    <mergeCell ref="A990:C990"/>
    <mergeCell ref="D990:L990"/>
    <mergeCell ref="M990:N990"/>
    <mergeCell ref="O990:P990"/>
    <mergeCell ref="Q990:R990"/>
    <mergeCell ref="S990:T990"/>
    <mergeCell ref="U990:V990"/>
    <mergeCell ref="W990:X990"/>
    <mergeCell ref="Y990:AE990"/>
    <mergeCell ref="A991:C991"/>
    <mergeCell ref="D991:L991"/>
    <mergeCell ref="M991:N991"/>
    <mergeCell ref="O991:P991"/>
    <mergeCell ref="Q991:R991"/>
    <mergeCell ref="S991:T991"/>
    <mergeCell ref="U991:V991"/>
    <mergeCell ref="W991:X991"/>
    <mergeCell ref="Y991:AE991"/>
    <mergeCell ref="A992:C992"/>
    <mergeCell ref="D992:L992"/>
    <mergeCell ref="M992:N992"/>
    <mergeCell ref="O992:P992"/>
    <mergeCell ref="Q992:R992"/>
    <mergeCell ref="S992:T992"/>
    <mergeCell ref="U992:V992"/>
    <mergeCell ref="W992:X992"/>
    <mergeCell ref="Y992:AE992"/>
    <mergeCell ref="A993:C993"/>
    <mergeCell ref="D993:L993"/>
    <mergeCell ref="M993:N993"/>
    <mergeCell ref="O993:P993"/>
    <mergeCell ref="Q993:R993"/>
    <mergeCell ref="S993:T993"/>
    <mergeCell ref="U993:V993"/>
    <mergeCell ref="W993:X993"/>
    <mergeCell ref="Y993:AE993"/>
    <mergeCell ref="A996:B996"/>
    <mergeCell ref="C996:L996"/>
    <mergeCell ref="M996:Q996"/>
    <mergeCell ref="R996:AF996"/>
    <mergeCell ref="A998:C998"/>
    <mergeCell ref="D998:L998"/>
    <mergeCell ref="A999:C1001"/>
    <mergeCell ref="D999:L1001"/>
    <mergeCell ref="M999:N1001"/>
    <mergeCell ref="O999:P1001"/>
    <mergeCell ref="Q999:R1001"/>
    <mergeCell ref="S999:T1001"/>
    <mergeCell ref="U999:V1001"/>
    <mergeCell ref="W999:X1001"/>
    <mergeCell ref="Y999:AE1001"/>
    <mergeCell ref="A1002:C1002"/>
    <mergeCell ref="D1002:L1002"/>
    <mergeCell ref="M1002:N1002"/>
    <mergeCell ref="O1002:P1002"/>
    <mergeCell ref="Q1002:R1002"/>
    <mergeCell ref="S1002:T1002"/>
    <mergeCell ref="U1002:V1002"/>
    <mergeCell ref="W1002:X1002"/>
    <mergeCell ref="Y1002:AE1002"/>
    <mergeCell ref="A1003:C1003"/>
    <mergeCell ref="D1003:L1003"/>
    <mergeCell ref="M1003:N1003"/>
    <mergeCell ref="O1003:P1003"/>
    <mergeCell ref="Q1003:R1003"/>
    <mergeCell ref="S1003:T1003"/>
    <mergeCell ref="U1003:V1003"/>
    <mergeCell ref="W1003:X1003"/>
    <mergeCell ref="Y1003:AE1003"/>
    <mergeCell ref="A1004:C1004"/>
    <mergeCell ref="D1004:L1004"/>
    <mergeCell ref="M1004:N1004"/>
    <mergeCell ref="O1004:P1004"/>
    <mergeCell ref="Q1004:R1004"/>
    <mergeCell ref="S1004:T1004"/>
    <mergeCell ref="U1004:V1004"/>
    <mergeCell ref="W1004:X1004"/>
    <mergeCell ref="Y1004:AE1004"/>
    <mergeCell ref="A1005:C1005"/>
    <mergeCell ref="D1005:L1005"/>
    <mergeCell ref="M1005:N1005"/>
    <mergeCell ref="O1005:P1005"/>
    <mergeCell ref="Q1005:R1005"/>
    <mergeCell ref="S1005:T1005"/>
    <mergeCell ref="U1005:V1005"/>
    <mergeCell ref="W1005:X1005"/>
    <mergeCell ref="Y1005:AE1005"/>
    <mergeCell ref="A1006:C1006"/>
    <mergeCell ref="D1006:L1006"/>
    <mergeCell ref="M1006:N1006"/>
    <mergeCell ref="O1006:P1006"/>
    <mergeCell ref="Q1006:R1006"/>
    <mergeCell ref="S1006:T1006"/>
    <mergeCell ref="U1006:V1006"/>
    <mergeCell ref="W1006:X1006"/>
    <mergeCell ref="Y1006:AE1006"/>
    <mergeCell ref="A1007:C1007"/>
    <mergeCell ref="D1007:L1007"/>
    <mergeCell ref="M1007:N1007"/>
    <mergeCell ref="O1007:P1007"/>
    <mergeCell ref="Q1007:R1007"/>
    <mergeCell ref="S1007:T1007"/>
    <mergeCell ref="U1007:V1007"/>
    <mergeCell ref="W1007:X1007"/>
    <mergeCell ref="Y1007:AE1007"/>
    <mergeCell ref="A1008:C1008"/>
    <mergeCell ref="D1008:L1008"/>
    <mergeCell ref="M1008:N1008"/>
    <mergeCell ref="O1008:P1008"/>
    <mergeCell ref="Q1008:R1008"/>
    <mergeCell ref="S1008:T1008"/>
    <mergeCell ref="U1008:V1008"/>
    <mergeCell ref="W1008:X1008"/>
    <mergeCell ref="Y1008:AE1008"/>
    <mergeCell ref="A1009:C1009"/>
    <mergeCell ref="D1009:L1009"/>
    <mergeCell ref="M1009:N1009"/>
    <mergeCell ref="O1009:P1009"/>
    <mergeCell ref="Q1009:R1009"/>
    <mergeCell ref="S1009:T1009"/>
    <mergeCell ref="U1009:V1009"/>
    <mergeCell ref="W1009:X1009"/>
    <mergeCell ref="Y1009:AE1009"/>
    <mergeCell ref="A1010:C1010"/>
    <mergeCell ref="D1010:L1010"/>
    <mergeCell ref="M1010:N1010"/>
    <mergeCell ref="O1010:P1010"/>
    <mergeCell ref="Q1010:R1010"/>
    <mergeCell ref="S1010:T1010"/>
    <mergeCell ref="U1010:V1010"/>
    <mergeCell ref="W1010:X1010"/>
    <mergeCell ref="Y1010:AE1010"/>
    <mergeCell ref="A1011:C1011"/>
    <mergeCell ref="D1011:L1011"/>
    <mergeCell ref="M1011:N1011"/>
    <mergeCell ref="O1011:P1011"/>
    <mergeCell ref="Q1011:R1011"/>
    <mergeCell ref="S1011:T1011"/>
    <mergeCell ref="U1011:V1011"/>
    <mergeCell ref="W1011:X1011"/>
    <mergeCell ref="Y1011:AE1011"/>
    <mergeCell ref="A1012:C1012"/>
    <mergeCell ref="D1012:L1012"/>
    <mergeCell ref="M1012:N1012"/>
    <mergeCell ref="O1012:P1012"/>
    <mergeCell ref="Q1012:R1012"/>
    <mergeCell ref="S1012:T1012"/>
    <mergeCell ref="U1012:V1012"/>
    <mergeCell ref="W1012:X1012"/>
    <mergeCell ref="Y1012:AE1012"/>
    <mergeCell ref="A1013:C1013"/>
    <mergeCell ref="D1013:L1013"/>
    <mergeCell ref="M1013:N1013"/>
    <mergeCell ref="O1013:P1013"/>
    <mergeCell ref="Q1013:R1013"/>
    <mergeCell ref="S1013:T1013"/>
    <mergeCell ref="U1013:V1013"/>
    <mergeCell ref="W1013:X1013"/>
    <mergeCell ref="Y1013:AE1013"/>
    <mergeCell ref="A1014:C1014"/>
    <mergeCell ref="D1014:L1014"/>
    <mergeCell ref="M1014:N1014"/>
    <mergeCell ref="O1014:P1014"/>
    <mergeCell ref="Q1014:R1014"/>
    <mergeCell ref="S1014:T1014"/>
    <mergeCell ref="U1014:V1014"/>
    <mergeCell ref="W1014:X1014"/>
    <mergeCell ref="Y1014:AE1014"/>
    <mergeCell ref="A1015:C1015"/>
    <mergeCell ref="D1015:L1015"/>
    <mergeCell ref="M1015:N1015"/>
    <mergeCell ref="O1015:P1015"/>
    <mergeCell ref="Q1015:R1015"/>
    <mergeCell ref="S1015:T1015"/>
    <mergeCell ref="U1015:V1015"/>
    <mergeCell ref="W1015:X1015"/>
    <mergeCell ref="Y1015:AE1015"/>
    <mergeCell ref="A1016:C1016"/>
    <mergeCell ref="D1016:L1016"/>
    <mergeCell ref="M1016:N1016"/>
    <mergeCell ref="O1016:P1016"/>
    <mergeCell ref="Q1016:R1016"/>
    <mergeCell ref="S1016:T1016"/>
    <mergeCell ref="U1016:V1016"/>
    <mergeCell ref="W1016:X1016"/>
    <mergeCell ref="Y1016:AE1016"/>
    <mergeCell ref="A1017:C1017"/>
    <mergeCell ref="D1017:L1017"/>
    <mergeCell ref="M1017:N1017"/>
    <mergeCell ref="O1017:P1017"/>
    <mergeCell ref="Q1017:R1017"/>
    <mergeCell ref="S1017:T1017"/>
    <mergeCell ref="U1017:V1017"/>
    <mergeCell ref="W1017:X1017"/>
    <mergeCell ref="Y1017:AE1017"/>
    <mergeCell ref="A1018:C1018"/>
    <mergeCell ref="D1018:L1018"/>
    <mergeCell ref="M1018:N1018"/>
    <mergeCell ref="O1018:P1018"/>
    <mergeCell ref="Q1018:R1018"/>
    <mergeCell ref="S1018:T1018"/>
    <mergeCell ref="U1018:V1018"/>
    <mergeCell ref="W1018:X1018"/>
    <mergeCell ref="Y1018:AE1018"/>
    <mergeCell ref="A1019:C1019"/>
    <mergeCell ref="D1019:L1019"/>
    <mergeCell ref="M1019:N1019"/>
    <mergeCell ref="O1019:P1019"/>
    <mergeCell ref="Q1019:R1019"/>
    <mergeCell ref="S1019:T1019"/>
    <mergeCell ref="U1019:V1019"/>
    <mergeCell ref="W1019:X1019"/>
    <mergeCell ref="Y1019:AE1019"/>
    <mergeCell ref="A1020:C1020"/>
    <mergeCell ref="D1020:L1020"/>
    <mergeCell ref="M1020:N1020"/>
    <mergeCell ref="O1020:P1020"/>
    <mergeCell ref="Q1020:R1020"/>
    <mergeCell ref="S1020:T1020"/>
    <mergeCell ref="U1020:V1020"/>
    <mergeCell ref="W1020:X1020"/>
    <mergeCell ref="Y1020:AE1020"/>
    <mergeCell ref="A1023:B1023"/>
    <mergeCell ref="C1023:L1023"/>
    <mergeCell ref="M1023:Q1023"/>
    <mergeCell ref="R1023:AF1023"/>
    <mergeCell ref="A1025:C1025"/>
    <mergeCell ref="D1025:L1025"/>
    <mergeCell ref="A1026:C1028"/>
    <mergeCell ref="D1026:L1028"/>
    <mergeCell ref="M1026:N1028"/>
    <mergeCell ref="O1026:P1028"/>
    <mergeCell ref="Q1026:R1028"/>
    <mergeCell ref="S1026:T1028"/>
    <mergeCell ref="U1026:V1028"/>
    <mergeCell ref="W1026:X1028"/>
    <mergeCell ref="Y1026:AE1028"/>
    <mergeCell ref="A1029:C1029"/>
    <mergeCell ref="D1029:L1029"/>
    <mergeCell ref="M1029:N1029"/>
    <mergeCell ref="O1029:P1029"/>
    <mergeCell ref="Q1029:R1029"/>
    <mergeCell ref="S1029:T1029"/>
    <mergeCell ref="U1029:V1029"/>
    <mergeCell ref="W1029:X1029"/>
    <mergeCell ref="Y1029:AE1029"/>
    <mergeCell ref="A1030:C1030"/>
    <mergeCell ref="D1030:L1030"/>
    <mergeCell ref="M1030:N1030"/>
    <mergeCell ref="O1030:P1030"/>
    <mergeCell ref="Q1030:R1030"/>
    <mergeCell ref="S1030:T1030"/>
    <mergeCell ref="U1030:V1030"/>
    <mergeCell ref="W1030:X1030"/>
    <mergeCell ref="Y1030:AE1030"/>
    <mergeCell ref="A1031:C1031"/>
    <mergeCell ref="D1031:L1031"/>
    <mergeCell ref="M1031:N1031"/>
    <mergeCell ref="O1031:P1031"/>
    <mergeCell ref="Q1031:R1031"/>
    <mergeCell ref="S1031:T1031"/>
    <mergeCell ref="U1031:V1031"/>
    <mergeCell ref="W1031:X1031"/>
    <mergeCell ref="Y1031:AE1031"/>
    <mergeCell ref="A1032:C1032"/>
    <mergeCell ref="D1032:L1032"/>
    <mergeCell ref="M1032:N1032"/>
    <mergeCell ref="O1032:P1032"/>
    <mergeCell ref="Q1032:R1032"/>
    <mergeCell ref="S1032:T1032"/>
    <mergeCell ref="U1032:V1032"/>
    <mergeCell ref="W1032:X1032"/>
    <mergeCell ref="Y1032:AE1032"/>
    <mergeCell ref="A1033:C1033"/>
    <mergeCell ref="D1033:L1033"/>
    <mergeCell ref="M1033:N1033"/>
    <mergeCell ref="O1033:P1033"/>
    <mergeCell ref="Q1033:R1033"/>
    <mergeCell ref="S1033:T1033"/>
    <mergeCell ref="U1033:V1033"/>
    <mergeCell ref="W1033:X1033"/>
    <mergeCell ref="Y1033:AE1033"/>
    <mergeCell ref="A1034:C1034"/>
    <mergeCell ref="D1034:L1034"/>
    <mergeCell ref="M1034:N1034"/>
    <mergeCell ref="O1034:P1034"/>
    <mergeCell ref="Q1034:R1034"/>
    <mergeCell ref="S1034:T1034"/>
    <mergeCell ref="U1034:V1034"/>
    <mergeCell ref="W1034:X1034"/>
    <mergeCell ref="Y1034:AE1034"/>
    <mergeCell ref="A1035:C1035"/>
    <mergeCell ref="D1035:L1035"/>
    <mergeCell ref="M1035:N1035"/>
    <mergeCell ref="O1035:P1035"/>
    <mergeCell ref="Q1035:R1035"/>
    <mergeCell ref="S1035:T1035"/>
    <mergeCell ref="U1035:V1035"/>
    <mergeCell ref="W1035:X1035"/>
    <mergeCell ref="Y1035:AE1035"/>
    <mergeCell ref="A1036:C1036"/>
    <mergeCell ref="D1036:L1036"/>
    <mergeCell ref="M1036:N1036"/>
    <mergeCell ref="O1036:P1036"/>
    <mergeCell ref="Q1036:R1036"/>
    <mergeCell ref="S1036:T1036"/>
    <mergeCell ref="U1036:V1036"/>
    <mergeCell ref="W1036:X1036"/>
    <mergeCell ref="Y1036:AE1036"/>
    <mergeCell ref="A1037:C1037"/>
    <mergeCell ref="D1037:L1037"/>
    <mergeCell ref="M1037:N1037"/>
    <mergeCell ref="O1037:P1037"/>
    <mergeCell ref="Q1037:R1037"/>
    <mergeCell ref="S1037:T1037"/>
    <mergeCell ref="U1037:V1037"/>
    <mergeCell ref="W1037:X1037"/>
    <mergeCell ref="Y1037:AE1037"/>
    <mergeCell ref="A1038:C1038"/>
    <mergeCell ref="D1038:L1038"/>
    <mergeCell ref="M1038:N1038"/>
    <mergeCell ref="O1038:P1038"/>
    <mergeCell ref="Q1038:R1038"/>
    <mergeCell ref="S1038:T1038"/>
    <mergeCell ref="U1038:V1038"/>
    <mergeCell ref="W1038:X1038"/>
    <mergeCell ref="Y1038:AE1038"/>
    <mergeCell ref="A1039:C1039"/>
    <mergeCell ref="D1039:L1039"/>
    <mergeCell ref="M1039:N1039"/>
    <mergeCell ref="O1039:P1039"/>
    <mergeCell ref="Q1039:R1039"/>
    <mergeCell ref="S1039:T1039"/>
    <mergeCell ref="U1039:V1039"/>
    <mergeCell ref="W1039:X1039"/>
    <mergeCell ref="Y1039:AE1039"/>
    <mergeCell ref="A1040:C1040"/>
    <mergeCell ref="D1040:L1040"/>
    <mergeCell ref="M1040:N1040"/>
    <mergeCell ref="O1040:P1040"/>
    <mergeCell ref="Q1040:R1040"/>
    <mergeCell ref="S1040:T1040"/>
    <mergeCell ref="U1040:V1040"/>
    <mergeCell ref="W1040:X1040"/>
    <mergeCell ref="Y1040:AE1040"/>
    <mergeCell ref="A1041:C1041"/>
    <mergeCell ref="D1041:L1041"/>
    <mergeCell ref="M1041:N1041"/>
    <mergeCell ref="O1041:P1041"/>
    <mergeCell ref="Q1041:R1041"/>
    <mergeCell ref="S1041:T1041"/>
    <mergeCell ref="U1041:V1041"/>
    <mergeCell ref="W1041:X1041"/>
    <mergeCell ref="Y1041:AE1041"/>
    <mergeCell ref="A1042:C1042"/>
    <mergeCell ref="D1042:L1042"/>
    <mergeCell ref="M1042:N1042"/>
    <mergeCell ref="O1042:P1042"/>
    <mergeCell ref="Q1042:R1042"/>
    <mergeCell ref="S1042:T1042"/>
    <mergeCell ref="U1042:V1042"/>
    <mergeCell ref="W1042:X1042"/>
    <mergeCell ref="Y1042:AE1042"/>
    <mergeCell ref="A1043:C1043"/>
    <mergeCell ref="D1043:L1043"/>
    <mergeCell ref="M1043:N1043"/>
    <mergeCell ref="O1043:P1043"/>
    <mergeCell ref="Q1043:R1043"/>
    <mergeCell ref="S1043:T1043"/>
    <mergeCell ref="U1043:V1043"/>
    <mergeCell ref="W1043:X1043"/>
    <mergeCell ref="Y1043:AE1043"/>
    <mergeCell ref="A1044:C1044"/>
    <mergeCell ref="D1044:L1044"/>
    <mergeCell ref="M1044:N1044"/>
    <mergeCell ref="O1044:P1044"/>
    <mergeCell ref="Q1044:R1044"/>
    <mergeCell ref="S1044:T1044"/>
    <mergeCell ref="U1044:V1044"/>
    <mergeCell ref="W1044:X1044"/>
    <mergeCell ref="Y1044:AE1044"/>
    <mergeCell ref="A1045:C1045"/>
    <mergeCell ref="D1045:L1045"/>
    <mergeCell ref="M1045:N1045"/>
    <mergeCell ref="O1045:P1045"/>
    <mergeCell ref="Q1045:R1045"/>
    <mergeCell ref="S1045:T1045"/>
    <mergeCell ref="U1045:V1045"/>
    <mergeCell ref="W1045:X1045"/>
    <mergeCell ref="Y1045:AE1045"/>
    <mergeCell ref="A1046:C1046"/>
    <mergeCell ref="D1046:L1046"/>
    <mergeCell ref="M1046:N1046"/>
    <mergeCell ref="O1046:P1046"/>
    <mergeCell ref="Q1046:R1046"/>
    <mergeCell ref="S1046:T1046"/>
    <mergeCell ref="U1046:V1046"/>
    <mergeCell ref="W1046:X1046"/>
    <mergeCell ref="Y1046:AE1046"/>
    <mergeCell ref="A1047:C1047"/>
    <mergeCell ref="D1047:L1047"/>
    <mergeCell ref="M1047:N1047"/>
    <mergeCell ref="O1047:P1047"/>
    <mergeCell ref="Q1047:R1047"/>
    <mergeCell ref="S1047:T1047"/>
    <mergeCell ref="U1047:V1047"/>
    <mergeCell ref="W1047:X1047"/>
    <mergeCell ref="Y1047:AE1047"/>
    <mergeCell ref="A1050:B1050"/>
    <mergeCell ref="C1050:L1050"/>
    <mergeCell ref="M1050:Q1050"/>
    <mergeCell ref="R1050:AF1050"/>
    <mergeCell ref="A1052:C1052"/>
    <mergeCell ref="D1052:L1052"/>
    <mergeCell ref="A1053:C1055"/>
    <mergeCell ref="D1053:L1055"/>
    <mergeCell ref="M1053:N1055"/>
    <mergeCell ref="O1053:P1055"/>
    <mergeCell ref="Q1053:R1055"/>
    <mergeCell ref="S1053:T1055"/>
    <mergeCell ref="U1053:V1055"/>
    <mergeCell ref="W1053:X1055"/>
    <mergeCell ref="Y1053:AE1055"/>
    <mergeCell ref="A1056:C1056"/>
    <mergeCell ref="D1056:L1056"/>
    <mergeCell ref="M1056:N1056"/>
    <mergeCell ref="O1056:P1056"/>
    <mergeCell ref="Q1056:R1056"/>
    <mergeCell ref="S1056:T1056"/>
    <mergeCell ref="U1056:V1056"/>
    <mergeCell ref="W1056:X1056"/>
    <mergeCell ref="Y1056:AE1056"/>
    <mergeCell ref="A1057:C1057"/>
    <mergeCell ref="D1057:L1057"/>
    <mergeCell ref="M1057:N1057"/>
    <mergeCell ref="O1057:P1057"/>
    <mergeCell ref="Q1057:R1057"/>
    <mergeCell ref="S1057:T1057"/>
    <mergeCell ref="U1057:V1057"/>
    <mergeCell ref="W1057:X1057"/>
    <mergeCell ref="Y1057:AE1057"/>
    <mergeCell ref="A1058:C1058"/>
    <mergeCell ref="D1058:L1058"/>
    <mergeCell ref="M1058:N1058"/>
    <mergeCell ref="O1058:P1058"/>
    <mergeCell ref="Q1058:R1058"/>
    <mergeCell ref="S1058:T1058"/>
    <mergeCell ref="U1058:V1058"/>
    <mergeCell ref="W1058:X1058"/>
    <mergeCell ref="Y1058:AE1058"/>
    <mergeCell ref="A1059:C1059"/>
    <mergeCell ref="D1059:L1059"/>
    <mergeCell ref="M1059:N1059"/>
    <mergeCell ref="O1059:P1059"/>
    <mergeCell ref="Q1059:R1059"/>
    <mergeCell ref="S1059:T1059"/>
    <mergeCell ref="U1059:V1059"/>
    <mergeCell ref="W1059:X1059"/>
    <mergeCell ref="Y1059:AE1059"/>
    <mergeCell ref="A1060:C1060"/>
    <mergeCell ref="D1060:L1060"/>
    <mergeCell ref="M1060:N1060"/>
    <mergeCell ref="O1060:P1060"/>
    <mergeCell ref="Q1060:R1060"/>
    <mergeCell ref="S1060:T1060"/>
    <mergeCell ref="U1060:V1060"/>
    <mergeCell ref="W1060:X1060"/>
    <mergeCell ref="Y1060:AE1060"/>
    <mergeCell ref="A1061:C1061"/>
    <mergeCell ref="D1061:L1061"/>
    <mergeCell ref="M1061:N1061"/>
    <mergeCell ref="O1061:P1061"/>
    <mergeCell ref="Q1061:R1061"/>
    <mergeCell ref="S1061:T1061"/>
    <mergeCell ref="U1061:V1061"/>
    <mergeCell ref="W1061:X1061"/>
    <mergeCell ref="Y1061:AE1061"/>
    <mergeCell ref="A1062:C1062"/>
    <mergeCell ref="D1062:L1062"/>
    <mergeCell ref="M1062:N1062"/>
    <mergeCell ref="O1062:P1062"/>
    <mergeCell ref="Q1062:R1062"/>
    <mergeCell ref="S1062:T1062"/>
    <mergeCell ref="U1062:V1062"/>
    <mergeCell ref="W1062:X1062"/>
    <mergeCell ref="Y1062:AE1062"/>
    <mergeCell ref="A1063:C1063"/>
    <mergeCell ref="D1063:L1063"/>
    <mergeCell ref="M1063:N1063"/>
    <mergeCell ref="O1063:P1063"/>
    <mergeCell ref="Q1063:R1063"/>
    <mergeCell ref="S1063:T1063"/>
    <mergeCell ref="U1063:V1063"/>
    <mergeCell ref="W1063:X1063"/>
    <mergeCell ref="Y1063:AE1063"/>
    <mergeCell ref="A1064:C1064"/>
    <mergeCell ref="D1064:L1064"/>
    <mergeCell ref="M1064:N1064"/>
    <mergeCell ref="O1064:P1064"/>
    <mergeCell ref="Q1064:R1064"/>
    <mergeCell ref="S1064:T1064"/>
    <mergeCell ref="U1064:V1064"/>
    <mergeCell ref="W1064:X1064"/>
    <mergeCell ref="Y1064:AE1064"/>
    <mergeCell ref="A1065:C1065"/>
    <mergeCell ref="D1065:L1065"/>
    <mergeCell ref="M1065:N1065"/>
    <mergeCell ref="O1065:P1065"/>
    <mergeCell ref="Q1065:R1065"/>
    <mergeCell ref="S1065:T1065"/>
    <mergeCell ref="U1065:V1065"/>
    <mergeCell ref="W1065:X1065"/>
    <mergeCell ref="Y1065:AE1065"/>
    <mergeCell ref="A1066:C1066"/>
    <mergeCell ref="D1066:L1066"/>
    <mergeCell ref="M1066:N1066"/>
    <mergeCell ref="O1066:P1066"/>
    <mergeCell ref="Q1066:R1066"/>
    <mergeCell ref="S1066:T1066"/>
    <mergeCell ref="U1066:V1066"/>
    <mergeCell ref="W1066:X1066"/>
    <mergeCell ref="Y1066:AE1066"/>
    <mergeCell ref="A1067:C1067"/>
    <mergeCell ref="D1067:L1067"/>
    <mergeCell ref="M1067:N1067"/>
    <mergeCell ref="O1067:P1067"/>
    <mergeCell ref="Q1067:R1067"/>
    <mergeCell ref="S1067:T1067"/>
    <mergeCell ref="U1067:V1067"/>
    <mergeCell ref="W1067:X1067"/>
    <mergeCell ref="Y1067:AE1067"/>
    <mergeCell ref="A1068:C1068"/>
    <mergeCell ref="D1068:L1068"/>
    <mergeCell ref="M1068:N1068"/>
    <mergeCell ref="O1068:P1068"/>
    <mergeCell ref="Q1068:R1068"/>
    <mergeCell ref="S1068:T1068"/>
    <mergeCell ref="U1068:V1068"/>
    <mergeCell ref="W1068:X1068"/>
    <mergeCell ref="Y1068:AE1068"/>
    <mergeCell ref="A1069:C1069"/>
    <mergeCell ref="D1069:L1069"/>
    <mergeCell ref="M1069:N1069"/>
    <mergeCell ref="O1069:P1069"/>
    <mergeCell ref="Q1069:R1069"/>
    <mergeCell ref="S1069:T1069"/>
    <mergeCell ref="U1069:V1069"/>
    <mergeCell ref="W1069:X1069"/>
    <mergeCell ref="Y1069:AE1069"/>
    <mergeCell ref="A1070:C1070"/>
    <mergeCell ref="D1070:L1070"/>
    <mergeCell ref="M1070:N1070"/>
    <mergeCell ref="O1070:P1070"/>
    <mergeCell ref="Q1070:R1070"/>
    <mergeCell ref="S1070:T1070"/>
    <mergeCell ref="U1070:V1070"/>
    <mergeCell ref="W1070:X1070"/>
    <mergeCell ref="Y1070:AE1070"/>
    <mergeCell ref="A1071:C1071"/>
    <mergeCell ref="D1071:L1071"/>
    <mergeCell ref="M1071:N1071"/>
    <mergeCell ref="O1071:P1071"/>
    <mergeCell ref="Q1071:R1071"/>
    <mergeCell ref="S1071:T1071"/>
    <mergeCell ref="U1071:V1071"/>
    <mergeCell ref="W1071:X1071"/>
    <mergeCell ref="Y1071:AE1071"/>
    <mergeCell ref="A1072:C1072"/>
    <mergeCell ref="D1072:L1072"/>
    <mergeCell ref="M1072:N1072"/>
    <mergeCell ref="O1072:P1072"/>
    <mergeCell ref="Q1072:R1072"/>
    <mergeCell ref="S1072:T1072"/>
    <mergeCell ref="U1072:V1072"/>
    <mergeCell ref="W1072:X1072"/>
    <mergeCell ref="Y1072:AE1072"/>
    <mergeCell ref="A1073:C1073"/>
    <mergeCell ref="D1073:L1073"/>
    <mergeCell ref="M1073:N1073"/>
    <mergeCell ref="O1073:P1073"/>
    <mergeCell ref="Q1073:R1073"/>
    <mergeCell ref="S1073:T1073"/>
    <mergeCell ref="U1073:V1073"/>
    <mergeCell ref="W1073:X1073"/>
    <mergeCell ref="Y1073:AE1073"/>
    <mergeCell ref="A1074:C1074"/>
    <mergeCell ref="D1074:L1074"/>
    <mergeCell ref="M1074:N1074"/>
    <mergeCell ref="O1074:P1074"/>
    <mergeCell ref="Q1074:R1074"/>
    <mergeCell ref="S1074:T1074"/>
    <mergeCell ref="U1074:V1074"/>
    <mergeCell ref="W1074:X1074"/>
    <mergeCell ref="Y1074:AE1074"/>
    <mergeCell ref="A1077:B1077"/>
    <mergeCell ref="C1077:L1077"/>
    <mergeCell ref="M1077:Q1077"/>
    <mergeCell ref="R1077:AF1077"/>
    <mergeCell ref="A1079:C1079"/>
    <mergeCell ref="D1079:L1079"/>
    <mergeCell ref="A1080:C1082"/>
    <mergeCell ref="D1080:L1082"/>
    <mergeCell ref="M1080:N1082"/>
    <mergeCell ref="O1080:P1082"/>
    <mergeCell ref="Q1080:R1082"/>
    <mergeCell ref="S1080:T1082"/>
    <mergeCell ref="U1080:V1082"/>
    <mergeCell ref="W1080:X1082"/>
    <mergeCell ref="Y1080:AE1082"/>
    <mergeCell ref="A1083:C1083"/>
    <mergeCell ref="D1083:L1083"/>
    <mergeCell ref="M1083:N1083"/>
    <mergeCell ref="O1083:P1083"/>
    <mergeCell ref="Q1083:R1083"/>
    <mergeCell ref="S1083:T1083"/>
    <mergeCell ref="U1083:V1083"/>
    <mergeCell ref="W1083:X1083"/>
    <mergeCell ref="Y1083:AE1083"/>
    <mergeCell ref="A1084:C1084"/>
    <mergeCell ref="D1084:L1084"/>
    <mergeCell ref="M1084:N1084"/>
    <mergeCell ref="O1084:P1084"/>
    <mergeCell ref="Q1084:R1084"/>
    <mergeCell ref="S1084:T1084"/>
    <mergeCell ref="U1084:V1084"/>
    <mergeCell ref="W1084:X1084"/>
    <mergeCell ref="Y1084:AE1084"/>
    <mergeCell ref="A1085:C1085"/>
    <mergeCell ref="D1085:L1085"/>
    <mergeCell ref="M1085:N1085"/>
    <mergeCell ref="O1085:P1085"/>
    <mergeCell ref="Q1085:R1085"/>
    <mergeCell ref="S1085:T1085"/>
    <mergeCell ref="U1085:V1085"/>
    <mergeCell ref="W1085:X1085"/>
    <mergeCell ref="Y1085:AE1085"/>
    <mergeCell ref="A1086:C1086"/>
    <mergeCell ref="D1086:L1086"/>
    <mergeCell ref="M1086:N1086"/>
    <mergeCell ref="O1086:P1086"/>
    <mergeCell ref="Q1086:R1086"/>
    <mergeCell ref="S1086:T1086"/>
    <mergeCell ref="U1086:V1086"/>
    <mergeCell ref="W1086:X1086"/>
    <mergeCell ref="Y1086:AE1086"/>
    <mergeCell ref="A1087:C1087"/>
    <mergeCell ref="D1087:L1087"/>
    <mergeCell ref="M1087:N1087"/>
    <mergeCell ref="O1087:P1087"/>
    <mergeCell ref="Q1087:R1087"/>
    <mergeCell ref="S1087:T1087"/>
    <mergeCell ref="U1087:V1087"/>
    <mergeCell ref="W1087:X1087"/>
    <mergeCell ref="Y1087:AE1087"/>
    <mergeCell ref="A1088:C1088"/>
    <mergeCell ref="D1088:L1088"/>
    <mergeCell ref="M1088:N1088"/>
    <mergeCell ref="O1088:P1088"/>
    <mergeCell ref="Q1088:R1088"/>
    <mergeCell ref="S1088:T1088"/>
    <mergeCell ref="U1088:V1088"/>
    <mergeCell ref="W1088:X1088"/>
    <mergeCell ref="Y1088:AE1088"/>
    <mergeCell ref="A1089:C1089"/>
    <mergeCell ref="D1089:L1089"/>
    <mergeCell ref="M1089:N1089"/>
    <mergeCell ref="O1089:P1089"/>
    <mergeCell ref="Q1089:R1089"/>
    <mergeCell ref="S1089:T1089"/>
    <mergeCell ref="U1089:V1089"/>
    <mergeCell ref="W1089:X1089"/>
    <mergeCell ref="Y1089:AE1089"/>
    <mergeCell ref="A1090:C1090"/>
    <mergeCell ref="D1090:L1090"/>
    <mergeCell ref="M1090:N1090"/>
    <mergeCell ref="O1090:P1090"/>
    <mergeCell ref="Q1090:R1090"/>
    <mergeCell ref="S1090:T1090"/>
    <mergeCell ref="U1090:V1090"/>
    <mergeCell ref="W1090:X1090"/>
    <mergeCell ref="Y1090:AE1090"/>
    <mergeCell ref="A1091:C1091"/>
    <mergeCell ref="D1091:L1091"/>
    <mergeCell ref="M1091:N1091"/>
    <mergeCell ref="O1091:P1091"/>
    <mergeCell ref="Q1091:R1091"/>
    <mergeCell ref="S1091:T1091"/>
    <mergeCell ref="U1091:V1091"/>
    <mergeCell ref="W1091:X1091"/>
    <mergeCell ref="Y1091:AE1091"/>
    <mergeCell ref="A1092:C1092"/>
    <mergeCell ref="D1092:L1092"/>
    <mergeCell ref="M1092:N1092"/>
    <mergeCell ref="O1092:P1092"/>
    <mergeCell ref="Q1092:R1092"/>
    <mergeCell ref="S1092:T1092"/>
    <mergeCell ref="U1092:V1092"/>
    <mergeCell ref="W1092:X1092"/>
    <mergeCell ref="Y1092:AE1092"/>
    <mergeCell ref="A1093:C1093"/>
    <mergeCell ref="D1093:L1093"/>
    <mergeCell ref="M1093:N1093"/>
    <mergeCell ref="O1093:P1093"/>
    <mergeCell ref="Q1093:R1093"/>
    <mergeCell ref="S1093:T1093"/>
    <mergeCell ref="U1093:V1093"/>
    <mergeCell ref="W1093:X1093"/>
    <mergeCell ref="Y1093:AE1093"/>
    <mergeCell ref="A1094:C1094"/>
    <mergeCell ref="D1094:L1094"/>
    <mergeCell ref="M1094:N1094"/>
    <mergeCell ref="O1094:P1094"/>
    <mergeCell ref="Q1094:R1094"/>
    <mergeCell ref="S1094:T1094"/>
    <mergeCell ref="U1094:V1094"/>
    <mergeCell ref="W1094:X1094"/>
    <mergeCell ref="Y1094:AE1094"/>
    <mergeCell ref="A1095:C1095"/>
    <mergeCell ref="D1095:L1095"/>
    <mergeCell ref="M1095:N1095"/>
    <mergeCell ref="O1095:P1095"/>
    <mergeCell ref="Q1095:R1095"/>
    <mergeCell ref="S1095:T1095"/>
    <mergeCell ref="U1095:V1095"/>
    <mergeCell ref="W1095:X1095"/>
    <mergeCell ref="Y1095:AE1095"/>
    <mergeCell ref="A1096:C1096"/>
    <mergeCell ref="D1096:L1096"/>
    <mergeCell ref="M1096:N1096"/>
    <mergeCell ref="O1096:P1096"/>
    <mergeCell ref="Q1096:R1096"/>
    <mergeCell ref="S1096:T1096"/>
    <mergeCell ref="U1096:V1096"/>
    <mergeCell ref="W1096:X1096"/>
    <mergeCell ref="Y1096:AE1096"/>
    <mergeCell ref="A1097:C1097"/>
    <mergeCell ref="D1097:L1097"/>
    <mergeCell ref="M1097:N1097"/>
    <mergeCell ref="O1097:P1097"/>
    <mergeCell ref="Q1097:R1097"/>
    <mergeCell ref="S1097:T1097"/>
    <mergeCell ref="U1097:V1097"/>
    <mergeCell ref="W1097:X1097"/>
    <mergeCell ref="Y1097:AE1097"/>
    <mergeCell ref="A1098:C1098"/>
    <mergeCell ref="D1098:L1098"/>
    <mergeCell ref="M1098:N1098"/>
    <mergeCell ref="O1098:P1098"/>
    <mergeCell ref="Q1098:R1098"/>
    <mergeCell ref="S1098:T1098"/>
    <mergeCell ref="U1098:V1098"/>
    <mergeCell ref="W1098:X1098"/>
    <mergeCell ref="Y1098:AE1098"/>
    <mergeCell ref="A1099:C1099"/>
    <mergeCell ref="D1099:L1099"/>
    <mergeCell ref="M1099:N1099"/>
    <mergeCell ref="O1099:P1099"/>
    <mergeCell ref="Q1099:R1099"/>
    <mergeCell ref="S1099:T1099"/>
    <mergeCell ref="U1099:V1099"/>
    <mergeCell ref="W1099:X1099"/>
    <mergeCell ref="Y1099:AE1099"/>
    <mergeCell ref="A1100:C1100"/>
    <mergeCell ref="D1100:L1100"/>
    <mergeCell ref="M1100:N1100"/>
    <mergeCell ref="O1100:P1100"/>
    <mergeCell ref="Q1100:R1100"/>
    <mergeCell ref="S1100:T1100"/>
    <mergeCell ref="U1100:V1100"/>
    <mergeCell ref="W1100:X1100"/>
    <mergeCell ref="Y1100:AE1100"/>
    <mergeCell ref="A1101:C1101"/>
    <mergeCell ref="D1101:L1101"/>
    <mergeCell ref="M1101:N1101"/>
    <mergeCell ref="O1101:P1101"/>
    <mergeCell ref="Q1101:R1101"/>
    <mergeCell ref="S1101:T1101"/>
    <mergeCell ref="U1101:V1101"/>
    <mergeCell ref="W1101:X1101"/>
    <mergeCell ref="Y1101:AE1101"/>
    <mergeCell ref="A1104:B1104"/>
    <mergeCell ref="C1104:L1104"/>
    <mergeCell ref="M1104:Q1104"/>
    <mergeCell ref="R1104:AF1104"/>
    <mergeCell ref="A1106:C1106"/>
    <mergeCell ref="D1106:L1106"/>
    <mergeCell ref="A1107:C1109"/>
    <mergeCell ref="D1107:L1109"/>
    <mergeCell ref="M1107:N1109"/>
    <mergeCell ref="O1107:P1109"/>
    <mergeCell ref="Q1107:R1109"/>
    <mergeCell ref="S1107:T1109"/>
    <mergeCell ref="U1107:V1109"/>
    <mergeCell ref="W1107:X1109"/>
    <mergeCell ref="Y1107:AE1109"/>
    <mergeCell ref="A1110:C1110"/>
    <mergeCell ref="D1110:L1110"/>
    <mergeCell ref="M1110:N1110"/>
    <mergeCell ref="O1110:P1110"/>
    <mergeCell ref="Q1110:R1110"/>
    <mergeCell ref="S1110:T1110"/>
    <mergeCell ref="U1110:V1110"/>
    <mergeCell ref="W1110:X1110"/>
    <mergeCell ref="Y1110:AE1110"/>
    <mergeCell ref="A1111:C1111"/>
    <mergeCell ref="D1111:L1111"/>
    <mergeCell ref="M1111:N1111"/>
    <mergeCell ref="O1111:P1111"/>
    <mergeCell ref="Q1111:R1111"/>
    <mergeCell ref="S1111:T1111"/>
    <mergeCell ref="U1111:V1111"/>
    <mergeCell ref="W1111:X1111"/>
    <mergeCell ref="Y1111:AE1111"/>
    <mergeCell ref="A1112:C1112"/>
    <mergeCell ref="D1112:L1112"/>
    <mergeCell ref="M1112:N1112"/>
    <mergeCell ref="O1112:P1112"/>
    <mergeCell ref="Q1112:R1112"/>
    <mergeCell ref="S1112:T1112"/>
    <mergeCell ref="U1112:V1112"/>
    <mergeCell ref="W1112:X1112"/>
    <mergeCell ref="Y1112:AE1112"/>
    <mergeCell ref="A1113:C1113"/>
    <mergeCell ref="D1113:L1113"/>
    <mergeCell ref="M1113:N1113"/>
    <mergeCell ref="O1113:P1113"/>
    <mergeCell ref="Q1113:R1113"/>
    <mergeCell ref="S1113:T1113"/>
    <mergeCell ref="U1113:V1113"/>
    <mergeCell ref="W1113:X1113"/>
    <mergeCell ref="Y1113:AE1113"/>
    <mergeCell ref="A1114:C1114"/>
    <mergeCell ref="D1114:L1114"/>
    <mergeCell ref="M1114:N1114"/>
    <mergeCell ref="O1114:P1114"/>
    <mergeCell ref="Q1114:R1114"/>
    <mergeCell ref="S1114:T1114"/>
    <mergeCell ref="U1114:V1114"/>
    <mergeCell ref="W1114:X1114"/>
    <mergeCell ref="Y1114:AE1114"/>
    <mergeCell ref="A1115:C1115"/>
    <mergeCell ref="D1115:L1115"/>
    <mergeCell ref="M1115:N1115"/>
    <mergeCell ref="O1115:P1115"/>
    <mergeCell ref="Q1115:R1115"/>
    <mergeCell ref="S1115:T1115"/>
    <mergeCell ref="U1115:V1115"/>
    <mergeCell ref="W1115:X1115"/>
    <mergeCell ref="Y1115:AE1115"/>
    <mergeCell ref="A1116:C1116"/>
    <mergeCell ref="D1116:L1116"/>
    <mergeCell ref="M1116:N1116"/>
    <mergeCell ref="O1116:P1116"/>
    <mergeCell ref="Q1116:R1116"/>
    <mergeCell ref="S1116:T1116"/>
    <mergeCell ref="U1116:V1116"/>
    <mergeCell ref="W1116:X1116"/>
    <mergeCell ref="Y1116:AE1116"/>
    <mergeCell ref="A1117:C1117"/>
    <mergeCell ref="D1117:L1117"/>
    <mergeCell ref="M1117:N1117"/>
    <mergeCell ref="O1117:P1117"/>
    <mergeCell ref="Q1117:R1117"/>
    <mergeCell ref="S1117:T1117"/>
    <mergeCell ref="U1117:V1117"/>
    <mergeCell ref="W1117:X1117"/>
    <mergeCell ref="Y1117:AE1117"/>
    <mergeCell ref="A1118:C1118"/>
    <mergeCell ref="D1118:L1118"/>
    <mergeCell ref="M1118:N1118"/>
    <mergeCell ref="O1118:P1118"/>
    <mergeCell ref="Q1118:R1118"/>
    <mergeCell ref="S1118:T1118"/>
    <mergeCell ref="U1118:V1118"/>
    <mergeCell ref="W1118:X1118"/>
    <mergeCell ref="Y1118:AE1118"/>
    <mergeCell ref="A1119:C1119"/>
    <mergeCell ref="D1119:L1119"/>
    <mergeCell ref="M1119:N1119"/>
    <mergeCell ref="O1119:P1119"/>
    <mergeCell ref="Q1119:R1119"/>
    <mergeCell ref="S1119:T1119"/>
    <mergeCell ref="U1119:V1119"/>
    <mergeCell ref="W1119:X1119"/>
    <mergeCell ref="Y1119:AE1119"/>
    <mergeCell ref="A1120:C1120"/>
    <mergeCell ref="D1120:L1120"/>
    <mergeCell ref="M1120:N1120"/>
    <mergeCell ref="O1120:P1120"/>
    <mergeCell ref="Q1120:R1120"/>
    <mergeCell ref="S1120:T1120"/>
    <mergeCell ref="U1120:V1120"/>
    <mergeCell ref="W1120:X1120"/>
    <mergeCell ref="Y1120:AE1120"/>
    <mergeCell ref="A1121:C1121"/>
    <mergeCell ref="D1121:L1121"/>
    <mergeCell ref="M1121:N1121"/>
    <mergeCell ref="O1121:P1121"/>
    <mergeCell ref="Q1121:R1121"/>
    <mergeCell ref="S1121:T1121"/>
    <mergeCell ref="U1121:V1121"/>
    <mergeCell ref="W1121:X1121"/>
    <mergeCell ref="Y1121:AE1121"/>
    <mergeCell ref="A1122:C1122"/>
    <mergeCell ref="D1122:L1122"/>
    <mergeCell ref="M1122:N1122"/>
    <mergeCell ref="O1122:P1122"/>
    <mergeCell ref="Q1122:R1122"/>
    <mergeCell ref="S1122:T1122"/>
    <mergeCell ref="U1122:V1122"/>
    <mergeCell ref="W1122:X1122"/>
    <mergeCell ref="Y1122:AE1122"/>
    <mergeCell ref="A1123:C1123"/>
    <mergeCell ref="D1123:L1123"/>
    <mergeCell ref="M1123:N1123"/>
    <mergeCell ref="O1123:P1123"/>
    <mergeCell ref="Q1123:R1123"/>
    <mergeCell ref="S1123:T1123"/>
    <mergeCell ref="U1123:V1123"/>
    <mergeCell ref="W1123:X1123"/>
    <mergeCell ref="Y1123:AE1123"/>
    <mergeCell ref="A1124:C1124"/>
    <mergeCell ref="D1124:L1124"/>
    <mergeCell ref="M1124:N1124"/>
    <mergeCell ref="O1124:P1124"/>
    <mergeCell ref="Q1124:R1124"/>
    <mergeCell ref="S1124:T1124"/>
    <mergeCell ref="U1124:V1124"/>
    <mergeCell ref="W1124:X1124"/>
    <mergeCell ref="Y1124:AE1124"/>
    <mergeCell ref="A1125:C1125"/>
    <mergeCell ref="D1125:L1125"/>
    <mergeCell ref="M1125:N1125"/>
    <mergeCell ref="O1125:P1125"/>
    <mergeCell ref="Q1125:R1125"/>
    <mergeCell ref="S1125:T1125"/>
    <mergeCell ref="U1125:V1125"/>
    <mergeCell ref="W1125:X1125"/>
    <mergeCell ref="Y1125:AE1125"/>
    <mergeCell ref="A1126:C1126"/>
    <mergeCell ref="D1126:L1126"/>
    <mergeCell ref="M1126:N1126"/>
    <mergeCell ref="O1126:P1126"/>
    <mergeCell ref="Q1126:R1126"/>
    <mergeCell ref="S1126:T1126"/>
    <mergeCell ref="U1126:V1126"/>
    <mergeCell ref="W1126:X1126"/>
    <mergeCell ref="Y1126:AE1126"/>
    <mergeCell ref="A1127:C1127"/>
    <mergeCell ref="D1127:L1127"/>
    <mergeCell ref="M1127:N1127"/>
    <mergeCell ref="O1127:P1127"/>
    <mergeCell ref="Q1127:R1127"/>
    <mergeCell ref="S1127:T1127"/>
    <mergeCell ref="U1127:V1127"/>
    <mergeCell ref="W1127:X1127"/>
    <mergeCell ref="Y1127:AE1127"/>
    <mergeCell ref="A1128:C1128"/>
    <mergeCell ref="D1128:L1128"/>
    <mergeCell ref="M1128:N1128"/>
    <mergeCell ref="O1128:P1128"/>
    <mergeCell ref="Q1128:R1128"/>
    <mergeCell ref="S1128:T1128"/>
    <mergeCell ref="U1128:V1128"/>
    <mergeCell ref="W1128:X1128"/>
    <mergeCell ref="Y1128:AE1128"/>
    <mergeCell ref="A1131:B1131"/>
    <mergeCell ref="C1131:L1131"/>
    <mergeCell ref="M1131:Q1131"/>
    <mergeCell ref="R1131:AF1131"/>
    <mergeCell ref="C1133:E1133"/>
    <mergeCell ref="F1133:N1133"/>
    <mergeCell ref="C1134:D1135"/>
    <mergeCell ref="E1134:L1135"/>
    <mergeCell ref="N1134:Q1135"/>
    <mergeCell ref="R1134:U1135"/>
    <mergeCell ref="V1134:Y1135"/>
    <mergeCell ref="Z1134:AC1135"/>
    <mergeCell ref="C1136:D1136"/>
    <mergeCell ref="E1136:M1136"/>
    <mergeCell ref="N1136:Q1136"/>
    <mergeCell ref="R1136:U1136"/>
    <mergeCell ref="V1136:Y1136"/>
    <mergeCell ref="Z1136:AC1136"/>
    <mergeCell ref="C1137:D1137"/>
    <mergeCell ref="E1137:M1137"/>
    <mergeCell ref="N1137:Q1137"/>
    <mergeCell ref="R1137:U1137"/>
    <mergeCell ref="V1137:Y1137"/>
    <mergeCell ref="Z1137:AC1137"/>
    <mergeCell ref="C1138:D1138"/>
    <mergeCell ref="E1138:M1138"/>
    <mergeCell ref="N1138:Q1138"/>
    <mergeCell ref="R1138:U1138"/>
    <mergeCell ref="V1138:Y1138"/>
    <mergeCell ref="Z1138:AC1138"/>
    <mergeCell ref="C1139:D1139"/>
    <mergeCell ref="E1139:M1139"/>
    <mergeCell ref="N1139:Q1139"/>
    <mergeCell ref="R1139:U1139"/>
    <mergeCell ref="V1139:Y1139"/>
    <mergeCell ref="Z1139:AC1139"/>
    <mergeCell ref="C1140:D1140"/>
    <mergeCell ref="E1140:M1140"/>
    <mergeCell ref="N1140:Q1140"/>
    <mergeCell ref="R1140:U1140"/>
    <mergeCell ref="V1140:Y1140"/>
    <mergeCell ref="Z1140:AC1140"/>
    <mergeCell ref="C1141:D1141"/>
    <mergeCell ref="E1141:M1141"/>
    <mergeCell ref="N1141:Q1141"/>
    <mergeCell ref="R1141:U1141"/>
    <mergeCell ref="V1141:Y1141"/>
    <mergeCell ref="Z1141:AC1141"/>
    <mergeCell ref="C1142:D1142"/>
    <mergeCell ref="E1142:M1142"/>
    <mergeCell ref="N1142:Q1142"/>
    <mergeCell ref="R1142:U1142"/>
    <mergeCell ref="V1142:Y1142"/>
    <mergeCell ref="Z1142:AC1142"/>
    <mergeCell ref="C1143:D1143"/>
    <mergeCell ref="E1143:M1143"/>
    <mergeCell ref="N1143:Q1143"/>
    <mergeCell ref="R1143:U1143"/>
    <mergeCell ref="V1143:Y1143"/>
    <mergeCell ref="Z1143:AC1143"/>
    <mergeCell ref="C1144:D1144"/>
    <mergeCell ref="E1144:M1144"/>
    <mergeCell ref="N1144:Q1144"/>
    <mergeCell ref="R1144:U1144"/>
    <mergeCell ref="V1144:Y1144"/>
    <mergeCell ref="Z1144:AC1144"/>
    <mergeCell ref="C1145:D1145"/>
    <mergeCell ref="E1145:M1145"/>
    <mergeCell ref="N1145:Q1145"/>
    <mergeCell ref="R1145:U1145"/>
    <mergeCell ref="V1145:Y1145"/>
    <mergeCell ref="Z1145:AC1145"/>
    <mergeCell ref="C1146:D1146"/>
    <mergeCell ref="E1146:M1146"/>
    <mergeCell ref="N1146:Q1146"/>
    <mergeCell ref="R1146:U1146"/>
    <mergeCell ref="V1146:Y1146"/>
    <mergeCell ref="Z1146:AC1146"/>
    <mergeCell ref="C1147:D1147"/>
    <mergeCell ref="E1147:M1147"/>
    <mergeCell ref="N1147:Q1147"/>
    <mergeCell ref="R1147:U1147"/>
    <mergeCell ref="V1147:Y1147"/>
    <mergeCell ref="Z1147:AC1147"/>
    <mergeCell ref="C1148:D1148"/>
    <mergeCell ref="E1148:M1148"/>
    <mergeCell ref="N1148:Q1148"/>
    <mergeCell ref="R1148:U1148"/>
    <mergeCell ref="V1148:Y1148"/>
    <mergeCell ref="Z1148:AC1148"/>
    <mergeCell ref="C1149:D1149"/>
    <mergeCell ref="E1149:M1149"/>
    <mergeCell ref="N1149:Q1149"/>
    <mergeCell ref="R1149:U1149"/>
    <mergeCell ref="V1149:Y1149"/>
    <mergeCell ref="Z1149:AC1149"/>
    <mergeCell ref="C1150:D1150"/>
    <mergeCell ref="E1150:M1150"/>
    <mergeCell ref="N1150:Q1150"/>
    <mergeCell ref="R1150:U1150"/>
    <mergeCell ref="V1150:Y1150"/>
    <mergeCell ref="Z1150:AC1150"/>
    <mergeCell ref="C1151:D1151"/>
    <mergeCell ref="E1151:M1151"/>
    <mergeCell ref="N1151:Q1151"/>
    <mergeCell ref="R1151:U1151"/>
    <mergeCell ref="V1151:Y1151"/>
    <mergeCell ref="Z1151:AC1151"/>
    <mergeCell ref="C1152:D1152"/>
    <mergeCell ref="E1152:M1152"/>
    <mergeCell ref="N1152:Q1152"/>
    <mergeCell ref="R1152:U1152"/>
    <mergeCell ref="V1152:Y1152"/>
    <mergeCell ref="Z1152:AC1152"/>
    <mergeCell ref="C1153:D1153"/>
    <mergeCell ref="E1153:M1153"/>
    <mergeCell ref="N1153:Q1153"/>
    <mergeCell ref="R1153:U1153"/>
    <mergeCell ref="V1153:Y1153"/>
    <mergeCell ref="Z1153:AC1153"/>
    <mergeCell ref="C1154:D1154"/>
    <mergeCell ref="E1154:M1154"/>
    <mergeCell ref="N1154:Q1154"/>
    <mergeCell ref="R1154:U1154"/>
    <mergeCell ref="V1154:Y1154"/>
    <mergeCell ref="Z1154:AC1154"/>
    <mergeCell ref="N1155:Q1155"/>
    <mergeCell ref="R1155:U1155"/>
    <mergeCell ref="V1155:Y1155"/>
    <mergeCell ref="Z1155:AC1155"/>
    <mergeCell ref="C1156:D1156"/>
    <mergeCell ref="E1156:M1156"/>
    <mergeCell ref="N1156:Q1156"/>
    <mergeCell ref="R1156:U1156"/>
    <mergeCell ref="V1156:Y1156"/>
    <mergeCell ref="Z1156:AC1156"/>
    <mergeCell ref="C1158:D1158"/>
    <mergeCell ref="E1158:M1158"/>
    <mergeCell ref="N1158:Q1158"/>
    <mergeCell ref="R1158:U1158"/>
    <mergeCell ref="V1158:Y1158"/>
    <mergeCell ref="Z1158:AC1158"/>
    <mergeCell ref="C1159:D1159"/>
    <mergeCell ref="E1159:M1159"/>
    <mergeCell ref="N1159:Q1159"/>
    <mergeCell ref="R1159:U1159"/>
    <mergeCell ref="V1159:Y1159"/>
    <mergeCell ref="Z1159:AC1159"/>
    <mergeCell ref="C1160:D1160"/>
    <mergeCell ref="E1160:M1160"/>
    <mergeCell ref="N1160:Q1160"/>
    <mergeCell ref="R1160:U1160"/>
    <mergeCell ref="V1160:Y1160"/>
    <mergeCell ref="Z1160:AC1160"/>
    <mergeCell ref="C1161:D1161"/>
    <mergeCell ref="E1161:M1161"/>
    <mergeCell ref="N1161:Q1161"/>
    <mergeCell ref="R1161:U1161"/>
    <mergeCell ref="V1161:Y1161"/>
    <mergeCell ref="Z1161:AC1161"/>
    <mergeCell ref="C1162:D1162"/>
    <mergeCell ref="E1162:M1162"/>
    <mergeCell ref="N1162:Q1162"/>
    <mergeCell ref="R1162:U1162"/>
    <mergeCell ref="V1162:Y1162"/>
    <mergeCell ref="Z1162:AC1162"/>
    <mergeCell ref="C1163:D1163"/>
    <mergeCell ref="E1163:M1163"/>
    <mergeCell ref="N1163:Q1163"/>
    <mergeCell ref="R1163:U1163"/>
    <mergeCell ref="V1163:Y1163"/>
    <mergeCell ref="Z1163:AC1163"/>
    <mergeCell ref="C1164:D1164"/>
    <mergeCell ref="E1164:M1164"/>
    <mergeCell ref="N1164:Q1164"/>
    <mergeCell ref="R1164:U1164"/>
    <mergeCell ref="V1164:Y1164"/>
    <mergeCell ref="Z1164:AC1164"/>
    <mergeCell ref="C1165:D1165"/>
    <mergeCell ref="E1165:M1165"/>
    <mergeCell ref="N1165:Q1165"/>
    <mergeCell ref="R1165:U1165"/>
    <mergeCell ref="V1165:Y1165"/>
    <mergeCell ref="Z1165:AC1165"/>
    <mergeCell ref="C1166:D1166"/>
    <mergeCell ref="E1166:M1166"/>
    <mergeCell ref="N1166:Q1166"/>
    <mergeCell ref="R1166:U1166"/>
    <mergeCell ref="V1166:Y1166"/>
    <mergeCell ref="Z1166:AC1166"/>
    <mergeCell ref="C1167:D1167"/>
    <mergeCell ref="E1167:M1167"/>
    <mergeCell ref="N1167:Q1167"/>
    <mergeCell ref="R1167:U1167"/>
    <mergeCell ref="V1167:Y1167"/>
    <mergeCell ref="Z1167:AC1167"/>
    <mergeCell ref="C1168:D1168"/>
    <mergeCell ref="E1168:M1168"/>
    <mergeCell ref="N1168:Q1168"/>
    <mergeCell ref="R1168:U1168"/>
    <mergeCell ref="V1168:Y1168"/>
    <mergeCell ref="Z1168:AC1168"/>
    <mergeCell ref="C1169:D1169"/>
    <mergeCell ref="E1169:M1169"/>
    <mergeCell ref="N1169:Q1169"/>
    <mergeCell ref="R1169:U1169"/>
    <mergeCell ref="V1169:Y1169"/>
    <mergeCell ref="Z1169:AC1169"/>
    <mergeCell ref="C1170:D1170"/>
    <mergeCell ref="E1170:M1170"/>
    <mergeCell ref="N1170:Q1170"/>
    <mergeCell ref="R1170:U1170"/>
    <mergeCell ref="V1170:Y1170"/>
    <mergeCell ref="Z1170:AC1170"/>
    <mergeCell ref="C1171:D1171"/>
    <mergeCell ref="E1171:M1171"/>
    <mergeCell ref="N1171:Q1171"/>
    <mergeCell ref="R1171:U1171"/>
    <mergeCell ref="V1171:Y1171"/>
    <mergeCell ref="Z1171:AC1171"/>
    <mergeCell ref="C1172:D1172"/>
    <mergeCell ref="E1172:M1172"/>
    <mergeCell ref="N1172:Q1172"/>
    <mergeCell ref="R1172:U1172"/>
    <mergeCell ref="V1172:Y1172"/>
    <mergeCell ref="Z1172:AC1172"/>
    <mergeCell ref="C1173:D1173"/>
    <mergeCell ref="E1173:M1173"/>
    <mergeCell ref="N1173:Q1173"/>
    <mergeCell ref="R1173:U1173"/>
    <mergeCell ref="V1173:Y1173"/>
    <mergeCell ref="Z1173:AC1173"/>
    <mergeCell ref="C1174:D1174"/>
    <mergeCell ref="E1174:M1174"/>
    <mergeCell ref="N1174:Q1174"/>
    <mergeCell ref="R1174:U1174"/>
    <mergeCell ref="V1174:Y1174"/>
    <mergeCell ref="Z1174:AC1174"/>
    <mergeCell ref="C1175:D1175"/>
    <mergeCell ref="E1175:M1175"/>
    <mergeCell ref="N1175:Q1175"/>
    <mergeCell ref="R1175:U1175"/>
    <mergeCell ref="V1175:Y1175"/>
    <mergeCell ref="Z1175:AC1175"/>
    <mergeCell ref="C1176:D1176"/>
    <mergeCell ref="E1176:M1176"/>
    <mergeCell ref="N1176:Q1176"/>
    <mergeCell ref="R1176:U1176"/>
    <mergeCell ref="V1176:Y1176"/>
    <mergeCell ref="Z1176:AC1176"/>
    <mergeCell ref="C1178:M1178"/>
    <mergeCell ref="N1178:Q1178"/>
    <mergeCell ref="R1178:U1178"/>
    <mergeCell ref="V1178:Y1178"/>
    <mergeCell ref="Z1178:AC1178"/>
    <mergeCell ref="C1179:M1179"/>
    <mergeCell ref="N1179:Q1179"/>
    <mergeCell ref="R1179:U1179"/>
    <mergeCell ref="V1179:Y1179"/>
    <mergeCell ref="Z1179:AC1179"/>
    <mergeCell ref="C1180:M1180"/>
    <mergeCell ref="N1180:Q1180"/>
    <mergeCell ref="R1180:U1180"/>
    <mergeCell ref="V1180:Y1180"/>
    <mergeCell ref="Z1180:AC1180"/>
    <mergeCell ref="C1181:M1181"/>
    <mergeCell ref="N1181:Q1181"/>
    <mergeCell ref="R1181:U1181"/>
    <mergeCell ref="V1181:Y1181"/>
    <mergeCell ref="Z1181:AC1181"/>
    <mergeCell ref="C1182:M1182"/>
    <mergeCell ref="N1182:Q1182"/>
    <mergeCell ref="R1182:U1182"/>
    <mergeCell ref="V1182:Y1182"/>
    <mergeCell ref="Z1182:AC1182"/>
    <mergeCell ref="C1183:M1183"/>
    <mergeCell ref="N1183:Q1183"/>
    <mergeCell ref="R1183:U1183"/>
    <mergeCell ref="V1183:Y1183"/>
    <mergeCell ref="Z1183:AC1183"/>
    <mergeCell ref="C1184:M1184"/>
    <mergeCell ref="N1184:Q1184"/>
    <mergeCell ref="V1184:Y1184"/>
    <mergeCell ref="Z1184:AC1184"/>
    <mergeCell ref="C1185:M1185"/>
    <mergeCell ref="N1185:Q1185"/>
    <mergeCell ref="R1185:U1185"/>
    <mergeCell ref="V1185:Y1185"/>
    <mergeCell ref="Z1185:AC1185"/>
    <mergeCell ref="Z1186:AC1186"/>
    <mergeCell ref="C1187:AC1188"/>
  </mergeCells>
  <conditionalFormatting sqref="M727:M745">
    <cfRule type="cellIs" priority="2" operator="equal" aboveAverage="0" equalAverage="0" bottom="0" percent="0" rank="0" text="" dxfId="24">
      <formula>0</formula>
    </cfRule>
  </conditionalFormatting>
  <conditionalFormatting sqref="M700:M718">
    <cfRule type="cellIs" priority="3" operator="equal" aboveAverage="0" equalAverage="0" bottom="0" percent="0" rank="0" text="" dxfId="24">
      <formula>0</formula>
    </cfRule>
  </conditionalFormatting>
  <conditionalFormatting sqref="M673:M691">
    <cfRule type="cellIs" priority="4" operator="equal" aboveAverage="0" equalAverage="0" bottom="0" percent="0" rank="0" text="" dxfId="24">
      <formula>0</formula>
    </cfRule>
  </conditionalFormatting>
  <conditionalFormatting sqref="M646:M664">
    <cfRule type="cellIs" priority="5" operator="equal" aboveAverage="0" equalAverage="0" bottom="0" percent="0" rank="0" text="" dxfId="24">
      <formula>0</formula>
    </cfRule>
  </conditionalFormatting>
  <conditionalFormatting sqref="M619:M637">
    <cfRule type="cellIs" priority="6" operator="equal" aboveAverage="0" equalAverage="0" bottom="0" percent="0" rank="0" text="" dxfId="24">
      <formula>0</formula>
    </cfRule>
  </conditionalFormatting>
  <conditionalFormatting sqref="M592:M610">
    <cfRule type="cellIs" priority="7" operator="equal" aboveAverage="0" equalAverage="0" bottom="0" percent="0" rank="0" text="" dxfId="24">
      <formula>0</formula>
    </cfRule>
  </conditionalFormatting>
  <conditionalFormatting sqref="M565:M583">
    <cfRule type="cellIs" priority="8" operator="equal" aboveAverage="0" equalAverage="0" bottom="0" percent="0" rank="0" text="" dxfId="24">
      <formula>0</formula>
    </cfRule>
  </conditionalFormatting>
  <conditionalFormatting sqref="M538:M556">
    <cfRule type="cellIs" priority="9" operator="equal" aboveAverage="0" equalAverage="0" bottom="0" percent="0" rank="0" text="" dxfId="24">
      <formula>0</formula>
    </cfRule>
  </conditionalFormatting>
  <conditionalFormatting sqref="M511:M529">
    <cfRule type="cellIs" priority="10" operator="equal" aboveAverage="0" equalAverage="0" bottom="0" percent="0" rank="0" text="" dxfId="24">
      <formula>0</formula>
    </cfRule>
  </conditionalFormatting>
  <conditionalFormatting sqref="M484:M502">
    <cfRule type="cellIs" priority="11" operator="equal" aboveAverage="0" equalAverage="0" bottom="0" percent="0" rank="0" text="" dxfId="24">
      <formula>0</formula>
    </cfRule>
  </conditionalFormatting>
  <conditionalFormatting sqref="M457:M475">
    <cfRule type="cellIs" priority="12" operator="equal" aboveAverage="0" equalAverage="0" bottom="0" percent="0" rank="0" text="" dxfId="24">
      <formula>0</formula>
    </cfRule>
  </conditionalFormatting>
  <conditionalFormatting sqref="M430:M448">
    <cfRule type="cellIs" priority="13" operator="equal" aboveAverage="0" equalAverage="0" bottom="0" percent="0" rank="0" text="" dxfId="24">
      <formula>0</formula>
    </cfRule>
  </conditionalFormatting>
  <conditionalFormatting sqref="M344:M362">
    <cfRule type="cellIs" priority="14" operator="equal" aboveAverage="0" equalAverage="0" bottom="0" percent="0" rank="0" text="" dxfId="24">
      <formula>0</formula>
    </cfRule>
  </conditionalFormatting>
  <conditionalFormatting sqref="M317:M335">
    <cfRule type="cellIs" priority="15" operator="equal" aboveAverage="0" equalAverage="0" bottom="0" percent="0" rank="0" text="" dxfId="24">
      <formula>0</formula>
    </cfRule>
  </conditionalFormatting>
  <conditionalFormatting sqref="M290:M308">
    <cfRule type="cellIs" priority="16" operator="equal" aboveAverage="0" equalAverage="0" bottom="0" percent="0" rank="0" text="" dxfId="24">
      <formula>0</formula>
    </cfRule>
  </conditionalFormatting>
  <conditionalFormatting sqref="M263:M281">
    <cfRule type="cellIs" priority="17" operator="equal" aboveAverage="0" equalAverage="0" bottom="0" percent="0" rank="0" text="" dxfId="24">
      <formula>0</formula>
    </cfRule>
  </conditionalFormatting>
  <conditionalFormatting sqref="M236:M254">
    <cfRule type="cellIs" priority="18" operator="equal" aboveAverage="0" equalAverage="0" bottom="0" percent="0" rank="0" text="" dxfId="24">
      <formula>0</formula>
    </cfRule>
  </conditionalFormatting>
  <conditionalFormatting sqref="M209:M227">
    <cfRule type="cellIs" priority="19" operator="equal" aboveAverage="0" equalAverage="0" bottom="0" percent="0" rank="0" text="" dxfId="24">
      <formula>0</formula>
    </cfRule>
  </conditionalFormatting>
  <conditionalFormatting sqref="M182:M200">
    <cfRule type="cellIs" priority="20" operator="equal" aboveAverage="0" equalAverage="0" bottom="0" percent="0" rank="0" text="" dxfId="24">
      <formula>0</formula>
    </cfRule>
  </conditionalFormatting>
  <conditionalFormatting sqref="M155:M173">
    <cfRule type="cellIs" priority="21" operator="equal" aboveAverage="0" equalAverage="0" bottom="0" percent="0" rank="0" text="" dxfId="24">
      <formula>0</formula>
    </cfRule>
  </conditionalFormatting>
  <conditionalFormatting sqref="M128:M146">
    <cfRule type="cellIs" priority="22" operator="equal" aboveAverage="0" equalAverage="0" bottom="0" percent="0" rank="0" text="" dxfId="24">
      <formula>0</formula>
    </cfRule>
  </conditionalFormatting>
  <conditionalFormatting sqref="M101:M119">
    <cfRule type="cellIs" priority="23" operator="equal" aboveAverage="0" equalAverage="0" bottom="0" percent="0" rank="0" text="" dxfId="24">
      <formula>0</formula>
    </cfRule>
  </conditionalFormatting>
  <conditionalFormatting sqref="M74:M92">
    <cfRule type="cellIs" priority="24" operator="equal" aboveAverage="0" equalAverage="0" bottom="0" percent="0" rank="0" text="" dxfId="24">
      <formula>0</formula>
    </cfRule>
  </conditionalFormatting>
  <conditionalFormatting sqref="M47:M65">
    <cfRule type="cellIs" priority="25" operator="equal" aboveAverage="0" equalAverage="0" bottom="0" percent="0" rank="0" text="" dxfId="24">
      <formula>0</formula>
    </cfRule>
  </conditionalFormatting>
  <conditionalFormatting sqref="A700:A718">
    <cfRule type="cellIs" priority="26" operator="equal" aboveAverage="0" equalAverage="0" bottom="0" percent="0" rank="0" text="" dxfId="24">
      <formula>0</formula>
    </cfRule>
  </conditionalFormatting>
  <conditionalFormatting sqref="A317:A335">
    <cfRule type="cellIs" priority="27" operator="equal" aboveAverage="0" equalAverage="0" bottom="0" percent="0" rank="0" text="" dxfId="24">
      <formula>0</formula>
    </cfRule>
  </conditionalFormatting>
  <conditionalFormatting sqref="C389:N389 R389 V389 Z389">
    <cfRule type="cellIs" priority="28" operator="equal" aboveAverage="0" equalAverage="0" bottom="0" percent="0" rank="0" text="" dxfId="24">
      <formula>0</formula>
    </cfRule>
  </conditionalFormatting>
  <conditionalFormatting sqref="C772:N772 R772 V772 Z772">
    <cfRule type="cellIs" priority="29" operator="equal" aboveAverage="0" equalAverage="0" bottom="0" percent="0" rank="0" text="" dxfId="24">
      <formula>0</formula>
    </cfRule>
  </conditionalFormatting>
  <conditionalFormatting sqref="C1155:N1155 R1155 V1155 Z1155">
    <cfRule type="cellIs" priority="30" operator="equal" aboveAverage="0" equalAverage="0" bottom="0" percent="0" rank="0" text="" dxfId="24">
      <formula>0</formula>
    </cfRule>
  </conditionalFormatting>
  <conditionalFormatting sqref="C1158:C1176 E1158:E1176 N1158:AC1176">
    <cfRule type="cellIs" priority="31" operator="equal" aboveAverage="0" equalAverage="0" bottom="0" percent="0" rank="0" text="" dxfId="24">
      <formula>0</formula>
    </cfRule>
  </conditionalFormatting>
  <conditionalFormatting sqref="C1156 C1157:AC1157 C1177:AC1182 C1183:C1184 C1185:AC1185 E1156 N1156:AC1156 N1183:N1184 R1183:Z1184">
    <cfRule type="cellIs" priority="32" operator="equal" aboveAverage="0" equalAverage="0" bottom="0" percent="0" rank="0" text="" dxfId="24">
      <formula>0</formula>
    </cfRule>
  </conditionalFormatting>
  <conditionalFormatting sqref="W1083:W1101 Y1083:Y1101">
    <cfRule type="cellIs" priority="33" operator="equal" aboveAverage="0" equalAverage="0" bottom="0" percent="0" rank="0" text="" dxfId="24">
      <formula>0</formula>
    </cfRule>
  </conditionalFormatting>
  <conditionalFormatting sqref="O1083:O1101 Q1083:Q1101 S1083:S1101 U1083:U1101">
    <cfRule type="cellIs" priority="34" operator="equal" aboveAverage="0" equalAverage="0" bottom="0" percent="0" rank="0" text="" dxfId="24">
      <formula>0</formula>
    </cfRule>
  </conditionalFormatting>
  <conditionalFormatting sqref="A1083:A1101 D1083:D1101">
    <cfRule type="cellIs" priority="35" operator="equal" aboveAverage="0" equalAverage="0" bottom="0" percent="0" rank="0" text="" dxfId="24">
      <formula>0</formula>
    </cfRule>
  </conditionalFormatting>
  <conditionalFormatting sqref="W1056:W1074 Y1056:Y1074">
    <cfRule type="cellIs" priority="36" operator="equal" aboveAverage="0" equalAverage="0" bottom="0" percent="0" rank="0" text="" dxfId="24">
      <formula>0</formula>
    </cfRule>
  </conditionalFormatting>
  <conditionalFormatting sqref="O1056:O1074">
    <cfRule type="cellIs" priority="37" operator="equal" aboveAverage="0" equalAverage="0" bottom="0" percent="0" rank="0" text="" dxfId="24">
      <formula>0</formula>
    </cfRule>
  </conditionalFormatting>
  <conditionalFormatting sqref="A1056:A1074 D1056:D1074 Q1056:Q1074 S1056:S1074 U1056:U1074">
    <cfRule type="cellIs" priority="38" operator="equal" aboveAverage="0" equalAverage="0" bottom="0" percent="0" rank="0" text="" dxfId="24">
      <formula>0</formula>
    </cfRule>
  </conditionalFormatting>
  <conditionalFormatting sqref="U1029:U1047">
    <cfRule type="cellIs" priority="39" operator="equal" aboveAverage="0" equalAverage="0" bottom="0" percent="0" rank="0" text="" dxfId="24">
      <formula>0</formula>
    </cfRule>
  </conditionalFormatting>
  <conditionalFormatting sqref="O1029:O1047">
    <cfRule type="cellIs" priority="40" operator="equal" aboveAverage="0" equalAverage="0" bottom="0" percent="0" rank="0" text="" dxfId="24">
      <formula>0</formula>
    </cfRule>
  </conditionalFormatting>
  <conditionalFormatting sqref="Q1029:Q1047 S1029:S1047">
    <cfRule type="cellIs" priority="41" operator="equal" aboveAverage="0" equalAverage="0" bottom="0" percent="0" rank="0" text="" dxfId="24">
      <formula>0</formula>
    </cfRule>
  </conditionalFormatting>
  <conditionalFormatting sqref="W1029:W1047 Y1029:Y1047">
    <cfRule type="cellIs" priority="42" operator="equal" aboveAverage="0" equalAverage="0" bottom="0" percent="0" rank="0" text="" dxfId="24">
      <formula>0</formula>
    </cfRule>
  </conditionalFormatting>
  <conditionalFormatting sqref="A1029:A1047 D1029:D1047">
    <cfRule type="cellIs" priority="43" operator="equal" aboveAverage="0" equalAverage="0" bottom="0" percent="0" rank="0" text="" dxfId="24">
      <formula>0</formula>
    </cfRule>
  </conditionalFormatting>
  <conditionalFormatting sqref="S1002:S1020">
    <cfRule type="cellIs" priority="44" operator="equal" aboveAverage="0" equalAverage="0" bottom="0" percent="0" rank="0" text="" dxfId="24">
      <formula>0</formula>
    </cfRule>
  </conditionalFormatting>
  <conditionalFormatting sqref="O1002:O1020">
    <cfRule type="cellIs" priority="45" operator="equal" aboveAverage="0" equalAverage="0" bottom="0" percent="0" rank="0" text="" dxfId="24">
      <formula>0</formula>
    </cfRule>
  </conditionalFormatting>
  <conditionalFormatting sqref="Q1002:Q1020 U1002:U1020">
    <cfRule type="cellIs" priority="46" operator="equal" aboveAverage="0" equalAverage="0" bottom="0" percent="0" rank="0" text="" dxfId="24">
      <formula>0</formula>
    </cfRule>
  </conditionalFormatting>
  <conditionalFormatting sqref="W1002:W1020 Y1002:Y1020">
    <cfRule type="cellIs" priority="47" operator="equal" aboveAverage="0" equalAverage="0" bottom="0" percent="0" rank="0" text="" dxfId="24">
      <formula>0</formula>
    </cfRule>
  </conditionalFormatting>
  <conditionalFormatting sqref="A1002:A1020 D1002:D1020">
    <cfRule type="cellIs" priority="48" operator="equal" aboveAverage="0" equalAverage="0" bottom="0" percent="0" rank="0" text="" dxfId="24">
      <formula>0</formula>
    </cfRule>
  </conditionalFormatting>
  <conditionalFormatting sqref="W1110:W1128 Y1110:Y1128">
    <cfRule type="cellIs" priority="49" operator="equal" aboveAverage="0" equalAverage="0" bottom="0" percent="0" rank="0" text="" dxfId="24">
      <formula>0</formula>
    </cfRule>
  </conditionalFormatting>
  <conditionalFormatting sqref="O1110:O1128 Q1110:Q1128 S1110:S1128 U1110:U1128">
    <cfRule type="cellIs" priority="50" operator="equal" aboveAverage="0" equalAverage="0" bottom="0" percent="0" rank="0" text="" dxfId="24">
      <formula>0</formula>
    </cfRule>
  </conditionalFormatting>
  <conditionalFormatting sqref="A1110:A1128 D1110:D1128">
    <cfRule type="cellIs" priority="51" operator="equal" aboveAverage="0" equalAverage="0" bottom="0" percent="0" rank="0" text="" dxfId="24">
      <formula>0</formula>
    </cfRule>
  </conditionalFormatting>
  <conditionalFormatting sqref="M1110:M1128">
    <cfRule type="cellIs" priority="52" operator="equal" aboveAverage="0" equalAverage="0" bottom="0" percent="0" rank="0" text="" dxfId="24">
      <formula>0</formula>
    </cfRule>
  </conditionalFormatting>
  <conditionalFormatting sqref="W975:W993 Y975:Y993">
    <cfRule type="cellIs" priority="53" operator="equal" aboveAverage="0" equalAverage="0" bottom="0" percent="0" rank="0" text="" dxfId="24">
      <formula>0</formula>
    </cfRule>
  </conditionalFormatting>
  <conditionalFormatting sqref="O975:O993 Q975:Q993 S975:S993 U975:U993">
    <cfRule type="cellIs" priority="54" operator="equal" aboveAverage="0" equalAverage="0" bottom="0" percent="0" rank="0" text="" dxfId="24">
      <formula>0</formula>
    </cfRule>
  </conditionalFormatting>
  <conditionalFormatting sqref="A975:A994 D975:D993">
    <cfRule type="cellIs" priority="55" operator="equal" aboveAverage="0" equalAverage="0" bottom="0" percent="0" rank="0" text="" dxfId="24">
      <formula>0</formula>
    </cfRule>
  </conditionalFormatting>
  <conditionalFormatting sqref="W948:W966 Y948:Y966">
    <cfRule type="cellIs" priority="56" operator="equal" aboveAverage="0" equalAverage="0" bottom="0" percent="0" rank="0" text="" dxfId="24">
      <formula>0</formula>
    </cfRule>
  </conditionalFormatting>
  <conditionalFormatting sqref="O948:O966 Q948:Q966 S948:S966 U948:U966">
    <cfRule type="cellIs" priority="57" operator="equal" aboveAverage="0" equalAverage="0" bottom="0" percent="0" rank="0" text="" dxfId="24">
      <formula>0</formula>
    </cfRule>
  </conditionalFormatting>
  <conditionalFormatting sqref="A948:A967 D948:D966">
    <cfRule type="cellIs" priority="58" operator="equal" aboveAverage="0" equalAverage="0" bottom="0" percent="0" rank="0" text="" dxfId="24">
      <formula>0</formula>
    </cfRule>
  </conditionalFormatting>
  <conditionalFormatting sqref="M948:M966">
    <cfRule type="cellIs" priority="59" operator="equal" aboveAverage="0" equalAverage="0" bottom="0" percent="0" rank="0" text="" dxfId="24">
      <formula>0</formula>
    </cfRule>
  </conditionalFormatting>
  <conditionalFormatting sqref="W921:W939 Y921:Y939">
    <cfRule type="cellIs" priority="60" operator="equal" aboveAverage="0" equalAverage="0" bottom="0" percent="0" rank="0" text="" dxfId="24">
      <formula>0</formula>
    </cfRule>
  </conditionalFormatting>
  <conditionalFormatting sqref="O921:O939 Q921:Q939 S921:S939 U921:U939">
    <cfRule type="cellIs" priority="61" operator="equal" aboveAverage="0" equalAverage="0" bottom="0" percent="0" rank="0" text="" dxfId="24">
      <formula>0</formula>
    </cfRule>
  </conditionalFormatting>
  <conditionalFormatting sqref="A921:A940 D921:D939">
    <cfRule type="cellIs" priority="62" operator="equal" aboveAverage="0" equalAverage="0" bottom="0" percent="0" rank="0" text="" dxfId="24">
      <formula>0</formula>
    </cfRule>
  </conditionalFormatting>
  <conditionalFormatting sqref="W894:W912 Y894:Y912">
    <cfRule type="cellIs" priority="63" operator="equal" aboveAverage="0" equalAverage="0" bottom="0" percent="0" rank="0" text="" dxfId="24">
      <formula>0</formula>
    </cfRule>
  </conditionalFormatting>
  <conditionalFormatting sqref="O894:O912 Q894:Q912 S894:S912 U894:U912">
    <cfRule type="cellIs" priority="64" operator="equal" aboveAverage="0" equalAverage="0" bottom="0" percent="0" rank="0" text="" dxfId="24">
      <formula>0</formula>
    </cfRule>
  </conditionalFormatting>
  <conditionalFormatting sqref="D894:D912">
    <cfRule type="cellIs" priority="65" operator="equal" aboveAverage="0" equalAverage="0" bottom="0" percent="0" rank="0" text="" dxfId="24">
      <formula>0</formula>
    </cfRule>
  </conditionalFormatting>
  <conditionalFormatting sqref="A894:A913">
    <cfRule type="cellIs" priority="66" operator="equal" aboveAverage="0" equalAverage="0" bottom="0" percent="0" rank="0" text="" dxfId="24">
      <formula>0</formula>
    </cfRule>
  </conditionalFormatting>
  <conditionalFormatting sqref="M894:M912">
    <cfRule type="cellIs" priority="67" operator="equal" aboveAverage="0" equalAverage="0" bottom="0" percent="0" rank="0" text="" dxfId="24">
      <formula>0</formula>
    </cfRule>
  </conditionalFormatting>
  <conditionalFormatting sqref="O867:O885 Q867:Q885 S867:S885 U867:U885">
    <cfRule type="cellIs" priority="68" operator="equal" aboveAverage="0" equalAverage="0" bottom="0" percent="0" rank="0" text="" dxfId="24">
      <formula>0</formula>
    </cfRule>
  </conditionalFormatting>
  <conditionalFormatting sqref="Y867:Y885">
    <cfRule type="cellIs" priority="69" operator="equal" aboveAverage="0" equalAverage="0" bottom="0" percent="0" rank="0" text="" dxfId="24">
      <formula>0</formula>
    </cfRule>
  </conditionalFormatting>
  <conditionalFormatting sqref="W867:W885">
    <cfRule type="cellIs" priority="70" operator="equal" aboveAverage="0" equalAverage="0" bottom="0" percent="0" rank="0" text="" dxfId="24">
      <formula>0</formula>
    </cfRule>
  </conditionalFormatting>
  <conditionalFormatting sqref="A867:A886 D867:D885">
    <cfRule type="cellIs" priority="71" operator="equal" aboveAverage="0" equalAverage="0" bottom="0" percent="0" rank="0" text="" dxfId="24">
      <formula>0</formula>
    </cfRule>
  </conditionalFormatting>
  <conditionalFormatting sqref="M867:M885">
    <cfRule type="cellIs" priority="72" operator="equal" aboveAverage="0" equalAverage="0" bottom="0" percent="0" rank="0" text="" dxfId="24">
      <formula>0</formula>
    </cfRule>
  </conditionalFormatting>
  <conditionalFormatting sqref="W840:W858 Y840:Y858">
    <cfRule type="cellIs" priority="73" operator="equal" aboveAverage="0" equalAverage="0" bottom="0" percent="0" rank="0" text="" dxfId="24">
      <formula>0</formula>
    </cfRule>
  </conditionalFormatting>
  <conditionalFormatting sqref="O840:O858 Q840:Q858 S840:S858 U840:U858">
    <cfRule type="cellIs" priority="74" operator="equal" aboveAverage="0" equalAverage="0" bottom="0" percent="0" rank="0" text="" dxfId="24">
      <formula>0</formula>
    </cfRule>
  </conditionalFormatting>
  <conditionalFormatting sqref="A840:A859 D840:D858">
    <cfRule type="cellIs" priority="75" operator="equal" aboveAverage="0" equalAverage="0" bottom="0" percent="0" rank="0" text="" dxfId="24">
      <formula>0</formula>
    </cfRule>
  </conditionalFormatting>
  <conditionalFormatting sqref="M840:M858">
    <cfRule type="cellIs" priority="76" operator="equal" aboveAverage="0" equalAverage="0" bottom="0" percent="0" rank="0" text="" dxfId="24">
      <formula>0</formula>
    </cfRule>
  </conditionalFormatting>
  <conditionalFormatting sqref="O816:O831 Q816:Q825 S816:S831 U816:U831">
    <cfRule type="cellIs" priority="77" operator="equal" aboveAverage="0" equalAverage="0" bottom="0" percent="0" rank="0" text="" dxfId="24">
      <formula>0</formula>
    </cfRule>
  </conditionalFormatting>
  <conditionalFormatting sqref="Q827:Q831">
    <cfRule type="cellIs" priority="78" operator="equal" aboveAverage="0" equalAverage="0" bottom="0" percent="0" rank="0" text="" dxfId="24">
      <formula>0</formula>
    </cfRule>
  </conditionalFormatting>
  <conditionalFormatting sqref="W816:W831 Y816:Y831">
    <cfRule type="cellIs" priority="79" operator="equal" aboveAverage="0" equalAverage="0" bottom="0" percent="0" rank="0" text="" dxfId="24">
      <formula>0</formula>
    </cfRule>
  </conditionalFormatting>
  <conditionalFormatting sqref="D816:D831">
    <cfRule type="cellIs" priority="80" operator="equal" aboveAverage="0" equalAverage="0" bottom="0" percent="0" rank="0" text="" dxfId="24">
      <formula>0</formula>
    </cfRule>
  </conditionalFormatting>
  <conditionalFormatting sqref="A816:A832">
    <cfRule type="cellIs" priority="81" operator="equal" aboveAverage="0" equalAverage="0" bottom="0" percent="0" rank="0" text="" dxfId="24">
      <formula>0</formula>
    </cfRule>
  </conditionalFormatting>
  <conditionalFormatting sqref="C1136:C1154 E1136:E1154">
    <cfRule type="cellIs" priority="82" operator="equal" aboveAverage="0" equalAverage="0" bottom="0" percent="0" rank="0" text="" dxfId="24">
      <formula>0</formula>
    </cfRule>
  </conditionalFormatting>
  <conditionalFormatting sqref="N1136:AC1154">
    <cfRule type="cellIs" priority="83" operator="equal" aboveAverage="0" equalAverage="0" bottom="0" percent="0" rank="0" text="" dxfId="24">
      <formula>0</formula>
    </cfRule>
  </conditionalFormatting>
  <conditionalFormatting sqref="M813:M831">
    <cfRule type="cellIs" priority="84" operator="equal" aboveAverage="0" equalAverage="0" bottom="0" percent="0" rank="0" text="" dxfId="24">
      <formula>0</formula>
    </cfRule>
  </conditionalFormatting>
  <conditionalFormatting sqref="C1134 E1134 M921:M939 M975:M993 M1002:M1020 M1029:M1047 M1056:M1074 M1083:M1101 M1134:AC1135">
    <cfRule type="cellIs" priority="85" operator="equal" aboveAverage="0" equalAverage="0" bottom="0" percent="0" rank="0" text="" dxfId="24">
      <formula>0</formula>
    </cfRule>
  </conditionalFormatting>
  <conditionalFormatting sqref="W713:W718 Y713:Y718">
    <cfRule type="cellIs" priority="86" operator="equal" aboveAverage="0" equalAverage="0" bottom="0" percent="0" rank="0" text="" dxfId="24">
      <formula>0</formula>
    </cfRule>
  </conditionalFormatting>
  <conditionalFormatting sqref="O713:O718 Q713:Q718 S713:S718 U713:U718">
    <cfRule type="cellIs" priority="87" operator="equal" aboveAverage="0" equalAverage="0" bottom="0" percent="0" rank="0" text="" dxfId="24">
      <formula>0</formula>
    </cfRule>
  </conditionalFormatting>
  <conditionalFormatting sqref="D713:D718">
    <cfRule type="cellIs" priority="88" operator="equal" aboveAverage="0" equalAverage="0" bottom="0" percent="0" rank="0" text="" dxfId="24">
      <formula>0</formula>
    </cfRule>
  </conditionalFormatting>
  <conditionalFormatting sqref="W673:W691 Y673:Y691">
    <cfRule type="cellIs" priority="89" operator="equal" aboveAverage="0" equalAverage="0" bottom="0" percent="0" rank="0" text="" dxfId="24">
      <formula>0</formula>
    </cfRule>
  </conditionalFormatting>
  <conditionalFormatting sqref="O673:O691">
    <cfRule type="cellIs" priority="90" operator="equal" aboveAverage="0" equalAverage="0" bottom="0" percent="0" rank="0" text="" dxfId="24">
      <formula>0</formula>
    </cfRule>
  </conditionalFormatting>
  <conditionalFormatting sqref="A673:A691 D673:D691 Q673:Q691 S673:S691 U673:U691">
    <cfRule type="cellIs" priority="91" operator="equal" aboveAverage="0" equalAverage="0" bottom="0" percent="0" rank="0" text="" dxfId="24">
      <formula>0</formula>
    </cfRule>
  </conditionalFormatting>
  <conditionalFormatting sqref="U646:U664">
    <cfRule type="cellIs" priority="92" operator="equal" aboveAverage="0" equalAverage="0" bottom="0" percent="0" rank="0" text="" dxfId="24">
      <formula>0</formula>
    </cfRule>
  </conditionalFormatting>
  <conditionalFormatting sqref="O646:O664">
    <cfRule type="cellIs" priority="93" operator="equal" aboveAverage="0" equalAverage="0" bottom="0" percent="0" rank="0" text="" dxfId="24">
      <formula>0</formula>
    </cfRule>
  </conditionalFormatting>
  <conditionalFormatting sqref="Q646:Q664 S646:S664">
    <cfRule type="cellIs" priority="94" operator="equal" aboveAverage="0" equalAverage="0" bottom="0" percent="0" rank="0" text="" dxfId="24">
      <formula>0</formula>
    </cfRule>
  </conditionalFormatting>
  <conditionalFormatting sqref="W646:W664 Y646:Y664">
    <cfRule type="cellIs" priority="95" operator="equal" aboveAverage="0" equalAverage="0" bottom="0" percent="0" rank="0" text="" dxfId="24">
      <formula>0</formula>
    </cfRule>
  </conditionalFormatting>
  <conditionalFormatting sqref="A646:A664 D646:D664">
    <cfRule type="cellIs" priority="96" operator="equal" aboveAverage="0" equalAverage="0" bottom="0" percent="0" rank="0" text="" dxfId="24">
      <formula>0</formula>
    </cfRule>
  </conditionalFormatting>
  <conditionalFormatting sqref="S619:S637">
    <cfRule type="cellIs" priority="97" operator="equal" aboveAverage="0" equalAverage="0" bottom="0" percent="0" rank="0" text="" dxfId="24">
      <formula>0</formula>
    </cfRule>
  </conditionalFormatting>
  <conditionalFormatting sqref="O619:O637">
    <cfRule type="cellIs" priority="98" operator="equal" aboveAverage="0" equalAverage="0" bottom="0" percent="0" rank="0" text="" dxfId="24">
      <formula>0</formula>
    </cfRule>
  </conditionalFormatting>
  <conditionalFormatting sqref="Q619:Q637 U619:U637">
    <cfRule type="cellIs" priority="99" operator="equal" aboveAverage="0" equalAverage="0" bottom="0" percent="0" rank="0" text="" dxfId="24">
      <formula>0</formula>
    </cfRule>
  </conditionalFormatting>
  <conditionalFormatting sqref="W619:W637 Y619:Y637">
    <cfRule type="cellIs" priority="100" operator="equal" aboveAverage="0" equalAverage="0" bottom="0" percent="0" rank="0" text="" dxfId="24">
      <formula>0</formula>
    </cfRule>
  </conditionalFormatting>
  <conditionalFormatting sqref="A619:A637 D619:D637">
    <cfRule type="cellIs" priority="101" operator="equal" aboveAverage="0" equalAverage="0" bottom="0" percent="0" rank="0" text="" dxfId="24">
      <formula>0</formula>
    </cfRule>
  </conditionalFormatting>
  <conditionalFormatting sqref="W727:W745 Y727:Y745">
    <cfRule type="cellIs" priority="102" operator="equal" aboveAverage="0" equalAverage="0" bottom="0" percent="0" rank="0" text="" dxfId="24">
      <formula>0</formula>
    </cfRule>
  </conditionalFormatting>
  <conditionalFormatting sqref="O727:O745 Q727:Q745 S727:S745 U727:U745">
    <cfRule type="cellIs" priority="103" operator="equal" aboveAverage="0" equalAverage="0" bottom="0" percent="0" rank="0" text="" dxfId="24">
      <formula>0</formula>
    </cfRule>
  </conditionalFormatting>
  <conditionalFormatting sqref="A727:A745 D727:D745">
    <cfRule type="cellIs" priority="104" operator="equal" aboveAverage="0" equalAverage="0" bottom="0" percent="0" rank="0" text="" dxfId="24">
      <formula>0</formula>
    </cfRule>
  </conditionalFormatting>
  <conditionalFormatting sqref="W592:W610 Y592:Y610">
    <cfRule type="cellIs" priority="105" operator="equal" aboveAverage="0" equalAverage="0" bottom="0" percent="0" rank="0" text="" dxfId="24">
      <formula>0</formula>
    </cfRule>
  </conditionalFormatting>
  <conditionalFormatting sqref="O592:O610 Q592:Q610 S592:S610 U592:U610">
    <cfRule type="cellIs" priority="106" operator="equal" aboveAverage="0" equalAverage="0" bottom="0" percent="0" rank="0" text="" dxfId="24">
      <formula>0</formula>
    </cfRule>
  </conditionalFormatting>
  <conditionalFormatting sqref="A592:A611 D592:D610">
    <cfRule type="cellIs" priority="107" operator="equal" aboveAverage="0" equalAverage="0" bottom="0" percent="0" rank="0" text="" dxfId="24">
      <formula>0</formula>
    </cfRule>
  </conditionalFormatting>
  <conditionalFormatting sqref="W565:W583 Y565:Y583">
    <cfRule type="cellIs" priority="108" operator="equal" aboveAverage="0" equalAverage="0" bottom="0" percent="0" rank="0" text="" dxfId="24">
      <formula>0</formula>
    </cfRule>
  </conditionalFormatting>
  <conditionalFormatting sqref="O565:O583 Q565:Q583 S565:S583 U565:U583">
    <cfRule type="cellIs" priority="109" operator="equal" aboveAverage="0" equalAverage="0" bottom="0" percent="0" rank="0" text="" dxfId="24">
      <formula>0</formula>
    </cfRule>
  </conditionalFormatting>
  <conditionalFormatting sqref="A565:A584 D565:D583">
    <cfRule type="cellIs" priority="110" operator="equal" aboveAverage="0" equalAverage="0" bottom="0" percent="0" rank="0" text="" dxfId="24">
      <formula>0</formula>
    </cfRule>
  </conditionalFormatting>
  <conditionalFormatting sqref="W538:W556 Y538:Y556">
    <cfRule type="cellIs" priority="111" operator="equal" aboveAverage="0" equalAverage="0" bottom="0" percent="0" rank="0" text="" dxfId="24">
      <formula>0</formula>
    </cfRule>
  </conditionalFormatting>
  <conditionalFormatting sqref="O538:O556 Q538:Q556 S538:S556 U538:U556">
    <cfRule type="cellIs" priority="112" operator="equal" aboveAverage="0" equalAverage="0" bottom="0" percent="0" rank="0" text="" dxfId="24">
      <formula>0</formula>
    </cfRule>
  </conditionalFormatting>
  <conditionalFormatting sqref="A538:A557 D538:D556">
    <cfRule type="cellIs" priority="113" operator="equal" aboveAverage="0" equalAverage="0" bottom="0" percent="0" rank="0" text="" dxfId="24">
      <formula>0</formula>
    </cfRule>
  </conditionalFormatting>
  <conditionalFormatting sqref="W511:W529 Y511:Y529">
    <cfRule type="cellIs" priority="114" operator="equal" aboveAverage="0" equalAverage="0" bottom="0" percent="0" rank="0" text="" dxfId="24">
      <formula>0</formula>
    </cfRule>
  </conditionalFormatting>
  <conditionalFormatting sqref="O511:O529 Q511:Q529 S511:S529 U511:U529">
    <cfRule type="cellIs" priority="115" operator="equal" aboveAverage="0" equalAverage="0" bottom="0" percent="0" rank="0" text="" dxfId="24">
      <formula>0</formula>
    </cfRule>
  </conditionalFormatting>
  <conditionalFormatting sqref="D511:D529">
    <cfRule type="cellIs" priority="116" operator="equal" aboveAverage="0" equalAverage="0" bottom="0" percent="0" rank="0" text="" dxfId="24">
      <formula>0</formula>
    </cfRule>
  </conditionalFormatting>
  <conditionalFormatting sqref="A511:A530">
    <cfRule type="cellIs" priority="117" operator="equal" aboveAverage="0" equalAverage="0" bottom="0" percent="0" rank="0" text="" dxfId="24">
      <formula>0</formula>
    </cfRule>
  </conditionalFormatting>
  <conditionalFormatting sqref="O484:O502 Q484:Q502 S484:S502 U484:U502">
    <cfRule type="cellIs" priority="118" operator="equal" aboveAverage="0" equalAverage="0" bottom="0" percent="0" rank="0" text="" dxfId="24">
      <formula>0</formula>
    </cfRule>
  </conditionalFormatting>
  <conditionalFormatting sqref="Y484:Y502">
    <cfRule type="cellIs" priority="119" operator="equal" aboveAverage="0" equalAverage="0" bottom="0" percent="0" rank="0" text="" dxfId="24">
      <formula>0</formula>
    </cfRule>
  </conditionalFormatting>
  <conditionalFormatting sqref="W484:W502">
    <cfRule type="cellIs" priority="120" operator="equal" aboveAverage="0" equalAverage="0" bottom="0" percent="0" rank="0" text="" dxfId="24">
      <formula>0</formula>
    </cfRule>
  </conditionalFormatting>
  <conditionalFormatting sqref="A484:A503 D484:D502">
    <cfRule type="cellIs" priority="121" operator="equal" aboveAverage="0" equalAverage="0" bottom="0" percent="0" rank="0" text="" dxfId="24">
      <formula>0</formula>
    </cfRule>
  </conditionalFormatting>
  <conditionalFormatting sqref="W457:W475 Y457:Y475">
    <cfRule type="cellIs" priority="122" operator="equal" aboveAverage="0" equalAverage="0" bottom="0" percent="0" rank="0" text="" dxfId="24">
      <formula>0</formula>
    </cfRule>
  </conditionalFormatting>
  <conditionalFormatting sqref="O457:O475 Q457:Q475 S457:S475 U457:U475">
    <cfRule type="cellIs" priority="123" operator="equal" aboveAverage="0" equalAverage="0" bottom="0" percent="0" rank="0" text="" dxfId="24">
      <formula>0</formula>
    </cfRule>
  </conditionalFormatting>
  <conditionalFormatting sqref="A457:A476 D457:D475">
    <cfRule type="cellIs" priority="124" operator="equal" aboveAverage="0" equalAverage="0" bottom="0" percent="0" rank="0" text="" dxfId="24">
      <formula>0</formula>
    </cfRule>
  </conditionalFormatting>
  <conditionalFormatting sqref="W700:W711 Y700:Y711">
    <cfRule type="cellIs" priority="125" operator="equal" aboveAverage="0" equalAverage="0" bottom="0" percent="0" rank="0" text="" dxfId="24">
      <formula>0</formula>
    </cfRule>
  </conditionalFormatting>
  <conditionalFormatting sqref="O700:O711 S700:S711 U700:U711">
    <cfRule type="cellIs" priority="126" operator="equal" aboveAverage="0" equalAverage="0" bottom="0" percent="0" rank="0" text="" dxfId="24">
      <formula>0</formula>
    </cfRule>
  </conditionalFormatting>
  <conditionalFormatting sqref="Q700:Q711">
    <cfRule type="cellIs" priority="127" operator="equal" aboveAverage="0" equalAverage="0" bottom="0" percent="0" rank="0" text="" dxfId="24">
      <formula>0</formula>
    </cfRule>
  </conditionalFormatting>
  <conditionalFormatting sqref="D700:D711">
    <cfRule type="cellIs" priority="128" operator="equal" aboveAverage="0" equalAverage="0" bottom="0" percent="0" rank="0" text="" dxfId="24">
      <formula>0</formula>
    </cfRule>
  </conditionalFormatting>
  <conditionalFormatting sqref="O433:O448 Q433:Q442 S433:S448 U433:U448">
    <cfRule type="cellIs" priority="129" operator="equal" aboveAverage="0" equalAverage="0" bottom="0" percent="0" rank="0" text="" dxfId="24">
      <formula>0</formula>
    </cfRule>
  </conditionalFormatting>
  <conditionalFormatting sqref="Q444:Q448">
    <cfRule type="cellIs" priority="130" operator="equal" aboveAverage="0" equalAverage="0" bottom="0" percent="0" rank="0" text="" dxfId="24">
      <formula>0</formula>
    </cfRule>
  </conditionalFormatting>
  <conditionalFormatting sqref="W433:W448 Y433:Y448">
    <cfRule type="cellIs" priority="131" operator="equal" aboveAverage="0" equalAverage="0" bottom="0" percent="0" rank="0" text="" dxfId="24">
      <formula>0</formula>
    </cfRule>
  </conditionalFormatting>
  <conditionalFormatting sqref="D433:D448">
    <cfRule type="cellIs" priority="132" operator="equal" aboveAverage="0" equalAverage="0" bottom="0" percent="0" rank="0" text="" dxfId="24">
      <formula>0</formula>
    </cfRule>
  </conditionalFormatting>
  <conditionalFormatting sqref="A433:A449">
    <cfRule type="cellIs" priority="133" operator="equal" aboveAverage="0" equalAverage="0" bottom="0" percent="0" rank="0" text="" dxfId="24">
      <formula>0</formula>
    </cfRule>
  </conditionalFormatting>
  <conditionalFormatting sqref="C753:C771 E753:E771">
    <cfRule type="cellIs" priority="134" operator="equal" aboveAverage="0" equalAverage="0" bottom="0" percent="0" rank="0" text="" dxfId="24">
      <formula>0</formula>
    </cfRule>
  </conditionalFormatting>
  <conditionalFormatting sqref="N753:AC771">
    <cfRule type="cellIs" priority="135" operator="equal" aboveAverage="0" equalAverage="0" bottom="0" percent="0" rank="0" text="" dxfId="24">
      <formula>0</formula>
    </cfRule>
  </conditionalFormatting>
  <conditionalFormatting sqref="C775:C793 E775:E793 N775:AC793">
    <cfRule type="cellIs" priority="136" operator="equal" aboveAverage="0" equalAverage="0" bottom="0" percent="0" rank="0" text="" dxfId="24">
      <formula>0</formula>
    </cfRule>
  </conditionalFormatting>
  <conditionalFormatting sqref="C751 C773 C774:AC774 C794:AC799 C800:C801 C802:AC802 E751 E773 M751:AC752 N773:AC773 N800:N801 R800:Z801">
    <cfRule type="cellIs" priority="137" operator="equal" aboveAverage="0" equalAverage="0" bottom="0" percent="0" rank="0" text="" dxfId="24">
      <formula>0</formula>
    </cfRule>
  </conditionalFormatting>
  <conditionalFormatting sqref="W330:W335 Y330:Y335">
    <cfRule type="cellIs" priority="138" operator="equal" aboveAverage="0" equalAverage="0" bottom="0" percent="0" rank="0" text="" dxfId="24">
      <formula>0</formula>
    </cfRule>
  </conditionalFormatting>
  <conditionalFormatting sqref="O330:O335 Q330:Q335 S330:S335 U330:U335">
    <cfRule type="cellIs" priority="139" operator="equal" aboveAverage="0" equalAverage="0" bottom="0" percent="0" rank="0" text="" dxfId="24">
      <formula>0</formula>
    </cfRule>
  </conditionalFormatting>
  <conditionalFormatting sqref="D330:D335">
    <cfRule type="cellIs" priority="140" operator="equal" aboveAverage="0" equalAverage="0" bottom="0" percent="0" rank="0" text="" dxfId="24">
      <formula>0</formula>
    </cfRule>
  </conditionalFormatting>
  <conditionalFormatting sqref="W290:W308 Y290:Y308">
    <cfRule type="cellIs" priority="141" operator="equal" aboveAverage="0" equalAverage="0" bottom="0" percent="0" rank="0" text="" dxfId="24">
      <formula>0</formula>
    </cfRule>
  </conditionalFormatting>
  <conditionalFormatting sqref="O290:O308">
    <cfRule type="cellIs" priority="142" operator="equal" aboveAverage="0" equalAverage="0" bottom="0" percent="0" rank="0" text="" dxfId="24">
      <formula>0</formula>
    </cfRule>
  </conditionalFormatting>
  <conditionalFormatting sqref="A290:A308 D290:D308 Q290:Q308 S290:S308 U290:U308">
    <cfRule type="cellIs" priority="143" operator="equal" aboveAverage="0" equalAverage="0" bottom="0" percent="0" rank="0" text="" dxfId="24">
      <formula>0</formula>
    </cfRule>
  </conditionalFormatting>
  <conditionalFormatting sqref="U263:U281">
    <cfRule type="cellIs" priority="144" operator="equal" aboveAverage="0" equalAverage="0" bottom="0" percent="0" rank="0" text="" dxfId="24">
      <formula>0</formula>
    </cfRule>
  </conditionalFormatting>
  <conditionalFormatting sqref="O263:O281">
    <cfRule type="cellIs" priority="145" operator="equal" aboveAverage="0" equalAverage="0" bottom="0" percent="0" rank="0" text="" dxfId="24">
      <formula>0</formula>
    </cfRule>
  </conditionalFormatting>
  <conditionalFormatting sqref="Q263:Q281 S263:S281">
    <cfRule type="cellIs" priority="146" operator="equal" aboveAverage="0" equalAverage="0" bottom="0" percent="0" rank="0" text="" dxfId="24">
      <formula>0</formula>
    </cfRule>
  </conditionalFormatting>
  <conditionalFormatting sqref="W263:W281 Y263:Y281">
    <cfRule type="cellIs" priority="147" operator="equal" aboveAverage="0" equalAverage="0" bottom="0" percent="0" rank="0" text="" dxfId="24">
      <formula>0</formula>
    </cfRule>
  </conditionalFormatting>
  <conditionalFormatting sqref="A263:A281 D263:D281">
    <cfRule type="cellIs" priority="148" operator="equal" aboveAverage="0" equalAverage="0" bottom="0" percent="0" rank="0" text="" dxfId="24">
      <formula>0</formula>
    </cfRule>
  </conditionalFormatting>
  <conditionalFormatting sqref="S236:S254">
    <cfRule type="cellIs" priority="149" operator="equal" aboveAverage="0" equalAverage="0" bottom="0" percent="0" rank="0" text="" dxfId="24">
      <formula>0</formula>
    </cfRule>
  </conditionalFormatting>
  <conditionalFormatting sqref="O236:O254">
    <cfRule type="cellIs" priority="150" operator="equal" aboveAverage="0" equalAverage="0" bottom="0" percent="0" rank="0" text="" dxfId="24">
      <formula>0</formula>
    </cfRule>
  </conditionalFormatting>
  <conditionalFormatting sqref="Q236:Q254 U236:U254">
    <cfRule type="cellIs" priority="151" operator="equal" aboveAverage="0" equalAverage="0" bottom="0" percent="0" rank="0" text="" dxfId="24">
      <formula>0</formula>
    </cfRule>
  </conditionalFormatting>
  <conditionalFormatting sqref="W236:W254 Y236:Y254">
    <cfRule type="cellIs" priority="152" operator="equal" aboveAverage="0" equalAverage="0" bottom="0" percent="0" rank="0" text="" dxfId="24">
      <formula>0</formula>
    </cfRule>
  </conditionalFormatting>
  <conditionalFormatting sqref="A236:A254 D236:D254">
    <cfRule type="cellIs" priority="153" operator="equal" aboveAverage="0" equalAverage="0" bottom="0" percent="0" rank="0" text="" dxfId="24">
      <formula>0</formula>
    </cfRule>
  </conditionalFormatting>
  <conditionalFormatting sqref="W344:W362 Y344:Y362">
    <cfRule type="cellIs" priority="154" operator="equal" aboveAverage="0" equalAverage="0" bottom="0" percent="0" rank="0" text="" dxfId="24">
      <formula>0</formula>
    </cfRule>
  </conditionalFormatting>
  <conditionalFormatting sqref="O344:O362 Q344:Q362 S344:S362 U344:U362">
    <cfRule type="cellIs" priority="155" operator="equal" aboveAverage="0" equalAverage="0" bottom="0" percent="0" rank="0" text="" dxfId="24">
      <formula>0</formula>
    </cfRule>
  </conditionalFormatting>
  <conditionalFormatting sqref="A344:A362 D344:D362">
    <cfRule type="cellIs" priority="156" operator="equal" aboveAverage="0" equalAverage="0" bottom="0" percent="0" rank="0" text="" dxfId="24">
      <formula>0</formula>
    </cfRule>
  </conditionalFormatting>
  <conditionalFormatting sqref="W209:W227 Y209:Y227">
    <cfRule type="cellIs" priority="157" operator="equal" aboveAverage="0" equalAverage="0" bottom="0" percent="0" rank="0" text="" dxfId="24">
      <formula>0</formula>
    </cfRule>
  </conditionalFormatting>
  <conditionalFormatting sqref="O209:O227 Q209:Q227 S209:S227 U209:U227">
    <cfRule type="cellIs" priority="158" operator="equal" aboveAverage="0" equalAverage="0" bottom="0" percent="0" rank="0" text="" dxfId="24">
      <formula>0</formula>
    </cfRule>
  </conditionalFormatting>
  <conditionalFormatting sqref="A209:A228 D209:D227">
    <cfRule type="cellIs" priority="159" operator="equal" aboveAverage="0" equalAverage="0" bottom="0" percent="0" rank="0" text="" dxfId="24">
      <formula>0</formula>
    </cfRule>
  </conditionalFormatting>
  <conditionalFormatting sqref="W182:W200 Y182:Y200">
    <cfRule type="cellIs" priority="160" operator="equal" aboveAverage="0" equalAverage="0" bottom="0" percent="0" rank="0" text="" dxfId="24">
      <formula>0</formula>
    </cfRule>
  </conditionalFormatting>
  <conditionalFormatting sqref="O182:O200 Q182:Q200 S182:S200 U182:U200">
    <cfRule type="cellIs" priority="161" operator="equal" aboveAverage="0" equalAverage="0" bottom="0" percent="0" rank="0" text="" dxfId="24">
      <formula>0</formula>
    </cfRule>
  </conditionalFormatting>
  <conditionalFormatting sqref="A182:A201 D182:D200">
    <cfRule type="cellIs" priority="162" operator="equal" aboveAverage="0" equalAverage="0" bottom="0" percent="0" rank="0" text="" dxfId="24">
      <formula>0</formula>
    </cfRule>
  </conditionalFormatting>
  <conditionalFormatting sqref="W155:W173 Y155:Y173">
    <cfRule type="cellIs" priority="163" operator="equal" aboveAverage="0" equalAverage="0" bottom="0" percent="0" rank="0" text="" dxfId="24">
      <formula>0</formula>
    </cfRule>
  </conditionalFormatting>
  <conditionalFormatting sqref="O155:O173 Q155:Q173 S155:S173 U155:U173">
    <cfRule type="cellIs" priority="164" operator="equal" aboveAverage="0" equalAverage="0" bottom="0" percent="0" rank="0" text="" dxfId="24">
      <formula>0</formula>
    </cfRule>
  </conditionalFormatting>
  <conditionalFormatting sqref="A155:A174 D155:D173">
    <cfRule type="cellIs" priority="165" operator="equal" aboveAverage="0" equalAverage="0" bottom="0" percent="0" rank="0" text="" dxfId="24">
      <formula>0</formula>
    </cfRule>
  </conditionalFormatting>
  <conditionalFormatting sqref="W128:W146 Y128:Y146">
    <cfRule type="cellIs" priority="166" operator="equal" aboveAverage="0" equalAverage="0" bottom="0" percent="0" rank="0" text="" dxfId="24">
      <formula>0</formula>
    </cfRule>
  </conditionalFormatting>
  <conditionalFormatting sqref="O128:O146 Q128:Q146 S128:S146 U128:U146">
    <cfRule type="cellIs" priority="167" operator="equal" aboveAverage="0" equalAverage="0" bottom="0" percent="0" rank="0" text="" dxfId="24">
      <formula>0</formula>
    </cfRule>
  </conditionalFormatting>
  <conditionalFormatting sqref="D128:D146">
    <cfRule type="cellIs" priority="168" operator="equal" aboveAverage="0" equalAverage="0" bottom="0" percent="0" rank="0" text="" dxfId="24">
      <formula>0</formula>
    </cfRule>
  </conditionalFormatting>
  <conditionalFormatting sqref="A128:A147">
    <cfRule type="cellIs" priority="169" operator="equal" aboveAverage="0" equalAverage="0" bottom="0" percent="0" rank="0" text="" dxfId="24">
      <formula>0</formula>
    </cfRule>
  </conditionalFormatting>
  <conditionalFormatting sqref="O101:O119 Q101:Q119 S101:S119 U101:U119">
    <cfRule type="cellIs" priority="170" operator="equal" aboveAverage="0" equalAverage="0" bottom="0" percent="0" rank="0" text="" dxfId="24">
      <formula>0</formula>
    </cfRule>
  </conditionalFormatting>
  <conditionalFormatting sqref="Y101:Y119">
    <cfRule type="cellIs" priority="171" operator="equal" aboveAverage="0" equalAverage="0" bottom="0" percent="0" rank="0" text="" dxfId="24">
      <formula>0</formula>
    </cfRule>
  </conditionalFormatting>
  <conditionalFormatting sqref="W101:W119">
    <cfRule type="cellIs" priority="172" operator="equal" aboveAverage="0" equalAverage="0" bottom="0" percent="0" rank="0" text="" dxfId="24">
      <formula>0</formula>
    </cfRule>
  </conditionalFormatting>
  <conditionalFormatting sqref="A101:A120 D101:D119">
    <cfRule type="cellIs" priority="173" operator="equal" aboveAverage="0" equalAverage="0" bottom="0" percent="0" rank="0" text="" dxfId="24">
      <formula>0</formula>
    </cfRule>
  </conditionalFormatting>
  <conditionalFormatting sqref="W74:W92 Y74:Y92">
    <cfRule type="cellIs" priority="174" operator="equal" aboveAverage="0" equalAverage="0" bottom="0" percent="0" rank="0" text="" dxfId="24">
      <formula>0</formula>
    </cfRule>
  </conditionalFormatting>
  <conditionalFormatting sqref="O74:O92 Q74:Q92 S74:S92 U74:U92">
    <cfRule type="cellIs" priority="175" operator="equal" aboveAverage="0" equalAverage="0" bottom="0" percent="0" rank="0" text="" dxfId="24">
      <formula>0</formula>
    </cfRule>
  </conditionalFormatting>
  <conditionalFormatting sqref="A74:A93 D74:D92">
    <cfRule type="cellIs" priority="176" operator="equal" aboveAverage="0" equalAverage="0" bottom="0" percent="0" rank="0" text="" dxfId="24">
      <formula>0</formula>
    </cfRule>
  </conditionalFormatting>
  <conditionalFormatting sqref="W317:W328 Y317:Y328">
    <cfRule type="cellIs" priority="177" operator="equal" aboveAverage="0" equalAverage="0" bottom="0" percent="0" rank="0" text="" dxfId="24">
      <formula>0</formula>
    </cfRule>
  </conditionalFormatting>
  <conditionalFormatting sqref="O317:O328 S317:S328 U317:U328">
    <cfRule type="cellIs" priority="178" operator="equal" aboveAverage="0" equalAverage="0" bottom="0" percent="0" rank="0" text="" dxfId="24">
      <formula>0</formula>
    </cfRule>
  </conditionalFormatting>
  <conditionalFormatting sqref="Q317:Q328">
    <cfRule type="cellIs" priority="179" operator="equal" aboveAverage="0" equalAverage="0" bottom="0" percent="0" rank="0" text="" dxfId="24">
      <formula>0</formula>
    </cfRule>
  </conditionalFormatting>
  <conditionalFormatting sqref="D317:D328">
    <cfRule type="cellIs" priority="180" operator="equal" aboveAverage="0" equalAverage="0" bottom="0" percent="0" rank="0" text="" dxfId="24">
      <formula>0</formula>
    </cfRule>
  </conditionalFormatting>
  <conditionalFormatting sqref="O50:O65 Q50:Q59 S50:S65 U50:U65">
    <cfRule type="cellIs" priority="181" operator="equal" aboveAverage="0" equalAverage="0" bottom="0" percent="0" rank="0" text="" dxfId="24">
      <formula>0</formula>
    </cfRule>
  </conditionalFormatting>
  <conditionalFormatting sqref="Q61:Q65">
    <cfRule type="cellIs" priority="182" operator="equal" aboveAverage="0" equalAverage="0" bottom="0" percent="0" rank="0" text="" dxfId="24">
      <formula>0</formula>
    </cfRule>
  </conditionalFormatting>
  <conditionalFormatting sqref="W50:W65 Y50:Y65">
    <cfRule type="cellIs" priority="183" operator="equal" aboveAverage="0" equalAverage="0" bottom="0" percent="0" rank="0" text="" dxfId="24">
      <formula>0</formula>
    </cfRule>
  </conditionalFormatting>
  <conditionalFormatting sqref="D50:D65">
    <cfRule type="cellIs" priority="184" operator="equal" aboveAverage="0" equalAverage="0" bottom="0" percent="0" rank="0" text="" dxfId="24">
      <formula>0</formula>
    </cfRule>
  </conditionalFormatting>
  <conditionalFormatting sqref="A50:A66">
    <cfRule type="cellIs" priority="185" operator="equal" aboveAverage="0" equalAverage="0" bottom="0" percent="0" rank="0" text="" dxfId="24">
      <formula>0</formula>
    </cfRule>
  </conditionalFormatting>
  <conditionalFormatting sqref="C370:C388 E370:E388">
    <cfRule type="cellIs" priority="186" operator="equal" aboveAverage="0" equalAverage="0" bottom="0" percent="0" rank="0" text="" dxfId="24">
      <formula>0</formula>
    </cfRule>
  </conditionalFormatting>
  <conditionalFormatting sqref="N370:AC388">
    <cfRule type="cellIs" priority="187" operator="equal" aboveAverage="0" equalAverage="0" bottom="0" percent="0" rank="0" text="" dxfId="24">
      <formula>0</formula>
    </cfRule>
  </conditionalFormatting>
  <conditionalFormatting sqref="C392:C410 E392:E410 N392:AC410">
    <cfRule type="cellIs" priority="188" operator="equal" aboveAverage="0" equalAverage="0" bottom="0" percent="0" rank="0" text="" dxfId="24">
      <formula>0</formula>
    </cfRule>
  </conditionalFormatting>
  <conditionalFormatting sqref="C368 C390 C391:AC391 C411:AC416 C417:C418 C419:AC419 E368 E390 M368:AC369 N390:AC390 N417:N418 R417:Z418">
    <cfRule type="cellIs" priority="189" operator="equal" aboveAverage="0" equalAverage="0" bottom="0" percent="0" rank="0" text="" dxfId="24">
      <formula>0</formula>
    </cfRule>
  </conditionalFormatting>
  <conditionalFormatting sqref="M28:Q29">
    <cfRule type="cellIs" priority="190" operator="equal" aboveAverage="0" equalAverage="0" bottom="0" percent="0" rank="0" text="" dxfId="24">
      <formula>0</formula>
    </cfRule>
  </conditionalFormatting>
  <conditionalFormatting sqref="L30:L33 M30:T32 M33:O33 V30:Y33">
    <cfRule type="cellIs" priority="191" operator="equal" aboveAverage="0" equalAverage="0" bottom="0" percent="0" rank="0" text="" dxfId="24">
      <formula>0</formula>
    </cfRule>
  </conditionalFormatting>
  <printOptions headings="false" gridLines="false" gridLinesSet="true" horizontalCentered="false" verticalCentered="false"/>
  <pageMargins left="0.75" right="0.5" top="0.75" bottom="0.5" header="0" footer="0.3"/>
  <pageSetup paperSize="1" scale="91" fitToWidth="1" fitToHeight="1" pageOrder="downThenOver" orientation="portrait"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rowBreaks count="40" manualBreakCount="40">
    <brk id="40" man="true" max="16383" min="0"/>
    <brk id="67" man="true" max="16383" min="0"/>
    <brk id="94" man="true" max="16383" min="0"/>
    <brk id="121" man="true" max="16383" min="0"/>
    <brk id="148" man="true" max="16383" min="0"/>
    <brk id="175" man="true" max="16383" min="0"/>
    <brk id="202" man="true" max="16383" min="0"/>
    <brk id="229" man="true" max="16383" min="0"/>
    <brk id="256" man="true" max="16383" min="0"/>
    <brk id="283" man="true" max="16383" min="0"/>
    <brk id="310" man="true" max="16383" min="0"/>
    <brk id="337" man="true" max="16383" min="0"/>
    <brk id="364" man="true" max="16383" min="0"/>
    <brk id="423" man="true" max="16383" min="0"/>
    <brk id="450" man="true" max="16383" min="0"/>
    <brk id="477" man="true" max="16383" min="0"/>
    <brk id="504" man="true" max="16383" min="0"/>
    <brk id="531" man="true" max="16383" min="0"/>
    <brk id="558" man="true" max="16383" min="0"/>
    <brk id="585" man="true" max="16383" min="0"/>
    <brk id="612" man="true" max="16383" min="0"/>
    <brk id="639" man="true" max="16383" min="0"/>
    <brk id="666" man="true" max="16383" min="0"/>
    <brk id="693" man="true" max="16383" min="0"/>
    <brk id="720" man="true" max="16383" min="0"/>
    <brk id="747" man="true" max="16383" min="0"/>
    <brk id="806" man="true" max="16383" min="0"/>
    <brk id="833" man="true" max="16383" min="0"/>
    <brk id="860" man="true" max="16383" min="0"/>
    <brk id="887" man="true" max="16383" min="0"/>
    <brk id="914" man="true" max="16383" min="0"/>
    <brk id="941" man="true" max="16383" min="0"/>
    <brk id="968" man="true" max="16383" min="0"/>
    <brk id="995" man="true" max="16383" min="0"/>
    <brk id="1022" man="true" max="16383" min="0"/>
    <brk id="1049" man="true" max="16383" min="0"/>
    <brk id="1076" man="true" max="16383" min="0"/>
    <brk id="1103" man="true" max="16383" min="0"/>
    <brk id="1130" man="true" max="16383" min="0"/>
    <brk id="1189"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F40"/>
  <sheetViews>
    <sheetView showFormulas="false" showGridLines="false" showRowColHeaders="true" showZeros="true" rightToLeft="false" tabSelected="false" showOutlineSymbols="true" defaultGridColor="true" view="pageBreakPreview" topLeftCell="A10" colorId="64" zoomScale="100" zoomScaleNormal="100" zoomScalePageLayoutView="100" workbookViewId="0">
      <selection pane="topLeft" activeCell="AF41" activeCellId="0" sqref="AF41"/>
    </sheetView>
  </sheetViews>
  <sheetFormatPr defaultColWidth="2.859375" defaultRowHeight="15.75" zeroHeight="false" outlineLevelRow="0" outlineLevelCol="0"/>
  <sheetData>
    <row r="1" customFormat="false" ht="15.75" hidden="false" customHeight="true" outlineLevel="0" collapsed="false">
      <c r="A1" s="256" t="s">
        <v>1519</v>
      </c>
      <c r="B1" s="256"/>
      <c r="C1" s="256"/>
      <c r="D1" s="256"/>
      <c r="E1" s="256"/>
      <c r="F1" s="256"/>
      <c r="G1" s="256"/>
      <c r="H1" s="256"/>
      <c r="I1" s="256"/>
      <c r="J1" s="256"/>
      <c r="K1" s="256"/>
      <c r="L1" s="256"/>
      <c r="M1" s="256"/>
      <c r="N1" s="256"/>
      <c r="O1" s="256"/>
      <c r="P1" s="256"/>
      <c r="Q1" s="256"/>
      <c r="R1" s="256"/>
      <c r="S1" s="256"/>
      <c r="T1" s="256"/>
      <c r="U1" s="256"/>
      <c r="V1" s="256"/>
      <c r="W1" s="256"/>
      <c r="X1" s="256"/>
      <c r="Y1" s="256"/>
      <c r="Z1" s="256"/>
      <c r="AA1" s="256"/>
      <c r="AB1" s="256"/>
      <c r="AC1" s="256"/>
      <c r="AD1" s="256"/>
      <c r="AE1" s="256"/>
      <c r="AF1" s="256"/>
    </row>
    <row r="2" customFormat="false" ht="15.75" hidden="false" customHeight="true" outlineLevel="0" collapsed="false">
      <c r="A2" s="256"/>
      <c r="B2" s="256"/>
      <c r="C2" s="256"/>
      <c r="D2" s="256"/>
      <c r="E2" s="256"/>
      <c r="F2" s="256"/>
      <c r="G2" s="256"/>
      <c r="H2" s="256"/>
      <c r="I2" s="256"/>
      <c r="J2" s="256"/>
      <c r="K2" s="256"/>
      <c r="L2" s="256"/>
      <c r="M2" s="256"/>
      <c r="N2" s="256"/>
      <c r="O2" s="256"/>
      <c r="P2" s="256"/>
      <c r="Q2" s="256"/>
      <c r="R2" s="256"/>
      <c r="S2" s="256"/>
      <c r="T2" s="256"/>
      <c r="U2" s="256"/>
      <c r="V2" s="256"/>
      <c r="W2" s="256"/>
      <c r="X2" s="256"/>
      <c r="Y2" s="256"/>
      <c r="Z2" s="256"/>
      <c r="AA2" s="256"/>
      <c r="AB2" s="256"/>
      <c r="AC2" s="256"/>
      <c r="AD2" s="256"/>
      <c r="AE2" s="256"/>
      <c r="AF2" s="256"/>
    </row>
    <row r="3" customFormat="false" ht="15.75" hidden="false" customHeight="true" outlineLevel="0" collapsed="false">
      <c r="A3" s="6" t="s">
        <v>1</v>
      </c>
      <c r="B3" s="6"/>
      <c r="C3" s="6"/>
      <c r="D3" s="6"/>
      <c r="E3" s="6"/>
      <c r="F3" s="608"/>
      <c r="G3" s="397" t="str">
        <f aca="false">UNIT_ROLLUP!F3</f>
        <v>H&amp;S BN MCIPAC MCB CP BUTLER JA</v>
      </c>
      <c r="H3" s="397"/>
      <c r="I3" s="397"/>
      <c r="J3" s="397"/>
      <c r="K3" s="397"/>
      <c r="L3" s="397"/>
      <c r="M3" s="6" t="s">
        <v>3</v>
      </c>
      <c r="N3" s="6"/>
      <c r="O3" s="6"/>
      <c r="P3" s="6"/>
      <c r="Q3" s="6"/>
      <c r="R3" s="397" t="str">
        <f aca="false">UNIT_ROLLUP!R3</f>
        <v>3D MEDICAL BATTALION</v>
      </c>
      <c r="S3" s="397"/>
      <c r="T3" s="397"/>
      <c r="U3" s="397"/>
      <c r="V3" s="397"/>
      <c r="W3" s="397"/>
      <c r="X3" s="397"/>
      <c r="Y3" s="608"/>
      <c r="Z3" s="608"/>
      <c r="AA3" s="608"/>
      <c r="AB3" s="608"/>
      <c r="AC3" s="609"/>
      <c r="AD3" s="609"/>
      <c r="AE3" s="610"/>
      <c r="AF3" s="610"/>
    </row>
    <row r="4" customFormat="false" ht="15.75" hidden="false" customHeight="true" outlineLevel="0" collapsed="false">
      <c r="A4" s="6" t="s">
        <v>5</v>
      </c>
      <c r="B4" s="6"/>
      <c r="C4" s="6"/>
      <c r="D4" s="6"/>
      <c r="E4" s="6"/>
      <c r="F4" s="6"/>
      <c r="G4" s="397" t="str">
        <f aca="false">UNIT_ROLLUP!F4</f>
        <v>M67400</v>
      </c>
      <c r="H4" s="397"/>
      <c r="I4" s="397"/>
      <c r="J4" s="397"/>
      <c r="K4" s="397"/>
      <c r="L4" s="397"/>
      <c r="M4" s="6" t="s">
        <v>7</v>
      </c>
      <c r="N4" s="6"/>
      <c r="O4" s="6"/>
      <c r="P4" s="6"/>
      <c r="Q4" s="6"/>
      <c r="R4" s="7" t="str">
        <f aca="false">UNIT_ROLLUP!R4</f>
        <v>M13020</v>
      </c>
      <c r="S4" s="7"/>
      <c r="T4" s="7"/>
      <c r="U4" s="7"/>
      <c r="V4" s="7"/>
      <c r="W4" s="7"/>
      <c r="X4" s="7"/>
      <c r="Y4" s="9" t="s">
        <v>9</v>
      </c>
      <c r="Z4" s="9"/>
      <c r="AA4" s="9"/>
      <c r="AB4" s="9"/>
      <c r="AC4" s="9"/>
      <c r="AD4" s="9"/>
      <c r="AE4" s="7" t="str">
        <f aca="false">UNIT_ROLLUP!AE4</f>
        <v>FO</v>
      </c>
      <c r="AF4" s="7"/>
    </row>
    <row r="5" customFormat="false" ht="15.75" hidden="false" customHeight="true" outlineLevel="0" collapsed="false">
      <c r="A5" s="259" t="s">
        <v>1522</v>
      </c>
      <c r="B5" s="259"/>
      <c r="C5" s="260" t="n">
        <v>17110</v>
      </c>
      <c r="D5" s="260"/>
      <c r="E5" s="260"/>
      <c r="F5" s="260"/>
      <c r="G5" s="260"/>
      <c r="H5" s="260"/>
      <c r="I5" s="260"/>
      <c r="J5" s="260"/>
      <c r="K5" s="260"/>
      <c r="L5" s="260"/>
      <c r="M5" s="259" t="s">
        <v>1523</v>
      </c>
      <c r="N5" s="259"/>
      <c r="O5" s="259"/>
      <c r="P5" s="259"/>
      <c r="Q5" s="259"/>
      <c r="R5" s="260" t="s">
        <v>16</v>
      </c>
      <c r="S5" s="260"/>
      <c r="T5" s="260"/>
      <c r="U5" s="260"/>
      <c r="V5" s="260"/>
      <c r="W5" s="260"/>
      <c r="X5" s="260"/>
      <c r="Y5" s="260"/>
      <c r="Z5" s="260"/>
      <c r="AA5" s="260"/>
      <c r="AB5" s="260"/>
      <c r="AC5" s="260"/>
      <c r="AD5" s="260"/>
      <c r="AE5" s="260"/>
      <c r="AF5" s="260"/>
    </row>
    <row r="6" customFormat="false" ht="15.75" hidden="false" customHeight="true" outlineLevel="0" collapsed="false">
      <c r="A6" s="261"/>
      <c r="B6" s="261"/>
      <c r="C6" s="261"/>
      <c r="D6" s="261"/>
      <c r="E6" s="261"/>
      <c r="F6" s="261"/>
      <c r="G6" s="261"/>
      <c r="H6" s="261"/>
      <c r="I6" s="261"/>
      <c r="J6" s="261"/>
      <c r="K6" s="261"/>
      <c r="L6" s="261"/>
      <c r="M6" s="261"/>
      <c r="N6" s="261"/>
      <c r="O6" s="261"/>
      <c r="P6" s="261"/>
      <c r="Q6" s="261"/>
      <c r="R6" s="261"/>
      <c r="S6" s="261"/>
      <c r="T6" s="261"/>
      <c r="U6" s="261"/>
      <c r="V6" s="261"/>
      <c r="W6" s="261"/>
      <c r="X6" s="261"/>
      <c r="Y6" s="261"/>
      <c r="Z6" s="261"/>
      <c r="AA6" s="261"/>
      <c r="AB6" s="261"/>
      <c r="AC6" s="261"/>
      <c r="AD6" s="261"/>
      <c r="AE6" s="261"/>
      <c r="AF6" s="261"/>
    </row>
    <row r="7" customFormat="false" ht="15.75" hidden="false" customHeight="true" outlineLevel="0" collapsed="false">
      <c r="A7" s="611"/>
      <c r="B7" s="611"/>
      <c r="C7" s="611"/>
      <c r="D7" s="611"/>
      <c r="E7" s="611"/>
      <c r="F7" s="611"/>
      <c r="G7" s="611"/>
      <c r="H7" s="611"/>
      <c r="I7" s="611"/>
      <c r="J7" s="611"/>
      <c r="K7" s="611"/>
      <c r="L7" s="611"/>
      <c r="M7" s="611"/>
      <c r="N7" s="611"/>
      <c r="O7" s="611"/>
      <c r="P7" s="611"/>
      <c r="Q7" s="611"/>
      <c r="R7" s="611"/>
      <c r="S7" s="611"/>
      <c r="T7" s="611"/>
      <c r="U7" s="611"/>
      <c r="V7" s="611"/>
      <c r="W7" s="611"/>
      <c r="X7" s="611"/>
      <c r="Y7" s="611"/>
      <c r="Z7" s="611"/>
      <c r="AA7" s="611"/>
      <c r="AB7" s="611"/>
      <c r="AC7" s="611"/>
      <c r="AD7" s="611"/>
      <c r="AE7" s="611"/>
      <c r="AF7" s="611"/>
    </row>
    <row r="8" customFormat="false" ht="15.75" hidden="false" customHeight="true" outlineLevel="0" collapsed="false">
      <c r="A8" s="611"/>
      <c r="B8" s="611"/>
      <c r="C8" s="611"/>
      <c r="D8" s="611"/>
      <c r="E8" s="611"/>
      <c r="F8" s="611"/>
      <c r="G8" s="611"/>
      <c r="H8" s="611"/>
      <c r="I8" s="611"/>
      <c r="J8" s="611"/>
      <c r="K8" s="611"/>
      <c r="L8" s="611"/>
      <c r="M8" s="611"/>
      <c r="N8" s="611"/>
      <c r="O8" s="611"/>
      <c r="P8" s="611"/>
      <c r="Q8" s="611"/>
      <c r="R8" s="611"/>
      <c r="S8" s="611"/>
      <c r="T8" s="611"/>
      <c r="U8" s="611"/>
      <c r="V8" s="611"/>
      <c r="W8" s="611"/>
      <c r="X8" s="611"/>
      <c r="Y8" s="611"/>
      <c r="Z8" s="611"/>
      <c r="AA8" s="611"/>
      <c r="AB8" s="611"/>
      <c r="AC8" s="611"/>
      <c r="AD8" s="611"/>
      <c r="AE8" s="611"/>
      <c r="AF8" s="611"/>
    </row>
    <row r="9" customFormat="false" ht="15.75" hidden="false" customHeight="true" outlineLevel="0" collapsed="false">
      <c r="A9" s="611"/>
      <c r="B9" s="611"/>
      <c r="C9" s="611"/>
      <c r="D9" s="611"/>
      <c r="E9" s="611"/>
      <c r="F9" s="611"/>
      <c r="G9" s="611"/>
      <c r="H9" s="611"/>
      <c r="I9" s="611"/>
      <c r="J9" s="611"/>
      <c r="K9" s="611"/>
      <c r="L9" s="611"/>
      <c r="M9" s="611"/>
      <c r="N9" s="611"/>
      <c r="O9" s="611"/>
      <c r="P9" s="611"/>
      <c r="Q9" s="611"/>
      <c r="R9" s="611"/>
      <c r="S9" s="611"/>
      <c r="T9" s="611"/>
      <c r="U9" s="611"/>
      <c r="V9" s="611"/>
      <c r="W9" s="611"/>
      <c r="X9" s="611"/>
      <c r="Y9" s="611"/>
      <c r="Z9" s="611"/>
      <c r="AA9" s="611"/>
      <c r="AB9" s="611"/>
      <c r="AC9" s="611"/>
      <c r="AD9" s="611"/>
      <c r="AE9" s="611"/>
      <c r="AF9" s="611"/>
    </row>
    <row r="10" customFormat="false" ht="15.75" hidden="false" customHeight="true" outlineLevel="0" collapsed="false">
      <c r="A10" s="611"/>
      <c r="B10" s="611"/>
      <c r="C10" s="611"/>
      <c r="D10" s="611"/>
      <c r="E10" s="611"/>
      <c r="F10" s="611"/>
      <c r="G10" s="611"/>
      <c r="H10" s="611"/>
      <c r="I10" s="611"/>
      <c r="J10" s="611"/>
      <c r="K10" s="611"/>
      <c r="L10" s="611"/>
      <c r="M10" s="611"/>
      <c r="N10" s="611"/>
      <c r="O10" s="611"/>
      <c r="P10" s="611"/>
      <c r="Q10" s="611"/>
      <c r="R10" s="611"/>
      <c r="S10" s="611"/>
      <c r="T10" s="611"/>
      <c r="U10" s="611"/>
      <c r="V10" s="611"/>
      <c r="W10" s="611"/>
      <c r="X10" s="611"/>
      <c r="Y10" s="611"/>
      <c r="Z10" s="611"/>
      <c r="AA10" s="611"/>
      <c r="AB10" s="611"/>
      <c r="AC10" s="611"/>
      <c r="AD10" s="611"/>
      <c r="AE10" s="611"/>
      <c r="AF10" s="611"/>
    </row>
    <row r="11" customFormat="false" ht="15.75" hidden="false" customHeight="true" outlineLevel="0" collapsed="false">
      <c r="A11" s="612" t="s">
        <v>2203</v>
      </c>
      <c r="B11" s="612"/>
      <c r="C11" s="612"/>
      <c r="D11" s="612"/>
      <c r="E11" s="612"/>
      <c r="F11" s="612"/>
      <c r="G11" s="612"/>
      <c r="H11" s="612"/>
      <c r="I11" s="612"/>
      <c r="J11" s="612"/>
      <c r="K11" s="612"/>
      <c r="L11" s="612"/>
      <c r="M11" s="612"/>
      <c r="N11" s="612"/>
      <c r="O11" s="612"/>
      <c r="P11" s="612"/>
      <c r="Q11" s="612"/>
      <c r="R11" s="612"/>
      <c r="S11" s="612"/>
      <c r="T11" s="612"/>
      <c r="U11" s="612"/>
      <c r="V11" s="612"/>
      <c r="W11" s="612"/>
      <c r="X11" s="612"/>
      <c r="Y11" s="612"/>
      <c r="Z11" s="612"/>
      <c r="AA11" s="612"/>
      <c r="AB11" s="612"/>
      <c r="AC11" s="612"/>
      <c r="AD11" s="612"/>
      <c r="AE11" s="612"/>
      <c r="AF11" s="612"/>
    </row>
    <row r="12" customFormat="false" ht="15.75" hidden="false" customHeight="true" outlineLevel="0" collapsed="false">
      <c r="A12" s="612"/>
      <c r="B12" s="612"/>
      <c r="C12" s="612"/>
      <c r="D12" s="612"/>
      <c r="E12" s="612"/>
      <c r="F12" s="612"/>
      <c r="G12" s="612"/>
      <c r="H12" s="612"/>
      <c r="I12" s="612"/>
      <c r="J12" s="612"/>
      <c r="K12" s="612"/>
      <c r="L12" s="612"/>
      <c r="M12" s="612"/>
      <c r="N12" s="612"/>
      <c r="O12" s="612"/>
      <c r="P12" s="612"/>
      <c r="Q12" s="612"/>
      <c r="R12" s="612"/>
      <c r="S12" s="612"/>
      <c r="T12" s="612"/>
      <c r="U12" s="612"/>
      <c r="V12" s="612"/>
      <c r="W12" s="612"/>
      <c r="X12" s="612"/>
      <c r="Y12" s="612"/>
      <c r="Z12" s="612"/>
      <c r="AA12" s="612"/>
      <c r="AB12" s="612"/>
      <c r="AC12" s="612"/>
      <c r="AD12" s="612"/>
      <c r="AE12" s="612"/>
      <c r="AF12" s="612"/>
    </row>
    <row r="13" customFormat="false" ht="15.75" hidden="false" customHeight="true" outlineLevel="0" collapsed="false">
      <c r="A13" s="612"/>
      <c r="B13" s="612"/>
      <c r="C13" s="612"/>
      <c r="D13" s="612"/>
      <c r="E13" s="612"/>
      <c r="F13" s="612"/>
      <c r="G13" s="612"/>
      <c r="H13" s="612"/>
      <c r="I13" s="612"/>
      <c r="J13" s="612"/>
      <c r="K13" s="612"/>
      <c r="L13" s="612"/>
      <c r="M13" s="612"/>
      <c r="N13" s="612"/>
      <c r="O13" s="612"/>
      <c r="P13" s="612"/>
      <c r="Q13" s="612"/>
      <c r="R13" s="612"/>
      <c r="S13" s="612"/>
      <c r="T13" s="612"/>
      <c r="U13" s="612"/>
      <c r="V13" s="612"/>
      <c r="W13" s="612"/>
      <c r="X13" s="612"/>
      <c r="Y13" s="612"/>
      <c r="Z13" s="612"/>
      <c r="AA13" s="612"/>
      <c r="AB13" s="612"/>
      <c r="AC13" s="612"/>
      <c r="AD13" s="612"/>
      <c r="AE13" s="612"/>
      <c r="AF13" s="612"/>
    </row>
    <row r="14" customFormat="false" ht="15.75" hidden="false" customHeight="true" outlineLevel="0" collapsed="false">
      <c r="A14" s="612"/>
      <c r="B14" s="612"/>
      <c r="C14" s="612"/>
      <c r="D14" s="612"/>
      <c r="E14" s="612"/>
      <c r="F14" s="612"/>
      <c r="G14" s="612"/>
      <c r="H14" s="612"/>
      <c r="I14" s="612"/>
      <c r="J14" s="612"/>
      <c r="K14" s="612"/>
      <c r="L14" s="612"/>
      <c r="M14" s="612"/>
      <c r="N14" s="612"/>
      <c r="O14" s="612"/>
      <c r="P14" s="612"/>
      <c r="Q14" s="612"/>
      <c r="R14" s="612"/>
      <c r="S14" s="612"/>
      <c r="T14" s="612"/>
      <c r="U14" s="612"/>
      <c r="V14" s="612"/>
      <c r="W14" s="612"/>
      <c r="X14" s="612"/>
      <c r="Y14" s="612"/>
      <c r="Z14" s="612"/>
      <c r="AA14" s="612"/>
      <c r="AB14" s="612"/>
      <c r="AC14" s="612"/>
      <c r="AD14" s="612"/>
      <c r="AE14" s="612"/>
      <c r="AF14" s="612"/>
    </row>
    <row r="15" customFormat="false" ht="15.75" hidden="false" customHeight="true" outlineLevel="0" collapsed="false">
      <c r="A15" s="612"/>
      <c r="B15" s="612"/>
      <c r="C15" s="612"/>
      <c r="D15" s="612"/>
      <c r="E15" s="612"/>
      <c r="F15" s="612"/>
      <c r="G15" s="612"/>
      <c r="H15" s="612"/>
      <c r="I15" s="612"/>
      <c r="J15" s="612"/>
      <c r="K15" s="612"/>
      <c r="L15" s="612"/>
      <c r="M15" s="612"/>
      <c r="N15" s="612"/>
      <c r="O15" s="612"/>
      <c r="P15" s="612"/>
      <c r="Q15" s="612"/>
      <c r="R15" s="612"/>
      <c r="S15" s="612"/>
      <c r="T15" s="612"/>
      <c r="U15" s="612"/>
      <c r="V15" s="612"/>
      <c r="W15" s="612"/>
      <c r="X15" s="612"/>
      <c r="Y15" s="612"/>
      <c r="Z15" s="612"/>
      <c r="AA15" s="612"/>
      <c r="AB15" s="612"/>
      <c r="AC15" s="612"/>
      <c r="AD15" s="612"/>
      <c r="AE15" s="612"/>
      <c r="AF15" s="612"/>
    </row>
    <row r="16" customFormat="false" ht="15.75" hidden="false" customHeight="true" outlineLevel="0" collapsed="false">
      <c r="A16" s="612"/>
      <c r="B16" s="612"/>
      <c r="C16" s="612"/>
      <c r="D16" s="612"/>
      <c r="E16" s="612"/>
      <c r="F16" s="612"/>
      <c r="G16" s="612"/>
      <c r="H16" s="612"/>
      <c r="I16" s="612"/>
      <c r="J16" s="612"/>
      <c r="K16" s="612"/>
      <c r="L16" s="612"/>
      <c r="M16" s="612"/>
      <c r="N16" s="612"/>
      <c r="O16" s="612"/>
      <c r="P16" s="612"/>
      <c r="Q16" s="612"/>
      <c r="R16" s="612"/>
      <c r="S16" s="612"/>
      <c r="T16" s="612"/>
      <c r="U16" s="612"/>
      <c r="V16" s="612"/>
      <c r="W16" s="612"/>
      <c r="X16" s="612"/>
      <c r="Y16" s="612"/>
      <c r="Z16" s="612"/>
      <c r="AA16" s="612"/>
      <c r="AB16" s="612"/>
      <c r="AC16" s="612"/>
      <c r="AD16" s="612"/>
      <c r="AE16" s="612"/>
      <c r="AF16" s="612"/>
    </row>
    <row r="17" customFormat="false" ht="15.75" hidden="false" customHeight="true" outlineLevel="0" collapsed="false">
      <c r="A17" s="612"/>
      <c r="B17" s="612"/>
      <c r="C17" s="612"/>
      <c r="D17" s="612"/>
      <c r="E17" s="612"/>
      <c r="F17" s="612"/>
      <c r="G17" s="612"/>
      <c r="H17" s="612"/>
      <c r="I17" s="612"/>
      <c r="J17" s="612"/>
      <c r="K17" s="612"/>
      <c r="L17" s="612"/>
      <c r="M17" s="612"/>
      <c r="N17" s="612"/>
      <c r="O17" s="612"/>
      <c r="P17" s="612"/>
      <c r="Q17" s="612"/>
      <c r="R17" s="612"/>
      <c r="S17" s="612"/>
      <c r="T17" s="612"/>
      <c r="U17" s="612"/>
      <c r="V17" s="612"/>
      <c r="W17" s="612"/>
      <c r="X17" s="612"/>
      <c r="Y17" s="612"/>
      <c r="Z17" s="612"/>
      <c r="AA17" s="612"/>
      <c r="AB17" s="612"/>
      <c r="AC17" s="612"/>
      <c r="AD17" s="612"/>
      <c r="AE17" s="612"/>
      <c r="AF17" s="612"/>
    </row>
    <row r="18" customFormat="false" ht="15.75" hidden="false" customHeight="true" outlineLevel="0" collapsed="false">
      <c r="A18" s="612"/>
      <c r="B18" s="612"/>
      <c r="C18" s="612"/>
      <c r="D18" s="612"/>
      <c r="E18" s="612"/>
      <c r="F18" s="612"/>
      <c r="G18" s="612"/>
      <c r="H18" s="612"/>
      <c r="I18" s="612"/>
      <c r="J18" s="612"/>
      <c r="K18" s="612"/>
      <c r="L18" s="612"/>
      <c r="M18" s="612"/>
      <c r="N18" s="612"/>
      <c r="O18" s="612"/>
      <c r="P18" s="612"/>
      <c r="Q18" s="612"/>
      <c r="R18" s="612"/>
      <c r="S18" s="612"/>
      <c r="T18" s="612"/>
      <c r="U18" s="612"/>
      <c r="V18" s="612"/>
      <c r="W18" s="612"/>
      <c r="X18" s="612"/>
      <c r="Y18" s="612"/>
      <c r="Z18" s="612"/>
      <c r="AA18" s="612"/>
      <c r="AB18" s="612"/>
      <c r="AC18" s="612"/>
      <c r="AD18" s="612"/>
      <c r="AE18" s="612"/>
      <c r="AF18" s="612"/>
    </row>
    <row r="19" customFormat="false" ht="15.75" hidden="false" customHeight="true" outlineLevel="0" collapsed="false">
      <c r="A19" s="612"/>
      <c r="B19" s="612"/>
      <c r="C19" s="612"/>
      <c r="D19" s="612"/>
      <c r="E19" s="612"/>
      <c r="F19" s="612"/>
      <c r="G19" s="612"/>
      <c r="H19" s="612"/>
      <c r="I19" s="612"/>
      <c r="J19" s="612"/>
      <c r="K19" s="612"/>
      <c r="L19" s="612"/>
      <c r="M19" s="612"/>
      <c r="N19" s="612"/>
      <c r="O19" s="612"/>
      <c r="P19" s="612"/>
      <c r="Q19" s="612"/>
      <c r="R19" s="612"/>
      <c r="S19" s="612"/>
      <c r="T19" s="612"/>
      <c r="U19" s="612"/>
      <c r="V19" s="612"/>
      <c r="W19" s="612"/>
      <c r="X19" s="612"/>
      <c r="Y19" s="612"/>
      <c r="Z19" s="612"/>
      <c r="AA19" s="612"/>
      <c r="AB19" s="612"/>
      <c r="AC19" s="612"/>
      <c r="AD19" s="612"/>
      <c r="AE19" s="612"/>
      <c r="AF19" s="612"/>
    </row>
    <row r="20" customFormat="false" ht="15.75" hidden="false" customHeight="true" outlineLevel="0" collapsed="false">
      <c r="A20" s="612"/>
      <c r="B20" s="612"/>
      <c r="C20" s="612"/>
      <c r="D20" s="612"/>
      <c r="E20" s="612"/>
      <c r="F20" s="612"/>
      <c r="G20" s="612"/>
      <c r="H20" s="612"/>
      <c r="I20" s="612"/>
      <c r="J20" s="612"/>
      <c r="K20" s="612"/>
      <c r="L20" s="612"/>
      <c r="M20" s="612"/>
      <c r="N20" s="612"/>
      <c r="O20" s="612"/>
      <c r="P20" s="612"/>
      <c r="Q20" s="612"/>
      <c r="R20" s="612"/>
      <c r="S20" s="612"/>
      <c r="T20" s="612"/>
      <c r="U20" s="612"/>
      <c r="V20" s="612"/>
      <c r="W20" s="612"/>
      <c r="X20" s="612"/>
      <c r="Y20" s="612"/>
      <c r="Z20" s="612"/>
      <c r="AA20" s="612"/>
      <c r="AB20" s="612"/>
      <c r="AC20" s="612"/>
      <c r="AD20" s="612"/>
      <c r="AE20" s="612"/>
      <c r="AF20" s="612"/>
    </row>
    <row r="21" s="396" customFormat="true" ht="15.75" hidden="false" customHeight="true" outlineLevel="0" collapsed="false">
      <c r="A21" s="612"/>
      <c r="B21" s="612"/>
      <c r="C21" s="612"/>
      <c r="D21" s="612"/>
      <c r="E21" s="612"/>
      <c r="F21" s="612"/>
      <c r="G21" s="612"/>
      <c r="H21" s="612"/>
      <c r="I21" s="612"/>
      <c r="J21" s="612"/>
      <c r="K21" s="612"/>
      <c r="L21" s="612"/>
      <c r="M21" s="612"/>
      <c r="N21" s="612"/>
      <c r="O21" s="612"/>
      <c r="P21" s="612"/>
      <c r="Q21" s="612"/>
      <c r="R21" s="612"/>
      <c r="S21" s="612"/>
      <c r="T21" s="612"/>
      <c r="U21" s="612"/>
      <c r="V21" s="612"/>
      <c r="W21" s="612"/>
      <c r="X21" s="612"/>
      <c r="Y21" s="612"/>
      <c r="Z21" s="612"/>
      <c r="AA21" s="612"/>
      <c r="AB21" s="612"/>
      <c r="AC21" s="612"/>
      <c r="AD21" s="612"/>
      <c r="AE21" s="612"/>
      <c r="AF21" s="612"/>
    </row>
    <row r="22" customFormat="false" ht="15.75" hidden="false" customHeight="true" outlineLevel="0" collapsed="false">
      <c r="A22" s="612"/>
      <c r="B22" s="612"/>
      <c r="C22" s="612"/>
      <c r="D22" s="612"/>
      <c r="E22" s="612"/>
      <c r="F22" s="612"/>
      <c r="G22" s="612"/>
      <c r="H22" s="612"/>
      <c r="I22" s="612"/>
      <c r="J22" s="612"/>
      <c r="K22" s="612"/>
      <c r="L22" s="612"/>
      <c r="M22" s="612"/>
      <c r="N22" s="612"/>
      <c r="O22" s="612"/>
      <c r="P22" s="612"/>
      <c r="Q22" s="612"/>
      <c r="R22" s="612"/>
      <c r="S22" s="612"/>
      <c r="T22" s="612"/>
      <c r="U22" s="612"/>
      <c r="V22" s="612"/>
      <c r="W22" s="612"/>
      <c r="X22" s="612"/>
      <c r="Y22" s="612"/>
      <c r="Z22" s="612"/>
      <c r="AA22" s="612"/>
      <c r="AB22" s="612"/>
      <c r="AC22" s="612"/>
      <c r="AD22" s="612"/>
      <c r="AE22" s="612"/>
      <c r="AF22" s="612"/>
    </row>
    <row r="23" customFormat="false" ht="15.75" hidden="false" customHeight="true" outlineLevel="0" collapsed="false">
      <c r="A23" s="612"/>
      <c r="B23" s="612"/>
      <c r="C23" s="612"/>
      <c r="D23" s="612"/>
      <c r="E23" s="612"/>
      <c r="F23" s="612"/>
      <c r="G23" s="612"/>
      <c r="H23" s="612"/>
      <c r="I23" s="612"/>
      <c r="J23" s="612"/>
      <c r="K23" s="612"/>
      <c r="L23" s="612"/>
      <c r="M23" s="612"/>
      <c r="N23" s="612"/>
      <c r="O23" s="612"/>
      <c r="P23" s="612"/>
      <c r="Q23" s="612"/>
      <c r="R23" s="612"/>
      <c r="S23" s="612"/>
      <c r="T23" s="612"/>
      <c r="U23" s="612"/>
      <c r="V23" s="612"/>
      <c r="W23" s="612"/>
      <c r="X23" s="612"/>
      <c r="Y23" s="612"/>
      <c r="Z23" s="612"/>
      <c r="AA23" s="612"/>
      <c r="AB23" s="612"/>
      <c r="AC23" s="612"/>
      <c r="AD23" s="612"/>
      <c r="AE23" s="612"/>
      <c r="AF23" s="612"/>
    </row>
    <row r="24" customFormat="false" ht="15.75" hidden="false" customHeight="true" outlineLevel="0" collapsed="false">
      <c r="A24" s="612"/>
      <c r="B24" s="612"/>
      <c r="C24" s="612"/>
      <c r="D24" s="612"/>
      <c r="E24" s="612"/>
      <c r="F24" s="612"/>
      <c r="G24" s="612"/>
      <c r="H24" s="612"/>
      <c r="I24" s="612"/>
      <c r="J24" s="612"/>
      <c r="K24" s="612"/>
      <c r="L24" s="612"/>
      <c r="M24" s="612"/>
      <c r="N24" s="612"/>
      <c r="O24" s="612"/>
      <c r="P24" s="612"/>
      <c r="Q24" s="612"/>
      <c r="R24" s="612"/>
      <c r="S24" s="612"/>
      <c r="T24" s="612"/>
      <c r="U24" s="612"/>
      <c r="V24" s="612"/>
      <c r="W24" s="612"/>
      <c r="X24" s="612"/>
      <c r="Y24" s="612"/>
      <c r="Z24" s="612"/>
      <c r="AA24" s="612"/>
      <c r="AB24" s="612"/>
      <c r="AC24" s="612"/>
      <c r="AD24" s="612"/>
      <c r="AE24" s="612"/>
      <c r="AF24" s="612"/>
    </row>
    <row r="25" customFormat="false" ht="15.75" hidden="false" customHeight="true" outlineLevel="0" collapsed="false">
      <c r="A25" s="612"/>
      <c r="B25" s="612"/>
      <c r="C25" s="612"/>
      <c r="D25" s="612"/>
      <c r="E25" s="612"/>
      <c r="F25" s="612"/>
      <c r="G25" s="612"/>
      <c r="H25" s="612"/>
      <c r="I25" s="612"/>
      <c r="J25" s="612"/>
      <c r="K25" s="612"/>
      <c r="L25" s="612"/>
      <c r="M25" s="612"/>
      <c r="N25" s="612"/>
      <c r="O25" s="612"/>
      <c r="P25" s="612"/>
      <c r="Q25" s="612"/>
      <c r="R25" s="612"/>
      <c r="S25" s="612"/>
      <c r="T25" s="612"/>
      <c r="U25" s="612"/>
      <c r="V25" s="612"/>
      <c r="W25" s="612"/>
      <c r="X25" s="612"/>
      <c r="Y25" s="612"/>
      <c r="Z25" s="612"/>
      <c r="AA25" s="612"/>
      <c r="AB25" s="612"/>
      <c r="AC25" s="612"/>
      <c r="AD25" s="612"/>
      <c r="AE25" s="612"/>
      <c r="AF25" s="612"/>
    </row>
    <row r="26" customFormat="false" ht="15.75" hidden="false" customHeight="true" outlineLevel="0" collapsed="false">
      <c r="A26" s="612"/>
      <c r="B26" s="612"/>
      <c r="C26" s="612"/>
      <c r="D26" s="612"/>
      <c r="E26" s="612"/>
      <c r="F26" s="612"/>
      <c r="G26" s="612"/>
      <c r="H26" s="612"/>
      <c r="I26" s="612"/>
      <c r="J26" s="612"/>
      <c r="K26" s="612"/>
      <c r="L26" s="612"/>
      <c r="M26" s="612"/>
      <c r="N26" s="612"/>
      <c r="O26" s="612"/>
      <c r="P26" s="612"/>
      <c r="Q26" s="612"/>
      <c r="R26" s="612"/>
      <c r="S26" s="612"/>
      <c r="T26" s="612"/>
      <c r="U26" s="612"/>
      <c r="V26" s="612"/>
      <c r="W26" s="612"/>
      <c r="X26" s="612"/>
      <c r="Y26" s="612"/>
      <c r="Z26" s="612"/>
      <c r="AA26" s="612"/>
      <c r="AB26" s="612"/>
      <c r="AC26" s="612"/>
      <c r="AD26" s="612"/>
      <c r="AE26" s="612"/>
      <c r="AF26" s="612"/>
    </row>
    <row r="27" customFormat="false" ht="15.75" hidden="false" customHeight="true" outlineLevel="0" collapsed="false">
      <c r="A27" s="612"/>
      <c r="B27" s="612"/>
      <c r="C27" s="612"/>
      <c r="D27" s="612"/>
      <c r="E27" s="612"/>
      <c r="F27" s="612"/>
      <c r="G27" s="612"/>
      <c r="H27" s="612"/>
      <c r="I27" s="612"/>
      <c r="J27" s="612"/>
      <c r="K27" s="612"/>
      <c r="L27" s="612"/>
      <c r="M27" s="612"/>
      <c r="N27" s="612"/>
      <c r="O27" s="612"/>
      <c r="P27" s="612"/>
      <c r="Q27" s="612"/>
      <c r="R27" s="612"/>
      <c r="S27" s="612"/>
      <c r="T27" s="612"/>
      <c r="U27" s="612"/>
      <c r="V27" s="612"/>
      <c r="W27" s="612"/>
      <c r="X27" s="612"/>
      <c r="Y27" s="612"/>
      <c r="Z27" s="612"/>
      <c r="AA27" s="612"/>
      <c r="AB27" s="612"/>
      <c r="AC27" s="612"/>
      <c r="AD27" s="612"/>
      <c r="AE27" s="612"/>
      <c r="AF27" s="612"/>
    </row>
    <row r="28" customFormat="false" ht="15.75" hidden="false" customHeight="true" outlineLevel="0" collapsed="false">
      <c r="A28" s="612"/>
      <c r="B28" s="612"/>
      <c r="C28" s="612"/>
      <c r="D28" s="612"/>
      <c r="E28" s="612"/>
      <c r="F28" s="612"/>
      <c r="G28" s="612"/>
      <c r="H28" s="612"/>
      <c r="I28" s="612"/>
      <c r="J28" s="612"/>
      <c r="K28" s="612"/>
      <c r="L28" s="612"/>
      <c r="M28" s="612"/>
      <c r="N28" s="612"/>
      <c r="O28" s="612"/>
      <c r="P28" s="612"/>
      <c r="Q28" s="612"/>
      <c r="R28" s="612"/>
      <c r="S28" s="612"/>
      <c r="T28" s="612"/>
      <c r="U28" s="612"/>
      <c r="V28" s="612"/>
      <c r="W28" s="612"/>
      <c r="X28" s="612"/>
      <c r="Y28" s="612"/>
      <c r="Z28" s="612"/>
      <c r="AA28" s="612"/>
      <c r="AB28" s="612"/>
      <c r="AC28" s="612"/>
      <c r="AD28" s="612"/>
      <c r="AE28" s="612"/>
      <c r="AF28" s="612"/>
    </row>
    <row r="29" customFormat="false" ht="15.75" hidden="false" customHeight="true" outlineLevel="0" collapsed="false">
      <c r="A29" s="611"/>
      <c r="B29" s="611"/>
      <c r="C29" s="611"/>
      <c r="D29" s="611"/>
      <c r="E29" s="611"/>
      <c r="F29" s="611"/>
      <c r="G29" s="611"/>
      <c r="H29" s="611"/>
      <c r="I29" s="611"/>
      <c r="J29" s="611"/>
      <c r="K29" s="611"/>
      <c r="L29" s="611"/>
      <c r="M29" s="611"/>
      <c r="N29" s="611"/>
      <c r="O29" s="611"/>
      <c r="P29" s="611"/>
      <c r="Q29" s="611"/>
      <c r="R29" s="611"/>
      <c r="S29" s="611"/>
      <c r="T29" s="611"/>
      <c r="U29" s="611"/>
      <c r="V29" s="611"/>
      <c r="W29" s="611"/>
      <c r="X29" s="611"/>
      <c r="Y29" s="611"/>
      <c r="Z29" s="611"/>
      <c r="AA29" s="611"/>
      <c r="AB29" s="611"/>
      <c r="AC29" s="611"/>
      <c r="AD29" s="611"/>
      <c r="AE29" s="611"/>
      <c r="AF29" s="611"/>
    </row>
    <row r="30" customFormat="false" ht="15.75" hidden="false" customHeight="true" outlineLevel="0" collapsed="false">
      <c r="A30" s="611"/>
      <c r="B30" s="611"/>
      <c r="C30" s="611"/>
      <c r="D30" s="611"/>
      <c r="E30" s="611"/>
      <c r="F30" s="611"/>
      <c r="G30" s="611"/>
      <c r="H30" s="611"/>
      <c r="I30" s="611"/>
      <c r="J30" s="611"/>
      <c r="K30" s="611"/>
      <c r="L30" s="611"/>
      <c r="M30" s="611"/>
      <c r="N30" s="611"/>
      <c r="O30" s="611"/>
      <c r="P30" s="611"/>
      <c r="Q30" s="611"/>
      <c r="R30" s="611"/>
      <c r="S30" s="611"/>
      <c r="T30" s="611"/>
      <c r="U30" s="611"/>
      <c r="V30" s="611"/>
      <c r="W30" s="611"/>
      <c r="X30" s="611"/>
      <c r="Y30" s="611"/>
      <c r="Z30" s="611"/>
      <c r="AA30" s="611"/>
      <c r="AB30" s="611"/>
      <c r="AC30" s="611"/>
      <c r="AD30" s="611"/>
      <c r="AE30" s="611"/>
      <c r="AF30" s="611"/>
    </row>
    <row r="31" customFormat="false" ht="15.75" hidden="false" customHeight="true" outlineLevel="0" collapsed="false">
      <c r="A31" s="611"/>
      <c r="B31" s="611"/>
      <c r="C31" s="611"/>
      <c r="D31" s="611"/>
      <c r="E31" s="611"/>
      <c r="F31" s="611"/>
      <c r="G31" s="611"/>
      <c r="H31" s="611"/>
      <c r="I31" s="611"/>
      <c r="J31" s="611"/>
      <c r="K31" s="611"/>
      <c r="L31" s="611"/>
      <c r="M31" s="611"/>
      <c r="N31" s="611"/>
      <c r="O31" s="611"/>
      <c r="P31" s="611"/>
      <c r="Q31" s="611"/>
      <c r="R31" s="611"/>
      <c r="S31" s="611"/>
      <c r="T31" s="611"/>
      <c r="U31" s="611"/>
      <c r="V31" s="611"/>
      <c r="W31" s="611"/>
      <c r="X31" s="611"/>
      <c r="Y31" s="611"/>
      <c r="Z31" s="611"/>
      <c r="AA31" s="611"/>
      <c r="AB31" s="611"/>
      <c r="AC31" s="611"/>
      <c r="AD31" s="611"/>
      <c r="AE31" s="611"/>
      <c r="AF31" s="611"/>
    </row>
    <row r="32" customFormat="false" ht="15.75" hidden="false" customHeight="true" outlineLevel="0" collapsed="false">
      <c r="A32" s="611"/>
      <c r="B32" s="611"/>
      <c r="C32" s="611"/>
      <c r="D32" s="611"/>
      <c r="E32" s="611"/>
      <c r="F32" s="611"/>
      <c r="G32" s="611"/>
      <c r="H32" s="611"/>
      <c r="I32" s="611"/>
      <c r="J32" s="611"/>
      <c r="K32" s="611"/>
      <c r="L32" s="611"/>
      <c r="M32" s="611"/>
      <c r="N32" s="611"/>
      <c r="O32" s="611"/>
      <c r="P32" s="611"/>
      <c r="Q32" s="611"/>
      <c r="R32" s="611"/>
      <c r="S32" s="611"/>
      <c r="T32" s="611"/>
      <c r="U32" s="611"/>
      <c r="V32" s="611"/>
      <c r="W32" s="611"/>
      <c r="X32" s="611"/>
      <c r="Y32" s="611"/>
      <c r="Z32" s="611"/>
      <c r="AA32" s="611"/>
      <c r="AB32" s="611"/>
      <c r="AC32" s="611"/>
      <c r="AD32" s="611"/>
      <c r="AE32" s="611"/>
      <c r="AF32" s="611"/>
    </row>
    <row r="33" customFormat="false" ht="15.75" hidden="false" customHeight="true" outlineLevel="0" collapsed="false">
      <c r="A33" s="611"/>
      <c r="B33" s="611"/>
      <c r="C33" s="611"/>
      <c r="D33" s="611"/>
      <c r="E33" s="611"/>
      <c r="F33" s="611"/>
      <c r="G33" s="611"/>
      <c r="H33" s="611"/>
      <c r="I33" s="611"/>
      <c r="J33" s="611"/>
      <c r="K33" s="611"/>
      <c r="L33" s="611"/>
      <c r="M33" s="611"/>
      <c r="N33" s="611"/>
      <c r="O33" s="611"/>
      <c r="P33" s="611"/>
      <c r="Q33" s="611"/>
      <c r="R33" s="611"/>
      <c r="S33" s="611"/>
      <c r="T33" s="611"/>
      <c r="U33" s="611"/>
      <c r="V33" s="611"/>
      <c r="W33" s="611"/>
      <c r="X33" s="611"/>
      <c r="Y33" s="611"/>
      <c r="Z33" s="611"/>
      <c r="AA33" s="611"/>
      <c r="AB33" s="611"/>
      <c r="AC33" s="611"/>
      <c r="AD33" s="611"/>
      <c r="AE33" s="611"/>
      <c r="AF33" s="611"/>
    </row>
    <row r="34" customFormat="false" ht="15.75" hidden="false" customHeight="true" outlineLevel="0" collapsed="false">
      <c r="A34" s="611"/>
      <c r="B34" s="611"/>
      <c r="C34" s="611"/>
      <c r="D34" s="611"/>
      <c r="E34" s="611"/>
      <c r="F34" s="611"/>
      <c r="G34" s="611"/>
      <c r="H34" s="611"/>
      <c r="I34" s="611"/>
      <c r="J34" s="611"/>
      <c r="K34" s="611"/>
      <c r="L34" s="611"/>
      <c r="M34" s="611"/>
      <c r="N34" s="611"/>
      <c r="O34" s="611"/>
      <c r="P34" s="611"/>
      <c r="Q34" s="611"/>
      <c r="R34" s="611"/>
      <c r="S34" s="611"/>
      <c r="T34" s="611"/>
      <c r="U34" s="611"/>
      <c r="V34" s="611"/>
      <c r="W34" s="611"/>
      <c r="X34" s="611"/>
      <c r="Y34" s="611"/>
      <c r="Z34" s="611"/>
      <c r="AA34" s="611"/>
      <c r="AB34" s="611"/>
      <c r="AC34" s="611"/>
      <c r="AD34" s="611"/>
      <c r="AE34" s="611"/>
      <c r="AF34" s="611"/>
    </row>
    <row r="35" customFormat="false" ht="15.75" hidden="false" customHeight="true" outlineLevel="0" collapsed="false">
      <c r="A35" s="611"/>
      <c r="B35" s="611"/>
      <c r="C35" s="611"/>
      <c r="D35" s="611"/>
      <c r="E35" s="611"/>
      <c r="F35" s="611"/>
      <c r="G35" s="611"/>
      <c r="H35" s="611"/>
      <c r="I35" s="611"/>
      <c r="J35" s="611"/>
      <c r="K35" s="611"/>
      <c r="L35" s="611"/>
      <c r="M35" s="611"/>
      <c r="N35" s="611"/>
      <c r="O35" s="611"/>
      <c r="P35" s="611"/>
      <c r="Q35" s="611"/>
      <c r="R35" s="611"/>
      <c r="S35" s="611"/>
      <c r="T35" s="611"/>
      <c r="U35" s="611"/>
      <c r="V35" s="611"/>
      <c r="W35" s="611"/>
      <c r="X35" s="611"/>
      <c r="Y35" s="611"/>
      <c r="Z35" s="611"/>
      <c r="AA35" s="611"/>
      <c r="AB35" s="611"/>
      <c r="AC35" s="611"/>
      <c r="AD35" s="611"/>
      <c r="AE35" s="611"/>
      <c r="AF35" s="611"/>
    </row>
    <row r="36" customFormat="false" ht="15.75" hidden="false" customHeight="true" outlineLevel="0" collapsed="false">
      <c r="A36" s="611"/>
      <c r="B36" s="611"/>
      <c r="C36" s="611"/>
      <c r="D36" s="611"/>
      <c r="E36" s="611"/>
      <c r="F36" s="611"/>
      <c r="G36" s="611"/>
      <c r="H36" s="611"/>
      <c r="I36" s="611"/>
      <c r="J36" s="611"/>
      <c r="K36" s="611"/>
      <c r="L36" s="611"/>
      <c r="M36" s="611"/>
      <c r="N36" s="611"/>
      <c r="O36" s="611"/>
      <c r="P36" s="611"/>
      <c r="Q36" s="611"/>
      <c r="R36" s="611"/>
      <c r="S36" s="611"/>
      <c r="T36" s="611"/>
      <c r="U36" s="611"/>
      <c r="V36" s="611"/>
      <c r="W36" s="611"/>
      <c r="X36" s="611"/>
      <c r="Y36" s="611"/>
      <c r="Z36" s="611"/>
      <c r="AA36" s="611"/>
      <c r="AB36" s="611"/>
      <c r="AC36" s="611"/>
      <c r="AD36" s="611"/>
      <c r="AE36" s="611"/>
      <c r="AF36" s="611"/>
    </row>
    <row r="37" customFormat="false" ht="15.75" hidden="false" customHeight="true" outlineLevel="0" collapsed="false">
      <c r="A37" s="611"/>
      <c r="B37" s="611"/>
      <c r="C37" s="611"/>
      <c r="D37" s="611"/>
      <c r="E37" s="611"/>
      <c r="F37" s="611"/>
      <c r="G37" s="611"/>
      <c r="H37" s="611"/>
      <c r="I37" s="611"/>
      <c r="J37" s="611"/>
      <c r="K37" s="611"/>
      <c r="L37" s="611"/>
      <c r="M37" s="611"/>
      <c r="N37" s="611"/>
      <c r="O37" s="611"/>
      <c r="P37" s="611"/>
      <c r="Q37" s="611"/>
      <c r="R37" s="611"/>
      <c r="S37" s="611"/>
      <c r="T37" s="611"/>
      <c r="U37" s="611"/>
      <c r="V37" s="611"/>
      <c r="W37" s="611"/>
      <c r="X37" s="611"/>
      <c r="Y37" s="611"/>
      <c r="Z37" s="611"/>
      <c r="AA37" s="611"/>
      <c r="AB37" s="611"/>
      <c r="AC37" s="611"/>
      <c r="AD37" s="611"/>
      <c r="AE37" s="611"/>
      <c r="AF37" s="611"/>
    </row>
    <row r="38" customFormat="false" ht="15.75" hidden="false" customHeight="true" outlineLevel="0" collapsed="false">
      <c r="A38" s="611"/>
      <c r="B38" s="611"/>
      <c r="C38" s="611"/>
      <c r="D38" s="611"/>
      <c r="E38" s="611"/>
      <c r="F38" s="611"/>
      <c r="G38" s="611"/>
      <c r="H38" s="611"/>
      <c r="I38" s="611"/>
      <c r="J38" s="611"/>
      <c r="K38" s="611"/>
      <c r="L38" s="611"/>
      <c r="M38" s="611"/>
      <c r="N38" s="611"/>
      <c r="O38" s="611"/>
      <c r="P38" s="611"/>
      <c r="Q38" s="611"/>
      <c r="R38" s="611"/>
      <c r="S38" s="611"/>
      <c r="T38" s="611"/>
      <c r="U38" s="611"/>
      <c r="V38" s="611"/>
      <c r="W38" s="611"/>
      <c r="X38" s="611"/>
      <c r="Y38" s="611"/>
      <c r="Z38" s="611"/>
      <c r="AA38" s="611"/>
      <c r="AB38" s="611"/>
      <c r="AC38" s="611"/>
      <c r="AD38" s="611"/>
      <c r="AE38" s="611"/>
      <c r="AF38" s="611"/>
    </row>
    <row r="39" customFormat="false" ht="15.75" hidden="false" customHeight="true" outlineLevel="0" collapsed="false">
      <c r="A39" s="611"/>
      <c r="B39" s="611"/>
      <c r="C39" s="611"/>
      <c r="D39" s="611"/>
      <c r="E39" s="611"/>
      <c r="F39" s="611"/>
      <c r="G39" s="611"/>
      <c r="H39" s="611"/>
      <c r="I39" s="611"/>
      <c r="J39" s="611"/>
      <c r="K39" s="611"/>
      <c r="L39" s="611"/>
      <c r="M39" s="611"/>
      <c r="N39" s="611"/>
      <c r="O39" s="611"/>
      <c r="P39" s="611"/>
      <c r="Q39" s="611"/>
      <c r="R39" s="611"/>
      <c r="S39" s="611"/>
      <c r="T39" s="611"/>
      <c r="U39" s="611"/>
      <c r="V39" s="611"/>
      <c r="W39" s="611"/>
      <c r="X39" s="611"/>
      <c r="Y39" s="611"/>
      <c r="Z39" s="611"/>
      <c r="AA39" s="611"/>
      <c r="AB39" s="611"/>
      <c r="AC39" s="611"/>
      <c r="AD39" s="611"/>
      <c r="AE39" s="611"/>
      <c r="AF39" s="611"/>
    </row>
    <row r="40" customFormat="false" ht="15.75" hidden="false" customHeight="true" outlineLevel="0" collapsed="false">
      <c r="A40" s="446" t="s">
        <v>26</v>
      </c>
      <c r="B40" s="446"/>
      <c r="C40" s="446"/>
      <c r="D40" s="446"/>
      <c r="E40" s="446"/>
      <c r="F40" s="446"/>
      <c r="G40" s="446"/>
      <c r="H40" s="447" t="n">
        <f aca="false">P25+K25</f>
        <v>0</v>
      </c>
      <c r="I40" s="447"/>
      <c r="J40" s="447"/>
      <c r="K40" s="447"/>
      <c r="L40" s="448" t="s">
        <v>1656</v>
      </c>
      <c r="M40" s="449"/>
      <c r="N40" s="449"/>
      <c r="O40" s="447"/>
      <c r="P40" s="447"/>
      <c r="Q40" s="447"/>
      <c r="R40" s="448"/>
      <c r="S40" s="450"/>
      <c r="T40" s="448"/>
      <c r="U40" s="448"/>
      <c r="V40" s="448"/>
      <c r="W40" s="448"/>
      <c r="X40" s="448"/>
      <c r="Y40" s="451"/>
      <c r="Z40" s="452"/>
      <c r="AA40" s="452"/>
      <c r="AB40" s="453"/>
      <c r="AC40" s="454" t="s">
        <v>1657</v>
      </c>
      <c r="AD40" s="455" t="n">
        <v>1</v>
      </c>
      <c r="AE40" s="455" t="s">
        <v>29</v>
      </c>
      <c r="AF40" s="455" t="n">
        <v>1</v>
      </c>
    </row>
  </sheetData>
  <mergeCells count="19">
    <mergeCell ref="A1:AF2"/>
    <mergeCell ref="A3:E3"/>
    <mergeCell ref="M3:Q3"/>
    <mergeCell ref="AE3:AF3"/>
    <mergeCell ref="A4:F4"/>
    <mergeCell ref="M4:Q4"/>
    <mergeCell ref="R4:X4"/>
    <mergeCell ref="Y4:AD4"/>
    <mergeCell ref="AE4:AF4"/>
    <mergeCell ref="A5:B5"/>
    <mergeCell ref="C5:L5"/>
    <mergeCell ref="M5:Q5"/>
    <mergeCell ref="R5:AF5"/>
    <mergeCell ref="A6:AF6"/>
    <mergeCell ref="A11:AF28"/>
    <mergeCell ref="A40:G40"/>
    <mergeCell ref="H40:K40"/>
    <mergeCell ref="M40:N40"/>
    <mergeCell ref="O40:Q40"/>
  </mergeCells>
  <printOptions headings="false" gridLines="false" gridLinesSet="true" horizontalCentered="false" verticalCentered="false"/>
  <pageMargins left="0.75" right="0.5" top="0.75" bottom="0.5" header="0" footer="0.3"/>
  <pageSetup paperSize="1" scale="100" fitToWidth="1" fitToHeight="1" pageOrder="downThenOver" orientation="portrait"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BC88"/>
  <sheetViews>
    <sheetView showFormulas="false" showGridLines="true" showRowColHeaders="true" showZeros="true" rightToLeft="false" tabSelected="false" showOutlineSymbols="true" defaultGridColor="true" view="pageBreakPreview" topLeftCell="A19" colorId="64" zoomScale="115" zoomScaleNormal="100" zoomScalePageLayoutView="115" workbookViewId="0">
      <selection pane="topLeft" activeCell="W33" activeCellId="0" sqref="W33"/>
    </sheetView>
  </sheetViews>
  <sheetFormatPr defaultColWidth="9.14453125" defaultRowHeight="15.75" zeroHeight="false" outlineLevelRow="0" outlineLevelCol="0"/>
  <cols>
    <col collapsed="false" customWidth="true" hidden="false" outlineLevel="0" max="32" min="1" style="613" width="2.86"/>
    <col collapsed="false" customWidth="true" hidden="true" outlineLevel="0" max="34" min="33" style="613" width="2.86"/>
    <col collapsed="false" customWidth="false" hidden="true" outlineLevel="0" max="16384" min="35" style="613" width="9.14"/>
  </cols>
  <sheetData>
    <row r="1" customFormat="false" ht="15.75" hidden="false" customHeight="true" outlineLevel="0" collapsed="false">
      <c r="A1" s="256" t="s">
        <v>1519</v>
      </c>
      <c r="B1" s="256"/>
      <c r="C1" s="256"/>
      <c r="D1" s="256"/>
      <c r="E1" s="256"/>
      <c r="F1" s="256"/>
      <c r="G1" s="256"/>
      <c r="H1" s="256"/>
      <c r="I1" s="256"/>
      <c r="J1" s="256"/>
      <c r="K1" s="256"/>
      <c r="L1" s="256"/>
      <c r="M1" s="256"/>
      <c r="N1" s="256"/>
      <c r="O1" s="256"/>
      <c r="P1" s="256"/>
      <c r="Q1" s="256"/>
      <c r="R1" s="256"/>
      <c r="S1" s="256"/>
      <c r="T1" s="256"/>
      <c r="U1" s="256"/>
      <c r="V1" s="256"/>
      <c r="W1" s="256"/>
      <c r="X1" s="256"/>
      <c r="Y1" s="256"/>
      <c r="Z1" s="256"/>
      <c r="AA1" s="256"/>
      <c r="AB1" s="256"/>
      <c r="AC1" s="256"/>
      <c r="AD1" s="256"/>
      <c r="AE1" s="256"/>
      <c r="AF1" s="256"/>
    </row>
    <row r="2" customFormat="false" ht="15.75" hidden="false" customHeight="true" outlineLevel="0" collapsed="false">
      <c r="A2" s="256"/>
      <c r="B2" s="256"/>
      <c r="C2" s="256"/>
      <c r="D2" s="256"/>
      <c r="E2" s="256"/>
      <c r="F2" s="256"/>
      <c r="G2" s="256"/>
      <c r="H2" s="256"/>
      <c r="I2" s="256"/>
      <c r="J2" s="256"/>
      <c r="K2" s="256"/>
      <c r="L2" s="256"/>
      <c r="M2" s="256"/>
      <c r="N2" s="256"/>
      <c r="O2" s="256"/>
      <c r="P2" s="256"/>
      <c r="Q2" s="256"/>
      <c r="R2" s="256"/>
      <c r="S2" s="256"/>
      <c r="T2" s="256"/>
      <c r="U2" s="256"/>
      <c r="V2" s="256"/>
      <c r="W2" s="256"/>
      <c r="X2" s="256"/>
      <c r="Y2" s="256"/>
      <c r="Z2" s="256"/>
      <c r="AA2" s="256"/>
      <c r="AB2" s="256"/>
      <c r="AC2" s="256"/>
      <c r="AD2" s="256"/>
      <c r="AE2" s="256"/>
      <c r="AF2" s="256"/>
    </row>
    <row r="3" s="618" customFormat="true" ht="15.75" hidden="false" customHeight="true" outlineLevel="0" collapsed="false">
      <c r="A3" s="614" t="s">
        <v>1</v>
      </c>
      <c r="B3" s="614"/>
      <c r="C3" s="614"/>
      <c r="D3" s="614"/>
      <c r="E3" s="614"/>
      <c r="F3" s="608"/>
      <c r="G3" s="397" t="str">
        <f aca="false">UNIT_ROLLUP!F3</f>
        <v>H&amp;S BN MCIPAC MCB CP BUTLER JA</v>
      </c>
      <c r="H3" s="397"/>
      <c r="I3" s="397"/>
      <c r="J3" s="397"/>
      <c r="K3" s="397"/>
      <c r="L3" s="397"/>
      <c r="M3" s="614" t="s">
        <v>3</v>
      </c>
      <c r="N3" s="614"/>
      <c r="O3" s="614"/>
      <c r="P3" s="614"/>
      <c r="Q3" s="614"/>
      <c r="R3" s="397" t="str">
        <f aca="false">UNIT_ROLLUP!R3</f>
        <v>3D MEDICAL BATTALION</v>
      </c>
      <c r="S3" s="397"/>
      <c r="T3" s="397"/>
      <c r="U3" s="397"/>
      <c r="V3" s="397"/>
      <c r="W3" s="397"/>
      <c r="X3" s="397"/>
      <c r="Y3" s="615"/>
      <c r="Z3" s="615"/>
      <c r="AA3" s="616"/>
      <c r="AB3" s="616"/>
      <c r="AC3" s="616"/>
      <c r="AD3" s="616"/>
      <c r="AE3" s="617"/>
      <c r="AF3" s="617"/>
    </row>
    <row r="4" s="618" customFormat="true" ht="15.75" hidden="false" customHeight="true" outlineLevel="0" collapsed="false">
      <c r="A4" s="619" t="s">
        <v>5</v>
      </c>
      <c r="B4" s="619"/>
      <c r="C4" s="619"/>
      <c r="D4" s="619"/>
      <c r="E4" s="619"/>
      <c r="F4" s="608"/>
      <c r="G4" s="397" t="str">
        <f aca="false">UNIT_ROLLUP!F4</f>
        <v>M67400</v>
      </c>
      <c r="H4" s="397"/>
      <c r="I4" s="397"/>
      <c r="J4" s="397"/>
      <c r="K4" s="397"/>
      <c r="L4" s="397"/>
      <c r="M4" s="614" t="s">
        <v>7</v>
      </c>
      <c r="N4" s="614"/>
      <c r="O4" s="614"/>
      <c r="P4" s="614"/>
      <c r="Q4" s="614"/>
      <c r="R4" s="7" t="str">
        <f aca="false">UNIT_ROLLUP!R4</f>
        <v>M13020</v>
      </c>
      <c r="S4" s="7"/>
      <c r="T4" s="7"/>
      <c r="U4" s="7"/>
      <c r="V4" s="7"/>
      <c r="W4" s="7"/>
      <c r="X4" s="7"/>
      <c r="Y4" s="9" t="s">
        <v>9</v>
      </c>
      <c r="Z4" s="9"/>
      <c r="AA4" s="9"/>
      <c r="AB4" s="9"/>
      <c r="AC4" s="9"/>
      <c r="AD4" s="9"/>
      <c r="AE4" s="7" t="str">
        <f aca="false">UNIT_ROLLUP!AE4</f>
        <v>FO</v>
      </c>
      <c r="AF4" s="7"/>
    </row>
    <row r="5" customFormat="false" ht="15.75" hidden="false" customHeight="true" outlineLevel="0" collapsed="false">
      <c r="A5" s="259" t="s">
        <v>1522</v>
      </c>
      <c r="B5" s="259"/>
      <c r="C5" s="260" t="n">
        <v>17120</v>
      </c>
      <c r="D5" s="260"/>
      <c r="E5" s="260"/>
      <c r="F5" s="260"/>
      <c r="G5" s="260"/>
      <c r="H5" s="260"/>
      <c r="I5" s="260"/>
      <c r="J5" s="260"/>
      <c r="K5" s="260"/>
      <c r="L5" s="260"/>
      <c r="M5" s="259" t="s">
        <v>1523</v>
      </c>
      <c r="N5" s="259"/>
      <c r="O5" s="259"/>
      <c r="P5" s="259"/>
      <c r="Q5" s="259"/>
      <c r="R5" s="260" t="s">
        <v>17</v>
      </c>
      <c r="S5" s="260"/>
      <c r="T5" s="260"/>
      <c r="U5" s="260"/>
      <c r="V5" s="260"/>
      <c r="W5" s="260"/>
      <c r="X5" s="260"/>
      <c r="Y5" s="260"/>
      <c r="Z5" s="260"/>
      <c r="AA5" s="260"/>
      <c r="AB5" s="260"/>
      <c r="AC5" s="260"/>
      <c r="AD5" s="260"/>
      <c r="AE5" s="260"/>
      <c r="AF5" s="260"/>
    </row>
    <row r="6" s="1" customFormat="true" ht="15.75" hidden="false" customHeight="true" outlineLevel="0" collapsed="false">
      <c r="A6" s="261" t="s">
        <v>1524</v>
      </c>
      <c r="B6" s="261"/>
      <c r="C6" s="261"/>
      <c r="D6" s="261"/>
      <c r="E6" s="261"/>
      <c r="F6" s="261"/>
      <c r="G6" s="261"/>
      <c r="H6" s="261"/>
      <c r="I6" s="261"/>
      <c r="J6" s="261"/>
      <c r="K6" s="261"/>
      <c r="L6" s="261"/>
      <c r="M6" s="261"/>
      <c r="N6" s="261"/>
      <c r="O6" s="261"/>
      <c r="P6" s="261"/>
      <c r="Q6" s="261"/>
      <c r="R6" s="261"/>
      <c r="S6" s="261"/>
      <c r="T6" s="261"/>
      <c r="U6" s="261"/>
      <c r="V6" s="261"/>
      <c r="W6" s="261"/>
      <c r="X6" s="261"/>
      <c r="Y6" s="261"/>
      <c r="Z6" s="261"/>
      <c r="AA6" s="261"/>
      <c r="AB6" s="261"/>
      <c r="AC6" s="261"/>
      <c r="AD6" s="261"/>
      <c r="AE6" s="261"/>
      <c r="AF6" s="261"/>
    </row>
    <row r="7" s="1" customFormat="true" ht="15.75" hidden="false" customHeight="true" outlineLevel="0" collapsed="false">
      <c r="A7" s="6" t="s">
        <v>1525</v>
      </c>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row>
    <row r="8" s="1" customFormat="true" ht="15.75" hidden="false" customHeight="true" outlineLevel="0" collapsed="false">
      <c r="A8" s="262"/>
      <c r="B8" s="409" t="s">
        <v>2204</v>
      </c>
      <c r="C8" s="409"/>
      <c r="D8" s="409"/>
      <c r="E8" s="409"/>
      <c r="F8" s="409"/>
      <c r="G8" s="409"/>
      <c r="H8" s="409"/>
      <c r="I8" s="409"/>
      <c r="J8" s="409"/>
      <c r="K8" s="409"/>
      <c r="L8" s="409"/>
      <c r="M8" s="409"/>
      <c r="N8" s="409"/>
      <c r="O8" s="409"/>
      <c r="P8" s="409"/>
      <c r="Q8" s="409"/>
      <c r="R8" s="409"/>
      <c r="S8" s="409"/>
      <c r="T8" s="409"/>
      <c r="U8" s="409"/>
      <c r="V8" s="409"/>
      <c r="W8" s="409"/>
      <c r="X8" s="409"/>
      <c r="Y8" s="409"/>
      <c r="Z8" s="409"/>
      <c r="AA8" s="409"/>
      <c r="AB8" s="409"/>
      <c r="AC8" s="409"/>
      <c r="AD8" s="409"/>
      <c r="AE8" s="409"/>
      <c r="AF8" s="409"/>
    </row>
    <row r="9" s="1" customFormat="true" ht="15.75" hidden="false" customHeight="true" outlineLevel="0" collapsed="false">
      <c r="A9" s="262"/>
      <c r="B9" s="262"/>
      <c r="C9" s="409"/>
      <c r="D9" s="409"/>
      <c r="E9" s="409"/>
      <c r="F9" s="409"/>
      <c r="G9" s="409"/>
      <c r="H9" s="409"/>
      <c r="I9" s="409"/>
      <c r="J9" s="409"/>
      <c r="K9" s="409"/>
      <c r="L9" s="409"/>
      <c r="M9" s="409"/>
      <c r="N9" s="409"/>
      <c r="O9" s="409"/>
      <c r="P9" s="409"/>
      <c r="Q9" s="409"/>
      <c r="R9" s="409"/>
      <c r="S9" s="409"/>
      <c r="T9" s="409"/>
      <c r="U9" s="409"/>
      <c r="V9" s="409"/>
      <c r="W9" s="409"/>
      <c r="X9" s="409"/>
      <c r="Y9" s="409"/>
      <c r="Z9" s="409"/>
      <c r="AA9" s="409"/>
      <c r="AB9" s="409"/>
      <c r="AC9" s="409"/>
      <c r="AD9" s="409"/>
      <c r="AE9" s="409"/>
      <c r="AF9" s="409"/>
    </row>
    <row r="10" s="1" customFormat="true" ht="15.75" hidden="false" customHeight="true" outlineLevel="0" collapsed="false">
      <c r="A10" s="262"/>
      <c r="B10" s="262"/>
      <c r="C10" s="409"/>
      <c r="D10" s="409"/>
      <c r="E10" s="409"/>
      <c r="F10" s="409"/>
      <c r="G10" s="409"/>
      <c r="H10" s="409"/>
      <c r="I10" s="409"/>
      <c r="J10" s="409"/>
      <c r="K10" s="409"/>
      <c r="L10" s="409"/>
      <c r="M10" s="409"/>
      <c r="N10" s="409"/>
      <c r="O10" s="409"/>
      <c r="P10" s="409"/>
      <c r="Q10" s="409"/>
      <c r="R10" s="409"/>
      <c r="S10" s="409"/>
      <c r="T10" s="409"/>
      <c r="U10" s="409"/>
      <c r="V10" s="409"/>
      <c r="W10" s="409"/>
      <c r="X10" s="409"/>
      <c r="Y10" s="409"/>
      <c r="Z10" s="409"/>
      <c r="AA10" s="409"/>
      <c r="AB10" s="409"/>
      <c r="AC10" s="409"/>
      <c r="AD10" s="409"/>
      <c r="AE10" s="409"/>
      <c r="AF10" s="409"/>
    </row>
    <row r="11" s="1" customFormat="true" ht="15.75" hidden="false" customHeight="true" outlineLevel="0" collapsed="false">
      <c r="A11" s="262"/>
      <c r="B11" s="262"/>
      <c r="C11" s="409"/>
      <c r="D11" s="409"/>
      <c r="E11" s="409"/>
      <c r="F11" s="409"/>
      <c r="G11" s="409"/>
      <c r="H11" s="409"/>
      <c r="I11" s="409"/>
      <c r="J11" s="409"/>
      <c r="K11" s="409"/>
      <c r="L11" s="409"/>
      <c r="M11" s="409"/>
      <c r="N11" s="409"/>
      <c r="O11" s="409"/>
      <c r="P11" s="409"/>
      <c r="Q11" s="409"/>
      <c r="R11" s="409"/>
      <c r="S11" s="409"/>
      <c r="T11" s="409"/>
      <c r="U11" s="409"/>
      <c r="V11" s="409"/>
      <c r="W11" s="409"/>
      <c r="X11" s="409"/>
      <c r="Y11" s="409"/>
      <c r="Z11" s="409"/>
      <c r="AA11" s="409"/>
      <c r="AB11" s="409"/>
      <c r="AC11" s="409"/>
      <c r="AD11" s="409"/>
      <c r="AE11" s="409"/>
      <c r="AF11" s="409"/>
    </row>
    <row r="12" s="1" customFormat="true" ht="15.75" hidden="false" customHeight="true" outlineLevel="0" collapsed="false">
      <c r="A12" s="262"/>
      <c r="B12" s="262"/>
      <c r="C12" s="409"/>
      <c r="D12" s="409"/>
      <c r="E12" s="409"/>
      <c r="F12" s="409"/>
      <c r="G12" s="409"/>
      <c r="H12" s="409"/>
      <c r="I12" s="409"/>
      <c r="J12" s="409"/>
      <c r="K12" s="409"/>
      <c r="L12" s="409"/>
      <c r="M12" s="409"/>
      <c r="N12" s="409"/>
      <c r="O12" s="409"/>
      <c r="P12" s="409"/>
      <c r="Q12" s="409"/>
      <c r="R12" s="409"/>
      <c r="S12" s="409"/>
      <c r="T12" s="409"/>
      <c r="U12" s="409"/>
      <c r="V12" s="409"/>
      <c r="W12" s="409"/>
      <c r="X12" s="409"/>
      <c r="Y12" s="409"/>
      <c r="Z12" s="409"/>
      <c r="AA12" s="409"/>
      <c r="AB12" s="409"/>
      <c r="AC12" s="409"/>
      <c r="AD12" s="409"/>
      <c r="AE12" s="409"/>
      <c r="AF12" s="409"/>
    </row>
    <row r="13" s="1" customFormat="true" ht="15.75" hidden="false" customHeight="true" outlineLevel="0" collapsed="false">
      <c r="A13" s="262"/>
      <c r="B13" s="262"/>
      <c r="C13" s="409"/>
      <c r="D13" s="409"/>
      <c r="E13" s="409"/>
      <c r="F13" s="409"/>
      <c r="G13" s="409"/>
      <c r="H13" s="409"/>
      <c r="I13" s="409"/>
      <c r="J13" s="409"/>
      <c r="K13" s="409"/>
      <c r="L13" s="409"/>
      <c r="M13" s="409"/>
      <c r="N13" s="409"/>
      <c r="O13" s="409"/>
      <c r="P13" s="409"/>
      <c r="Q13" s="409"/>
      <c r="R13" s="409"/>
      <c r="S13" s="409"/>
      <c r="T13" s="409"/>
      <c r="U13" s="409"/>
      <c r="V13" s="409"/>
      <c r="W13" s="409"/>
      <c r="X13" s="409"/>
      <c r="Y13" s="409"/>
      <c r="Z13" s="409"/>
      <c r="AA13" s="409"/>
      <c r="AB13" s="409"/>
      <c r="AC13" s="409"/>
      <c r="AD13" s="409"/>
      <c r="AE13" s="409"/>
      <c r="AF13" s="409"/>
    </row>
    <row r="14" s="1" customFormat="true" ht="15.75" hidden="false" customHeight="true" outlineLevel="0" collapsed="false">
      <c r="A14" s="262"/>
      <c r="B14" s="262"/>
      <c r="C14" s="409"/>
      <c r="D14" s="409"/>
      <c r="E14" s="409"/>
      <c r="F14" s="409"/>
      <c r="G14" s="409"/>
      <c r="H14" s="409"/>
      <c r="I14" s="409"/>
      <c r="J14" s="409"/>
      <c r="K14" s="409"/>
      <c r="L14" s="409"/>
      <c r="M14" s="409"/>
      <c r="N14" s="409"/>
      <c r="O14" s="409"/>
      <c r="P14" s="409"/>
      <c r="Q14" s="409"/>
      <c r="R14" s="409"/>
      <c r="S14" s="409"/>
      <c r="T14" s="409"/>
      <c r="U14" s="409"/>
      <c r="V14" s="409"/>
      <c r="W14" s="409"/>
      <c r="X14" s="409"/>
      <c r="Y14" s="409"/>
      <c r="Z14" s="409"/>
      <c r="AA14" s="409"/>
      <c r="AB14" s="409"/>
      <c r="AC14" s="409"/>
      <c r="AD14" s="409"/>
      <c r="AE14" s="409"/>
      <c r="AF14" s="409"/>
    </row>
    <row r="15" s="1" customFormat="true" ht="15.75" hidden="false" customHeight="true" outlineLevel="0" collapsed="false">
      <c r="A15" s="262"/>
      <c r="B15" s="262"/>
      <c r="C15" s="409"/>
      <c r="D15" s="409"/>
      <c r="E15" s="409"/>
      <c r="F15" s="409"/>
      <c r="G15" s="409"/>
      <c r="H15" s="409"/>
      <c r="I15" s="409"/>
      <c r="J15" s="409"/>
      <c r="K15" s="409"/>
      <c r="L15" s="409"/>
      <c r="M15" s="409"/>
      <c r="N15" s="409"/>
      <c r="O15" s="409"/>
      <c r="P15" s="409"/>
      <c r="Q15" s="409"/>
      <c r="R15" s="409"/>
      <c r="S15" s="409"/>
      <c r="T15" s="409"/>
      <c r="U15" s="409"/>
      <c r="V15" s="409"/>
      <c r="W15" s="409"/>
      <c r="X15" s="409"/>
      <c r="Y15" s="409"/>
      <c r="Z15" s="409"/>
      <c r="AA15" s="409"/>
      <c r="AB15" s="409"/>
      <c r="AC15" s="409"/>
      <c r="AD15" s="409"/>
      <c r="AE15" s="409"/>
      <c r="AF15" s="409"/>
    </row>
    <row r="16" s="1" customFormat="true" ht="15.75" hidden="false" customHeight="true" outlineLevel="0" collapsed="false">
      <c r="A16" s="6" t="s">
        <v>1527</v>
      </c>
      <c r="B16" s="6"/>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row>
    <row r="17" s="1" customFormat="true" ht="15.75" hidden="false" customHeight="true" outlineLevel="0" collapsed="false">
      <c r="A17" s="620"/>
      <c r="B17" s="262" t="s">
        <v>2205</v>
      </c>
      <c r="C17" s="262"/>
      <c r="D17" s="262"/>
      <c r="E17" s="262"/>
      <c r="F17" s="262"/>
      <c r="G17" s="262"/>
      <c r="H17" s="262"/>
      <c r="I17" s="262"/>
      <c r="J17" s="262"/>
      <c r="K17" s="262"/>
      <c r="L17" s="262"/>
      <c r="M17" s="262"/>
      <c r="N17" s="262"/>
      <c r="O17" s="262"/>
      <c r="P17" s="262"/>
      <c r="Q17" s="262"/>
      <c r="R17" s="262"/>
      <c r="S17" s="262"/>
      <c r="T17" s="262"/>
      <c r="U17" s="262"/>
      <c r="V17" s="262"/>
      <c r="W17" s="262"/>
      <c r="X17" s="262"/>
      <c r="Y17" s="262"/>
      <c r="Z17" s="262"/>
      <c r="AA17" s="262"/>
      <c r="AB17" s="262"/>
      <c r="AC17" s="262"/>
      <c r="AD17" s="262"/>
      <c r="AE17" s="262"/>
      <c r="AF17" s="262"/>
    </row>
    <row r="18" s="1" customFormat="true" ht="15.75" hidden="false" customHeight="true" outlineLevel="0" collapsed="false">
      <c r="A18" s="620"/>
      <c r="B18" s="262" t="s">
        <v>1643</v>
      </c>
      <c r="C18" s="262"/>
      <c r="D18" s="262"/>
      <c r="E18" s="262"/>
      <c r="F18" s="262"/>
      <c r="G18" s="262"/>
      <c r="H18" s="262"/>
      <c r="I18" s="262"/>
      <c r="J18" s="262"/>
      <c r="K18" s="262"/>
      <c r="L18" s="262"/>
      <c r="M18" s="262"/>
      <c r="N18" s="262"/>
      <c r="O18" s="262"/>
      <c r="P18" s="262"/>
      <c r="Q18" s="262"/>
      <c r="R18" s="262"/>
      <c r="S18" s="262"/>
      <c r="T18" s="262"/>
      <c r="U18" s="262"/>
      <c r="V18" s="262"/>
      <c r="W18" s="262"/>
      <c r="X18" s="262"/>
      <c r="Y18" s="262"/>
      <c r="Z18" s="262"/>
      <c r="AA18" s="262"/>
      <c r="AB18" s="262"/>
      <c r="AC18" s="262"/>
      <c r="AD18" s="262"/>
      <c r="AE18" s="262"/>
      <c r="AF18" s="262"/>
    </row>
    <row r="19" s="267" customFormat="true" ht="15.75" hidden="false" customHeight="true" outlineLevel="0" collapsed="false">
      <c r="A19" s="267" t="s">
        <v>1529</v>
      </c>
    </row>
    <row r="20" s="1" customFormat="true" ht="15.75" hidden="false" customHeight="true" outlineLevel="0" collapsed="false">
      <c r="A20" s="39"/>
      <c r="B20" s="408" t="s">
        <v>2206</v>
      </c>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c r="AA20" s="408"/>
      <c r="AB20" s="408"/>
      <c r="AC20" s="408"/>
      <c r="AD20" s="408"/>
      <c r="AE20" s="408"/>
      <c r="AF20" s="408"/>
    </row>
    <row r="21" s="396" customFormat="true" ht="15.75" hidden="false" customHeight="true" outlineLevel="0" collapsed="false">
      <c r="A21" s="407"/>
      <c r="B21" s="409" t="s">
        <v>2207</v>
      </c>
      <c r="C21" s="409"/>
      <c r="D21" s="409"/>
      <c r="E21" s="409"/>
      <c r="F21" s="409"/>
      <c r="G21" s="409"/>
      <c r="H21" s="409"/>
      <c r="I21" s="409"/>
      <c r="J21" s="409"/>
      <c r="K21" s="409"/>
      <c r="L21" s="409"/>
      <c r="M21" s="409"/>
      <c r="N21" s="409"/>
      <c r="O21" s="409"/>
      <c r="P21" s="409"/>
      <c r="Q21" s="409"/>
      <c r="R21" s="409"/>
      <c r="S21" s="409"/>
      <c r="T21" s="409"/>
      <c r="U21" s="409"/>
      <c r="V21" s="409"/>
      <c r="W21" s="409"/>
      <c r="X21" s="409"/>
      <c r="Y21" s="409"/>
      <c r="Z21" s="409"/>
      <c r="AA21" s="409"/>
      <c r="AB21" s="409"/>
      <c r="AC21" s="409"/>
      <c r="AD21" s="409"/>
      <c r="AE21" s="409"/>
      <c r="AF21" s="409"/>
    </row>
    <row r="22" s="396" customFormat="true" ht="15.75" hidden="false" customHeight="true" outlineLevel="0" collapsed="false">
      <c r="A22" s="407"/>
      <c r="B22" s="409"/>
      <c r="C22" s="409"/>
      <c r="D22" s="409"/>
      <c r="E22" s="409"/>
      <c r="F22" s="409"/>
      <c r="G22" s="409"/>
      <c r="H22" s="409"/>
      <c r="I22" s="409"/>
      <c r="J22" s="409"/>
      <c r="K22" s="409"/>
      <c r="L22" s="409"/>
      <c r="M22" s="409"/>
      <c r="N22" s="409"/>
      <c r="O22" s="409"/>
      <c r="P22" s="409"/>
      <c r="Q22" s="409"/>
      <c r="R22" s="409"/>
      <c r="S22" s="409"/>
      <c r="T22" s="409"/>
      <c r="U22" s="409"/>
      <c r="V22" s="409"/>
      <c r="W22" s="409"/>
      <c r="X22" s="409"/>
      <c r="Y22" s="409"/>
      <c r="Z22" s="409"/>
      <c r="AA22" s="409"/>
      <c r="AB22" s="409"/>
      <c r="AC22" s="409"/>
      <c r="AD22" s="409"/>
      <c r="AE22" s="409"/>
      <c r="AF22" s="409"/>
    </row>
    <row r="23" s="267" customFormat="true" ht="15.75" hidden="false" customHeight="true" outlineLevel="0" collapsed="false">
      <c r="A23" s="267" t="s">
        <v>1532</v>
      </c>
    </row>
    <row r="24" s="1" customFormat="true" ht="15.75" hidden="false" customHeight="true" outlineLevel="0" collapsed="false">
      <c r="B24" s="621" t="s">
        <v>2208</v>
      </c>
      <c r="C24" s="621"/>
      <c r="D24" s="621"/>
      <c r="E24" s="621"/>
      <c r="F24" s="621"/>
      <c r="G24" s="621"/>
      <c r="H24" s="621"/>
      <c r="I24" s="621"/>
      <c r="J24" s="621"/>
      <c r="K24" s="621"/>
      <c r="L24" s="621"/>
      <c r="M24" s="622" t="s">
        <v>2209</v>
      </c>
      <c r="N24" s="622"/>
      <c r="O24" s="622"/>
      <c r="P24" s="622"/>
      <c r="Q24" s="622" t="s">
        <v>2210</v>
      </c>
      <c r="R24" s="622"/>
      <c r="S24" s="622"/>
      <c r="T24" s="622"/>
      <c r="U24" s="623" t="s">
        <v>2211</v>
      </c>
      <c r="V24" s="623"/>
      <c r="W24" s="623"/>
      <c r="X24" s="623"/>
    </row>
    <row r="25" s="1" customFormat="true" ht="15.75" hidden="false" customHeight="true" outlineLevel="0" collapsed="false">
      <c r="B25" s="621"/>
      <c r="C25" s="621"/>
      <c r="D25" s="621"/>
      <c r="E25" s="621"/>
      <c r="F25" s="621"/>
      <c r="G25" s="621"/>
      <c r="H25" s="621"/>
      <c r="I25" s="621"/>
      <c r="J25" s="621"/>
      <c r="K25" s="621"/>
      <c r="L25" s="621"/>
      <c r="M25" s="622"/>
      <c r="N25" s="622"/>
      <c r="O25" s="622"/>
      <c r="P25" s="622"/>
      <c r="Q25" s="622"/>
      <c r="R25" s="622"/>
      <c r="S25" s="622"/>
      <c r="T25" s="622"/>
      <c r="U25" s="623"/>
      <c r="V25" s="623"/>
      <c r="W25" s="623"/>
      <c r="X25" s="623"/>
      <c r="AI25" s="624"/>
      <c r="AJ25" s="624"/>
      <c r="AK25" s="624"/>
      <c r="AL25" s="624"/>
      <c r="AM25" s="624"/>
      <c r="AN25" s="624"/>
      <c r="AO25" s="624"/>
      <c r="AP25" s="624"/>
      <c r="AQ25" s="624"/>
      <c r="AR25" s="624"/>
      <c r="AS25" s="624"/>
      <c r="AT25" s="624"/>
      <c r="AU25" s="624"/>
      <c r="AV25" s="624"/>
      <c r="AW25" s="624"/>
      <c r="AX25" s="624"/>
      <c r="AY25" s="624"/>
      <c r="AZ25" s="624"/>
      <c r="BA25" s="624"/>
      <c r="BB25" s="624"/>
      <c r="BC25" s="624"/>
    </row>
    <row r="26" s="1" customFormat="true" ht="15.75" hidden="false" customHeight="true" outlineLevel="0" collapsed="false">
      <c r="B26" s="625" t="s">
        <v>8</v>
      </c>
      <c r="C26" s="625"/>
      <c r="D26" s="625"/>
      <c r="E26" s="626" t="s">
        <v>2212</v>
      </c>
      <c r="F26" s="626"/>
      <c r="G26" s="626"/>
      <c r="H26" s="626"/>
      <c r="I26" s="626"/>
      <c r="J26" s="626"/>
      <c r="K26" s="626"/>
      <c r="L26" s="626"/>
      <c r="M26" s="627" t="n">
        <f aca="false">Z48</f>
        <v>1437.9</v>
      </c>
      <c r="N26" s="627"/>
      <c r="O26" s="627"/>
      <c r="P26" s="627"/>
      <c r="Q26" s="627" t="n">
        <f aca="false">U67</f>
        <v>1377.55</v>
      </c>
      <c r="R26" s="627"/>
      <c r="S26" s="627"/>
      <c r="T26" s="627"/>
      <c r="U26" s="628" t="n">
        <f aca="false">M26+Q26</f>
        <v>2815.45</v>
      </c>
      <c r="V26" s="628"/>
      <c r="W26" s="628"/>
      <c r="X26" s="628"/>
    </row>
    <row r="27" s="1" customFormat="true" ht="15.75" hidden="false" customHeight="true" outlineLevel="0" collapsed="false">
      <c r="B27" s="629"/>
      <c r="C27" s="629"/>
      <c r="D27" s="629"/>
      <c r="E27" s="630"/>
      <c r="F27" s="630"/>
      <c r="G27" s="630"/>
      <c r="H27" s="630"/>
      <c r="I27" s="630"/>
      <c r="J27" s="630"/>
      <c r="K27" s="630"/>
      <c r="L27" s="630"/>
      <c r="M27" s="631"/>
      <c r="N27" s="631"/>
      <c r="O27" s="631"/>
      <c r="P27" s="631"/>
      <c r="Q27" s="632" t="n">
        <f aca="false">AA59</f>
        <v>0</v>
      </c>
      <c r="R27" s="632"/>
      <c r="S27" s="632"/>
      <c r="T27" s="632"/>
      <c r="U27" s="633" t="n">
        <f aca="false">$U$26*(M27+Q27)</f>
        <v>0</v>
      </c>
      <c r="V27" s="633"/>
      <c r="W27" s="633"/>
      <c r="X27" s="633"/>
    </row>
    <row r="28" s="1" customFormat="true" ht="15.75" hidden="false" customHeight="true" outlineLevel="0" collapsed="false">
      <c r="B28" s="634"/>
      <c r="C28" s="634"/>
      <c r="D28" s="634"/>
      <c r="E28" s="635"/>
      <c r="F28" s="635"/>
      <c r="G28" s="635"/>
      <c r="H28" s="635"/>
      <c r="I28" s="635"/>
      <c r="J28" s="635"/>
      <c r="K28" s="635"/>
      <c r="L28" s="635"/>
      <c r="M28" s="636"/>
      <c r="N28" s="636"/>
      <c r="O28" s="636"/>
      <c r="P28" s="636"/>
      <c r="Q28" s="637" t="s">
        <v>25</v>
      </c>
      <c r="R28" s="637"/>
      <c r="S28" s="637"/>
      <c r="T28" s="637"/>
      <c r="U28" s="638" t="n">
        <f aca="false">SUM(U26:X27)</f>
        <v>2815.45</v>
      </c>
      <c r="V28" s="638"/>
      <c r="W28" s="638"/>
      <c r="X28" s="638"/>
    </row>
    <row r="29" s="1" customFormat="true" ht="15.75" hidden="false" customHeight="true" outlineLevel="0" collapsed="false">
      <c r="B29" s="634"/>
      <c r="C29" s="634"/>
      <c r="D29" s="634"/>
      <c r="E29" s="635"/>
      <c r="F29" s="635"/>
      <c r="G29" s="635"/>
      <c r="H29" s="635"/>
      <c r="I29" s="635"/>
      <c r="J29" s="635"/>
      <c r="K29" s="635"/>
      <c r="L29" s="635"/>
      <c r="M29" s="636"/>
      <c r="N29" s="636"/>
      <c r="O29" s="636"/>
      <c r="P29" s="636"/>
      <c r="Q29" s="636"/>
      <c r="R29" s="636"/>
      <c r="S29" s="636"/>
      <c r="T29" s="636"/>
      <c r="U29" s="636"/>
      <c r="V29" s="636"/>
      <c r="W29" s="636"/>
      <c r="X29" s="636"/>
      <c r="Y29" s="639"/>
      <c r="Z29" s="639"/>
      <c r="AA29" s="639"/>
      <c r="AB29" s="639"/>
    </row>
    <row r="30" s="1" customFormat="true" ht="15.75" hidden="false" customHeight="true" outlineLevel="0" collapsed="false">
      <c r="B30" s="634"/>
      <c r="C30" s="634"/>
      <c r="D30" s="634"/>
      <c r="E30" s="635"/>
      <c r="F30" s="635"/>
      <c r="G30" s="635"/>
      <c r="N30" s="636"/>
      <c r="O30" s="636"/>
      <c r="P30" s="636"/>
      <c r="Q30" s="636"/>
      <c r="R30" s="636"/>
      <c r="S30" s="636"/>
      <c r="T30" s="636"/>
      <c r="U30" s="636"/>
      <c r="V30" s="636"/>
      <c r="W30" s="636"/>
      <c r="X30" s="636"/>
      <c r="Y30" s="639"/>
      <c r="Z30" s="639"/>
      <c r="AA30" s="639"/>
      <c r="AB30" s="639"/>
    </row>
    <row r="31" s="1" customFormat="true" ht="15.75" hidden="false" customHeight="true" outlineLevel="0" collapsed="false">
      <c r="B31" s="640"/>
      <c r="C31" s="640"/>
      <c r="D31" s="640"/>
      <c r="E31" s="640"/>
      <c r="F31" s="640"/>
      <c r="G31" s="640"/>
      <c r="Y31" s="641"/>
      <c r="Z31" s="641"/>
      <c r="AA31" s="641"/>
      <c r="AB31" s="641"/>
    </row>
    <row r="32" s="1" customFormat="true" ht="15.75" hidden="false" customHeight="true" outlineLevel="0" collapsed="false"/>
    <row r="33" s="1" customFormat="true" ht="15.75" hidden="false" customHeight="true" outlineLevel="0" collapsed="false">
      <c r="AE33" s="642"/>
      <c r="AF33" s="642"/>
    </row>
    <row r="34" s="1" customFormat="true" ht="15.75" hidden="false" customHeight="true" outlineLevel="0" collapsed="false">
      <c r="AE34" s="642"/>
      <c r="AF34" s="642"/>
    </row>
    <row r="35" s="1" customFormat="true" ht="15.75" hidden="false" customHeight="true" outlineLevel="0" collapsed="false">
      <c r="AE35" s="642"/>
      <c r="AF35" s="642"/>
    </row>
    <row r="36" s="1" customFormat="true" ht="15.75" hidden="false" customHeight="true" outlineLevel="0" collapsed="false">
      <c r="AE36" s="642"/>
      <c r="AF36" s="642"/>
    </row>
    <row r="37" s="1" customFormat="true" ht="15.75" hidden="false" customHeight="true" outlineLevel="0" collapsed="false">
      <c r="AE37" s="642"/>
      <c r="AF37" s="642"/>
    </row>
    <row r="38" s="1" customFormat="true" ht="15.75" hidden="false" customHeight="true" outlineLevel="0" collapsed="false">
      <c r="AE38" s="642"/>
      <c r="AF38" s="642"/>
    </row>
    <row r="39" s="643" customFormat="true" ht="15.75" hidden="false" customHeight="true" outlineLevel="0" collapsed="false">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613"/>
    </row>
    <row r="40" s="643" customFormat="true" ht="15.75" hidden="false" customHeight="true" outlineLevel="0" collapsed="false">
      <c r="A40" s="314" t="s">
        <v>26</v>
      </c>
      <c r="B40" s="314"/>
      <c r="C40" s="314"/>
      <c r="D40" s="314"/>
      <c r="E40" s="314"/>
      <c r="F40" s="314"/>
      <c r="G40" s="314"/>
      <c r="H40" s="315" t="n">
        <f aca="false">U28</f>
        <v>2815.45</v>
      </c>
      <c r="I40" s="315"/>
      <c r="J40" s="315"/>
      <c r="K40" s="315"/>
      <c r="L40" s="316" t="s">
        <v>1656</v>
      </c>
      <c r="M40" s="317"/>
      <c r="N40" s="317"/>
      <c r="O40" s="318"/>
      <c r="P40" s="318"/>
      <c r="Q40" s="318"/>
      <c r="R40" s="316"/>
      <c r="S40" s="316"/>
      <c r="T40" s="316"/>
      <c r="U40" s="316"/>
      <c r="V40" s="316"/>
      <c r="W40" s="316"/>
      <c r="X40" s="316"/>
      <c r="Y40" s="319"/>
      <c r="Z40" s="320"/>
      <c r="AA40" s="320"/>
      <c r="AB40" s="453"/>
      <c r="AC40" s="454" t="s">
        <v>1657</v>
      </c>
      <c r="AD40" s="455" t="n">
        <v>1</v>
      </c>
      <c r="AE40" s="455" t="s">
        <v>29</v>
      </c>
      <c r="AF40" s="455" t="n">
        <v>2</v>
      </c>
    </row>
    <row r="41" s="643" customFormat="true" ht="15.75" hidden="false" customHeight="true" outlineLevel="0" collapsed="false">
      <c r="A41" s="259" t="s">
        <v>1522</v>
      </c>
      <c r="B41" s="259"/>
      <c r="C41" s="323" t="n">
        <f aca="false">$C$5</f>
        <v>17120</v>
      </c>
      <c r="D41" s="323"/>
      <c r="E41" s="323"/>
      <c r="F41" s="323"/>
      <c r="G41" s="323"/>
      <c r="H41" s="323"/>
      <c r="I41" s="323"/>
      <c r="J41" s="323"/>
      <c r="K41" s="323"/>
      <c r="L41" s="323"/>
      <c r="M41" s="259" t="s">
        <v>1523</v>
      </c>
      <c r="N41" s="259"/>
      <c r="O41" s="259"/>
      <c r="P41" s="259"/>
      <c r="Q41" s="259"/>
      <c r="R41" s="644" t="str">
        <f aca="false">$R$5</f>
        <v>Applied Instruction Building</v>
      </c>
      <c r="S41" s="645"/>
      <c r="T41" s="645"/>
      <c r="U41" s="645"/>
      <c r="V41" s="645"/>
      <c r="W41" s="645"/>
      <c r="X41" s="645"/>
      <c r="Y41" s="645"/>
      <c r="Z41" s="645"/>
      <c r="AA41" s="645"/>
      <c r="AB41" s="645"/>
      <c r="AC41" s="645"/>
      <c r="AD41" s="645"/>
      <c r="AE41" s="646"/>
      <c r="AF41" s="647"/>
    </row>
    <row r="42" s="643" customFormat="true" ht="15.75" hidden="false" customHeight="true" outlineLevel="0" collapsed="false">
      <c r="A42" s="648"/>
      <c r="B42" s="648"/>
      <c r="C42" s="649"/>
      <c r="D42" s="649"/>
      <c r="E42" s="649"/>
      <c r="F42" s="649"/>
      <c r="G42" s="649"/>
      <c r="H42" s="649"/>
      <c r="I42" s="649"/>
      <c r="J42" s="649"/>
      <c r="K42" s="649"/>
      <c r="L42" s="649"/>
      <c r="M42" s="648"/>
      <c r="N42" s="648"/>
      <c r="O42" s="648"/>
      <c r="P42" s="648"/>
      <c r="Q42" s="648"/>
      <c r="R42" s="649"/>
      <c r="S42" s="650"/>
      <c r="T42" s="650"/>
      <c r="U42" s="650"/>
      <c r="V42" s="650"/>
      <c r="W42" s="650"/>
      <c r="X42" s="650"/>
      <c r="Y42" s="650"/>
      <c r="Z42" s="650"/>
      <c r="AA42" s="650"/>
      <c r="AB42" s="650"/>
      <c r="AC42" s="650"/>
      <c r="AD42" s="650"/>
      <c r="AE42" s="651"/>
    </row>
    <row r="43" s="643" customFormat="true" ht="15.75" hidden="false" customHeight="true" outlineLevel="0" collapsed="false">
      <c r="A43" s="648"/>
      <c r="B43" s="652"/>
      <c r="C43" s="652"/>
      <c r="D43" s="652"/>
      <c r="E43" s="652"/>
      <c r="F43" s="652"/>
      <c r="G43" s="652"/>
      <c r="H43" s="652"/>
      <c r="I43" s="652"/>
      <c r="J43" s="652"/>
      <c r="K43" s="652"/>
      <c r="L43" s="652"/>
      <c r="M43" s="652"/>
      <c r="N43" s="652"/>
      <c r="O43" s="652"/>
      <c r="P43" s="652"/>
      <c r="Q43" s="652"/>
      <c r="R43" s="652"/>
      <c r="S43" s="652"/>
      <c r="T43" s="652"/>
      <c r="U43" s="652"/>
      <c r="V43" s="652"/>
      <c r="W43" s="652"/>
      <c r="X43" s="652"/>
      <c r="Y43" s="652"/>
      <c r="Z43" s="652"/>
      <c r="AA43" s="652"/>
      <c r="AB43" s="652"/>
      <c r="AC43" s="652"/>
      <c r="AD43" s="652"/>
      <c r="AE43" s="652"/>
    </row>
    <row r="44" s="643" customFormat="true" ht="15.75" hidden="false" customHeight="true" outlineLevel="0" collapsed="false">
      <c r="A44" s="648"/>
      <c r="B44" s="653" t="s">
        <v>2209</v>
      </c>
      <c r="C44" s="654"/>
      <c r="D44" s="654"/>
      <c r="E44" s="654"/>
      <c r="F44" s="654"/>
      <c r="G44" s="654"/>
      <c r="H44" s="654"/>
      <c r="I44" s="654"/>
      <c r="J44" s="654"/>
      <c r="K44" s="654"/>
      <c r="L44" s="654"/>
      <c r="M44" s="654"/>
      <c r="N44" s="654"/>
      <c r="O44" s="654"/>
      <c r="P44" s="654"/>
      <c r="Q44" s="654"/>
      <c r="R44" s="654"/>
      <c r="S44" s="654"/>
      <c r="T44" s="654"/>
      <c r="U44" s="654"/>
      <c r="V44" s="654"/>
      <c r="W44" s="654"/>
      <c r="X44" s="654"/>
      <c r="Y44" s="654"/>
      <c r="Z44" s="654"/>
      <c r="AA44" s="652"/>
      <c r="AB44" s="652"/>
      <c r="AC44" s="652"/>
      <c r="AD44" s="652"/>
      <c r="AE44" s="652"/>
    </row>
    <row r="45" s="1" customFormat="true" ht="15.75" hidden="false" customHeight="true" outlineLevel="0" collapsed="false">
      <c r="B45" s="655" t="s">
        <v>2213</v>
      </c>
      <c r="C45" s="655"/>
      <c r="D45" s="655"/>
      <c r="E45" s="655"/>
      <c r="F45" s="655"/>
      <c r="G45" s="655"/>
      <c r="H45" s="656" t="s">
        <v>2214</v>
      </c>
      <c r="I45" s="656"/>
      <c r="J45" s="656"/>
      <c r="K45" s="656"/>
      <c r="L45" s="656" t="s">
        <v>2215</v>
      </c>
      <c r="M45" s="656"/>
      <c r="N45" s="656"/>
      <c r="O45" s="656"/>
      <c r="P45" s="656"/>
      <c r="Q45" s="656"/>
      <c r="R45" s="655" t="s">
        <v>2216</v>
      </c>
      <c r="S45" s="655"/>
      <c r="T45" s="655"/>
      <c r="U45" s="655"/>
      <c r="V45" s="656" t="s">
        <v>2217</v>
      </c>
      <c r="W45" s="656"/>
      <c r="X45" s="656"/>
      <c r="Y45" s="656"/>
      <c r="Z45" s="656" t="s">
        <v>1651</v>
      </c>
      <c r="AA45" s="656"/>
      <c r="AB45" s="656"/>
      <c r="AC45" s="656"/>
      <c r="AD45" s="652"/>
      <c r="AE45" s="652"/>
    </row>
    <row r="46" s="1" customFormat="true" ht="15.75" hidden="false" customHeight="true" outlineLevel="0" collapsed="false">
      <c r="B46" s="657" t="s">
        <v>2218</v>
      </c>
      <c r="C46" s="657"/>
      <c r="D46" s="657"/>
      <c r="E46" s="657"/>
      <c r="F46" s="657"/>
      <c r="G46" s="657"/>
      <c r="H46" s="657" t="n">
        <v>30</v>
      </c>
      <c r="I46" s="657"/>
      <c r="J46" s="657"/>
      <c r="K46" s="657"/>
      <c r="L46" s="658" t="s">
        <v>2219</v>
      </c>
      <c r="M46" s="658"/>
      <c r="N46" s="658"/>
      <c r="O46" s="658"/>
      <c r="P46" s="658"/>
      <c r="Q46" s="658"/>
      <c r="R46" s="659" t="n">
        <v>21</v>
      </c>
      <c r="S46" s="659"/>
      <c r="T46" s="659"/>
      <c r="U46" s="659"/>
      <c r="V46" s="660" t="n">
        <v>1.33</v>
      </c>
      <c r="W46" s="660"/>
      <c r="X46" s="660"/>
      <c r="Y46" s="660"/>
      <c r="Z46" s="661" t="n">
        <f aca="false">H46*R46*V46</f>
        <v>837.9</v>
      </c>
      <c r="AA46" s="661"/>
      <c r="AB46" s="661"/>
      <c r="AC46" s="661"/>
      <c r="AD46" s="652"/>
      <c r="AE46" s="652"/>
    </row>
    <row r="47" s="1" customFormat="true" ht="15.75" hidden="false" customHeight="true" outlineLevel="0" collapsed="false">
      <c r="B47" s="657" t="s">
        <v>2220</v>
      </c>
      <c r="C47" s="657"/>
      <c r="D47" s="657"/>
      <c r="E47" s="657"/>
      <c r="F47" s="657"/>
      <c r="G47" s="657"/>
      <c r="H47" s="657" t="s">
        <v>2219</v>
      </c>
      <c r="I47" s="657"/>
      <c r="J47" s="657"/>
      <c r="K47" s="657"/>
      <c r="L47" s="658" t="n">
        <v>4</v>
      </c>
      <c r="M47" s="658"/>
      <c r="N47" s="658"/>
      <c r="O47" s="658"/>
      <c r="P47" s="658"/>
      <c r="Q47" s="658"/>
      <c r="R47" s="662" t="n">
        <v>150</v>
      </c>
      <c r="S47" s="662"/>
      <c r="T47" s="662"/>
      <c r="U47" s="662"/>
      <c r="V47" s="660"/>
      <c r="W47" s="660"/>
      <c r="X47" s="660"/>
      <c r="Y47" s="660"/>
      <c r="Z47" s="661" t="n">
        <f aca="false">L47*R47</f>
        <v>600</v>
      </c>
      <c r="AA47" s="661"/>
      <c r="AB47" s="661"/>
      <c r="AC47" s="661"/>
      <c r="AD47" s="652"/>
      <c r="AE47" s="652"/>
    </row>
    <row r="48" s="1" customFormat="true" ht="15.75" hidden="false" customHeight="true" outlineLevel="0" collapsed="false">
      <c r="B48" s="652"/>
      <c r="C48" s="652"/>
      <c r="D48" s="652"/>
      <c r="E48" s="652"/>
      <c r="F48" s="652"/>
      <c r="G48" s="652"/>
      <c r="H48" s="652"/>
      <c r="I48" s="652"/>
      <c r="J48" s="652"/>
      <c r="K48" s="652"/>
      <c r="L48" s="652"/>
      <c r="M48" s="652"/>
      <c r="N48" s="652"/>
      <c r="O48" s="652"/>
      <c r="P48" s="652"/>
      <c r="Q48" s="652"/>
      <c r="R48" s="652"/>
      <c r="S48" s="652"/>
      <c r="T48" s="652"/>
      <c r="U48" s="652"/>
      <c r="V48" s="663" t="s">
        <v>2221</v>
      </c>
      <c r="W48" s="663"/>
      <c r="X48" s="663"/>
      <c r="Y48" s="663"/>
      <c r="Z48" s="664" t="n">
        <f aca="false">SUM(Z46:AC47)</f>
        <v>1437.9</v>
      </c>
      <c r="AA48" s="664"/>
      <c r="AB48" s="664"/>
      <c r="AC48" s="664"/>
      <c r="AD48" s="652"/>
      <c r="AE48" s="652"/>
    </row>
    <row r="49" s="1" customFormat="true" ht="15.75" hidden="false" customHeight="true" outlineLevel="0" collapsed="false">
      <c r="B49" s="652"/>
      <c r="C49" s="652"/>
      <c r="D49" s="652"/>
      <c r="E49" s="652"/>
      <c r="F49" s="652"/>
      <c r="G49" s="652"/>
      <c r="H49" s="652"/>
      <c r="AA49" s="652"/>
      <c r="AB49" s="652"/>
      <c r="AC49" s="652"/>
      <c r="AD49" s="652"/>
      <c r="AE49" s="652"/>
    </row>
    <row r="50" s="1" customFormat="true" ht="15.75" hidden="false" customHeight="true" outlineLevel="0" collapsed="false">
      <c r="B50" s="665" t="s">
        <v>2222</v>
      </c>
      <c r="C50" s="665"/>
      <c r="D50" s="665"/>
      <c r="E50" s="665"/>
      <c r="F50" s="665"/>
      <c r="G50" s="665"/>
      <c r="H50" s="665"/>
      <c r="I50" s="665"/>
      <c r="J50" s="665"/>
      <c r="K50" s="665"/>
      <c r="L50" s="665"/>
      <c r="M50" s="665"/>
      <c r="N50" s="665"/>
      <c r="O50" s="665"/>
      <c r="P50" s="665"/>
      <c r="Q50" s="665"/>
      <c r="R50" s="665"/>
      <c r="S50" s="665"/>
      <c r="T50" s="665"/>
      <c r="U50" s="665"/>
      <c r="V50" s="665"/>
      <c r="W50" s="665"/>
      <c r="X50" s="665"/>
      <c r="Y50" s="665"/>
      <c r="Z50" s="665"/>
      <c r="AA50" s="665"/>
      <c r="AB50" s="665"/>
      <c r="AC50" s="665"/>
      <c r="AD50" s="665"/>
      <c r="AE50" s="665"/>
    </row>
    <row r="51" s="1" customFormat="true" ht="15.75" hidden="false" customHeight="true" outlineLevel="0" collapsed="false">
      <c r="B51" s="665"/>
      <c r="C51" s="665"/>
      <c r="D51" s="665"/>
      <c r="E51" s="665"/>
      <c r="F51" s="665"/>
      <c r="G51" s="665"/>
      <c r="H51" s="665"/>
      <c r="I51" s="665"/>
      <c r="J51" s="665"/>
      <c r="K51" s="665"/>
      <c r="L51" s="665"/>
      <c r="M51" s="665"/>
      <c r="N51" s="665"/>
      <c r="O51" s="665"/>
      <c r="P51" s="665"/>
      <c r="Q51" s="665"/>
      <c r="R51" s="665"/>
      <c r="S51" s="665"/>
      <c r="T51" s="665"/>
      <c r="U51" s="665"/>
      <c r="V51" s="665"/>
      <c r="W51" s="665"/>
      <c r="X51" s="665"/>
      <c r="Y51" s="665"/>
      <c r="Z51" s="665"/>
      <c r="AA51" s="665"/>
      <c r="AB51" s="665"/>
      <c r="AC51" s="665"/>
      <c r="AD51" s="665"/>
      <c r="AE51" s="665"/>
    </row>
    <row r="52" s="1" customFormat="true" ht="15.75" hidden="false" customHeight="true" outlineLevel="0" collapsed="false">
      <c r="B52" s="665" t="s">
        <v>2223</v>
      </c>
      <c r="C52" s="665"/>
      <c r="D52" s="665"/>
      <c r="E52" s="665"/>
      <c r="F52" s="665"/>
      <c r="G52" s="665"/>
      <c r="H52" s="665"/>
      <c r="I52" s="665"/>
      <c r="J52" s="665"/>
      <c r="K52" s="665"/>
      <c r="L52" s="665"/>
      <c r="M52" s="665"/>
      <c r="N52" s="665"/>
      <c r="O52" s="665"/>
      <c r="P52" s="665"/>
      <c r="Q52" s="665"/>
      <c r="R52" s="665"/>
      <c r="S52" s="665"/>
      <c r="T52" s="665"/>
      <c r="U52" s="665"/>
      <c r="V52" s="665"/>
      <c r="W52" s="665"/>
      <c r="X52" s="665"/>
      <c r="Y52" s="665"/>
      <c r="Z52" s="665"/>
      <c r="AA52" s="665"/>
      <c r="AB52" s="665"/>
      <c r="AC52" s="665"/>
      <c r="AD52" s="665"/>
      <c r="AE52" s="665"/>
    </row>
    <row r="53" s="1" customFormat="true" ht="15.75" hidden="false" customHeight="true" outlineLevel="0" collapsed="false">
      <c r="B53" s="665"/>
      <c r="C53" s="665"/>
      <c r="D53" s="665"/>
      <c r="E53" s="665"/>
      <c r="F53" s="665"/>
      <c r="G53" s="665"/>
      <c r="H53" s="665"/>
      <c r="I53" s="665"/>
      <c r="J53" s="665"/>
      <c r="K53" s="665"/>
      <c r="L53" s="665"/>
      <c r="M53" s="665"/>
      <c r="N53" s="665"/>
      <c r="O53" s="665"/>
      <c r="P53" s="665"/>
      <c r="Q53" s="665"/>
      <c r="R53" s="665"/>
      <c r="S53" s="665"/>
      <c r="T53" s="665"/>
      <c r="U53" s="665"/>
      <c r="V53" s="665"/>
      <c r="W53" s="665"/>
      <c r="X53" s="665"/>
      <c r="Y53" s="665"/>
      <c r="Z53" s="665"/>
      <c r="AA53" s="665"/>
      <c r="AB53" s="665"/>
      <c r="AC53" s="665"/>
      <c r="AD53" s="665"/>
      <c r="AE53" s="665"/>
    </row>
    <row r="54" s="643" customFormat="true" ht="15.75" hidden="false" customHeight="true" outlineLevel="0" collapsed="false">
      <c r="A54" s="648"/>
      <c r="B54" s="665" t="s">
        <v>2224</v>
      </c>
      <c r="C54" s="665"/>
      <c r="D54" s="665"/>
      <c r="E54" s="665"/>
      <c r="F54" s="665"/>
      <c r="G54" s="665"/>
      <c r="H54" s="665"/>
      <c r="I54" s="665"/>
      <c r="J54" s="665"/>
      <c r="K54" s="665"/>
      <c r="L54" s="665"/>
      <c r="M54" s="665"/>
      <c r="N54" s="665"/>
      <c r="O54" s="665"/>
      <c r="P54" s="665"/>
      <c r="Q54" s="665"/>
      <c r="R54" s="665"/>
      <c r="S54" s="665"/>
      <c r="T54" s="665"/>
      <c r="U54" s="665"/>
      <c r="V54" s="665"/>
      <c r="W54" s="665"/>
      <c r="X54" s="665"/>
      <c r="Y54" s="665"/>
      <c r="Z54" s="665"/>
      <c r="AA54" s="665"/>
      <c r="AB54" s="665"/>
      <c r="AC54" s="665"/>
      <c r="AD54" s="665"/>
      <c r="AE54" s="665"/>
    </row>
    <row r="55" s="1" customFormat="true" ht="15.75" hidden="false" customHeight="true" outlineLevel="0" collapsed="false">
      <c r="B55" s="665"/>
      <c r="C55" s="665"/>
      <c r="D55" s="665"/>
      <c r="E55" s="665"/>
      <c r="F55" s="665"/>
      <c r="G55" s="665"/>
      <c r="H55" s="665"/>
      <c r="I55" s="665"/>
      <c r="J55" s="665"/>
      <c r="K55" s="665"/>
      <c r="L55" s="665"/>
      <c r="M55" s="665"/>
      <c r="N55" s="665"/>
      <c r="O55" s="665"/>
      <c r="P55" s="665"/>
      <c r="Q55" s="665"/>
      <c r="R55" s="665"/>
      <c r="S55" s="665"/>
      <c r="T55" s="665"/>
      <c r="U55" s="665"/>
      <c r="V55" s="665"/>
      <c r="W55" s="665"/>
      <c r="X55" s="665"/>
      <c r="Y55" s="665"/>
      <c r="Z55" s="665"/>
      <c r="AA55" s="665"/>
      <c r="AB55" s="665"/>
      <c r="AC55" s="665"/>
      <c r="AD55" s="665"/>
      <c r="AE55" s="665"/>
    </row>
    <row r="56" s="1" customFormat="true" ht="15.75" hidden="false" customHeight="true" outlineLevel="0" collapsed="false">
      <c r="B56" s="652"/>
      <c r="C56" s="652"/>
      <c r="D56" s="652"/>
      <c r="E56" s="652"/>
      <c r="F56" s="652"/>
      <c r="G56" s="652"/>
      <c r="H56" s="652"/>
      <c r="I56" s="652"/>
      <c r="J56" s="652"/>
      <c r="K56" s="652"/>
      <c r="L56" s="652"/>
      <c r="M56" s="652"/>
      <c r="N56" s="652"/>
      <c r="O56" s="652"/>
      <c r="P56" s="652"/>
      <c r="Q56" s="652"/>
      <c r="R56" s="652"/>
      <c r="S56" s="652"/>
      <c r="T56" s="652"/>
      <c r="U56" s="652"/>
      <c r="V56" s="652"/>
      <c r="W56" s="652"/>
      <c r="X56" s="652"/>
      <c r="Y56" s="652"/>
      <c r="Z56" s="652"/>
      <c r="AA56" s="652"/>
      <c r="AB56" s="652"/>
      <c r="AC56" s="652"/>
      <c r="AD56" s="652"/>
      <c r="AE56" s="652"/>
    </row>
    <row r="57" s="1" customFormat="true" ht="15.75" hidden="false" customHeight="true" outlineLevel="0" collapsed="false">
      <c r="B57" s="652"/>
      <c r="C57" s="652"/>
      <c r="D57" s="652"/>
      <c r="E57" s="652"/>
      <c r="F57" s="652"/>
      <c r="G57" s="652"/>
      <c r="H57" s="652"/>
      <c r="I57" s="652"/>
      <c r="J57" s="652"/>
      <c r="K57" s="652"/>
      <c r="L57" s="652"/>
      <c r="M57" s="652"/>
      <c r="N57" s="652"/>
      <c r="O57" s="652"/>
      <c r="P57" s="652"/>
      <c r="Q57" s="652"/>
      <c r="R57" s="652"/>
      <c r="S57" s="652"/>
      <c r="T57" s="652"/>
      <c r="U57" s="652"/>
      <c r="V57" s="652"/>
      <c r="W57" s="652"/>
      <c r="X57" s="652"/>
      <c r="Y57" s="652"/>
      <c r="Z57" s="652"/>
      <c r="AA57" s="652"/>
      <c r="AB57" s="652"/>
      <c r="AC57" s="652"/>
      <c r="AD57" s="652"/>
      <c r="AE57" s="652"/>
    </row>
    <row r="58" s="1" customFormat="true" ht="15.75" hidden="false" customHeight="true" outlineLevel="0" collapsed="false">
      <c r="B58" s="653" t="s">
        <v>2225</v>
      </c>
      <c r="C58" s="652"/>
      <c r="D58" s="652"/>
      <c r="E58" s="652"/>
      <c r="F58" s="652"/>
      <c r="G58" s="652"/>
      <c r="H58" s="652"/>
      <c r="I58" s="652"/>
      <c r="J58" s="652"/>
      <c r="K58" s="652"/>
      <c r="L58" s="652"/>
      <c r="M58" s="652"/>
      <c r="N58" s="652"/>
      <c r="O58" s="652"/>
      <c r="P58" s="652"/>
      <c r="Q58" s="652"/>
      <c r="R58" s="652"/>
      <c r="S58" s="652"/>
      <c r="T58" s="652"/>
      <c r="U58" s="652"/>
      <c r="V58" s="652"/>
      <c r="W58" s="652"/>
      <c r="X58" s="652"/>
      <c r="Y58" s="652"/>
      <c r="Z58" s="652"/>
      <c r="AA58" s="652"/>
      <c r="AB58" s="652"/>
      <c r="AC58" s="652"/>
      <c r="AD58" s="652"/>
      <c r="AE58" s="652"/>
    </row>
    <row r="59" s="1" customFormat="true" ht="15.75" hidden="false" customHeight="true" outlineLevel="0" collapsed="false">
      <c r="B59" s="655" t="s">
        <v>2213</v>
      </c>
      <c r="C59" s="655"/>
      <c r="D59" s="655"/>
      <c r="E59" s="655"/>
      <c r="F59" s="655"/>
      <c r="G59" s="655"/>
      <c r="H59" s="656" t="s">
        <v>2226</v>
      </c>
      <c r="I59" s="656"/>
      <c r="J59" s="656"/>
      <c r="K59" s="656"/>
      <c r="L59" s="655" t="s">
        <v>2216</v>
      </c>
      <c r="M59" s="655"/>
      <c r="N59" s="655"/>
      <c r="O59" s="655"/>
      <c r="P59" s="655"/>
      <c r="Q59" s="656" t="s">
        <v>2227</v>
      </c>
      <c r="R59" s="656"/>
      <c r="S59" s="656"/>
      <c r="T59" s="656"/>
      <c r="U59" s="655" t="s">
        <v>2228</v>
      </c>
      <c r="V59" s="655"/>
      <c r="W59" s="655"/>
      <c r="X59" s="655"/>
      <c r="Y59" s="655"/>
      <c r="Z59" s="652"/>
      <c r="AA59" s="652"/>
      <c r="AB59" s="652"/>
      <c r="AC59" s="652"/>
      <c r="AD59" s="652"/>
      <c r="AE59" s="652"/>
    </row>
    <row r="60" s="1" customFormat="true" ht="24" hidden="false" customHeight="true" outlineLevel="0" collapsed="false">
      <c r="B60" s="666" t="s">
        <v>2229</v>
      </c>
      <c r="C60" s="666"/>
      <c r="D60" s="666"/>
      <c r="E60" s="666"/>
      <c r="F60" s="666"/>
      <c r="G60" s="666"/>
      <c r="H60" s="667" t="n">
        <v>1</v>
      </c>
      <c r="I60" s="667"/>
      <c r="J60" s="667"/>
      <c r="K60" s="667"/>
      <c r="L60" s="668" t="n">
        <v>60</v>
      </c>
      <c r="M60" s="668"/>
      <c r="N60" s="668"/>
      <c r="O60" s="668"/>
      <c r="P60" s="668"/>
      <c r="Q60" s="669" t="n">
        <v>1.33</v>
      </c>
      <c r="R60" s="669"/>
      <c r="S60" s="669"/>
      <c r="T60" s="669"/>
      <c r="U60" s="670" t="n">
        <f aca="false">H60*L60*Q60</f>
        <v>79.8</v>
      </c>
      <c r="V60" s="670"/>
      <c r="W60" s="670"/>
      <c r="X60" s="670"/>
      <c r="Y60" s="670"/>
      <c r="Z60" s="652"/>
      <c r="AA60" s="652"/>
      <c r="AB60" s="652"/>
      <c r="AC60" s="652"/>
      <c r="AD60" s="652"/>
      <c r="AE60" s="652"/>
    </row>
    <row r="61" s="1" customFormat="true" ht="15.75" hidden="false" customHeight="true" outlineLevel="0" collapsed="false">
      <c r="B61" s="666" t="s">
        <v>2230</v>
      </c>
      <c r="C61" s="666"/>
      <c r="D61" s="666"/>
      <c r="E61" s="666"/>
      <c r="F61" s="666"/>
      <c r="G61" s="666"/>
      <c r="H61" s="666" t="s">
        <v>2219</v>
      </c>
      <c r="I61" s="666"/>
      <c r="J61" s="666"/>
      <c r="K61" s="666"/>
      <c r="L61" s="671" t="n">
        <v>450</v>
      </c>
      <c r="M61" s="671"/>
      <c r="N61" s="671"/>
      <c r="O61" s="671"/>
      <c r="P61" s="671"/>
      <c r="Q61" s="669"/>
      <c r="R61" s="669"/>
      <c r="S61" s="669"/>
      <c r="T61" s="669"/>
      <c r="U61" s="670" t="n">
        <f aca="false">L61*Q60</f>
        <v>598.5</v>
      </c>
      <c r="V61" s="670"/>
      <c r="W61" s="670"/>
      <c r="X61" s="670"/>
      <c r="Y61" s="670"/>
      <c r="Z61" s="652"/>
      <c r="AA61" s="652"/>
      <c r="AB61" s="652"/>
      <c r="AC61" s="652"/>
      <c r="AD61" s="652"/>
      <c r="AE61" s="652"/>
    </row>
    <row r="62" s="643" customFormat="true" ht="15.75" hidden="false" customHeight="true" outlineLevel="0" collapsed="false">
      <c r="B62" s="666" t="s">
        <v>2231</v>
      </c>
      <c r="C62" s="666"/>
      <c r="D62" s="666"/>
      <c r="E62" s="666"/>
      <c r="F62" s="666"/>
      <c r="G62" s="666"/>
      <c r="H62" s="672" t="n">
        <v>30</v>
      </c>
      <c r="I62" s="672"/>
      <c r="J62" s="672"/>
      <c r="K62" s="672"/>
      <c r="L62" s="673" t="n">
        <v>6</v>
      </c>
      <c r="M62" s="673"/>
      <c r="N62" s="673"/>
      <c r="O62" s="673"/>
      <c r="P62" s="673"/>
      <c r="Q62" s="669"/>
      <c r="R62" s="669"/>
      <c r="S62" s="669"/>
      <c r="T62" s="669"/>
      <c r="U62" s="670" t="n">
        <f aca="false">H62*L62*Q60</f>
        <v>239.4</v>
      </c>
      <c r="V62" s="670"/>
      <c r="W62" s="670"/>
      <c r="X62" s="670"/>
      <c r="Y62" s="670"/>
      <c r="Z62" s="652"/>
      <c r="AA62" s="652"/>
      <c r="AB62" s="652"/>
      <c r="AC62" s="652"/>
      <c r="AD62" s="652"/>
      <c r="AE62" s="652"/>
    </row>
    <row r="63" s="643" customFormat="true" ht="15.75" hidden="false" customHeight="true" outlineLevel="0" collapsed="false">
      <c r="B63" s="666" t="s">
        <v>2232</v>
      </c>
      <c r="C63" s="666"/>
      <c r="D63" s="666"/>
      <c r="E63" s="666"/>
      <c r="F63" s="666"/>
      <c r="G63" s="666"/>
      <c r="H63" s="672" t="n">
        <v>30</v>
      </c>
      <c r="I63" s="672"/>
      <c r="J63" s="672"/>
      <c r="K63" s="672"/>
      <c r="L63" s="674" t="n">
        <v>1.5</v>
      </c>
      <c r="M63" s="674"/>
      <c r="N63" s="674"/>
      <c r="O63" s="674"/>
      <c r="P63" s="674"/>
      <c r="Q63" s="669"/>
      <c r="R63" s="669"/>
      <c r="S63" s="669"/>
      <c r="T63" s="669"/>
      <c r="U63" s="670" t="n">
        <f aca="false">H63*L63*Q60</f>
        <v>59.85</v>
      </c>
      <c r="V63" s="670"/>
      <c r="W63" s="670"/>
      <c r="X63" s="670"/>
      <c r="Y63" s="670"/>
      <c r="Z63" s="652"/>
      <c r="AA63" s="652"/>
      <c r="AB63" s="652"/>
      <c r="AC63" s="652"/>
      <c r="AD63" s="652"/>
      <c r="AE63" s="652"/>
    </row>
    <row r="64" s="643" customFormat="true" ht="15.75" hidden="false" customHeight="true" outlineLevel="0" collapsed="false">
      <c r="B64" s="666" t="s">
        <v>2233</v>
      </c>
      <c r="C64" s="666"/>
      <c r="D64" s="666"/>
      <c r="E64" s="666"/>
      <c r="F64" s="666"/>
      <c r="G64" s="666"/>
      <c r="H64" s="657" t="s">
        <v>2219</v>
      </c>
      <c r="I64" s="657"/>
      <c r="J64" s="657"/>
      <c r="K64" s="657"/>
      <c r="L64" s="675" t="n">
        <v>400</v>
      </c>
      <c r="M64" s="675"/>
      <c r="N64" s="675"/>
      <c r="O64" s="675"/>
      <c r="P64" s="675"/>
      <c r="Q64" s="669"/>
      <c r="R64" s="669"/>
      <c r="S64" s="669"/>
      <c r="T64" s="669"/>
      <c r="U64" s="675" t="n">
        <f aca="false">L64</f>
        <v>400</v>
      </c>
      <c r="V64" s="675"/>
      <c r="W64" s="675"/>
      <c r="X64" s="675"/>
      <c r="Y64" s="675"/>
      <c r="Z64" s="652"/>
      <c r="AA64" s="652"/>
      <c r="AB64" s="652"/>
      <c r="AC64" s="652"/>
      <c r="AD64" s="652"/>
      <c r="AE64" s="652"/>
    </row>
    <row r="65" s="643" customFormat="true" ht="15.75" hidden="false" customHeight="true" outlineLevel="0" collapsed="false">
      <c r="B65" s="666"/>
      <c r="C65" s="666"/>
      <c r="D65" s="666"/>
      <c r="E65" s="666"/>
      <c r="F65" s="666"/>
      <c r="G65" s="666"/>
      <c r="H65" s="657"/>
      <c r="I65" s="657"/>
      <c r="J65" s="657"/>
      <c r="K65" s="657"/>
      <c r="L65" s="675"/>
      <c r="M65" s="675"/>
      <c r="N65" s="675"/>
      <c r="O65" s="675"/>
      <c r="P65" s="675"/>
      <c r="Q65" s="669"/>
      <c r="R65" s="669"/>
      <c r="S65" s="669"/>
      <c r="T65" s="669"/>
      <c r="U65" s="675"/>
      <c r="V65" s="675"/>
      <c r="W65" s="675"/>
      <c r="X65" s="675"/>
      <c r="Y65" s="675"/>
      <c r="Z65" s="652"/>
      <c r="AA65" s="652"/>
      <c r="AB65" s="652"/>
      <c r="AC65" s="652"/>
      <c r="AD65" s="652"/>
      <c r="AE65" s="652"/>
    </row>
    <row r="66" s="643" customFormat="true" ht="15.75" hidden="false" customHeight="true" outlineLevel="0" collapsed="false">
      <c r="B66" s="676" t="s">
        <v>2234</v>
      </c>
      <c r="C66" s="676"/>
      <c r="D66" s="676"/>
      <c r="E66" s="676"/>
      <c r="F66" s="676"/>
      <c r="G66" s="676"/>
      <c r="H66" s="677" t="s">
        <v>2219</v>
      </c>
      <c r="I66" s="677"/>
      <c r="J66" s="677"/>
      <c r="K66" s="677"/>
      <c r="L66" s="662" t="n">
        <f aca="false">28*(22+(3/12))</f>
        <v>623</v>
      </c>
      <c r="M66" s="662"/>
      <c r="N66" s="662"/>
      <c r="O66" s="662"/>
      <c r="P66" s="662"/>
      <c r="Q66" s="669"/>
      <c r="R66" s="669"/>
      <c r="S66" s="669"/>
      <c r="T66" s="669"/>
      <c r="U66" s="670" t="n">
        <f aca="false">L66</f>
        <v>623</v>
      </c>
      <c r="V66" s="670"/>
      <c r="W66" s="670"/>
      <c r="X66" s="670"/>
      <c r="Y66" s="670"/>
      <c r="Z66" s="652"/>
      <c r="AA66" s="652"/>
      <c r="AB66" s="652"/>
      <c r="AC66" s="652"/>
      <c r="AD66" s="652"/>
      <c r="AE66" s="652"/>
    </row>
    <row r="67" s="643" customFormat="true" ht="15.75" hidden="false" customHeight="true" outlineLevel="0" collapsed="false">
      <c r="B67" s="652"/>
      <c r="C67" s="652"/>
      <c r="D67" s="652"/>
      <c r="E67" s="652"/>
      <c r="F67" s="652"/>
      <c r="G67" s="652"/>
      <c r="H67" s="652"/>
      <c r="I67" s="652"/>
      <c r="J67" s="652"/>
      <c r="K67" s="652"/>
      <c r="L67" s="652"/>
      <c r="M67" s="652"/>
      <c r="N67" s="652"/>
      <c r="O67" s="652"/>
      <c r="P67" s="652"/>
      <c r="Q67" s="663" t="s">
        <v>2221</v>
      </c>
      <c r="R67" s="663"/>
      <c r="S67" s="663"/>
      <c r="T67" s="663"/>
      <c r="U67" s="664" t="n">
        <f aca="false">SUM(U60:Y65)</f>
        <v>1377.55</v>
      </c>
      <c r="V67" s="664"/>
      <c r="W67" s="664"/>
      <c r="X67" s="664"/>
      <c r="Y67" s="652"/>
      <c r="Z67" s="652"/>
      <c r="AA67" s="652"/>
      <c r="AB67" s="652"/>
      <c r="AC67" s="652"/>
      <c r="AD67" s="652"/>
      <c r="AE67" s="652"/>
    </row>
    <row r="68" s="643" customFormat="true" ht="15.75" hidden="false" customHeight="true" outlineLevel="0" collapsed="false">
      <c r="B68" s="652"/>
      <c r="C68" s="652"/>
      <c r="D68" s="652"/>
      <c r="E68" s="652"/>
      <c r="F68" s="652"/>
      <c r="G68" s="652"/>
      <c r="H68" s="652"/>
      <c r="I68" s="652"/>
      <c r="J68" s="652"/>
      <c r="K68" s="652"/>
      <c r="L68" s="652"/>
      <c r="M68" s="652"/>
      <c r="N68" s="652"/>
      <c r="O68" s="652"/>
      <c r="P68" s="652"/>
      <c r="Q68" s="652"/>
      <c r="R68" s="652"/>
      <c r="S68" s="652"/>
      <c r="T68" s="652"/>
      <c r="U68" s="652"/>
      <c r="V68" s="652"/>
      <c r="W68" s="652"/>
      <c r="X68" s="652"/>
      <c r="Y68" s="652"/>
      <c r="Z68" s="652"/>
      <c r="AA68" s="652"/>
      <c r="AB68" s="652"/>
      <c r="AC68" s="652"/>
      <c r="AD68" s="652"/>
      <c r="AE68" s="652"/>
    </row>
    <row r="69" s="643" customFormat="true" ht="15.75" hidden="false" customHeight="true" outlineLevel="0" collapsed="false">
      <c r="B69" s="665" t="s">
        <v>2235</v>
      </c>
      <c r="C69" s="665"/>
      <c r="D69" s="665"/>
      <c r="E69" s="665"/>
      <c r="F69" s="665"/>
      <c r="G69" s="665"/>
      <c r="H69" s="665"/>
      <c r="I69" s="665"/>
      <c r="J69" s="665"/>
      <c r="K69" s="665"/>
      <c r="L69" s="665"/>
      <c r="M69" s="665"/>
      <c r="N69" s="665"/>
      <c r="O69" s="665"/>
      <c r="P69" s="665"/>
      <c r="Q69" s="665"/>
      <c r="R69" s="665"/>
      <c r="S69" s="665"/>
      <c r="T69" s="665"/>
      <c r="U69" s="665"/>
      <c r="V69" s="665"/>
      <c r="W69" s="665"/>
      <c r="X69" s="665"/>
      <c r="Y69" s="665"/>
      <c r="Z69" s="665"/>
      <c r="AA69" s="665"/>
      <c r="AB69" s="665"/>
      <c r="AC69" s="665"/>
      <c r="AD69" s="665"/>
      <c r="AE69" s="665"/>
    </row>
    <row r="70" s="678" customFormat="true" ht="15.75" hidden="false" customHeight="true" outlineLevel="0" collapsed="false">
      <c r="B70" s="665"/>
      <c r="C70" s="665"/>
      <c r="D70" s="665"/>
      <c r="E70" s="665"/>
      <c r="F70" s="665"/>
      <c r="G70" s="665"/>
      <c r="H70" s="665"/>
      <c r="I70" s="665"/>
      <c r="J70" s="665"/>
      <c r="K70" s="665"/>
      <c r="L70" s="665"/>
      <c r="M70" s="665"/>
      <c r="N70" s="665"/>
      <c r="O70" s="665"/>
      <c r="P70" s="665"/>
      <c r="Q70" s="665"/>
      <c r="R70" s="665"/>
      <c r="S70" s="665"/>
      <c r="T70" s="665"/>
      <c r="U70" s="665"/>
      <c r="V70" s="665"/>
      <c r="W70" s="665"/>
      <c r="X70" s="665"/>
      <c r="Y70" s="665"/>
      <c r="Z70" s="665"/>
      <c r="AA70" s="665"/>
      <c r="AB70" s="665"/>
      <c r="AC70" s="665"/>
      <c r="AD70" s="665"/>
      <c r="AE70" s="665"/>
    </row>
    <row r="71" s="643" customFormat="true" ht="15.75" hidden="false" customHeight="true" outlineLevel="0" collapsed="false">
      <c r="B71" s="665" t="s">
        <v>2236</v>
      </c>
      <c r="C71" s="665"/>
      <c r="D71" s="665"/>
      <c r="E71" s="665"/>
      <c r="F71" s="665"/>
      <c r="G71" s="665"/>
      <c r="H71" s="665"/>
      <c r="I71" s="665"/>
      <c r="J71" s="665"/>
      <c r="K71" s="665"/>
      <c r="L71" s="665"/>
      <c r="M71" s="665"/>
      <c r="N71" s="665"/>
      <c r="O71" s="665"/>
      <c r="P71" s="665"/>
      <c r="Q71" s="665"/>
      <c r="R71" s="665"/>
      <c r="S71" s="665"/>
      <c r="T71" s="665"/>
      <c r="U71" s="665"/>
      <c r="V71" s="665"/>
      <c r="W71" s="665"/>
      <c r="X71" s="665"/>
      <c r="Y71" s="665"/>
      <c r="Z71" s="665"/>
      <c r="AA71" s="665"/>
      <c r="AB71" s="665"/>
      <c r="AC71" s="665"/>
      <c r="AD71" s="665"/>
      <c r="AE71" s="665"/>
    </row>
    <row r="72" s="643" customFormat="true" ht="15.75" hidden="false" customHeight="true" outlineLevel="0" collapsed="false">
      <c r="B72" s="665"/>
      <c r="C72" s="665"/>
      <c r="D72" s="665"/>
      <c r="E72" s="665"/>
      <c r="F72" s="665"/>
      <c r="G72" s="665"/>
      <c r="H72" s="665"/>
      <c r="I72" s="665"/>
      <c r="J72" s="665"/>
      <c r="K72" s="665"/>
      <c r="L72" s="665"/>
      <c r="M72" s="665"/>
      <c r="N72" s="665"/>
      <c r="O72" s="665"/>
      <c r="P72" s="665"/>
      <c r="Q72" s="665"/>
      <c r="R72" s="665"/>
      <c r="S72" s="665"/>
      <c r="T72" s="665"/>
      <c r="U72" s="665"/>
      <c r="V72" s="665"/>
      <c r="W72" s="665"/>
      <c r="X72" s="665"/>
      <c r="Y72" s="665"/>
      <c r="Z72" s="665"/>
      <c r="AA72" s="665"/>
      <c r="AB72" s="665"/>
      <c r="AC72" s="665"/>
      <c r="AD72" s="665"/>
      <c r="AE72" s="665"/>
    </row>
    <row r="73" s="643" customFormat="true" ht="15.75" hidden="false" customHeight="true" outlineLevel="0" collapsed="false">
      <c r="B73" s="652"/>
      <c r="C73" s="652"/>
      <c r="D73" s="652"/>
      <c r="E73" s="652"/>
      <c r="F73" s="652"/>
      <c r="G73" s="652"/>
      <c r="H73" s="652"/>
      <c r="I73" s="652"/>
      <c r="J73" s="652"/>
      <c r="K73" s="652"/>
      <c r="L73" s="652"/>
      <c r="M73" s="652"/>
      <c r="N73" s="652"/>
      <c r="O73" s="652"/>
      <c r="P73" s="652"/>
      <c r="Q73" s="652"/>
      <c r="R73" s="652"/>
      <c r="S73" s="652"/>
      <c r="T73" s="652"/>
      <c r="U73" s="652"/>
      <c r="V73" s="652"/>
      <c r="W73" s="652"/>
      <c r="X73" s="652"/>
      <c r="Y73" s="652"/>
      <c r="Z73" s="652"/>
      <c r="AA73" s="652"/>
      <c r="AB73" s="652"/>
      <c r="AC73" s="652"/>
      <c r="AD73" s="652"/>
      <c r="AE73" s="652"/>
    </row>
    <row r="74" s="643" customFormat="true" ht="15.75" hidden="false" customHeight="true" outlineLevel="0" collapsed="false">
      <c r="B74" s="652"/>
      <c r="C74" s="652"/>
      <c r="D74" s="652"/>
      <c r="E74" s="652"/>
      <c r="F74" s="652"/>
      <c r="G74" s="652"/>
      <c r="H74" s="652"/>
      <c r="I74" s="652"/>
      <c r="J74" s="652"/>
      <c r="K74" s="652"/>
      <c r="L74" s="652"/>
      <c r="M74" s="652"/>
      <c r="N74" s="652"/>
      <c r="O74" s="652"/>
      <c r="P74" s="652"/>
      <c r="Q74" s="652"/>
      <c r="R74" s="652"/>
      <c r="S74" s="652"/>
      <c r="T74" s="652"/>
      <c r="U74" s="652"/>
      <c r="V74" s="652"/>
      <c r="W74" s="652"/>
      <c r="X74" s="652"/>
      <c r="Y74" s="652"/>
      <c r="Z74" s="652"/>
      <c r="AA74" s="652"/>
      <c r="AB74" s="652"/>
      <c r="AC74" s="652"/>
      <c r="AD74" s="652"/>
      <c r="AE74" s="652"/>
    </row>
    <row r="75" s="643" customFormat="true" ht="15.75" hidden="false" customHeight="true" outlineLevel="0" collapsed="false">
      <c r="B75" s="652"/>
      <c r="C75" s="652"/>
      <c r="D75" s="652"/>
      <c r="E75" s="652"/>
      <c r="F75" s="652"/>
      <c r="G75" s="652"/>
      <c r="H75" s="652"/>
      <c r="I75" s="652"/>
      <c r="J75" s="652"/>
      <c r="K75" s="652"/>
      <c r="L75" s="652"/>
      <c r="M75" s="652"/>
      <c r="N75" s="652"/>
      <c r="O75" s="652"/>
      <c r="P75" s="652"/>
      <c r="Q75" s="652"/>
      <c r="R75" s="652"/>
      <c r="S75" s="652"/>
      <c r="T75" s="652"/>
      <c r="U75" s="652"/>
      <c r="V75" s="652"/>
      <c r="W75" s="652"/>
      <c r="X75" s="652"/>
      <c r="Y75" s="652"/>
      <c r="Z75" s="652"/>
      <c r="AA75" s="652"/>
      <c r="AB75" s="652"/>
      <c r="AC75" s="652"/>
      <c r="AD75" s="652"/>
      <c r="AE75" s="652"/>
    </row>
    <row r="76" s="643" customFormat="true" ht="15.75" hidden="false" customHeight="true" outlineLevel="0" collapsed="false">
      <c r="B76" s="652"/>
      <c r="C76" s="652"/>
      <c r="D76" s="652"/>
      <c r="E76" s="652"/>
      <c r="F76" s="652"/>
      <c r="G76" s="652"/>
      <c r="H76" s="652"/>
      <c r="I76" s="652"/>
      <c r="J76" s="652"/>
      <c r="K76" s="652"/>
      <c r="L76" s="652"/>
      <c r="M76" s="652"/>
      <c r="N76" s="652"/>
      <c r="O76" s="652"/>
      <c r="P76" s="652"/>
      <c r="Q76" s="652"/>
      <c r="R76" s="652"/>
      <c r="S76" s="652"/>
      <c r="T76" s="652"/>
      <c r="U76" s="652"/>
      <c r="V76" s="652"/>
      <c r="W76" s="652"/>
      <c r="X76" s="652"/>
      <c r="Y76" s="652"/>
      <c r="Z76" s="652"/>
      <c r="AA76" s="652"/>
      <c r="AB76" s="652"/>
      <c r="AC76" s="652"/>
      <c r="AD76" s="652"/>
      <c r="AE76" s="652"/>
    </row>
    <row r="77" s="643" customFormat="true" ht="15.75" hidden="false" customHeight="true" outlineLevel="0" collapsed="false">
      <c r="B77" s="652"/>
      <c r="C77" s="652"/>
      <c r="D77" s="652"/>
      <c r="E77" s="652"/>
      <c r="F77" s="652"/>
      <c r="G77" s="652"/>
      <c r="H77" s="652"/>
      <c r="I77" s="652"/>
      <c r="J77" s="652"/>
      <c r="K77" s="652"/>
      <c r="L77" s="652"/>
      <c r="M77" s="652"/>
      <c r="N77" s="652"/>
      <c r="O77" s="652"/>
      <c r="P77" s="652"/>
      <c r="Q77" s="652"/>
      <c r="R77" s="652"/>
      <c r="S77" s="652"/>
      <c r="T77" s="652"/>
      <c r="U77" s="652"/>
      <c r="V77" s="652"/>
      <c r="W77" s="652"/>
      <c r="X77" s="652"/>
      <c r="Y77" s="652"/>
      <c r="Z77" s="652"/>
      <c r="AA77" s="652"/>
      <c r="AB77" s="652"/>
      <c r="AC77" s="652"/>
      <c r="AD77" s="652"/>
      <c r="AE77" s="652"/>
    </row>
    <row r="78" s="643" customFormat="true" ht="15.75" hidden="false" customHeight="true" outlineLevel="0" collapsed="false">
      <c r="B78" s="652"/>
      <c r="C78" s="652"/>
      <c r="D78" s="652"/>
      <c r="E78" s="652"/>
      <c r="F78" s="652"/>
      <c r="G78" s="652"/>
      <c r="H78" s="652"/>
      <c r="I78" s="652"/>
      <c r="J78" s="652"/>
      <c r="K78" s="652"/>
      <c r="L78" s="652"/>
      <c r="M78" s="652"/>
      <c r="N78" s="652"/>
      <c r="O78" s="652"/>
      <c r="P78" s="652"/>
      <c r="Q78" s="652"/>
      <c r="R78" s="652"/>
      <c r="S78" s="652"/>
      <c r="T78" s="652"/>
      <c r="U78" s="652"/>
      <c r="V78" s="652"/>
      <c r="W78" s="652"/>
      <c r="X78" s="652"/>
      <c r="Y78" s="652"/>
      <c r="Z78" s="652"/>
      <c r="AA78" s="652"/>
      <c r="AB78" s="652"/>
      <c r="AC78" s="652"/>
      <c r="AD78" s="652"/>
      <c r="AE78" s="652"/>
    </row>
    <row r="79" s="643" customFormat="true" ht="15.75" hidden="false" customHeight="true" outlineLevel="0" collapsed="false">
      <c r="B79" s="652"/>
      <c r="C79" s="652"/>
      <c r="D79" s="652"/>
      <c r="E79" s="652"/>
      <c r="F79" s="652"/>
      <c r="G79" s="652"/>
      <c r="H79" s="652"/>
      <c r="I79" s="652"/>
      <c r="J79" s="652"/>
      <c r="K79" s="652"/>
      <c r="L79" s="652"/>
      <c r="M79" s="652"/>
      <c r="N79" s="652"/>
      <c r="O79" s="652"/>
      <c r="P79" s="652"/>
      <c r="Q79" s="652"/>
      <c r="R79" s="652"/>
      <c r="S79" s="652"/>
      <c r="T79" s="652"/>
      <c r="U79" s="652"/>
      <c r="V79" s="652"/>
      <c r="W79" s="652"/>
      <c r="X79" s="652"/>
      <c r="Y79" s="652"/>
      <c r="Z79" s="652"/>
      <c r="AA79" s="652"/>
      <c r="AB79" s="652"/>
      <c r="AC79" s="652"/>
      <c r="AD79" s="652"/>
      <c r="AE79" s="652"/>
    </row>
    <row r="80" s="643" customFormat="true" ht="15.75" hidden="false" customHeight="true" outlineLevel="0" collapsed="false">
      <c r="B80" s="652"/>
      <c r="C80" s="652"/>
      <c r="D80" s="652"/>
      <c r="E80" s="652"/>
      <c r="F80" s="652"/>
      <c r="G80" s="652"/>
      <c r="H80" s="652"/>
      <c r="I80" s="652"/>
      <c r="J80" s="652"/>
      <c r="K80" s="652"/>
      <c r="L80" s="652"/>
      <c r="M80" s="652"/>
      <c r="N80" s="652"/>
      <c r="O80" s="652"/>
      <c r="P80" s="652"/>
      <c r="Q80" s="652"/>
      <c r="R80" s="652"/>
      <c r="S80" s="652"/>
      <c r="T80" s="652"/>
      <c r="U80" s="652"/>
      <c r="V80" s="652"/>
      <c r="W80" s="652"/>
      <c r="X80" s="652"/>
      <c r="Y80" s="652"/>
      <c r="Z80" s="652"/>
      <c r="AA80" s="652"/>
      <c r="AB80" s="652"/>
      <c r="AC80" s="652"/>
      <c r="AD80" s="652"/>
      <c r="AE80" s="652"/>
    </row>
    <row r="81" s="643" customFormat="true" ht="15.75" hidden="false" customHeight="true" outlineLevel="0" collapsed="false">
      <c r="B81" s="652"/>
      <c r="C81" s="652"/>
      <c r="D81" s="652"/>
      <c r="E81" s="652"/>
      <c r="F81" s="652"/>
      <c r="G81" s="652"/>
      <c r="H81" s="652"/>
      <c r="I81" s="652"/>
      <c r="J81" s="652"/>
      <c r="K81" s="652"/>
      <c r="L81" s="652"/>
      <c r="M81" s="652"/>
      <c r="N81" s="652"/>
      <c r="O81" s="652"/>
      <c r="P81" s="652"/>
      <c r="Q81" s="652"/>
      <c r="R81" s="652"/>
      <c r="S81" s="652"/>
      <c r="T81" s="652"/>
      <c r="U81" s="652"/>
      <c r="V81" s="652"/>
      <c r="W81" s="652"/>
      <c r="X81" s="652"/>
      <c r="Y81" s="652"/>
      <c r="Z81" s="652"/>
      <c r="AA81" s="652"/>
      <c r="AB81" s="652"/>
      <c r="AC81" s="652"/>
      <c r="AD81" s="652"/>
      <c r="AE81" s="652"/>
    </row>
    <row r="82" s="643" customFormat="true" ht="15.75" hidden="false" customHeight="true" outlineLevel="0" collapsed="false">
      <c r="B82" s="652"/>
      <c r="C82" s="652"/>
      <c r="D82" s="652"/>
      <c r="E82" s="652"/>
      <c r="F82" s="652"/>
      <c r="G82" s="652"/>
      <c r="H82" s="652"/>
      <c r="I82" s="652"/>
      <c r="J82" s="652"/>
      <c r="K82" s="652"/>
      <c r="L82" s="652"/>
      <c r="M82" s="652"/>
      <c r="N82" s="652"/>
      <c r="O82" s="652"/>
      <c r="P82" s="652"/>
      <c r="Q82" s="652"/>
      <c r="R82" s="652"/>
      <c r="S82" s="652"/>
      <c r="T82" s="652"/>
      <c r="U82" s="652"/>
      <c r="V82" s="652"/>
      <c r="W82" s="652"/>
      <c r="X82" s="652"/>
      <c r="Y82" s="652"/>
      <c r="Z82" s="652"/>
      <c r="AA82" s="652"/>
      <c r="AB82" s="652"/>
      <c r="AC82" s="652"/>
      <c r="AD82" s="652"/>
      <c r="AE82" s="652"/>
    </row>
    <row r="83" s="643" customFormat="true" ht="15.75" hidden="false" customHeight="true" outlineLevel="0" collapsed="false">
      <c r="B83" s="652"/>
      <c r="C83" s="652"/>
      <c r="D83" s="652"/>
      <c r="E83" s="652"/>
      <c r="F83" s="652"/>
      <c r="G83" s="652"/>
      <c r="H83" s="652"/>
      <c r="I83" s="652"/>
      <c r="J83" s="652"/>
      <c r="K83" s="652"/>
      <c r="L83" s="652"/>
      <c r="M83" s="652"/>
      <c r="N83" s="652"/>
      <c r="O83" s="652"/>
      <c r="P83" s="652"/>
      <c r="Q83" s="652"/>
      <c r="R83" s="652"/>
      <c r="S83" s="652"/>
      <c r="T83" s="652"/>
      <c r="U83" s="652"/>
      <c r="V83" s="652"/>
      <c r="W83" s="652"/>
      <c r="X83" s="652"/>
      <c r="Y83" s="652"/>
      <c r="Z83" s="652"/>
      <c r="AA83" s="652"/>
      <c r="AB83" s="652"/>
      <c r="AC83" s="652"/>
      <c r="AD83" s="652"/>
      <c r="AE83" s="652"/>
    </row>
    <row r="84" s="643" customFormat="true" ht="15.75" hidden="false" customHeight="true" outlineLevel="0" collapsed="false">
      <c r="B84" s="652"/>
      <c r="C84" s="652"/>
      <c r="D84" s="652"/>
      <c r="E84" s="652"/>
      <c r="F84" s="652"/>
      <c r="G84" s="652"/>
      <c r="H84" s="652"/>
      <c r="I84" s="652"/>
      <c r="J84" s="652"/>
      <c r="K84" s="652"/>
      <c r="L84" s="652"/>
      <c r="M84" s="652"/>
      <c r="N84" s="652"/>
      <c r="O84" s="652"/>
      <c r="P84" s="652"/>
      <c r="Q84" s="652"/>
      <c r="R84" s="652"/>
      <c r="S84" s="652"/>
      <c r="T84" s="652"/>
      <c r="U84" s="652"/>
      <c r="V84" s="652"/>
      <c r="W84" s="652"/>
      <c r="X84" s="652"/>
      <c r="Y84" s="652"/>
      <c r="Z84" s="652"/>
      <c r="AA84" s="652"/>
      <c r="AB84" s="652"/>
      <c r="AC84" s="652"/>
      <c r="AD84" s="652"/>
      <c r="AE84" s="652"/>
    </row>
    <row r="85" s="643" customFormat="true" ht="15.75" hidden="false" customHeight="true" outlineLevel="0" collapsed="false">
      <c r="B85" s="652"/>
      <c r="C85" s="652"/>
      <c r="D85" s="652"/>
      <c r="E85" s="652"/>
      <c r="F85" s="652"/>
      <c r="G85" s="652"/>
      <c r="H85" s="652"/>
      <c r="I85" s="652"/>
      <c r="J85" s="652"/>
      <c r="K85" s="652"/>
      <c r="L85" s="652"/>
      <c r="M85" s="652"/>
      <c r="N85" s="652"/>
      <c r="O85" s="652"/>
      <c r="P85" s="652"/>
      <c r="Q85" s="652"/>
      <c r="R85" s="652"/>
      <c r="S85" s="652"/>
      <c r="T85" s="652"/>
      <c r="U85" s="652"/>
      <c r="V85" s="652"/>
      <c r="W85" s="652"/>
      <c r="X85" s="652"/>
      <c r="Y85" s="652"/>
      <c r="Z85" s="652"/>
      <c r="AA85" s="652"/>
      <c r="AB85" s="652"/>
      <c r="AC85" s="652"/>
      <c r="AD85" s="652"/>
      <c r="AE85" s="652"/>
    </row>
    <row r="86" s="643" customFormat="true" ht="15.75" hidden="false" customHeight="true" outlineLevel="0" collapsed="false">
      <c r="B86" s="652"/>
      <c r="C86" s="652"/>
      <c r="D86" s="652"/>
      <c r="E86" s="652"/>
      <c r="F86" s="652"/>
      <c r="G86" s="652"/>
      <c r="H86" s="652"/>
      <c r="I86" s="652"/>
      <c r="J86" s="652"/>
      <c r="K86" s="652"/>
      <c r="L86" s="652"/>
      <c r="M86" s="652"/>
      <c r="N86" s="652"/>
      <c r="O86" s="652"/>
      <c r="P86" s="652"/>
      <c r="Q86" s="652"/>
      <c r="R86" s="652"/>
      <c r="S86" s="652"/>
      <c r="T86" s="652"/>
      <c r="U86" s="652"/>
      <c r="V86" s="652"/>
      <c r="W86" s="652"/>
      <c r="X86" s="652"/>
      <c r="Y86" s="652"/>
      <c r="Z86" s="652"/>
      <c r="AA86" s="652"/>
      <c r="AB86" s="652"/>
      <c r="AC86" s="652"/>
      <c r="AD86" s="652"/>
      <c r="AE86" s="652"/>
    </row>
    <row r="87" s="643" customFormat="true" ht="15.75" hidden="false" customHeight="true" outlineLevel="0" collapsed="false">
      <c r="B87" s="652"/>
      <c r="C87" s="652"/>
      <c r="D87" s="652"/>
      <c r="E87" s="652"/>
      <c r="F87" s="652"/>
      <c r="G87" s="652"/>
      <c r="H87" s="652"/>
      <c r="I87" s="652"/>
      <c r="J87" s="652"/>
      <c r="K87" s="652"/>
      <c r="L87" s="652"/>
      <c r="M87" s="652"/>
      <c r="N87" s="652"/>
      <c r="O87" s="652"/>
      <c r="P87" s="652"/>
      <c r="Q87" s="652"/>
      <c r="R87" s="652"/>
      <c r="S87" s="652"/>
      <c r="T87" s="652"/>
      <c r="U87" s="652"/>
      <c r="V87" s="652"/>
      <c r="W87" s="652"/>
      <c r="X87" s="652"/>
      <c r="Y87" s="652"/>
      <c r="Z87" s="652"/>
      <c r="AA87" s="652"/>
      <c r="AB87" s="652"/>
      <c r="AC87" s="652"/>
      <c r="AD87" s="652"/>
      <c r="AE87" s="652"/>
    </row>
    <row r="88" s="643" customFormat="true" ht="15.75" hidden="false" customHeight="true" outlineLevel="0" collapsed="false">
      <c r="A88" s="314"/>
      <c r="B88" s="314"/>
      <c r="C88" s="314"/>
      <c r="D88" s="314"/>
      <c r="E88" s="314"/>
      <c r="F88" s="314"/>
      <c r="G88" s="314"/>
      <c r="H88" s="315"/>
      <c r="I88" s="315"/>
      <c r="J88" s="315"/>
      <c r="K88" s="315"/>
      <c r="L88" s="316"/>
      <c r="M88" s="317"/>
      <c r="N88" s="317"/>
      <c r="O88" s="318"/>
      <c r="P88" s="318"/>
      <c r="Q88" s="318"/>
      <c r="R88" s="316"/>
      <c r="S88" s="316"/>
      <c r="T88" s="316"/>
      <c r="U88" s="316"/>
      <c r="V88" s="316"/>
      <c r="W88" s="316"/>
      <c r="X88" s="316"/>
      <c r="Y88" s="319"/>
      <c r="Z88" s="320"/>
      <c r="AA88" s="320"/>
      <c r="AB88" s="453"/>
      <c r="AC88" s="454" t="s">
        <v>1657</v>
      </c>
      <c r="AD88" s="455" t="n">
        <v>2</v>
      </c>
      <c r="AE88" s="455" t="s">
        <v>29</v>
      </c>
      <c r="AF88" s="455" t="n">
        <v>2</v>
      </c>
    </row>
  </sheetData>
  <mergeCells count="105">
    <mergeCell ref="A1:AF2"/>
    <mergeCell ref="A3:E3"/>
    <mergeCell ref="M3:Q3"/>
    <mergeCell ref="AE3:AF3"/>
    <mergeCell ref="M4:Q4"/>
    <mergeCell ref="R4:X4"/>
    <mergeCell ref="Y4:AD4"/>
    <mergeCell ref="AE4:AF4"/>
    <mergeCell ref="A5:B5"/>
    <mergeCell ref="C5:L5"/>
    <mergeCell ref="M5:Q5"/>
    <mergeCell ref="R5:AF5"/>
    <mergeCell ref="A6:AF6"/>
    <mergeCell ref="A7:AF7"/>
    <mergeCell ref="A8:A15"/>
    <mergeCell ref="B8:AF15"/>
    <mergeCell ref="A16:AF16"/>
    <mergeCell ref="B17:AF17"/>
    <mergeCell ref="B18:AF18"/>
    <mergeCell ref="B20:AF20"/>
    <mergeCell ref="B21:AF22"/>
    <mergeCell ref="B24:L25"/>
    <mergeCell ref="M24:P25"/>
    <mergeCell ref="Q24:T25"/>
    <mergeCell ref="U24:X25"/>
    <mergeCell ref="B26:D26"/>
    <mergeCell ref="E26:L26"/>
    <mergeCell ref="M26:P26"/>
    <mergeCell ref="Q26:T26"/>
    <mergeCell ref="U26:X26"/>
    <mergeCell ref="B27:D27"/>
    <mergeCell ref="E27:L27"/>
    <mergeCell ref="M27:P27"/>
    <mergeCell ref="Q27:T27"/>
    <mergeCell ref="U27:X27"/>
    <mergeCell ref="Q28:T28"/>
    <mergeCell ref="U28:X28"/>
    <mergeCell ref="Y31:AB31"/>
    <mergeCell ref="A40:G40"/>
    <mergeCell ref="H40:K40"/>
    <mergeCell ref="M40:N40"/>
    <mergeCell ref="O40:Q40"/>
    <mergeCell ref="A41:B41"/>
    <mergeCell ref="C41:L41"/>
    <mergeCell ref="M41:Q41"/>
    <mergeCell ref="B45:G45"/>
    <mergeCell ref="H45:K45"/>
    <mergeCell ref="L45:Q45"/>
    <mergeCell ref="R45:U45"/>
    <mergeCell ref="V45:Y45"/>
    <mergeCell ref="Z45:AC45"/>
    <mergeCell ref="B46:G46"/>
    <mergeCell ref="H46:K46"/>
    <mergeCell ref="L46:Q46"/>
    <mergeCell ref="R46:U46"/>
    <mergeCell ref="V46:Y47"/>
    <mergeCell ref="Z46:AC46"/>
    <mergeCell ref="B47:G47"/>
    <mergeCell ref="H47:K47"/>
    <mergeCell ref="L47:Q47"/>
    <mergeCell ref="R47:U47"/>
    <mergeCell ref="Z47:AC47"/>
    <mergeCell ref="V48:Y48"/>
    <mergeCell ref="Z48:AC48"/>
    <mergeCell ref="B50:AE51"/>
    <mergeCell ref="B52:AE53"/>
    <mergeCell ref="B54:AE55"/>
    <mergeCell ref="B59:G59"/>
    <mergeCell ref="H59:K59"/>
    <mergeCell ref="L59:P59"/>
    <mergeCell ref="Q59:T59"/>
    <mergeCell ref="U59:Y59"/>
    <mergeCell ref="B60:G60"/>
    <mergeCell ref="H60:K60"/>
    <mergeCell ref="L60:P60"/>
    <mergeCell ref="Q60:T66"/>
    <mergeCell ref="U60:Y60"/>
    <mergeCell ref="B61:G61"/>
    <mergeCell ref="H61:K61"/>
    <mergeCell ref="L61:P61"/>
    <mergeCell ref="U61:Y61"/>
    <mergeCell ref="B62:G62"/>
    <mergeCell ref="H62:K62"/>
    <mergeCell ref="L62:P62"/>
    <mergeCell ref="U62:Y62"/>
    <mergeCell ref="B63:G63"/>
    <mergeCell ref="H63:K63"/>
    <mergeCell ref="L63:P63"/>
    <mergeCell ref="U63:Y63"/>
    <mergeCell ref="B64:G65"/>
    <mergeCell ref="H64:K65"/>
    <mergeCell ref="L64:P65"/>
    <mergeCell ref="U64:Y65"/>
    <mergeCell ref="B66:G66"/>
    <mergeCell ref="H66:K66"/>
    <mergeCell ref="L66:P66"/>
    <mergeCell ref="U66:Y66"/>
    <mergeCell ref="Q67:T67"/>
    <mergeCell ref="U67:X67"/>
    <mergeCell ref="B69:AE70"/>
    <mergeCell ref="B71:AE72"/>
    <mergeCell ref="A88:G88"/>
    <mergeCell ref="H88:K88"/>
    <mergeCell ref="M88:N88"/>
    <mergeCell ref="O88:Q88"/>
  </mergeCells>
  <conditionalFormatting sqref="M24:T27">
    <cfRule type="cellIs" priority="2" operator="equal" aboveAverage="0" equalAverage="0" bottom="0" percent="0" rank="0" text="" dxfId="24">
      <formula>0</formula>
    </cfRule>
  </conditionalFormatting>
  <conditionalFormatting sqref="Y31:AB31">
    <cfRule type="cellIs" priority="3" operator="equal" aboveAverage="0" equalAverage="0" bottom="0" percent="0" rank="0" text="" dxfId="24">
      <formula>0</formula>
    </cfRule>
  </conditionalFormatting>
  <conditionalFormatting sqref="M28:Q28 M29:T29 N30:T30 U24 U26:X27 U28 U29:AB30">
    <cfRule type="cellIs" priority="4" operator="equal" aboveAverage="0" equalAverage="0" bottom="0" percent="0" rank="0" text="" dxfId="24">
      <formula>0</formula>
    </cfRule>
  </conditionalFormatting>
  <printOptions headings="false" gridLines="false" gridLinesSet="true" horizontalCentered="false" verticalCentered="false"/>
  <pageMargins left="0.75" right="0.5" top="0.75" bottom="0.5" header="0" footer="0.3"/>
  <pageSetup paperSize="1" scale="90" fitToWidth="1" fitToHeight="1" pageOrder="downThenOver" orientation="portrait"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rowBreaks count="1" manualBreakCount="1">
    <brk id="40"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F568"/>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B21" activeCellId="0" sqref="B21"/>
    </sheetView>
  </sheetViews>
  <sheetFormatPr defaultColWidth="2.859375" defaultRowHeight="15.75" zeroHeight="false" outlineLevelRow="0" outlineLevelCol="0"/>
  <sheetData>
    <row r="1" customFormat="false" ht="15.75" hidden="false" customHeight="true" outlineLevel="0" collapsed="false">
      <c r="A1" s="679" t="s">
        <v>1519</v>
      </c>
      <c r="B1" s="679"/>
      <c r="C1" s="679"/>
      <c r="D1" s="679"/>
      <c r="E1" s="679"/>
      <c r="F1" s="679"/>
      <c r="G1" s="679"/>
      <c r="H1" s="679"/>
      <c r="I1" s="679"/>
      <c r="J1" s="679"/>
      <c r="K1" s="679"/>
      <c r="L1" s="679"/>
      <c r="M1" s="679"/>
      <c r="N1" s="679"/>
      <c r="O1" s="679"/>
      <c r="P1" s="679"/>
      <c r="Q1" s="679"/>
      <c r="R1" s="679"/>
      <c r="S1" s="679"/>
      <c r="T1" s="679"/>
      <c r="U1" s="679"/>
      <c r="V1" s="679"/>
      <c r="W1" s="679"/>
      <c r="X1" s="679"/>
      <c r="Y1" s="679"/>
      <c r="Z1" s="679"/>
      <c r="AA1" s="679"/>
      <c r="AB1" s="679"/>
      <c r="AC1" s="679"/>
      <c r="AD1" s="679"/>
      <c r="AE1" s="679"/>
      <c r="AF1" s="679"/>
    </row>
    <row r="2" customFormat="false" ht="15.75" hidden="false" customHeight="true" outlineLevel="0" collapsed="false">
      <c r="A2" s="679"/>
      <c r="B2" s="679"/>
      <c r="C2" s="679"/>
      <c r="D2" s="679"/>
      <c r="E2" s="679"/>
      <c r="F2" s="679"/>
      <c r="G2" s="679"/>
      <c r="H2" s="679"/>
      <c r="I2" s="679"/>
      <c r="J2" s="679"/>
      <c r="K2" s="679"/>
      <c r="L2" s="679"/>
      <c r="M2" s="679"/>
      <c r="N2" s="679"/>
      <c r="O2" s="679"/>
      <c r="P2" s="679"/>
      <c r="Q2" s="679"/>
      <c r="R2" s="679"/>
      <c r="S2" s="679"/>
      <c r="T2" s="679"/>
      <c r="U2" s="679"/>
      <c r="V2" s="679"/>
      <c r="W2" s="679"/>
      <c r="X2" s="679"/>
      <c r="Y2" s="679"/>
      <c r="Z2" s="679"/>
      <c r="AA2" s="679"/>
      <c r="AB2" s="679"/>
      <c r="AC2" s="679"/>
      <c r="AD2" s="679"/>
      <c r="AE2" s="679"/>
      <c r="AF2" s="679"/>
    </row>
    <row r="3" customFormat="false" ht="15.75" hidden="false" customHeight="true" outlineLevel="0" collapsed="false">
      <c r="A3" s="680" t="s">
        <v>1</v>
      </c>
      <c r="B3" s="680"/>
      <c r="C3" s="680"/>
      <c r="D3" s="680"/>
      <c r="E3" s="680"/>
      <c r="F3" s="681" t="s">
        <v>1520</v>
      </c>
      <c r="G3" s="615"/>
      <c r="H3" s="615"/>
      <c r="I3" s="615"/>
      <c r="J3" s="615"/>
      <c r="K3" s="615"/>
      <c r="L3" s="615"/>
      <c r="M3" s="682"/>
      <c r="N3" s="683"/>
      <c r="O3" s="683" t="s">
        <v>3</v>
      </c>
      <c r="P3" s="683"/>
      <c r="Q3" s="683"/>
      <c r="R3" s="682"/>
      <c r="S3" s="681" t="s">
        <v>2237</v>
      </c>
      <c r="T3" s="615"/>
      <c r="U3" s="615"/>
      <c r="V3" s="615"/>
      <c r="W3" s="615"/>
      <c r="X3" s="615"/>
      <c r="Y3" s="615"/>
      <c r="Z3" s="615"/>
      <c r="AA3" s="682"/>
      <c r="AB3" s="682"/>
      <c r="AC3" s="682"/>
      <c r="AD3" s="682"/>
      <c r="AE3" s="684"/>
      <c r="AF3" s="684"/>
    </row>
    <row r="4" customFormat="false" ht="15.75" hidden="false" customHeight="true" outlineLevel="0" collapsed="false">
      <c r="A4" s="680" t="s">
        <v>5</v>
      </c>
      <c r="B4" s="680"/>
      <c r="C4" s="680"/>
      <c r="D4" s="680"/>
      <c r="E4" s="680"/>
      <c r="F4" s="685" t="s">
        <v>6</v>
      </c>
      <c r="G4" s="685"/>
      <c r="H4" s="685"/>
      <c r="I4" s="685"/>
      <c r="J4" s="685"/>
      <c r="K4" s="685"/>
      <c r="L4" s="685"/>
      <c r="M4" s="682"/>
      <c r="N4" s="683"/>
      <c r="O4" s="683" t="s">
        <v>7</v>
      </c>
      <c r="P4" s="683"/>
      <c r="Q4" s="683"/>
      <c r="R4" s="682"/>
      <c r="S4" s="681" t="s">
        <v>8</v>
      </c>
      <c r="T4" s="615"/>
      <c r="U4" s="615"/>
      <c r="V4" s="615"/>
      <c r="W4" s="615"/>
      <c r="X4" s="615"/>
      <c r="Y4" s="686"/>
      <c r="Z4" s="686"/>
      <c r="AA4" s="686"/>
      <c r="AB4" s="686"/>
      <c r="AC4" s="686"/>
      <c r="AD4" s="686"/>
      <c r="AE4" s="687"/>
      <c r="AF4" s="687"/>
    </row>
    <row r="5" customFormat="false" ht="15.75" hidden="false" customHeight="true" outlineLevel="0" collapsed="false">
      <c r="A5" s="688" t="s">
        <v>1522</v>
      </c>
      <c r="B5" s="688"/>
      <c r="C5" s="689" t="n">
        <v>21451</v>
      </c>
      <c r="D5" s="689"/>
      <c r="E5" s="689"/>
      <c r="F5" s="689"/>
      <c r="G5" s="689"/>
      <c r="H5" s="689"/>
      <c r="I5" s="689"/>
      <c r="J5" s="689"/>
      <c r="K5" s="689"/>
      <c r="L5" s="689"/>
      <c r="M5" s="688" t="s">
        <v>1523</v>
      </c>
      <c r="N5" s="688"/>
      <c r="O5" s="688"/>
      <c r="P5" s="688"/>
      <c r="Q5" s="688"/>
      <c r="R5" s="689" t="s">
        <v>22</v>
      </c>
      <c r="S5" s="689"/>
      <c r="T5" s="689"/>
      <c r="U5" s="689"/>
      <c r="V5" s="689"/>
      <c r="W5" s="689"/>
      <c r="X5" s="689"/>
      <c r="Y5" s="689"/>
      <c r="Z5" s="689"/>
      <c r="AA5" s="689"/>
      <c r="AB5" s="689"/>
      <c r="AC5" s="689"/>
      <c r="AD5" s="689"/>
      <c r="AE5" s="689"/>
      <c r="AF5" s="689"/>
    </row>
    <row r="6" customFormat="false" ht="15.75" hidden="false" customHeight="true" outlineLevel="0" collapsed="false">
      <c r="A6" s="690" t="s">
        <v>1524</v>
      </c>
      <c r="B6" s="690"/>
      <c r="C6" s="690"/>
      <c r="D6" s="690"/>
      <c r="E6" s="690"/>
      <c r="F6" s="690"/>
      <c r="G6" s="690"/>
      <c r="H6" s="690"/>
      <c r="I6" s="690"/>
      <c r="J6" s="690"/>
      <c r="K6" s="690"/>
      <c r="L6" s="690"/>
      <c r="M6" s="690"/>
      <c r="N6" s="690"/>
      <c r="O6" s="690"/>
      <c r="P6" s="690"/>
      <c r="Q6" s="690"/>
      <c r="R6" s="690"/>
      <c r="S6" s="690"/>
      <c r="T6" s="690"/>
      <c r="U6" s="690"/>
      <c r="V6" s="690"/>
      <c r="W6" s="690"/>
      <c r="X6" s="690"/>
      <c r="Y6" s="690"/>
      <c r="Z6" s="690"/>
      <c r="AA6" s="690"/>
      <c r="AB6" s="690"/>
      <c r="AC6" s="690"/>
      <c r="AD6" s="690"/>
      <c r="AE6" s="690"/>
      <c r="AF6" s="690"/>
    </row>
    <row r="7" customFormat="false" ht="15.75" hidden="false" customHeight="true" outlineLevel="0" collapsed="false">
      <c r="A7" s="680" t="s">
        <v>1525</v>
      </c>
      <c r="B7" s="680"/>
      <c r="C7" s="680"/>
      <c r="D7" s="680"/>
      <c r="E7" s="680"/>
      <c r="F7" s="680"/>
      <c r="G7" s="680"/>
      <c r="H7" s="680"/>
      <c r="I7" s="680"/>
      <c r="J7" s="680"/>
      <c r="K7" s="680"/>
      <c r="L7" s="680"/>
      <c r="M7" s="680"/>
      <c r="N7" s="680"/>
      <c r="O7" s="680"/>
      <c r="P7" s="680"/>
      <c r="Q7" s="680"/>
      <c r="R7" s="680"/>
      <c r="S7" s="680"/>
      <c r="T7" s="680"/>
      <c r="U7" s="680"/>
      <c r="V7" s="680"/>
      <c r="W7" s="680"/>
      <c r="X7" s="680"/>
      <c r="Y7" s="680"/>
      <c r="Z7" s="680"/>
      <c r="AA7" s="680"/>
      <c r="AB7" s="680"/>
      <c r="AC7" s="680"/>
      <c r="AD7" s="680"/>
      <c r="AE7" s="680"/>
      <c r="AF7" s="680"/>
    </row>
    <row r="8" customFormat="false" ht="15.75" hidden="false" customHeight="true" outlineLevel="0" collapsed="false">
      <c r="A8" s="691"/>
      <c r="B8" s="692" t="s">
        <v>2238</v>
      </c>
      <c r="C8" s="692"/>
      <c r="D8" s="692"/>
      <c r="E8" s="692"/>
      <c r="F8" s="692"/>
      <c r="G8" s="692"/>
      <c r="H8" s="692"/>
      <c r="I8" s="692"/>
      <c r="J8" s="692"/>
      <c r="K8" s="692"/>
      <c r="L8" s="692"/>
      <c r="M8" s="692"/>
      <c r="N8" s="692"/>
      <c r="O8" s="692"/>
      <c r="P8" s="692"/>
      <c r="Q8" s="692"/>
      <c r="R8" s="692"/>
      <c r="S8" s="692"/>
      <c r="T8" s="692"/>
      <c r="U8" s="692"/>
      <c r="V8" s="692"/>
      <c r="W8" s="692"/>
      <c r="X8" s="692"/>
      <c r="Y8" s="692"/>
      <c r="Z8" s="692"/>
      <c r="AA8" s="692"/>
      <c r="AB8" s="692"/>
      <c r="AC8" s="692"/>
      <c r="AD8" s="692"/>
      <c r="AE8" s="692"/>
      <c r="AF8" s="693"/>
    </row>
    <row r="9" customFormat="false" ht="15.75" hidden="false" customHeight="true" outlineLevel="0" collapsed="false">
      <c r="A9" s="691"/>
      <c r="B9" s="692"/>
      <c r="C9" s="692"/>
      <c r="D9" s="692"/>
      <c r="E9" s="692"/>
      <c r="F9" s="692"/>
      <c r="G9" s="692"/>
      <c r="H9" s="692"/>
      <c r="I9" s="692"/>
      <c r="J9" s="692"/>
      <c r="K9" s="692"/>
      <c r="L9" s="692"/>
      <c r="M9" s="692"/>
      <c r="N9" s="692"/>
      <c r="O9" s="692"/>
      <c r="P9" s="692"/>
      <c r="Q9" s="692"/>
      <c r="R9" s="692"/>
      <c r="S9" s="692"/>
      <c r="T9" s="692"/>
      <c r="U9" s="692"/>
      <c r="V9" s="692"/>
      <c r="W9" s="692"/>
      <c r="X9" s="692"/>
      <c r="Y9" s="692"/>
      <c r="Z9" s="692"/>
      <c r="AA9" s="692"/>
      <c r="AB9" s="692"/>
      <c r="AC9" s="692"/>
      <c r="AD9" s="692"/>
      <c r="AE9" s="692"/>
      <c r="AF9" s="693"/>
    </row>
    <row r="10" customFormat="false" ht="15.75" hidden="false" customHeight="true" outlineLevel="0" collapsed="false">
      <c r="A10" s="691"/>
      <c r="B10" s="692"/>
      <c r="C10" s="692"/>
      <c r="D10" s="692"/>
      <c r="E10" s="692"/>
      <c r="F10" s="692"/>
      <c r="G10" s="692"/>
      <c r="H10" s="692"/>
      <c r="I10" s="692"/>
      <c r="J10" s="692"/>
      <c r="K10" s="692"/>
      <c r="L10" s="692"/>
      <c r="M10" s="692"/>
      <c r="N10" s="692"/>
      <c r="O10" s="692"/>
      <c r="P10" s="692"/>
      <c r="Q10" s="692"/>
      <c r="R10" s="692"/>
      <c r="S10" s="692"/>
      <c r="T10" s="692"/>
      <c r="U10" s="692"/>
      <c r="V10" s="692"/>
      <c r="W10" s="692"/>
      <c r="X10" s="692"/>
      <c r="Y10" s="692"/>
      <c r="Z10" s="692"/>
      <c r="AA10" s="692"/>
      <c r="AB10" s="692"/>
      <c r="AC10" s="692"/>
      <c r="AD10" s="692"/>
      <c r="AE10" s="692"/>
      <c r="AF10" s="693"/>
    </row>
    <row r="11" customFormat="false" ht="15.75" hidden="false" customHeight="true" outlineLevel="0" collapsed="false">
      <c r="A11" s="691"/>
      <c r="B11" s="692"/>
      <c r="C11" s="692"/>
      <c r="D11" s="692"/>
      <c r="E11" s="692"/>
      <c r="F11" s="692"/>
      <c r="G11" s="692"/>
      <c r="H11" s="692"/>
      <c r="I11" s="692"/>
      <c r="J11" s="692"/>
      <c r="K11" s="692"/>
      <c r="L11" s="692"/>
      <c r="M11" s="692"/>
      <c r="N11" s="692"/>
      <c r="O11" s="692"/>
      <c r="P11" s="692"/>
      <c r="Q11" s="692"/>
      <c r="R11" s="692"/>
      <c r="S11" s="692"/>
      <c r="T11" s="692"/>
      <c r="U11" s="692"/>
      <c r="V11" s="692"/>
      <c r="W11" s="692"/>
      <c r="X11" s="692"/>
      <c r="Y11" s="692"/>
      <c r="Z11" s="692"/>
      <c r="AA11" s="692"/>
      <c r="AB11" s="692"/>
      <c r="AC11" s="692"/>
      <c r="AD11" s="692"/>
      <c r="AE11" s="692"/>
      <c r="AF11" s="693"/>
    </row>
    <row r="12" customFormat="false" ht="15.75" hidden="false" customHeight="true" outlineLevel="0" collapsed="false">
      <c r="A12" s="691"/>
      <c r="B12" s="692"/>
      <c r="C12" s="692"/>
      <c r="D12" s="692"/>
      <c r="E12" s="692"/>
      <c r="F12" s="692"/>
      <c r="G12" s="692"/>
      <c r="H12" s="692"/>
      <c r="I12" s="692"/>
      <c r="J12" s="692"/>
      <c r="K12" s="692"/>
      <c r="L12" s="692"/>
      <c r="M12" s="692"/>
      <c r="N12" s="692"/>
      <c r="O12" s="692"/>
      <c r="P12" s="692"/>
      <c r="Q12" s="692"/>
      <c r="R12" s="692"/>
      <c r="S12" s="692"/>
      <c r="T12" s="692"/>
      <c r="U12" s="692"/>
      <c r="V12" s="692"/>
      <c r="W12" s="692"/>
      <c r="X12" s="692"/>
      <c r="Y12" s="692"/>
      <c r="Z12" s="692"/>
      <c r="AA12" s="692"/>
      <c r="AB12" s="692"/>
      <c r="AC12" s="692"/>
      <c r="AD12" s="692"/>
      <c r="AE12" s="692"/>
      <c r="AF12" s="693"/>
    </row>
    <row r="13" customFormat="false" ht="33.75" hidden="false" customHeight="true" outlineLevel="0" collapsed="false">
      <c r="A13" s="691"/>
      <c r="B13" s="692"/>
      <c r="C13" s="692"/>
      <c r="D13" s="692"/>
      <c r="E13" s="692"/>
      <c r="F13" s="692"/>
      <c r="G13" s="692"/>
      <c r="H13" s="692"/>
      <c r="I13" s="692"/>
      <c r="J13" s="692"/>
      <c r="K13" s="692"/>
      <c r="L13" s="692"/>
      <c r="M13" s="692"/>
      <c r="N13" s="692"/>
      <c r="O13" s="692"/>
      <c r="P13" s="692"/>
      <c r="Q13" s="692"/>
      <c r="R13" s="692"/>
      <c r="S13" s="692"/>
      <c r="T13" s="692"/>
      <c r="U13" s="692"/>
      <c r="V13" s="692"/>
      <c r="W13" s="692"/>
      <c r="X13" s="692"/>
      <c r="Y13" s="692"/>
      <c r="Z13" s="692"/>
      <c r="AA13" s="692"/>
      <c r="AB13" s="692"/>
      <c r="AC13" s="692"/>
      <c r="AD13" s="692"/>
      <c r="AE13" s="692"/>
      <c r="AF13" s="693"/>
    </row>
    <row r="14" customFormat="false" ht="15.75" hidden="false" customHeight="true" outlineLevel="0" collapsed="false">
      <c r="A14" s="680" t="s">
        <v>1527</v>
      </c>
      <c r="B14" s="680"/>
      <c r="C14" s="680"/>
      <c r="D14" s="680"/>
      <c r="E14" s="680"/>
      <c r="F14" s="680"/>
      <c r="G14" s="680"/>
      <c r="H14" s="680"/>
      <c r="I14" s="680"/>
      <c r="J14" s="680"/>
      <c r="K14" s="680"/>
      <c r="L14" s="680"/>
      <c r="M14" s="680"/>
      <c r="N14" s="680"/>
      <c r="O14" s="680"/>
      <c r="P14" s="680"/>
      <c r="Q14" s="680"/>
      <c r="R14" s="680"/>
      <c r="S14" s="680"/>
      <c r="T14" s="680"/>
      <c r="U14" s="680"/>
      <c r="V14" s="680"/>
      <c r="W14" s="680"/>
      <c r="X14" s="680"/>
      <c r="Y14" s="680"/>
      <c r="Z14" s="680"/>
      <c r="AA14" s="680"/>
      <c r="AB14" s="680"/>
      <c r="AC14" s="680"/>
      <c r="AD14" s="680"/>
      <c r="AE14" s="680"/>
      <c r="AF14" s="680"/>
    </row>
    <row r="15" customFormat="false" ht="15.75" hidden="false" customHeight="true" outlineLevel="0" collapsed="false">
      <c r="A15" s="405"/>
      <c r="B15" s="404" t="s">
        <v>2239</v>
      </c>
      <c r="C15" s="404"/>
      <c r="D15" s="404"/>
      <c r="E15" s="404"/>
      <c r="F15" s="404"/>
      <c r="G15" s="404"/>
      <c r="H15" s="404"/>
      <c r="I15" s="404"/>
      <c r="J15" s="404"/>
      <c r="K15" s="404"/>
      <c r="L15" s="404"/>
      <c r="M15" s="404"/>
      <c r="N15" s="404"/>
      <c r="O15" s="404"/>
      <c r="P15" s="404"/>
      <c r="Q15" s="404"/>
      <c r="R15" s="404"/>
      <c r="S15" s="404"/>
      <c r="T15" s="404"/>
      <c r="U15" s="404"/>
      <c r="V15" s="404"/>
      <c r="W15" s="404"/>
      <c r="X15" s="404"/>
      <c r="Y15" s="404"/>
      <c r="Z15" s="404"/>
      <c r="AA15" s="404"/>
      <c r="AB15" s="404"/>
      <c r="AC15" s="404"/>
      <c r="AD15" s="404"/>
      <c r="AE15" s="404"/>
      <c r="AF15" s="404"/>
    </row>
    <row r="16" customFormat="false" ht="15.75" hidden="false" customHeight="true" outlineLevel="0" collapsed="false">
      <c r="A16" s="405"/>
      <c r="B16" s="404" t="s">
        <v>1643</v>
      </c>
      <c r="C16" s="404"/>
      <c r="D16" s="404"/>
      <c r="E16" s="404"/>
      <c r="F16" s="404"/>
      <c r="G16" s="404"/>
      <c r="H16" s="404"/>
      <c r="I16" s="404"/>
      <c r="J16" s="404"/>
      <c r="K16" s="404"/>
      <c r="L16" s="404"/>
      <c r="M16" s="404"/>
      <c r="N16" s="404"/>
      <c r="O16" s="404"/>
      <c r="P16" s="404"/>
      <c r="Q16" s="404"/>
      <c r="R16" s="404"/>
      <c r="S16" s="404"/>
      <c r="T16" s="404"/>
      <c r="U16" s="404"/>
      <c r="V16" s="404"/>
      <c r="W16" s="404"/>
      <c r="X16" s="404"/>
      <c r="Y16" s="404"/>
      <c r="Z16" s="404"/>
      <c r="AA16" s="404"/>
      <c r="AB16" s="404"/>
      <c r="AC16" s="404"/>
      <c r="AD16" s="404"/>
      <c r="AE16" s="404"/>
      <c r="AF16" s="405"/>
    </row>
    <row r="17" customFormat="false" ht="7.5" hidden="false" customHeight="true" outlineLevel="0" collapsed="false">
      <c r="A17" s="405"/>
      <c r="B17" s="693"/>
      <c r="C17" s="693"/>
      <c r="D17" s="693"/>
      <c r="E17" s="693"/>
      <c r="F17" s="693"/>
      <c r="G17" s="693"/>
      <c r="H17" s="693"/>
      <c r="I17" s="693"/>
      <c r="J17" s="693"/>
      <c r="K17" s="693"/>
      <c r="L17" s="693"/>
      <c r="M17" s="693"/>
      <c r="N17" s="693"/>
      <c r="O17" s="693"/>
      <c r="P17" s="693"/>
      <c r="Q17" s="693"/>
      <c r="R17" s="693"/>
      <c r="S17" s="693"/>
      <c r="T17" s="693"/>
      <c r="U17" s="693"/>
      <c r="V17" s="693"/>
      <c r="W17" s="693"/>
      <c r="X17" s="693"/>
      <c r="Y17" s="693"/>
      <c r="Z17" s="693"/>
      <c r="AA17" s="693"/>
      <c r="AB17" s="693"/>
      <c r="AC17" s="693"/>
      <c r="AD17" s="693"/>
      <c r="AE17" s="693"/>
      <c r="AF17" s="693"/>
    </row>
    <row r="18" customFormat="false" ht="15.75" hidden="false" customHeight="true" outlineLevel="0" collapsed="false">
      <c r="A18" s="683" t="s">
        <v>1529</v>
      </c>
      <c r="B18" s="683"/>
      <c r="C18" s="683"/>
      <c r="D18" s="683"/>
      <c r="E18" s="683"/>
      <c r="F18" s="683"/>
      <c r="G18" s="683"/>
      <c r="H18" s="683"/>
      <c r="I18" s="683"/>
      <c r="J18" s="683"/>
      <c r="K18" s="683"/>
      <c r="L18" s="683"/>
      <c r="M18" s="683"/>
      <c r="N18" s="683"/>
      <c r="O18" s="683"/>
      <c r="P18" s="683"/>
      <c r="Q18" s="683"/>
      <c r="R18" s="683"/>
      <c r="S18" s="683"/>
      <c r="T18" s="683"/>
      <c r="U18" s="683"/>
      <c r="V18" s="683"/>
      <c r="W18" s="683"/>
      <c r="X18" s="683"/>
      <c r="Y18" s="683"/>
      <c r="Z18" s="683"/>
      <c r="AA18" s="683"/>
      <c r="AB18" s="683"/>
      <c r="AC18" s="683"/>
      <c r="AD18" s="683"/>
      <c r="AE18" s="683"/>
      <c r="AF18" s="683"/>
    </row>
    <row r="19" customFormat="false" ht="15.75" hidden="false" customHeight="true" outlineLevel="0" collapsed="false">
      <c r="A19" s="694"/>
      <c r="B19" s="695" t="s">
        <v>2240</v>
      </c>
      <c r="C19" s="695"/>
      <c r="D19" s="695"/>
      <c r="E19" s="695"/>
      <c r="F19" s="695"/>
      <c r="G19" s="695"/>
      <c r="H19" s="695"/>
      <c r="I19" s="695"/>
      <c r="J19" s="695"/>
      <c r="K19" s="695"/>
      <c r="L19" s="695"/>
      <c r="M19" s="695"/>
      <c r="N19" s="695"/>
      <c r="O19" s="695"/>
      <c r="P19" s="695"/>
      <c r="Q19" s="695"/>
      <c r="R19" s="695"/>
      <c r="S19" s="695"/>
      <c r="T19" s="695"/>
      <c r="U19" s="695"/>
      <c r="V19" s="695"/>
      <c r="W19" s="695"/>
      <c r="X19" s="695"/>
      <c r="Y19" s="695"/>
      <c r="Z19" s="695"/>
      <c r="AA19" s="695"/>
      <c r="AB19" s="695"/>
      <c r="AC19" s="695"/>
      <c r="AD19" s="695"/>
      <c r="AE19" s="695"/>
      <c r="AF19" s="695"/>
    </row>
    <row r="20" customFormat="false" ht="9" hidden="false" customHeight="true" outlineLevel="0" collapsed="false"/>
    <row r="21" customFormat="false" ht="15.75" hidden="false" customHeight="true" outlineLevel="0" collapsed="false">
      <c r="A21" s="683" t="s">
        <v>1532</v>
      </c>
    </row>
    <row r="22" customFormat="false" ht="15.75" hidden="false" customHeight="true" outlineLevel="0" collapsed="false">
      <c r="B22" s="696" t="s">
        <v>2241</v>
      </c>
      <c r="C22" s="694"/>
      <c r="D22" s="694"/>
      <c r="E22" s="694"/>
      <c r="F22" s="694"/>
      <c r="G22" s="694"/>
      <c r="H22" s="694"/>
      <c r="I22" s="694"/>
      <c r="J22" s="694"/>
      <c r="K22" s="694"/>
      <c r="L22" s="694"/>
      <c r="M22" s="697"/>
      <c r="N22" s="682"/>
      <c r="O22" s="682"/>
      <c r="P22" s="682"/>
      <c r="Q22" s="682"/>
    </row>
    <row r="23" customFormat="false" ht="15.75" hidden="false" customHeight="true" outlineLevel="0" collapsed="false">
      <c r="A23" s="694"/>
      <c r="B23" s="698" t="s">
        <v>2242</v>
      </c>
      <c r="C23" s="698"/>
      <c r="D23" s="698"/>
      <c r="E23" s="698"/>
      <c r="F23" s="699" t="s">
        <v>2243</v>
      </c>
      <c r="G23" s="699"/>
      <c r="H23" s="699"/>
      <c r="I23" s="699"/>
      <c r="J23" s="699" t="s">
        <v>2244</v>
      </c>
      <c r="K23" s="699"/>
      <c r="L23" s="699"/>
      <c r="M23" s="699"/>
      <c r="N23" s="700" t="s">
        <v>2228</v>
      </c>
      <c r="O23" s="700"/>
      <c r="P23" s="700"/>
      <c r="Q23" s="700"/>
      <c r="R23" s="701"/>
      <c r="S23" s="701"/>
      <c r="T23" s="701"/>
      <c r="U23" s="701"/>
      <c r="V23" s="701"/>
      <c r="W23" s="701"/>
      <c r="X23" s="701"/>
      <c r="Y23" s="701"/>
      <c r="Z23" s="701"/>
      <c r="AA23" s="701"/>
      <c r="AB23" s="701"/>
      <c r="AC23" s="701"/>
      <c r="AD23" s="701"/>
      <c r="AE23" s="701"/>
      <c r="AF23" s="701"/>
    </row>
    <row r="24" customFormat="false" ht="15.75" hidden="false" customHeight="true" outlineLevel="0" collapsed="false">
      <c r="B24" s="702" t="n">
        <f aca="false">Q32</f>
        <v>0</v>
      </c>
      <c r="C24" s="702"/>
      <c r="D24" s="702"/>
      <c r="E24" s="702"/>
      <c r="F24" s="703" t="n">
        <f aca="false">414*M33^0.854</f>
        <v>0</v>
      </c>
      <c r="G24" s="703"/>
      <c r="H24" s="703"/>
      <c r="I24" s="703"/>
      <c r="J24" s="704" t="n">
        <f aca="false">IF(M33&lt;=14,347*M33+1129,22*M33+5706)</f>
        <v>1129</v>
      </c>
      <c r="K24" s="704"/>
      <c r="L24" s="704"/>
      <c r="M24" s="704"/>
      <c r="N24" s="705" t="n">
        <f aca="false">SUM(B24:M24)</f>
        <v>1129</v>
      </c>
      <c r="O24" s="705"/>
      <c r="P24" s="705"/>
      <c r="Q24" s="705"/>
      <c r="R24" s="683"/>
      <c r="S24" s="683"/>
      <c r="T24" s="683"/>
      <c r="U24" s="683"/>
      <c r="V24" s="683"/>
      <c r="W24" s="683"/>
      <c r="X24" s="683"/>
      <c r="Y24" s="683"/>
      <c r="Z24" s="683"/>
      <c r="AA24" s="683"/>
      <c r="AB24" s="683"/>
      <c r="AC24" s="683"/>
      <c r="AD24" s="683"/>
      <c r="AE24" s="683"/>
      <c r="AF24" s="683"/>
    </row>
    <row r="25" customFormat="false" ht="15.75" hidden="false" customHeight="true" outlineLevel="0" collapsed="false">
      <c r="A25" s="691"/>
      <c r="R25" s="682"/>
      <c r="S25" s="682"/>
      <c r="T25" s="682"/>
      <c r="U25" s="682"/>
      <c r="V25" s="682"/>
      <c r="W25" s="682"/>
      <c r="X25" s="682"/>
      <c r="Y25" s="682"/>
      <c r="Z25" s="682"/>
      <c r="AA25" s="682"/>
      <c r="AB25" s="691"/>
      <c r="AC25" s="691"/>
      <c r="AD25" s="691"/>
      <c r="AE25" s="691"/>
      <c r="AF25" s="691"/>
    </row>
    <row r="26" customFormat="false" ht="15.75" hidden="false" customHeight="true" outlineLevel="0" collapsed="false">
      <c r="A26" s="691"/>
      <c r="B26" s="706" t="s">
        <v>2245</v>
      </c>
      <c r="C26" s="707"/>
      <c r="D26" s="707"/>
      <c r="E26" s="707"/>
      <c r="F26" s="707"/>
      <c r="G26" s="707"/>
      <c r="H26" s="707"/>
      <c r="I26" s="707"/>
      <c r="J26" s="707"/>
      <c r="K26" s="707"/>
      <c r="L26" s="707"/>
      <c r="M26" s="707"/>
      <c r="N26" s="707"/>
      <c r="O26" s="707"/>
      <c r="P26" s="707"/>
      <c r="Q26" s="707"/>
      <c r="R26" s="707"/>
      <c r="S26" s="707"/>
      <c r="T26" s="707"/>
      <c r="U26" s="682"/>
      <c r="V26" s="682"/>
      <c r="W26" s="682"/>
      <c r="X26" s="682"/>
      <c r="Y26" s="682"/>
      <c r="Z26" s="682"/>
      <c r="AA26" s="682"/>
      <c r="AB26" s="682"/>
      <c r="AC26" s="682"/>
      <c r="AD26" s="682"/>
      <c r="AE26" s="682"/>
      <c r="AF26" s="682"/>
    </row>
    <row r="27" customFormat="false" ht="15.75" hidden="false" customHeight="true" outlineLevel="0" collapsed="false">
      <c r="A27" s="708"/>
      <c r="B27" s="709" t="s">
        <v>1533</v>
      </c>
      <c r="C27" s="709"/>
      <c r="D27" s="709"/>
      <c r="E27" s="709"/>
      <c r="F27" s="709"/>
      <c r="G27" s="709"/>
      <c r="H27" s="709"/>
      <c r="I27" s="709"/>
      <c r="J27" s="709"/>
      <c r="K27" s="709"/>
      <c r="L27" s="709"/>
      <c r="M27" s="710" t="s">
        <v>2246</v>
      </c>
      <c r="N27" s="710"/>
      <c r="O27" s="710"/>
      <c r="P27" s="710"/>
      <c r="Q27" s="711" t="s">
        <v>2247</v>
      </c>
      <c r="R27" s="711"/>
      <c r="S27" s="711"/>
      <c r="T27" s="711"/>
      <c r="U27" s="712"/>
      <c r="V27" s="713" t="s">
        <v>2248</v>
      </c>
      <c r="W27" s="713"/>
      <c r="X27" s="713"/>
      <c r="Y27" s="713"/>
      <c r="Z27" s="714" t="n">
        <f aca="false">Z28*Z29/2</f>
        <v>272</v>
      </c>
      <c r="AA27" s="714"/>
      <c r="AB27" s="714"/>
      <c r="AC27" s="715"/>
      <c r="AD27" s="715"/>
      <c r="AE27" s="715"/>
      <c r="AF27" s="682"/>
    </row>
    <row r="28" customFormat="false" ht="15.75" hidden="false" customHeight="true" outlineLevel="0" collapsed="false">
      <c r="A28" s="708"/>
      <c r="B28" s="716" t="s">
        <v>1069</v>
      </c>
      <c r="C28" s="716"/>
      <c r="D28" s="716"/>
      <c r="E28" s="717" t="s">
        <v>1535</v>
      </c>
      <c r="F28" s="717"/>
      <c r="G28" s="717"/>
      <c r="H28" s="717"/>
      <c r="I28" s="717"/>
      <c r="J28" s="717"/>
      <c r="K28" s="717"/>
      <c r="L28" s="717"/>
      <c r="M28" s="718" t="n">
        <f aca="false">AB173</f>
        <v>0</v>
      </c>
      <c r="N28" s="718"/>
      <c r="O28" s="718"/>
      <c r="P28" s="718"/>
      <c r="Q28" s="719" t="s">
        <v>2249</v>
      </c>
      <c r="R28" s="719"/>
      <c r="S28" s="719"/>
      <c r="T28" s="719"/>
      <c r="U28" s="712"/>
      <c r="V28" s="713" t="s">
        <v>2250</v>
      </c>
      <c r="W28" s="713"/>
      <c r="X28" s="713"/>
      <c r="Y28" s="713"/>
      <c r="Z28" s="720" t="n">
        <v>34</v>
      </c>
      <c r="AA28" s="720"/>
      <c r="AB28" s="720"/>
      <c r="AC28" s="715"/>
      <c r="AD28" s="715"/>
      <c r="AE28" s="715"/>
      <c r="AF28" s="682"/>
    </row>
    <row r="29" customFormat="false" ht="15.75" hidden="false" customHeight="true" outlineLevel="0" collapsed="false">
      <c r="A29" s="708"/>
      <c r="B29" s="721" t="s">
        <v>1478</v>
      </c>
      <c r="C29" s="721"/>
      <c r="D29" s="721"/>
      <c r="E29" s="722" t="s">
        <v>2251</v>
      </c>
      <c r="F29" s="722"/>
      <c r="G29" s="722"/>
      <c r="H29" s="722"/>
      <c r="I29" s="722"/>
      <c r="J29" s="722"/>
      <c r="K29" s="722"/>
      <c r="L29" s="722"/>
      <c r="M29" s="723" t="n">
        <f aca="false">AB304</f>
        <v>0</v>
      </c>
      <c r="N29" s="723"/>
      <c r="O29" s="723"/>
      <c r="P29" s="723"/>
      <c r="Q29" s="719"/>
      <c r="R29" s="719"/>
      <c r="S29" s="719"/>
      <c r="T29" s="719"/>
      <c r="U29" s="682"/>
      <c r="V29" s="713" t="s">
        <v>2252</v>
      </c>
      <c r="W29" s="713"/>
      <c r="X29" s="713"/>
      <c r="Y29" s="713"/>
      <c r="Z29" s="720" t="n">
        <v>16</v>
      </c>
      <c r="AA29" s="720"/>
      <c r="AB29" s="720"/>
      <c r="AC29" s="715"/>
      <c r="AD29" s="715"/>
      <c r="AE29" s="715"/>
      <c r="AF29" s="682"/>
    </row>
    <row r="30" customFormat="false" ht="15.75" hidden="false" customHeight="true" outlineLevel="0" collapsed="false">
      <c r="A30" s="708"/>
      <c r="B30" s="721" t="s">
        <v>1516</v>
      </c>
      <c r="C30" s="721"/>
      <c r="D30" s="721"/>
      <c r="E30" s="722" t="s">
        <v>2253</v>
      </c>
      <c r="F30" s="722"/>
      <c r="G30" s="722"/>
      <c r="H30" s="722"/>
      <c r="I30" s="722"/>
      <c r="J30" s="722"/>
      <c r="K30" s="722"/>
      <c r="L30" s="722"/>
      <c r="M30" s="723" t="n">
        <f aca="false">AB435</f>
        <v>0</v>
      </c>
      <c r="N30" s="723"/>
      <c r="O30" s="723"/>
      <c r="P30" s="723"/>
      <c r="Q30" s="719"/>
      <c r="R30" s="719"/>
      <c r="S30" s="719"/>
      <c r="T30" s="719"/>
      <c r="U30" s="682"/>
      <c r="V30" s="713" t="s">
        <v>2254</v>
      </c>
      <c r="W30" s="713"/>
      <c r="X30" s="713"/>
      <c r="Y30" s="713"/>
      <c r="Z30" s="724" t="n">
        <v>1.33</v>
      </c>
      <c r="AA30" s="724"/>
      <c r="AB30" s="724"/>
      <c r="AC30" s="715"/>
      <c r="AD30" s="715"/>
      <c r="AE30" s="715"/>
      <c r="AF30" s="682"/>
    </row>
    <row r="31" customFormat="false" ht="15.75" hidden="false" customHeight="true" outlineLevel="0" collapsed="false">
      <c r="A31" s="708"/>
      <c r="B31" s="725"/>
      <c r="C31" s="725"/>
      <c r="D31" s="725"/>
      <c r="E31" s="726"/>
      <c r="F31" s="726"/>
      <c r="G31" s="726"/>
      <c r="H31" s="726"/>
      <c r="I31" s="726"/>
      <c r="J31" s="726"/>
      <c r="K31" s="726"/>
      <c r="L31" s="726"/>
      <c r="M31" s="727" t="n">
        <f aca="false">AB566</f>
        <v>0</v>
      </c>
      <c r="N31" s="727"/>
      <c r="O31" s="727"/>
      <c r="P31" s="727"/>
      <c r="Q31" s="719"/>
      <c r="R31" s="719"/>
      <c r="S31" s="719"/>
      <c r="T31" s="719"/>
      <c r="U31" s="682"/>
      <c r="V31" s="715"/>
      <c r="W31" s="715"/>
      <c r="X31" s="715"/>
      <c r="Y31" s="715"/>
      <c r="Z31" s="715"/>
      <c r="AA31" s="715"/>
      <c r="AB31" s="715"/>
      <c r="AC31" s="715"/>
      <c r="AD31" s="715"/>
      <c r="AE31" s="715"/>
      <c r="AF31" s="682"/>
    </row>
    <row r="32" customFormat="false" ht="15.75" hidden="false" customHeight="true" outlineLevel="0" collapsed="false">
      <c r="A32" s="708"/>
      <c r="B32" s="728"/>
      <c r="C32" s="728"/>
      <c r="D32" s="728"/>
      <c r="E32" s="729"/>
      <c r="F32" s="729"/>
      <c r="G32" s="729"/>
      <c r="H32" s="729"/>
      <c r="I32" s="729"/>
      <c r="J32" s="729"/>
      <c r="K32" s="729"/>
      <c r="L32" s="730" t="s">
        <v>25</v>
      </c>
      <c r="M32" s="731" t="n">
        <f aca="false">SUM(M28:P31)</f>
        <v>0</v>
      </c>
      <c r="N32" s="731"/>
      <c r="O32" s="731"/>
      <c r="P32" s="731"/>
      <c r="Q32" s="732" t="n">
        <f aca="false">M33*((Z28*Z29)+Z27)*Z30</f>
        <v>0</v>
      </c>
      <c r="R32" s="732"/>
      <c r="S32" s="732"/>
      <c r="T32" s="732"/>
      <c r="U32" s="682"/>
      <c r="V32" s="715"/>
      <c r="W32" s="715"/>
      <c r="X32" s="715"/>
      <c r="Y32" s="715"/>
      <c r="Z32" s="715"/>
      <c r="AA32" s="715"/>
      <c r="AB32" s="715"/>
      <c r="AC32" s="715"/>
      <c r="AD32" s="715"/>
      <c r="AE32" s="715"/>
      <c r="AF32" s="682"/>
    </row>
    <row r="33" customFormat="false" ht="15.75" hidden="false" customHeight="true" outlineLevel="0" collapsed="false">
      <c r="A33" s="691"/>
      <c r="B33" s="728"/>
      <c r="C33" s="728"/>
      <c r="D33" s="728"/>
      <c r="E33" s="729"/>
      <c r="F33" s="729"/>
      <c r="G33" s="729"/>
      <c r="H33" s="729"/>
      <c r="I33" s="729"/>
      <c r="J33" s="729"/>
      <c r="K33" s="729"/>
      <c r="L33" s="730" t="s">
        <v>2255</v>
      </c>
      <c r="M33" s="733" t="n">
        <f aca="false">ROUNDUP(M32,0)</f>
        <v>0</v>
      </c>
      <c r="N33" s="733"/>
      <c r="O33" s="733"/>
      <c r="P33" s="733"/>
      <c r="Q33" s="732"/>
      <c r="R33" s="732"/>
      <c r="S33" s="732"/>
      <c r="T33" s="732"/>
      <c r="U33" s="682"/>
      <c r="V33" s="734"/>
      <c r="W33" s="734"/>
      <c r="X33" s="734"/>
      <c r="Y33" s="734"/>
      <c r="Z33" s="735"/>
      <c r="AA33" s="735"/>
      <c r="AB33" s="735"/>
      <c r="AC33" s="736"/>
      <c r="AD33" s="736"/>
      <c r="AE33" s="736"/>
      <c r="AF33" s="682"/>
    </row>
    <row r="34" customFormat="false" ht="15.75" hidden="false" customHeight="true" outlineLevel="0" collapsed="false">
      <c r="A34" s="691"/>
      <c r="B34" s="728"/>
      <c r="C34" s="728"/>
      <c r="D34" s="728"/>
      <c r="E34" s="729"/>
      <c r="F34" s="729"/>
      <c r="G34" s="729"/>
      <c r="H34" s="729"/>
      <c r="I34" s="729"/>
      <c r="J34" s="729"/>
      <c r="K34" s="729"/>
      <c r="L34" s="729"/>
      <c r="M34" s="737"/>
      <c r="N34" s="737"/>
      <c r="O34" s="737"/>
      <c r="P34" s="737"/>
      <c r="Q34" s="738"/>
      <c r="R34" s="738"/>
      <c r="S34" s="738"/>
      <c r="T34" s="738"/>
      <c r="U34" s="682"/>
      <c r="V34" s="734"/>
      <c r="W34" s="734"/>
      <c r="X34" s="734"/>
      <c r="Y34" s="734"/>
      <c r="Z34" s="735"/>
      <c r="AA34" s="735"/>
      <c r="AB34" s="735"/>
      <c r="AC34" s="736"/>
      <c r="AD34" s="736"/>
      <c r="AE34" s="736"/>
      <c r="AF34" s="682"/>
    </row>
    <row r="35" customFormat="false" ht="15.75" hidden="false" customHeight="true" outlineLevel="0" collapsed="false">
      <c r="A35" s="691"/>
      <c r="B35" s="739" t="s">
        <v>2256</v>
      </c>
      <c r="C35" s="739"/>
      <c r="D35" s="739"/>
      <c r="E35" s="739"/>
      <c r="F35" s="739"/>
      <c r="G35" s="739"/>
      <c r="H35" s="739"/>
      <c r="I35" s="739"/>
      <c r="J35" s="739"/>
      <c r="K35" s="739"/>
      <c r="L35" s="739"/>
      <c r="M35" s="739"/>
      <c r="N35" s="739"/>
      <c r="O35" s="739"/>
      <c r="P35" s="739"/>
      <c r="Q35" s="739"/>
      <c r="R35" s="739"/>
      <c r="S35" s="739"/>
      <c r="T35" s="739"/>
      <c r="U35" s="739"/>
      <c r="V35" s="739"/>
      <c r="W35" s="739"/>
      <c r="X35" s="739"/>
      <c r="Y35" s="739"/>
      <c r="Z35" s="739"/>
      <c r="AA35" s="739"/>
      <c r="AB35" s="739"/>
      <c r="AC35" s="739"/>
      <c r="AD35" s="739"/>
      <c r="AE35" s="739"/>
      <c r="AF35" s="740"/>
    </row>
    <row r="36" customFormat="false" ht="15.75" hidden="false" customHeight="true" outlineLevel="0" collapsed="false">
      <c r="A36" s="691"/>
      <c r="B36" s="739"/>
      <c r="C36" s="739"/>
      <c r="D36" s="739"/>
      <c r="E36" s="739"/>
      <c r="F36" s="739"/>
      <c r="G36" s="739"/>
      <c r="H36" s="739"/>
      <c r="I36" s="739"/>
      <c r="J36" s="739"/>
      <c r="K36" s="739"/>
      <c r="L36" s="739"/>
      <c r="M36" s="739"/>
      <c r="N36" s="739"/>
      <c r="O36" s="739"/>
      <c r="P36" s="739"/>
      <c r="Q36" s="739"/>
      <c r="R36" s="739"/>
      <c r="S36" s="739"/>
      <c r="T36" s="739"/>
      <c r="U36" s="739"/>
      <c r="V36" s="739"/>
      <c r="W36" s="739"/>
      <c r="X36" s="739"/>
      <c r="Y36" s="739"/>
      <c r="Z36" s="739"/>
      <c r="AA36" s="739"/>
      <c r="AB36" s="739"/>
      <c r="AC36" s="739"/>
      <c r="AD36" s="739"/>
      <c r="AE36" s="739"/>
      <c r="AF36" s="740"/>
    </row>
    <row r="37" customFormat="false" ht="15.75" hidden="false" customHeight="true" outlineLevel="0" collapsed="false">
      <c r="A37" s="691"/>
      <c r="B37" s="739"/>
      <c r="C37" s="739"/>
      <c r="D37" s="739"/>
      <c r="E37" s="739"/>
      <c r="F37" s="739"/>
      <c r="G37" s="739"/>
      <c r="H37" s="739"/>
      <c r="I37" s="739"/>
      <c r="J37" s="739"/>
      <c r="K37" s="739"/>
      <c r="L37" s="739"/>
      <c r="M37" s="739"/>
      <c r="N37" s="739"/>
      <c r="O37" s="739"/>
      <c r="P37" s="739"/>
      <c r="Q37" s="739"/>
      <c r="R37" s="739"/>
      <c r="S37" s="739"/>
      <c r="T37" s="739"/>
      <c r="U37" s="739"/>
      <c r="V37" s="739"/>
      <c r="W37" s="739"/>
      <c r="X37" s="739"/>
      <c r="Y37" s="739"/>
      <c r="Z37" s="739"/>
      <c r="AA37" s="739"/>
      <c r="AB37" s="739"/>
      <c r="AC37" s="739"/>
      <c r="AD37" s="739"/>
      <c r="AE37" s="739"/>
      <c r="AF37" s="740"/>
    </row>
    <row r="38" customFormat="false" ht="15.75" hidden="false" customHeight="true" outlineLevel="0" collapsed="false">
      <c r="A38" s="691"/>
      <c r="B38" s="739"/>
      <c r="C38" s="739"/>
      <c r="D38" s="739"/>
      <c r="E38" s="739"/>
      <c r="F38" s="739"/>
      <c r="G38" s="739"/>
      <c r="H38" s="739"/>
      <c r="I38" s="739"/>
      <c r="J38" s="739"/>
      <c r="K38" s="739"/>
      <c r="L38" s="739"/>
      <c r="M38" s="739"/>
      <c r="N38" s="739"/>
      <c r="O38" s="739"/>
      <c r="P38" s="739"/>
      <c r="Q38" s="739"/>
      <c r="R38" s="739"/>
      <c r="S38" s="739"/>
      <c r="T38" s="739"/>
      <c r="U38" s="739"/>
      <c r="V38" s="739"/>
      <c r="W38" s="739"/>
      <c r="X38" s="739"/>
      <c r="Y38" s="739"/>
      <c r="Z38" s="739"/>
      <c r="AA38" s="739"/>
      <c r="AB38" s="739"/>
      <c r="AC38" s="739"/>
      <c r="AD38" s="739"/>
      <c r="AE38" s="739"/>
      <c r="AF38" s="740"/>
    </row>
    <row r="39" customFormat="false" ht="15.75" hidden="false" customHeight="true" outlineLevel="0" collapsed="false">
      <c r="A39" s="691"/>
      <c r="B39" s="739"/>
      <c r="C39" s="739"/>
      <c r="D39" s="739"/>
      <c r="E39" s="739"/>
      <c r="F39" s="739"/>
      <c r="G39" s="739"/>
      <c r="H39" s="739"/>
      <c r="I39" s="739"/>
      <c r="J39" s="739"/>
      <c r="K39" s="739"/>
      <c r="L39" s="739"/>
      <c r="M39" s="739"/>
      <c r="N39" s="739"/>
      <c r="O39" s="739"/>
      <c r="P39" s="739"/>
      <c r="Q39" s="739"/>
      <c r="R39" s="739"/>
      <c r="S39" s="739"/>
      <c r="T39" s="739"/>
      <c r="U39" s="739"/>
      <c r="V39" s="739"/>
      <c r="W39" s="739"/>
      <c r="X39" s="739"/>
      <c r="Y39" s="739"/>
      <c r="Z39" s="739"/>
      <c r="AA39" s="739"/>
      <c r="AB39" s="739"/>
      <c r="AC39" s="739"/>
      <c r="AD39" s="739"/>
      <c r="AE39" s="739"/>
      <c r="AF39" s="740"/>
    </row>
    <row r="40" customFormat="false" ht="15.75" hidden="false" customHeight="true" outlineLevel="0" collapsed="false">
      <c r="A40" s="691"/>
      <c r="B40" s="739"/>
      <c r="C40" s="739"/>
      <c r="D40" s="739"/>
      <c r="E40" s="739"/>
      <c r="F40" s="739"/>
      <c r="G40" s="739"/>
      <c r="H40" s="739"/>
      <c r="I40" s="739"/>
      <c r="J40" s="739"/>
      <c r="K40" s="739"/>
      <c r="L40" s="739"/>
      <c r="M40" s="739"/>
      <c r="N40" s="739"/>
      <c r="O40" s="739"/>
      <c r="P40" s="739"/>
      <c r="Q40" s="739"/>
      <c r="R40" s="739"/>
      <c r="S40" s="739"/>
      <c r="T40" s="739"/>
      <c r="U40" s="739"/>
      <c r="V40" s="739"/>
      <c r="W40" s="739"/>
      <c r="X40" s="739"/>
      <c r="Y40" s="739"/>
      <c r="Z40" s="739"/>
      <c r="AA40" s="739"/>
      <c r="AB40" s="739"/>
      <c r="AC40" s="739"/>
      <c r="AD40" s="739"/>
      <c r="AE40" s="739"/>
      <c r="AF40" s="740"/>
    </row>
    <row r="41" customFormat="false" ht="15.75" hidden="false" customHeight="true" outlineLevel="0" collapsed="false">
      <c r="A41" s="691"/>
      <c r="B41" s="739"/>
      <c r="C41" s="739"/>
      <c r="D41" s="739"/>
      <c r="E41" s="739"/>
      <c r="F41" s="739"/>
      <c r="G41" s="739"/>
      <c r="H41" s="739"/>
      <c r="I41" s="739"/>
      <c r="J41" s="739"/>
      <c r="K41" s="739"/>
      <c r="L41" s="739"/>
      <c r="M41" s="739"/>
      <c r="N41" s="739"/>
      <c r="O41" s="739"/>
      <c r="P41" s="739"/>
      <c r="Q41" s="739"/>
      <c r="R41" s="739"/>
      <c r="S41" s="739"/>
      <c r="T41" s="739"/>
      <c r="U41" s="739"/>
      <c r="V41" s="739"/>
      <c r="W41" s="739"/>
      <c r="X41" s="739"/>
      <c r="Y41" s="739"/>
      <c r="Z41" s="739"/>
      <c r="AA41" s="739"/>
      <c r="AB41" s="739"/>
      <c r="AC41" s="739"/>
      <c r="AD41" s="739"/>
      <c r="AE41" s="739"/>
      <c r="AF41" s="740"/>
    </row>
    <row r="42" customFormat="false" ht="15.75" hidden="false" customHeight="true" outlineLevel="0" collapsed="false">
      <c r="A42" s="691"/>
      <c r="B42" s="739"/>
      <c r="C42" s="739"/>
      <c r="D42" s="739"/>
      <c r="E42" s="739"/>
      <c r="F42" s="739"/>
      <c r="G42" s="739"/>
      <c r="H42" s="739"/>
      <c r="I42" s="739"/>
      <c r="J42" s="739"/>
      <c r="K42" s="739"/>
      <c r="L42" s="739"/>
      <c r="M42" s="739"/>
      <c r="N42" s="739"/>
      <c r="O42" s="739"/>
      <c r="P42" s="739"/>
      <c r="Q42" s="739"/>
      <c r="R42" s="739"/>
      <c r="S42" s="739"/>
      <c r="T42" s="739"/>
      <c r="U42" s="739"/>
      <c r="V42" s="739"/>
      <c r="W42" s="739"/>
      <c r="X42" s="739"/>
      <c r="Y42" s="739"/>
      <c r="Z42" s="739"/>
      <c r="AA42" s="739"/>
      <c r="AB42" s="739"/>
      <c r="AC42" s="739"/>
      <c r="AD42" s="739"/>
      <c r="AE42" s="739"/>
      <c r="AF42" s="740"/>
    </row>
    <row r="43" customFormat="false" ht="15.75" hidden="false" customHeight="true" outlineLevel="0" collapsed="false">
      <c r="A43" s="691"/>
      <c r="B43" s="682"/>
      <c r="C43" s="682"/>
      <c r="D43" s="682" t="s">
        <v>2257</v>
      </c>
      <c r="E43" s="682"/>
      <c r="F43" s="682"/>
      <c r="G43" s="682"/>
      <c r="H43" s="682"/>
      <c r="I43" s="682"/>
      <c r="J43" s="682"/>
      <c r="K43" s="682"/>
      <c r="L43" s="682"/>
      <c r="M43" s="682"/>
      <c r="N43" s="682"/>
      <c r="O43" s="682"/>
      <c r="P43" s="682"/>
      <c r="Q43" s="682"/>
      <c r="R43" s="682"/>
      <c r="S43" s="682"/>
      <c r="T43" s="682"/>
      <c r="U43" s="682"/>
      <c r="V43" s="682"/>
      <c r="W43" s="682"/>
      <c r="X43" s="682"/>
      <c r="Y43" s="682"/>
      <c r="Z43" s="682"/>
      <c r="AA43" s="682"/>
      <c r="AB43" s="682"/>
      <c r="AC43" s="682"/>
      <c r="AD43" s="682"/>
      <c r="AE43" s="741"/>
      <c r="AF43" s="682"/>
    </row>
    <row r="44" customFormat="false" ht="15.75" hidden="false" customHeight="true" outlineLevel="0" collapsed="false">
      <c r="A44" s="742" t="s">
        <v>26</v>
      </c>
      <c r="B44" s="742"/>
      <c r="C44" s="742"/>
      <c r="D44" s="742"/>
      <c r="E44" s="742"/>
      <c r="F44" s="742"/>
      <c r="G44" s="742"/>
      <c r="H44" s="743" t="n">
        <f aca="false">N24</f>
        <v>1129</v>
      </c>
      <c r="I44" s="743"/>
      <c r="J44" s="743"/>
      <c r="K44" s="743"/>
      <c r="L44" s="744" t="s">
        <v>1656</v>
      </c>
      <c r="M44" s="745"/>
      <c r="N44" s="745"/>
      <c r="O44" s="746"/>
      <c r="P44" s="746"/>
      <c r="Q44" s="746"/>
      <c r="R44" s="744"/>
      <c r="S44" s="744"/>
      <c r="T44" s="744"/>
      <c r="U44" s="744"/>
      <c r="V44" s="744"/>
      <c r="W44" s="744"/>
      <c r="X44" s="744"/>
      <c r="Y44" s="747"/>
      <c r="Z44" s="748"/>
      <c r="AA44" s="748"/>
      <c r="AB44" s="748"/>
      <c r="AC44" s="749"/>
      <c r="AD44" s="750"/>
      <c r="AE44" s="750"/>
      <c r="AF44" s="750"/>
    </row>
    <row r="45" customFormat="false" ht="15.75" hidden="false" customHeight="true" outlineLevel="0" collapsed="false">
      <c r="A45" s="688" t="s">
        <v>1522</v>
      </c>
      <c r="B45" s="688"/>
      <c r="C45" s="751" t="n">
        <f aca="false">$C$5</f>
        <v>21451</v>
      </c>
      <c r="D45" s="751"/>
      <c r="E45" s="751"/>
      <c r="F45" s="751"/>
      <c r="G45" s="751"/>
      <c r="H45" s="751"/>
      <c r="I45" s="751"/>
      <c r="J45" s="751"/>
      <c r="K45" s="751"/>
      <c r="L45" s="751"/>
      <c r="M45" s="688" t="s">
        <v>1523</v>
      </c>
      <c r="N45" s="688"/>
      <c r="O45" s="688"/>
      <c r="P45" s="688"/>
      <c r="Q45" s="688"/>
      <c r="R45" s="752" t="str">
        <f aca="false">$R$5</f>
        <v>Automotive Organizational Shop</v>
      </c>
      <c r="S45" s="752"/>
      <c r="T45" s="752"/>
      <c r="U45" s="752"/>
      <c r="V45" s="752"/>
      <c r="W45" s="752"/>
      <c r="X45" s="752"/>
      <c r="Y45" s="752"/>
      <c r="Z45" s="752"/>
      <c r="AA45" s="752"/>
      <c r="AB45" s="752"/>
      <c r="AC45" s="752"/>
      <c r="AD45" s="752"/>
      <c r="AE45" s="752"/>
      <c r="AF45" s="752"/>
    </row>
    <row r="46" customFormat="false" ht="15.75" hidden="false" customHeight="true" outlineLevel="0" collapsed="false">
      <c r="A46" s="736"/>
      <c r="B46" s="682"/>
      <c r="C46" s="682"/>
      <c r="D46" s="682"/>
      <c r="E46" s="682"/>
      <c r="F46" s="682"/>
      <c r="G46" s="682"/>
      <c r="H46" s="682"/>
      <c r="I46" s="682"/>
      <c r="J46" s="682"/>
      <c r="K46" s="682"/>
      <c r="L46" s="682"/>
      <c r="M46" s="682"/>
      <c r="N46" s="682"/>
      <c r="O46" s="682"/>
      <c r="P46" s="682"/>
      <c r="Q46" s="682"/>
      <c r="R46" s="682"/>
      <c r="S46" s="682"/>
      <c r="T46" s="682"/>
      <c r="U46" s="682"/>
      <c r="V46" s="682"/>
      <c r="W46" s="682"/>
      <c r="X46" s="682"/>
      <c r="Y46" s="682"/>
      <c r="Z46" s="753"/>
      <c r="AA46" s="753"/>
      <c r="AB46" s="753"/>
      <c r="AC46" s="753"/>
      <c r="AD46" s="753"/>
      <c r="AE46" s="736"/>
      <c r="AF46" s="736"/>
    </row>
    <row r="47" customFormat="false" ht="15.75" hidden="false" customHeight="true" outlineLevel="0" collapsed="false">
      <c r="A47" s="736"/>
      <c r="B47" s="696" t="s">
        <v>2258</v>
      </c>
      <c r="C47" s="736"/>
      <c r="D47" s="736"/>
      <c r="E47" s="736"/>
      <c r="F47" s="736"/>
      <c r="G47" s="736"/>
      <c r="H47" s="736"/>
      <c r="I47" s="736"/>
      <c r="J47" s="736"/>
      <c r="K47" s="736"/>
      <c r="L47" s="736"/>
      <c r="M47" s="736"/>
      <c r="N47" s="736"/>
      <c r="O47" s="736"/>
      <c r="P47" s="736"/>
      <c r="Q47" s="736"/>
      <c r="R47" s="736"/>
      <c r="S47" s="736"/>
      <c r="T47" s="736"/>
      <c r="U47" s="736"/>
      <c r="V47" s="736"/>
      <c r="W47" s="736"/>
      <c r="X47" s="736"/>
      <c r="Y47" s="736"/>
      <c r="Z47" s="682"/>
      <c r="AA47" s="682"/>
      <c r="AB47" s="682"/>
      <c r="AC47" s="682"/>
      <c r="AD47" s="682"/>
      <c r="AE47" s="736"/>
      <c r="AF47" s="736"/>
    </row>
    <row r="48" customFormat="false" ht="15.75" hidden="false" customHeight="true" outlineLevel="0" collapsed="false">
      <c r="A48" s="736"/>
      <c r="B48" s="754" t="str">
        <f aca="false">B28</f>
        <v>M28261</v>
      </c>
      <c r="C48" s="754"/>
      <c r="D48" s="754"/>
      <c r="E48" s="755" t="str">
        <f aca="false">INDEX($E$28:$E$32,MATCH(B48,$B$28:$B$32,0))</f>
        <v>H&amp;S CO</v>
      </c>
      <c r="F48" s="755"/>
      <c r="G48" s="755"/>
      <c r="H48" s="755"/>
      <c r="I48" s="755"/>
      <c r="J48" s="755"/>
      <c r="K48" s="755"/>
      <c r="L48" s="755"/>
      <c r="M48" s="755"/>
      <c r="N48" s="755"/>
      <c r="O48" s="755"/>
      <c r="P48" s="682"/>
      <c r="Q48" s="682"/>
      <c r="R48" s="682"/>
      <c r="S48" s="682"/>
      <c r="T48" s="682"/>
      <c r="U48" s="682"/>
      <c r="V48" s="682"/>
      <c r="W48" s="682"/>
      <c r="X48" s="682"/>
      <c r="Y48" s="682"/>
      <c r="Z48" s="682"/>
      <c r="AA48" s="682"/>
      <c r="AB48" s="682"/>
      <c r="AC48" s="682"/>
      <c r="AD48" s="682"/>
      <c r="AE48" s="736"/>
      <c r="AF48" s="736"/>
    </row>
    <row r="49" customFormat="false" ht="15.75" hidden="false" customHeight="true" outlineLevel="0" collapsed="false">
      <c r="A49" s="736"/>
      <c r="B49" s="756" t="s">
        <v>1055</v>
      </c>
      <c r="C49" s="756"/>
      <c r="D49" s="756"/>
      <c r="E49" s="757" t="s">
        <v>13</v>
      </c>
      <c r="F49" s="757"/>
      <c r="G49" s="757"/>
      <c r="H49" s="757"/>
      <c r="I49" s="757"/>
      <c r="J49" s="757"/>
      <c r="K49" s="757"/>
      <c r="L49" s="757"/>
      <c r="M49" s="757"/>
      <c r="N49" s="757" t="s">
        <v>2259</v>
      </c>
      <c r="O49" s="757"/>
      <c r="P49" s="757"/>
      <c r="Q49" s="757"/>
      <c r="R49" s="757"/>
      <c r="S49" s="757"/>
      <c r="T49" s="758" t="s">
        <v>2260</v>
      </c>
      <c r="U49" s="758"/>
      <c r="V49" s="758"/>
      <c r="W49" s="758"/>
      <c r="X49" s="758" t="s">
        <v>2261</v>
      </c>
      <c r="Y49" s="758"/>
      <c r="Z49" s="758"/>
      <c r="AA49" s="758"/>
      <c r="AB49" s="759" t="s">
        <v>2262</v>
      </c>
      <c r="AC49" s="759"/>
      <c r="AD49" s="759"/>
      <c r="AE49" s="736"/>
      <c r="AF49" s="736"/>
    </row>
    <row r="50" customFormat="false" ht="15.75" hidden="false" customHeight="true" outlineLevel="0" collapsed="false">
      <c r="A50" s="736"/>
      <c r="B50" s="756"/>
      <c r="C50" s="756"/>
      <c r="D50" s="756"/>
      <c r="E50" s="757"/>
      <c r="F50" s="757"/>
      <c r="G50" s="757"/>
      <c r="H50" s="757"/>
      <c r="I50" s="757"/>
      <c r="J50" s="757"/>
      <c r="K50" s="757"/>
      <c r="L50" s="757"/>
      <c r="M50" s="757"/>
      <c r="N50" s="757"/>
      <c r="O50" s="757"/>
      <c r="P50" s="757"/>
      <c r="Q50" s="757"/>
      <c r="R50" s="757"/>
      <c r="S50" s="757"/>
      <c r="T50" s="758"/>
      <c r="U50" s="758"/>
      <c r="V50" s="758"/>
      <c r="W50" s="758"/>
      <c r="X50" s="758"/>
      <c r="Y50" s="758"/>
      <c r="Z50" s="758"/>
      <c r="AA50" s="758"/>
      <c r="AB50" s="759"/>
      <c r="AC50" s="759"/>
      <c r="AD50" s="759"/>
      <c r="AE50" s="736"/>
      <c r="AF50" s="736"/>
    </row>
    <row r="51" customFormat="false" ht="15.75" hidden="false" customHeight="true" outlineLevel="0" collapsed="false">
      <c r="A51" s="736"/>
      <c r="B51" s="760" t="s">
        <v>1549</v>
      </c>
      <c r="C51" s="761"/>
      <c r="D51" s="761"/>
      <c r="E51" s="762" t="str">
        <f aca="false">IFERROR(VLOOKUP(B51,TE!$H$1:$Y$749,2,FALSE()),"(Not on TE)")</f>
        <v>(Not on TE)</v>
      </c>
      <c r="F51" s="763"/>
      <c r="G51" s="763"/>
      <c r="H51" s="763"/>
      <c r="I51" s="763"/>
      <c r="J51" s="763"/>
      <c r="K51" s="763"/>
      <c r="L51" s="763"/>
      <c r="M51" s="763"/>
      <c r="N51" s="764" t="str">
        <f aca="false">IFERROR(VLOOKUP(B51,TE!$H$1:$Y$749,18,FALSE()),"")</f>
        <v/>
      </c>
      <c r="O51" s="764"/>
      <c r="P51" s="764"/>
      <c r="Q51" s="764"/>
      <c r="R51" s="764"/>
      <c r="S51" s="764"/>
      <c r="T51" s="764" t="n">
        <f aca="false">IFERROR(SUMIFS(TE!$O:$O,TE!$G:$G,$B$48,TE!$I:$I,B51,TE!$D:$D,$C$5),"")</f>
        <v>0</v>
      </c>
      <c r="U51" s="764"/>
      <c r="V51" s="764"/>
      <c r="W51" s="764"/>
      <c r="X51" s="723" t="str">
        <f aca="false">IFERROR(VLOOKUP(B51,TE!$H$1:$Y$630,14,FALSE()),"0")</f>
        <v>0</v>
      </c>
      <c r="Y51" s="723"/>
      <c r="Z51" s="723"/>
      <c r="AA51" s="723"/>
      <c r="AB51" s="765" t="n">
        <f aca="false">T51*X51</f>
        <v>0</v>
      </c>
      <c r="AC51" s="765"/>
      <c r="AD51" s="765"/>
      <c r="AE51" s="736"/>
      <c r="AF51" s="736"/>
    </row>
    <row r="52" customFormat="false" ht="15.75" hidden="false" customHeight="true" outlineLevel="0" collapsed="false">
      <c r="A52" s="736"/>
      <c r="B52" s="760" t="s">
        <v>1550</v>
      </c>
      <c r="C52" s="761"/>
      <c r="D52" s="761"/>
      <c r="E52" s="762" t="str">
        <f aca="false">IFERROR(VLOOKUP(B52,TE!$H$1:$Y$749,2,FALSE()),"(Not on TE)")</f>
        <v>(Not on TE)</v>
      </c>
      <c r="F52" s="763"/>
      <c r="G52" s="763"/>
      <c r="H52" s="763"/>
      <c r="I52" s="763"/>
      <c r="J52" s="763"/>
      <c r="K52" s="763"/>
      <c r="L52" s="763"/>
      <c r="M52" s="763"/>
      <c r="N52" s="764" t="str">
        <f aca="false">IFERROR(VLOOKUP(B52,TE!$H$1:$Y$749,18,FALSE()),"")</f>
        <v/>
      </c>
      <c r="O52" s="764"/>
      <c r="P52" s="764"/>
      <c r="Q52" s="764"/>
      <c r="R52" s="764"/>
      <c r="S52" s="764"/>
      <c r="T52" s="764" t="n">
        <f aca="false">IFERROR(SUMIFS(TE!$O:$O,TE!$G:$G,$B$48,TE!$I:$I,B52,TE!$D:$D,$C$5),"")</f>
        <v>0</v>
      </c>
      <c r="U52" s="764"/>
      <c r="V52" s="764"/>
      <c r="W52" s="764"/>
      <c r="X52" s="723" t="str">
        <f aca="false">IFERROR(VLOOKUP(B52,TE!$H$1:$Y$630,14,FALSE()),"0")</f>
        <v>0</v>
      </c>
      <c r="Y52" s="723"/>
      <c r="Z52" s="723"/>
      <c r="AA52" s="723"/>
      <c r="AB52" s="765" t="n">
        <f aca="false">T52*X52</f>
        <v>0</v>
      </c>
      <c r="AC52" s="765"/>
      <c r="AD52" s="765"/>
      <c r="AE52" s="736"/>
      <c r="AF52" s="736"/>
    </row>
    <row r="53" customFormat="false" ht="15.75" hidden="false" customHeight="true" outlineLevel="0" collapsed="false">
      <c r="A53" s="736"/>
      <c r="B53" s="760" t="s">
        <v>2263</v>
      </c>
      <c r="C53" s="761"/>
      <c r="D53" s="761"/>
      <c r="E53" s="762" t="str">
        <f aca="false">IFERROR(VLOOKUP(B53,TE!$H$1:$Y$749,2,FALSE()),"(Not on TE)")</f>
        <v>(Not on TE)</v>
      </c>
      <c r="F53" s="763"/>
      <c r="G53" s="763"/>
      <c r="H53" s="763"/>
      <c r="I53" s="763"/>
      <c r="J53" s="763"/>
      <c r="K53" s="763"/>
      <c r="L53" s="763"/>
      <c r="M53" s="763"/>
      <c r="N53" s="764" t="str">
        <f aca="false">IFERROR(VLOOKUP(B53,TE!$H$1:$Y$749,18,FALSE()),"")</f>
        <v/>
      </c>
      <c r="O53" s="764"/>
      <c r="P53" s="764"/>
      <c r="Q53" s="764"/>
      <c r="R53" s="764"/>
      <c r="S53" s="764"/>
      <c r="T53" s="764" t="n">
        <f aca="false">IFERROR(SUMIFS(TE!$O:$O,TE!$G:$G,$B$48,TE!$I:$I,B53,TE!$D:$D,$C$5),"")</f>
        <v>0</v>
      </c>
      <c r="U53" s="764"/>
      <c r="V53" s="764"/>
      <c r="W53" s="764"/>
      <c r="X53" s="723" t="str">
        <f aca="false">IFERROR(VLOOKUP(B53,TE!$H$1:$Y$630,14,FALSE()),"0")</f>
        <v>0</v>
      </c>
      <c r="Y53" s="723"/>
      <c r="Z53" s="723"/>
      <c r="AA53" s="723"/>
      <c r="AB53" s="765" t="n">
        <f aca="false">T53*X53</f>
        <v>0</v>
      </c>
      <c r="AC53" s="765"/>
      <c r="AD53" s="765"/>
      <c r="AE53" s="736"/>
      <c r="AF53" s="736"/>
    </row>
    <row r="54" customFormat="false" ht="15.75" hidden="false" customHeight="true" outlineLevel="0" collapsed="false">
      <c r="A54" s="736"/>
      <c r="B54" s="760" t="s">
        <v>2264</v>
      </c>
      <c r="C54" s="761"/>
      <c r="D54" s="761"/>
      <c r="E54" s="762" t="str">
        <f aca="false">IFERROR(VLOOKUP(B54,TE!$H$1:$Y$749,2,FALSE()),"(Not on TE)")</f>
        <v>(Not on TE)</v>
      </c>
      <c r="F54" s="763"/>
      <c r="G54" s="763"/>
      <c r="H54" s="763"/>
      <c r="I54" s="763"/>
      <c r="J54" s="763"/>
      <c r="K54" s="763"/>
      <c r="L54" s="763"/>
      <c r="M54" s="763"/>
      <c r="N54" s="764" t="str">
        <f aca="false">IFERROR(VLOOKUP(B54,TE!$H$1:$Y$749,18,FALSE()),"")</f>
        <v/>
      </c>
      <c r="O54" s="764"/>
      <c r="P54" s="764"/>
      <c r="Q54" s="764"/>
      <c r="R54" s="764"/>
      <c r="S54" s="764"/>
      <c r="T54" s="764" t="n">
        <f aca="false">IFERROR(SUMIFS(TE!$O:$O,TE!$G:$G,$B$48,TE!$I:$I,B54,TE!$D:$D,$C$5),"")</f>
        <v>0</v>
      </c>
      <c r="U54" s="764"/>
      <c r="V54" s="764"/>
      <c r="W54" s="764"/>
      <c r="X54" s="723" t="str">
        <f aca="false">IFERROR(VLOOKUP(B54,TE!$H$1:$Y$630,14,FALSE()),"0")</f>
        <v>0</v>
      </c>
      <c r="Y54" s="723"/>
      <c r="Z54" s="723"/>
      <c r="AA54" s="723"/>
      <c r="AB54" s="765" t="n">
        <f aca="false">T54*X54</f>
        <v>0</v>
      </c>
      <c r="AC54" s="765"/>
      <c r="AD54" s="765"/>
      <c r="AE54" s="736"/>
      <c r="AF54" s="736"/>
    </row>
    <row r="55" customFormat="false" ht="15.75" hidden="false" customHeight="true" outlineLevel="0" collapsed="false">
      <c r="A55" s="736"/>
      <c r="B55" s="760" t="s">
        <v>1551</v>
      </c>
      <c r="C55" s="761"/>
      <c r="D55" s="761"/>
      <c r="E55" s="762" t="str">
        <f aca="false">IFERROR(VLOOKUP(B55,TE!$H$1:$Y$749,2,FALSE()),"(Not on TE)")</f>
        <v>(Not on TE)</v>
      </c>
      <c r="F55" s="763"/>
      <c r="G55" s="763"/>
      <c r="H55" s="763"/>
      <c r="I55" s="763"/>
      <c r="J55" s="763"/>
      <c r="K55" s="763"/>
      <c r="L55" s="763"/>
      <c r="M55" s="763"/>
      <c r="N55" s="764" t="str">
        <f aca="false">IFERROR(VLOOKUP(B55,TE!$H$1:$Y$749,18,FALSE()),"")</f>
        <v/>
      </c>
      <c r="O55" s="764"/>
      <c r="P55" s="764"/>
      <c r="Q55" s="764"/>
      <c r="R55" s="764"/>
      <c r="S55" s="764"/>
      <c r="T55" s="764" t="n">
        <f aca="false">IFERROR(SUMIFS(TE!$O:$O,TE!$G:$G,$B$48,TE!$I:$I,B55,TE!$D:$D,$C$5),"")</f>
        <v>0</v>
      </c>
      <c r="U55" s="764"/>
      <c r="V55" s="764"/>
      <c r="W55" s="764"/>
      <c r="X55" s="723" t="str">
        <f aca="false">IFERROR(VLOOKUP(B55,TE!$H$1:$Y$630,14,FALSE()),"0")</f>
        <v>0</v>
      </c>
      <c r="Y55" s="723"/>
      <c r="Z55" s="723"/>
      <c r="AA55" s="723"/>
      <c r="AB55" s="765" t="n">
        <f aca="false">T55*X55</f>
        <v>0</v>
      </c>
      <c r="AC55" s="765"/>
      <c r="AD55" s="765"/>
      <c r="AE55" s="736"/>
      <c r="AF55" s="736"/>
    </row>
    <row r="56" customFormat="false" ht="15.75" hidden="false" customHeight="true" outlineLevel="0" collapsed="false">
      <c r="A56" s="736"/>
      <c r="B56" s="760" t="s">
        <v>2265</v>
      </c>
      <c r="C56" s="761"/>
      <c r="D56" s="761"/>
      <c r="E56" s="762" t="str">
        <f aca="false">IFERROR(VLOOKUP(B56,TE!$H$1:$Y$749,2,FALSE()),"(Not on TE)")</f>
        <v>(Not on TE)</v>
      </c>
      <c r="F56" s="763"/>
      <c r="G56" s="763"/>
      <c r="H56" s="763"/>
      <c r="I56" s="763"/>
      <c r="J56" s="763"/>
      <c r="K56" s="763"/>
      <c r="L56" s="763"/>
      <c r="M56" s="763"/>
      <c r="N56" s="764" t="str">
        <f aca="false">IFERROR(VLOOKUP(B56,TE!$H$1:$Y$749,18,FALSE()),"")</f>
        <v/>
      </c>
      <c r="O56" s="764"/>
      <c r="P56" s="764"/>
      <c r="Q56" s="764"/>
      <c r="R56" s="764"/>
      <c r="S56" s="764"/>
      <c r="T56" s="764" t="n">
        <f aca="false">IFERROR(SUMIFS(TE!$O:$O,TE!$G:$G,$B$48,TE!$I:$I,B56,TE!$D:$D,$C$5),"")</f>
        <v>0</v>
      </c>
      <c r="U56" s="764"/>
      <c r="V56" s="764"/>
      <c r="W56" s="764"/>
      <c r="X56" s="723" t="str">
        <f aca="false">IFERROR(VLOOKUP(B56,TE!$H$1:$Y$630,14,FALSE()),"0")</f>
        <v>0</v>
      </c>
      <c r="Y56" s="723"/>
      <c r="Z56" s="723"/>
      <c r="AA56" s="723"/>
      <c r="AB56" s="765" t="n">
        <f aca="false">T56*X56</f>
        <v>0</v>
      </c>
      <c r="AC56" s="765"/>
      <c r="AD56" s="765"/>
      <c r="AE56" s="736"/>
      <c r="AF56" s="736"/>
    </row>
    <row r="57" customFormat="false" ht="15.75" hidden="false" customHeight="true" outlineLevel="0" collapsed="false">
      <c r="A57" s="736"/>
      <c r="B57" s="760" t="s">
        <v>1552</v>
      </c>
      <c r="C57" s="761"/>
      <c r="D57" s="761"/>
      <c r="E57" s="762" t="str">
        <f aca="false">IFERROR(VLOOKUP(B57,TE!$H$1:$Y$749,2,FALSE()),"(Not on TE)")</f>
        <v>(Not on TE)</v>
      </c>
      <c r="F57" s="763"/>
      <c r="G57" s="763"/>
      <c r="H57" s="763"/>
      <c r="I57" s="763"/>
      <c r="J57" s="763"/>
      <c r="K57" s="763"/>
      <c r="L57" s="763"/>
      <c r="M57" s="763"/>
      <c r="N57" s="764" t="str">
        <f aca="false">IFERROR(VLOOKUP(B57,TE!$H$1:$Y$749,18,FALSE()),"")</f>
        <v/>
      </c>
      <c r="O57" s="764"/>
      <c r="P57" s="764"/>
      <c r="Q57" s="764"/>
      <c r="R57" s="764"/>
      <c r="S57" s="764"/>
      <c r="T57" s="764" t="n">
        <f aca="false">IFERROR(SUMIFS(TE!$O:$O,TE!$G:$G,$B$48,TE!$I:$I,B57,TE!$D:$D,$C$5),"")</f>
        <v>0</v>
      </c>
      <c r="U57" s="764"/>
      <c r="V57" s="764"/>
      <c r="W57" s="764"/>
      <c r="X57" s="723" t="str">
        <f aca="false">IFERROR(VLOOKUP(B57,TE!$H$1:$Y$630,14,FALSE()),"0")</f>
        <v>0</v>
      </c>
      <c r="Y57" s="723"/>
      <c r="Z57" s="723"/>
      <c r="AA57" s="723"/>
      <c r="AB57" s="765" t="n">
        <f aca="false">T57*X57</f>
        <v>0</v>
      </c>
      <c r="AC57" s="765"/>
      <c r="AD57" s="765"/>
      <c r="AE57" s="736"/>
      <c r="AF57" s="736"/>
    </row>
    <row r="58" customFormat="false" ht="15.75" hidden="false" customHeight="true" outlineLevel="0" collapsed="false">
      <c r="A58" s="736"/>
      <c r="B58" s="760" t="s">
        <v>1553</v>
      </c>
      <c r="C58" s="761"/>
      <c r="D58" s="761"/>
      <c r="E58" s="762" t="str">
        <f aca="false">IFERROR(VLOOKUP(B58,TE!$H$1:$Y$749,2,FALSE()),"(Not on TE)")</f>
        <v>(Not on TE)</v>
      </c>
      <c r="F58" s="763"/>
      <c r="G58" s="763"/>
      <c r="H58" s="763"/>
      <c r="I58" s="763"/>
      <c r="J58" s="763"/>
      <c r="K58" s="763"/>
      <c r="L58" s="763"/>
      <c r="M58" s="763"/>
      <c r="N58" s="764" t="str">
        <f aca="false">IFERROR(VLOOKUP(B58,TE!$H$1:$Y$749,18,FALSE()),"")</f>
        <v/>
      </c>
      <c r="O58" s="764"/>
      <c r="P58" s="764"/>
      <c r="Q58" s="764"/>
      <c r="R58" s="764"/>
      <c r="S58" s="764"/>
      <c r="T58" s="764" t="n">
        <f aca="false">IFERROR(SUMIFS(TE!$O:$O,TE!$G:$G,$B$48,TE!$I:$I,B58,TE!$D:$D,$C$5),"")</f>
        <v>0</v>
      </c>
      <c r="U58" s="764"/>
      <c r="V58" s="764"/>
      <c r="W58" s="764"/>
      <c r="X58" s="723" t="str">
        <f aca="false">IFERROR(VLOOKUP(B58,TE!$H$1:$Y$630,14,FALSE()),"0")</f>
        <v>0</v>
      </c>
      <c r="Y58" s="723"/>
      <c r="Z58" s="723"/>
      <c r="AA58" s="723"/>
      <c r="AB58" s="765" t="n">
        <f aca="false">T58*X58</f>
        <v>0</v>
      </c>
      <c r="AC58" s="765"/>
      <c r="AD58" s="765"/>
      <c r="AE58" s="736"/>
      <c r="AF58" s="736"/>
    </row>
    <row r="59" customFormat="false" ht="15.75" hidden="false" customHeight="true" outlineLevel="0" collapsed="false">
      <c r="A59" s="736"/>
      <c r="B59" s="760" t="s">
        <v>1554</v>
      </c>
      <c r="C59" s="761"/>
      <c r="D59" s="761"/>
      <c r="E59" s="762" t="str">
        <f aca="false">IFERROR(VLOOKUP(B59,TE!$H$1:$Y$749,2,FALSE()),"(Not on TE)")</f>
        <v>(Not on TE)</v>
      </c>
      <c r="F59" s="763"/>
      <c r="G59" s="763"/>
      <c r="H59" s="763"/>
      <c r="I59" s="763"/>
      <c r="J59" s="763"/>
      <c r="K59" s="763"/>
      <c r="L59" s="763"/>
      <c r="M59" s="763"/>
      <c r="N59" s="764" t="str">
        <f aca="false">IFERROR(VLOOKUP(B59,TE!$H$1:$Y$749,18,FALSE()),"")</f>
        <v/>
      </c>
      <c r="O59" s="764"/>
      <c r="P59" s="764"/>
      <c r="Q59" s="764"/>
      <c r="R59" s="764"/>
      <c r="S59" s="764"/>
      <c r="T59" s="764" t="n">
        <f aca="false">IFERROR(SUMIFS(TE!$O:$O,TE!$G:$G,$B$48,TE!$I:$I,B59,TE!$D:$D,$C$5),"")</f>
        <v>0</v>
      </c>
      <c r="U59" s="764"/>
      <c r="V59" s="764"/>
      <c r="W59" s="764"/>
      <c r="X59" s="723" t="str">
        <f aca="false">IFERROR(VLOOKUP(B59,TE!$H$1:$Y$630,14,FALSE()),"0")</f>
        <v>0</v>
      </c>
      <c r="Y59" s="723"/>
      <c r="Z59" s="723"/>
      <c r="AA59" s="723"/>
      <c r="AB59" s="765" t="n">
        <f aca="false">T59*X59</f>
        <v>0</v>
      </c>
      <c r="AC59" s="765"/>
      <c r="AD59" s="765"/>
      <c r="AE59" s="736"/>
      <c r="AF59" s="736"/>
    </row>
    <row r="60" customFormat="false" ht="15.75" hidden="false" customHeight="true" outlineLevel="0" collapsed="false">
      <c r="A60" s="736"/>
      <c r="B60" s="760" t="s">
        <v>1555</v>
      </c>
      <c r="C60" s="761"/>
      <c r="D60" s="761"/>
      <c r="E60" s="762" t="str">
        <f aca="false">IFERROR(VLOOKUP(B60,TE!$H$1:$Y$749,2,FALSE()),"(Not on TE)")</f>
        <v>(Not on TE)</v>
      </c>
      <c r="F60" s="763"/>
      <c r="G60" s="763"/>
      <c r="H60" s="763"/>
      <c r="I60" s="763"/>
      <c r="J60" s="763"/>
      <c r="K60" s="763"/>
      <c r="L60" s="763"/>
      <c r="M60" s="763"/>
      <c r="N60" s="764" t="str">
        <f aca="false">IFERROR(VLOOKUP(B60,TE!$H$1:$Y$749,18,FALSE()),"")</f>
        <v/>
      </c>
      <c r="O60" s="764"/>
      <c r="P60" s="764"/>
      <c r="Q60" s="764"/>
      <c r="R60" s="764"/>
      <c r="S60" s="764"/>
      <c r="T60" s="764" t="n">
        <f aca="false">IFERROR(SUMIFS(TE!$O:$O,TE!$G:$G,$B$48,TE!$I:$I,B60,TE!$D:$D,$C$5),"")</f>
        <v>0</v>
      </c>
      <c r="U60" s="764"/>
      <c r="V60" s="764"/>
      <c r="W60" s="764"/>
      <c r="X60" s="723" t="str">
        <f aca="false">IFERROR(VLOOKUP(B60,TE!$H$1:$Y$630,14,FALSE()),"0")</f>
        <v>0</v>
      </c>
      <c r="Y60" s="723"/>
      <c r="Z60" s="723"/>
      <c r="AA60" s="723"/>
      <c r="AB60" s="765" t="n">
        <f aca="false">T60*X60</f>
        <v>0</v>
      </c>
      <c r="AC60" s="765"/>
      <c r="AD60" s="765"/>
      <c r="AE60" s="736"/>
      <c r="AF60" s="736"/>
    </row>
    <row r="61" customFormat="false" ht="15.75" hidden="false" customHeight="true" outlineLevel="0" collapsed="false">
      <c r="A61" s="736"/>
      <c r="B61" s="760" t="s">
        <v>1556</v>
      </c>
      <c r="C61" s="761"/>
      <c r="D61" s="761"/>
      <c r="E61" s="762" t="str">
        <f aca="false">IFERROR(VLOOKUP(B61,TE!$H$1:$Y$749,2,FALSE()),"(Not on TE)")</f>
        <v>(Not on TE)</v>
      </c>
      <c r="F61" s="763"/>
      <c r="G61" s="763"/>
      <c r="H61" s="763"/>
      <c r="I61" s="763"/>
      <c r="J61" s="763"/>
      <c r="K61" s="763"/>
      <c r="L61" s="763"/>
      <c r="M61" s="763"/>
      <c r="N61" s="764" t="str">
        <f aca="false">IFERROR(VLOOKUP(B61,TE!$H$1:$Y$749,18,FALSE()),"")</f>
        <v/>
      </c>
      <c r="O61" s="764"/>
      <c r="P61" s="764"/>
      <c r="Q61" s="764"/>
      <c r="R61" s="764"/>
      <c r="S61" s="764"/>
      <c r="T61" s="764" t="n">
        <f aca="false">IFERROR(SUMIFS(TE!$O:$O,TE!$G:$G,$B$48,TE!$I:$I,B61,TE!$D:$D,$C$5),"")</f>
        <v>0</v>
      </c>
      <c r="U61" s="764"/>
      <c r="V61" s="764"/>
      <c r="W61" s="764"/>
      <c r="X61" s="723" t="str">
        <f aca="false">IFERROR(VLOOKUP(B61,TE!$H$1:$Y$630,14,FALSE()),"0")</f>
        <v>0</v>
      </c>
      <c r="Y61" s="723"/>
      <c r="Z61" s="723"/>
      <c r="AA61" s="723"/>
      <c r="AB61" s="765" t="n">
        <f aca="false">T61*X61</f>
        <v>0</v>
      </c>
      <c r="AC61" s="765"/>
      <c r="AD61" s="765"/>
      <c r="AE61" s="736"/>
      <c r="AF61" s="736"/>
    </row>
    <row r="62" customFormat="false" ht="15.75" hidden="false" customHeight="true" outlineLevel="0" collapsed="false">
      <c r="A62" s="736"/>
      <c r="B62" s="760" t="s">
        <v>2266</v>
      </c>
      <c r="C62" s="761"/>
      <c r="D62" s="761"/>
      <c r="E62" s="762" t="str">
        <f aca="false">IFERROR(VLOOKUP(B62,TE!$H$1:$Y$749,2,FALSE()),"(Not on TE)")</f>
        <v>(Not on TE)</v>
      </c>
      <c r="F62" s="763"/>
      <c r="G62" s="763"/>
      <c r="H62" s="763"/>
      <c r="I62" s="763"/>
      <c r="J62" s="763"/>
      <c r="K62" s="763"/>
      <c r="L62" s="763"/>
      <c r="M62" s="763"/>
      <c r="N62" s="764" t="str">
        <f aca="false">IFERROR(VLOOKUP(B62,TE!$H$1:$Y$749,18,FALSE()),"")</f>
        <v/>
      </c>
      <c r="O62" s="764"/>
      <c r="P62" s="764"/>
      <c r="Q62" s="764"/>
      <c r="R62" s="764"/>
      <c r="S62" s="764"/>
      <c r="T62" s="764" t="n">
        <f aca="false">IFERROR(SUMIFS(TE!$O:$O,TE!$G:$G,$B$48,TE!$I:$I,B62,TE!$D:$D,$C$5),"")</f>
        <v>0</v>
      </c>
      <c r="U62" s="764"/>
      <c r="V62" s="764"/>
      <c r="W62" s="764"/>
      <c r="X62" s="723" t="str">
        <f aca="false">IFERROR(VLOOKUP(B62,TE!$H$1:$Y$630,14,FALSE()),"0")</f>
        <v>0</v>
      </c>
      <c r="Y62" s="723"/>
      <c r="Z62" s="723"/>
      <c r="AA62" s="723"/>
      <c r="AB62" s="765" t="n">
        <f aca="false">T62*X62</f>
        <v>0</v>
      </c>
      <c r="AC62" s="765"/>
      <c r="AD62" s="765"/>
      <c r="AE62" s="736"/>
      <c r="AF62" s="736"/>
    </row>
    <row r="63" customFormat="false" ht="15.75" hidden="false" customHeight="true" outlineLevel="0" collapsed="false">
      <c r="A63" s="736"/>
      <c r="B63" s="760" t="s">
        <v>1557</v>
      </c>
      <c r="C63" s="761"/>
      <c r="D63" s="761"/>
      <c r="E63" s="762" t="str">
        <f aca="false">IFERROR(VLOOKUP(B63,TE!$H$1:$Y$749,2,FALSE()),"(Not on TE)")</f>
        <v>(Not on TE)</v>
      </c>
      <c r="F63" s="763"/>
      <c r="G63" s="763"/>
      <c r="H63" s="763"/>
      <c r="I63" s="763"/>
      <c r="J63" s="763"/>
      <c r="K63" s="763"/>
      <c r="L63" s="763"/>
      <c r="M63" s="763"/>
      <c r="N63" s="764" t="str">
        <f aca="false">IFERROR(VLOOKUP(B63,TE!$H$1:$Y$749,18,FALSE()),"")</f>
        <v/>
      </c>
      <c r="O63" s="764"/>
      <c r="P63" s="764"/>
      <c r="Q63" s="764"/>
      <c r="R63" s="764"/>
      <c r="S63" s="764"/>
      <c r="T63" s="764" t="n">
        <f aca="false">IFERROR(SUMIFS(TE!$O:$O,TE!$G:$G,$B$48,TE!$I:$I,B63,TE!$D:$D,$C$5),"")</f>
        <v>0</v>
      </c>
      <c r="U63" s="764"/>
      <c r="V63" s="764"/>
      <c r="W63" s="764"/>
      <c r="X63" s="723" t="str">
        <f aca="false">IFERROR(VLOOKUP(B63,TE!$H$1:$Y$630,14,FALSE()),"0")</f>
        <v>0</v>
      </c>
      <c r="Y63" s="723"/>
      <c r="Z63" s="723"/>
      <c r="AA63" s="723"/>
      <c r="AB63" s="765" t="n">
        <f aca="false">T63*X63</f>
        <v>0</v>
      </c>
      <c r="AC63" s="765"/>
      <c r="AD63" s="765"/>
      <c r="AE63" s="736"/>
      <c r="AF63" s="736"/>
    </row>
    <row r="64" customFormat="false" ht="15.75" hidden="false" customHeight="true" outlineLevel="0" collapsed="false">
      <c r="A64" s="736"/>
      <c r="B64" s="760" t="s">
        <v>1558</v>
      </c>
      <c r="C64" s="761"/>
      <c r="D64" s="761"/>
      <c r="E64" s="762" t="str">
        <f aca="false">IFERROR(VLOOKUP(B64,TE!$H$1:$Y$749,2,FALSE()),"(Not on TE)")</f>
        <v>(Not on TE)</v>
      </c>
      <c r="F64" s="763"/>
      <c r="G64" s="763"/>
      <c r="H64" s="763"/>
      <c r="I64" s="763"/>
      <c r="J64" s="763"/>
      <c r="K64" s="763"/>
      <c r="L64" s="763"/>
      <c r="M64" s="763"/>
      <c r="N64" s="764" t="str">
        <f aca="false">IFERROR(VLOOKUP(B64,TE!$H$1:$Y$749,18,FALSE()),"")</f>
        <v/>
      </c>
      <c r="O64" s="764"/>
      <c r="P64" s="764"/>
      <c r="Q64" s="764"/>
      <c r="R64" s="764"/>
      <c r="S64" s="764"/>
      <c r="T64" s="764" t="n">
        <f aca="false">IFERROR(SUMIFS(TE!$O:$O,TE!$G:$G,$B$48,TE!$I:$I,B64,TE!$D:$D,$C$5),"")</f>
        <v>0</v>
      </c>
      <c r="U64" s="764"/>
      <c r="V64" s="764"/>
      <c r="W64" s="764"/>
      <c r="X64" s="723" t="str">
        <f aca="false">IFERROR(VLOOKUP(B64,TE!$H$1:$Y$630,14,FALSE()),"0")</f>
        <v>0</v>
      </c>
      <c r="Y64" s="723"/>
      <c r="Z64" s="723"/>
      <c r="AA64" s="723"/>
      <c r="AB64" s="765" t="n">
        <f aca="false">T64*X64</f>
        <v>0</v>
      </c>
      <c r="AC64" s="765"/>
      <c r="AD64" s="765"/>
      <c r="AE64" s="736"/>
      <c r="AF64" s="736"/>
    </row>
    <row r="65" customFormat="false" ht="15.75" hidden="false" customHeight="true" outlineLevel="0" collapsed="false">
      <c r="A65" s="736"/>
      <c r="B65" s="760" t="s">
        <v>1563</v>
      </c>
      <c r="C65" s="761"/>
      <c r="D65" s="761"/>
      <c r="E65" s="762" t="str">
        <f aca="false">IFERROR(VLOOKUP(B65,TE!$H$1:$Y$749,2,FALSE()),"(Not on TE)")</f>
        <v>(Not on TE)</v>
      </c>
      <c r="F65" s="763"/>
      <c r="G65" s="763"/>
      <c r="H65" s="763"/>
      <c r="I65" s="763"/>
      <c r="J65" s="763"/>
      <c r="K65" s="763"/>
      <c r="L65" s="763"/>
      <c r="M65" s="763"/>
      <c r="N65" s="764" t="str">
        <f aca="false">IFERROR(VLOOKUP(B65,TE!$H$1:$Y$749,18,FALSE()),"")</f>
        <v/>
      </c>
      <c r="O65" s="764"/>
      <c r="P65" s="764"/>
      <c r="Q65" s="764"/>
      <c r="R65" s="764"/>
      <c r="S65" s="764"/>
      <c r="T65" s="764" t="n">
        <f aca="false">IFERROR(SUMIFS(TE!$O:$O,TE!$G:$G,$B$48,TE!$I:$I,B65,TE!$D:$D,$C$5),"")</f>
        <v>0</v>
      </c>
      <c r="U65" s="764"/>
      <c r="V65" s="764"/>
      <c r="W65" s="764"/>
      <c r="X65" s="723" t="str">
        <f aca="false">IFERROR(VLOOKUP(B65,TE!$H$1:$Y$630,14,FALSE()),"0")</f>
        <v>0</v>
      </c>
      <c r="Y65" s="723"/>
      <c r="Z65" s="723"/>
      <c r="AA65" s="723"/>
      <c r="AB65" s="765" t="n">
        <f aca="false">T65*X65</f>
        <v>0</v>
      </c>
      <c r="AC65" s="765"/>
      <c r="AD65" s="765"/>
      <c r="AE65" s="736"/>
      <c r="AF65" s="736"/>
    </row>
    <row r="66" customFormat="false" ht="15.75" hidden="false" customHeight="true" outlineLevel="0" collapsed="false">
      <c r="A66" s="736"/>
      <c r="B66" s="760" t="s">
        <v>1564</v>
      </c>
      <c r="C66" s="761"/>
      <c r="D66" s="761"/>
      <c r="E66" s="762" t="str">
        <f aca="false">IFERROR(VLOOKUP(B66,TE!$H$1:$Y$749,2,FALSE()),"(Not on TE)")</f>
        <v>(Not on TE)</v>
      </c>
      <c r="F66" s="763"/>
      <c r="G66" s="763"/>
      <c r="H66" s="763"/>
      <c r="I66" s="763"/>
      <c r="J66" s="763"/>
      <c r="K66" s="763"/>
      <c r="L66" s="763"/>
      <c r="M66" s="763"/>
      <c r="N66" s="764" t="str">
        <f aca="false">IFERROR(VLOOKUP(B66,TE!$H$1:$Y$749,18,FALSE()),"")</f>
        <v/>
      </c>
      <c r="O66" s="764"/>
      <c r="P66" s="764"/>
      <c r="Q66" s="764"/>
      <c r="R66" s="764"/>
      <c r="S66" s="764"/>
      <c r="T66" s="764" t="n">
        <f aca="false">IFERROR(SUMIFS(TE!$O:$O,TE!$G:$G,$B$48,TE!$I:$I,B66,TE!$D:$D,$C$5),"")</f>
        <v>0</v>
      </c>
      <c r="U66" s="764"/>
      <c r="V66" s="764"/>
      <c r="W66" s="764"/>
      <c r="X66" s="723" t="str">
        <f aca="false">IFERROR(VLOOKUP(B66,TE!$H$1:$Y$630,14,FALSE()),"0")</f>
        <v>0</v>
      </c>
      <c r="Y66" s="723"/>
      <c r="Z66" s="723"/>
      <c r="AA66" s="723"/>
      <c r="AB66" s="765" t="n">
        <f aca="false">T66*X66</f>
        <v>0</v>
      </c>
      <c r="AC66" s="765"/>
      <c r="AD66" s="765"/>
      <c r="AE66" s="736"/>
      <c r="AF66" s="736"/>
    </row>
    <row r="67" customFormat="false" ht="15.75" hidden="false" customHeight="true" outlineLevel="0" collapsed="false">
      <c r="A67" s="736"/>
      <c r="B67" s="760" t="s">
        <v>1157</v>
      </c>
      <c r="C67" s="761"/>
      <c r="D67" s="761"/>
      <c r="E67" s="762" t="str">
        <f aca="false">IFERROR(VLOOKUP(B67,TE!$H$1:$Y$749,2,FALSE()),"(Not on TE)")</f>
        <v>(Not on TE)</v>
      </c>
      <c r="F67" s="763"/>
      <c r="G67" s="763"/>
      <c r="H67" s="763"/>
      <c r="I67" s="763"/>
      <c r="J67" s="763"/>
      <c r="K67" s="763"/>
      <c r="L67" s="763"/>
      <c r="M67" s="763"/>
      <c r="N67" s="764" t="str">
        <f aca="false">IFERROR(VLOOKUP(B67,TE!$H$1:$Y$749,18,FALSE()),"")</f>
        <v/>
      </c>
      <c r="O67" s="764"/>
      <c r="P67" s="764"/>
      <c r="Q67" s="764"/>
      <c r="R67" s="764"/>
      <c r="S67" s="764"/>
      <c r="T67" s="764" t="n">
        <f aca="false">IFERROR(SUMIFS(TE!$O:$O,TE!$G:$G,$B$48,TE!$I:$I,B67,TE!$D:$D,$C$5),"")</f>
        <v>0</v>
      </c>
      <c r="U67" s="764"/>
      <c r="V67" s="764"/>
      <c r="W67" s="764"/>
      <c r="X67" s="723" t="str">
        <f aca="false">IFERROR(VLOOKUP(B67,TE!$H$1:$Y$630,14,FALSE()),"0")</f>
        <v>0</v>
      </c>
      <c r="Y67" s="723"/>
      <c r="Z67" s="723"/>
      <c r="AA67" s="723"/>
      <c r="AB67" s="765" t="n">
        <f aca="false">T67*X67</f>
        <v>0</v>
      </c>
      <c r="AC67" s="765"/>
      <c r="AD67" s="765"/>
      <c r="AE67" s="736"/>
      <c r="AF67" s="736"/>
    </row>
    <row r="68" customFormat="false" ht="15.75" hidden="false" customHeight="true" outlineLevel="0" collapsed="false">
      <c r="A68" s="736"/>
      <c r="B68" s="760" t="s">
        <v>1565</v>
      </c>
      <c r="C68" s="761"/>
      <c r="D68" s="761"/>
      <c r="E68" s="762" t="str">
        <f aca="false">IFERROR(VLOOKUP(B68,TE!$H$1:$Y$749,2,FALSE()),"(Not on TE)")</f>
        <v>(Not on TE)</v>
      </c>
      <c r="F68" s="763"/>
      <c r="G68" s="763"/>
      <c r="H68" s="763"/>
      <c r="I68" s="763"/>
      <c r="J68" s="763"/>
      <c r="K68" s="763"/>
      <c r="L68" s="763"/>
      <c r="M68" s="763"/>
      <c r="N68" s="764" t="str">
        <f aca="false">IFERROR(VLOOKUP(B68,TE!$H$1:$Y$749,18,FALSE()),"")</f>
        <v/>
      </c>
      <c r="O68" s="764"/>
      <c r="P68" s="764"/>
      <c r="Q68" s="764"/>
      <c r="R68" s="764"/>
      <c r="S68" s="764"/>
      <c r="T68" s="764" t="n">
        <f aca="false">IFERROR(SUMIFS(TE!$O:$O,TE!$G:$G,$B$48,TE!$I:$I,B68,TE!$D:$D,$C$5),"")</f>
        <v>0</v>
      </c>
      <c r="U68" s="764"/>
      <c r="V68" s="764"/>
      <c r="W68" s="764"/>
      <c r="X68" s="723" t="str">
        <f aca="false">IFERROR(VLOOKUP(B68,TE!$H$1:$Y$630,14,FALSE()),"0")</f>
        <v>0</v>
      </c>
      <c r="Y68" s="723"/>
      <c r="Z68" s="723"/>
      <c r="AA68" s="723"/>
      <c r="AB68" s="765" t="n">
        <f aca="false">T68*X68</f>
        <v>0</v>
      </c>
      <c r="AC68" s="765"/>
      <c r="AD68" s="765"/>
      <c r="AE68" s="736"/>
      <c r="AF68" s="736"/>
    </row>
    <row r="69" customFormat="false" ht="15.75" hidden="false" customHeight="true" outlineLevel="0" collapsed="false">
      <c r="A69" s="736"/>
      <c r="B69" s="760" t="s">
        <v>2267</v>
      </c>
      <c r="C69" s="761"/>
      <c r="D69" s="761"/>
      <c r="E69" s="762" t="str">
        <f aca="false">IFERROR(VLOOKUP(B69,TE!$H$1:$Y$749,2,FALSE()),"(Not on TE)")</f>
        <v>(Not on TE)</v>
      </c>
      <c r="F69" s="763"/>
      <c r="G69" s="763"/>
      <c r="H69" s="763"/>
      <c r="I69" s="763"/>
      <c r="J69" s="763"/>
      <c r="K69" s="763"/>
      <c r="L69" s="763"/>
      <c r="M69" s="763"/>
      <c r="N69" s="764" t="str">
        <f aca="false">IFERROR(VLOOKUP(B69,TE!$H$1:$Y$749,18,FALSE()),"")</f>
        <v/>
      </c>
      <c r="O69" s="764"/>
      <c r="P69" s="764"/>
      <c r="Q69" s="764"/>
      <c r="R69" s="764"/>
      <c r="S69" s="764"/>
      <c r="T69" s="764" t="n">
        <f aca="false">IFERROR(SUMIFS(TE!$O:$O,TE!$G:$G,$B$48,TE!$I:$I,B69,TE!$D:$D,$C$5),"")</f>
        <v>0</v>
      </c>
      <c r="U69" s="764"/>
      <c r="V69" s="764"/>
      <c r="W69" s="764"/>
      <c r="X69" s="723" t="str">
        <f aca="false">IFERROR(VLOOKUP(B69,TE!$H$1:$Y$630,14,FALSE()),"0")</f>
        <v>0</v>
      </c>
      <c r="Y69" s="723"/>
      <c r="Z69" s="723"/>
      <c r="AA69" s="723"/>
      <c r="AB69" s="765" t="n">
        <f aca="false">T69*X69</f>
        <v>0</v>
      </c>
      <c r="AC69" s="765"/>
      <c r="AD69" s="765"/>
      <c r="AE69" s="736"/>
      <c r="AF69" s="736"/>
    </row>
    <row r="70" customFormat="false" ht="15.75" hidden="false" customHeight="true" outlineLevel="0" collapsed="false">
      <c r="A70" s="736"/>
      <c r="B70" s="760" t="s">
        <v>1566</v>
      </c>
      <c r="C70" s="761"/>
      <c r="D70" s="761"/>
      <c r="E70" s="762" t="str">
        <f aca="false">IFERROR(VLOOKUP(B70,TE!$H$1:$Y$749,2,FALSE()),"(Not on TE)")</f>
        <v>(Not on TE)</v>
      </c>
      <c r="F70" s="763"/>
      <c r="G70" s="763"/>
      <c r="H70" s="763"/>
      <c r="I70" s="763"/>
      <c r="J70" s="763"/>
      <c r="K70" s="763"/>
      <c r="L70" s="763"/>
      <c r="M70" s="763"/>
      <c r="N70" s="764" t="str">
        <f aca="false">IFERROR(VLOOKUP(B70,TE!$H$1:$Y$749,18,FALSE()),"")</f>
        <v/>
      </c>
      <c r="O70" s="764"/>
      <c r="P70" s="764"/>
      <c r="Q70" s="764"/>
      <c r="R70" s="764"/>
      <c r="S70" s="764"/>
      <c r="T70" s="764" t="n">
        <f aca="false">IFERROR(SUMIFS(TE!$O:$O,TE!$G:$G,$B$48,TE!$I:$I,B70,TE!$D:$D,$C$5),"")</f>
        <v>0</v>
      </c>
      <c r="U70" s="764"/>
      <c r="V70" s="764"/>
      <c r="W70" s="764"/>
      <c r="X70" s="723" t="str">
        <f aca="false">IFERROR(VLOOKUP(B70,TE!$H$1:$Y$630,14,FALSE()),"0")</f>
        <v>0</v>
      </c>
      <c r="Y70" s="723"/>
      <c r="Z70" s="723"/>
      <c r="AA70" s="723"/>
      <c r="AB70" s="765" t="n">
        <f aca="false">T70*X70</f>
        <v>0</v>
      </c>
      <c r="AC70" s="765"/>
      <c r="AD70" s="765"/>
      <c r="AE70" s="736"/>
      <c r="AF70" s="736"/>
    </row>
    <row r="71" customFormat="false" ht="15.75" hidden="false" customHeight="true" outlineLevel="0" collapsed="false">
      <c r="A71" s="736"/>
      <c r="B71" s="760" t="s">
        <v>1149</v>
      </c>
      <c r="C71" s="761"/>
      <c r="D71" s="761"/>
      <c r="E71" s="762" t="str">
        <f aca="false">IFERROR(VLOOKUP(B71,TE!$H$1:$Y$749,2,FALSE()),"(Not on TE)")</f>
        <v>(Not on TE)</v>
      </c>
      <c r="F71" s="763"/>
      <c r="G71" s="763"/>
      <c r="H71" s="763"/>
      <c r="I71" s="763"/>
      <c r="J71" s="763"/>
      <c r="K71" s="763"/>
      <c r="L71" s="763"/>
      <c r="M71" s="763"/>
      <c r="N71" s="764" t="str">
        <f aca="false">IFERROR(VLOOKUP(B71,TE!$H$1:$Y$749,18,FALSE()),"")</f>
        <v/>
      </c>
      <c r="O71" s="764"/>
      <c r="P71" s="764"/>
      <c r="Q71" s="764"/>
      <c r="R71" s="764"/>
      <c r="S71" s="764"/>
      <c r="T71" s="764" t="n">
        <f aca="false">IFERROR(SUMIFS(TE!$O:$O,TE!$G:$G,$B$48,TE!$I:$I,B71,TE!$D:$D,$C$5),"")</f>
        <v>0</v>
      </c>
      <c r="U71" s="764"/>
      <c r="V71" s="764"/>
      <c r="W71" s="764"/>
      <c r="X71" s="723" t="str">
        <f aca="false">IFERROR(VLOOKUP(B71,TE!$H$1:$Y$630,14,FALSE()),"0")</f>
        <v>0</v>
      </c>
      <c r="Y71" s="723"/>
      <c r="Z71" s="723"/>
      <c r="AA71" s="723"/>
      <c r="AB71" s="765" t="n">
        <f aca="false">T71*X71</f>
        <v>0</v>
      </c>
      <c r="AC71" s="765"/>
      <c r="AD71" s="765"/>
      <c r="AE71" s="736"/>
      <c r="AF71" s="736"/>
    </row>
    <row r="72" customFormat="false" ht="15.75" hidden="false" customHeight="true" outlineLevel="0" collapsed="false">
      <c r="A72" s="736"/>
      <c r="B72" s="760" t="s">
        <v>1253</v>
      </c>
      <c r="C72" s="761"/>
      <c r="D72" s="761"/>
      <c r="E72" s="762" t="str">
        <f aca="false">IFERROR(VLOOKUP(B72,TE!$H$1:$Y$749,2,FALSE()),"(Not on TE)")</f>
        <v>(Not on TE)</v>
      </c>
      <c r="F72" s="763"/>
      <c r="G72" s="763"/>
      <c r="H72" s="763"/>
      <c r="I72" s="763"/>
      <c r="J72" s="763"/>
      <c r="K72" s="763"/>
      <c r="L72" s="763"/>
      <c r="M72" s="763"/>
      <c r="N72" s="764" t="str">
        <f aca="false">IFERROR(VLOOKUP(B72,TE!$H$1:$Y$749,18,FALSE()),"")</f>
        <v/>
      </c>
      <c r="O72" s="764"/>
      <c r="P72" s="764"/>
      <c r="Q72" s="764"/>
      <c r="R72" s="764"/>
      <c r="S72" s="764"/>
      <c r="T72" s="764" t="n">
        <f aca="false">IFERROR(SUMIFS(TE!$O:$O,TE!$G:$G,$B$48,TE!$I:$I,B72,TE!$D:$D,$C$5),"")</f>
        <v>0</v>
      </c>
      <c r="U72" s="764"/>
      <c r="V72" s="764"/>
      <c r="W72" s="764"/>
      <c r="X72" s="723" t="str">
        <f aca="false">IFERROR(VLOOKUP(B72,TE!$H$1:$Y$630,14,FALSE()),"0")</f>
        <v>0</v>
      </c>
      <c r="Y72" s="723"/>
      <c r="Z72" s="723"/>
      <c r="AA72" s="723"/>
      <c r="AB72" s="765" t="n">
        <f aca="false">T72*X72</f>
        <v>0</v>
      </c>
      <c r="AC72" s="765"/>
      <c r="AD72" s="765"/>
      <c r="AE72" s="736"/>
      <c r="AF72" s="736"/>
    </row>
    <row r="73" customFormat="false" ht="15.75" hidden="false" customHeight="true" outlineLevel="0" collapsed="false">
      <c r="A73" s="736"/>
      <c r="B73" s="760" t="s">
        <v>1255</v>
      </c>
      <c r="C73" s="761"/>
      <c r="D73" s="761"/>
      <c r="E73" s="762" t="str">
        <f aca="false">IFERROR(VLOOKUP(B73,TE!$H$1:$Y$749,2,FALSE()),"(Not on TE)")</f>
        <v>(Not on TE)</v>
      </c>
      <c r="F73" s="763"/>
      <c r="G73" s="763"/>
      <c r="H73" s="763"/>
      <c r="I73" s="763"/>
      <c r="J73" s="763"/>
      <c r="K73" s="763"/>
      <c r="L73" s="763"/>
      <c r="M73" s="763"/>
      <c r="N73" s="764" t="str">
        <f aca="false">IFERROR(VLOOKUP(B73,TE!$H$1:$Y$749,18,FALSE()),"")</f>
        <v/>
      </c>
      <c r="O73" s="764"/>
      <c r="P73" s="764"/>
      <c r="Q73" s="764"/>
      <c r="R73" s="764"/>
      <c r="S73" s="764"/>
      <c r="T73" s="764" t="n">
        <f aca="false">IFERROR(SUMIFS(TE!$O:$O,TE!$G:$G,$B$48,TE!$I:$I,B73,TE!$D:$D,$C$5),"")</f>
        <v>0</v>
      </c>
      <c r="U73" s="764"/>
      <c r="V73" s="764"/>
      <c r="W73" s="764"/>
      <c r="X73" s="723" t="str">
        <f aca="false">IFERROR(VLOOKUP(B73,TE!$H$1:$Y$630,14,FALSE()),"0")</f>
        <v>0</v>
      </c>
      <c r="Y73" s="723"/>
      <c r="Z73" s="723"/>
      <c r="AA73" s="723"/>
      <c r="AB73" s="765" t="n">
        <f aca="false">T73*X73</f>
        <v>0</v>
      </c>
      <c r="AC73" s="765"/>
      <c r="AD73" s="765"/>
      <c r="AE73" s="736"/>
      <c r="AF73" s="736"/>
    </row>
    <row r="74" customFormat="false" ht="15.75" hidden="false" customHeight="true" outlineLevel="0" collapsed="false">
      <c r="A74" s="736"/>
      <c r="B74" s="760" t="s">
        <v>1458</v>
      </c>
      <c r="C74" s="761"/>
      <c r="D74" s="761"/>
      <c r="E74" s="762" t="str">
        <f aca="false">IFERROR(VLOOKUP(B74,TE!$H$1:$Y$749,2,FALSE()),"(Not on TE)")</f>
        <v>(Not on TE)</v>
      </c>
      <c r="F74" s="763"/>
      <c r="G74" s="763"/>
      <c r="H74" s="763"/>
      <c r="I74" s="763"/>
      <c r="J74" s="763"/>
      <c r="K74" s="763"/>
      <c r="L74" s="763"/>
      <c r="M74" s="763"/>
      <c r="N74" s="764" t="str">
        <f aca="false">IFERROR(VLOOKUP(B74,TE!$H$1:$Y$749,18,FALSE()),"")</f>
        <v/>
      </c>
      <c r="O74" s="764"/>
      <c r="P74" s="764"/>
      <c r="Q74" s="764"/>
      <c r="R74" s="764"/>
      <c r="S74" s="764"/>
      <c r="T74" s="764" t="n">
        <f aca="false">IFERROR(SUMIFS(TE!$O:$O,TE!$G:$G,$B$48,TE!$I:$I,B74,TE!$D:$D,$C$5),"")</f>
        <v>0</v>
      </c>
      <c r="U74" s="764"/>
      <c r="V74" s="764"/>
      <c r="W74" s="764"/>
      <c r="X74" s="723" t="str">
        <f aca="false">IFERROR(VLOOKUP(B74,TE!$H$1:$Y$630,14,FALSE()),"0")</f>
        <v>0</v>
      </c>
      <c r="Y74" s="723"/>
      <c r="Z74" s="723"/>
      <c r="AA74" s="723"/>
      <c r="AB74" s="765" t="n">
        <f aca="false">T74*X74</f>
        <v>0</v>
      </c>
      <c r="AC74" s="765"/>
      <c r="AD74" s="765"/>
      <c r="AE74" s="736"/>
      <c r="AF74" s="736"/>
    </row>
    <row r="75" customFormat="false" ht="15.75" hidden="false" customHeight="true" outlineLevel="0" collapsed="false">
      <c r="A75" s="736"/>
      <c r="B75" s="760" t="s">
        <v>1199</v>
      </c>
      <c r="C75" s="761"/>
      <c r="D75" s="761"/>
      <c r="E75" s="762" t="str">
        <f aca="false">IFERROR(VLOOKUP(B75,TE!$H$1:$Y$749,2,FALSE()),"(Not on TE)")</f>
        <v>(Not on TE)</v>
      </c>
      <c r="F75" s="763"/>
      <c r="G75" s="763"/>
      <c r="H75" s="763"/>
      <c r="I75" s="763"/>
      <c r="J75" s="763"/>
      <c r="K75" s="763"/>
      <c r="L75" s="763"/>
      <c r="M75" s="763"/>
      <c r="N75" s="764" t="str">
        <f aca="false">IFERROR(VLOOKUP(B75,TE!$H$1:$Y$749,18,FALSE()),"")</f>
        <v/>
      </c>
      <c r="O75" s="764"/>
      <c r="P75" s="764"/>
      <c r="Q75" s="764"/>
      <c r="R75" s="764"/>
      <c r="S75" s="764"/>
      <c r="T75" s="764" t="n">
        <f aca="false">IFERROR(SUMIFS(TE!$O:$O,TE!$G:$G,$B$48,TE!$I:$I,B75,TE!$D:$D,$C$5),"")</f>
        <v>0</v>
      </c>
      <c r="U75" s="764"/>
      <c r="V75" s="764"/>
      <c r="W75" s="764"/>
      <c r="X75" s="723" t="str">
        <f aca="false">IFERROR(VLOOKUP(B75,TE!$H$1:$Y$630,14,FALSE()),"0")</f>
        <v>0</v>
      </c>
      <c r="Y75" s="723"/>
      <c r="Z75" s="723"/>
      <c r="AA75" s="723"/>
      <c r="AB75" s="765" t="n">
        <f aca="false">T75*X75</f>
        <v>0</v>
      </c>
      <c r="AC75" s="765"/>
      <c r="AD75" s="765"/>
      <c r="AE75" s="736"/>
      <c r="AF75" s="736"/>
    </row>
    <row r="76" customFormat="false" ht="15.75" hidden="false" customHeight="true" outlineLevel="0" collapsed="false">
      <c r="A76" s="736"/>
      <c r="B76" s="760" t="s">
        <v>1567</v>
      </c>
      <c r="C76" s="761"/>
      <c r="D76" s="761"/>
      <c r="E76" s="762" t="str">
        <f aca="false">IFERROR(VLOOKUP(B76,TE!$H$1:$Y$749,2,FALSE()),"(Not on TE)")</f>
        <v>(Not on TE)</v>
      </c>
      <c r="F76" s="763"/>
      <c r="G76" s="763"/>
      <c r="H76" s="763"/>
      <c r="I76" s="763"/>
      <c r="J76" s="763"/>
      <c r="K76" s="763"/>
      <c r="L76" s="763"/>
      <c r="M76" s="763"/>
      <c r="N76" s="764" t="str">
        <f aca="false">IFERROR(VLOOKUP(B76,TE!$H$1:$Y$749,18,FALSE()),"")</f>
        <v/>
      </c>
      <c r="O76" s="764"/>
      <c r="P76" s="764"/>
      <c r="Q76" s="764"/>
      <c r="R76" s="764"/>
      <c r="S76" s="764"/>
      <c r="T76" s="764" t="n">
        <f aca="false">IFERROR(SUMIFS(TE!$O:$O,TE!$G:$G,$B$48,TE!$I:$I,B76,TE!$D:$D,$C$5),"")</f>
        <v>0</v>
      </c>
      <c r="U76" s="764"/>
      <c r="V76" s="764"/>
      <c r="W76" s="764"/>
      <c r="X76" s="723" t="str">
        <f aca="false">IFERROR(VLOOKUP(B76,TE!$H$1:$Y$630,14,FALSE()),"0")</f>
        <v>0</v>
      </c>
      <c r="Y76" s="723"/>
      <c r="Z76" s="723"/>
      <c r="AA76" s="723"/>
      <c r="AB76" s="765" t="n">
        <f aca="false">T76*X76</f>
        <v>0</v>
      </c>
      <c r="AC76" s="765"/>
      <c r="AD76" s="765"/>
      <c r="AE76" s="736"/>
      <c r="AF76" s="736"/>
    </row>
    <row r="77" customFormat="false" ht="15.75" hidden="false" customHeight="true" outlineLevel="0" collapsed="false">
      <c r="A77" s="736"/>
      <c r="B77" s="760" t="s">
        <v>1568</v>
      </c>
      <c r="C77" s="761"/>
      <c r="D77" s="761"/>
      <c r="E77" s="762" t="str">
        <f aca="false">IFERROR(VLOOKUP(B77,TE!$H$1:$Y$749,2,FALSE()),"(Not on TE)")</f>
        <v>(Not on TE)</v>
      </c>
      <c r="F77" s="763"/>
      <c r="G77" s="763"/>
      <c r="H77" s="763"/>
      <c r="I77" s="763"/>
      <c r="J77" s="763"/>
      <c r="K77" s="763"/>
      <c r="L77" s="763"/>
      <c r="M77" s="763"/>
      <c r="N77" s="764" t="str">
        <f aca="false">IFERROR(VLOOKUP(B77,TE!$H$1:$Y$749,18,FALSE()),"")</f>
        <v/>
      </c>
      <c r="O77" s="764"/>
      <c r="P77" s="764"/>
      <c r="Q77" s="764"/>
      <c r="R77" s="764"/>
      <c r="S77" s="764"/>
      <c r="T77" s="764" t="n">
        <f aca="false">IFERROR(SUMIFS(TE!$O:$O,TE!$G:$G,$B$48,TE!$I:$I,B77,TE!$D:$D,$C$5),"")</f>
        <v>0</v>
      </c>
      <c r="U77" s="764"/>
      <c r="V77" s="764"/>
      <c r="W77" s="764"/>
      <c r="X77" s="723" t="str">
        <f aca="false">IFERROR(VLOOKUP(B77,TE!$H$1:$Y$630,14,FALSE()),"0")</f>
        <v>0</v>
      </c>
      <c r="Y77" s="723"/>
      <c r="Z77" s="723"/>
      <c r="AA77" s="723"/>
      <c r="AB77" s="765" t="n">
        <f aca="false">T77*X77</f>
        <v>0</v>
      </c>
      <c r="AC77" s="765"/>
      <c r="AD77" s="765"/>
      <c r="AE77" s="736"/>
      <c r="AF77" s="736"/>
    </row>
    <row r="78" customFormat="false" ht="15.75" hidden="false" customHeight="true" outlineLevel="0" collapsed="false">
      <c r="A78" s="736"/>
      <c r="B78" s="760" t="s">
        <v>1569</v>
      </c>
      <c r="C78" s="761"/>
      <c r="D78" s="761"/>
      <c r="E78" s="762" t="str">
        <f aca="false">IFERROR(VLOOKUP(B78,TE!$H$1:$Y$749,2,FALSE()),"(Not on TE)")</f>
        <v>(Not on TE)</v>
      </c>
      <c r="F78" s="763"/>
      <c r="G78" s="763"/>
      <c r="H78" s="763"/>
      <c r="I78" s="763"/>
      <c r="J78" s="763"/>
      <c r="K78" s="763"/>
      <c r="L78" s="763"/>
      <c r="M78" s="763"/>
      <c r="N78" s="764" t="str">
        <f aca="false">IFERROR(VLOOKUP(B78,TE!$H$1:$Y$749,18,FALSE()),"")</f>
        <v/>
      </c>
      <c r="O78" s="764"/>
      <c r="P78" s="764"/>
      <c r="Q78" s="764"/>
      <c r="R78" s="764"/>
      <c r="S78" s="764"/>
      <c r="T78" s="764" t="n">
        <f aca="false">IFERROR(SUMIFS(TE!$O:$O,TE!$G:$G,$B$48,TE!$I:$I,B78,TE!$D:$D,$C$5),"")</f>
        <v>0</v>
      </c>
      <c r="U78" s="764"/>
      <c r="V78" s="764"/>
      <c r="W78" s="764"/>
      <c r="X78" s="723" t="str">
        <f aca="false">IFERROR(VLOOKUP(B78,TE!$H$1:$Y$630,14,FALSE()),"0")</f>
        <v>0</v>
      </c>
      <c r="Y78" s="723"/>
      <c r="Z78" s="723"/>
      <c r="AA78" s="723"/>
      <c r="AB78" s="765" t="n">
        <f aca="false">T78*X78</f>
        <v>0</v>
      </c>
      <c r="AC78" s="765"/>
      <c r="AD78" s="765"/>
      <c r="AE78" s="736"/>
      <c r="AF78" s="736"/>
    </row>
    <row r="79" customFormat="false" ht="15.75" hidden="false" customHeight="true" outlineLevel="0" collapsed="false">
      <c r="A79" s="736"/>
      <c r="B79" s="760" t="s">
        <v>1305</v>
      </c>
      <c r="C79" s="761"/>
      <c r="D79" s="761"/>
      <c r="E79" s="762" t="str">
        <f aca="false">IFERROR(VLOOKUP(B79,TE!$H$1:$Y$749,2,FALSE()),"(Not on TE)")</f>
        <v>(Not on TE)</v>
      </c>
      <c r="F79" s="763"/>
      <c r="G79" s="763"/>
      <c r="H79" s="763"/>
      <c r="I79" s="763"/>
      <c r="J79" s="763"/>
      <c r="K79" s="763"/>
      <c r="L79" s="763"/>
      <c r="M79" s="763"/>
      <c r="N79" s="764" t="str">
        <f aca="false">IFERROR(VLOOKUP(B79,TE!$H$1:$Y$749,18,FALSE()),"")</f>
        <v/>
      </c>
      <c r="O79" s="764"/>
      <c r="P79" s="764"/>
      <c r="Q79" s="764"/>
      <c r="R79" s="764"/>
      <c r="S79" s="764"/>
      <c r="T79" s="764" t="n">
        <f aca="false">IFERROR(SUMIFS(TE!$O:$O,TE!$G:$G,$B$48,TE!$I:$I,B79,TE!$D:$D,$C$5),"")</f>
        <v>0</v>
      </c>
      <c r="U79" s="764"/>
      <c r="V79" s="764"/>
      <c r="W79" s="764"/>
      <c r="X79" s="723" t="str">
        <f aca="false">IFERROR(VLOOKUP(B79,TE!$H$1:$Y$630,14,FALSE()),"0")</f>
        <v>0</v>
      </c>
      <c r="Y79" s="723"/>
      <c r="Z79" s="723"/>
      <c r="AA79" s="723"/>
      <c r="AB79" s="765" t="n">
        <f aca="false">T79*X79</f>
        <v>0</v>
      </c>
      <c r="AC79" s="765"/>
      <c r="AD79" s="765"/>
      <c r="AE79" s="736"/>
      <c r="AF79" s="736"/>
    </row>
    <row r="80" customFormat="false" ht="15.75" hidden="false" customHeight="true" outlineLevel="0" collapsed="false">
      <c r="A80" s="736"/>
      <c r="B80" s="760" t="s">
        <v>1104</v>
      </c>
      <c r="C80" s="761"/>
      <c r="D80" s="761"/>
      <c r="E80" s="762" t="str">
        <f aca="false">IFERROR(VLOOKUP(B80,TE!$H$1:$Y$749,2,FALSE()),"(Not on TE)")</f>
        <v>(Not on TE)</v>
      </c>
      <c r="F80" s="763"/>
      <c r="G80" s="763"/>
      <c r="H80" s="763"/>
      <c r="I80" s="763"/>
      <c r="J80" s="763"/>
      <c r="K80" s="763"/>
      <c r="L80" s="763"/>
      <c r="M80" s="763"/>
      <c r="N80" s="764" t="str">
        <f aca="false">IFERROR(VLOOKUP(B80,TE!$H$1:$Y$749,18,FALSE()),"")</f>
        <v/>
      </c>
      <c r="O80" s="764"/>
      <c r="P80" s="764"/>
      <c r="Q80" s="764"/>
      <c r="R80" s="764"/>
      <c r="S80" s="764"/>
      <c r="T80" s="764" t="n">
        <f aca="false">IFERROR(SUMIFS(TE!$O:$O,TE!$G:$G,$B$48,TE!$I:$I,B80,TE!$D:$D,$C$5),"")</f>
        <v>0</v>
      </c>
      <c r="U80" s="764"/>
      <c r="V80" s="764"/>
      <c r="W80" s="764"/>
      <c r="X80" s="723" t="str">
        <f aca="false">IFERROR(VLOOKUP(B80,TE!$H$1:$Y$630,14,FALSE()),"0")</f>
        <v>0</v>
      </c>
      <c r="Y80" s="723"/>
      <c r="Z80" s="723"/>
      <c r="AA80" s="723"/>
      <c r="AB80" s="765" t="n">
        <f aca="false">T80*X80</f>
        <v>0</v>
      </c>
      <c r="AC80" s="765"/>
      <c r="AD80" s="765"/>
      <c r="AE80" s="736"/>
      <c r="AF80" s="736"/>
    </row>
    <row r="81" customFormat="false" ht="15.75" hidden="false" customHeight="true" outlineLevel="0" collapsed="false">
      <c r="A81" s="736"/>
      <c r="B81" s="760" t="s">
        <v>1571</v>
      </c>
      <c r="C81" s="761"/>
      <c r="D81" s="761"/>
      <c r="E81" s="762" t="str">
        <f aca="false">IFERROR(VLOOKUP(B81,TE!$H$1:$Y$749,2,FALSE()),"(Not on TE)")</f>
        <v>(Not on TE)</v>
      </c>
      <c r="F81" s="763"/>
      <c r="G81" s="763"/>
      <c r="H81" s="763"/>
      <c r="I81" s="763"/>
      <c r="J81" s="763"/>
      <c r="K81" s="763"/>
      <c r="L81" s="763"/>
      <c r="M81" s="763"/>
      <c r="N81" s="764" t="str">
        <f aca="false">IFERROR(VLOOKUP(B81,TE!$H$1:$Y$749,18,FALSE()),"")</f>
        <v/>
      </c>
      <c r="O81" s="764"/>
      <c r="P81" s="764"/>
      <c r="Q81" s="764"/>
      <c r="R81" s="764"/>
      <c r="S81" s="764"/>
      <c r="T81" s="764" t="n">
        <f aca="false">IFERROR(SUMIFS(TE!$O:$O,TE!$G:$G,$B$48,TE!$I:$I,B81,TE!$D:$D,$C$5),"")</f>
        <v>0</v>
      </c>
      <c r="U81" s="764"/>
      <c r="V81" s="764"/>
      <c r="W81" s="764"/>
      <c r="X81" s="723" t="str">
        <f aca="false">IFERROR(VLOOKUP(B81,TE!$H$1:$Y$630,14,FALSE()),"0")</f>
        <v>0</v>
      </c>
      <c r="Y81" s="723"/>
      <c r="Z81" s="723"/>
      <c r="AA81" s="723"/>
      <c r="AB81" s="765" t="n">
        <f aca="false">T81*X81</f>
        <v>0</v>
      </c>
      <c r="AC81" s="765"/>
      <c r="AD81" s="765"/>
      <c r="AE81" s="736"/>
      <c r="AF81" s="736"/>
    </row>
    <row r="82" customFormat="false" ht="15.75" hidden="false" customHeight="true" outlineLevel="0" collapsed="false">
      <c r="A82" s="736"/>
      <c r="B82" s="760" t="s">
        <v>1572</v>
      </c>
      <c r="C82" s="761"/>
      <c r="D82" s="761"/>
      <c r="E82" s="762" t="str">
        <f aca="false">IFERROR(VLOOKUP(B82,TE!$H$1:$Y$749,2,FALSE()),"(Not on TE)")</f>
        <v>(Not on TE)</v>
      </c>
      <c r="F82" s="763"/>
      <c r="G82" s="763"/>
      <c r="H82" s="763"/>
      <c r="I82" s="763"/>
      <c r="J82" s="763"/>
      <c r="K82" s="763"/>
      <c r="L82" s="763"/>
      <c r="M82" s="763"/>
      <c r="N82" s="764" t="str">
        <f aca="false">IFERROR(VLOOKUP(B82,TE!$H$1:$Y$749,18,FALSE()),"")</f>
        <v/>
      </c>
      <c r="O82" s="764"/>
      <c r="P82" s="764"/>
      <c r="Q82" s="764"/>
      <c r="R82" s="764"/>
      <c r="S82" s="764"/>
      <c r="T82" s="764" t="n">
        <f aca="false">IFERROR(SUMIFS(TE!$O:$O,TE!$G:$G,$B$48,TE!$I:$I,B82,TE!$D:$D,$C$5),"")</f>
        <v>0</v>
      </c>
      <c r="U82" s="764"/>
      <c r="V82" s="764"/>
      <c r="W82" s="764"/>
      <c r="X82" s="723" t="str">
        <f aca="false">IFERROR(VLOOKUP(B82,TE!$H$1:$Y$630,14,FALSE()),"0")</f>
        <v>0</v>
      </c>
      <c r="Y82" s="723"/>
      <c r="Z82" s="723"/>
      <c r="AA82" s="723"/>
      <c r="AB82" s="765" t="n">
        <f aca="false">T82*X82</f>
        <v>0</v>
      </c>
      <c r="AC82" s="765"/>
      <c r="AD82" s="765"/>
      <c r="AE82" s="736"/>
      <c r="AF82" s="736"/>
    </row>
    <row r="83" customFormat="false" ht="15.75" hidden="false" customHeight="true" outlineLevel="0" collapsed="false">
      <c r="A83" s="736"/>
      <c r="B83" s="760" t="s">
        <v>1316</v>
      </c>
      <c r="C83" s="761"/>
      <c r="D83" s="761"/>
      <c r="E83" s="762" t="str">
        <f aca="false">IFERROR(VLOOKUP(B83,TE!$H$1:$Y$749,2,FALSE()),"(Not on TE)")</f>
        <v>(Not on TE)</v>
      </c>
      <c r="F83" s="763"/>
      <c r="G83" s="763"/>
      <c r="H83" s="763"/>
      <c r="I83" s="763"/>
      <c r="J83" s="763"/>
      <c r="K83" s="763"/>
      <c r="L83" s="763"/>
      <c r="M83" s="763"/>
      <c r="N83" s="764" t="str">
        <f aca="false">IFERROR(VLOOKUP(B83,TE!$H$1:$Y$749,18,FALSE()),"")</f>
        <v/>
      </c>
      <c r="O83" s="764"/>
      <c r="P83" s="764"/>
      <c r="Q83" s="764"/>
      <c r="R83" s="764"/>
      <c r="S83" s="764"/>
      <c r="T83" s="764" t="n">
        <f aca="false">IFERROR(SUMIFS(TE!$O:$O,TE!$G:$G,$B$48,TE!$I:$I,B83,TE!$D:$D,$C$5),"")</f>
        <v>0</v>
      </c>
      <c r="U83" s="764"/>
      <c r="V83" s="764"/>
      <c r="W83" s="764"/>
      <c r="X83" s="723" t="str">
        <f aca="false">IFERROR(VLOOKUP(B83,TE!$H$1:$Y$630,14,FALSE()),"0")</f>
        <v>0</v>
      </c>
      <c r="Y83" s="723"/>
      <c r="Z83" s="723"/>
      <c r="AA83" s="723"/>
      <c r="AB83" s="765" t="n">
        <f aca="false">T83*X83</f>
        <v>0</v>
      </c>
      <c r="AC83" s="765"/>
      <c r="AD83" s="765"/>
      <c r="AE83" s="766"/>
      <c r="AF83" s="736"/>
    </row>
    <row r="84" customFormat="false" ht="15.75" hidden="false" customHeight="true" outlineLevel="0" collapsed="false">
      <c r="A84" s="736"/>
      <c r="B84" s="760" t="s">
        <v>1573</v>
      </c>
      <c r="C84" s="761"/>
      <c r="D84" s="761"/>
      <c r="E84" s="762" t="str">
        <f aca="false">IFERROR(VLOOKUP(B84,TE!$H$1:$Y$749,2,FALSE()),"(Not on TE)")</f>
        <v>(Not on TE)</v>
      </c>
      <c r="F84" s="763"/>
      <c r="G84" s="763"/>
      <c r="H84" s="763"/>
      <c r="I84" s="763"/>
      <c r="J84" s="763"/>
      <c r="K84" s="763"/>
      <c r="L84" s="763"/>
      <c r="M84" s="763"/>
      <c r="N84" s="764" t="str">
        <f aca="false">IFERROR(VLOOKUP(B84,TE!$H$1:$Y$749,18,FALSE()),"")</f>
        <v/>
      </c>
      <c r="O84" s="764"/>
      <c r="P84" s="764"/>
      <c r="Q84" s="764"/>
      <c r="R84" s="764"/>
      <c r="S84" s="764"/>
      <c r="T84" s="764" t="n">
        <f aca="false">IFERROR(SUMIFS(TE!$O:$O,TE!$G:$G,$B$48,TE!$I:$I,B84,TE!$D:$D,$C$5),"")</f>
        <v>0</v>
      </c>
      <c r="U84" s="764"/>
      <c r="V84" s="764"/>
      <c r="W84" s="764"/>
      <c r="X84" s="723" t="str">
        <f aca="false">IFERROR(VLOOKUP(B84,TE!$H$1:$Y$630,14,FALSE()),"0")</f>
        <v>0</v>
      </c>
      <c r="Y84" s="723"/>
      <c r="Z84" s="723"/>
      <c r="AA84" s="723"/>
      <c r="AB84" s="765" t="n">
        <f aca="false">T84*X84</f>
        <v>0</v>
      </c>
      <c r="AC84" s="765"/>
      <c r="AD84" s="765"/>
      <c r="AE84" s="766"/>
      <c r="AF84" s="736"/>
    </row>
    <row r="85" customFormat="false" ht="15.75" hidden="false" customHeight="true" outlineLevel="0" collapsed="false">
      <c r="A85" s="736"/>
      <c r="B85" s="760" t="s">
        <v>1574</v>
      </c>
      <c r="C85" s="761"/>
      <c r="D85" s="761"/>
      <c r="E85" s="762" t="str">
        <f aca="false">IFERROR(VLOOKUP(B85,TE!$H$1:$Y$749,2,FALSE()),"(Not on TE)")</f>
        <v>(Not on TE)</v>
      </c>
      <c r="F85" s="763"/>
      <c r="G85" s="763"/>
      <c r="H85" s="763"/>
      <c r="I85" s="763"/>
      <c r="J85" s="763"/>
      <c r="K85" s="763"/>
      <c r="L85" s="763"/>
      <c r="M85" s="763"/>
      <c r="N85" s="764" t="str">
        <f aca="false">IFERROR(VLOOKUP(B85,TE!$H$1:$Y$749,18,FALSE()),"")</f>
        <v/>
      </c>
      <c r="O85" s="764"/>
      <c r="P85" s="764"/>
      <c r="Q85" s="764"/>
      <c r="R85" s="764"/>
      <c r="S85" s="764"/>
      <c r="T85" s="764" t="n">
        <f aca="false">IFERROR(SUMIFS(TE!$O:$O,TE!$G:$G,$B$48,TE!$I:$I,B85,TE!$D:$D,$C$5),"")</f>
        <v>0</v>
      </c>
      <c r="U85" s="764"/>
      <c r="V85" s="764"/>
      <c r="W85" s="764"/>
      <c r="X85" s="723" t="str">
        <f aca="false">IFERROR(VLOOKUP(B85,TE!$H$1:$Y$630,14,FALSE()),"0")</f>
        <v>0</v>
      </c>
      <c r="Y85" s="723"/>
      <c r="Z85" s="723"/>
      <c r="AA85" s="723"/>
      <c r="AB85" s="765" t="n">
        <f aca="false">T85*X85</f>
        <v>0</v>
      </c>
      <c r="AC85" s="765"/>
      <c r="AD85" s="765"/>
      <c r="AE85" s="766"/>
      <c r="AF85" s="736"/>
    </row>
    <row r="86" customFormat="false" ht="15.75" hidden="false" customHeight="true" outlineLevel="0" collapsed="false">
      <c r="A86" s="736"/>
      <c r="B86" s="760" t="s">
        <v>1575</v>
      </c>
      <c r="C86" s="761"/>
      <c r="D86" s="761"/>
      <c r="E86" s="762" t="str">
        <f aca="false">IFERROR(VLOOKUP(B86,TE!$H$1:$Y$749,2,FALSE()),"(Not on TE)")</f>
        <v>(Not on TE)</v>
      </c>
      <c r="F86" s="763"/>
      <c r="G86" s="763"/>
      <c r="H86" s="763"/>
      <c r="I86" s="763"/>
      <c r="J86" s="763"/>
      <c r="K86" s="763"/>
      <c r="L86" s="763"/>
      <c r="M86" s="763"/>
      <c r="N86" s="764" t="str">
        <f aca="false">IFERROR(VLOOKUP(B86,TE!$H$1:$Y$749,18,FALSE()),"")</f>
        <v/>
      </c>
      <c r="O86" s="764"/>
      <c r="P86" s="764"/>
      <c r="Q86" s="764"/>
      <c r="R86" s="764"/>
      <c r="S86" s="764"/>
      <c r="T86" s="764" t="n">
        <f aca="false">IFERROR(SUMIFS(TE!$O:$O,TE!$G:$G,$B$48,TE!$I:$I,B86,TE!$D:$D,$C$5),"")</f>
        <v>0</v>
      </c>
      <c r="U86" s="764"/>
      <c r="V86" s="764"/>
      <c r="W86" s="764"/>
      <c r="X86" s="723" t="str">
        <f aca="false">IFERROR(VLOOKUP(B86,TE!$H$1:$Y$630,14,FALSE()),"0")</f>
        <v>0</v>
      </c>
      <c r="Y86" s="723"/>
      <c r="Z86" s="723"/>
      <c r="AA86" s="723"/>
      <c r="AB86" s="765" t="n">
        <f aca="false">T86*X86</f>
        <v>0</v>
      </c>
      <c r="AC86" s="765"/>
      <c r="AD86" s="765"/>
      <c r="AE86" s="766"/>
      <c r="AF86" s="736"/>
    </row>
    <row r="87" customFormat="false" ht="15.75" hidden="false" customHeight="true" outlineLevel="0" collapsed="false">
      <c r="A87" s="736"/>
      <c r="B87" s="767" t="s">
        <v>1577</v>
      </c>
      <c r="C87" s="768"/>
      <c r="D87" s="768"/>
      <c r="E87" s="769" t="str">
        <f aca="false">IFERROR(VLOOKUP(B87,TE!$H$1:$Y$749,2,FALSE()),"(Not on TE)")</f>
        <v>(Not on TE)</v>
      </c>
      <c r="F87" s="770"/>
      <c r="G87" s="770"/>
      <c r="H87" s="770"/>
      <c r="I87" s="770"/>
      <c r="J87" s="770"/>
      <c r="K87" s="770"/>
      <c r="L87" s="770"/>
      <c r="M87" s="770"/>
      <c r="N87" s="771" t="str">
        <f aca="false">IFERROR(VLOOKUP(B87,TE!$H$1:$Y$749,18,FALSE()),"")</f>
        <v/>
      </c>
      <c r="O87" s="771"/>
      <c r="P87" s="771"/>
      <c r="Q87" s="771"/>
      <c r="R87" s="771"/>
      <c r="S87" s="771"/>
      <c r="T87" s="771" t="n">
        <f aca="false">IFERROR(SUMIFS(TE!$O:$O,TE!$G:$G,$B$48,TE!$I:$I,B87,TE!$D:$D,$C$5),"")</f>
        <v>0</v>
      </c>
      <c r="U87" s="771"/>
      <c r="V87" s="771"/>
      <c r="W87" s="771"/>
      <c r="X87" s="727" t="str">
        <f aca="false">IFERROR(VLOOKUP(B87,TE!$H$1:$Y$630,14,FALSE()),"0")</f>
        <v>0</v>
      </c>
      <c r="Y87" s="727"/>
      <c r="Z87" s="727"/>
      <c r="AA87" s="727"/>
      <c r="AB87" s="772" t="n">
        <f aca="false">T87*X87</f>
        <v>0</v>
      </c>
      <c r="AC87" s="772"/>
      <c r="AD87" s="772"/>
      <c r="AE87" s="766"/>
      <c r="AF87" s="736"/>
    </row>
    <row r="88" customFormat="false" ht="15.75" hidden="false" customHeight="true" outlineLevel="0" collapsed="false">
      <c r="A88" s="736"/>
      <c r="B88" s="761"/>
      <c r="C88" s="761"/>
      <c r="D88" s="761"/>
      <c r="E88" s="763"/>
      <c r="F88" s="763"/>
      <c r="G88" s="763"/>
      <c r="H88" s="763"/>
      <c r="I88" s="763"/>
      <c r="J88" s="763"/>
      <c r="K88" s="763"/>
      <c r="L88" s="763"/>
      <c r="M88" s="763"/>
      <c r="N88" s="773"/>
      <c r="O88" s="773"/>
      <c r="P88" s="773"/>
      <c r="Q88" s="773"/>
      <c r="R88" s="773"/>
      <c r="S88" s="773"/>
      <c r="T88" s="773"/>
      <c r="U88" s="773"/>
      <c r="V88" s="773"/>
      <c r="W88" s="773"/>
      <c r="X88" s="774"/>
      <c r="Y88" s="774"/>
      <c r="Z88" s="775" t="s">
        <v>1576</v>
      </c>
      <c r="AA88" s="775"/>
      <c r="AB88" s="775"/>
      <c r="AC88" s="775"/>
      <c r="AD88" s="775"/>
      <c r="AE88" s="766"/>
      <c r="AF88" s="736"/>
    </row>
    <row r="89" customFormat="false" ht="15.75" hidden="false" customHeight="true" outlineLevel="0" collapsed="false">
      <c r="A89" s="776"/>
      <c r="B89" s="776"/>
      <c r="C89" s="776"/>
      <c r="D89" s="776"/>
      <c r="E89" s="776"/>
      <c r="F89" s="776"/>
      <c r="G89" s="776"/>
      <c r="H89" s="776"/>
      <c r="I89" s="776"/>
      <c r="J89" s="776"/>
      <c r="K89" s="776"/>
      <c r="L89" s="776"/>
      <c r="M89" s="776"/>
      <c r="N89" s="776"/>
      <c r="O89" s="776"/>
      <c r="P89" s="776"/>
      <c r="Q89" s="776"/>
      <c r="R89" s="776"/>
      <c r="S89" s="776"/>
      <c r="T89" s="776"/>
      <c r="U89" s="776"/>
      <c r="V89" s="776"/>
      <c r="W89" s="776"/>
      <c r="X89" s="776"/>
      <c r="Y89" s="776"/>
      <c r="Z89" s="776"/>
      <c r="AA89" s="776"/>
      <c r="AB89" s="777"/>
      <c r="AC89" s="777"/>
      <c r="AD89" s="777"/>
      <c r="AE89" s="777"/>
      <c r="AF89" s="777"/>
    </row>
    <row r="90" customFormat="false" ht="15.75" hidden="false" customHeight="true" outlineLevel="0" collapsed="false">
      <c r="A90" s="688" t="s">
        <v>1522</v>
      </c>
      <c r="B90" s="688"/>
      <c r="C90" s="751" t="n">
        <f aca="false">$C$5</f>
        <v>21451</v>
      </c>
      <c r="D90" s="751"/>
      <c r="E90" s="751"/>
      <c r="F90" s="751"/>
      <c r="G90" s="751"/>
      <c r="H90" s="751"/>
      <c r="I90" s="751"/>
      <c r="J90" s="751"/>
      <c r="K90" s="751"/>
      <c r="L90" s="751"/>
      <c r="M90" s="688" t="s">
        <v>1523</v>
      </c>
      <c r="N90" s="688"/>
      <c r="O90" s="688"/>
      <c r="P90" s="688"/>
      <c r="Q90" s="688"/>
      <c r="R90" s="752" t="str">
        <f aca="false">$R$5</f>
        <v>Automotive Organizational Shop</v>
      </c>
      <c r="S90" s="752"/>
      <c r="T90" s="752"/>
      <c r="U90" s="752"/>
      <c r="V90" s="752"/>
      <c r="W90" s="752"/>
      <c r="X90" s="752"/>
      <c r="Y90" s="752"/>
      <c r="Z90" s="752"/>
      <c r="AA90" s="752"/>
      <c r="AB90" s="752"/>
      <c r="AC90" s="752"/>
      <c r="AD90" s="752"/>
      <c r="AE90" s="752"/>
      <c r="AF90" s="752"/>
    </row>
    <row r="91" customFormat="false" ht="15.75" hidden="false" customHeight="true" outlineLevel="0" collapsed="false">
      <c r="A91" s="736"/>
      <c r="B91" s="761"/>
      <c r="C91" s="761"/>
      <c r="D91" s="761"/>
      <c r="E91" s="763"/>
      <c r="F91" s="763"/>
      <c r="G91" s="763"/>
      <c r="H91" s="763"/>
      <c r="I91" s="763"/>
      <c r="J91" s="763"/>
      <c r="K91" s="763"/>
      <c r="L91" s="763"/>
      <c r="M91" s="763"/>
      <c r="N91" s="773"/>
      <c r="O91" s="773"/>
      <c r="P91" s="773"/>
      <c r="Q91" s="773"/>
      <c r="R91" s="773"/>
      <c r="S91" s="773"/>
      <c r="T91" s="773"/>
      <c r="U91" s="773"/>
      <c r="V91" s="773"/>
      <c r="W91" s="773"/>
      <c r="X91" s="774"/>
      <c r="Y91" s="774"/>
      <c r="Z91" s="774"/>
      <c r="AA91" s="774"/>
      <c r="AB91" s="778"/>
      <c r="AC91" s="778"/>
      <c r="AD91" s="778"/>
      <c r="AE91" s="766"/>
      <c r="AF91" s="736"/>
    </row>
    <row r="92" customFormat="false" ht="15.75" hidden="false" customHeight="true" outlineLevel="0" collapsed="false">
      <c r="A92" s="736"/>
      <c r="B92" s="779" t="str">
        <f aca="false">B48</f>
        <v>M28261</v>
      </c>
      <c r="C92" s="768"/>
      <c r="D92" s="768"/>
      <c r="E92" s="769" t="str">
        <f aca="false">E48</f>
        <v>H&amp;S CO</v>
      </c>
      <c r="F92" s="770"/>
      <c r="G92" s="770"/>
      <c r="H92" s="770"/>
      <c r="I92" s="770"/>
      <c r="J92" s="770"/>
      <c r="K92" s="770"/>
      <c r="L92" s="770"/>
      <c r="M92" s="770"/>
      <c r="N92" s="780"/>
      <c r="O92" s="780"/>
      <c r="P92" s="780"/>
      <c r="Q92" s="780"/>
      <c r="R92" s="780"/>
      <c r="S92" s="780"/>
      <c r="T92" s="780"/>
      <c r="U92" s="780"/>
      <c r="V92" s="780"/>
      <c r="W92" s="780"/>
      <c r="X92" s="781"/>
      <c r="Y92" s="781"/>
      <c r="Z92" s="781"/>
      <c r="AA92" s="781"/>
      <c r="AB92" s="782"/>
      <c r="AC92" s="782"/>
      <c r="AD92" s="782"/>
      <c r="AE92" s="766"/>
      <c r="AF92" s="736"/>
    </row>
    <row r="93" customFormat="false" ht="15.75" hidden="false" customHeight="true" outlineLevel="0" collapsed="false">
      <c r="A93" s="736"/>
      <c r="B93" s="760" t="s">
        <v>1578</v>
      </c>
      <c r="C93" s="761"/>
      <c r="D93" s="761"/>
      <c r="E93" s="762" t="str">
        <f aca="false">IFERROR(VLOOKUP(B93,TE!$H$1:$Y$749,2,FALSE()),"(Not on TE)")</f>
        <v>(Not on TE)</v>
      </c>
      <c r="F93" s="763"/>
      <c r="G93" s="763"/>
      <c r="H93" s="763"/>
      <c r="I93" s="763"/>
      <c r="J93" s="763"/>
      <c r="K93" s="763"/>
      <c r="L93" s="763"/>
      <c r="M93" s="763"/>
      <c r="N93" s="764" t="str">
        <f aca="false">IFERROR(VLOOKUP(B93,TE!$H$1:$Y$749,18,FALSE()),"")</f>
        <v/>
      </c>
      <c r="O93" s="764"/>
      <c r="P93" s="764"/>
      <c r="Q93" s="764"/>
      <c r="R93" s="764"/>
      <c r="S93" s="764"/>
      <c r="T93" s="764" t="n">
        <f aca="false">IFERROR(SUMIFS(TE!$O:$O,TE!$G:$G,$B$48,TE!$I:$I,B93,TE!$D:$D,$C$5),"")</f>
        <v>0</v>
      </c>
      <c r="U93" s="764"/>
      <c r="V93" s="764"/>
      <c r="W93" s="764"/>
      <c r="X93" s="723" t="str">
        <f aca="false">IFERROR(VLOOKUP(B93,TE!$H$1:$Y$630,14,FALSE()),"0")</f>
        <v>0</v>
      </c>
      <c r="Y93" s="723"/>
      <c r="Z93" s="723"/>
      <c r="AA93" s="723"/>
      <c r="AB93" s="765" t="n">
        <f aca="false">T93*X93</f>
        <v>0</v>
      </c>
      <c r="AC93" s="765"/>
      <c r="AD93" s="765"/>
      <c r="AE93" s="766"/>
      <c r="AF93" s="736"/>
    </row>
    <row r="94" customFormat="false" ht="15.75" hidden="false" customHeight="true" outlineLevel="0" collapsed="false">
      <c r="A94" s="736"/>
      <c r="B94" s="760" t="s">
        <v>1579</v>
      </c>
      <c r="C94" s="761"/>
      <c r="D94" s="761"/>
      <c r="E94" s="762" t="str">
        <f aca="false">IFERROR(VLOOKUP(B94,TE!$H$1:$Y$749,2,FALSE()),"(Not on TE)")</f>
        <v>(Not on TE)</v>
      </c>
      <c r="F94" s="763"/>
      <c r="G94" s="763"/>
      <c r="H94" s="763"/>
      <c r="I94" s="763"/>
      <c r="J94" s="763"/>
      <c r="K94" s="763"/>
      <c r="L94" s="763"/>
      <c r="M94" s="763"/>
      <c r="N94" s="764" t="str">
        <f aca="false">IFERROR(VLOOKUP(B94,TE!$H$1:$Y$749,18,FALSE()),"")</f>
        <v/>
      </c>
      <c r="O94" s="764"/>
      <c r="P94" s="764"/>
      <c r="Q94" s="764"/>
      <c r="R94" s="764"/>
      <c r="S94" s="764"/>
      <c r="T94" s="764" t="n">
        <f aca="false">IFERROR(SUMIFS(TE!$O:$O,TE!$G:$G,$B$48,TE!$I:$I,B94,TE!$D:$D,$C$5),"")</f>
        <v>0</v>
      </c>
      <c r="U94" s="764"/>
      <c r="V94" s="764"/>
      <c r="W94" s="764"/>
      <c r="X94" s="723" t="str">
        <f aca="false">IFERROR(VLOOKUP(B94,TE!$H$1:$Y$630,14,FALSE()),"0")</f>
        <v>0</v>
      </c>
      <c r="Y94" s="723"/>
      <c r="Z94" s="723"/>
      <c r="AA94" s="723"/>
      <c r="AB94" s="765" t="n">
        <f aca="false">T94*X94</f>
        <v>0</v>
      </c>
      <c r="AC94" s="765"/>
      <c r="AD94" s="765"/>
      <c r="AE94" s="766"/>
      <c r="AF94" s="736"/>
    </row>
    <row r="95" customFormat="false" ht="15.75" hidden="false" customHeight="true" outlineLevel="0" collapsed="false">
      <c r="A95" s="736"/>
      <c r="B95" s="760" t="s">
        <v>1580</v>
      </c>
      <c r="C95" s="761"/>
      <c r="D95" s="761"/>
      <c r="E95" s="762" t="str">
        <f aca="false">IFERROR(VLOOKUP(B95,TE!$H$1:$Y$749,2,FALSE()),"(Not on TE)")</f>
        <v>(Not on TE)</v>
      </c>
      <c r="F95" s="763"/>
      <c r="G95" s="763"/>
      <c r="H95" s="763"/>
      <c r="I95" s="763"/>
      <c r="J95" s="763"/>
      <c r="K95" s="763"/>
      <c r="L95" s="763"/>
      <c r="M95" s="763"/>
      <c r="N95" s="764" t="str">
        <f aca="false">IFERROR(VLOOKUP(B95,TE!$H$1:$Y$749,18,FALSE()),"")</f>
        <v/>
      </c>
      <c r="O95" s="764"/>
      <c r="P95" s="764"/>
      <c r="Q95" s="764"/>
      <c r="R95" s="764"/>
      <c r="S95" s="764"/>
      <c r="T95" s="764" t="n">
        <f aca="false">IFERROR(SUMIFS(TE!$O:$O,TE!$G:$G,$B$48,TE!$I:$I,B95,TE!$D:$D,$C$5),"")</f>
        <v>0</v>
      </c>
      <c r="U95" s="764"/>
      <c r="V95" s="764"/>
      <c r="W95" s="764"/>
      <c r="X95" s="723" t="str">
        <f aca="false">IFERROR(VLOOKUP(B95,TE!$H$1:$Y$630,14,FALSE()),"0")</f>
        <v>0</v>
      </c>
      <c r="Y95" s="723"/>
      <c r="Z95" s="723"/>
      <c r="AA95" s="723"/>
      <c r="AB95" s="765" t="n">
        <f aca="false">T95*X95</f>
        <v>0</v>
      </c>
      <c r="AC95" s="765"/>
      <c r="AD95" s="765"/>
      <c r="AE95" s="766"/>
      <c r="AF95" s="736"/>
    </row>
    <row r="96" customFormat="false" ht="15.75" hidden="false" customHeight="true" outlineLevel="0" collapsed="false">
      <c r="A96" s="736"/>
      <c r="B96" s="760" t="s">
        <v>1581</v>
      </c>
      <c r="C96" s="761"/>
      <c r="D96" s="761"/>
      <c r="E96" s="762" t="str">
        <f aca="false">IFERROR(VLOOKUP(B96,TE!$H$1:$Y$749,2,FALSE()),"(Not on TE)")</f>
        <v>(Not on TE)</v>
      </c>
      <c r="F96" s="763"/>
      <c r="G96" s="763"/>
      <c r="H96" s="763"/>
      <c r="I96" s="763"/>
      <c r="J96" s="763"/>
      <c r="K96" s="763"/>
      <c r="L96" s="763"/>
      <c r="M96" s="763"/>
      <c r="N96" s="764" t="str">
        <f aca="false">IFERROR(VLOOKUP(B96,TE!$H$1:$Y$749,18,FALSE()),"")</f>
        <v/>
      </c>
      <c r="O96" s="764"/>
      <c r="P96" s="764"/>
      <c r="Q96" s="764"/>
      <c r="R96" s="764"/>
      <c r="S96" s="764"/>
      <c r="T96" s="764" t="n">
        <f aca="false">IFERROR(SUMIFS(TE!$O:$O,TE!$G:$G,$B$48,TE!$I:$I,B96,TE!$D:$D,$C$5),"")</f>
        <v>0</v>
      </c>
      <c r="U96" s="764"/>
      <c r="V96" s="764"/>
      <c r="W96" s="764"/>
      <c r="X96" s="723" t="str">
        <f aca="false">IFERROR(VLOOKUP(B96,TE!$H$1:$Y$630,14,FALSE()),"0")</f>
        <v>0</v>
      </c>
      <c r="Y96" s="723"/>
      <c r="Z96" s="723"/>
      <c r="AA96" s="723"/>
      <c r="AB96" s="765" t="n">
        <f aca="false">T96*X96</f>
        <v>0</v>
      </c>
      <c r="AC96" s="765"/>
      <c r="AD96" s="765"/>
      <c r="AE96" s="766"/>
      <c r="AF96" s="736"/>
    </row>
    <row r="97" customFormat="false" ht="15.75" hidden="false" customHeight="true" outlineLevel="0" collapsed="false">
      <c r="A97" s="736"/>
      <c r="B97" s="760" t="s">
        <v>1132</v>
      </c>
      <c r="C97" s="761"/>
      <c r="D97" s="761"/>
      <c r="E97" s="762" t="str">
        <f aca="false">IFERROR(VLOOKUP(B97,TE!$H$1:$Y$749,2,FALSE()),"(Not on TE)")</f>
        <v>(Not on TE)</v>
      </c>
      <c r="F97" s="763"/>
      <c r="G97" s="763"/>
      <c r="H97" s="763"/>
      <c r="I97" s="763"/>
      <c r="J97" s="763"/>
      <c r="K97" s="763"/>
      <c r="L97" s="763"/>
      <c r="M97" s="763"/>
      <c r="N97" s="764" t="str">
        <f aca="false">IFERROR(VLOOKUP(B97,TE!$H$1:$Y$749,18,FALSE()),"")</f>
        <v/>
      </c>
      <c r="O97" s="764"/>
      <c r="P97" s="764"/>
      <c r="Q97" s="764"/>
      <c r="R97" s="764"/>
      <c r="S97" s="764"/>
      <c r="T97" s="764" t="n">
        <f aca="false">IFERROR(SUMIFS(TE!$O:$O,TE!$G:$G,$B$48,TE!$I:$I,B97,TE!$D:$D,$C$5),"")</f>
        <v>0</v>
      </c>
      <c r="U97" s="764"/>
      <c r="V97" s="764"/>
      <c r="W97" s="764"/>
      <c r="X97" s="723" t="str">
        <f aca="false">IFERROR(VLOOKUP(B97,TE!$H$1:$Y$630,14,FALSE()),"0")</f>
        <v>0</v>
      </c>
      <c r="Y97" s="723"/>
      <c r="Z97" s="723"/>
      <c r="AA97" s="723"/>
      <c r="AB97" s="765" t="n">
        <f aca="false">T97*X97</f>
        <v>0</v>
      </c>
      <c r="AC97" s="765"/>
      <c r="AD97" s="765"/>
      <c r="AE97" s="766"/>
      <c r="AF97" s="736"/>
    </row>
    <row r="98" customFormat="false" ht="15.75" hidden="false" customHeight="true" outlineLevel="0" collapsed="false">
      <c r="A98" s="736"/>
      <c r="B98" s="760" t="s">
        <v>1582</v>
      </c>
      <c r="C98" s="761"/>
      <c r="D98" s="761"/>
      <c r="E98" s="762" t="str">
        <f aca="false">IFERROR(VLOOKUP(B98,TE!$H$1:$Y$749,2,FALSE()),"(Not on TE)")</f>
        <v>(Not on TE)</v>
      </c>
      <c r="F98" s="763"/>
      <c r="G98" s="763"/>
      <c r="H98" s="763"/>
      <c r="I98" s="763"/>
      <c r="J98" s="763"/>
      <c r="K98" s="763"/>
      <c r="L98" s="763"/>
      <c r="M98" s="763"/>
      <c r="N98" s="764" t="str">
        <f aca="false">IFERROR(VLOOKUP(B98,TE!$H$1:$Y$749,18,FALSE()),"")</f>
        <v/>
      </c>
      <c r="O98" s="764"/>
      <c r="P98" s="764"/>
      <c r="Q98" s="764"/>
      <c r="R98" s="764"/>
      <c r="S98" s="764"/>
      <c r="T98" s="764" t="n">
        <f aca="false">IFERROR(SUMIFS(TE!$O:$O,TE!$G:$G,$B$48,TE!$I:$I,B98,TE!$D:$D,$C$5),"")</f>
        <v>0</v>
      </c>
      <c r="U98" s="764"/>
      <c r="V98" s="764"/>
      <c r="W98" s="764"/>
      <c r="X98" s="723" t="str">
        <f aca="false">IFERROR(VLOOKUP(B98,TE!$H$1:$Y$630,14,FALSE()),"0")</f>
        <v>0</v>
      </c>
      <c r="Y98" s="723"/>
      <c r="Z98" s="723"/>
      <c r="AA98" s="723"/>
      <c r="AB98" s="765" t="n">
        <f aca="false">T98*X98</f>
        <v>0</v>
      </c>
      <c r="AC98" s="765"/>
      <c r="AD98" s="765"/>
      <c r="AE98" s="766"/>
      <c r="AF98" s="736"/>
    </row>
    <row r="99" customFormat="false" ht="15.75" hidden="false" customHeight="true" outlineLevel="0" collapsed="false">
      <c r="A99" s="736"/>
      <c r="B99" s="760" t="s">
        <v>1583</v>
      </c>
      <c r="C99" s="761"/>
      <c r="D99" s="761"/>
      <c r="E99" s="762" t="str">
        <f aca="false">IFERROR(VLOOKUP(B99,TE!$H$1:$Y$749,2,FALSE()),"(Not on TE)")</f>
        <v>(Not on TE)</v>
      </c>
      <c r="F99" s="763"/>
      <c r="G99" s="763"/>
      <c r="H99" s="763"/>
      <c r="I99" s="763"/>
      <c r="J99" s="763"/>
      <c r="K99" s="763"/>
      <c r="L99" s="763"/>
      <c r="M99" s="763"/>
      <c r="N99" s="764" t="str">
        <f aca="false">IFERROR(VLOOKUP(B99,TE!$H$1:$Y$749,18,FALSE()),"")</f>
        <v/>
      </c>
      <c r="O99" s="764"/>
      <c r="P99" s="764"/>
      <c r="Q99" s="764"/>
      <c r="R99" s="764"/>
      <c r="S99" s="764"/>
      <c r="T99" s="764" t="n">
        <f aca="false">IFERROR(SUMIFS(TE!$O:$O,TE!$G:$G,$B$48,TE!$I:$I,B99,TE!$D:$D,$C$5),"")</f>
        <v>0</v>
      </c>
      <c r="U99" s="764"/>
      <c r="V99" s="764"/>
      <c r="W99" s="764"/>
      <c r="X99" s="723" t="str">
        <f aca="false">IFERROR(VLOOKUP(B99,TE!$H$1:$Y$630,14,FALSE()),"0")</f>
        <v>0</v>
      </c>
      <c r="Y99" s="723"/>
      <c r="Z99" s="723"/>
      <c r="AA99" s="723"/>
      <c r="AB99" s="765" t="n">
        <f aca="false">T99*X99</f>
        <v>0</v>
      </c>
      <c r="AC99" s="765"/>
      <c r="AD99" s="765"/>
      <c r="AE99" s="766"/>
      <c r="AF99" s="736"/>
    </row>
    <row r="100" customFormat="false" ht="15.75" hidden="false" customHeight="true" outlineLevel="0" collapsed="false">
      <c r="A100" s="736"/>
      <c r="B100" s="760" t="s">
        <v>1584</v>
      </c>
      <c r="C100" s="761"/>
      <c r="D100" s="761"/>
      <c r="E100" s="762" t="str">
        <f aca="false">IFERROR(VLOOKUP(B100,TE!$H$1:$Y$749,2,FALSE()),"(Not on TE)")</f>
        <v>(Not on TE)</v>
      </c>
      <c r="F100" s="763"/>
      <c r="G100" s="763"/>
      <c r="H100" s="763"/>
      <c r="I100" s="763"/>
      <c r="J100" s="763"/>
      <c r="K100" s="763"/>
      <c r="L100" s="763"/>
      <c r="M100" s="763"/>
      <c r="N100" s="764" t="str">
        <f aca="false">IFERROR(VLOOKUP(B100,TE!$H$1:$Y$749,18,FALSE()),"")</f>
        <v/>
      </c>
      <c r="O100" s="764"/>
      <c r="P100" s="764"/>
      <c r="Q100" s="764"/>
      <c r="R100" s="764"/>
      <c r="S100" s="764"/>
      <c r="T100" s="764" t="n">
        <f aca="false">IFERROR(SUMIFS(TE!$O:$O,TE!$G:$G,$B$48,TE!$I:$I,B100,TE!$D:$D,$C$5),"")</f>
        <v>0</v>
      </c>
      <c r="U100" s="764"/>
      <c r="V100" s="764"/>
      <c r="W100" s="764"/>
      <c r="X100" s="723" t="str">
        <f aca="false">IFERROR(VLOOKUP(B100,TE!$H$1:$Y$630,14,FALSE()),"0")</f>
        <v>0</v>
      </c>
      <c r="Y100" s="723"/>
      <c r="Z100" s="723"/>
      <c r="AA100" s="723"/>
      <c r="AB100" s="765" t="n">
        <f aca="false">T100*X100</f>
        <v>0</v>
      </c>
      <c r="AC100" s="765"/>
      <c r="AD100" s="765"/>
      <c r="AE100" s="766"/>
      <c r="AF100" s="736"/>
    </row>
    <row r="101" customFormat="false" ht="15.75" hidden="false" customHeight="true" outlineLevel="0" collapsed="false">
      <c r="A101" s="736"/>
      <c r="B101" s="760" t="s">
        <v>1585</v>
      </c>
      <c r="C101" s="761"/>
      <c r="D101" s="761"/>
      <c r="E101" s="762" t="str">
        <f aca="false">IFERROR(VLOOKUP(B101,TE!$H$1:$Y$749,2,FALSE()),"(Not on TE)")</f>
        <v>(Not on TE)</v>
      </c>
      <c r="F101" s="763"/>
      <c r="G101" s="763"/>
      <c r="H101" s="763"/>
      <c r="I101" s="763"/>
      <c r="J101" s="763"/>
      <c r="K101" s="763"/>
      <c r="L101" s="763"/>
      <c r="M101" s="763"/>
      <c r="N101" s="764" t="str">
        <f aca="false">IFERROR(VLOOKUP(B101,TE!$H$1:$Y$749,18,FALSE()),"")</f>
        <v/>
      </c>
      <c r="O101" s="764"/>
      <c r="P101" s="764"/>
      <c r="Q101" s="764"/>
      <c r="R101" s="764"/>
      <c r="S101" s="764"/>
      <c r="T101" s="764" t="n">
        <f aca="false">IFERROR(SUMIFS(TE!$O:$O,TE!$G:$G,$B$48,TE!$I:$I,B101,TE!$D:$D,$C$5),"")</f>
        <v>0</v>
      </c>
      <c r="U101" s="764"/>
      <c r="V101" s="764"/>
      <c r="W101" s="764"/>
      <c r="X101" s="723" t="str">
        <f aca="false">IFERROR(VLOOKUP(B101,TE!$H$1:$Y$630,14,FALSE()),"0")</f>
        <v>0</v>
      </c>
      <c r="Y101" s="723"/>
      <c r="Z101" s="723"/>
      <c r="AA101" s="723"/>
      <c r="AB101" s="765" t="n">
        <f aca="false">T101*X101</f>
        <v>0</v>
      </c>
      <c r="AC101" s="765"/>
      <c r="AD101" s="765"/>
      <c r="AE101" s="766"/>
      <c r="AF101" s="736"/>
    </row>
    <row r="102" customFormat="false" ht="15.75" hidden="false" customHeight="true" outlineLevel="0" collapsed="false">
      <c r="A102" s="736"/>
      <c r="B102" s="760" t="s">
        <v>1450</v>
      </c>
      <c r="C102" s="761"/>
      <c r="D102" s="761"/>
      <c r="E102" s="762" t="str">
        <f aca="false">IFERROR(VLOOKUP(B102,TE!$H$1:$Y$749,2,FALSE()),"(Not on TE)")</f>
        <v>(Not on TE)</v>
      </c>
      <c r="F102" s="763"/>
      <c r="G102" s="763"/>
      <c r="H102" s="763"/>
      <c r="I102" s="763"/>
      <c r="J102" s="763"/>
      <c r="K102" s="763"/>
      <c r="L102" s="763"/>
      <c r="M102" s="763"/>
      <c r="N102" s="764" t="str">
        <f aca="false">IFERROR(VLOOKUP(B102,TE!$H$1:$Y$749,18,FALSE()),"")</f>
        <v/>
      </c>
      <c r="O102" s="764"/>
      <c r="P102" s="764"/>
      <c r="Q102" s="764"/>
      <c r="R102" s="764"/>
      <c r="S102" s="764"/>
      <c r="T102" s="764" t="n">
        <f aca="false">IFERROR(SUMIFS(TE!$O:$O,TE!$G:$G,$B$48,TE!$I:$I,B102,TE!$D:$D,$C$5),"")</f>
        <v>0</v>
      </c>
      <c r="U102" s="764"/>
      <c r="V102" s="764"/>
      <c r="W102" s="764"/>
      <c r="X102" s="723" t="str">
        <f aca="false">IFERROR(VLOOKUP(B102,TE!$H$1:$Y$630,14,FALSE()),"0")</f>
        <v>0</v>
      </c>
      <c r="Y102" s="723"/>
      <c r="Z102" s="723"/>
      <c r="AA102" s="723"/>
      <c r="AB102" s="765" t="n">
        <f aca="false">T102*X102</f>
        <v>0</v>
      </c>
      <c r="AC102" s="765"/>
      <c r="AD102" s="765"/>
      <c r="AE102" s="766"/>
      <c r="AF102" s="736"/>
    </row>
    <row r="103" customFormat="false" ht="15.75" hidden="false" customHeight="true" outlineLevel="0" collapsed="false">
      <c r="A103" s="736"/>
      <c r="B103" s="760" t="s">
        <v>1586</v>
      </c>
      <c r="C103" s="761"/>
      <c r="D103" s="761"/>
      <c r="E103" s="762" t="str">
        <f aca="false">IFERROR(VLOOKUP(B103,TE!$H$1:$Y$749,2,FALSE()),"(Not on TE)")</f>
        <v>(Not on TE)</v>
      </c>
      <c r="F103" s="763"/>
      <c r="G103" s="763"/>
      <c r="H103" s="763"/>
      <c r="I103" s="763"/>
      <c r="J103" s="763"/>
      <c r="K103" s="763"/>
      <c r="L103" s="763"/>
      <c r="M103" s="763"/>
      <c r="N103" s="764" t="str">
        <f aca="false">IFERROR(VLOOKUP(B103,TE!$H$1:$Y$749,18,FALSE()),"")</f>
        <v/>
      </c>
      <c r="O103" s="764"/>
      <c r="P103" s="764"/>
      <c r="Q103" s="764"/>
      <c r="R103" s="764"/>
      <c r="S103" s="764"/>
      <c r="T103" s="764" t="n">
        <f aca="false">IFERROR(SUMIFS(TE!$O:$O,TE!$G:$G,$B$48,TE!$I:$I,B103,TE!$D:$D,$C$5),"")</f>
        <v>0</v>
      </c>
      <c r="U103" s="764"/>
      <c r="V103" s="764"/>
      <c r="W103" s="764"/>
      <c r="X103" s="723" t="str">
        <f aca="false">IFERROR(VLOOKUP(B103,TE!$H$1:$Y$630,14,FALSE()),"0")</f>
        <v>0</v>
      </c>
      <c r="Y103" s="723"/>
      <c r="Z103" s="723"/>
      <c r="AA103" s="723"/>
      <c r="AB103" s="765" t="n">
        <f aca="false">T103*X103</f>
        <v>0</v>
      </c>
      <c r="AC103" s="765"/>
      <c r="AD103" s="765"/>
      <c r="AE103" s="766"/>
      <c r="AF103" s="736"/>
    </row>
    <row r="104" customFormat="false" ht="15.75" hidden="false" customHeight="true" outlineLevel="0" collapsed="false">
      <c r="A104" s="736"/>
      <c r="B104" s="760" t="s">
        <v>1587</v>
      </c>
      <c r="C104" s="761"/>
      <c r="D104" s="761"/>
      <c r="E104" s="762" t="str">
        <f aca="false">IFERROR(VLOOKUP(B104,TE!$H$1:$Y$749,2,FALSE()),"(Not on TE)")</f>
        <v>(Not on TE)</v>
      </c>
      <c r="F104" s="763"/>
      <c r="G104" s="763"/>
      <c r="H104" s="763"/>
      <c r="I104" s="763"/>
      <c r="J104" s="763"/>
      <c r="K104" s="763"/>
      <c r="L104" s="763"/>
      <c r="M104" s="763"/>
      <c r="N104" s="764" t="str">
        <f aca="false">IFERROR(VLOOKUP(B104,TE!$H$1:$Y$749,18,FALSE()),"")</f>
        <v/>
      </c>
      <c r="O104" s="764"/>
      <c r="P104" s="764"/>
      <c r="Q104" s="764"/>
      <c r="R104" s="764"/>
      <c r="S104" s="764"/>
      <c r="T104" s="764" t="n">
        <f aca="false">IFERROR(SUMIFS(TE!$O:$O,TE!$G:$G,$B$48,TE!$I:$I,B104,TE!$D:$D,$C$5),"")</f>
        <v>0</v>
      </c>
      <c r="U104" s="764"/>
      <c r="V104" s="764"/>
      <c r="W104" s="764"/>
      <c r="X104" s="723" t="str">
        <f aca="false">IFERROR(VLOOKUP(B104,TE!$H$1:$Y$630,14,FALSE()),"0")</f>
        <v>0</v>
      </c>
      <c r="Y104" s="723"/>
      <c r="Z104" s="723"/>
      <c r="AA104" s="723"/>
      <c r="AB104" s="765" t="n">
        <f aca="false">T104*X104</f>
        <v>0</v>
      </c>
      <c r="AC104" s="765"/>
      <c r="AD104" s="765"/>
      <c r="AE104" s="766"/>
      <c r="AF104" s="736"/>
    </row>
    <row r="105" customFormat="false" ht="15.75" hidden="false" customHeight="true" outlineLevel="0" collapsed="false">
      <c r="A105" s="736"/>
      <c r="B105" s="760" t="s">
        <v>1588</v>
      </c>
      <c r="C105" s="761"/>
      <c r="D105" s="761"/>
      <c r="E105" s="762" t="str">
        <f aca="false">IFERROR(VLOOKUP(B105,TE!$H$1:$Y$749,2,FALSE()),"(Not on TE)")</f>
        <v>(Not on TE)</v>
      </c>
      <c r="F105" s="763"/>
      <c r="G105" s="763"/>
      <c r="H105" s="763"/>
      <c r="I105" s="763"/>
      <c r="J105" s="763"/>
      <c r="K105" s="763"/>
      <c r="L105" s="763"/>
      <c r="M105" s="763"/>
      <c r="N105" s="764" t="str">
        <f aca="false">IFERROR(VLOOKUP(B105,TE!$H$1:$Y$749,18,FALSE()),"")</f>
        <v/>
      </c>
      <c r="O105" s="764"/>
      <c r="P105" s="764"/>
      <c r="Q105" s="764"/>
      <c r="R105" s="764"/>
      <c r="S105" s="764"/>
      <c r="T105" s="764" t="n">
        <f aca="false">IFERROR(SUMIFS(TE!$O:$O,TE!$G:$G,$B$48,TE!$I:$I,B105,TE!$D:$D,$C$5),"")</f>
        <v>0</v>
      </c>
      <c r="U105" s="764"/>
      <c r="V105" s="764"/>
      <c r="W105" s="764"/>
      <c r="X105" s="723" t="str">
        <f aca="false">IFERROR(VLOOKUP(B105,TE!$H$1:$Y$630,14,FALSE()),"0")</f>
        <v>0</v>
      </c>
      <c r="Y105" s="723"/>
      <c r="Z105" s="723"/>
      <c r="AA105" s="723"/>
      <c r="AB105" s="765" t="n">
        <f aca="false">T105*X105</f>
        <v>0</v>
      </c>
      <c r="AC105" s="765"/>
      <c r="AD105" s="765"/>
      <c r="AE105" s="766"/>
      <c r="AF105" s="736"/>
    </row>
    <row r="106" customFormat="false" ht="15.75" hidden="false" customHeight="true" outlineLevel="0" collapsed="false">
      <c r="A106" s="736"/>
      <c r="B106" s="760" t="s">
        <v>1589</v>
      </c>
      <c r="C106" s="761"/>
      <c r="D106" s="761"/>
      <c r="E106" s="762" t="str">
        <f aca="false">IFERROR(VLOOKUP(B106,TE!$H$1:$Y$749,2,FALSE()),"(Not on TE)")</f>
        <v>(Not on TE)</v>
      </c>
      <c r="F106" s="763"/>
      <c r="G106" s="763"/>
      <c r="H106" s="763"/>
      <c r="I106" s="763"/>
      <c r="J106" s="763"/>
      <c r="K106" s="763"/>
      <c r="L106" s="763"/>
      <c r="M106" s="763"/>
      <c r="N106" s="764" t="str">
        <f aca="false">IFERROR(VLOOKUP(B106,TE!$H$1:$Y$749,18,FALSE()),"")</f>
        <v/>
      </c>
      <c r="O106" s="764"/>
      <c r="P106" s="764"/>
      <c r="Q106" s="764"/>
      <c r="R106" s="764"/>
      <c r="S106" s="764"/>
      <c r="T106" s="764" t="n">
        <f aca="false">IFERROR(SUMIFS(TE!$O:$O,TE!$G:$G,$B$48,TE!$I:$I,B106,TE!$D:$D,$C$5),"")</f>
        <v>0</v>
      </c>
      <c r="U106" s="764"/>
      <c r="V106" s="764"/>
      <c r="W106" s="764"/>
      <c r="X106" s="723" t="str">
        <f aca="false">IFERROR(VLOOKUP(B106,TE!$H$1:$Y$630,14,FALSE()),"0")</f>
        <v>0</v>
      </c>
      <c r="Y106" s="723"/>
      <c r="Z106" s="723"/>
      <c r="AA106" s="723"/>
      <c r="AB106" s="765" t="n">
        <f aca="false">T106*X106</f>
        <v>0</v>
      </c>
      <c r="AC106" s="765"/>
      <c r="AD106" s="765"/>
      <c r="AE106" s="766"/>
      <c r="AF106" s="736"/>
    </row>
    <row r="107" customFormat="false" ht="15.75" hidden="false" customHeight="true" outlineLevel="0" collapsed="false">
      <c r="A107" s="736"/>
      <c r="B107" s="760" t="s">
        <v>1590</v>
      </c>
      <c r="C107" s="761"/>
      <c r="D107" s="761"/>
      <c r="E107" s="762" t="str">
        <f aca="false">IFERROR(VLOOKUP(B107,TE!$H$1:$Y$749,2,FALSE()),"(Not on TE)")</f>
        <v>(Not on TE)</v>
      </c>
      <c r="F107" s="763"/>
      <c r="G107" s="763"/>
      <c r="H107" s="763"/>
      <c r="I107" s="763"/>
      <c r="J107" s="763"/>
      <c r="K107" s="763"/>
      <c r="L107" s="763"/>
      <c r="M107" s="763"/>
      <c r="N107" s="764" t="str">
        <f aca="false">IFERROR(VLOOKUP(B107,TE!$H$1:$Y$749,18,FALSE()),"")</f>
        <v/>
      </c>
      <c r="O107" s="764"/>
      <c r="P107" s="764"/>
      <c r="Q107" s="764"/>
      <c r="R107" s="764"/>
      <c r="S107" s="764"/>
      <c r="T107" s="764" t="n">
        <f aca="false">IFERROR(SUMIFS(TE!$O:$O,TE!$G:$G,$B$48,TE!$I:$I,B107,TE!$D:$D,$C$5),"")</f>
        <v>0</v>
      </c>
      <c r="U107" s="764"/>
      <c r="V107" s="764"/>
      <c r="W107" s="764"/>
      <c r="X107" s="723" t="str">
        <f aca="false">IFERROR(VLOOKUP(B107,TE!$H$1:$Y$630,14,FALSE()),"0")</f>
        <v>0</v>
      </c>
      <c r="Y107" s="723"/>
      <c r="Z107" s="723"/>
      <c r="AA107" s="723"/>
      <c r="AB107" s="765" t="n">
        <f aca="false">T107*X107</f>
        <v>0</v>
      </c>
      <c r="AC107" s="765"/>
      <c r="AD107" s="765"/>
      <c r="AE107" s="766"/>
      <c r="AF107" s="736"/>
    </row>
    <row r="108" customFormat="false" ht="15.75" hidden="false" customHeight="true" outlineLevel="0" collapsed="false">
      <c r="A108" s="736"/>
      <c r="B108" s="760" t="s">
        <v>1591</v>
      </c>
      <c r="C108" s="761"/>
      <c r="D108" s="761"/>
      <c r="E108" s="762" t="str">
        <f aca="false">IFERROR(VLOOKUP(B108,TE!$H$1:$Y$749,2,FALSE()),"(Not on TE)")</f>
        <v>(Not on TE)</v>
      </c>
      <c r="F108" s="763"/>
      <c r="G108" s="763"/>
      <c r="H108" s="763"/>
      <c r="I108" s="763"/>
      <c r="J108" s="763"/>
      <c r="K108" s="763"/>
      <c r="L108" s="763"/>
      <c r="M108" s="763"/>
      <c r="N108" s="764" t="str">
        <f aca="false">IFERROR(VLOOKUP(B108,TE!$H$1:$Y$749,18,FALSE()),"")</f>
        <v/>
      </c>
      <c r="O108" s="764"/>
      <c r="P108" s="764"/>
      <c r="Q108" s="764"/>
      <c r="R108" s="764"/>
      <c r="S108" s="764"/>
      <c r="T108" s="764" t="n">
        <f aca="false">IFERROR(SUMIFS(TE!$O:$O,TE!$G:$G,$B$48,TE!$I:$I,B108,TE!$D:$D,$C$5),"")</f>
        <v>0</v>
      </c>
      <c r="U108" s="764"/>
      <c r="V108" s="764"/>
      <c r="W108" s="764"/>
      <c r="X108" s="723" t="str">
        <f aca="false">IFERROR(VLOOKUP(B108,TE!$H$1:$Y$630,14,FALSE()),"0")</f>
        <v>0</v>
      </c>
      <c r="Y108" s="723"/>
      <c r="Z108" s="723"/>
      <c r="AA108" s="723"/>
      <c r="AB108" s="765" t="n">
        <f aca="false">T108*X108</f>
        <v>0</v>
      </c>
      <c r="AC108" s="765"/>
      <c r="AD108" s="765"/>
      <c r="AE108" s="766"/>
      <c r="AF108" s="736"/>
    </row>
    <row r="109" customFormat="false" ht="15.75" hidden="false" customHeight="true" outlineLevel="0" collapsed="false">
      <c r="A109" s="736"/>
      <c r="B109" s="760" t="s">
        <v>1592</v>
      </c>
      <c r="C109" s="761"/>
      <c r="D109" s="761"/>
      <c r="E109" s="762" t="str">
        <f aca="false">IFERROR(VLOOKUP(B109,TE!$H$1:$Y$749,2,FALSE()),"(Not on TE)")</f>
        <v>(Not on TE)</v>
      </c>
      <c r="F109" s="763"/>
      <c r="G109" s="763"/>
      <c r="H109" s="763"/>
      <c r="I109" s="763"/>
      <c r="J109" s="763"/>
      <c r="K109" s="763"/>
      <c r="L109" s="763"/>
      <c r="M109" s="763"/>
      <c r="N109" s="764" t="str">
        <f aca="false">IFERROR(VLOOKUP(B109,TE!$H$1:$Y$749,18,FALSE()),"")</f>
        <v/>
      </c>
      <c r="O109" s="764"/>
      <c r="P109" s="764"/>
      <c r="Q109" s="764"/>
      <c r="R109" s="764"/>
      <c r="S109" s="764"/>
      <c r="T109" s="764" t="n">
        <f aca="false">IFERROR(SUMIFS(TE!$O:$O,TE!$G:$G,$B$48,TE!$I:$I,B109,TE!$D:$D,$C$5),"")</f>
        <v>0</v>
      </c>
      <c r="U109" s="764"/>
      <c r="V109" s="764"/>
      <c r="W109" s="764"/>
      <c r="X109" s="723" t="str">
        <f aca="false">IFERROR(VLOOKUP(B109,TE!$H$1:$Y$630,14,FALSE()),"0")</f>
        <v>0</v>
      </c>
      <c r="Y109" s="723"/>
      <c r="Z109" s="723"/>
      <c r="AA109" s="723"/>
      <c r="AB109" s="765" t="n">
        <f aca="false">T109*X109</f>
        <v>0</v>
      </c>
      <c r="AC109" s="765"/>
      <c r="AD109" s="765"/>
      <c r="AE109" s="766"/>
      <c r="AF109" s="736"/>
    </row>
    <row r="110" customFormat="false" ht="15.75" hidden="false" customHeight="true" outlineLevel="0" collapsed="false">
      <c r="A110" s="736"/>
      <c r="B110" s="760" t="s">
        <v>1593</v>
      </c>
      <c r="C110" s="761"/>
      <c r="D110" s="761"/>
      <c r="E110" s="762" t="str">
        <f aca="false">IFERROR(VLOOKUP(B110,TE!$H$1:$Y$749,2,FALSE()),"(Not on TE)")</f>
        <v>(Not on TE)</v>
      </c>
      <c r="F110" s="763"/>
      <c r="G110" s="763"/>
      <c r="H110" s="763"/>
      <c r="I110" s="763"/>
      <c r="J110" s="763"/>
      <c r="K110" s="763"/>
      <c r="L110" s="763"/>
      <c r="M110" s="763"/>
      <c r="N110" s="764" t="str">
        <f aca="false">IFERROR(VLOOKUP(B110,TE!$H$1:$Y$749,18,FALSE()),"")</f>
        <v/>
      </c>
      <c r="O110" s="764"/>
      <c r="P110" s="764"/>
      <c r="Q110" s="764"/>
      <c r="R110" s="764"/>
      <c r="S110" s="764"/>
      <c r="T110" s="764" t="n">
        <f aca="false">IFERROR(SUMIFS(TE!$O:$O,TE!$G:$G,$B$48,TE!$I:$I,B110,TE!$D:$D,$C$5),"")</f>
        <v>0</v>
      </c>
      <c r="U110" s="764"/>
      <c r="V110" s="764"/>
      <c r="W110" s="764"/>
      <c r="X110" s="723" t="str">
        <f aca="false">IFERROR(VLOOKUP(B110,TE!$H$1:$Y$630,14,FALSE()),"0")</f>
        <v>0</v>
      </c>
      <c r="Y110" s="723"/>
      <c r="Z110" s="723"/>
      <c r="AA110" s="723"/>
      <c r="AB110" s="765" t="n">
        <f aca="false">T110*X110</f>
        <v>0</v>
      </c>
      <c r="AC110" s="765"/>
      <c r="AD110" s="765"/>
      <c r="AE110" s="766"/>
      <c r="AF110" s="736"/>
    </row>
    <row r="111" customFormat="false" ht="15.75" hidden="false" customHeight="true" outlineLevel="0" collapsed="false">
      <c r="A111" s="736"/>
      <c r="B111" s="760" t="s">
        <v>1595</v>
      </c>
      <c r="C111" s="761"/>
      <c r="D111" s="761"/>
      <c r="E111" s="762" t="str">
        <f aca="false">IFERROR(VLOOKUP(B111,TE!$H$1:$Y$749,2,FALSE()),"(Not on TE)")</f>
        <v>(Not on TE)</v>
      </c>
      <c r="F111" s="763"/>
      <c r="G111" s="763"/>
      <c r="H111" s="763"/>
      <c r="I111" s="763"/>
      <c r="J111" s="763"/>
      <c r="K111" s="763"/>
      <c r="L111" s="763"/>
      <c r="M111" s="763"/>
      <c r="N111" s="764" t="str">
        <f aca="false">IFERROR(VLOOKUP(B111,TE!$H$1:$Y$749,18,FALSE()),"")</f>
        <v/>
      </c>
      <c r="O111" s="764"/>
      <c r="P111" s="764"/>
      <c r="Q111" s="764"/>
      <c r="R111" s="764"/>
      <c r="S111" s="764"/>
      <c r="T111" s="764" t="n">
        <f aca="false">IFERROR(SUMIFS(TE!$O:$O,TE!$G:$G,$B$48,TE!$I:$I,B111,TE!$D:$D,$C$5),"")</f>
        <v>0</v>
      </c>
      <c r="U111" s="764"/>
      <c r="V111" s="764"/>
      <c r="W111" s="764"/>
      <c r="X111" s="723" t="str">
        <f aca="false">IFERROR(VLOOKUP(B111,TE!$H$1:$Y$630,14,FALSE()),"0")</f>
        <v>0</v>
      </c>
      <c r="Y111" s="723"/>
      <c r="Z111" s="723"/>
      <c r="AA111" s="723"/>
      <c r="AB111" s="765" t="n">
        <f aca="false">T111*X111</f>
        <v>0</v>
      </c>
      <c r="AC111" s="765"/>
      <c r="AD111" s="765"/>
      <c r="AE111" s="766"/>
      <c r="AF111" s="736"/>
    </row>
    <row r="112" customFormat="false" ht="15.75" hidden="false" customHeight="true" outlineLevel="0" collapsed="false">
      <c r="A112" s="736"/>
      <c r="B112" s="760" t="s">
        <v>1153</v>
      </c>
      <c r="C112" s="761"/>
      <c r="D112" s="761"/>
      <c r="E112" s="762" t="str">
        <f aca="false">IFERROR(VLOOKUP(B112,TE!$H$1:$Y$749,2,FALSE()),"(Not on TE)")</f>
        <v>(Not on TE)</v>
      </c>
      <c r="F112" s="763"/>
      <c r="G112" s="763"/>
      <c r="H112" s="763"/>
      <c r="I112" s="763"/>
      <c r="J112" s="763"/>
      <c r="K112" s="763"/>
      <c r="L112" s="763"/>
      <c r="M112" s="763"/>
      <c r="N112" s="764" t="str">
        <f aca="false">IFERROR(VLOOKUP(B112,TE!$H$1:$Y$749,18,FALSE()),"")</f>
        <v/>
      </c>
      <c r="O112" s="764"/>
      <c r="P112" s="764"/>
      <c r="Q112" s="764"/>
      <c r="R112" s="764"/>
      <c r="S112" s="764"/>
      <c r="T112" s="764" t="n">
        <f aca="false">IFERROR(SUMIFS(TE!$O:$O,TE!$G:$G,$B$48,TE!$I:$I,B112,TE!$D:$D,$C$5),"")</f>
        <v>4</v>
      </c>
      <c r="U112" s="764"/>
      <c r="V112" s="764"/>
      <c r="W112" s="764"/>
      <c r="X112" s="723" t="str">
        <f aca="false">IFERROR(VLOOKUP(B112,TE!$H$1:$Y$630,14,FALSE()),"0")</f>
        <v>0</v>
      </c>
      <c r="Y112" s="723"/>
      <c r="Z112" s="723"/>
      <c r="AA112" s="723"/>
      <c r="AB112" s="765" t="n">
        <f aca="false">T112*X112</f>
        <v>0</v>
      </c>
      <c r="AC112" s="765"/>
      <c r="AD112" s="765"/>
      <c r="AE112" s="766"/>
      <c r="AF112" s="736"/>
    </row>
    <row r="113" customFormat="false" ht="15.75" hidden="false" customHeight="true" outlineLevel="0" collapsed="false">
      <c r="A113" s="736"/>
      <c r="B113" s="760" t="s">
        <v>1596</v>
      </c>
      <c r="C113" s="761"/>
      <c r="D113" s="761"/>
      <c r="E113" s="762" t="str">
        <f aca="false">IFERROR(VLOOKUP(B113,TE!$H$1:$Y$749,2,FALSE()),"(Not on TE)")</f>
        <v>(Not on TE)</v>
      </c>
      <c r="F113" s="763"/>
      <c r="G113" s="763"/>
      <c r="H113" s="763"/>
      <c r="I113" s="763"/>
      <c r="J113" s="763"/>
      <c r="K113" s="763"/>
      <c r="L113" s="763"/>
      <c r="M113" s="763"/>
      <c r="N113" s="764" t="str">
        <f aca="false">IFERROR(VLOOKUP(B113,TE!$H$1:$Y$749,18,FALSE()),"")</f>
        <v/>
      </c>
      <c r="O113" s="764"/>
      <c r="P113" s="764"/>
      <c r="Q113" s="764"/>
      <c r="R113" s="764"/>
      <c r="S113" s="764"/>
      <c r="T113" s="764" t="n">
        <f aca="false">IFERROR(SUMIFS(TE!$O:$O,TE!$G:$G,$B$48,TE!$I:$I,B113,TE!$D:$D,$C$5),"")</f>
        <v>0</v>
      </c>
      <c r="U113" s="764"/>
      <c r="V113" s="764"/>
      <c r="W113" s="764"/>
      <c r="X113" s="723" t="str">
        <f aca="false">IFERROR(VLOOKUP(B113,TE!$H$1:$Y$630,14,FALSE()),"0")</f>
        <v>0</v>
      </c>
      <c r="Y113" s="723"/>
      <c r="Z113" s="723"/>
      <c r="AA113" s="723"/>
      <c r="AB113" s="765" t="n">
        <f aca="false">T113*X113</f>
        <v>0</v>
      </c>
      <c r="AC113" s="765"/>
      <c r="AD113" s="765"/>
      <c r="AE113" s="766"/>
      <c r="AF113" s="736"/>
    </row>
    <row r="114" customFormat="false" ht="15.75" hidden="false" customHeight="true" outlineLevel="0" collapsed="false">
      <c r="A114" s="736"/>
      <c r="B114" s="760" t="s">
        <v>1597</v>
      </c>
      <c r="C114" s="761"/>
      <c r="D114" s="761"/>
      <c r="E114" s="762" t="str">
        <f aca="false">IFERROR(VLOOKUP(B114,TE!$H$1:$Y$749,2,FALSE()),"(Not on TE)")</f>
        <v>(Not on TE)</v>
      </c>
      <c r="F114" s="763"/>
      <c r="G114" s="763"/>
      <c r="H114" s="763"/>
      <c r="I114" s="763"/>
      <c r="J114" s="763"/>
      <c r="K114" s="763"/>
      <c r="L114" s="763"/>
      <c r="M114" s="763"/>
      <c r="N114" s="764" t="str">
        <f aca="false">IFERROR(VLOOKUP(B114,TE!$H$1:$Y$749,18,FALSE()),"")</f>
        <v/>
      </c>
      <c r="O114" s="764"/>
      <c r="P114" s="764"/>
      <c r="Q114" s="764"/>
      <c r="R114" s="764"/>
      <c r="S114" s="764"/>
      <c r="T114" s="764" t="n">
        <f aca="false">IFERROR(SUMIFS(TE!$O:$O,TE!$G:$G,$B$48,TE!$I:$I,B114,TE!$D:$D,$C$5),"")</f>
        <v>0</v>
      </c>
      <c r="U114" s="764"/>
      <c r="V114" s="764"/>
      <c r="W114" s="764"/>
      <c r="X114" s="723" t="str">
        <f aca="false">IFERROR(VLOOKUP(B114,TE!$H$1:$Y$630,14,FALSE()),"0")</f>
        <v>0</v>
      </c>
      <c r="Y114" s="723"/>
      <c r="Z114" s="723"/>
      <c r="AA114" s="723"/>
      <c r="AB114" s="765" t="n">
        <f aca="false">T114*X114</f>
        <v>0</v>
      </c>
      <c r="AC114" s="765"/>
      <c r="AD114" s="765"/>
      <c r="AE114" s="736"/>
      <c r="AF114" s="736"/>
    </row>
    <row r="115" customFormat="false" ht="15.75" hidden="false" customHeight="true" outlineLevel="0" collapsed="false">
      <c r="A115" s="736"/>
      <c r="B115" s="783" t="s">
        <v>1598</v>
      </c>
      <c r="C115" s="761"/>
      <c r="D115" s="761"/>
      <c r="E115" s="762" t="str">
        <f aca="false">IFERROR(VLOOKUP(B115,TE!$H$1:$Y$749,2,FALSE()),"(Not on TE)")</f>
        <v>(Not on TE)</v>
      </c>
      <c r="F115" s="763"/>
      <c r="G115" s="763"/>
      <c r="H115" s="763"/>
      <c r="I115" s="763"/>
      <c r="J115" s="763"/>
      <c r="K115" s="763"/>
      <c r="L115" s="763"/>
      <c r="M115" s="763"/>
      <c r="N115" s="764" t="str">
        <f aca="false">IFERROR(VLOOKUP(B115,TE!$H$1:$Y$749,18,FALSE()),"")</f>
        <v/>
      </c>
      <c r="O115" s="764"/>
      <c r="P115" s="764"/>
      <c r="Q115" s="764"/>
      <c r="R115" s="764"/>
      <c r="S115" s="764"/>
      <c r="T115" s="764" t="n">
        <f aca="false">IFERROR(SUMIFS(TE!$O:$O,TE!$G:$G,$B$48,TE!$I:$I,B115,TE!$D:$D,$C$5),"")</f>
        <v>0</v>
      </c>
      <c r="U115" s="764"/>
      <c r="V115" s="764"/>
      <c r="W115" s="764"/>
      <c r="X115" s="723" t="str">
        <f aca="false">IFERROR(VLOOKUP(B115,TE!$H$1:$Y$630,14,FALSE()),"0")</f>
        <v>0</v>
      </c>
      <c r="Y115" s="723"/>
      <c r="Z115" s="723"/>
      <c r="AA115" s="723"/>
      <c r="AB115" s="765" t="n">
        <f aca="false">T115*X115</f>
        <v>0</v>
      </c>
      <c r="AC115" s="765"/>
      <c r="AD115" s="765"/>
      <c r="AE115" s="736"/>
      <c r="AF115" s="736"/>
    </row>
    <row r="116" customFormat="false" ht="15.75" hidden="false" customHeight="true" outlineLevel="0" collapsed="false">
      <c r="A116" s="736"/>
      <c r="B116" s="783" t="s">
        <v>1599</v>
      </c>
      <c r="C116" s="761"/>
      <c r="D116" s="761"/>
      <c r="E116" s="762" t="str">
        <f aca="false">IFERROR(VLOOKUP(B116,TE!$H$1:$Y$749,2,FALSE()),"(Not on TE)")</f>
        <v>(Not on TE)</v>
      </c>
      <c r="F116" s="763"/>
      <c r="G116" s="763"/>
      <c r="H116" s="763"/>
      <c r="I116" s="763"/>
      <c r="J116" s="763"/>
      <c r="K116" s="763"/>
      <c r="L116" s="763"/>
      <c r="M116" s="763"/>
      <c r="N116" s="764" t="str">
        <f aca="false">IFERROR(VLOOKUP(B116,TE!$H$1:$Y$749,18,FALSE()),"")</f>
        <v/>
      </c>
      <c r="O116" s="764"/>
      <c r="P116" s="764"/>
      <c r="Q116" s="764"/>
      <c r="R116" s="764"/>
      <c r="S116" s="764"/>
      <c r="T116" s="764" t="n">
        <f aca="false">IFERROR(SUMIFS(TE!$O:$O,TE!$G:$G,$B$48,TE!$I:$I,B116,TE!$D:$D,$C$5),"")</f>
        <v>0</v>
      </c>
      <c r="U116" s="764"/>
      <c r="V116" s="764"/>
      <c r="W116" s="764"/>
      <c r="X116" s="723" t="str">
        <f aca="false">IFERROR(VLOOKUP(B116,TE!$H$1:$Y$630,14,FALSE()),"0")</f>
        <v>0</v>
      </c>
      <c r="Y116" s="723"/>
      <c r="Z116" s="723"/>
      <c r="AA116" s="723"/>
      <c r="AB116" s="765" t="n">
        <f aca="false">T116*X116</f>
        <v>0</v>
      </c>
      <c r="AC116" s="765"/>
      <c r="AD116" s="765"/>
      <c r="AE116" s="736"/>
      <c r="AF116" s="736"/>
    </row>
    <row r="117" customFormat="false" ht="15.75" hidden="false" customHeight="true" outlineLevel="0" collapsed="false">
      <c r="A117" s="736"/>
      <c r="B117" s="783" t="s">
        <v>1600</v>
      </c>
      <c r="C117" s="761"/>
      <c r="D117" s="761"/>
      <c r="E117" s="762" t="str">
        <f aca="false">IFERROR(VLOOKUP(B117,TE!$H$1:$Y$749,2,FALSE()),"(Not on TE)")</f>
        <v>(Not on TE)</v>
      </c>
      <c r="F117" s="763"/>
      <c r="G117" s="763"/>
      <c r="H117" s="763"/>
      <c r="I117" s="763"/>
      <c r="J117" s="763"/>
      <c r="K117" s="763"/>
      <c r="L117" s="763"/>
      <c r="M117" s="763"/>
      <c r="N117" s="764" t="str">
        <f aca="false">IFERROR(VLOOKUP(B117,TE!$H$1:$Y$749,18,FALSE()),"")</f>
        <v/>
      </c>
      <c r="O117" s="764"/>
      <c r="P117" s="764"/>
      <c r="Q117" s="764"/>
      <c r="R117" s="764"/>
      <c r="S117" s="764"/>
      <c r="T117" s="764" t="n">
        <f aca="false">IFERROR(SUMIFS(TE!$O:$O,TE!$G:$G,$B$48,TE!$I:$I,B117,TE!$D:$D,$C$5),"")</f>
        <v>0</v>
      </c>
      <c r="U117" s="764"/>
      <c r="V117" s="764"/>
      <c r="W117" s="764"/>
      <c r="X117" s="723" t="str">
        <f aca="false">IFERROR(VLOOKUP(B117,TE!$H$1:$Y$630,14,FALSE()),"0")</f>
        <v>0</v>
      </c>
      <c r="Y117" s="723"/>
      <c r="Z117" s="723"/>
      <c r="AA117" s="723"/>
      <c r="AB117" s="765" t="n">
        <f aca="false">T117*X117</f>
        <v>0</v>
      </c>
      <c r="AC117" s="765"/>
      <c r="AD117" s="765"/>
      <c r="AE117" s="736"/>
      <c r="AF117" s="736"/>
    </row>
    <row r="118" customFormat="false" ht="15.75" hidden="false" customHeight="true" outlineLevel="0" collapsed="false">
      <c r="A118" s="736"/>
      <c r="B118" s="760" t="s">
        <v>1601</v>
      </c>
      <c r="C118" s="761"/>
      <c r="D118" s="761"/>
      <c r="E118" s="762" t="str">
        <f aca="false">IFERROR(VLOOKUP(B118,TE!$H$1:$Y$749,2,FALSE()),"(Not on TE)")</f>
        <v>(Not on TE)</v>
      </c>
      <c r="F118" s="763"/>
      <c r="G118" s="763"/>
      <c r="H118" s="763"/>
      <c r="I118" s="763"/>
      <c r="J118" s="763"/>
      <c r="K118" s="763"/>
      <c r="L118" s="763"/>
      <c r="M118" s="763"/>
      <c r="N118" s="764" t="str">
        <f aca="false">IFERROR(VLOOKUP(B118,TE!$H$1:$Y$749,18,FALSE()),"")</f>
        <v/>
      </c>
      <c r="O118" s="764"/>
      <c r="P118" s="764"/>
      <c r="Q118" s="764"/>
      <c r="R118" s="764"/>
      <c r="S118" s="764"/>
      <c r="T118" s="764" t="n">
        <f aca="false">IFERROR(SUMIFS(TE!$O:$O,TE!$G:$G,$B$48,TE!$I:$I,B118,TE!$D:$D,$C$5),"")</f>
        <v>0</v>
      </c>
      <c r="U118" s="764"/>
      <c r="V118" s="764"/>
      <c r="W118" s="764"/>
      <c r="X118" s="723" t="str">
        <f aca="false">IFERROR(VLOOKUP(B118,TE!$H$1:$Y$630,14,FALSE()),"0")</f>
        <v>0</v>
      </c>
      <c r="Y118" s="723"/>
      <c r="Z118" s="723"/>
      <c r="AA118" s="723"/>
      <c r="AB118" s="765" t="n">
        <f aca="false">T118*X118</f>
        <v>0</v>
      </c>
      <c r="AC118" s="765"/>
      <c r="AD118" s="765"/>
      <c r="AE118" s="736"/>
      <c r="AF118" s="736"/>
    </row>
    <row r="119" customFormat="false" ht="15.75" hidden="false" customHeight="true" outlineLevel="0" collapsed="false">
      <c r="A119" s="736"/>
      <c r="B119" s="760" t="s">
        <v>1602</v>
      </c>
      <c r="C119" s="761"/>
      <c r="D119" s="761"/>
      <c r="E119" s="762" t="str">
        <f aca="false">IFERROR(VLOOKUP(B119,TE!$H$1:$Y$749,2,FALSE()),"(Not on TE)")</f>
        <v>(Not on TE)</v>
      </c>
      <c r="F119" s="763"/>
      <c r="G119" s="763"/>
      <c r="H119" s="763"/>
      <c r="I119" s="763"/>
      <c r="J119" s="763"/>
      <c r="K119" s="763"/>
      <c r="L119" s="763"/>
      <c r="M119" s="763"/>
      <c r="N119" s="764" t="str">
        <f aca="false">IFERROR(VLOOKUP(B119,TE!$H$1:$Y$749,18,FALSE()),"")</f>
        <v/>
      </c>
      <c r="O119" s="764"/>
      <c r="P119" s="764"/>
      <c r="Q119" s="764"/>
      <c r="R119" s="764"/>
      <c r="S119" s="764"/>
      <c r="T119" s="764" t="n">
        <f aca="false">IFERROR(SUMIFS(TE!$O:$O,TE!$G:$G,$B$48,TE!$I:$I,B119,TE!$D:$D,$C$5),"")</f>
        <v>0</v>
      </c>
      <c r="U119" s="764"/>
      <c r="V119" s="764"/>
      <c r="W119" s="764"/>
      <c r="X119" s="723" t="str">
        <f aca="false">IFERROR(VLOOKUP(B119,TE!$H$1:$Y$630,14,FALSE()),"0")</f>
        <v>0</v>
      </c>
      <c r="Y119" s="723"/>
      <c r="Z119" s="723"/>
      <c r="AA119" s="723"/>
      <c r="AB119" s="765" t="n">
        <f aca="false">T119*X119</f>
        <v>0</v>
      </c>
      <c r="AC119" s="765"/>
      <c r="AD119" s="765"/>
      <c r="AE119" s="736"/>
      <c r="AF119" s="736"/>
    </row>
    <row r="120" customFormat="false" ht="15.75" hidden="false" customHeight="true" outlineLevel="0" collapsed="false">
      <c r="A120" s="736"/>
      <c r="B120" s="784" t="s">
        <v>1603</v>
      </c>
      <c r="C120" s="730"/>
      <c r="D120" s="730"/>
      <c r="E120" s="762" t="str">
        <f aca="false">IFERROR(VLOOKUP(B120,TE!$H$1:$Y$749,2,FALSE()),"(Not on TE)")</f>
        <v>(Not on TE)</v>
      </c>
      <c r="F120" s="730"/>
      <c r="G120" s="730"/>
      <c r="H120" s="730"/>
      <c r="I120" s="730"/>
      <c r="J120" s="730"/>
      <c r="K120" s="730"/>
      <c r="L120" s="730"/>
      <c r="M120" s="730"/>
      <c r="N120" s="764" t="str">
        <f aca="false">IFERROR(VLOOKUP(B120,TE!$H$1:$Y$749,18,FALSE()),"")</f>
        <v/>
      </c>
      <c r="O120" s="764"/>
      <c r="P120" s="764"/>
      <c r="Q120" s="764"/>
      <c r="R120" s="764"/>
      <c r="S120" s="764"/>
      <c r="T120" s="764" t="n">
        <f aca="false">IFERROR(SUMIFS(TE!$O:$O,TE!$G:$G,$B$48,TE!$I:$I,B120,TE!$D:$D,$C$5),"")</f>
        <v>0</v>
      </c>
      <c r="U120" s="764"/>
      <c r="V120" s="764"/>
      <c r="W120" s="764"/>
      <c r="X120" s="723" t="str">
        <f aca="false">IFERROR(VLOOKUP(B120,TE!$H$1:$Y$630,14,FALSE()),"0")</f>
        <v>0</v>
      </c>
      <c r="Y120" s="723"/>
      <c r="Z120" s="723"/>
      <c r="AA120" s="723"/>
      <c r="AB120" s="765" t="n">
        <f aca="false">T120*X120</f>
        <v>0</v>
      </c>
      <c r="AC120" s="765"/>
      <c r="AD120" s="765"/>
      <c r="AE120" s="736"/>
      <c r="AF120" s="736"/>
    </row>
    <row r="121" customFormat="false" ht="15.75" hidden="false" customHeight="true" outlineLevel="0" collapsed="false">
      <c r="A121" s="736"/>
      <c r="B121" s="784" t="s">
        <v>1604</v>
      </c>
      <c r="C121" s="728"/>
      <c r="D121" s="728"/>
      <c r="E121" s="762" t="str">
        <f aca="false">IFERROR(VLOOKUP(B121,TE!$H$1:$Y$749,2,FALSE()),"(Not on TE)")</f>
        <v>(Not on TE)</v>
      </c>
      <c r="F121" s="728"/>
      <c r="G121" s="729"/>
      <c r="H121" s="729"/>
      <c r="I121" s="729"/>
      <c r="J121" s="729"/>
      <c r="K121" s="729"/>
      <c r="L121" s="729"/>
      <c r="M121" s="729"/>
      <c r="N121" s="764" t="str">
        <f aca="false">IFERROR(VLOOKUP(B121,TE!$H$1:$Y$749,18,FALSE()),"")</f>
        <v/>
      </c>
      <c r="O121" s="764"/>
      <c r="P121" s="764"/>
      <c r="Q121" s="764"/>
      <c r="R121" s="764"/>
      <c r="S121" s="764"/>
      <c r="T121" s="764" t="n">
        <f aca="false">IFERROR(SUMIFS(TE!$O:$O,TE!$G:$G,$B$48,TE!$I:$I,B121,TE!$D:$D,$C$5),"")</f>
        <v>0</v>
      </c>
      <c r="U121" s="764"/>
      <c r="V121" s="764"/>
      <c r="W121" s="764"/>
      <c r="X121" s="723" t="str">
        <f aca="false">IFERROR(VLOOKUP(B121,TE!$H$1:$Y$630,14,FALSE()),"0")</f>
        <v>0</v>
      </c>
      <c r="Y121" s="723"/>
      <c r="Z121" s="723"/>
      <c r="AA121" s="723"/>
      <c r="AB121" s="765" t="n">
        <f aca="false">T121*X121</f>
        <v>0</v>
      </c>
      <c r="AC121" s="765"/>
      <c r="AD121" s="765"/>
      <c r="AE121" s="736"/>
      <c r="AF121" s="736"/>
    </row>
    <row r="122" customFormat="false" ht="15.75" hidden="false" customHeight="true" outlineLevel="0" collapsed="false">
      <c r="A122" s="736"/>
      <c r="B122" s="785" t="s">
        <v>1605</v>
      </c>
      <c r="C122" s="728"/>
      <c r="D122" s="728"/>
      <c r="E122" s="762" t="str">
        <f aca="false">IFERROR(VLOOKUP(B122,TE!$H$1:$Y$749,2,FALSE()),"(Not on TE)")</f>
        <v>(Not on TE)</v>
      </c>
      <c r="F122" s="728"/>
      <c r="G122" s="729"/>
      <c r="H122" s="729"/>
      <c r="I122" s="729"/>
      <c r="J122" s="729"/>
      <c r="K122" s="729"/>
      <c r="L122" s="729"/>
      <c r="M122" s="729"/>
      <c r="N122" s="764" t="str">
        <f aca="false">IFERROR(VLOOKUP(B122,TE!$H$1:$Y$749,18,FALSE()),"")</f>
        <v/>
      </c>
      <c r="O122" s="764"/>
      <c r="P122" s="764"/>
      <c r="Q122" s="764"/>
      <c r="R122" s="764"/>
      <c r="S122" s="764"/>
      <c r="T122" s="764" t="n">
        <f aca="false">IFERROR(SUMIFS(TE!$O:$O,TE!$G:$G,$B$48,TE!$I:$I,B122,TE!$D:$D,$C$5),"")</f>
        <v>0</v>
      </c>
      <c r="U122" s="764"/>
      <c r="V122" s="764"/>
      <c r="W122" s="764"/>
      <c r="X122" s="723" t="str">
        <f aca="false">IFERROR(VLOOKUP(B122,TE!$H$1:$Y$630,14,FALSE()),"0")</f>
        <v>0</v>
      </c>
      <c r="Y122" s="723"/>
      <c r="Z122" s="723"/>
      <c r="AA122" s="723"/>
      <c r="AB122" s="765" t="n">
        <f aca="false">T122*X122</f>
        <v>0</v>
      </c>
      <c r="AC122" s="765"/>
      <c r="AD122" s="765"/>
      <c r="AE122" s="736"/>
      <c r="AF122" s="736"/>
    </row>
    <row r="123" customFormat="false" ht="15.75" hidden="false" customHeight="true" outlineLevel="0" collapsed="false">
      <c r="A123" s="736"/>
      <c r="B123" s="785" t="s">
        <v>1606</v>
      </c>
      <c r="C123" s="728"/>
      <c r="D123" s="728"/>
      <c r="E123" s="762" t="str">
        <f aca="false">IFERROR(VLOOKUP(B123,TE!$H$1:$Y$749,2,FALSE()),"(Not on TE)")</f>
        <v>(Not on TE)</v>
      </c>
      <c r="F123" s="728"/>
      <c r="G123" s="729"/>
      <c r="H123" s="729"/>
      <c r="I123" s="729"/>
      <c r="J123" s="729"/>
      <c r="K123" s="729"/>
      <c r="L123" s="729"/>
      <c r="M123" s="729"/>
      <c r="N123" s="764" t="str">
        <f aca="false">IFERROR(VLOOKUP(B123,TE!$H$1:$Y$749,18,FALSE()),"")</f>
        <v/>
      </c>
      <c r="O123" s="764"/>
      <c r="P123" s="764"/>
      <c r="Q123" s="764"/>
      <c r="R123" s="764"/>
      <c r="S123" s="764"/>
      <c r="T123" s="764" t="n">
        <f aca="false">IFERROR(SUMIFS(TE!$O:$O,TE!$G:$G,$B$48,TE!$I:$I,B123,TE!$D:$D,$C$5),"")</f>
        <v>0</v>
      </c>
      <c r="U123" s="764"/>
      <c r="V123" s="764"/>
      <c r="W123" s="764"/>
      <c r="X123" s="723" t="str">
        <f aca="false">IFERROR(VLOOKUP(B123,TE!$H$1:$Y$630,14,FALSE()),"0")</f>
        <v>0</v>
      </c>
      <c r="Y123" s="723"/>
      <c r="Z123" s="723"/>
      <c r="AA123" s="723"/>
      <c r="AB123" s="765" t="n">
        <f aca="false">T123*X123</f>
        <v>0</v>
      </c>
      <c r="AC123" s="765"/>
      <c r="AD123" s="765"/>
      <c r="AE123" s="736"/>
      <c r="AF123" s="736"/>
    </row>
    <row r="124" customFormat="false" ht="15.75" hidden="false" customHeight="true" outlineLevel="0" collapsed="false">
      <c r="A124" s="736"/>
      <c r="B124" s="784" t="s">
        <v>1607</v>
      </c>
      <c r="C124" s="728"/>
      <c r="D124" s="728"/>
      <c r="E124" s="762" t="str">
        <f aca="false">IFERROR(VLOOKUP(B124,TE!$H$1:$Y$749,2,FALSE()),"(Not on TE)")</f>
        <v>(Not on TE)</v>
      </c>
      <c r="F124" s="728"/>
      <c r="G124" s="729"/>
      <c r="H124" s="729"/>
      <c r="I124" s="729"/>
      <c r="J124" s="729"/>
      <c r="K124" s="729"/>
      <c r="L124" s="729"/>
      <c r="M124" s="729"/>
      <c r="N124" s="764" t="str">
        <f aca="false">IFERROR(VLOOKUP(B124,TE!$H$1:$Y$749,18,FALSE()),"")</f>
        <v/>
      </c>
      <c r="O124" s="764"/>
      <c r="P124" s="764"/>
      <c r="Q124" s="764"/>
      <c r="R124" s="764"/>
      <c r="S124" s="764"/>
      <c r="T124" s="764" t="n">
        <f aca="false">IFERROR(SUMIFS(TE!$O:$O,TE!$G:$G,$B$48,TE!$I:$I,B124,TE!$D:$D,$C$5),"")</f>
        <v>0</v>
      </c>
      <c r="U124" s="764"/>
      <c r="V124" s="764"/>
      <c r="W124" s="764"/>
      <c r="X124" s="723" t="str">
        <f aca="false">IFERROR(VLOOKUP(B124,TE!$H$1:$Y$630,14,FALSE()),"0")</f>
        <v>0</v>
      </c>
      <c r="Y124" s="723"/>
      <c r="Z124" s="723"/>
      <c r="AA124" s="723"/>
      <c r="AB124" s="765" t="n">
        <f aca="false">T124*X124</f>
        <v>0</v>
      </c>
      <c r="AC124" s="765"/>
      <c r="AD124" s="765"/>
      <c r="AE124" s="736"/>
      <c r="AF124" s="736"/>
    </row>
    <row r="125" customFormat="false" ht="15.75" hidden="false" customHeight="true" outlineLevel="0" collapsed="false">
      <c r="A125" s="736"/>
      <c r="B125" s="784" t="s">
        <v>1608</v>
      </c>
      <c r="C125" s="728"/>
      <c r="D125" s="728"/>
      <c r="E125" s="762" t="str">
        <f aca="false">IFERROR(VLOOKUP(B125,TE!$H$1:$Y$749,2,FALSE()),"(Not on TE)")</f>
        <v>(Not on TE)</v>
      </c>
      <c r="F125" s="728"/>
      <c r="G125" s="729"/>
      <c r="H125" s="729"/>
      <c r="I125" s="729"/>
      <c r="J125" s="729"/>
      <c r="K125" s="729"/>
      <c r="L125" s="729"/>
      <c r="M125" s="729"/>
      <c r="N125" s="764" t="str">
        <f aca="false">IFERROR(VLOOKUP(B125,TE!$H$1:$Y$749,18,FALSE()),"")</f>
        <v/>
      </c>
      <c r="O125" s="764"/>
      <c r="P125" s="764"/>
      <c r="Q125" s="764"/>
      <c r="R125" s="764"/>
      <c r="S125" s="764"/>
      <c r="T125" s="764" t="n">
        <f aca="false">IFERROR(SUMIFS(TE!$O:$O,TE!$G:$G,$B$48,TE!$I:$I,B125,TE!$D:$D,$C$5),"")</f>
        <v>0</v>
      </c>
      <c r="U125" s="764"/>
      <c r="V125" s="764"/>
      <c r="W125" s="764"/>
      <c r="X125" s="723" t="str">
        <f aca="false">IFERROR(VLOOKUP(B125,TE!$H$1:$Y$630,14,FALSE()),"0")</f>
        <v>0</v>
      </c>
      <c r="Y125" s="723"/>
      <c r="Z125" s="723"/>
      <c r="AA125" s="723"/>
      <c r="AB125" s="765" t="n">
        <f aca="false">T125*X125</f>
        <v>0</v>
      </c>
      <c r="AC125" s="765"/>
      <c r="AD125" s="765"/>
      <c r="AE125" s="736"/>
      <c r="AF125" s="736"/>
    </row>
    <row r="126" customFormat="false" ht="15.75" hidden="false" customHeight="true" outlineLevel="0" collapsed="false">
      <c r="A126" s="736"/>
      <c r="B126" s="784" t="s">
        <v>1609</v>
      </c>
      <c r="C126" s="728"/>
      <c r="D126" s="728"/>
      <c r="E126" s="762" t="str">
        <f aca="false">IFERROR(VLOOKUP(B126,TE!$H$1:$Y$749,2,FALSE()),"(Not on TE)")</f>
        <v>(Not on TE)</v>
      </c>
      <c r="F126" s="728"/>
      <c r="G126" s="729"/>
      <c r="H126" s="729"/>
      <c r="I126" s="729"/>
      <c r="J126" s="729"/>
      <c r="K126" s="729"/>
      <c r="L126" s="729"/>
      <c r="M126" s="729"/>
      <c r="N126" s="764" t="str">
        <f aca="false">IFERROR(VLOOKUP(B126,TE!$H$1:$Y$749,18,FALSE()),"")</f>
        <v/>
      </c>
      <c r="O126" s="764"/>
      <c r="P126" s="764"/>
      <c r="Q126" s="764"/>
      <c r="R126" s="764"/>
      <c r="S126" s="764"/>
      <c r="T126" s="764" t="n">
        <f aca="false">IFERROR(SUMIFS(TE!$O:$O,TE!$G:$G,$B$48,TE!$I:$I,B126,TE!$D:$D,$C$5),"")</f>
        <v>0</v>
      </c>
      <c r="U126" s="764"/>
      <c r="V126" s="764"/>
      <c r="W126" s="764"/>
      <c r="X126" s="723" t="str">
        <f aca="false">IFERROR(VLOOKUP(B126,TE!$H$1:$Y$630,14,FALSE()),"0")</f>
        <v>0</v>
      </c>
      <c r="Y126" s="723"/>
      <c r="Z126" s="723"/>
      <c r="AA126" s="723"/>
      <c r="AB126" s="765" t="n">
        <f aca="false">T126*X126</f>
        <v>0</v>
      </c>
      <c r="AC126" s="765"/>
      <c r="AD126" s="765"/>
      <c r="AE126" s="736"/>
      <c r="AF126" s="736"/>
    </row>
    <row r="127" customFormat="false" ht="15.75" hidden="false" customHeight="true" outlineLevel="0" collapsed="false">
      <c r="A127" s="736"/>
      <c r="B127" s="784" t="s">
        <v>1610</v>
      </c>
      <c r="C127" s="728"/>
      <c r="D127" s="728"/>
      <c r="E127" s="762" t="str">
        <f aca="false">IFERROR(VLOOKUP(B127,TE!$H$1:$Y$749,2,FALSE()),"(Not on TE)")</f>
        <v>(Not on TE)</v>
      </c>
      <c r="F127" s="728"/>
      <c r="G127" s="729"/>
      <c r="H127" s="729"/>
      <c r="I127" s="729"/>
      <c r="J127" s="729"/>
      <c r="K127" s="729"/>
      <c r="L127" s="729"/>
      <c r="M127" s="729"/>
      <c r="N127" s="764" t="str">
        <f aca="false">IFERROR(VLOOKUP(B127,TE!$H$1:$Y$749,18,FALSE()),"")</f>
        <v/>
      </c>
      <c r="O127" s="764"/>
      <c r="P127" s="764"/>
      <c r="Q127" s="764"/>
      <c r="R127" s="764"/>
      <c r="S127" s="764"/>
      <c r="T127" s="764" t="n">
        <f aca="false">IFERROR(SUMIFS(TE!$O:$O,TE!$G:$G,$B$48,TE!$I:$I,B127,TE!$D:$D,$C$5),"")</f>
        <v>0</v>
      </c>
      <c r="U127" s="764"/>
      <c r="V127" s="764"/>
      <c r="W127" s="764"/>
      <c r="X127" s="723" t="str">
        <f aca="false">IFERROR(VLOOKUP(B127,TE!$H$1:$Y$630,14,FALSE()),"0")</f>
        <v>0</v>
      </c>
      <c r="Y127" s="723"/>
      <c r="Z127" s="723"/>
      <c r="AA127" s="723"/>
      <c r="AB127" s="765" t="n">
        <f aca="false">T127*X127</f>
        <v>0</v>
      </c>
      <c r="AC127" s="765"/>
      <c r="AD127" s="765"/>
      <c r="AE127" s="736"/>
      <c r="AF127" s="736"/>
    </row>
    <row r="128" customFormat="false" ht="15.75" hidden="false" customHeight="true" outlineLevel="0" collapsed="false">
      <c r="A128" s="736"/>
      <c r="B128" s="784" t="s">
        <v>1611</v>
      </c>
      <c r="C128" s="728"/>
      <c r="D128" s="728"/>
      <c r="E128" s="762" t="str">
        <f aca="false">IFERROR(VLOOKUP(B128,TE!$H$1:$Y$749,2,FALSE()),"(Not on TE)")</f>
        <v>(Not on TE)</v>
      </c>
      <c r="F128" s="728"/>
      <c r="G128" s="729"/>
      <c r="H128" s="729"/>
      <c r="I128" s="729"/>
      <c r="J128" s="729"/>
      <c r="K128" s="729"/>
      <c r="L128" s="729"/>
      <c r="M128" s="729"/>
      <c r="N128" s="764" t="str">
        <f aca="false">IFERROR(VLOOKUP(B128,TE!$H$1:$Y$749,18,FALSE()),"")</f>
        <v/>
      </c>
      <c r="O128" s="764"/>
      <c r="P128" s="764"/>
      <c r="Q128" s="764"/>
      <c r="R128" s="764"/>
      <c r="S128" s="764"/>
      <c r="T128" s="764" t="n">
        <f aca="false">IFERROR(SUMIFS(TE!$O:$O,TE!$G:$G,$B$48,TE!$I:$I,B128,TE!$D:$D,$C$5),"")</f>
        <v>0</v>
      </c>
      <c r="U128" s="764"/>
      <c r="V128" s="764"/>
      <c r="W128" s="764"/>
      <c r="X128" s="723" t="str">
        <f aca="false">IFERROR(VLOOKUP(B128,TE!$H$1:$Y$630,14,FALSE()),"0")</f>
        <v>0</v>
      </c>
      <c r="Y128" s="723"/>
      <c r="Z128" s="723"/>
      <c r="AA128" s="723"/>
      <c r="AB128" s="765" t="n">
        <f aca="false">T128*X128</f>
        <v>0</v>
      </c>
      <c r="AC128" s="765"/>
      <c r="AD128" s="765"/>
      <c r="AE128" s="736"/>
      <c r="AF128" s="736"/>
    </row>
    <row r="129" customFormat="false" ht="15.75" hidden="false" customHeight="true" outlineLevel="0" collapsed="false">
      <c r="A129" s="736"/>
      <c r="B129" s="786" t="s">
        <v>1612</v>
      </c>
      <c r="C129" s="787"/>
      <c r="D129" s="787"/>
      <c r="E129" s="769" t="str">
        <f aca="false">IFERROR(VLOOKUP(B129,TE!$H$1:$Y$749,2,FALSE()),"(Not on TE)")</f>
        <v>(Not on TE)</v>
      </c>
      <c r="F129" s="787"/>
      <c r="G129" s="788"/>
      <c r="H129" s="788"/>
      <c r="I129" s="788"/>
      <c r="J129" s="788"/>
      <c r="K129" s="788"/>
      <c r="L129" s="788"/>
      <c r="M129" s="788"/>
      <c r="N129" s="771" t="str">
        <f aca="false">IFERROR(VLOOKUP(B129,TE!$H$1:$Y$749,18,FALSE()),"")</f>
        <v/>
      </c>
      <c r="O129" s="771"/>
      <c r="P129" s="771"/>
      <c r="Q129" s="771"/>
      <c r="R129" s="771"/>
      <c r="S129" s="771"/>
      <c r="T129" s="771" t="n">
        <f aca="false">IFERROR(SUMIFS(TE!$O:$O,TE!$G:$G,$B$48,TE!$I:$I,B129,TE!$D:$D,$C$5),"")</f>
        <v>0</v>
      </c>
      <c r="U129" s="771"/>
      <c r="V129" s="771"/>
      <c r="W129" s="771"/>
      <c r="X129" s="727" t="str">
        <f aca="false">IFERROR(VLOOKUP(B129,TE!$H$1:$Y$630,14,FALSE()),"0")</f>
        <v>0</v>
      </c>
      <c r="Y129" s="727"/>
      <c r="Z129" s="727"/>
      <c r="AA129" s="727"/>
      <c r="AB129" s="772" t="n">
        <f aca="false">T129*X129</f>
        <v>0</v>
      </c>
      <c r="AC129" s="772"/>
      <c r="AD129" s="772"/>
      <c r="AE129" s="736"/>
      <c r="AF129" s="736"/>
    </row>
    <row r="130" customFormat="false" ht="15.75" hidden="false" customHeight="true" outlineLevel="0" collapsed="false">
      <c r="A130" s="736"/>
      <c r="B130" s="761"/>
      <c r="C130" s="728"/>
      <c r="D130" s="728"/>
      <c r="E130" s="728"/>
      <c r="F130" s="728"/>
      <c r="G130" s="729"/>
      <c r="H130" s="729"/>
      <c r="I130" s="729"/>
      <c r="J130" s="729"/>
      <c r="K130" s="729"/>
      <c r="L130" s="729"/>
      <c r="M130" s="729"/>
      <c r="N130" s="789"/>
      <c r="O130" s="789"/>
      <c r="P130" s="789"/>
      <c r="Q130" s="789"/>
      <c r="R130" s="790"/>
      <c r="S130" s="790"/>
      <c r="T130" s="790"/>
      <c r="U130" s="790"/>
      <c r="V130" s="790"/>
      <c r="W130" s="790"/>
      <c r="X130" s="790"/>
      <c r="Y130" s="790"/>
      <c r="Z130" s="791" t="s">
        <v>1576</v>
      </c>
      <c r="AA130" s="791"/>
      <c r="AB130" s="791"/>
      <c r="AC130" s="791"/>
      <c r="AD130" s="791"/>
      <c r="AE130" s="736"/>
      <c r="AF130" s="736"/>
    </row>
    <row r="131" customFormat="false" ht="15.75" hidden="false" customHeight="true" outlineLevel="0" collapsed="false">
      <c r="A131" s="736"/>
      <c r="B131" s="768"/>
      <c r="C131" s="728"/>
      <c r="D131" s="728"/>
      <c r="E131" s="728"/>
      <c r="F131" s="728"/>
      <c r="G131" s="792"/>
      <c r="H131" s="792"/>
      <c r="I131" s="792"/>
      <c r="J131" s="792"/>
      <c r="K131" s="792"/>
      <c r="L131" s="792"/>
      <c r="M131" s="792"/>
      <c r="N131" s="793"/>
      <c r="O131" s="793"/>
      <c r="P131" s="793"/>
      <c r="Q131" s="793"/>
      <c r="R131" s="794"/>
      <c r="S131" s="794"/>
      <c r="T131" s="794"/>
      <c r="U131" s="794"/>
      <c r="V131" s="794"/>
      <c r="W131" s="794"/>
      <c r="X131" s="794"/>
      <c r="Y131" s="794"/>
      <c r="Z131" s="736"/>
      <c r="AA131" s="736"/>
      <c r="AB131" s="736"/>
      <c r="AC131" s="736"/>
      <c r="AD131" s="736"/>
      <c r="AE131" s="736"/>
      <c r="AF131" s="736"/>
    </row>
    <row r="132" customFormat="false" ht="15.75" hidden="false" customHeight="true" outlineLevel="0" collapsed="false">
      <c r="A132" s="795"/>
      <c r="B132" s="682"/>
      <c r="C132" s="795"/>
      <c r="D132" s="795"/>
      <c r="E132" s="795"/>
      <c r="F132" s="795"/>
      <c r="G132" s="795"/>
      <c r="H132" s="795"/>
      <c r="I132" s="795"/>
      <c r="J132" s="795"/>
      <c r="K132" s="795"/>
      <c r="L132" s="795"/>
      <c r="M132" s="795"/>
      <c r="N132" s="795"/>
      <c r="O132" s="795"/>
      <c r="P132" s="795"/>
      <c r="Q132" s="795"/>
      <c r="R132" s="795"/>
      <c r="S132" s="795"/>
      <c r="T132" s="795"/>
      <c r="U132" s="795"/>
      <c r="V132" s="795"/>
      <c r="W132" s="795"/>
      <c r="X132" s="795"/>
      <c r="Y132" s="795"/>
      <c r="Z132" s="795"/>
      <c r="AA132" s="795"/>
      <c r="AB132" s="748"/>
      <c r="AC132" s="749"/>
      <c r="AD132" s="750"/>
      <c r="AE132" s="750"/>
      <c r="AF132" s="750"/>
    </row>
    <row r="133" customFormat="false" ht="15.75" hidden="false" customHeight="true" outlineLevel="0" collapsed="false">
      <c r="A133" s="688" t="s">
        <v>1522</v>
      </c>
      <c r="B133" s="688"/>
      <c r="C133" s="751" t="n">
        <f aca="false">$C$5</f>
        <v>21451</v>
      </c>
      <c r="D133" s="751"/>
      <c r="E133" s="751"/>
      <c r="F133" s="751"/>
      <c r="G133" s="751"/>
      <c r="H133" s="751"/>
      <c r="I133" s="751"/>
      <c r="J133" s="751"/>
      <c r="K133" s="751"/>
      <c r="L133" s="751"/>
      <c r="M133" s="688" t="s">
        <v>1523</v>
      </c>
      <c r="N133" s="688"/>
      <c r="O133" s="688"/>
      <c r="P133" s="688"/>
      <c r="Q133" s="688"/>
      <c r="R133" s="752" t="str">
        <f aca="false">$R$5</f>
        <v>Automotive Organizational Shop</v>
      </c>
      <c r="S133" s="752"/>
      <c r="T133" s="752"/>
      <c r="U133" s="752"/>
      <c r="V133" s="752"/>
      <c r="W133" s="752"/>
      <c r="X133" s="752"/>
      <c r="Y133" s="752"/>
      <c r="Z133" s="752"/>
      <c r="AA133" s="752"/>
      <c r="AB133" s="752"/>
      <c r="AC133" s="752"/>
      <c r="AD133" s="752"/>
      <c r="AE133" s="752"/>
      <c r="AF133" s="752"/>
    </row>
    <row r="134" customFormat="false" ht="15.75" hidden="false" customHeight="true" outlineLevel="0" collapsed="false">
      <c r="A134" s="736"/>
      <c r="B134" s="761"/>
      <c r="C134" s="761"/>
      <c r="D134" s="761"/>
      <c r="E134" s="763"/>
      <c r="F134" s="763"/>
      <c r="G134" s="763"/>
      <c r="H134" s="763"/>
      <c r="I134" s="763"/>
      <c r="J134" s="763"/>
      <c r="K134" s="763"/>
      <c r="L134" s="763"/>
      <c r="M134" s="763"/>
      <c r="N134" s="773"/>
      <c r="O134" s="773"/>
      <c r="P134" s="773"/>
      <c r="Q134" s="773"/>
      <c r="R134" s="773"/>
      <c r="S134" s="773"/>
      <c r="T134" s="773"/>
      <c r="U134" s="773"/>
      <c r="V134" s="773"/>
      <c r="W134" s="773"/>
      <c r="X134" s="774"/>
      <c r="Y134" s="774"/>
      <c r="Z134" s="774"/>
      <c r="AA134" s="774"/>
      <c r="AB134" s="778"/>
      <c r="AC134" s="778"/>
      <c r="AD134" s="778"/>
      <c r="AE134" s="766"/>
      <c r="AF134" s="736"/>
    </row>
    <row r="135" customFormat="false" ht="15.75" hidden="false" customHeight="true" outlineLevel="0" collapsed="false">
      <c r="A135" s="736"/>
      <c r="B135" s="779" t="str">
        <f aca="false">B92</f>
        <v>M28261</v>
      </c>
      <c r="C135" s="768"/>
      <c r="D135" s="768"/>
      <c r="E135" s="769" t="str">
        <f aca="false">E92</f>
        <v>H&amp;S CO</v>
      </c>
      <c r="F135" s="770"/>
      <c r="G135" s="770"/>
      <c r="H135" s="770"/>
      <c r="I135" s="770"/>
      <c r="J135" s="770"/>
      <c r="K135" s="770"/>
      <c r="L135" s="770"/>
      <c r="M135" s="770"/>
      <c r="N135" s="780"/>
      <c r="O135" s="780"/>
      <c r="P135" s="780"/>
      <c r="Q135" s="780"/>
      <c r="R135" s="780"/>
      <c r="S135" s="780"/>
      <c r="T135" s="780"/>
      <c r="U135" s="780"/>
      <c r="V135" s="780"/>
      <c r="W135" s="780"/>
      <c r="X135" s="781"/>
      <c r="Y135" s="781"/>
      <c r="Z135" s="781"/>
      <c r="AA135" s="781"/>
      <c r="AB135" s="782"/>
      <c r="AC135" s="782"/>
      <c r="AD135" s="782"/>
      <c r="AE135" s="766"/>
      <c r="AF135" s="736"/>
    </row>
    <row r="136" customFormat="false" ht="15.75" hidden="false" customHeight="true" outlineLevel="0" collapsed="false">
      <c r="A136" s="736"/>
      <c r="B136" s="796" t="s">
        <v>1613</v>
      </c>
      <c r="C136" s="761"/>
      <c r="D136" s="761"/>
      <c r="E136" s="762" t="str">
        <f aca="false">IFERROR(VLOOKUP(B136,TE!$H$1:$Y$749,2,FALSE()),"(Not on TE)")</f>
        <v>(Not on TE)</v>
      </c>
      <c r="F136" s="763"/>
      <c r="G136" s="763"/>
      <c r="H136" s="763"/>
      <c r="I136" s="763"/>
      <c r="J136" s="763"/>
      <c r="K136" s="763"/>
      <c r="L136" s="763"/>
      <c r="M136" s="763"/>
      <c r="N136" s="764" t="str">
        <f aca="false">IFERROR(VLOOKUP(B136,TE!$H$1:$Y$749,18,FALSE()),"")</f>
        <v/>
      </c>
      <c r="O136" s="764"/>
      <c r="P136" s="764"/>
      <c r="Q136" s="764"/>
      <c r="R136" s="764"/>
      <c r="S136" s="764"/>
      <c r="T136" s="764" t="n">
        <f aca="false">IFERROR(SUMIFS(TE!$O:$O,TE!$G:$G,$B$48,TE!$I:$I,B136,TE!$D:$D,$C$5),"")</f>
        <v>0</v>
      </c>
      <c r="U136" s="764"/>
      <c r="V136" s="764"/>
      <c r="W136" s="764"/>
      <c r="X136" s="723" t="str">
        <f aca="false">IFERROR(VLOOKUP(B136,TE!$H$1:$Y$630,14,FALSE()),"0")</f>
        <v>0</v>
      </c>
      <c r="Y136" s="723"/>
      <c r="Z136" s="723"/>
      <c r="AA136" s="723"/>
      <c r="AB136" s="765" t="n">
        <f aca="false">T136*X136</f>
        <v>0</v>
      </c>
      <c r="AC136" s="765"/>
      <c r="AD136" s="765"/>
      <c r="AE136" s="766"/>
      <c r="AF136" s="736"/>
    </row>
    <row r="137" customFormat="false" ht="15.75" hidden="false" customHeight="true" outlineLevel="0" collapsed="false">
      <c r="A137" s="736"/>
      <c r="B137" s="797" t="s">
        <v>1614</v>
      </c>
      <c r="C137" s="761"/>
      <c r="D137" s="761"/>
      <c r="E137" s="762" t="str">
        <f aca="false">IFERROR(VLOOKUP(B137,TE!$H$1:$Y$749,2,FALSE()),"(Not on TE)")</f>
        <v>(Not on TE)</v>
      </c>
      <c r="F137" s="763"/>
      <c r="G137" s="763"/>
      <c r="H137" s="763"/>
      <c r="I137" s="763"/>
      <c r="J137" s="763"/>
      <c r="K137" s="763"/>
      <c r="L137" s="763"/>
      <c r="M137" s="763"/>
      <c r="N137" s="764" t="str">
        <f aca="false">IFERROR(VLOOKUP(B137,TE!$H$1:$Y$749,18,FALSE()),"")</f>
        <v/>
      </c>
      <c r="O137" s="764"/>
      <c r="P137" s="764"/>
      <c r="Q137" s="764"/>
      <c r="R137" s="764"/>
      <c r="S137" s="764"/>
      <c r="T137" s="764" t="n">
        <f aca="false">IFERROR(SUMIFS(TE!$O:$O,TE!$G:$G,$B$48,TE!$I:$I,B137,TE!$D:$D,$C$5),"")</f>
        <v>0</v>
      </c>
      <c r="U137" s="764"/>
      <c r="V137" s="764"/>
      <c r="W137" s="764"/>
      <c r="X137" s="723" t="str">
        <f aca="false">IFERROR(VLOOKUP(B137,TE!$H$1:$Y$630,14,FALSE()),"0")</f>
        <v>0</v>
      </c>
      <c r="Y137" s="723"/>
      <c r="Z137" s="723"/>
      <c r="AA137" s="723"/>
      <c r="AB137" s="765" t="n">
        <f aca="false">T137*X137</f>
        <v>0</v>
      </c>
      <c r="AC137" s="765"/>
      <c r="AD137" s="765"/>
      <c r="AE137" s="766"/>
      <c r="AF137" s="736"/>
    </row>
    <row r="138" customFormat="false" ht="15.75" hidden="false" customHeight="true" outlineLevel="0" collapsed="false">
      <c r="A138" s="736"/>
      <c r="B138" s="797" t="s">
        <v>1615</v>
      </c>
      <c r="C138" s="761"/>
      <c r="D138" s="761"/>
      <c r="E138" s="762" t="str">
        <f aca="false">IFERROR(VLOOKUP(B138,TE!$H$1:$Y$749,2,FALSE()),"(Not on TE)")</f>
        <v>(Not on TE)</v>
      </c>
      <c r="F138" s="763"/>
      <c r="G138" s="763"/>
      <c r="H138" s="763"/>
      <c r="I138" s="763"/>
      <c r="J138" s="763"/>
      <c r="K138" s="763"/>
      <c r="L138" s="763"/>
      <c r="M138" s="763"/>
      <c r="N138" s="764" t="str">
        <f aca="false">IFERROR(VLOOKUP(B138,TE!$H$1:$Y$749,18,FALSE()),"")</f>
        <v/>
      </c>
      <c r="O138" s="764"/>
      <c r="P138" s="764"/>
      <c r="Q138" s="764"/>
      <c r="R138" s="764"/>
      <c r="S138" s="764"/>
      <c r="T138" s="764" t="n">
        <f aca="false">IFERROR(SUMIFS(TE!$O:$O,TE!$G:$G,$B$48,TE!$I:$I,B138,TE!$D:$D,$C$5),"")</f>
        <v>0</v>
      </c>
      <c r="U138" s="764"/>
      <c r="V138" s="764"/>
      <c r="W138" s="764"/>
      <c r="X138" s="723" t="str">
        <f aca="false">IFERROR(VLOOKUP(B138,TE!$H$1:$Y$630,14,FALSE()),"0")</f>
        <v>0</v>
      </c>
      <c r="Y138" s="723"/>
      <c r="Z138" s="723"/>
      <c r="AA138" s="723"/>
      <c r="AB138" s="765" t="n">
        <f aca="false">T138*X138</f>
        <v>0</v>
      </c>
      <c r="AC138" s="765"/>
      <c r="AD138" s="765"/>
      <c r="AE138" s="766"/>
      <c r="AF138" s="736"/>
    </row>
    <row r="139" customFormat="false" ht="15.75" hidden="false" customHeight="true" outlineLevel="0" collapsed="false">
      <c r="A139" s="736"/>
      <c r="B139" s="797" t="s">
        <v>1167</v>
      </c>
      <c r="C139" s="761"/>
      <c r="D139" s="761"/>
      <c r="E139" s="762" t="str">
        <f aca="false">IFERROR(VLOOKUP(B139,TE!$H$1:$Y$749,2,FALSE()),"(Not on TE)")</f>
        <v>(Not on TE)</v>
      </c>
      <c r="F139" s="763"/>
      <c r="G139" s="763"/>
      <c r="H139" s="763"/>
      <c r="I139" s="763"/>
      <c r="J139" s="763"/>
      <c r="K139" s="763"/>
      <c r="L139" s="763"/>
      <c r="M139" s="763"/>
      <c r="N139" s="764" t="str">
        <f aca="false">IFERROR(VLOOKUP(B139,TE!$H$1:$Y$749,18,FALSE()),"")</f>
        <v/>
      </c>
      <c r="O139" s="764"/>
      <c r="P139" s="764"/>
      <c r="Q139" s="764"/>
      <c r="R139" s="764"/>
      <c r="S139" s="764"/>
      <c r="T139" s="764" t="n">
        <f aca="false">IFERROR(SUMIFS(TE!$O:$O,TE!$G:$G,$B$48,TE!$I:$I,B139,TE!$D:$D,$C$5),"")</f>
        <v>4</v>
      </c>
      <c r="U139" s="764"/>
      <c r="V139" s="764"/>
      <c r="W139" s="764"/>
      <c r="X139" s="723" t="str">
        <f aca="false">IFERROR(VLOOKUP(B139,TE!$H$1:$Y$630,14,FALSE()),"0")</f>
        <v>0</v>
      </c>
      <c r="Y139" s="723"/>
      <c r="Z139" s="723"/>
      <c r="AA139" s="723"/>
      <c r="AB139" s="765" t="n">
        <f aca="false">T139*X139</f>
        <v>0</v>
      </c>
      <c r="AC139" s="765"/>
      <c r="AD139" s="765"/>
      <c r="AE139" s="766"/>
      <c r="AF139" s="736"/>
    </row>
    <row r="140" customFormat="false" ht="15.75" hidden="false" customHeight="true" outlineLevel="0" collapsed="false">
      <c r="A140" s="736"/>
      <c r="B140" s="797" t="s">
        <v>1618</v>
      </c>
      <c r="C140" s="761"/>
      <c r="D140" s="761"/>
      <c r="E140" s="762" t="str">
        <f aca="false">IFERROR(VLOOKUP(B140,TE!$H$1:$Y$749,2,FALSE()),"(Not on TE)")</f>
        <v>(Not on TE)</v>
      </c>
      <c r="F140" s="763"/>
      <c r="G140" s="763"/>
      <c r="H140" s="763"/>
      <c r="I140" s="763"/>
      <c r="J140" s="763"/>
      <c r="K140" s="763"/>
      <c r="L140" s="763"/>
      <c r="M140" s="763"/>
      <c r="N140" s="764" t="str">
        <f aca="false">IFERROR(VLOOKUP(B140,TE!$H$1:$Y$749,18,FALSE()),"")</f>
        <v/>
      </c>
      <c r="O140" s="764"/>
      <c r="P140" s="764"/>
      <c r="Q140" s="764"/>
      <c r="R140" s="764"/>
      <c r="S140" s="764"/>
      <c r="T140" s="764" t="n">
        <f aca="false">IFERROR(SUMIFS(TE!$O:$O,TE!$G:$G,$B$48,TE!$I:$I,B140,TE!$D:$D,$C$5),"")</f>
        <v>0</v>
      </c>
      <c r="U140" s="764"/>
      <c r="V140" s="764"/>
      <c r="W140" s="764"/>
      <c r="X140" s="723" t="str">
        <f aca="false">IFERROR(VLOOKUP(B140,TE!$H$1:$Y$630,14,FALSE()),"0")</f>
        <v>0</v>
      </c>
      <c r="Y140" s="723"/>
      <c r="Z140" s="723"/>
      <c r="AA140" s="723"/>
      <c r="AB140" s="765" t="n">
        <f aca="false">T140*X140</f>
        <v>0</v>
      </c>
      <c r="AC140" s="765"/>
      <c r="AD140" s="765"/>
      <c r="AE140" s="766"/>
      <c r="AF140" s="736"/>
    </row>
    <row r="141" customFormat="false" ht="15.75" hidden="false" customHeight="true" outlineLevel="0" collapsed="false">
      <c r="A141" s="736"/>
      <c r="B141" s="797" t="s">
        <v>1114</v>
      </c>
      <c r="C141" s="761"/>
      <c r="D141" s="761"/>
      <c r="E141" s="762" t="str">
        <f aca="false">IFERROR(VLOOKUP(B141,TE!$H$1:$Y$749,2,FALSE()),"(Not on TE)")</f>
        <v>(Not on TE)</v>
      </c>
      <c r="F141" s="763"/>
      <c r="G141" s="763"/>
      <c r="H141" s="763"/>
      <c r="I141" s="763"/>
      <c r="J141" s="763"/>
      <c r="K141" s="763"/>
      <c r="L141" s="763"/>
      <c r="M141" s="763"/>
      <c r="N141" s="764" t="str">
        <f aca="false">IFERROR(VLOOKUP(B141,TE!$H$1:$Y$749,18,FALSE()),"")</f>
        <v/>
      </c>
      <c r="O141" s="764"/>
      <c r="P141" s="764"/>
      <c r="Q141" s="764"/>
      <c r="R141" s="764"/>
      <c r="S141" s="764"/>
      <c r="T141" s="764" t="n">
        <f aca="false">IFERROR(SUMIFS(TE!$O:$O,TE!$G:$G,$B$48,TE!$I:$I,B141,TE!$D:$D,$C$5),"")</f>
        <v>9</v>
      </c>
      <c r="U141" s="764"/>
      <c r="V141" s="764"/>
      <c r="W141" s="764"/>
      <c r="X141" s="723" t="str">
        <f aca="false">IFERROR(VLOOKUP(B141,TE!$H$1:$Y$630,14,FALSE()),"0")</f>
        <v>0</v>
      </c>
      <c r="Y141" s="723"/>
      <c r="Z141" s="723"/>
      <c r="AA141" s="723"/>
      <c r="AB141" s="765" t="n">
        <f aca="false">T141*X141</f>
        <v>0</v>
      </c>
      <c r="AC141" s="765"/>
      <c r="AD141" s="765"/>
      <c r="AE141" s="766"/>
      <c r="AF141" s="736"/>
    </row>
    <row r="142" customFormat="false" ht="15.75" hidden="false" customHeight="true" outlineLevel="0" collapsed="false">
      <c r="A142" s="736"/>
      <c r="B142" s="797" t="s">
        <v>1619</v>
      </c>
      <c r="C142" s="761"/>
      <c r="D142" s="761"/>
      <c r="E142" s="762" t="str">
        <f aca="false">IFERROR(VLOOKUP(B142,TE!$H$1:$Y$749,2,FALSE()),"(Not on TE)")</f>
        <v>(Not on TE)</v>
      </c>
      <c r="F142" s="763"/>
      <c r="G142" s="763"/>
      <c r="H142" s="763"/>
      <c r="I142" s="763"/>
      <c r="J142" s="763"/>
      <c r="K142" s="763"/>
      <c r="L142" s="763"/>
      <c r="M142" s="763"/>
      <c r="N142" s="764" t="str">
        <f aca="false">IFERROR(VLOOKUP(B142,TE!$H$1:$Y$749,18,FALSE()),"")</f>
        <v/>
      </c>
      <c r="O142" s="764"/>
      <c r="P142" s="764"/>
      <c r="Q142" s="764"/>
      <c r="R142" s="764"/>
      <c r="S142" s="764"/>
      <c r="T142" s="764" t="n">
        <f aca="false">IFERROR(SUMIFS(TE!$O:$O,TE!$G:$G,$B$48,TE!$I:$I,B142,TE!$D:$D,$C$5),"")</f>
        <v>0</v>
      </c>
      <c r="U142" s="764"/>
      <c r="V142" s="764"/>
      <c r="W142" s="764"/>
      <c r="X142" s="723" t="str">
        <f aca="false">IFERROR(VLOOKUP(B142,TE!$H$1:$Y$630,14,FALSE()),"0")</f>
        <v>0</v>
      </c>
      <c r="Y142" s="723"/>
      <c r="Z142" s="723"/>
      <c r="AA142" s="723"/>
      <c r="AB142" s="765" t="n">
        <f aca="false">T142*X142</f>
        <v>0</v>
      </c>
      <c r="AC142" s="765"/>
      <c r="AD142" s="765"/>
      <c r="AE142" s="766"/>
      <c r="AF142" s="736"/>
    </row>
    <row r="143" customFormat="false" ht="15.75" hidden="false" customHeight="true" outlineLevel="0" collapsed="false">
      <c r="A143" s="736"/>
      <c r="B143" s="797" t="s">
        <v>1620</v>
      </c>
      <c r="C143" s="761"/>
      <c r="D143" s="761"/>
      <c r="E143" s="762" t="str">
        <f aca="false">IFERROR(VLOOKUP(B143,TE!$H$1:$Y$749,2,FALSE()),"(Not on TE)")</f>
        <v>(Not on TE)</v>
      </c>
      <c r="F143" s="763"/>
      <c r="G143" s="763"/>
      <c r="H143" s="763"/>
      <c r="I143" s="763"/>
      <c r="J143" s="763"/>
      <c r="K143" s="763"/>
      <c r="L143" s="763"/>
      <c r="M143" s="763"/>
      <c r="N143" s="764" t="str">
        <f aca="false">IFERROR(VLOOKUP(B143,TE!$H$1:$Y$749,18,FALSE()),"")</f>
        <v/>
      </c>
      <c r="O143" s="764"/>
      <c r="P143" s="764"/>
      <c r="Q143" s="764"/>
      <c r="R143" s="764"/>
      <c r="S143" s="764"/>
      <c r="T143" s="764" t="n">
        <f aca="false">IFERROR(SUMIFS(TE!$O:$O,TE!$G:$G,$B$48,TE!$I:$I,B143,TE!$D:$D,$C$5),"")</f>
        <v>0</v>
      </c>
      <c r="U143" s="764"/>
      <c r="V143" s="764"/>
      <c r="W143" s="764"/>
      <c r="X143" s="723" t="str">
        <f aca="false">IFERROR(VLOOKUP(B143,TE!$H$1:$Y$630,14,FALSE()),"0")</f>
        <v>0</v>
      </c>
      <c r="Y143" s="723"/>
      <c r="Z143" s="723"/>
      <c r="AA143" s="723"/>
      <c r="AB143" s="765" t="n">
        <f aca="false">T143*X143</f>
        <v>0</v>
      </c>
      <c r="AC143" s="765"/>
      <c r="AD143" s="765"/>
      <c r="AE143" s="766"/>
      <c r="AF143" s="736"/>
    </row>
    <row r="144" customFormat="false" ht="15.75" hidden="false" customHeight="true" outlineLevel="0" collapsed="false">
      <c r="A144" s="736"/>
      <c r="B144" s="797" t="s">
        <v>1621</v>
      </c>
      <c r="C144" s="761"/>
      <c r="D144" s="761"/>
      <c r="E144" s="762" t="str">
        <f aca="false">IFERROR(VLOOKUP(B144,TE!$H$1:$Y$749,2,FALSE()),"(Not on TE)")</f>
        <v>(Not on TE)</v>
      </c>
      <c r="F144" s="763"/>
      <c r="G144" s="763"/>
      <c r="H144" s="763"/>
      <c r="I144" s="763"/>
      <c r="J144" s="763"/>
      <c r="K144" s="763"/>
      <c r="L144" s="763"/>
      <c r="M144" s="763"/>
      <c r="N144" s="764" t="str">
        <f aca="false">IFERROR(VLOOKUP(B144,TE!$H$1:$Y$749,18,FALSE()),"")</f>
        <v/>
      </c>
      <c r="O144" s="764"/>
      <c r="P144" s="764"/>
      <c r="Q144" s="764"/>
      <c r="R144" s="764"/>
      <c r="S144" s="764"/>
      <c r="T144" s="764" t="n">
        <f aca="false">IFERROR(SUMIFS(TE!$O:$O,TE!$G:$G,$B$48,TE!$I:$I,B144,TE!$D:$D,$C$5),"")</f>
        <v>0</v>
      </c>
      <c r="U144" s="764"/>
      <c r="V144" s="764"/>
      <c r="W144" s="764"/>
      <c r="X144" s="723" t="str">
        <f aca="false">IFERROR(VLOOKUP(B144,TE!$H$1:$Y$630,14,FALSE()),"0")</f>
        <v>0</v>
      </c>
      <c r="Y144" s="723"/>
      <c r="Z144" s="723"/>
      <c r="AA144" s="723"/>
      <c r="AB144" s="765" t="n">
        <f aca="false">T144*X144</f>
        <v>0</v>
      </c>
      <c r="AC144" s="765"/>
      <c r="AD144" s="765"/>
      <c r="AE144" s="766"/>
      <c r="AF144" s="736"/>
    </row>
    <row r="145" customFormat="false" ht="15.75" hidden="false" customHeight="true" outlineLevel="0" collapsed="false">
      <c r="A145" s="736"/>
      <c r="B145" s="797" t="s">
        <v>1622</v>
      </c>
      <c r="C145" s="761"/>
      <c r="D145" s="761"/>
      <c r="E145" s="762" t="str">
        <f aca="false">IFERROR(VLOOKUP(B145,TE!$H$1:$Y$749,2,FALSE()),"(Not on TE)")</f>
        <v>(Not on TE)</v>
      </c>
      <c r="F145" s="763"/>
      <c r="G145" s="763"/>
      <c r="H145" s="763"/>
      <c r="I145" s="763"/>
      <c r="J145" s="763"/>
      <c r="K145" s="763"/>
      <c r="L145" s="763"/>
      <c r="M145" s="763"/>
      <c r="N145" s="764" t="str">
        <f aca="false">IFERROR(VLOOKUP(B145,TE!$H$1:$Y$749,18,FALSE()),"")</f>
        <v/>
      </c>
      <c r="O145" s="764"/>
      <c r="P145" s="764"/>
      <c r="Q145" s="764"/>
      <c r="R145" s="764"/>
      <c r="S145" s="764"/>
      <c r="T145" s="764" t="n">
        <f aca="false">IFERROR(SUMIFS(TE!$O:$O,TE!$G:$G,$B$48,TE!$I:$I,B145,TE!$D:$D,$C$5),"")</f>
        <v>0</v>
      </c>
      <c r="U145" s="764"/>
      <c r="V145" s="764"/>
      <c r="W145" s="764"/>
      <c r="X145" s="723" t="str">
        <f aca="false">IFERROR(VLOOKUP(B145,TE!$H$1:$Y$630,14,FALSE()),"0")</f>
        <v>0</v>
      </c>
      <c r="Y145" s="723"/>
      <c r="Z145" s="723"/>
      <c r="AA145" s="723"/>
      <c r="AB145" s="765" t="n">
        <f aca="false">T145*X145</f>
        <v>0</v>
      </c>
      <c r="AC145" s="765"/>
      <c r="AD145" s="765"/>
      <c r="AE145" s="766"/>
      <c r="AF145" s="736"/>
    </row>
    <row r="146" customFormat="false" ht="15.75" hidden="false" customHeight="true" outlineLevel="0" collapsed="false">
      <c r="A146" s="736"/>
      <c r="B146" s="760" t="s">
        <v>1193</v>
      </c>
      <c r="C146" s="761"/>
      <c r="D146" s="761"/>
      <c r="E146" s="762" t="str">
        <f aca="false">IFERROR(VLOOKUP(B146,TE!$H$1:$Y$749,2,FALSE()),"(Not on TE)")</f>
        <v>(Not on TE)</v>
      </c>
      <c r="F146" s="763"/>
      <c r="G146" s="763"/>
      <c r="H146" s="763"/>
      <c r="I146" s="763"/>
      <c r="J146" s="763"/>
      <c r="K146" s="763"/>
      <c r="L146" s="763"/>
      <c r="M146" s="763"/>
      <c r="N146" s="764" t="str">
        <f aca="false">IFERROR(VLOOKUP(B146,TE!$H$1:$Y$749,18,FALSE()),"")</f>
        <v/>
      </c>
      <c r="O146" s="764"/>
      <c r="P146" s="764"/>
      <c r="Q146" s="764"/>
      <c r="R146" s="764"/>
      <c r="S146" s="764"/>
      <c r="T146" s="764" t="n">
        <f aca="false">IFERROR(SUMIFS(TE!$O:$O,TE!$G:$G,$B$48,TE!$I:$I,B146,TE!$D:$D,$C$5),"")</f>
        <v>2</v>
      </c>
      <c r="U146" s="764"/>
      <c r="V146" s="764"/>
      <c r="W146" s="764"/>
      <c r="X146" s="723" t="str">
        <f aca="false">IFERROR(VLOOKUP(B146,TE!$H$1:$Y$630,14,FALSE()),"0")</f>
        <v>0</v>
      </c>
      <c r="Y146" s="723"/>
      <c r="Z146" s="723"/>
      <c r="AA146" s="723"/>
      <c r="AB146" s="765" t="n">
        <f aca="false">T146*X146</f>
        <v>0</v>
      </c>
      <c r="AC146" s="765"/>
      <c r="AD146" s="765"/>
      <c r="AE146" s="766"/>
      <c r="AF146" s="736"/>
    </row>
    <row r="147" customFormat="false" ht="15.75" hidden="false" customHeight="true" outlineLevel="0" collapsed="false">
      <c r="A147" s="736"/>
      <c r="B147" s="760" t="s">
        <v>1623</v>
      </c>
      <c r="C147" s="761"/>
      <c r="D147" s="761"/>
      <c r="E147" s="762" t="str">
        <f aca="false">IFERROR(VLOOKUP(B147,TE!$H$1:$Y$749,2,FALSE()),"(Not on TE)")</f>
        <v>(Not on TE)</v>
      </c>
      <c r="F147" s="763"/>
      <c r="G147" s="763"/>
      <c r="H147" s="763"/>
      <c r="I147" s="763"/>
      <c r="J147" s="763"/>
      <c r="K147" s="763"/>
      <c r="L147" s="763"/>
      <c r="M147" s="763"/>
      <c r="N147" s="764" t="str">
        <f aca="false">IFERROR(VLOOKUP(B147,TE!$H$1:$Y$749,18,FALSE()),"")</f>
        <v/>
      </c>
      <c r="O147" s="764"/>
      <c r="P147" s="764"/>
      <c r="Q147" s="764"/>
      <c r="R147" s="764"/>
      <c r="S147" s="764"/>
      <c r="T147" s="764" t="n">
        <f aca="false">IFERROR(SUMIFS(TE!$O:$O,TE!$G:$G,$B$48,TE!$I:$I,B147,TE!$D:$D,$C$5),"")</f>
        <v>0</v>
      </c>
      <c r="U147" s="764"/>
      <c r="V147" s="764"/>
      <c r="W147" s="764"/>
      <c r="X147" s="723" t="str">
        <f aca="false">IFERROR(VLOOKUP(B147,TE!$H$1:$Y$630,14,FALSE()),"0")</f>
        <v>0</v>
      </c>
      <c r="Y147" s="723"/>
      <c r="Z147" s="723"/>
      <c r="AA147" s="723"/>
      <c r="AB147" s="765" t="n">
        <f aca="false">T147*X147</f>
        <v>0</v>
      </c>
      <c r="AC147" s="765"/>
      <c r="AD147" s="765"/>
      <c r="AE147" s="766"/>
      <c r="AF147" s="736"/>
    </row>
    <row r="148" customFormat="false" ht="15.75" hidden="false" customHeight="true" outlineLevel="0" collapsed="false">
      <c r="A148" s="736"/>
      <c r="B148" s="760" t="s">
        <v>1624</v>
      </c>
      <c r="C148" s="761"/>
      <c r="D148" s="761"/>
      <c r="E148" s="762" t="str">
        <f aca="false">IFERROR(VLOOKUP(B148,TE!$H$1:$Y$749,2,FALSE()),"(Not on TE)")</f>
        <v>(Not on TE)</v>
      </c>
      <c r="F148" s="763"/>
      <c r="G148" s="763"/>
      <c r="H148" s="763"/>
      <c r="I148" s="763"/>
      <c r="J148" s="763"/>
      <c r="K148" s="763"/>
      <c r="L148" s="763"/>
      <c r="M148" s="763"/>
      <c r="N148" s="764" t="str">
        <f aca="false">IFERROR(VLOOKUP(B148,TE!$H$1:$Y$749,18,FALSE()),"")</f>
        <v/>
      </c>
      <c r="O148" s="764"/>
      <c r="P148" s="764"/>
      <c r="Q148" s="764"/>
      <c r="R148" s="764"/>
      <c r="S148" s="764"/>
      <c r="T148" s="764" t="n">
        <f aca="false">IFERROR(SUMIFS(TE!$O:$O,TE!$G:$G,$B$48,TE!$I:$I,B148,TE!$D:$D,$C$5),"")</f>
        <v>0</v>
      </c>
      <c r="U148" s="764"/>
      <c r="V148" s="764"/>
      <c r="W148" s="764"/>
      <c r="X148" s="723" t="str">
        <f aca="false">IFERROR(VLOOKUP(B148,TE!$H$1:$Y$630,14,FALSE()),"0")</f>
        <v>0</v>
      </c>
      <c r="Y148" s="723"/>
      <c r="Z148" s="723"/>
      <c r="AA148" s="723"/>
      <c r="AB148" s="765" t="n">
        <f aca="false">T148*X148</f>
        <v>0</v>
      </c>
      <c r="AC148" s="765"/>
      <c r="AD148" s="765"/>
      <c r="AE148" s="766"/>
      <c r="AF148" s="736"/>
    </row>
    <row r="149" customFormat="false" ht="15.75" hidden="false" customHeight="true" outlineLevel="0" collapsed="false">
      <c r="A149" s="736"/>
      <c r="B149" s="760" t="s">
        <v>1625</v>
      </c>
      <c r="C149" s="761"/>
      <c r="D149" s="761"/>
      <c r="E149" s="762" t="str">
        <f aca="false">IFERROR(VLOOKUP(B149,TE!$H$1:$Y$749,2,FALSE()),"(Not on TE)")</f>
        <v>(Not on TE)</v>
      </c>
      <c r="F149" s="763"/>
      <c r="G149" s="763"/>
      <c r="H149" s="763"/>
      <c r="I149" s="763"/>
      <c r="J149" s="763"/>
      <c r="K149" s="763"/>
      <c r="L149" s="763"/>
      <c r="M149" s="763"/>
      <c r="N149" s="764" t="str">
        <f aca="false">IFERROR(VLOOKUP(B149,TE!$H$1:$Y$749,18,FALSE()),"")</f>
        <v/>
      </c>
      <c r="O149" s="764"/>
      <c r="P149" s="764"/>
      <c r="Q149" s="764"/>
      <c r="R149" s="764"/>
      <c r="S149" s="764"/>
      <c r="T149" s="764" t="n">
        <f aca="false">IFERROR(SUMIFS(TE!$O:$O,TE!$G:$G,$B$48,TE!$I:$I,B149,TE!$D:$D,$C$5),"")</f>
        <v>0</v>
      </c>
      <c r="U149" s="764"/>
      <c r="V149" s="764"/>
      <c r="W149" s="764"/>
      <c r="X149" s="723" t="str">
        <f aca="false">IFERROR(VLOOKUP(B149,TE!$H$1:$Y$630,14,FALSE()),"0")</f>
        <v>0</v>
      </c>
      <c r="Y149" s="723"/>
      <c r="Z149" s="723"/>
      <c r="AA149" s="723"/>
      <c r="AB149" s="765" t="n">
        <f aca="false">T149*X149</f>
        <v>0</v>
      </c>
      <c r="AC149" s="765"/>
      <c r="AD149" s="765"/>
      <c r="AE149" s="766"/>
      <c r="AF149" s="736"/>
    </row>
    <row r="150" customFormat="false" ht="15.75" hidden="false" customHeight="true" outlineLevel="0" collapsed="false">
      <c r="A150" s="736"/>
      <c r="B150" s="760" t="s">
        <v>1309</v>
      </c>
      <c r="C150" s="761"/>
      <c r="D150" s="761"/>
      <c r="E150" s="762" t="str">
        <f aca="false">IFERROR(VLOOKUP(B150,TE!$H$1:$Y$749,2,FALSE()),"(Not on TE)")</f>
        <v>(Not on TE)</v>
      </c>
      <c r="F150" s="763"/>
      <c r="G150" s="763"/>
      <c r="H150" s="763"/>
      <c r="I150" s="763"/>
      <c r="J150" s="763"/>
      <c r="K150" s="763"/>
      <c r="L150" s="763"/>
      <c r="M150" s="763"/>
      <c r="N150" s="764" t="str">
        <f aca="false">IFERROR(VLOOKUP(B150,TE!$H$1:$Y$749,18,FALSE()),"")</f>
        <v/>
      </c>
      <c r="O150" s="764"/>
      <c r="P150" s="764"/>
      <c r="Q150" s="764"/>
      <c r="R150" s="764"/>
      <c r="S150" s="764"/>
      <c r="T150" s="764" t="n">
        <f aca="false">IFERROR(SUMIFS(TE!$O:$O,TE!$G:$G,$B$48,TE!$I:$I,B150,TE!$D:$D,$C$5),"")</f>
        <v>6</v>
      </c>
      <c r="U150" s="764"/>
      <c r="V150" s="764"/>
      <c r="W150" s="764"/>
      <c r="X150" s="723" t="str">
        <f aca="false">IFERROR(VLOOKUP(B150,TE!$H$1:$Y$630,14,FALSE()),"0")</f>
        <v>0</v>
      </c>
      <c r="Y150" s="723"/>
      <c r="Z150" s="723"/>
      <c r="AA150" s="723"/>
      <c r="AB150" s="765" t="n">
        <f aca="false">T150*X150</f>
        <v>0</v>
      </c>
      <c r="AC150" s="765"/>
      <c r="AD150" s="765"/>
      <c r="AE150" s="766"/>
      <c r="AF150" s="736"/>
    </row>
    <row r="151" customFormat="false" ht="15.75" hidden="false" customHeight="true" outlineLevel="0" collapsed="false">
      <c r="A151" s="736"/>
      <c r="B151" s="760" t="s">
        <v>1626</v>
      </c>
      <c r="C151" s="761"/>
      <c r="D151" s="761"/>
      <c r="E151" s="762" t="str">
        <f aca="false">IFERROR(VLOOKUP(B151,TE!$H$1:$Y$749,2,FALSE()),"(Not on TE)")</f>
        <v>(Not on TE)</v>
      </c>
      <c r="F151" s="763"/>
      <c r="G151" s="763"/>
      <c r="H151" s="763"/>
      <c r="I151" s="763"/>
      <c r="J151" s="763"/>
      <c r="K151" s="763"/>
      <c r="L151" s="763"/>
      <c r="M151" s="763"/>
      <c r="N151" s="764" t="str">
        <f aca="false">IFERROR(VLOOKUP(B151,TE!$H$1:$Y$749,18,FALSE()),"")</f>
        <v/>
      </c>
      <c r="O151" s="764"/>
      <c r="P151" s="764"/>
      <c r="Q151" s="764"/>
      <c r="R151" s="764"/>
      <c r="S151" s="764"/>
      <c r="T151" s="764" t="n">
        <f aca="false">IFERROR(SUMIFS(TE!$O:$O,TE!$G:$G,$B$48,TE!$I:$I,B151,TE!$D:$D,$C$5),"")</f>
        <v>0</v>
      </c>
      <c r="U151" s="764"/>
      <c r="V151" s="764"/>
      <c r="W151" s="764"/>
      <c r="X151" s="723" t="str">
        <f aca="false">IFERROR(VLOOKUP(B151,TE!$H$1:$Y$630,14,FALSE()),"0")</f>
        <v>0</v>
      </c>
      <c r="Y151" s="723"/>
      <c r="Z151" s="723"/>
      <c r="AA151" s="723"/>
      <c r="AB151" s="765" t="n">
        <f aca="false">T151*X151</f>
        <v>0</v>
      </c>
      <c r="AC151" s="765"/>
      <c r="AD151" s="765"/>
      <c r="AE151" s="766"/>
      <c r="AF151" s="736"/>
    </row>
    <row r="152" customFormat="false" ht="15.75" hidden="false" customHeight="true" outlineLevel="0" collapsed="false">
      <c r="A152" s="736"/>
      <c r="B152" s="760" t="s">
        <v>1627</v>
      </c>
      <c r="C152" s="761"/>
      <c r="D152" s="761"/>
      <c r="E152" s="762" t="str">
        <f aca="false">IFERROR(VLOOKUP(B152,TE!$H$1:$Y$749,2,FALSE()),"(Not on TE)")</f>
        <v>(Not on TE)</v>
      </c>
      <c r="F152" s="763"/>
      <c r="G152" s="763"/>
      <c r="H152" s="763"/>
      <c r="I152" s="763"/>
      <c r="J152" s="763"/>
      <c r="K152" s="763"/>
      <c r="L152" s="763"/>
      <c r="M152" s="763"/>
      <c r="N152" s="764" t="str">
        <f aca="false">IFERROR(VLOOKUP(B152,TE!$H$1:$Y$749,18,FALSE()),"")</f>
        <v/>
      </c>
      <c r="O152" s="764"/>
      <c r="P152" s="764"/>
      <c r="Q152" s="764"/>
      <c r="R152" s="764"/>
      <c r="S152" s="764"/>
      <c r="T152" s="764" t="n">
        <f aca="false">IFERROR(SUMIFS(TE!$O:$O,TE!$G:$G,$B$48,TE!$I:$I,B152,TE!$D:$D,$C$5),"")</f>
        <v>0</v>
      </c>
      <c r="U152" s="764"/>
      <c r="V152" s="764"/>
      <c r="W152" s="764"/>
      <c r="X152" s="723" t="str">
        <f aca="false">IFERROR(VLOOKUP(B152,TE!$H$1:$Y$630,14,FALSE()),"0")</f>
        <v>0</v>
      </c>
      <c r="Y152" s="723"/>
      <c r="Z152" s="723"/>
      <c r="AA152" s="723"/>
      <c r="AB152" s="765" t="n">
        <f aca="false">T152*X152</f>
        <v>0</v>
      </c>
      <c r="AC152" s="765"/>
      <c r="AD152" s="765"/>
      <c r="AE152" s="766"/>
      <c r="AF152" s="736"/>
    </row>
    <row r="153" customFormat="false" ht="15.75" hidden="false" customHeight="true" outlineLevel="0" collapsed="false">
      <c r="A153" s="736"/>
      <c r="B153" s="760" t="s">
        <v>1628</v>
      </c>
      <c r="C153" s="761"/>
      <c r="D153" s="761"/>
      <c r="E153" s="762" t="str">
        <f aca="false">IFERROR(VLOOKUP(B153,TE!$H$1:$Y$749,2,FALSE()),"(Not on TE)")</f>
        <v>(Not on TE)</v>
      </c>
      <c r="F153" s="763"/>
      <c r="G153" s="763"/>
      <c r="H153" s="763"/>
      <c r="I153" s="763"/>
      <c r="J153" s="763"/>
      <c r="K153" s="763"/>
      <c r="L153" s="763"/>
      <c r="M153" s="763"/>
      <c r="N153" s="764" t="str">
        <f aca="false">IFERROR(VLOOKUP(B153,TE!$H$1:$Y$749,18,FALSE()),"")</f>
        <v/>
      </c>
      <c r="O153" s="764"/>
      <c r="P153" s="764"/>
      <c r="Q153" s="764"/>
      <c r="R153" s="764"/>
      <c r="S153" s="764"/>
      <c r="T153" s="764" t="n">
        <f aca="false">IFERROR(SUMIFS(TE!$O:$O,TE!$G:$G,$B$48,TE!$I:$I,B153,TE!$D:$D,$C$5),"")</f>
        <v>0</v>
      </c>
      <c r="U153" s="764"/>
      <c r="V153" s="764"/>
      <c r="W153" s="764"/>
      <c r="X153" s="723" t="str">
        <f aca="false">IFERROR(VLOOKUP(B153,TE!$H$1:$Y$630,14,FALSE()),"0")</f>
        <v>0</v>
      </c>
      <c r="Y153" s="723"/>
      <c r="Z153" s="723"/>
      <c r="AA153" s="723"/>
      <c r="AB153" s="765" t="n">
        <f aca="false">T153*X153</f>
        <v>0</v>
      </c>
      <c r="AC153" s="765"/>
      <c r="AD153" s="765"/>
      <c r="AE153" s="766"/>
      <c r="AF153" s="736"/>
    </row>
    <row r="154" customFormat="false" ht="15.75" hidden="false" customHeight="true" outlineLevel="0" collapsed="false">
      <c r="A154" s="736"/>
      <c r="B154" s="760" t="s">
        <v>1418</v>
      </c>
      <c r="C154" s="761"/>
      <c r="D154" s="761"/>
      <c r="E154" s="762" t="str">
        <f aca="false">IFERROR(VLOOKUP(B154,TE!$H$1:$Y$749,2,FALSE()),"(Not on TE)")</f>
        <v>(Not on TE)</v>
      </c>
      <c r="F154" s="763"/>
      <c r="G154" s="763"/>
      <c r="H154" s="763"/>
      <c r="I154" s="763"/>
      <c r="J154" s="763"/>
      <c r="K154" s="763"/>
      <c r="L154" s="763"/>
      <c r="M154" s="763"/>
      <c r="N154" s="764" t="str">
        <f aca="false">IFERROR(VLOOKUP(B154,TE!$H$1:$Y$749,18,FALSE()),"")</f>
        <v/>
      </c>
      <c r="O154" s="764"/>
      <c r="P154" s="764"/>
      <c r="Q154" s="764"/>
      <c r="R154" s="764"/>
      <c r="S154" s="764"/>
      <c r="T154" s="764" t="n">
        <f aca="false">IFERROR(SUMIFS(TE!$O:$O,TE!$G:$G,$B$48,TE!$I:$I,B154,TE!$D:$D,$C$5),"")</f>
        <v>2</v>
      </c>
      <c r="U154" s="764"/>
      <c r="V154" s="764"/>
      <c r="W154" s="764"/>
      <c r="X154" s="723" t="str">
        <f aca="false">IFERROR(VLOOKUP(B154,TE!$H$1:$Y$630,14,FALSE()),"0")</f>
        <v>0</v>
      </c>
      <c r="Y154" s="723"/>
      <c r="Z154" s="723"/>
      <c r="AA154" s="723"/>
      <c r="AB154" s="765" t="n">
        <f aca="false">T154*X154</f>
        <v>0</v>
      </c>
      <c r="AC154" s="765"/>
      <c r="AD154" s="765"/>
      <c r="AE154" s="766"/>
      <c r="AF154" s="736"/>
    </row>
    <row r="155" customFormat="false" ht="15.75" hidden="false" customHeight="true" outlineLevel="0" collapsed="false">
      <c r="A155" s="736"/>
      <c r="B155" s="760" t="s">
        <v>1195</v>
      </c>
      <c r="C155" s="761"/>
      <c r="D155" s="761"/>
      <c r="E155" s="762" t="str">
        <f aca="false">IFERROR(VLOOKUP(B155,TE!$H$1:$Y$749,2,FALSE()),"(Not on TE)")</f>
        <v>(Not on TE)</v>
      </c>
      <c r="F155" s="763"/>
      <c r="G155" s="763"/>
      <c r="H155" s="763"/>
      <c r="I155" s="763"/>
      <c r="J155" s="763"/>
      <c r="K155" s="763"/>
      <c r="L155" s="763"/>
      <c r="M155" s="763"/>
      <c r="N155" s="764" t="str">
        <f aca="false">IFERROR(VLOOKUP(B155,TE!$H$1:$Y$749,18,FALSE()),"")</f>
        <v/>
      </c>
      <c r="O155" s="764"/>
      <c r="P155" s="764"/>
      <c r="Q155" s="764"/>
      <c r="R155" s="764"/>
      <c r="S155" s="764"/>
      <c r="T155" s="764" t="n">
        <f aca="false">IFERROR(SUMIFS(TE!$O:$O,TE!$G:$G,$B$48,TE!$I:$I,B155,TE!$D:$D,$C$5),"")</f>
        <v>6</v>
      </c>
      <c r="U155" s="764"/>
      <c r="V155" s="764"/>
      <c r="W155" s="764"/>
      <c r="X155" s="723" t="str">
        <f aca="false">IFERROR(VLOOKUP(B155,TE!$H$1:$Y$630,14,FALSE()),"0")</f>
        <v>0</v>
      </c>
      <c r="Y155" s="723"/>
      <c r="Z155" s="723"/>
      <c r="AA155" s="723"/>
      <c r="AB155" s="765" t="n">
        <f aca="false">T155*X155</f>
        <v>0</v>
      </c>
      <c r="AC155" s="765"/>
      <c r="AD155" s="765"/>
      <c r="AE155" s="766"/>
      <c r="AF155" s="736"/>
    </row>
    <row r="156" customFormat="false" ht="15.75" hidden="false" customHeight="true" outlineLevel="0" collapsed="false">
      <c r="A156" s="736"/>
      <c r="B156" s="760" t="s">
        <v>1629</v>
      </c>
      <c r="C156" s="761"/>
      <c r="D156" s="761"/>
      <c r="E156" s="762" t="str">
        <f aca="false">IFERROR(VLOOKUP(B156,TE!$H$1:$Y$749,2,FALSE()),"(Not on TE)")</f>
        <v>(Not on TE)</v>
      </c>
      <c r="F156" s="763"/>
      <c r="G156" s="763"/>
      <c r="H156" s="763"/>
      <c r="I156" s="763"/>
      <c r="J156" s="763"/>
      <c r="K156" s="763"/>
      <c r="L156" s="763"/>
      <c r="M156" s="763"/>
      <c r="N156" s="764" t="str">
        <f aca="false">IFERROR(VLOOKUP(B156,TE!$H$1:$Y$749,18,FALSE()),"")</f>
        <v/>
      </c>
      <c r="O156" s="764"/>
      <c r="P156" s="764"/>
      <c r="Q156" s="764"/>
      <c r="R156" s="764"/>
      <c r="S156" s="764"/>
      <c r="T156" s="764" t="n">
        <f aca="false">IFERROR(SUMIFS(TE!$O:$O,TE!$G:$G,$B$48,TE!$I:$I,B156,TE!$D:$D,$C$5),"")</f>
        <v>0</v>
      </c>
      <c r="U156" s="764"/>
      <c r="V156" s="764"/>
      <c r="W156" s="764"/>
      <c r="X156" s="723" t="str">
        <f aca="false">IFERROR(VLOOKUP(B156,TE!$H$1:$Y$630,14,FALSE()),"0")</f>
        <v>0</v>
      </c>
      <c r="Y156" s="723"/>
      <c r="Z156" s="723"/>
      <c r="AA156" s="723"/>
      <c r="AB156" s="765" t="n">
        <f aca="false">T156*X156</f>
        <v>0</v>
      </c>
      <c r="AC156" s="765"/>
      <c r="AD156" s="765"/>
      <c r="AE156" s="766"/>
      <c r="AF156" s="736"/>
    </row>
    <row r="157" customFormat="false" ht="15.75" hidden="false" customHeight="true" outlineLevel="0" collapsed="false">
      <c r="A157" s="736"/>
      <c r="B157" s="760" t="s">
        <v>1630</v>
      </c>
      <c r="C157" s="761"/>
      <c r="D157" s="761"/>
      <c r="E157" s="762" t="str">
        <f aca="false">IFERROR(VLOOKUP(B157,TE!$H$1:$Y$749,2,FALSE()),"(Not on TE)")</f>
        <v>(Not on TE)</v>
      </c>
      <c r="F157" s="763"/>
      <c r="G157" s="763"/>
      <c r="H157" s="763"/>
      <c r="I157" s="763"/>
      <c r="J157" s="763"/>
      <c r="K157" s="763"/>
      <c r="L157" s="763"/>
      <c r="M157" s="763"/>
      <c r="N157" s="764" t="str">
        <f aca="false">IFERROR(VLOOKUP(B157,TE!$H$1:$Y$749,18,FALSE()),"")</f>
        <v/>
      </c>
      <c r="O157" s="764"/>
      <c r="P157" s="764"/>
      <c r="Q157" s="764"/>
      <c r="R157" s="764"/>
      <c r="S157" s="764"/>
      <c r="T157" s="764" t="n">
        <f aca="false">IFERROR(SUMIFS(TE!$O:$O,TE!$G:$G,$B$48,TE!$I:$I,B157,TE!$D:$D,$C$5),"")</f>
        <v>0</v>
      </c>
      <c r="U157" s="764"/>
      <c r="V157" s="764"/>
      <c r="W157" s="764"/>
      <c r="X157" s="723" t="str">
        <f aca="false">IFERROR(VLOOKUP(B157,TE!$H$1:$Y$630,14,FALSE()),"0")</f>
        <v>0</v>
      </c>
      <c r="Y157" s="723"/>
      <c r="Z157" s="723"/>
      <c r="AA157" s="723"/>
      <c r="AB157" s="765" t="n">
        <f aca="false">T157*X157</f>
        <v>0</v>
      </c>
      <c r="AC157" s="765"/>
      <c r="AD157" s="765"/>
      <c r="AE157" s="736"/>
      <c r="AF157" s="736"/>
    </row>
    <row r="158" customFormat="false" ht="15.75" hidden="false" customHeight="true" outlineLevel="0" collapsed="false">
      <c r="A158" s="736"/>
      <c r="B158" s="783" t="s">
        <v>1403</v>
      </c>
      <c r="C158" s="761"/>
      <c r="D158" s="761"/>
      <c r="E158" s="762" t="str">
        <f aca="false">IFERROR(VLOOKUP(B158,TE!$H$1:$Y$749,2,FALSE()),"(Not on TE)")</f>
        <v>(Not on TE)</v>
      </c>
      <c r="F158" s="763"/>
      <c r="G158" s="763"/>
      <c r="H158" s="763"/>
      <c r="I158" s="763"/>
      <c r="J158" s="763"/>
      <c r="K158" s="763"/>
      <c r="L158" s="763"/>
      <c r="M158" s="763"/>
      <c r="N158" s="764" t="str">
        <f aca="false">IFERROR(VLOOKUP(B158,TE!$H$1:$Y$749,18,FALSE()),"")</f>
        <v/>
      </c>
      <c r="O158" s="764"/>
      <c r="P158" s="764"/>
      <c r="Q158" s="764"/>
      <c r="R158" s="764"/>
      <c r="S158" s="764"/>
      <c r="T158" s="764" t="n">
        <f aca="false">IFERROR(SUMIFS(TE!$O:$O,TE!$G:$G,$B$48,TE!$I:$I,B158,TE!$D:$D,$C$5),"")</f>
        <v>10</v>
      </c>
      <c r="U158" s="764"/>
      <c r="V158" s="764"/>
      <c r="W158" s="764"/>
      <c r="X158" s="723" t="str">
        <f aca="false">IFERROR(VLOOKUP(B158,TE!$H$1:$Y$630,14,FALSE()),"0")</f>
        <v>0</v>
      </c>
      <c r="Y158" s="723"/>
      <c r="Z158" s="723"/>
      <c r="AA158" s="723"/>
      <c r="AB158" s="765" t="n">
        <f aca="false">T158*X158</f>
        <v>0</v>
      </c>
      <c r="AC158" s="765"/>
      <c r="AD158" s="765"/>
      <c r="AE158" s="736"/>
      <c r="AF158" s="736"/>
    </row>
    <row r="159" customFormat="false" ht="15.75" hidden="false" customHeight="true" outlineLevel="0" collapsed="false">
      <c r="A159" s="736"/>
      <c r="B159" s="783" t="s">
        <v>1487</v>
      </c>
      <c r="C159" s="761"/>
      <c r="D159" s="761"/>
      <c r="E159" s="762" t="str">
        <f aca="false">IFERROR(VLOOKUP(B159,TE!$H$1:$Y$749,2,FALSE()),"(Not on TE)")</f>
        <v>(Not on TE)</v>
      </c>
      <c r="F159" s="763"/>
      <c r="G159" s="763"/>
      <c r="H159" s="763"/>
      <c r="I159" s="763"/>
      <c r="J159" s="763"/>
      <c r="K159" s="763"/>
      <c r="L159" s="763"/>
      <c r="M159" s="763"/>
      <c r="N159" s="764" t="str">
        <f aca="false">IFERROR(VLOOKUP(B159,TE!$H$1:$Y$749,18,FALSE()),"")</f>
        <v/>
      </c>
      <c r="O159" s="764"/>
      <c r="P159" s="764"/>
      <c r="Q159" s="764"/>
      <c r="R159" s="764"/>
      <c r="S159" s="764"/>
      <c r="T159" s="764" t="n">
        <f aca="false">IFERROR(SUMIFS(TE!$O:$O,TE!$G:$G,$B$48,TE!$I:$I,B159,TE!$D:$D,$C$5),"")</f>
        <v>0</v>
      </c>
      <c r="U159" s="764"/>
      <c r="V159" s="764"/>
      <c r="W159" s="764"/>
      <c r="X159" s="723" t="str">
        <f aca="false">IFERROR(VLOOKUP(B159,TE!$H$1:$Y$630,14,FALSE()),"0")</f>
        <v>0</v>
      </c>
      <c r="Y159" s="723"/>
      <c r="Z159" s="723"/>
      <c r="AA159" s="723"/>
      <c r="AB159" s="765" t="n">
        <f aca="false">T159*X159</f>
        <v>0</v>
      </c>
      <c r="AC159" s="765"/>
      <c r="AD159" s="765"/>
      <c r="AE159" s="736"/>
      <c r="AF159" s="736"/>
    </row>
    <row r="160" customFormat="false" ht="15.75" hidden="false" customHeight="true" outlineLevel="0" collapsed="false">
      <c r="A160" s="736"/>
      <c r="B160" s="783" t="s">
        <v>1631</v>
      </c>
      <c r="C160" s="761"/>
      <c r="D160" s="761"/>
      <c r="E160" s="762" t="str">
        <f aca="false">IFERROR(VLOOKUP(B160,TE!$H$1:$Y$749,2,FALSE()),"(Not on TE)")</f>
        <v>(Not on TE)</v>
      </c>
      <c r="F160" s="763"/>
      <c r="G160" s="763"/>
      <c r="H160" s="763"/>
      <c r="I160" s="763"/>
      <c r="J160" s="763"/>
      <c r="K160" s="763"/>
      <c r="L160" s="763"/>
      <c r="M160" s="763"/>
      <c r="N160" s="764" t="str">
        <f aca="false">IFERROR(VLOOKUP(B160,TE!$H$1:$Y$749,18,FALSE()),"")</f>
        <v/>
      </c>
      <c r="O160" s="764"/>
      <c r="P160" s="764"/>
      <c r="Q160" s="764"/>
      <c r="R160" s="764"/>
      <c r="S160" s="764"/>
      <c r="T160" s="764" t="n">
        <f aca="false">IFERROR(SUMIFS(TE!$O:$O,TE!$G:$G,$B$48,TE!$I:$I,B160,TE!$D:$D,$C$5),"")</f>
        <v>0</v>
      </c>
      <c r="U160" s="764"/>
      <c r="V160" s="764"/>
      <c r="W160" s="764"/>
      <c r="X160" s="723" t="str">
        <f aca="false">IFERROR(VLOOKUP(B160,TE!$H$1:$Y$630,14,FALSE()),"0")</f>
        <v>0</v>
      </c>
      <c r="Y160" s="723"/>
      <c r="Z160" s="723"/>
      <c r="AA160" s="723"/>
      <c r="AB160" s="765" t="n">
        <f aca="false">T160*X160</f>
        <v>0</v>
      </c>
      <c r="AC160" s="765"/>
      <c r="AD160" s="765"/>
      <c r="AE160" s="736"/>
      <c r="AF160" s="736"/>
    </row>
    <row r="161" customFormat="false" ht="15.75" hidden="false" customHeight="true" outlineLevel="0" collapsed="false">
      <c r="A161" s="736"/>
      <c r="B161" s="760" t="s">
        <v>1632</v>
      </c>
      <c r="C161" s="761"/>
      <c r="D161" s="761"/>
      <c r="E161" s="762" t="str">
        <f aca="false">IFERROR(VLOOKUP(B161,TE!$H$1:$Y$749,2,FALSE()),"(Not on TE)")</f>
        <v>(Not on TE)</v>
      </c>
      <c r="F161" s="763"/>
      <c r="G161" s="763"/>
      <c r="H161" s="763"/>
      <c r="I161" s="763"/>
      <c r="J161" s="763"/>
      <c r="K161" s="763"/>
      <c r="L161" s="763"/>
      <c r="M161" s="763"/>
      <c r="N161" s="764" t="str">
        <f aca="false">IFERROR(VLOOKUP(B161,TE!$H$1:$Y$749,18,FALSE()),"")</f>
        <v/>
      </c>
      <c r="O161" s="764"/>
      <c r="P161" s="764"/>
      <c r="Q161" s="764"/>
      <c r="R161" s="764"/>
      <c r="S161" s="764"/>
      <c r="T161" s="764" t="n">
        <f aca="false">IFERROR(SUMIFS(TE!$O:$O,TE!$G:$G,$B$48,TE!$I:$I,B161,TE!$D:$D,$C$5),"")</f>
        <v>0</v>
      </c>
      <c r="U161" s="764"/>
      <c r="V161" s="764"/>
      <c r="W161" s="764"/>
      <c r="X161" s="723" t="str">
        <f aca="false">IFERROR(VLOOKUP(B161,TE!$H$1:$Y$630,14,FALSE()),"0")</f>
        <v>0</v>
      </c>
      <c r="Y161" s="723"/>
      <c r="Z161" s="723"/>
      <c r="AA161" s="723"/>
      <c r="AB161" s="765" t="n">
        <f aca="false">T161*X161</f>
        <v>0</v>
      </c>
      <c r="AC161" s="765"/>
      <c r="AD161" s="765"/>
      <c r="AE161" s="736"/>
      <c r="AF161" s="736"/>
    </row>
    <row r="162" customFormat="false" ht="15.75" hidden="false" customHeight="true" outlineLevel="0" collapsed="false">
      <c r="A162" s="736"/>
      <c r="B162" s="760" t="s">
        <v>1633</v>
      </c>
      <c r="C162" s="761"/>
      <c r="D162" s="761"/>
      <c r="E162" s="762" t="str">
        <f aca="false">IFERROR(VLOOKUP(B162,TE!$H$1:$Y$749,2,FALSE()),"(Not on TE)")</f>
        <v>(Not on TE)</v>
      </c>
      <c r="F162" s="763"/>
      <c r="G162" s="763"/>
      <c r="H162" s="763"/>
      <c r="I162" s="763"/>
      <c r="J162" s="763"/>
      <c r="K162" s="763"/>
      <c r="L162" s="763"/>
      <c r="M162" s="763"/>
      <c r="N162" s="764" t="str">
        <f aca="false">IFERROR(VLOOKUP(B162,TE!$H$1:$Y$749,18,FALSE()),"")</f>
        <v/>
      </c>
      <c r="O162" s="764"/>
      <c r="P162" s="764"/>
      <c r="Q162" s="764"/>
      <c r="R162" s="764"/>
      <c r="S162" s="764"/>
      <c r="T162" s="764" t="n">
        <f aca="false">IFERROR(SUMIFS(TE!$O:$O,TE!$G:$G,$B$48,TE!$I:$I,B162,TE!$D:$D,$C$5),"")</f>
        <v>0</v>
      </c>
      <c r="U162" s="764"/>
      <c r="V162" s="764"/>
      <c r="W162" s="764"/>
      <c r="X162" s="723" t="str">
        <f aca="false">IFERROR(VLOOKUP(B162,TE!$H$1:$Y$630,14,FALSE()),"0")</f>
        <v>0</v>
      </c>
      <c r="Y162" s="723"/>
      <c r="Z162" s="723"/>
      <c r="AA162" s="723"/>
      <c r="AB162" s="765" t="n">
        <f aca="false">T162*X162</f>
        <v>0</v>
      </c>
      <c r="AC162" s="765"/>
      <c r="AD162" s="765"/>
      <c r="AE162" s="736"/>
      <c r="AF162" s="736"/>
    </row>
    <row r="163" customFormat="false" ht="15.75" hidden="false" customHeight="true" outlineLevel="0" collapsed="false">
      <c r="A163" s="736"/>
      <c r="B163" s="784" t="s">
        <v>1634</v>
      </c>
      <c r="C163" s="730"/>
      <c r="D163" s="730"/>
      <c r="E163" s="762" t="str">
        <f aca="false">IFERROR(VLOOKUP(B163,TE!$H$1:$Y$749,2,FALSE()),"(Not on TE)")</f>
        <v>(Not on TE)</v>
      </c>
      <c r="F163" s="730"/>
      <c r="G163" s="730"/>
      <c r="H163" s="730"/>
      <c r="I163" s="730"/>
      <c r="J163" s="730"/>
      <c r="K163" s="730"/>
      <c r="L163" s="730"/>
      <c r="M163" s="730"/>
      <c r="N163" s="764" t="str">
        <f aca="false">IFERROR(VLOOKUP(B163,TE!$H$1:$Y$749,18,FALSE()),"")</f>
        <v/>
      </c>
      <c r="O163" s="764"/>
      <c r="P163" s="764"/>
      <c r="Q163" s="764"/>
      <c r="R163" s="764"/>
      <c r="S163" s="764"/>
      <c r="T163" s="764" t="n">
        <f aca="false">IFERROR(SUMIFS(TE!$O:$O,TE!$G:$G,$B$48,TE!$I:$I,B163,TE!$D:$D,$C$5),"")</f>
        <v>0</v>
      </c>
      <c r="U163" s="764"/>
      <c r="V163" s="764"/>
      <c r="W163" s="764"/>
      <c r="X163" s="723" t="str">
        <f aca="false">IFERROR(VLOOKUP(B163,TE!$H$1:$Y$630,14,FALSE()),"0")</f>
        <v>0</v>
      </c>
      <c r="Y163" s="723"/>
      <c r="Z163" s="723"/>
      <c r="AA163" s="723"/>
      <c r="AB163" s="765" t="n">
        <f aca="false">T163*X163</f>
        <v>0</v>
      </c>
      <c r="AC163" s="765"/>
      <c r="AD163" s="765"/>
      <c r="AE163" s="736"/>
      <c r="AF163" s="736"/>
    </row>
    <row r="164" customFormat="false" ht="15.75" hidden="false" customHeight="true" outlineLevel="0" collapsed="false">
      <c r="A164" s="736"/>
      <c r="B164" s="784" t="s">
        <v>1635</v>
      </c>
      <c r="C164" s="728"/>
      <c r="D164" s="728"/>
      <c r="E164" s="762" t="str">
        <f aca="false">IFERROR(VLOOKUP(B164,TE!$H$1:$Y$749,2,FALSE()),"(Not on TE)")</f>
        <v>(Not on TE)</v>
      </c>
      <c r="F164" s="728"/>
      <c r="G164" s="729"/>
      <c r="H164" s="729"/>
      <c r="I164" s="729"/>
      <c r="J164" s="729"/>
      <c r="K164" s="729"/>
      <c r="L164" s="729"/>
      <c r="M164" s="729"/>
      <c r="N164" s="764" t="str">
        <f aca="false">IFERROR(VLOOKUP(B164,TE!$H$1:$Y$749,18,FALSE()),"")</f>
        <v/>
      </c>
      <c r="O164" s="764"/>
      <c r="P164" s="764"/>
      <c r="Q164" s="764"/>
      <c r="R164" s="764"/>
      <c r="S164" s="764"/>
      <c r="T164" s="764" t="n">
        <f aca="false">IFERROR(SUMIFS(TE!$O:$O,TE!$G:$G,$B$48,TE!$I:$I,B164,TE!$D:$D,$C$5),"")</f>
        <v>0</v>
      </c>
      <c r="U164" s="764"/>
      <c r="V164" s="764"/>
      <c r="W164" s="764"/>
      <c r="X164" s="723" t="str">
        <f aca="false">IFERROR(VLOOKUP(B164,TE!$H$1:$Y$630,14,FALSE()),"0")</f>
        <v>0</v>
      </c>
      <c r="Y164" s="723"/>
      <c r="Z164" s="723"/>
      <c r="AA164" s="723"/>
      <c r="AB164" s="765" t="n">
        <f aca="false">T164*X164</f>
        <v>0</v>
      </c>
      <c r="AC164" s="765"/>
      <c r="AD164" s="765"/>
      <c r="AE164" s="736"/>
      <c r="AF164" s="736"/>
    </row>
    <row r="165" customFormat="false" ht="15.75" hidden="false" customHeight="true" outlineLevel="0" collapsed="false">
      <c r="A165" s="736"/>
      <c r="B165" s="785" t="s">
        <v>1636</v>
      </c>
      <c r="C165" s="728"/>
      <c r="D165" s="728"/>
      <c r="E165" s="762" t="str">
        <f aca="false">IFERROR(VLOOKUP(B165,TE!$H$1:$Y$749,2,FALSE()),"(Not on TE)")</f>
        <v>(Not on TE)</v>
      </c>
      <c r="F165" s="728"/>
      <c r="G165" s="729"/>
      <c r="H165" s="729"/>
      <c r="I165" s="729"/>
      <c r="J165" s="729"/>
      <c r="K165" s="729"/>
      <c r="L165" s="729"/>
      <c r="M165" s="729"/>
      <c r="N165" s="764" t="str">
        <f aca="false">IFERROR(VLOOKUP(B165,TE!$H$1:$Y$749,18,FALSE()),"")</f>
        <v/>
      </c>
      <c r="O165" s="764"/>
      <c r="P165" s="764"/>
      <c r="Q165" s="764"/>
      <c r="R165" s="764"/>
      <c r="S165" s="764"/>
      <c r="T165" s="764" t="n">
        <f aca="false">IFERROR(SUMIFS(TE!$O:$O,TE!$G:$G,$B$48,TE!$I:$I,B165,TE!$D:$D,$C$5),"")</f>
        <v>0</v>
      </c>
      <c r="U165" s="764"/>
      <c r="V165" s="764"/>
      <c r="W165" s="764"/>
      <c r="X165" s="723" t="str">
        <f aca="false">IFERROR(VLOOKUP(B165,TE!$H$1:$Y$630,14,FALSE()),"0")</f>
        <v>0</v>
      </c>
      <c r="Y165" s="723"/>
      <c r="Z165" s="723"/>
      <c r="AA165" s="723"/>
      <c r="AB165" s="765" t="n">
        <f aca="false">T165*X165</f>
        <v>0</v>
      </c>
      <c r="AC165" s="765"/>
      <c r="AD165" s="765"/>
      <c r="AE165" s="736"/>
      <c r="AF165" s="736"/>
    </row>
    <row r="166" customFormat="false" ht="15.75" hidden="false" customHeight="true" outlineLevel="0" collapsed="false">
      <c r="A166" s="736"/>
      <c r="B166" s="785" t="s">
        <v>1637</v>
      </c>
      <c r="C166" s="728"/>
      <c r="D166" s="728"/>
      <c r="E166" s="762" t="str">
        <f aca="false">IFERROR(VLOOKUP(B166,TE!$H$1:$Y$749,2,FALSE()),"(Not on TE)")</f>
        <v>(Not on TE)</v>
      </c>
      <c r="F166" s="728"/>
      <c r="G166" s="729"/>
      <c r="H166" s="729"/>
      <c r="I166" s="729"/>
      <c r="J166" s="729"/>
      <c r="K166" s="729"/>
      <c r="L166" s="729"/>
      <c r="M166" s="729"/>
      <c r="N166" s="764" t="str">
        <f aca="false">IFERROR(VLOOKUP(B166,TE!$H$1:$Y$749,18,FALSE()),"")</f>
        <v/>
      </c>
      <c r="O166" s="764"/>
      <c r="P166" s="764"/>
      <c r="Q166" s="764"/>
      <c r="R166" s="764"/>
      <c r="S166" s="764"/>
      <c r="T166" s="764" t="n">
        <f aca="false">IFERROR(SUMIFS(TE!$O:$O,TE!$G:$G,$B$48,TE!$I:$I,B166,TE!$D:$D,$C$5),"")</f>
        <v>0</v>
      </c>
      <c r="U166" s="764"/>
      <c r="V166" s="764"/>
      <c r="W166" s="764"/>
      <c r="X166" s="723" t="str">
        <f aca="false">IFERROR(VLOOKUP(B166,TE!$H$1:$Y$630,14,FALSE()),"0")</f>
        <v>0</v>
      </c>
      <c r="Y166" s="723"/>
      <c r="Z166" s="723"/>
      <c r="AA166" s="723"/>
      <c r="AB166" s="765" t="n">
        <f aca="false">T166*X166</f>
        <v>0</v>
      </c>
      <c r="AC166" s="765"/>
      <c r="AD166" s="765"/>
      <c r="AE166" s="736"/>
      <c r="AF166" s="736"/>
    </row>
    <row r="167" customFormat="false" ht="15.75" hidden="false" customHeight="true" outlineLevel="0" collapsed="false">
      <c r="A167" s="736"/>
      <c r="B167" s="784" t="s">
        <v>2268</v>
      </c>
      <c r="C167" s="728"/>
      <c r="D167" s="728"/>
      <c r="E167" s="762" t="str">
        <f aca="false">IFERROR(VLOOKUP(B167,TE!$H$1:$Y$749,2,FALSE()),"(Not on TE)")</f>
        <v>(Not on TE)</v>
      </c>
      <c r="F167" s="728"/>
      <c r="G167" s="729"/>
      <c r="H167" s="729"/>
      <c r="I167" s="729"/>
      <c r="J167" s="729"/>
      <c r="K167" s="729"/>
      <c r="L167" s="729"/>
      <c r="M167" s="729"/>
      <c r="N167" s="764" t="str">
        <f aca="false">IFERROR(VLOOKUP(B167,TE!$H$1:$Y$749,18,FALSE()),"")</f>
        <v/>
      </c>
      <c r="O167" s="764"/>
      <c r="P167" s="764"/>
      <c r="Q167" s="764"/>
      <c r="R167" s="764"/>
      <c r="S167" s="764"/>
      <c r="T167" s="764" t="n">
        <f aca="false">IFERROR(SUMIFS(TE!$O:$O,TE!$G:$G,$B$48,TE!$I:$I,B167,TE!$D:$D,$C$5),"")</f>
        <v>0</v>
      </c>
      <c r="U167" s="764"/>
      <c r="V167" s="764"/>
      <c r="W167" s="764"/>
      <c r="X167" s="723" t="str">
        <f aca="false">IFERROR(VLOOKUP(B167,TE!$H$1:$Y$630,14,FALSE()),"0")</f>
        <v>0</v>
      </c>
      <c r="Y167" s="723"/>
      <c r="Z167" s="723"/>
      <c r="AA167" s="723"/>
      <c r="AB167" s="765" t="n">
        <f aca="false">T167*X167</f>
        <v>0</v>
      </c>
      <c r="AC167" s="765"/>
      <c r="AD167" s="765"/>
      <c r="AE167" s="736"/>
      <c r="AF167" s="736"/>
    </row>
    <row r="168" customFormat="false" ht="15.75" hidden="false" customHeight="true" outlineLevel="0" collapsed="false">
      <c r="A168" s="736"/>
      <c r="B168" s="784" t="s">
        <v>1236</v>
      </c>
      <c r="C168" s="728"/>
      <c r="D168" s="728"/>
      <c r="E168" s="762" t="str">
        <f aca="false">IFERROR(VLOOKUP(B168,TE!$H$1:$Y$749,2,FALSE()),"(Not on TE)")</f>
        <v>(Not on TE)</v>
      </c>
      <c r="F168" s="728"/>
      <c r="G168" s="729"/>
      <c r="H168" s="729"/>
      <c r="I168" s="729"/>
      <c r="J168" s="729"/>
      <c r="K168" s="729"/>
      <c r="L168" s="729"/>
      <c r="M168" s="729"/>
      <c r="N168" s="764" t="str">
        <f aca="false">IFERROR(VLOOKUP(B168,TE!$H$1:$Y$749,18,FALSE()),"")</f>
        <v/>
      </c>
      <c r="O168" s="764"/>
      <c r="P168" s="764"/>
      <c r="Q168" s="764"/>
      <c r="R168" s="764"/>
      <c r="S168" s="764"/>
      <c r="T168" s="764" t="n">
        <f aca="false">IFERROR(SUMIFS(TE!$O:$O,TE!$G:$G,$B$48,TE!$I:$I,B168,TE!$D:$D,$C$5),"")</f>
        <v>0</v>
      </c>
      <c r="U168" s="764"/>
      <c r="V168" s="764"/>
      <c r="W168" s="764"/>
      <c r="X168" s="723" t="str">
        <f aca="false">IFERROR(VLOOKUP(B168,TE!$H$1:$Y$630,14,FALSE()),"0")</f>
        <v>0</v>
      </c>
      <c r="Y168" s="723"/>
      <c r="Z168" s="723"/>
      <c r="AA168" s="723"/>
      <c r="AB168" s="765" t="n">
        <f aca="false">T168*X168</f>
        <v>0</v>
      </c>
      <c r="AC168" s="765"/>
      <c r="AD168" s="765"/>
      <c r="AE168" s="736"/>
      <c r="AF168" s="736"/>
    </row>
    <row r="169" customFormat="false" ht="15.75" hidden="false" customHeight="true" outlineLevel="0" collapsed="false">
      <c r="A169" s="736"/>
      <c r="B169" s="784" t="s">
        <v>1416</v>
      </c>
      <c r="C169" s="728"/>
      <c r="D169" s="728"/>
      <c r="E169" s="762" t="str">
        <f aca="false">IFERROR(VLOOKUP(B169,TE!$H$1:$Y$749,2,FALSE()),"(Not on TE)")</f>
        <v>(Not on TE)</v>
      </c>
      <c r="F169" s="728"/>
      <c r="G169" s="729"/>
      <c r="H169" s="729"/>
      <c r="I169" s="729"/>
      <c r="J169" s="729"/>
      <c r="K169" s="729"/>
      <c r="L169" s="729"/>
      <c r="M169" s="729"/>
      <c r="N169" s="764" t="str">
        <f aca="false">IFERROR(VLOOKUP(B169,TE!$H$1:$Y$749,18,FALSE()),"")</f>
        <v/>
      </c>
      <c r="O169" s="764"/>
      <c r="P169" s="764"/>
      <c r="Q169" s="764"/>
      <c r="R169" s="764"/>
      <c r="S169" s="764"/>
      <c r="T169" s="764" t="n">
        <f aca="false">IFERROR(SUMIFS(TE!$O:$O,TE!$G:$G,$B$48,TE!$I:$I,B169,TE!$D:$D,$C$5),"")</f>
        <v>0</v>
      </c>
      <c r="U169" s="764"/>
      <c r="V169" s="764"/>
      <c r="W169" s="764"/>
      <c r="X169" s="723" t="str">
        <f aca="false">IFERROR(VLOOKUP(B169,TE!$H$1:$Y$630,14,FALSE()),"0")</f>
        <v>0</v>
      </c>
      <c r="Y169" s="723"/>
      <c r="Z169" s="723"/>
      <c r="AA169" s="723"/>
      <c r="AB169" s="765" t="n">
        <f aca="false">T169*X169</f>
        <v>0</v>
      </c>
      <c r="AC169" s="765"/>
      <c r="AD169" s="765"/>
      <c r="AE169" s="736"/>
      <c r="AF169" s="736"/>
    </row>
    <row r="170" customFormat="false" ht="15.75" hidden="false" customHeight="true" outlineLevel="0" collapsed="false">
      <c r="A170" s="736"/>
      <c r="B170" s="784" t="s">
        <v>1640</v>
      </c>
      <c r="C170" s="728"/>
      <c r="D170" s="728"/>
      <c r="E170" s="762" t="str">
        <f aca="false">IFERROR(VLOOKUP(B170,TE!$H$1:$Y$749,2,FALSE()),"(Not on TE)")</f>
        <v>(Not on TE)</v>
      </c>
      <c r="F170" s="728"/>
      <c r="G170" s="729"/>
      <c r="H170" s="729"/>
      <c r="I170" s="729"/>
      <c r="J170" s="729"/>
      <c r="K170" s="729"/>
      <c r="L170" s="729"/>
      <c r="M170" s="729"/>
      <c r="N170" s="764" t="str">
        <f aca="false">IFERROR(VLOOKUP(B170,TE!$H$1:$Y$749,18,FALSE()),"")</f>
        <v/>
      </c>
      <c r="O170" s="764"/>
      <c r="P170" s="764"/>
      <c r="Q170" s="764"/>
      <c r="R170" s="764"/>
      <c r="S170" s="764"/>
      <c r="T170" s="764" t="n">
        <f aca="false">IFERROR(SUMIFS(TE!$O:$O,TE!$G:$G,$B$48,TE!$I:$I,B170,TE!$D:$D,$C$5),"")</f>
        <v>0</v>
      </c>
      <c r="U170" s="764"/>
      <c r="V170" s="764"/>
      <c r="W170" s="764"/>
      <c r="X170" s="723" t="str">
        <f aca="false">IFERROR(VLOOKUP(B170,TE!$H$1:$Y$630,14,FALSE()),"0")</f>
        <v>0</v>
      </c>
      <c r="Y170" s="723"/>
      <c r="Z170" s="723"/>
      <c r="AA170" s="723"/>
      <c r="AB170" s="765" t="n">
        <f aca="false">T170*X170</f>
        <v>0</v>
      </c>
      <c r="AC170" s="765"/>
      <c r="AD170" s="765"/>
      <c r="AE170" s="736"/>
      <c r="AF170" s="736"/>
    </row>
    <row r="171" customFormat="false" ht="15.75" hidden="false" customHeight="true" outlineLevel="0" collapsed="false">
      <c r="A171" s="736"/>
      <c r="B171" s="784" t="s">
        <v>1436</v>
      </c>
      <c r="C171" s="728"/>
      <c r="D171" s="728"/>
      <c r="E171" s="762" t="str">
        <f aca="false">IFERROR(VLOOKUP(B171,TE!$H$1:$Y$749,2,FALSE()),"(Not on TE)")</f>
        <v>(Not on TE)</v>
      </c>
      <c r="F171" s="728"/>
      <c r="G171" s="729"/>
      <c r="H171" s="729"/>
      <c r="I171" s="729"/>
      <c r="J171" s="729"/>
      <c r="K171" s="729"/>
      <c r="L171" s="729"/>
      <c r="M171" s="729"/>
      <c r="N171" s="764" t="str">
        <f aca="false">IFERROR(VLOOKUP(B171,TE!$H$1:$Y$749,18,FALSE()),"")</f>
        <v/>
      </c>
      <c r="O171" s="764"/>
      <c r="P171" s="764"/>
      <c r="Q171" s="764"/>
      <c r="R171" s="764"/>
      <c r="S171" s="764"/>
      <c r="T171" s="764" t="n">
        <f aca="false">IFERROR(SUMIFS(TE!$O:$O,TE!$G:$G,$B$48,TE!$I:$I,B171,TE!$D:$D,$C$5),"")</f>
        <v>0</v>
      </c>
      <c r="U171" s="764"/>
      <c r="V171" s="764"/>
      <c r="W171" s="764"/>
      <c r="X171" s="723" t="str">
        <f aca="false">IFERROR(VLOOKUP(B171,TE!$H$1:$Y$630,14,FALSE()),"0")</f>
        <v>0</v>
      </c>
      <c r="Y171" s="723"/>
      <c r="Z171" s="723"/>
      <c r="AA171" s="723"/>
      <c r="AB171" s="765" t="n">
        <f aca="false">T171*X171</f>
        <v>0</v>
      </c>
      <c r="AC171" s="765"/>
      <c r="AD171" s="765"/>
      <c r="AE171" s="736"/>
      <c r="AF171" s="736"/>
    </row>
    <row r="172" customFormat="false" ht="15.75" hidden="false" customHeight="true" outlineLevel="0" collapsed="false">
      <c r="A172" s="736"/>
      <c r="B172" s="786"/>
      <c r="C172" s="787"/>
      <c r="D172" s="787"/>
      <c r="E172" s="769"/>
      <c r="F172" s="787"/>
      <c r="G172" s="788"/>
      <c r="H172" s="788"/>
      <c r="I172" s="788"/>
      <c r="J172" s="788"/>
      <c r="K172" s="788"/>
      <c r="L172" s="788"/>
      <c r="M172" s="788"/>
      <c r="N172" s="771"/>
      <c r="O172" s="771"/>
      <c r="P172" s="771"/>
      <c r="Q172" s="771"/>
      <c r="R172" s="771"/>
      <c r="S172" s="771"/>
      <c r="T172" s="780"/>
      <c r="U172" s="780"/>
      <c r="V172" s="780"/>
      <c r="W172" s="780"/>
      <c r="X172" s="727"/>
      <c r="Y172" s="727"/>
      <c r="Z172" s="727"/>
      <c r="AA172" s="727"/>
      <c r="AB172" s="772"/>
      <c r="AC172" s="772"/>
      <c r="AD172" s="772"/>
      <c r="AE172" s="736"/>
      <c r="AF172" s="736"/>
    </row>
    <row r="173" customFormat="false" ht="15.75" hidden="false" customHeight="true" outlineLevel="0" collapsed="false">
      <c r="A173" s="736"/>
      <c r="B173" s="761"/>
      <c r="C173" s="728"/>
      <c r="D173" s="728"/>
      <c r="E173" s="728"/>
      <c r="F173" s="728"/>
      <c r="G173" s="729"/>
      <c r="H173" s="729"/>
      <c r="I173" s="729"/>
      <c r="J173" s="729"/>
      <c r="K173" s="729"/>
      <c r="L173" s="729"/>
      <c r="M173" s="729"/>
      <c r="N173" s="789"/>
      <c r="O173" s="789"/>
      <c r="P173" s="789"/>
      <c r="Q173" s="789"/>
      <c r="R173" s="790"/>
      <c r="S173" s="790"/>
      <c r="T173" s="790"/>
      <c r="U173" s="790"/>
      <c r="V173" s="790"/>
      <c r="W173" s="790"/>
      <c r="X173" s="790"/>
      <c r="Y173" s="790"/>
      <c r="Z173" s="736"/>
      <c r="AA173" s="730" t="s">
        <v>25</v>
      </c>
      <c r="AB173" s="798" t="n">
        <f aca="false">SUM(AB51:AD87)+SUM(AB93:AD129)+SUM(AB136:AD172)</f>
        <v>0</v>
      </c>
      <c r="AC173" s="798"/>
      <c r="AD173" s="798"/>
      <c r="AE173" s="736"/>
      <c r="AF173" s="736"/>
    </row>
    <row r="174" customFormat="false" ht="15.75" hidden="false" customHeight="true" outlineLevel="0" collapsed="false">
      <c r="A174" s="736"/>
      <c r="B174" s="768"/>
      <c r="C174" s="728"/>
      <c r="D174" s="728"/>
      <c r="E174" s="728"/>
      <c r="F174" s="728"/>
      <c r="G174" s="792"/>
      <c r="H174" s="792"/>
      <c r="I174" s="792"/>
      <c r="J174" s="792"/>
      <c r="K174" s="792"/>
      <c r="L174" s="792"/>
      <c r="M174" s="792"/>
      <c r="N174" s="793"/>
      <c r="O174" s="793"/>
      <c r="P174" s="793"/>
      <c r="Q174" s="793"/>
      <c r="R174" s="794"/>
      <c r="S174" s="794"/>
      <c r="T174" s="794"/>
      <c r="U174" s="794"/>
      <c r="V174" s="794"/>
      <c r="W174" s="794"/>
      <c r="X174" s="794"/>
      <c r="Y174" s="794"/>
      <c r="Z174" s="736"/>
      <c r="AA174" s="736"/>
      <c r="AB174" s="736"/>
      <c r="AC174" s="736"/>
      <c r="AD174" s="736"/>
      <c r="AE174" s="736"/>
      <c r="AF174" s="736"/>
    </row>
    <row r="175" customFormat="false" ht="15.75" hidden="false" customHeight="true" outlineLevel="0" collapsed="false">
      <c r="A175" s="795"/>
      <c r="B175" s="682"/>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48"/>
      <c r="AC175" s="749"/>
      <c r="AD175" s="750"/>
      <c r="AE175" s="750"/>
      <c r="AF175" s="750"/>
    </row>
    <row r="176" customFormat="false" ht="15.75" hidden="false" customHeight="true" outlineLevel="0" collapsed="false">
      <c r="A176" s="688" t="s">
        <v>1522</v>
      </c>
      <c r="B176" s="688"/>
      <c r="C176" s="751" t="n">
        <f aca="false">$C$5</f>
        <v>21451</v>
      </c>
      <c r="D176" s="751"/>
      <c r="E176" s="751"/>
      <c r="F176" s="751"/>
      <c r="G176" s="751"/>
      <c r="H176" s="751"/>
      <c r="I176" s="751"/>
      <c r="J176" s="751"/>
      <c r="K176" s="751"/>
      <c r="L176" s="751"/>
      <c r="M176" s="688" t="s">
        <v>1523</v>
      </c>
      <c r="N176" s="688"/>
      <c r="O176" s="688"/>
      <c r="P176" s="688"/>
      <c r="Q176" s="688"/>
      <c r="R176" s="752" t="str">
        <f aca="false">$R$5</f>
        <v>Automotive Organizational Shop</v>
      </c>
      <c r="S176" s="752"/>
      <c r="T176" s="752"/>
      <c r="U176" s="752"/>
      <c r="V176" s="752"/>
      <c r="W176" s="752"/>
      <c r="X176" s="752"/>
      <c r="Y176" s="752"/>
      <c r="Z176" s="752"/>
      <c r="AA176" s="752"/>
      <c r="AB176" s="752"/>
      <c r="AC176" s="752"/>
      <c r="AD176" s="752"/>
      <c r="AE176" s="752"/>
      <c r="AF176" s="752"/>
    </row>
    <row r="177" customFormat="false" ht="15.75" hidden="false" customHeight="true" outlineLevel="0" collapsed="false">
      <c r="A177" s="736"/>
      <c r="B177" s="682"/>
      <c r="C177" s="682"/>
      <c r="D177" s="682"/>
      <c r="E177" s="682"/>
      <c r="F177" s="682"/>
      <c r="G177" s="682"/>
      <c r="H177" s="682"/>
      <c r="I177" s="682"/>
      <c r="J177" s="682"/>
      <c r="K177" s="682"/>
      <c r="L177" s="682"/>
      <c r="M177" s="682"/>
      <c r="N177" s="682"/>
      <c r="O177" s="682"/>
      <c r="P177" s="682"/>
      <c r="Q177" s="682"/>
      <c r="R177" s="682"/>
      <c r="S177" s="682"/>
      <c r="T177" s="682"/>
      <c r="U177" s="682"/>
      <c r="V177" s="682"/>
      <c r="W177" s="682"/>
      <c r="X177" s="682"/>
      <c r="Y177" s="682"/>
      <c r="Z177" s="753"/>
      <c r="AA177" s="753"/>
      <c r="AB177" s="753"/>
      <c r="AC177" s="753"/>
      <c r="AD177" s="753"/>
      <c r="AE177" s="736"/>
      <c r="AF177" s="736"/>
    </row>
    <row r="178" customFormat="false" ht="15.75" hidden="false" customHeight="true" outlineLevel="0" collapsed="false">
      <c r="A178" s="736"/>
      <c r="B178" s="696" t="s">
        <v>2258</v>
      </c>
      <c r="C178" s="736"/>
      <c r="D178" s="736"/>
      <c r="E178" s="736"/>
      <c r="F178" s="736"/>
      <c r="G178" s="736"/>
      <c r="H178" s="736"/>
      <c r="I178" s="736"/>
      <c r="J178" s="736"/>
      <c r="K178" s="736"/>
      <c r="L178" s="736"/>
      <c r="M178" s="736"/>
      <c r="N178" s="736"/>
      <c r="O178" s="736"/>
      <c r="P178" s="736"/>
      <c r="Q178" s="736"/>
      <c r="R178" s="736"/>
      <c r="S178" s="736"/>
      <c r="T178" s="736"/>
      <c r="U178" s="736"/>
      <c r="V178" s="736"/>
      <c r="W178" s="736"/>
      <c r="X178" s="736"/>
      <c r="Y178" s="736"/>
      <c r="Z178" s="682"/>
      <c r="AA178" s="682"/>
      <c r="AB178" s="682"/>
      <c r="AC178" s="682"/>
      <c r="AD178" s="682"/>
      <c r="AE178" s="736"/>
      <c r="AF178" s="736"/>
    </row>
    <row r="179" customFormat="false" ht="15.75" hidden="false" customHeight="true" outlineLevel="0" collapsed="false">
      <c r="A179" s="736"/>
      <c r="B179" s="754" t="str">
        <f aca="false">B29</f>
        <v>M28263</v>
      </c>
      <c r="C179" s="754"/>
      <c r="D179" s="754"/>
      <c r="E179" s="755" t="str">
        <f aca="false">INDEX($E$28:$E$32,MATCH(B179,$B$28:$B$32,0))</f>
        <v>SURGICAL COMPANY A</v>
      </c>
      <c r="F179" s="755"/>
      <c r="G179" s="755"/>
      <c r="H179" s="755"/>
      <c r="I179" s="755"/>
      <c r="J179" s="755"/>
      <c r="K179" s="755"/>
      <c r="L179" s="755"/>
      <c r="M179" s="755"/>
      <c r="N179" s="755"/>
      <c r="O179" s="755"/>
      <c r="P179" s="682"/>
      <c r="Q179" s="682"/>
      <c r="R179" s="682"/>
      <c r="S179" s="682"/>
      <c r="T179" s="682"/>
      <c r="U179" s="682"/>
      <c r="V179" s="682"/>
      <c r="W179" s="682"/>
      <c r="X179" s="682"/>
      <c r="Y179" s="682"/>
      <c r="Z179" s="682"/>
      <c r="AA179" s="682"/>
      <c r="AB179" s="682"/>
      <c r="AC179" s="682"/>
      <c r="AD179" s="682"/>
      <c r="AE179" s="736"/>
      <c r="AF179" s="736"/>
    </row>
    <row r="180" customFormat="false" ht="15.75" hidden="false" customHeight="true" outlineLevel="0" collapsed="false">
      <c r="A180" s="736"/>
      <c r="B180" s="756" t="s">
        <v>1055</v>
      </c>
      <c r="C180" s="756"/>
      <c r="D180" s="756"/>
      <c r="E180" s="757" t="s">
        <v>13</v>
      </c>
      <c r="F180" s="757"/>
      <c r="G180" s="757"/>
      <c r="H180" s="757"/>
      <c r="I180" s="757"/>
      <c r="J180" s="757"/>
      <c r="K180" s="757"/>
      <c r="L180" s="757"/>
      <c r="M180" s="757"/>
      <c r="N180" s="757" t="s">
        <v>2259</v>
      </c>
      <c r="O180" s="757"/>
      <c r="P180" s="757"/>
      <c r="Q180" s="757"/>
      <c r="R180" s="757"/>
      <c r="S180" s="757"/>
      <c r="T180" s="758" t="s">
        <v>2260</v>
      </c>
      <c r="U180" s="758"/>
      <c r="V180" s="758"/>
      <c r="W180" s="758"/>
      <c r="X180" s="758" t="s">
        <v>2261</v>
      </c>
      <c r="Y180" s="758"/>
      <c r="Z180" s="758"/>
      <c r="AA180" s="758"/>
      <c r="AB180" s="759" t="s">
        <v>2262</v>
      </c>
      <c r="AC180" s="759"/>
      <c r="AD180" s="759"/>
      <c r="AE180" s="736"/>
      <c r="AF180" s="736"/>
    </row>
    <row r="181" customFormat="false" ht="15.75" hidden="false" customHeight="true" outlineLevel="0" collapsed="false">
      <c r="A181" s="736"/>
      <c r="B181" s="756"/>
      <c r="C181" s="756"/>
      <c r="D181" s="756"/>
      <c r="E181" s="757"/>
      <c r="F181" s="757"/>
      <c r="G181" s="757"/>
      <c r="H181" s="757"/>
      <c r="I181" s="757"/>
      <c r="J181" s="757"/>
      <c r="K181" s="757"/>
      <c r="L181" s="757"/>
      <c r="M181" s="757"/>
      <c r="N181" s="757"/>
      <c r="O181" s="757"/>
      <c r="P181" s="757"/>
      <c r="Q181" s="757"/>
      <c r="R181" s="757"/>
      <c r="S181" s="757"/>
      <c r="T181" s="758"/>
      <c r="U181" s="758"/>
      <c r="V181" s="758"/>
      <c r="W181" s="758"/>
      <c r="X181" s="758"/>
      <c r="Y181" s="758"/>
      <c r="Z181" s="758"/>
      <c r="AA181" s="758"/>
      <c r="AB181" s="759"/>
      <c r="AC181" s="759"/>
      <c r="AD181" s="759"/>
      <c r="AE181" s="736"/>
      <c r="AF181" s="736"/>
    </row>
    <row r="182" customFormat="false" ht="15.75" hidden="false" customHeight="true" outlineLevel="0" collapsed="false">
      <c r="A182" s="736"/>
      <c r="B182" s="760" t="s">
        <v>1549</v>
      </c>
      <c r="C182" s="761"/>
      <c r="D182" s="761"/>
      <c r="E182" s="762" t="str">
        <f aca="false">IFERROR(VLOOKUP(B182,TE!$H$1:$Y$749,2,FALSE()),"(Not on TE)")</f>
        <v>(Not on TE)</v>
      </c>
      <c r="F182" s="763"/>
      <c r="G182" s="763"/>
      <c r="H182" s="763"/>
      <c r="I182" s="763"/>
      <c r="J182" s="763"/>
      <c r="K182" s="763"/>
      <c r="L182" s="763"/>
      <c r="M182" s="763"/>
      <c r="N182" s="764" t="str">
        <f aca="false">IFERROR(VLOOKUP(B182,TE!$H$1:$Y$749,18,FALSE()),"")</f>
        <v/>
      </c>
      <c r="O182" s="764"/>
      <c r="P182" s="764"/>
      <c r="Q182" s="764"/>
      <c r="R182" s="764"/>
      <c r="S182" s="764"/>
      <c r="T182" s="764" t="n">
        <f aca="false">IFERROR(SUMIFS(TE!$O:$O,TE!$G:$G,$B$179,TE!$I:$I,B182,TE!$D:$D,$C$5),"")</f>
        <v>0</v>
      </c>
      <c r="U182" s="764"/>
      <c r="V182" s="764"/>
      <c r="W182" s="764"/>
      <c r="X182" s="723" t="str">
        <f aca="false">IFERROR(VLOOKUP(B182,TE!$H$1:$Y$630,14,FALSE()),"0")</f>
        <v>0</v>
      </c>
      <c r="Y182" s="723"/>
      <c r="Z182" s="723"/>
      <c r="AA182" s="723"/>
      <c r="AB182" s="765" t="n">
        <f aca="false">T182*X182</f>
        <v>0</v>
      </c>
      <c r="AC182" s="765"/>
      <c r="AD182" s="765"/>
      <c r="AE182" s="736"/>
      <c r="AF182" s="736"/>
    </row>
    <row r="183" customFormat="false" ht="15.75" hidden="false" customHeight="true" outlineLevel="0" collapsed="false">
      <c r="A183" s="736"/>
      <c r="B183" s="760" t="s">
        <v>1550</v>
      </c>
      <c r="C183" s="761"/>
      <c r="D183" s="761"/>
      <c r="E183" s="762" t="str">
        <f aca="false">IFERROR(VLOOKUP(B183,TE!$H$1:$Y$749,2,FALSE()),"(Not on TE)")</f>
        <v>(Not on TE)</v>
      </c>
      <c r="F183" s="763"/>
      <c r="G183" s="763"/>
      <c r="H183" s="763"/>
      <c r="I183" s="763"/>
      <c r="J183" s="763"/>
      <c r="K183" s="763"/>
      <c r="L183" s="763"/>
      <c r="M183" s="763"/>
      <c r="N183" s="764" t="str">
        <f aca="false">IFERROR(VLOOKUP(B183,TE!$H$1:$Y$749,18,FALSE()),"")</f>
        <v/>
      </c>
      <c r="O183" s="764"/>
      <c r="P183" s="764"/>
      <c r="Q183" s="764"/>
      <c r="R183" s="764"/>
      <c r="S183" s="764"/>
      <c r="T183" s="764" t="n">
        <f aca="false">IFERROR(SUMIFS(TE!$O:$O,TE!$G:$G,$B$179,TE!$I:$I,B183,TE!$D:$D,$C$5),"")</f>
        <v>0</v>
      </c>
      <c r="U183" s="764"/>
      <c r="V183" s="764"/>
      <c r="W183" s="764"/>
      <c r="X183" s="723" t="str">
        <f aca="false">IFERROR(VLOOKUP(B183,TE!$H$1:$Y$630,14,FALSE()),"0")</f>
        <v>0</v>
      </c>
      <c r="Y183" s="723"/>
      <c r="Z183" s="723"/>
      <c r="AA183" s="723"/>
      <c r="AB183" s="765" t="n">
        <f aca="false">T183*X183</f>
        <v>0</v>
      </c>
      <c r="AC183" s="765"/>
      <c r="AD183" s="765"/>
      <c r="AE183" s="736"/>
      <c r="AF183" s="736"/>
    </row>
    <row r="184" customFormat="false" ht="15.75" hidden="false" customHeight="true" outlineLevel="0" collapsed="false">
      <c r="A184" s="736"/>
      <c r="B184" s="760" t="s">
        <v>2263</v>
      </c>
      <c r="C184" s="761"/>
      <c r="D184" s="761"/>
      <c r="E184" s="762" t="str">
        <f aca="false">IFERROR(VLOOKUP(B184,TE!$H$1:$Y$749,2,FALSE()),"(Not on TE)")</f>
        <v>(Not on TE)</v>
      </c>
      <c r="F184" s="763"/>
      <c r="G184" s="763"/>
      <c r="H184" s="763"/>
      <c r="I184" s="763"/>
      <c r="J184" s="763"/>
      <c r="K184" s="763"/>
      <c r="L184" s="763"/>
      <c r="M184" s="763"/>
      <c r="N184" s="764" t="str">
        <f aca="false">IFERROR(VLOOKUP(B184,TE!$H$1:$Y$749,18,FALSE()),"")</f>
        <v/>
      </c>
      <c r="O184" s="764"/>
      <c r="P184" s="764"/>
      <c r="Q184" s="764"/>
      <c r="R184" s="764"/>
      <c r="S184" s="764"/>
      <c r="T184" s="764" t="n">
        <f aca="false">IFERROR(SUMIFS(TE!$O:$O,TE!$G:$G,$B$179,TE!$I:$I,B184,TE!$D:$D,$C$5),"")</f>
        <v>0</v>
      </c>
      <c r="U184" s="764"/>
      <c r="V184" s="764"/>
      <c r="W184" s="764"/>
      <c r="X184" s="723" t="str">
        <f aca="false">IFERROR(VLOOKUP(B184,TE!$H$1:$Y$630,14,FALSE()),"0")</f>
        <v>0</v>
      </c>
      <c r="Y184" s="723"/>
      <c r="Z184" s="723"/>
      <c r="AA184" s="723"/>
      <c r="AB184" s="765" t="n">
        <f aca="false">T184*X184</f>
        <v>0</v>
      </c>
      <c r="AC184" s="765"/>
      <c r="AD184" s="765"/>
      <c r="AE184" s="736"/>
      <c r="AF184" s="736"/>
    </row>
    <row r="185" customFormat="false" ht="15.75" hidden="false" customHeight="true" outlineLevel="0" collapsed="false">
      <c r="A185" s="736"/>
      <c r="B185" s="760" t="s">
        <v>2264</v>
      </c>
      <c r="C185" s="761"/>
      <c r="D185" s="761"/>
      <c r="E185" s="762" t="str">
        <f aca="false">IFERROR(VLOOKUP(B185,TE!$H$1:$Y$749,2,FALSE()),"(Not on TE)")</f>
        <v>(Not on TE)</v>
      </c>
      <c r="F185" s="763"/>
      <c r="G185" s="763"/>
      <c r="H185" s="763"/>
      <c r="I185" s="763"/>
      <c r="J185" s="763"/>
      <c r="K185" s="763"/>
      <c r="L185" s="763"/>
      <c r="M185" s="763"/>
      <c r="N185" s="764" t="str">
        <f aca="false">IFERROR(VLOOKUP(B185,TE!$H$1:$Y$749,18,FALSE()),"")</f>
        <v/>
      </c>
      <c r="O185" s="764"/>
      <c r="P185" s="764"/>
      <c r="Q185" s="764"/>
      <c r="R185" s="764"/>
      <c r="S185" s="764"/>
      <c r="T185" s="764" t="n">
        <f aca="false">IFERROR(SUMIFS(TE!$O:$O,TE!$G:$G,$B$179,TE!$I:$I,B185,TE!$D:$D,$C$5),"")</f>
        <v>0</v>
      </c>
      <c r="U185" s="764"/>
      <c r="V185" s="764"/>
      <c r="W185" s="764"/>
      <c r="X185" s="723" t="str">
        <f aca="false">IFERROR(VLOOKUP(B185,TE!$H$1:$Y$630,14,FALSE()),"0")</f>
        <v>0</v>
      </c>
      <c r="Y185" s="723"/>
      <c r="Z185" s="723"/>
      <c r="AA185" s="723"/>
      <c r="AB185" s="765" t="n">
        <f aca="false">T185*X185</f>
        <v>0</v>
      </c>
      <c r="AC185" s="765"/>
      <c r="AD185" s="765"/>
      <c r="AE185" s="736"/>
      <c r="AF185" s="736"/>
    </row>
    <row r="186" customFormat="false" ht="15.75" hidden="false" customHeight="true" outlineLevel="0" collapsed="false">
      <c r="A186" s="736"/>
      <c r="B186" s="760" t="s">
        <v>1551</v>
      </c>
      <c r="C186" s="761"/>
      <c r="D186" s="761"/>
      <c r="E186" s="762" t="str">
        <f aca="false">IFERROR(VLOOKUP(B186,TE!$H$1:$Y$749,2,FALSE()),"(Not on TE)")</f>
        <v>(Not on TE)</v>
      </c>
      <c r="F186" s="763"/>
      <c r="G186" s="763"/>
      <c r="H186" s="763"/>
      <c r="I186" s="763"/>
      <c r="J186" s="763"/>
      <c r="K186" s="763"/>
      <c r="L186" s="763"/>
      <c r="M186" s="763"/>
      <c r="N186" s="764" t="str">
        <f aca="false">IFERROR(VLOOKUP(B186,TE!$H$1:$Y$749,18,FALSE()),"")</f>
        <v/>
      </c>
      <c r="O186" s="764"/>
      <c r="P186" s="764"/>
      <c r="Q186" s="764"/>
      <c r="R186" s="764"/>
      <c r="S186" s="764"/>
      <c r="T186" s="764" t="n">
        <f aca="false">IFERROR(SUMIFS(TE!$O:$O,TE!$G:$G,$B$179,TE!$I:$I,B186,TE!$D:$D,$C$5),"")</f>
        <v>0</v>
      </c>
      <c r="U186" s="764"/>
      <c r="V186" s="764"/>
      <c r="W186" s="764"/>
      <c r="X186" s="723" t="str">
        <f aca="false">IFERROR(VLOOKUP(B186,TE!$H$1:$Y$630,14,FALSE()),"0")</f>
        <v>0</v>
      </c>
      <c r="Y186" s="723"/>
      <c r="Z186" s="723"/>
      <c r="AA186" s="723"/>
      <c r="AB186" s="765" t="n">
        <f aca="false">T186*X186</f>
        <v>0</v>
      </c>
      <c r="AC186" s="765"/>
      <c r="AD186" s="765"/>
      <c r="AE186" s="736"/>
      <c r="AF186" s="736"/>
    </row>
    <row r="187" customFormat="false" ht="15.75" hidden="false" customHeight="true" outlineLevel="0" collapsed="false">
      <c r="A187" s="736"/>
      <c r="B187" s="760" t="s">
        <v>2265</v>
      </c>
      <c r="C187" s="761"/>
      <c r="D187" s="761"/>
      <c r="E187" s="762" t="str">
        <f aca="false">IFERROR(VLOOKUP(B187,TE!$H$1:$Y$749,2,FALSE()),"(Not on TE)")</f>
        <v>(Not on TE)</v>
      </c>
      <c r="F187" s="763"/>
      <c r="G187" s="763"/>
      <c r="H187" s="763"/>
      <c r="I187" s="763"/>
      <c r="J187" s="763"/>
      <c r="K187" s="763"/>
      <c r="L187" s="763"/>
      <c r="M187" s="763"/>
      <c r="N187" s="764" t="str">
        <f aca="false">IFERROR(VLOOKUP(B187,TE!$H$1:$Y$749,18,FALSE()),"")</f>
        <v/>
      </c>
      <c r="O187" s="764"/>
      <c r="P187" s="764"/>
      <c r="Q187" s="764"/>
      <c r="R187" s="764"/>
      <c r="S187" s="764"/>
      <c r="T187" s="764" t="n">
        <f aca="false">IFERROR(SUMIFS(TE!$O:$O,TE!$G:$G,$B$179,TE!$I:$I,B187,TE!$D:$D,$C$5),"")</f>
        <v>0</v>
      </c>
      <c r="U187" s="764"/>
      <c r="V187" s="764"/>
      <c r="W187" s="764"/>
      <c r="X187" s="723" t="str">
        <f aca="false">IFERROR(VLOOKUP(B187,TE!$H$1:$Y$630,14,FALSE()),"0")</f>
        <v>0</v>
      </c>
      <c r="Y187" s="723"/>
      <c r="Z187" s="723"/>
      <c r="AA187" s="723"/>
      <c r="AB187" s="765" t="n">
        <f aca="false">T187*X187</f>
        <v>0</v>
      </c>
      <c r="AC187" s="765"/>
      <c r="AD187" s="765"/>
      <c r="AE187" s="736"/>
      <c r="AF187" s="736"/>
    </row>
    <row r="188" customFormat="false" ht="15.75" hidden="false" customHeight="true" outlineLevel="0" collapsed="false">
      <c r="A188" s="736"/>
      <c r="B188" s="760" t="s">
        <v>1552</v>
      </c>
      <c r="C188" s="761"/>
      <c r="D188" s="761"/>
      <c r="E188" s="762" t="str">
        <f aca="false">IFERROR(VLOOKUP(B188,TE!$H$1:$Y$749,2,FALSE()),"(Not on TE)")</f>
        <v>(Not on TE)</v>
      </c>
      <c r="F188" s="763"/>
      <c r="G188" s="763"/>
      <c r="H188" s="763"/>
      <c r="I188" s="763"/>
      <c r="J188" s="763"/>
      <c r="K188" s="763"/>
      <c r="L188" s="763"/>
      <c r="M188" s="763"/>
      <c r="N188" s="764" t="str">
        <f aca="false">IFERROR(VLOOKUP(B188,TE!$H$1:$Y$749,18,FALSE()),"")</f>
        <v/>
      </c>
      <c r="O188" s="764"/>
      <c r="P188" s="764"/>
      <c r="Q188" s="764"/>
      <c r="R188" s="764"/>
      <c r="S188" s="764"/>
      <c r="T188" s="764" t="n">
        <f aca="false">IFERROR(SUMIFS(TE!$O:$O,TE!$G:$G,$B$179,TE!$I:$I,B188,TE!$D:$D,$C$5),"")</f>
        <v>0</v>
      </c>
      <c r="U188" s="764"/>
      <c r="V188" s="764"/>
      <c r="W188" s="764"/>
      <c r="X188" s="723" t="str">
        <f aca="false">IFERROR(VLOOKUP(B188,TE!$H$1:$Y$630,14,FALSE()),"0")</f>
        <v>0</v>
      </c>
      <c r="Y188" s="723"/>
      <c r="Z188" s="723"/>
      <c r="AA188" s="723"/>
      <c r="AB188" s="765" t="n">
        <f aca="false">T188*X188</f>
        <v>0</v>
      </c>
      <c r="AC188" s="765"/>
      <c r="AD188" s="765"/>
      <c r="AE188" s="736"/>
      <c r="AF188" s="736"/>
    </row>
    <row r="189" customFormat="false" ht="15.75" hidden="false" customHeight="true" outlineLevel="0" collapsed="false">
      <c r="A189" s="736"/>
      <c r="B189" s="760" t="s">
        <v>1553</v>
      </c>
      <c r="C189" s="761"/>
      <c r="D189" s="761"/>
      <c r="E189" s="762" t="str">
        <f aca="false">IFERROR(VLOOKUP(B189,TE!$H$1:$Y$749,2,FALSE()),"(Not on TE)")</f>
        <v>(Not on TE)</v>
      </c>
      <c r="F189" s="763"/>
      <c r="G189" s="763"/>
      <c r="H189" s="763"/>
      <c r="I189" s="763"/>
      <c r="J189" s="763"/>
      <c r="K189" s="763"/>
      <c r="L189" s="763"/>
      <c r="M189" s="763"/>
      <c r="N189" s="764" t="str">
        <f aca="false">IFERROR(VLOOKUP(B189,TE!$H$1:$Y$749,18,FALSE()),"")</f>
        <v/>
      </c>
      <c r="O189" s="764"/>
      <c r="P189" s="764"/>
      <c r="Q189" s="764"/>
      <c r="R189" s="764"/>
      <c r="S189" s="764"/>
      <c r="T189" s="764" t="n">
        <f aca="false">IFERROR(SUMIFS(TE!$O:$O,TE!$G:$G,$B$179,TE!$I:$I,B189,TE!$D:$D,$C$5),"")</f>
        <v>0</v>
      </c>
      <c r="U189" s="764"/>
      <c r="V189" s="764"/>
      <c r="W189" s="764"/>
      <c r="X189" s="723" t="str">
        <f aca="false">IFERROR(VLOOKUP(B189,TE!$H$1:$Y$630,14,FALSE()),"0")</f>
        <v>0</v>
      </c>
      <c r="Y189" s="723"/>
      <c r="Z189" s="723"/>
      <c r="AA189" s="723"/>
      <c r="AB189" s="765" t="n">
        <f aca="false">T189*X189</f>
        <v>0</v>
      </c>
      <c r="AC189" s="765"/>
      <c r="AD189" s="765"/>
      <c r="AE189" s="736"/>
      <c r="AF189" s="736"/>
    </row>
    <row r="190" customFormat="false" ht="15.75" hidden="false" customHeight="true" outlineLevel="0" collapsed="false">
      <c r="A190" s="736"/>
      <c r="B190" s="760" t="s">
        <v>1554</v>
      </c>
      <c r="C190" s="761"/>
      <c r="D190" s="761"/>
      <c r="E190" s="762" t="str">
        <f aca="false">IFERROR(VLOOKUP(B190,TE!$H$1:$Y$749,2,FALSE()),"(Not on TE)")</f>
        <v>(Not on TE)</v>
      </c>
      <c r="F190" s="763"/>
      <c r="G190" s="763"/>
      <c r="H190" s="763"/>
      <c r="I190" s="763"/>
      <c r="J190" s="763"/>
      <c r="K190" s="763"/>
      <c r="L190" s="763"/>
      <c r="M190" s="763"/>
      <c r="N190" s="764" t="str">
        <f aca="false">IFERROR(VLOOKUP(B190,TE!$H$1:$Y$749,18,FALSE()),"")</f>
        <v/>
      </c>
      <c r="O190" s="764"/>
      <c r="P190" s="764"/>
      <c r="Q190" s="764"/>
      <c r="R190" s="764"/>
      <c r="S190" s="764"/>
      <c r="T190" s="764" t="n">
        <f aca="false">IFERROR(SUMIFS(TE!$O:$O,TE!$G:$G,$B$179,TE!$I:$I,B190,TE!$D:$D,$C$5),"")</f>
        <v>0</v>
      </c>
      <c r="U190" s="764"/>
      <c r="V190" s="764"/>
      <c r="W190" s="764"/>
      <c r="X190" s="723" t="str">
        <f aca="false">IFERROR(VLOOKUP(B190,TE!$H$1:$Y$630,14,FALSE()),"0")</f>
        <v>0</v>
      </c>
      <c r="Y190" s="723"/>
      <c r="Z190" s="723"/>
      <c r="AA190" s="723"/>
      <c r="AB190" s="765" t="n">
        <f aca="false">T190*X190</f>
        <v>0</v>
      </c>
      <c r="AC190" s="765"/>
      <c r="AD190" s="765"/>
      <c r="AE190" s="736"/>
      <c r="AF190" s="736"/>
    </row>
    <row r="191" customFormat="false" ht="15.75" hidden="false" customHeight="true" outlineLevel="0" collapsed="false">
      <c r="A191" s="736"/>
      <c r="B191" s="760" t="s">
        <v>1555</v>
      </c>
      <c r="C191" s="761"/>
      <c r="D191" s="761"/>
      <c r="E191" s="762" t="str">
        <f aca="false">IFERROR(VLOOKUP(B191,TE!$H$1:$Y$749,2,FALSE()),"(Not on TE)")</f>
        <v>(Not on TE)</v>
      </c>
      <c r="F191" s="763"/>
      <c r="G191" s="763"/>
      <c r="H191" s="763"/>
      <c r="I191" s="763"/>
      <c r="J191" s="763"/>
      <c r="K191" s="763"/>
      <c r="L191" s="763"/>
      <c r="M191" s="763"/>
      <c r="N191" s="764" t="str">
        <f aca="false">IFERROR(VLOOKUP(B191,TE!$H$1:$Y$749,18,FALSE()),"")</f>
        <v/>
      </c>
      <c r="O191" s="764"/>
      <c r="P191" s="764"/>
      <c r="Q191" s="764"/>
      <c r="R191" s="764"/>
      <c r="S191" s="764"/>
      <c r="T191" s="764" t="n">
        <f aca="false">IFERROR(SUMIFS(TE!$O:$O,TE!$G:$G,$B$179,TE!$I:$I,B191,TE!$D:$D,$C$5),"")</f>
        <v>0</v>
      </c>
      <c r="U191" s="764"/>
      <c r="V191" s="764"/>
      <c r="W191" s="764"/>
      <c r="X191" s="723" t="str">
        <f aca="false">IFERROR(VLOOKUP(B191,TE!$H$1:$Y$630,14,FALSE()),"0")</f>
        <v>0</v>
      </c>
      <c r="Y191" s="723"/>
      <c r="Z191" s="723"/>
      <c r="AA191" s="723"/>
      <c r="AB191" s="765" t="n">
        <f aca="false">T191*X191</f>
        <v>0</v>
      </c>
      <c r="AC191" s="765"/>
      <c r="AD191" s="765"/>
      <c r="AE191" s="736"/>
      <c r="AF191" s="736"/>
    </row>
    <row r="192" customFormat="false" ht="15.75" hidden="false" customHeight="true" outlineLevel="0" collapsed="false">
      <c r="A192" s="736"/>
      <c r="B192" s="760" t="s">
        <v>1556</v>
      </c>
      <c r="C192" s="761"/>
      <c r="D192" s="761"/>
      <c r="E192" s="762" t="str">
        <f aca="false">IFERROR(VLOOKUP(B192,TE!$H$1:$Y$749,2,FALSE()),"(Not on TE)")</f>
        <v>(Not on TE)</v>
      </c>
      <c r="F192" s="763"/>
      <c r="G192" s="763"/>
      <c r="H192" s="763"/>
      <c r="I192" s="763"/>
      <c r="J192" s="763"/>
      <c r="K192" s="763"/>
      <c r="L192" s="763"/>
      <c r="M192" s="763"/>
      <c r="N192" s="764" t="str">
        <f aca="false">IFERROR(VLOOKUP(B192,TE!$H$1:$Y$749,18,FALSE()),"")</f>
        <v/>
      </c>
      <c r="O192" s="764"/>
      <c r="P192" s="764"/>
      <c r="Q192" s="764"/>
      <c r="R192" s="764"/>
      <c r="S192" s="764"/>
      <c r="T192" s="764" t="n">
        <f aca="false">IFERROR(SUMIFS(TE!$O:$O,TE!$G:$G,$B$179,TE!$I:$I,B192,TE!$D:$D,$C$5),"")</f>
        <v>0</v>
      </c>
      <c r="U192" s="764"/>
      <c r="V192" s="764"/>
      <c r="W192" s="764"/>
      <c r="X192" s="723" t="str">
        <f aca="false">IFERROR(VLOOKUP(B192,TE!$H$1:$Y$630,14,FALSE()),"0")</f>
        <v>0</v>
      </c>
      <c r="Y192" s="723"/>
      <c r="Z192" s="723"/>
      <c r="AA192" s="723"/>
      <c r="AB192" s="765" t="n">
        <f aca="false">T192*X192</f>
        <v>0</v>
      </c>
      <c r="AC192" s="765"/>
      <c r="AD192" s="765"/>
      <c r="AE192" s="736"/>
      <c r="AF192" s="736"/>
    </row>
    <row r="193" customFormat="false" ht="15.75" hidden="false" customHeight="true" outlineLevel="0" collapsed="false">
      <c r="A193" s="736"/>
      <c r="B193" s="760" t="s">
        <v>2266</v>
      </c>
      <c r="C193" s="761"/>
      <c r="D193" s="761"/>
      <c r="E193" s="762" t="str">
        <f aca="false">IFERROR(VLOOKUP(B193,TE!$H$1:$Y$749,2,FALSE()),"(Not on TE)")</f>
        <v>(Not on TE)</v>
      </c>
      <c r="F193" s="763"/>
      <c r="G193" s="763"/>
      <c r="H193" s="763"/>
      <c r="I193" s="763"/>
      <c r="J193" s="763"/>
      <c r="K193" s="763"/>
      <c r="L193" s="763"/>
      <c r="M193" s="763"/>
      <c r="N193" s="764" t="str">
        <f aca="false">IFERROR(VLOOKUP(B193,TE!$H$1:$Y$749,18,FALSE()),"")</f>
        <v/>
      </c>
      <c r="O193" s="764"/>
      <c r="P193" s="764"/>
      <c r="Q193" s="764"/>
      <c r="R193" s="764"/>
      <c r="S193" s="764"/>
      <c r="T193" s="764" t="n">
        <f aca="false">IFERROR(SUMIFS(TE!$O:$O,TE!$G:$G,$B$179,TE!$I:$I,B193,TE!$D:$D,$C$5),"")</f>
        <v>0</v>
      </c>
      <c r="U193" s="764"/>
      <c r="V193" s="764"/>
      <c r="W193" s="764"/>
      <c r="X193" s="723" t="str">
        <f aca="false">IFERROR(VLOOKUP(B193,TE!$H$1:$Y$630,14,FALSE()),"0")</f>
        <v>0</v>
      </c>
      <c r="Y193" s="723"/>
      <c r="Z193" s="723"/>
      <c r="AA193" s="723"/>
      <c r="AB193" s="765" t="n">
        <f aca="false">T193*X193</f>
        <v>0</v>
      </c>
      <c r="AC193" s="765"/>
      <c r="AD193" s="765"/>
      <c r="AE193" s="736"/>
      <c r="AF193" s="736"/>
    </row>
    <row r="194" customFormat="false" ht="15.75" hidden="false" customHeight="true" outlineLevel="0" collapsed="false">
      <c r="A194" s="736"/>
      <c r="B194" s="760" t="s">
        <v>1557</v>
      </c>
      <c r="C194" s="761"/>
      <c r="D194" s="761"/>
      <c r="E194" s="762" t="str">
        <f aca="false">IFERROR(VLOOKUP(B194,TE!$H$1:$Y$749,2,FALSE()),"(Not on TE)")</f>
        <v>(Not on TE)</v>
      </c>
      <c r="F194" s="763"/>
      <c r="G194" s="763"/>
      <c r="H194" s="763"/>
      <c r="I194" s="763"/>
      <c r="J194" s="763"/>
      <c r="K194" s="763"/>
      <c r="L194" s="763"/>
      <c r="M194" s="763"/>
      <c r="N194" s="764" t="str">
        <f aca="false">IFERROR(VLOOKUP(B194,TE!$H$1:$Y$749,18,FALSE()),"")</f>
        <v/>
      </c>
      <c r="O194" s="764"/>
      <c r="P194" s="764"/>
      <c r="Q194" s="764"/>
      <c r="R194" s="764"/>
      <c r="S194" s="764"/>
      <c r="T194" s="764" t="n">
        <f aca="false">IFERROR(SUMIFS(TE!$O:$O,TE!$G:$G,$B$179,TE!$I:$I,B194,TE!$D:$D,$C$5),"")</f>
        <v>0</v>
      </c>
      <c r="U194" s="764"/>
      <c r="V194" s="764"/>
      <c r="W194" s="764"/>
      <c r="X194" s="723" t="str">
        <f aca="false">IFERROR(VLOOKUP(B194,TE!$H$1:$Y$630,14,FALSE()),"0")</f>
        <v>0</v>
      </c>
      <c r="Y194" s="723"/>
      <c r="Z194" s="723"/>
      <c r="AA194" s="723"/>
      <c r="AB194" s="765" t="n">
        <f aca="false">T194*X194</f>
        <v>0</v>
      </c>
      <c r="AC194" s="765"/>
      <c r="AD194" s="765"/>
      <c r="AE194" s="736"/>
      <c r="AF194" s="736"/>
    </row>
    <row r="195" customFormat="false" ht="15.75" hidden="false" customHeight="true" outlineLevel="0" collapsed="false">
      <c r="A195" s="736"/>
      <c r="B195" s="760" t="s">
        <v>1558</v>
      </c>
      <c r="C195" s="761"/>
      <c r="D195" s="761"/>
      <c r="E195" s="762" t="str">
        <f aca="false">IFERROR(VLOOKUP(B195,TE!$H$1:$Y$749,2,FALSE()),"(Not on TE)")</f>
        <v>(Not on TE)</v>
      </c>
      <c r="F195" s="763"/>
      <c r="G195" s="763"/>
      <c r="H195" s="763"/>
      <c r="I195" s="763"/>
      <c r="J195" s="763"/>
      <c r="K195" s="763"/>
      <c r="L195" s="763"/>
      <c r="M195" s="763"/>
      <c r="N195" s="764" t="str">
        <f aca="false">IFERROR(VLOOKUP(B195,TE!$H$1:$Y$749,18,FALSE()),"")</f>
        <v/>
      </c>
      <c r="O195" s="764"/>
      <c r="P195" s="764"/>
      <c r="Q195" s="764"/>
      <c r="R195" s="764"/>
      <c r="S195" s="764"/>
      <c r="T195" s="764" t="n">
        <f aca="false">IFERROR(SUMIFS(TE!$O:$O,TE!$G:$G,$B$179,TE!$I:$I,B195,TE!$D:$D,$C$5),"")</f>
        <v>0</v>
      </c>
      <c r="U195" s="764"/>
      <c r="V195" s="764"/>
      <c r="W195" s="764"/>
      <c r="X195" s="723" t="str">
        <f aca="false">IFERROR(VLOOKUP(B195,TE!$H$1:$Y$630,14,FALSE()),"0")</f>
        <v>0</v>
      </c>
      <c r="Y195" s="723"/>
      <c r="Z195" s="723"/>
      <c r="AA195" s="723"/>
      <c r="AB195" s="765" t="n">
        <f aca="false">T195*X195</f>
        <v>0</v>
      </c>
      <c r="AC195" s="765"/>
      <c r="AD195" s="765"/>
      <c r="AE195" s="736"/>
      <c r="AF195" s="736"/>
    </row>
    <row r="196" customFormat="false" ht="15.75" hidden="false" customHeight="true" outlineLevel="0" collapsed="false">
      <c r="A196" s="736"/>
      <c r="B196" s="760" t="s">
        <v>1563</v>
      </c>
      <c r="C196" s="761"/>
      <c r="D196" s="761"/>
      <c r="E196" s="762" t="str">
        <f aca="false">IFERROR(VLOOKUP(B196,TE!$H$1:$Y$749,2,FALSE()),"(Not on TE)")</f>
        <v>(Not on TE)</v>
      </c>
      <c r="F196" s="763"/>
      <c r="G196" s="763"/>
      <c r="H196" s="763"/>
      <c r="I196" s="763"/>
      <c r="J196" s="763"/>
      <c r="K196" s="763"/>
      <c r="L196" s="763"/>
      <c r="M196" s="763"/>
      <c r="N196" s="764" t="str">
        <f aca="false">IFERROR(VLOOKUP(B196,TE!$H$1:$Y$749,18,FALSE()),"")</f>
        <v/>
      </c>
      <c r="O196" s="764"/>
      <c r="P196" s="764"/>
      <c r="Q196" s="764"/>
      <c r="R196" s="764"/>
      <c r="S196" s="764"/>
      <c r="T196" s="764" t="n">
        <f aca="false">IFERROR(SUMIFS(TE!$O:$O,TE!$G:$G,$B$179,TE!$I:$I,B196,TE!$D:$D,$C$5),"")</f>
        <v>0</v>
      </c>
      <c r="U196" s="764"/>
      <c r="V196" s="764"/>
      <c r="W196" s="764"/>
      <c r="X196" s="723" t="str">
        <f aca="false">IFERROR(VLOOKUP(B196,TE!$H$1:$Y$630,14,FALSE()),"0")</f>
        <v>0</v>
      </c>
      <c r="Y196" s="723"/>
      <c r="Z196" s="723"/>
      <c r="AA196" s="723"/>
      <c r="AB196" s="765" t="n">
        <f aca="false">T196*X196</f>
        <v>0</v>
      </c>
      <c r="AC196" s="765"/>
      <c r="AD196" s="765"/>
      <c r="AE196" s="736"/>
      <c r="AF196" s="736"/>
    </row>
    <row r="197" customFormat="false" ht="15.75" hidden="false" customHeight="true" outlineLevel="0" collapsed="false">
      <c r="A197" s="736"/>
      <c r="B197" s="760" t="s">
        <v>1564</v>
      </c>
      <c r="C197" s="761"/>
      <c r="D197" s="761"/>
      <c r="E197" s="762" t="str">
        <f aca="false">IFERROR(VLOOKUP(B197,TE!$H$1:$Y$749,2,FALSE()),"(Not on TE)")</f>
        <v>(Not on TE)</v>
      </c>
      <c r="F197" s="763"/>
      <c r="G197" s="763"/>
      <c r="H197" s="763"/>
      <c r="I197" s="763"/>
      <c r="J197" s="763"/>
      <c r="K197" s="763"/>
      <c r="L197" s="763"/>
      <c r="M197" s="763"/>
      <c r="N197" s="764" t="str">
        <f aca="false">IFERROR(VLOOKUP(B197,TE!$H$1:$Y$749,18,FALSE()),"")</f>
        <v/>
      </c>
      <c r="O197" s="764"/>
      <c r="P197" s="764"/>
      <c r="Q197" s="764"/>
      <c r="R197" s="764"/>
      <c r="S197" s="764"/>
      <c r="T197" s="764" t="n">
        <f aca="false">IFERROR(SUMIFS(TE!$O:$O,TE!$G:$G,$B$179,TE!$I:$I,B197,TE!$D:$D,$C$5),"")</f>
        <v>0</v>
      </c>
      <c r="U197" s="764"/>
      <c r="V197" s="764"/>
      <c r="W197" s="764"/>
      <c r="X197" s="723" t="str">
        <f aca="false">IFERROR(VLOOKUP(B197,TE!$H$1:$Y$630,14,FALSE()),"0")</f>
        <v>0</v>
      </c>
      <c r="Y197" s="723"/>
      <c r="Z197" s="723"/>
      <c r="AA197" s="723"/>
      <c r="AB197" s="765" t="n">
        <f aca="false">T197*X197</f>
        <v>0</v>
      </c>
      <c r="AC197" s="765"/>
      <c r="AD197" s="765"/>
      <c r="AE197" s="736"/>
      <c r="AF197" s="736"/>
    </row>
    <row r="198" customFormat="false" ht="15.75" hidden="false" customHeight="true" outlineLevel="0" collapsed="false">
      <c r="A198" s="736"/>
      <c r="B198" s="760" t="s">
        <v>1157</v>
      </c>
      <c r="C198" s="761"/>
      <c r="D198" s="761"/>
      <c r="E198" s="762" t="str">
        <f aca="false">IFERROR(VLOOKUP(B198,TE!$H$1:$Y$749,2,FALSE()),"(Not on TE)")</f>
        <v>(Not on TE)</v>
      </c>
      <c r="F198" s="763"/>
      <c r="G198" s="763"/>
      <c r="H198" s="763"/>
      <c r="I198" s="763"/>
      <c r="J198" s="763"/>
      <c r="K198" s="763"/>
      <c r="L198" s="763"/>
      <c r="M198" s="763"/>
      <c r="N198" s="764" t="str">
        <f aca="false">IFERROR(VLOOKUP(B198,TE!$H$1:$Y$749,18,FALSE()),"")</f>
        <v/>
      </c>
      <c r="O198" s="764"/>
      <c r="P198" s="764"/>
      <c r="Q198" s="764"/>
      <c r="R198" s="764"/>
      <c r="S198" s="764"/>
      <c r="T198" s="764" t="n">
        <f aca="false">IFERROR(SUMIFS(TE!$O:$O,TE!$G:$G,$B$179,TE!$I:$I,B198,TE!$D:$D,$C$5),"")</f>
        <v>0</v>
      </c>
      <c r="U198" s="764"/>
      <c r="V198" s="764"/>
      <c r="W198" s="764"/>
      <c r="X198" s="723" t="str">
        <f aca="false">IFERROR(VLOOKUP(B198,TE!$H$1:$Y$630,14,FALSE()),"0")</f>
        <v>0</v>
      </c>
      <c r="Y198" s="723"/>
      <c r="Z198" s="723"/>
      <c r="AA198" s="723"/>
      <c r="AB198" s="765" t="n">
        <f aca="false">T198*X198</f>
        <v>0</v>
      </c>
      <c r="AC198" s="765"/>
      <c r="AD198" s="765"/>
      <c r="AE198" s="736"/>
      <c r="AF198" s="736"/>
    </row>
    <row r="199" customFormat="false" ht="15.75" hidden="false" customHeight="true" outlineLevel="0" collapsed="false">
      <c r="A199" s="736"/>
      <c r="B199" s="760" t="s">
        <v>1565</v>
      </c>
      <c r="C199" s="761"/>
      <c r="D199" s="761"/>
      <c r="E199" s="762" t="str">
        <f aca="false">IFERROR(VLOOKUP(B199,TE!$H$1:$Y$749,2,FALSE()),"(Not on TE)")</f>
        <v>(Not on TE)</v>
      </c>
      <c r="F199" s="763"/>
      <c r="G199" s="763"/>
      <c r="H199" s="763"/>
      <c r="I199" s="763"/>
      <c r="J199" s="763"/>
      <c r="K199" s="763"/>
      <c r="L199" s="763"/>
      <c r="M199" s="763"/>
      <c r="N199" s="764" t="str">
        <f aca="false">IFERROR(VLOOKUP(B199,TE!$H$1:$Y$749,18,FALSE()),"")</f>
        <v/>
      </c>
      <c r="O199" s="764"/>
      <c r="P199" s="764"/>
      <c r="Q199" s="764"/>
      <c r="R199" s="764"/>
      <c r="S199" s="764"/>
      <c r="T199" s="764" t="n">
        <f aca="false">IFERROR(SUMIFS(TE!$O:$O,TE!$G:$G,$B$179,TE!$I:$I,B199,TE!$D:$D,$C$5),"")</f>
        <v>0</v>
      </c>
      <c r="U199" s="764"/>
      <c r="V199" s="764"/>
      <c r="W199" s="764"/>
      <c r="X199" s="723" t="str">
        <f aca="false">IFERROR(VLOOKUP(B199,TE!$H$1:$Y$630,14,FALSE()),"0")</f>
        <v>0</v>
      </c>
      <c r="Y199" s="723"/>
      <c r="Z199" s="723"/>
      <c r="AA199" s="723"/>
      <c r="AB199" s="765" t="n">
        <f aca="false">T199*X199</f>
        <v>0</v>
      </c>
      <c r="AC199" s="765"/>
      <c r="AD199" s="765"/>
      <c r="AE199" s="736"/>
      <c r="AF199" s="736"/>
    </row>
    <row r="200" customFormat="false" ht="15.75" hidden="false" customHeight="true" outlineLevel="0" collapsed="false">
      <c r="A200" s="736"/>
      <c r="B200" s="760" t="s">
        <v>2267</v>
      </c>
      <c r="C200" s="761"/>
      <c r="D200" s="761"/>
      <c r="E200" s="762" t="str">
        <f aca="false">IFERROR(VLOOKUP(B200,TE!$H$1:$Y$749,2,FALSE()),"(Not on TE)")</f>
        <v>(Not on TE)</v>
      </c>
      <c r="F200" s="763"/>
      <c r="G200" s="763"/>
      <c r="H200" s="763"/>
      <c r="I200" s="763"/>
      <c r="J200" s="763"/>
      <c r="K200" s="763"/>
      <c r="L200" s="763"/>
      <c r="M200" s="763"/>
      <c r="N200" s="764" t="str">
        <f aca="false">IFERROR(VLOOKUP(B200,TE!$H$1:$Y$749,18,FALSE()),"")</f>
        <v/>
      </c>
      <c r="O200" s="764"/>
      <c r="P200" s="764"/>
      <c r="Q200" s="764"/>
      <c r="R200" s="764"/>
      <c r="S200" s="764"/>
      <c r="T200" s="764" t="n">
        <f aca="false">IFERROR(SUMIFS(TE!$O:$O,TE!$G:$G,$B$179,TE!$I:$I,B200,TE!$D:$D,$C$5),"")</f>
        <v>0</v>
      </c>
      <c r="U200" s="764"/>
      <c r="V200" s="764"/>
      <c r="W200" s="764"/>
      <c r="X200" s="723" t="str">
        <f aca="false">IFERROR(VLOOKUP(B200,TE!$H$1:$Y$630,14,FALSE()),"0")</f>
        <v>0</v>
      </c>
      <c r="Y200" s="723"/>
      <c r="Z200" s="723"/>
      <c r="AA200" s="723"/>
      <c r="AB200" s="765" t="n">
        <f aca="false">T200*X200</f>
        <v>0</v>
      </c>
      <c r="AC200" s="765"/>
      <c r="AD200" s="765"/>
      <c r="AE200" s="736"/>
      <c r="AF200" s="736"/>
    </row>
    <row r="201" customFormat="false" ht="15.75" hidden="false" customHeight="true" outlineLevel="0" collapsed="false">
      <c r="A201" s="736"/>
      <c r="B201" s="760" t="s">
        <v>1566</v>
      </c>
      <c r="C201" s="761"/>
      <c r="D201" s="761"/>
      <c r="E201" s="762" t="str">
        <f aca="false">IFERROR(VLOOKUP(B201,TE!$H$1:$Y$749,2,FALSE()),"(Not on TE)")</f>
        <v>(Not on TE)</v>
      </c>
      <c r="F201" s="763"/>
      <c r="G201" s="763"/>
      <c r="H201" s="763"/>
      <c r="I201" s="763"/>
      <c r="J201" s="763"/>
      <c r="K201" s="763"/>
      <c r="L201" s="763"/>
      <c r="M201" s="763"/>
      <c r="N201" s="764" t="str">
        <f aca="false">IFERROR(VLOOKUP(B201,TE!$H$1:$Y$749,18,FALSE()),"")</f>
        <v/>
      </c>
      <c r="O201" s="764"/>
      <c r="P201" s="764"/>
      <c r="Q201" s="764"/>
      <c r="R201" s="764"/>
      <c r="S201" s="764"/>
      <c r="T201" s="764" t="n">
        <f aca="false">IFERROR(SUMIFS(TE!$O:$O,TE!$G:$G,$B$179,TE!$I:$I,B201,TE!$D:$D,$C$5),"")</f>
        <v>0</v>
      </c>
      <c r="U201" s="764"/>
      <c r="V201" s="764"/>
      <c r="W201" s="764"/>
      <c r="X201" s="723" t="str">
        <f aca="false">IFERROR(VLOOKUP(B201,TE!$H$1:$Y$630,14,FALSE()),"0")</f>
        <v>0</v>
      </c>
      <c r="Y201" s="723"/>
      <c r="Z201" s="723"/>
      <c r="AA201" s="723"/>
      <c r="AB201" s="765" t="n">
        <f aca="false">T201*X201</f>
        <v>0</v>
      </c>
      <c r="AC201" s="765"/>
      <c r="AD201" s="765"/>
      <c r="AE201" s="736"/>
      <c r="AF201" s="736"/>
    </row>
    <row r="202" customFormat="false" ht="15.75" hidden="false" customHeight="true" outlineLevel="0" collapsed="false">
      <c r="A202" s="736"/>
      <c r="B202" s="760" t="s">
        <v>1149</v>
      </c>
      <c r="C202" s="761"/>
      <c r="D202" s="761"/>
      <c r="E202" s="762" t="str">
        <f aca="false">IFERROR(VLOOKUP(B202,TE!$H$1:$Y$749,2,FALSE()),"(Not on TE)")</f>
        <v>(Not on TE)</v>
      </c>
      <c r="F202" s="763"/>
      <c r="G202" s="763"/>
      <c r="H202" s="763"/>
      <c r="I202" s="763"/>
      <c r="J202" s="763"/>
      <c r="K202" s="763"/>
      <c r="L202" s="763"/>
      <c r="M202" s="763"/>
      <c r="N202" s="764" t="str">
        <f aca="false">IFERROR(VLOOKUP(B202,TE!$H$1:$Y$749,18,FALSE()),"")</f>
        <v/>
      </c>
      <c r="O202" s="764"/>
      <c r="P202" s="764"/>
      <c r="Q202" s="764"/>
      <c r="R202" s="764"/>
      <c r="S202" s="764"/>
      <c r="T202" s="764" t="n">
        <f aca="false">IFERROR(SUMIFS(TE!$O:$O,TE!$G:$G,$B$179,TE!$I:$I,B202,TE!$D:$D,$C$5),"")</f>
        <v>0</v>
      </c>
      <c r="U202" s="764"/>
      <c r="V202" s="764"/>
      <c r="W202" s="764"/>
      <c r="X202" s="723" t="str">
        <f aca="false">IFERROR(VLOOKUP(B202,TE!$H$1:$Y$630,14,FALSE()),"0")</f>
        <v>0</v>
      </c>
      <c r="Y202" s="723"/>
      <c r="Z202" s="723"/>
      <c r="AA202" s="723"/>
      <c r="AB202" s="765" t="n">
        <f aca="false">T202*X202</f>
        <v>0</v>
      </c>
      <c r="AC202" s="765"/>
      <c r="AD202" s="765"/>
      <c r="AE202" s="736"/>
      <c r="AF202" s="736"/>
    </row>
    <row r="203" customFormat="false" ht="15.75" hidden="false" customHeight="true" outlineLevel="0" collapsed="false">
      <c r="A203" s="736"/>
      <c r="B203" s="760" t="s">
        <v>1253</v>
      </c>
      <c r="C203" s="761"/>
      <c r="D203" s="761"/>
      <c r="E203" s="762" t="str">
        <f aca="false">IFERROR(VLOOKUP(B203,TE!$H$1:$Y$749,2,FALSE()),"(Not on TE)")</f>
        <v>(Not on TE)</v>
      </c>
      <c r="F203" s="763"/>
      <c r="G203" s="763"/>
      <c r="H203" s="763"/>
      <c r="I203" s="763"/>
      <c r="J203" s="763"/>
      <c r="K203" s="763"/>
      <c r="L203" s="763"/>
      <c r="M203" s="763"/>
      <c r="N203" s="764" t="str">
        <f aca="false">IFERROR(VLOOKUP(B203,TE!$H$1:$Y$749,18,FALSE()),"")</f>
        <v/>
      </c>
      <c r="O203" s="764"/>
      <c r="P203" s="764"/>
      <c r="Q203" s="764"/>
      <c r="R203" s="764"/>
      <c r="S203" s="764"/>
      <c r="T203" s="764" t="n">
        <f aca="false">IFERROR(SUMIFS(TE!$O:$O,TE!$G:$G,$B$179,TE!$I:$I,B203,TE!$D:$D,$C$5),"")</f>
        <v>0</v>
      </c>
      <c r="U203" s="764"/>
      <c r="V203" s="764"/>
      <c r="W203" s="764"/>
      <c r="X203" s="723" t="str">
        <f aca="false">IFERROR(VLOOKUP(B203,TE!$H$1:$Y$630,14,FALSE()),"0")</f>
        <v>0</v>
      </c>
      <c r="Y203" s="723"/>
      <c r="Z203" s="723"/>
      <c r="AA203" s="723"/>
      <c r="AB203" s="765" t="n">
        <f aca="false">T203*X203</f>
        <v>0</v>
      </c>
      <c r="AC203" s="765"/>
      <c r="AD203" s="765"/>
      <c r="AE203" s="736"/>
      <c r="AF203" s="736"/>
    </row>
    <row r="204" customFormat="false" ht="15.75" hidden="false" customHeight="true" outlineLevel="0" collapsed="false">
      <c r="A204" s="736"/>
      <c r="B204" s="760" t="s">
        <v>1255</v>
      </c>
      <c r="C204" s="761"/>
      <c r="D204" s="761"/>
      <c r="E204" s="762" t="str">
        <f aca="false">IFERROR(VLOOKUP(B204,TE!$H$1:$Y$749,2,FALSE()),"(Not on TE)")</f>
        <v>(Not on TE)</v>
      </c>
      <c r="F204" s="763"/>
      <c r="G204" s="763"/>
      <c r="H204" s="763"/>
      <c r="I204" s="763"/>
      <c r="J204" s="763"/>
      <c r="K204" s="763"/>
      <c r="L204" s="763"/>
      <c r="M204" s="763"/>
      <c r="N204" s="764" t="str">
        <f aca="false">IFERROR(VLOOKUP(B204,TE!$H$1:$Y$749,18,FALSE()),"")</f>
        <v/>
      </c>
      <c r="O204" s="764"/>
      <c r="P204" s="764"/>
      <c r="Q204" s="764"/>
      <c r="R204" s="764"/>
      <c r="S204" s="764"/>
      <c r="T204" s="764" t="n">
        <f aca="false">IFERROR(SUMIFS(TE!$O:$O,TE!$G:$G,$B$179,TE!$I:$I,B204,TE!$D:$D,$C$5),"")</f>
        <v>0</v>
      </c>
      <c r="U204" s="764"/>
      <c r="V204" s="764"/>
      <c r="W204" s="764"/>
      <c r="X204" s="723" t="str">
        <f aca="false">IFERROR(VLOOKUP(B204,TE!$H$1:$Y$630,14,FALSE()),"0")</f>
        <v>0</v>
      </c>
      <c r="Y204" s="723"/>
      <c r="Z204" s="723"/>
      <c r="AA204" s="723"/>
      <c r="AB204" s="765" t="n">
        <f aca="false">T204*X204</f>
        <v>0</v>
      </c>
      <c r="AC204" s="765"/>
      <c r="AD204" s="765"/>
      <c r="AE204" s="736"/>
      <c r="AF204" s="736"/>
    </row>
    <row r="205" customFormat="false" ht="15.75" hidden="false" customHeight="true" outlineLevel="0" collapsed="false">
      <c r="A205" s="736"/>
      <c r="B205" s="760" t="s">
        <v>1458</v>
      </c>
      <c r="C205" s="761"/>
      <c r="D205" s="761"/>
      <c r="E205" s="762" t="str">
        <f aca="false">IFERROR(VLOOKUP(B205,TE!$H$1:$Y$749,2,FALSE()),"(Not on TE)")</f>
        <v>(Not on TE)</v>
      </c>
      <c r="F205" s="763"/>
      <c r="G205" s="763"/>
      <c r="H205" s="763"/>
      <c r="I205" s="763"/>
      <c r="J205" s="763"/>
      <c r="K205" s="763"/>
      <c r="L205" s="763"/>
      <c r="M205" s="763"/>
      <c r="N205" s="764" t="str">
        <f aca="false">IFERROR(VLOOKUP(B205,TE!$H$1:$Y$749,18,FALSE()),"")</f>
        <v/>
      </c>
      <c r="O205" s="764"/>
      <c r="P205" s="764"/>
      <c r="Q205" s="764"/>
      <c r="R205" s="764"/>
      <c r="S205" s="764"/>
      <c r="T205" s="764" t="n">
        <f aca="false">IFERROR(SUMIFS(TE!$O:$O,TE!$G:$G,$B$179,TE!$I:$I,B205,TE!$D:$D,$C$5),"")</f>
        <v>0</v>
      </c>
      <c r="U205" s="764"/>
      <c r="V205" s="764"/>
      <c r="W205" s="764"/>
      <c r="X205" s="723" t="str">
        <f aca="false">IFERROR(VLOOKUP(B205,TE!$H$1:$Y$630,14,FALSE()),"0")</f>
        <v>0</v>
      </c>
      <c r="Y205" s="723"/>
      <c r="Z205" s="723"/>
      <c r="AA205" s="723"/>
      <c r="AB205" s="765" t="n">
        <f aca="false">T205*X205</f>
        <v>0</v>
      </c>
      <c r="AC205" s="765"/>
      <c r="AD205" s="765"/>
      <c r="AE205" s="736"/>
      <c r="AF205" s="736"/>
    </row>
    <row r="206" customFormat="false" ht="15.75" hidden="false" customHeight="true" outlineLevel="0" collapsed="false">
      <c r="A206" s="736"/>
      <c r="B206" s="760" t="s">
        <v>1199</v>
      </c>
      <c r="C206" s="761"/>
      <c r="D206" s="761"/>
      <c r="E206" s="762" t="str">
        <f aca="false">IFERROR(VLOOKUP(B206,TE!$H$1:$Y$749,2,FALSE()),"(Not on TE)")</f>
        <v>(Not on TE)</v>
      </c>
      <c r="F206" s="763"/>
      <c r="G206" s="763"/>
      <c r="H206" s="763"/>
      <c r="I206" s="763"/>
      <c r="J206" s="763"/>
      <c r="K206" s="763"/>
      <c r="L206" s="763"/>
      <c r="M206" s="763"/>
      <c r="N206" s="764" t="str">
        <f aca="false">IFERROR(VLOOKUP(B206,TE!$H$1:$Y$749,18,FALSE()),"")</f>
        <v/>
      </c>
      <c r="O206" s="764"/>
      <c r="P206" s="764"/>
      <c r="Q206" s="764"/>
      <c r="R206" s="764"/>
      <c r="S206" s="764"/>
      <c r="T206" s="764" t="n">
        <f aca="false">IFERROR(SUMIFS(TE!$O:$O,TE!$G:$G,$B$179,TE!$I:$I,B206,TE!$D:$D,$C$5),"")</f>
        <v>0</v>
      </c>
      <c r="U206" s="764"/>
      <c r="V206" s="764"/>
      <c r="W206" s="764"/>
      <c r="X206" s="723" t="str">
        <f aca="false">IFERROR(VLOOKUP(B206,TE!$H$1:$Y$630,14,FALSE()),"0")</f>
        <v>0</v>
      </c>
      <c r="Y206" s="723"/>
      <c r="Z206" s="723"/>
      <c r="AA206" s="723"/>
      <c r="AB206" s="765" t="n">
        <f aca="false">T206*X206</f>
        <v>0</v>
      </c>
      <c r="AC206" s="765"/>
      <c r="AD206" s="765"/>
      <c r="AE206" s="736"/>
      <c r="AF206" s="736"/>
    </row>
    <row r="207" customFormat="false" ht="15.75" hidden="false" customHeight="true" outlineLevel="0" collapsed="false">
      <c r="A207" s="736"/>
      <c r="B207" s="760" t="s">
        <v>1567</v>
      </c>
      <c r="C207" s="761"/>
      <c r="D207" s="761"/>
      <c r="E207" s="762" t="str">
        <f aca="false">IFERROR(VLOOKUP(B207,TE!$H$1:$Y$749,2,FALSE()),"(Not on TE)")</f>
        <v>(Not on TE)</v>
      </c>
      <c r="F207" s="763"/>
      <c r="G207" s="763"/>
      <c r="H207" s="763"/>
      <c r="I207" s="763"/>
      <c r="J207" s="763"/>
      <c r="K207" s="763"/>
      <c r="L207" s="763"/>
      <c r="M207" s="763"/>
      <c r="N207" s="764" t="str">
        <f aca="false">IFERROR(VLOOKUP(B207,TE!$H$1:$Y$749,18,FALSE()),"")</f>
        <v/>
      </c>
      <c r="O207" s="764"/>
      <c r="P207" s="764"/>
      <c r="Q207" s="764"/>
      <c r="R207" s="764"/>
      <c r="S207" s="764"/>
      <c r="T207" s="764" t="n">
        <f aca="false">IFERROR(SUMIFS(TE!$O:$O,TE!$G:$G,$B$179,TE!$I:$I,B207,TE!$D:$D,$C$5),"")</f>
        <v>0</v>
      </c>
      <c r="U207" s="764"/>
      <c r="V207" s="764"/>
      <c r="W207" s="764"/>
      <c r="X207" s="723" t="str">
        <f aca="false">IFERROR(VLOOKUP(B207,TE!$H$1:$Y$630,14,FALSE()),"0")</f>
        <v>0</v>
      </c>
      <c r="Y207" s="723"/>
      <c r="Z207" s="723"/>
      <c r="AA207" s="723"/>
      <c r="AB207" s="765" t="n">
        <f aca="false">T207*X207</f>
        <v>0</v>
      </c>
      <c r="AC207" s="765"/>
      <c r="AD207" s="765"/>
      <c r="AE207" s="736"/>
      <c r="AF207" s="736"/>
    </row>
    <row r="208" customFormat="false" ht="15.75" hidden="false" customHeight="true" outlineLevel="0" collapsed="false">
      <c r="A208" s="736"/>
      <c r="B208" s="760" t="s">
        <v>1568</v>
      </c>
      <c r="C208" s="761"/>
      <c r="D208" s="761"/>
      <c r="E208" s="762" t="str">
        <f aca="false">IFERROR(VLOOKUP(B208,TE!$H$1:$Y$749,2,FALSE()),"(Not on TE)")</f>
        <v>(Not on TE)</v>
      </c>
      <c r="F208" s="763"/>
      <c r="G208" s="763"/>
      <c r="H208" s="763"/>
      <c r="I208" s="763"/>
      <c r="J208" s="763"/>
      <c r="K208" s="763"/>
      <c r="L208" s="763"/>
      <c r="M208" s="763"/>
      <c r="N208" s="764" t="str">
        <f aca="false">IFERROR(VLOOKUP(B208,TE!$H$1:$Y$749,18,FALSE()),"")</f>
        <v/>
      </c>
      <c r="O208" s="764"/>
      <c r="P208" s="764"/>
      <c r="Q208" s="764"/>
      <c r="R208" s="764"/>
      <c r="S208" s="764"/>
      <c r="T208" s="764" t="n">
        <f aca="false">IFERROR(SUMIFS(TE!$O:$O,TE!$G:$G,$B$179,TE!$I:$I,B208,TE!$D:$D,$C$5),"")</f>
        <v>0</v>
      </c>
      <c r="U208" s="764"/>
      <c r="V208" s="764"/>
      <c r="W208" s="764"/>
      <c r="X208" s="723" t="str">
        <f aca="false">IFERROR(VLOOKUP(B208,TE!$H$1:$Y$630,14,FALSE()),"0")</f>
        <v>0</v>
      </c>
      <c r="Y208" s="723"/>
      <c r="Z208" s="723"/>
      <c r="AA208" s="723"/>
      <c r="AB208" s="765" t="n">
        <f aca="false">T208*X208</f>
        <v>0</v>
      </c>
      <c r="AC208" s="765"/>
      <c r="AD208" s="765"/>
      <c r="AE208" s="736"/>
      <c r="AF208" s="736"/>
    </row>
    <row r="209" customFormat="false" ht="15.75" hidden="false" customHeight="true" outlineLevel="0" collapsed="false">
      <c r="A209" s="736"/>
      <c r="B209" s="760" t="s">
        <v>1569</v>
      </c>
      <c r="C209" s="761"/>
      <c r="D209" s="761"/>
      <c r="E209" s="762" t="str">
        <f aca="false">IFERROR(VLOOKUP(B209,TE!$H$1:$Y$749,2,FALSE()),"(Not on TE)")</f>
        <v>(Not on TE)</v>
      </c>
      <c r="F209" s="763"/>
      <c r="G209" s="763"/>
      <c r="H209" s="763"/>
      <c r="I209" s="763"/>
      <c r="J209" s="763"/>
      <c r="K209" s="763"/>
      <c r="L209" s="763"/>
      <c r="M209" s="763"/>
      <c r="N209" s="764" t="str">
        <f aca="false">IFERROR(VLOOKUP(B209,TE!$H$1:$Y$749,18,FALSE()),"")</f>
        <v/>
      </c>
      <c r="O209" s="764"/>
      <c r="P209" s="764"/>
      <c r="Q209" s="764"/>
      <c r="R209" s="764"/>
      <c r="S209" s="764"/>
      <c r="T209" s="764" t="n">
        <f aca="false">IFERROR(SUMIFS(TE!$O:$O,TE!$G:$G,$B$179,TE!$I:$I,B209,TE!$D:$D,$C$5),"")</f>
        <v>0</v>
      </c>
      <c r="U209" s="764"/>
      <c r="V209" s="764"/>
      <c r="W209" s="764"/>
      <c r="X209" s="723" t="str">
        <f aca="false">IFERROR(VLOOKUP(B209,TE!$H$1:$Y$630,14,FALSE()),"0")</f>
        <v>0</v>
      </c>
      <c r="Y209" s="723"/>
      <c r="Z209" s="723"/>
      <c r="AA209" s="723"/>
      <c r="AB209" s="765" t="n">
        <f aca="false">T209*X209</f>
        <v>0</v>
      </c>
      <c r="AC209" s="765"/>
      <c r="AD209" s="765"/>
      <c r="AE209" s="736"/>
      <c r="AF209" s="736"/>
    </row>
    <row r="210" customFormat="false" ht="15.75" hidden="false" customHeight="true" outlineLevel="0" collapsed="false">
      <c r="A210" s="736"/>
      <c r="B210" s="760" t="s">
        <v>1305</v>
      </c>
      <c r="C210" s="761"/>
      <c r="D210" s="761"/>
      <c r="E210" s="762" t="str">
        <f aca="false">IFERROR(VLOOKUP(B210,TE!$H$1:$Y$749,2,FALSE()),"(Not on TE)")</f>
        <v>(Not on TE)</v>
      </c>
      <c r="F210" s="763"/>
      <c r="G210" s="763"/>
      <c r="H210" s="763"/>
      <c r="I210" s="763"/>
      <c r="J210" s="763"/>
      <c r="K210" s="763"/>
      <c r="L210" s="763"/>
      <c r="M210" s="763"/>
      <c r="N210" s="764" t="str">
        <f aca="false">IFERROR(VLOOKUP(B210,TE!$H$1:$Y$749,18,FALSE()),"")</f>
        <v/>
      </c>
      <c r="O210" s="764"/>
      <c r="P210" s="764"/>
      <c r="Q210" s="764"/>
      <c r="R210" s="764"/>
      <c r="S210" s="764"/>
      <c r="T210" s="764" t="n">
        <f aca="false">IFERROR(SUMIFS(TE!$O:$O,TE!$G:$G,$B$179,TE!$I:$I,B210,TE!$D:$D,$C$5),"")</f>
        <v>0</v>
      </c>
      <c r="U210" s="764"/>
      <c r="V210" s="764"/>
      <c r="W210" s="764"/>
      <c r="X210" s="723" t="str">
        <f aca="false">IFERROR(VLOOKUP(B210,TE!$H$1:$Y$630,14,FALSE()),"0")</f>
        <v>0</v>
      </c>
      <c r="Y210" s="723"/>
      <c r="Z210" s="723"/>
      <c r="AA210" s="723"/>
      <c r="AB210" s="765" t="n">
        <f aca="false">T210*X210</f>
        <v>0</v>
      </c>
      <c r="AC210" s="765"/>
      <c r="AD210" s="765"/>
      <c r="AE210" s="736"/>
      <c r="AF210" s="736"/>
    </row>
    <row r="211" customFormat="false" ht="15.75" hidden="false" customHeight="true" outlineLevel="0" collapsed="false">
      <c r="A211" s="736"/>
      <c r="B211" s="760" t="s">
        <v>1104</v>
      </c>
      <c r="C211" s="761"/>
      <c r="D211" s="761"/>
      <c r="E211" s="762" t="str">
        <f aca="false">IFERROR(VLOOKUP(B211,TE!$H$1:$Y$749,2,FALSE()),"(Not on TE)")</f>
        <v>(Not on TE)</v>
      </c>
      <c r="F211" s="763"/>
      <c r="G211" s="763"/>
      <c r="H211" s="763"/>
      <c r="I211" s="763"/>
      <c r="J211" s="763"/>
      <c r="K211" s="763"/>
      <c r="L211" s="763"/>
      <c r="M211" s="763"/>
      <c r="N211" s="764" t="str">
        <f aca="false">IFERROR(VLOOKUP(B211,TE!$H$1:$Y$749,18,FALSE()),"")</f>
        <v/>
      </c>
      <c r="O211" s="764"/>
      <c r="P211" s="764"/>
      <c r="Q211" s="764"/>
      <c r="R211" s="764"/>
      <c r="S211" s="764"/>
      <c r="T211" s="764" t="n">
        <f aca="false">IFERROR(SUMIFS(TE!$O:$O,TE!$G:$G,$B$179,TE!$I:$I,B211,TE!$D:$D,$C$5),"")</f>
        <v>0</v>
      </c>
      <c r="U211" s="764"/>
      <c r="V211" s="764"/>
      <c r="W211" s="764"/>
      <c r="X211" s="723" t="str">
        <f aca="false">IFERROR(VLOOKUP(B211,TE!$H$1:$Y$630,14,FALSE()),"0")</f>
        <v>0</v>
      </c>
      <c r="Y211" s="723"/>
      <c r="Z211" s="723"/>
      <c r="AA211" s="723"/>
      <c r="AB211" s="765" t="n">
        <f aca="false">T211*X211</f>
        <v>0</v>
      </c>
      <c r="AC211" s="765"/>
      <c r="AD211" s="765"/>
      <c r="AE211" s="736"/>
      <c r="AF211" s="736"/>
    </row>
    <row r="212" customFormat="false" ht="15.75" hidden="false" customHeight="true" outlineLevel="0" collapsed="false">
      <c r="A212" s="736"/>
      <c r="B212" s="760" t="s">
        <v>1571</v>
      </c>
      <c r="C212" s="761"/>
      <c r="D212" s="761"/>
      <c r="E212" s="762" t="str">
        <f aca="false">IFERROR(VLOOKUP(B212,TE!$H$1:$Y$749,2,FALSE()),"(Not on TE)")</f>
        <v>(Not on TE)</v>
      </c>
      <c r="F212" s="763"/>
      <c r="G212" s="763"/>
      <c r="H212" s="763"/>
      <c r="I212" s="763"/>
      <c r="J212" s="763"/>
      <c r="K212" s="763"/>
      <c r="L212" s="763"/>
      <c r="M212" s="763"/>
      <c r="N212" s="764" t="str">
        <f aca="false">IFERROR(VLOOKUP(B212,TE!$H$1:$Y$749,18,FALSE()),"")</f>
        <v/>
      </c>
      <c r="O212" s="764"/>
      <c r="P212" s="764"/>
      <c r="Q212" s="764"/>
      <c r="R212" s="764"/>
      <c r="S212" s="764"/>
      <c r="T212" s="764" t="n">
        <f aca="false">IFERROR(SUMIFS(TE!$O:$O,TE!$G:$G,$B$179,TE!$I:$I,B212,TE!$D:$D,$C$5),"")</f>
        <v>0</v>
      </c>
      <c r="U212" s="764"/>
      <c r="V212" s="764"/>
      <c r="W212" s="764"/>
      <c r="X212" s="723" t="str">
        <f aca="false">IFERROR(VLOOKUP(B212,TE!$H$1:$Y$630,14,FALSE()),"0")</f>
        <v>0</v>
      </c>
      <c r="Y212" s="723"/>
      <c r="Z212" s="723"/>
      <c r="AA212" s="723"/>
      <c r="AB212" s="765" t="n">
        <f aca="false">T212*X212</f>
        <v>0</v>
      </c>
      <c r="AC212" s="765"/>
      <c r="AD212" s="765"/>
      <c r="AE212" s="736"/>
      <c r="AF212" s="736"/>
    </row>
    <row r="213" customFormat="false" ht="15.75" hidden="false" customHeight="true" outlineLevel="0" collapsed="false">
      <c r="A213" s="736"/>
      <c r="B213" s="760" t="s">
        <v>1572</v>
      </c>
      <c r="C213" s="761"/>
      <c r="D213" s="761"/>
      <c r="E213" s="762" t="str">
        <f aca="false">IFERROR(VLOOKUP(B213,TE!$H$1:$Y$749,2,FALSE()),"(Not on TE)")</f>
        <v>(Not on TE)</v>
      </c>
      <c r="F213" s="763"/>
      <c r="G213" s="763"/>
      <c r="H213" s="763"/>
      <c r="I213" s="763"/>
      <c r="J213" s="763"/>
      <c r="K213" s="763"/>
      <c r="L213" s="763"/>
      <c r="M213" s="763"/>
      <c r="N213" s="764" t="str">
        <f aca="false">IFERROR(VLOOKUP(B213,TE!$H$1:$Y$749,18,FALSE()),"")</f>
        <v/>
      </c>
      <c r="O213" s="764"/>
      <c r="P213" s="764"/>
      <c r="Q213" s="764"/>
      <c r="R213" s="764"/>
      <c r="S213" s="764"/>
      <c r="T213" s="764" t="n">
        <f aca="false">IFERROR(SUMIFS(TE!$O:$O,TE!$G:$G,$B$179,TE!$I:$I,B213,TE!$D:$D,$C$5),"")</f>
        <v>0</v>
      </c>
      <c r="U213" s="764"/>
      <c r="V213" s="764"/>
      <c r="W213" s="764"/>
      <c r="X213" s="723" t="str">
        <f aca="false">IFERROR(VLOOKUP(B213,TE!$H$1:$Y$630,14,FALSE()),"0")</f>
        <v>0</v>
      </c>
      <c r="Y213" s="723"/>
      <c r="Z213" s="723"/>
      <c r="AA213" s="723"/>
      <c r="AB213" s="765" t="n">
        <f aca="false">T213*X213</f>
        <v>0</v>
      </c>
      <c r="AC213" s="765"/>
      <c r="AD213" s="765"/>
      <c r="AE213" s="736"/>
      <c r="AF213" s="736"/>
    </row>
    <row r="214" customFormat="false" ht="15.75" hidden="false" customHeight="true" outlineLevel="0" collapsed="false">
      <c r="A214" s="736"/>
      <c r="B214" s="760" t="s">
        <v>1316</v>
      </c>
      <c r="C214" s="761"/>
      <c r="D214" s="761"/>
      <c r="E214" s="762" t="str">
        <f aca="false">IFERROR(VLOOKUP(B214,TE!$H$1:$Y$749,2,FALSE()),"(Not on TE)")</f>
        <v>(Not on TE)</v>
      </c>
      <c r="F214" s="763"/>
      <c r="G214" s="763"/>
      <c r="H214" s="763"/>
      <c r="I214" s="763"/>
      <c r="J214" s="763"/>
      <c r="K214" s="763"/>
      <c r="L214" s="763"/>
      <c r="M214" s="763"/>
      <c r="N214" s="764" t="str">
        <f aca="false">IFERROR(VLOOKUP(B214,TE!$H$1:$Y$749,18,FALSE()),"")</f>
        <v/>
      </c>
      <c r="O214" s="764"/>
      <c r="P214" s="764"/>
      <c r="Q214" s="764"/>
      <c r="R214" s="764"/>
      <c r="S214" s="764"/>
      <c r="T214" s="764" t="n">
        <f aca="false">IFERROR(SUMIFS(TE!$O:$O,TE!$G:$G,$B$179,TE!$I:$I,B214,TE!$D:$D,$C$5),"")</f>
        <v>0</v>
      </c>
      <c r="U214" s="764"/>
      <c r="V214" s="764"/>
      <c r="W214" s="764"/>
      <c r="X214" s="723" t="str">
        <f aca="false">IFERROR(VLOOKUP(B214,TE!$H$1:$Y$630,14,FALSE()),"0")</f>
        <v>0</v>
      </c>
      <c r="Y214" s="723"/>
      <c r="Z214" s="723"/>
      <c r="AA214" s="723"/>
      <c r="AB214" s="765" t="n">
        <f aca="false">T214*X214</f>
        <v>0</v>
      </c>
      <c r="AC214" s="765"/>
      <c r="AD214" s="765"/>
      <c r="AE214" s="766"/>
      <c r="AF214" s="736"/>
    </row>
    <row r="215" customFormat="false" ht="15.75" hidden="false" customHeight="true" outlineLevel="0" collapsed="false">
      <c r="A215" s="736"/>
      <c r="B215" s="760" t="s">
        <v>1573</v>
      </c>
      <c r="C215" s="761"/>
      <c r="D215" s="761"/>
      <c r="E215" s="762" t="str">
        <f aca="false">IFERROR(VLOOKUP(B215,TE!$H$1:$Y$749,2,FALSE()),"(Not on TE)")</f>
        <v>(Not on TE)</v>
      </c>
      <c r="F215" s="763"/>
      <c r="G215" s="763"/>
      <c r="H215" s="763"/>
      <c r="I215" s="763"/>
      <c r="J215" s="763"/>
      <c r="K215" s="763"/>
      <c r="L215" s="763"/>
      <c r="M215" s="763"/>
      <c r="N215" s="764" t="str">
        <f aca="false">IFERROR(VLOOKUP(B215,TE!$H$1:$Y$749,18,FALSE()),"")</f>
        <v/>
      </c>
      <c r="O215" s="764"/>
      <c r="P215" s="764"/>
      <c r="Q215" s="764"/>
      <c r="R215" s="764"/>
      <c r="S215" s="764"/>
      <c r="T215" s="764" t="n">
        <f aca="false">IFERROR(SUMIFS(TE!$O:$O,TE!$G:$G,$B$179,TE!$I:$I,B215,TE!$D:$D,$C$5),"")</f>
        <v>0</v>
      </c>
      <c r="U215" s="764"/>
      <c r="V215" s="764"/>
      <c r="W215" s="764"/>
      <c r="X215" s="723" t="str">
        <f aca="false">IFERROR(VLOOKUP(B215,TE!$H$1:$Y$630,14,FALSE()),"0")</f>
        <v>0</v>
      </c>
      <c r="Y215" s="723"/>
      <c r="Z215" s="723"/>
      <c r="AA215" s="723"/>
      <c r="AB215" s="765" t="n">
        <f aca="false">T215*X215</f>
        <v>0</v>
      </c>
      <c r="AC215" s="765"/>
      <c r="AD215" s="765"/>
      <c r="AE215" s="766"/>
      <c r="AF215" s="736"/>
    </row>
    <row r="216" customFormat="false" ht="15.75" hidden="false" customHeight="true" outlineLevel="0" collapsed="false">
      <c r="A216" s="736"/>
      <c r="B216" s="760" t="s">
        <v>1574</v>
      </c>
      <c r="C216" s="761"/>
      <c r="D216" s="761"/>
      <c r="E216" s="762" t="str">
        <f aca="false">IFERROR(VLOOKUP(B216,TE!$H$1:$Y$749,2,FALSE()),"(Not on TE)")</f>
        <v>(Not on TE)</v>
      </c>
      <c r="F216" s="763"/>
      <c r="G216" s="763"/>
      <c r="H216" s="763"/>
      <c r="I216" s="763"/>
      <c r="J216" s="763"/>
      <c r="K216" s="763"/>
      <c r="L216" s="763"/>
      <c r="M216" s="763"/>
      <c r="N216" s="764" t="str">
        <f aca="false">IFERROR(VLOOKUP(B216,TE!$H$1:$Y$749,18,FALSE()),"")</f>
        <v/>
      </c>
      <c r="O216" s="764"/>
      <c r="P216" s="764"/>
      <c r="Q216" s="764"/>
      <c r="R216" s="764"/>
      <c r="S216" s="764"/>
      <c r="T216" s="764" t="n">
        <f aca="false">IFERROR(SUMIFS(TE!$O:$O,TE!$G:$G,$B$179,TE!$I:$I,B216,TE!$D:$D,$C$5),"")</f>
        <v>0</v>
      </c>
      <c r="U216" s="764"/>
      <c r="V216" s="764"/>
      <c r="W216" s="764"/>
      <c r="X216" s="723" t="str">
        <f aca="false">IFERROR(VLOOKUP(B216,TE!$H$1:$Y$630,14,FALSE()),"0")</f>
        <v>0</v>
      </c>
      <c r="Y216" s="723"/>
      <c r="Z216" s="723"/>
      <c r="AA216" s="723"/>
      <c r="AB216" s="765" t="n">
        <f aca="false">T216*X216</f>
        <v>0</v>
      </c>
      <c r="AC216" s="765"/>
      <c r="AD216" s="765"/>
      <c r="AE216" s="766"/>
      <c r="AF216" s="736"/>
    </row>
    <row r="217" customFormat="false" ht="15.75" hidden="false" customHeight="true" outlineLevel="0" collapsed="false">
      <c r="A217" s="736"/>
      <c r="B217" s="760" t="s">
        <v>1575</v>
      </c>
      <c r="C217" s="761"/>
      <c r="D217" s="761"/>
      <c r="E217" s="762" t="str">
        <f aca="false">IFERROR(VLOOKUP(B217,TE!$H$1:$Y$749,2,FALSE()),"(Not on TE)")</f>
        <v>(Not on TE)</v>
      </c>
      <c r="F217" s="763"/>
      <c r="G217" s="763"/>
      <c r="H217" s="763"/>
      <c r="I217" s="763"/>
      <c r="J217" s="763"/>
      <c r="K217" s="763"/>
      <c r="L217" s="763"/>
      <c r="M217" s="763"/>
      <c r="N217" s="764" t="str">
        <f aca="false">IFERROR(VLOOKUP(B217,TE!$H$1:$Y$749,18,FALSE()),"")</f>
        <v/>
      </c>
      <c r="O217" s="764"/>
      <c r="P217" s="764"/>
      <c r="Q217" s="764"/>
      <c r="R217" s="764"/>
      <c r="S217" s="764"/>
      <c r="T217" s="764" t="n">
        <f aca="false">IFERROR(SUMIFS(TE!$O:$O,TE!$G:$G,$B$179,TE!$I:$I,B217,TE!$D:$D,$C$5),"")</f>
        <v>0</v>
      </c>
      <c r="U217" s="764"/>
      <c r="V217" s="764"/>
      <c r="W217" s="764"/>
      <c r="X217" s="723" t="str">
        <f aca="false">IFERROR(VLOOKUP(B217,TE!$H$1:$Y$630,14,FALSE()),"0")</f>
        <v>0</v>
      </c>
      <c r="Y217" s="723"/>
      <c r="Z217" s="723"/>
      <c r="AA217" s="723"/>
      <c r="AB217" s="765" t="n">
        <f aca="false">T217*X217</f>
        <v>0</v>
      </c>
      <c r="AC217" s="765"/>
      <c r="AD217" s="765"/>
      <c r="AE217" s="766"/>
      <c r="AF217" s="736"/>
    </row>
    <row r="218" customFormat="false" ht="15.75" hidden="false" customHeight="true" outlineLevel="0" collapsed="false">
      <c r="A218" s="736"/>
      <c r="B218" s="767" t="s">
        <v>1577</v>
      </c>
      <c r="C218" s="768"/>
      <c r="D218" s="768"/>
      <c r="E218" s="769" t="str">
        <f aca="false">IFERROR(VLOOKUP(B218,TE!$H$1:$Y$749,2,FALSE()),"(Not on TE)")</f>
        <v>(Not on TE)</v>
      </c>
      <c r="F218" s="770"/>
      <c r="G218" s="770"/>
      <c r="H218" s="770"/>
      <c r="I218" s="770"/>
      <c r="J218" s="770"/>
      <c r="K218" s="770"/>
      <c r="L218" s="770"/>
      <c r="M218" s="770"/>
      <c r="N218" s="771" t="str">
        <f aca="false">IFERROR(VLOOKUP(B218,TE!$H$1:$Y$749,18,FALSE()),"")</f>
        <v/>
      </c>
      <c r="O218" s="771"/>
      <c r="P218" s="771"/>
      <c r="Q218" s="771"/>
      <c r="R218" s="771"/>
      <c r="S218" s="771"/>
      <c r="T218" s="771" t="n">
        <f aca="false">IFERROR(SUMIFS(TE!$O:$O,TE!$G:$G,$B$179,TE!$I:$I,B218,TE!$D:$D,$C$5),"")</f>
        <v>0</v>
      </c>
      <c r="U218" s="771"/>
      <c r="V218" s="771"/>
      <c r="W218" s="771"/>
      <c r="X218" s="727" t="str">
        <f aca="false">IFERROR(VLOOKUP(B218,TE!$H$1:$Y$630,14,FALSE()),"0")</f>
        <v>0</v>
      </c>
      <c r="Y218" s="727"/>
      <c r="Z218" s="727"/>
      <c r="AA218" s="727"/>
      <c r="AB218" s="772" t="n">
        <f aca="false">T218*X218</f>
        <v>0</v>
      </c>
      <c r="AC218" s="772"/>
      <c r="AD218" s="772"/>
      <c r="AE218" s="766"/>
      <c r="AF218" s="736"/>
    </row>
    <row r="219" customFormat="false" ht="15.75" hidden="false" customHeight="true" outlineLevel="0" collapsed="false">
      <c r="A219" s="736"/>
      <c r="B219" s="761"/>
      <c r="C219" s="761"/>
      <c r="D219" s="761"/>
      <c r="E219" s="763"/>
      <c r="F219" s="763"/>
      <c r="G219" s="763"/>
      <c r="H219" s="763"/>
      <c r="I219" s="763"/>
      <c r="J219" s="763"/>
      <c r="K219" s="763"/>
      <c r="L219" s="763"/>
      <c r="M219" s="763"/>
      <c r="N219" s="773"/>
      <c r="O219" s="773"/>
      <c r="P219" s="773"/>
      <c r="Q219" s="773"/>
      <c r="R219" s="773"/>
      <c r="S219" s="773"/>
      <c r="T219" s="773"/>
      <c r="U219" s="773"/>
      <c r="V219" s="773"/>
      <c r="W219" s="773"/>
      <c r="X219" s="774"/>
      <c r="Y219" s="774"/>
      <c r="Z219" s="775" t="s">
        <v>1576</v>
      </c>
      <c r="AA219" s="775"/>
      <c r="AB219" s="775"/>
      <c r="AC219" s="775"/>
      <c r="AD219" s="775"/>
      <c r="AE219" s="766"/>
      <c r="AF219" s="736"/>
    </row>
    <row r="220" customFormat="false" ht="15.75" hidden="false" customHeight="true" outlineLevel="0" collapsed="false">
      <c r="A220" s="776"/>
      <c r="B220" s="776"/>
      <c r="C220" s="776"/>
      <c r="D220" s="776"/>
      <c r="E220" s="776"/>
      <c r="F220" s="776"/>
      <c r="G220" s="776"/>
      <c r="H220" s="776"/>
      <c r="I220" s="776"/>
      <c r="J220" s="776"/>
      <c r="K220" s="776"/>
      <c r="L220" s="776"/>
      <c r="M220" s="776"/>
      <c r="N220" s="776"/>
      <c r="O220" s="776"/>
      <c r="P220" s="776"/>
      <c r="Q220" s="776"/>
      <c r="R220" s="776"/>
      <c r="S220" s="776"/>
      <c r="T220" s="776"/>
      <c r="U220" s="776"/>
      <c r="V220" s="776"/>
      <c r="W220" s="776"/>
      <c r="X220" s="776"/>
      <c r="Y220" s="776"/>
      <c r="Z220" s="776"/>
      <c r="AA220" s="776"/>
      <c r="AB220" s="777"/>
      <c r="AC220" s="777"/>
      <c r="AD220" s="777"/>
      <c r="AE220" s="777"/>
      <c r="AF220" s="777"/>
    </row>
    <row r="221" customFormat="false" ht="15.75" hidden="false" customHeight="true" outlineLevel="0" collapsed="false">
      <c r="A221" s="688" t="s">
        <v>1522</v>
      </c>
      <c r="B221" s="688"/>
      <c r="C221" s="751" t="n">
        <f aca="false">$C$5</f>
        <v>21451</v>
      </c>
      <c r="D221" s="751"/>
      <c r="E221" s="751"/>
      <c r="F221" s="751"/>
      <c r="G221" s="751"/>
      <c r="H221" s="751"/>
      <c r="I221" s="751"/>
      <c r="J221" s="751"/>
      <c r="K221" s="751"/>
      <c r="L221" s="751"/>
      <c r="M221" s="688" t="s">
        <v>1523</v>
      </c>
      <c r="N221" s="688"/>
      <c r="O221" s="688"/>
      <c r="P221" s="688"/>
      <c r="Q221" s="688"/>
      <c r="R221" s="752" t="str">
        <f aca="false">$R$5</f>
        <v>Automotive Organizational Shop</v>
      </c>
      <c r="S221" s="752"/>
      <c r="T221" s="752"/>
      <c r="U221" s="752"/>
      <c r="V221" s="752"/>
      <c r="W221" s="752"/>
      <c r="X221" s="752"/>
      <c r="Y221" s="752"/>
      <c r="Z221" s="752"/>
      <c r="AA221" s="752"/>
      <c r="AB221" s="752"/>
      <c r="AC221" s="752"/>
      <c r="AD221" s="752"/>
      <c r="AE221" s="752"/>
      <c r="AF221" s="752"/>
    </row>
    <row r="222" customFormat="false" ht="15.75" hidden="false" customHeight="true" outlineLevel="0" collapsed="false">
      <c r="A222" s="736"/>
      <c r="B222" s="761"/>
      <c r="C222" s="761"/>
      <c r="D222" s="761"/>
      <c r="E222" s="763"/>
      <c r="F222" s="763"/>
      <c r="G222" s="763"/>
      <c r="H222" s="763"/>
      <c r="I222" s="763"/>
      <c r="J222" s="763"/>
      <c r="K222" s="763"/>
      <c r="L222" s="763"/>
      <c r="M222" s="763"/>
      <c r="N222" s="773"/>
      <c r="O222" s="773"/>
      <c r="P222" s="773"/>
      <c r="Q222" s="773"/>
      <c r="R222" s="773"/>
      <c r="S222" s="773"/>
      <c r="T222" s="773"/>
      <c r="U222" s="773"/>
      <c r="V222" s="773"/>
      <c r="W222" s="773"/>
      <c r="X222" s="774"/>
      <c r="Y222" s="774"/>
      <c r="Z222" s="774"/>
      <c r="AA222" s="774"/>
      <c r="AB222" s="778"/>
      <c r="AC222" s="778"/>
      <c r="AD222" s="778"/>
      <c r="AE222" s="766"/>
      <c r="AF222" s="736"/>
    </row>
    <row r="223" customFormat="false" ht="15.75" hidden="false" customHeight="true" outlineLevel="0" collapsed="false">
      <c r="A223" s="736"/>
      <c r="B223" s="779" t="str">
        <f aca="false">B179</f>
        <v>M28263</v>
      </c>
      <c r="C223" s="768"/>
      <c r="D223" s="768"/>
      <c r="E223" s="769" t="str">
        <f aca="false">E179</f>
        <v>SURGICAL COMPANY A</v>
      </c>
      <c r="F223" s="770"/>
      <c r="G223" s="770"/>
      <c r="H223" s="770"/>
      <c r="I223" s="770"/>
      <c r="J223" s="770"/>
      <c r="K223" s="770"/>
      <c r="L223" s="770"/>
      <c r="M223" s="770"/>
      <c r="N223" s="780"/>
      <c r="O223" s="780"/>
      <c r="P223" s="780"/>
      <c r="Q223" s="780"/>
      <c r="R223" s="780"/>
      <c r="S223" s="780"/>
      <c r="T223" s="780"/>
      <c r="U223" s="780"/>
      <c r="V223" s="780"/>
      <c r="W223" s="780"/>
      <c r="X223" s="781"/>
      <c r="Y223" s="781"/>
      <c r="Z223" s="781"/>
      <c r="AA223" s="781"/>
      <c r="AB223" s="782"/>
      <c r="AC223" s="782"/>
      <c r="AD223" s="782"/>
      <c r="AE223" s="766"/>
      <c r="AF223" s="736"/>
    </row>
    <row r="224" customFormat="false" ht="15.75" hidden="false" customHeight="true" outlineLevel="0" collapsed="false">
      <c r="A224" s="736"/>
      <c r="B224" s="760" t="s">
        <v>1578</v>
      </c>
      <c r="C224" s="761"/>
      <c r="D224" s="761"/>
      <c r="E224" s="762" t="str">
        <f aca="false">IFERROR(VLOOKUP(B224,TE!$H$1:$Y$749,2,FALSE()),"(Not on TE)")</f>
        <v>(Not on TE)</v>
      </c>
      <c r="F224" s="763"/>
      <c r="G224" s="763"/>
      <c r="H224" s="763"/>
      <c r="I224" s="763"/>
      <c r="J224" s="763"/>
      <c r="K224" s="763"/>
      <c r="L224" s="763"/>
      <c r="M224" s="763"/>
      <c r="N224" s="764" t="str">
        <f aca="false">IFERROR(VLOOKUP(B224,TE!$H$1:$Y$749,18,FALSE()),"")</f>
        <v/>
      </c>
      <c r="O224" s="764"/>
      <c r="P224" s="764"/>
      <c r="Q224" s="764"/>
      <c r="R224" s="764"/>
      <c r="S224" s="764"/>
      <c r="T224" s="764" t="n">
        <f aca="false">IFERROR(SUMIFS(TE!$O:$O,TE!$G:$G,$B$179,TE!$I:$I,B224,TE!$D:$D,$C$5),"")</f>
        <v>0</v>
      </c>
      <c r="U224" s="764"/>
      <c r="V224" s="764"/>
      <c r="W224" s="764"/>
      <c r="X224" s="723" t="str">
        <f aca="false">IFERROR(VLOOKUP(B224,TE!$H$1:$Y$630,14,FALSE()),"0")</f>
        <v>0</v>
      </c>
      <c r="Y224" s="723"/>
      <c r="Z224" s="723"/>
      <c r="AA224" s="723"/>
      <c r="AB224" s="765" t="n">
        <f aca="false">T224*X224</f>
        <v>0</v>
      </c>
      <c r="AC224" s="765"/>
      <c r="AD224" s="765"/>
      <c r="AE224" s="766"/>
      <c r="AF224" s="736"/>
    </row>
    <row r="225" customFormat="false" ht="15.75" hidden="false" customHeight="true" outlineLevel="0" collapsed="false">
      <c r="A225" s="736"/>
      <c r="B225" s="760" t="s">
        <v>1579</v>
      </c>
      <c r="C225" s="761"/>
      <c r="D225" s="761"/>
      <c r="E225" s="762" t="str">
        <f aca="false">IFERROR(VLOOKUP(B225,TE!$H$1:$Y$749,2,FALSE()),"(Not on TE)")</f>
        <v>(Not on TE)</v>
      </c>
      <c r="F225" s="763"/>
      <c r="G225" s="763"/>
      <c r="H225" s="763"/>
      <c r="I225" s="763"/>
      <c r="J225" s="763"/>
      <c r="K225" s="763"/>
      <c r="L225" s="763"/>
      <c r="M225" s="763"/>
      <c r="N225" s="764" t="str">
        <f aca="false">IFERROR(VLOOKUP(B225,TE!$H$1:$Y$749,18,FALSE()),"")</f>
        <v/>
      </c>
      <c r="O225" s="764"/>
      <c r="P225" s="764"/>
      <c r="Q225" s="764"/>
      <c r="R225" s="764"/>
      <c r="S225" s="764"/>
      <c r="T225" s="764" t="n">
        <f aca="false">IFERROR(SUMIFS(TE!$O:$O,TE!$G:$G,$B$179,TE!$I:$I,B225,TE!$D:$D,$C$5),"")</f>
        <v>0</v>
      </c>
      <c r="U225" s="764"/>
      <c r="V225" s="764"/>
      <c r="W225" s="764"/>
      <c r="X225" s="723" t="str">
        <f aca="false">IFERROR(VLOOKUP(B225,TE!$H$1:$Y$630,14,FALSE()),"0")</f>
        <v>0</v>
      </c>
      <c r="Y225" s="723"/>
      <c r="Z225" s="723"/>
      <c r="AA225" s="723"/>
      <c r="AB225" s="765" t="n">
        <f aca="false">T225*X225</f>
        <v>0</v>
      </c>
      <c r="AC225" s="765"/>
      <c r="AD225" s="765"/>
      <c r="AE225" s="766"/>
      <c r="AF225" s="736"/>
    </row>
    <row r="226" customFormat="false" ht="15.75" hidden="false" customHeight="true" outlineLevel="0" collapsed="false">
      <c r="A226" s="736"/>
      <c r="B226" s="760" t="s">
        <v>1580</v>
      </c>
      <c r="C226" s="761"/>
      <c r="D226" s="761"/>
      <c r="E226" s="762" t="str">
        <f aca="false">IFERROR(VLOOKUP(B226,TE!$H$1:$Y$749,2,FALSE()),"(Not on TE)")</f>
        <v>(Not on TE)</v>
      </c>
      <c r="F226" s="763"/>
      <c r="G226" s="763"/>
      <c r="H226" s="763"/>
      <c r="I226" s="763"/>
      <c r="J226" s="763"/>
      <c r="K226" s="763"/>
      <c r="L226" s="763"/>
      <c r="M226" s="763"/>
      <c r="N226" s="764" t="str">
        <f aca="false">IFERROR(VLOOKUP(B226,TE!$H$1:$Y$749,18,FALSE()),"")</f>
        <v/>
      </c>
      <c r="O226" s="764"/>
      <c r="P226" s="764"/>
      <c r="Q226" s="764"/>
      <c r="R226" s="764"/>
      <c r="S226" s="764"/>
      <c r="T226" s="764" t="n">
        <f aca="false">IFERROR(SUMIFS(TE!$O:$O,TE!$G:$G,$B$179,TE!$I:$I,B226,TE!$D:$D,$C$5),"")</f>
        <v>0</v>
      </c>
      <c r="U226" s="764"/>
      <c r="V226" s="764"/>
      <c r="W226" s="764"/>
      <c r="X226" s="723" t="str">
        <f aca="false">IFERROR(VLOOKUP(B226,TE!$H$1:$Y$630,14,FALSE()),"0")</f>
        <v>0</v>
      </c>
      <c r="Y226" s="723"/>
      <c r="Z226" s="723"/>
      <c r="AA226" s="723"/>
      <c r="AB226" s="765" t="n">
        <f aca="false">T226*X226</f>
        <v>0</v>
      </c>
      <c r="AC226" s="765"/>
      <c r="AD226" s="765"/>
      <c r="AE226" s="766"/>
      <c r="AF226" s="736"/>
    </row>
    <row r="227" customFormat="false" ht="15.75" hidden="false" customHeight="true" outlineLevel="0" collapsed="false">
      <c r="A227" s="736"/>
      <c r="B227" s="760" t="s">
        <v>1581</v>
      </c>
      <c r="C227" s="761"/>
      <c r="D227" s="761"/>
      <c r="E227" s="762" t="str">
        <f aca="false">IFERROR(VLOOKUP(B227,TE!$H$1:$Y$749,2,FALSE()),"(Not on TE)")</f>
        <v>(Not on TE)</v>
      </c>
      <c r="F227" s="763"/>
      <c r="G227" s="763"/>
      <c r="H227" s="763"/>
      <c r="I227" s="763"/>
      <c r="J227" s="763"/>
      <c r="K227" s="763"/>
      <c r="L227" s="763"/>
      <c r="M227" s="763"/>
      <c r="N227" s="764" t="str">
        <f aca="false">IFERROR(VLOOKUP(B227,TE!$H$1:$Y$749,18,FALSE()),"")</f>
        <v/>
      </c>
      <c r="O227" s="764"/>
      <c r="P227" s="764"/>
      <c r="Q227" s="764"/>
      <c r="R227" s="764"/>
      <c r="S227" s="764"/>
      <c r="T227" s="764" t="n">
        <f aca="false">IFERROR(SUMIFS(TE!$O:$O,TE!$G:$G,$B$179,TE!$I:$I,B227,TE!$D:$D,$C$5),"")</f>
        <v>0</v>
      </c>
      <c r="U227" s="764"/>
      <c r="V227" s="764"/>
      <c r="W227" s="764"/>
      <c r="X227" s="723" t="str">
        <f aca="false">IFERROR(VLOOKUP(B227,TE!$H$1:$Y$630,14,FALSE()),"0")</f>
        <v>0</v>
      </c>
      <c r="Y227" s="723"/>
      <c r="Z227" s="723"/>
      <c r="AA227" s="723"/>
      <c r="AB227" s="765" t="n">
        <f aca="false">T227*X227</f>
        <v>0</v>
      </c>
      <c r="AC227" s="765"/>
      <c r="AD227" s="765"/>
      <c r="AE227" s="766"/>
      <c r="AF227" s="736"/>
    </row>
    <row r="228" customFormat="false" ht="15.75" hidden="false" customHeight="true" outlineLevel="0" collapsed="false">
      <c r="A228" s="736"/>
      <c r="B228" s="760" t="s">
        <v>1132</v>
      </c>
      <c r="C228" s="761"/>
      <c r="D228" s="761"/>
      <c r="E228" s="762" t="str">
        <f aca="false">IFERROR(VLOOKUP(B228,TE!$H$1:$Y$749,2,FALSE()),"(Not on TE)")</f>
        <v>(Not on TE)</v>
      </c>
      <c r="F228" s="763"/>
      <c r="G228" s="763"/>
      <c r="H228" s="763"/>
      <c r="I228" s="763"/>
      <c r="J228" s="763"/>
      <c r="K228" s="763"/>
      <c r="L228" s="763"/>
      <c r="M228" s="763"/>
      <c r="N228" s="764" t="str">
        <f aca="false">IFERROR(VLOOKUP(B228,TE!$H$1:$Y$749,18,FALSE()),"")</f>
        <v/>
      </c>
      <c r="O228" s="764"/>
      <c r="P228" s="764"/>
      <c r="Q228" s="764"/>
      <c r="R228" s="764"/>
      <c r="S228" s="764"/>
      <c r="T228" s="764" t="n">
        <f aca="false">IFERROR(SUMIFS(TE!$O:$O,TE!$G:$G,$B$179,TE!$I:$I,B228,TE!$D:$D,$C$5),"")</f>
        <v>0</v>
      </c>
      <c r="U228" s="764"/>
      <c r="V228" s="764"/>
      <c r="W228" s="764"/>
      <c r="X228" s="723" t="str">
        <f aca="false">IFERROR(VLOOKUP(B228,TE!$H$1:$Y$630,14,FALSE()),"0")</f>
        <v>0</v>
      </c>
      <c r="Y228" s="723"/>
      <c r="Z228" s="723"/>
      <c r="AA228" s="723"/>
      <c r="AB228" s="765" t="n">
        <f aca="false">T228*X228</f>
        <v>0</v>
      </c>
      <c r="AC228" s="765"/>
      <c r="AD228" s="765"/>
      <c r="AE228" s="766"/>
      <c r="AF228" s="736"/>
    </row>
    <row r="229" customFormat="false" ht="15.75" hidden="false" customHeight="true" outlineLevel="0" collapsed="false">
      <c r="A229" s="736"/>
      <c r="B229" s="760" t="s">
        <v>1582</v>
      </c>
      <c r="C229" s="761"/>
      <c r="D229" s="761"/>
      <c r="E229" s="762" t="str">
        <f aca="false">IFERROR(VLOOKUP(B229,TE!$H$1:$Y$749,2,FALSE()),"(Not on TE)")</f>
        <v>(Not on TE)</v>
      </c>
      <c r="F229" s="763"/>
      <c r="G229" s="763"/>
      <c r="H229" s="763"/>
      <c r="I229" s="763"/>
      <c r="J229" s="763"/>
      <c r="K229" s="763"/>
      <c r="L229" s="763"/>
      <c r="M229" s="763"/>
      <c r="N229" s="764" t="str">
        <f aca="false">IFERROR(VLOOKUP(B229,TE!$H$1:$Y$749,18,FALSE()),"")</f>
        <v/>
      </c>
      <c r="O229" s="764"/>
      <c r="P229" s="764"/>
      <c r="Q229" s="764"/>
      <c r="R229" s="764"/>
      <c r="S229" s="764"/>
      <c r="T229" s="764" t="n">
        <f aca="false">IFERROR(SUMIFS(TE!$O:$O,TE!$G:$G,$B$179,TE!$I:$I,B229,TE!$D:$D,$C$5),"")</f>
        <v>0</v>
      </c>
      <c r="U229" s="764"/>
      <c r="V229" s="764"/>
      <c r="W229" s="764"/>
      <c r="X229" s="723" t="str">
        <f aca="false">IFERROR(VLOOKUP(B229,TE!$H$1:$Y$630,14,FALSE()),"0")</f>
        <v>0</v>
      </c>
      <c r="Y229" s="723"/>
      <c r="Z229" s="723"/>
      <c r="AA229" s="723"/>
      <c r="AB229" s="765" t="n">
        <f aca="false">T229*X229</f>
        <v>0</v>
      </c>
      <c r="AC229" s="765"/>
      <c r="AD229" s="765"/>
      <c r="AE229" s="766"/>
      <c r="AF229" s="736"/>
    </row>
    <row r="230" customFormat="false" ht="15.75" hidden="false" customHeight="true" outlineLevel="0" collapsed="false">
      <c r="A230" s="736"/>
      <c r="B230" s="760" t="s">
        <v>1583</v>
      </c>
      <c r="C230" s="761"/>
      <c r="D230" s="761"/>
      <c r="E230" s="762" t="str">
        <f aca="false">IFERROR(VLOOKUP(B230,TE!$H$1:$Y$749,2,FALSE()),"(Not on TE)")</f>
        <v>(Not on TE)</v>
      </c>
      <c r="F230" s="763"/>
      <c r="G230" s="763"/>
      <c r="H230" s="763"/>
      <c r="I230" s="763"/>
      <c r="J230" s="763"/>
      <c r="K230" s="763"/>
      <c r="L230" s="763"/>
      <c r="M230" s="763"/>
      <c r="N230" s="764" t="str">
        <f aca="false">IFERROR(VLOOKUP(B230,TE!$H$1:$Y$749,18,FALSE()),"")</f>
        <v/>
      </c>
      <c r="O230" s="764"/>
      <c r="P230" s="764"/>
      <c r="Q230" s="764"/>
      <c r="R230" s="764"/>
      <c r="S230" s="764"/>
      <c r="T230" s="764" t="n">
        <f aca="false">IFERROR(SUMIFS(TE!$O:$O,TE!$G:$G,$B$179,TE!$I:$I,B230,TE!$D:$D,$C$5),"")</f>
        <v>0</v>
      </c>
      <c r="U230" s="764"/>
      <c r="V230" s="764"/>
      <c r="W230" s="764"/>
      <c r="X230" s="723" t="str">
        <f aca="false">IFERROR(VLOOKUP(B230,TE!$H$1:$Y$630,14,FALSE()),"0")</f>
        <v>0</v>
      </c>
      <c r="Y230" s="723"/>
      <c r="Z230" s="723"/>
      <c r="AA230" s="723"/>
      <c r="AB230" s="765" t="n">
        <f aca="false">T230*X230</f>
        <v>0</v>
      </c>
      <c r="AC230" s="765"/>
      <c r="AD230" s="765"/>
      <c r="AE230" s="766"/>
      <c r="AF230" s="736"/>
    </row>
    <row r="231" customFormat="false" ht="15.75" hidden="false" customHeight="true" outlineLevel="0" collapsed="false">
      <c r="A231" s="736"/>
      <c r="B231" s="760" t="s">
        <v>1584</v>
      </c>
      <c r="C231" s="761"/>
      <c r="D231" s="761"/>
      <c r="E231" s="762" t="str">
        <f aca="false">IFERROR(VLOOKUP(B231,TE!$H$1:$Y$749,2,FALSE()),"(Not on TE)")</f>
        <v>(Not on TE)</v>
      </c>
      <c r="F231" s="763"/>
      <c r="G231" s="763"/>
      <c r="H231" s="763"/>
      <c r="I231" s="763"/>
      <c r="J231" s="763"/>
      <c r="K231" s="763"/>
      <c r="L231" s="763"/>
      <c r="M231" s="763"/>
      <c r="N231" s="764" t="str">
        <f aca="false">IFERROR(VLOOKUP(B231,TE!$H$1:$Y$749,18,FALSE()),"")</f>
        <v/>
      </c>
      <c r="O231" s="764"/>
      <c r="P231" s="764"/>
      <c r="Q231" s="764"/>
      <c r="R231" s="764"/>
      <c r="S231" s="764"/>
      <c r="T231" s="764" t="n">
        <f aca="false">IFERROR(SUMIFS(TE!$O:$O,TE!$G:$G,$B$179,TE!$I:$I,B231,TE!$D:$D,$C$5),"")</f>
        <v>0</v>
      </c>
      <c r="U231" s="764"/>
      <c r="V231" s="764"/>
      <c r="W231" s="764"/>
      <c r="X231" s="723" t="str">
        <f aca="false">IFERROR(VLOOKUP(B231,TE!$H$1:$Y$630,14,FALSE()),"0")</f>
        <v>0</v>
      </c>
      <c r="Y231" s="723"/>
      <c r="Z231" s="723"/>
      <c r="AA231" s="723"/>
      <c r="AB231" s="765" t="n">
        <f aca="false">T231*X231</f>
        <v>0</v>
      </c>
      <c r="AC231" s="765"/>
      <c r="AD231" s="765"/>
      <c r="AE231" s="766"/>
      <c r="AF231" s="736"/>
    </row>
    <row r="232" customFormat="false" ht="15.75" hidden="false" customHeight="true" outlineLevel="0" collapsed="false">
      <c r="A232" s="736"/>
      <c r="B232" s="760" t="s">
        <v>1585</v>
      </c>
      <c r="C232" s="761"/>
      <c r="D232" s="761"/>
      <c r="E232" s="762" t="str">
        <f aca="false">IFERROR(VLOOKUP(B232,TE!$H$1:$Y$749,2,FALSE()),"(Not on TE)")</f>
        <v>(Not on TE)</v>
      </c>
      <c r="F232" s="763"/>
      <c r="G232" s="763"/>
      <c r="H232" s="763"/>
      <c r="I232" s="763"/>
      <c r="J232" s="763"/>
      <c r="K232" s="763"/>
      <c r="L232" s="763"/>
      <c r="M232" s="763"/>
      <c r="N232" s="764" t="str">
        <f aca="false">IFERROR(VLOOKUP(B232,TE!$H$1:$Y$749,18,FALSE()),"")</f>
        <v/>
      </c>
      <c r="O232" s="764"/>
      <c r="P232" s="764"/>
      <c r="Q232" s="764"/>
      <c r="R232" s="764"/>
      <c r="S232" s="764"/>
      <c r="T232" s="764" t="n">
        <f aca="false">IFERROR(SUMIFS(TE!$O:$O,TE!$G:$G,$B$179,TE!$I:$I,B232,TE!$D:$D,$C$5),"")</f>
        <v>0</v>
      </c>
      <c r="U232" s="764"/>
      <c r="V232" s="764"/>
      <c r="W232" s="764"/>
      <c r="X232" s="723" t="str">
        <f aca="false">IFERROR(VLOOKUP(B232,TE!$H$1:$Y$630,14,FALSE()),"0")</f>
        <v>0</v>
      </c>
      <c r="Y232" s="723"/>
      <c r="Z232" s="723"/>
      <c r="AA232" s="723"/>
      <c r="AB232" s="765" t="n">
        <f aca="false">T232*X232</f>
        <v>0</v>
      </c>
      <c r="AC232" s="765"/>
      <c r="AD232" s="765"/>
      <c r="AE232" s="766"/>
      <c r="AF232" s="736"/>
    </row>
    <row r="233" customFormat="false" ht="15.75" hidden="false" customHeight="true" outlineLevel="0" collapsed="false">
      <c r="A233" s="736"/>
      <c r="B233" s="760" t="s">
        <v>1450</v>
      </c>
      <c r="C233" s="761"/>
      <c r="D233" s="761"/>
      <c r="E233" s="762" t="str">
        <f aca="false">IFERROR(VLOOKUP(B233,TE!$H$1:$Y$749,2,FALSE()),"(Not on TE)")</f>
        <v>(Not on TE)</v>
      </c>
      <c r="F233" s="763"/>
      <c r="G233" s="763"/>
      <c r="H233" s="763"/>
      <c r="I233" s="763"/>
      <c r="J233" s="763"/>
      <c r="K233" s="763"/>
      <c r="L233" s="763"/>
      <c r="M233" s="763"/>
      <c r="N233" s="764" t="str">
        <f aca="false">IFERROR(VLOOKUP(B233,TE!$H$1:$Y$749,18,FALSE()),"")</f>
        <v/>
      </c>
      <c r="O233" s="764"/>
      <c r="P233" s="764"/>
      <c r="Q233" s="764"/>
      <c r="R233" s="764"/>
      <c r="S233" s="764"/>
      <c r="T233" s="764" t="n">
        <f aca="false">IFERROR(SUMIFS(TE!$O:$O,TE!$G:$G,$B$179,TE!$I:$I,B233,TE!$D:$D,$C$5),"")</f>
        <v>0</v>
      </c>
      <c r="U233" s="764"/>
      <c r="V233" s="764"/>
      <c r="W233" s="764"/>
      <c r="X233" s="723" t="str">
        <f aca="false">IFERROR(VLOOKUP(B233,TE!$H$1:$Y$630,14,FALSE()),"0")</f>
        <v>0</v>
      </c>
      <c r="Y233" s="723"/>
      <c r="Z233" s="723"/>
      <c r="AA233" s="723"/>
      <c r="AB233" s="765" t="n">
        <f aca="false">T233*X233</f>
        <v>0</v>
      </c>
      <c r="AC233" s="765"/>
      <c r="AD233" s="765"/>
      <c r="AE233" s="766"/>
      <c r="AF233" s="736"/>
    </row>
    <row r="234" customFormat="false" ht="15.75" hidden="false" customHeight="true" outlineLevel="0" collapsed="false">
      <c r="A234" s="736"/>
      <c r="B234" s="760" t="s">
        <v>1586</v>
      </c>
      <c r="C234" s="761"/>
      <c r="D234" s="761"/>
      <c r="E234" s="762" t="str">
        <f aca="false">IFERROR(VLOOKUP(B234,TE!$H$1:$Y$749,2,FALSE()),"(Not on TE)")</f>
        <v>(Not on TE)</v>
      </c>
      <c r="F234" s="763"/>
      <c r="G234" s="763"/>
      <c r="H234" s="763"/>
      <c r="I234" s="763"/>
      <c r="J234" s="763"/>
      <c r="K234" s="763"/>
      <c r="L234" s="763"/>
      <c r="M234" s="763"/>
      <c r="N234" s="764" t="str">
        <f aca="false">IFERROR(VLOOKUP(B234,TE!$H$1:$Y$749,18,FALSE()),"")</f>
        <v/>
      </c>
      <c r="O234" s="764"/>
      <c r="P234" s="764"/>
      <c r="Q234" s="764"/>
      <c r="R234" s="764"/>
      <c r="S234" s="764"/>
      <c r="T234" s="764" t="n">
        <f aca="false">IFERROR(SUMIFS(TE!$O:$O,TE!$G:$G,$B$179,TE!$I:$I,B234,TE!$D:$D,$C$5),"")</f>
        <v>0</v>
      </c>
      <c r="U234" s="764"/>
      <c r="V234" s="764"/>
      <c r="W234" s="764"/>
      <c r="X234" s="723" t="str">
        <f aca="false">IFERROR(VLOOKUP(B234,TE!$H$1:$Y$630,14,FALSE()),"0")</f>
        <v>0</v>
      </c>
      <c r="Y234" s="723"/>
      <c r="Z234" s="723"/>
      <c r="AA234" s="723"/>
      <c r="AB234" s="765" t="n">
        <f aca="false">T234*X234</f>
        <v>0</v>
      </c>
      <c r="AC234" s="765"/>
      <c r="AD234" s="765"/>
      <c r="AE234" s="766"/>
      <c r="AF234" s="736"/>
    </row>
    <row r="235" customFormat="false" ht="15.75" hidden="false" customHeight="true" outlineLevel="0" collapsed="false">
      <c r="A235" s="736"/>
      <c r="B235" s="760" t="s">
        <v>1587</v>
      </c>
      <c r="C235" s="761"/>
      <c r="D235" s="761"/>
      <c r="E235" s="762" t="str">
        <f aca="false">IFERROR(VLOOKUP(B235,TE!$H$1:$Y$749,2,FALSE()),"(Not on TE)")</f>
        <v>(Not on TE)</v>
      </c>
      <c r="F235" s="763"/>
      <c r="G235" s="763"/>
      <c r="H235" s="763"/>
      <c r="I235" s="763"/>
      <c r="J235" s="763"/>
      <c r="K235" s="763"/>
      <c r="L235" s="763"/>
      <c r="M235" s="763"/>
      <c r="N235" s="764" t="str">
        <f aca="false">IFERROR(VLOOKUP(B235,TE!$H$1:$Y$749,18,FALSE()),"")</f>
        <v/>
      </c>
      <c r="O235" s="764"/>
      <c r="P235" s="764"/>
      <c r="Q235" s="764"/>
      <c r="R235" s="764"/>
      <c r="S235" s="764"/>
      <c r="T235" s="764" t="n">
        <f aca="false">IFERROR(SUMIFS(TE!$O:$O,TE!$G:$G,$B$179,TE!$I:$I,B235,TE!$D:$D,$C$5),"")</f>
        <v>0</v>
      </c>
      <c r="U235" s="764"/>
      <c r="V235" s="764"/>
      <c r="W235" s="764"/>
      <c r="X235" s="723" t="str">
        <f aca="false">IFERROR(VLOOKUP(B235,TE!$H$1:$Y$630,14,FALSE()),"0")</f>
        <v>0</v>
      </c>
      <c r="Y235" s="723"/>
      <c r="Z235" s="723"/>
      <c r="AA235" s="723"/>
      <c r="AB235" s="765" t="n">
        <f aca="false">T235*X235</f>
        <v>0</v>
      </c>
      <c r="AC235" s="765"/>
      <c r="AD235" s="765"/>
      <c r="AE235" s="766"/>
      <c r="AF235" s="736"/>
    </row>
    <row r="236" customFormat="false" ht="15.75" hidden="false" customHeight="true" outlineLevel="0" collapsed="false">
      <c r="A236" s="736"/>
      <c r="B236" s="760" t="s">
        <v>1588</v>
      </c>
      <c r="C236" s="761"/>
      <c r="D236" s="761"/>
      <c r="E236" s="762" t="str">
        <f aca="false">IFERROR(VLOOKUP(B236,TE!$H$1:$Y$749,2,FALSE()),"(Not on TE)")</f>
        <v>(Not on TE)</v>
      </c>
      <c r="F236" s="763"/>
      <c r="G236" s="763"/>
      <c r="H236" s="763"/>
      <c r="I236" s="763"/>
      <c r="J236" s="763"/>
      <c r="K236" s="763"/>
      <c r="L236" s="763"/>
      <c r="M236" s="763"/>
      <c r="N236" s="764" t="str">
        <f aca="false">IFERROR(VLOOKUP(B236,TE!$H$1:$Y$749,18,FALSE()),"")</f>
        <v/>
      </c>
      <c r="O236" s="764"/>
      <c r="P236" s="764"/>
      <c r="Q236" s="764"/>
      <c r="R236" s="764"/>
      <c r="S236" s="764"/>
      <c r="T236" s="764" t="n">
        <f aca="false">IFERROR(SUMIFS(TE!$O:$O,TE!$G:$G,$B$179,TE!$I:$I,B236,TE!$D:$D,$C$5),"")</f>
        <v>0</v>
      </c>
      <c r="U236" s="764"/>
      <c r="V236" s="764"/>
      <c r="W236" s="764"/>
      <c r="X236" s="723" t="str">
        <f aca="false">IFERROR(VLOOKUP(B236,TE!$H$1:$Y$630,14,FALSE()),"0")</f>
        <v>0</v>
      </c>
      <c r="Y236" s="723"/>
      <c r="Z236" s="723"/>
      <c r="AA236" s="723"/>
      <c r="AB236" s="765" t="n">
        <f aca="false">T236*X236</f>
        <v>0</v>
      </c>
      <c r="AC236" s="765"/>
      <c r="AD236" s="765"/>
      <c r="AE236" s="766"/>
      <c r="AF236" s="736"/>
    </row>
    <row r="237" customFormat="false" ht="15.75" hidden="false" customHeight="true" outlineLevel="0" collapsed="false">
      <c r="A237" s="736"/>
      <c r="B237" s="760" t="s">
        <v>1589</v>
      </c>
      <c r="C237" s="761"/>
      <c r="D237" s="761"/>
      <c r="E237" s="762" t="str">
        <f aca="false">IFERROR(VLOOKUP(B237,TE!$H$1:$Y$749,2,FALSE()),"(Not on TE)")</f>
        <v>(Not on TE)</v>
      </c>
      <c r="F237" s="763"/>
      <c r="G237" s="763"/>
      <c r="H237" s="763"/>
      <c r="I237" s="763"/>
      <c r="J237" s="763"/>
      <c r="K237" s="763"/>
      <c r="L237" s="763"/>
      <c r="M237" s="763"/>
      <c r="N237" s="764" t="str">
        <f aca="false">IFERROR(VLOOKUP(B237,TE!$H$1:$Y$749,18,FALSE()),"")</f>
        <v/>
      </c>
      <c r="O237" s="764"/>
      <c r="P237" s="764"/>
      <c r="Q237" s="764"/>
      <c r="R237" s="764"/>
      <c r="S237" s="764"/>
      <c r="T237" s="764" t="n">
        <f aca="false">IFERROR(SUMIFS(TE!$O:$O,TE!$G:$G,$B$179,TE!$I:$I,B237,TE!$D:$D,$C$5),"")</f>
        <v>0</v>
      </c>
      <c r="U237" s="764"/>
      <c r="V237" s="764"/>
      <c r="W237" s="764"/>
      <c r="X237" s="723" t="str">
        <f aca="false">IFERROR(VLOOKUP(B237,TE!$H$1:$Y$630,14,FALSE()),"0")</f>
        <v>0</v>
      </c>
      <c r="Y237" s="723"/>
      <c r="Z237" s="723"/>
      <c r="AA237" s="723"/>
      <c r="AB237" s="765" t="n">
        <f aca="false">T237*X237</f>
        <v>0</v>
      </c>
      <c r="AC237" s="765"/>
      <c r="AD237" s="765"/>
      <c r="AE237" s="766"/>
      <c r="AF237" s="736"/>
    </row>
    <row r="238" customFormat="false" ht="15.75" hidden="false" customHeight="true" outlineLevel="0" collapsed="false">
      <c r="A238" s="736"/>
      <c r="B238" s="760" t="s">
        <v>1590</v>
      </c>
      <c r="C238" s="761"/>
      <c r="D238" s="761"/>
      <c r="E238" s="762" t="str">
        <f aca="false">IFERROR(VLOOKUP(B238,TE!$H$1:$Y$749,2,FALSE()),"(Not on TE)")</f>
        <v>(Not on TE)</v>
      </c>
      <c r="F238" s="763"/>
      <c r="G238" s="763"/>
      <c r="H238" s="763"/>
      <c r="I238" s="763"/>
      <c r="J238" s="763"/>
      <c r="K238" s="763"/>
      <c r="L238" s="763"/>
      <c r="M238" s="763"/>
      <c r="N238" s="764" t="str">
        <f aca="false">IFERROR(VLOOKUP(B238,TE!$H$1:$Y$749,18,FALSE()),"")</f>
        <v/>
      </c>
      <c r="O238" s="764"/>
      <c r="P238" s="764"/>
      <c r="Q238" s="764"/>
      <c r="R238" s="764"/>
      <c r="S238" s="764"/>
      <c r="T238" s="764" t="n">
        <f aca="false">IFERROR(SUMIFS(TE!$O:$O,TE!$G:$G,$B$179,TE!$I:$I,B238,TE!$D:$D,$C$5),"")</f>
        <v>0</v>
      </c>
      <c r="U238" s="764"/>
      <c r="V238" s="764"/>
      <c r="W238" s="764"/>
      <c r="X238" s="723" t="str">
        <f aca="false">IFERROR(VLOOKUP(B238,TE!$H$1:$Y$630,14,FALSE()),"0")</f>
        <v>0</v>
      </c>
      <c r="Y238" s="723"/>
      <c r="Z238" s="723"/>
      <c r="AA238" s="723"/>
      <c r="AB238" s="765" t="n">
        <f aca="false">T238*X238</f>
        <v>0</v>
      </c>
      <c r="AC238" s="765"/>
      <c r="AD238" s="765"/>
      <c r="AE238" s="766"/>
      <c r="AF238" s="736"/>
    </row>
    <row r="239" customFormat="false" ht="15.75" hidden="false" customHeight="true" outlineLevel="0" collapsed="false">
      <c r="A239" s="736"/>
      <c r="B239" s="760" t="s">
        <v>1591</v>
      </c>
      <c r="C239" s="761"/>
      <c r="D239" s="761"/>
      <c r="E239" s="762" t="str">
        <f aca="false">IFERROR(VLOOKUP(B239,TE!$H$1:$Y$749,2,FALSE()),"(Not on TE)")</f>
        <v>(Not on TE)</v>
      </c>
      <c r="F239" s="763"/>
      <c r="G239" s="763"/>
      <c r="H239" s="763"/>
      <c r="I239" s="763"/>
      <c r="J239" s="763"/>
      <c r="K239" s="763"/>
      <c r="L239" s="763"/>
      <c r="M239" s="763"/>
      <c r="N239" s="764" t="str">
        <f aca="false">IFERROR(VLOOKUP(B239,TE!$H$1:$Y$749,18,FALSE()),"")</f>
        <v/>
      </c>
      <c r="O239" s="764"/>
      <c r="P239" s="764"/>
      <c r="Q239" s="764"/>
      <c r="R239" s="764"/>
      <c r="S239" s="764"/>
      <c r="T239" s="764" t="n">
        <f aca="false">IFERROR(SUMIFS(TE!$O:$O,TE!$G:$G,$B$179,TE!$I:$I,B239,TE!$D:$D,$C$5),"")</f>
        <v>0</v>
      </c>
      <c r="U239" s="764"/>
      <c r="V239" s="764"/>
      <c r="W239" s="764"/>
      <c r="X239" s="723" t="str">
        <f aca="false">IFERROR(VLOOKUP(B239,TE!$H$1:$Y$630,14,FALSE()),"0")</f>
        <v>0</v>
      </c>
      <c r="Y239" s="723"/>
      <c r="Z239" s="723"/>
      <c r="AA239" s="723"/>
      <c r="AB239" s="765" t="n">
        <f aca="false">T239*X239</f>
        <v>0</v>
      </c>
      <c r="AC239" s="765"/>
      <c r="AD239" s="765"/>
      <c r="AE239" s="766"/>
      <c r="AF239" s="736"/>
    </row>
    <row r="240" customFormat="false" ht="15.75" hidden="false" customHeight="true" outlineLevel="0" collapsed="false">
      <c r="A240" s="736"/>
      <c r="B240" s="760" t="s">
        <v>1592</v>
      </c>
      <c r="C240" s="761"/>
      <c r="D240" s="761"/>
      <c r="E240" s="762" t="str">
        <f aca="false">IFERROR(VLOOKUP(B240,TE!$H$1:$Y$749,2,FALSE()),"(Not on TE)")</f>
        <v>(Not on TE)</v>
      </c>
      <c r="F240" s="763"/>
      <c r="G240" s="763"/>
      <c r="H240" s="763"/>
      <c r="I240" s="763"/>
      <c r="J240" s="763"/>
      <c r="K240" s="763"/>
      <c r="L240" s="763"/>
      <c r="M240" s="763"/>
      <c r="N240" s="764" t="str">
        <f aca="false">IFERROR(VLOOKUP(B240,TE!$H$1:$Y$749,18,FALSE()),"")</f>
        <v/>
      </c>
      <c r="O240" s="764"/>
      <c r="P240" s="764"/>
      <c r="Q240" s="764"/>
      <c r="R240" s="764"/>
      <c r="S240" s="764"/>
      <c r="T240" s="764" t="n">
        <f aca="false">IFERROR(SUMIFS(TE!$O:$O,TE!$G:$G,$B$179,TE!$I:$I,B240,TE!$D:$D,$C$5),"")</f>
        <v>0</v>
      </c>
      <c r="U240" s="764"/>
      <c r="V240" s="764"/>
      <c r="W240" s="764"/>
      <c r="X240" s="723" t="str">
        <f aca="false">IFERROR(VLOOKUP(B240,TE!$H$1:$Y$630,14,FALSE()),"0")</f>
        <v>0</v>
      </c>
      <c r="Y240" s="723"/>
      <c r="Z240" s="723"/>
      <c r="AA240" s="723"/>
      <c r="AB240" s="765" t="n">
        <f aca="false">T240*X240</f>
        <v>0</v>
      </c>
      <c r="AC240" s="765"/>
      <c r="AD240" s="765"/>
      <c r="AE240" s="766"/>
      <c r="AF240" s="736"/>
    </row>
    <row r="241" customFormat="false" ht="15.75" hidden="false" customHeight="true" outlineLevel="0" collapsed="false">
      <c r="A241" s="736"/>
      <c r="B241" s="760" t="s">
        <v>1593</v>
      </c>
      <c r="C241" s="761"/>
      <c r="D241" s="761"/>
      <c r="E241" s="762" t="str">
        <f aca="false">IFERROR(VLOOKUP(B241,TE!$H$1:$Y$749,2,FALSE()),"(Not on TE)")</f>
        <v>(Not on TE)</v>
      </c>
      <c r="F241" s="763"/>
      <c r="G241" s="763"/>
      <c r="H241" s="763"/>
      <c r="I241" s="763"/>
      <c r="J241" s="763"/>
      <c r="K241" s="763"/>
      <c r="L241" s="763"/>
      <c r="M241" s="763"/>
      <c r="N241" s="764" t="str">
        <f aca="false">IFERROR(VLOOKUP(B241,TE!$H$1:$Y$749,18,FALSE()),"")</f>
        <v/>
      </c>
      <c r="O241" s="764"/>
      <c r="P241" s="764"/>
      <c r="Q241" s="764"/>
      <c r="R241" s="764"/>
      <c r="S241" s="764"/>
      <c r="T241" s="764" t="n">
        <f aca="false">IFERROR(SUMIFS(TE!$O:$O,TE!$G:$G,$B$179,TE!$I:$I,B241,TE!$D:$D,$C$5),"")</f>
        <v>0</v>
      </c>
      <c r="U241" s="764"/>
      <c r="V241" s="764"/>
      <c r="W241" s="764"/>
      <c r="X241" s="723" t="str">
        <f aca="false">IFERROR(VLOOKUP(B241,TE!$H$1:$Y$630,14,FALSE()),"0")</f>
        <v>0</v>
      </c>
      <c r="Y241" s="723"/>
      <c r="Z241" s="723"/>
      <c r="AA241" s="723"/>
      <c r="AB241" s="765" t="n">
        <f aca="false">T241*X241</f>
        <v>0</v>
      </c>
      <c r="AC241" s="765"/>
      <c r="AD241" s="765"/>
      <c r="AE241" s="766"/>
      <c r="AF241" s="736"/>
    </row>
    <row r="242" customFormat="false" ht="15.75" hidden="false" customHeight="true" outlineLevel="0" collapsed="false">
      <c r="A242" s="736"/>
      <c r="B242" s="760" t="s">
        <v>1595</v>
      </c>
      <c r="C242" s="761"/>
      <c r="D242" s="761"/>
      <c r="E242" s="762" t="str">
        <f aca="false">IFERROR(VLOOKUP(B242,TE!$H$1:$Y$749,2,FALSE()),"(Not on TE)")</f>
        <v>(Not on TE)</v>
      </c>
      <c r="F242" s="763"/>
      <c r="G242" s="763"/>
      <c r="H242" s="763"/>
      <c r="I242" s="763"/>
      <c r="J242" s="763"/>
      <c r="K242" s="763"/>
      <c r="L242" s="763"/>
      <c r="M242" s="763"/>
      <c r="N242" s="764" t="str">
        <f aca="false">IFERROR(VLOOKUP(B242,TE!$H$1:$Y$749,18,FALSE()),"")</f>
        <v/>
      </c>
      <c r="O242" s="764"/>
      <c r="P242" s="764"/>
      <c r="Q242" s="764"/>
      <c r="R242" s="764"/>
      <c r="S242" s="764"/>
      <c r="T242" s="764" t="n">
        <f aca="false">IFERROR(SUMIFS(TE!$O:$O,TE!$G:$G,$B$179,TE!$I:$I,B242,TE!$D:$D,$C$5),"")</f>
        <v>0</v>
      </c>
      <c r="U242" s="764"/>
      <c r="V242" s="764"/>
      <c r="W242" s="764"/>
      <c r="X242" s="723" t="str">
        <f aca="false">IFERROR(VLOOKUP(B242,TE!$H$1:$Y$630,14,FALSE()),"0")</f>
        <v>0</v>
      </c>
      <c r="Y242" s="723"/>
      <c r="Z242" s="723"/>
      <c r="AA242" s="723"/>
      <c r="AB242" s="765" t="n">
        <f aca="false">T242*X242</f>
        <v>0</v>
      </c>
      <c r="AC242" s="765"/>
      <c r="AD242" s="765"/>
      <c r="AE242" s="766"/>
      <c r="AF242" s="736"/>
    </row>
    <row r="243" customFormat="false" ht="15.75" hidden="false" customHeight="true" outlineLevel="0" collapsed="false">
      <c r="A243" s="736"/>
      <c r="B243" s="760" t="s">
        <v>1153</v>
      </c>
      <c r="C243" s="761"/>
      <c r="D243" s="761"/>
      <c r="E243" s="762" t="str">
        <f aca="false">IFERROR(VLOOKUP(B243,TE!$H$1:$Y$749,2,FALSE()),"(Not on TE)")</f>
        <v>(Not on TE)</v>
      </c>
      <c r="F243" s="763"/>
      <c r="G243" s="763"/>
      <c r="H243" s="763"/>
      <c r="I243" s="763"/>
      <c r="J243" s="763"/>
      <c r="K243" s="763"/>
      <c r="L243" s="763"/>
      <c r="M243" s="763"/>
      <c r="N243" s="764" t="str">
        <f aca="false">IFERROR(VLOOKUP(B243,TE!$H$1:$Y$749,18,FALSE()),"")</f>
        <v/>
      </c>
      <c r="O243" s="764"/>
      <c r="P243" s="764"/>
      <c r="Q243" s="764"/>
      <c r="R243" s="764"/>
      <c r="S243" s="764"/>
      <c r="T243" s="764" t="n">
        <f aca="false">IFERROR(SUMIFS(TE!$O:$O,TE!$G:$G,$B$179,TE!$I:$I,B243,TE!$D:$D,$C$5),"")</f>
        <v>0</v>
      </c>
      <c r="U243" s="764"/>
      <c r="V243" s="764"/>
      <c r="W243" s="764"/>
      <c r="X243" s="723" t="str">
        <f aca="false">IFERROR(VLOOKUP(B243,TE!$H$1:$Y$630,14,FALSE()),"0")</f>
        <v>0</v>
      </c>
      <c r="Y243" s="723"/>
      <c r="Z243" s="723"/>
      <c r="AA243" s="723"/>
      <c r="AB243" s="765" t="n">
        <f aca="false">T243*X243</f>
        <v>0</v>
      </c>
      <c r="AC243" s="765"/>
      <c r="AD243" s="765"/>
      <c r="AE243" s="766"/>
      <c r="AF243" s="736"/>
    </row>
    <row r="244" customFormat="false" ht="15.75" hidden="false" customHeight="true" outlineLevel="0" collapsed="false">
      <c r="A244" s="736"/>
      <c r="B244" s="760" t="s">
        <v>1596</v>
      </c>
      <c r="C244" s="761"/>
      <c r="D244" s="761"/>
      <c r="E244" s="762" t="str">
        <f aca="false">IFERROR(VLOOKUP(B244,TE!$H$1:$Y$749,2,FALSE()),"(Not on TE)")</f>
        <v>(Not on TE)</v>
      </c>
      <c r="F244" s="763"/>
      <c r="G244" s="763"/>
      <c r="H244" s="763"/>
      <c r="I244" s="763"/>
      <c r="J244" s="763"/>
      <c r="K244" s="763"/>
      <c r="L244" s="763"/>
      <c r="M244" s="763"/>
      <c r="N244" s="764" t="str">
        <f aca="false">IFERROR(VLOOKUP(B244,TE!$H$1:$Y$749,18,FALSE()),"")</f>
        <v/>
      </c>
      <c r="O244" s="764"/>
      <c r="P244" s="764"/>
      <c r="Q244" s="764"/>
      <c r="R244" s="764"/>
      <c r="S244" s="764"/>
      <c r="T244" s="764" t="n">
        <f aca="false">IFERROR(SUMIFS(TE!$O:$O,TE!$G:$G,$B$179,TE!$I:$I,B244,TE!$D:$D,$C$5),"")</f>
        <v>0</v>
      </c>
      <c r="U244" s="764"/>
      <c r="V244" s="764"/>
      <c r="W244" s="764"/>
      <c r="X244" s="723" t="str">
        <f aca="false">IFERROR(VLOOKUP(B244,TE!$H$1:$Y$630,14,FALSE()),"0")</f>
        <v>0</v>
      </c>
      <c r="Y244" s="723"/>
      <c r="Z244" s="723"/>
      <c r="AA244" s="723"/>
      <c r="AB244" s="765" t="n">
        <f aca="false">T244*X244</f>
        <v>0</v>
      </c>
      <c r="AC244" s="765"/>
      <c r="AD244" s="765"/>
      <c r="AE244" s="766"/>
      <c r="AF244" s="736"/>
    </row>
    <row r="245" customFormat="false" ht="15.75" hidden="false" customHeight="true" outlineLevel="0" collapsed="false">
      <c r="A245" s="736"/>
      <c r="B245" s="760" t="s">
        <v>1597</v>
      </c>
      <c r="C245" s="761"/>
      <c r="D245" s="761"/>
      <c r="E245" s="762" t="str">
        <f aca="false">IFERROR(VLOOKUP(B245,TE!$H$1:$Y$749,2,FALSE()),"(Not on TE)")</f>
        <v>(Not on TE)</v>
      </c>
      <c r="F245" s="763"/>
      <c r="G245" s="763"/>
      <c r="H245" s="763"/>
      <c r="I245" s="763"/>
      <c r="J245" s="763"/>
      <c r="K245" s="763"/>
      <c r="L245" s="763"/>
      <c r="M245" s="763"/>
      <c r="N245" s="764" t="str">
        <f aca="false">IFERROR(VLOOKUP(B245,TE!$H$1:$Y$749,18,FALSE()),"")</f>
        <v/>
      </c>
      <c r="O245" s="764"/>
      <c r="P245" s="764"/>
      <c r="Q245" s="764"/>
      <c r="R245" s="764"/>
      <c r="S245" s="764"/>
      <c r="T245" s="764" t="n">
        <f aca="false">IFERROR(SUMIFS(TE!$O:$O,TE!$G:$G,$B$179,TE!$I:$I,B245,TE!$D:$D,$C$5),"")</f>
        <v>0</v>
      </c>
      <c r="U245" s="764"/>
      <c r="V245" s="764"/>
      <c r="W245" s="764"/>
      <c r="X245" s="723" t="str">
        <f aca="false">IFERROR(VLOOKUP(B245,TE!$H$1:$Y$630,14,FALSE()),"0")</f>
        <v>0</v>
      </c>
      <c r="Y245" s="723"/>
      <c r="Z245" s="723"/>
      <c r="AA245" s="723"/>
      <c r="AB245" s="765" t="n">
        <f aca="false">T245*X245</f>
        <v>0</v>
      </c>
      <c r="AC245" s="765"/>
      <c r="AD245" s="765"/>
      <c r="AE245" s="736"/>
      <c r="AF245" s="736"/>
    </row>
    <row r="246" customFormat="false" ht="15.75" hidden="false" customHeight="true" outlineLevel="0" collapsed="false">
      <c r="A246" s="736"/>
      <c r="B246" s="783" t="s">
        <v>1598</v>
      </c>
      <c r="C246" s="761"/>
      <c r="D246" s="761"/>
      <c r="E246" s="762" t="str">
        <f aca="false">IFERROR(VLOOKUP(B246,TE!$H$1:$Y$749,2,FALSE()),"(Not on TE)")</f>
        <v>(Not on TE)</v>
      </c>
      <c r="F246" s="763"/>
      <c r="G246" s="763"/>
      <c r="H246" s="763"/>
      <c r="I246" s="763"/>
      <c r="J246" s="763"/>
      <c r="K246" s="763"/>
      <c r="L246" s="763"/>
      <c r="M246" s="763"/>
      <c r="N246" s="764" t="str">
        <f aca="false">IFERROR(VLOOKUP(B246,TE!$H$1:$Y$749,18,FALSE()),"")</f>
        <v/>
      </c>
      <c r="O246" s="764"/>
      <c r="P246" s="764"/>
      <c r="Q246" s="764"/>
      <c r="R246" s="764"/>
      <c r="S246" s="764"/>
      <c r="T246" s="764" t="n">
        <f aca="false">IFERROR(SUMIFS(TE!$O:$O,TE!$G:$G,$B$179,TE!$I:$I,B246,TE!$D:$D,$C$5),"")</f>
        <v>0</v>
      </c>
      <c r="U246" s="764"/>
      <c r="V246" s="764"/>
      <c r="W246" s="764"/>
      <c r="X246" s="723" t="str">
        <f aca="false">IFERROR(VLOOKUP(B246,TE!$H$1:$Y$630,14,FALSE()),"0")</f>
        <v>0</v>
      </c>
      <c r="Y246" s="723"/>
      <c r="Z246" s="723"/>
      <c r="AA246" s="723"/>
      <c r="AB246" s="765" t="n">
        <f aca="false">T246*X246</f>
        <v>0</v>
      </c>
      <c r="AC246" s="765"/>
      <c r="AD246" s="765"/>
      <c r="AE246" s="736"/>
      <c r="AF246" s="736"/>
    </row>
    <row r="247" customFormat="false" ht="15.75" hidden="false" customHeight="true" outlineLevel="0" collapsed="false">
      <c r="A247" s="736"/>
      <c r="B247" s="783" t="s">
        <v>1599</v>
      </c>
      <c r="C247" s="761"/>
      <c r="D247" s="761"/>
      <c r="E247" s="762" t="str">
        <f aca="false">IFERROR(VLOOKUP(B247,TE!$H$1:$Y$749,2,FALSE()),"(Not on TE)")</f>
        <v>(Not on TE)</v>
      </c>
      <c r="F247" s="763"/>
      <c r="G247" s="763"/>
      <c r="H247" s="763"/>
      <c r="I247" s="763"/>
      <c r="J247" s="763"/>
      <c r="K247" s="763"/>
      <c r="L247" s="763"/>
      <c r="M247" s="763"/>
      <c r="N247" s="764" t="str">
        <f aca="false">IFERROR(VLOOKUP(B247,TE!$H$1:$Y$749,18,FALSE()),"")</f>
        <v/>
      </c>
      <c r="O247" s="764"/>
      <c r="P247" s="764"/>
      <c r="Q247" s="764"/>
      <c r="R247" s="764"/>
      <c r="S247" s="764"/>
      <c r="T247" s="764" t="n">
        <f aca="false">IFERROR(SUMIFS(TE!$O:$O,TE!$G:$G,$B$179,TE!$I:$I,B247,TE!$D:$D,$C$5),"")</f>
        <v>0</v>
      </c>
      <c r="U247" s="764"/>
      <c r="V247" s="764"/>
      <c r="W247" s="764"/>
      <c r="X247" s="723" t="str">
        <f aca="false">IFERROR(VLOOKUP(B247,TE!$H$1:$Y$630,14,FALSE()),"0")</f>
        <v>0</v>
      </c>
      <c r="Y247" s="723"/>
      <c r="Z247" s="723"/>
      <c r="AA247" s="723"/>
      <c r="AB247" s="765" t="n">
        <f aca="false">T247*X247</f>
        <v>0</v>
      </c>
      <c r="AC247" s="765"/>
      <c r="AD247" s="765"/>
      <c r="AE247" s="736"/>
      <c r="AF247" s="736"/>
    </row>
    <row r="248" customFormat="false" ht="15.75" hidden="false" customHeight="true" outlineLevel="0" collapsed="false">
      <c r="A248" s="736"/>
      <c r="B248" s="783" t="s">
        <v>1600</v>
      </c>
      <c r="C248" s="761"/>
      <c r="D248" s="761"/>
      <c r="E248" s="762" t="str">
        <f aca="false">IFERROR(VLOOKUP(B248,TE!$H$1:$Y$749,2,FALSE()),"(Not on TE)")</f>
        <v>(Not on TE)</v>
      </c>
      <c r="F248" s="763"/>
      <c r="G248" s="763"/>
      <c r="H248" s="763"/>
      <c r="I248" s="763"/>
      <c r="J248" s="763"/>
      <c r="K248" s="763"/>
      <c r="L248" s="763"/>
      <c r="M248" s="763"/>
      <c r="N248" s="764" t="str">
        <f aca="false">IFERROR(VLOOKUP(B248,TE!$H$1:$Y$749,18,FALSE()),"")</f>
        <v/>
      </c>
      <c r="O248" s="764"/>
      <c r="P248" s="764"/>
      <c r="Q248" s="764"/>
      <c r="R248" s="764"/>
      <c r="S248" s="764"/>
      <c r="T248" s="764" t="n">
        <f aca="false">IFERROR(SUMIFS(TE!$O:$O,TE!$G:$G,$B$179,TE!$I:$I,B248,TE!$D:$D,$C$5),"")</f>
        <v>0</v>
      </c>
      <c r="U248" s="764"/>
      <c r="V248" s="764"/>
      <c r="W248" s="764"/>
      <c r="X248" s="723" t="str">
        <f aca="false">IFERROR(VLOOKUP(B248,TE!$H$1:$Y$630,14,FALSE()),"0")</f>
        <v>0</v>
      </c>
      <c r="Y248" s="723"/>
      <c r="Z248" s="723"/>
      <c r="AA248" s="723"/>
      <c r="AB248" s="765" t="n">
        <f aca="false">T248*X248</f>
        <v>0</v>
      </c>
      <c r="AC248" s="765"/>
      <c r="AD248" s="765"/>
      <c r="AE248" s="736"/>
      <c r="AF248" s="736"/>
    </row>
    <row r="249" customFormat="false" ht="15.75" hidden="false" customHeight="true" outlineLevel="0" collapsed="false">
      <c r="A249" s="736"/>
      <c r="B249" s="760" t="s">
        <v>1601</v>
      </c>
      <c r="C249" s="761"/>
      <c r="D249" s="761"/>
      <c r="E249" s="762" t="str">
        <f aca="false">IFERROR(VLOOKUP(B249,TE!$H$1:$Y$749,2,FALSE()),"(Not on TE)")</f>
        <v>(Not on TE)</v>
      </c>
      <c r="F249" s="763"/>
      <c r="G249" s="763"/>
      <c r="H249" s="763"/>
      <c r="I249" s="763"/>
      <c r="J249" s="763"/>
      <c r="K249" s="763"/>
      <c r="L249" s="763"/>
      <c r="M249" s="763"/>
      <c r="N249" s="764" t="str">
        <f aca="false">IFERROR(VLOOKUP(B249,TE!$H$1:$Y$749,18,FALSE()),"")</f>
        <v/>
      </c>
      <c r="O249" s="764"/>
      <c r="P249" s="764"/>
      <c r="Q249" s="764"/>
      <c r="R249" s="764"/>
      <c r="S249" s="764"/>
      <c r="T249" s="764" t="n">
        <f aca="false">IFERROR(SUMIFS(TE!$O:$O,TE!$G:$G,$B$179,TE!$I:$I,B249,TE!$D:$D,$C$5),"")</f>
        <v>0</v>
      </c>
      <c r="U249" s="764"/>
      <c r="V249" s="764"/>
      <c r="W249" s="764"/>
      <c r="X249" s="723" t="str">
        <f aca="false">IFERROR(VLOOKUP(B249,TE!$H$1:$Y$630,14,FALSE()),"0")</f>
        <v>0</v>
      </c>
      <c r="Y249" s="723"/>
      <c r="Z249" s="723"/>
      <c r="AA249" s="723"/>
      <c r="AB249" s="765" t="n">
        <f aca="false">T249*X249</f>
        <v>0</v>
      </c>
      <c r="AC249" s="765"/>
      <c r="AD249" s="765"/>
      <c r="AE249" s="736"/>
      <c r="AF249" s="736"/>
    </row>
    <row r="250" customFormat="false" ht="15.75" hidden="false" customHeight="true" outlineLevel="0" collapsed="false">
      <c r="A250" s="736"/>
      <c r="B250" s="760" t="s">
        <v>1602</v>
      </c>
      <c r="C250" s="761"/>
      <c r="D250" s="761"/>
      <c r="E250" s="762" t="str">
        <f aca="false">IFERROR(VLOOKUP(B250,TE!$H$1:$Y$749,2,FALSE()),"(Not on TE)")</f>
        <v>(Not on TE)</v>
      </c>
      <c r="F250" s="763"/>
      <c r="G250" s="763"/>
      <c r="H250" s="763"/>
      <c r="I250" s="763"/>
      <c r="J250" s="763"/>
      <c r="K250" s="763"/>
      <c r="L250" s="763"/>
      <c r="M250" s="763"/>
      <c r="N250" s="764" t="str">
        <f aca="false">IFERROR(VLOOKUP(B250,TE!$H$1:$Y$749,18,FALSE()),"")</f>
        <v/>
      </c>
      <c r="O250" s="764"/>
      <c r="P250" s="764"/>
      <c r="Q250" s="764"/>
      <c r="R250" s="764"/>
      <c r="S250" s="764"/>
      <c r="T250" s="764" t="n">
        <f aca="false">IFERROR(SUMIFS(TE!$O:$O,TE!$G:$G,$B$179,TE!$I:$I,B250,TE!$D:$D,$C$5),"")</f>
        <v>0</v>
      </c>
      <c r="U250" s="764"/>
      <c r="V250" s="764"/>
      <c r="W250" s="764"/>
      <c r="X250" s="723" t="str">
        <f aca="false">IFERROR(VLOOKUP(B250,TE!$H$1:$Y$630,14,FALSE()),"0")</f>
        <v>0</v>
      </c>
      <c r="Y250" s="723"/>
      <c r="Z250" s="723"/>
      <c r="AA250" s="723"/>
      <c r="AB250" s="765" t="n">
        <f aca="false">T250*X250</f>
        <v>0</v>
      </c>
      <c r="AC250" s="765"/>
      <c r="AD250" s="765"/>
      <c r="AE250" s="736"/>
      <c r="AF250" s="736"/>
    </row>
    <row r="251" customFormat="false" ht="15.75" hidden="false" customHeight="true" outlineLevel="0" collapsed="false">
      <c r="A251" s="736"/>
      <c r="B251" s="784" t="s">
        <v>1603</v>
      </c>
      <c r="C251" s="730"/>
      <c r="D251" s="730"/>
      <c r="E251" s="762" t="str">
        <f aca="false">IFERROR(VLOOKUP(B251,TE!$H$1:$Y$749,2,FALSE()),"(Not on TE)")</f>
        <v>(Not on TE)</v>
      </c>
      <c r="F251" s="730"/>
      <c r="G251" s="730"/>
      <c r="H251" s="730"/>
      <c r="I251" s="730"/>
      <c r="J251" s="730"/>
      <c r="K251" s="730"/>
      <c r="L251" s="730"/>
      <c r="M251" s="730"/>
      <c r="N251" s="764" t="str">
        <f aca="false">IFERROR(VLOOKUP(B251,TE!$H$1:$Y$749,18,FALSE()),"")</f>
        <v/>
      </c>
      <c r="O251" s="764"/>
      <c r="P251" s="764"/>
      <c r="Q251" s="764"/>
      <c r="R251" s="764"/>
      <c r="S251" s="764"/>
      <c r="T251" s="764" t="n">
        <f aca="false">IFERROR(SUMIFS(TE!$O:$O,TE!$G:$G,$B$179,TE!$I:$I,B251,TE!$D:$D,$C$5),"")</f>
        <v>0</v>
      </c>
      <c r="U251" s="764"/>
      <c r="V251" s="764"/>
      <c r="W251" s="764"/>
      <c r="X251" s="723" t="str">
        <f aca="false">IFERROR(VLOOKUP(B251,TE!$H$1:$Y$630,14,FALSE()),"0")</f>
        <v>0</v>
      </c>
      <c r="Y251" s="723"/>
      <c r="Z251" s="723"/>
      <c r="AA251" s="723"/>
      <c r="AB251" s="765" t="n">
        <f aca="false">T251*X251</f>
        <v>0</v>
      </c>
      <c r="AC251" s="765"/>
      <c r="AD251" s="765"/>
      <c r="AE251" s="736"/>
      <c r="AF251" s="736"/>
    </row>
    <row r="252" customFormat="false" ht="15.75" hidden="false" customHeight="true" outlineLevel="0" collapsed="false">
      <c r="A252" s="736"/>
      <c r="B252" s="784" t="s">
        <v>1604</v>
      </c>
      <c r="C252" s="728"/>
      <c r="D252" s="728"/>
      <c r="E252" s="762" t="str">
        <f aca="false">IFERROR(VLOOKUP(B252,TE!$H$1:$Y$749,2,FALSE()),"(Not on TE)")</f>
        <v>(Not on TE)</v>
      </c>
      <c r="F252" s="728"/>
      <c r="G252" s="729"/>
      <c r="H252" s="729"/>
      <c r="I252" s="729"/>
      <c r="J252" s="729"/>
      <c r="K252" s="729"/>
      <c r="L252" s="729"/>
      <c r="M252" s="729"/>
      <c r="N252" s="764" t="str">
        <f aca="false">IFERROR(VLOOKUP(B252,TE!$H$1:$Y$749,18,FALSE()),"")</f>
        <v/>
      </c>
      <c r="O252" s="764"/>
      <c r="P252" s="764"/>
      <c r="Q252" s="764"/>
      <c r="R252" s="764"/>
      <c r="S252" s="764"/>
      <c r="T252" s="764" t="n">
        <f aca="false">IFERROR(SUMIFS(TE!$O:$O,TE!$G:$G,$B$179,TE!$I:$I,B252,TE!$D:$D,$C$5),"")</f>
        <v>0</v>
      </c>
      <c r="U252" s="764"/>
      <c r="V252" s="764"/>
      <c r="W252" s="764"/>
      <c r="X252" s="723" t="str">
        <f aca="false">IFERROR(VLOOKUP(B252,TE!$H$1:$Y$630,14,FALSE()),"0")</f>
        <v>0</v>
      </c>
      <c r="Y252" s="723"/>
      <c r="Z252" s="723"/>
      <c r="AA252" s="723"/>
      <c r="AB252" s="765" t="n">
        <f aca="false">T252*X252</f>
        <v>0</v>
      </c>
      <c r="AC252" s="765"/>
      <c r="AD252" s="765"/>
      <c r="AE252" s="736"/>
      <c r="AF252" s="736"/>
    </row>
    <row r="253" customFormat="false" ht="15.75" hidden="false" customHeight="true" outlineLevel="0" collapsed="false">
      <c r="A253" s="736"/>
      <c r="B253" s="785" t="s">
        <v>1605</v>
      </c>
      <c r="C253" s="728"/>
      <c r="D253" s="728"/>
      <c r="E253" s="762" t="str">
        <f aca="false">IFERROR(VLOOKUP(B253,TE!$H$1:$Y$749,2,FALSE()),"(Not on TE)")</f>
        <v>(Not on TE)</v>
      </c>
      <c r="F253" s="728"/>
      <c r="G253" s="729"/>
      <c r="H253" s="729"/>
      <c r="I253" s="729"/>
      <c r="J253" s="729"/>
      <c r="K253" s="729"/>
      <c r="L253" s="729"/>
      <c r="M253" s="729"/>
      <c r="N253" s="764" t="str">
        <f aca="false">IFERROR(VLOOKUP(B253,TE!$H$1:$Y$749,18,FALSE()),"")</f>
        <v/>
      </c>
      <c r="O253" s="764"/>
      <c r="P253" s="764"/>
      <c r="Q253" s="764"/>
      <c r="R253" s="764"/>
      <c r="S253" s="764"/>
      <c r="T253" s="764" t="n">
        <f aca="false">IFERROR(SUMIFS(TE!$O:$O,TE!$G:$G,$B$179,TE!$I:$I,B253,TE!$D:$D,$C$5),"")</f>
        <v>0</v>
      </c>
      <c r="U253" s="764"/>
      <c r="V253" s="764"/>
      <c r="W253" s="764"/>
      <c r="X253" s="723" t="str">
        <f aca="false">IFERROR(VLOOKUP(B253,TE!$H$1:$Y$630,14,FALSE()),"0")</f>
        <v>0</v>
      </c>
      <c r="Y253" s="723"/>
      <c r="Z253" s="723"/>
      <c r="AA253" s="723"/>
      <c r="AB253" s="765" t="n">
        <f aca="false">T253*X253</f>
        <v>0</v>
      </c>
      <c r="AC253" s="765"/>
      <c r="AD253" s="765"/>
      <c r="AE253" s="736"/>
      <c r="AF253" s="736"/>
    </row>
    <row r="254" customFormat="false" ht="15.75" hidden="false" customHeight="true" outlineLevel="0" collapsed="false">
      <c r="A254" s="736"/>
      <c r="B254" s="785" t="s">
        <v>1606</v>
      </c>
      <c r="C254" s="728"/>
      <c r="D254" s="728"/>
      <c r="E254" s="762" t="str">
        <f aca="false">IFERROR(VLOOKUP(B254,TE!$H$1:$Y$749,2,FALSE()),"(Not on TE)")</f>
        <v>(Not on TE)</v>
      </c>
      <c r="F254" s="728"/>
      <c r="G254" s="729"/>
      <c r="H254" s="729"/>
      <c r="I254" s="729"/>
      <c r="J254" s="729"/>
      <c r="K254" s="729"/>
      <c r="L254" s="729"/>
      <c r="M254" s="729"/>
      <c r="N254" s="764" t="str">
        <f aca="false">IFERROR(VLOOKUP(B254,TE!$H$1:$Y$749,18,FALSE()),"")</f>
        <v/>
      </c>
      <c r="O254" s="764"/>
      <c r="P254" s="764"/>
      <c r="Q254" s="764"/>
      <c r="R254" s="764"/>
      <c r="S254" s="764"/>
      <c r="T254" s="764" t="n">
        <f aca="false">IFERROR(SUMIFS(TE!$O:$O,TE!$G:$G,$B$179,TE!$I:$I,B254,TE!$D:$D,$C$5),"")</f>
        <v>0</v>
      </c>
      <c r="U254" s="764"/>
      <c r="V254" s="764"/>
      <c r="W254" s="764"/>
      <c r="X254" s="723" t="str">
        <f aca="false">IFERROR(VLOOKUP(B254,TE!$H$1:$Y$630,14,FALSE()),"0")</f>
        <v>0</v>
      </c>
      <c r="Y254" s="723"/>
      <c r="Z254" s="723"/>
      <c r="AA254" s="723"/>
      <c r="AB254" s="765" t="n">
        <f aca="false">T254*X254</f>
        <v>0</v>
      </c>
      <c r="AC254" s="765"/>
      <c r="AD254" s="765"/>
      <c r="AE254" s="736"/>
      <c r="AF254" s="736"/>
    </row>
    <row r="255" customFormat="false" ht="15.75" hidden="false" customHeight="true" outlineLevel="0" collapsed="false">
      <c r="A255" s="736"/>
      <c r="B255" s="784" t="s">
        <v>1607</v>
      </c>
      <c r="C255" s="728"/>
      <c r="D255" s="728"/>
      <c r="E255" s="762" t="str">
        <f aca="false">IFERROR(VLOOKUP(B255,TE!$H$1:$Y$749,2,FALSE()),"(Not on TE)")</f>
        <v>(Not on TE)</v>
      </c>
      <c r="F255" s="728"/>
      <c r="G255" s="729"/>
      <c r="H255" s="729"/>
      <c r="I255" s="729"/>
      <c r="J255" s="729"/>
      <c r="K255" s="729"/>
      <c r="L255" s="729"/>
      <c r="M255" s="729"/>
      <c r="N255" s="764" t="str">
        <f aca="false">IFERROR(VLOOKUP(B255,TE!$H$1:$Y$749,18,FALSE()),"")</f>
        <v/>
      </c>
      <c r="O255" s="764"/>
      <c r="P255" s="764"/>
      <c r="Q255" s="764"/>
      <c r="R255" s="764"/>
      <c r="S255" s="764"/>
      <c r="T255" s="764" t="n">
        <f aca="false">IFERROR(SUMIFS(TE!$O:$O,TE!$G:$G,$B$179,TE!$I:$I,B255,TE!$D:$D,$C$5),"")</f>
        <v>0</v>
      </c>
      <c r="U255" s="764"/>
      <c r="V255" s="764"/>
      <c r="W255" s="764"/>
      <c r="X255" s="723" t="str">
        <f aca="false">IFERROR(VLOOKUP(B255,TE!$H$1:$Y$630,14,FALSE()),"0")</f>
        <v>0</v>
      </c>
      <c r="Y255" s="723"/>
      <c r="Z255" s="723"/>
      <c r="AA255" s="723"/>
      <c r="AB255" s="765" t="n">
        <f aca="false">T255*X255</f>
        <v>0</v>
      </c>
      <c r="AC255" s="765"/>
      <c r="AD255" s="765"/>
      <c r="AE255" s="736"/>
      <c r="AF255" s="736"/>
    </row>
    <row r="256" customFormat="false" ht="15.75" hidden="false" customHeight="true" outlineLevel="0" collapsed="false">
      <c r="A256" s="736"/>
      <c r="B256" s="784" t="s">
        <v>1608</v>
      </c>
      <c r="C256" s="728"/>
      <c r="D256" s="728"/>
      <c r="E256" s="762" t="str">
        <f aca="false">IFERROR(VLOOKUP(B256,TE!$H$1:$Y$749,2,FALSE()),"(Not on TE)")</f>
        <v>(Not on TE)</v>
      </c>
      <c r="F256" s="728"/>
      <c r="G256" s="729"/>
      <c r="H256" s="729"/>
      <c r="I256" s="729"/>
      <c r="J256" s="729"/>
      <c r="K256" s="729"/>
      <c r="L256" s="729"/>
      <c r="M256" s="729"/>
      <c r="N256" s="764" t="str">
        <f aca="false">IFERROR(VLOOKUP(B256,TE!$H$1:$Y$749,18,FALSE()),"")</f>
        <v/>
      </c>
      <c r="O256" s="764"/>
      <c r="P256" s="764"/>
      <c r="Q256" s="764"/>
      <c r="R256" s="764"/>
      <c r="S256" s="764"/>
      <c r="T256" s="764" t="n">
        <f aca="false">IFERROR(SUMIFS(TE!$O:$O,TE!$G:$G,$B$179,TE!$I:$I,B256,TE!$D:$D,$C$5),"")</f>
        <v>0</v>
      </c>
      <c r="U256" s="764"/>
      <c r="V256" s="764"/>
      <c r="W256" s="764"/>
      <c r="X256" s="723" t="str">
        <f aca="false">IFERROR(VLOOKUP(B256,TE!$H$1:$Y$630,14,FALSE()),"0")</f>
        <v>0</v>
      </c>
      <c r="Y256" s="723"/>
      <c r="Z256" s="723"/>
      <c r="AA256" s="723"/>
      <c r="AB256" s="765" t="n">
        <f aca="false">T256*X256</f>
        <v>0</v>
      </c>
      <c r="AC256" s="765"/>
      <c r="AD256" s="765"/>
      <c r="AE256" s="736"/>
      <c r="AF256" s="736"/>
    </row>
    <row r="257" customFormat="false" ht="15.75" hidden="false" customHeight="true" outlineLevel="0" collapsed="false">
      <c r="A257" s="736"/>
      <c r="B257" s="784" t="s">
        <v>1609</v>
      </c>
      <c r="C257" s="728"/>
      <c r="D257" s="728"/>
      <c r="E257" s="762" t="str">
        <f aca="false">IFERROR(VLOOKUP(B257,TE!$H$1:$Y$749,2,FALSE()),"(Not on TE)")</f>
        <v>(Not on TE)</v>
      </c>
      <c r="F257" s="728"/>
      <c r="G257" s="729"/>
      <c r="H257" s="729"/>
      <c r="I257" s="729"/>
      <c r="J257" s="729"/>
      <c r="K257" s="729"/>
      <c r="L257" s="729"/>
      <c r="M257" s="729"/>
      <c r="N257" s="764" t="str">
        <f aca="false">IFERROR(VLOOKUP(B257,TE!$H$1:$Y$749,18,FALSE()),"")</f>
        <v/>
      </c>
      <c r="O257" s="764"/>
      <c r="P257" s="764"/>
      <c r="Q257" s="764"/>
      <c r="R257" s="764"/>
      <c r="S257" s="764"/>
      <c r="T257" s="764" t="n">
        <f aca="false">IFERROR(SUMIFS(TE!$O:$O,TE!$G:$G,$B$179,TE!$I:$I,B257,TE!$D:$D,$C$5),"")</f>
        <v>0</v>
      </c>
      <c r="U257" s="764"/>
      <c r="V257" s="764"/>
      <c r="W257" s="764"/>
      <c r="X257" s="723" t="str">
        <f aca="false">IFERROR(VLOOKUP(B257,TE!$H$1:$Y$630,14,FALSE()),"0")</f>
        <v>0</v>
      </c>
      <c r="Y257" s="723"/>
      <c r="Z257" s="723"/>
      <c r="AA257" s="723"/>
      <c r="AB257" s="765" t="n">
        <f aca="false">T257*X257</f>
        <v>0</v>
      </c>
      <c r="AC257" s="765"/>
      <c r="AD257" s="765"/>
      <c r="AE257" s="736"/>
      <c r="AF257" s="736"/>
    </row>
    <row r="258" customFormat="false" ht="15.75" hidden="false" customHeight="true" outlineLevel="0" collapsed="false">
      <c r="A258" s="736"/>
      <c r="B258" s="784" t="s">
        <v>1610</v>
      </c>
      <c r="C258" s="728"/>
      <c r="D258" s="728"/>
      <c r="E258" s="762" t="str">
        <f aca="false">IFERROR(VLOOKUP(B258,TE!$H$1:$Y$749,2,FALSE()),"(Not on TE)")</f>
        <v>(Not on TE)</v>
      </c>
      <c r="F258" s="728"/>
      <c r="G258" s="729"/>
      <c r="H258" s="729"/>
      <c r="I258" s="729"/>
      <c r="J258" s="729"/>
      <c r="K258" s="729"/>
      <c r="L258" s="729"/>
      <c r="M258" s="729"/>
      <c r="N258" s="764" t="str">
        <f aca="false">IFERROR(VLOOKUP(B258,TE!$H$1:$Y$749,18,FALSE()),"")</f>
        <v/>
      </c>
      <c r="O258" s="764"/>
      <c r="P258" s="764"/>
      <c r="Q258" s="764"/>
      <c r="R258" s="764"/>
      <c r="S258" s="764"/>
      <c r="T258" s="764" t="n">
        <f aca="false">IFERROR(SUMIFS(TE!$O:$O,TE!$G:$G,$B$179,TE!$I:$I,B258,TE!$D:$D,$C$5),"")</f>
        <v>0</v>
      </c>
      <c r="U258" s="764"/>
      <c r="V258" s="764"/>
      <c r="W258" s="764"/>
      <c r="X258" s="723" t="str">
        <f aca="false">IFERROR(VLOOKUP(B258,TE!$H$1:$Y$630,14,FALSE()),"0")</f>
        <v>0</v>
      </c>
      <c r="Y258" s="723"/>
      <c r="Z258" s="723"/>
      <c r="AA258" s="723"/>
      <c r="AB258" s="765" t="n">
        <f aca="false">T258*X258</f>
        <v>0</v>
      </c>
      <c r="AC258" s="765"/>
      <c r="AD258" s="765"/>
      <c r="AE258" s="736"/>
      <c r="AF258" s="736"/>
    </row>
    <row r="259" customFormat="false" ht="15.75" hidden="false" customHeight="true" outlineLevel="0" collapsed="false">
      <c r="A259" s="736"/>
      <c r="B259" s="784" t="s">
        <v>1611</v>
      </c>
      <c r="C259" s="728"/>
      <c r="D259" s="728"/>
      <c r="E259" s="762" t="str">
        <f aca="false">IFERROR(VLOOKUP(B259,TE!$H$1:$Y$749,2,FALSE()),"(Not on TE)")</f>
        <v>(Not on TE)</v>
      </c>
      <c r="F259" s="728"/>
      <c r="G259" s="729"/>
      <c r="H259" s="729"/>
      <c r="I259" s="729"/>
      <c r="J259" s="729"/>
      <c r="K259" s="729"/>
      <c r="L259" s="729"/>
      <c r="M259" s="729"/>
      <c r="N259" s="764" t="str">
        <f aca="false">IFERROR(VLOOKUP(B259,TE!$H$1:$Y$749,18,FALSE()),"")</f>
        <v/>
      </c>
      <c r="O259" s="764"/>
      <c r="P259" s="764"/>
      <c r="Q259" s="764"/>
      <c r="R259" s="764"/>
      <c r="S259" s="764"/>
      <c r="T259" s="764" t="n">
        <f aca="false">IFERROR(SUMIFS(TE!$O:$O,TE!$G:$G,$B$179,TE!$I:$I,B259,TE!$D:$D,$C$5),"")</f>
        <v>0</v>
      </c>
      <c r="U259" s="764"/>
      <c r="V259" s="764"/>
      <c r="W259" s="764"/>
      <c r="X259" s="723" t="str">
        <f aca="false">IFERROR(VLOOKUP(B259,TE!$H$1:$Y$630,14,FALSE()),"0")</f>
        <v>0</v>
      </c>
      <c r="Y259" s="723"/>
      <c r="Z259" s="723"/>
      <c r="AA259" s="723"/>
      <c r="AB259" s="765" t="n">
        <f aca="false">T259*X259</f>
        <v>0</v>
      </c>
      <c r="AC259" s="765"/>
      <c r="AD259" s="765"/>
      <c r="AE259" s="736"/>
      <c r="AF259" s="736"/>
    </row>
    <row r="260" customFormat="false" ht="15.75" hidden="false" customHeight="true" outlineLevel="0" collapsed="false">
      <c r="A260" s="736"/>
      <c r="B260" s="786" t="s">
        <v>1612</v>
      </c>
      <c r="C260" s="787"/>
      <c r="D260" s="787"/>
      <c r="E260" s="769" t="str">
        <f aca="false">IFERROR(VLOOKUP(B260,TE!$H$1:$Y$749,2,FALSE()),"(Not on TE)")</f>
        <v>(Not on TE)</v>
      </c>
      <c r="F260" s="787"/>
      <c r="G260" s="788"/>
      <c r="H260" s="788"/>
      <c r="I260" s="788"/>
      <c r="J260" s="788"/>
      <c r="K260" s="788"/>
      <c r="L260" s="788"/>
      <c r="M260" s="788"/>
      <c r="N260" s="771" t="str">
        <f aca="false">IFERROR(VLOOKUP(B260,TE!$H$1:$Y$749,18,FALSE()),"")</f>
        <v/>
      </c>
      <c r="O260" s="771"/>
      <c r="P260" s="771"/>
      <c r="Q260" s="771"/>
      <c r="R260" s="771"/>
      <c r="S260" s="771"/>
      <c r="T260" s="771" t="n">
        <f aca="false">IFERROR(SUMIFS(TE!$O:$O,TE!$G:$G,$B$179,TE!$I:$I,B260,TE!$D:$D,$C$5),"")</f>
        <v>0</v>
      </c>
      <c r="U260" s="771"/>
      <c r="V260" s="771"/>
      <c r="W260" s="771"/>
      <c r="X260" s="727" t="str">
        <f aca="false">IFERROR(VLOOKUP(B260,TE!$H$1:$Y$630,14,FALSE()),"0")</f>
        <v>0</v>
      </c>
      <c r="Y260" s="727"/>
      <c r="Z260" s="727"/>
      <c r="AA260" s="727"/>
      <c r="AB260" s="772" t="n">
        <f aca="false">T260*X260</f>
        <v>0</v>
      </c>
      <c r="AC260" s="772"/>
      <c r="AD260" s="772"/>
      <c r="AE260" s="736"/>
      <c r="AF260" s="736"/>
    </row>
    <row r="261" customFormat="false" ht="15.75" hidden="false" customHeight="true" outlineLevel="0" collapsed="false">
      <c r="A261" s="736"/>
      <c r="B261" s="761"/>
      <c r="C261" s="728"/>
      <c r="D261" s="728"/>
      <c r="E261" s="728"/>
      <c r="F261" s="728"/>
      <c r="G261" s="729"/>
      <c r="H261" s="729"/>
      <c r="I261" s="729"/>
      <c r="J261" s="729"/>
      <c r="K261" s="729"/>
      <c r="L261" s="729"/>
      <c r="M261" s="729"/>
      <c r="N261" s="789"/>
      <c r="O261" s="789"/>
      <c r="P261" s="789"/>
      <c r="Q261" s="789"/>
      <c r="R261" s="790"/>
      <c r="S261" s="790"/>
      <c r="T261" s="790"/>
      <c r="U261" s="790"/>
      <c r="V261" s="790"/>
      <c r="W261" s="790"/>
      <c r="X261" s="790"/>
      <c r="Y261" s="790"/>
      <c r="Z261" s="791" t="s">
        <v>1576</v>
      </c>
      <c r="AA261" s="791"/>
      <c r="AB261" s="791"/>
      <c r="AC261" s="791"/>
      <c r="AD261" s="791"/>
      <c r="AE261" s="736"/>
      <c r="AF261" s="736"/>
    </row>
    <row r="262" customFormat="false" ht="15.75" hidden="false" customHeight="true" outlineLevel="0" collapsed="false">
      <c r="A262" s="736"/>
      <c r="B262" s="768"/>
      <c r="C262" s="728"/>
      <c r="D262" s="728"/>
      <c r="E262" s="728"/>
      <c r="F262" s="728"/>
      <c r="G262" s="792"/>
      <c r="H262" s="792"/>
      <c r="I262" s="792"/>
      <c r="J262" s="792"/>
      <c r="K262" s="792"/>
      <c r="L262" s="792"/>
      <c r="M262" s="792"/>
      <c r="N262" s="793"/>
      <c r="O262" s="793"/>
      <c r="P262" s="793"/>
      <c r="Q262" s="793"/>
      <c r="R262" s="794"/>
      <c r="S262" s="794"/>
      <c r="T262" s="794"/>
      <c r="U262" s="794"/>
      <c r="V262" s="794"/>
      <c r="W262" s="794"/>
      <c r="X262" s="794"/>
      <c r="Y262" s="794"/>
      <c r="Z262" s="736"/>
      <c r="AA262" s="736"/>
      <c r="AB262" s="736"/>
      <c r="AC262" s="736"/>
      <c r="AD262" s="736"/>
      <c r="AE262" s="736"/>
      <c r="AF262" s="736"/>
    </row>
    <row r="263" customFormat="false" ht="15.75" hidden="false" customHeight="true" outlineLevel="0" collapsed="false">
      <c r="A263" s="795"/>
      <c r="B263" s="682"/>
      <c r="C263" s="795"/>
      <c r="D263" s="795"/>
      <c r="E263" s="795"/>
      <c r="F263" s="795"/>
      <c r="G263" s="795"/>
      <c r="H263" s="795"/>
      <c r="I263" s="795"/>
      <c r="J263" s="795"/>
      <c r="K263" s="795"/>
      <c r="L263" s="795"/>
      <c r="M263" s="795"/>
      <c r="N263" s="795"/>
      <c r="O263" s="795"/>
      <c r="P263" s="795"/>
      <c r="Q263" s="795"/>
      <c r="R263" s="795"/>
      <c r="S263" s="795"/>
      <c r="T263" s="795"/>
      <c r="U263" s="795"/>
      <c r="V263" s="795"/>
      <c r="W263" s="795"/>
      <c r="X263" s="795"/>
      <c r="Y263" s="795"/>
      <c r="Z263" s="795"/>
      <c r="AA263" s="795"/>
      <c r="AB263" s="748"/>
      <c r="AC263" s="749"/>
      <c r="AD263" s="750"/>
      <c r="AE263" s="750"/>
      <c r="AF263" s="750"/>
    </row>
    <row r="264" customFormat="false" ht="15.75" hidden="false" customHeight="true" outlineLevel="0" collapsed="false">
      <c r="A264" s="688" t="s">
        <v>1522</v>
      </c>
      <c r="B264" s="688"/>
      <c r="C264" s="751" t="n">
        <f aca="false">$C$5</f>
        <v>21451</v>
      </c>
      <c r="D264" s="751"/>
      <c r="E264" s="751"/>
      <c r="F264" s="751"/>
      <c r="G264" s="751"/>
      <c r="H264" s="751"/>
      <c r="I264" s="751"/>
      <c r="J264" s="751"/>
      <c r="K264" s="751"/>
      <c r="L264" s="751"/>
      <c r="M264" s="688" t="s">
        <v>1523</v>
      </c>
      <c r="N264" s="688"/>
      <c r="O264" s="688"/>
      <c r="P264" s="688"/>
      <c r="Q264" s="688"/>
      <c r="R264" s="752" t="str">
        <f aca="false">$R$5</f>
        <v>Automotive Organizational Shop</v>
      </c>
      <c r="S264" s="752"/>
      <c r="T264" s="752"/>
      <c r="U264" s="752"/>
      <c r="V264" s="752"/>
      <c r="W264" s="752"/>
      <c r="X264" s="752"/>
      <c r="Y264" s="752"/>
      <c r="Z264" s="752"/>
      <c r="AA264" s="752"/>
      <c r="AB264" s="752"/>
      <c r="AC264" s="752"/>
      <c r="AD264" s="752"/>
      <c r="AE264" s="752"/>
      <c r="AF264" s="752"/>
    </row>
    <row r="265" customFormat="false" ht="15.75" hidden="false" customHeight="true" outlineLevel="0" collapsed="false">
      <c r="A265" s="736"/>
      <c r="B265" s="761"/>
      <c r="C265" s="761"/>
      <c r="D265" s="761"/>
      <c r="E265" s="763"/>
      <c r="F265" s="763"/>
      <c r="G265" s="763"/>
      <c r="H265" s="763"/>
      <c r="I265" s="763"/>
      <c r="J265" s="763"/>
      <c r="K265" s="763"/>
      <c r="L265" s="763"/>
      <c r="M265" s="763"/>
      <c r="N265" s="773"/>
      <c r="O265" s="773"/>
      <c r="P265" s="773"/>
      <c r="Q265" s="773"/>
      <c r="R265" s="773"/>
      <c r="S265" s="773"/>
      <c r="T265" s="773"/>
      <c r="U265" s="773"/>
      <c r="V265" s="773"/>
      <c r="W265" s="773"/>
      <c r="X265" s="774"/>
      <c r="Y265" s="774"/>
      <c r="Z265" s="774"/>
      <c r="AA265" s="774"/>
      <c r="AB265" s="778"/>
      <c r="AC265" s="778"/>
      <c r="AD265" s="778"/>
      <c r="AE265" s="766"/>
      <c r="AF265" s="736"/>
    </row>
    <row r="266" customFormat="false" ht="15.75" hidden="false" customHeight="true" outlineLevel="0" collapsed="false">
      <c r="A266" s="736"/>
      <c r="B266" s="779" t="str">
        <f aca="false">B223</f>
        <v>M28263</v>
      </c>
      <c r="C266" s="768"/>
      <c r="D266" s="768"/>
      <c r="E266" s="769" t="str">
        <f aca="false">E223</f>
        <v>SURGICAL COMPANY A</v>
      </c>
      <c r="F266" s="770"/>
      <c r="G266" s="770"/>
      <c r="H266" s="770"/>
      <c r="I266" s="770"/>
      <c r="J266" s="770"/>
      <c r="K266" s="770"/>
      <c r="L266" s="770"/>
      <c r="M266" s="770"/>
      <c r="N266" s="780"/>
      <c r="O266" s="780"/>
      <c r="P266" s="780"/>
      <c r="Q266" s="780"/>
      <c r="R266" s="780"/>
      <c r="S266" s="780"/>
      <c r="T266" s="780"/>
      <c r="U266" s="780"/>
      <c r="V266" s="780"/>
      <c r="W266" s="780"/>
      <c r="X266" s="781"/>
      <c r="Y266" s="781"/>
      <c r="Z266" s="781"/>
      <c r="AA266" s="781"/>
      <c r="AB266" s="782"/>
      <c r="AC266" s="782"/>
      <c r="AD266" s="782"/>
      <c r="AE266" s="766"/>
      <c r="AF266" s="736"/>
    </row>
    <row r="267" customFormat="false" ht="15.75" hidden="false" customHeight="true" outlineLevel="0" collapsed="false">
      <c r="A267" s="736"/>
      <c r="B267" s="796" t="s">
        <v>1613</v>
      </c>
      <c r="C267" s="761"/>
      <c r="D267" s="761"/>
      <c r="E267" s="762" t="str">
        <f aca="false">IFERROR(VLOOKUP(B267,TE!$H$1:$Y$749,2,FALSE()),"(Not on TE)")</f>
        <v>(Not on TE)</v>
      </c>
      <c r="F267" s="763"/>
      <c r="G267" s="763"/>
      <c r="H267" s="763"/>
      <c r="I267" s="763"/>
      <c r="J267" s="763"/>
      <c r="K267" s="763"/>
      <c r="L267" s="763"/>
      <c r="M267" s="763"/>
      <c r="N267" s="799" t="str">
        <f aca="false">IFERROR(VLOOKUP(B267,TE!$H$1:$Y$749,18,FALSE()),"")</f>
        <v/>
      </c>
      <c r="O267" s="799"/>
      <c r="P267" s="799"/>
      <c r="Q267" s="799"/>
      <c r="R267" s="799"/>
      <c r="S267" s="799"/>
      <c r="T267" s="799" t="n">
        <f aca="false">IFERROR(SUMIFS(TE!$O:$O,TE!$G:$G,$B$179,TE!$I:$I,B267,TE!$D:$D,$C$5),"")</f>
        <v>0</v>
      </c>
      <c r="U267" s="799"/>
      <c r="V267" s="799"/>
      <c r="W267" s="799"/>
      <c r="X267" s="800" t="str">
        <f aca="false">IFERROR(VLOOKUP(B267,TE!$H$1:$Y$630,14,FALSE()),"0")</f>
        <v>0</v>
      </c>
      <c r="Y267" s="800"/>
      <c r="Z267" s="800"/>
      <c r="AA267" s="800"/>
      <c r="AB267" s="801" t="n">
        <f aca="false">T267*X267</f>
        <v>0</v>
      </c>
      <c r="AC267" s="801"/>
      <c r="AD267" s="801"/>
      <c r="AE267" s="766"/>
      <c r="AF267" s="736"/>
    </row>
    <row r="268" customFormat="false" ht="15.75" hidden="false" customHeight="true" outlineLevel="0" collapsed="false">
      <c r="A268" s="736"/>
      <c r="B268" s="797" t="s">
        <v>1614</v>
      </c>
      <c r="C268" s="761"/>
      <c r="D268" s="761"/>
      <c r="E268" s="762" t="str">
        <f aca="false">IFERROR(VLOOKUP(B268,TE!$H$1:$Y$749,2,FALSE()),"(Not on TE)")</f>
        <v>(Not on TE)</v>
      </c>
      <c r="F268" s="763"/>
      <c r="G268" s="763"/>
      <c r="H268" s="763"/>
      <c r="I268" s="763"/>
      <c r="J268" s="763"/>
      <c r="K268" s="763"/>
      <c r="L268" s="763"/>
      <c r="M268" s="763"/>
      <c r="N268" s="764" t="str">
        <f aca="false">IFERROR(VLOOKUP(B268,TE!$H$1:$Y$749,18,FALSE()),"")</f>
        <v/>
      </c>
      <c r="O268" s="764"/>
      <c r="P268" s="764"/>
      <c r="Q268" s="764"/>
      <c r="R268" s="764"/>
      <c r="S268" s="764"/>
      <c r="T268" s="764" t="n">
        <f aca="false">IFERROR(SUMIFS(TE!$O:$O,TE!$G:$G,$B$179,TE!$I:$I,B268,TE!$D:$D,$C$5),"")</f>
        <v>0</v>
      </c>
      <c r="U268" s="764"/>
      <c r="V268" s="764"/>
      <c r="W268" s="764"/>
      <c r="X268" s="723" t="str">
        <f aca="false">IFERROR(VLOOKUP(B268,TE!$H$1:$Y$630,14,FALSE()),"0")</f>
        <v>0</v>
      </c>
      <c r="Y268" s="723"/>
      <c r="Z268" s="723"/>
      <c r="AA268" s="723"/>
      <c r="AB268" s="765" t="n">
        <f aca="false">T268*X268</f>
        <v>0</v>
      </c>
      <c r="AC268" s="765"/>
      <c r="AD268" s="765"/>
      <c r="AE268" s="766"/>
      <c r="AF268" s="736"/>
    </row>
    <row r="269" customFormat="false" ht="15.75" hidden="false" customHeight="true" outlineLevel="0" collapsed="false">
      <c r="A269" s="736"/>
      <c r="B269" s="797" t="s">
        <v>1615</v>
      </c>
      <c r="C269" s="761"/>
      <c r="D269" s="761"/>
      <c r="E269" s="762" t="str">
        <f aca="false">IFERROR(VLOOKUP(B269,TE!$H$1:$Y$749,2,FALSE()),"(Not on TE)")</f>
        <v>(Not on TE)</v>
      </c>
      <c r="F269" s="763"/>
      <c r="G269" s="763"/>
      <c r="H269" s="763"/>
      <c r="I269" s="763"/>
      <c r="J269" s="763"/>
      <c r="K269" s="763"/>
      <c r="L269" s="763"/>
      <c r="M269" s="763"/>
      <c r="N269" s="764" t="str">
        <f aca="false">IFERROR(VLOOKUP(B269,TE!$H$1:$Y$749,18,FALSE()),"")</f>
        <v/>
      </c>
      <c r="O269" s="764"/>
      <c r="P269" s="764"/>
      <c r="Q269" s="764"/>
      <c r="R269" s="764"/>
      <c r="S269" s="764"/>
      <c r="T269" s="764" t="n">
        <f aca="false">IFERROR(SUMIFS(TE!$O:$O,TE!$G:$G,$B$179,TE!$I:$I,B269,TE!$D:$D,$C$5),"")</f>
        <v>0</v>
      </c>
      <c r="U269" s="764"/>
      <c r="V269" s="764"/>
      <c r="W269" s="764"/>
      <c r="X269" s="723" t="str">
        <f aca="false">IFERROR(VLOOKUP(B269,TE!$H$1:$Y$630,14,FALSE()),"0")</f>
        <v>0</v>
      </c>
      <c r="Y269" s="723"/>
      <c r="Z269" s="723"/>
      <c r="AA269" s="723"/>
      <c r="AB269" s="765" t="n">
        <f aca="false">T269*X269</f>
        <v>0</v>
      </c>
      <c r="AC269" s="765"/>
      <c r="AD269" s="765"/>
      <c r="AE269" s="766"/>
      <c r="AF269" s="736"/>
    </row>
    <row r="270" customFormat="false" ht="15.75" hidden="false" customHeight="true" outlineLevel="0" collapsed="false">
      <c r="A270" s="736"/>
      <c r="B270" s="797" t="s">
        <v>1167</v>
      </c>
      <c r="C270" s="761"/>
      <c r="D270" s="761"/>
      <c r="E270" s="762" t="str">
        <f aca="false">IFERROR(VLOOKUP(B270,TE!$H$1:$Y$749,2,FALSE()),"(Not on TE)")</f>
        <v>(Not on TE)</v>
      </c>
      <c r="F270" s="763"/>
      <c r="G270" s="763"/>
      <c r="H270" s="763"/>
      <c r="I270" s="763"/>
      <c r="J270" s="763"/>
      <c r="K270" s="763"/>
      <c r="L270" s="763"/>
      <c r="M270" s="763"/>
      <c r="N270" s="764" t="str">
        <f aca="false">IFERROR(VLOOKUP(B270,TE!$H$1:$Y$749,18,FALSE()),"")</f>
        <v/>
      </c>
      <c r="O270" s="764"/>
      <c r="P270" s="764"/>
      <c r="Q270" s="764"/>
      <c r="R270" s="764"/>
      <c r="S270" s="764"/>
      <c r="T270" s="764" t="n">
        <f aca="false">IFERROR(SUMIFS(TE!$O:$O,TE!$G:$G,$B$179,TE!$I:$I,B270,TE!$D:$D,$C$5),"")</f>
        <v>1</v>
      </c>
      <c r="U270" s="764"/>
      <c r="V270" s="764"/>
      <c r="W270" s="764"/>
      <c r="X270" s="723" t="str">
        <f aca="false">IFERROR(VLOOKUP(B270,TE!$H$1:$Y$630,14,FALSE()),"0")</f>
        <v>0</v>
      </c>
      <c r="Y270" s="723"/>
      <c r="Z270" s="723"/>
      <c r="AA270" s="723"/>
      <c r="AB270" s="765" t="n">
        <f aca="false">T270*X270</f>
        <v>0</v>
      </c>
      <c r="AC270" s="765"/>
      <c r="AD270" s="765"/>
      <c r="AE270" s="766"/>
      <c r="AF270" s="736"/>
    </row>
    <row r="271" customFormat="false" ht="15.75" hidden="false" customHeight="true" outlineLevel="0" collapsed="false">
      <c r="A271" s="736"/>
      <c r="B271" s="797" t="s">
        <v>1618</v>
      </c>
      <c r="C271" s="761"/>
      <c r="D271" s="761"/>
      <c r="E271" s="762" t="str">
        <f aca="false">IFERROR(VLOOKUP(B271,TE!$H$1:$Y$749,2,FALSE()),"(Not on TE)")</f>
        <v>(Not on TE)</v>
      </c>
      <c r="F271" s="763"/>
      <c r="G271" s="763"/>
      <c r="H271" s="763"/>
      <c r="I271" s="763"/>
      <c r="J271" s="763"/>
      <c r="K271" s="763"/>
      <c r="L271" s="763"/>
      <c r="M271" s="763"/>
      <c r="N271" s="764" t="str">
        <f aca="false">IFERROR(VLOOKUP(B271,TE!$H$1:$Y$749,18,FALSE()),"")</f>
        <v/>
      </c>
      <c r="O271" s="764"/>
      <c r="P271" s="764"/>
      <c r="Q271" s="764"/>
      <c r="R271" s="764"/>
      <c r="S271" s="764"/>
      <c r="T271" s="764" t="n">
        <f aca="false">IFERROR(SUMIFS(TE!$O:$O,TE!$G:$G,$B$179,TE!$I:$I,B271,TE!$D:$D,$C$5),"")</f>
        <v>0</v>
      </c>
      <c r="U271" s="764"/>
      <c r="V271" s="764"/>
      <c r="W271" s="764"/>
      <c r="X271" s="723" t="str">
        <f aca="false">IFERROR(VLOOKUP(B271,TE!$H$1:$Y$630,14,FALSE()),"0")</f>
        <v>0</v>
      </c>
      <c r="Y271" s="723"/>
      <c r="Z271" s="723"/>
      <c r="AA271" s="723"/>
      <c r="AB271" s="765" t="n">
        <f aca="false">T271*X271</f>
        <v>0</v>
      </c>
      <c r="AC271" s="765"/>
      <c r="AD271" s="765"/>
      <c r="AE271" s="766"/>
      <c r="AF271" s="736"/>
    </row>
    <row r="272" customFormat="false" ht="15.75" hidden="false" customHeight="true" outlineLevel="0" collapsed="false">
      <c r="A272" s="736"/>
      <c r="B272" s="797" t="s">
        <v>1114</v>
      </c>
      <c r="C272" s="761"/>
      <c r="D272" s="761"/>
      <c r="E272" s="762" t="str">
        <f aca="false">IFERROR(VLOOKUP(B272,TE!$H$1:$Y$749,2,FALSE()),"(Not on TE)")</f>
        <v>(Not on TE)</v>
      </c>
      <c r="F272" s="763"/>
      <c r="G272" s="763"/>
      <c r="H272" s="763"/>
      <c r="I272" s="763"/>
      <c r="J272" s="763"/>
      <c r="K272" s="763"/>
      <c r="L272" s="763"/>
      <c r="M272" s="763"/>
      <c r="N272" s="764" t="str">
        <f aca="false">IFERROR(VLOOKUP(B272,TE!$H$1:$Y$749,18,FALSE()),"")</f>
        <v/>
      </c>
      <c r="O272" s="764"/>
      <c r="P272" s="764"/>
      <c r="Q272" s="764"/>
      <c r="R272" s="764"/>
      <c r="S272" s="764"/>
      <c r="T272" s="764" t="n">
        <f aca="false">IFERROR(SUMIFS(TE!$O:$O,TE!$G:$G,$B$179,TE!$I:$I,B272,TE!$D:$D,$C$5),"")</f>
        <v>3</v>
      </c>
      <c r="U272" s="764"/>
      <c r="V272" s="764"/>
      <c r="W272" s="764"/>
      <c r="X272" s="723" t="str">
        <f aca="false">IFERROR(VLOOKUP(B272,TE!$H$1:$Y$630,14,FALSE()),"0")</f>
        <v>0</v>
      </c>
      <c r="Y272" s="723"/>
      <c r="Z272" s="723"/>
      <c r="AA272" s="723"/>
      <c r="AB272" s="765" t="n">
        <f aca="false">T272*X272</f>
        <v>0</v>
      </c>
      <c r="AC272" s="765"/>
      <c r="AD272" s="765"/>
      <c r="AE272" s="766"/>
      <c r="AF272" s="736"/>
    </row>
    <row r="273" customFormat="false" ht="15.75" hidden="false" customHeight="true" outlineLevel="0" collapsed="false">
      <c r="A273" s="736"/>
      <c r="B273" s="797" t="s">
        <v>1619</v>
      </c>
      <c r="C273" s="761"/>
      <c r="D273" s="761"/>
      <c r="E273" s="762" t="str">
        <f aca="false">IFERROR(VLOOKUP(B273,TE!$H$1:$Y$749,2,FALSE()),"(Not on TE)")</f>
        <v>(Not on TE)</v>
      </c>
      <c r="F273" s="763"/>
      <c r="G273" s="763"/>
      <c r="H273" s="763"/>
      <c r="I273" s="763"/>
      <c r="J273" s="763"/>
      <c r="K273" s="763"/>
      <c r="L273" s="763"/>
      <c r="M273" s="763"/>
      <c r="N273" s="764" t="str">
        <f aca="false">IFERROR(VLOOKUP(B273,TE!$H$1:$Y$749,18,FALSE()),"")</f>
        <v/>
      </c>
      <c r="O273" s="764"/>
      <c r="P273" s="764"/>
      <c r="Q273" s="764"/>
      <c r="R273" s="764"/>
      <c r="S273" s="764"/>
      <c r="T273" s="764" t="n">
        <f aca="false">IFERROR(SUMIFS(TE!$O:$O,TE!$G:$G,$B$179,TE!$I:$I,B273,TE!$D:$D,$C$5),"")</f>
        <v>0</v>
      </c>
      <c r="U273" s="764"/>
      <c r="V273" s="764"/>
      <c r="W273" s="764"/>
      <c r="X273" s="723" t="str">
        <f aca="false">IFERROR(VLOOKUP(B273,TE!$H$1:$Y$630,14,FALSE()),"0")</f>
        <v>0</v>
      </c>
      <c r="Y273" s="723"/>
      <c r="Z273" s="723"/>
      <c r="AA273" s="723"/>
      <c r="AB273" s="765" t="n">
        <f aca="false">T273*X273</f>
        <v>0</v>
      </c>
      <c r="AC273" s="765"/>
      <c r="AD273" s="765"/>
      <c r="AE273" s="766"/>
      <c r="AF273" s="736"/>
    </row>
    <row r="274" customFormat="false" ht="15.75" hidden="false" customHeight="true" outlineLevel="0" collapsed="false">
      <c r="A274" s="736"/>
      <c r="B274" s="797" t="s">
        <v>1620</v>
      </c>
      <c r="C274" s="761"/>
      <c r="D274" s="761"/>
      <c r="E274" s="762" t="str">
        <f aca="false">IFERROR(VLOOKUP(B274,TE!$H$1:$Y$749,2,FALSE()),"(Not on TE)")</f>
        <v>(Not on TE)</v>
      </c>
      <c r="F274" s="763"/>
      <c r="G274" s="763"/>
      <c r="H274" s="763"/>
      <c r="I274" s="763"/>
      <c r="J274" s="763"/>
      <c r="K274" s="763"/>
      <c r="L274" s="763"/>
      <c r="M274" s="763"/>
      <c r="N274" s="764" t="str">
        <f aca="false">IFERROR(VLOOKUP(B274,TE!$H$1:$Y$749,18,FALSE()),"")</f>
        <v/>
      </c>
      <c r="O274" s="764"/>
      <c r="P274" s="764"/>
      <c r="Q274" s="764"/>
      <c r="R274" s="764"/>
      <c r="S274" s="764"/>
      <c r="T274" s="764" t="n">
        <f aca="false">IFERROR(SUMIFS(TE!$O:$O,TE!$G:$G,$B$179,TE!$I:$I,B274,TE!$D:$D,$C$5),"")</f>
        <v>0</v>
      </c>
      <c r="U274" s="764"/>
      <c r="V274" s="764"/>
      <c r="W274" s="764"/>
      <c r="X274" s="723" t="str">
        <f aca="false">IFERROR(VLOOKUP(B274,TE!$H$1:$Y$630,14,FALSE()),"0")</f>
        <v>0</v>
      </c>
      <c r="Y274" s="723"/>
      <c r="Z274" s="723"/>
      <c r="AA274" s="723"/>
      <c r="AB274" s="765" t="n">
        <f aca="false">T274*X274</f>
        <v>0</v>
      </c>
      <c r="AC274" s="765"/>
      <c r="AD274" s="765"/>
      <c r="AE274" s="766"/>
      <c r="AF274" s="736"/>
    </row>
    <row r="275" customFormat="false" ht="15.75" hidden="false" customHeight="true" outlineLevel="0" collapsed="false">
      <c r="A275" s="736"/>
      <c r="B275" s="797" t="s">
        <v>1621</v>
      </c>
      <c r="C275" s="761"/>
      <c r="D275" s="761"/>
      <c r="E275" s="762" t="str">
        <f aca="false">IFERROR(VLOOKUP(B275,TE!$H$1:$Y$749,2,FALSE()),"(Not on TE)")</f>
        <v>(Not on TE)</v>
      </c>
      <c r="F275" s="763"/>
      <c r="G275" s="763"/>
      <c r="H275" s="763"/>
      <c r="I275" s="763"/>
      <c r="J275" s="763"/>
      <c r="K275" s="763"/>
      <c r="L275" s="763"/>
      <c r="M275" s="763"/>
      <c r="N275" s="764" t="str">
        <f aca="false">IFERROR(VLOOKUP(B275,TE!$H$1:$Y$749,18,FALSE()),"")</f>
        <v/>
      </c>
      <c r="O275" s="764"/>
      <c r="P275" s="764"/>
      <c r="Q275" s="764"/>
      <c r="R275" s="764"/>
      <c r="S275" s="764"/>
      <c r="T275" s="764" t="n">
        <f aca="false">IFERROR(SUMIFS(TE!$O:$O,TE!$G:$G,$B$179,TE!$I:$I,B275,TE!$D:$D,$C$5),"")</f>
        <v>0</v>
      </c>
      <c r="U275" s="764"/>
      <c r="V275" s="764"/>
      <c r="W275" s="764"/>
      <c r="X275" s="723" t="str">
        <f aca="false">IFERROR(VLOOKUP(B275,TE!$H$1:$Y$630,14,FALSE()),"0")</f>
        <v>0</v>
      </c>
      <c r="Y275" s="723"/>
      <c r="Z275" s="723"/>
      <c r="AA275" s="723"/>
      <c r="AB275" s="765" t="n">
        <f aca="false">T275*X275</f>
        <v>0</v>
      </c>
      <c r="AC275" s="765"/>
      <c r="AD275" s="765"/>
      <c r="AE275" s="766"/>
      <c r="AF275" s="736"/>
    </row>
    <row r="276" customFormat="false" ht="15.75" hidden="false" customHeight="true" outlineLevel="0" collapsed="false">
      <c r="A276" s="736"/>
      <c r="B276" s="797" t="s">
        <v>1622</v>
      </c>
      <c r="C276" s="761"/>
      <c r="D276" s="761"/>
      <c r="E276" s="762" t="str">
        <f aca="false">IFERROR(VLOOKUP(B276,TE!$H$1:$Y$749,2,FALSE()),"(Not on TE)")</f>
        <v>(Not on TE)</v>
      </c>
      <c r="F276" s="763"/>
      <c r="G276" s="763"/>
      <c r="H276" s="763"/>
      <c r="I276" s="763"/>
      <c r="J276" s="763"/>
      <c r="K276" s="763"/>
      <c r="L276" s="763"/>
      <c r="M276" s="763"/>
      <c r="N276" s="764" t="str">
        <f aca="false">IFERROR(VLOOKUP(B276,TE!$H$1:$Y$749,18,FALSE()),"")</f>
        <v/>
      </c>
      <c r="O276" s="764"/>
      <c r="P276" s="764"/>
      <c r="Q276" s="764"/>
      <c r="R276" s="764"/>
      <c r="S276" s="764"/>
      <c r="T276" s="764" t="n">
        <f aca="false">IFERROR(SUMIFS(TE!$O:$O,TE!$G:$G,$B$179,TE!$I:$I,B276,TE!$D:$D,$C$5),"")</f>
        <v>0</v>
      </c>
      <c r="U276" s="764"/>
      <c r="V276" s="764"/>
      <c r="W276" s="764"/>
      <c r="X276" s="723" t="str">
        <f aca="false">IFERROR(VLOOKUP(B276,TE!$H$1:$Y$630,14,FALSE()),"0")</f>
        <v>0</v>
      </c>
      <c r="Y276" s="723"/>
      <c r="Z276" s="723"/>
      <c r="AA276" s="723"/>
      <c r="AB276" s="765" t="n">
        <f aca="false">T276*X276</f>
        <v>0</v>
      </c>
      <c r="AC276" s="765"/>
      <c r="AD276" s="765"/>
      <c r="AE276" s="766"/>
      <c r="AF276" s="736"/>
    </row>
    <row r="277" customFormat="false" ht="15.75" hidden="false" customHeight="true" outlineLevel="0" collapsed="false">
      <c r="A277" s="736"/>
      <c r="B277" s="760" t="s">
        <v>1193</v>
      </c>
      <c r="C277" s="761"/>
      <c r="D277" s="761"/>
      <c r="E277" s="762" t="str">
        <f aca="false">IFERROR(VLOOKUP(B277,TE!$H$1:$Y$749,2,FALSE()),"(Not on TE)")</f>
        <v>(Not on TE)</v>
      </c>
      <c r="F277" s="763"/>
      <c r="G277" s="763"/>
      <c r="H277" s="763"/>
      <c r="I277" s="763"/>
      <c r="J277" s="763"/>
      <c r="K277" s="763"/>
      <c r="L277" s="763"/>
      <c r="M277" s="763"/>
      <c r="N277" s="764" t="str">
        <f aca="false">IFERROR(VLOOKUP(B277,TE!$H$1:$Y$749,18,FALSE()),"")</f>
        <v/>
      </c>
      <c r="O277" s="764"/>
      <c r="P277" s="764"/>
      <c r="Q277" s="764"/>
      <c r="R277" s="764"/>
      <c r="S277" s="764"/>
      <c r="T277" s="764" t="n">
        <f aca="false">IFERROR(SUMIFS(TE!$O:$O,TE!$G:$G,$B$179,TE!$I:$I,B277,TE!$D:$D,$C$5),"")</f>
        <v>0</v>
      </c>
      <c r="U277" s="764"/>
      <c r="V277" s="764"/>
      <c r="W277" s="764"/>
      <c r="X277" s="723" t="str">
        <f aca="false">IFERROR(VLOOKUP(B277,TE!$H$1:$Y$630,14,FALSE()),"0")</f>
        <v>0</v>
      </c>
      <c r="Y277" s="723"/>
      <c r="Z277" s="723"/>
      <c r="AA277" s="723"/>
      <c r="AB277" s="765" t="n">
        <f aca="false">T277*X277</f>
        <v>0</v>
      </c>
      <c r="AC277" s="765"/>
      <c r="AD277" s="765"/>
      <c r="AE277" s="766"/>
      <c r="AF277" s="736"/>
    </row>
    <row r="278" customFormat="false" ht="15.75" hidden="false" customHeight="true" outlineLevel="0" collapsed="false">
      <c r="A278" s="736"/>
      <c r="B278" s="760" t="s">
        <v>1623</v>
      </c>
      <c r="C278" s="761"/>
      <c r="D278" s="761"/>
      <c r="E278" s="762" t="str">
        <f aca="false">IFERROR(VLOOKUP(B278,TE!$H$1:$Y$749,2,FALSE()),"(Not on TE)")</f>
        <v>(Not on TE)</v>
      </c>
      <c r="F278" s="763"/>
      <c r="G278" s="763"/>
      <c r="H278" s="763"/>
      <c r="I278" s="763"/>
      <c r="J278" s="763"/>
      <c r="K278" s="763"/>
      <c r="L278" s="763"/>
      <c r="M278" s="763"/>
      <c r="N278" s="764" t="str">
        <f aca="false">IFERROR(VLOOKUP(B278,TE!$H$1:$Y$749,18,FALSE()),"")</f>
        <v/>
      </c>
      <c r="O278" s="764"/>
      <c r="P278" s="764"/>
      <c r="Q278" s="764"/>
      <c r="R278" s="764"/>
      <c r="S278" s="764"/>
      <c r="T278" s="764" t="n">
        <f aca="false">IFERROR(SUMIFS(TE!$O:$O,TE!$G:$G,$B$179,TE!$I:$I,B278,TE!$D:$D,$C$5),"")</f>
        <v>0</v>
      </c>
      <c r="U278" s="764"/>
      <c r="V278" s="764"/>
      <c r="W278" s="764"/>
      <c r="X278" s="723" t="str">
        <f aca="false">IFERROR(VLOOKUP(B278,TE!$H$1:$Y$630,14,FALSE()),"0")</f>
        <v>0</v>
      </c>
      <c r="Y278" s="723"/>
      <c r="Z278" s="723"/>
      <c r="AA278" s="723"/>
      <c r="AB278" s="765" t="n">
        <f aca="false">T278*X278</f>
        <v>0</v>
      </c>
      <c r="AC278" s="765"/>
      <c r="AD278" s="765"/>
      <c r="AE278" s="766"/>
      <c r="AF278" s="736"/>
    </row>
    <row r="279" customFormat="false" ht="15.75" hidden="false" customHeight="true" outlineLevel="0" collapsed="false">
      <c r="A279" s="736"/>
      <c r="B279" s="760" t="s">
        <v>1624</v>
      </c>
      <c r="C279" s="761"/>
      <c r="D279" s="761"/>
      <c r="E279" s="762" t="str">
        <f aca="false">IFERROR(VLOOKUP(B279,TE!$H$1:$Y$749,2,FALSE()),"(Not on TE)")</f>
        <v>(Not on TE)</v>
      </c>
      <c r="F279" s="763"/>
      <c r="G279" s="763"/>
      <c r="H279" s="763"/>
      <c r="I279" s="763"/>
      <c r="J279" s="763"/>
      <c r="K279" s="763"/>
      <c r="L279" s="763"/>
      <c r="M279" s="763"/>
      <c r="N279" s="764" t="str">
        <f aca="false">IFERROR(VLOOKUP(B279,TE!$H$1:$Y$749,18,FALSE()),"")</f>
        <v/>
      </c>
      <c r="O279" s="764"/>
      <c r="P279" s="764"/>
      <c r="Q279" s="764"/>
      <c r="R279" s="764"/>
      <c r="S279" s="764"/>
      <c r="T279" s="764" t="n">
        <f aca="false">IFERROR(SUMIFS(TE!$O:$O,TE!$G:$G,$B$179,TE!$I:$I,B279,TE!$D:$D,$C$5),"")</f>
        <v>0</v>
      </c>
      <c r="U279" s="764"/>
      <c r="V279" s="764"/>
      <c r="W279" s="764"/>
      <c r="X279" s="723" t="str">
        <f aca="false">IFERROR(VLOOKUP(B279,TE!$H$1:$Y$630,14,FALSE()),"0")</f>
        <v>0</v>
      </c>
      <c r="Y279" s="723"/>
      <c r="Z279" s="723"/>
      <c r="AA279" s="723"/>
      <c r="AB279" s="765" t="n">
        <f aca="false">T279*X279</f>
        <v>0</v>
      </c>
      <c r="AC279" s="765"/>
      <c r="AD279" s="765"/>
      <c r="AE279" s="766"/>
      <c r="AF279" s="736"/>
    </row>
    <row r="280" customFormat="false" ht="15.75" hidden="false" customHeight="true" outlineLevel="0" collapsed="false">
      <c r="A280" s="736"/>
      <c r="B280" s="760" t="s">
        <v>1625</v>
      </c>
      <c r="C280" s="761"/>
      <c r="D280" s="761"/>
      <c r="E280" s="762" t="str">
        <f aca="false">IFERROR(VLOOKUP(B280,TE!$H$1:$Y$749,2,FALSE()),"(Not on TE)")</f>
        <v>(Not on TE)</v>
      </c>
      <c r="F280" s="763"/>
      <c r="G280" s="763"/>
      <c r="H280" s="763"/>
      <c r="I280" s="763"/>
      <c r="J280" s="763"/>
      <c r="K280" s="763"/>
      <c r="L280" s="763"/>
      <c r="M280" s="763"/>
      <c r="N280" s="764" t="str">
        <f aca="false">IFERROR(VLOOKUP(B280,TE!$H$1:$Y$749,18,FALSE()),"")</f>
        <v/>
      </c>
      <c r="O280" s="764"/>
      <c r="P280" s="764"/>
      <c r="Q280" s="764"/>
      <c r="R280" s="764"/>
      <c r="S280" s="764"/>
      <c r="T280" s="764" t="n">
        <f aca="false">IFERROR(SUMIFS(TE!$O:$O,TE!$G:$G,$B$179,TE!$I:$I,B280,TE!$D:$D,$C$5),"")</f>
        <v>0</v>
      </c>
      <c r="U280" s="764"/>
      <c r="V280" s="764"/>
      <c r="W280" s="764"/>
      <c r="X280" s="723" t="str">
        <f aca="false">IFERROR(VLOOKUP(B280,TE!$H$1:$Y$630,14,FALSE()),"0")</f>
        <v>0</v>
      </c>
      <c r="Y280" s="723"/>
      <c r="Z280" s="723"/>
      <c r="AA280" s="723"/>
      <c r="AB280" s="765" t="n">
        <f aca="false">T280*X280</f>
        <v>0</v>
      </c>
      <c r="AC280" s="765"/>
      <c r="AD280" s="765"/>
      <c r="AE280" s="766"/>
      <c r="AF280" s="736"/>
    </row>
    <row r="281" customFormat="false" ht="15.75" hidden="false" customHeight="true" outlineLevel="0" collapsed="false">
      <c r="A281" s="736"/>
      <c r="B281" s="760" t="s">
        <v>1309</v>
      </c>
      <c r="C281" s="761"/>
      <c r="D281" s="761"/>
      <c r="E281" s="762" t="str">
        <f aca="false">IFERROR(VLOOKUP(B281,TE!$H$1:$Y$749,2,FALSE()),"(Not on TE)")</f>
        <v>(Not on TE)</v>
      </c>
      <c r="F281" s="763"/>
      <c r="G281" s="763"/>
      <c r="H281" s="763"/>
      <c r="I281" s="763"/>
      <c r="J281" s="763"/>
      <c r="K281" s="763"/>
      <c r="L281" s="763"/>
      <c r="M281" s="763"/>
      <c r="N281" s="764" t="str">
        <f aca="false">IFERROR(VLOOKUP(B281,TE!$H$1:$Y$749,18,FALSE()),"")</f>
        <v/>
      </c>
      <c r="O281" s="764"/>
      <c r="P281" s="764"/>
      <c r="Q281" s="764"/>
      <c r="R281" s="764"/>
      <c r="S281" s="764"/>
      <c r="T281" s="764" t="n">
        <f aca="false">IFERROR(SUMIFS(TE!$O:$O,TE!$G:$G,$B$179,TE!$I:$I,B281,TE!$D:$D,$C$5),"")</f>
        <v>0</v>
      </c>
      <c r="U281" s="764"/>
      <c r="V281" s="764"/>
      <c r="W281" s="764"/>
      <c r="X281" s="723" t="str">
        <f aca="false">IFERROR(VLOOKUP(B281,TE!$H$1:$Y$630,14,FALSE()),"0")</f>
        <v>0</v>
      </c>
      <c r="Y281" s="723"/>
      <c r="Z281" s="723"/>
      <c r="AA281" s="723"/>
      <c r="AB281" s="765" t="n">
        <f aca="false">T281*X281</f>
        <v>0</v>
      </c>
      <c r="AC281" s="765"/>
      <c r="AD281" s="765"/>
      <c r="AE281" s="766"/>
      <c r="AF281" s="736"/>
    </row>
    <row r="282" customFormat="false" ht="15.75" hidden="false" customHeight="true" outlineLevel="0" collapsed="false">
      <c r="A282" s="736"/>
      <c r="B282" s="760" t="s">
        <v>1626</v>
      </c>
      <c r="C282" s="761"/>
      <c r="D282" s="761"/>
      <c r="E282" s="762" t="str">
        <f aca="false">IFERROR(VLOOKUP(B282,TE!$H$1:$Y$749,2,FALSE()),"(Not on TE)")</f>
        <v>(Not on TE)</v>
      </c>
      <c r="F282" s="763"/>
      <c r="G282" s="763"/>
      <c r="H282" s="763"/>
      <c r="I282" s="763"/>
      <c r="J282" s="763"/>
      <c r="K282" s="763"/>
      <c r="L282" s="763"/>
      <c r="M282" s="763"/>
      <c r="N282" s="764" t="str">
        <f aca="false">IFERROR(VLOOKUP(B282,TE!$H$1:$Y$749,18,FALSE()),"")</f>
        <v/>
      </c>
      <c r="O282" s="764"/>
      <c r="P282" s="764"/>
      <c r="Q282" s="764"/>
      <c r="R282" s="764"/>
      <c r="S282" s="764"/>
      <c r="T282" s="764" t="n">
        <f aca="false">IFERROR(SUMIFS(TE!$O:$O,TE!$G:$G,$B$179,TE!$I:$I,B282,TE!$D:$D,$C$5),"")</f>
        <v>0</v>
      </c>
      <c r="U282" s="764"/>
      <c r="V282" s="764"/>
      <c r="W282" s="764"/>
      <c r="X282" s="723" t="str">
        <f aca="false">IFERROR(VLOOKUP(B282,TE!$H$1:$Y$630,14,FALSE()),"0")</f>
        <v>0</v>
      </c>
      <c r="Y282" s="723"/>
      <c r="Z282" s="723"/>
      <c r="AA282" s="723"/>
      <c r="AB282" s="765" t="n">
        <f aca="false">T282*X282</f>
        <v>0</v>
      </c>
      <c r="AC282" s="765"/>
      <c r="AD282" s="765"/>
      <c r="AE282" s="766"/>
      <c r="AF282" s="736"/>
    </row>
    <row r="283" customFormat="false" ht="15.75" hidden="false" customHeight="true" outlineLevel="0" collapsed="false">
      <c r="A283" s="736"/>
      <c r="B283" s="760" t="s">
        <v>1627</v>
      </c>
      <c r="C283" s="761"/>
      <c r="D283" s="761"/>
      <c r="E283" s="762" t="str">
        <f aca="false">IFERROR(VLOOKUP(B283,TE!$H$1:$Y$749,2,FALSE()),"(Not on TE)")</f>
        <v>(Not on TE)</v>
      </c>
      <c r="F283" s="763"/>
      <c r="G283" s="763"/>
      <c r="H283" s="763"/>
      <c r="I283" s="763"/>
      <c r="J283" s="763"/>
      <c r="K283" s="763"/>
      <c r="L283" s="763"/>
      <c r="M283" s="763"/>
      <c r="N283" s="764" t="str">
        <f aca="false">IFERROR(VLOOKUP(B283,TE!$H$1:$Y$749,18,FALSE()),"")</f>
        <v/>
      </c>
      <c r="O283" s="764"/>
      <c r="P283" s="764"/>
      <c r="Q283" s="764"/>
      <c r="R283" s="764"/>
      <c r="S283" s="764"/>
      <c r="T283" s="764" t="n">
        <f aca="false">IFERROR(SUMIFS(TE!$O:$O,TE!$G:$G,$B$179,TE!$I:$I,B283,TE!$D:$D,$C$5),"")</f>
        <v>0</v>
      </c>
      <c r="U283" s="764"/>
      <c r="V283" s="764"/>
      <c r="W283" s="764"/>
      <c r="X283" s="723" t="str">
        <f aca="false">IFERROR(VLOOKUP(B283,TE!$H$1:$Y$630,14,FALSE()),"0")</f>
        <v>0</v>
      </c>
      <c r="Y283" s="723"/>
      <c r="Z283" s="723"/>
      <c r="AA283" s="723"/>
      <c r="AB283" s="765" t="n">
        <f aca="false">T283*X283</f>
        <v>0</v>
      </c>
      <c r="AC283" s="765"/>
      <c r="AD283" s="765"/>
      <c r="AE283" s="766"/>
      <c r="AF283" s="736"/>
    </row>
    <row r="284" customFormat="false" ht="15.75" hidden="false" customHeight="true" outlineLevel="0" collapsed="false">
      <c r="A284" s="736"/>
      <c r="B284" s="760" t="s">
        <v>1628</v>
      </c>
      <c r="C284" s="761"/>
      <c r="D284" s="761"/>
      <c r="E284" s="762" t="str">
        <f aca="false">IFERROR(VLOOKUP(B284,TE!$H$1:$Y$749,2,FALSE()),"(Not on TE)")</f>
        <v>(Not on TE)</v>
      </c>
      <c r="F284" s="763"/>
      <c r="G284" s="763"/>
      <c r="H284" s="763"/>
      <c r="I284" s="763"/>
      <c r="J284" s="763"/>
      <c r="K284" s="763"/>
      <c r="L284" s="763"/>
      <c r="M284" s="763"/>
      <c r="N284" s="764" t="str">
        <f aca="false">IFERROR(VLOOKUP(B284,TE!$H$1:$Y$749,18,FALSE()),"")</f>
        <v/>
      </c>
      <c r="O284" s="764"/>
      <c r="P284" s="764"/>
      <c r="Q284" s="764"/>
      <c r="R284" s="764"/>
      <c r="S284" s="764"/>
      <c r="T284" s="764" t="n">
        <f aca="false">IFERROR(SUMIFS(TE!$O:$O,TE!$G:$G,$B$179,TE!$I:$I,B284,TE!$D:$D,$C$5),"")</f>
        <v>0</v>
      </c>
      <c r="U284" s="764"/>
      <c r="V284" s="764"/>
      <c r="W284" s="764"/>
      <c r="X284" s="723" t="str">
        <f aca="false">IFERROR(VLOOKUP(B284,TE!$H$1:$Y$630,14,FALSE()),"0")</f>
        <v>0</v>
      </c>
      <c r="Y284" s="723"/>
      <c r="Z284" s="723"/>
      <c r="AA284" s="723"/>
      <c r="AB284" s="765" t="n">
        <f aca="false">T284*X284</f>
        <v>0</v>
      </c>
      <c r="AC284" s="765"/>
      <c r="AD284" s="765"/>
      <c r="AE284" s="766"/>
      <c r="AF284" s="736"/>
    </row>
    <row r="285" customFormat="false" ht="15.75" hidden="false" customHeight="true" outlineLevel="0" collapsed="false">
      <c r="A285" s="736"/>
      <c r="B285" s="760" t="s">
        <v>1418</v>
      </c>
      <c r="C285" s="761"/>
      <c r="D285" s="761"/>
      <c r="E285" s="762" t="str">
        <f aca="false">IFERROR(VLOOKUP(B285,TE!$H$1:$Y$749,2,FALSE()),"(Not on TE)")</f>
        <v>(Not on TE)</v>
      </c>
      <c r="F285" s="763"/>
      <c r="G285" s="763"/>
      <c r="H285" s="763"/>
      <c r="I285" s="763"/>
      <c r="J285" s="763"/>
      <c r="K285" s="763"/>
      <c r="L285" s="763"/>
      <c r="M285" s="763"/>
      <c r="N285" s="764" t="str">
        <f aca="false">IFERROR(VLOOKUP(B285,TE!$H$1:$Y$749,18,FALSE()),"")</f>
        <v/>
      </c>
      <c r="O285" s="764"/>
      <c r="P285" s="764"/>
      <c r="Q285" s="764"/>
      <c r="R285" s="764"/>
      <c r="S285" s="764"/>
      <c r="T285" s="764" t="n">
        <f aca="false">IFERROR(SUMIFS(TE!$O:$O,TE!$G:$G,$B$179,TE!$I:$I,B285,TE!$D:$D,$C$5),"")</f>
        <v>0</v>
      </c>
      <c r="U285" s="764"/>
      <c r="V285" s="764"/>
      <c r="W285" s="764"/>
      <c r="X285" s="723" t="str">
        <f aca="false">IFERROR(VLOOKUP(B285,TE!$H$1:$Y$630,14,FALSE()),"0")</f>
        <v>0</v>
      </c>
      <c r="Y285" s="723"/>
      <c r="Z285" s="723"/>
      <c r="AA285" s="723"/>
      <c r="AB285" s="765" t="n">
        <f aca="false">T285*X285</f>
        <v>0</v>
      </c>
      <c r="AC285" s="765"/>
      <c r="AD285" s="765"/>
      <c r="AE285" s="766"/>
      <c r="AF285" s="736"/>
    </row>
    <row r="286" customFormat="false" ht="15.75" hidden="false" customHeight="true" outlineLevel="0" collapsed="false">
      <c r="A286" s="736"/>
      <c r="B286" s="760" t="s">
        <v>1195</v>
      </c>
      <c r="C286" s="761"/>
      <c r="D286" s="761"/>
      <c r="E286" s="762" t="str">
        <f aca="false">IFERROR(VLOOKUP(B286,TE!$H$1:$Y$749,2,FALSE()),"(Not on TE)")</f>
        <v>(Not on TE)</v>
      </c>
      <c r="F286" s="763"/>
      <c r="G286" s="763"/>
      <c r="H286" s="763"/>
      <c r="I286" s="763"/>
      <c r="J286" s="763"/>
      <c r="K286" s="763"/>
      <c r="L286" s="763"/>
      <c r="M286" s="763"/>
      <c r="N286" s="764" t="str">
        <f aca="false">IFERROR(VLOOKUP(B286,TE!$H$1:$Y$749,18,FALSE()),"")</f>
        <v/>
      </c>
      <c r="O286" s="764"/>
      <c r="P286" s="764"/>
      <c r="Q286" s="764"/>
      <c r="R286" s="764"/>
      <c r="S286" s="764"/>
      <c r="T286" s="764" t="n">
        <f aca="false">IFERROR(SUMIFS(TE!$O:$O,TE!$G:$G,$B$179,TE!$I:$I,B286,TE!$D:$D,$C$5),"")</f>
        <v>0</v>
      </c>
      <c r="U286" s="764"/>
      <c r="V286" s="764"/>
      <c r="W286" s="764"/>
      <c r="X286" s="723" t="str">
        <f aca="false">IFERROR(VLOOKUP(B286,TE!$H$1:$Y$630,14,FALSE()),"0")</f>
        <v>0</v>
      </c>
      <c r="Y286" s="723"/>
      <c r="Z286" s="723"/>
      <c r="AA286" s="723"/>
      <c r="AB286" s="765" t="n">
        <f aca="false">T286*X286</f>
        <v>0</v>
      </c>
      <c r="AC286" s="765"/>
      <c r="AD286" s="765"/>
      <c r="AE286" s="766"/>
      <c r="AF286" s="736"/>
    </row>
    <row r="287" customFormat="false" ht="15.75" hidden="false" customHeight="true" outlineLevel="0" collapsed="false">
      <c r="A287" s="736"/>
      <c r="B287" s="760" t="s">
        <v>1629</v>
      </c>
      <c r="C287" s="761"/>
      <c r="D287" s="761"/>
      <c r="E287" s="762" t="str">
        <f aca="false">IFERROR(VLOOKUP(B287,TE!$H$1:$Y$749,2,FALSE()),"(Not on TE)")</f>
        <v>(Not on TE)</v>
      </c>
      <c r="F287" s="763"/>
      <c r="G287" s="763"/>
      <c r="H287" s="763"/>
      <c r="I287" s="763"/>
      <c r="J287" s="763"/>
      <c r="K287" s="763"/>
      <c r="L287" s="763"/>
      <c r="M287" s="763"/>
      <c r="N287" s="764" t="str">
        <f aca="false">IFERROR(VLOOKUP(B287,TE!$H$1:$Y$749,18,FALSE()),"")</f>
        <v/>
      </c>
      <c r="O287" s="764"/>
      <c r="P287" s="764"/>
      <c r="Q287" s="764"/>
      <c r="R287" s="764"/>
      <c r="S287" s="764"/>
      <c r="T287" s="764" t="n">
        <f aca="false">IFERROR(SUMIFS(TE!$O:$O,TE!$G:$G,$B$179,TE!$I:$I,B287,TE!$D:$D,$C$5),"")</f>
        <v>0</v>
      </c>
      <c r="U287" s="764"/>
      <c r="V287" s="764"/>
      <c r="W287" s="764"/>
      <c r="X287" s="723" t="str">
        <f aca="false">IFERROR(VLOOKUP(B287,TE!$H$1:$Y$630,14,FALSE()),"0")</f>
        <v>0</v>
      </c>
      <c r="Y287" s="723"/>
      <c r="Z287" s="723"/>
      <c r="AA287" s="723"/>
      <c r="AB287" s="765" t="n">
        <f aca="false">T287*X287</f>
        <v>0</v>
      </c>
      <c r="AC287" s="765"/>
      <c r="AD287" s="765"/>
      <c r="AE287" s="766"/>
      <c r="AF287" s="736"/>
    </row>
    <row r="288" customFormat="false" ht="15.75" hidden="false" customHeight="true" outlineLevel="0" collapsed="false">
      <c r="A288" s="736"/>
      <c r="B288" s="760" t="s">
        <v>1630</v>
      </c>
      <c r="C288" s="761"/>
      <c r="D288" s="761"/>
      <c r="E288" s="762" t="str">
        <f aca="false">IFERROR(VLOOKUP(B288,TE!$H$1:$Y$749,2,FALSE()),"(Not on TE)")</f>
        <v>(Not on TE)</v>
      </c>
      <c r="F288" s="763"/>
      <c r="G288" s="763"/>
      <c r="H288" s="763"/>
      <c r="I288" s="763"/>
      <c r="J288" s="763"/>
      <c r="K288" s="763"/>
      <c r="L288" s="763"/>
      <c r="M288" s="763"/>
      <c r="N288" s="764" t="str">
        <f aca="false">IFERROR(VLOOKUP(B288,TE!$H$1:$Y$749,18,FALSE()),"")</f>
        <v/>
      </c>
      <c r="O288" s="764"/>
      <c r="P288" s="764"/>
      <c r="Q288" s="764"/>
      <c r="R288" s="764"/>
      <c r="S288" s="764"/>
      <c r="T288" s="764" t="n">
        <f aca="false">IFERROR(SUMIFS(TE!$O:$O,TE!$G:$G,$B$179,TE!$I:$I,B288,TE!$D:$D,$C$5),"")</f>
        <v>0</v>
      </c>
      <c r="U288" s="764"/>
      <c r="V288" s="764"/>
      <c r="W288" s="764"/>
      <c r="X288" s="723" t="str">
        <f aca="false">IFERROR(VLOOKUP(B288,TE!$H$1:$Y$630,14,FALSE()),"0")</f>
        <v>0</v>
      </c>
      <c r="Y288" s="723"/>
      <c r="Z288" s="723"/>
      <c r="AA288" s="723"/>
      <c r="AB288" s="765" t="n">
        <f aca="false">T288*X288</f>
        <v>0</v>
      </c>
      <c r="AC288" s="765"/>
      <c r="AD288" s="765"/>
      <c r="AE288" s="736"/>
      <c r="AF288" s="736"/>
    </row>
    <row r="289" customFormat="false" ht="15.75" hidden="false" customHeight="true" outlineLevel="0" collapsed="false">
      <c r="A289" s="736"/>
      <c r="B289" s="783" t="s">
        <v>1403</v>
      </c>
      <c r="C289" s="761"/>
      <c r="D289" s="761"/>
      <c r="E289" s="762" t="str">
        <f aca="false">IFERROR(VLOOKUP(B289,TE!$H$1:$Y$749,2,FALSE()),"(Not on TE)")</f>
        <v>(Not on TE)</v>
      </c>
      <c r="F289" s="763"/>
      <c r="G289" s="763"/>
      <c r="H289" s="763"/>
      <c r="I289" s="763"/>
      <c r="J289" s="763"/>
      <c r="K289" s="763"/>
      <c r="L289" s="763"/>
      <c r="M289" s="763"/>
      <c r="N289" s="764" t="str">
        <f aca="false">IFERROR(VLOOKUP(B289,TE!$H$1:$Y$749,18,FALSE()),"")</f>
        <v/>
      </c>
      <c r="O289" s="764"/>
      <c r="P289" s="764"/>
      <c r="Q289" s="764"/>
      <c r="R289" s="764"/>
      <c r="S289" s="764"/>
      <c r="T289" s="764" t="n">
        <f aca="false">IFERROR(SUMIFS(TE!$O:$O,TE!$G:$G,$B$179,TE!$I:$I,B289,TE!$D:$D,$C$5),"")</f>
        <v>4</v>
      </c>
      <c r="U289" s="764"/>
      <c r="V289" s="764"/>
      <c r="W289" s="764"/>
      <c r="X289" s="723" t="str">
        <f aca="false">IFERROR(VLOOKUP(B289,TE!$H$1:$Y$630,14,FALSE()),"0")</f>
        <v>0</v>
      </c>
      <c r="Y289" s="723"/>
      <c r="Z289" s="723"/>
      <c r="AA289" s="723"/>
      <c r="AB289" s="765" t="n">
        <f aca="false">T289*X289</f>
        <v>0</v>
      </c>
      <c r="AC289" s="765"/>
      <c r="AD289" s="765"/>
      <c r="AE289" s="736"/>
      <c r="AF289" s="736"/>
    </row>
    <row r="290" customFormat="false" ht="15.75" hidden="false" customHeight="true" outlineLevel="0" collapsed="false">
      <c r="A290" s="736"/>
      <c r="B290" s="783" t="s">
        <v>1487</v>
      </c>
      <c r="C290" s="761"/>
      <c r="D290" s="761"/>
      <c r="E290" s="762" t="str">
        <f aca="false">IFERROR(VLOOKUP(B290,TE!$H$1:$Y$749,2,FALSE()),"(Not on TE)")</f>
        <v>(Not on TE)</v>
      </c>
      <c r="F290" s="763"/>
      <c r="G290" s="763"/>
      <c r="H290" s="763"/>
      <c r="I290" s="763"/>
      <c r="J290" s="763"/>
      <c r="K290" s="763"/>
      <c r="L290" s="763"/>
      <c r="M290" s="763"/>
      <c r="N290" s="764" t="str">
        <f aca="false">IFERROR(VLOOKUP(B290,TE!$H$1:$Y$749,18,FALSE()),"")</f>
        <v/>
      </c>
      <c r="O290" s="764"/>
      <c r="P290" s="764"/>
      <c r="Q290" s="764"/>
      <c r="R290" s="764"/>
      <c r="S290" s="764"/>
      <c r="T290" s="764" t="n">
        <f aca="false">IFERROR(SUMIFS(TE!$O:$O,TE!$G:$G,$B$179,TE!$I:$I,B290,TE!$D:$D,$C$5),"")</f>
        <v>0</v>
      </c>
      <c r="U290" s="764"/>
      <c r="V290" s="764"/>
      <c r="W290" s="764"/>
      <c r="X290" s="723" t="str">
        <f aca="false">IFERROR(VLOOKUP(B290,TE!$H$1:$Y$630,14,FALSE()),"0")</f>
        <v>0</v>
      </c>
      <c r="Y290" s="723"/>
      <c r="Z290" s="723"/>
      <c r="AA290" s="723"/>
      <c r="AB290" s="765" t="n">
        <f aca="false">T290*X290</f>
        <v>0</v>
      </c>
      <c r="AC290" s="765"/>
      <c r="AD290" s="765"/>
      <c r="AE290" s="736"/>
      <c r="AF290" s="736"/>
    </row>
    <row r="291" customFormat="false" ht="15.75" hidden="false" customHeight="true" outlineLevel="0" collapsed="false">
      <c r="A291" s="736"/>
      <c r="B291" s="783" t="s">
        <v>1631</v>
      </c>
      <c r="C291" s="761"/>
      <c r="D291" s="761"/>
      <c r="E291" s="762" t="str">
        <f aca="false">IFERROR(VLOOKUP(B291,TE!$H$1:$Y$749,2,FALSE()),"(Not on TE)")</f>
        <v>(Not on TE)</v>
      </c>
      <c r="F291" s="763"/>
      <c r="G291" s="763"/>
      <c r="H291" s="763"/>
      <c r="I291" s="763"/>
      <c r="J291" s="763"/>
      <c r="K291" s="763"/>
      <c r="L291" s="763"/>
      <c r="M291" s="763"/>
      <c r="N291" s="764" t="str">
        <f aca="false">IFERROR(VLOOKUP(B291,TE!$H$1:$Y$749,18,FALSE()),"")</f>
        <v/>
      </c>
      <c r="O291" s="764"/>
      <c r="P291" s="764"/>
      <c r="Q291" s="764"/>
      <c r="R291" s="764"/>
      <c r="S291" s="764"/>
      <c r="T291" s="764" t="n">
        <f aca="false">IFERROR(SUMIFS(TE!$O:$O,TE!$G:$G,$B$179,TE!$I:$I,B291,TE!$D:$D,$C$5),"")</f>
        <v>0</v>
      </c>
      <c r="U291" s="764"/>
      <c r="V291" s="764"/>
      <c r="W291" s="764"/>
      <c r="X291" s="723" t="str">
        <f aca="false">IFERROR(VLOOKUP(B291,TE!$H$1:$Y$630,14,FALSE()),"0")</f>
        <v>0</v>
      </c>
      <c r="Y291" s="723"/>
      <c r="Z291" s="723"/>
      <c r="AA291" s="723"/>
      <c r="AB291" s="765" t="n">
        <f aca="false">T291*X291</f>
        <v>0</v>
      </c>
      <c r="AC291" s="765"/>
      <c r="AD291" s="765"/>
      <c r="AE291" s="736"/>
      <c r="AF291" s="736"/>
    </row>
    <row r="292" customFormat="false" ht="15.75" hidden="false" customHeight="true" outlineLevel="0" collapsed="false">
      <c r="A292" s="736"/>
      <c r="B292" s="760" t="s">
        <v>1632</v>
      </c>
      <c r="C292" s="761"/>
      <c r="D292" s="761"/>
      <c r="E292" s="762" t="str">
        <f aca="false">IFERROR(VLOOKUP(B292,TE!$H$1:$Y$749,2,FALSE()),"(Not on TE)")</f>
        <v>(Not on TE)</v>
      </c>
      <c r="F292" s="763"/>
      <c r="G292" s="763"/>
      <c r="H292" s="763"/>
      <c r="I292" s="763"/>
      <c r="J292" s="763"/>
      <c r="K292" s="763"/>
      <c r="L292" s="763"/>
      <c r="M292" s="763"/>
      <c r="N292" s="764" t="str">
        <f aca="false">IFERROR(VLOOKUP(B292,TE!$H$1:$Y$749,18,FALSE()),"")</f>
        <v/>
      </c>
      <c r="O292" s="764"/>
      <c r="P292" s="764"/>
      <c r="Q292" s="764"/>
      <c r="R292" s="764"/>
      <c r="S292" s="764"/>
      <c r="T292" s="764" t="n">
        <f aca="false">IFERROR(SUMIFS(TE!$O:$O,TE!$G:$G,$B$179,TE!$I:$I,B292,TE!$D:$D,$C$5),"")</f>
        <v>0</v>
      </c>
      <c r="U292" s="764"/>
      <c r="V292" s="764"/>
      <c r="W292" s="764"/>
      <c r="X292" s="723" t="str">
        <f aca="false">IFERROR(VLOOKUP(B292,TE!$H$1:$Y$630,14,FALSE()),"0")</f>
        <v>0</v>
      </c>
      <c r="Y292" s="723"/>
      <c r="Z292" s="723"/>
      <c r="AA292" s="723"/>
      <c r="AB292" s="765" t="n">
        <f aca="false">T292*X292</f>
        <v>0</v>
      </c>
      <c r="AC292" s="765"/>
      <c r="AD292" s="765"/>
      <c r="AE292" s="736"/>
      <c r="AF292" s="736"/>
    </row>
    <row r="293" customFormat="false" ht="15.75" hidden="false" customHeight="true" outlineLevel="0" collapsed="false">
      <c r="A293" s="736"/>
      <c r="B293" s="760" t="s">
        <v>1633</v>
      </c>
      <c r="C293" s="761"/>
      <c r="D293" s="761"/>
      <c r="E293" s="762" t="str">
        <f aca="false">IFERROR(VLOOKUP(B293,TE!$H$1:$Y$749,2,FALSE()),"(Not on TE)")</f>
        <v>(Not on TE)</v>
      </c>
      <c r="F293" s="763"/>
      <c r="G293" s="763"/>
      <c r="H293" s="763"/>
      <c r="I293" s="763"/>
      <c r="J293" s="763"/>
      <c r="K293" s="763"/>
      <c r="L293" s="763"/>
      <c r="M293" s="763"/>
      <c r="N293" s="764" t="str">
        <f aca="false">IFERROR(VLOOKUP(B293,TE!$H$1:$Y$749,18,FALSE()),"")</f>
        <v/>
      </c>
      <c r="O293" s="764"/>
      <c r="P293" s="764"/>
      <c r="Q293" s="764"/>
      <c r="R293" s="764"/>
      <c r="S293" s="764"/>
      <c r="T293" s="764" t="n">
        <f aca="false">IFERROR(SUMIFS(TE!$O:$O,TE!$G:$G,$B$179,TE!$I:$I,B293,TE!$D:$D,$C$5),"")</f>
        <v>0</v>
      </c>
      <c r="U293" s="764"/>
      <c r="V293" s="764"/>
      <c r="W293" s="764"/>
      <c r="X293" s="723" t="str">
        <f aca="false">IFERROR(VLOOKUP(B293,TE!$H$1:$Y$630,14,FALSE()),"0")</f>
        <v>0</v>
      </c>
      <c r="Y293" s="723"/>
      <c r="Z293" s="723"/>
      <c r="AA293" s="723"/>
      <c r="AB293" s="765" t="n">
        <f aca="false">T293*X293</f>
        <v>0</v>
      </c>
      <c r="AC293" s="765"/>
      <c r="AD293" s="765"/>
      <c r="AE293" s="736"/>
      <c r="AF293" s="736"/>
    </row>
    <row r="294" customFormat="false" ht="15.75" hidden="false" customHeight="true" outlineLevel="0" collapsed="false">
      <c r="A294" s="736"/>
      <c r="B294" s="784" t="s">
        <v>1634</v>
      </c>
      <c r="C294" s="730"/>
      <c r="D294" s="730"/>
      <c r="E294" s="762" t="str">
        <f aca="false">IFERROR(VLOOKUP(B294,TE!$H$1:$Y$749,2,FALSE()),"(Not on TE)")</f>
        <v>(Not on TE)</v>
      </c>
      <c r="F294" s="730"/>
      <c r="G294" s="730"/>
      <c r="H294" s="730"/>
      <c r="I294" s="730"/>
      <c r="J294" s="730"/>
      <c r="K294" s="730"/>
      <c r="L294" s="730"/>
      <c r="M294" s="730"/>
      <c r="N294" s="764" t="str">
        <f aca="false">IFERROR(VLOOKUP(B294,TE!$H$1:$Y$749,18,FALSE()),"")</f>
        <v/>
      </c>
      <c r="O294" s="764"/>
      <c r="P294" s="764"/>
      <c r="Q294" s="764"/>
      <c r="R294" s="764"/>
      <c r="S294" s="764"/>
      <c r="T294" s="764" t="n">
        <f aca="false">IFERROR(SUMIFS(TE!$O:$O,TE!$G:$G,$B$179,TE!$I:$I,B294,TE!$D:$D,$C$5),"")</f>
        <v>0</v>
      </c>
      <c r="U294" s="764"/>
      <c r="V294" s="764"/>
      <c r="W294" s="764"/>
      <c r="X294" s="723" t="str">
        <f aca="false">IFERROR(VLOOKUP(B294,TE!$H$1:$Y$630,14,FALSE()),"0")</f>
        <v>0</v>
      </c>
      <c r="Y294" s="723"/>
      <c r="Z294" s="723"/>
      <c r="AA294" s="723"/>
      <c r="AB294" s="765" t="n">
        <f aca="false">T294*X294</f>
        <v>0</v>
      </c>
      <c r="AC294" s="765"/>
      <c r="AD294" s="765"/>
      <c r="AE294" s="736"/>
      <c r="AF294" s="736"/>
    </row>
    <row r="295" customFormat="false" ht="15.75" hidden="false" customHeight="true" outlineLevel="0" collapsed="false">
      <c r="A295" s="736"/>
      <c r="B295" s="784" t="s">
        <v>1635</v>
      </c>
      <c r="C295" s="728"/>
      <c r="D295" s="728"/>
      <c r="E295" s="762" t="str">
        <f aca="false">IFERROR(VLOOKUP(B295,TE!$H$1:$Y$749,2,FALSE()),"(Not on TE)")</f>
        <v>(Not on TE)</v>
      </c>
      <c r="F295" s="728"/>
      <c r="G295" s="729"/>
      <c r="H295" s="729"/>
      <c r="I295" s="729"/>
      <c r="J295" s="729"/>
      <c r="K295" s="729"/>
      <c r="L295" s="729"/>
      <c r="M295" s="729"/>
      <c r="N295" s="764" t="str">
        <f aca="false">IFERROR(VLOOKUP(B295,TE!$H$1:$Y$749,18,FALSE()),"")</f>
        <v/>
      </c>
      <c r="O295" s="764"/>
      <c r="P295" s="764"/>
      <c r="Q295" s="764"/>
      <c r="R295" s="764"/>
      <c r="S295" s="764"/>
      <c r="T295" s="764" t="n">
        <f aca="false">IFERROR(SUMIFS(TE!$O:$O,TE!$G:$G,$B$179,TE!$I:$I,B295,TE!$D:$D,$C$5),"")</f>
        <v>0</v>
      </c>
      <c r="U295" s="764"/>
      <c r="V295" s="764"/>
      <c r="W295" s="764"/>
      <c r="X295" s="723" t="str">
        <f aca="false">IFERROR(VLOOKUP(B295,TE!$H$1:$Y$630,14,FALSE()),"0")</f>
        <v>0</v>
      </c>
      <c r="Y295" s="723"/>
      <c r="Z295" s="723"/>
      <c r="AA295" s="723"/>
      <c r="AB295" s="765" t="n">
        <f aca="false">T295*X295</f>
        <v>0</v>
      </c>
      <c r="AC295" s="765"/>
      <c r="AD295" s="765"/>
      <c r="AE295" s="736"/>
      <c r="AF295" s="736"/>
    </row>
    <row r="296" customFormat="false" ht="15.75" hidden="false" customHeight="true" outlineLevel="0" collapsed="false">
      <c r="A296" s="736"/>
      <c r="B296" s="785" t="s">
        <v>1636</v>
      </c>
      <c r="C296" s="728"/>
      <c r="D296" s="728"/>
      <c r="E296" s="762" t="str">
        <f aca="false">IFERROR(VLOOKUP(B296,TE!$H$1:$Y$749,2,FALSE()),"(Not on TE)")</f>
        <v>(Not on TE)</v>
      </c>
      <c r="F296" s="728"/>
      <c r="G296" s="729"/>
      <c r="H296" s="729"/>
      <c r="I296" s="729"/>
      <c r="J296" s="729"/>
      <c r="K296" s="729"/>
      <c r="L296" s="729"/>
      <c r="M296" s="729"/>
      <c r="N296" s="764" t="str">
        <f aca="false">IFERROR(VLOOKUP(B296,TE!$H$1:$Y$749,18,FALSE()),"")</f>
        <v/>
      </c>
      <c r="O296" s="764"/>
      <c r="P296" s="764"/>
      <c r="Q296" s="764"/>
      <c r="R296" s="764"/>
      <c r="S296" s="764"/>
      <c r="T296" s="764" t="n">
        <f aca="false">IFERROR(SUMIFS(TE!$O:$O,TE!$G:$G,$B$179,TE!$I:$I,B296,TE!$D:$D,$C$5),"")</f>
        <v>0</v>
      </c>
      <c r="U296" s="764"/>
      <c r="V296" s="764"/>
      <c r="W296" s="764"/>
      <c r="X296" s="723" t="str">
        <f aca="false">IFERROR(VLOOKUP(B296,TE!$H$1:$Y$630,14,FALSE()),"0")</f>
        <v>0</v>
      </c>
      <c r="Y296" s="723"/>
      <c r="Z296" s="723"/>
      <c r="AA296" s="723"/>
      <c r="AB296" s="765" t="n">
        <f aca="false">T296*X296</f>
        <v>0</v>
      </c>
      <c r="AC296" s="765"/>
      <c r="AD296" s="765"/>
      <c r="AE296" s="736"/>
      <c r="AF296" s="736"/>
    </row>
    <row r="297" customFormat="false" ht="15.75" hidden="false" customHeight="true" outlineLevel="0" collapsed="false">
      <c r="A297" s="736"/>
      <c r="B297" s="785" t="s">
        <v>1637</v>
      </c>
      <c r="C297" s="728"/>
      <c r="D297" s="728"/>
      <c r="E297" s="762" t="str">
        <f aca="false">IFERROR(VLOOKUP(B297,TE!$H$1:$Y$749,2,FALSE()),"(Not on TE)")</f>
        <v>(Not on TE)</v>
      </c>
      <c r="F297" s="728"/>
      <c r="G297" s="729"/>
      <c r="H297" s="729"/>
      <c r="I297" s="729"/>
      <c r="J297" s="729"/>
      <c r="K297" s="729"/>
      <c r="L297" s="729"/>
      <c r="M297" s="729"/>
      <c r="N297" s="764" t="str">
        <f aca="false">IFERROR(VLOOKUP(B297,TE!$H$1:$Y$749,18,FALSE()),"")</f>
        <v/>
      </c>
      <c r="O297" s="764"/>
      <c r="P297" s="764"/>
      <c r="Q297" s="764"/>
      <c r="R297" s="764"/>
      <c r="S297" s="764"/>
      <c r="T297" s="764" t="n">
        <f aca="false">IFERROR(SUMIFS(TE!$O:$O,TE!$G:$G,$B$179,TE!$I:$I,B297,TE!$D:$D,$C$5),"")</f>
        <v>0</v>
      </c>
      <c r="U297" s="764"/>
      <c r="V297" s="764"/>
      <c r="W297" s="764"/>
      <c r="X297" s="723" t="str">
        <f aca="false">IFERROR(VLOOKUP(B297,TE!$H$1:$Y$630,14,FALSE()),"0")</f>
        <v>0</v>
      </c>
      <c r="Y297" s="723"/>
      <c r="Z297" s="723"/>
      <c r="AA297" s="723"/>
      <c r="AB297" s="765" t="n">
        <f aca="false">T297*X297</f>
        <v>0</v>
      </c>
      <c r="AC297" s="765"/>
      <c r="AD297" s="765"/>
      <c r="AE297" s="736"/>
      <c r="AF297" s="736"/>
    </row>
    <row r="298" customFormat="false" ht="15.75" hidden="false" customHeight="true" outlineLevel="0" collapsed="false">
      <c r="A298" s="736"/>
      <c r="B298" s="784" t="s">
        <v>2268</v>
      </c>
      <c r="C298" s="728"/>
      <c r="D298" s="728"/>
      <c r="E298" s="762" t="str">
        <f aca="false">IFERROR(VLOOKUP(B298,TE!$H$1:$Y$749,2,FALSE()),"(Not on TE)")</f>
        <v>(Not on TE)</v>
      </c>
      <c r="F298" s="728"/>
      <c r="G298" s="729"/>
      <c r="H298" s="729"/>
      <c r="I298" s="729"/>
      <c r="J298" s="729"/>
      <c r="K298" s="729"/>
      <c r="L298" s="729"/>
      <c r="M298" s="729"/>
      <c r="N298" s="764" t="str">
        <f aca="false">IFERROR(VLOOKUP(B298,TE!$H$1:$Y$749,18,FALSE()),"")</f>
        <v/>
      </c>
      <c r="O298" s="764"/>
      <c r="P298" s="764"/>
      <c r="Q298" s="764"/>
      <c r="R298" s="764"/>
      <c r="S298" s="764"/>
      <c r="T298" s="764" t="n">
        <f aca="false">IFERROR(SUMIFS(TE!$O:$O,TE!$G:$G,$B$179,TE!$I:$I,B298,TE!$D:$D,$C$5),"")</f>
        <v>0</v>
      </c>
      <c r="U298" s="764"/>
      <c r="V298" s="764"/>
      <c r="W298" s="764"/>
      <c r="X298" s="723" t="str">
        <f aca="false">IFERROR(VLOOKUP(B298,TE!$H$1:$Y$630,14,FALSE()),"0")</f>
        <v>0</v>
      </c>
      <c r="Y298" s="723"/>
      <c r="Z298" s="723"/>
      <c r="AA298" s="723"/>
      <c r="AB298" s="765" t="n">
        <f aca="false">T298*X298</f>
        <v>0</v>
      </c>
      <c r="AC298" s="765"/>
      <c r="AD298" s="765"/>
      <c r="AE298" s="736"/>
      <c r="AF298" s="736"/>
    </row>
    <row r="299" customFormat="false" ht="15.75" hidden="false" customHeight="true" outlineLevel="0" collapsed="false">
      <c r="A299" s="736"/>
      <c r="B299" s="784" t="s">
        <v>1236</v>
      </c>
      <c r="C299" s="728"/>
      <c r="D299" s="728"/>
      <c r="E299" s="762" t="str">
        <f aca="false">IFERROR(VLOOKUP(B299,TE!$H$1:$Y$749,2,FALSE()),"(Not on TE)")</f>
        <v>(Not on TE)</v>
      </c>
      <c r="F299" s="728"/>
      <c r="G299" s="729"/>
      <c r="H299" s="729"/>
      <c r="I299" s="729"/>
      <c r="J299" s="729"/>
      <c r="K299" s="729"/>
      <c r="L299" s="729"/>
      <c r="M299" s="729"/>
      <c r="N299" s="764" t="str">
        <f aca="false">IFERROR(VLOOKUP(B299,TE!$H$1:$Y$749,18,FALSE()),"")</f>
        <v/>
      </c>
      <c r="O299" s="764"/>
      <c r="P299" s="764"/>
      <c r="Q299" s="764"/>
      <c r="R299" s="764"/>
      <c r="S299" s="764"/>
      <c r="T299" s="764" t="n">
        <f aca="false">IFERROR(SUMIFS(TE!$O:$O,TE!$G:$G,$B$179,TE!$I:$I,B299,TE!$D:$D,$C$5),"")</f>
        <v>0</v>
      </c>
      <c r="U299" s="764"/>
      <c r="V299" s="764"/>
      <c r="W299" s="764"/>
      <c r="X299" s="723" t="str">
        <f aca="false">IFERROR(VLOOKUP(B299,TE!$H$1:$Y$630,14,FALSE()),"0")</f>
        <v>0</v>
      </c>
      <c r="Y299" s="723"/>
      <c r="Z299" s="723"/>
      <c r="AA299" s="723"/>
      <c r="AB299" s="765" t="n">
        <f aca="false">T299*X299</f>
        <v>0</v>
      </c>
      <c r="AC299" s="765"/>
      <c r="AD299" s="765"/>
      <c r="AE299" s="736"/>
      <c r="AF299" s="736"/>
    </row>
    <row r="300" customFormat="false" ht="15.75" hidden="false" customHeight="true" outlineLevel="0" collapsed="false">
      <c r="A300" s="736"/>
      <c r="B300" s="784" t="s">
        <v>1500</v>
      </c>
      <c r="C300" s="728"/>
      <c r="D300" s="728"/>
      <c r="E300" s="762" t="str">
        <f aca="false">IFERROR(VLOOKUP(B300,TE!$H$1:$Y$749,2,FALSE()),"(Not on TE)")</f>
        <v>(Not on TE)</v>
      </c>
      <c r="F300" s="728"/>
      <c r="G300" s="729"/>
      <c r="H300" s="729"/>
      <c r="I300" s="729"/>
      <c r="J300" s="729"/>
      <c r="K300" s="729"/>
      <c r="L300" s="729"/>
      <c r="M300" s="729"/>
      <c r="N300" s="764" t="str">
        <f aca="false">IFERROR(VLOOKUP(B300,TE!$H$1:$Y$749,18,FALSE()),"")</f>
        <v/>
      </c>
      <c r="O300" s="764"/>
      <c r="P300" s="764"/>
      <c r="Q300" s="764"/>
      <c r="R300" s="764"/>
      <c r="S300" s="764"/>
      <c r="T300" s="764" t="n">
        <f aca="false">IFERROR(SUMIFS(TE!$O:$O,TE!$G:$G,$B$179,TE!$I:$I,B300,TE!$D:$D,$C$5),"")</f>
        <v>0</v>
      </c>
      <c r="U300" s="764"/>
      <c r="V300" s="764"/>
      <c r="W300" s="764"/>
      <c r="X300" s="723" t="str">
        <f aca="false">IFERROR(VLOOKUP(B300,TE!$H$1:$Y$630,14,FALSE()),"0")</f>
        <v>0</v>
      </c>
      <c r="Y300" s="723"/>
      <c r="Z300" s="723"/>
      <c r="AA300" s="723"/>
      <c r="AB300" s="765" t="n">
        <f aca="false">T300*X300</f>
        <v>0</v>
      </c>
      <c r="AC300" s="765"/>
      <c r="AD300" s="765"/>
      <c r="AE300" s="736"/>
      <c r="AF300" s="736"/>
    </row>
    <row r="301" customFormat="false" ht="15.75" hidden="false" customHeight="true" outlineLevel="0" collapsed="false">
      <c r="A301" s="736"/>
      <c r="B301" s="784" t="s">
        <v>1640</v>
      </c>
      <c r="C301" s="728"/>
      <c r="D301" s="728"/>
      <c r="E301" s="762" t="str">
        <f aca="false">IFERROR(VLOOKUP(B301,TE!$H$1:$Y$749,2,FALSE()),"(Not on TE)")</f>
        <v>(Not on TE)</v>
      </c>
      <c r="F301" s="728"/>
      <c r="G301" s="729"/>
      <c r="H301" s="729"/>
      <c r="I301" s="729"/>
      <c r="J301" s="729"/>
      <c r="K301" s="729"/>
      <c r="L301" s="729"/>
      <c r="M301" s="729"/>
      <c r="N301" s="764" t="str">
        <f aca="false">IFERROR(VLOOKUP(B301,TE!$H$1:$Y$749,18,FALSE()),"")</f>
        <v/>
      </c>
      <c r="O301" s="764"/>
      <c r="P301" s="764"/>
      <c r="Q301" s="764"/>
      <c r="R301" s="764"/>
      <c r="S301" s="764"/>
      <c r="T301" s="764" t="n">
        <f aca="false">IFERROR(SUMIFS(TE!$O:$O,TE!$G:$G,$B$179,TE!$I:$I,B301,TE!$D:$D,$C$5),"")</f>
        <v>0</v>
      </c>
      <c r="U301" s="764"/>
      <c r="V301" s="764"/>
      <c r="W301" s="764"/>
      <c r="X301" s="723" t="str">
        <f aca="false">IFERROR(VLOOKUP(B301,TE!$H$1:$Y$630,14,FALSE()),"0")</f>
        <v>0</v>
      </c>
      <c r="Y301" s="723"/>
      <c r="Z301" s="723"/>
      <c r="AA301" s="723"/>
      <c r="AB301" s="765" t="n">
        <f aca="false">T301*X301</f>
        <v>0</v>
      </c>
      <c r="AC301" s="765"/>
      <c r="AD301" s="765"/>
      <c r="AE301" s="736"/>
      <c r="AF301" s="736"/>
    </row>
    <row r="302" customFormat="false" ht="15.75" hidden="false" customHeight="true" outlineLevel="0" collapsed="false">
      <c r="A302" s="736"/>
      <c r="B302" s="784"/>
      <c r="C302" s="728"/>
      <c r="D302" s="728"/>
      <c r="E302" s="762"/>
      <c r="F302" s="728"/>
      <c r="G302" s="729"/>
      <c r="H302" s="729"/>
      <c r="I302" s="729"/>
      <c r="J302" s="729"/>
      <c r="K302" s="729"/>
      <c r="L302" s="729"/>
      <c r="M302" s="729"/>
      <c r="N302" s="764"/>
      <c r="O302" s="764"/>
      <c r="P302" s="764"/>
      <c r="Q302" s="764"/>
      <c r="R302" s="764"/>
      <c r="S302" s="764"/>
      <c r="T302" s="802"/>
      <c r="U302" s="802"/>
      <c r="V302" s="802"/>
      <c r="W302" s="802"/>
      <c r="X302" s="723"/>
      <c r="Y302" s="723"/>
      <c r="Z302" s="723"/>
      <c r="AA302" s="723"/>
      <c r="AB302" s="765"/>
      <c r="AC302" s="765"/>
      <c r="AD302" s="765"/>
      <c r="AE302" s="736"/>
      <c r="AF302" s="736"/>
    </row>
    <row r="303" customFormat="false" ht="15.75" hidden="false" customHeight="true" outlineLevel="0" collapsed="false">
      <c r="A303" s="736"/>
      <c r="B303" s="786"/>
      <c r="C303" s="787"/>
      <c r="D303" s="787"/>
      <c r="E303" s="769"/>
      <c r="F303" s="787"/>
      <c r="G303" s="788"/>
      <c r="H303" s="788"/>
      <c r="I303" s="788"/>
      <c r="J303" s="788"/>
      <c r="K303" s="788"/>
      <c r="L303" s="788"/>
      <c r="M303" s="788"/>
      <c r="N303" s="771"/>
      <c r="O303" s="771"/>
      <c r="P303" s="771"/>
      <c r="Q303" s="771"/>
      <c r="R303" s="771"/>
      <c r="S303" s="771"/>
      <c r="T303" s="780"/>
      <c r="U303" s="780"/>
      <c r="V303" s="780"/>
      <c r="W303" s="780"/>
      <c r="X303" s="727"/>
      <c r="Y303" s="727"/>
      <c r="Z303" s="727"/>
      <c r="AA303" s="727"/>
      <c r="AB303" s="772"/>
      <c r="AC303" s="772"/>
      <c r="AD303" s="772"/>
      <c r="AE303" s="736"/>
      <c r="AF303" s="736"/>
    </row>
    <row r="304" customFormat="false" ht="15.75" hidden="false" customHeight="true" outlineLevel="0" collapsed="false">
      <c r="A304" s="736"/>
      <c r="B304" s="761"/>
      <c r="C304" s="728"/>
      <c r="D304" s="728"/>
      <c r="E304" s="728"/>
      <c r="F304" s="728"/>
      <c r="G304" s="729"/>
      <c r="H304" s="729"/>
      <c r="I304" s="729"/>
      <c r="J304" s="729"/>
      <c r="K304" s="729"/>
      <c r="L304" s="729"/>
      <c r="M304" s="729"/>
      <c r="N304" s="789"/>
      <c r="O304" s="789"/>
      <c r="P304" s="789"/>
      <c r="Q304" s="789"/>
      <c r="R304" s="790"/>
      <c r="S304" s="790"/>
      <c r="T304" s="790"/>
      <c r="U304" s="790"/>
      <c r="V304" s="790"/>
      <c r="W304" s="790"/>
      <c r="X304" s="790"/>
      <c r="Y304" s="790"/>
      <c r="Z304" s="736"/>
      <c r="AA304" s="730" t="s">
        <v>25</v>
      </c>
      <c r="AB304" s="803" t="n">
        <f aca="false">SUM(AB182:AD218)+SUM(AB224:AD260)+SUM(AB267:AD303)</f>
        <v>0</v>
      </c>
      <c r="AC304" s="803"/>
      <c r="AD304" s="803"/>
      <c r="AE304" s="736"/>
      <c r="AF304" s="736"/>
    </row>
    <row r="305" customFormat="false" ht="15.75" hidden="false" customHeight="true" outlineLevel="0" collapsed="false">
      <c r="A305" s="736"/>
      <c r="B305" s="768"/>
      <c r="C305" s="728"/>
      <c r="D305" s="728"/>
      <c r="E305" s="728"/>
      <c r="F305" s="728"/>
      <c r="G305" s="788"/>
      <c r="H305" s="788"/>
      <c r="I305" s="788"/>
      <c r="J305" s="788"/>
      <c r="K305" s="788"/>
      <c r="L305" s="788"/>
      <c r="M305" s="788"/>
      <c r="N305" s="804"/>
      <c r="O305" s="804"/>
      <c r="P305" s="804"/>
      <c r="Q305" s="804"/>
      <c r="R305" s="805"/>
      <c r="S305" s="805"/>
      <c r="T305" s="805"/>
      <c r="U305" s="805"/>
      <c r="V305" s="805"/>
      <c r="W305" s="805"/>
      <c r="X305" s="805"/>
      <c r="Y305" s="805"/>
      <c r="Z305" s="736"/>
      <c r="AA305" s="736"/>
      <c r="AB305" s="736"/>
      <c r="AC305" s="736"/>
      <c r="AD305" s="736"/>
      <c r="AE305" s="736"/>
      <c r="AF305" s="736"/>
    </row>
    <row r="306" customFormat="false" ht="15.75" hidden="false" customHeight="true" outlineLevel="0" collapsed="false">
      <c r="A306" s="795"/>
      <c r="B306" s="682"/>
      <c r="C306" s="795"/>
      <c r="D306" s="795"/>
      <c r="E306" s="795"/>
      <c r="F306" s="795"/>
      <c r="G306" s="795"/>
      <c r="H306" s="795"/>
      <c r="I306" s="795"/>
      <c r="J306" s="795"/>
      <c r="K306" s="795"/>
      <c r="L306" s="795"/>
      <c r="M306" s="795"/>
      <c r="N306" s="795"/>
      <c r="O306" s="795"/>
      <c r="P306" s="795"/>
      <c r="Q306" s="795"/>
      <c r="R306" s="795"/>
      <c r="S306" s="795"/>
      <c r="T306" s="795"/>
      <c r="U306" s="795"/>
      <c r="V306" s="795"/>
      <c r="W306" s="795"/>
      <c r="X306" s="795"/>
      <c r="Y306" s="795"/>
      <c r="Z306" s="795"/>
      <c r="AA306" s="795"/>
      <c r="AB306" s="748"/>
      <c r="AC306" s="749"/>
      <c r="AD306" s="750"/>
      <c r="AE306" s="750"/>
      <c r="AF306" s="750"/>
    </row>
    <row r="307" customFormat="false" ht="15.75" hidden="false" customHeight="true" outlineLevel="0" collapsed="false">
      <c r="A307" s="688" t="s">
        <v>1522</v>
      </c>
      <c r="B307" s="688"/>
      <c r="C307" s="751" t="n">
        <f aca="false">$C$5</f>
        <v>21451</v>
      </c>
      <c r="D307" s="751"/>
      <c r="E307" s="751"/>
      <c r="F307" s="751"/>
      <c r="G307" s="751"/>
      <c r="H307" s="751"/>
      <c r="I307" s="751"/>
      <c r="J307" s="751"/>
      <c r="K307" s="751"/>
      <c r="L307" s="751"/>
      <c r="M307" s="688" t="s">
        <v>1523</v>
      </c>
      <c r="N307" s="688"/>
      <c r="O307" s="688"/>
      <c r="P307" s="688"/>
      <c r="Q307" s="688"/>
      <c r="R307" s="752" t="str">
        <f aca="false">$R$5</f>
        <v>Automotive Organizational Shop</v>
      </c>
      <c r="S307" s="752"/>
      <c r="T307" s="752"/>
      <c r="U307" s="752"/>
      <c r="V307" s="752"/>
      <c r="W307" s="752"/>
      <c r="X307" s="752"/>
      <c r="Y307" s="752"/>
      <c r="Z307" s="752"/>
      <c r="AA307" s="752"/>
      <c r="AB307" s="752"/>
      <c r="AC307" s="752"/>
      <c r="AD307" s="752"/>
      <c r="AE307" s="752"/>
      <c r="AF307" s="752"/>
    </row>
    <row r="308" customFormat="false" ht="15.75" hidden="false" customHeight="true" outlineLevel="0" collapsed="false">
      <c r="A308" s="736"/>
      <c r="B308" s="682"/>
      <c r="C308" s="682"/>
      <c r="D308" s="682"/>
      <c r="E308" s="682"/>
      <c r="F308" s="682"/>
      <c r="G308" s="682"/>
      <c r="H308" s="682"/>
      <c r="I308" s="682"/>
      <c r="J308" s="682"/>
      <c r="K308" s="682"/>
      <c r="L308" s="682"/>
      <c r="M308" s="682"/>
      <c r="N308" s="682"/>
      <c r="O308" s="682"/>
      <c r="P308" s="682"/>
      <c r="Q308" s="682"/>
      <c r="R308" s="682"/>
      <c r="S308" s="682"/>
      <c r="T308" s="682"/>
      <c r="U308" s="682"/>
      <c r="V308" s="682"/>
      <c r="W308" s="682"/>
      <c r="X308" s="682"/>
      <c r="Y308" s="682"/>
      <c r="Z308" s="753"/>
      <c r="AA308" s="753"/>
      <c r="AB308" s="753"/>
      <c r="AC308" s="753"/>
      <c r="AD308" s="753"/>
      <c r="AE308" s="736"/>
      <c r="AF308" s="736"/>
    </row>
    <row r="309" customFormat="false" ht="15.75" hidden="false" customHeight="true" outlineLevel="0" collapsed="false">
      <c r="A309" s="736"/>
      <c r="B309" s="696" t="s">
        <v>2258</v>
      </c>
      <c r="C309" s="736"/>
      <c r="D309" s="736"/>
      <c r="E309" s="736"/>
      <c r="F309" s="736"/>
      <c r="G309" s="736"/>
      <c r="H309" s="736"/>
      <c r="I309" s="736"/>
      <c r="J309" s="736"/>
      <c r="K309" s="736"/>
      <c r="L309" s="736"/>
      <c r="M309" s="736"/>
      <c r="N309" s="736"/>
      <c r="O309" s="736"/>
      <c r="P309" s="736"/>
      <c r="Q309" s="736"/>
      <c r="R309" s="736"/>
      <c r="S309" s="736"/>
      <c r="T309" s="736"/>
      <c r="U309" s="736"/>
      <c r="V309" s="736"/>
      <c r="W309" s="736"/>
      <c r="X309" s="736"/>
      <c r="Y309" s="736"/>
      <c r="Z309" s="682"/>
      <c r="AA309" s="682"/>
      <c r="AB309" s="682"/>
      <c r="AC309" s="682"/>
      <c r="AD309" s="682"/>
      <c r="AE309" s="736"/>
      <c r="AF309" s="736"/>
    </row>
    <row r="310" customFormat="false" ht="15.75" hidden="false" customHeight="true" outlineLevel="0" collapsed="false">
      <c r="A310" s="736"/>
      <c r="B310" s="754" t="str">
        <f aca="false">B30</f>
        <v>M28262</v>
      </c>
      <c r="C310" s="754"/>
      <c r="D310" s="754"/>
      <c r="E310" s="755" t="str">
        <f aca="false">E30</f>
        <v>SURGICAL COMPANY B</v>
      </c>
      <c r="F310" s="755"/>
      <c r="G310" s="755"/>
      <c r="H310" s="755"/>
      <c r="I310" s="755"/>
      <c r="J310" s="755"/>
      <c r="K310" s="755"/>
      <c r="L310" s="755"/>
      <c r="M310" s="755"/>
      <c r="N310" s="755"/>
      <c r="O310" s="755"/>
      <c r="P310" s="682"/>
      <c r="Q310" s="682"/>
      <c r="R310" s="682"/>
      <c r="S310" s="682"/>
      <c r="T310" s="682"/>
      <c r="U310" s="682"/>
      <c r="V310" s="682"/>
      <c r="W310" s="682"/>
      <c r="X310" s="682"/>
      <c r="Y310" s="682"/>
      <c r="Z310" s="682"/>
      <c r="AA310" s="682"/>
      <c r="AB310" s="682"/>
      <c r="AC310" s="682"/>
      <c r="AD310" s="682"/>
      <c r="AE310" s="736"/>
      <c r="AF310" s="736"/>
    </row>
    <row r="311" customFormat="false" ht="15.75" hidden="false" customHeight="true" outlineLevel="0" collapsed="false">
      <c r="A311" s="736"/>
      <c r="B311" s="756" t="s">
        <v>1055</v>
      </c>
      <c r="C311" s="756"/>
      <c r="D311" s="756"/>
      <c r="E311" s="757" t="s">
        <v>13</v>
      </c>
      <c r="F311" s="757"/>
      <c r="G311" s="757"/>
      <c r="H311" s="757"/>
      <c r="I311" s="757"/>
      <c r="J311" s="757"/>
      <c r="K311" s="757"/>
      <c r="L311" s="757"/>
      <c r="M311" s="757"/>
      <c r="N311" s="757" t="s">
        <v>2259</v>
      </c>
      <c r="O311" s="757"/>
      <c r="P311" s="757"/>
      <c r="Q311" s="757"/>
      <c r="R311" s="757"/>
      <c r="S311" s="757"/>
      <c r="T311" s="758" t="s">
        <v>2260</v>
      </c>
      <c r="U311" s="758"/>
      <c r="V311" s="758"/>
      <c r="W311" s="758"/>
      <c r="X311" s="758" t="s">
        <v>2261</v>
      </c>
      <c r="Y311" s="758"/>
      <c r="Z311" s="758"/>
      <c r="AA311" s="758"/>
      <c r="AB311" s="759" t="s">
        <v>2262</v>
      </c>
      <c r="AC311" s="759"/>
      <c r="AD311" s="759"/>
      <c r="AE311" s="736"/>
      <c r="AF311" s="736"/>
    </row>
    <row r="312" customFormat="false" ht="15.75" hidden="false" customHeight="true" outlineLevel="0" collapsed="false">
      <c r="A312" s="736"/>
      <c r="B312" s="756"/>
      <c r="C312" s="756"/>
      <c r="D312" s="756"/>
      <c r="E312" s="757"/>
      <c r="F312" s="757"/>
      <c r="G312" s="757"/>
      <c r="H312" s="757"/>
      <c r="I312" s="757"/>
      <c r="J312" s="757"/>
      <c r="K312" s="757"/>
      <c r="L312" s="757"/>
      <c r="M312" s="757"/>
      <c r="N312" s="757"/>
      <c r="O312" s="757"/>
      <c r="P312" s="757"/>
      <c r="Q312" s="757"/>
      <c r="R312" s="757"/>
      <c r="S312" s="757"/>
      <c r="T312" s="758"/>
      <c r="U312" s="758"/>
      <c r="V312" s="758"/>
      <c r="W312" s="758"/>
      <c r="X312" s="758"/>
      <c r="Y312" s="758"/>
      <c r="Z312" s="758"/>
      <c r="AA312" s="758"/>
      <c r="AB312" s="759"/>
      <c r="AC312" s="759"/>
      <c r="AD312" s="759"/>
      <c r="AE312" s="736"/>
      <c r="AF312" s="736"/>
    </row>
    <row r="313" customFormat="false" ht="15.75" hidden="false" customHeight="true" outlineLevel="0" collapsed="false">
      <c r="A313" s="736"/>
      <c r="B313" s="760" t="s">
        <v>1549</v>
      </c>
      <c r="C313" s="761"/>
      <c r="D313" s="761"/>
      <c r="E313" s="762" t="str">
        <f aca="false">IFERROR(VLOOKUP(B313,TE!$H$1:$Y$749,2,FALSE()),"(Not on TE)")</f>
        <v>(Not on TE)</v>
      </c>
      <c r="F313" s="763"/>
      <c r="G313" s="763"/>
      <c r="H313" s="763"/>
      <c r="I313" s="763"/>
      <c r="J313" s="763"/>
      <c r="K313" s="763"/>
      <c r="L313" s="763"/>
      <c r="M313" s="763"/>
      <c r="N313" s="764" t="str">
        <f aca="false">IFERROR(VLOOKUP(B313,TE!$H$1:$Y$749,18,FALSE()),"")</f>
        <v/>
      </c>
      <c r="O313" s="764"/>
      <c r="P313" s="764"/>
      <c r="Q313" s="764"/>
      <c r="R313" s="764"/>
      <c r="S313" s="764"/>
      <c r="T313" s="764" t="n">
        <f aca="false">IFERROR(SUMIFS(TE!$O:$O,TE!$G:$G,$B$310,TE!$I:$I,B313,TE!$D:$D,$C$5),"")</f>
        <v>0</v>
      </c>
      <c r="U313" s="764"/>
      <c r="V313" s="764"/>
      <c r="W313" s="764"/>
      <c r="X313" s="723" t="str">
        <f aca="false">IFERROR(VLOOKUP(B313,TE!$H$1:$Y$630,14,FALSE()),"0")</f>
        <v>0</v>
      </c>
      <c r="Y313" s="723"/>
      <c r="Z313" s="723"/>
      <c r="AA313" s="723"/>
      <c r="AB313" s="765" t="n">
        <f aca="false">T313*X313</f>
        <v>0</v>
      </c>
      <c r="AC313" s="765"/>
      <c r="AD313" s="765"/>
      <c r="AE313" s="736"/>
      <c r="AF313" s="736"/>
    </row>
    <row r="314" customFormat="false" ht="15.75" hidden="false" customHeight="true" outlineLevel="0" collapsed="false">
      <c r="A314" s="736"/>
      <c r="B314" s="760" t="s">
        <v>1550</v>
      </c>
      <c r="C314" s="761"/>
      <c r="D314" s="761"/>
      <c r="E314" s="762" t="str">
        <f aca="false">IFERROR(VLOOKUP(B314,TE!$H$1:$Y$749,2,FALSE()),"(Not on TE)")</f>
        <v>(Not on TE)</v>
      </c>
      <c r="F314" s="763"/>
      <c r="G314" s="763"/>
      <c r="H314" s="763"/>
      <c r="I314" s="763"/>
      <c r="J314" s="763"/>
      <c r="K314" s="763"/>
      <c r="L314" s="763"/>
      <c r="M314" s="763"/>
      <c r="N314" s="764" t="str">
        <f aca="false">IFERROR(VLOOKUP(B314,TE!$H$1:$Y$749,18,FALSE()),"")</f>
        <v/>
      </c>
      <c r="O314" s="764"/>
      <c r="P314" s="764"/>
      <c r="Q314" s="764"/>
      <c r="R314" s="764"/>
      <c r="S314" s="764"/>
      <c r="T314" s="764" t="n">
        <f aca="false">IFERROR(SUMIFS(TE!$O:$O,TE!$G:$G,$B$310,TE!$I:$I,B314,TE!$D:$D,$C$5),"")</f>
        <v>0</v>
      </c>
      <c r="U314" s="764"/>
      <c r="V314" s="764"/>
      <c r="W314" s="764"/>
      <c r="X314" s="723" t="str">
        <f aca="false">IFERROR(VLOOKUP(B314,TE!$H$1:$Y$630,14,FALSE()),"0")</f>
        <v>0</v>
      </c>
      <c r="Y314" s="723"/>
      <c r="Z314" s="723"/>
      <c r="AA314" s="723"/>
      <c r="AB314" s="765" t="n">
        <f aca="false">T314*X314</f>
        <v>0</v>
      </c>
      <c r="AC314" s="765"/>
      <c r="AD314" s="765"/>
      <c r="AE314" s="736"/>
      <c r="AF314" s="736"/>
    </row>
    <row r="315" customFormat="false" ht="15.75" hidden="false" customHeight="true" outlineLevel="0" collapsed="false">
      <c r="A315" s="736"/>
      <c r="B315" s="760" t="s">
        <v>2263</v>
      </c>
      <c r="C315" s="761"/>
      <c r="D315" s="761"/>
      <c r="E315" s="762" t="str">
        <f aca="false">IFERROR(VLOOKUP(B315,TE!$H$1:$Y$749,2,FALSE()),"(Not on TE)")</f>
        <v>(Not on TE)</v>
      </c>
      <c r="F315" s="763"/>
      <c r="G315" s="763"/>
      <c r="H315" s="763"/>
      <c r="I315" s="763"/>
      <c r="J315" s="763"/>
      <c r="K315" s="763"/>
      <c r="L315" s="763"/>
      <c r="M315" s="763"/>
      <c r="N315" s="764" t="str">
        <f aca="false">IFERROR(VLOOKUP(B315,TE!$H$1:$Y$749,18,FALSE()),"")</f>
        <v/>
      </c>
      <c r="O315" s="764"/>
      <c r="P315" s="764"/>
      <c r="Q315" s="764"/>
      <c r="R315" s="764"/>
      <c r="S315" s="764"/>
      <c r="T315" s="764" t="n">
        <f aca="false">IFERROR(SUMIFS(TE!$O:$O,TE!$G:$G,$B$310,TE!$I:$I,B315,TE!$D:$D,$C$5),"")</f>
        <v>0</v>
      </c>
      <c r="U315" s="764"/>
      <c r="V315" s="764"/>
      <c r="W315" s="764"/>
      <c r="X315" s="723" t="str">
        <f aca="false">IFERROR(VLOOKUP(B315,TE!$H$1:$Y$630,14,FALSE()),"0")</f>
        <v>0</v>
      </c>
      <c r="Y315" s="723"/>
      <c r="Z315" s="723"/>
      <c r="AA315" s="723"/>
      <c r="AB315" s="765" t="n">
        <f aca="false">T315*X315</f>
        <v>0</v>
      </c>
      <c r="AC315" s="765"/>
      <c r="AD315" s="765"/>
      <c r="AE315" s="736"/>
      <c r="AF315" s="736"/>
    </row>
    <row r="316" customFormat="false" ht="15.75" hidden="false" customHeight="true" outlineLevel="0" collapsed="false">
      <c r="A316" s="736"/>
      <c r="B316" s="760" t="s">
        <v>2264</v>
      </c>
      <c r="C316" s="761"/>
      <c r="D316" s="761"/>
      <c r="E316" s="762" t="str">
        <f aca="false">IFERROR(VLOOKUP(B316,TE!$H$1:$Y$749,2,FALSE()),"(Not on TE)")</f>
        <v>(Not on TE)</v>
      </c>
      <c r="F316" s="763"/>
      <c r="G316" s="763"/>
      <c r="H316" s="763"/>
      <c r="I316" s="763"/>
      <c r="J316" s="763"/>
      <c r="K316" s="763"/>
      <c r="L316" s="763"/>
      <c r="M316" s="763"/>
      <c r="N316" s="764" t="str">
        <f aca="false">IFERROR(VLOOKUP(B316,TE!$H$1:$Y$749,18,FALSE()),"")</f>
        <v/>
      </c>
      <c r="O316" s="764"/>
      <c r="P316" s="764"/>
      <c r="Q316" s="764"/>
      <c r="R316" s="764"/>
      <c r="S316" s="764"/>
      <c r="T316" s="764" t="n">
        <f aca="false">IFERROR(SUMIFS(TE!$O:$O,TE!$G:$G,$B$310,TE!$I:$I,B316,TE!$D:$D,$C$5),"")</f>
        <v>0</v>
      </c>
      <c r="U316" s="764"/>
      <c r="V316" s="764"/>
      <c r="W316" s="764"/>
      <c r="X316" s="723" t="str">
        <f aca="false">IFERROR(VLOOKUP(B316,TE!$H$1:$Y$630,14,FALSE()),"0")</f>
        <v>0</v>
      </c>
      <c r="Y316" s="723"/>
      <c r="Z316" s="723"/>
      <c r="AA316" s="723"/>
      <c r="AB316" s="765" t="n">
        <f aca="false">T316*X316</f>
        <v>0</v>
      </c>
      <c r="AC316" s="765"/>
      <c r="AD316" s="765"/>
      <c r="AE316" s="736"/>
      <c r="AF316" s="736"/>
    </row>
    <row r="317" customFormat="false" ht="15.75" hidden="false" customHeight="true" outlineLevel="0" collapsed="false">
      <c r="A317" s="736"/>
      <c r="B317" s="760" t="s">
        <v>1551</v>
      </c>
      <c r="C317" s="761"/>
      <c r="D317" s="761"/>
      <c r="E317" s="762" t="str">
        <f aca="false">IFERROR(VLOOKUP(B317,TE!$H$1:$Y$749,2,FALSE()),"(Not on TE)")</f>
        <v>(Not on TE)</v>
      </c>
      <c r="F317" s="763"/>
      <c r="G317" s="763"/>
      <c r="H317" s="763"/>
      <c r="I317" s="763"/>
      <c r="J317" s="763"/>
      <c r="K317" s="763"/>
      <c r="L317" s="763"/>
      <c r="M317" s="763"/>
      <c r="N317" s="764" t="str">
        <f aca="false">IFERROR(VLOOKUP(B317,TE!$H$1:$Y$749,18,FALSE()),"")</f>
        <v/>
      </c>
      <c r="O317" s="764"/>
      <c r="P317" s="764"/>
      <c r="Q317" s="764"/>
      <c r="R317" s="764"/>
      <c r="S317" s="764"/>
      <c r="T317" s="764" t="n">
        <f aca="false">IFERROR(SUMIFS(TE!$O:$O,TE!$G:$G,$B$310,TE!$I:$I,B317,TE!$D:$D,$C$5),"")</f>
        <v>0</v>
      </c>
      <c r="U317" s="764"/>
      <c r="V317" s="764"/>
      <c r="W317" s="764"/>
      <c r="X317" s="723" t="str">
        <f aca="false">IFERROR(VLOOKUP(B317,TE!$H$1:$Y$630,14,FALSE()),"0")</f>
        <v>0</v>
      </c>
      <c r="Y317" s="723"/>
      <c r="Z317" s="723"/>
      <c r="AA317" s="723"/>
      <c r="AB317" s="765" t="n">
        <f aca="false">T317*X317</f>
        <v>0</v>
      </c>
      <c r="AC317" s="765"/>
      <c r="AD317" s="765"/>
      <c r="AE317" s="736"/>
      <c r="AF317" s="736"/>
    </row>
    <row r="318" customFormat="false" ht="15.75" hidden="false" customHeight="true" outlineLevel="0" collapsed="false">
      <c r="A318" s="736"/>
      <c r="B318" s="760" t="s">
        <v>2265</v>
      </c>
      <c r="C318" s="761"/>
      <c r="D318" s="761"/>
      <c r="E318" s="762" t="str">
        <f aca="false">IFERROR(VLOOKUP(B318,TE!$H$1:$Y$749,2,FALSE()),"(Not on TE)")</f>
        <v>(Not on TE)</v>
      </c>
      <c r="F318" s="763"/>
      <c r="G318" s="763"/>
      <c r="H318" s="763"/>
      <c r="I318" s="763"/>
      <c r="J318" s="763"/>
      <c r="K318" s="763"/>
      <c r="L318" s="763"/>
      <c r="M318" s="763"/>
      <c r="N318" s="764" t="str">
        <f aca="false">IFERROR(VLOOKUP(B318,TE!$H$1:$Y$749,18,FALSE()),"")</f>
        <v/>
      </c>
      <c r="O318" s="764"/>
      <c r="P318" s="764"/>
      <c r="Q318" s="764"/>
      <c r="R318" s="764"/>
      <c r="S318" s="764"/>
      <c r="T318" s="764" t="n">
        <f aca="false">IFERROR(SUMIFS(TE!$O:$O,TE!$G:$G,$B$310,TE!$I:$I,B318,TE!$D:$D,$C$5),"")</f>
        <v>0</v>
      </c>
      <c r="U318" s="764"/>
      <c r="V318" s="764"/>
      <c r="W318" s="764"/>
      <c r="X318" s="723" t="str">
        <f aca="false">IFERROR(VLOOKUP(B318,TE!$H$1:$Y$630,14,FALSE()),"0")</f>
        <v>0</v>
      </c>
      <c r="Y318" s="723"/>
      <c r="Z318" s="723"/>
      <c r="AA318" s="723"/>
      <c r="AB318" s="765" t="n">
        <f aca="false">T318*X318</f>
        <v>0</v>
      </c>
      <c r="AC318" s="765"/>
      <c r="AD318" s="765"/>
      <c r="AE318" s="736"/>
      <c r="AF318" s="736"/>
    </row>
    <row r="319" customFormat="false" ht="15.75" hidden="false" customHeight="true" outlineLevel="0" collapsed="false">
      <c r="A319" s="736"/>
      <c r="B319" s="760" t="s">
        <v>1552</v>
      </c>
      <c r="C319" s="761"/>
      <c r="D319" s="761"/>
      <c r="E319" s="762" t="str">
        <f aca="false">IFERROR(VLOOKUP(B319,TE!$H$1:$Y$749,2,FALSE()),"(Not on TE)")</f>
        <v>(Not on TE)</v>
      </c>
      <c r="F319" s="763"/>
      <c r="G319" s="763"/>
      <c r="H319" s="763"/>
      <c r="I319" s="763"/>
      <c r="J319" s="763"/>
      <c r="K319" s="763"/>
      <c r="L319" s="763"/>
      <c r="M319" s="763"/>
      <c r="N319" s="764" t="str">
        <f aca="false">IFERROR(VLOOKUP(B319,TE!$H$1:$Y$749,18,FALSE()),"")</f>
        <v/>
      </c>
      <c r="O319" s="764"/>
      <c r="P319" s="764"/>
      <c r="Q319" s="764"/>
      <c r="R319" s="764"/>
      <c r="S319" s="764"/>
      <c r="T319" s="764" t="n">
        <f aca="false">IFERROR(SUMIFS(TE!$O:$O,TE!$G:$G,$B$310,TE!$I:$I,B319,TE!$D:$D,$C$5),"")</f>
        <v>0</v>
      </c>
      <c r="U319" s="764"/>
      <c r="V319" s="764"/>
      <c r="W319" s="764"/>
      <c r="X319" s="723" t="str">
        <f aca="false">IFERROR(VLOOKUP(B319,TE!$H$1:$Y$630,14,FALSE()),"0")</f>
        <v>0</v>
      </c>
      <c r="Y319" s="723"/>
      <c r="Z319" s="723"/>
      <c r="AA319" s="723"/>
      <c r="AB319" s="765" t="n">
        <f aca="false">T319*X319</f>
        <v>0</v>
      </c>
      <c r="AC319" s="765"/>
      <c r="AD319" s="765"/>
      <c r="AE319" s="736"/>
      <c r="AF319" s="736"/>
    </row>
    <row r="320" customFormat="false" ht="15.75" hidden="false" customHeight="true" outlineLevel="0" collapsed="false">
      <c r="A320" s="736"/>
      <c r="B320" s="760" t="s">
        <v>1553</v>
      </c>
      <c r="C320" s="761"/>
      <c r="D320" s="761"/>
      <c r="E320" s="762" t="str">
        <f aca="false">IFERROR(VLOOKUP(B320,TE!$H$1:$Y$749,2,FALSE()),"(Not on TE)")</f>
        <v>(Not on TE)</v>
      </c>
      <c r="F320" s="763"/>
      <c r="G320" s="763"/>
      <c r="H320" s="763"/>
      <c r="I320" s="763"/>
      <c r="J320" s="763"/>
      <c r="K320" s="763"/>
      <c r="L320" s="763"/>
      <c r="M320" s="763"/>
      <c r="N320" s="764" t="str">
        <f aca="false">IFERROR(VLOOKUP(B320,TE!$H$1:$Y$749,18,FALSE()),"")</f>
        <v/>
      </c>
      <c r="O320" s="764"/>
      <c r="P320" s="764"/>
      <c r="Q320" s="764"/>
      <c r="R320" s="764"/>
      <c r="S320" s="764"/>
      <c r="T320" s="764" t="n">
        <f aca="false">IFERROR(SUMIFS(TE!$O:$O,TE!$G:$G,$B$310,TE!$I:$I,B320,TE!$D:$D,$C$5),"")</f>
        <v>0</v>
      </c>
      <c r="U320" s="764"/>
      <c r="V320" s="764"/>
      <c r="W320" s="764"/>
      <c r="X320" s="723" t="str">
        <f aca="false">IFERROR(VLOOKUP(B320,TE!$H$1:$Y$630,14,FALSE()),"0")</f>
        <v>0</v>
      </c>
      <c r="Y320" s="723"/>
      <c r="Z320" s="723"/>
      <c r="AA320" s="723"/>
      <c r="AB320" s="765" t="n">
        <f aca="false">T320*X320</f>
        <v>0</v>
      </c>
      <c r="AC320" s="765"/>
      <c r="AD320" s="765"/>
      <c r="AE320" s="736"/>
      <c r="AF320" s="736"/>
    </row>
    <row r="321" customFormat="false" ht="15.75" hidden="false" customHeight="true" outlineLevel="0" collapsed="false">
      <c r="A321" s="736"/>
      <c r="B321" s="760" t="s">
        <v>1554</v>
      </c>
      <c r="C321" s="761"/>
      <c r="D321" s="761"/>
      <c r="E321" s="762" t="str">
        <f aca="false">IFERROR(VLOOKUP(B321,TE!$H$1:$Y$749,2,FALSE()),"(Not on TE)")</f>
        <v>(Not on TE)</v>
      </c>
      <c r="F321" s="763"/>
      <c r="G321" s="763"/>
      <c r="H321" s="763"/>
      <c r="I321" s="763"/>
      <c r="J321" s="763"/>
      <c r="K321" s="763"/>
      <c r="L321" s="763"/>
      <c r="M321" s="763"/>
      <c r="N321" s="764" t="str">
        <f aca="false">IFERROR(VLOOKUP(B321,TE!$H$1:$Y$749,18,FALSE()),"")</f>
        <v/>
      </c>
      <c r="O321" s="764"/>
      <c r="P321" s="764"/>
      <c r="Q321" s="764"/>
      <c r="R321" s="764"/>
      <c r="S321" s="764"/>
      <c r="T321" s="764" t="n">
        <f aca="false">IFERROR(SUMIFS(TE!$O:$O,TE!$G:$G,$B$310,TE!$I:$I,B321,TE!$D:$D,$C$5),"")</f>
        <v>0</v>
      </c>
      <c r="U321" s="764"/>
      <c r="V321" s="764"/>
      <c r="W321" s="764"/>
      <c r="X321" s="723" t="str">
        <f aca="false">IFERROR(VLOOKUP(B321,TE!$H$1:$Y$630,14,FALSE()),"0")</f>
        <v>0</v>
      </c>
      <c r="Y321" s="723"/>
      <c r="Z321" s="723"/>
      <c r="AA321" s="723"/>
      <c r="AB321" s="765" t="n">
        <f aca="false">T321*X321</f>
        <v>0</v>
      </c>
      <c r="AC321" s="765"/>
      <c r="AD321" s="765"/>
      <c r="AE321" s="736"/>
      <c r="AF321" s="736"/>
    </row>
    <row r="322" customFormat="false" ht="15.75" hidden="false" customHeight="true" outlineLevel="0" collapsed="false">
      <c r="A322" s="736"/>
      <c r="B322" s="760" t="s">
        <v>1555</v>
      </c>
      <c r="C322" s="761"/>
      <c r="D322" s="761"/>
      <c r="E322" s="762" t="str">
        <f aca="false">IFERROR(VLOOKUP(B322,TE!$H$1:$Y$749,2,FALSE()),"(Not on TE)")</f>
        <v>(Not on TE)</v>
      </c>
      <c r="F322" s="763"/>
      <c r="G322" s="763"/>
      <c r="H322" s="763"/>
      <c r="I322" s="763"/>
      <c r="J322" s="763"/>
      <c r="K322" s="763"/>
      <c r="L322" s="763"/>
      <c r="M322" s="763"/>
      <c r="N322" s="764" t="str">
        <f aca="false">IFERROR(VLOOKUP(B322,TE!$H$1:$Y$749,18,FALSE()),"")</f>
        <v/>
      </c>
      <c r="O322" s="764"/>
      <c r="P322" s="764"/>
      <c r="Q322" s="764"/>
      <c r="R322" s="764"/>
      <c r="S322" s="764"/>
      <c r="T322" s="764" t="n">
        <f aca="false">IFERROR(SUMIFS(TE!$O:$O,TE!$G:$G,$B$310,TE!$I:$I,B322,TE!$D:$D,$C$5),"")</f>
        <v>0</v>
      </c>
      <c r="U322" s="764"/>
      <c r="V322" s="764"/>
      <c r="W322" s="764"/>
      <c r="X322" s="723" t="str">
        <f aca="false">IFERROR(VLOOKUP(B322,TE!$H$1:$Y$630,14,FALSE()),"0")</f>
        <v>0</v>
      </c>
      <c r="Y322" s="723"/>
      <c r="Z322" s="723"/>
      <c r="AA322" s="723"/>
      <c r="AB322" s="765" t="n">
        <f aca="false">T322*X322</f>
        <v>0</v>
      </c>
      <c r="AC322" s="765"/>
      <c r="AD322" s="765"/>
      <c r="AE322" s="736"/>
      <c r="AF322" s="736"/>
    </row>
    <row r="323" customFormat="false" ht="15.75" hidden="false" customHeight="true" outlineLevel="0" collapsed="false">
      <c r="A323" s="736"/>
      <c r="B323" s="760" t="s">
        <v>1556</v>
      </c>
      <c r="C323" s="761"/>
      <c r="D323" s="761"/>
      <c r="E323" s="762" t="str">
        <f aca="false">IFERROR(VLOOKUP(B323,TE!$H$1:$Y$749,2,FALSE()),"(Not on TE)")</f>
        <v>(Not on TE)</v>
      </c>
      <c r="F323" s="763"/>
      <c r="G323" s="763"/>
      <c r="H323" s="763"/>
      <c r="I323" s="763"/>
      <c r="J323" s="763"/>
      <c r="K323" s="763"/>
      <c r="L323" s="763"/>
      <c r="M323" s="763"/>
      <c r="N323" s="764" t="str">
        <f aca="false">IFERROR(VLOOKUP(B323,TE!$H$1:$Y$749,18,FALSE()),"")</f>
        <v/>
      </c>
      <c r="O323" s="764"/>
      <c r="P323" s="764"/>
      <c r="Q323" s="764"/>
      <c r="R323" s="764"/>
      <c r="S323" s="764"/>
      <c r="T323" s="764" t="n">
        <f aca="false">IFERROR(SUMIFS(TE!$O:$O,TE!$G:$G,$B$310,TE!$I:$I,B323,TE!$D:$D,$C$5),"")</f>
        <v>0</v>
      </c>
      <c r="U323" s="764"/>
      <c r="V323" s="764"/>
      <c r="W323" s="764"/>
      <c r="X323" s="723" t="str">
        <f aca="false">IFERROR(VLOOKUP(B323,TE!$H$1:$Y$630,14,FALSE()),"0")</f>
        <v>0</v>
      </c>
      <c r="Y323" s="723"/>
      <c r="Z323" s="723"/>
      <c r="AA323" s="723"/>
      <c r="AB323" s="765" t="n">
        <f aca="false">T323*X323</f>
        <v>0</v>
      </c>
      <c r="AC323" s="765"/>
      <c r="AD323" s="765"/>
      <c r="AE323" s="736"/>
      <c r="AF323" s="736"/>
    </row>
    <row r="324" customFormat="false" ht="15.75" hidden="false" customHeight="true" outlineLevel="0" collapsed="false">
      <c r="A324" s="736"/>
      <c r="B324" s="760" t="s">
        <v>2266</v>
      </c>
      <c r="C324" s="761"/>
      <c r="D324" s="761"/>
      <c r="E324" s="762" t="str">
        <f aca="false">IFERROR(VLOOKUP(B324,TE!$H$1:$Y$749,2,FALSE()),"(Not on TE)")</f>
        <v>(Not on TE)</v>
      </c>
      <c r="F324" s="763"/>
      <c r="G324" s="763"/>
      <c r="H324" s="763"/>
      <c r="I324" s="763"/>
      <c r="J324" s="763"/>
      <c r="K324" s="763"/>
      <c r="L324" s="763"/>
      <c r="M324" s="763"/>
      <c r="N324" s="764" t="str">
        <f aca="false">IFERROR(VLOOKUP(B324,TE!$H$1:$Y$749,18,FALSE()),"")</f>
        <v/>
      </c>
      <c r="O324" s="764"/>
      <c r="P324" s="764"/>
      <c r="Q324" s="764"/>
      <c r="R324" s="764"/>
      <c r="S324" s="764"/>
      <c r="T324" s="764" t="n">
        <f aca="false">IFERROR(SUMIFS(TE!$O:$O,TE!$G:$G,$B$310,TE!$I:$I,B324,TE!$D:$D,$C$5),"")</f>
        <v>0</v>
      </c>
      <c r="U324" s="764"/>
      <c r="V324" s="764"/>
      <c r="W324" s="764"/>
      <c r="X324" s="723" t="str">
        <f aca="false">IFERROR(VLOOKUP(B324,TE!$H$1:$Y$630,14,FALSE()),"0")</f>
        <v>0</v>
      </c>
      <c r="Y324" s="723"/>
      <c r="Z324" s="723"/>
      <c r="AA324" s="723"/>
      <c r="AB324" s="765" t="n">
        <f aca="false">T324*X324</f>
        <v>0</v>
      </c>
      <c r="AC324" s="765"/>
      <c r="AD324" s="765"/>
      <c r="AE324" s="736"/>
      <c r="AF324" s="736"/>
    </row>
    <row r="325" customFormat="false" ht="15.75" hidden="false" customHeight="true" outlineLevel="0" collapsed="false">
      <c r="A325" s="736"/>
      <c r="B325" s="760" t="s">
        <v>1557</v>
      </c>
      <c r="C325" s="761"/>
      <c r="D325" s="761"/>
      <c r="E325" s="762" t="str">
        <f aca="false">IFERROR(VLOOKUP(B325,TE!$H$1:$Y$749,2,FALSE()),"(Not on TE)")</f>
        <v>(Not on TE)</v>
      </c>
      <c r="F325" s="763"/>
      <c r="G325" s="763"/>
      <c r="H325" s="763"/>
      <c r="I325" s="763"/>
      <c r="J325" s="763"/>
      <c r="K325" s="763"/>
      <c r="L325" s="763"/>
      <c r="M325" s="763"/>
      <c r="N325" s="764" t="str">
        <f aca="false">IFERROR(VLOOKUP(B325,TE!$H$1:$Y$749,18,FALSE()),"")</f>
        <v/>
      </c>
      <c r="O325" s="764"/>
      <c r="P325" s="764"/>
      <c r="Q325" s="764"/>
      <c r="R325" s="764"/>
      <c r="S325" s="764"/>
      <c r="T325" s="764" t="n">
        <f aca="false">IFERROR(SUMIFS(TE!$O:$O,TE!$G:$G,$B$310,TE!$I:$I,B325,TE!$D:$D,$C$5),"")</f>
        <v>0</v>
      </c>
      <c r="U325" s="764"/>
      <c r="V325" s="764"/>
      <c r="W325" s="764"/>
      <c r="X325" s="723" t="str">
        <f aca="false">IFERROR(VLOOKUP(B325,TE!$H$1:$Y$630,14,FALSE()),"0")</f>
        <v>0</v>
      </c>
      <c r="Y325" s="723"/>
      <c r="Z325" s="723"/>
      <c r="AA325" s="723"/>
      <c r="AB325" s="765" t="n">
        <f aca="false">T325*X325</f>
        <v>0</v>
      </c>
      <c r="AC325" s="765"/>
      <c r="AD325" s="765"/>
      <c r="AE325" s="736"/>
      <c r="AF325" s="736"/>
    </row>
    <row r="326" customFormat="false" ht="15.75" hidden="false" customHeight="true" outlineLevel="0" collapsed="false">
      <c r="A326" s="736"/>
      <c r="B326" s="760" t="s">
        <v>1558</v>
      </c>
      <c r="C326" s="761"/>
      <c r="D326" s="761"/>
      <c r="E326" s="762" t="str">
        <f aca="false">IFERROR(VLOOKUP(B326,TE!$H$1:$Y$749,2,FALSE()),"(Not on TE)")</f>
        <v>(Not on TE)</v>
      </c>
      <c r="F326" s="763"/>
      <c r="G326" s="763"/>
      <c r="H326" s="763"/>
      <c r="I326" s="763"/>
      <c r="J326" s="763"/>
      <c r="K326" s="763"/>
      <c r="L326" s="763"/>
      <c r="M326" s="763"/>
      <c r="N326" s="764" t="str">
        <f aca="false">IFERROR(VLOOKUP(B326,TE!$H$1:$Y$749,18,FALSE()),"")</f>
        <v/>
      </c>
      <c r="O326" s="764"/>
      <c r="P326" s="764"/>
      <c r="Q326" s="764"/>
      <c r="R326" s="764"/>
      <c r="S326" s="764"/>
      <c r="T326" s="764" t="n">
        <f aca="false">IFERROR(SUMIFS(TE!$O:$O,TE!$G:$G,$B$310,TE!$I:$I,B326,TE!$D:$D,$C$5),"")</f>
        <v>0</v>
      </c>
      <c r="U326" s="764"/>
      <c r="V326" s="764"/>
      <c r="W326" s="764"/>
      <c r="X326" s="723" t="str">
        <f aca="false">IFERROR(VLOOKUP(B326,TE!$H$1:$Y$630,14,FALSE()),"0")</f>
        <v>0</v>
      </c>
      <c r="Y326" s="723"/>
      <c r="Z326" s="723"/>
      <c r="AA326" s="723"/>
      <c r="AB326" s="765" t="n">
        <f aca="false">T326*X326</f>
        <v>0</v>
      </c>
      <c r="AC326" s="765"/>
      <c r="AD326" s="765"/>
      <c r="AE326" s="736"/>
      <c r="AF326" s="736"/>
    </row>
    <row r="327" customFormat="false" ht="15.75" hidden="false" customHeight="true" outlineLevel="0" collapsed="false">
      <c r="A327" s="736"/>
      <c r="B327" s="760" t="s">
        <v>1563</v>
      </c>
      <c r="C327" s="761"/>
      <c r="D327" s="761"/>
      <c r="E327" s="762" t="str">
        <f aca="false">IFERROR(VLOOKUP(B327,TE!$H$1:$Y$749,2,FALSE()),"(Not on TE)")</f>
        <v>(Not on TE)</v>
      </c>
      <c r="F327" s="763"/>
      <c r="G327" s="763"/>
      <c r="H327" s="763"/>
      <c r="I327" s="763"/>
      <c r="J327" s="763"/>
      <c r="K327" s="763"/>
      <c r="L327" s="763"/>
      <c r="M327" s="763"/>
      <c r="N327" s="764" t="str">
        <f aca="false">IFERROR(VLOOKUP(B327,TE!$H$1:$Y$749,18,FALSE()),"")</f>
        <v/>
      </c>
      <c r="O327" s="764"/>
      <c r="P327" s="764"/>
      <c r="Q327" s="764"/>
      <c r="R327" s="764"/>
      <c r="S327" s="764"/>
      <c r="T327" s="764" t="n">
        <f aca="false">IFERROR(SUMIFS(TE!$O:$O,TE!$G:$G,$B$310,TE!$I:$I,B327,TE!$D:$D,$C$5),"")</f>
        <v>0</v>
      </c>
      <c r="U327" s="764"/>
      <c r="V327" s="764"/>
      <c r="W327" s="764"/>
      <c r="X327" s="723" t="str">
        <f aca="false">IFERROR(VLOOKUP(B327,TE!$H$1:$Y$630,14,FALSE()),"0")</f>
        <v>0</v>
      </c>
      <c r="Y327" s="723"/>
      <c r="Z327" s="723"/>
      <c r="AA327" s="723"/>
      <c r="AB327" s="765" t="n">
        <f aca="false">T327*X327</f>
        <v>0</v>
      </c>
      <c r="AC327" s="765"/>
      <c r="AD327" s="765"/>
      <c r="AE327" s="736"/>
      <c r="AF327" s="736"/>
    </row>
    <row r="328" customFormat="false" ht="15.75" hidden="false" customHeight="true" outlineLevel="0" collapsed="false">
      <c r="A328" s="736"/>
      <c r="B328" s="760" t="s">
        <v>1564</v>
      </c>
      <c r="C328" s="761"/>
      <c r="D328" s="761"/>
      <c r="E328" s="762" t="str">
        <f aca="false">IFERROR(VLOOKUP(B328,TE!$H$1:$Y$749,2,FALSE()),"(Not on TE)")</f>
        <v>(Not on TE)</v>
      </c>
      <c r="F328" s="763"/>
      <c r="G328" s="763"/>
      <c r="H328" s="763"/>
      <c r="I328" s="763"/>
      <c r="J328" s="763"/>
      <c r="K328" s="763"/>
      <c r="L328" s="763"/>
      <c r="M328" s="763"/>
      <c r="N328" s="764" t="str">
        <f aca="false">IFERROR(VLOOKUP(B328,TE!$H$1:$Y$749,18,FALSE()),"")</f>
        <v/>
      </c>
      <c r="O328" s="764"/>
      <c r="P328" s="764"/>
      <c r="Q328" s="764"/>
      <c r="R328" s="764"/>
      <c r="S328" s="764"/>
      <c r="T328" s="764" t="n">
        <f aca="false">IFERROR(SUMIFS(TE!$O:$O,TE!$G:$G,$B$310,TE!$I:$I,B328,TE!$D:$D,$C$5),"")</f>
        <v>0</v>
      </c>
      <c r="U328" s="764"/>
      <c r="V328" s="764"/>
      <c r="W328" s="764"/>
      <c r="X328" s="723" t="str">
        <f aca="false">IFERROR(VLOOKUP(B328,TE!$H$1:$Y$630,14,FALSE()),"0")</f>
        <v>0</v>
      </c>
      <c r="Y328" s="723"/>
      <c r="Z328" s="723"/>
      <c r="AA328" s="723"/>
      <c r="AB328" s="765" t="n">
        <f aca="false">T328*X328</f>
        <v>0</v>
      </c>
      <c r="AC328" s="765"/>
      <c r="AD328" s="765"/>
      <c r="AE328" s="736"/>
      <c r="AF328" s="736"/>
    </row>
    <row r="329" customFormat="false" ht="15.75" hidden="false" customHeight="true" outlineLevel="0" collapsed="false">
      <c r="A329" s="736"/>
      <c r="B329" s="760" t="s">
        <v>1157</v>
      </c>
      <c r="C329" s="761"/>
      <c r="D329" s="761"/>
      <c r="E329" s="762" t="str">
        <f aca="false">IFERROR(VLOOKUP(B329,TE!$H$1:$Y$749,2,FALSE()),"(Not on TE)")</f>
        <v>(Not on TE)</v>
      </c>
      <c r="F329" s="763"/>
      <c r="G329" s="763"/>
      <c r="H329" s="763"/>
      <c r="I329" s="763"/>
      <c r="J329" s="763"/>
      <c r="K329" s="763"/>
      <c r="L329" s="763"/>
      <c r="M329" s="763"/>
      <c r="N329" s="764" t="str">
        <f aca="false">IFERROR(VLOOKUP(B329,TE!$H$1:$Y$749,18,FALSE()),"")</f>
        <v/>
      </c>
      <c r="O329" s="764"/>
      <c r="P329" s="764"/>
      <c r="Q329" s="764"/>
      <c r="R329" s="764"/>
      <c r="S329" s="764"/>
      <c r="T329" s="764" t="n">
        <f aca="false">IFERROR(SUMIFS(TE!$O:$O,TE!$G:$G,$B$310,TE!$I:$I,B329,TE!$D:$D,$C$5),"")</f>
        <v>0</v>
      </c>
      <c r="U329" s="764"/>
      <c r="V329" s="764"/>
      <c r="W329" s="764"/>
      <c r="X329" s="723" t="str">
        <f aca="false">IFERROR(VLOOKUP(B329,TE!$H$1:$Y$630,14,FALSE()),"0")</f>
        <v>0</v>
      </c>
      <c r="Y329" s="723"/>
      <c r="Z329" s="723"/>
      <c r="AA329" s="723"/>
      <c r="AB329" s="765" t="n">
        <f aca="false">T329*X329</f>
        <v>0</v>
      </c>
      <c r="AC329" s="765"/>
      <c r="AD329" s="765"/>
      <c r="AE329" s="736"/>
      <c r="AF329" s="736"/>
    </row>
    <row r="330" customFormat="false" ht="15.75" hidden="false" customHeight="true" outlineLevel="0" collapsed="false">
      <c r="A330" s="736"/>
      <c r="B330" s="760" t="s">
        <v>1565</v>
      </c>
      <c r="C330" s="761"/>
      <c r="D330" s="761"/>
      <c r="E330" s="762" t="str">
        <f aca="false">IFERROR(VLOOKUP(B330,TE!$H$1:$Y$749,2,FALSE()),"(Not on TE)")</f>
        <v>(Not on TE)</v>
      </c>
      <c r="F330" s="763"/>
      <c r="G330" s="763"/>
      <c r="H330" s="763"/>
      <c r="I330" s="763"/>
      <c r="J330" s="763"/>
      <c r="K330" s="763"/>
      <c r="L330" s="763"/>
      <c r="M330" s="763"/>
      <c r="N330" s="764" t="str">
        <f aca="false">IFERROR(VLOOKUP(B330,TE!$H$1:$Y$749,18,FALSE()),"")</f>
        <v/>
      </c>
      <c r="O330" s="764"/>
      <c r="P330" s="764"/>
      <c r="Q330" s="764"/>
      <c r="R330" s="764"/>
      <c r="S330" s="764"/>
      <c r="T330" s="764" t="n">
        <f aca="false">IFERROR(SUMIFS(TE!$O:$O,TE!$G:$G,$B$310,TE!$I:$I,B330,TE!$D:$D,$C$5),"")</f>
        <v>0</v>
      </c>
      <c r="U330" s="764"/>
      <c r="V330" s="764"/>
      <c r="W330" s="764"/>
      <c r="X330" s="723" t="str">
        <f aca="false">IFERROR(VLOOKUP(B330,TE!$H$1:$Y$630,14,FALSE()),"0")</f>
        <v>0</v>
      </c>
      <c r="Y330" s="723"/>
      <c r="Z330" s="723"/>
      <c r="AA330" s="723"/>
      <c r="AB330" s="765" t="n">
        <f aca="false">T330*X330</f>
        <v>0</v>
      </c>
      <c r="AC330" s="765"/>
      <c r="AD330" s="765"/>
      <c r="AE330" s="736"/>
      <c r="AF330" s="736"/>
    </row>
    <row r="331" customFormat="false" ht="15.75" hidden="false" customHeight="true" outlineLevel="0" collapsed="false">
      <c r="A331" s="736"/>
      <c r="B331" s="760" t="s">
        <v>2267</v>
      </c>
      <c r="C331" s="761"/>
      <c r="D331" s="761"/>
      <c r="E331" s="762" t="str">
        <f aca="false">IFERROR(VLOOKUP(B331,TE!$H$1:$Y$749,2,FALSE()),"(Not on TE)")</f>
        <v>(Not on TE)</v>
      </c>
      <c r="F331" s="763"/>
      <c r="G331" s="763"/>
      <c r="H331" s="763"/>
      <c r="I331" s="763"/>
      <c r="J331" s="763"/>
      <c r="K331" s="763"/>
      <c r="L331" s="763"/>
      <c r="M331" s="763"/>
      <c r="N331" s="764" t="str">
        <f aca="false">IFERROR(VLOOKUP(B331,TE!$H$1:$Y$749,18,FALSE()),"")</f>
        <v/>
      </c>
      <c r="O331" s="764"/>
      <c r="P331" s="764"/>
      <c r="Q331" s="764"/>
      <c r="R331" s="764"/>
      <c r="S331" s="764"/>
      <c r="T331" s="764" t="n">
        <f aca="false">IFERROR(SUMIFS(TE!$O:$O,TE!$G:$G,$B$310,TE!$I:$I,B331,TE!$D:$D,$C$5),"")</f>
        <v>0</v>
      </c>
      <c r="U331" s="764"/>
      <c r="V331" s="764"/>
      <c r="W331" s="764"/>
      <c r="X331" s="723" t="str">
        <f aca="false">IFERROR(VLOOKUP(B331,TE!$H$1:$Y$630,14,FALSE()),"0")</f>
        <v>0</v>
      </c>
      <c r="Y331" s="723"/>
      <c r="Z331" s="723"/>
      <c r="AA331" s="723"/>
      <c r="AB331" s="765" t="n">
        <f aca="false">T331*X331</f>
        <v>0</v>
      </c>
      <c r="AC331" s="765"/>
      <c r="AD331" s="765"/>
      <c r="AE331" s="736"/>
      <c r="AF331" s="736"/>
    </row>
    <row r="332" customFormat="false" ht="15.75" hidden="false" customHeight="true" outlineLevel="0" collapsed="false">
      <c r="A332" s="736"/>
      <c r="B332" s="760" t="s">
        <v>1566</v>
      </c>
      <c r="C332" s="761"/>
      <c r="D332" s="761"/>
      <c r="E332" s="762" t="str">
        <f aca="false">IFERROR(VLOOKUP(B332,TE!$H$1:$Y$749,2,FALSE()),"(Not on TE)")</f>
        <v>(Not on TE)</v>
      </c>
      <c r="F332" s="763"/>
      <c r="G332" s="763"/>
      <c r="H332" s="763"/>
      <c r="I332" s="763"/>
      <c r="J332" s="763"/>
      <c r="K332" s="763"/>
      <c r="L332" s="763"/>
      <c r="M332" s="763"/>
      <c r="N332" s="764" t="str">
        <f aca="false">IFERROR(VLOOKUP(B332,TE!$H$1:$Y$749,18,FALSE()),"")</f>
        <v/>
      </c>
      <c r="O332" s="764"/>
      <c r="P332" s="764"/>
      <c r="Q332" s="764"/>
      <c r="R332" s="764"/>
      <c r="S332" s="764"/>
      <c r="T332" s="764" t="n">
        <f aca="false">IFERROR(SUMIFS(TE!$O:$O,TE!$G:$G,$B$310,TE!$I:$I,B332,TE!$D:$D,$C$5),"")</f>
        <v>0</v>
      </c>
      <c r="U332" s="764"/>
      <c r="V332" s="764"/>
      <c r="W332" s="764"/>
      <c r="X332" s="723" t="str">
        <f aca="false">IFERROR(VLOOKUP(B332,TE!$H$1:$Y$630,14,FALSE()),"0")</f>
        <v>0</v>
      </c>
      <c r="Y332" s="723"/>
      <c r="Z332" s="723"/>
      <c r="AA332" s="723"/>
      <c r="AB332" s="765" t="n">
        <f aca="false">T332*X332</f>
        <v>0</v>
      </c>
      <c r="AC332" s="765"/>
      <c r="AD332" s="765"/>
      <c r="AE332" s="736"/>
      <c r="AF332" s="736"/>
    </row>
    <row r="333" customFormat="false" ht="15.75" hidden="false" customHeight="true" outlineLevel="0" collapsed="false">
      <c r="A333" s="736"/>
      <c r="B333" s="760" t="s">
        <v>1149</v>
      </c>
      <c r="C333" s="761"/>
      <c r="D333" s="761"/>
      <c r="E333" s="762" t="str">
        <f aca="false">IFERROR(VLOOKUP(B333,TE!$H$1:$Y$749,2,FALSE()),"(Not on TE)")</f>
        <v>(Not on TE)</v>
      </c>
      <c r="F333" s="763"/>
      <c r="G333" s="763"/>
      <c r="H333" s="763"/>
      <c r="I333" s="763"/>
      <c r="J333" s="763"/>
      <c r="K333" s="763"/>
      <c r="L333" s="763"/>
      <c r="M333" s="763"/>
      <c r="N333" s="764" t="str">
        <f aca="false">IFERROR(VLOOKUP(B333,TE!$H$1:$Y$749,18,FALSE()),"")</f>
        <v/>
      </c>
      <c r="O333" s="764"/>
      <c r="P333" s="764"/>
      <c r="Q333" s="764"/>
      <c r="R333" s="764"/>
      <c r="S333" s="764"/>
      <c r="T333" s="764" t="n">
        <f aca="false">IFERROR(SUMIFS(TE!$O:$O,TE!$G:$G,$B$310,TE!$I:$I,B333,TE!$D:$D,$C$5),"")</f>
        <v>0</v>
      </c>
      <c r="U333" s="764"/>
      <c r="V333" s="764"/>
      <c r="W333" s="764"/>
      <c r="X333" s="723" t="str">
        <f aca="false">IFERROR(VLOOKUP(B333,TE!$H$1:$Y$630,14,FALSE()),"0")</f>
        <v>0</v>
      </c>
      <c r="Y333" s="723"/>
      <c r="Z333" s="723"/>
      <c r="AA333" s="723"/>
      <c r="AB333" s="765" t="n">
        <f aca="false">T333*X333</f>
        <v>0</v>
      </c>
      <c r="AC333" s="765"/>
      <c r="AD333" s="765"/>
      <c r="AE333" s="736"/>
      <c r="AF333" s="736"/>
    </row>
    <row r="334" customFormat="false" ht="15.75" hidden="false" customHeight="true" outlineLevel="0" collapsed="false">
      <c r="A334" s="736"/>
      <c r="B334" s="760" t="s">
        <v>1253</v>
      </c>
      <c r="C334" s="761"/>
      <c r="D334" s="761"/>
      <c r="E334" s="762" t="str">
        <f aca="false">IFERROR(VLOOKUP(B334,TE!$H$1:$Y$749,2,FALSE()),"(Not on TE)")</f>
        <v>(Not on TE)</v>
      </c>
      <c r="F334" s="763"/>
      <c r="G334" s="763"/>
      <c r="H334" s="763"/>
      <c r="I334" s="763"/>
      <c r="J334" s="763"/>
      <c r="K334" s="763"/>
      <c r="L334" s="763"/>
      <c r="M334" s="763"/>
      <c r="N334" s="764" t="str">
        <f aca="false">IFERROR(VLOOKUP(B334,TE!$H$1:$Y$749,18,FALSE()),"")</f>
        <v/>
      </c>
      <c r="O334" s="764"/>
      <c r="P334" s="764"/>
      <c r="Q334" s="764"/>
      <c r="R334" s="764"/>
      <c r="S334" s="764"/>
      <c r="T334" s="764" t="n">
        <f aca="false">IFERROR(SUMIFS(TE!$O:$O,TE!$G:$G,$B$310,TE!$I:$I,B334,TE!$D:$D,$C$5),"")</f>
        <v>0</v>
      </c>
      <c r="U334" s="764"/>
      <c r="V334" s="764"/>
      <c r="W334" s="764"/>
      <c r="X334" s="723" t="str">
        <f aca="false">IFERROR(VLOOKUP(B334,TE!$H$1:$Y$630,14,FALSE()),"0")</f>
        <v>0</v>
      </c>
      <c r="Y334" s="723"/>
      <c r="Z334" s="723"/>
      <c r="AA334" s="723"/>
      <c r="AB334" s="765" t="n">
        <f aca="false">T334*X334</f>
        <v>0</v>
      </c>
      <c r="AC334" s="765"/>
      <c r="AD334" s="765"/>
      <c r="AE334" s="736"/>
      <c r="AF334" s="736"/>
    </row>
    <row r="335" customFormat="false" ht="15.75" hidden="false" customHeight="true" outlineLevel="0" collapsed="false">
      <c r="A335" s="736"/>
      <c r="B335" s="760" t="s">
        <v>1255</v>
      </c>
      <c r="C335" s="761"/>
      <c r="D335" s="761"/>
      <c r="E335" s="762" t="str">
        <f aca="false">IFERROR(VLOOKUP(B335,TE!$H$1:$Y$749,2,FALSE()),"(Not on TE)")</f>
        <v>(Not on TE)</v>
      </c>
      <c r="F335" s="763"/>
      <c r="G335" s="763"/>
      <c r="H335" s="763"/>
      <c r="I335" s="763"/>
      <c r="J335" s="763"/>
      <c r="K335" s="763"/>
      <c r="L335" s="763"/>
      <c r="M335" s="763"/>
      <c r="N335" s="764" t="str">
        <f aca="false">IFERROR(VLOOKUP(B335,TE!$H$1:$Y$749,18,FALSE()),"")</f>
        <v/>
      </c>
      <c r="O335" s="764"/>
      <c r="P335" s="764"/>
      <c r="Q335" s="764"/>
      <c r="R335" s="764"/>
      <c r="S335" s="764"/>
      <c r="T335" s="764" t="n">
        <f aca="false">IFERROR(SUMIFS(TE!$O:$O,TE!$G:$G,$B$310,TE!$I:$I,B335,TE!$D:$D,$C$5),"")</f>
        <v>0</v>
      </c>
      <c r="U335" s="764"/>
      <c r="V335" s="764"/>
      <c r="W335" s="764"/>
      <c r="X335" s="723" t="str">
        <f aca="false">IFERROR(VLOOKUP(B335,TE!$H$1:$Y$630,14,FALSE()),"0")</f>
        <v>0</v>
      </c>
      <c r="Y335" s="723"/>
      <c r="Z335" s="723"/>
      <c r="AA335" s="723"/>
      <c r="AB335" s="765" t="n">
        <f aca="false">T335*X335</f>
        <v>0</v>
      </c>
      <c r="AC335" s="765"/>
      <c r="AD335" s="765"/>
      <c r="AE335" s="736"/>
      <c r="AF335" s="736"/>
    </row>
    <row r="336" customFormat="false" ht="15.75" hidden="false" customHeight="true" outlineLevel="0" collapsed="false">
      <c r="A336" s="736"/>
      <c r="B336" s="760" t="s">
        <v>1458</v>
      </c>
      <c r="C336" s="761"/>
      <c r="D336" s="761"/>
      <c r="E336" s="762" t="str">
        <f aca="false">IFERROR(VLOOKUP(B336,TE!$H$1:$Y$749,2,FALSE()),"(Not on TE)")</f>
        <v>(Not on TE)</v>
      </c>
      <c r="F336" s="763"/>
      <c r="G336" s="763"/>
      <c r="H336" s="763"/>
      <c r="I336" s="763"/>
      <c r="J336" s="763"/>
      <c r="K336" s="763"/>
      <c r="L336" s="763"/>
      <c r="M336" s="763"/>
      <c r="N336" s="764" t="str">
        <f aca="false">IFERROR(VLOOKUP(B336,TE!$H$1:$Y$749,18,FALSE()),"")</f>
        <v/>
      </c>
      <c r="O336" s="764"/>
      <c r="P336" s="764"/>
      <c r="Q336" s="764"/>
      <c r="R336" s="764"/>
      <c r="S336" s="764"/>
      <c r="T336" s="764" t="n">
        <f aca="false">IFERROR(SUMIFS(TE!$O:$O,TE!$G:$G,$B$310,TE!$I:$I,B336,TE!$D:$D,$C$5),"")</f>
        <v>0</v>
      </c>
      <c r="U336" s="764"/>
      <c r="V336" s="764"/>
      <c r="W336" s="764"/>
      <c r="X336" s="723" t="str">
        <f aca="false">IFERROR(VLOOKUP(B336,TE!$H$1:$Y$630,14,FALSE()),"0")</f>
        <v>0</v>
      </c>
      <c r="Y336" s="723"/>
      <c r="Z336" s="723"/>
      <c r="AA336" s="723"/>
      <c r="AB336" s="765" t="n">
        <f aca="false">T336*X336</f>
        <v>0</v>
      </c>
      <c r="AC336" s="765"/>
      <c r="AD336" s="765"/>
      <c r="AE336" s="736"/>
      <c r="AF336" s="736"/>
    </row>
    <row r="337" customFormat="false" ht="15.75" hidden="false" customHeight="true" outlineLevel="0" collapsed="false">
      <c r="A337" s="736"/>
      <c r="B337" s="760" t="s">
        <v>1199</v>
      </c>
      <c r="C337" s="761"/>
      <c r="D337" s="761"/>
      <c r="E337" s="762" t="str">
        <f aca="false">IFERROR(VLOOKUP(B337,TE!$H$1:$Y$749,2,FALSE()),"(Not on TE)")</f>
        <v>(Not on TE)</v>
      </c>
      <c r="F337" s="763"/>
      <c r="G337" s="763"/>
      <c r="H337" s="763"/>
      <c r="I337" s="763"/>
      <c r="J337" s="763"/>
      <c r="K337" s="763"/>
      <c r="L337" s="763"/>
      <c r="M337" s="763"/>
      <c r="N337" s="764" t="str">
        <f aca="false">IFERROR(VLOOKUP(B337,TE!$H$1:$Y$749,18,FALSE()),"")</f>
        <v/>
      </c>
      <c r="O337" s="764"/>
      <c r="P337" s="764"/>
      <c r="Q337" s="764"/>
      <c r="R337" s="764"/>
      <c r="S337" s="764"/>
      <c r="T337" s="764" t="n">
        <f aca="false">IFERROR(SUMIFS(TE!$O:$O,TE!$G:$G,$B$310,TE!$I:$I,B337,TE!$D:$D,$C$5),"")</f>
        <v>0</v>
      </c>
      <c r="U337" s="764"/>
      <c r="V337" s="764"/>
      <c r="W337" s="764"/>
      <c r="X337" s="723" t="str">
        <f aca="false">IFERROR(VLOOKUP(B337,TE!$H$1:$Y$630,14,FALSE()),"0")</f>
        <v>0</v>
      </c>
      <c r="Y337" s="723"/>
      <c r="Z337" s="723"/>
      <c r="AA337" s="723"/>
      <c r="AB337" s="765" t="n">
        <f aca="false">T337*X337</f>
        <v>0</v>
      </c>
      <c r="AC337" s="765"/>
      <c r="AD337" s="765"/>
      <c r="AE337" s="736"/>
      <c r="AF337" s="736"/>
    </row>
    <row r="338" customFormat="false" ht="15.75" hidden="false" customHeight="true" outlineLevel="0" collapsed="false">
      <c r="A338" s="736"/>
      <c r="B338" s="760" t="s">
        <v>1567</v>
      </c>
      <c r="C338" s="761"/>
      <c r="D338" s="761"/>
      <c r="E338" s="762" t="str">
        <f aca="false">IFERROR(VLOOKUP(B338,TE!$H$1:$Y$749,2,FALSE()),"(Not on TE)")</f>
        <v>(Not on TE)</v>
      </c>
      <c r="F338" s="763"/>
      <c r="G338" s="763"/>
      <c r="H338" s="763"/>
      <c r="I338" s="763"/>
      <c r="J338" s="763"/>
      <c r="K338" s="763"/>
      <c r="L338" s="763"/>
      <c r="M338" s="763"/>
      <c r="N338" s="764" t="str">
        <f aca="false">IFERROR(VLOOKUP(B338,TE!$H$1:$Y$749,18,FALSE()),"")</f>
        <v/>
      </c>
      <c r="O338" s="764"/>
      <c r="P338" s="764"/>
      <c r="Q338" s="764"/>
      <c r="R338" s="764"/>
      <c r="S338" s="764"/>
      <c r="T338" s="764" t="n">
        <f aca="false">IFERROR(SUMIFS(TE!$O:$O,TE!$G:$G,$B$310,TE!$I:$I,B338,TE!$D:$D,$C$5),"")</f>
        <v>0</v>
      </c>
      <c r="U338" s="764"/>
      <c r="V338" s="764"/>
      <c r="W338" s="764"/>
      <c r="X338" s="723" t="str">
        <f aca="false">IFERROR(VLOOKUP(B338,TE!$H$1:$Y$630,14,FALSE()),"0")</f>
        <v>0</v>
      </c>
      <c r="Y338" s="723"/>
      <c r="Z338" s="723"/>
      <c r="AA338" s="723"/>
      <c r="AB338" s="765" t="n">
        <f aca="false">T338*X338</f>
        <v>0</v>
      </c>
      <c r="AC338" s="765"/>
      <c r="AD338" s="765"/>
      <c r="AE338" s="736"/>
      <c r="AF338" s="736"/>
    </row>
    <row r="339" customFormat="false" ht="15.75" hidden="false" customHeight="true" outlineLevel="0" collapsed="false">
      <c r="A339" s="736"/>
      <c r="B339" s="760" t="s">
        <v>1568</v>
      </c>
      <c r="C339" s="761"/>
      <c r="D339" s="761"/>
      <c r="E339" s="762" t="str">
        <f aca="false">IFERROR(VLOOKUP(B339,TE!$H$1:$Y$749,2,FALSE()),"(Not on TE)")</f>
        <v>(Not on TE)</v>
      </c>
      <c r="F339" s="763"/>
      <c r="G339" s="763"/>
      <c r="H339" s="763"/>
      <c r="I339" s="763"/>
      <c r="J339" s="763"/>
      <c r="K339" s="763"/>
      <c r="L339" s="763"/>
      <c r="M339" s="763"/>
      <c r="N339" s="764" t="str">
        <f aca="false">IFERROR(VLOOKUP(B339,TE!$H$1:$Y$749,18,FALSE()),"")</f>
        <v/>
      </c>
      <c r="O339" s="764"/>
      <c r="P339" s="764"/>
      <c r="Q339" s="764"/>
      <c r="R339" s="764"/>
      <c r="S339" s="764"/>
      <c r="T339" s="764" t="n">
        <f aca="false">IFERROR(SUMIFS(TE!$O:$O,TE!$G:$G,$B$310,TE!$I:$I,B339,TE!$D:$D,$C$5),"")</f>
        <v>0</v>
      </c>
      <c r="U339" s="764"/>
      <c r="V339" s="764"/>
      <c r="W339" s="764"/>
      <c r="X339" s="723" t="str">
        <f aca="false">IFERROR(VLOOKUP(B339,TE!$H$1:$Y$630,14,FALSE()),"0")</f>
        <v>0</v>
      </c>
      <c r="Y339" s="723"/>
      <c r="Z339" s="723"/>
      <c r="AA339" s="723"/>
      <c r="AB339" s="765" t="n">
        <f aca="false">T339*X339</f>
        <v>0</v>
      </c>
      <c r="AC339" s="765"/>
      <c r="AD339" s="765"/>
      <c r="AE339" s="736"/>
      <c r="AF339" s="736"/>
    </row>
    <row r="340" customFormat="false" ht="15.75" hidden="false" customHeight="true" outlineLevel="0" collapsed="false">
      <c r="A340" s="736"/>
      <c r="B340" s="760" t="s">
        <v>1569</v>
      </c>
      <c r="C340" s="761"/>
      <c r="D340" s="761"/>
      <c r="E340" s="762" t="str">
        <f aca="false">IFERROR(VLOOKUP(B340,TE!$H$1:$Y$749,2,FALSE()),"(Not on TE)")</f>
        <v>(Not on TE)</v>
      </c>
      <c r="F340" s="763"/>
      <c r="G340" s="763"/>
      <c r="H340" s="763"/>
      <c r="I340" s="763"/>
      <c r="J340" s="763"/>
      <c r="K340" s="763"/>
      <c r="L340" s="763"/>
      <c r="M340" s="763"/>
      <c r="N340" s="764" t="str">
        <f aca="false">IFERROR(VLOOKUP(B340,TE!$H$1:$Y$749,18,FALSE()),"")</f>
        <v/>
      </c>
      <c r="O340" s="764"/>
      <c r="P340" s="764"/>
      <c r="Q340" s="764"/>
      <c r="R340" s="764"/>
      <c r="S340" s="764"/>
      <c r="T340" s="764" t="n">
        <f aca="false">IFERROR(SUMIFS(TE!$O:$O,TE!$G:$G,$B$310,TE!$I:$I,B340,TE!$D:$D,$C$5),"")</f>
        <v>0</v>
      </c>
      <c r="U340" s="764"/>
      <c r="V340" s="764"/>
      <c r="W340" s="764"/>
      <c r="X340" s="723" t="str">
        <f aca="false">IFERROR(VLOOKUP(B340,TE!$H$1:$Y$630,14,FALSE()),"0")</f>
        <v>0</v>
      </c>
      <c r="Y340" s="723"/>
      <c r="Z340" s="723"/>
      <c r="AA340" s="723"/>
      <c r="AB340" s="765" t="n">
        <f aca="false">T340*X340</f>
        <v>0</v>
      </c>
      <c r="AC340" s="765"/>
      <c r="AD340" s="765"/>
      <c r="AE340" s="736"/>
      <c r="AF340" s="736"/>
    </row>
    <row r="341" customFormat="false" ht="15.75" hidden="false" customHeight="true" outlineLevel="0" collapsed="false">
      <c r="A341" s="736"/>
      <c r="B341" s="760" t="s">
        <v>1305</v>
      </c>
      <c r="C341" s="761"/>
      <c r="D341" s="761"/>
      <c r="E341" s="762" t="str">
        <f aca="false">IFERROR(VLOOKUP(B341,TE!$H$1:$Y$749,2,FALSE()),"(Not on TE)")</f>
        <v>(Not on TE)</v>
      </c>
      <c r="F341" s="763"/>
      <c r="G341" s="763"/>
      <c r="H341" s="763"/>
      <c r="I341" s="763"/>
      <c r="J341" s="763"/>
      <c r="K341" s="763"/>
      <c r="L341" s="763"/>
      <c r="M341" s="763"/>
      <c r="N341" s="764" t="str">
        <f aca="false">IFERROR(VLOOKUP(B341,TE!$H$1:$Y$749,18,FALSE()),"")</f>
        <v/>
      </c>
      <c r="O341" s="764"/>
      <c r="P341" s="764"/>
      <c r="Q341" s="764"/>
      <c r="R341" s="764"/>
      <c r="S341" s="764"/>
      <c r="T341" s="764" t="n">
        <f aca="false">IFERROR(SUMIFS(TE!$O:$O,TE!$G:$G,$B$310,TE!$I:$I,B341,TE!$D:$D,$C$5),"")</f>
        <v>0</v>
      </c>
      <c r="U341" s="764"/>
      <c r="V341" s="764"/>
      <c r="W341" s="764"/>
      <c r="X341" s="723" t="str">
        <f aca="false">IFERROR(VLOOKUP(B341,TE!$H$1:$Y$630,14,FALSE()),"0")</f>
        <v>0</v>
      </c>
      <c r="Y341" s="723"/>
      <c r="Z341" s="723"/>
      <c r="AA341" s="723"/>
      <c r="AB341" s="765" t="n">
        <f aca="false">T341*X341</f>
        <v>0</v>
      </c>
      <c r="AC341" s="765"/>
      <c r="AD341" s="765"/>
      <c r="AE341" s="736"/>
      <c r="AF341" s="736"/>
    </row>
    <row r="342" customFormat="false" ht="15.75" hidden="false" customHeight="true" outlineLevel="0" collapsed="false">
      <c r="A342" s="736"/>
      <c r="B342" s="760" t="s">
        <v>1104</v>
      </c>
      <c r="C342" s="761"/>
      <c r="D342" s="761"/>
      <c r="E342" s="762" t="str">
        <f aca="false">IFERROR(VLOOKUP(B342,TE!$H$1:$Y$749,2,FALSE()),"(Not on TE)")</f>
        <v>(Not on TE)</v>
      </c>
      <c r="F342" s="763"/>
      <c r="G342" s="763"/>
      <c r="H342" s="763"/>
      <c r="I342" s="763"/>
      <c r="J342" s="763"/>
      <c r="K342" s="763"/>
      <c r="L342" s="763"/>
      <c r="M342" s="763"/>
      <c r="N342" s="764" t="str">
        <f aca="false">IFERROR(VLOOKUP(B342,TE!$H$1:$Y$749,18,FALSE()),"")</f>
        <v/>
      </c>
      <c r="O342" s="764"/>
      <c r="P342" s="764"/>
      <c r="Q342" s="764"/>
      <c r="R342" s="764"/>
      <c r="S342" s="764"/>
      <c r="T342" s="764" t="n">
        <f aca="false">IFERROR(SUMIFS(TE!$O:$O,TE!$G:$G,$B$310,TE!$I:$I,B342,TE!$D:$D,$C$5),"")</f>
        <v>0</v>
      </c>
      <c r="U342" s="764"/>
      <c r="V342" s="764"/>
      <c r="W342" s="764"/>
      <c r="X342" s="723" t="str">
        <f aca="false">IFERROR(VLOOKUP(B342,TE!$H$1:$Y$630,14,FALSE()),"0")</f>
        <v>0</v>
      </c>
      <c r="Y342" s="723"/>
      <c r="Z342" s="723"/>
      <c r="AA342" s="723"/>
      <c r="AB342" s="765" t="n">
        <f aca="false">T342*X342</f>
        <v>0</v>
      </c>
      <c r="AC342" s="765"/>
      <c r="AD342" s="765"/>
      <c r="AE342" s="736"/>
      <c r="AF342" s="736"/>
    </row>
    <row r="343" customFormat="false" ht="15.75" hidden="false" customHeight="true" outlineLevel="0" collapsed="false">
      <c r="A343" s="736"/>
      <c r="B343" s="760" t="s">
        <v>1571</v>
      </c>
      <c r="C343" s="761"/>
      <c r="D343" s="761"/>
      <c r="E343" s="762" t="str">
        <f aca="false">IFERROR(VLOOKUP(B343,TE!$H$1:$Y$749,2,FALSE()),"(Not on TE)")</f>
        <v>(Not on TE)</v>
      </c>
      <c r="F343" s="763"/>
      <c r="G343" s="763"/>
      <c r="H343" s="763"/>
      <c r="I343" s="763"/>
      <c r="J343" s="763"/>
      <c r="K343" s="763"/>
      <c r="L343" s="763"/>
      <c r="M343" s="763"/>
      <c r="N343" s="764" t="str">
        <f aca="false">IFERROR(VLOOKUP(B343,TE!$H$1:$Y$749,18,FALSE()),"")</f>
        <v/>
      </c>
      <c r="O343" s="764"/>
      <c r="P343" s="764"/>
      <c r="Q343" s="764"/>
      <c r="R343" s="764"/>
      <c r="S343" s="764"/>
      <c r="T343" s="764" t="n">
        <f aca="false">IFERROR(SUMIFS(TE!$O:$O,TE!$G:$G,$B$310,TE!$I:$I,B343,TE!$D:$D,$C$5),"")</f>
        <v>0</v>
      </c>
      <c r="U343" s="764"/>
      <c r="V343" s="764"/>
      <c r="W343" s="764"/>
      <c r="X343" s="723" t="str">
        <f aca="false">IFERROR(VLOOKUP(B343,TE!$H$1:$Y$630,14,FALSE()),"0")</f>
        <v>0</v>
      </c>
      <c r="Y343" s="723"/>
      <c r="Z343" s="723"/>
      <c r="AA343" s="723"/>
      <c r="AB343" s="765" t="n">
        <f aca="false">T343*X343</f>
        <v>0</v>
      </c>
      <c r="AC343" s="765"/>
      <c r="AD343" s="765"/>
      <c r="AE343" s="736"/>
      <c r="AF343" s="736"/>
    </row>
    <row r="344" customFormat="false" ht="15.75" hidden="false" customHeight="true" outlineLevel="0" collapsed="false">
      <c r="A344" s="736"/>
      <c r="B344" s="760" t="s">
        <v>1572</v>
      </c>
      <c r="C344" s="761"/>
      <c r="D344" s="761"/>
      <c r="E344" s="762" t="str">
        <f aca="false">IFERROR(VLOOKUP(B344,TE!$H$1:$Y$749,2,FALSE()),"(Not on TE)")</f>
        <v>(Not on TE)</v>
      </c>
      <c r="F344" s="763"/>
      <c r="G344" s="763"/>
      <c r="H344" s="763"/>
      <c r="I344" s="763"/>
      <c r="J344" s="763"/>
      <c r="K344" s="763"/>
      <c r="L344" s="763"/>
      <c r="M344" s="763"/>
      <c r="N344" s="764" t="str">
        <f aca="false">IFERROR(VLOOKUP(B344,TE!$H$1:$Y$749,18,FALSE()),"")</f>
        <v/>
      </c>
      <c r="O344" s="764"/>
      <c r="P344" s="764"/>
      <c r="Q344" s="764"/>
      <c r="R344" s="764"/>
      <c r="S344" s="764"/>
      <c r="T344" s="764" t="n">
        <f aca="false">IFERROR(SUMIFS(TE!$O:$O,TE!$G:$G,$B$310,TE!$I:$I,B344,TE!$D:$D,$C$5),"")</f>
        <v>0</v>
      </c>
      <c r="U344" s="764"/>
      <c r="V344" s="764"/>
      <c r="W344" s="764"/>
      <c r="X344" s="723" t="str">
        <f aca="false">IFERROR(VLOOKUP(B344,TE!$H$1:$Y$630,14,FALSE()),"0")</f>
        <v>0</v>
      </c>
      <c r="Y344" s="723"/>
      <c r="Z344" s="723"/>
      <c r="AA344" s="723"/>
      <c r="AB344" s="765" t="n">
        <f aca="false">T344*X344</f>
        <v>0</v>
      </c>
      <c r="AC344" s="765"/>
      <c r="AD344" s="765"/>
      <c r="AE344" s="736"/>
      <c r="AF344" s="736"/>
    </row>
    <row r="345" customFormat="false" ht="15.75" hidden="false" customHeight="true" outlineLevel="0" collapsed="false">
      <c r="A345" s="736"/>
      <c r="B345" s="760" t="s">
        <v>1316</v>
      </c>
      <c r="C345" s="761"/>
      <c r="D345" s="761"/>
      <c r="E345" s="762" t="str">
        <f aca="false">IFERROR(VLOOKUP(B345,TE!$H$1:$Y$749,2,FALSE()),"(Not on TE)")</f>
        <v>(Not on TE)</v>
      </c>
      <c r="F345" s="763"/>
      <c r="G345" s="763"/>
      <c r="H345" s="763"/>
      <c r="I345" s="763"/>
      <c r="J345" s="763"/>
      <c r="K345" s="763"/>
      <c r="L345" s="763"/>
      <c r="M345" s="763"/>
      <c r="N345" s="764" t="str">
        <f aca="false">IFERROR(VLOOKUP(B345,TE!$H$1:$Y$749,18,FALSE()),"")</f>
        <v/>
      </c>
      <c r="O345" s="764"/>
      <c r="P345" s="764"/>
      <c r="Q345" s="764"/>
      <c r="R345" s="764"/>
      <c r="S345" s="764"/>
      <c r="T345" s="764" t="n">
        <f aca="false">IFERROR(SUMIFS(TE!$O:$O,TE!$G:$G,$B$310,TE!$I:$I,B345,TE!$D:$D,$C$5),"")</f>
        <v>0</v>
      </c>
      <c r="U345" s="764"/>
      <c r="V345" s="764"/>
      <c r="W345" s="764"/>
      <c r="X345" s="723" t="str">
        <f aca="false">IFERROR(VLOOKUP(B345,TE!$H$1:$Y$630,14,FALSE()),"0")</f>
        <v>0</v>
      </c>
      <c r="Y345" s="723"/>
      <c r="Z345" s="723"/>
      <c r="AA345" s="723"/>
      <c r="AB345" s="765" t="n">
        <f aca="false">T345*X345</f>
        <v>0</v>
      </c>
      <c r="AC345" s="765"/>
      <c r="AD345" s="765"/>
      <c r="AE345" s="766"/>
      <c r="AF345" s="736"/>
    </row>
    <row r="346" customFormat="false" ht="15.75" hidden="false" customHeight="true" outlineLevel="0" collapsed="false">
      <c r="A346" s="736"/>
      <c r="B346" s="760" t="s">
        <v>1573</v>
      </c>
      <c r="C346" s="761"/>
      <c r="D346" s="761"/>
      <c r="E346" s="762" t="str">
        <f aca="false">IFERROR(VLOOKUP(B346,TE!$H$1:$Y$749,2,FALSE()),"(Not on TE)")</f>
        <v>(Not on TE)</v>
      </c>
      <c r="F346" s="763"/>
      <c r="G346" s="763"/>
      <c r="H346" s="763"/>
      <c r="I346" s="763"/>
      <c r="J346" s="763"/>
      <c r="K346" s="763"/>
      <c r="L346" s="763"/>
      <c r="M346" s="763"/>
      <c r="N346" s="764" t="str">
        <f aca="false">IFERROR(VLOOKUP(B346,TE!$H$1:$Y$749,18,FALSE()),"")</f>
        <v/>
      </c>
      <c r="O346" s="764"/>
      <c r="P346" s="764"/>
      <c r="Q346" s="764"/>
      <c r="R346" s="764"/>
      <c r="S346" s="764"/>
      <c r="T346" s="764" t="n">
        <f aca="false">IFERROR(SUMIFS(TE!$O:$O,TE!$G:$G,$B$310,TE!$I:$I,B346,TE!$D:$D,$C$5),"")</f>
        <v>0</v>
      </c>
      <c r="U346" s="764"/>
      <c r="V346" s="764"/>
      <c r="W346" s="764"/>
      <c r="X346" s="723" t="str">
        <f aca="false">IFERROR(VLOOKUP(B346,TE!$H$1:$Y$630,14,FALSE()),"0")</f>
        <v>0</v>
      </c>
      <c r="Y346" s="723"/>
      <c r="Z346" s="723"/>
      <c r="AA346" s="723"/>
      <c r="AB346" s="765" t="n">
        <f aca="false">T346*X346</f>
        <v>0</v>
      </c>
      <c r="AC346" s="765"/>
      <c r="AD346" s="765"/>
      <c r="AE346" s="766"/>
      <c r="AF346" s="736"/>
    </row>
    <row r="347" customFormat="false" ht="15.75" hidden="false" customHeight="true" outlineLevel="0" collapsed="false">
      <c r="A347" s="736"/>
      <c r="B347" s="760" t="s">
        <v>1574</v>
      </c>
      <c r="C347" s="761"/>
      <c r="D347" s="761"/>
      <c r="E347" s="762" t="str">
        <f aca="false">IFERROR(VLOOKUP(B347,TE!$H$1:$Y$749,2,FALSE()),"(Not on TE)")</f>
        <v>(Not on TE)</v>
      </c>
      <c r="F347" s="763"/>
      <c r="G347" s="763"/>
      <c r="H347" s="763"/>
      <c r="I347" s="763"/>
      <c r="J347" s="763"/>
      <c r="K347" s="763"/>
      <c r="L347" s="763"/>
      <c r="M347" s="763"/>
      <c r="N347" s="764" t="str">
        <f aca="false">IFERROR(VLOOKUP(B347,TE!$H$1:$Y$749,18,FALSE()),"")</f>
        <v/>
      </c>
      <c r="O347" s="764"/>
      <c r="P347" s="764"/>
      <c r="Q347" s="764"/>
      <c r="R347" s="764"/>
      <c r="S347" s="764"/>
      <c r="T347" s="764" t="n">
        <f aca="false">IFERROR(SUMIFS(TE!$O:$O,TE!$G:$G,$B$310,TE!$I:$I,B347,TE!$D:$D,$C$5),"")</f>
        <v>0</v>
      </c>
      <c r="U347" s="764"/>
      <c r="V347" s="764"/>
      <c r="W347" s="764"/>
      <c r="X347" s="723" t="str">
        <f aca="false">IFERROR(VLOOKUP(B347,TE!$H$1:$Y$630,14,FALSE()),"0")</f>
        <v>0</v>
      </c>
      <c r="Y347" s="723"/>
      <c r="Z347" s="723"/>
      <c r="AA347" s="723"/>
      <c r="AB347" s="765" t="n">
        <f aca="false">T347*X347</f>
        <v>0</v>
      </c>
      <c r="AC347" s="765"/>
      <c r="AD347" s="765"/>
      <c r="AE347" s="766"/>
      <c r="AF347" s="736"/>
    </row>
    <row r="348" customFormat="false" ht="15.75" hidden="false" customHeight="true" outlineLevel="0" collapsed="false">
      <c r="A348" s="736"/>
      <c r="B348" s="760" t="s">
        <v>1575</v>
      </c>
      <c r="C348" s="761"/>
      <c r="D348" s="761"/>
      <c r="E348" s="762" t="str">
        <f aca="false">IFERROR(VLOOKUP(B348,TE!$H$1:$Y$749,2,FALSE()),"(Not on TE)")</f>
        <v>(Not on TE)</v>
      </c>
      <c r="F348" s="763"/>
      <c r="G348" s="763"/>
      <c r="H348" s="763"/>
      <c r="I348" s="763"/>
      <c r="J348" s="763"/>
      <c r="K348" s="763"/>
      <c r="L348" s="763"/>
      <c r="M348" s="763"/>
      <c r="N348" s="764" t="str">
        <f aca="false">IFERROR(VLOOKUP(B348,TE!$H$1:$Y$749,18,FALSE()),"")</f>
        <v/>
      </c>
      <c r="O348" s="764"/>
      <c r="P348" s="764"/>
      <c r="Q348" s="764"/>
      <c r="R348" s="764"/>
      <c r="S348" s="764"/>
      <c r="T348" s="764" t="n">
        <f aca="false">IFERROR(SUMIFS(TE!$O:$O,TE!$G:$G,$B$310,TE!$I:$I,B348,TE!$D:$D,$C$5),"")</f>
        <v>0</v>
      </c>
      <c r="U348" s="764"/>
      <c r="V348" s="764"/>
      <c r="W348" s="764"/>
      <c r="X348" s="723" t="str">
        <f aca="false">IFERROR(VLOOKUP(B348,TE!$H$1:$Y$630,14,FALSE()),"0")</f>
        <v>0</v>
      </c>
      <c r="Y348" s="723"/>
      <c r="Z348" s="723"/>
      <c r="AA348" s="723"/>
      <c r="AB348" s="765" t="n">
        <f aca="false">T348*X348</f>
        <v>0</v>
      </c>
      <c r="AC348" s="765"/>
      <c r="AD348" s="765"/>
      <c r="AE348" s="766"/>
      <c r="AF348" s="736"/>
    </row>
    <row r="349" customFormat="false" ht="15.75" hidden="false" customHeight="true" outlineLevel="0" collapsed="false">
      <c r="A349" s="736"/>
      <c r="B349" s="767" t="s">
        <v>1577</v>
      </c>
      <c r="C349" s="768"/>
      <c r="D349" s="768"/>
      <c r="E349" s="769" t="str">
        <f aca="false">IFERROR(VLOOKUP(B349,TE!$H$1:$Y$749,2,FALSE()),"(Not on TE)")</f>
        <v>(Not on TE)</v>
      </c>
      <c r="F349" s="770"/>
      <c r="G349" s="770"/>
      <c r="H349" s="770"/>
      <c r="I349" s="770"/>
      <c r="J349" s="770"/>
      <c r="K349" s="770"/>
      <c r="L349" s="770"/>
      <c r="M349" s="770"/>
      <c r="N349" s="771" t="str">
        <f aca="false">IFERROR(VLOOKUP(B349,TE!$H$1:$Y$749,18,FALSE()),"")</f>
        <v/>
      </c>
      <c r="O349" s="771"/>
      <c r="P349" s="771"/>
      <c r="Q349" s="771"/>
      <c r="R349" s="771"/>
      <c r="S349" s="771"/>
      <c r="T349" s="771" t="n">
        <f aca="false">IFERROR(SUMIFS(TE!$O:$O,TE!$G:$G,$B$310,TE!$I:$I,B349,TE!$D:$D,$C$5),"")</f>
        <v>0</v>
      </c>
      <c r="U349" s="771"/>
      <c r="V349" s="771"/>
      <c r="W349" s="771"/>
      <c r="X349" s="727" t="str">
        <f aca="false">IFERROR(VLOOKUP(B349,TE!$H$1:$Y$630,14,FALSE()),"0")</f>
        <v>0</v>
      </c>
      <c r="Y349" s="727"/>
      <c r="Z349" s="727"/>
      <c r="AA349" s="727"/>
      <c r="AB349" s="772" t="n">
        <f aca="false">T349*X349</f>
        <v>0</v>
      </c>
      <c r="AC349" s="772"/>
      <c r="AD349" s="772"/>
      <c r="AE349" s="766"/>
      <c r="AF349" s="736"/>
    </row>
    <row r="350" customFormat="false" ht="15.75" hidden="false" customHeight="true" outlineLevel="0" collapsed="false">
      <c r="A350" s="736"/>
      <c r="B350" s="761"/>
      <c r="C350" s="761"/>
      <c r="D350" s="761"/>
      <c r="E350" s="763"/>
      <c r="F350" s="763"/>
      <c r="G350" s="763"/>
      <c r="H350" s="763"/>
      <c r="I350" s="763"/>
      <c r="J350" s="763"/>
      <c r="K350" s="763"/>
      <c r="L350" s="763"/>
      <c r="M350" s="763"/>
      <c r="N350" s="773"/>
      <c r="O350" s="773"/>
      <c r="P350" s="773"/>
      <c r="Q350" s="773"/>
      <c r="R350" s="773"/>
      <c r="S350" s="773"/>
      <c r="T350" s="773"/>
      <c r="U350" s="773"/>
      <c r="V350" s="773"/>
      <c r="W350" s="773"/>
      <c r="X350" s="774"/>
      <c r="Y350" s="774"/>
      <c r="Z350" s="775" t="s">
        <v>1576</v>
      </c>
      <c r="AA350" s="775"/>
      <c r="AB350" s="775"/>
      <c r="AC350" s="775"/>
      <c r="AD350" s="775"/>
      <c r="AE350" s="766"/>
      <c r="AF350" s="736"/>
    </row>
    <row r="351" customFormat="false" ht="15.75" hidden="false" customHeight="true" outlineLevel="0" collapsed="false">
      <c r="A351" s="776"/>
      <c r="B351" s="776"/>
      <c r="C351" s="776"/>
      <c r="D351" s="776"/>
      <c r="E351" s="776"/>
      <c r="F351" s="776"/>
      <c r="G351" s="776"/>
      <c r="H351" s="776"/>
      <c r="I351" s="776"/>
      <c r="J351" s="776"/>
      <c r="K351" s="776"/>
      <c r="L351" s="776"/>
      <c r="M351" s="776"/>
      <c r="N351" s="776"/>
      <c r="O351" s="776"/>
      <c r="P351" s="776"/>
      <c r="Q351" s="776"/>
      <c r="R351" s="776"/>
      <c r="S351" s="776"/>
      <c r="T351" s="776"/>
      <c r="U351" s="776"/>
      <c r="V351" s="776"/>
      <c r="W351" s="776"/>
      <c r="X351" s="776"/>
      <c r="Y351" s="776"/>
      <c r="Z351" s="776"/>
      <c r="AA351" s="776"/>
      <c r="AB351" s="777"/>
      <c r="AC351" s="777"/>
      <c r="AD351" s="777"/>
      <c r="AE351" s="777"/>
      <c r="AF351" s="777"/>
    </row>
    <row r="352" customFormat="false" ht="15.75" hidden="false" customHeight="true" outlineLevel="0" collapsed="false">
      <c r="A352" s="688" t="s">
        <v>1522</v>
      </c>
      <c r="B352" s="688"/>
      <c r="C352" s="751" t="n">
        <f aca="false">$C$5</f>
        <v>21451</v>
      </c>
      <c r="D352" s="751"/>
      <c r="E352" s="751"/>
      <c r="F352" s="751"/>
      <c r="G352" s="751"/>
      <c r="H352" s="751"/>
      <c r="I352" s="751"/>
      <c r="J352" s="751"/>
      <c r="K352" s="751"/>
      <c r="L352" s="751"/>
      <c r="M352" s="688" t="s">
        <v>1523</v>
      </c>
      <c r="N352" s="688"/>
      <c r="O352" s="688"/>
      <c r="P352" s="688"/>
      <c r="Q352" s="688"/>
      <c r="R352" s="752" t="str">
        <f aca="false">$R$5</f>
        <v>Automotive Organizational Shop</v>
      </c>
      <c r="S352" s="752"/>
      <c r="T352" s="752"/>
      <c r="U352" s="752"/>
      <c r="V352" s="752"/>
      <c r="W352" s="752"/>
      <c r="X352" s="752"/>
      <c r="Y352" s="752"/>
      <c r="Z352" s="752"/>
      <c r="AA352" s="752"/>
      <c r="AB352" s="752"/>
      <c r="AC352" s="752"/>
      <c r="AD352" s="752"/>
      <c r="AE352" s="752"/>
      <c r="AF352" s="752"/>
    </row>
    <row r="353" customFormat="false" ht="15.75" hidden="false" customHeight="true" outlineLevel="0" collapsed="false">
      <c r="A353" s="736"/>
      <c r="B353" s="761"/>
      <c r="C353" s="761"/>
      <c r="D353" s="761"/>
      <c r="E353" s="763"/>
      <c r="F353" s="763"/>
      <c r="G353" s="763"/>
      <c r="H353" s="763"/>
      <c r="I353" s="763"/>
      <c r="J353" s="763"/>
      <c r="K353" s="763"/>
      <c r="L353" s="763"/>
      <c r="M353" s="763"/>
      <c r="N353" s="773"/>
      <c r="O353" s="773"/>
      <c r="P353" s="773"/>
      <c r="Q353" s="773"/>
      <c r="R353" s="773"/>
      <c r="S353" s="773"/>
      <c r="T353" s="773"/>
      <c r="U353" s="773"/>
      <c r="V353" s="773"/>
      <c r="W353" s="773"/>
      <c r="X353" s="774"/>
      <c r="Y353" s="774"/>
      <c r="Z353" s="774"/>
      <c r="AA353" s="774"/>
      <c r="AB353" s="778"/>
      <c r="AC353" s="778"/>
      <c r="AD353" s="778"/>
      <c r="AE353" s="766"/>
      <c r="AF353" s="736"/>
    </row>
    <row r="354" customFormat="false" ht="15.75" hidden="false" customHeight="true" outlineLevel="0" collapsed="false">
      <c r="A354" s="736"/>
      <c r="B354" s="779" t="str">
        <f aca="false">B310</f>
        <v>M28262</v>
      </c>
      <c r="C354" s="768"/>
      <c r="D354" s="768"/>
      <c r="E354" s="769" t="str">
        <f aca="false">E310</f>
        <v>SURGICAL COMPANY B</v>
      </c>
      <c r="F354" s="770"/>
      <c r="G354" s="770"/>
      <c r="H354" s="770"/>
      <c r="I354" s="770"/>
      <c r="J354" s="770"/>
      <c r="K354" s="770"/>
      <c r="L354" s="770"/>
      <c r="M354" s="770"/>
      <c r="N354" s="780"/>
      <c r="O354" s="780"/>
      <c r="P354" s="780"/>
      <c r="Q354" s="780"/>
      <c r="R354" s="780"/>
      <c r="S354" s="780"/>
      <c r="T354" s="780"/>
      <c r="U354" s="780"/>
      <c r="V354" s="780"/>
      <c r="W354" s="780"/>
      <c r="X354" s="781"/>
      <c r="Y354" s="781"/>
      <c r="Z354" s="781"/>
      <c r="AA354" s="781"/>
      <c r="AB354" s="782"/>
      <c r="AC354" s="782"/>
      <c r="AD354" s="782"/>
      <c r="AE354" s="766"/>
      <c r="AF354" s="736"/>
    </row>
    <row r="355" customFormat="false" ht="15.75" hidden="false" customHeight="true" outlineLevel="0" collapsed="false">
      <c r="A355" s="736"/>
      <c r="B355" s="760" t="s">
        <v>1578</v>
      </c>
      <c r="C355" s="761"/>
      <c r="D355" s="761"/>
      <c r="E355" s="762" t="str">
        <f aca="false">IFERROR(VLOOKUP(B355,TE!$H$1:$Y$749,2,FALSE()),"(Not on TE)")</f>
        <v>(Not on TE)</v>
      </c>
      <c r="F355" s="763"/>
      <c r="G355" s="763"/>
      <c r="H355" s="763"/>
      <c r="I355" s="763"/>
      <c r="J355" s="763"/>
      <c r="K355" s="763"/>
      <c r="L355" s="763"/>
      <c r="M355" s="763"/>
      <c r="N355" s="764" t="str">
        <f aca="false">IFERROR(VLOOKUP(B355,TE!$H$1:$Y$749,18,FALSE()),"")</f>
        <v/>
      </c>
      <c r="O355" s="764"/>
      <c r="P355" s="764"/>
      <c r="Q355" s="764"/>
      <c r="R355" s="764"/>
      <c r="S355" s="764"/>
      <c r="T355" s="764" t="n">
        <f aca="false">IFERROR(SUMIFS(TE!$O:$O,TE!$G:$G,$B$310,TE!$I:$I,B355,TE!$D:$D,$C$5),"")</f>
        <v>0</v>
      </c>
      <c r="U355" s="764"/>
      <c r="V355" s="764"/>
      <c r="W355" s="764"/>
      <c r="X355" s="723" t="str">
        <f aca="false">IFERROR(VLOOKUP(B355,TE!$H$1:$Y$630,14,FALSE()),"0")</f>
        <v>0</v>
      </c>
      <c r="Y355" s="723"/>
      <c r="Z355" s="723"/>
      <c r="AA355" s="723"/>
      <c r="AB355" s="765" t="n">
        <f aca="false">T355*X355</f>
        <v>0</v>
      </c>
      <c r="AC355" s="765"/>
      <c r="AD355" s="765"/>
      <c r="AE355" s="766"/>
      <c r="AF355" s="736"/>
    </row>
    <row r="356" customFormat="false" ht="15.75" hidden="false" customHeight="true" outlineLevel="0" collapsed="false">
      <c r="A356" s="736"/>
      <c r="B356" s="760" t="s">
        <v>1579</v>
      </c>
      <c r="C356" s="761"/>
      <c r="D356" s="761"/>
      <c r="E356" s="762" t="str">
        <f aca="false">IFERROR(VLOOKUP(B356,TE!$H$1:$Y$749,2,FALSE()),"(Not on TE)")</f>
        <v>(Not on TE)</v>
      </c>
      <c r="F356" s="763"/>
      <c r="G356" s="763"/>
      <c r="H356" s="763"/>
      <c r="I356" s="763"/>
      <c r="J356" s="763"/>
      <c r="K356" s="763"/>
      <c r="L356" s="763"/>
      <c r="M356" s="763"/>
      <c r="N356" s="764" t="str">
        <f aca="false">IFERROR(VLOOKUP(B356,TE!$H$1:$Y$749,18,FALSE()),"")</f>
        <v/>
      </c>
      <c r="O356" s="764"/>
      <c r="P356" s="764"/>
      <c r="Q356" s="764"/>
      <c r="R356" s="764"/>
      <c r="S356" s="764"/>
      <c r="T356" s="764" t="n">
        <f aca="false">IFERROR(SUMIFS(TE!$O:$O,TE!$G:$G,$B$310,TE!$I:$I,B356,TE!$D:$D,$C$5),"")</f>
        <v>0</v>
      </c>
      <c r="U356" s="764"/>
      <c r="V356" s="764"/>
      <c r="W356" s="764"/>
      <c r="X356" s="723" t="str">
        <f aca="false">IFERROR(VLOOKUP(B356,TE!$H$1:$Y$630,14,FALSE()),"0")</f>
        <v>0</v>
      </c>
      <c r="Y356" s="723"/>
      <c r="Z356" s="723"/>
      <c r="AA356" s="723"/>
      <c r="AB356" s="765" t="n">
        <f aca="false">T356*X356</f>
        <v>0</v>
      </c>
      <c r="AC356" s="765"/>
      <c r="AD356" s="765"/>
      <c r="AE356" s="766"/>
      <c r="AF356" s="736"/>
    </row>
    <row r="357" customFormat="false" ht="15.75" hidden="false" customHeight="true" outlineLevel="0" collapsed="false">
      <c r="A357" s="736"/>
      <c r="B357" s="760" t="s">
        <v>1580</v>
      </c>
      <c r="C357" s="761"/>
      <c r="D357" s="761"/>
      <c r="E357" s="762" t="str">
        <f aca="false">IFERROR(VLOOKUP(B357,TE!$H$1:$Y$749,2,FALSE()),"(Not on TE)")</f>
        <v>(Not on TE)</v>
      </c>
      <c r="F357" s="763"/>
      <c r="G357" s="763"/>
      <c r="H357" s="763"/>
      <c r="I357" s="763"/>
      <c r="J357" s="763"/>
      <c r="K357" s="763"/>
      <c r="L357" s="763"/>
      <c r="M357" s="763"/>
      <c r="N357" s="764" t="str">
        <f aca="false">IFERROR(VLOOKUP(B357,TE!$H$1:$Y$749,18,FALSE()),"")</f>
        <v/>
      </c>
      <c r="O357" s="764"/>
      <c r="P357" s="764"/>
      <c r="Q357" s="764"/>
      <c r="R357" s="764"/>
      <c r="S357" s="764"/>
      <c r="T357" s="764" t="n">
        <f aca="false">IFERROR(SUMIFS(TE!$O:$O,TE!$G:$G,$B$310,TE!$I:$I,B357,TE!$D:$D,$C$5),"")</f>
        <v>0</v>
      </c>
      <c r="U357" s="764"/>
      <c r="V357" s="764"/>
      <c r="W357" s="764"/>
      <c r="X357" s="723" t="str">
        <f aca="false">IFERROR(VLOOKUP(B357,TE!$H$1:$Y$630,14,FALSE()),"0")</f>
        <v>0</v>
      </c>
      <c r="Y357" s="723"/>
      <c r="Z357" s="723"/>
      <c r="AA357" s="723"/>
      <c r="AB357" s="765" t="n">
        <f aca="false">T357*X357</f>
        <v>0</v>
      </c>
      <c r="AC357" s="765"/>
      <c r="AD357" s="765"/>
      <c r="AE357" s="766"/>
      <c r="AF357" s="736"/>
    </row>
    <row r="358" customFormat="false" ht="15.75" hidden="false" customHeight="true" outlineLevel="0" collapsed="false">
      <c r="A358" s="736"/>
      <c r="B358" s="760" t="s">
        <v>1581</v>
      </c>
      <c r="C358" s="761"/>
      <c r="D358" s="761"/>
      <c r="E358" s="762" t="str">
        <f aca="false">IFERROR(VLOOKUP(B358,TE!$H$1:$Y$749,2,FALSE()),"(Not on TE)")</f>
        <v>(Not on TE)</v>
      </c>
      <c r="F358" s="763"/>
      <c r="G358" s="763"/>
      <c r="H358" s="763"/>
      <c r="I358" s="763"/>
      <c r="J358" s="763"/>
      <c r="K358" s="763"/>
      <c r="L358" s="763"/>
      <c r="M358" s="763"/>
      <c r="N358" s="764" t="str">
        <f aca="false">IFERROR(VLOOKUP(B358,TE!$H$1:$Y$749,18,FALSE()),"")</f>
        <v/>
      </c>
      <c r="O358" s="764"/>
      <c r="P358" s="764"/>
      <c r="Q358" s="764"/>
      <c r="R358" s="764"/>
      <c r="S358" s="764"/>
      <c r="T358" s="764" t="n">
        <f aca="false">IFERROR(SUMIFS(TE!$O:$O,TE!$G:$G,$B$310,TE!$I:$I,B358,TE!$D:$D,$C$5),"")</f>
        <v>0</v>
      </c>
      <c r="U358" s="764"/>
      <c r="V358" s="764"/>
      <c r="W358" s="764"/>
      <c r="X358" s="723" t="str">
        <f aca="false">IFERROR(VLOOKUP(B358,TE!$H$1:$Y$630,14,FALSE()),"0")</f>
        <v>0</v>
      </c>
      <c r="Y358" s="723"/>
      <c r="Z358" s="723"/>
      <c r="AA358" s="723"/>
      <c r="AB358" s="765" t="n">
        <f aca="false">T358*X358</f>
        <v>0</v>
      </c>
      <c r="AC358" s="765"/>
      <c r="AD358" s="765"/>
      <c r="AE358" s="766"/>
      <c r="AF358" s="736"/>
    </row>
    <row r="359" customFormat="false" ht="15.75" hidden="false" customHeight="true" outlineLevel="0" collapsed="false">
      <c r="A359" s="736"/>
      <c r="B359" s="760" t="s">
        <v>1132</v>
      </c>
      <c r="C359" s="761"/>
      <c r="D359" s="761"/>
      <c r="E359" s="762" t="str">
        <f aca="false">IFERROR(VLOOKUP(B359,TE!$H$1:$Y$749,2,FALSE()),"(Not on TE)")</f>
        <v>(Not on TE)</v>
      </c>
      <c r="F359" s="763"/>
      <c r="G359" s="763"/>
      <c r="H359" s="763"/>
      <c r="I359" s="763"/>
      <c r="J359" s="763"/>
      <c r="K359" s="763"/>
      <c r="L359" s="763"/>
      <c r="M359" s="763"/>
      <c r="N359" s="764" t="str">
        <f aca="false">IFERROR(VLOOKUP(B359,TE!$H$1:$Y$749,18,FALSE()),"")</f>
        <v/>
      </c>
      <c r="O359" s="764"/>
      <c r="P359" s="764"/>
      <c r="Q359" s="764"/>
      <c r="R359" s="764"/>
      <c r="S359" s="764"/>
      <c r="T359" s="764" t="n">
        <f aca="false">IFERROR(SUMIFS(TE!$O:$O,TE!$G:$G,$B$310,TE!$I:$I,B359,TE!$D:$D,$C$5),"")</f>
        <v>0</v>
      </c>
      <c r="U359" s="764"/>
      <c r="V359" s="764"/>
      <c r="W359" s="764"/>
      <c r="X359" s="723" t="str">
        <f aca="false">IFERROR(VLOOKUP(B359,TE!$H$1:$Y$630,14,FALSE()),"0")</f>
        <v>0</v>
      </c>
      <c r="Y359" s="723"/>
      <c r="Z359" s="723"/>
      <c r="AA359" s="723"/>
      <c r="AB359" s="765" t="n">
        <f aca="false">T359*X359</f>
        <v>0</v>
      </c>
      <c r="AC359" s="765"/>
      <c r="AD359" s="765"/>
      <c r="AE359" s="766"/>
      <c r="AF359" s="736"/>
    </row>
    <row r="360" customFormat="false" ht="15.75" hidden="false" customHeight="true" outlineLevel="0" collapsed="false">
      <c r="A360" s="736"/>
      <c r="B360" s="760" t="s">
        <v>1582</v>
      </c>
      <c r="C360" s="761"/>
      <c r="D360" s="761"/>
      <c r="E360" s="762" t="str">
        <f aca="false">IFERROR(VLOOKUP(B360,TE!$H$1:$Y$749,2,FALSE()),"(Not on TE)")</f>
        <v>(Not on TE)</v>
      </c>
      <c r="F360" s="763"/>
      <c r="G360" s="763"/>
      <c r="H360" s="763"/>
      <c r="I360" s="763"/>
      <c r="J360" s="763"/>
      <c r="K360" s="763"/>
      <c r="L360" s="763"/>
      <c r="M360" s="763"/>
      <c r="N360" s="764" t="str">
        <f aca="false">IFERROR(VLOOKUP(B360,TE!$H$1:$Y$749,18,FALSE()),"")</f>
        <v/>
      </c>
      <c r="O360" s="764"/>
      <c r="P360" s="764"/>
      <c r="Q360" s="764"/>
      <c r="R360" s="764"/>
      <c r="S360" s="764"/>
      <c r="T360" s="764" t="n">
        <f aca="false">IFERROR(SUMIFS(TE!$O:$O,TE!$G:$G,$B$310,TE!$I:$I,B360,TE!$D:$D,$C$5),"")</f>
        <v>0</v>
      </c>
      <c r="U360" s="764"/>
      <c r="V360" s="764"/>
      <c r="W360" s="764"/>
      <c r="X360" s="723" t="str">
        <f aca="false">IFERROR(VLOOKUP(B360,TE!$H$1:$Y$630,14,FALSE()),"0")</f>
        <v>0</v>
      </c>
      <c r="Y360" s="723"/>
      <c r="Z360" s="723"/>
      <c r="AA360" s="723"/>
      <c r="AB360" s="765" t="n">
        <f aca="false">T360*X360</f>
        <v>0</v>
      </c>
      <c r="AC360" s="765"/>
      <c r="AD360" s="765"/>
      <c r="AE360" s="766"/>
      <c r="AF360" s="736"/>
    </row>
    <row r="361" customFormat="false" ht="15.75" hidden="false" customHeight="true" outlineLevel="0" collapsed="false">
      <c r="A361" s="736"/>
      <c r="B361" s="760" t="s">
        <v>1583</v>
      </c>
      <c r="C361" s="761"/>
      <c r="D361" s="761"/>
      <c r="E361" s="762" t="str">
        <f aca="false">IFERROR(VLOOKUP(B361,TE!$H$1:$Y$749,2,FALSE()),"(Not on TE)")</f>
        <v>(Not on TE)</v>
      </c>
      <c r="F361" s="763"/>
      <c r="G361" s="763"/>
      <c r="H361" s="763"/>
      <c r="I361" s="763"/>
      <c r="J361" s="763"/>
      <c r="K361" s="763"/>
      <c r="L361" s="763"/>
      <c r="M361" s="763"/>
      <c r="N361" s="764" t="str">
        <f aca="false">IFERROR(VLOOKUP(B361,TE!$H$1:$Y$749,18,FALSE()),"")</f>
        <v/>
      </c>
      <c r="O361" s="764"/>
      <c r="P361" s="764"/>
      <c r="Q361" s="764"/>
      <c r="R361" s="764"/>
      <c r="S361" s="764"/>
      <c r="T361" s="764" t="n">
        <f aca="false">IFERROR(SUMIFS(TE!$O:$O,TE!$G:$G,$B$310,TE!$I:$I,B361,TE!$D:$D,$C$5),"")</f>
        <v>0</v>
      </c>
      <c r="U361" s="764"/>
      <c r="V361" s="764"/>
      <c r="W361" s="764"/>
      <c r="X361" s="723" t="str">
        <f aca="false">IFERROR(VLOOKUP(B361,TE!$H$1:$Y$630,14,FALSE()),"0")</f>
        <v>0</v>
      </c>
      <c r="Y361" s="723"/>
      <c r="Z361" s="723"/>
      <c r="AA361" s="723"/>
      <c r="AB361" s="765" t="n">
        <f aca="false">T361*X361</f>
        <v>0</v>
      </c>
      <c r="AC361" s="765"/>
      <c r="AD361" s="765"/>
      <c r="AE361" s="766"/>
      <c r="AF361" s="736"/>
    </row>
    <row r="362" customFormat="false" ht="15.75" hidden="false" customHeight="true" outlineLevel="0" collapsed="false">
      <c r="A362" s="736"/>
      <c r="B362" s="760" t="s">
        <v>1584</v>
      </c>
      <c r="C362" s="761"/>
      <c r="D362" s="761"/>
      <c r="E362" s="762" t="str">
        <f aca="false">IFERROR(VLOOKUP(B362,TE!$H$1:$Y$749,2,FALSE()),"(Not on TE)")</f>
        <v>(Not on TE)</v>
      </c>
      <c r="F362" s="763"/>
      <c r="G362" s="763"/>
      <c r="H362" s="763"/>
      <c r="I362" s="763"/>
      <c r="J362" s="763"/>
      <c r="K362" s="763"/>
      <c r="L362" s="763"/>
      <c r="M362" s="763"/>
      <c r="N362" s="764" t="str">
        <f aca="false">IFERROR(VLOOKUP(B362,TE!$H$1:$Y$749,18,FALSE()),"")</f>
        <v/>
      </c>
      <c r="O362" s="764"/>
      <c r="P362" s="764"/>
      <c r="Q362" s="764"/>
      <c r="R362" s="764"/>
      <c r="S362" s="764"/>
      <c r="T362" s="764" t="n">
        <f aca="false">IFERROR(SUMIFS(TE!$O:$O,TE!$G:$G,$B$310,TE!$I:$I,B362,TE!$D:$D,$C$5),"")</f>
        <v>0</v>
      </c>
      <c r="U362" s="764"/>
      <c r="V362" s="764"/>
      <c r="W362" s="764"/>
      <c r="X362" s="723" t="str">
        <f aca="false">IFERROR(VLOOKUP(B362,TE!$H$1:$Y$630,14,FALSE()),"0")</f>
        <v>0</v>
      </c>
      <c r="Y362" s="723"/>
      <c r="Z362" s="723"/>
      <c r="AA362" s="723"/>
      <c r="AB362" s="765" t="n">
        <f aca="false">T362*X362</f>
        <v>0</v>
      </c>
      <c r="AC362" s="765"/>
      <c r="AD362" s="765"/>
      <c r="AE362" s="766"/>
      <c r="AF362" s="736"/>
    </row>
    <row r="363" customFormat="false" ht="15.75" hidden="false" customHeight="true" outlineLevel="0" collapsed="false">
      <c r="A363" s="736"/>
      <c r="B363" s="760" t="s">
        <v>1585</v>
      </c>
      <c r="C363" s="761"/>
      <c r="D363" s="761"/>
      <c r="E363" s="762" t="str">
        <f aca="false">IFERROR(VLOOKUP(B363,TE!$H$1:$Y$749,2,FALSE()),"(Not on TE)")</f>
        <v>(Not on TE)</v>
      </c>
      <c r="F363" s="763"/>
      <c r="G363" s="763"/>
      <c r="H363" s="763"/>
      <c r="I363" s="763"/>
      <c r="J363" s="763"/>
      <c r="K363" s="763"/>
      <c r="L363" s="763"/>
      <c r="M363" s="763"/>
      <c r="N363" s="764" t="str">
        <f aca="false">IFERROR(VLOOKUP(B363,TE!$H$1:$Y$749,18,FALSE()),"")</f>
        <v/>
      </c>
      <c r="O363" s="764"/>
      <c r="P363" s="764"/>
      <c r="Q363" s="764"/>
      <c r="R363" s="764"/>
      <c r="S363" s="764"/>
      <c r="T363" s="764" t="n">
        <f aca="false">IFERROR(SUMIFS(TE!$O:$O,TE!$G:$G,$B$310,TE!$I:$I,B363,TE!$D:$D,$C$5),"")</f>
        <v>0</v>
      </c>
      <c r="U363" s="764"/>
      <c r="V363" s="764"/>
      <c r="W363" s="764"/>
      <c r="X363" s="723" t="str">
        <f aca="false">IFERROR(VLOOKUP(B363,TE!$H$1:$Y$630,14,FALSE()),"0")</f>
        <v>0</v>
      </c>
      <c r="Y363" s="723"/>
      <c r="Z363" s="723"/>
      <c r="AA363" s="723"/>
      <c r="AB363" s="765" t="n">
        <f aca="false">T363*X363</f>
        <v>0</v>
      </c>
      <c r="AC363" s="765"/>
      <c r="AD363" s="765"/>
      <c r="AE363" s="766"/>
      <c r="AF363" s="736"/>
    </row>
    <row r="364" customFormat="false" ht="15.75" hidden="false" customHeight="true" outlineLevel="0" collapsed="false">
      <c r="A364" s="736"/>
      <c r="B364" s="760" t="s">
        <v>1450</v>
      </c>
      <c r="C364" s="761"/>
      <c r="D364" s="761"/>
      <c r="E364" s="762" t="str">
        <f aca="false">IFERROR(VLOOKUP(B364,TE!$H$1:$Y$749,2,FALSE()),"(Not on TE)")</f>
        <v>(Not on TE)</v>
      </c>
      <c r="F364" s="763"/>
      <c r="G364" s="763"/>
      <c r="H364" s="763"/>
      <c r="I364" s="763"/>
      <c r="J364" s="763"/>
      <c r="K364" s="763"/>
      <c r="L364" s="763"/>
      <c r="M364" s="763"/>
      <c r="N364" s="764" t="str">
        <f aca="false">IFERROR(VLOOKUP(B364,TE!$H$1:$Y$749,18,FALSE()),"")</f>
        <v/>
      </c>
      <c r="O364" s="764"/>
      <c r="P364" s="764"/>
      <c r="Q364" s="764"/>
      <c r="R364" s="764"/>
      <c r="S364" s="764"/>
      <c r="T364" s="764" t="n">
        <f aca="false">IFERROR(SUMIFS(TE!$O:$O,TE!$G:$G,$B$310,TE!$I:$I,B364,TE!$D:$D,$C$5),"")</f>
        <v>0</v>
      </c>
      <c r="U364" s="764"/>
      <c r="V364" s="764"/>
      <c r="W364" s="764"/>
      <c r="X364" s="723" t="str">
        <f aca="false">IFERROR(VLOOKUP(B364,TE!$H$1:$Y$630,14,FALSE()),"0")</f>
        <v>0</v>
      </c>
      <c r="Y364" s="723"/>
      <c r="Z364" s="723"/>
      <c r="AA364" s="723"/>
      <c r="AB364" s="765" t="n">
        <f aca="false">T364*X364</f>
        <v>0</v>
      </c>
      <c r="AC364" s="765"/>
      <c r="AD364" s="765"/>
      <c r="AE364" s="766"/>
      <c r="AF364" s="736"/>
    </row>
    <row r="365" customFormat="false" ht="15.75" hidden="false" customHeight="true" outlineLevel="0" collapsed="false">
      <c r="A365" s="736"/>
      <c r="B365" s="760" t="s">
        <v>1586</v>
      </c>
      <c r="C365" s="761"/>
      <c r="D365" s="761"/>
      <c r="E365" s="762" t="str">
        <f aca="false">IFERROR(VLOOKUP(B365,TE!$H$1:$Y$749,2,FALSE()),"(Not on TE)")</f>
        <v>(Not on TE)</v>
      </c>
      <c r="F365" s="763"/>
      <c r="G365" s="763"/>
      <c r="H365" s="763"/>
      <c r="I365" s="763"/>
      <c r="J365" s="763"/>
      <c r="K365" s="763"/>
      <c r="L365" s="763"/>
      <c r="M365" s="763"/>
      <c r="N365" s="764" t="str">
        <f aca="false">IFERROR(VLOOKUP(B365,TE!$H$1:$Y$749,18,FALSE()),"")</f>
        <v/>
      </c>
      <c r="O365" s="764"/>
      <c r="P365" s="764"/>
      <c r="Q365" s="764"/>
      <c r="R365" s="764"/>
      <c r="S365" s="764"/>
      <c r="T365" s="764" t="n">
        <f aca="false">IFERROR(SUMIFS(TE!$O:$O,TE!$G:$G,$B$310,TE!$I:$I,B365,TE!$D:$D,$C$5),"")</f>
        <v>0</v>
      </c>
      <c r="U365" s="764"/>
      <c r="V365" s="764"/>
      <c r="W365" s="764"/>
      <c r="X365" s="723" t="str">
        <f aca="false">IFERROR(VLOOKUP(B365,TE!$H$1:$Y$630,14,FALSE()),"0")</f>
        <v>0</v>
      </c>
      <c r="Y365" s="723"/>
      <c r="Z365" s="723"/>
      <c r="AA365" s="723"/>
      <c r="AB365" s="765" t="n">
        <f aca="false">T365*X365</f>
        <v>0</v>
      </c>
      <c r="AC365" s="765"/>
      <c r="AD365" s="765"/>
      <c r="AE365" s="766"/>
      <c r="AF365" s="736"/>
    </row>
    <row r="366" customFormat="false" ht="15.75" hidden="false" customHeight="true" outlineLevel="0" collapsed="false">
      <c r="A366" s="736"/>
      <c r="B366" s="760" t="s">
        <v>1587</v>
      </c>
      <c r="C366" s="761"/>
      <c r="D366" s="761"/>
      <c r="E366" s="762" t="str">
        <f aca="false">IFERROR(VLOOKUP(B366,TE!$H$1:$Y$749,2,FALSE()),"(Not on TE)")</f>
        <v>(Not on TE)</v>
      </c>
      <c r="F366" s="763"/>
      <c r="G366" s="763"/>
      <c r="H366" s="763"/>
      <c r="I366" s="763"/>
      <c r="J366" s="763"/>
      <c r="K366" s="763"/>
      <c r="L366" s="763"/>
      <c r="M366" s="763"/>
      <c r="N366" s="764" t="str">
        <f aca="false">IFERROR(VLOOKUP(B366,TE!$H$1:$Y$749,18,FALSE()),"")</f>
        <v/>
      </c>
      <c r="O366" s="764"/>
      <c r="P366" s="764"/>
      <c r="Q366" s="764"/>
      <c r="R366" s="764"/>
      <c r="S366" s="764"/>
      <c r="T366" s="764" t="n">
        <f aca="false">IFERROR(SUMIFS(TE!$O:$O,TE!$G:$G,$B$310,TE!$I:$I,B366,TE!$D:$D,$C$5),"")</f>
        <v>0</v>
      </c>
      <c r="U366" s="764"/>
      <c r="V366" s="764"/>
      <c r="W366" s="764"/>
      <c r="X366" s="723" t="str">
        <f aca="false">IFERROR(VLOOKUP(B366,TE!$H$1:$Y$630,14,FALSE()),"0")</f>
        <v>0</v>
      </c>
      <c r="Y366" s="723"/>
      <c r="Z366" s="723"/>
      <c r="AA366" s="723"/>
      <c r="AB366" s="765" t="n">
        <f aca="false">T366*X366</f>
        <v>0</v>
      </c>
      <c r="AC366" s="765"/>
      <c r="AD366" s="765"/>
      <c r="AE366" s="766"/>
      <c r="AF366" s="736"/>
    </row>
    <row r="367" customFormat="false" ht="15.75" hidden="false" customHeight="true" outlineLevel="0" collapsed="false">
      <c r="A367" s="736"/>
      <c r="B367" s="760" t="s">
        <v>1588</v>
      </c>
      <c r="C367" s="761"/>
      <c r="D367" s="761"/>
      <c r="E367" s="762" t="str">
        <f aca="false">IFERROR(VLOOKUP(B367,TE!$H$1:$Y$749,2,FALSE()),"(Not on TE)")</f>
        <v>(Not on TE)</v>
      </c>
      <c r="F367" s="763"/>
      <c r="G367" s="763"/>
      <c r="H367" s="763"/>
      <c r="I367" s="763"/>
      <c r="J367" s="763"/>
      <c r="K367" s="763"/>
      <c r="L367" s="763"/>
      <c r="M367" s="763"/>
      <c r="N367" s="764" t="str">
        <f aca="false">IFERROR(VLOOKUP(B367,TE!$H$1:$Y$749,18,FALSE()),"")</f>
        <v/>
      </c>
      <c r="O367" s="764"/>
      <c r="P367" s="764"/>
      <c r="Q367" s="764"/>
      <c r="R367" s="764"/>
      <c r="S367" s="764"/>
      <c r="T367" s="764" t="n">
        <f aca="false">IFERROR(SUMIFS(TE!$O:$O,TE!$G:$G,$B$310,TE!$I:$I,B367,TE!$D:$D,$C$5),"")</f>
        <v>0</v>
      </c>
      <c r="U367" s="764"/>
      <c r="V367" s="764"/>
      <c r="W367" s="764"/>
      <c r="X367" s="723" t="str">
        <f aca="false">IFERROR(VLOOKUP(B367,TE!$H$1:$Y$630,14,FALSE()),"0")</f>
        <v>0</v>
      </c>
      <c r="Y367" s="723"/>
      <c r="Z367" s="723"/>
      <c r="AA367" s="723"/>
      <c r="AB367" s="765" t="n">
        <f aca="false">T367*X367</f>
        <v>0</v>
      </c>
      <c r="AC367" s="765"/>
      <c r="AD367" s="765"/>
      <c r="AE367" s="766"/>
      <c r="AF367" s="736"/>
    </row>
    <row r="368" customFormat="false" ht="15.75" hidden="false" customHeight="true" outlineLevel="0" collapsed="false">
      <c r="A368" s="736"/>
      <c r="B368" s="760" t="s">
        <v>1589</v>
      </c>
      <c r="C368" s="761"/>
      <c r="D368" s="761"/>
      <c r="E368" s="762" t="str">
        <f aca="false">IFERROR(VLOOKUP(B368,TE!$H$1:$Y$749,2,FALSE()),"(Not on TE)")</f>
        <v>(Not on TE)</v>
      </c>
      <c r="F368" s="763"/>
      <c r="G368" s="763"/>
      <c r="H368" s="763"/>
      <c r="I368" s="763"/>
      <c r="J368" s="763"/>
      <c r="K368" s="763"/>
      <c r="L368" s="763"/>
      <c r="M368" s="763"/>
      <c r="N368" s="764" t="str">
        <f aca="false">IFERROR(VLOOKUP(B368,TE!$H$1:$Y$749,18,FALSE()),"")</f>
        <v/>
      </c>
      <c r="O368" s="764"/>
      <c r="P368" s="764"/>
      <c r="Q368" s="764"/>
      <c r="R368" s="764"/>
      <c r="S368" s="764"/>
      <c r="T368" s="764" t="n">
        <f aca="false">IFERROR(SUMIFS(TE!$O:$O,TE!$G:$G,$B$310,TE!$I:$I,B368,TE!$D:$D,$C$5),"")</f>
        <v>0</v>
      </c>
      <c r="U368" s="764"/>
      <c r="V368" s="764"/>
      <c r="W368" s="764"/>
      <c r="X368" s="723" t="str">
        <f aca="false">IFERROR(VLOOKUP(B368,TE!$H$1:$Y$630,14,FALSE()),"0")</f>
        <v>0</v>
      </c>
      <c r="Y368" s="723"/>
      <c r="Z368" s="723"/>
      <c r="AA368" s="723"/>
      <c r="AB368" s="765" t="n">
        <f aca="false">T368*X368</f>
        <v>0</v>
      </c>
      <c r="AC368" s="765"/>
      <c r="AD368" s="765"/>
      <c r="AE368" s="766"/>
      <c r="AF368" s="736"/>
    </row>
    <row r="369" customFormat="false" ht="15.75" hidden="false" customHeight="true" outlineLevel="0" collapsed="false">
      <c r="A369" s="736"/>
      <c r="B369" s="760" t="s">
        <v>1590</v>
      </c>
      <c r="C369" s="761"/>
      <c r="D369" s="761"/>
      <c r="E369" s="762" t="str">
        <f aca="false">IFERROR(VLOOKUP(B369,TE!$H$1:$Y$749,2,FALSE()),"(Not on TE)")</f>
        <v>(Not on TE)</v>
      </c>
      <c r="F369" s="763"/>
      <c r="G369" s="763"/>
      <c r="H369" s="763"/>
      <c r="I369" s="763"/>
      <c r="J369" s="763"/>
      <c r="K369" s="763"/>
      <c r="L369" s="763"/>
      <c r="M369" s="763"/>
      <c r="N369" s="764" t="str">
        <f aca="false">IFERROR(VLOOKUP(B369,TE!$H$1:$Y$749,18,FALSE()),"")</f>
        <v/>
      </c>
      <c r="O369" s="764"/>
      <c r="P369" s="764"/>
      <c r="Q369" s="764"/>
      <c r="R369" s="764"/>
      <c r="S369" s="764"/>
      <c r="T369" s="764" t="n">
        <f aca="false">IFERROR(SUMIFS(TE!$O:$O,TE!$G:$G,$B$310,TE!$I:$I,B369,TE!$D:$D,$C$5),"")</f>
        <v>0</v>
      </c>
      <c r="U369" s="764"/>
      <c r="V369" s="764"/>
      <c r="W369" s="764"/>
      <c r="X369" s="723" t="str">
        <f aca="false">IFERROR(VLOOKUP(B369,TE!$H$1:$Y$630,14,FALSE()),"0")</f>
        <v>0</v>
      </c>
      <c r="Y369" s="723"/>
      <c r="Z369" s="723"/>
      <c r="AA369" s="723"/>
      <c r="AB369" s="765" t="n">
        <f aca="false">T369*X369</f>
        <v>0</v>
      </c>
      <c r="AC369" s="765"/>
      <c r="AD369" s="765"/>
      <c r="AE369" s="766"/>
      <c r="AF369" s="736"/>
    </row>
    <row r="370" customFormat="false" ht="15.75" hidden="false" customHeight="true" outlineLevel="0" collapsed="false">
      <c r="A370" s="736"/>
      <c r="B370" s="760" t="s">
        <v>1591</v>
      </c>
      <c r="C370" s="761"/>
      <c r="D370" s="761"/>
      <c r="E370" s="762" t="str">
        <f aca="false">IFERROR(VLOOKUP(B370,TE!$H$1:$Y$749,2,FALSE()),"(Not on TE)")</f>
        <v>(Not on TE)</v>
      </c>
      <c r="F370" s="763"/>
      <c r="G370" s="763"/>
      <c r="H370" s="763"/>
      <c r="I370" s="763"/>
      <c r="J370" s="763"/>
      <c r="K370" s="763"/>
      <c r="L370" s="763"/>
      <c r="M370" s="763"/>
      <c r="N370" s="764" t="str">
        <f aca="false">IFERROR(VLOOKUP(B370,TE!$H$1:$Y$749,18,FALSE()),"")</f>
        <v/>
      </c>
      <c r="O370" s="764"/>
      <c r="P370" s="764"/>
      <c r="Q370" s="764"/>
      <c r="R370" s="764"/>
      <c r="S370" s="764"/>
      <c r="T370" s="764" t="n">
        <f aca="false">IFERROR(SUMIFS(TE!$O:$O,TE!$G:$G,$B$310,TE!$I:$I,B370,TE!$D:$D,$C$5),"")</f>
        <v>0</v>
      </c>
      <c r="U370" s="764"/>
      <c r="V370" s="764"/>
      <c r="W370" s="764"/>
      <c r="X370" s="723" t="str">
        <f aca="false">IFERROR(VLOOKUP(B370,TE!$H$1:$Y$630,14,FALSE()),"0")</f>
        <v>0</v>
      </c>
      <c r="Y370" s="723"/>
      <c r="Z370" s="723"/>
      <c r="AA370" s="723"/>
      <c r="AB370" s="765" t="n">
        <f aca="false">T370*X370</f>
        <v>0</v>
      </c>
      <c r="AC370" s="765"/>
      <c r="AD370" s="765"/>
      <c r="AE370" s="766"/>
      <c r="AF370" s="736"/>
    </row>
    <row r="371" customFormat="false" ht="15.75" hidden="false" customHeight="true" outlineLevel="0" collapsed="false">
      <c r="A371" s="736"/>
      <c r="B371" s="760" t="s">
        <v>1592</v>
      </c>
      <c r="C371" s="761"/>
      <c r="D371" s="761"/>
      <c r="E371" s="762" t="str">
        <f aca="false">IFERROR(VLOOKUP(B371,TE!$H$1:$Y$749,2,FALSE()),"(Not on TE)")</f>
        <v>(Not on TE)</v>
      </c>
      <c r="F371" s="763"/>
      <c r="G371" s="763"/>
      <c r="H371" s="763"/>
      <c r="I371" s="763"/>
      <c r="J371" s="763"/>
      <c r="K371" s="763"/>
      <c r="L371" s="763"/>
      <c r="M371" s="763"/>
      <c r="N371" s="764" t="str">
        <f aca="false">IFERROR(VLOOKUP(B371,TE!$H$1:$Y$749,18,FALSE()),"")</f>
        <v/>
      </c>
      <c r="O371" s="764"/>
      <c r="P371" s="764"/>
      <c r="Q371" s="764"/>
      <c r="R371" s="764"/>
      <c r="S371" s="764"/>
      <c r="T371" s="764" t="n">
        <f aca="false">IFERROR(SUMIFS(TE!$O:$O,TE!$G:$G,$B$310,TE!$I:$I,B371,TE!$D:$D,$C$5),"")</f>
        <v>0</v>
      </c>
      <c r="U371" s="764"/>
      <c r="V371" s="764"/>
      <c r="W371" s="764"/>
      <c r="X371" s="723" t="str">
        <f aca="false">IFERROR(VLOOKUP(B371,TE!$H$1:$Y$630,14,FALSE()),"0")</f>
        <v>0</v>
      </c>
      <c r="Y371" s="723"/>
      <c r="Z371" s="723"/>
      <c r="AA371" s="723"/>
      <c r="AB371" s="765" t="n">
        <f aca="false">T371*X371</f>
        <v>0</v>
      </c>
      <c r="AC371" s="765"/>
      <c r="AD371" s="765"/>
      <c r="AE371" s="766"/>
      <c r="AF371" s="736"/>
    </row>
    <row r="372" customFormat="false" ht="15.75" hidden="false" customHeight="true" outlineLevel="0" collapsed="false">
      <c r="A372" s="736"/>
      <c r="B372" s="760" t="s">
        <v>1593</v>
      </c>
      <c r="C372" s="761"/>
      <c r="D372" s="761"/>
      <c r="E372" s="762" t="str">
        <f aca="false">IFERROR(VLOOKUP(B372,TE!$H$1:$Y$749,2,FALSE()),"(Not on TE)")</f>
        <v>(Not on TE)</v>
      </c>
      <c r="F372" s="763"/>
      <c r="G372" s="763"/>
      <c r="H372" s="763"/>
      <c r="I372" s="763"/>
      <c r="J372" s="763"/>
      <c r="K372" s="763"/>
      <c r="L372" s="763"/>
      <c r="M372" s="763"/>
      <c r="N372" s="764" t="str">
        <f aca="false">IFERROR(VLOOKUP(B372,TE!$H$1:$Y$749,18,FALSE()),"")</f>
        <v/>
      </c>
      <c r="O372" s="764"/>
      <c r="P372" s="764"/>
      <c r="Q372" s="764"/>
      <c r="R372" s="764"/>
      <c r="S372" s="764"/>
      <c r="T372" s="764" t="n">
        <f aca="false">IFERROR(SUMIFS(TE!$O:$O,TE!$G:$G,$B$310,TE!$I:$I,B372,TE!$D:$D,$C$5),"")</f>
        <v>0</v>
      </c>
      <c r="U372" s="764"/>
      <c r="V372" s="764"/>
      <c r="W372" s="764"/>
      <c r="X372" s="723" t="str">
        <f aca="false">IFERROR(VLOOKUP(B372,TE!$H$1:$Y$630,14,FALSE()),"0")</f>
        <v>0</v>
      </c>
      <c r="Y372" s="723"/>
      <c r="Z372" s="723"/>
      <c r="AA372" s="723"/>
      <c r="AB372" s="765" t="n">
        <f aca="false">T372*X372</f>
        <v>0</v>
      </c>
      <c r="AC372" s="765"/>
      <c r="AD372" s="765"/>
      <c r="AE372" s="766"/>
      <c r="AF372" s="736"/>
    </row>
    <row r="373" customFormat="false" ht="15.75" hidden="false" customHeight="true" outlineLevel="0" collapsed="false">
      <c r="A373" s="736"/>
      <c r="B373" s="760" t="s">
        <v>1595</v>
      </c>
      <c r="C373" s="761"/>
      <c r="D373" s="761"/>
      <c r="E373" s="762" t="str">
        <f aca="false">IFERROR(VLOOKUP(B373,TE!$H$1:$Y$749,2,FALSE()),"(Not on TE)")</f>
        <v>(Not on TE)</v>
      </c>
      <c r="F373" s="763"/>
      <c r="G373" s="763"/>
      <c r="H373" s="763"/>
      <c r="I373" s="763"/>
      <c r="J373" s="763"/>
      <c r="K373" s="763"/>
      <c r="L373" s="763"/>
      <c r="M373" s="763"/>
      <c r="N373" s="764" t="str">
        <f aca="false">IFERROR(VLOOKUP(B373,TE!$H$1:$Y$749,18,FALSE()),"")</f>
        <v/>
      </c>
      <c r="O373" s="764"/>
      <c r="P373" s="764"/>
      <c r="Q373" s="764"/>
      <c r="R373" s="764"/>
      <c r="S373" s="764"/>
      <c r="T373" s="764" t="n">
        <f aca="false">IFERROR(SUMIFS(TE!$O:$O,TE!$G:$G,$B$310,TE!$I:$I,B373,TE!$D:$D,$C$5),"")</f>
        <v>0</v>
      </c>
      <c r="U373" s="764"/>
      <c r="V373" s="764"/>
      <c r="W373" s="764"/>
      <c r="X373" s="723" t="str">
        <f aca="false">IFERROR(VLOOKUP(B373,TE!$H$1:$Y$630,14,FALSE()),"0")</f>
        <v>0</v>
      </c>
      <c r="Y373" s="723"/>
      <c r="Z373" s="723"/>
      <c r="AA373" s="723"/>
      <c r="AB373" s="765" t="n">
        <f aca="false">T373*X373</f>
        <v>0</v>
      </c>
      <c r="AC373" s="765"/>
      <c r="AD373" s="765"/>
      <c r="AE373" s="766"/>
      <c r="AF373" s="736"/>
    </row>
    <row r="374" customFormat="false" ht="15.75" hidden="false" customHeight="true" outlineLevel="0" collapsed="false">
      <c r="A374" s="736"/>
      <c r="B374" s="760" t="s">
        <v>1153</v>
      </c>
      <c r="C374" s="761"/>
      <c r="D374" s="761"/>
      <c r="E374" s="762" t="str">
        <f aca="false">IFERROR(VLOOKUP(B374,TE!$H$1:$Y$749,2,FALSE()),"(Not on TE)")</f>
        <v>(Not on TE)</v>
      </c>
      <c r="F374" s="763"/>
      <c r="G374" s="763"/>
      <c r="H374" s="763"/>
      <c r="I374" s="763"/>
      <c r="J374" s="763"/>
      <c r="K374" s="763"/>
      <c r="L374" s="763"/>
      <c r="M374" s="763"/>
      <c r="N374" s="764" t="str">
        <f aca="false">IFERROR(VLOOKUP(B374,TE!$H$1:$Y$749,18,FALSE()),"")</f>
        <v/>
      </c>
      <c r="O374" s="764"/>
      <c r="P374" s="764"/>
      <c r="Q374" s="764"/>
      <c r="R374" s="764"/>
      <c r="S374" s="764"/>
      <c r="T374" s="764" t="n">
        <f aca="false">IFERROR(SUMIFS(TE!$O:$O,TE!$G:$G,$B$310,TE!$I:$I,B374,TE!$D:$D,$C$5),"")</f>
        <v>0</v>
      </c>
      <c r="U374" s="764"/>
      <c r="V374" s="764"/>
      <c r="W374" s="764"/>
      <c r="X374" s="723" t="str">
        <f aca="false">IFERROR(VLOOKUP(B374,TE!$H$1:$Y$630,14,FALSE()),"0")</f>
        <v>0</v>
      </c>
      <c r="Y374" s="723"/>
      <c r="Z374" s="723"/>
      <c r="AA374" s="723"/>
      <c r="AB374" s="765" t="n">
        <f aca="false">T374*X374</f>
        <v>0</v>
      </c>
      <c r="AC374" s="765"/>
      <c r="AD374" s="765"/>
      <c r="AE374" s="766"/>
      <c r="AF374" s="736"/>
    </row>
    <row r="375" customFormat="false" ht="15.75" hidden="false" customHeight="true" outlineLevel="0" collapsed="false">
      <c r="A375" s="736"/>
      <c r="B375" s="760" t="s">
        <v>1596</v>
      </c>
      <c r="C375" s="761"/>
      <c r="D375" s="761"/>
      <c r="E375" s="762" t="str">
        <f aca="false">IFERROR(VLOOKUP(B375,TE!$H$1:$Y$749,2,FALSE()),"(Not on TE)")</f>
        <v>(Not on TE)</v>
      </c>
      <c r="F375" s="763"/>
      <c r="G375" s="763"/>
      <c r="H375" s="763"/>
      <c r="I375" s="763"/>
      <c r="J375" s="763"/>
      <c r="K375" s="763"/>
      <c r="L375" s="763"/>
      <c r="M375" s="763"/>
      <c r="N375" s="764" t="str">
        <f aca="false">IFERROR(VLOOKUP(B375,TE!$H$1:$Y$749,18,FALSE()),"")</f>
        <v/>
      </c>
      <c r="O375" s="764"/>
      <c r="P375" s="764"/>
      <c r="Q375" s="764"/>
      <c r="R375" s="764"/>
      <c r="S375" s="764"/>
      <c r="T375" s="764" t="n">
        <f aca="false">IFERROR(SUMIFS(TE!$O:$O,TE!$G:$G,$B$310,TE!$I:$I,B375,TE!$D:$D,$C$5),"")</f>
        <v>0</v>
      </c>
      <c r="U375" s="764"/>
      <c r="V375" s="764"/>
      <c r="W375" s="764"/>
      <c r="X375" s="723" t="str">
        <f aca="false">IFERROR(VLOOKUP(B375,TE!$H$1:$Y$630,14,FALSE()),"0")</f>
        <v>0</v>
      </c>
      <c r="Y375" s="723"/>
      <c r="Z375" s="723"/>
      <c r="AA375" s="723"/>
      <c r="AB375" s="765" t="n">
        <f aca="false">T375*X375</f>
        <v>0</v>
      </c>
      <c r="AC375" s="765"/>
      <c r="AD375" s="765"/>
      <c r="AE375" s="766"/>
      <c r="AF375" s="736"/>
    </row>
    <row r="376" customFormat="false" ht="15.75" hidden="false" customHeight="true" outlineLevel="0" collapsed="false">
      <c r="A376" s="736"/>
      <c r="B376" s="760" t="s">
        <v>1597</v>
      </c>
      <c r="C376" s="761"/>
      <c r="D376" s="761"/>
      <c r="E376" s="762" t="str">
        <f aca="false">IFERROR(VLOOKUP(B376,TE!$H$1:$Y$749,2,FALSE()),"(Not on TE)")</f>
        <v>(Not on TE)</v>
      </c>
      <c r="F376" s="763"/>
      <c r="G376" s="763"/>
      <c r="H376" s="763"/>
      <c r="I376" s="763"/>
      <c r="J376" s="763"/>
      <c r="K376" s="763"/>
      <c r="L376" s="763"/>
      <c r="M376" s="763"/>
      <c r="N376" s="764" t="str">
        <f aca="false">IFERROR(VLOOKUP(B376,TE!$H$1:$Y$749,18,FALSE()),"")</f>
        <v/>
      </c>
      <c r="O376" s="764"/>
      <c r="P376" s="764"/>
      <c r="Q376" s="764"/>
      <c r="R376" s="764"/>
      <c r="S376" s="764"/>
      <c r="T376" s="764" t="n">
        <f aca="false">IFERROR(SUMIFS(TE!$O:$O,TE!$G:$G,$B$310,TE!$I:$I,B376,TE!$D:$D,$C$5),"")</f>
        <v>0</v>
      </c>
      <c r="U376" s="764"/>
      <c r="V376" s="764"/>
      <c r="W376" s="764"/>
      <c r="X376" s="723" t="str">
        <f aca="false">IFERROR(VLOOKUP(B376,TE!$H$1:$Y$630,14,FALSE()),"0")</f>
        <v>0</v>
      </c>
      <c r="Y376" s="723"/>
      <c r="Z376" s="723"/>
      <c r="AA376" s="723"/>
      <c r="AB376" s="765" t="n">
        <f aca="false">T376*X376</f>
        <v>0</v>
      </c>
      <c r="AC376" s="765"/>
      <c r="AD376" s="765"/>
      <c r="AE376" s="736"/>
      <c r="AF376" s="736"/>
    </row>
    <row r="377" customFormat="false" ht="15.75" hidden="false" customHeight="true" outlineLevel="0" collapsed="false">
      <c r="A377" s="736"/>
      <c r="B377" s="783" t="s">
        <v>1598</v>
      </c>
      <c r="C377" s="761"/>
      <c r="D377" s="761"/>
      <c r="E377" s="762" t="str">
        <f aca="false">IFERROR(VLOOKUP(B377,TE!$H$1:$Y$749,2,FALSE()),"(Not on TE)")</f>
        <v>(Not on TE)</v>
      </c>
      <c r="F377" s="763"/>
      <c r="G377" s="763"/>
      <c r="H377" s="763"/>
      <c r="I377" s="763"/>
      <c r="J377" s="763"/>
      <c r="K377" s="763"/>
      <c r="L377" s="763"/>
      <c r="M377" s="763"/>
      <c r="N377" s="764" t="str">
        <f aca="false">IFERROR(VLOOKUP(B377,TE!$H$1:$Y$749,18,FALSE()),"")</f>
        <v/>
      </c>
      <c r="O377" s="764"/>
      <c r="P377" s="764"/>
      <c r="Q377" s="764"/>
      <c r="R377" s="764"/>
      <c r="S377" s="764"/>
      <c r="T377" s="764" t="n">
        <f aca="false">IFERROR(SUMIFS(TE!$O:$O,TE!$G:$G,$B$310,TE!$I:$I,B377,TE!$D:$D,$C$5),"")</f>
        <v>0</v>
      </c>
      <c r="U377" s="764"/>
      <c r="V377" s="764"/>
      <c r="W377" s="764"/>
      <c r="X377" s="723" t="str">
        <f aca="false">IFERROR(VLOOKUP(B377,TE!$H$1:$Y$630,14,FALSE()),"0")</f>
        <v>0</v>
      </c>
      <c r="Y377" s="723"/>
      <c r="Z377" s="723"/>
      <c r="AA377" s="723"/>
      <c r="AB377" s="765" t="n">
        <f aca="false">T377*X377</f>
        <v>0</v>
      </c>
      <c r="AC377" s="765"/>
      <c r="AD377" s="765"/>
      <c r="AE377" s="736"/>
      <c r="AF377" s="736"/>
    </row>
    <row r="378" customFormat="false" ht="15.75" hidden="false" customHeight="true" outlineLevel="0" collapsed="false">
      <c r="A378" s="736"/>
      <c r="B378" s="783" t="s">
        <v>1599</v>
      </c>
      <c r="C378" s="761"/>
      <c r="D378" s="761"/>
      <c r="E378" s="762" t="str">
        <f aca="false">IFERROR(VLOOKUP(B378,TE!$H$1:$Y$749,2,FALSE()),"(Not on TE)")</f>
        <v>(Not on TE)</v>
      </c>
      <c r="F378" s="763"/>
      <c r="G378" s="763"/>
      <c r="H378" s="763"/>
      <c r="I378" s="763"/>
      <c r="J378" s="763"/>
      <c r="K378" s="763"/>
      <c r="L378" s="763"/>
      <c r="M378" s="763"/>
      <c r="N378" s="764" t="str">
        <f aca="false">IFERROR(VLOOKUP(B378,TE!$H$1:$Y$749,18,FALSE()),"")</f>
        <v/>
      </c>
      <c r="O378" s="764"/>
      <c r="P378" s="764"/>
      <c r="Q378" s="764"/>
      <c r="R378" s="764"/>
      <c r="S378" s="764"/>
      <c r="T378" s="764" t="n">
        <f aca="false">IFERROR(SUMIFS(TE!$O:$O,TE!$G:$G,$B$310,TE!$I:$I,B378,TE!$D:$D,$C$5),"")</f>
        <v>0</v>
      </c>
      <c r="U378" s="764"/>
      <c r="V378" s="764"/>
      <c r="W378" s="764"/>
      <c r="X378" s="723" t="str">
        <f aca="false">IFERROR(VLOOKUP(B378,TE!$H$1:$Y$630,14,FALSE()),"0")</f>
        <v>0</v>
      </c>
      <c r="Y378" s="723"/>
      <c r="Z378" s="723"/>
      <c r="AA378" s="723"/>
      <c r="AB378" s="765" t="n">
        <f aca="false">T378*X378</f>
        <v>0</v>
      </c>
      <c r="AC378" s="765"/>
      <c r="AD378" s="765"/>
      <c r="AE378" s="736"/>
      <c r="AF378" s="736"/>
    </row>
    <row r="379" customFormat="false" ht="15.75" hidden="false" customHeight="true" outlineLevel="0" collapsed="false">
      <c r="A379" s="736"/>
      <c r="B379" s="783" t="s">
        <v>1600</v>
      </c>
      <c r="C379" s="761"/>
      <c r="D379" s="761"/>
      <c r="E379" s="762" t="str">
        <f aca="false">IFERROR(VLOOKUP(B379,TE!$H$1:$Y$749,2,FALSE()),"(Not on TE)")</f>
        <v>(Not on TE)</v>
      </c>
      <c r="F379" s="763"/>
      <c r="G379" s="763"/>
      <c r="H379" s="763"/>
      <c r="I379" s="763"/>
      <c r="J379" s="763"/>
      <c r="K379" s="763"/>
      <c r="L379" s="763"/>
      <c r="M379" s="763"/>
      <c r="N379" s="764" t="str">
        <f aca="false">IFERROR(VLOOKUP(B379,TE!$H$1:$Y$749,18,FALSE()),"")</f>
        <v/>
      </c>
      <c r="O379" s="764"/>
      <c r="P379" s="764"/>
      <c r="Q379" s="764"/>
      <c r="R379" s="764"/>
      <c r="S379" s="764"/>
      <c r="T379" s="764" t="n">
        <f aca="false">IFERROR(SUMIFS(TE!$O:$O,TE!$G:$G,$B$310,TE!$I:$I,B379,TE!$D:$D,$C$5),"")</f>
        <v>0</v>
      </c>
      <c r="U379" s="764"/>
      <c r="V379" s="764"/>
      <c r="W379" s="764"/>
      <c r="X379" s="723" t="str">
        <f aca="false">IFERROR(VLOOKUP(B379,TE!$H$1:$Y$630,14,FALSE()),"0")</f>
        <v>0</v>
      </c>
      <c r="Y379" s="723"/>
      <c r="Z379" s="723"/>
      <c r="AA379" s="723"/>
      <c r="AB379" s="765" t="n">
        <f aca="false">T379*X379</f>
        <v>0</v>
      </c>
      <c r="AC379" s="765"/>
      <c r="AD379" s="765"/>
      <c r="AE379" s="736"/>
      <c r="AF379" s="736"/>
    </row>
    <row r="380" customFormat="false" ht="15.75" hidden="false" customHeight="true" outlineLevel="0" collapsed="false">
      <c r="A380" s="736"/>
      <c r="B380" s="760" t="s">
        <v>1601</v>
      </c>
      <c r="C380" s="761"/>
      <c r="D380" s="761"/>
      <c r="E380" s="762" t="str">
        <f aca="false">IFERROR(VLOOKUP(B380,TE!$H$1:$Y$749,2,FALSE()),"(Not on TE)")</f>
        <v>(Not on TE)</v>
      </c>
      <c r="F380" s="763"/>
      <c r="G380" s="763"/>
      <c r="H380" s="763"/>
      <c r="I380" s="763"/>
      <c r="J380" s="763"/>
      <c r="K380" s="763"/>
      <c r="L380" s="763"/>
      <c r="M380" s="763"/>
      <c r="N380" s="764" t="str">
        <f aca="false">IFERROR(VLOOKUP(B380,TE!$H$1:$Y$749,18,FALSE()),"")</f>
        <v/>
      </c>
      <c r="O380" s="764"/>
      <c r="P380" s="764"/>
      <c r="Q380" s="764"/>
      <c r="R380" s="764"/>
      <c r="S380" s="764"/>
      <c r="T380" s="764" t="n">
        <f aca="false">IFERROR(SUMIFS(TE!$O:$O,TE!$G:$G,$B$310,TE!$I:$I,B380,TE!$D:$D,$C$5),"")</f>
        <v>0</v>
      </c>
      <c r="U380" s="764"/>
      <c r="V380" s="764"/>
      <c r="W380" s="764"/>
      <c r="X380" s="723" t="str">
        <f aca="false">IFERROR(VLOOKUP(B380,TE!$H$1:$Y$630,14,FALSE()),"0")</f>
        <v>0</v>
      </c>
      <c r="Y380" s="723"/>
      <c r="Z380" s="723"/>
      <c r="AA380" s="723"/>
      <c r="AB380" s="765" t="n">
        <f aca="false">T380*X380</f>
        <v>0</v>
      </c>
      <c r="AC380" s="765"/>
      <c r="AD380" s="765"/>
      <c r="AE380" s="736"/>
      <c r="AF380" s="736"/>
    </row>
    <row r="381" customFormat="false" ht="15.75" hidden="false" customHeight="true" outlineLevel="0" collapsed="false">
      <c r="A381" s="736"/>
      <c r="B381" s="760" t="s">
        <v>1602</v>
      </c>
      <c r="C381" s="761"/>
      <c r="D381" s="761"/>
      <c r="E381" s="762" t="str">
        <f aca="false">IFERROR(VLOOKUP(B381,TE!$H$1:$Y$749,2,FALSE()),"(Not on TE)")</f>
        <v>(Not on TE)</v>
      </c>
      <c r="F381" s="763"/>
      <c r="G381" s="763"/>
      <c r="H381" s="763"/>
      <c r="I381" s="763"/>
      <c r="J381" s="763"/>
      <c r="K381" s="763"/>
      <c r="L381" s="763"/>
      <c r="M381" s="763"/>
      <c r="N381" s="764" t="str">
        <f aca="false">IFERROR(VLOOKUP(B381,TE!$H$1:$Y$749,18,FALSE()),"")</f>
        <v/>
      </c>
      <c r="O381" s="764"/>
      <c r="P381" s="764"/>
      <c r="Q381" s="764"/>
      <c r="R381" s="764"/>
      <c r="S381" s="764"/>
      <c r="T381" s="764" t="n">
        <f aca="false">IFERROR(SUMIFS(TE!$O:$O,TE!$G:$G,$B$310,TE!$I:$I,B381,TE!$D:$D,$C$5),"")</f>
        <v>0</v>
      </c>
      <c r="U381" s="764"/>
      <c r="V381" s="764"/>
      <c r="W381" s="764"/>
      <c r="X381" s="723" t="str">
        <f aca="false">IFERROR(VLOOKUP(B381,TE!$H$1:$Y$630,14,FALSE()),"0")</f>
        <v>0</v>
      </c>
      <c r="Y381" s="723"/>
      <c r="Z381" s="723"/>
      <c r="AA381" s="723"/>
      <c r="AB381" s="765" t="n">
        <f aca="false">T381*X381</f>
        <v>0</v>
      </c>
      <c r="AC381" s="765"/>
      <c r="AD381" s="765"/>
      <c r="AE381" s="736"/>
      <c r="AF381" s="736"/>
    </row>
    <row r="382" customFormat="false" ht="15.75" hidden="false" customHeight="true" outlineLevel="0" collapsed="false">
      <c r="A382" s="736"/>
      <c r="B382" s="784" t="s">
        <v>1603</v>
      </c>
      <c r="C382" s="730"/>
      <c r="D382" s="730"/>
      <c r="E382" s="762" t="str">
        <f aca="false">IFERROR(VLOOKUP(B382,TE!$H$1:$Y$749,2,FALSE()),"(Not on TE)")</f>
        <v>(Not on TE)</v>
      </c>
      <c r="F382" s="730"/>
      <c r="G382" s="730"/>
      <c r="H382" s="730"/>
      <c r="I382" s="730"/>
      <c r="J382" s="730"/>
      <c r="K382" s="730"/>
      <c r="L382" s="730"/>
      <c r="M382" s="730"/>
      <c r="N382" s="764" t="str">
        <f aca="false">IFERROR(VLOOKUP(B382,TE!$H$1:$Y$749,18,FALSE()),"")</f>
        <v/>
      </c>
      <c r="O382" s="764"/>
      <c r="P382" s="764"/>
      <c r="Q382" s="764"/>
      <c r="R382" s="764"/>
      <c r="S382" s="764"/>
      <c r="T382" s="764" t="n">
        <f aca="false">IFERROR(SUMIFS(TE!$O:$O,TE!$G:$G,$B$310,TE!$I:$I,B382,TE!$D:$D,$C$5),"")</f>
        <v>0</v>
      </c>
      <c r="U382" s="764"/>
      <c r="V382" s="764"/>
      <c r="W382" s="764"/>
      <c r="X382" s="723" t="str">
        <f aca="false">IFERROR(VLOOKUP(B382,TE!$H$1:$Y$630,14,FALSE()),"0")</f>
        <v>0</v>
      </c>
      <c r="Y382" s="723"/>
      <c r="Z382" s="723"/>
      <c r="AA382" s="723"/>
      <c r="AB382" s="765" t="n">
        <f aca="false">T382*X382</f>
        <v>0</v>
      </c>
      <c r="AC382" s="765"/>
      <c r="AD382" s="765"/>
      <c r="AE382" s="736"/>
      <c r="AF382" s="736"/>
    </row>
    <row r="383" customFormat="false" ht="15.75" hidden="false" customHeight="true" outlineLevel="0" collapsed="false">
      <c r="A383" s="736"/>
      <c r="B383" s="784" t="s">
        <v>1604</v>
      </c>
      <c r="C383" s="728"/>
      <c r="D383" s="728"/>
      <c r="E383" s="762" t="str">
        <f aca="false">IFERROR(VLOOKUP(B383,TE!$H$1:$Y$749,2,FALSE()),"(Not on TE)")</f>
        <v>(Not on TE)</v>
      </c>
      <c r="F383" s="728"/>
      <c r="G383" s="729"/>
      <c r="H383" s="729"/>
      <c r="I383" s="729"/>
      <c r="J383" s="729"/>
      <c r="K383" s="729"/>
      <c r="L383" s="729"/>
      <c r="M383" s="729"/>
      <c r="N383" s="764" t="str">
        <f aca="false">IFERROR(VLOOKUP(B383,TE!$H$1:$Y$749,18,FALSE()),"")</f>
        <v/>
      </c>
      <c r="O383" s="764"/>
      <c r="P383" s="764"/>
      <c r="Q383" s="764"/>
      <c r="R383" s="764"/>
      <c r="S383" s="764"/>
      <c r="T383" s="764" t="n">
        <f aca="false">IFERROR(SUMIFS(TE!$O:$O,TE!$G:$G,$B$310,TE!$I:$I,B383,TE!$D:$D,$C$5),"")</f>
        <v>0</v>
      </c>
      <c r="U383" s="764"/>
      <c r="V383" s="764"/>
      <c r="W383" s="764"/>
      <c r="X383" s="723" t="str">
        <f aca="false">IFERROR(VLOOKUP(B383,TE!$H$1:$Y$630,14,FALSE()),"0")</f>
        <v>0</v>
      </c>
      <c r="Y383" s="723"/>
      <c r="Z383" s="723"/>
      <c r="AA383" s="723"/>
      <c r="AB383" s="765" t="n">
        <f aca="false">T383*X383</f>
        <v>0</v>
      </c>
      <c r="AC383" s="765"/>
      <c r="AD383" s="765"/>
      <c r="AE383" s="736"/>
      <c r="AF383" s="736"/>
    </row>
    <row r="384" customFormat="false" ht="15.75" hidden="false" customHeight="true" outlineLevel="0" collapsed="false">
      <c r="A384" s="736"/>
      <c r="B384" s="785" t="s">
        <v>1605</v>
      </c>
      <c r="C384" s="728"/>
      <c r="D384" s="728"/>
      <c r="E384" s="762" t="str">
        <f aca="false">IFERROR(VLOOKUP(B384,TE!$H$1:$Y$749,2,FALSE()),"(Not on TE)")</f>
        <v>(Not on TE)</v>
      </c>
      <c r="F384" s="728"/>
      <c r="G384" s="729"/>
      <c r="H384" s="729"/>
      <c r="I384" s="729"/>
      <c r="J384" s="729"/>
      <c r="K384" s="729"/>
      <c r="L384" s="729"/>
      <c r="M384" s="729"/>
      <c r="N384" s="764" t="str">
        <f aca="false">IFERROR(VLOOKUP(B384,TE!$H$1:$Y$749,18,FALSE()),"")</f>
        <v/>
      </c>
      <c r="O384" s="764"/>
      <c r="P384" s="764"/>
      <c r="Q384" s="764"/>
      <c r="R384" s="764"/>
      <c r="S384" s="764"/>
      <c r="T384" s="764" t="n">
        <f aca="false">IFERROR(SUMIFS(TE!$O:$O,TE!$G:$G,$B$310,TE!$I:$I,B384,TE!$D:$D,$C$5),"")</f>
        <v>0</v>
      </c>
      <c r="U384" s="764"/>
      <c r="V384" s="764"/>
      <c r="W384" s="764"/>
      <c r="X384" s="723" t="str">
        <f aca="false">IFERROR(VLOOKUP(B384,TE!$H$1:$Y$630,14,FALSE()),"0")</f>
        <v>0</v>
      </c>
      <c r="Y384" s="723"/>
      <c r="Z384" s="723"/>
      <c r="AA384" s="723"/>
      <c r="AB384" s="765" t="n">
        <f aca="false">T384*X384</f>
        <v>0</v>
      </c>
      <c r="AC384" s="765"/>
      <c r="AD384" s="765"/>
      <c r="AE384" s="736"/>
      <c r="AF384" s="736"/>
    </row>
    <row r="385" customFormat="false" ht="15.75" hidden="false" customHeight="true" outlineLevel="0" collapsed="false">
      <c r="A385" s="736"/>
      <c r="B385" s="785" t="s">
        <v>1606</v>
      </c>
      <c r="C385" s="728"/>
      <c r="D385" s="728"/>
      <c r="E385" s="762" t="str">
        <f aca="false">IFERROR(VLOOKUP(B385,TE!$H$1:$Y$749,2,FALSE()),"(Not on TE)")</f>
        <v>(Not on TE)</v>
      </c>
      <c r="F385" s="728"/>
      <c r="G385" s="729"/>
      <c r="H385" s="729"/>
      <c r="I385" s="729"/>
      <c r="J385" s="729"/>
      <c r="K385" s="729"/>
      <c r="L385" s="729"/>
      <c r="M385" s="729"/>
      <c r="N385" s="764" t="str">
        <f aca="false">IFERROR(VLOOKUP(B385,TE!$H$1:$Y$749,18,FALSE()),"")</f>
        <v/>
      </c>
      <c r="O385" s="764"/>
      <c r="P385" s="764"/>
      <c r="Q385" s="764"/>
      <c r="R385" s="764"/>
      <c r="S385" s="764"/>
      <c r="T385" s="764" t="n">
        <f aca="false">IFERROR(SUMIFS(TE!$O:$O,TE!$G:$G,$B$310,TE!$I:$I,B385,TE!$D:$D,$C$5),"")</f>
        <v>0</v>
      </c>
      <c r="U385" s="764"/>
      <c r="V385" s="764"/>
      <c r="W385" s="764"/>
      <c r="X385" s="723" t="str">
        <f aca="false">IFERROR(VLOOKUP(B385,TE!$H$1:$Y$630,14,FALSE()),"0")</f>
        <v>0</v>
      </c>
      <c r="Y385" s="723"/>
      <c r="Z385" s="723"/>
      <c r="AA385" s="723"/>
      <c r="AB385" s="765" t="n">
        <f aca="false">T385*X385</f>
        <v>0</v>
      </c>
      <c r="AC385" s="765"/>
      <c r="AD385" s="765"/>
      <c r="AE385" s="736"/>
      <c r="AF385" s="736"/>
    </row>
    <row r="386" customFormat="false" ht="15.75" hidden="false" customHeight="true" outlineLevel="0" collapsed="false">
      <c r="A386" s="736"/>
      <c r="B386" s="784" t="s">
        <v>1607</v>
      </c>
      <c r="C386" s="728"/>
      <c r="D386" s="728"/>
      <c r="E386" s="762" t="str">
        <f aca="false">IFERROR(VLOOKUP(B386,TE!$H$1:$Y$749,2,FALSE()),"(Not on TE)")</f>
        <v>(Not on TE)</v>
      </c>
      <c r="F386" s="728"/>
      <c r="G386" s="729"/>
      <c r="H386" s="729"/>
      <c r="I386" s="729"/>
      <c r="J386" s="729"/>
      <c r="K386" s="729"/>
      <c r="L386" s="729"/>
      <c r="M386" s="729"/>
      <c r="N386" s="764" t="str">
        <f aca="false">IFERROR(VLOOKUP(B386,TE!$H$1:$Y$749,18,FALSE()),"")</f>
        <v/>
      </c>
      <c r="O386" s="764"/>
      <c r="P386" s="764"/>
      <c r="Q386" s="764"/>
      <c r="R386" s="764"/>
      <c r="S386" s="764"/>
      <c r="T386" s="764" t="n">
        <f aca="false">IFERROR(SUMIFS(TE!$O:$O,TE!$G:$G,$B$310,TE!$I:$I,B386,TE!$D:$D,$C$5),"")</f>
        <v>0</v>
      </c>
      <c r="U386" s="764"/>
      <c r="V386" s="764"/>
      <c r="W386" s="764"/>
      <c r="X386" s="723" t="str">
        <f aca="false">IFERROR(VLOOKUP(B386,TE!$H$1:$Y$630,14,FALSE()),"0")</f>
        <v>0</v>
      </c>
      <c r="Y386" s="723"/>
      <c r="Z386" s="723"/>
      <c r="AA386" s="723"/>
      <c r="AB386" s="765" t="n">
        <f aca="false">T386*X386</f>
        <v>0</v>
      </c>
      <c r="AC386" s="765"/>
      <c r="AD386" s="765"/>
      <c r="AE386" s="736"/>
      <c r="AF386" s="736"/>
    </row>
    <row r="387" customFormat="false" ht="15.75" hidden="false" customHeight="true" outlineLevel="0" collapsed="false">
      <c r="A387" s="736"/>
      <c r="B387" s="784" t="s">
        <v>1608</v>
      </c>
      <c r="C387" s="728"/>
      <c r="D387" s="728"/>
      <c r="E387" s="762" t="str">
        <f aca="false">IFERROR(VLOOKUP(B387,TE!$H$1:$Y$749,2,FALSE()),"(Not on TE)")</f>
        <v>(Not on TE)</v>
      </c>
      <c r="F387" s="728"/>
      <c r="G387" s="729"/>
      <c r="H387" s="729"/>
      <c r="I387" s="729"/>
      <c r="J387" s="729"/>
      <c r="K387" s="729"/>
      <c r="L387" s="729"/>
      <c r="M387" s="729"/>
      <c r="N387" s="764" t="str">
        <f aca="false">IFERROR(VLOOKUP(B387,TE!$H$1:$Y$749,18,FALSE()),"")</f>
        <v/>
      </c>
      <c r="O387" s="764"/>
      <c r="P387" s="764"/>
      <c r="Q387" s="764"/>
      <c r="R387" s="764"/>
      <c r="S387" s="764"/>
      <c r="T387" s="764" t="n">
        <f aca="false">IFERROR(SUMIFS(TE!$O:$O,TE!$G:$G,$B$310,TE!$I:$I,B387,TE!$D:$D,$C$5),"")</f>
        <v>0</v>
      </c>
      <c r="U387" s="764"/>
      <c r="V387" s="764"/>
      <c r="W387" s="764"/>
      <c r="X387" s="723" t="str">
        <f aca="false">IFERROR(VLOOKUP(B387,TE!$H$1:$Y$630,14,FALSE()),"0")</f>
        <v>0</v>
      </c>
      <c r="Y387" s="723"/>
      <c r="Z387" s="723"/>
      <c r="AA387" s="723"/>
      <c r="AB387" s="765" t="n">
        <f aca="false">T387*X387</f>
        <v>0</v>
      </c>
      <c r="AC387" s="765"/>
      <c r="AD387" s="765"/>
      <c r="AE387" s="736"/>
      <c r="AF387" s="736"/>
    </row>
    <row r="388" customFormat="false" ht="15.75" hidden="false" customHeight="true" outlineLevel="0" collapsed="false">
      <c r="A388" s="736"/>
      <c r="B388" s="784" t="s">
        <v>1609</v>
      </c>
      <c r="C388" s="728"/>
      <c r="D388" s="728"/>
      <c r="E388" s="762" t="str">
        <f aca="false">IFERROR(VLOOKUP(B388,TE!$H$1:$Y$749,2,FALSE()),"(Not on TE)")</f>
        <v>(Not on TE)</v>
      </c>
      <c r="F388" s="728"/>
      <c r="G388" s="729"/>
      <c r="H388" s="729"/>
      <c r="I388" s="729"/>
      <c r="J388" s="729"/>
      <c r="K388" s="729"/>
      <c r="L388" s="729"/>
      <c r="M388" s="729"/>
      <c r="N388" s="764" t="str">
        <f aca="false">IFERROR(VLOOKUP(B388,TE!$H$1:$Y$749,18,FALSE()),"")</f>
        <v/>
      </c>
      <c r="O388" s="764"/>
      <c r="P388" s="764"/>
      <c r="Q388" s="764"/>
      <c r="R388" s="764"/>
      <c r="S388" s="764"/>
      <c r="T388" s="764" t="n">
        <f aca="false">IFERROR(SUMIFS(TE!$O:$O,TE!$G:$G,$B$310,TE!$I:$I,B388,TE!$D:$D,$C$5),"")</f>
        <v>0</v>
      </c>
      <c r="U388" s="764"/>
      <c r="V388" s="764"/>
      <c r="W388" s="764"/>
      <c r="X388" s="723" t="str">
        <f aca="false">IFERROR(VLOOKUP(B388,TE!$H$1:$Y$630,14,FALSE()),"0")</f>
        <v>0</v>
      </c>
      <c r="Y388" s="723"/>
      <c r="Z388" s="723"/>
      <c r="AA388" s="723"/>
      <c r="AB388" s="765" t="n">
        <f aca="false">T388*X388</f>
        <v>0</v>
      </c>
      <c r="AC388" s="765"/>
      <c r="AD388" s="765"/>
      <c r="AE388" s="736"/>
      <c r="AF388" s="736"/>
    </row>
    <row r="389" customFormat="false" ht="15.75" hidden="false" customHeight="true" outlineLevel="0" collapsed="false">
      <c r="A389" s="736"/>
      <c r="B389" s="784" t="s">
        <v>1610</v>
      </c>
      <c r="C389" s="728"/>
      <c r="D389" s="728"/>
      <c r="E389" s="762" t="str">
        <f aca="false">IFERROR(VLOOKUP(B389,TE!$H$1:$Y$749,2,FALSE()),"(Not on TE)")</f>
        <v>(Not on TE)</v>
      </c>
      <c r="F389" s="728"/>
      <c r="G389" s="729"/>
      <c r="H389" s="729"/>
      <c r="I389" s="729"/>
      <c r="J389" s="729"/>
      <c r="K389" s="729"/>
      <c r="L389" s="729"/>
      <c r="M389" s="729"/>
      <c r="N389" s="764" t="str">
        <f aca="false">IFERROR(VLOOKUP(B389,TE!$H$1:$Y$749,18,FALSE()),"")</f>
        <v/>
      </c>
      <c r="O389" s="764"/>
      <c r="P389" s="764"/>
      <c r="Q389" s="764"/>
      <c r="R389" s="764"/>
      <c r="S389" s="764"/>
      <c r="T389" s="764" t="n">
        <f aca="false">IFERROR(SUMIFS(TE!$O:$O,TE!$G:$G,$B$310,TE!$I:$I,B389,TE!$D:$D,$C$5),"")</f>
        <v>0</v>
      </c>
      <c r="U389" s="764"/>
      <c r="V389" s="764"/>
      <c r="W389" s="764"/>
      <c r="X389" s="723" t="str">
        <f aca="false">IFERROR(VLOOKUP(B389,TE!$H$1:$Y$630,14,FALSE()),"0")</f>
        <v>0</v>
      </c>
      <c r="Y389" s="723"/>
      <c r="Z389" s="723"/>
      <c r="AA389" s="723"/>
      <c r="AB389" s="765" t="n">
        <f aca="false">T389*X389</f>
        <v>0</v>
      </c>
      <c r="AC389" s="765"/>
      <c r="AD389" s="765"/>
      <c r="AE389" s="736"/>
      <c r="AF389" s="736"/>
    </row>
    <row r="390" customFormat="false" ht="15.75" hidden="false" customHeight="true" outlineLevel="0" collapsed="false">
      <c r="A390" s="736"/>
      <c r="B390" s="784" t="s">
        <v>1611</v>
      </c>
      <c r="C390" s="728"/>
      <c r="D390" s="728"/>
      <c r="E390" s="762" t="str">
        <f aca="false">IFERROR(VLOOKUP(B390,TE!$H$1:$Y$749,2,FALSE()),"(Not on TE)")</f>
        <v>(Not on TE)</v>
      </c>
      <c r="F390" s="728"/>
      <c r="G390" s="729"/>
      <c r="H390" s="729"/>
      <c r="I390" s="729"/>
      <c r="J390" s="729"/>
      <c r="K390" s="729"/>
      <c r="L390" s="729"/>
      <c r="M390" s="729"/>
      <c r="N390" s="764" t="str">
        <f aca="false">IFERROR(VLOOKUP(B390,TE!$H$1:$Y$749,18,FALSE()),"")</f>
        <v/>
      </c>
      <c r="O390" s="764"/>
      <c r="P390" s="764"/>
      <c r="Q390" s="764"/>
      <c r="R390" s="764"/>
      <c r="S390" s="764"/>
      <c r="T390" s="764" t="n">
        <f aca="false">IFERROR(SUMIFS(TE!$O:$O,TE!$G:$G,$B$310,TE!$I:$I,B390,TE!$D:$D,$C$5),"")</f>
        <v>0</v>
      </c>
      <c r="U390" s="764"/>
      <c r="V390" s="764"/>
      <c r="W390" s="764"/>
      <c r="X390" s="723" t="str">
        <f aca="false">IFERROR(VLOOKUP(B390,TE!$H$1:$Y$630,14,FALSE()),"0")</f>
        <v>0</v>
      </c>
      <c r="Y390" s="723"/>
      <c r="Z390" s="723"/>
      <c r="AA390" s="723"/>
      <c r="AB390" s="765" t="n">
        <f aca="false">T390*X390</f>
        <v>0</v>
      </c>
      <c r="AC390" s="765"/>
      <c r="AD390" s="765"/>
      <c r="AE390" s="736"/>
      <c r="AF390" s="736"/>
    </row>
    <row r="391" customFormat="false" ht="15.75" hidden="false" customHeight="true" outlineLevel="0" collapsed="false">
      <c r="A391" s="736"/>
      <c r="B391" s="786" t="s">
        <v>1612</v>
      </c>
      <c r="C391" s="787"/>
      <c r="D391" s="787"/>
      <c r="E391" s="769" t="str">
        <f aca="false">IFERROR(VLOOKUP(B391,TE!$H$1:$Y$749,2,FALSE()),"(Not on TE)")</f>
        <v>(Not on TE)</v>
      </c>
      <c r="F391" s="787"/>
      <c r="G391" s="788"/>
      <c r="H391" s="788"/>
      <c r="I391" s="788"/>
      <c r="J391" s="788"/>
      <c r="K391" s="788"/>
      <c r="L391" s="788"/>
      <c r="M391" s="788"/>
      <c r="N391" s="771" t="str">
        <f aca="false">IFERROR(VLOOKUP(B391,TE!$H$1:$Y$749,18,FALSE()),"")</f>
        <v/>
      </c>
      <c r="O391" s="771"/>
      <c r="P391" s="771"/>
      <c r="Q391" s="771"/>
      <c r="R391" s="771"/>
      <c r="S391" s="771"/>
      <c r="T391" s="771" t="n">
        <f aca="false">IFERROR(SUMIFS(TE!$O:$O,TE!$G:$G,$B$310,TE!$I:$I,B391,TE!$D:$D,$C$5),"")</f>
        <v>0</v>
      </c>
      <c r="U391" s="771"/>
      <c r="V391" s="771"/>
      <c r="W391" s="771"/>
      <c r="X391" s="727" t="str">
        <f aca="false">IFERROR(VLOOKUP(B391,TE!$H$1:$Y$630,14,FALSE()),"0")</f>
        <v>0</v>
      </c>
      <c r="Y391" s="727"/>
      <c r="Z391" s="727"/>
      <c r="AA391" s="727"/>
      <c r="AB391" s="772" t="n">
        <f aca="false">T391*X391</f>
        <v>0</v>
      </c>
      <c r="AC391" s="772"/>
      <c r="AD391" s="772"/>
      <c r="AE391" s="736"/>
      <c r="AF391" s="736"/>
    </row>
    <row r="392" customFormat="false" ht="15.75" hidden="false" customHeight="true" outlineLevel="0" collapsed="false">
      <c r="A392" s="736"/>
      <c r="B392" s="761"/>
      <c r="C392" s="728"/>
      <c r="D392" s="728"/>
      <c r="E392" s="728"/>
      <c r="F392" s="728"/>
      <c r="G392" s="729"/>
      <c r="H392" s="729"/>
      <c r="I392" s="729"/>
      <c r="J392" s="729"/>
      <c r="K392" s="729"/>
      <c r="L392" s="729"/>
      <c r="M392" s="729"/>
      <c r="N392" s="789"/>
      <c r="O392" s="789"/>
      <c r="P392" s="789"/>
      <c r="Q392" s="789"/>
      <c r="R392" s="790"/>
      <c r="S392" s="790"/>
      <c r="T392" s="790"/>
      <c r="U392" s="790"/>
      <c r="V392" s="790"/>
      <c r="W392" s="790"/>
      <c r="X392" s="790"/>
      <c r="Y392" s="790"/>
      <c r="Z392" s="791" t="s">
        <v>1576</v>
      </c>
      <c r="AA392" s="791"/>
      <c r="AB392" s="791"/>
      <c r="AC392" s="791"/>
      <c r="AD392" s="791"/>
      <c r="AE392" s="736"/>
      <c r="AF392" s="736"/>
    </row>
    <row r="393" customFormat="false" ht="15.75" hidden="false" customHeight="true" outlineLevel="0" collapsed="false">
      <c r="A393" s="736"/>
      <c r="B393" s="768"/>
      <c r="C393" s="728"/>
      <c r="D393" s="728"/>
      <c r="E393" s="728"/>
      <c r="F393" s="728"/>
      <c r="G393" s="792"/>
      <c r="H393" s="792"/>
      <c r="I393" s="792"/>
      <c r="J393" s="792"/>
      <c r="K393" s="792"/>
      <c r="L393" s="792"/>
      <c r="M393" s="792"/>
      <c r="N393" s="793"/>
      <c r="O393" s="793"/>
      <c r="P393" s="793"/>
      <c r="Q393" s="793"/>
      <c r="R393" s="794"/>
      <c r="S393" s="794"/>
      <c r="T393" s="794"/>
      <c r="U393" s="794"/>
      <c r="V393" s="794"/>
      <c r="W393" s="794"/>
      <c r="X393" s="794"/>
      <c r="Y393" s="794"/>
      <c r="Z393" s="736"/>
      <c r="AA393" s="736"/>
      <c r="AB393" s="736"/>
      <c r="AC393" s="736"/>
      <c r="AD393" s="736"/>
      <c r="AE393" s="736"/>
      <c r="AF393" s="736"/>
    </row>
    <row r="394" customFormat="false" ht="15.75" hidden="false" customHeight="true" outlineLevel="0" collapsed="false">
      <c r="A394" s="795"/>
      <c r="B394" s="682"/>
      <c r="C394" s="795"/>
      <c r="D394" s="795"/>
      <c r="E394" s="795"/>
      <c r="F394" s="795"/>
      <c r="G394" s="795"/>
      <c r="H394" s="795"/>
      <c r="I394" s="795"/>
      <c r="J394" s="795"/>
      <c r="K394" s="795"/>
      <c r="L394" s="795"/>
      <c r="M394" s="795"/>
      <c r="N394" s="795"/>
      <c r="O394" s="795"/>
      <c r="P394" s="795"/>
      <c r="Q394" s="795"/>
      <c r="R394" s="795"/>
      <c r="S394" s="795"/>
      <c r="T394" s="795"/>
      <c r="U394" s="795"/>
      <c r="V394" s="795"/>
      <c r="W394" s="795"/>
      <c r="X394" s="795"/>
      <c r="Y394" s="795"/>
      <c r="Z394" s="795"/>
      <c r="AA394" s="795"/>
      <c r="AB394" s="748"/>
      <c r="AC394" s="749"/>
      <c r="AD394" s="750"/>
      <c r="AE394" s="750"/>
      <c r="AF394" s="750"/>
    </row>
    <row r="395" customFormat="false" ht="15.75" hidden="false" customHeight="true" outlineLevel="0" collapsed="false">
      <c r="A395" s="688" t="s">
        <v>1522</v>
      </c>
      <c r="B395" s="688"/>
      <c r="C395" s="751" t="n">
        <f aca="false">$C$5</f>
        <v>21451</v>
      </c>
      <c r="D395" s="751"/>
      <c r="E395" s="751"/>
      <c r="F395" s="751"/>
      <c r="G395" s="751"/>
      <c r="H395" s="751"/>
      <c r="I395" s="751"/>
      <c r="J395" s="751"/>
      <c r="K395" s="751"/>
      <c r="L395" s="751"/>
      <c r="M395" s="688" t="s">
        <v>1523</v>
      </c>
      <c r="N395" s="688"/>
      <c r="O395" s="688"/>
      <c r="P395" s="688"/>
      <c r="Q395" s="688"/>
      <c r="R395" s="752" t="str">
        <f aca="false">$R$5</f>
        <v>Automotive Organizational Shop</v>
      </c>
      <c r="S395" s="752"/>
      <c r="T395" s="752"/>
      <c r="U395" s="752"/>
      <c r="V395" s="752"/>
      <c r="W395" s="752"/>
      <c r="X395" s="752"/>
      <c r="Y395" s="752"/>
      <c r="Z395" s="752"/>
      <c r="AA395" s="752"/>
      <c r="AB395" s="752"/>
      <c r="AC395" s="752"/>
      <c r="AD395" s="752"/>
      <c r="AE395" s="752"/>
      <c r="AF395" s="752"/>
    </row>
    <row r="396" customFormat="false" ht="15.75" hidden="false" customHeight="true" outlineLevel="0" collapsed="false">
      <c r="A396" s="736"/>
      <c r="B396" s="761"/>
      <c r="C396" s="761"/>
      <c r="D396" s="761"/>
      <c r="E396" s="763"/>
      <c r="F396" s="763"/>
      <c r="G396" s="763"/>
      <c r="H396" s="763"/>
      <c r="I396" s="763"/>
      <c r="J396" s="763"/>
      <c r="K396" s="763"/>
      <c r="L396" s="763"/>
      <c r="M396" s="763"/>
      <c r="N396" s="773"/>
      <c r="O396" s="773"/>
      <c r="P396" s="773"/>
      <c r="Q396" s="773"/>
      <c r="R396" s="773"/>
      <c r="S396" s="773"/>
      <c r="T396" s="773"/>
      <c r="U396" s="773"/>
      <c r="V396" s="773"/>
      <c r="W396" s="773"/>
      <c r="X396" s="774"/>
      <c r="Y396" s="774"/>
      <c r="Z396" s="774"/>
      <c r="AA396" s="774"/>
      <c r="AB396" s="778"/>
      <c r="AC396" s="778"/>
      <c r="AD396" s="778"/>
      <c r="AE396" s="766"/>
      <c r="AF396" s="736"/>
    </row>
    <row r="397" customFormat="false" ht="15.75" hidden="false" customHeight="true" outlineLevel="0" collapsed="false">
      <c r="A397" s="736"/>
      <c r="B397" s="779" t="str">
        <f aca="false">B354</f>
        <v>M28262</v>
      </c>
      <c r="C397" s="768"/>
      <c r="D397" s="768"/>
      <c r="E397" s="769" t="str">
        <f aca="false">E354</f>
        <v>SURGICAL COMPANY B</v>
      </c>
      <c r="F397" s="770"/>
      <c r="G397" s="770"/>
      <c r="H397" s="770"/>
      <c r="I397" s="770"/>
      <c r="J397" s="770"/>
      <c r="K397" s="770"/>
      <c r="L397" s="770"/>
      <c r="M397" s="770"/>
      <c r="N397" s="780"/>
      <c r="O397" s="780"/>
      <c r="P397" s="780"/>
      <c r="Q397" s="780"/>
      <c r="R397" s="780"/>
      <c r="S397" s="780"/>
      <c r="T397" s="780"/>
      <c r="U397" s="780"/>
      <c r="V397" s="780"/>
      <c r="W397" s="780"/>
      <c r="X397" s="781"/>
      <c r="Y397" s="781"/>
      <c r="Z397" s="781"/>
      <c r="AA397" s="781"/>
      <c r="AB397" s="782"/>
      <c r="AC397" s="782"/>
      <c r="AD397" s="782"/>
      <c r="AE397" s="766"/>
      <c r="AF397" s="736"/>
    </row>
    <row r="398" customFormat="false" ht="15.75" hidden="false" customHeight="true" outlineLevel="0" collapsed="false">
      <c r="A398" s="736"/>
      <c r="B398" s="796" t="s">
        <v>1613</v>
      </c>
      <c r="C398" s="761"/>
      <c r="D398" s="761"/>
      <c r="E398" s="762" t="str">
        <f aca="false">IFERROR(VLOOKUP(B398,TE!$H$1:$Y$749,2,FALSE()),"(Not on TE)")</f>
        <v>(Not on TE)</v>
      </c>
      <c r="F398" s="763"/>
      <c r="G398" s="763"/>
      <c r="H398" s="763"/>
      <c r="I398" s="763"/>
      <c r="J398" s="763"/>
      <c r="K398" s="763"/>
      <c r="L398" s="763"/>
      <c r="M398" s="763"/>
      <c r="N398" s="799" t="str">
        <f aca="false">IFERROR(VLOOKUP(B398,TE!$H$1:$Y$749,18,FALSE()),"")</f>
        <v/>
      </c>
      <c r="O398" s="799"/>
      <c r="P398" s="799"/>
      <c r="Q398" s="799"/>
      <c r="R398" s="799"/>
      <c r="S398" s="799"/>
      <c r="T398" s="799" t="n">
        <f aca="false">IFERROR(SUMIFS(TE!$O:$O,TE!$G:$G,$B$310,TE!$I:$I,B398,TE!$D:$D,$C$5),"")</f>
        <v>0</v>
      </c>
      <c r="U398" s="799"/>
      <c r="V398" s="799"/>
      <c r="W398" s="799"/>
      <c r="X398" s="800" t="str">
        <f aca="false">IFERROR(VLOOKUP(B398,TE!$H$1:$Y$630,14,FALSE()),"0")</f>
        <v>0</v>
      </c>
      <c r="Y398" s="800"/>
      <c r="Z398" s="800"/>
      <c r="AA398" s="800"/>
      <c r="AB398" s="801" t="n">
        <f aca="false">T398*X398</f>
        <v>0</v>
      </c>
      <c r="AC398" s="801"/>
      <c r="AD398" s="801"/>
      <c r="AE398" s="766"/>
      <c r="AF398" s="736"/>
    </row>
    <row r="399" customFormat="false" ht="15.75" hidden="false" customHeight="true" outlineLevel="0" collapsed="false">
      <c r="A399" s="736"/>
      <c r="B399" s="797" t="s">
        <v>1614</v>
      </c>
      <c r="C399" s="761"/>
      <c r="D399" s="761"/>
      <c r="E399" s="762" t="str">
        <f aca="false">IFERROR(VLOOKUP(B399,TE!$H$1:$Y$749,2,FALSE()),"(Not on TE)")</f>
        <v>(Not on TE)</v>
      </c>
      <c r="F399" s="763"/>
      <c r="G399" s="763"/>
      <c r="H399" s="763"/>
      <c r="I399" s="763"/>
      <c r="J399" s="763"/>
      <c r="K399" s="763"/>
      <c r="L399" s="763"/>
      <c r="M399" s="763"/>
      <c r="N399" s="764" t="str">
        <f aca="false">IFERROR(VLOOKUP(B399,TE!$H$1:$Y$749,18,FALSE()),"")</f>
        <v/>
      </c>
      <c r="O399" s="764"/>
      <c r="P399" s="764"/>
      <c r="Q399" s="764"/>
      <c r="R399" s="764"/>
      <c r="S399" s="764"/>
      <c r="T399" s="764" t="n">
        <f aca="false">IFERROR(SUMIFS(TE!$O:$O,TE!$G:$G,$B$310,TE!$I:$I,B399,TE!$D:$D,$C$5),"")</f>
        <v>0</v>
      </c>
      <c r="U399" s="764"/>
      <c r="V399" s="764"/>
      <c r="W399" s="764"/>
      <c r="X399" s="723" t="str">
        <f aca="false">IFERROR(VLOOKUP(B399,TE!$H$1:$Y$630,14,FALSE()),"0")</f>
        <v>0</v>
      </c>
      <c r="Y399" s="723"/>
      <c r="Z399" s="723"/>
      <c r="AA399" s="723"/>
      <c r="AB399" s="765" t="n">
        <f aca="false">T399*X399</f>
        <v>0</v>
      </c>
      <c r="AC399" s="765"/>
      <c r="AD399" s="765"/>
      <c r="AE399" s="766"/>
      <c r="AF399" s="736"/>
    </row>
    <row r="400" customFormat="false" ht="15.75" hidden="false" customHeight="true" outlineLevel="0" collapsed="false">
      <c r="A400" s="736"/>
      <c r="B400" s="797" t="s">
        <v>1615</v>
      </c>
      <c r="C400" s="761"/>
      <c r="D400" s="761"/>
      <c r="E400" s="762" t="str">
        <f aca="false">IFERROR(VLOOKUP(B400,TE!$H$1:$Y$749,2,FALSE()),"(Not on TE)")</f>
        <v>(Not on TE)</v>
      </c>
      <c r="F400" s="763"/>
      <c r="G400" s="763"/>
      <c r="H400" s="763"/>
      <c r="I400" s="763"/>
      <c r="J400" s="763"/>
      <c r="K400" s="763"/>
      <c r="L400" s="763"/>
      <c r="M400" s="763"/>
      <c r="N400" s="764" t="str">
        <f aca="false">IFERROR(VLOOKUP(B400,TE!$H$1:$Y$749,18,FALSE()),"")</f>
        <v/>
      </c>
      <c r="O400" s="764"/>
      <c r="P400" s="764"/>
      <c r="Q400" s="764"/>
      <c r="R400" s="764"/>
      <c r="S400" s="764"/>
      <c r="T400" s="764" t="n">
        <f aca="false">IFERROR(SUMIFS(TE!$O:$O,TE!$G:$G,$B$310,TE!$I:$I,B400,TE!$D:$D,$C$5),"")</f>
        <v>0</v>
      </c>
      <c r="U400" s="764"/>
      <c r="V400" s="764"/>
      <c r="W400" s="764"/>
      <c r="X400" s="723" t="str">
        <f aca="false">IFERROR(VLOOKUP(B400,TE!$H$1:$Y$630,14,FALSE()),"0")</f>
        <v>0</v>
      </c>
      <c r="Y400" s="723"/>
      <c r="Z400" s="723"/>
      <c r="AA400" s="723"/>
      <c r="AB400" s="765" t="n">
        <f aca="false">T400*X400</f>
        <v>0</v>
      </c>
      <c r="AC400" s="765"/>
      <c r="AD400" s="765"/>
      <c r="AE400" s="766"/>
      <c r="AF400" s="736"/>
    </row>
    <row r="401" customFormat="false" ht="15.75" hidden="false" customHeight="true" outlineLevel="0" collapsed="false">
      <c r="A401" s="736"/>
      <c r="B401" s="797" t="s">
        <v>1167</v>
      </c>
      <c r="C401" s="761"/>
      <c r="D401" s="761"/>
      <c r="E401" s="762" t="str">
        <f aca="false">IFERROR(VLOOKUP(B401,TE!$H$1:$Y$749,2,FALSE()),"(Not on TE)")</f>
        <v>(Not on TE)</v>
      </c>
      <c r="F401" s="763"/>
      <c r="G401" s="763"/>
      <c r="H401" s="763"/>
      <c r="I401" s="763"/>
      <c r="J401" s="763"/>
      <c r="K401" s="763"/>
      <c r="L401" s="763"/>
      <c r="M401" s="763"/>
      <c r="N401" s="764" t="str">
        <f aca="false">IFERROR(VLOOKUP(B401,TE!$H$1:$Y$749,18,FALSE()),"")</f>
        <v/>
      </c>
      <c r="O401" s="764"/>
      <c r="P401" s="764"/>
      <c r="Q401" s="764"/>
      <c r="R401" s="764"/>
      <c r="S401" s="764"/>
      <c r="T401" s="764" t="n">
        <f aca="false">IFERROR(SUMIFS(TE!$O:$O,TE!$G:$G,$B$310,TE!$I:$I,B401,TE!$D:$D,$C$5),"")</f>
        <v>1</v>
      </c>
      <c r="U401" s="764"/>
      <c r="V401" s="764"/>
      <c r="W401" s="764"/>
      <c r="X401" s="723" t="str">
        <f aca="false">IFERROR(VLOOKUP(B401,TE!$H$1:$Y$630,14,FALSE()),"0")</f>
        <v>0</v>
      </c>
      <c r="Y401" s="723"/>
      <c r="Z401" s="723"/>
      <c r="AA401" s="723"/>
      <c r="AB401" s="765" t="n">
        <f aca="false">T401*X401</f>
        <v>0</v>
      </c>
      <c r="AC401" s="765"/>
      <c r="AD401" s="765"/>
      <c r="AE401" s="766"/>
      <c r="AF401" s="736"/>
    </row>
    <row r="402" customFormat="false" ht="15.75" hidden="false" customHeight="true" outlineLevel="0" collapsed="false">
      <c r="A402" s="736"/>
      <c r="B402" s="797" t="s">
        <v>1618</v>
      </c>
      <c r="C402" s="761"/>
      <c r="D402" s="761"/>
      <c r="E402" s="762" t="str">
        <f aca="false">IFERROR(VLOOKUP(B402,TE!$H$1:$Y$749,2,FALSE()),"(Not on TE)")</f>
        <v>(Not on TE)</v>
      </c>
      <c r="F402" s="763"/>
      <c r="G402" s="763"/>
      <c r="H402" s="763"/>
      <c r="I402" s="763"/>
      <c r="J402" s="763"/>
      <c r="K402" s="763"/>
      <c r="L402" s="763"/>
      <c r="M402" s="763"/>
      <c r="N402" s="764" t="str">
        <f aca="false">IFERROR(VLOOKUP(B402,TE!$H$1:$Y$749,18,FALSE()),"")</f>
        <v/>
      </c>
      <c r="O402" s="764"/>
      <c r="P402" s="764"/>
      <c r="Q402" s="764"/>
      <c r="R402" s="764"/>
      <c r="S402" s="764"/>
      <c r="T402" s="764" t="n">
        <f aca="false">IFERROR(SUMIFS(TE!$O:$O,TE!$G:$G,$B$310,TE!$I:$I,B402,TE!$D:$D,$C$5),"")</f>
        <v>0</v>
      </c>
      <c r="U402" s="764"/>
      <c r="V402" s="764"/>
      <c r="W402" s="764"/>
      <c r="X402" s="723" t="str">
        <f aca="false">IFERROR(VLOOKUP(B402,TE!$H$1:$Y$630,14,FALSE()),"0")</f>
        <v>0</v>
      </c>
      <c r="Y402" s="723"/>
      <c r="Z402" s="723"/>
      <c r="AA402" s="723"/>
      <c r="AB402" s="765" t="n">
        <f aca="false">T402*X402</f>
        <v>0</v>
      </c>
      <c r="AC402" s="765"/>
      <c r="AD402" s="765"/>
      <c r="AE402" s="766"/>
      <c r="AF402" s="736"/>
    </row>
    <row r="403" customFormat="false" ht="15.75" hidden="false" customHeight="true" outlineLevel="0" collapsed="false">
      <c r="A403" s="736"/>
      <c r="B403" s="797" t="s">
        <v>1114</v>
      </c>
      <c r="C403" s="761"/>
      <c r="D403" s="761"/>
      <c r="E403" s="762" t="str">
        <f aca="false">IFERROR(VLOOKUP(B403,TE!$H$1:$Y$749,2,FALSE()),"(Not on TE)")</f>
        <v>(Not on TE)</v>
      </c>
      <c r="F403" s="763"/>
      <c r="G403" s="763"/>
      <c r="H403" s="763"/>
      <c r="I403" s="763"/>
      <c r="J403" s="763"/>
      <c r="K403" s="763"/>
      <c r="L403" s="763"/>
      <c r="M403" s="763"/>
      <c r="N403" s="764" t="str">
        <f aca="false">IFERROR(VLOOKUP(B403,TE!$H$1:$Y$749,18,FALSE()),"")</f>
        <v/>
      </c>
      <c r="O403" s="764"/>
      <c r="P403" s="764"/>
      <c r="Q403" s="764"/>
      <c r="R403" s="764"/>
      <c r="S403" s="764"/>
      <c r="T403" s="764" t="n">
        <f aca="false">IFERROR(SUMIFS(TE!$O:$O,TE!$G:$G,$B$310,TE!$I:$I,B403,TE!$D:$D,$C$5),"")</f>
        <v>3</v>
      </c>
      <c r="U403" s="764"/>
      <c r="V403" s="764"/>
      <c r="W403" s="764"/>
      <c r="X403" s="723" t="str">
        <f aca="false">IFERROR(VLOOKUP(B403,TE!$H$1:$Y$630,14,FALSE()),"0")</f>
        <v>0</v>
      </c>
      <c r="Y403" s="723"/>
      <c r="Z403" s="723"/>
      <c r="AA403" s="723"/>
      <c r="AB403" s="765" t="n">
        <f aca="false">T403*X403</f>
        <v>0</v>
      </c>
      <c r="AC403" s="765"/>
      <c r="AD403" s="765"/>
      <c r="AE403" s="766"/>
      <c r="AF403" s="736"/>
    </row>
    <row r="404" customFormat="false" ht="15.75" hidden="false" customHeight="true" outlineLevel="0" collapsed="false">
      <c r="A404" s="736"/>
      <c r="B404" s="797" t="s">
        <v>1619</v>
      </c>
      <c r="C404" s="761"/>
      <c r="D404" s="761"/>
      <c r="E404" s="762" t="str">
        <f aca="false">IFERROR(VLOOKUP(B404,TE!$H$1:$Y$749,2,FALSE()),"(Not on TE)")</f>
        <v>(Not on TE)</v>
      </c>
      <c r="F404" s="763"/>
      <c r="G404" s="763"/>
      <c r="H404" s="763"/>
      <c r="I404" s="763"/>
      <c r="J404" s="763"/>
      <c r="K404" s="763"/>
      <c r="L404" s="763"/>
      <c r="M404" s="763"/>
      <c r="N404" s="764" t="str">
        <f aca="false">IFERROR(VLOOKUP(B404,TE!$H$1:$Y$749,18,FALSE()),"")</f>
        <v/>
      </c>
      <c r="O404" s="764"/>
      <c r="P404" s="764"/>
      <c r="Q404" s="764"/>
      <c r="R404" s="764"/>
      <c r="S404" s="764"/>
      <c r="T404" s="764" t="n">
        <f aca="false">IFERROR(SUMIFS(TE!$O:$O,TE!$G:$G,$B$310,TE!$I:$I,B404,TE!$D:$D,$C$5),"")</f>
        <v>0</v>
      </c>
      <c r="U404" s="764"/>
      <c r="V404" s="764"/>
      <c r="W404" s="764"/>
      <c r="X404" s="723" t="str">
        <f aca="false">IFERROR(VLOOKUP(B404,TE!$H$1:$Y$630,14,FALSE()),"0")</f>
        <v>0</v>
      </c>
      <c r="Y404" s="723"/>
      <c r="Z404" s="723"/>
      <c r="AA404" s="723"/>
      <c r="AB404" s="765" t="n">
        <f aca="false">T404*X404</f>
        <v>0</v>
      </c>
      <c r="AC404" s="765"/>
      <c r="AD404" s="765"/>
      <c r="AE404" s="766"/>
      <c r="AF404" s="736"/>
    </row>
    <row r="405" customFormat="false" ht="15.75" hidden="false" customHeight="true" outlineLevel="0" collapsed="false">
      <c r="A405" s="736"/>
      <c r="B405" s="797" t="s">
        <v>1620</v>
      </c>
      <c r="C405" s="761"/>
      <c r="D405" s="761"/>
      <c r="E405" s="762" t="str">
        <f aca="false">IFERROR(VLOOKUP(B405,TE!$H$1:$Y$749,2,FALSE()),"(Not on TE)")</f>
        <v>(Not on TE)</v>
      </c>
      <c r="F405" s="763"/>
      <c r="G405" s="763"/>
      <c r="H405" s="763"/>
      <c r="I405" s="763"/>
      <c r="J405" s="763"/>
      <c r="K405" s="763"/>
      <c r="L405" s="763"/>
      <c r="M405" s="763"/>
      <c r="N405" s="764" t="str">
        <f aca="false">IFERROR(VLOOKUP(B405,TE!$H$1:$Y$749,18,FALSE()),"")</f>
        <v/>
      </c>
      <c r="O405" s="764"/>
      <c r="P405" s="764"/>
      <c r="Q405" s="764"/>
      <c r="R405" s="764"/>
      <c r="S405" s="764"/>
      <c r="T405" s="764" t="n">
        <f aca="false">IFERROR(SUMIFS(TE!$O:$O,TE!$G:$G,$B$310,TE!$I:$I,B405,TE!$D:$D,$C$5),"")</f>
        <v>0</v>
      </c>
      <c r="U405" s="764"/>
      <c r="V405" s="764"/>
      <c r="W405" s="764"/>
      <c r="X405" s="723" t="str">
        <f aca="false">IFERROR(VLOOKUP(B405,TE!$H$1:$Y$630,14,FALSE()),"0")</f>
        <v>0</v>
      </c>
      <c r="Y405" s="723"/>
      <c r="Z405" s="723"/>
      <c r="AA405" s="723"/>
      <c r="AB405" s="765" t="n">
        <f aca="false">T405*X405</f>
        <v>0</v>
      </c>
      <c r="AC405" s="765"/>
      <c r="AD405" s="765"/>
      <c r="AE405" s="766"/>
      <c r="AF405" s="736"/>
    </row>
    <row r="406" customFormat="false" ht="15.75" hidden="false" customHeight="true" outlineLevel="0" collapsed="false">
      <c r="A406" s="736"/>
      <c r="B406" s="797" t="s">
        <v>1621</v>
      </c>
      <c r="C406" s="761"/>
      <c r="D406" s="761"/>
      <c r="E406" s="762" t="str">
        <f aca="false">IFERROR(VLOOKUP(B406,TE!$H$1:$Y$749,2,FALSE()),"(Not on TE)")</f>
        <v>(Not on TE)</v>
      </c>
      <c r="F406" s="763"/>
      <c r="G406" s="763"/>
      <c r="H406" s="763"/>
      <c r="I406" s="763"/>
      <c r="J406" s="763"/>
      <c r="K406" s="763"/>
      <c r="L406" s="763"/>
      <c r="M406" s="763"/>
      <c r="N406" s="764" t="str">
        <f aca="false">IFERROR(VLOOKUP(B406,TE!$H$1:$Y$749,18,FALSE()),"")</f>
        <v/>
      </c>
      <c r="O406" s="764"/>
      <c r="P406" s="764"/>
      <c r="Q406" s="764"/>
      <c r="R406" s="764"/>
      <c r="S406" s="764"/>
      <c r="T406" s="764" t="n">
        <f aca="false">IFERROR(SUMIFS(TE!$O:$O,TE!$G:$G,$B$310,TE!$I:$I,B406,TE!$D:$D,$C$5),"")</f>
        <v>0</v>
      </c>
      <c r="U406" s="764"/>
      <c r="V406" s="764"/>
      <c r="W406" s="764"/>
      <c r="X406" s="723" t="str">
        <f aca="false">IFERROR(VLOOKUP(B406,TE!$H$1:$Y$630,14,FALSE()),"0")</f>
        <v>0</v>
      </c>
      <c r="Y406" s="723"/>
      <c r="Z406" s="723"/>
      <c r="AA406" s="723"/>
      <c r="AB406" s="765" t="n">
        <f aca="false">T406*X406</f>
        <v>0</v>
      </c>
      <c r="AC406" s="765"/>
      <c r="AD406" s="765"/>
      <c r="AE406" s="766"/>
      <c r="AF406" s="736"/>
    </row>
    <row r="407" customFormat="false" ht="15.75" hidden="false" customHeight="true" outlineLevel="0" collapsed="false">
      <c r="A407" s="736"/>
      <c r="B407" s="797" t="s">
        <v>1622</v>
      </c>
      <c r="C407" s="761"/>
      <c r="D407" s="761"/>
      <c r="E407" s="762" t="str">
        <f aca="false">IFERROR(VLOOKUP(B407,TE!$H$1:$Y$749,2,FALSE()),"(Not on TE)")</f>
        <v>(Not on TE)</v>
      </c>
      <c r="F407" s="763"/>
      <c r="G407" s="763"/>
      <c r="H407" s="763"/>
      <c r="I407" s="763"/>
      <c r="J407" s="763"/>
      <c r="K407" s="763"/>
      <c r="L407" s="763"/>
      <c r="M407" s="763"/>
      <c r="N407" s="764" t="str">
        <f aca="false">IFERROR(VLOOKUP(B407,TE!$H$1:$Y$749,18,FALSE()),"")</f>
        <v/>
      </c>
      <c r="O407" s="764"/>
      <c r="P407" s="764"/>
      <c r="Q407" s="764"/>
      <c r="R407" s="764"/>
      <c r="S407" s="764"/>
      <c r="T407" s="764" t="n">
        <f aca="false">IFERROR(SUMIFS(TE!$O:$O,TE!$G:$G,$B$310,TE!$I:$I,B407,TE!$D:$D,$C$5),"")</f>
        <v>0</v>
      </c>
      <c r="U407" s="764"/>
      <c r="V407" s="764"/>
      <c r="W407" s="764"/>
      <c r="X407" s="723" t="str">
        <f aca="false">IFERROR(VLOOKUP(B407,TE!$H$1:$Y$630,14,FALSE()),"0")</f>
        <v>0</v>
      </c>
      <c r="Y407" s="723"/>
      <c r="Z407" s="723"/>
      <c r="AA407" s="723"/>
      <c r="AB407" s="765" t="n">
        <f aca="false">T407*X407</f>
        <v>0</v>
      </c>
      <c r="AC407" s="765"/>
      <c r="AD407" s="765"/>
      <c r="AE407" s="766"/>
      <c r="AF407" s="736"/>
    </row>
    <row r="408" customFormat="false" ht="15.75" hidden="false" customHeight="true" outlineLevel="0" collapsed="false">
      <c r="A408" s="736"/>
      <c r="B408" s="760" t="s">
        <v>1193</v>
      </c>
      <c r="C408" s="761"/>
      <c r="D408" s="761"/>
      <c r="E408" s="762" t="str">
        <f aca="false">IFERROR(VLOOKUP(B408,TE!$H$1:$Y$749,2,FALSE()),"(Not on TE)")</f>
        <v>(Not on TE)</v>
      </c>
      <c r="F408" s="763"/>
      <c r="G408" s="763"/>
      <c r="H408" s="763"/>
      <c r="I408" s="763"/>
      <c r="J408" s="763"/>
      <c r="K408" s="763"/>
      <c r="L408" s="763"/>
      <c r="M408" s="763"/>
      <c r="N408" s="764" t="str">
        <f aca="false">IFERROR(VLOOKUP(B408,TE!$H$1:$Y$749,18,FALSE()),"")</f>
        <v/>
      </c>
      <c r="O408" s="764"/>
      <c r="P408" s="764"/>
      <c r="Q408" s="764"/>
      <c r="R408" s="764"/>
      <c r="S408" s="764"/>
      <c r="T408" s="764" t="n">
        <f aca="false">IFERROR(SUMIFS(TE!$O:$O,TE!$G:$G,$B$310,TE!$I:$I,B408,TE!$D:$D,$C$5),"")</f>
        <v>0</v>
      </c>
      <c r="U408" s="764"/>
      <c r="V408" s="764"/>
      <c r="W408" s="764"/>
      <c r="X408" s="723" t="str">
        <f aca="false">IFERROR(VLOOKUP(B408,TE!$H$1:$Y$630,14,FALSE()),"0")</f>
        <v>0</v>
      </c>
      <c r="Y408" s="723"/>
      <c r="Z408" s="723"/>
      <c r="AA408" s="723"/>
      <c r="AB408" s="765" t="n">
        <f aca="false">T408*X408</f>
        <v>0</v>
      </c>
      <c r="AC408" s="765"/>
      <c r="AD408" s="765"/>
      <c r="AE408" s="766"/>
      <c r="AF408" s="736"/>
    </row>
    <row r="409" customFormat="false" ht="15.75" hidden="false" customHeight="true" outlineLevel="0" collapsed="false">
      <c r="A409" s="736"/>
      <c r="B409" s="760" t="s">
        <v>1623</v>
      </c>
      <c r="C409" s="761"/>
      <c r="D409" s="761"/>
      <c r="E409" s="762" t="str">
        <f aca="false">IFERROR(VLOOKUP(B409,TE!$H$1:$Y$749,2,FALSE()),"(Not on TE)")</f>
        <v>(Not on TE)</v>
      </c>
      <c r="F409" s="763"/>
      <c r="G409" s="763"/>
      <c r="H409" s="763"/>
      <c r="I409" s="763"/>
      <c r="J409" s="763"/>
      <c r="K409" s="763"/>
      <c r="L409" s="763"/>
      <c r="M409" s="763"/>
      <c r="N409" s="764" t="str">
        <f aca="false">IFERROR(VLOOKUP(B409,TE!$H$1:$Y$749,18,FALSE()),"")</f>
        <v/>
      </c>
      <c r="O409" s="764"/>
      <c r="P409" s="764"/>
      <c r="Q409" s="764"/>
      <c r="R409" s="764"/>
      <c r="S409" s="764"/>
      <c r="T409" s="764" t="n">
        <f aca="false">IFERROR(SUMIFS(TE!$O:$O,TE!$G:$G,$B$310,TE!$I:$I,B409,TE!$D:$D,$C$5),"")</f>
        <v>0</v>
      </c>
      <c r="U409" s="764"/>
      <c r="V409" s="764"/>
      <c r="W409" s="764"/>
      <c r="X409" s="723" t="str">
        <f aca="false">IFERROR(VLOOKUP(B409,TE!$H$1:$Y$630,14,FALSE()),"0")</f>
        <v>0</v>
      </c>
      <c r="Y409" s="723"/>
      <c r="Z409" s="723"/>
      <c r="AA409" s="723"/>
      <c r="AB409" s="765" t="n">
        <f aca="false">T409*X409</f>
        <v>0</v>
      </c>
      <c r="AC409" s="765"/>
      <c r="AD409" s="765"/>
      <c r="AE409" s="766"/>
      <c r="AF409" s="736"/>
    </row>
    <row r="410" customFormat="false" ht="15.75" hidden="false" customHeight="true" outlineLevel="0" collapsed="false">
      <c r="A410" s="736"/>
      <c r="B410" s="760" t="s">
        <v>1624</v>
      </c>
      <c r="C410" s="761"/>
      <c r="D410" s="761"/>
      <c r="E410" s="762" t="str">
        <f aca="false">IFERROR(VLOOKUP(B410,TE!$H$1:$Y$749,2,FALSE()),"(Not on TE)")</f>
        <v>(Not on TE)</v>
      </c>
      <c r="F410" s="763"/>
      <c r="G410" s="763"/>
      <c r="H410" s="763"/>
      <c r="I410" s="763"/>
      <c r="J410" s="763"/>
      <c r="K410" s="763"/>
      <c r="L410" s="763"/>
      <c r="M410" s="763"/>
      <c r="N410" s="764" t="str">
        <f aca="false">IFERROR(VLOOKUP(B410,TE!$H$1:$Y$749,18,FALSE()),"")</f>
        <v/>
      </c>
      <c r="O410" s="764"/>
      <c r="P410" s="764"/>
      <c r="Q410" s="764"/>
      <c r="R410" s="764"/>
      <c r="S410" s="764"/>
      <c r="T410" s="764" t="n">
        <f aca="false">IFERROR(SUMIFS(TE!$O:$O,TE!$G:$G,$B$310,TE!$I:$I,B410,TE!$D:$D,$C$5),"")</f>
        <v>0</v>
      </c>
      <c r="U410" s="764"/>
      <c r="V410" s="764"/>
      <c r="W410" s="764"/>
      <c r="X410" s="723" t="str">
        <f aca="false">IFERROR(VLOOKUP(B410,TE!$H$1:$Y$630,14,FALSE()),"0")</f>
        <v>0</v>
      </c>
      <c r="Y410" s="723"/>
      <c r="Z410" s="723"/>
      <c r="AA410" s="723"/>
      <c r="AB410" s="765" t="n">
        <f aca="false">T410*X410</f>
        <v>0</v>
      </c>
      <c r="AC410" s="765"/>
      <c r="AD410" s="765"/>
      <c r="AE410" s="766"/>
      <c r="AF410" s="736"/>
    </row>
    <row r="411" customFormat="false" ht="15.75" hidden="false" customHeight="true" outlineLevel="0" collapsed="false">
      <c r="A411" s="736"/>
      <c r="B411" s="760" t="s">
        <v>1625</v>
      </c>
      <c r="C411" s="761"/>
      <c r="D411" s="761"/>
      <c r="E411" s="762" t="str">
        <f aca="false">IFERROR(VLOOKUP(B411,TE!$H$1:$Y$749,2,FALSE()),"(Not on TE)")</f>
        <v>(Not on TE)</v>
      </c>
      <c r="F411" s="763"/>
      <c r="G411" s="763"/>
      <c r="H411" s="763"/>
      <c r="I411" s="763"/>
      <c r="J411" s="763"/>
      <c r="K411" s="763"/>
      <c r="L411" s="763"/>
      <c r="M411" s="763"/>
      <c r="N411" s="764" t="str">
        <f aca="false">IFERROR(VLOOKUP(B411,TE!$H$1:$Y$749,18,FALSE()),"")</f>
        <v/>
      </c>
      <c r="O411" s="764"/>
      <c r="P411" s="764"/>
      <c r="Q411" s="764"/>
      <c r="R411" s="764"/>
      <c r="S411" s="764"/>
      <c r="T411" s="764" t="n">
        <f aca="false">IFERROR(SUMIFS(TE!$O:$O,TE!$G:$G,$B$310,TE!$I:$I,B411,TE!$D:$D,$C$5),"")</f>
        <v>0</v>
      </c>
      <c r="U411" s="764"/>
      <c r="V411" s="764"/>
      <c r="W411" s="764"/>
      <c r="X411" s="723" t="str">
        <f aca="false">IFERROR(VLOOKUP(B411,TE!$H$1:$Y$630,14,FALSE()),"0")</f>
        <v>0</v>
      </c>
      <c r="Y411" s="723"/>
      <c r="Z411" s="723"/>
      <c r="AA411" s="723"/>
      <c r="AB411" s="765" t="n">
        <f aca="false">T411*X411</f>
        <v>0</v>
      </c>
      <c r="AC411" s="765"/>
      <c r="AD411" s="765"/>
      <c r="AE411" s="766"/>
      <c r="AF411" s="736"/>
    </row>
    <row r="412" customFormat="false" ht="15.75" hidden="false" customHeight="true" outlineLevel="0" collapsed="false">
      <c r="A412" s="736"/>
      <c r="B412" s="760" t="s">
        <v>1309</v>
      </c>
      <c r="C412" s="761"/>
      <c r="D412" s="761"/>
      <c r="E412" s="762" t="str">
        <f aca="false">IFERROR(VLOOKUP(B412,TE!$H$1:$Y$749,2,FALSE()),"(Not on TE)")</f>
        <v>(Not on TE)</v>
      </c>
      <c r="F412" s="763"/>
      <c r="G412" s="763"/>
      <c r="H412" s="763"/>
      <c r="I412" s="763"/>
      <c r="J412" s="763"/>
      <c r="K412" s="763"/>
      <c r="L412" s="763"/>
      <c r="M412" s="763"/>
      <c r="N412" s="764" t="str">
        <f aca="false">IFERROR(VLOOKUP(B412,TE!$H$1:$Y$749,18,FALSE()),"")</f>
        <v/>
      </c>
      <c r="O412" s="764"/>
      <c r="P412" s="764"/>
      <c r="Q412" s="764"/>
      <c r="R412" s="764"/>
      <c r="S412" s="764"/>
      <c r="T412" s="764" t="n">
        <f aca="false">IFERROR(SUMIFS(TE!$O:$O,TE!$G:$G,$B$310,TE!$I:$I,B412,TE!$D:$D,$C$5),"")</f>
        <v>0</v>
      </c>
      <c r="U412" s="764"/>
      <c r="V412" s="764"/>
      <c r="W412" s="764"/>
      <c r="X412" s="723" t="str">
        <f aca="false">IFERROR(VLOOKUP(B412,TE!$H$1:$Y$630,14,FALSE()),"0")</f>
        <v>0</v>
      </c>
      <c r="Y412" s="723"/>
      <c r="Z412" s="723"/>
      <c r="AA412" s="723"/>
      <c r="AB412" s="765" t="n">
        <f aca="false">T412*X412</f>
        <v>0</v>
      </c>
      <c r="AC412" s="765"/>
      <c r="AD412" s="765"/>
      <c r="AE412" s="766"/>
      <c r="AF412" s="736"/>
    </row>
    <row r="413" customFormat="false" ht="15.75" hidden="false" customHeight="true" outlineLevel="0" collapsed="false">
      <c r="A413" s="736"/>
      <c r="B413" s="760" t="s">
        <v>1626</v>
      </c>
      <c r="C413" s="761"/>
      <c r="D413" s="761"/>
      <c r="E413" s="762" t="str">
        <f aca="false">IFERROR(VLOOKUP(B413,TE!$H$1:$Y$749,2,FALSE()),"(Not on TE)")</f>
        <v>(Not on TE)</v>
      </c>
      <c r="F413" s="763"/>
      <c r="G413" s="763"/>
      <c r="H413" s="763"/>
      <c r="I413" s="763"/>
      <c r="J413" s="763"/>
      <c r="K413" s="763"/>
      <c r="L413" s="763"/>
      <c r="M413" s="763"/>
      <c r="N413" s="764" t="str">
        <f aca="false">IFERROR(VLOOKUP(B413,TE!$H$1:$Y$749,18,FALSE()),"")</f>
        <v/>
      </c>
      <c r="O413" s="764"/>
      <c r="P413" s="764"/>
      <c r="Q413" s="764"/>
      <c r="R413" s="764"/>
      <c r="S413" s="764"/>
      <c r="T413" s="764" t="n">
        <f aca="false">IFERROR(SUMIFS(TE!$O:$O,TE!$G:$G,$B$310,TE!$I:$I,B413,TE!$D:$D,$C$5),"")</f>
        <v>0</v>
      </c>
      <c r="U413" s="764"/>
      <c r="V413" s="764"/>
      <c r="W413" s="764"/>
      <c r="X413" s="723" t="str">
        <f aca="false">IFERROR(VLOOKUP(B413,TE!$H$1:$Y$630,14,FALSE()),"0")</f>
        <v>0</v>
      </c>
      <c r="Y413" s="723"/>
      <c r="Z413" s="723"/>
      <c r="AA413" s="723"/>
      <c r="AB413" s="765" t="n">
        <f aca="false">T413*X413</f>
        <v>0</v>
      </c>
      <c r="AC413" s="765"/>
      <c r="AD413" s="765"/>
      <c r="AE413" s="766"/>
      <c r="AF413" s="736"/>
    </row>
    <row r="414" customFormat="false" ht="15.75" hidden="false" customHeight="true" outlineLevel="0" collapsed="false">
      <c r="A414" s="736"/>
      <c r="B414" s="760" t="s">
        <v>1627</v>
      </c>
      <c r="C414" s="761"/>
      <c r="D414" s="761"/>
      <c r="E414" s="762" t="str">
        <f aca="false">IFERROR(VLOOKUP(B414,TE!$H$1:$Y$749,2,FALSE()),"(Not on TE)")</f>
        <v>(Not on TE)</v>
      </c>
      <c r="F414" s="763"/>
      <c r="G414" s="763"/>
      <c r="H414" s="763"/>
      <c r="I414" s="763"/>
      <c r="J414" s="763"/>
      <c r="K414" s="763"/>
      <c r="L414" s="763"/>
      <c r="M414" s="763"/>
      <c r="N414" s="764" t="str">
        <f aca="false">IFERROR(VLOOKUP(B414,TE!$H$1:$Y$749,18,FALSE()),"")</f>
        <v/>
      </c>
      <c r="O414" s="764"/>
      <c r="P414" s="764"/>
      <c r="Q414" s="764"/>
      <c r="R414" s="764"/>
      <c r="S414" s="764"/>
      <c r="T414" s="764" t="n">
        <f aca="false">IFERROR(SUMIFS(TE!$O:$O,TE!$G:$G,$B$310,TE!$I:$I,B414,TE!$D:$D,$C$5),"")</f>
        <v>0</v>
      </c>
      <c r="U414" s="764"/>
      <c r="V414" s="764"/>
      <c r="W414" s="764"/>
      <c r="X414" s="723" t="str">
        <f aca="false">IFERROR(VLOOKUP(B414,TE!$H$1:$Y$630,14,FALSE()),"0")</f>
        <v>0</v>
      </c>
      <c r="Y414" s="723"/>
      <c r="Z414" s="723"/>
      <c r="AA414" s="723"/>
      <c r="AB414" s="765" t="n">
        <f aca="false">T414*X414</f>
        <v>0</v>
      </c>
      <c r="AC414" s="765"/>
      <c r="AD414" s="765"/>
      <c r="AE414" s="766"/>
      <c r="AF414" s="736"/>
    </row>
    <row r="415" customFormat="false" ht="15.75" hidden="false" customHeight="true" outlineLevel="0" collapsed="false">
      <c r="A415" s="736"/>
      <c r="B415" s="760" t="s">
        <v>1628</v>
      </c>
      <c r="C415" s="761"/>
      <c r="D415" s="761"/>
      <c r="E415" s="762" t="str">
        <f aca="false">IFERROR(VLOOKUP(B415,TE!$H$1:$Y$749,2,FALSE()),"(Not on TE)")</f>
        <v>(Not on TE)</v>
      </c>
      <c r="F415" s="763"/>
      <c r="G415" s="763"/>
      <c r="H415" s="763"/>
      <c r="I415" s="763"/>
      <c r="J415" s="763"/>
      <c r="K415" s="763"/>
      <c r="L415" s="763"/>
      <c r="M415" s="763"/>
      <c r="N415" s="764" t="str">
        <f aca="false">IFERROR(VLOOKUP(B415,TE!$H$1:$Y$749,18,FALSE()),"")</f>
        <v/>
      </c>
      <c r="O415" s="764"/>
      <c r="P415" s="764"/>
      <c r="Q415" s="764"/>
      <c r="R415" s="764"/>
      <c r="S415" s="764"/>
      <c r="T415" s="764" t="n">
        <f aca="false">IFERROR(SUMIFS(TE!$O:$O,TE!$G:$G,$B$310,TE!$I:$I,B415,TE!$D:$D,$C$5),"")</f>
        <v>0</v>
      </c>
      <c r="U415" s="764"/>
      <c r="V415" s="764"/>
      <c r="W415" s="764"/>
      <c r="X415" s="723" t="str">
        <f aca="false">IFERROR(VLOOKUP(B415,TE!$H$1:$Y$630,14,FALSE()),"0")</f>
        <v>0</v>
      </c>
      <c r="Y415" s="723"/>
      <c r="Z415" s="723"/>
      <c r="AA415" s="723"/>
      <c r="AB415" s="765" t="n">
        <f aca="false">T415*X415</f>
        <v>0</v>
      </c>
      <c r="AC415" s="765"/>
      <c r="AD415" s="765"/>
      <c r="AE415" s="766"/>
      <c r="AF415" s="736"/>
    </row>
    <row r="416" customFormat="false" ht="15.75" hidden="false" customHeight="true" outlineLevel="0" collapsed="false">
      <c r="A416" s="736"/>
      <c r="B416" s="760" t="s">
        <v>1418</v>
      </c>
      <c r="C416" s="761"/>
      <c r="D416" s="761"/>
      <c r="E416" s="762" t="str">
        <f aca="false">IFERROR(VLOOKUP(B416,TE!$H$1:$Y$749,2,FALSE()),"(Not on TE)")</f>
        <v>(Not on TE)</v>
      </c>
      <c r="F416" s="763"/>
      <c r="G416" s="763"/>
      <c r="H416" s="763"/>
      <c r="I416" s="763"/>
      <c r="J416" s="763"/>
      <c r="K416" s="763"/>
      <c r="L416" s="763"/>
      <c r="M416" s="763"/>
      <c r="N416" s="764" t="str">
        <f aca="false">IFERROR(VLOOKUP(B416,TE!$H$1:$Y$749,18,FALSE()),"")</f>
        <v/>
      </c>
      <c r="O416" s="764"/>
      <c r="P416" s="764"/>
      <c r="Q416" s="764"/>
      <c r="R416" s="764"/>
      <c r="S416" s="764"/>
      <c r="T416" s="764" t="n">
        <f aca="false">IFERROR(SUMIFS(TE!$O:$O,TE!$G:$G,$B$310,TE!$I:$I,B416,TE!$D:$D,$C$5),"")</f>
        <v>0</v>
      </c>
      <c r="U416" s="764"/>
      <c r="V416" s="764"/>
      <c r="W416" s="764"/>
      <c r="X416" s="723" t="str">
        <f aca="false">IFERROR(VLOOKUP(B416,TE!$H$1:$Y$630,14,FALSE()),"0")</f>
        <v>0</v>
      </c>
      <c r="Y416" s="723"/>
      <c r="Z416" s="723"/>
      <c r="AA416" s="723"/>
      <c r="AB416" s="765" t="n">
        <f aca="false">T416*X416</f>
        <v>0</v>
      </c>
      <c r="AC416" s="765"/>
      <c r="AD416" s="765"/>
      <c r="AE416" s="766"/>
      <c r="AF416" s="736"/>
    </row>
    <row r="417" customFormat="false" ht="15.75" hidden="false" customHeight="true" outlineLevel="0" collapsed="false">
      <c r="A417" s="736"/>
      <c r="B417" s="760" t="s">
        <v>1195</v>
      </c>
      <c r="C417" s="761"/>
      <c r="D417" s="761"/>
      <c r="E417" s="762" t="str">
        <f aca="false">IFERROR(VLOOKUP(B417,TE!$H$1:$Y$749,2,FALSE()),"(Not on TE)")</f>
        <v>(Not on TE)</v>
      </c>
      <c r="F417" s="763"/>
      <c r="G417" s="763"/>
      <c r="H417" s="763"/>
      <c r="I417" s="763"/>
      <c r="J417" s="763"/>
      <c r="K417" s="763"/>
      <c r="L417" s="763"/>
      <c r="M417" s="763"/>
      <c r="N417" s="764" t="str">
        <f aca="false">IFERROR(VLOOKUP(B417,TE!$H$1:$Y$749,18,FALSE()),"")</f>
        <v/>
      </c>
      <c r="O417" s="764"/>
      <c r="P417" s="764"/>
      <c r="Q417" s="764"/>
      <c r="R417" s="764"/>
      <c r="S417" s="764"/>
      <c r="T417" s="764" t="n">
        <f aca="false">IFERROR(SUMIFS(TE!$O:$O,TE!$G:$G,$B$310,TE!$I:$I,B417,TE!$D:$D,$C$5),"")</f>
        <v>0</v>
      </c>
      <c r="U417" s="764"/>
      <c r="V417" s="764"/>
      <c r="W417" s="764"/>
      <c r="X417" s="723" t="str">
        <f aca="false">IFERROR(VLOOKUP(B417,TE!$H$1:$Y$630,14,FALSE()),"0")</f>
        <v>0</v>
      </c>
      <c r="Y417" s="723"/>
      <c r="Z417" s="723"/>
      <c r="AA417" s="723"/>
      <c r="AB417" s="765" t="n">
        <f aca="false">T417*X417</f>
        <v>0</v>
      </c>
      <c r="AC417" s="765"/>
      <c r="AD417" s="765"/>
      <c r="AE417" s="766"/>
      <c r="AF417" s="736"/>
    </row>
    <row r="418" customFormat="false" ht="15.75" hidden="false" customHeight="true" outlineLevel="0" collapsed="false">
      <c r="A418" s="736"/>
      <c r="B418" s="760" t="s">
        <v>1629</v>
      </c>
      <c r="C418" s="761"/>
      <c r="D418" s="761"/>
      <c r="E418" s="762" t="str">
        <f aca="false">IFERROR(VLOOKUP(B418,TE!$H$1:$Y$749,2,FALSE()),"(Not on TE)")</f>
        <v>(Not on TE)</v>
      </c>
      <c r="F418" s="763"/>
      <c r="G418" s="763"/>
      <c r="H418" s="763"/>
      <c r="I418" s="763"/>
      <c r="J418" s="763"/>
      <c r="K418" s="763"/>
      <c r="L418" s="763"/>
      <c r="M418" s="763"/>
      <c r="N418" s="764" t="str">
        <f aca="false">IFERROR(VLOOKUP(B418,TE!$H$1:$Y$749,18,FALSE()),"")</f>
        <v/>
      </c>
      <c r="O418" s="764"/>
      <c r="P418" s="764"/>
      <c r="Q418" s="764"/>
      <c r="R418" s="764"/>
      <c r="S418" s="764"/>
      <c r="T418" s="764" t="n">
        <f aca="false">IFERROR(SUMIFS(TE!$O:$O,TE!$G:$G,$B$310,TE!$I:$I,B418,TE!$D:$D,$C$5),"")</f>
        <v>0</v>
      </c>
      <c r="U418" s="764"/>
      <c r="V418" s="764"/>
      <c r="W418" s="764"/>
      <c r="X418" s="723" t="str">
        <f aca="false">IFERROR(VLOOKUP(B418,TE!$H$1:$Y$630,14,FALSE()),"0")</f>
        <v>0</v>
      </c>
      <c r="Y418" s="723"/>
      <c r="Z418" s="723"/>
      <c r="AA418" s="723"/>
      <c r="AB418" s="765" t="n">
        <f aca="false">T418*X418</f>
        <v>0</v>
      </c>
      <c r="AC418" s="765"/>
      <c r="AD418" s="765"/>
      <c r="AE418" s="766"/>
      <c r="AF418" s="736"/>
    </row>
    <row r="419" customFormat="false" ht="15.75" hidden="false" customHeight="true" outlineLevel="0" collapsed="false">
      <c r="A419" s="736"/>
      <c r="B419" s="760" t="s">
        <v>1630</v>
      </c>
      <c r="C419" s="761"/>
      <c r="D419" s="761"/>
      <c r="E419" s="762" t="str">
        <f aca="false">IFERROR(VLOOKUP(B419,TE!$H$1:$Y$749,2,FALSE()),"(Not on TE)")</f>
        <v>(Not on TE)</v>
      </c>
      <c r="F419" s="763"/>
      <c r="G419" s="763"/>
      <c r="H419" s="763"/>
      <c r="I419" s="763"/>
      <c r="J419" s="763"/>
      <c r="K419" s="763"/>
      <c r="L419" s="763"/>
      <c r="M419" s="763"/>
      <c r="N419" s="764" t="str">
        <f aca="false">IFERROR(VLOOKUP(B419,TE!$H$1:$Y$749,18,FALSE()),"")</f>
        <v/>
      </c>
      <c r="O419" s="764"/>
      <c r="P419" s="764"/>
      <c r="Q419" s="764"/>
      <c r="R419" s="764"/>
      <c r="S419" s="764"/>
      <c r="T419" s="764" t="n">
        <f aca="false">IFERROR(SUMIFS(TE!$O:$O,TE!$G:$G,$B$310,TE!$I:$I,B419,TE!$D:$D,$C$5),"")</f>
        <v>0</v>
      </c>
      <c r="U419" s="764"/>
      <c r="V419" s="764"/>
      <c r="W419" s="764"/>
      <c r="X419" s="723" t="str">
        <f aca="false">IFERROR(VLOOKUP(B419,TE!$H$1:$Y$630,14,FALSE()),"0")</f>
        <v>0</v>
      </c>
      <c r="Y419" s="723"/>
      <c r="Z419" s="723"/>
      <c r="AA419" s="723"/>
      <c r="AB419" s="765" t="n">
        <f aca="false">T419*X419</f>
        <v>0</v>
      </c>
      <c r="AC419" s="765"/>
      <c r="AD419" s="765"/>
      <c r="AE419" s="736"/>
      <c r="AF419" s="736"/>
    </row>
    <row r="420" customFormat="false" ht="15.75" hidden="false" customHeight="true" outlineLevel="0" collapsed="false">
      <c r="A420" s="736"/>
      <c r="B420" s="783" t="s">
        <v>1403</v>
      </c>
      <c r="C420" s="761"/>
      <c r="D420" s="761"/>
      <c r="E420" s="762" t="str">
        <f aca="false">IFERROR(VLOOKUP(B420,TE!$H$1:$Y$749,2,FALSE()),"(Not on TE)")</f>
        <v>(Not on TE)</v>
      </c>
      <c r="F420" s="763"/>
      <c r="G420" s="763"/>
      <c r="H420" s="763"/>
      <c r="I420" s="763"/>
      <c r="J420" s="763"/>
      <c r="K420" s="763"/>
      <c r="L420" s="763"/>
      <c r="M420" s="763"/>
      <c r="N420" s="764" t="str">
        <f aca="false">IFERROR(VLOOKUP(B420,TE!$H$1:$Y$749,18,FALSE()),"")</f>
        <v/>
      </c>
      <c r="O420" s="764"/>
      <c r="P420" s="764"/>
      <c r="Q420" s="764"/>
      <c r="R420" s="764"/>
      <c r="S420" s="764"/>
      <c r="T420" s="764" t="n">
        <f aca="false">IFERROR(SUMIFS(TE!$O:$O,TE!$G:$G,$B$310,TE!$I:$I,B420,TE!$D:$D,$C$5),"")</f>
        <v>4</v>
      </c>
      <c r="U420" s="764"/>
      <c r="V420" s="764"/>
      <c r="W420" s="764"/>
      <c r="X420" s="723" t="str">
        <f aca="false">IFERROR(VLOOKUP(B420,TE!$H$1:$Y$630,14,FALSE()),"0")</f>
        <v>0</v>
      </c>
      <c r="Y420" s="723"/>
      <c r="Z420" s="723"/>
      <c r="AA420" s="723"/>
      <c r="AB420" s="765" t="n">
        <f aca="false">T420*X420</f>
        <v>0</v>
      </c>
      <c r="AC420" s="765"/>
      <c r="AD420" s="765"/>
      <c r="AE420" s="736"/>
      <c r="AF420" s="736"/>
    </row>
    <row r="421" customFormat="false" ht="15.75" hidden="false" customHeight="true" outlineLevel="0" collapsed="false">
      <c r="A421" s="736"/>
      <c r="B421" s="783" t="s">
        <v>1487</v>
      </c>
      <c r="C421" s="761"/>
      <c r="D421" s="761"/>
      <c r="E421" s="762" t="str">
        <f aca="false">IFERROR(VLOOKUP(B421,TE!$H$1:$Y$749,2,FALSE()),"(Not on TE)")</f>
        <v>(Not on TE)</v>
      </c>
      <c r="F421" s="763"/>
      <c r="G421" s="763"/>
      <c r="H421" s="763"/>
      <c r="I421" s="763"/>
      <c r="J421" s="763"/>
      <c r="K421" s="763"/>
      <c r="L421" s="763"/>
      <c r="M421" s="763"/>
      <c r="N421" s="764" t="str">
        <f aca="false">IFERROR(VLOOKUP(B421,TE!$H$1:$Y$749,18,FALSE()),"")</f>
        <v/>
      </c>
      <c r="O421" s="764"/>
      <c r="P421" s="764"/>
      <c r="Q421" s="764"/>
      <c r="R421" s="764"/>
      <c r="S421" s="764"/>
      <c r="T421" s="764" t="n">
        <f aca="false">IFERROR(SUMIFS(TE!$O:$O,TE!$G:$G,$B$310,TE!$I:$I,B421,TE!$D:$D,$C$5),"")</f>
        <v>0</v>
      </c>
      <c r="U421" s="764"/>
      <c r="V421" s="764"/>
      <c r="W421" s="764"/>
      <c r="X421" s="723" t="str">
        <f aca="false">IFERROR(VLOOKUP(B421,TE!$H$1:$Y$630,14,FALSE()),"0")</f>
        <v>0</v>
      </c>
      <c r="Y421" s="723"/>
      <c r="Z421" s="723"/>
      <c r="AA421" s="723"/>
      <c r="AB421" s="765" t="n">
        <f aca="false">T421*X421</f>
        <v>0</v>
      </c>
      <c r="AC421" s="765"/>
      <c r="AD421" s="765"/>
      <c r="AE421" s="736"/>
      <c r="AF421" s="736"/>
    </row>
    <row r="422" customFormat="false" ht="15.75" hidden="false" customHeight="true" outlineLevel="0" collapsed="false">
      <c r="A422" s="736"/>
      <c r="B422" s="783" t="s">
        <v>1631</v>
      </c>
      <c r="C422" s="761"/>
      <c r="D422" s="761"/>
      <c r="E422" s="762" t="str">
        <f aca="false">IFERROR(VLOOKUP(B422,TE!$H$1:$Y$749,2,FALSE()),"(Not on TE)")</f>
        <v>(Not on TE)</v>
      </c>
      <c r="F422" s="763"/>
      <c r="G422" s="763"/>
      <c r="H422" s="763"/>
      <c r="I422" s="763"/>
      <c r="J422" s="763"/>
      <c r="K422" s="763"/>
      <c r="L422" s="763"/>
      <c r="M422" s="763"/>
      <c r="N422" s="764" t="str">
        <f aca="false">IFERROR(VLOOKUP(B422,TE!$H$1:$Y$749,18,FALSE()),"")</f>
        <v/>
      </c>
      <c r="O422" s="764"/>
      <c r="P422" s="764"/>
      <c r="Q422" s="764"/>
      <c r="R422" s="764"/>
      <c r="S422" s="764"/>
      <c r="T422" s="764" t="n">
        <f aca="false">IFERROR(SUMIFS(TE!$O:$O,TE!$G:$G,$B$310,TE!$I:$I,B422,TE!$D:$D,$C$5),"")</f>
        <v>0</v>
      </c>
      <c r="U422" s="764"/>
      <c r="V422" s="764"/>
      <c r="W422" s="764"/>
      <c r="X422" s="723" t="str">
        <f aca="false">IFERROR(VLOOKUP(B422,TE!$H$1:$Y$630,14,FALSE()),"0")</f>
        <v>0</v>
      </c>
      <c r="Y422" s="723"/>
      <c r="Z422" s="723"/>
      <c r="AA422" s="723"/>
      <c r="AB422" s="765" t="n">
        <f aca="false">T422*X422</f>
        <v>0</v>
      </c>
      <c r="AC422" s="765"/>
      <c r="AD422" s="765"/>
      <c r="AE422" s="736"/>
      <c r="AF422" s="736"/>
    </row>
    <row r="423" customFormat="false" ht="15.75" hidden="false" customHeight="true" outlineLevel="0" collapsed="false">
      <c r="A423" s="736"/>
      <c r="B423" s="760" t="s">
        <v>1632</v>
      </c>
      <c r="C423" s="761"/>
      <c r="D423" s="761"/>
      <c r="E423" s="762" t="str">
        <f aca="false">IFERROR(VLOOKUP(B423,TE!$H$1:$Y$749,2,FALSE()),"(Not on TE)")</f>
        <v>(Not on TE)</v>
      </c>
      <c r="F423" s="763"/>
      <c r="G423" s="763"/>
      <c r="H423" s="763"/>
      <c r="I423" s="763"/>
      <c r="J423" s="763"/>
      <c r="K423" s="763"/>
      <c r="L423" s="763"/>
      <c r="M423" s="763"/>
      <c r="N423" s="764" t="str">
        <f aca="false">IFERROR(VLOOKUP(B423,TE!$H$1:$Y$749,18,FALSE()),"")</f>
        <v/>
      </c>
      <c r="O423" s="764"/>
      <c r="P423" s="764"/>
      <c r="Q423" s="764"/>
      <c r="R423" s="764"/>
      <c r="S423" s="764"/>
      <c r="T423" s="764" t="n">
        <f aca="false">IFERROR(SUMIFS(TE!$O:$O,TE!$G:$G,$B$310,TE!$I:$I,B423,TE!$D:$D,$C$5),"")</f>
        <v>0</v>
      </c>
      <c r="U423" s="764"/>
      <c r="V423" s="764"/>
      <c r="W423" s="764"/>
      <c r="X423" s="723" t="str">
        <f aca="false">IFERROR(VLOOKUP(B423,TE!$H$1:$Y$630,14,FALSE()),"0")</f>
        <v>0</v>
      </c>
      <c r="Y423" s="723"/>
      <c r="Z423" s="723"/>
      <c r="AA423" s="723"/>
      <c r="AB423" s="765" t="n">
        <f aca="false">T423*X423</f>
        <v>0</v>
      </c>
      <c r="AC423" s="765"/>
      <c r="AD423" s="765"/>
      <c r="AE423" s="736"/>
      <c r="AF423" s="736"/>
    </row>
    <row r="424" customFormat="false" ht="15.75" hidden="false" customHeight="true" outlineLevel="0" collapsed="false">
      <c r="A424" s="736"/>
      <c r="B424" s="760" t="s">
        <v>1633</v>
      </c>
      <c r="C424" s="761"/>
      <c r="D424" s="761"/>
      <c r="E424" s="762" t="str">
        <f aca="false">IFERROR(VLOOKUP(B424,TE!$H$1:$Y$749,2,FALSE()),"(Not on TE)")</f>
        <v>(Not on TE)</v>
      </c>
      <c r="F424" s="763"/>
      <c r="G424" s="763"/>
      <c r="H424" s="763"/>
      <c r="I424" s="763"/>
      <c r="J424" s="763"/>
      <c r="K424" s="763"/>
      <c r="L424" s="763"/>
      <c r="M424" s="763"/>
      <c r="N424" s="764" t="str">
        <f aca="false">IFERROR(VLOOKUP(B424,TE!$H$1:$Y$749,18,FALSE()),"")</f>
        <v/>
      </c>
      <c r="O424" s="764"/>
      <c r="P424" s="764"/>
      <c r="Q424" s="764"/>
      <c r="R424" s="764"/>
      <c r="S424" s="764"/>
      <c r="T424" s="764" t="n">
        <f aca="false">IFERROR(SUMIFS(TE!$O:$O,TE!$G:$G,$B$310,TE!$I:$I,B424,TE!$D:$D,$C$5),"")</f>
        <v>0</v>
      </c>
      <c r="U424" s="764"/>
      <c r="V424" s="764"/>
      <c r="W424" s="764"/>
      <c r="X424" s="723" t="str">
        <f aca="false">IFERROR(VLOOKUP(B424,TE!$H$1:$Y$630,14,FALSE()),"0")</f>
        <v>0</v>
      </c>
      <c r="Y424" s="723"/>
      <c r="Z424" s="723"/>
      <c r="AA424" s="723"/>
      <c r="AB424" s="765" t="n">
        <f aca="false">T424*X424</f>
        <v>0</v>
      </c>
      <c r="AC424" s="765"/>
      <c r="AD424" s="765"/>
      <c r="AE424" s="736"/>
      <c r="AF424" s="736"/>
    </row>
    <row r="425" customFormat="false" ht="15.75" hidden="false" customHeight="true" outlineLevel="0" collapsed="false">
      <c r="A425" s="736"/>
      <c r="B425" s="784" t="s">
        <v>1634</v>
      </c>
      <c r="C425" s="730"/>
      <c r="D425" s="730"/>
      <c r="E425" s="762" t="str">
        <f aca="false">IFERROR(VLOOKUP(B425,TE!$H$1:$Y$749,2,FALSE()),"(Not on TE)")</f>
        <v>(Not on TE)</v>
      </c>
      <c r="F425" s="730"/>
      <c r="G425" s="730"/>
      <c r="H425" s="730"/>
      <c r="I425" s="730"/>
      <c r="J425" s="730"/>
      <c r="K425" s="730"/>
      <c r="L425" s="730"/>
      <c r="M425" s="730"/>
      <c r="N425" s="764" t="str">
        <f aca="false">IFERROR(VLOOKUP(B425,TE!$H$1:$Y$749,18,FALSE()),"")</f>
        <v/>
      </c>
      <c r="O425" s="764"/>
      <c r="P425" s="764"/>
      <c r="Q425" s="764"/>
      <c r="R425" s="764"/>
      <c r="S425" s="764"/>
      <c r="T425" s="764" t="n">
        <f aca="false">IFERROR(SUMIFS(TE!$O:$O,TE!$G:$G,$B$310,TE!$I:$I,B425,TE!$D:$D,$C$5),"")</f>
        <v>0</v>
      </c>
      <c r="U425" s="764"/>
      <c r="V425" s="764"/>
      <c r="W425" s="764"/>
      <c r="X425" s="723" t="str">
        <f aca="false">IFERROR(VLOOKUP(B425,TE!$H$1:$Y$630,14,FALSE()),"0")</f>
        <v>0</v>
      </c>
      <c r="Y425" s="723"/>
      <c r="Z425" s="723"/>
      <c r="AA425" s="723"/>
      <c r="AB425" s="765" t="n">
        <f aca="false">T425*X425</f>
        <v>0</v>
      </c>
      <c r="AC425" s="765"/>
      <c r="AD425" s="765"/>
      <c r="AE425" s="736"/>
      <c r="AF425" s="736"/>
    </row>
    <row r="426" customFormat="false" ht="15.75" hidden="false" customHeight="true" outlineLevel="0" collapsed="false">
      <c r="A426" s="736"/>
      <c r="B426" s="784" t="s">
        <v>1635</v>
      </c>
      <c r="C426" s="728"/>
      <c r="D426" s="728"/>
      <c r="E426" s="762" t="str">
        <f aca="false">IFERROR(VLOOKUP(B426,TE!$H$1:$Y$749,2,FALSE()),"(Not on TE)")</f>
        <v>(Not on TE)</v>
      </c>
      <c r="F426" s="728"/>
      <c r="G426" s="729"/>
      <c r="H426" s="729"/>
      <c r="I426" s="729"/>
      <c r="J426" s="729"/>
      <c r="K426" s="729"/>
      <c r="L426" s="729"/>
      <c r="M426" s="729"/>
      <c r="N426" s="764" t="str">
        <f aca="false">IFERROR(VLOOKUP(B426,TE!$H$1:$Y$749,18,FALSE()),"")</f>
        <v/>
      </c>
      <c r="O426" s="764"/>
      <c r="P426" s="764"/>
      <c r="Q426" s="764"/>
      <c r="R426" s="764"/>
      <c r="S426" s="764"/>
      <c r="T426" s="764" t="n">
        <f aca="false">IFERROR(SUMIFS(TE!$O:$O,TE!$G:$G,$B$310,TE!$I:$I,B426,TE!$D:$D,$C$5),"")</f>
        <v>0</v>
      </c>
      <c r="U426" s="764"/>
      <c r="V426" s="764"/>
      <c r="W426" s="764"/>
      <c r="X426" s="723" t="str">
        <f aca="false">IFERROR(VLOOKUP(B426,TE!$H$1:$Y$630,14,FALSE()),"0")</f>
        <v>0</v>
      </c>
      <c r="Y426" s="723"/>
      <c r="Z426" s="723"/>
      <c r="AA426" s="723"/>
      <c r="AB426" s="765" t="n">
        <f aca="false">T426*X426</f>
        <v>0</v>
      </c>
      <c r="AC426" s="765"/>
      <c r="AD426" s="765"/>
      <c r="AE426" s="736"/>
      <c r="AF426" s="736"/>
    </row>
    <row r="427" customFormat="false" ht="15.75" hidden="false" customHeight="true" outlineLevel="0" collapsed="false">
      <c r="A427" s="736"/>
      <c r="B427" s="785" t="s">
        <v>1636</v>
      </c>
      <c r="C427" s="728"/>
      <c r="D427" s="728"/>
      <c r="E427" s="762" t="str">
        <f aca="false">IFERROR(VLOOKUP(B427,TE!$H$1:$Y$749,2,FALSE()),"(Not on TE)")</f>
        <v>(Not on TE)</v>
      </c>
      <c r="F427" s="728"/>
      <c r="G427" s="729"/>
      <c r="H427" s="729"/>
      <c r="I427" s="729"/>
      <c r="J427" s="729"/>
      <c r="K427" s="729"/>
      <c r="L427" s="729"/>
      <c r="M427" s="729"/>
      <c r="N427" s="764" t="str">
        <f aca="false">IFERROR(VLOOKUP(B427,TE!$H$1:$Y$749,18,FALSE()),"")</f>
        <v/>
      </c>
      <c r="O427" s="764"/>
      <c r="P427" s="764"/>
      <c r="Q427" s="764"/>
      <c r="R427" s="764"/>
      <c r="S427" s="764"/>
      <c r="T427" s="764" t="n">
        <f aca="false">IFERROR(SUMIFS(TE!$O:$O,TE!$G:$G,$B$310,TE!$I:$I,B427,TE!$D:$D,$C$5),"")</f>
        <v>0</v>
      </c>
      <c r="U427" s="764"/>
      <c r="V427" s="764"/>
      <c r="W427" s="764"/>
      <c r="X427" s="723" t="str">
        <f aca="false">IFERROR(VLOOKUP(B427,TE!$H$1:$Y$630,14,FALSE()),"0")</f>
        <v>0</v>
      </c>
      <c r="Y427" s="723"/>
      <c r="Z427" s="723"/>
      <c r="AA427" s="723"/>
      <c r="AB427" s="765" t="n">
        <f aca="false">T427*X427</f>
        <v>0</v>
      </c>
      <c r="AC427" s="765"/>
      <c r="AD427" s="765"/>
      <c r="AE427" s="736"/>
      <c r="AF427" s="736"/>
    </row>
    <row r="428" customFormat="false" ht="15.75" hidden="false" customHeight="true" outlineLevel="0" collapsed="false">
      <c r="A428" s="736"/>
      <c r="B428" s="785" t="s">
        <v>1637</v>
      </c>
      <c r="C428" s="728"/>
      <c r="D428" s="728"/>
      <c r="E428" s="762" t="str">
        <f aca="false">IFERROR(VLOOKUP(B428,TE!$H$1:$Y$749,2,FALSE()),"(Not on TE)")</f>
        <v>(Not on TE)</v>
      </c>
      <c r="F428" s="728"/>
      <c r="G428" s="729"/>
      <c r="H428" s="729"/>
      <c r="I428" s="729"/>
      <c r="J428" s="729"/>
      <c r="K428" s="729"/>
      <c r="L428" s="729"/>
      <c r="M428" s="729"/>
      <c r="N428" s="764" t="str">
        <f aca="false">IFERROR(VLOOKUP(B428,TE!$H$1:$Y$749,18,FALSE()),"")</f>
        <v/>
      </c>
      <c r="O428" s="764"/>
      <c r="P428" s="764"/>
      <c r="Q428" s="764"/>
      <c r="R428" s="764"/>
      <c r="S428" s="764"/>
      <c r="T428" s="764" t="n">
        <f aca="false">IFERROR(SUMIFS(TE!$O:$O,TE!$G:$G,$B$310,TE!$I:$I,B428,TE!$D:$D,$C$5),"")</f>
        <v>0</v>
      </c>
      <c r="U428" s="764"/>
      <c r="V428" s="764"/>
      <c r="W428" s="764"/>
      <c r="X428" s="723" t="str">
        <f aca="false">IFERROR(VLOOKUP(B428,TE!$H$1:$Y$630,14,FALSE()),"0")</f>
        <v>0</v>
      </c>
      <c r="Y428" s="723"/>
      <c r="Z428" s="723"/>
      <c r="AA428" s="723"/>
      <c r="AB428" s="765" t="n">
        <f aca="false">T428*X428</f>
        <v>0</v>
      </c>
      <c r="AC428" s="765"/>
      <c r="AD428" s="765"/>
      <c r="AE428" s="736"/>
      <c r="AF428" s="736"/>
    </row>
    <row r="429" customFormat="false" ht="15.75" hidden="false" customHeight="true" outlineLevel="0" collapsed="false">
      <c r="A429" s="736"/>
      <c r="B429" s="784" t="s">
        <v>2268</v>
      </c>
      <c r="C429" s="728"/>
      <c r="D429" s="728"/>
      <c r="E429" s="762" t="str">
        <f aca="false">IFERROR(VLOOKUP(B429,TE!$H$1:$Y$749,2,FALSE()),"(Not on TE)")</f>
        <v>(Not on TE)</v>
      </c>
      <c r="F429" s="728"/>
      <c r="G429" s="729"/>
      <c r="H429" s="729"/>
      <c r="I429" s="729"/>
      <c r="J429" s="729"/>
      <c r="K429" s="729"/>
      <c r="L429" s="729"/>
      <c r="M429" s="729"/>
      <c r="N429" s="764" t="str">
        <f aca="false">IFERROR(VLOOKUP(B429,TE!$H$1:$Y$749,18,FALSE()),"")</f>
        <v/>
      </c>
      <c r="O429" s="764"/>
      <c r="P429" s="764"/>
      <c r="Q429" s="764"/>
      <c r="R429" s="764"/>
      <c r="S429" s="764"/>
      <c r="T429" s="764" t="n">
        <f aca="false">IFERROR(SUMIFS(TE!$O:$O,TE!$G:$G,$B$310,TE!$I:$I,B429,TE!$D:$D,$C$5),"")</f>
        <v>0</v>
      </c>
      <c r="U429" s="764"/>
      <c r="V429" s="764"/>
      <c r="W429" s="764"/>
      <c r="X429" s="723" t="str">
        <f aca="false">IFERROR(VLOOKUP(B429,TE!$H$1:$Y$630,14,FALSE()),"0")</f>
        <v>0</v>
      </c>
      <c r="Y429" s="723"/>
      <c r="Z429" s="723"/>
      <c r="AA429" s="723"/>
      <c r="AB429" s="765" t="n">
        <f aca="false">T429*X429</f>
        <v>0</v>
      </c>
      <c r="AC429" s="765"/>
      <c r="AD429" s="765"/>
      <c r="AE429" s="736"/>
      <c r="AF429" s="736"/>
    </row>
    <row r="430" customFormat="false" ht="15.75" hidden="false" customHeight="true" outlineLevel="0" collapsed="false">
      <c r="A430" s="736"/>
      <c r="B430" s="784" t="s">
        <v>1236</v>
      </c>
      <c r="C430" s="728"/>
      <c r="D430" s="728"/>
      <c r="E430" s="762" t="str">
        <f aca="false">IFERROR(VLOOKUP(B430,TE!$H$1:$Y$749,2,FALSE()),"(Not on TE)")</f>
        <v>(Not on TE)</v>
      </c>
      <c r="F430" s="728"/>
      <c r="G430" s="729"/>
      <c r="H430" s="729"/>
      <c r="I430" s="729"/>
      <c r="J430" s="729"/>
      <c r="K430" s="729"/>
      <c r="L430" s="729"/>
      <c r="M430" s="729"/>
      <c r="N430" s="764" t="str">
        <f aca="false">IFERROR(VLOOKUP(B430,TE!$H$1:$Y$749,18,FALSE()),"")</f>
        <v/>
      </c>
      <c r="O430" s="764"/>
      <c r="P430" s="764"/>
      <c r="Q430" s="764"/>
      <c r="R430" s="764"/>
      <c r="S430" s="764"/>
      <c r="T430" s="764" t="n">
        <f aca="false">IFERROR(SUMIFS(TE!$O:$O,TE!$G:$G,$B$310,TE!$I:$I,B430,TE!$D:$D,$C$5),"")</f>
        <v>0</v>
      </c>
      <c r="U430" s="764"/>
      <c r="V430" s="764"/>
      <c r="W430" s="764"/>
      <c r="X430" s="723" t="str">
        <f aca="false">IFERROR(VLOOKUP(B430,TE!$H$1:$Y$630,14,FALSE()),"0")</f>
        <v>0</v>
      </c>
      <c r="Y430" s="723"/>
      <c r="Z430" s="723"/>
      <c r="AA430" s="723"/>
      <c r="AB430" s="765" t="n">
        <f aca="false">T430*X430</f>
        <v>0</v>
      </c>
      <c r="AC430" s="765"/>
      <c r="AD430" s="765"/>
      <c r="AE430" s="736"/>
      <c r="AF430" s="736"/>
    </row>
    <row r="431" customFormat="false" ht="15.75" hidden="false" customHeight="true" outlineLevel="0" collapsed="false">
      <c r="A431" s="736"/>
      <c r="B431" s="784" t="s">
        <v>1500</v>
      </c>
      <c r="C431" s="728"/>
      <c r="D431" s="728"/>
      <c r="E431" s="762" t="str">
        <f aca="false">IFERROR(VLOOKUP(B431,TE!$H$1:$Y$749,2,FALSE()),"(Not on TE)")</f>
        <v>(Not on TE)</v>
      </c>
      <c r="F431" s="728"/>
      <c r="G431" s="729"/>
      <c r="H431" s="729"/>
      <c r="I431" s="729"/>
      <c r="J431" s="729"/>
      <c r="K431" s="729"/>
      <c r="L431" s="729"/>
      <c r="M431" s="729"/>
      <c r="N431" s="764" t="str">
        <f aca="false">IFERROR(VLOOKUP(B431,TE!$H$1:$Y$749,18,FALSE()),"")</f>
        <v/>
      </c>
      <c r="O431" s="764"/>
      <c r="P431" s="764"/>
      <c r="Q431" s="764"/>
      <c r="R431" s="764"/>
      <c r="S431" s="764"/>
      <c r="T431" s="764" t="n">
        <f aca="false">IFERROR(SUMIFS(TE!$O:$O,TE!$G:$G,$B$310,TE!$I:$I,B431,TE!$D:$D,$C$5),"")</f>
        <v>0</v>
      </c>
      <c r="U431" s="764"/>
      <c r="V431" s="764"/>
      <c r="W431" s="764"/>
      <c r="X431" s="723" t="str">
        <f aca="false">IFERROR(VLOOKUP(B431,TE!$H$1:$Y$630,14,FALSE()),"0")</f>
        <v>0</v>
      </c>
      <c r="Y431" s="723"/>
      <c r="Z431" s="723"/>
      <c r="AA431" s="723"/>
      <c r="AB431" s="765" t="n">
        <f aca="false">T431*X431</f>
        <v>0</v>
      </c>
      <c r="AC431" s="765"/>
      <c r="AD431" s="765"/>
      <c r="AE431" s="736"/>
      <c r="AF431" s="736"/>
    </row>
    <row r="432" customFormat="false" ht="15.75" hidden="false" customHeight="true" outlineLevel="0" collapsed="false">
      <c r="A432" s="736"/>
      <c r="B432" s="784" t="s">
        <v>1640</v>
      </c>
      <c r="C432" s="728"/>
      <c r="D432" s="728"/>
      <c r="E432" s="762" t="str">
        <f aca="false">IFERROR(VLOOKUP(B432,TE!$H$1:$Y$749,2,FALSE()),"(Not on TE)")</f>
        <v>(Not on TE)</v>
      </c>
      <c r="F432" s="728"/>
      <c r="G432" s="729"/>
      <c r="H432" s="729"/>
      <c r="I432" s="729"/>
      <c r="J432" s="729"/>
      <c r="K432" s="729"/>
      <c r="L432" s="729"/>
      <c r="M432" s="729"/>
      <c r="N432" s="764" t="str">
        <f aca="false">IFERROR(VLOOKUP(B432,TE!$H$1:$Y$749,18,FALSE()),"")</f>
        <v/>
      </c>
      <c r="O432" s="764"/>
      <c r="P432" s="764"/>
      <c r="Q432" s="764"/>
      <c r="R432" s="764"/>
      <c r="S432" s="764"/>
      <c r="T432" s="764" t="n">
        <f aca="false">IFERROR(SUMIFS(TE!$O:$O,TE!$G:$G,$B$310,TE!$I:$I,B432,TE!$D:$D,$C$5),"")</f>
        <v>0</v>
      </c>
      <c r="U432" s="764"/>
      <c r="V432" s="764"/>
      <c r="W432" s="764"/>
      <c r="X432" s="723" t="str">
        <f aca="false">IFERROR(VLOOKUP(B432,TE!$H$1:$Y$630,14,FALSE()),"0")</f>
        <v>0</v>
      </c>
      <c r="Y432" s="723"/>
      <c r="Z432" s="723"/>
      <c r="AA432" s="723"/>
      <c r="AB432" s="765" t="n">
        <f aca="false">T432*X432</f>
        <v>0</v>
      </c>
      <c r="AC432" s="765"/>
      <c r="AD432" s="765"/>
      <c r="AE432" s="736"/>
      <c r="AF432" s="736"/>
    </row>
    <row r="433" customFormat="false" ht="15.75" hidden="false" customHeight="true" outlineLevel="0" collapsed="false">
      <c r="A433" s="736"/>
      <c r="B433" s="784"/>
      <c r="C433" s="728"/>
      <c r="D433" s="728"/>
      <c r="E433" s="762"/>
      <c r="F433" s="728"/>
      <c r="G433" s="729"/>
      <c r="H433" s="729"/>
      <c r="I433" s="729"/>
      <c r="J433" s="729"/>
      <c r="K433" s="729"/>
      <c r="L433" s="729"/>
      <c r="M433" s="729"/>
      <c r="N433" s="806"/>
      <c r="O433" s="806"/>
      <c r="P433" s="806"/>
      <c r="Q433" s="806"/>
      <c r="R433" s="806"/>
      <c r="S433" s="806"/>
      <c r="T433" s="773"/>
      <c r="U433" s="773"/>
      <c r="V433" s="773"/>
      <c r="W433" s="773"/>
      <c r="X433" s="737"/>
      <c r="Y433" s="737"/>
      <c r="Z433" s="737"/>
      <c r="AA433" s="723"/>
      <c r="AB433" s="807"/>
      <c r="AC433" s="778"/>
      <c r="AD433" s="808"/>
      <c r="AE433" s="736"/>
      <c r="AF433" s="736"/>
    </row>
    <row r="434" customFormat="false" ht="15.75" hidden="false" customHeight="true" outlineLevel="0" collapsed="false">
      <c r="A434" s="736"/>
      <c r="B434" s="786"/>
      <c r="C434" s="787"/>
      <c r="D434" s="787"/>
      <c r="E434" s="769"/>
      <c r="F434" s="787"/>
      <c r="G434" s="788"/>
      <c r="H434" s="788"/>
      <c r="I434" s="788"/>
      <c r="J434" s="788"/>
      <c r="K434" s="788"/>
      <c r="L434" s="788"/>
      <c r="M434" s="788"/>
      <c r="N434" s="771"/>
      <c r="O434" s="771"/>
      <c r="P434" s="771"/>
      <c r="Q434" s="771"/>
      <c r="R434" s="771"/>
      <c r="S434" s="771"/>
      <c r="T434" s="780"/>
      <c r="U434" s="780"/>
      <c r="V434" s="780"/>
      <c r="W434" s="780"/>
      <c r="X434" s="727"/>
      <c r="Y434" s="727"/>
      <c r="Z434" s="727"/>
      <c r="AA434" s="727"/>
      <c r="AB434" s="772"/>
      <c r="AC434" s="772"/>
      <c r="AD434" s="772"/>
      <c r="AE434" s="736"/>
      <c r="AF434" s="736"/>
    </row>
    <row r="435" customFormat="false" ht="15.75" hidden="false" customHeight="true" outlineLevel="0" collapsed="false">
      <c r="A435" s="736"/>
      <c r="B435" s="761"/>
      <c r="C435" s="728"/>
      <c r="D435" s="728"/>
      <c r="E435" s="728"/>
      <c r="F435" s="728"/>
      <c r="G435" s="729"/>
      <c r="H435" s="729"/>
      <c r="I435" s="729"/>
      <c r="J435" s="729"/>
      <c r="K435" s="729"/>
      <c r="L435" s="729"/>
      <c r="M435" s="729"/>
      <c r="N435" s="789"/>
      <c r="O435" s="789"/>
      <c r="P435" s="789"/>
      <c r="Q435" s="789"/>
      <c r="R435" s="790"/>
      <c r="S435" s="790"/>
      <c r="T435" s="790"/>
      <c r="U435" s="790"/>
      <c r="V435" s="790"/>
      <c r="W435" s="790"/>
      <c r="X435" s="790"/>
      <c r="Y435" s="790"/>
      <c r="Z435" s="736"/>
      <c r="AA435" s="730" t="s">
        <v>25</v>
      </c>
      <c r="AB435" s="803" t="n">
        <f aca="false">SUM(AB313:AD349)+SUM(AB355:AD391)+SUM(AB398:AD434)</f>
        <v>0</v>
      </c>
      <c r="AC435" s="803"/>
      <c r="AD435" s="803"/>
      <c r="AE435" s="736"/>
      <c r="AF435" s="736"/>
    </row>
    <row r="436" customFormat="false" ht="15.75" hidden="false" customHeight="true" outlineLevel="0" collapsed="false">
      <c r="A436" s="736"/>
      <c r="B436" s="768"/>
      <c r="C436" s="728"/>
      <c r="D436" s="728"/>
      <c r="E436" s="728"/>
      <c r="F436" s="728"/>
      <c r="G436" s="788"/>
      <c r="H436" s="788"/>
      <c r="I436" s="788"/>
      <c r="J436" s="788"/>
      <c r="K436" s="788"/>
      <c r="L436" s="788"/>
      <c r="M436" s="788"/>
      <c r="N436" s="804"/>
      <c r="O436" s="804"/>
      <c r="P436" s="804"/>
      <c r="Q436" s="804"/>
      <c r="R436" s="805"/>
      <c r="S436" s="805"/>
      <c r="T436" s="805"/>
      <c r="U436" s="805"/>
      <c r="V436" s="805"/>
      <c r="W436" s="805"/>
      <c r="X436" s="805"/>
      <c r="Y436" s="805"/>
      <c r="Z436" s="736"/>
      <c r="AA436" s="736"/>
      <c r="AB436" s="736"/>
      <c r="AC436" s="736"/>
      <c r="AD436" s="736"/>
      <c r="AE436" s="736"/>
      <c r="AF436" s="736"/>
    </row>
    <row r="437" customFormat="false" ht="15.75" hidden="false" customHeight="true" outlineLevel="0" collapsed="false">
      <c r="A437" s="795"/>
      <c r="B437" s="682"/>
      <c r="C437" s="795"/>
      <c r="D437" s="795"/>
      <c r="E437" s="795"/>
      <c r="F437" s="795"/>
      <c r="G437" s="795"/>
      <c r="H437" s="795"/>
      <c r="I437" s="795"/>
      <c r="J437" s="795"/>
      <c r="K437" s="795"/>
      <c r="L437" s="795"/>
      <c r="M437" s="795"/>
      <c r="N437" s="795"/>
      <c r="O437" s="795"/>
      <c r="P437" s="795"/>
      <c r="Q437" s="795"/>
      <c r="R437" s="795"/>
      <c r="S437" s="795"/>
      <c r="T437" s="795"/>
      <c r="U437" s="795"/>
      <c r="V437" s="795"/>
      <c r="W437" s="795"/>
      <c r="X437" s="795"/>
      <c r="Y437" s="795"/>
      <c r="Z437" s="795"/>
      <c r="AA437" s="795"/>
      <c r="AB437" s="748"/>
      <c r="AC437" s="749"/>
      <c r="AD437" s="750"/>
      <c r="AE437" s="750"/>
      <c r="AF437" s="750"/>
    </row>
    <row r="438" customFormat="false" ht="15.75" hidden="false" customHeight="true" outlineLevel="0" collapsed="false">
      <c r="A438" s="688" t="s">
        <v>1522</v>
      </c>
      <c r="B438" s="688"/>
      <c r="C438" s="751" t="n">
        <f aca="false">$C$5</f>
        <v>21451</v>
      </c>
      <c r="D438" s="751"/>
      <c r="E438" s="751"/>
      <c r="F438" s="751"/>
      <c r="G438" s="751"/>
      <c r="H438" s="751"/>
      <c r="I438" s="751"/>
      <c r="J438" s="751"/>
      <c r="K438" s="751"/>
      <c r="L438" s="751"/>
      <c r="M438" s="688" t="s">
        <v>1523</v>
      </c>
      <c r="N438" s="688"/>
      <c r="O438" s="688"/>
      <c r="P438" s="688"/>
      <c r="Q438" s="688"/>
      <c r="R438" s="752" t="str">
        <f aca="false">$R$5</f>
        <v>Automotive Organizational Shop</v>
      </c>
      <c r="S438" s="752"/>
      <c r="T438" s="752"/>
      <c r="U438" s="752"/>
      <c r="V438" s="752"/>
      <c r="W438" s="752"/>
      <c r="X438" s="752"/>
      <c r="Y438" s="752"/>
      <c r="Z438" s="752"/>
      <c r="AA438" s="752"/>
      <c r="AB438" s="752"/>
      <c r="AC438" s="752"/>
      <c r="AD438" s="752"/>
      <c r="AE438" s="752"/>
      <c r="AF438" s="752"/>
    </row>
    <row r="439" customFormat="false" ht="15.75" hidden="false" customHeight="true" outlineLevel="0" collapsed="false">
      <c r="A439" s="736"/>
      <c r="B439" s="682"/>
      <c r="C439" s="682"/>
      <c r="D439" s="682"/>
      <c r="E439" s="682"/>
      <c r="F439" s="682"/>
      <c r="G439" s="682"/>
      <c r="H439" s="682"/>
      <c r="I439" s="682"/>
      <c r="J439" s="682"/>
      <c r="K439" s="682"/>
      <c r="L439" s="682"/>
      <c r="M439" s="682"/>
      <c r="N439" s="682"/>
      <c r="O439" s="682"/>
      <c r="P439" s="682"/>
      <c r="Q439" s="682"/>
      <c r="R439" s="682"/>
      <c r="S439" s="682"/>
      <c r="T439" s="682"/>
      <c r="U439" s="682"/>
      <c r="V439" s="682"/>
      <c r="W439" s="682"/>
      <c r="X439" s="682"/>
      <c r="Y439" s="682"/>
      <c r="Z439" s="753"/>
      <c r="AA439" s="753"/>
      <c r="AB439" s="753"/>
      <c r="AC439" s="753"/>
      <c r="AD439" s="753"/>
      <c r="AE439" s="736"/>
      <c r="AF439" s="736"/>
    </row>
    <row r="440" customFormat="false" ht="15.75" hidden="false" customHeight="true" outlineLevel="0" collapsed="false">
      <c r="A440" s="736"/>
      <c r="B440" s="696" t="s">
        <v>2258</v>
      </c>
      <c r="C440" s="736"/>
      <c r="D440" s="736"/>
      <c r="E440" s="736"/>
      <c r="F440" s="736"/>
      <c r="G440" s="736"/>
      <c r="H440" s="736"/>
      <c r="I440" s="736"/>
      <c r="J440" s="736"/>
      <c r="K440" s="736"/>
      <c r="L440" s="736"/>
      <c r="M440" s="736"/>
      <c r="N440" s="736"/>
      <c r="O440" s="736"/>
      <c r="P440" s="736"/>
      <c r="Q440" s="736"/>
      <c r="R440" s="736"/>
      <c r="S440" s="736"/>
      <c r="T440" s="736"/>
      <c r="U440" s="736"/>
      <c r="V440" s="736"/>
      <c r="W440" s="736"/>
      <c r="X440" s="736"/>
      <c r="Y440" s="736"/>
      <c r="Z440" s="682"/>
      <c r="AA440" s="682"/>
      <c r="AB440" s="682"/>
      <c r="AC440" s="682"/>
      <c r="AD440" s="682"/>
      <c r="AE440" s="736"/>
      <c r="AF440" s="736"/>
    </row>
    <row r="441" customFormat="false" ht="15.75" hidden="false" customHeight="true" outlineLevel="0" collapsed="false">
      <c r="A441" s="736"/>
      <c r="B441" s="754" t="n">
        <f aca="false">B31</f>
        <v>0</v>
      </c>
      <c r="C441" s="754"/>
      <c r="D441" s="754"/>
      <c r="E441" s="755" t="n">
        <f aca="false">E31</f>
        <v>0</v>
      </c>
      <c r="F441" s="755"/>
      <c r="G441" s="755"/>
      <c r="H441" s="755"/>
      <c r="I441" s="755"/>
      <c r="J441" s="755"/>
      <c r="K441" s="755"/>
      <c r="L441" s="755"/>
      <c r="M441" s="755"/>
      <c r="N441" s="755"/>
      <c r="O441" s="755"/>
      <c r="P441" s="682"/>
      <c r="Q441" s="682"/>
      <c r="R441" s="682"/>
      <c r="S441" s="682"/>
      <c r="T441" s="682"/>
      <c r="U441" s="682"/>
      <c r="V441" s="682"/>
      <c r="W441" s="682"/>
      <c r="X441" s="682"/>
      <c r="Y441" s="682"/>
      <c r="Z441" s="682"/>
      <c r="AA441" s="682"/>
      <c r="AB441" s="682"/>
      <c r="AC441" s="682"/>
      <c r="AD441" s="682"/>
      <c r="AE441" s="736"/>
      <c r="AF441" s="736"/>
    </row>
    <row r="442" customFormat="false" ht="15.75" hidden="false" customHeight="true" outlineLevel="0" collapsed="false">
      <c r="A442" s="736"/>
      <c r="B442" s="756" t="s">
        <v>1055</v>
      </c>
      <c r="C442" s="756"/>
      <c r="D442" s="756"/>
      <c r="E442" s="757" t="s">
        <v>13</v>
      </c>
      <c r="F442" s="757"/>
      <c r="G442" s="757"/>
      <c r="H442" s="757"/>
      <c r="I442" s="757"/>
      <c r="J442" s="757"/>
      <c r="K442" s="757"/>
      <c r="L442" s="757"/>
      <c r="M442" s="757"/>
      <c r="N442" s="757" t="s">
        <v>2259</v>
      </c>
      <c r="O442" s="757"/>
      <c r="P442" s="757"/>
      <c r="Q442" s="757"/>
      <c r="R442" s="757"/>
      <c r="S442" s="757"/>
      <c r="T442" s="758" t="s">
        <v>2260</v>
      </c>
      <c r="U442" s="758"/>
      <c r="V442" s="758"/>
      <c r="W442" s="758"/>
      <c r="X442" s="758" t="s">
        <v>2261</v>
      </c>
      <c r="Y442" s="758"/>
      <c r="Z442" s="758"/>
      <c r="AA442" s="758"/>
      <c r="AB442" s="759" t="s">
        <v>2262</v>
      </c>
      <c r="AC442" s="759"/>
      <c r="AD442" s="759"/>
      <c r="AE442" s="736"/>
      <c r="AF442" s="736"/>
    </row>
    <row r="443" customFormat="false" ht="15.75" hidden="false" customHeight="true" outlineLevel="0" collapsed="false">
      <c r="A443" s="736"/>
      <c r="B443" s="756"/>
      <c r="C443" s="756"/>
      <c r="D443" s="756"/>
      <c r="E443" s="757"/>
      <c r="F443" s="757"/>
      <c r="G443" s="757"/>
      <c r="H443" s="757"/>
      <c r="I443" s="757"/>
      <c r="J443" s="757"/>
      <c r="K443" s="757"/>
      <c r="L443" s="757"/>
      <c r="M443" s="757"/>
      <c r="N443" s="757"/>
      <c r="O443" s="757"/>
      <c r="P443" s="757"/>
      <c r="Q443" s="757"/>
      <c r="R443" s="757"/>
      <c r="S443" s="757"/>
      <c r="T443" s="758"/>
      <c r="U443" s="758"/>
      <c r="V443" s="758"/>
      <c r="W443" s="758"/>
      <c r="X443" s="758"/>
      <c r="Y443" s="758"/>
      <c r="Z443" s="758"/>
      <c r="AA443" s="758"/>
      <c r="AB443" s="759"/>
      <c r="AC443" s="759"/>
      <c r="AD443" s="759"/>
      <c r="AE443" s="736"/>
      <c r="AF443" s="736"/>
    </row>
    <row r="444" customFormat="false" ht="15.75" hidden="false" customHeight="true" outlineLevel="0" collapsed="false">
      <c r="A444" s="736"/>
      <c r="B444" s="760" t="s">
        <v>1549</v>
      </c>
      <c r="C444" s="761"/>
      <c r="D444" s="761"/>
      <c r="E444" s="762" t="str">
        <f aca="false">IFERROR(VLOOKUP(B444,TE!$H$1:$Y$749,2,FALSE()),"(Not on TE)")</f>
        <v>(Not on TE)</v>
      </c>
      <c r="F444" s="763"/>
      <c r="G444" s="763"/>
      <c r="H444" s="763"/>
      <c r="I444" s="763"/>
      <c r="J444" s="763"/>
      <c r="K444" s="763"/>
      <c r="L444" s="763"/>
      <c r="M444" s="763"/>
      <c r="N444" s="764" t="str">
        <f aca="false">IFERROR(VLOOKUP(B444,TE!$H$1:$Y$749,18,FALSE()),"")</f>
        <v/>
      </c>
      <c r="O444" s="764"/>
      <c r="P444" s="764"/>
      <c r="Q444" s="764"/>
      <c r="R444" s="764"/>
      <c r="S444" s="764"/>
      <c r="T444" s="764" t="n">
        <f aca="false">IFERROR(SUMIFS(TE!$O:$O,TE!$G:$G,$B$441,TE!$I:$I,B444,TE!$D:$D,$C$5),"")</f>
        <v>0</v>
      </c>
      <c r="U444" s="764"/>
      <c r="V444" s="764"/>
      <c r="W444" s="764"/>
      <c r="X444" s="723" t="str">
        <f aca="false">IFERROR(VLOOKUP(B444,TE!$H$1:$Y$630,14,FALSE()),"0")</f>
        <v>0</v>
      </c>
      <c r="Y444" s="723"/>
      <c r="Z444" s="723"/>
      <c r="AA444" s="723"/>
      <c r="AB444" s="765" t="n">
        <f aca="false">T444*X444</f>
        <v>0</v>
      </c>
      <c r="AC444" s="765"/>
      <c r="AD444" s="765"/>
      <c r="AE444" s="736"/>
      <c r="AF444" s="736"/>
    </row>
    <row r="445" customFormat="false" ht="15.75" hidden="false" customHeight="true" outlineLevel="0" collapsed="false">
      <c r="A445" s="736"/>
      <c r="B445" s="760" t="s">
        <v>1550</v>
      </c>
      <c r="C445" s="761"/>
      <c r="D445" s="761"/>
      <c r="E445" s="762" t="str">
        <f aca="false">IFERROR(VLOOKUP(B445,TE!$H$1:$Y$749,2,FALSE()),"(Not on TE)")</f>
        <v>(Not on TE)</v>
      </c>
      <c r="F445" s="763"/>
      <c r="G445" s="763"/>
      <c r="H445" s="763"/>
      <c r="I445" s="763"/>
      <c r="J445" s="763"/>
      <c r="K445" s="763"/>
      <c r="L445" s="763"/>
      <c r="M445" s="763"/>
      <c r="N445" s="764" t="str">
        <f aca="false">IFERROR(VLOOKUP(B445,TE!$H$1:$Y$749,18,FALSE()),"")</f>
        <v/>
      </c>
      <c r="O445" s="764"/>
      <c r="P445" s="764"/>
      <c r="Q445" s="764"/>
      <c r="R445" s="764"/>
      <c r="S445" s="764"/>
      <c r="T445" s="764" t="n">
        <f aca="false">IFERROR(SUMIFS(TE!$O:$O,TE!$G:$G,$B$441,TE!$I:$I,B445,TE!$D:$D,$C$5),"")</f>
        <v>0</v>
      </c>
      <c r="U445" s="764"/>
      <c r="V445" s="764"/>
      <c r="W445" s="764"/>
      <c r="X445" s="723" t="str">
        <f aca="false">IFERROR(VLOOKUP(B445,TE!$H$1:$Y$630,14,FALSE()),"0")</f>
        <v>0</v>
      </c>
      <c r="Y445" s="723"/>
      <c r="Z445" s="723"/>
      <c r="AA445" s="723"/>
      <c r="AB445" s="765" t="n">
        <f aca="false">T445*X445</f>
        <v>0</v>
      </c>
      <c r="AC445" s="765"/>
      <c r="AD445" s="765"/>
      <c r="AE445" s="736"/>
      <c r="AF445" s="736"/>
    </row>
    <row r="446" customFormat="false" ht="15.75" hidden="false" customHeight="true" outlineLevel="0" collapsed="false">
      <c r="A446" s="736"/>
      <c r="B446" s="760" t="s">
        <v>2263</v>
      </c>
      <c r="C446" s="761"/>
      <c r="D446" s="761"/>
      <c r="E446" s="762" t="str">
        <f aca="false">IFERROR(VLOOKUP(B446,TE!$H$1:$Y$749,2,FALSE()),"(Not on TE)")</f>
        <v>(Not on TE)</v>
      </c>
      <c r="F446" s="763"/>
      <c r="G446" s="763"/>
      <c r="H446" s="763"/>
      <c r="I446" s="763"/>
      <c r="J446" s="763"/>
      <c r="K446" s="763"/>
      <c r="L446" s="763"/>
      <c r="M446" s="763"/>
      <c r="N446" s="764" t="str">
        <f aca="false">IFERROR(VLOOKUP(B446,TE!$H$1:$Y$749,18,FALSE()),"")</f>
        <v/>
      </c>
      <c r="O446" s="764"/>
      <c r="P446" s="764"/>
      <c r="Q446" s="764"/>
      <c r="R446" s="764"/>
      <c r="S446" s="764"/>
      <c r="T446" s="764" t="n">
        <f aca="false">IFERROR(SUMIFS(TE!$O:$O,TE!$G:$G,$B$441,TE!$I:$I,B446,TE!$D:$D,$C$5),"")</f>
        <v>0</v>
      </c>
      <c r="U446" s="764"/>
      <c r="V446" s="764"/>
      <c r="W446" s="764"/>
      <c r="X446" s="723" t="str">
        <f aca="false">IFERROR(VLOOKUP(B446,TE!$H$1:$Y$630,14,FALSE()),"0")</f>
        <v>0</v>
      </c>
      <c r="Y446" s="723"/>
      <c r="Z446" s="723"/>
      <c r="AA446" s="723"/>
      <c r="AB446" s="765" t="n">
        <f aca="false">T446*X446</f>
        <v>0</v>
      </c>
      <c r="AC446" s="765"/>
      <c r="AD446" s="765"/>
      <c r="AE446" s="736"/>
      <c r="AF446" s="736"/>
    </row>
    <row r="447" customFormat="false" ht="15.75" hidden="false" customHeight="true" outlineLevel="0" collapsed="false">
      <c r="A447" s="736"/>
      <c r="B447" s="760" t="s">
        <v>2264</v>
      </c>
      <c r="C447" s="761"/>
      <c r="D447" s="761"/>
      <c r="E447" s="762" t="str">
        <f aca="false">IFERROR(VLOOKUP(B447,TE!$H$1:$Y$749,2,FALSE()),"(Not on TE)")</f>
        <v>(Not on TE)</v>
      </c>
      <c r="F447" s="763"/>
      <c r="G447" s="763"/>
      <c r="H447" s="763"/>
      <c r="I447" s="763"/>
      <c r="J447" s="763"/>
      <c r="K447" s="763"/>
      <c r="L447" s="763"/>
      <c r="M447" s="763"/>
      <c r="N447" s="764" t="str">
        <f aca="false">IFERROR(VLOOKUP(B447,TE!$H$1:$Y$749,18,FALSE()),"")</f>
        <v/>
      </c>
      <c r="O447" s="764"/>
      <c r="P447" s="764"/>
      <c r="Q447" s="764"/>
      <c r="R447" s="764"/>
      <c r="S447" s="764"/>
      <c r="T447" s="764" t="n">
        <f aca="false">IFERROR(SUMIFS(TE!$O:$O,TE!$G:$G,$B$441,TE!$I:$I,B447,TE!$D:$D,$C$5),"")</f>
        <v>0</v>
      </c>
      <c r="U447" s="764"/>
      <c r="V447" s="764"/>
      <c r="W447" s="764"/>
      <c r="X447" s="723" t="str">
        <f aca="false">IFERROR(VLOOKUP(B447,TE!$H$1:$Y$630,14,FALSE()),"0")</f>
        <v>0</v>
      </c>
      <c r="Y447" s="723"/>
      <c r="Z447" s="723"/>
      <c r="AA447" s="723"/>
      <c r="AB447" s="765" t="n">
        <f aca="false">T447*X447</f>
        <v>0</v>
      </c>
      <c r="AC447" s="765"/>
      <c r="AD447" s="765"/>
      <c r="AE447" s="736"/>
      <c r="AF447" s="736"/>
    </row>
    <row r="448" customFormat="false" ht="15.75" hidden="false" customHeight="true" outlineLevel="0" collapsed="false">
      <c r="A448" s="736"/>
      <c r="B448" s="760" t="s">
        <v>1551</v>
      </c>
      <c r="C448" s="761"/>
      <c r="D448" s="761"/>
      <c r="E448" s="762" t="str">
        <f aca="false">IFERROR(VLOOKUP(B448,TE!$H$1:$Y$749,2,FALSE()),"(Not on TE)")</f>
        <v>(Not on TE)</v>
      </c>
      <c r="F448" s="763"/>
      <c r="G448" s="763"/>
      <c r="H448" s="763"/>
      <c r="I448" s="763"/>
      <c r="J448" s="763"/>
      <c r="K448" s="763"/>
      <c r="L448" s="763"/>
      <c r="M448" s="763"/>
      <c r="N448" s="764" t="str">
        <f aca="false">IFERROR(VLOOKUP(B448,TE!$H$1:$Y$749,18,FALSE()),"")</f>
        <v/>
      </c>
      <c r="O448" s="764"/>
      <c r="P448" s="764"/>
      <c r="Q448" s="764"/>
      <c r="R448" s="764"/>
      <c r="S448" s="764"/>
      <c r="T448" s="764" t="n">
        <f aca="false">IFERROR(SUMIFS(TE!$O:$O,TE!$G:$G,$B$441,TE!$I:$I,B448,TE!$D:$D,$C$5),"")</f>
        <v>0</v>
      </c>
      <c r="U448" s="764"/>
      <c r="V448" s="764"/>
      <c r="W448" s="764"/>
      <c r="X448" s="723" t="str">
        <f aca="false">IFERROR(VLOOKUP(B448,TE!$H$1:$Y$630,14,FALSE()),"0")</f>
        <v>0</v>
      </c>
      <c r="Y448" s="723"/>
      <c r="Z448" s="723"/>
      <c r="AA448" s="723"/>
      <c r="AB448" s="765" t="n">
        <f aca="false">T448*X448</f>
        <v>0</v>
      </c>
      <c r="AC448" s="765"/>
      <c r="AD448" s="765"/>
      <c r="AE448" s="736"/>
      <c r="AF448" s="736"/>
    </row>
    <row r="449" customFormat="false" ht="15.75" hidden="false" customHeight="true" outlineLevel="0" collapsed="false">
      <c r="A449" s="736"/>
      <c r="B449" s="760" t="s">
        <v>2265</v>
      </c>
      <c r="C449" s="761"/>
      <c r="D449" s="761"/>
      <c r="E449" s="762" t="str">
        <f aca="false">IFERROR(VLOOKUP(B449,TE!$H$1:$Y$749,2,FALSE()),"(Not on TE)")</f>
        <v>(Not on TE)</v>
      </c>
      <c r="F449" s="763"/>
      <c r="G449" s="763"/>
      <c r="H449" s="763"/>
      <c r="I449" s="763"/>
      <c r="J449" s="763"/>
      <c r="K449" s="763"/>
      <c r="L449" s="763"/>
      <c r="M449" s="763"/>
      <c r="N449" s="764" t="str">
        <f aca="false">IFERROR(VLOOKUP(B449,TE!$H$1:$Y$749,18,FALSE()),"")</f>
        <v/>
      </c>
      <c r="O449" s="764"/>
      <c r="P449" s="764"/>
      <c r="Q449" s="764"/>
      <c r="R449" s="764"/>
      <c r="S449" s="764"/>
      <c r="T449" s="764" t="n">
        <f aca="false">IFERROR(SUMIFS(TE!$O:$O,TE!$G:$G,$B$441,TE!$I:$I,B449,TE!$D:$D,$C$5),"")</f>
        <v>0</v>
      </c>
      <c r="U449" s="764"/>
      <c r="V449" s="764"/>
      <c r="W449" s="764"/>
      <c r="X449" s="723" t="str">
        <f aca="false">IFERROR(VLOOKUP(B449,TE!$H$1:$Y$630,14,FALSE()),"0")</f>
        <v>0</v>
      </c>
      <c r="Y449" s="723"/>
      <c r="Z449" s="723"/>
      <c r="AA449" s="723"/>
      <c r="AB449" s="765" t="n">
        <f aca="false">T449*X449</f>
        <v>0</v>
      </c>
      <c r="AC449" s="765"/>
      <c r="AD449" s="765"/>
      <c r="AE449" s="736"/>
      <c r="AF449" s="736"/>
    </row>
    <row r="450" customFormat="false" ht="15.75" hidden="false" customHeight="true" outlineLevel="0" collapsed="false">
      <c r="A450" s="736"/>
      <c r="B450" s="760" t="s">
        <v>1552</v>
      </c>
      <c r="C450" s="761"/>
      <c r="D450" s="761"/>
      <c r="E450" s="762" t="str">
        <f aca="false">IFERROR(VLOOKUP(B450,TE!$H$1:$Y$749,2,FALSE()),"(Not on TE)")</f>
        <v>(Not on TE)</v>
      </c>
      <c r="F450" s="763"/>
      <c r="G450" s="763"/>
      <c r="H450" s="763"/>
      <c r="I450" s="763"/>
      <c r="J450" s="763"/>
      <c r="K450" s="763"/>
      <c r="L450" s="763"/>
      <c r="M450" s="763"/>
      <c r="N450" s="764" t="str">
        <f aca="false">IFERROR(VLOOKUP(B450,TE!$H$1:$Y$749,18,FALSE()),"")</f>
        <v/>
      </c>
      <c r="O450" s="764"/>
      <c r="P450" s="764"/>
      <c r="Q450" s="764"/>
      <c r="R450" s="764"/>
      <c r="S450" s="764"/>
      <c r="T450" s="764" t="n">
        <f aca="false">IFERROR(SUMIFS(TE!$O:$O,TE!$G:$G,$B$441,TE!$I:$I,B450,TE!$D:$D,$C$5),"")</f>
        <v>0</v>
      </c>
      <c r="U450" s="764"/>
      <c r="V450" s="764"/>
      <c r="W450" s="764"/>
      <c r="X450" s="723" t="str">
        <f aca="false">IFERROR(VLOOKUP(B450,TE!$H$1:$Y$630,14,FALSE()),"0")</f>
        <v>0</v>
      </c>
      <c r="Y450" s="723"/>
      <c r="Z450" s="723"/>
      <c r="AA450" s="723"/>
      <c r="AB450" s="765" t="n">
        <f aca="false">T450*X450</f>
        <v>0</v>
      </c>
      <c r="AC450" s="765"/>
      <c r="AD450" s="765"/>
      <c r="AE450" s="736"/>
      <c r="AF450" s="736"/>
    </row>
    <row r="451" customFormat="false" ht="15.75" hidden="false" customHeight="true" outlineLevel="0" collapsed="false">
      <c r="A451" s="736"/>
      <c r="B451" s="760" t="s">
        <v>1553</v>
      </c>
      <c r="C451" s="761"/>
      <c r="D451" s="761"/>
      <c r="E451" s="762" t="str">
        <f aca="false">IFERROR(VLOOKUP(B451,TE!$H$1:$Y$749,2,FALSE()),"(Not on TE)")</f>
        <v>(Not on TE)</v>
      </c>
      <c r="F451" s="763"/>
      <c r="G451" s="763"/>
      <c r="H451" s="763"/>
      <c r="I451" s="763"/>
      <c r="J451" s="763"/>
      <c r="K451" s="763"/>
      <c r="L451" s="763"/>
      <c r="M451" s="763"/>
      <c r="N451" s="764" t="str">
        <f aca="false">IFERROR(VLOOKUP(B451,TE!$H$1:$Y$749,18,FALSE()),"")</f>
        <v/>
      </c>
      <c r="O451" s="764"/>
      <c r="P451" s="764"/>
      <c r="Q451" s="764"/>
      <c r="R451" s="764"/>
      <c r="S451" s="764"/>
      <c r="T451" s="764" t="n">
        <f aca="false">IFERROR(SUMIFS(TE!$O:$O,TE!$G:$G,$B$441,TE!$I:$I,B451,TE!$D:$D,$C$5),"")</f>
        <v>0</v>
      </c>
      <c r="U451" s="764"/>
      <c r="V451" s="764"/>
      <c r="W451" s="764"/>
      <c r="X451" s="723" t="str">
        <f aca="false">IFERROR(VLOOKUP(B451,TE!$H$1:$Y$630,14,FALSE()),"0")</f>
        <v>0</v>
      </c>
      <c r="Y451" s="723"/>
      <c r="Z451" s="723"/>
      <c r="AA451" s="723"/>
      <c r="AB451" s="765" t="n">
        <f aca="false">T451*X451</f>
        <v>0</v>
      </c>
      <c r="AC451" s="765"/>
      <c r="AD451" s="765"/>
      <c r="AE451" s="736"/>
      <c r="AF451" s="736"/>
    </row>
    <row r="452" customFormat="false" ht="15.75" hidden="false" customHeight="true" outlineLevel="0" collapsed="false">
      <c r="A452" s="736"/>
      <c r="B452" s="760" t="s">
        <v>1554</v>
      </c>
      <c r="C452" s="761"/>
      <c r="D452" s="761"/>
      <c r="E452" s="762" t="str">
        <f aca="false">IFERROR(VLOOKUP(B452,TE!$H$1:$Y$749,2,FALSE()),"(Not on TE)")</f>
        <v>(Not on TE)</v>
      </c>
      <c r="F452" s="763"/>
      <c r="G452" s="763"/>
      <c r="H452" s="763"/>
      <c r="I452" s="763"/>
      <c r="J452" s="763"/>
      <c r="K452" s="763"/>
      <c r="L452" s="763"/>
      <c r="M452" s="763"/>
      <c r="N452" s="764" t="str">
        <f aca="false">IFERROR(VLOOKUP(B452,TE!$H$1:$Y$749,18,FALSE()),"")</f>
        <v/>
      </c>
      <c r="O452" s="764"/>
      <c r="P452" s="764"/>
      <c r="Q452" s="764"/>
      <c r="R452" s="764"/>
      <c r="S452" s="764"/>
      <c r="T452" s="764" t="n">
        <f aca="false">IFERROR(SUMIFS(TE!$O:$O,TE!$G:$G,$B$441,TE!$I:$I,B452,TE!$D:$D,$C$5),"")</f>
        <v>0</v>
      </c>
      <c r="U452" s="764"/>
      <c r="V452" s="764"/>
      <c r="W452" s="764"/>
      <c r="X452" s="723" t="str">
        <f aca="false">IFERROR(VLOOKUP(B452,TE!$H$1:$Y$630,14,FALSE()),"0")</f>
        <v>0</v>
      </c>
      <c r="Y452" s="723"/>
      <c r="Z452" s="723"/>
      <c r="AA452" s="723"/>
      <c r="AB452" s="765" t="n">
        <f aca="false">T452*X452</f>
        <v>0</v>
      </c>
      <c r="AC452" s="765"/>
      <c r="AD452" s="765"/>
      <c r="AE452" s="736"/>
      <c r="AF452" s="736"/>
    </row>
    <row r="453" customFormat="false" ht="15.75" hidden="false" customHeight="true" outlineLevel="0" collapsed="false">
      <c r="A453" s="736"/>
      <c r="B453" s="760" t="s">
        <v>1555</v>
      </c>
      <c r="C453" s="761"/>
      <c r="D453" s="761"/>
      <c r="E453" s="762" t="str">
        <f aca="false">IFERROR(VLOOKUP(B453,TE!$H$1:$Y$749,2,FALSE()),"(Not on TE)")</f>
        <v>(Not on TE)</v>
      </c>
      <c r="F453" s="763"/>
      <c r="G453" s="763"/>
      <c r="H453" s="763"/>
      <c r="I453" s="763"/>
      <c r="J453" s="763"/>
      <c r="K453" s="763"/>
      <c r="L453" s="763"/>
      <c r="M453" s="763"/>
      <c r="N453" s="764" t="str">
        <f aca="false">IFERROR(VLOOKUP(B453,TE!$H$1:$Y$749,18,FALSE()),"")</f>
        <v/>
      </c>
      <c r="O453" s="764"/>
      <c r="P453" s="764"/>
      <c r="Q453" s="764"/>
      <c r="R453" s="764"/>
      <c r="S453" s="764"/>
      <c r="T453" s="764" t="n">
        <f aca="false">IFERROR(SUMIFS(TE!$O:$O,TE!$G:$G,$B$441,TE!$I:$I,B453,TE!$D:$D,$C$5),"")</f>
        <v>0</v>
      </c>
      <c r="U453" s="764"/>
      <c r="V453" s="764"/>
      <c r="W453" s="764"/>
      <c r="X453" s="723" t="str">
        <f aca="false">IFERROR(VLOOKUP(B453,TE!$H$1:$Y$630,14,FALSE()),"0")</f>
        <v>0</v>
      </c>
      <c r="Y453" s="723"/>
      <c r="Z453" s="723"/>
      <c r="AA453" s="723"/>
      <c r="AB453" s="765" t="n">
        <f aca="false">T453*X453</f>
        <v>0</v>
      </c>
      <c r="AC453" s="765"/>
      <c r="AD453" s="765"/>
      <c r="AE453" s="736"/>
      <c r="AF453" s="736"/>
    </row>
    <row r="454" customFormat="false" ht="15.75" hidden="false" customHeight="true" outlineLevel="0" collapsed="false">
      <c r="A454" s="736"/>
      <c r="B454" s="760" t="s">
        <v>1556</v>
      </c>
      <c r="C454" s="761"/>
      <c r="D454" s="761"/>
      <c r="E454" s="762" t="str">
        <f aca="false">IFERROR(VLOOKUP(B454,TE!$H$1:$Y$749,2,FALSE()),"(Not on TE)")</f>
        <v>(Not on TE)</v>
      </c>
      <c r="F454" s="763"/>
      <c r="G454" s="763"/>
      <c r="H454" s="763"/>
      <c r="I454" s="763"/>
      <c r="J454" s="763"/>
      <c r="K454" s="763"/>
      <c r="L454" s="763"/>
      <c r="M454" s="763"/>
      <c r="N454" s="764" t="str">
        <f aca="false">IFERROR(VLOOKUP(B454,TE!$H$1:$Y$749,18,FALSE()),"")</f>
        <v/>
      </c>
      <c r="O454" s="764"/>
      <c r="P454" s="764"/>
      <c r="Q454" s="764"/>
      <c r="R454" s="764"/>
      <c r="S454" s="764"/>
      <c r="T454" s="764" t="n">
        <f aca="false">IFERROR(SUMIFS(TE!$O:$O,TE!$G:$G,$B$441,TE!$I:$I,B454,TE!$D:$D,$C$5),"")</f>
        <v>0</v>
      </c>
      <c r="U454" s="764"/>
      <c r="V454" s="764"/>
      <c r="W454" s="764"/>
      <c r="X454" s="723" t="str">
        <f aca="false">IFERROR(VLOOKUP(B454,TE!$H$1:$Y$630,14,FALSE()),"0")</f>
        <v>0</v>
      </c>
      <c r="Y454" s="723"/>
      <c r="Z454" s="723"/>
      <c r="AA454" s="723"/>
      <c r="AB454" s="765" t="n">
        <f aca="false">T454*X454</f>
        <v>0</v>
      </c>
      <c r="AC454" s="765"/>
      <c r="AD454" s="765"/>
      <c r="AE454" s="736"/>
      <c r="AF454" s="736"/>
    </row>
    <row r="455" customFormat="false" ht="15.75" hidden="false" customHeight="true" outlineLevel="0" collapsed="false">
      <c r="A455" s="736"/>
      <c r="B455" s="760" t="s">
        <v>2266</v>
      </c>
      <c r="C455" s="761"/>
      <c r="D455" s="761"/>
      <c r="E455" s="762" t="str">
        <f aca="false">IFERROR(VLOOKUP(B455,TE!$H$1:$Y$749,2,FALSE()),"(Not on TE)")</f>
        <v>(Not on TE)</v>
      </c>
      <c r="F455" s="763"/>
      <c r="G455" s="763"/>
      <c r="H455" s="763"/>
      <c r="I455" s="763"/>
      <c r="J455" s="763"/>
      <c r="K455" s="763"/>
      <c r="L455" s="763"/>
      <c r="M455" s="763"/>
      <c r="N455" s="764" t="str">
        <f aca="false">IFERROR(VLOOKUP(B455,TE!$H$1:$Y$749,18,FALSE()),"")</f>
        <v/>
      </c>
      <c r="O455" s="764"/>
      <c r="P455" s="764"/>
      <c r="Q455" s="764"/>
      <c r="R455" s="764"/>
      <c r="S455" s="764"/>
      <c r="T455" s="764" t="n">
        <f aca="false">IFERROR(SUMIFS(TE!$O:$O,TE!$G:$G,$B$441,TE!$I:$I,B455,TE!$D:$D,$C$5),"")</f>
        <v>0</v>
      </c>
      <c r="U455" s="764"/>
      <c r="V455" s="764"/>
      <c r="W455" s="764"/>
      <c r="X455" s="723" t="str">
        <f aca="false">IFERROR(VLOOKUP(B455,TE!$H$1:$Y$630,14,FALSE()),"0")</f>
        <v>0</v>
      </c>
      <c r="Y455" s="723"/>
      <c r="Z455" s="723"/>
      <c r="AA455" s="723"/>
      <c r="AB455" s="765" t="n">
        <f aca="false">T455*X455</f>
        <v>0</v>
      </c>
      <c r="AC455" s="765"/>
      <c r="AD455" s="765"/>
      <c r="AE455" s="736"/>
      <c r="AF455" s="736"/>
    </row>
    <row r="456" customFormat="false" ht="15.75" hidden="false" customHeight="true" outlineLevel="0" collapsed="false">
      <c r="A456" s="736"/>
      <c r="B456" s="760" t="s">
        <v>1557</v>
      </c>
      <c r="C456" s="761"/>
      <c r="D456" s="761"/>
      <c r="E456" s="762" t="str">
        <f aca="false">IFERROR(VLOOKUP(B456,TE!$H$1:$Y$749,2,FALSE()),"(Not on TE)")</f>
        <v>(Not on TE)</v>
      </c>
      <c r="F456" s="763"/>
      <c r="G456" s="763"/>
      <c r="H456" s="763"/>
      <c r="I456" s="763"/>
      <c r="J456" s="763"/>
      <c r="K456" s="763"/>
      <c r="L456" s="763"/>
      <c r="M456" s="763"/>
      <c r="N456" s="764" t="str">
        <f aca="false">IFERROR(VLOOKUP(B456,TE!$H$1:$Y$749,18,FALSE()),"")</f>
        <v/>
      </c>
      <c r="O456" s="764"/>
      <c r="P456" s="764"/>
      <c r="Q456" s="764"/>
      <c r="R456" s="764"/>
      <c r="S456" s="764"/>
      <c r="T456" s="764" t="n">
        <f aca="false">IFERROR(SUMIFS(TE!$O:$O,TE!$G:$G,$B$441,TE!$I:$I,B456,TE!$D:$D,$C$5),"")</f>
        <v>0</v>
      </c>
      <c r="U456" s="764"/>
      <c r="V456" s="764"/>
      <c r="W456" s="764"/>
      <c r="X456" s="723" t="str">
        <f aca="false">IFERROR(VLOOKUP(B456,TE!$H$1:$Y$630,14,FALSE()),"0")</f>
        <v>0</v>
      </c>
      <c r="Y456" s="723"/>
      <c r="Z456" s="723"/>
      <c r="AA456" s="723"/>
      <c r="AB456" s="765" t="n">
        <f aca="false">T456*X456</f>
        <v>0</v>
      </c>
      <c r="AC456" s="765"/>
      <c r="AD456" s="765"/>
      <c r="AE456" s="736"/>
      <c r="AF456" s="736"/>
    </row>
    <row r="457" customFormat="false" ht="15.75" hidden="false" customHeight="true" outlineLevel="0" collapsed="false">
      <c r="A457" s="736"/>
      <c r="B457" s="760" t="s">
        <v>1558</v>
      </c>
      <c r="C457" s="761"/>
      <c r="D457" s="761"/>
      <c r="E457" s="762" t="str">
        <f aca="false">IFERROR(VLOOKUP(B457,TE!$H$1:$Y$749,2,FALSE()),"(Not on TE)")</f>
        <v>(Not on TE)</v>
      </c>
      <c r="F457" s="763"/>
      <c r="G457" s="763"/>
      <c r="H457" s="763"/>
      <c r="I457" s="763"/>
      <c r="J457" s="763"/>
      <c r="K457" s="763"/>
      <c r="L457" s="763"/>
      <c r="M457" s="763"/>
      <c r="N457" s="764" t="str">
        <f aca="false">IFERROR(VLOOKUP(B457,TE!$H$1:$Y$749,18,FALSE()),"")</f>
        <v/>
      </c>
      <c r="O457" s="764"/>
      <c r="P457" s="764"/>
      <c r="Q457" s="764"/>
      <c r="R457" s="764"/>
      <c r="S457" s="764"/>
      <c r="T457" s="764" t="n">
        <f aca="false">IFERROR(SUMIFS(TE!$O:$O,TE!$G:$G,$B$441,TE!$I:$I,B457,TE!$D:$D,$C$5),"")</f>
        <v>0</v>
      </c>
      <c r="U457" s="764"/>
      <c r="V457" s="764"/>
      <c r="W457" s="764"/>
      <c r="X457" s="723" t="str">
        <f aca="false">IFERROR(VLOOKUP(B457,TE!$H$1:$Y$630,14,FALSE()),"0")</f>
        <v>0</v>
      </c>
      <c r="Y457" s="723"/>
      <c r="Z457" s="723"/>
      <c r="AA457" s="723"/>
      <c r="AB457" s="765" t="n">
        <f aca="false">T457*X457</f>
        <v>0</v>
      </c>
      <c r="AC457" s="765"/>
      <c r="AD457" s="765"/>
      <c r="AE457" s="736"/>
      <c r="AF457" s="736"/>
    </row>
    <row r="458" customFormat="false" ht="15.75" hidden="false" customHeight="true" outlineLevel="0" collapsed="false">
      <c r="A458" s="736"/>
      <c r="B458" s="760" t="s">
        <v>1563</v>
      </c>
      <c r="C458" s="761"/>
      <c r="D458" s="761"/>
      <c r="E458" s="762" t="str">
        <f aca="false">IFERROR(VLOOKUP(B458,TE!$H$1:$Y$749,2,FALSE()),"(Not on TE)")</f>
        <v>(Not on TE)</v>
      </c>
      <c r="F458" s="763"/>
      <c r="G458" s="763"/>
      <c r="H458" s="763"/>
      <c r="I458" s="763"/>
      <c r="J458" s="763"/>
      <c r="K458" s="763"/>
      <c r="L458" s="763"/>
      <c r="M458" s="763"/>
      <c r="N458" s="764" t="str">
        <f aca="false">IFERROR(VLOOKUP(B458,TE!$H$1:$Y$749,18,FALSE()),"")</f>
        <v/>
      </c>
      <c r="O458" s="764"/>
      <c r="P458" s="764"/>
      <c r="Q458" s="764"/>
      <c r="R458" s="764"/>
      <c r="S458" s="764"/>
      <c r="T458" s="764" t="n">
        <f aca="false">IFERROR(SUMIFS(TE!$O:$O,TE!$G:$G,$B$441,TE!$I:$I,B458,TE!$D:$D,$C$5),"")</f>
        <v>0</v>
      </c>
      <c r="U458" s="764"/>
      <c r="V458" s="764"/>
      <c r="W458" s="764"/>
      <c r="X458" s="723" t="str">
        <f aca="false">IFERROR(VLOOKUP(B458,TE!$H$1:$Y$630,14,FALSE()),"0")</f>
        <v>0</v>
      </c>
      <c r="Y458" s="723"/>
      <c r="Z458" s="723"/>
      <c r="AA458" s="723"/>
      <c r="AB458" s="765" t="n">
        <f aca="false">T458*X458</f>
        <v>0</v>
      </c>
      <c r="AC458" s="765"/>
      <c r="AD458" s="765"/>
      <c r="AE458" s="736"/>
      <c r="AF458" s="736"/>
    </row>
    <row r="459" customFormat="false" ht="15.75" hidden="false" customHeight="true" outlineLevel="0" collapsed="false">
      <c r="A459" s="736"/>
      <c r="B459" s="760" t="s">
        <v>1564</v>
      </c>
      <c r="C459" s="761"/>
      <c r="D459" s="761"/>
      <c r="E459" s="762" t="str">
        <f aca="false">IFERROR(VLOOKUP(B459,TE!$H$1:$Y$749,2,FALSE()),"(Not on TE)")</f>
        <v>(Not on TE)</v>
      </c>
      <c r="F459" s="763"/>
      <c r="G459" s="763"/>
      <c r="H459" s="763"/>
      <c r="I459" s="763"/>
      <c r="J459" s="763"/>
      <c r="K459" s="763"/>
      <c r="L459" s="763"/>
      <c r="M459" s="763"/>
      <c r="N459" s="764" t="str">
        <f aca="false">IFERROR(VLOOKUP(B459,TE!$H$1:$Y$749,18,FALSE()),"")</f>
        <v/>
      </c>
      <c r="O459" s="764"/>
      <c r="P459" s="764"/>
      <c r="Q459" s="764"/>
      <c r="R459" s="764"/>
      <c r="S459" s="764"/>
      <c r="T459" s="764" t="n">
        <f aca="false">IFERROR(SUMIFS(TE!$O:$O,TE!$G:$G,$B$441,TE!$I:$I,B459,TE!$D:$D,$C$5),"")</f>
        <v>0</v>
      </c>
      <c r="U459" s="764"/>
      <c r="V459" s="764"/>
      <c r="W459" s="764"/>
      <c r="X459" s="723" t="str">
        <f aca="false">IFERROR(VLOOKUP(B459,TE!$H$1:$Y$630,14,FALSE()),"0")</f>
        <v>0</v>
      </c>
      <c r="Y459" s="723"/>
      <c r="Z459" s="723"/>
      <c r="AA459" s="723"/>
      <c r="AB459" s="765" t="n">
        <f aca="false">T459*X459</f>
        <v>0</v>
      </c>
      <c r="AC459" s="765"/>
      <c r="AD459" s="765"/>
      <c r="AE459" s="736"/>
      <c r="AF459" s="736"/>
    </row>
    <row r="460" customFormat="false" ht="15.75" hidden="false" customHeight="true" outlineLevel="0" collapsed="false">
      <c r="A460" s="736"/>
      <c r="B460" s="760" t="s">
        <v>1157</v>
      </c>
      <c r="C460" s="761"/>
      <c r="D460" s="761"/>
      <c r="E460" s="762" t="str">
        <f aca="false">IFERROR(VLOOKUP(B460,TE!$H$1:$Y$749,2,FALSE()),"(Not on TE)")</f>
        <v>(Not on TE)</v>
      </c>
      <c r="F460" s="763"/>
      <c r="G460" s="763"/>
      <c r="H460" s="763"/>
      <c r="I460" s="763"/>
      <c r="J460" s="763"/>
      <c r="K460" s="763"/>
      <c r="L460" s="763"/>
      <c r="M460" s="763"/>
      <c r="N460" s="764" t="str">
        <f aca="false">IFERROR(VLOOKUP(B460,TE!$H$1:$Y$749,18,FALSE()),"")</f>
        <v/>
      </c>
      <c r="O460" s="764"/>
      <c r="P460" s="764"/>
      <c r="Q460" s="764"/>
      <c r="R460" s="764"/>
      <c r="S460" s="764"/>
      <c r="T460" s="764" t="n">
        <f aca="false">IFERROR(SUMIFS(TE!$O:$O,TE!$G:$G,$B$441,TE!$I:$I,B460,TE!$D:$D,$C$5),"")</f>
        <v>0</v>
      </c>
      <c r="U460" s="764"/>
      <c r="V460" s="764"/>
      <c r="W460" s="764"/>
      <c r="X460" s="723" t="str">
        <f aca="false">IFERROR(VLOOKUP(B460,TE!$H$1:$Y$630,14,FALSE()),"0")</f>
        <v>0</v>
      </c>
      <c r="Y460" s="723"/>
      <c r="Z460" s="723"/>
      <c r="AA460" s="723"/>
      <c r="AB460" s="765" t="n">
        <f aca="false">T460*X460</f>
        <v>0</v>
      </c>
      <c r="AC460" s="765"/>
      <c r="AD460" s="765"/>
      <c r="AE460" s="736"/>
      <c r="AF460" s="736"/>
    </row>
    <row r="461" customFormat="false" ht="15.75" hidden="false" customHeight="true" outlineLevel="0" collapsed="false">
      <c r="A461" s="736"/>
      <c r="B461" s="760" t="s">
        <v>1565</v>
      </c>
      <c r="C461" s="761"/>
      <c r="D461" s="761"/>
      <c r="E461" s="762" t="str">
        <f aca="false">IFERROR(VLOOKUP(B461,TE!$H$1:$Y$749,2,FALSE()),"(Not on TE)")</f>
        <v>(Not on TE)</v>
      </c>
      <c r="F461" s="763"/>
      <c r="G461" s="763"/>
      <c r="H461" s="763"/>
      <c r="I461" s="763"/>
      <c r="J461" s="763"/>
      <c r="K461" s="763"/>
      <c r="L461" s="763"/>
      <c r="M461" s="763"/>
      <c r="N461" s="764" t="str">
        <f aca="false">IFERROR(VLOOKUP(B461,TE!$H$1:$Y$749,18,FALSE()),"")</f>
        <v/>
      </c>
      <c r="O461" s="764"/>
      <c r="P461" s="764"/>
      <c r="Q461" s="764"/>
      <c r="R461" s="764"/>
      <c r="S461" s="764"/>
      <c r="T461" s="764" t="n">
        <f aca="false">IFERROR(SUMIFS(TE!$O:$O,TE!$G:$G,$B$441,TE!$I:$I,B461,TE!$D:$D,$C$5),"")</f>
        <v>0</v>
      </c>
      <c r="U461" s="764"/>
      <c r="V461" s="764"/>
      <c r="W461" s="764"/>
      <c r="X461" s="723" t="str">
        <f aca="false">IFERROR(VLOOKUP(B461,TE!$H$1:$Y$630,14,FALSE()),"0")</f>
        <v>0</v>
      </c>
      <c r="Y461" s="723"/>
      <c r="Z461" s="723"/>
      <c r="AA461" s="723"/>
      <c r="AB461" s="765" t="n">
        <f aca="false">T461*X461</f>
        <v>0</v>
      </c>
      <c r="AC461" s="765"/>
      <c r="AD461" s="765"/>
      <c r="AE461" s="736"/>
      <c r="AF461" s="736"/>
    </row>
    <row r="462" customFormat="false" ht="15.75" hidden="false" customHeight="true" outlineLevel="0" collapsed="false">
      <c r="A462" s="736"/>
      <c r="B462" s="760" t="s">
        <v>2267</v>
      </c>
      <c r="C462" s="761"/>
      <c r="D462" s="761"/>
      <c r="E462" s="762" t="str">
        <f aca="false">IFERROR(VLOOKUP(B462,TE!$H$1:$Y$749,2,FALSE()),"(Not on TE)")</f>
        <v>(Not on TE)</v>
      </c>
      <c r="F462" s="763"/>
      <c r="G462" s="763"/>
      <c r="H462" s="763"/>
      <c r="I462" s="763"/>
      <c r="J462" s="763"/>
      <c r="K462" s="763"/>
      <c r="L462" s="763"/>
      <c r="M462" s="763"/>
      <c r="N462" s="764" t="str">
        <f aca="false">IFERROR(VLOOKUP(B462,TE!$H$1:$Y$749,18,FALSE()),"")</f>
        <v/>
      </c>
      <c r="O462" s="764"/>
      <c r="P462" s="764"/>
      <c r="Q462" s="764"/>
      <c r="R462" s="764"/>
      <c r="S462" s="764"/>
      <c r="T462" s="764" t="n">
        <f aca="false">IFERROR(SUMIFS(TE!$O:$O,TE!$G:$G,$B$441,TE!$I:$I,B462,TE!$D:$D,$C$5),"")</f>
        <v>0</v>
      </c>
      <c r="U462" s="764"/>
      <c r="V462" s="764"/>
      <c r="W462" s="764"/>
      <c r="X462" s="723" t="str">
        <f aca="false">IFERROR(VLOOKUP(B462,TE!$H$1:$Y$630,14,FALSE()),"0")</f>
        <v>0</v>
      </c>
      <c r="Y462" s="723"/>
      <c r="Z462" s="723"/>
      <c r="AA462" s="723"/>
      <c r="AB462" s="765" t="n">
        <f aca="false">T462*X462</f>
        <v>0</v>
      </c>
      <c r="AC462" s="765"/>
      <c r="AD462" s="765"/>
      <c r="AE462" s="736"/>
      <c r="AF462" s="736"/>
    </row>
    <row r="463" customFormat="false" ht="15.75" hidden="false" customHeight="true" outlineLevel="0" collapsed="false">
      <c r="A463" s="736"/>
      <c r="B463" s="760" t="s">
        <v>1566</v>
      </c>
      <c r="C463" s="761"/>
      <c r="D463" s="761"/>
      <c r="E463" s="762" t="str">
        <f aca="false">IFERROR(VLOOKUP(B463,TE!$H$1:$Y$749,2,FALSE()),"(Not on TE)")</f>
        <v>(Not on TE)</v>
      </c>
      <c r="F463" s="763"/>
      <c r="G463" s="763"/>
      <c r="H463" s="763"/>
      <c r="I463" s="763"/>
      <c r="J463" s="763"/>
      <c r="K463" s="763"/>
      <c r="L463" s="763"/>
      <c r="M463" s="763"/>
      <c r="N463" s="764" t="str">
        <f aca="false">IFERROR(VLOOKUP(B463,TE!$H$1:$Y$749,18,FALSE()),"")</f>
        <v/>
      </c>
      <c r="O463" s="764"/>
      <c r="P463" s="764"/>
      <c r="Q463" s="764"/>
      <c r="R463" s="764"/>
      <c r="S463" s="764"/>
      <c r="T463" s="764" t="n">
        <f aca="false">IFERROR(SUMIFS(TE!$O:$O,TE!$G:$G,$B$441,TE!$I:$I,B463,TE!$D:$D,$C$5),"")</f>
        <v>0</v>
      </c>
      <c r="U463" s="764"/>
      <c r="V463" s="764"/>
      <c r="W463" s="764"/>
      <c r="X463" s="723" t="str">
        <f aca="false">IFERROR(VLOOKUP(B463,TE!$H$1:$Y$630,14,FALSE()),"0")</f>
        <v>0</v>
      </c>
      <c r="Y463" s="723"/>
      <c r="Z463" s="723"/>
      <c r="AA463" s="723"/>
      <c r="AB463" s="765" t="n">
        <f aca="false">T463*X463</f>
        <v>0</v>
      </c>
      <c r="AC463" s="765"/>
      <c r="AD463" s="765"/>
      <c r="AE463" s="736"/>
      <c r="AF463" s="736"/>
    </row>
    <row r="464" customFormat="false" ht="15.75" hidden="false" customHeight="true" outlineLevel="0" collapsed="false">
      <c r="A464" s="736"/>
      <c r="B464" s="760" t="s">
        <v>1149</v>
      </c>
      <c r="C464" s="761"/>
      <c r="D464" s="761"/>
      <c r="E464" s="762" t="str">
        <f aca="false">IFERROR(VLOOKUP(B464,TE!$H$1:$Y$749,2,FALSE()),"(Not on TE)")</f>
        <v>(Not on TE)</v>
      </c>
      <c r="F464" s="763"/>
      <c r="G464" s="763"/>
      <c r="H464" s="763"/>
      <c r="I464" s="763"/>
      <c r="J464" s="763"/>
      <c r="K464" s="763"/>
      <c r="L464" s="763"/>
      <c r="M464" s="763"/>
      <c r="N464" s="764" t="str">
        <f aca="false">IFERROR(VLOOKUP(B464,TE!$H$1:$Y$749,18,FALSE()),"")</f>
        <v/>
      </c>
      <c r="O464" s="764"/>
      <c r="P464" s="764"/>
      <c r="Q464" s="764"/>
      <c r="R464" s="764"/>
      <c r="S464" s="764"/>
      <c r="T464" s="764" t="n">
        <f aca="false">IFERROR(SUMIFS(TE!$O:$O,TE!$G:$G,$B$441,TE!$I:$I,B464,TE!$D:$D,$C$5),"")</f>
        <v>0</v>
      </c>
      <c r="U464" s="764"/>
      <c r="V464" s="764"/>
      <c r="W464" s="764"/>
      <c r="X464" s="723" t="str">
        <f aca="false">IFERROR(VLOOKUP(B464,TE!$H$1:$Y$630,14,FALSE()),"0")</f>
        <v>0</v>
      </c>
      <c r="Y464" s="723"/>
      <c r="Z464" s="723"/>
      <c r="AA464" s="723"/>
      <c r="AB464" s="765" t="n">
        <f aca="false">T464*X464</f>
        <v>0</v>
      </c>
      <c r="AC464" s="765"/>
      <c r="AD464" s="765"/>
      <c r="AE464" s="736"/>
      <c r="AF464" s="736"/>
    </row>
    <row r="465" customFormat="false" ht="15.75" hidden="false" customHeight="true" outlineLevel="0" collapsed="false">
      <c r="A465" s="736"/>
      <c r="B465" s="760" t="s">
        <v>1253</v>
      </c>
      <c r="C465" s="761"/>
      <c r="D465" s="761"/>
      <c r="E465" s="762" t="str">
        <f aca="false">IFERROR(VLOOKUP(B465,TE!$H$1:$Y$749,2,FALSE()),"(Not on TE)")</f>
        <v>(Not on TE)</v>
      </c>
      <c r="F465" s="763"/>
      <c r="G465" s="763"/>
      <c r="H465" s="763"/>
      <c r="I465" s="763"/>
      <c r="J465" s="763"/>
      <c r="K465" s="763"/>
      <c r="L465" s="763"/>
      <c r="M465" s="763"/>
      <c r="N465" s="764" t="str">
        <f aca="false">IFERROR(VLOOKUP(B465,TE!$H$1:$Y$749,18,FALSE()),"")</f>
        <v/>
      </c>
      <c r="O465" s="764"/>
      <c r="P465" s="764"/>
      <c r="Q465" s="764"/>
      <c r="R465" s="764"/>
      <c r="S465" s="764"/>
      <c r="T465" s="764" t="n">
        <f aca="false">IFERROR(SUMIFS(TE!$O:$O,TE!$G:$G,$B$441,TE!$I:$I,B465,TE!$D:$D,$C$5),"")</f>
        <v>0</v>
      </c>
      <c r="U465" s="764"/>
      <c r="V465" s="764"/>
      <c r="W465" s="764"/>
      <c r="X465" s="723" t="str">
        <f aca="false">IFERROR(VLOOKUP(B465,TE!$H$1:$Y$630,14,FALSE()),"0")</f>
        <v>0</v>
      </c>
      <c r="Y465" s="723"/>
      <c r="Z465" s="723"/>
      <c r="AA465" s="723"/>
      <c r="AB465" s="765" t="n">
        <f aca="false">T465*X465</f>
        <v>0</v>
      </c>
      <c r="AC465" s="765"/>
      <c r="AD465" s="765"/>
      <c r="AE465" s="736"/>
      <c r="AF465" s="736"/>
    </row>
    <row r="466" customFormat="false" ht="15.75" hidden="false" customHeight="true" outlineLevel="0" collapsed="false">
      <c r="A466" s="736"/>
      <c r="B466" s="760" t="s">
        <v>1255</v>
      </c>
      <c r="C466" s="761"/>
      <c r="D466" s="761"/>
      <c r="E466" s="762" t="str">
        <f aca="false">IFERROR(VLOOKUP(B466,TE!$H$1:$Y$749,2,FALSE()),"(Not on TE)")</f>
        <v>(Not on TE)</v>
      </c>
      <c r="F466" s="763"/>
      <c r="G466" s="763"/>
      <c r="H466" s="763"/>
      <c r="I466" s="763"/>
      <c r="J466" s="763"/>
      <c r="K466" s="763"/>
      <c r="L466" s="763"/>
      <c r="M466" s="763"/>
      <c r="N466" s="764" t="str">
        <f aca="false">IFERROR(VLOOKUP(B466,TE!$H$1:$Y$749,18,FALSE()),"")</f>
        <v/>
      </c>
      <c r="O466" s="764"/>
      <c r="P466" s="764"/>
      <c r="Q466" s="764"/>
      <c r="R466" s="764"/>
      <c r="S466" s="764"/>
      <c r="T466" s="764" t="n">
        <f aca="false">IFERROR(SUMIFS(TE!$O:$O,TE!$G:$G,$B$441,TE!$I:$I,B466,TE!$D:$D,$C$5),"")</f>
        <v>0</v>
      </c>
      <c r="U466" s="764"/>
      <c r="V466" s="764"/>
      <c r="W466" s="764"/>
      <c r="X466" s="723" t="str">
        <f aca="false">IFERROR(VLOOKUP(B466,TE!$H$1:$Y$630,14,FALSE()),"0")</f>
        <v>0</v>
      </c>
      <c r="Y466" s="723"/>
      <c r="Z466" s="723"/>
      <c r="AA466" s="723"/>
      <c r="AB466" s="765" t="n">
        <f aca="false">T466*X466</f>
        <v>0</v>
      </c>
      <c r="AC466" s="765"/>
      <c r="AD466" s="765"/>
      <c r="AE466" s="736"/>
      <c r="AF466" s="736"/>
    </row>
    <row r="467" customFormat="false" ht="15.75" hidden="false" customHeight="true" outlineLevel="0" collapsed="false">
      <c r="A467" s="736"/>
      <c r="B467" s="760" t="s">
        <v>1458</v>
      </c>
      <c r="C467" s="761"/>
      <c r="D467" s="761"/>
      <c r="E467" s="762" t="str">
        <f aca="false">IFERROR(VLOOKUP(B467,TE!$H$1:$Y$749,2,FALSE()),"(Not on TE)")</f>
        <v>(Not on TE)</v>
      </c>
      <c r="F467" s="763"/>
      <c r="G467" s="763"/>
      <c r="H467" s="763"/>
      <c r="I467" s="763"/>
      <c r="J467" s="763"/>
      <c r="K467" s="763"/>
      <c r="L467" s="763"/>
      <c r="M467" s="763"/>
      <c r="N467" s="764" t="str">
        <f aca="false">IFERROR(VLOOKUP(B467,TE!$H$1:$Y$749,18,FALSE()),"")</f>
        <v/>
      </c>
      <c r="O467" s="764"/>
      <c r="P467" s="764"/>
      <c r="Q467" s="764"/>
      <c r="R467" s="764"/>
      <c r="S467" s="764"/>
      <c r="T467" s="764" t="n">
        <f aca="false">IFERROR(SUMIFS(TE!$O:$O,TE!$G:$G,$B$441,TE!$I:$I,B467,TE!$D:$D,$C$5),"")</f>
        <v>0</v>
      </c>
      <c r="U467" s="764"/>
      <c r="V467" s="764"/>
      <c r="W467" s="764"/>
      <c r="X467" s="723" t="str">
        <f aca="false">IFERROR(VLOOKUP(B467,TE!$H$1:$Y$630,14,FALSE()),"0")</f>
        <v>0</v>
      </c>
      <c r="Y467" s="723"/>
      <c r="Z467" s="723"/>
      <c r="AA467" s="723"/>
      <c r="AB467" s="765" t="n">
        <f aca="false">T467*X467</f>
        <v>0</v>
      </c>
      <c r="AC467" s="765"/>
      <c r="AD467" s="765"/>
      <c r="AE467" s="736"/>
      <c r="AF467" s="736"/>
    </row>
    <row r="468" customFormat="false" ht="15.75" hidden="false" customHeight="true" outlineLevel="0" collapsed="false">
      <c r="A468" s="736"/>
      <c r="B468" s="760" t="s">
        <v>1199</v>
      </c>
      <c r="C468" s="761"/>
      <c r="D468" s="761"/>
      <c r="E468" s="762" t="str">
        <f aca="false">IFERROR(VLOOKUP(B468,TE!$H$1:$Y$749,2,FALSE()),"(Not on TE)")</f>
        <v>(Not on TE)</v>
      </c>
      <c r="F468" s="763"/>
      <c r="G468" s="763"/>
      <c r="H468" s="763"/>
      <c r="I468" s="763"/>
      <c r="J468" s="763"/>
      <c r="K468" s="763"/>
      <c r="L468" s="763"/>
      <c r="M468" s="763"/>
      <c r="N468" s="764" t="str">
        <f aca="false">IFERROR(VLOOKUP(B468,TE!$H$1:$Y$749,18,FALSE()),"")</f>
        <v/>
      </c>
      <c r="O468" s="764"/>
      <c r="P468" s="764"/>
      <c r="Q468" s="764"/>
      <c r="R468" s="764"/>
      <c r="S468" s="764"/>
      <c r="T468" s="764" t="n">
        <f aca="false">IFERROR(SUMIFS(TE!$O:$O,TE!$G:$G,$B$441,TE!$I:$I,B468,TE!$D:$D,$C$5),"")</f>
        <v>0</v>
      </c>
      <c r="U468" s="764"/>
      <c r="V468" s="764"/>
      <c r="W468" s="764"/>
      <c r="X468" s="723" t="str">
        <f aca="false">IFERROR(VLOOKUP(B468,TE!$H$1:$Y$630,14,FALSE()),"0")</f>
        <v>0</v>
      </c>
      <c r="Y468" s="723"/>
      <c r="Z468" s="723"/>
      <c r="AA468" s="723"/>
      <c r="AB468" s="765" t="n">
        <f aca="false">T468*X468</f>
        <v>0</v>
      </c>
      <c r="AC468" s="765"/>
      <c r="AD468" s="765"/>
      <c r="AE468" s="736"/>
      <c r="AF468" s="736"/>
    </row>
    <row r="469" customFormat="false" ht="15.75" hidden="false" customHeight="true" outlineLevel="0" collapsed="false">
      <c r="A469" s="736"/>
      <c r="B469" s="760" t="s">
        <v>1567</v>
      </c>
      <c r="C469" s="761"/>
      <c r="D469" s="761"/>
      <c r="E469" s="762" t="str">
        <f aca="false">IFERROR(VLOOKUP(B469,TE!$H$1:$Y$749,2,FALSE()),"(Not on TE)")</f>
        <v>(Not on TE)</v>
      </c>
      <c r="F469" s="763"/>
      <c r="G469" s="763"/>
      <c r="H469" s="763"/>
      <c r="I469" s="763"/>
      <c r="J469" s="763"/>
      <c r="K469" s="763"/>
      <c r="L469" s="763"/>
      <c r="M469" s="763"/>
      <c r="N469" s="764" t="str">
        <f aca="false">IFERROR(VLOOKUP(B469,TE!$H$1:$Y$749,18,FALSE()),"")</f>
        <v/>
      </c>
      <c r="O469" s="764"/>
      <c r="P469" s="764"/>
      <c r="Q469" s="764"/>
      <c r="R469" s="764"/>
      <c r="S469" s="764"/>
      <c r="T469" s="764" t="n">
        <f aca="false">IFERROR(SUMIFS(TE!$O:$O,TE!$G:$G,$B$441,TE!$I:$I,B469,TE!$D:$D,$C$5),"")</f>
        <v>0</v>
      </c>
      <c r="U469" s="764"/>
      <c r="V469" s="764"/>
      <c r="W469" s="764"/>
      <c r="X469" s="723" t="str">
        <f aca="false">IFERROR(VLOOKUP(B469,TE!$H$1:$Y$630,14,FALSE()),"0")</f>
        <v>0</v>
      </c>
      <c r="Y469" s="723"/>
      <c r="Z469" s="723"/>
      <c r="AA469" s="723"/>
      <c r="AB469" s="765" t="n">
        <f aca="false">T469*X469</f>
        <v>0</v>
      </c>
      <c r="AC469" s="765"/>
      <c r="AD469" s="765"/>
      <c r="AE469" s="736"/>
      <c r="AF469" s="736"/>
    </row>
    <row r="470" customFormat="false" ht="15.75" hidden="false" customHeight="true" outlineLevel="0" collapsed="false">
      <c r="A470" s="736"/>
      <c r="B470" s="760" t="s">
        <v>1568</v>
      </c>
      <c r="C470" s="761"/>
      <c r="D470" s="761"/>
      <c r="E470" s="762" t="str">
        <f aca="false">IFERROR(VLOOKUP(B470,TE!$H$1:$Y$749,2,FALSE()),"(Not on TE)")</f>
        <v>(Not on TE)</v>
      </c>
      <c r="F470" s="763"/>
      <c r="G470" s="763"/>
      <c r="H470" s="763"/>
      <c r="I470" s="763"/>
      <c r="J470" s="763"/>
      <c r="K470" s="763"/>
      <c r="L470" s="763"/>
      <c r="M470" s="763"/>
      <c r="N470" s="764" t="str">
        <f aca="false">IFERROR(VLOOKUP(B470,TE!$H$1:$Y$749,18,FALSE()),"")</f>
        <v/>
      </c>
      <c r="O470" s="764"/>
      <c r="P470" s="764"/>
      <c r="Q470" s="764"/>
      <c r="R470" s="764"/>
      <c r="S470" s="764"/>
      <c r="T470" s="764" t="n">
        <f aca="false">IFERROR(SUMIFS(TE!$O:$O,TE!$G:$G,$B$441,TE!$I:$I,B470,TE!$D:$D,$C$5),"")</f>
        <v>0</v>
      </c>
      <c r="U470" s="764"/>
      <c r="V470" s="764"/>
      <c r="W470" s="764"/>
      <c r="X470" s="723" t="str">
        <f aca="false">IFERROR(VLOOKUP(B470,TE!$H$1:$Y$630,14,FALSE()),"0")</f>
        <v>0</v>
      </c>
      <c r="Y470" s="723"/>
      <c r="Z470" s="723"/>
      <c r="AA470" s="723"/>
      <c r="AB470" s="765" t="n">
        <f aca="false">T470*X470</f>
        <v>0</v>
      </c>
      <c r="AC470" s="765"/>
      <c r="AD470" s="765"/>
      <c r="AE470" s="736"/>
      <c r="AF470" s="736"/>
    </row>
    <row r="471" customFormat="false" ht="15.75" hidden="false" customHeight="true" outlineLevel="0" collapsed="false">
      <c r="A471" s="736"/>
      <c r="B471" s="760" t="s">
        <v>1569</v>
      </c>
      <c r="C471" s="761"/>
      <c r="D471" s="761"/>
      <c r="E471" s="762" t="str">
        <f aca="false">IFERROR(VLOOKUP(B471,TE!$H$1:$Y$749,2,FALSE()),"(Not on TE)")</f>
        <v>(Not on TE)</v>
      </c>
      <c r="F471" s="763"/>
      <c r="G471" s="763"/>
      <c r="H471" s="763"/>
      <c r="I471" s="763"/>
      <c r="J471" s="763"/>
      <c r="K471" s="763"/>
      <c r="L471" s="763"/>
      <c r="M471" s="763"/>
      <c r="N471" s="764" t="str">
        <f aca="false">IFERROR(VLOOKUP(B471,TE!$H$1:$Y$749,18,FALSE()),"")</f>
        <v/>
      </c>
      <c r="O471" s="764"/>
      <c r="P471" s="764"/>
      <c r="Q471" s="764"/>
      <c r="R471" s="764"/>
      <c r="S471" s="764"/>
      <c r="T471" s="764" t="n">
        <f aca="false">IFERROR(SUMIFS(TE!$O:$O,TE!$G:$G,$B$441,TE!$I:$I,B471,TE!$D:$D,$C$5),"")</f>
        <v>0</v>
      </c>
      <c r="U471" s="764"/>
      <c r="V471" s="764"/>
      <c r="W471" s="764"/>
      <c r="X471" s="723" t="str">
        <f aca="false">IFERROR(VLOOKUP(B471,TE!$H$1:$Y$630,14,FALSE()),"0")</f>
        <v>0</v>
      </c>
      <c r="Y471" s="723"/>
      <c r="Z471" s="723"/>
      <c r="AA471" s="723"/>
      <c r="AB471" s="765" t="n">
        <f aca="false">T471*X471</f>
        <v>0</v>
      </c>
      <c r="AC471" s="765"/>
      <c r="AD471" s="765"/>
      <c r="AE471" s="736"/>
      <c r="AF471" s="736"/>
    </row>
    <row r="472" customFormat="false" ht="15.75" hidden="false" customHeight="true" outlineLevel="0" collapsed="false">
      <c r="A472" s="736"/>
      <c r="B472" s="760" t="s">
        <v>1305</v>
      </c>
      <c r="C472" s="761"/>
      <c r="D472" s="761"/>
      <c r="E472" s="762" t="str">
        <f aca="false">IFERROR(VLOOKUP(B472,TE!$H$1:$Y$749,2,FALSE()),"(Not on TE)")</f>
        <v>(Not on TE)</v>
      </c>
      <c r="F472" s="763"/>
      <c r="G472" s="763"/>
      <c r="H472" s="763"/>
      <c r="I472" s="763"/>
      <c r="J472" s="763"/>
      <c r="K472" s="763"/>
      <c r="L472" s="763"/>
      <c r="M472" s="763"/>
      <c r="N472" s="764" t="str">
        <f aca="false">IFERROR(VLOOKUP(B472,TE!$H$1:$Y$749,18,FALSE()),"")</f>
        <v/>
      </c>
      <c r="O472" s="764"/>
      <c r="P472" s="764"/>
      <c r="Q472" s="764"/>
      <c r="R472" s="764"/>
      <c r="S472" s="764"/>
      <c r="T472" s="764" t="n">
        <f aca="false">IFERROR(SUMIFS(TE!$O:$O,TE!$G:$G,$B$441,TE!$I:$I,B472,TE!$D:$D,$C$5),"")</f>
        <v>0</v>
      </c>
      <c r="U472" s="764"/>
      <c r="V472" s="764"/>
      <c r="W472" s="764"/>
      <c r="X472" s="723" t="str">
        <f aca="false">IFERROR(VLOOKUP(B472,TE!$H$1:$Y$630,14,FALSE()),"0")</f>
        <v>0</v>
      </c>
      <c r="Y472" s="723"/>
      <c r="Z472" s="723"/>
      <c r="AA472" s="723"/>
      <c r="AB472" s="765" t="n">
        <f aca="false">T472*X472</f>
        <v>0</v>
      </c>
      <c r="AC472" s="765"/>
      <c r="AD472" s="765"/>
      <c r="AE472" s="736"/>
      <c r="AF472" s="736"/>
    </row>
    <row r="473" customFormat="false" ht="15.75" hidden="false" customHeight="true" outlineLevel="0" collapsed="false">
      <c r="A473" s="736"/>
      <c r="B473" s="760" t="s">
        <v>1104</v>
      </c>
      <c r="C473" s="761"/>
      <c r="D473" s="761"/>
      <c r="E473" s="762" t="str">
        <f aca="false">IFERROR(VLOOKUP(B473,TE!$H$1:$Y$749,2,FALSE()),"(Not on TE)")</f>
        <v>(Not on TE)</v>
      </c>
      <c r="F473" s="763"/>
      <c r="G473" s="763"/>
      <c r="H473" s="763"/>
      <c r="I473" s="763"/>
      <c r="J473" s="763"/>
      <c r="K473" s="763"/>
      <c r="L473" s="763"/>
      <c r="M473" s="763"/>
      <c r="N473" s="764" t="str">
        <f aca="false">IFERROR(VLOOKUP(B473,TE!$H$1:$Y$749,18,FALSE()),"")</f>
        <v/>
      </c>
      <c r="O473" s="764"/>
      <c r="P473" s="764"/>
      <c r="Q473" s="764"/>
      <c r="R473" s="764"/>
      <c r="S473" s="764"/>
      <c r="T473" s="764" t="n">
        <f aca="false">IFERROR(SUMIFS(TE!$O:$O,TE!$G:$G,$B$441,TE!$I:$I,B473,TE!$D:$D,$C$5),"")</f>
        <v>0</v>
      </c>
      <c r="U473" s="764"/>
      <c r="V473" s="764"/>
      <c r="W473" s="764"/>
      <c r="X473" s="723" t="str">
        <f aca="false">IFERROR(VLOOKUP(B473,TE!$H$1:$Y$630,14,FALSE()),"0")</f>
        <v>0</v>
      </c>
      <c r="Y473" s="723"/>
      <c r="Z473" s="723"/>
      <c r="AA473" s="723"/>
      <c r="AB473" s="765" t="n">
        <f aca="false">T473*X473</f>
        <v>0</v>
      </c>
      <c r="AC473" s="765"/>
      <c r="AD473" s="765"/>
      <c r="AE473" s="736"/>
      <c r="AF473" s="736"/>
    </row>
    <row r="474" customFormat="false" ht="15.75" hidden="false" customHeight="true" outlineLevel="0" collapsed="false">
      <c r="A474" s="736"/>
      <c r="B474" s="760" t="s">
        <v>1571</v>
      </c>
      <c r="C474" s="761"/>
      <c r="D474" s="761"/>
      <c r="E474" s="762" t="str">
        <f aca="false">IFERROR(VLOOKUP(B474,TE!$H$1:$Y$749,2,FALSE()),"(Not on TE)")</f>
        <v>(Not on TE)</v>
      </c>
      <c r="F474" s="763"/>
      <c r="G474" s="763"/>
      <c r="H474" s="763"/>
      <c r="I474" s="763"/>
      <c r="J474" s="763"/>
      <c r="K474" s="763"/>
      <c r="L474" s="763"/>
      <c r="M474" s="763"/>
      <c r="N474" s="764" t="str">
        <f aca="false">IFERROR(VLOOKUP(B474,TE!$H$1:$Y$749,18,FALSE()),"")</f>
        <v/>
      </c>
      <c r="O474" s="764"/>
      <c r="P474" s="764"/>
      <c r="Q474" s="764"/>
      <c r="R474" s="764"/>
      <c r="S474" s="764"/>
      <c r="T474" s="764" t="n">
        <f aca="false">IFERROR(SUMIFS(TE!$O:$O,TE!$G:$G,$B$441,TE!$I:$I,B474,TE!$D:$D,$C$5),"")</f>
        <v>0</v>
      </c>
      <c r="U474" s="764"/>
      <c r="V474" s="764"/>
      <c r="W474" s="764"/>
      <c r="X474" s="723" t="str">
        <f aca="false">IFERROR(VLOOKUP(B474,TE!$H$1:$Y$630,14,FALSE()),"0")</f>
        <v>0</v>
      </c>
      <c r="Y474" s="723"/>
      <c r="Z474" s="723"/>
      <c r="AA474" s="723"/>
      <c r="AB474" s="765" t="n">
        <f aca="false">T474*X474</f>
        <v>0</v>
      </c>
      <c r="AC474" s="765"/>
      <c r="AD474" s="765"/>
      <c r="AE474" s="736"/>
      <c r="AF474" s="736"/>
    </row>
    <row r="475" customFormat="false" ht="15.75" hidden="false" customHeight="true" outlineLevel="0" collapsed="false">
      <c r="A475" s="736"/>
      <c r="B475" s="760" t="s">
        <v>1572</v>
      </c>
      <c r="C475" s="761"/>
      <c r="D475" s="761"/>
      <c r="E475" s="762" t="str">
        <f aca="false">IFERROR(VLOOKUP(B475,TE!$H$1:$Y$749,2,FALSE()),"(Not on TE)")</f>
        <v>(Not on TE)</v>
      </c>
      <c r="F475" s="763"/>
      <c r="G475" s="763"/>
      <c r="H475" s="763"/>
      <c r="I475" s="763"/>
      <c r="J475" s="763"/>
      <c r="K475" s="763"/>
      <c r="L475" s="763"/>
      <c r="M475" s="763"/>
      <c r="N475" s="764" t="str">
        <f aca="false">IFERROR(VLOOKUP(B475,TE!$H$1:$Y$749,18,FALSE()),"")</f>
        <v/>
      </c>
      <c r="O475" s="764"/>
      <c r="P475" s="764"/>
      <c r="Q475" s="764"/>
      <c r="R475" s="764"/>
      <c r="S475" s="764"/>
      <c r="T475" s="764" t="n">
        <f aca="false">IFERROR(SUMIFS(TE!$O:$O,TE!$G:$G,$B$441,TE!$I:$I,B475,TE!$D:$D,$C$5),"")</f>
        <v>0</v>
      </c>
      <c r="U475" s="764"/>
      <c r="V475" s="764"/>
      <c r="W475" s="764"/>
      <c r="X475" s="723" t="str">
        <f aca="false">IFERROR(VLOOKUP(B475,TE!$H$1:$Y$630,14,FALSE()),"0")</f>
        <v>0</v>
      </c>
      <c r="Y475" s="723"/>
      <c r="Z475" s="723"/>
      <c r="AA475" s="723"/>
      <c r="AB475" s="765" t="n">
        <f aca="false">T475*X475</f>
        <v>0</v>
      </c>
      <c r="AC475" s="765"/>
      <c r="AD475" s="765"/>
      <c r="AE475" s="736"/>
      <c r="AF475" s="736"/>
    </row>
    <row r="476" customFormat="false" ht="15.75" hidden="false" customHeight="true" outlineLevel="0" collapsed="false">
      <c r="A476" s="736"/>
      <c r="B476" s="760" t="s">
        <v>1316</v>
      </c>
      <c r="C476" s="761"/>
      <c r="D476" s="761"/>
      <c r="E476" s="762" t="str">
        <f aca="false">IFERROR(VLOOKUP(B476,TE!$H$1:$Y$749,2,FALSE()),"(Not on TE)")</f>
        <v>(Not on TE)</v>
      </c>
      <c r="F476" s="763"/>
      <c r="G476" s="763"/>
      <c r="H476" s="763"/>
      <c r="I476" s="763"/>
      <c r="J476" s="763"/>
      <c r="K476" s="763"/>
      <c r="L476" s="763"/>
      <c r="M476" s="763"/>
      <c r="N476" s="764" t="str">
        <f aca="false">IFERROR(VLOOKUP(B476,TE!$H$1:$Y$749,18,FALSE()),"")</f>
        <v/>
      </c>
      <c r="O476" s="764"/>
      <c r="P476" s="764"/>
      <c r="Q476" s="764"/>
      <c r="R476" s="764"/>
      <c r="S476" s="764"/>
      <c r="T476" s="764" t="n">
        <f aca="false">IFERROR(SUMIFS(TE!$O:$O,TE!$G:$G,$B$441,TE!$I:$I,B476,TE!$D:$D,$C$5),"")</f>
        <v>0</v>
      </c>
      <c r="U476" s="764"/>
      <c r="V476" s="764"/>
      <c r="W476" s="764"/>
      <c r="X476" s="723" t="str">
        <f aca="false">IFERROR(VLOOKUP(B476,TE!$H$1:$Y$630,14,FALSE()),"0")</f>
        <v>0</v>
      </c>
      <c r="Y476" s="723"/>
      <c r="Z476" s="723"/>
      <c r="AA476" s="723"/>
      <c r="AB476" s="765" t="n">
        <f aca="false">T476*X476</f>
        <v>0</v>
      </c>
      <c r="AC476" s="765"/>
      <c r="AD476" s="765"/>
      <c r="AE476" s="766"/>
      <c r="AF476" s="736"/>
    </row>
    <row r="477" customFormat="false" ht="15.75" hidden="false" customHeight="true" outlineLevel="0" collapsed="false">
      <c r="A477" s="736"/>
      <c r="B477" s="760" t="s">
        <v>1573</v>
      </c>
      <c r="C477" s="761"/>
      <c r="D477" s="761"/>
      <c r="E477" s="762" t="str">
        <f aca="false">IFERROR(VLOOKUP(B477,TE!$H$1:$Y$749,2,FALSE()),"(Not on TE)")</f>
        <v>(Not on TE)</v>
      </c>
      <c r="F477" s="763"/>
      <c r="G477" s="763"/>
      <c r="H477" s="763"/>
      <c r="I477" s="763"/>
      <c r="J477" s="763"/>
      <c r="K477" s="763"/>
      <c r="L477" s="763"/>
      <c r="M477" s="763"/>
      <c r="N477" s="764" t="str">
        <f aca="false">IFERROR(VLOOKUP(B477,TE!$H$1:$Y$749,18,FALSE()),"")</f>
        <v/>
      </c>
      <c r="O477" s="764"/>
      <c r="P477" s="764"/>
      <c r="Q477" s="764"/>
      <c r="R477" s="764"/>
      <c r="S477" s="764"/>
      <c r="T477" s="764" t="n">
        <f aca="false">IFERROR(SUMIFS(TE!$O:$O,TE!$G:$G,$B$441,TE!$I:$I,B477,TE!$D:$D,$C$5),"")</f>
        <v>0</v>
      </c>
      <c r="U477" s="764"/>
      <c r="V477" s="764"/>
      <c r="W477" s="764"/>
      <c r="X477" s="723" t="str">
        <f aca="false">IFERROR(VLOOKUP(B477,TE!$H$1:$Y$630,14,FALSE()),"0")</f>
        <v>0</v>
      </c>
      <c r="Y477" s="723"/>
      <c r="Z477" s="723"/>
      <c r="AA477" s="723"/>
      <c r="AB477" s="765" t="n">
        <f aca="false">T477*X477</f>
        <v>0</v>
      </c>
      <c r="AC477" s="765"/>
      <c r="AD477" s="765"/>
      <c r="AE477" s="766"/>
      <c r="AF477" s="736"/>
    </row>
    <row r="478" customFormat="false" ht="15.75" hidden="false" customHeight="true" outlineLevel="0" collapsed="false">
      <c r="A478" s="736"/>
      <c r="B478" s="760" t="s">
        <v>1574</v>
      </c>
      <c r="C478" s="761"/>
      <c r="D478" s="761"/>
      <c r="E478" s="762" t="str">
        <f aca="false">IFERROR(VLOOKUP(B478,TE!$H$1:$Y$749,2,FALSE()),"(Not on TE)")</f>
        <v>(Not on TE)</v>
      </c>
      <c r="F478" s="763"/>
      <c r="G478" s="763"/>
      <c r="H478" s="763"/>
      <c r="I478" s="763"/>
      <c r="J478" s="763"/>
      <c r="K478" s="763"/>
      <c r="L478" s="763"/>
      <c r="M478" s="763"/>
      <c r="N478" s="764" t="str">
        <f aca="false">IFERROR(VLOOKUP(B478,TE!$H$1:$Y$749,18,FALSE()),"")</f>
        <v/>
      </c>
      <c r="O478" s="764"/>
      <c r="P478" s="764"/>
      <c r="Q478" s="764"/>
      <c r="R478" s="764"/>
      <c r="S478" s="764"/>
      <c r="T478" s="764" t="n">
        <f aca="false">IFERROR(SUMIFS(TE!$O:$O,TE!$G:$G,$B$441,TE!$I:$I,B478,TE!$D:$D,$C$5),"")</f>
        <v>0</v>
      </c>
      <c r="U478" s="764"/>
      <c r="V478" s="764"/>
      <c r="W478" s="764"/>
      <c r="X478" s="723" t="str">
        <f aca="false">IFERROR(VLOOKUP(B478,TE!$H$1:$Y$630,14,FALSE()),"0")</f>
        <v>0</v>
      </c>
      <c r="Y478" s="723"/>
      <c r="Z478" s="723"/>
      <c r="AA478" s="723"/>
      <c r="AB478" s="765" t="n">
        <f aca="false">T478*X478</f>
        <v>0</v>
      </c>
      <c r="AC478" s="765"/>
      <c r="AD478" s="765"/>
      <c r="AE478" s="766"/>
      <c r="AF478" s="736"/>
    </row>
    <row r="479" customFormat="false" ht="15.75" hidden="false" customHeight="true" outlineLevel="0" collapsed="false">
      <c r="A479" s="736"/>
      <c r="B479" s="760" t="s">
        <v>1575</v>
      </c>
      <c r="C479" s="761"/>
      <c r="D479" s="761"/>
      <c r="E479" s="762" t="str">
        <f aca="false">IFERROR(VLOOKUP(B479,TE!$H$1:$Y$749,2,FALSE()),"(Not on TE)")</f>
        <v>(Not on TE)</v>
      </c>
      <c r="F479" s="763"/>
      <c r="G479" s="763"/>
      <c r="H479" s="763"/>
      <c r="I479" s="763"/>
      <c r="J479" s="763"/>
      <c r="K479" s="763"/>
      <c r="L479" s="763"/>
      <c r="M479" s="763"/>
      <c r="N479" s="764" t="str">
        <f aca="false">IFERROR(VLOOKUP(B479,TE!$H$1:$Y$749,18,FALSE()),"")</f>
        <v/>
      </c>
      <c r="O479" s="764"/>
      <c r="P479" s="764"/>
      <c r="Q479" s="764"/>
      <c r="R479" s="764"/>
      <c r="S479" s="764"/>
      <c r="T479" s="764" t="n">
        <f aca="false">IFERROR(SUMIFS(TE!$O:$O,TE!$G:$G,$B$441,TE!$I:$I,B479,TE!$D:$D,$C$5),"")</f>
        <v>0</v>
      </c>
      <c r="U479" s="764"/>
      <c r="V479" s="764"/>
      <c r="W479" s="764"/>
      <c r="X479" s="723" t="str">
        <f aca="false">IFERROR(VLOOKUP(B479,TE!$H$1:$Y$630,14,FALSE()),"0")</f>
        <v>0</v>
      </c>
      <c r="Y479" s="723"/>
      <c r="Z479" s="723"/>
      <c r="AA479" s="723"/>
      <c r="AB479" s="765" t="n">
        <f aca="false">T479*X479</f>
        <v>0</v>
      </c>
      <c r="AC479" s="765"/>
      <c r="AD479" s="765"/>
      <c r="AE479" s="766"/>
      <c r="AF479" s="736"/>
    </row>
    <row r="480" customFormat="false" ht="15.75" hidden="false" customHeight="true" outlineLevel="0" collapsed="false">
      <c r="A480" s="736"/>
      <c r="B480" s="767" t="s">
        <v>1577</v>
      </c>
      <c r="C480" s="768"/>
      <c r="D480" s="768"/>
      <c r="E480" s="769" t="str">
        <f aca="false">IFERROR(VLOOKUP(B480,TE!$H$1:$Y$749,2,FALSE()),"(Not on TE)")</f>
        <v>(Not on TE)</v>
      </c>
      <c r="F480" s="770"/>
      <c r="G480" s="770"/>
      <c r="H480" s="770"/>
      <c r="I480" s="770"/>
      <c r="J480" s="770"/>
      <c r="K480" s="770"/>
      <c r="L480" s="770"/>
      <c r="M480" s="770"/>
      <c r="N480" s="771" t="str">
        <f aca="false">IFERROR(VLOOKUP(B480,TE!$H$1:$Y$749,18,FALSE()),"")</f>
        <v/>
      </c>
      <c r="O480" s="771"/>
      <c r="P480" s="771"/>
      <c r="Q480" s="771"/>
      <c r="R480" s="771"/>
      <c r="S480" s="771"/>
      <c r="T480" s="771" t="n">
        <f aca="false">IFERROR(SUMIFS(TE!$O:$O,TE!$G:$G,$B$441,TE!$I:$I,B480,TE!$D:$D,$C$5),"")</f>
        <v>0</v>
      </c>
      <c r="U480" s="771"/>
      <c r="V480" s="771"/>
      <c r="W480" s="771"/>
      <c r="X480" s="727" t="str">
        <f aca="false">IFERROR(VLOOKUP(B480,TE!$H$1:$Y$630,14,FALSE()),"0")</f>
        <v>0</v>
      </c>
      <c r="Y480" s="727"/>
      <c r="Z480" s="727"/>
      <c r="AA480" s="727"/>
      <c r="AB480" s="772" t="n">
        <f aca="false">T480*X480</f>
        <v>0</v>
      </c>
      <c r="AC480" s="772"/>
      <c r="AD480" s="772"/>
      <c r="AE480" s="766"/>
      <c r="AF480" s="736"/>
    </row>
    <row r="481" customFormat="false" ht="15.75" hidden="false" customHeight="true" outlineLevel="0" collapsed="false">
      <c r="A481" s="736"/>
      <c r="B481" s="761"/>
      <c r="C481" s="761"/>
      <c r="D481" s="761"/>
      <c r="E481" s="763"/>
      <c r="F481" s="763"/>
      <c r="G481" s="763"/>
      <c r="H481" s="763"/>
      <c r="I481" s="763"/>
      <c r="J481" s="763"/>
      <c r="K481" s="763"/>
      <c r="L481" s="763"/>
      <c r="M481" s="763"/>
      <c r="N481" s="773"/>
      <c r="O481" s="773"/>
      <c r="P481" s="773"/>
      <c r="Q481" s="773"/>
      <c r="R481" s="773"/>
      <c r="S481" s="773"/>
      <c r="T481" s="773"/>
      <c r="U481" s="773"/>
      <c r="V481" s="773"/>
      <c r="W481" s="773"/>
      <c r="X481" s="774"/>
      <c r="Y481" s="774"/>
      <c r="Z481" s="775" t="s">
        <v>1576</v>
      </c>
      <c r="AA481" s="775"/>
      <c r="AB481" s="775"/>
      <c r="AC481" s="775"/>
      <c r="AD481" s="775"/>
      <c r="AE481" s="766"/>
      <c r="AF481" s="736"/>
    </row>
    <row r="482" customFormat="false" ht="15.75" hidden="false" customHeight="true" outlineLevel="0" collapsed="false">
      <c r="A482" s="776"/>
      <c r="B482" s="776"/>
      <c r="C482" s="776"/>
      <c r="D482" s="776"/>
      <c r="E482" s="776"/>
      <c r="F482" s="776"/>
      <c r="G482" s="776"/>
      <c r="H482" s="776"/>
      <c r="I482" s="776"/>
      <c r="J482" s="776"/>
      <c r="K482" s="776"/>
      <c r="L482" s="776"/>
      <c r="M482" s="776"/>
      <c r="N482" s="776"/>
      <c r="O482" s="776"/>
      <c r="P482" s="776"/>
      <c r="Q482" s="776"/>
      <c r="R482" s="776"/>
      <c r="S482" s="776"/>
      <c r="T482" s="776"/>
      <c r="U482" s="776"/>
      <c r="V482" s="776"/>
      <c r="W482" s="776"/>
      <c r="X482" s="776"/>
      <c r="Y482" s="776"/>
      <c r="Z482" s="776"/>
      <c r="AA482" s="776"/>
      <c r="AB482" s="777"/>
      <c r="AC482" s="777"/>
      <c r="AD482" s="777"/>
      <c r="AE482" s="777"/>
      <c r="AF482" s="777"/>
    </row>
    <row r="483" customFormat="false" ht="15.75" hidden="false" customHeight="true" outlineLevel="0" collapsed="false">
      <c r="A483" s="688" t="s">
        <v>1522</v>
      </c>
      <c r="B483" s="688"/>
      <c r="C483" s="751" t="n">
        <f aca="false">$C$5</f>
        <v>21451</v>
      </c>
      <c r="D483" s="751"/>
      <c r="E483" s="751"/>
      <c r="F483" s="751"/>
      <c r="G483" s="751"/>
      <c r="H483" s="751"/>
      <c r="I483" s="751"/>
      <c r="J483" s="751"/>
      <c r="K483" s="751"/>
      <c r="L483" s="751"/>
      <c r="M483" s="688" t="s">
        <v>1523</v>
      </c>
      <c r="N483" s="688"/>
      <c r="O483" s="688"/>
      <c r="P483" s="688"/>
      <c r="Q483" s="688"/>
      <c r="R483" s="752" t="str">
        <f aca="false">$R$5</f>
        <v>Automotive Organizational Shop</v>
      </c>
      <c r="S483" s="752"/>
      <c r="T483" s="752"/>
      <c r="U483" s="752"/>
      <c r="V483" s="752"/>
      <c r="W483" s="752"/>
      <c r="X483" s="752"/>
      <c r="Y483" s="752"/>
      <c r="Z483" s="752"/>
      <c r="AA483" s="752"/>
      <c r="AB483" s="752"/>
      <c r="AC483" s="752"/>
      <c r="AD483" s="752"/>
      <c r="AE483" s="752"/>
      <c r="AF483" s="752"/>
    </row>
    <row r="484" customFormat="false" ht="15.75" hidden="false" customHeight="true" outlineLevel="0" collapsed="false">
      <c r="A484" s="736"/>
      <c r="B484" s="761"/>
      <c r="C484" s="761"/>
      <c r="D484" s="761"/>
      <c r="E484" s="763"/>
      <c r="F484" s="763"/>
      <c r="G484" s="763"/>
      <c r="H484" s="763"/>
      <c r="I484" s="763"/>
      <c r="J484" s="763"/>
      <c r="K484" s="763"/>
      <c r="L484" s="763"/>
      <c r="M484" s="763"/>
      <c r="N484" s="773"/>
      <c r="O484" s="773"/>
      <c r="P484" s="773"/>
      <c r="Q484" s="773"/>
      <c r="R484" s="773"/>
      <c r="S484" s="773"/>
      <c r="T484" s="773"/>
      <c r="U484" s="773"/>
      <c r="V484" s="773"/>
      <c r="W484" s="773"/>
      <c r="X484" s="774"/>
      <c r="Y484" s="774"/>
      <c r="Z484" s="774"/>
      <c r="AA484" s="774"/>
      <c r="AB484" s="778"/>
      <c r="AC484" s="778"/>
      <c r="AD484" s="778"/>
      <c r="AE484" s="766"/>
      <c r="AF484" s="736"/>
    </row>
    <row r="485" customFormat="false" ht="15.75" hidden="false" customHeight="true" outlineLevel="0" collapsed="false">
      <c r="A485" s="736"/>
      <c r="B485" s="809" t="n">
        <f aca="false">B441</f>
        <v>0</v>
      </c>
      <c r="C485" s="768"/>
      <c r="D485" s="768"/>
      <c r="E485" s="769" t="n">
        <f aca="false">E441</f>
        <v>0</v>
      </c>
      <c r="F485" s="770"/>
      <c r="G485" s="770"/>
      <c r="H485" s="770"/>
      <c r="I485" s="770"/>
      <c r="J485" s="770"/>
      <c r="K485" s="770"/>
      <c r="L485" s="770"/>
      <c r="M485" s="770"/>
      <c r="N485" s="780"/>
      <c r="O485" s="780"/>
      <c r="P485" s="780"/>
      <c r="Q485" s="780"/>
      <c r="R485" s="780"/>
      <c r="S485" s="780"/>
      <c r="T485" s="780"/>
      <c r="U485" s="780"/>
      <c r="V485" s="780"/>
      <c r="W485" s="780"/>
      <c r="X485" s="781"/>
      <c r="Y485" s="781"/>
      <c r="Z485" s="781"/>
      <c r="AA485" s="781"/>
      <c r="AB485" s="782"/>
      <c r="AC485" s="782"/>
      <c r="AD485" s="782"/>
      <c r="AE485" s="766"/>
      <c r="AF485" s="736"/>
    </row>
    <row r="486" customFormat="false" ht="15.75" hidden="false" customHeight="true" outlineLevel="0" collapsed="false">
      <c r="A486" s="736"/>
      <c r="B486" s="760" t="s">
        <v>1578</v>
      </c>
      <c r="C486" s="761"/>
      <c r="D486" s="761"/>
      <c r="E486" s="762" t="str">
        <f aca="false">IFERROR(VLOOKUP(B486,TE!$H$1:$Y$749,2,FALSE()),"(Not on TE)")</f>
        <v>(Not on TE)</v>
      </c>
      <c r="F486" s="763"/>
      <c r="G486" s="763"/>
      <c r="H486" s="763"/>
      <c r="I486" s="763"/>
      <c r="J486" s="763"/>
      <c r="K486" s="763"/>
      <c r="L486" s="763"/>
      <c r="M486" s="763"/>
      <c r="N486" s="764" t="str">
        <f aca="false">IFERROR(VLOOKUP(B486,TE!$H$1:$Y$749,18,FALSE()),"")</f>
        <v/>
      </c>
      <c r="O486" s="764"/>
      <c r="P486" s="764"/>
      <c r="Q486" s="764"/>
      <c r="R486" s="764"/>
      <c r="S486" s="764"/>
      <c r="T486" s="764" t="n">
        <f aca="false">IFERROR(SUMIFS(TE!$O:$O,TE!$G:$G,$B$441,TE!$I:$I,B486,TE!$D:$D,$C$5),"")</f>
        <v>0</v>
      </c>
      <c r="U486" s="764"/>
      <c r="V486" s="764"/>
      <c r="W486" s="764"/>
      <c r="X486" s="723" t="str">
        <f aca="false">IFERROR(VLOOKUP(B486,TE!$H$1:$Y$630,14,FALSE()),"0")</f>
        <v>0</v>
      </c>
      <c r="Y486" s="723"/>
      <c r="Z486" s="723"/>
      <c r="AA486" s="723"/>
      <c r="AB486" s="765" t="n">
        <f aca="false">T486*X486</f>
        <v>0</v>
      </c>
      <c r="AC486" s="765"/>
      <c r="AD486" s="765"/>
      <c r="AE486" s="766"/>
      <c r="AF486" s="736"/>
    </row>
    <row r="487" customFormat="false" ht="15.75" hidden="false" customHeight="true" outlineLevel="0" collapsed="false">
      <c r="A487" s="736"/>
      <c r="B487" s="760" t="s">
        <v>1579</v>
      </c>
      <c r="C487" s="761"/>
      <c r="D487" s="761"/>
      <c r="E487" s="762" t="str">
        <f aca="false">IFERROR(VLOOKUP(B487,TE!$H$1:$Y$749,2,FALSE()),"(Not on TE)")</f>
        <v>(Not on TE)</v>
      </c>
      <c r="F487" s="763"/>
      <c r="G487" s="763"/>
      <c r="H487" s="763"/>
      <c r="I487" s="763"/>
      <c r="J487" s="763"/>
      <c r="K487" s="763"/>
      <c r="L487" s="763"/>
      <c r="M487" s="763"/>
      <c r="N487" s="764" t="str">
        <f aca="false">IFERROR(VLOOKUP(B487,TE!$H$1:$Y$749,18,FALSE()),"")</f>
        <v/>
      </c>
      <c r="O487" s="764"/>
      <c r="P487" s="764"/>
      <c r="Q487" s="764"/>
      <c r="R487" s="764"/>
      <c r="S487" s="764"/>
      <c r="T487" s="764" t="n">
        <f aca="false">IFERROR(SUMIFS(TE!$O:$O,TE!$G:$G,$B$441,TE!$I:$I,B487,TE!$D:$D,$C$5),"")</f>
        <v>0</v>
      </c>
      <c r="U487" s="764"/>
      <c r="V487" s="764"/>
      <c r="W487" s="764"/>
      <c r="X487" s="723" t="str">
        <f aca="false">IFERROR(VLOOKUP(B487,TE!$H$1:$Y$630,14,FALSE()),"0")</f>
        <v>0</v>
      </c>
      <c r="Y487" s="723"/>
      <c r="Z487" s="723"/>
      <c r="AA487" s="723"/>
      <c r="AB487" s="765" t="n">
        <f aca="false">T487*X487</f>
        <v>0</v>
      </c>
      <c r="AC487" s="765"/>
      <c r="AD487" s="765"/>
      <c r="AE487" s="766"/>
      <c r="AF487" s="736"/>
    </row>
    <row r="488" customFormat="false" ht="15.75" hidden="false" customHeight="true" outlineLevel="0" collapsed="false">
      <c r="A488" s="736"/>
      <c r="B488" s="760" t="s">
        <v>1580</v>
      </c>
      <c r="C488" s="761"/>
      <c r="D488" s="761"/>
      <c r="E488" s="762" t="str">
        <f aca="false">IFERROR(VLOOKUP(B488,TE!$H$1:$Y$749,2,FALSE()),"(Not on TE)")</f>
        <v>(Not on TE)</v>
      </c>
      <c r="F488" s="763"/>
      <c r="G488" s="763"/>
      <c r="H488" s="763"/>
      <c r="I488" s="763"/>
      <c r="J488" s="763"/>
      <c r="K488" s="763"/>
      <c r="L488" s="763"/>
      <c r="M488" s="763"/>
      <c r="N488" s="764" t="str">
        <f aca="false">IFERROR(VLOOKUP(B488,TE!$H$1:$Y$749,18,FALSE()),"")</f>
        <v/>
      </c>
      <c r="O488" s="764"/>
      <c r="P488" s="764"/>
      <c r="Q488" s="764"/>
      <c r="R488" s="764"/>
      <c r="S488" s="764"/>
      <c r="T488" s="764" t="n">
        <f aca="false">IFERROR(SUMIFS(TE!$O:$O,TE!$G:$G,$B$441,TE!$I:$I,B488,TE!$D:$D,$C$5),"")</f>
        <v>0</v>
      </c>
      <c r="U488" s="764"/>
      <c r="V488" s="764"/>
      <c r="W488" s="764"/>
      <c r="X488" s="723" t="str">
        <f aca="false">IFERROR(VLOOKUP(B488,TE!$H$1:$Y$630,14,FALSE()),"0")</f>
        <v>0</v>
      </c>
      <c r="Y488" s="723"/>
      <c r="Z488" s="723"/>
      <c r="AA488" s="723"/>
      <c r="AB488" s="765" t="n">
        <f aca="false">T488*X488</f>
        <v>0</v>
      </c>
      <c r="AC488" s="765"/>
      <c r="AD488" s="765"/>
      <c r="AE488" s="766"/>
      <c r="AF488" s="736"/>
    </row>
    <row r="489" customFormat="false" ht="15.75" hidden="false" customHeight="true" outlineLevel="0" collapsed="false">
      <c r="A489" s="736"/>
      <c r="B489" s="760" t="s">
        <v>1581</v>
      </c>
      <c r="C489" s="761"/>
      <c r="D489" s="761"/>
      <c r="E489" s="762" t="str">
        <f aca="false">IFERROR(VLOOKUP(B489,TE!$H$1:$Y$749,2,FALSE()),"(Not on TE)")</f>
        <v>(Not on TE)</v>
      </c>
      <c r="F489" s="763"/>
      <c r="G489" s="763"/>
      <c r="H489" s="763"/>
      <c r="I489" s="763"/>
      <c r="J489" s="763"/>
      <c r="K489" s="763"/>
      <c r="L489" s="763"/>
      <c r="M489" s="763"/>
      <c r="N489" s="764" t="str">
        <f aca="false">IFERROR(VLOOKUP(B489,TE!$H$1:$Y$749,18,FALSE()),"")</f>
        <v/>
      </c>
      <c r="O489" s="764"/>
      <c r="P489" s="764"/>
      <c r="Q489" s="764"/>
      <c r="R489" s="764"/>
      <c r="S489" s="764"/>
      <c r="T489" s="764" t="n">
        <f aca="false">IFERROR(SUMIFS(TE!$O:$O,TE!$G:$G,$B$441,TE!$I:$I,B489,TE!$D:$D,$C$5),"")</f>
        <v>0</v>
      </c>
      <c r="U489" s="764"/>
      <c r="V489" s="764"/>
      <c r="W489" s="764"/>
      <c r="X489" s="723" t="str">
        <f aca="false">IFERROR(VLOOKUP(B489,TE!$H$1:$Y$630,14,FALSE()),"0")</f>
        <v>0</v>
      </c>
      <c r="Y489" s="723"/>
      <c r="Z489" s="723"/>
      <c r="AA489" s="723"/>
      <c r="AB489" s="765" t="n">
        <f aca="false">T489*X489</f>
        <v>0</v>
      </c>
      <c r="AC489" s="765"/>
      <c r="AD489" s="765"/>
      <c r="AE489" s="766"/>
      <c r="AF489" s="736"/>
    </row>
    <row r="490" customFormat="false" ht="15.75" hidden="false" customHeight="true" outlineLevel="0" collapsed="false">
      <c r="A490" s="736"/>
      <c r="B490" s="760" t="s">
        <v>1132</v>
      </c>
      <c r="C490" s="761"/>
      <c r="D490" s="761"/>
      <c r="E490" s="762" t="str">
        <f aca="false">IFERROR(VLOOKUP(B490,TE!$H$1:$Y$749,2,FALSE()),"(Not on TE)")</f>
        <v>(Not on TE)</v>
      </c>
      <c r="F490" s="763"/>
      <c r="G490" s="763"/>
      <c r="H490" s="763"/>
      <c r="I490" s="763"/>
      <c r="J490" s="763"/>
      <c r="K490" s="763"/>
      <c r="L490" s="763"/>
      <c r="M490" s="763"/>
      <c r="N490" s="764" t="str">
        <f aca="false">IFERROR(VLOOKUP(B490,TE!$H$1:$Y$749,18,FALSE()),"")</f>
        <v/>
      </c>
      <c r="O490" s="764"/>
      <c r="P490" s="764"/>
      <c r="Q490" s="764"/>
      <c r="R490" s="764"/>
      <c r="S490" s="764"/>
      <c r="T490" s="764" t="n">
        <f aca="false">IFERROR(SUMIFS(TE!$O:$O,TE!$G:$G,$B$441,TE!$I:$I,B490,TE!$D:$D,$C$5),"")</f>
        <v>0</v>
      </c>
      <c r="U490" s="764"/>
      <c r="V490" s="764"/>
      <c r="W490" s="764"/>
      <c r="X490" s="723" t="str">
        <f aca="false">IFERROR(VLOOKUP(B490,TE!$H$1:$Y$630,14,FALSE()),"0")</f>
        <v>0</v>
      </c>
      <c r="Y490" s="723"/>
      <c r="Z490" s="723"/>
      <c r="AA490" s="723"/>
      <c r="AB490" s="765" t="n">
        <f aca="false">T490*X490</f>
        <v>0</v>
      </c>
      <c r="AC490" s="765"/>
      <c r="AD490" s="765"/>
      <c r="AE490" s="766"/>
      <c r="AF490" s="736"/>
    </row>
    <row r="491" customFormat="false" ht="15.75" hidden="false" customHeight="true" outlineLevel="0" collapsed="false">
      <c r="A491" s="736"/>
      <c r="B491" s="760" t="s">
        <v>1582</v>
      </c>
      <c r="C491" s="761"/>
      <c r="D491" s="761"/>
      <c r="E491" s="762" t="str">
        <f aca="false">IFERROR(VLOOKUP(B491,TE!$H$1:$Y$749,2,FALSE()),"(Not on TE)")</f>
        <v>(Not on TE)</v>
      </c>
      <c r="F491" s="763"/>
      <c r="G491" s="763"/>
      <c r="H491" s="763"/>
      <c r="I491" s="763"/>
      <c r="J491" s="763"/>
      <c r="K491" s="763"/>
      <c r="L491" s="763"/>
      <c r="M491" s="763"/>
      <c r="N491" s="764" t="str">
        <f aca="false">IFERROR(VLOOKUP(B491,TE!$H$1:$Y$749,18,FALSE()),"")</f>
        <v/>
      </c>
      <c r="O491" s="764"/>
      <c r="P491" s="764"/>
      <c r="Q491" s="764"/>
      <c r="R491" s="764"/>
      <c r="S491" s="764"/>
      <c r="T491" s="764" t="n">
        <f aca="false">IFERROR(SUMIFS(TE!$O:$O,TE!$G:$G,$B$441,TE!$I:$I,B491,TE!$D:$D,$C$5),"")</f>
        <v>0</v>
      </c>
      <c r="U491" s="764"/>
      <c r="V491" s="764"/>
      <c r="W491" s="764"/>
      <c r="X491" s="723" t="str">
        <f aca="false">IFERROR(VLOOKUP(B491,TE!$H$1:$Y$630,14,FALSE()),"0")</f>
        <v>0</v>
      </c>
      <c r="Y491" s="723"/>
      <c r="Z491" s="723"/>
      <c r="AA491" s="723"/>
      <c r="AB491" s="765" t="n">
        <f aca="false">T491*X491</f>
        <v>0</v>
      </c>
      <c r="AC491" s="765"/>
      <c r="AD491" s="765"/>
      <c r="AE491" s="766"/>
      <c r="AF491" s="736"/>
    </row>
    <row r="492" customFormat="false" ht="15.75" hidden="false" customHeight="true" outlineLevel="0" collapsed="false">
      <c r="A492" s="736"/>
      <c r="B492" s="760" t="s">
        <v>1583</v>
      </c>
      <c r="C492" s="761"/>
      <c r="D492" s="761"/>
      <c r="E492" s="762" t="str">
        <f aca="false">IFERROR(VLOOKUP(B492,TE!$H$1:$Y$749,2,FALSE()),"(Not on TE)")</f>
        <v>(Not on TE)</v>
      </c>
      <c r="F492" s="763"/>
      <c r="G492" s="763"/>
      <c r="H492" s="763"/>
      <c r="I492" s="763"/>
      <c r="J492" s="763"/>
      <c r="K492" s="763"/>
      <c r="L492" s="763"/>
      <c r="M492" s="763"/>
      <c r="N492" s="764" t="str">
        <f aca="false">IFERROR(VLOOKUP(B492,TE!$H$1:$Y$749,18,FALSE()),"")</f>
        <v/>
      </c>
      <c r="O492" s="764"/>
      <c r="P492" s="764"/>
      <c r="Q492" s="764"/>
      <c r="R492" s="764"/>
      <c r="S492" s="764"/>
      <c r="T492" s="764" t="n">
        <f aca="false">IFERROR(SUMIFS(TE!$O:$O,TE!$G:$G,$B$441,TE!$I:$I,B492,TE!$D:$D,$C$5),"")</f>
        <v>0</v>
      </c>
      <c r="U492" s="764"/>
      <c r="V492" s="764"/>
      <c r="W492" s="764"/>
      <c r="X492" s="723" t="str">
        <f aca="false">IFERROR(VLOOKUP(B492,TE!$H$1:$Y$630,14,FALSE()),"0")</f>
        <v>0</v>
      </c>
      <c r="Y492" s="723"/>
      <c r="Z492" s="723"/>
      <c r="AA492" s="723"/>
      <c r="AB492" s="765" t="n">
        <f aca="false">T492*X492</f>
        <v>0</v>
      </c>
      <c r="AC492" s="765"/>
      <c r="AD492" s="765"/>
      <c r="AE492" s="766"/>
      <c r="AF492" s="736"/>
    </row>
    <row r="493" customFormat="false" ht="15.75" hidden="false" customHeight="true" outlineLevel="0" collapsed="false">
      <c r="A493" s="736"/>
      <c r="B493" s="760" t="s">
        <v>1584</v>
      </c>
      <c r="C493" s="761"/>
      <c r="D493" s="761"/>
      <c r="E493" s="762" t="str">
        <f aca="false">IFERROR(VLOOKUP(B493,TE!$H$1:$Y$749,2,FALSE()),"(Not on TE)")</f>
        <v>(Not on TE)</v>
      </c>
      <c r="F493" s="763"/>
      <c r="G493" s="763"/>
      <c r="H493" s="763"/>
      <c r="I493" s="763"/>
      <c r="J493" s="763"/>
      <c r="K493" s="763"/>
      <c r="L493" s="763"/>
      <c r="M493" s="763"/>
      <c r="N493" s="764" t="str">
        <f aca="false">IFERROR(VLOOKUP(B493,TE!$H$1:$Y$749,18,FALSE()),"")</f>
        <v/>
      </c>
      <c r="O493" s="764"/>
      <c r="P493" s="764"/>
      <c r="Q493" s="764"/>
      <c r="R493" s="764"/>
      <c r="S493" s="764"/>
      <c r="T493" s="764" t="n">
        <f aca="false">IFERROR(SUMIFS(TE!$O:$O,TE!$G:$G,$B$441,TE!$I:$I,B493,TE!$D:$D,$C$5),"")</f>
        <v>0</v>
      </c>
      <c r="U493" s="764"/>
      <c r="V493" s="764"/>
      <c r="W493" s="764"/>
      <c r="X493" s="723" t="str">
        <f aca="false">IFERROR(VLOOKUP(B493,TE!$H$1:$Y$630,14,FALSE()),"0")</f>
        <v>0</v>
      </c>
      <c r="Y493" s="723"/>
      <c r="Z493" s="723"/>
      <c r="AA493" s="723"/>
      <c r="AB493" s="765" t="n">
        <f aca="false">T493*X493</f>
        <v>0</v>
      </c>
      <c r="AC493" s="765"/>
      <c r="AD493" s="765"/>
      <c r="AE493" s="766"/>
      <c r="AF493" s="736"/>
    </row>
    <row r="494" customFormat="false" ht="15.75" hidden="false" customHeight="true" outlineLevel="0" collapsed="false">
      <c r="A494" s="736"/>
      <c r="B494" s="760" t="s">
        <v>1585</v>
      </c>
      <c r="C494" s="761"/>
      <c r="D494" s="761"/>
      <c r="E494" s="762" t="str">
        <f aca="false">IFERROR(VLOOKUP(B494,TE!$H$1:$Y$749,2,FALSE()),"(Not on TE)")</f>
        <v>(Not on TE)</v>
      </c>
      <c r="F494" s="763"/>
      <c r="G494" s="763"/>
      <c r="H494" s="763"/>
      <c r="I494" s="763"/>
      <c r="J494" s="763"/>
      <c r="K494" s="763"/>
      <c r="L494" s="763"/>
      <c r="M494" s="763"/>
      <c r="N494" s="764" t="str">
        <f aca="false">IFERROR(VLOOKUP(B494,TE!$H$1:$Y$749,18,FALSE()),"")</f>
        <v/>
      </c>
      <c r="O494" s="764"/>
      <c r="P494" s="764"/>
      <c r="Q494" s="764"/>
      <c r="R494" s="764"/>
      <c r="S494" s="764"/>
      <c r="T494" s="764" t="n">
        <f aca="false">IFERROR(SUMIFS(TE!$O:$O,TE!$G:$G,$B$441,TE!$I:$I,B494,TE!$D:$D,$C$5),"")</f>
        <v>0</v>
      </c>
      <c r="U494" s="764"/>
      <c r="V494" s="764"/>
      <c r="W494" s="764"/>
      <c r="X494" s="723" t="str">
        <f aca="false">IFERROR(VLOOKUP(B494,TE!$H$1:$Y$630,14,FALSE()),"0")</f>
        <v>0</v>
      </c>
      <c r="Y494" s="723"/>
      <c r="Z494" s="723"/>
      <c r="AA494" s="723"/>
      <c r="AB494" s="765" t="n">
        <f aca="false">T494*X494</f>
        <v>0</v>
      </c>
      <c r="AC494" s="765"/>
      <c r="AD494" s="765"/>
      <c r="AE494" s="766"/>
      <c r="AF494" s="736"/>
    </row>
    <row r="495" customFormat="false" ht="15.75" hidden="false" customHeight="true" outlineLevel="0" collapsed="false">
      <c r="A495" s="736"/>
      <c r="B495" s="760" t="s">
        <v>1450</v>
      </c>
      <c r="C495" s="761"/>
      <c r="D495" s="761"/>
      <c r="E495" s="762" t="str">
        <f aca="false">IFERROR(VLOOKUP(B495,TE!$H$1:$Y$749,2,FALSE()),"(Not on TE)")</f>
        <v>(Not on TE)</v>
      </c>
      <c r="F495" s="763"/>
      <c r="G495" s="763"/>
      <c r="H495" s="763"/>
      <c r="I495" s="763"/>
      <c r="J495" s="763"/>
      <c r="K495" s="763"/>
      <c r="L495" s="763"/>
      <c r="M495" s="763"/>
      <c r="N495" s="764" t="str">
        <f aca="false">IFERROR(VLOOKUP(B495,TE!$H$1:$Y$749,18,FALSE()),"")</f>
        <v/>
      </c>
      <c r="O495" s="764"/>
      <c r="P495" s="764"/>
      <c r="Q495" s="764"/>
      <c r="R495" s="764"/>
      <c r="S495" s="764"/>
      <c r="T495" s="764" t="n">
        <f aca="false">IFERROR(SUMIFS(TE!$O:$O,TE!$G:$G,$B$441,TE!$I:$I,B495,TE!$D:$D,$C$5),"")</f>
        <v>0</v>
      </c>
      <c r="U495" s="764"/>
      <c r="V495" s="764"/>
      <c r="W495" s="764"/>
      <c r="X495" s="723" t="str">
        <f aca="false">IFERROR(VLOOKUP(B495,TE!$H$1:$Y$630,14,FALSE()),"0")</f>
        <v>0</v>
      </c>
      <c r="Y495" s="723"/>
      <c r="Z495" s="723"/>
      <c r="AA495" s="723"/>
      <c r="AB495" s="765" t="n">
        <f aca="false">T495*X495</f>
        <v>0</v>
      </c>
      <c r="AC495" s="765"/>
      <c r="AD495" s="765"/>
      <c r="AE495" s="766"/>
      <c r="AF495" s="736"/>
    </row>
    <row r="496" customFormat="false" ht="15.75" hidden="false" customHeight="true" outlineLevel="0" collapsed="false">
      <c r="A496" s="736"/>
      <c r="B496" s="760" t="s">
        <v>1586</v>
      </c>
      <c r="C496" s="761"/>
      <c r="D496" s="761"/>
      <c r="E496" s="762" t="str">
        <f aca="false">IFERROR(VLOOKUP(B496,TE!$H$1:$Y$749,2,FALSE()),"(Not on TE)")</f>
        <v>(Not on TE)</v>
      </c>
      <c r="F496" s="763"/>
      <c r="G496" s="763"/>
      <c r="H496" s="763"/>
      <c r="I496" s="763"/>
      <c r="J496" s="763"/>
      <c r="K496" s="763"/>
      <c r="L496" s="763"/>
      <c r="M496" s="763"/>
      <c r="N496" s="764" t="str">
        <f aca="false">IFERROR(VLOOKUP(B496,TE!$H$1:$Y$749,18,FALSE()),"")</f>
        <v/>
      </c>
      <c r="O496" s="764"/>
      <c r="P496" s="764"/>
      <c r="Q496" s="764"/>
      <c r="R496" s="764"/>
      <c r="S496" s="764"/>
      <c r="T496" s="764" t="n">
        <f aca="false">IFERROR(SUMIFS(TE!$O:$O,TE!$G:$G,$B$441,TE!$I:$I,B496,TE!$D:$D,$C$5),"")</f>
        <v>0</v>
      </c>
      <c r="U496" s="764"/>
      <c r="V496" s="764"/>
      <c r="W496" s="764"/>
      <c r="X496" s="723" t="str">
        <f aca="false">IFERROR(VLOOKUP(B496,TE!$H$1:$Y$630,14,FALSE()),"0")</f>
        <v>0</v>
      </c>
      <c r="Y496" s="723"/>
      <c r="Z496" s="723"/>
      <c r="AA496" s="723"/>
      <c r="AB496" s="765" t="n">
        <f aca="false">T496*X496</f>
        <v>0</v>
      </c>
      <c r="AC496" s="765"/>
      <c r="AD496" s="765"/>
      <c r="AE496" s="766"/>
      <c r="AF496" s="736"/>
    </row>
    <row r="497" customFormat="false" ht="15.75" hidden="false" customHeight="true" outlineLevel="0" collapsed="false">
      <c r="A497" s="736"/>
      <c r="B497" s="760" t="s">
        <v>1587</v>
      </c>
      <c r="C497" s="761"/>
      <c r="D497" s="761"/>
      <c r="E497" s="762" t="str">
        <f aca="false">IFERROR(VLOOKUP(B497,TE!$H$1:$Y$749,2,FALSE()),"(Not on TE)")</f>
        <v>(Not on TE)</v>
      </c>
      <c r="F497" s="763"/>
      <c r="G497" s="763"/>
      <c r="H497" s="763"/>
      <c r="I497" s="763"/>
      <c r="J497" s="763"/>
      <c r="K497" s="763"/>
      <c r="L497" s="763"/>
      <c r="M497" s="763"/>
      <c r="N497" s="764" t="str">
        <f aca="false">IFERROR(VLOOKUP(B497,TE!$H$1:$Y$749,18,FALSE()),"")</f>
        <v/>
      </c>
      <c r="O497" s="764"/>
      <c r="P497" s="764"/>
      <c r="Q497" s="764"/>
      <c r="R497" s="764"/>
      <c r="S497" s="764"/>
      <c r="T497" s="764" t="n">
        <f aca="false">IFERROR(SUMIFS(TE!$O:$O,TE!$G:$G,$B$441,TE!$I:$I,B497,TE!$D:$D,$C$5),"")</f>
        <v>0</v>
      </c>
      <c r="U497" s="764"/>
      <c r="V497" s="764"/>
      <c r="W497" s="764"/>
      <c r="X497" s="723" t="str">
        <f aca="false">IFERROR(VLOOKUP(B497,TE!$H$1:$Y$630,14,FALSE()),"0")</f>
        <v>0</v>
      </c>
      <c r="Y497" s="723"/>
      <c r="Z497" s="723"/>
      <c r="AA497" s="723"/>
      <c r="AB497" s="765" t="n">
        <f aca="false">T497*X497</f>
        <v>0</v>
      </c>
      <c r="AC497" s="765"/>
      <c r="AD497" s="765"/>
      <c r="AE497" s="766"/>
      <c r="AF497" s="736"/>
    </row>
    <row r="498" customFormat="false" ht="15.75" hidden="false" customHeight="true" outlineLevel="0" collapsed="false">
      <c r="A498" s="736"/>
      <c r="B498" s="760" t="s">
        <v>1588</v>
      </c>
      <c r="C498" s="761"/>
      <c r="D498" s="761"/>
      <c r="E498" s="762" t="str">
        <f aca="false">IFERROR(VLOOKUP(B498,TE!$H$1:$Y$749,2,FALSE()),"(Not on TE)")</f>
        <v>(Not on TE)</v>
      </c>
      <c r="F498" s="763"/>
      <c r="G498" s="763"/>
      <c r="H498" s="763"/>
      <c r="I498" s="763"/>
      <c r="J498" s="763"/>
      <c r="K498" s="763"/>
      <c r="L498" s="763"/>
      <c r="M498" s="763"/>
      <c r="N498" s="764" t="str">
        <f aca="false">IFERROR(VLOOKUP(B498,TE!$H$1:$Y$749,18,FALSE()),"")</f>
        <v/>
      </c>
      <c r="O498" s="764"/>
      <c r="P498" s="764"/>
      <c r="Q498" s="764"/>
      <c r="R498" s="764"/>
      <c r="S498" s="764"/>
      <c r="T498" s="764" t="n">
        <f aca="false">IFERROR(SUMIFS(TE!$O:$O,TE!$G:$G,$B$441,TE!$I:$I,B498,TE!$D:$D,$C$5),"")</f>
        <v>0</v>
      </c>
      <c r="U498" s="764"/>
      <c r="V498" s="764"/>
      <c r="W498" s="764"/>
      <c r="X498" s="723" t="str">
        <f aca="false">IFERROR(VLOOKUP(B498,TE!$H$1:$Y$630,14,FALSE()),"0")</f>
        <v>0</v>
      </c>
      <c r="Y498" s="723"/>
      <c r="Z498" s="723"/>
      <c r="AA498" s="723"/>
      <c r="AB498" s="765" t="n">
        <f aca="false">T498*X498</f>
        <v>0</v>
      </c>
      <c r="AC498" s="765"/>
      <c r="AD498" s="765"/>
      <c r="AE498" s="766"/>
      <c r="AF498" s="736"/>
    </row>
    <row r="499" customFormat="false" ht="15.75" hidden="false" customHeight="true" outlineLevel="0" collapsed="false">
      <c r="A499" s="736"/>
      <c r="B499" s="760" t="s">
        <v>1589</v>
      </c>
      <c r="C499" s="761"/>
      <c r="D499" s="761"/>
      <c r="E499" s="762" t="str">
        <f aca="false">IFERROR(VLOOKUP(B499,TE!$H$1:$Y$749,2,FALSE()),"(Not on TE)")</f>
        <v>(Not on TE)</v>
      </c>
      <c r="F499" s="763"/>
      <c r="G499" s="763"/>
      <c r="H499" s="763"/>
      <c r="I499" s="763"/>
      <c r="J499" s="763"/>
      <c r="K499" s="763"/>
      <c r="L499" s="763"/>
      <c r="M499" s="763"/>
      <c r="N499" s="764" t="str">
        <f aca="false">IFERROR(VLOOKUP(B499,TE!$H$1:$Y$749,18,FALSE()),"")</f>
        <v/>
      </c>
      <c r="O499" s="764"/>
      <c r="P499" s="764"/>
      <c r="Q499" s="764"/>
      <c r="R499" s="764"/>
      <c r="S499" s="764"/>
      <c r="T499" s="764" t="n">
        <f aca="false">IFERROR(SUMIFS(TE!$O:$O,TE!$G:$G,$B$441,TE!$I:$I,B499,TE!$D:$D,$C$5),"")</f>
        <v>0</v>
      </c>
      <c r="U499" s="764"/>
      <c r="V499" s="764"/>
      <c r="W499" s="764"/>
      <c r="X499" s="723" t="str">
        <f aca="false">IFERROR(VLOOKUP(B499,TE!$H$1:$Y$630,14,FALSE()),"0")</f>
        <v>0</v>
      </c>
      <c r="Y499" s="723"/>
      <c r="Z499" s="723"/>
      <c r="AA499" s="723"/>
      <c r="AB499" s="765" t="n">
        <f aca="false">T499*X499</f>
        <v>0</v>
      </c>
      <c r="AC499" s="765"/>
      <c r="AD499" s="765"/>
      <c r="AE499" s="766"/>
      <c r="AF499" s="736"/>
    </row>
    <row r="500" customFormat="false" ht="15.75" hidden="false" customHeight="true" outlineLevel="0" collapsed="false">
      <c r="A500" s="736"/>
      <c r="B500" s="760" t="s">
        <v>1590</v>
      </c>
      <c r="C500" s="761"/>
      <c r="D500" s="761"/>
      <c r="E500" s="762" t="str">
        <f aca="false">IFERROR(VLOOKUP(B500,TE!$H$1:$Y$749,2,FALSE()),"(Not on TE)")</f>
        <v>(Not on TE)</v>
      </c>
      <c r="F500" s="763"/>
      <c r="G500" s="763"/>
      <c r="H500" s="763"/>
      <c r="I500" s="763"/>
      <c r="J500" s="763"/>
      <c r="K500" s="763"/>
      <c r="L500" s="763"/>
      <c r="M500" s="763"/>
      <c r="N500" s="764" t="str">
        <f aca="false">IFERROR(VLOOKUP(B500,TE!$H$1:$Y$749,18,FALSE()),"")</f>
        <v/>
      </c>
      <c r="O500" s="764"/>
      <c r="P500" s="764"/>
      <c r="Q500" s="764"/>
      <c r="R500" s="764"/>
      <c r="S500" s="764"/>
      <c r="T500" s="764" t="n">
        <f aca="false">IFERROR(SUMIFS(TE!$O:$O,TE!$G:$G,$B$441,TE!$I:$I,B500,TE!$D:$D,$C$5),"")</f>
        <v>0</v>
      </c>
      <c r="U500" s="764"/>
      <c r="V500" s="764"/>
      <c r="W500" s="764"/>
      <c r="X500" s="723" t="str">
        <f aca="false">IFERROR(VLOOKUP(B500,TE!$H$1:$Y$630,14,FALSE()),"0")</f>
        <v>0</v>
      </c>
      <c r="Y500" s="723"/>
      <c r="Z500" s="723"/>
      <c r="AA500" s="723"/>
      <c r="AB500" s="765" t="n">
        <f aca="false">T500*X500</f>
        <v>0</v>
      </c>
      <c r="AC500" s="765"/>
      <c r="AD500" s="765"/>
      <c r="AE500" s="766"/>
      <c r="AF500" s="736"/>
    </row>
    <row r="501" customFormat="false" ht="15.75" hidden="false" customHeight="true" outlineLevel="0" collapsed="false">
      <c r="A501" s="736"/>
      <c r="B501" s="760" t="s">
        <v>1591</v>
      </c>
      <c r="C501" s="761"/>
      <c r="D501" s="761"/>
      <c r="E501" s="762" t="str">
        <f aca="false">IFERROR(VLOOKUP(B501,TE!$H$1:$Y$749,2,FALSE()),"(Not on TE)")</f>
        <v>(Not on TE)</v>
      </c>
      <c r="F501" s="763"/>
      <c r="G501" s="763"/>
      <c r="H501" s="763"/>
      <c r="I501" s="763"/>
      <c r="J501" s="763"/>
      <c r="K501" s="763"/>
      <c r="L501" s="763"/>
      <c r="M501" s="763"/>
      <c r="N501" s="764" t="str">
        <f aca="false">IFERROR(VLOOKUP(B501,TE!$H$1:$Y$749,18,FALSE()),"")</f>
        <v/>
      </c>
      <c r="O501" s="764"/>
      <c r="P501" s="764"/>
      <c r="Q501" s="764"/>
      <c r="R501" s="764"/>
      <c r="S501" s="764"/>
      <c r="T501" s="764" t="n">
        <f aca="false">IFERROR(SUMIFS(TE!$O:$O,TE!$G:$G,$B$441,TE!$I:$I,B501,TE!$D:$D,$C$5),"")</f>
        <v>0</v>
      </c>
      <c r="U501" s="764"/>
      <c r="V501" s="764"/>
      <c r="W501" s="764"/>
      <c r="X501" s="723" t="str">
        <f aca="false">IFERROR(VLOOKUP(B501,TE!$H$1:$Y$630,14,FALSE()),"0")</f>
        <v>0</v>
      </c>
      <c r="Y501" s="723"/>
      <c r="Z501" s="723"/>
      <c r="AA501" s="723"/>
      <c r="AB501" s="765" t="n">
        <f aca="false">T501*X501</f>
        <v>0</v>
      </c>
      <c r="AC501" s="765"/>
      <c r="AD501" s="765"/>
      <c r="AE501" s="766"/>
      <c r="AF501" s="736"/>
    </row>
    <row r="502" customFormat="false" ht="15.75" hidden="false" customHeight="true" outlineLevel="0" collapsed="false">
      <c r="A502" s="736"/>
      <c r="B502" s="760" t="s">
        <v>1592</v>
      </c>
      <c r="C502" s="761"/>
      <c r="D502" s="761"/>
      <c r="E502" s="762" t="str">
        <f aca="false">IFERROR(VLOOKUP(B502,TE!$H$1:$Y$749,2,FALSE()),"(Not on TE)")</f>
        <v>(Not on TE)</v>
      </c>
      <c r="F502" s="763"/>
      <c r="G502" s="763"/>
      <c r="H502" s="763"/>
      <c r="I502" s="763"/>
      <c r="J502" s="763"/>
      <c r="K502" s="763"/>
      <c r="L502" s="763"/>
      <c r="M502" s="763"/>
      <c r="N502" s="764" t="str">
        <f aca="false">IFERROR(VLOOKUP(B502,TE!$H$1:$Y$749,18,FALSE()),"")</f>
        <v/>
      </c>
      <c r="O502" s="764"/>
      <c r="P502" s="764"/>
      <c r="Q502" s="764"/>
      <c r="R502" s="764"/>
      <c r="S502" s="764"/>
      <c r="T502" s="764" t="n">
        <f aca="false">IFERROR(SUMIFS(TE!$O:$O,TE!$G:$G,$B$441,TE!$I:$I,B502,TE!$D:$D,$C$5),"")</f>
        <v>0</v>
      </c>
      <c r="U502" s="764"/>
      <c r="V502" s="764"/>
      <c r="W502" s="764"/>
      <c r="X502" s="723" t="str">
        <f aca="false">IFERROR(VLOOKUP(B502,TE!$H$1:$Y$630,14,FALSE()),"0")</f>
        <v>0</v>
      </c>
      <c r="Y502" s="723"/>
      <c r="Z502" s="723"/>
      <c r="AA502" s="723"/>
      <c r="AB502" s="765" t="n">
        <f aca="false">T502*X502</f>
        <v>0</v>
      </c>
      <c r="AC502" s="765"/>
      <c r="AD502" s="765"/>
      <c r="AE502" s="766"/>
      <c r="AF502" s="736"/>
    </row>
    <row r="503" customFormat="false" ht="15.75" hidden="false" customHeight="true" outlineLevel="0" collapsed="false">
      <c r="A503" s="736"/>
      <c r="B503" s="760" t="s">
        <v>1593</v>
      </c>
      <c r="C503" s="761"/>
      <c r="D503" s="761"/>
      <c r="E503" s="762" t="str">
        <f aca="false">IFERROR(VLOOKUP(B503,TE!$H$1:$Y$749,2,FALSE()),"(Not on TE)")</f>
        <v>(Not on TE)</v>
      </c>
      <c r="F503" s="763"/>
      <c r="G503" s="763"/>
      <c r="H503" s="763"/>
      <c r="I503" s="763"/>
      <c r="J503" s="763"/>
      <c r="K503" s="763"/>
      <c r="L503" s="763"/>
      <c r="M503" s="763"/>
      <c r="N503" s="764" t="str">
        <f aca="false">IFERROR(VLOOKUP(B503,TE!$H$1:$Y$749,18,FALSE()),"")</f>
        <v/>
      </c>
      <c r="O503" s="764"/>
      <c r="P503" s="764"/>
      <c r="Q503" s="764"/>
      <c r="R503" s="764"/>
      <c r="S503" s="764"/>
      <c r="T503" s="764" t="n">
        <f aca="false">IFERROR(SUMIFS(TE!$O:$O,TE!$G:$G,$B$441,TE!$I:$I,B503,TE!$D:$D,$C$5),"")</f>
        <v>0</v>
      </c>
      <c r="U503" s="764"/>
      <c r="V503" s="764"/>
      <c r="W503" s="764"/>
      <c r="X503" s="723" t="str">
        <f aca="false">IFERROR(VLOOKUP(B503,TE!$H$1:$Y$630,14,FALSE()),"0")</f>
        <v>0</v>
      </c>
      <c r="Y503" s="723"/>
      <c r="Z503" s="723"/>
      <c r="AA503" s="723"/>
      <c r="AB503" s="765" t="n">
        <f aca="false">T503*X503</f>
        <v>0</v>
      </c>
      <c r="AC503" s="765"/>
      <c r="AD503" s="765"/>
      <c r="AE503" s="766"/>
      <c r="AF503" s="736"/>
    </row>
    <row r="504" customFormat="false" ht="15.75" hidden="false" customHeight="true" outlineLevel="0" collapsed="false">
      <c r="A504" s="736"/>
      <c r="B504" s="760" t="s">
        <v>1595</v>
      </c>
      <c r="C504" s="761"/>
      <c r="D504" s="761"/>
      <c r="E504" s="762" t="str">
        <f aca="false">IFERROR(VLOOKUP(B504,TE!$H$1:$Y$749,2,FALSE()),"(Not on TE)")</f>
        <v>(Not on TE)</v>
      </c>
      <c r="F504" s="763"/>
      <c r="G504" s="763"/>
      <c r="H504" s="763"/>
      <c r="I504" s="763"/>
      <c r="J504" s="763"/>
      <c r="K504" s="763"/>
      <c r="L504" s="763"/>
      <c r="M504" s="763"/>
      <c r="N504" s="764" t="str">
        <f aca="false">IFERROR(VLOOKUP(B504,TE!$H$1:$Y$749,18,FALSE()),"")</f>
        <v/>
      </c>
      <c r="O504" s="764"/>
      <c r="P504" s="764"/>
      <c r="Q504" s="764"/>
      <c r="R504" s="764"/>
      <c r="S504" s="764"/>
      <c r="T504" s="764" t="n">
        <f aca="false">IFERROR(SUMIFS(TE!$O:$O,TE!$G:$G,$B$441,TE!$I:$I,B504,TE!$D:$D,$C$5),"")</f>
        <v>0</v>
      </c>
      <c r="U504" s="764"/>
      <c r="V504" s="764"/>
      <c r="W504" s="764"/>
      <c r="X504" s="723" t="str">
        <f aca="false">IFERROR(VLOOKUP(B504,TE!$H$1:$Y$630,14,FALSE()),"0")</f>
        <v>0</v>
      </c>
      <c r="Y504" s="723"/>
      <c r="Z504" s="723"/>
      <c r="AA504" s="723"/>
      <c r="AB504" s="765" t="n">
        <f aca="false">T504*X504</f>
        <v>0</v>
      </c>
      <c r="AC504" s="765"/>
      <c r="AD504" s="765"/>
      <c r="AE504" s="766"/>
      <c r="AF504" s="736"/>
    </row>
    <row r="505" customFormat="false" ht="15.75" hidden="false" customHeight="true" outlineLevel="0" collapsed="false">
      <c r="A505" s="736"/>
      <c r="B505" s="760" t="s">
        <v>1153</v>
      </c>
      <c r="C505" s="761"/>
      <c r="D505" s="761"/>
      <c r="E505" s="762" t="str">
        <f aca="false">IFERROR(VLOOKUP(B505,TE!$H$1:$Y$749,2,FALSE()),"(Not on TE)")</f>
        <v>(Not on TE)</v>
      </c>
      <c r="F505" s="763"/>
      <c r="G505" s="763"/>
      <c r="H505" s="763"/>
      <c r="I505" s="763"/>
      <c r="J505" s="763"/>
      <c r="K505" s="763"/>
      <c r="L505" s="763"/>
      <c r="M505" s="763"/>
      <c r="N505" s="764" t="str">
        <f aca="false">IFERROR(VLOOKUP(B505,TE!$H$1:$Y$749,18,FALSE()),"")</f>
        <v/>
      </c>
      <c r="O505" s="764"/>
      <c r="P505" s="764"/>
      <c r="Q505" s="764"/>
      <c r="R505" s="764"/>
      <c r="S505" s="764"/>
      <c r="T505" s="764" t="n">
        <f aca="false">IFERROR(SUMIFS(TE!$O:$O,TE!$G:$G,$B$441,TE!$I:$I,B505,TE!$D:$D,$C$5),"")</f>
        <v>0</v>
      </c>
      <c r="U505" s="764"/>
      <c r="V505" s="764"/>
      <c r="W505" s="764"/>
      <c r="X505" s="723" t="str">
        <f aca="false">IFERROR(VLOOKUP(B505,TE!$H$1:$Y$630,14,FALSE()),"0")</f>
        <v>0</v>
      </c>
      <c r="Y505" s="723"/>
      <c r="Z505" s="723"/>
      <c r="AA505" s="723"/>
      <c r="AB505" s="765" t="n">
        <f aca="false">T505*X505</f>
        <v>0</v>
      </c>
      <c r="AC505" s="765"/>
      <c r="AD505" s="765"/>
      <c r="AE505" s="766"/>
      <c r="AF505" s="736"/>
    </row>
    <row r="506" customFormat="false" ht="15.75" hidden="false" customHeight="true" outlineLevel="0" collapsed="false">
      <c r="A506" s="736"/>
      <c r="B506" s="760" t="s">
        <v>1596</v>
      </c>
      <c r="C506" s="761"/>
      <c r="D506" s="761"/>
      <c r="E506" s="762" t="str">
        <f aca="false">IFERROR(VLOOKUP(B506,TE!$H$1:$Y$749,2,FALSE()),"(Not on TE)")</f>
        <v>(Not on TE)</v>
      </c>
      <c r="F506" s="763"/>
      <c r="G506" s="763"/>
      <c r="H506" s="763"/>
      <c r="I506" s="763"/>
      <c r="J506" s="763"/>
      <c r="K506" s="763"/>
      <c r="L506" s="763"/>
      <c r="M506" s="763"/>
      <c r="N506" s="764" t="str">
        <f aca="false">IFERROR(VLOOKUP(B506,TE!$H$1:$Y$749,18,FALSE()),"")</f>
        <v/>
      </c>
      <c r="O506" s="764"/>
      <c r="P506" s="764"/>
      <c r="Q506" s="764"/>
      <c r="R506" s="764"/>
      <c r="S506" s="764"/>
      <c r="T506" s="764" t="n">
        <f aca="false">IFERROR(SUMIFS(TE!$O:$O,TE!$G:$G,$B$441,TE!$I:$I,B506,TE!$D:$D,$C$5),"")</f>
        <v>0</v>
      </c>
      <c r="U506" s="764"/>
      <c r="V506" s="764"/>
      <c r="W506" s="764"/>
      <c r="X506" s="723" t="str">
        <f aca="false">IFERROR(VLOOKUP(B506,TE!$H$1:$Y$630,14,FALSE()),"0")</f>
        <v>0</v>
      </c>
      <c r="Y506" s="723"/>
      <c r="Z506" s="723"/>
      <c r="AA506" s="723"/>
      <c r="AB506" s="765" t="n">
        <f aca="false">T506*X506</f>
        <v>0</v>
      </c>
      <c r="AC506" s="765"/>
      <c r="AD506" s="765"/>
      <c r="AE506" s="766"/>
      <c r="AF506" s="736"/>
    </row>
    <row r="507" customFormat="false" ht="15.75" hidden="false" customHeight="true" outlineLevel="0" collapsed="false">
      <c r="A507" s="736"/>
      <c r="B507" s="760" t="s">
        <v>1597</v>
      </c>
      <c r="C507" s="761"/>
      <c r="D507" s="761"/>
      <c r="E507" s="762" t="str">
        <f aca="false">IFERROR(VLOOKUP(B507,TE!$H$1:$Y$749,2,FALSE()),"(Not on TE)")</f>
        <v>(Not on TE)</v>
      </c>
      <c r="F507" s="763"/>
      <c r="G507" s="763"/>
      <c r="H507" s="763"/>
      <c r="I507" s="763"/>
      <c r="J507" s="763"/>
      <c r="K507" s="763"/>
      <c r="L507" s="763"/>
      <c r="M507" s="763"/>
      <c r="N507" s="764" t="str">
        <f aca="false">IFERROR(VLOOKUP(B507,TE!$H$1:$Y$749,18,FALSE()),"")</f>
        <v/>
      </c>
      <c r="O507" s="764"/>
      <c r="P507" s="764"/>
      <c r="Q507" s="764"/>
      <c r="R507" s="764"/>
      <c r="S507" s="764"/>
      <c r="T507" s="764" t="n">
        <f aca="false">IFERROR(SUMIFS(TE!$O:$O,TE!$G:$G,$B$441,TE!$I:$I,B507,TE!$D:$D,$C$5),"")</f>
        <v>0</v>
      </c>
      <c r="U507" s="764"/>
      <c r="V507" s="764"/>
      <c r="W507" s="764"/>
      <c r="X507" s="723" t="str">
        <f aca="false">IFERROR(VLOOKUP(B507,TE!$H$1:$Y$630,14,FALSE()),"0")</f>
        <v>0</v>
      </c>
      <c r="Y507" s="723"/>
      <c r="Z507" s="723"/>
      <c r="AA507" s="723"/>
      <c r="AB507" s="765" t="n">
        <f aca="false">T507*X507</f>
        <v>0</v>
      </c>
      <c r="AC507" s="765"/>
      <c r="AD507" s="765"/>
      <c r="AE507" s="736"/>
      <c r="AF507" s="736"/>
    </row>
    <row r="508" customFormat="false" ht="15.75" hidden="false" customHeight="true" outlineLevel="0" collapsed="false">
      <c r="A508" s="736"/>
      <c r="B508" s="783" t="s">
        <v>1598</v>
      </c>
      <c r="C508" s="761"/>
      <c r="D508" s="761"/>
      <c r="E508" s="762" t="str">
        <f aca="false">IFERROR(VLOOKUP(B508,TE!$H$1:$Y$749,2,FALSE()),"(Not on TE)")</f>
        <v>(Not on TE)</v>
      </c>
      <c r="F508" s="763"/>
      <c r="G508" s="763"/>
      <c r="H508" s="763"/>
      <c r="I508" s="763"/>
      <c r="J508" s="763"/>
      <c r="K508" s="763"/>
      <c r="L508" s="763"/>
      <c r="M508" s="763"/>
      <c r="N508" s="764" t="str">
        <f aca="false">IFERROR(VLOOKUP(B508,TE!$H$1:$Y$749,18,FALSE()),"")</f>
        <v/>
      </c>
      <c r="O508" s="764"/>
      <c r="P508" s="764"/>
      <c r="Q508" s="764"/>
      <c r="R508" s="764"/>
      <c r="S508" s="764"/>
      <c r="T508" s="764" t="n">
        <f aca="false">IFERROR(SUMIFS(TE!$O:$O,TE!$G:$G,$B$441,TE!$I:$I,B508,TE!$D:$D,$C$5),"")</f>
        <v>0</v>
      </c>
      <c r="U508" s="764"/>
      <c r="V508" s="764"/>
      <c r="W508" s="764"/>
      <c r="X508" s="723" t="str">
        <f aca="false">IFERROR(VLOOKUP(B508,TE!$H$1:$Y$630,14,FALSE()),"0")</f>
        <v>0</v>
      </c>
      <c r="Y508" s="723"/>
      <c r="Z508" s="723"/>
      <c r="AA508" s="723"/>
      <c r="AB508" s="765" t="n">
        <f aca="false">T508*X508</f>
        <v>0</v>
      </c>
      <c r="AC508" s="765"/>
      <c r="AD508" s="765"/>
      <c r="AE508" s="736"/>
      <c r="AF508" s="736"/>
    </row>
    <row r="509" customFormat="false" ht="15.75" hidden="false" customHeight="true" outlineLevel="0" collapsed="false">
      <c r="A509" s="736"/>
      <c r="B509" s="783" t="s">
        <v>1599</v>
      </c>
      <c r="C509" s="761"/>
      <c r="D509" s="761"/>
      <c r="E509" s="762" t="str">
        <f aca="false">IFERROR(VLOOKUP(B509,TE!$H$1:$Y$749,2,FALSE()),"(Not on TE)")</f>
        <v>(Not on TE)</v>
      </c>
      <c r="F509" s="763"/>
      <c r="G509" s="763"/>
      <c r="H509" s="763"/>
      <c r="I509" s="763"/>
      <c r="J509" s="763"/>
      <c r="K509" s="763"/>
      <c r="L509" s="763"/>
      <c r="M509" s="763"/>
      <c r="N509" s="764" t="str">
        <f aca="false">IFERROR(VLOOKUP(B509,TE!$H$1:$Y$749,18,FALSE()),"")</f>
        <v/>
      </c>
      <c r="O509" s="764"/>
      <c r="P509" s="764"/>
      <c r="Q509" s="764"/>
      <c r="R509" s="764"/>
      <c r="S509" s="764"/>
      <c r="T509" s="764" t="n">
        <f aca="false">IFERROR(SUMIFS(TE!$O:$O,TE!$G:$G,$B$441,TE!$I:$I,B509,TE!$D:$D,$C$5),"")</f>
        <v>0</v>
      </c>
      <c r="U509" s="764"/>
      <c r="V509" s="764"/>
      <c r="W509" s="764"/>
      <c r="X509" s="723" t="str">
        <f aca="false">IFERROR(VLOOKUP(B509,TE!$H$1:$Y$630,14,FALSE()),"0")</f>
        <v>0</v>
      </c>
      <c r="Y509" s="723"/>
      <c r="Z509" s="723"/>
      <c r="AA509" s="723"/>
      <c r="AB509" s="765" t="n">
        <f aca="false">T509*X509</f>
        <v>0</v>
      </c>
      <c r="AC509" s="765"/>
      <c r="AD509" s="765"/>
      <c r="AE509" s="736"/>
      <c r="AF509" s="736"/>
    </row>
    <row r="510" customFormat="false" ht="15.75" hidden="false" customHeight="true" outlineLevel="0" collapsed="false">
      <c r="A510" s="736"/>
      <c r="B510" s="783" t="s">
        <v>1600</v>
      </c>
      <c r="C510" s="761"/>
      <c r="D510" s="761"/>
      <c r="E510" s="762" t="str">
        <f aca="false">IFERROR(VLOOKUP(B510,TE!$H$1:$Y$749,2,FALSE()),"(Not on TE)")</f>
        <v>(Not on TE)</v>
      </c>
      <c r="F510" s="763"/>
      <c r="G510" s="763"/>
      <c r="H510" s="763"/>
      <c r="I510" s="763"/>
      <c r="J510" s="763"/>
      <c r="K510" s="763"/>
      <c r="L510" s="763"/>
      <c r="M510" s="763"/>
      <c r="N510" s="764" t="str">
        <f aca="false">IFERROR(VLOOKUP(B510,TE!$H$1:$Y$749,18,FALSE()),"")</f>
        <v/>
      </c>
      <c r="O510" s="764"/>
      <c r="P510" s="764"/>
      <c r="Q510" s="764"/>
      <c r="R510" s="764"/>
      <c r="S510" s="764"/>
      <c r="T510" s="764" t="n">
        <f aca="false">IFERROR(SUMIFS(TE!$O:$O,TE!$G:$G,$B$441,TE!$I:$I,B510,TE!$D:$D,$C$5),"")</f>
        <v>0</v>
      </c>
      <c r="U510" s="764"/>
      <c r="V510" s="764"/>
      <c r="W510" s="764"/>
      <c r="X510" s="723" t="str">
        <f aca="false">IFERROR(VLOOKUP(B510,TE!$H$1:$Y$630,14,FALSE()),"0")</f>
        <v>0</v>
      </c>
      <c r="Y510" s="723"/>
      <c r="Z510" s="723"/>
      <c r="AA510" s="723"/>
      <c r="AB510" s="765" t="n">
        <f aca="false">T510*X510</f>
        <v>0</v>
      </c>
      <c r="AC510" s="765"/>
      <c r="AD510" s="765"/>
      <c r="AE510" s="736"/>
      <c r="AF510" s="736"/>
    </row>
    <row r="511" customFormat="false" ht="15.75" hidden="false" customHeight="true" outlineLevel="0" collapsed="false">
      <c r="A511" s="736"/>
      <c r="B511" s="760" t="s">
        <v>1601</v>
      </c>
      <c r="C511" s="761"/>
      <c r="D511" s="761"/>
      <c r="E511" s="762" t="str">
        <f aca="false">IFERROR(VLOOKUP(B511,TE!$H$1:$Y$749,2,FALSE()),"(Not on TE)")</f>
        <v>(Not on TE)</v>
      </c>
      <c r="F511" s="763"/>
      <c r="G511" s="763"/>
      <c r="H511" s="763"/>
      <c r="I511" s="763"/>
      <c r="J511" s="763"/>
      <c r="K511" s="763"/>
      <c r="L511" s="763"/>
      <c r="M511" s="763"/>
      <c r="N511" s="764" t="str">
        <f aca="false">IFERROR(VLOOKUP(B511,TE!$H$1:$Y$749,18,FALSE()),"")</f>
        <v/>
      </c>
      <c r="O511" s="764"/>
      <c r="P511" s="764"/>
      <c r="Q511" s="764"/>
      <c r="R511" s="764"/>
      <c r="S511" s="764"/>
      <c r="T511" s="764" t="n">
        <f aca="false">IFERROR(SUMIFS(TE!$O:$O,TE!$G:$G,$B$441,TE!$I:$I,B511,TE!$D:$D,$C$5),"")</f>
        <v>0</v>
      </c>
      <c r="U511" s="764"/>
      <c r="V511" s="764"/>
      <c r="W511" s="764"/>
      <c r="X511" s="723" t="str">
        <f aca="false">IFERROR(VLOOKUP(B511,TE!$H$1:$Y$630,14,FALSE()),"0")</f>
        <v>0</v>
      </c>
      <c r="Y511" s="723"/>
      <c r="Z511" s="723"/>
      <c r="AA511" s="723"/>
      <c r="AB511" s="765" t="n">
        <f aca="false">T511*X511</f>
        <v>0</v>
      </c>
      <c r="AC511" s="765"/>
      <c r="AD511" s="765"/>
      <c r="AE511" s="736"/>
      <c r="AF511" s="736"/>
    </row>
    <row r="512" customFormat="false" ht="15.75" hidden="false" customHeight="true" outlineLevel="0" collapsed="false">
      <c r="A512" s="736"/>
      <c r="B512" s="760" t="s">
        <v>1602</v>
      </c>
      <c r="C512" s="761"/>
      <c r="D512" s="761"/>
      <c r="E512" s="762" t="str">
        <f aca="false">IFERROR(VLOOKUP(B512,TE!$H$1:$Y$749,2,FALSE()),"(Not on TE)")</f>
        <v>(Not on TE)</v>
      </c>
      <c r="F512" s="763"/>
      <c r="G512" s="763"/>
      <c r="H512" s="763"/>
      <c r="I512" s="763"/>
      <c r="J512" s="763"/>
      <c r="K512" s="763"/>
      <c r="L512" s="763"/>
      <c r="M512" s="763"/>
      <c r="N512" s="764" t="str">
        <f aca="false">IFERROR(VLOOKUP(B512,TE!$H$1:$Y$749,18,FALSE()),"")</f>
        <v/>
      </c>
      <c r="O512" s="764"/>
      <c r="P512" s="764"/>
      <c r="Q512" s="764"/>
      <c r="R512" s="764"/>
      <c r="S512" s="764"/>
      <c r="T512" s="764" t="n">
        <f aca="false">IFERROR(SUMIFS(TE!$O:$O,TE!$G:$G,$B$441,TE!$I:$I,B512,TE!$D:$D,$C$5),"")</f>
        <v>0</v>
      </c>
      <c r="U512" s="764"/>
      <c r="V512" s="764"/>
      <c r="W512" s="764"/>
      <c r="X512" s="723" t="str">
        <f aca="false">IFERROR(VLOOKUP(B512,TE!$H$1:$Y$630,14,FALSE()),"0")</f>
        <v>0</v>
      </c>
      <c r="Y512" s="723"/>
      <c r="Z512" s="723"/>
      <c r="AA512" s="723"/>
      <c r="AB512" s="765" t="n">
        <f aca="false">T512*X512</f>
        <v>0</v>
      </c>
      <c r="AC512" s="765"/>
      <c r="AD512" s="765"/>
      <c r="AE512" s="736"/>
      <c r="AF512" s="736"/>
    </row>
    <row r="513" customFormat="false" ht="15.75" hidden="false" customHeight="true" outlineLevel="0" collapsed="false">
      <c r="A513" s="736"/>
      <c r="B513" s="784" t="s">
        <v>1603</v>
      </c>
      <c r="C513" s="730"/>
      <c r="D513" s="730"/>
      <c r="E513" s="762" t="str">
        <f aca="false">IFERROR(VLOOKUP(B513,TE!$H$1:$Y$749,2,FALSE()),"(Not on TE)")</f>
        <v>(Not on TE)</v>
      </c>
      <c r="F513" s="730"/>
      <c r="G513" s="730"/>
      <c r="H513" s="730"/>
      <c r="I513" s="730"/>
      <c r="J513" s="730"/>
      <c r="K513" s="730"/>
      <c r="L513" s="730"/>
      <c r="M513" s="730"/>
      <c r="N513" s="764" t="str">
        <f aca="false">IFERROR(VLOOKUP(B513,TE!$H$1:$Y$749,18,FALSE()),"")</f>
        <v/>
      </c>
      <c r="O513" s="764"/>
      <c r="P513" s="764"/>
      <c r="Q513" s="764"/>
      <c r="R513" s="764"/>
      <c r="S513" s="764"/>
      <c r="T513" s="764" t="n">
        <f aca="false">IFERROR(SUMIFS(TE!$O:$O,TE!$G:$G,$B$441,TE!$I:$I,B513,TE!$D:$D,$C$5),"")</f>
        <v>0</v>
      </c>
      <c r="U513" s="764"/>
      <c r="V513" s="764"/>
      <c r="W513" s="764"/>
      <c r="X513" s="723" t="str">
        <f aca="false">IFERROR(VLOOKUP(B513,TE!$H$1:$Y$630,14,FALSE()),"0")</f>
        <v>0</v>
      </c>
      <c r="Y513" s="723"/>
      <c r="Z513" s="723"/>
      <c r="AA513" s="723"/>
      <c r="AB513" s="765" t="n">
        <f aca="false">T513*X513</f>
        <v>0</v>
      </c>
      <c r="AC513" s="765"/>
      <c r="AD513" s="765"/>
      <c r="AE513" s="736"/>
      <c r="AF513" s="736"/>
    </row>
    <row r="514" customFormat="false" ht="15.75" hidden="false" customHeight="true" outlineLevel="0" collapsed="false">
      <c r="A514" s="736"/>
      <c r="B514" s="784" t="s">
        <v>1604</v>
      </c>
      <c r="C514" s="728"/>
      <c r="D514" s="728"/>
      <c r="E514" s="762" t="str">
        <f aca="false">IFERROR(VLOOKUP(B514,TE!$H$1:$Y$749,2,FALSE()),"(Not on TE)")</f>
        <v>(Not on TE)</v>
      </c>
      <c r="F514" s="728"/>
      <c r="G514" s="729"/>
      <c r="H514" s="729"/>
      <c r="I514" s="729"/>
      <c r="J514" s="729"/>
      <c r="K514" s="729"/>
      <c r="L514" s="729"/>
      <c r="M514" s="729"/>
      <c r="N514" s="764" t="str">
        <f aca="false">IFERROR(VLOOKUP(B514,TE!$H$1:$Y$749,18,FALSE()),"")</f>
        <v/>
      </c>
      <c r="O514" s="764"/>
      <c r="P514" s="764"/>
      <c r="Q514" s="764"/>
      <c r="R514" s="764"/>
      <c r="S514" s="764"/>
      <c r="T514" s="764" t="n">
        <f aca="false">IFERROR(SUMIFS(TE!$O:$O,TE!$G:$G,$B$441,TE!$I:$I,B514,TE!$D:$D,$C$5),"")</f>
        <v>0</v>
      </c>
      <c r="U514" s="764"/>
      <c r="V514" s="764"/>
      <c r="W514" s="764"/>
      <c r="X514" s="723" t="str">
        <f aca="false">IFERROR(VLOOKUP(B514,TE!$H$1:$Y$630,14,FALSE()),"0")</f>
        <v>0</v>
      </c>
      <c r="Y514" s="723"/>
      <c r="Z514" s="723"/>
      <c r="AA514" s="723"/>
      <c r="AB514" s="765" t="n">
        <f aca="false">T514*X514</f>
        <v>0</v>
      </c>
      <c r="AC514" s="765"/>
      <c r="AD514" s="765"/>
      <c r="AE514" s="736"/>
      <c r="AF514" s="736"/>
    </row>
    <row r="515" customFormat="false" ht="15.75" hidden="false" customHeight="true" outlineLevel="0" collapsed="false">
      <c r="A515" s="736"/>
      <c r="B515" s="785" t="s">
        <v>1605</v>
      </c>
      <c r="C515" s="728"/>
      <c r="D515" s="728"/>
      <c r="E515" s="762" t="str">
        <f aca="false">IFERROR(VLOOKUP(B515,TE!$H$1:$Y$749,2,FALSE()),"(Not on TE)")</f>
        <v>(Not on TE)</v>
      </c>
      <c r="F515" s="728"/>
      <c r="G515" s="729"/>
      <c r="H515" s="729"/>
      <c r="I515" s="729"/>
      <c r="J515" s="729"/>
      <c r="K515" s="729"/>
      <c r="L515" s="729"/>
      <c r="M515" s="729"/>
      <c r="N515" s="764" t="str">
        <f aca="false">IFERROR(VLOOKUP(B515,TE!$H$1:$Y$749,18,FALSE()),"")</f>
        <v/>
      </c>
      <c r="O515" s="764"/>
      <c r="P515" s="764"/>
      <c r="Q515" s="764"/>
      <c r="R515" s="764"/>
      <c r="S515" s="764"/>
      <c r="T515" s="764" t="n">
        <f aca="false">IFERROR(SUMIFS(TE!$O:$O,TE!$G:$G,$B$441,TE!$I:$I,B515,TE!$D:$D,$C$5),"")</f>
        <v>0</v>
      </c>
      <c r="U515" s="764"/>
      <c r="V515" s="764"/>
      <c r="W515" s="764"/>
      <c r="X515" s="723" t="str">
        <f aca="false">IFERROR(VLOOKUP(B515,TE!$H$1:$Y$630,14,FALSE()),"0")</f>
        <v>0</v>
      </c>
      <c r="Y515" s="723"/>
      <c r="Z515" s="723"/>
      <c r="AA515" s="723"/>
      <c r="AB515" s="765" t="n">
        <f aca="false">T515*X515</f>
        <v>0</v>
      </c>
      <c r="AC515" s="765"/>
      <c r="AD515" s="765"/>
      <c r="AE515" s="736"/>
      <c r="AF515" s="736"/>
    </row>
    <row r="516" customFormat="false" ht="15.75" hidden="false" customHeight="true" outlineLevel="0" collapsed="false">
      <c r="A516" s="736"/>
      <c r="B516" s="785" t="s">
        <v>1606</v>
      </c>
      <c r="C516" s="728"/>
      <c r="D516" s="728"/>
      <c r="E516" s="762" t="str">
        <f aca="false">IFERROR(VLOOKUP(B516,TE!$H$1:$Y$749,2,FALSE()),"(Not on TE)")</f>
        <v>(Not on TE)</v>
      </c>
      <c r="F516" s="728"/>
      <c r="G516" s="729"/>
      <c r="H516" s="729"/>
      <c r="I516" s="729"/>
      <c r="J516" s="729"/>
      <c r="K516" s="729"/>
      <c r="L516" s="729"/>
      <c r="M516" s="729"/>
      <c r="N516" s="764" t="str">
        <f aca="false">IFERROR(VLOOKUP(B516,TE!$H$1:$Y$749,18,FALSE()),"")</f>
        <v/>
      </c>
      <c r="O516" s="764"/>
      <c r="P516" s="764"/>
      <c r="Q516" s="764"/>
      <c r="R516" s="764"/>
      <c r="S516" s="764"/>
      <c r="T516" s="764" t="n">
        <f aca="false">IFERROR(SUMIFS(TE!$O:$O,TE!$G:$G,$B$441,TE!$I:$I,B516,TE!$D:$D,$C$5),"")</f>
        <v>0</v>
      </c>
      <c r="U516" s="764"/>
      <c r="V516" s="764"/>
      <c r="W516" s="764"/>
      <c r="X516" s="723" t="str">
        <f aca="false">IFERROR(VLOOKUP(B516,TE!$H$1:$Y$630,14,FALSE()),"0")</f>
        <v>0</v>
      </c>
      <c r="Y516" s="723"/>
      <c r="Z516" s="723"/>
      <c r="AA516" s="723"/>
      <c r="AB516" s="765" t="n">
        <f aca="false">T516*X516</f>
        <v>0</v>
      </c>
      <c r="AC516" s="765"/>
      <c r="AD516" s="765"/>
      <c r="AE516" s="736"/>
      <c r="AF516" s="736"/>
    </row>
    <row r="517" customFormat="false" ht="15.75" hidden="false" customHeight="true" outlineLevel="0" collapsed="false">
      <c r="A517" s="736"/>
      <c r="B517" s="784" t="s">
        <v>1607</v>
      </c>
      <c r="C517" s="728"/>
      <c r="D517" s="728"/>
      <c r="E517" s="762" t="str">
        <f aca="false">IFERROR(VLOOKUP(B517,TE!$H$1:$Y$749,2,FALSE()),"(Not on TE)")</f>
        <v>(Not on TE)</v>
      </c>
      <c r="F517" s="728"/>
      <c r="G517" s="729"/>
      <c r="H517" s="729"/>
      <c r="I517" s="729"/>
      <c r="J517" s="729"/>
      <c r="K517" s="729"/>
      <c r="L517" s="729"/>
      <c r="M517" s="729"/>
      <c r="N517" s="764" t="str">
        <f aca="false">IFERROR(VLOOKUP(B517,TE!$H$1:$Y$749,18,FALSE()),"")</f>
        <v/>
      </c>
      <c r="O517" s="764"/>
      <c r="P517" s="764"/>
      <c r="Q517" s="764"/>
      <c r="R517" s="764"/>
      <c r="S517" s="764"/>
      <c r="T517" s="764" t="n">
        <f aca="false">IFERROR(SUMIFS(TE!$O:$O,TE!$G:$G,$B$441,TE!$I:$I,B517,TE!$D:$D,$C$5),"")</f>
        <v>0</v>
      </c>
      <c r="U517" s="764"/>
      <c r="V517" s="764"/>
      <c r="W517" s="764"/>
      <c r="X517" s="723" t="str">
        <f aca="false">IFERROR(VLOOKUP(B517,TE!$H$1:$Y$630,14,FALSE()),"0")</f>
        <v>0</v>
      </c>
      <c r="Y517" s="723"/>
      <c r="Z517" s="723"/>
      <c r="AA517" s="723"/>
      <c r="AB517" s="765" t="n">
        <f aca="false">T517*X517</f>
        <v>0</v>
      </c>
      <c r="AC517" s="765"/>
      <c r="AD517" s="765"/>
      <c r="AE517" s="736"/>
      <c r="AF517" s="736"/>
    </row>
    <row r="518" customFormat="false" ht="15.75" hidden="false" customHeight="true" outlineLevel="0" collapsed="false">
      <c r="A518" s="736"/>
      <c r="B518" s="784" t="s">
        <v>1608</v>
      </c>
      <c r="C518" s="728"/>
      <c r="D518" s="728"/>
      <c r="E518" s="762" t="str">
        <f aca="false">IFERROR(VLOOKUP(B518,TE!$H$1:$Y$749,2,FALSE()),"(Not on TE)")</f>
        <v>(Not on TE)</v>
      </c>
      <c r="F518" s="728"/>
      <c r="G518" s="729"/>
      <c r="H518" s="729"/>
      <c r="I518" s="729"/>
      <c r="J518" s="729"/>
      <c r="K518" s="729"/>
      <c r="L518" s="729"/>
      <c r="M518" s="729"/>
      <c r="N518" s="764" t="str">
        <f aca="false">IFERROR(VLOOKUP(B518,TE!$H$1:$Y$749,18,FALSE()),"")</f>
        <v/>
      </c>
      <c r="O518" s="764"/>
      <c r="P518" s="764"/>
      <c r="Q518" s="764"/>
      <c r="R518" s="764"/>
      <c r="S518" s="764"/>
      <c r="T518" s="764" t="n">
        <f aca="false">IFERROR(SUMIFS(TE!$O:$O,TE!$G:$G,$B$441,TE!$I:$I,B518,TE!$D:$D,$C$5),"")</f>
        <v>0</v>
      </c>
      <c r="U518" s="764"/>
      <c r="V518" s="764"/>
      <c r="W518" s="764"/>
      <c r="X518" s="723" t="str">
        <f aca="false">IFERROR(VLOOKUP(B518,TE!$H$1:$Y$630,14,FALSE()),"0")</f>
        <v>0</v>
      </c>
      <c r="Y518" s="723"/>
      <c r="Z518" s="723"/>
      <c r="AA518" s="723"/>
      <c r="AB518" s="765" t="n">
        <f aca="false">T518*X518</f>
        <v>0</v>
      </c>
      <c r="AC518" s="765"/>
      <c r="AD518" s="765"/>
      <c r="AE518" s="736"/>
      <c r="AF518" s="736"/>
    </row>
    <row r="519" customFormat="false" ht="15.75" hidden="false" customHeight="true" outlineLevel="0" collapsed="false">
      <c r="A519" s="736"/>
      <c r="B519" s="784" t="s">
        <v>1609</v>
      </c>
      <c r="C519" s="728"/>
      <c r="D519" s="728"/>
      <c r="E519" s="762" t="str">
        <f aca="false">IFERROR(VLOOKUP(B519,TE!$H$1:$Y$749,2,FALSE()),"(Not on TE)")</f>
        <v>(Not on TE)</v>
      </c>
      <c r="F519" s="728"/>
      <c r="G519" s="729"/>
      <c r="H519" s="729"/>
      <c r="I519" s="729"/>
      <c r="J519" s="729"/>
      <c r="K519" s="729"/>
      <c r="L519" s="729"/>
      <c r="M519" s="729"/>
      <c r="N519" s="764" t="str">
        <f aca="false">IFERROR(VLOOKUP(B519,TE!$H$1:$Y$749,18,FALSE()),"")</f>
        <v/>
      </c>
      <c r="O519" s="764"/>
      <c r="P519" s="764"/>
      <c r="Q519" s="764"/>
      <c r="R519" s="764"/>
      <c r="S519" s="764"/>
      <c r="T519" s="764" t="n">
        <f aca="false">IFERROR(SUMIFS(TE!$O:$O,TE!$G:$G,$B$441,TE!$I:$I,B519,TE!$D:$D,$C$5),"")</f>
        <v>0</v>
      </c>
      <c r="U519" s="764"/>
      <c r="V519" s="764"/>
      <c r="W519" s="764"/>
      <c r="X519" s="723" t="str">
        <f aca="false">IFERROR(VLOOKUP(B519,TE!$H$1:$Y$630,14,FALSE()),"0")</f>
        <v>0</v>
      </c>
      <c r="Y519" s="723"/>
      <c r="Z519" s="723"/>
      <c r="AA519" s="723"/>
      <c r="AB519" s="765" t="n">
        <f aca="false">T519*X519</f>
        <v>0</v>
      </c>
      <c r="AC519" s="765"/>
      <c r="AD519" s="765"/>
      <c r="AE519" s="736"/>
      <c r="AF519" s="736"/>
    </row>
    <row r="520" customFormat="false" ht="15.75" hidden="false" customHeight="true" outlineLevel="0" collapsed="false">
      <c r="A520" s="736"/>
      <c r="B520" s="784" t="s">
        <v>1610</v>
      </c>
      <c r="C520" s="728"/>
      <c r="D520" s="728"/>
      <c r="E520" s="762" t="str">
        <f aca="false">IFERROR(VLOOKUP(B520,TE!$H$1:$Y$749,2,FALSE()),"(Not on TE)")</f>
        <v>(Not on TE)</v>
      </c>
      <c r="F520" s="728"/>
      <c r="G520" s="729"/>
      <c r="H520" s="729"/>
      <c r="I520" s="729"/>
      <c r="J520" s="729"/>
      <c r="K520" s="729"/>
      <c r="L520" s="729"/>
      <c r="M520" s="729"/>
      <c r="N520" s="764" t="str">
        <f aca="false">IFERROR(VLOOKUP(B520,TE!$H$1:$Y$749,18,FALSE()),"")</f>
        <v/>
      </c>
      <c r="O520" s="764"/>
      <c r="P520" s="764"/>
      <c r="Q520" s="764"/>
      <c r="R520" s="764"/>
      <c r="S520" s="764"/>
      <c r="T520" s="764" t="n">
        <f aca="false">IFERROR(SUMIFS(TE!$O:$O,TE!$G:$G,$B$441,TE!$I:$I,B520,TE!$D:$D,$C$5),"")</f>
        <v>0</v>
      </c>
      <c r="U520" s="764"/>
      <c r="V520" s="764"/>
      <c r="W520" s="764"/>
      <c r="X520" s="723" t="str">
        <f aca="false">IFERROR(VLOOKUP(B520,TE!$H$1:$Y$630,14,FALSE()),"0")</f>
        <v>0</v>
      </c>
      <c r="Y520" s="723"/>
      <c r="Z520" s="723"/>
      <c r="AA520" s="723"/>
      <c r="AB520" s="765" t="n">
        <f aca="false">T520*X520</f>
        <v>0</v>
      </c>
      <c r="AC520" s="765"/>
      <c r="AD520" s="765"/>
      <c r="AE520" s="736"/>
      <c r="AF520" s="736"/>
    </row>
    <row r="521" customFormat="false" ht="15.75" hidden="false" customHeight="true" outlineLevel="0" collapsed="false">
      <c r="A521" s="736"/>
      <c r="B521" s="784" t="s">
        <v>1611</v>
      </c>
      <c r="C521" s="728"/>
      <c r="D521" s="728"/>
      <c r="E521" s="762" t="str">
        <f aca="false">IFERROR(VLOOKUP(B521,TE!$H$1:$Y$749,2,FALSE()),"(Not on TE)")</f>
        <v>(Not on TE)</v>
      </c>
      <c r="F521" s="728"/>
      <c r="G521" s="729"/>
      <c r="H521" s="729"/>
      <c r="I521" s="729"/>
      <c r="J521" s="729"/>
      <c r="K521" s="729"/>
      <c r="L521" s="729"/>
      <c r="M521" s="729"/>
      <c r="N521" s="764" t="str">
        <f aca="false">IFERROR(VLOOKUP(B521,TE!$H$1:$Y$749,18,FALSE()),"")</f>
        <v/>
      </c>
      <c r="O521" s="764"/>
      <c r="P521" s="764"/>
      <c r="Q521" s="764"/>
      <c r="R521" s="764"/>
      <c r="S521" s="764"/>
      <c r="T521" s="764" t="n">
        <f aca="false">IFERROR(SUMIFS(TE!$O:$O,TE!$G:$G,$B$441,TE!$I:$I,B521,TE!$D:$D,$C$5),"")</f>
        <v>0</v>
      </c>
      <c r="U521" s="764"/>
      <c r="V521" s="764"/>
      <c r="W521" s="764"/>
      <c r="X521" s="723" t="str">
        <f aca="false">IFERROR(VLOOKUP(B521,TE!$H$1:$Y$630,14,FALSE()),"0")</f>
        <v>0</v>
      </c>
      <c r="Y521" s="723"/>
      <c r="Z521" s="723"/>
      <c r="AA521" s="723"/>
      <c r="AB521" s="765" t="n">
        <f aca="false">T521*X521</f>
        <v>0</v>
      </c>
      <c r="AC521" s="765"/>
      <c r="AD521" s="765"/>
      <c r="AE521" s="736"/>
      <c r="AF521" s="736"/>
    </row>
    <row r="522" customFormat="false" ht="15.75" hidden="false" customHeight="true" outlineLevel="0" collapsed="false">
      <c r="A522" s="736"/>
      <c r="B522" s="786" t="s">
        <v>1612</v>
      </c>
      <c r="C522" s="787"/>
      <c r="D522" s="787"/>
      <c r="E522" s="769" t="str">
        <f aca="false">IFERROR(VLOOKUP(B522,TE!$H$1:$Y$749,2,FALSE()),"(Not on TE)")</f>
        <v>(Not on TE)</v>
      </c>
      <c r="F522" s="787"/>
      <c r="G522" s="788"/>
      <c r="H522" s="788"/>
      <c r="I522" s="788"/>
      <c r="J522" s="788"/>
      <c r="K522" s="788"/>
      <c r="L522" s="788"/>
      <c r="M522" s="788"/>
      <c r="N522" s="771" t="str">
        <f aca="false">IFERROR(VLOOKUP(B522,TE!$H$1:$Y$749,18,FALSE()),"")</f>
        <v/>
      </c>
      <c r="O522" s="771"/>
      <c r="P522" s="771"/>
      <c r="Q522" s="771"/>
      <c r="R522" s="771"/>
      <c r="S522" s="771"/>
      <c r="T522" s="771" t="n">
        <f aca="false">IFERROR(SUMIFS(TE!$O:$O,TE!$G:$G,$B$441,TE!$I:$I,B522,TE!$D:$D,$C$5),"")</f>
        <v>0</v>
      </c>
      <c r="U522" s="771"/>
      <c r="V522" s="771"/>
      <c r="W522" s="771"/>
      <c r="X522" s="727" t="str">
        <f aca="false">IFERROR(VLOOKUP(B522,TE!$H$1:$Y$630,14,FALSE()),"0")</f>
        <v>0</v>
      </c>
      <c r="Y522" s="727"/>
      <c r="Z522" s="727"/>
      <c r="AA522" s="727"/>
      <c r="AB522" s="772" t="n">
        <f aca="false">T522*X522</f>
        <v>0</v>
      </c>
      <c r="AC522" s="772"/>
      <c r="AD522" s="772"/>
      <c r="AE522" s="736"/>
      <c r="AF522" s="736"/>
    </row>
    <row r="523" customFormat="false" ht="15.75" hidden="false" customHeight="true" outlineLevel="0" collapsed="false">
      <c r="A523" s="736"/>
      <c r="B523" s="761"/>
      <c r="C523" s="728"/>
      <c r="D523" s="728"/>
      <c r="E523" s="728"/>
      <c r="F523" s="728"/>
      <c r="G523" s="729"/>
      <c r="H523" s="729"/>
      <c r="I523" s="729"/>
      <c r="J523" s="729"/>
      <c r="K523" s="729"/>
      <c r="L523" s="729"/>
      <c r="M523" s="729"/>
      <c r="N523" s="789"/>
      <c r="O523" s="789"/>
      <c r="P523" s="789"/>
      <c r="Q523" s="789"/>
      <c r="R523" s="790"/>
      <c r="S523" s="790"/>
      <c r="T523" s="790"/>
      <c r="U523" s="790"/>
      <c r="V523" s="790"/>
      <c r="W523" s="790"/>
      <c r="X523" s="790"/>
      <c r="Y523" s="790"/>
      <c r="Z523" s="791" t="s">
        <v>1576</v>
      </c>
      <c r="AA523" s="791"/>
      <c r="AB523" s="791"/>
      <c r="AC523" s="791"/>
      <c r="AD523" s="791"/>
      <c r="AE523" s="736"/>
      <c r="AF523" s="736"/>
    </row>
    <row r="524" customFormat="false" ht="15.75" hidden="false" customHeight="true" outlineLevel="0" collapsed="false">
      <c r="A524" s="736"/>
      <c r="B524" s="768"/>
      <c r="C524" s="728"/>
      <c r="D524" s="728"/>
      <c r="E524" s="728"/>
      <c r="F524" s="728"/>
      <c r="G524" s="792"/>
      <c r="H524" s="792"/>
      <c r="I524" s="792"/>
      <c r="J524" s="792"/>
      <c r="K524" s="792"/>
      <c r="L524" s="792"/>
      <c r="M524" s="792"/>
      <c r="N524" s="793"/>
      <c r="O524" s="793"/>
      <c r="P524" s="793"/>
      <c r="Q524" s="793"/>
      <c r="R524" s="794"/>
      <c r="S524" s="794"/>
      <c r="T524" s="794"/>
      <c r="U524" s="794"/>
      <c r="V524" s="794"/>
      <c r="W524" s="794"/>
      <c r="X524" s="794"/>
      <c r="Y524" s="794"/>
      <c r="Z524" s="736"/>
      <c r="AA524" s="736"/>
      <c r="AB524" s="736"/>
      <c r="AC524" s="736"/>
      <c r="AD524" s="736"/>
      <c r="AE524" s="736"/>
      <c r="AF524" s="736"/>
    </row>
    <row r="525" customFormat="false" ht="15.75" hidden="false" customHeight="true" outlineLevel="0" collapsed="false">
      <c r="A525" s="795"/>
      <c r="B525" s="682"/>
      <c r="C525" s="795"/>
      <c r="D525" s="795"/>
      <c r="E525" s="795"/>
      <c r="F525" s="795"/>
      <c r="G525" s="795"/>
      <c r="H525" s="795"/>
      <c r="I525" s="795"/>
      <c r="J525" s="795"/>
      <c r="K525" s="795"/>
      <c r="L525" s="795"/>
      <c r="M525" s="795"/>
      <c r="N525" s="795"/>
      <c r="O525" s="795"/>
      <c r="P525" s="795"/>
      <c r="Q525" s="795"/>
      <c r="R525" s="795"/>
      <c r="S525" s="795"/>
      <c r="T525" s="795"/>
      <c r="U525" s="795"/>
      <c r="V525" s="795"/>
      <c r="W525" s="795"/>
      <c r="X525" s="795"/>
      <c r="Y525" s="795"/>
      <c r="Z525" s="795"/>
      <c r="AA525" s="795"/>
      <c r="AB525" s="748"/>
      <c r="AC525" s="749"/>
      <c r="AD525" s="750"/>
      <c r="AE525" s="750"/>
      <c r="AF525" s="750"/>
    </row>
    <row r="526" customFormat="false" ht="15.75" hidden="false" customHeight="true" outlineLevel="0" collapsed="false">
      <c r="A526" s="688" t="s">
        <v>1522</v>
      </c>
      <c r="B526" s="688"/>
      <c r="C526" s="751" t="n">
        <f aca="false">$C$5</f>
        <v>21451</v>
      </c>
      <c r="D526" s="751"/>
      <c r="E526" s="751"/>
      <c r="F526" s="751"/>
      <c r="G526" s="751"/>
      <c r="H526" s="751"/>
      <c r="I526" s="751"/>
      <c r="J526" s="751"/>
      <c r="K526" s="751"/>
      <c r="L526" s="751"/>
      <c r="M526" s="688" t="s">
        <v>1523</v>
      </c>
      <c r="N526" s="688"/>
      <c r="O526" s="688"/>
      <c r="P526" s="688"/>
      <c r="Q526" s="688"/>
      <c r="R526" s="752" t="str">
        <f aca="false">$R$5</f>
        <v>Automotive Organizational Shop</v>
      </c>
      <c r="S526" s="752"/>
      <c r="T526" s="752"/>
      <c r="U526" s="752"/>
      <c r="V526" s="752"/>
      <c r="W526" s="752"/>
      <c r="X526" s="752"/>
      <c r="Y526" s="752"/>
      <c r="Z526" s="752"/>
      <c r="AA526" s="752"/>
      <c r="AB526" s="752"/>
      <c r="AC526" s="752"/>
      <c r="AD526" s="752"/>
      <c r="AE526" s="752"/>
      <c r="AF526" s="752"/>
    </row>
    <row r="527" customFormat="false" ht="15.75" hidden="false" customHeight="true" outlineLevel="0" collapsed="false">
      <c r="A527" s="736"/>
      <c r="B527" s="761"/>
      <c r="C527" s="761"/>
      <c r="D527" s="761"/>
      <c r="E527" s="763"/>
      <c r="F527" s="763"/>
      <c r="G527" s="763"/>
      <c r="H527" s="763"/>
      <c r="I527" s="763"/>
      <c r="J527" s="763"/>
      <c r="K527" s="763"/>
      <c r="L527" s="763"/>
      <c r="M527" s="763"/>
      <c r="N527" s="773"/>
      <c r="O527" s="773"/>
      <c r="P527" s="773"/>
      <c r="Q527" s="773"/>
      <c r="R527" s="773"/>
      <c r="S527" s="773"/>
      <c r="T527" s="773"/>
      <c r="U527" s="773"/>
      <c r="V527" s="773"/>
      <c r="W527" s="773"/>
      <c r="X527" s="774"/>
      <c r="Y527" s="774"/>
      <c r="Z527" s="774"/>
      <c r="AA527" s="774"/>
      <c r="AB527" s="778"/>
      <c r="AC527" s="778"/>
      <c r="AD527" s="778"/>
      <c r="AE527" s="766"/>
      <c r="AF527" s="736"/>
    </row>
    <row r="528" customFormat="false" ht="15.75" hidden="false" customHeight="true" outlineLevel="0" collapsed="false">
      <c r="A528" s="736"/>
      <c r="B528" s="809" t="n">
        <f aca="false">B485</f>
        <v>0</v>
      </c>
      <c r="C528" s="768"/>
      <c r="D528" s="768"/>
      <c r="E528" s="769" t="n">
        <f aca="false">E485</f>
        <v>0</v>
      </c>
      <c r="F528" s="770"/>
      <c r="G528" s="770"/>
      <c r="H528" s="770"/>
      <c r="I528" s="770"/>
      <c r="J528" s="770"/>
      <c r="K528" s="770"/>
      <c r="L528" s="770"/>
      <c r="M528" s="770"/>
      <c r="N528" s="780"/>
      <c r="O528" s="780"/>
      <c r="P528" s="780"/>
      <c r="Q528" s="780"/>
      <c r="R528" s="780"/>
      <c r="S528" s="780"/>
      <c r="T528" s="780"/>
      <c r="U528" s="780"/>
      <c r="V528" s="780"/>
      <c r="W528" s="780"/>
      <c r="X528" s="781"/>
      <c r="Y528" s="781"/>
      <c r="Z528" s="781"/>
      <c r="AA528" s="781"/>
      <c r="AB528" s="782"/>
      <c r="AC528" s="782"/>
      <c r="AD528" s="782"/>
      <c r="AE528" s="766"/>
      <c r="AF528" s="736"/>
    </row>
    <row r="529" customFormat="false" ht="15.75" hidden="false" customHeight="true" outlineLevel="0" collapsed="false">
      <c r="A529" s="736"/>
      <c r="B529" s="796" t="s">
        <v>1613</v>
      </c>
      <c r="C529" s="761"/>
      <c r="D529" s="761"/>
      <c r="E529" s="762" t="str">
        <f aca="false">IFERROR(VLOOKUP(B529,TE!$H$1:$Y$749,2,FALSE()),"(Not on TE)")</f>
        <v>(Not on TE)</v>
      </c>
      <c r="F529" s="763"/>
      <c r="G529" s="763"/>
      <c r="H529" s="763"/>
      <c r="I529" s="763"/>
      <c r="J529" s="763"/>
      <c r="K529" s="763"/>
      <c r="L529" s="763"/>
      <c r="M529" s="763"/>
      <c r="N529" s="799" t="str">
        <f aca="false">IFERROR(VLOOKUP(B529,TE!$H$1:$Y$749,18,FALSE()),"")</f>
        <v/>
      </c>
      <c r="O529" s="799"/>
      <c r="P529" s="799"/>
      <c r="Q529" s="799"/>
      <c r="R529" s="799"/>
      <c r="S529" s="799"/>
      <c r="T529" s="799" t="n">
        <f aca="false">IFERROR(SUMIFS(TE!$O:$O,TE!$G:$G,$B$441,TE!$I:$I,B529,TE!$D:$D,$C$5),"")</f>
        <v>0</v>
      </c>
      <c r="U529" s="799"/>
      <c r="V529" s="799"/>
      <c r="W529" s="799"/>
      <c r="X529" s="800" t="str">
        <f aca="false">IFERROR(VLOOKUP(B529,TE!$H$1:$Y$630,14,FALSE()),"0")</f>
        <v>0</v>
      </c>
      <c r="Y529" s="800"/>
      <c r="Z529" s="800"/>
      <c r="AA529" s="800"/>
      <c r="AB529" s="801" t="n">
        <f aca="false">T529*X529</f>
        <v>0</v>
      </c>
      <c r="AC529" s="801"/>
      <c r="AD529" s="801"/>
      <c r="AE529" s="766"/>
      <c r="AF529" s="736"/>
    </row>
    <row r="530" customFormat="false" ht="15.75" hidden="false" customHeight="true" outlineLevel="0" collapsed="false">
      <c r="A530" s="736"/>
      <c r="B530" s="797" t="s">
        <v>1614</v>
      </c>
      <c r="C530" s="761"/>
      <c r="D530" s="761"/>
      <c r="E530" s="762" t="str">
        <f aca="false">IFERROR(VLOOKUP(B530,TE!$H$1:$Y$749,2,FALSE()),"(Not on TE)")</f>
        <v>(Not on TE)</v>
      </c>
      <c r="F530" s="763"/>
      <c r="G530" s="763"/>
      <c r="H530" s="763"/>
      <c r="I530" s="763"/>
      <c r="J530" s="763"/>
      <c r="K530" s="763"/>
      <c r="L530" s="763"/>
      <c r="M530" s="763"/>
      <c r="N530" s="764" t="str">
        <f aca="false">IFERROR(VLOOKUP(B530,TE!$H$1:$Y$749,18,FALSE()),"")</f>
        <v/>
      </c>
      <c r="O530" s="764"/>
      <c r="P530" s="764"/>
      <c r="Q530" s="764"/>
      <c r="R530" s="764"/>
      <c r="S530" s="764"/>
      <c r="T530" s="764" t="n">
        <f aca="false">IFERROR(SUMIFS(TE!$O:$O,TE!$G:$G,$B$441,TE!$I:$I,B530,TE!$D:$D,$C$5),"")</f>
        <v>0</v>
      </c>
      <c r="U530" s="764"/>
      <c r="V530" s="764"/>
      <c r="W530" s="764"/>
      <c r="X530" s="723" t="str">
        <f aca="false">IFERROR(VLOOKUP(B530,TE!$H$1:$Y$630,14,FALSE()),"0")</f>
        <v>0</v>
      </c>
      <c r="Y530" s="723"/>
      <c r="Z530" s="723"/>
      <c r="AA530" s="723"/>
      <c r="AB530" s="765" t="n">
        <f aca="false">T530*X530</f>
        <v>0</v>
      </c>
      <c r="AC530" s="765"/>
      <c r="AD530" s="765"/>
      <c r="AE530" s="766"/>
      <c r="AF530" s="736"/>
    </row>
    <row r="531" customFormat="false" ht="15.75" hidden="false" customHeight="true" outlineLevel="0" collapsed="false">
      <c r="A531" s="736"/>
      <c r="B531" s="797" t="s">
        <v>1615</v>
      </c>
      <c r="C531" s="761"/>
      <c r="D531" s="761"/>
      <c r="E531" s="762" t="str">
        <f aca="false">IFERROR(VLOOKUP(B531,TE!$H$1:$Y$749,2,FALSE()),"(Not on TE)")</f>
        <v>(Not on TE)</v>
      </c>
      <c r="F531" s="763"/>
      <c r="G531" s="763"/>
      <c r="H531" s="763"/>
      <c r="I531" s="763"/>
      <c r="J531" s="763"/>
      <c r="K531" s="763"/>
      <c r="L531" s="763"/>
      <c r="M531" s="763"/>
      <c r="N531" s="764" t="str">
        <f aca="false">IFERROR(VLOOKUP(B531,TE!$H$1:$Y$749,18,FALSE()),"")</f>
        <v/>
      </c>
      <c r="O531" s="764"/>
      <c r="P531" s="764"/>
      <c r="Q531" s="764"/>
      <c r="R531" s="764"/>
      <c r="S531" s="764"/>
      <c r="T531" s="764" t="n">
        <f aca="false">IFERROR(SUMIFS(TE!$O:$O,TE!$G:$G,$B$441,TE!$I:$I,B531,TE!$D:$D,$C$5),"")</f>
        <v>0</v>
      </c>
      <c r="U531" s="764"/>
      <c r="V531" s="764"/>
      <c r="W531" s="764"/>
      <c r="X531" s="723" t="str">
        <f aca="false">IFERROR(VLOOKUP(B531,TE!$H$1:$Y$630,14,FALSE()),"0")</f>
        <v>0</v>
      </c>
      <c r="Y531" s="723"/>
      <c r="Z531" s="723"/>
      <c r="AA531" s="723"/>
      <c r="AB531" s="765" t="n">
        <f aca="false">T531*X531</f>
        <v>0</v>
      </c>
      <c r="AC531" s="765"/>
      <c r="AD531" s="765"/>
      <c r="AE531" s="766"/>
      <c r="AF531" s="736"/>
    </row>
    <row r="532" customFormat="false" ht="15.75" hidden="false" customHeight="true" outlineLevel="0" collapsed="false">
      <c r="A532" s="736"/>
      <c r="B532" s="797" t="s">
        <v>1167</v>
      </c>
      <c r="C532" s="761"/>
      <c r="D532" s="761"/>
      <c r="E532" s="762" t="str">
        <f aca="false">IFERROR(VLOOKUP(B532,TE!$H$1:$Y$749,2,FALSE()),"(Not on TE)")</f>
        <v>(Not on TE)</v>
      </c>
      <c r="F532" s="763"/>
      <c r="G532" s="763"/>
      <c r="H532" s="763"/>
      <c r="I532" s="763"/>
      <c r="J532" s="763"/>
      <c r="K532" s="763"/>
      <c r="L532" s="763"/>
      <c r="M532" s="763"/>
      <c r="N532" s="764" t="str">
        <f aca="false">IFERROR(VLOOKUP(B532,TE!$H$1:$Y$749,18,FALSE()),"")</f>
        <v/>
      </c>
      <c r="O532" s="764"/>
      <c r="P532" s="764"/>
      <c r="Q532" s="764"/>
      <c r="R532" s="764"/>
      <c r="S532" s="764"/>
      <c r="T532" s="764" t="n">
        <f aca="false">IFERROR(SUMIFS(TE!$O:$O,TE!$G:$G,$B$441,TE!$I:$I,B532,TE!$D:$D,$C$5),"")</f>
        <v>0</v>
      </c>
      <c r="U532" s="764"/>
      <c r="V532" s="764"/>
      <c r="W532" s="764"/>
      <c r="X532" s="723" t="str">
        <f aca="false">IFERROR(VLOOKUP(B532,TE!$H$1:$Y$630,14,FALSE()),"0")</f>
        <v>0</v>
      </c>
      <c r="Y532" s="723"/>
      <c r="Z532" s="723"/>
      <c r="AA532" s="723"/>
      <c r="AB532" s="765" t="n">
        <f aca="false">T532*X532</f>
        <v>0</v>
      </c>
      <c r="AC532" s="765"/>
      <c r="AD532" s="765"/>
      <c r="AE532" s="766"/>
      <c r="AF532" s="736"/>
    </row>
    <row r="533" customFormat="false" ht="15.75" hidden="false" customHeight="true" outlineLevel="0" collapsed="false">
      <c r="A533" s="736"/>
      <c r="B533" s="797" t="s">
        <v>1618</v>
      </c>
      <c r="C533" s="761"/>
      <c r="D533" s="761"/>
      <c r="E533" s="762" t="str">
        <f aca="false">IFERROR(VLOOKUP(B533,TE!$H$1:$Y$749,2,FALSE()),"(Not on TE)")</f>
        <v>(Not on TE)</v>
      </c>
      <c r="F533" s="763"/>
      <c r="G533" s="763"/>
      <c r="H533" s="763"/>
      <c r="I533" s="763"/>
      <c r="J533" s="763"/>
      <c r="K533" s="763"/>
      <c r="L533" s="763"/>
      <c r="M533" s="763"/>
      <c r="N533" s="764" t="str">
        <f aca="false">IFERROR(VLOOKUP(B533,TE!$H$1:$Y$749,18,FALSE()),"")</f>
        <v/>
      </c>
      <c r="O533" s="764"/>
      <c r="P533" s="764"/>
      <c r="Q533" s="764"/>
      <c r="R533" s="764"/>
      <c r="S533" s="764"/>
      <c r="T533" s="764" t="n">
        <f aca="false">IFERROR(SUMIFS(TE!$O:$O,TE!$G:$G,$B$441,TE!$I:$I,B533,TE!$D:$D,$C$5),"")</f>
        <v>0</v>
      </c>
      <c r="U533" s="764"/>
      <c r="V533" s="764"/>
      <c r="W533" s="764"/>
      <c r="X533" s="723" t="str">
        <f aca="false">IFERROR(VLOOKUP(B533,TE!$H$1:$Y$630,14,FALSE()),"0")</f>
        <v>0</v>
      </c>
      <c r="Y533" s="723"/>
      <c r="Z533" s="723"/>
      <c r="AA533" s="723"/>
      <c r="AB533" s="765" t="n">
        <f aca="false">T533*X533</f>
        <v>0</v>
      </c>
      <c r="AC533" s="765"/>
      <c r="AD533" s="765"/>
      <c r="AE533" s="766"/>
      <c r="AF533" s="736"/>
    </row>
    <row r="534" customFormat="false" ht="15.75" hidden="false" customHeight="true" outlineLevel="0" collapsed="false">
      <c r="A534" s="736"/>
      <c r="B534" s="797" t="s">
        <v>1114</v>
      </c>
      <c r="C534" s="761"/>
      <c r="D534" s="761"/>
      <c r="E534" s="762" t="str">
        <f aca="false">IFERROR(VLOOKUP(B534,TE!$H$1:$Y$749,2,FALSE()),"(Not on TE)")</f>
        <v>(Not on TE)</v>
      </c>
      <c r="F534" s="763"/>
      <c r="G534" s="763"/>
      <c r="H534" s="763"/>
      <c r="I534" s="763"/>
      <c r="J534" s="763"/>
      <c r="K534" s="763"/>
      <c r="L534" s="763"/>
      <c r="M534" s="763"/>
      <c r="N534" s="764" t="str">
        <f aca="false">IFERROR(VLOOKUP(B534,TE!$H$1:$Y$749,18,FALSE()),"")</f>
        <v/>
      </c>
      <c r="O534" s="764"/>
      <c r="P534" s="764"/>
      <c r="Q534" s="764"/>
      <c r="R534" s="764"/>
      <c r="S534" s="764"/>
      <c r="T534" s="764" t="n">
        <f aca="false">IFERROR(SUMIFS(TE!$O:$O,TE!$G:$G,$B$441,TE!$I:$I,B534,TE!$D:$D,$C$5),"")</f>
        <v>0</v>
      </c>
      <c r="U534" s="764"/>
      <c r="V534" s="764"/>
      <c r="W534" s="764"/>
      <c r="X534" s="723" t="str">
        <f aca="false">IFERROR(VLOOKUP(B534,TE!$H$1:$Y$630,14,FALSE()),"0")</f>
        <v>0</v>
      </c>
      <c r="Y534" s="723"/>
      <c r="Z534" s="723"/>
      <c r="AA534" s="723"/>
      <c r="AB534" s="765" t="n">
        <f aca="false">T534*X534</f>
        <v>0</v>
      </c>
      <c r="AC534" s="765"/>
      <c r="AD534" s="765"/>
      <c r="AE534" s="766"/>
      <c r="AF534" s="736"/>
    </row>
    <row r="535" customFormat="false" ht="15.75" hidden="false" customHeight="true" outlineLevel="0" collapsed="false">
      <c r="A535" s="736"/>
      <c r="B535" s="797" t="s">
        <v>1619</v>
      </c>
      <c r="C535" s="761"/>
      <c r="D535" s="761"/>
      <c r="E535" s="762" t="str">
        <f aca="false">IFERROR(VLOOKUP(B535,TE!$H$1:$Y$749,2,FALSE()),"(Not on TE)")</f>
        <v>(Not on TE)</v>
      </c>
      <c r="F535" s="763"/>
      <c r="G535" s="763"/>
      <c r="H535" s="763"/>
      <c r="I535" s="763"/>
      <c r="J535" s="763"/>
      <c r="K535" s="763"/>
      <c r="L535" s="763"/>
      <c r="M535" s="763"/>
      <c r="N535" s="764" t="str">
        <f aca="false">IFERROR(VLOOKUP(B535,TE!$H$1:$Y$749,18,FALSE()),"")</f>
        <v/>
      </c>
      <c r="O535" s="764"/>
      <c r="P535" s="764"/>
      <c r="Q535" s="764"/>
      <c r="R535" s="764"/>
      <c r="S535" s="764"/>
      <c r="T535" s="764" t="n">
        <f aca="false">IFERROR(SUMIFS(TE!$O:$O,TE!$G:$G,$B$441,TE!$I:$I,B535,TE!$D:$D,$C$5),"")</f>
        <v>0</v>
      </c>
      <c r="U535" s="764"/>
      <c r="V535" s="764"/>
      <c r="W535" s="764"/>
      <c r="X535" s="723" t="str">
        <f aca="false">IFERROR(VLOOKUP(B535,TE!$H$1:$Y$630,14,FALSE()),"0")</f>
        <v>0</v>
      </c>
      <c r="Y535" s="723"/>
      <c r="Z535" s="723"/>
      <c r="AA535" s="723"/>
      <c r="AB535" s="765" t="n">
        <f aca="false">T535*X535</f>
        <v>0</v>
      </c>
      <c r="AC535" s="765"/>
      <c r="AD535" s="765"/>
      <c r="AE535" s="766"/>
      <c r="AF535" s="736"/>
    </row>
    <row r="536" customFormat="false" ht="15.75" hidden="false" customHeight="true" outlineLevel="0" collapsed="false">
      <c r="A536" s="736"/>
      <c r="B536" s="797" t="s">
        <v>1620</v>
      </c>
      <c r="C536" s="761"/>
      <c r="D536" s="761"/>
      <c r="E536" s="762" t="str">
        <f aca="false">IFERROR(VLOOKUP(B536,TE!$H$1:$Y$749,2,FALSE()),"(Not on TE)")</f>
        <v>(Not on TE)</v>
      </c>
      <c r="F536" s="763"/>
      <c r="G536" s="763"/>
      <c r="H536" s="763"/>
      <c r="I536" s="763"/>
      <c r="J536" s="763"/>
      <c r="K536" s="763"/>
      <c r="L536" s="763"/>
      <c r="M536" s="763"/>
      <c r="N536" s="764" t="str">
        <f aca="false">IFERROR(VLOOKUP(B536,TE!$H$1:$Y$749,18,FALSE()),"")</f>
        <v/>
      </c>
      <c r="O536" s="764"/>
      <c r="P536" s="764"/>
      <c r="Q536" s="764"/>
      <c r="R536" s="764"/>
      <c r="S536" s="764"/>
      <c r="T536" s="764" t="n">
        <f aca="false">IFERROR(SUMIFS(TE!$O:$O,TE!$G:$G,$B$441,TE!$I:$I,B536,TE!$D:$D,$C$5),"")</f>
        <v>0</v>
      </c>
      <c r="U536" s="764"/>
      <c r="V536" s="764"/>
      <c r="W536" s="764"/>
      <c r="X536" s="723" t="str">
        <f aca="false">IFERROR(VLOOKUP(B536,TE!$H$1:$Y$630,14,FALSE()),"0")</f>
        <v>0</v>
      </c>
      <c r="Y536" s="723"/>
      <c r="Z536" s="723"/>
      <c r="AA536" s="723"/>
      <c r="AB536" s="765" t="n">
        <f aca="false">T536*X536</f>
        <v>0</v>
      </c>
      <c r="AC536" s="765"/>
      <c r="AD536" s="765"/>
      <c r="AE536" s="766"/>
      <c r="AF536" s="736"/>
    </row>
    <row r="537" customFormat="false" ht="15.75" hidden="false" customHeight="true" outlineLevel="0" collapsed="false">
      <c r="A537" s="736"/>
      <c r="B537" s="797" t="s">
        <v>1621</v>
      </c>
      <c r="C537" s="761"/>
      <c r="D537" s="761"/>
      <c r="E537" s="762" t="str">
        <f aca="false">IFERROR(VLOOKUP(B537,TE!$H$1:$Y$749,2,FALSE()),"(Not on TE)")</f>
        <v>(Not on TE)</v>
      </c>
      <c r="F537" s="763"/>
      <c r="G537" s="763"/>
      <c r="H537" s="763"/>
      <c r="I537" s="763"/>
      <c r="J537" s="763"/>
      <c r="K537" s="763"/>
      <c r="L537" s="763"/>
      <c r="M537" s="763"/>
      <c r="N537" s="764" t="str">
        <f aca="false">IFERROR(VLOOKUP(B537,TE!$H$1:$Y$749,18,FALSE()),"")</f>
        <v/>
      </c>
      <c r="O537" s="764"/>
      <c r="P537" s="764"/>
      <c r="Q537" s="764"/>
      <c r="R537" s="764"/>
      <c r="S537" s="764"/>
      <c r="T537" s="764" t="n">
        <f aca="false">IFERROR(SUMIFS(TE!$O:$O,TE!$G:$G,$B$441,TE!$I:$I,B537,TE!$D:$D,$C$5),"")</f>
        <v>0</v>
      </c>
      <c r="U537" s="764"/>
      <c r="V537" s="764"/>
      <c r="W537" s="764"/>
      <c r="X537" s="723" t="str">
        <f aca="false">IFERROR(VLOOKUP(B537,TE!$H$1:$Y$630,14,FALSE()),"0")</f>
        <v>0</v>
      </c>
      <c r="Y537" s="723"/>
      <c r="Z537" s="723"/>
      <c r="AA537" s="723"/>
      <c r="AB537" s="765" t="n">
        <f aca="false">T537*X537</f>
        <v>0</v>
      </c>
      <c r="AC537" s="765"/>
      <c r="AD537" s="765"/>
      <c r="AE537" s="766"/>
      <c r="AF537" s="736"/>
    </row>
    <row r="538" customFormat="false" ht="15.75" hidden="false" customHeight="true" outlineLevel="0" collapsed="false">
      <c r="A538" s="736"/>
      <c r="B538" s="797" t="s">
        <v>1622</v>
      </c>
      <c r="C538" s="761"/>
      <c r="D538" s="761"/>
      <c r="E538" s="762" t="str">
        <f aca="false">IFERROR(VLOOKUP(B538,TE!$H$1:$Y$749,2,FALSE()),"(Not on TE)")</f>
        <v>(Not on TE)</v>
      </c>
      <c r="F538" s="763"/>
      <c r="G538" s="763"/>
      <c r="H538" s="763"/>
      <c r="I538" s="763"/>
      <c r="J538" s="763"/>
      <c r="K538" s="763"/>
      <c r="L538" s="763"/>
      <c r="M538" s="763"/>
      <c r="N538" s="764" t="str">
        <f aca="false">IFERROR(VLOOKUP(B538,TE!$H$1:$Y$749,18,FALSE()),"")</f>
        <v/>
      </c>
      <c r="O538" s="764"/>
      <c r="P538" s="764"/>
      <c r="Q538" s="764"/>
      <c r="R538" s="764"/>
      <c r="S538" s="764"/>
      <c r="T538" s="764" t="n">
        <f aca="false">IFERROR(SUMIFS(TE!$O:$O,TE!$G:$G,$B$441,TE!$I:$I,B538,TE!$D:$D,$C$5),"")</f>
        <v>0</v>
      </c>
      <c r="U538" s="764"/>
      <c r="V538" s="764"/>
      <c r="W538" s="764"/>
      <c r="X538" s="723" t="str">
        <f aca="false">IFERROR(VLOOKUP(B538,TE!$H$1:$Y$630,14,FALSE()),"0")</f>
        <v>0</v>
      </c>
      <c r="Y538" s="723"/>
      <c r="Z538" s="723"/>
      <c r="AA538" s="723"/>
      <c r="AB538" s="765" t="n">
        <f aca="false">T538*X538</f>
        <v>0</v>
      </c>
      <c r="AC538" s="765"/>
      <c r="AD538" s="765"/>
      <c r="AE538" s="766"/>
      <c r="AF538" s="736"/>
    </row>
    <row r="539" customFormat="false" ht="15.75" hidden="false" customHeight="true" outlineLevel="0" collapsed="false">
      <c r="A539" s="736"/>
      <c r="B539" s="760" t="s">
        <v>1193</v>
      </c>
      <c r="C539" s="761"/>
      <c r="D539" s="761"/>
      <c r="E539" s="762" t="str">
        <f aca="false">IFERROR(VLOOKUP(B539,TE!$H$1:$Y$749,2,FALSE()),"(Not on TE)")</f>
        <v>(Not on TE)</v>
      </c>
      <c r="F539" s="763"/>
      <c r="G539" s="763"/>
      <c r="H539" s="763"/>
      <c r="I539" s="763"/>
      <c r="J539" s="763"/>
      <c r="K539" s="763"/>
      <c r="L539" s="763"/>
      <c r="M539" s="763"/>
      <c r="N539" s="764" t="str">
        <f aca="false">IFERROR(VLOOKUP(B539,TE!$H$1:$Y$749,18,FALSE()),"")</f>
        <v/>
      </c>
      <c r="O539" s="764"/>
      <c r="P539" s="764"/>
      <c r="Q539" s="764"/>
      <c r="R539" s="764"/>
      <c r="S539" s="764"/>
      <c r="T539" s="764" t="n">
        <f aca="false">IFERROR(SUMIFS(TE!$O:$O,TE!$G:$G,$B$441,TE!$I:$I,B539,TE!$D:$D,$C$5),"")</f>
        <v>0</v>
      </c>
      <c r="U539" s="764"/>
      <c r="V539" s="764"/>
      <c r="W539" s="764"/>
      <c r="X539" s="723" t="str">
        <f aca="false">IFERROR(VLOOKUP(B539,TE!$H$1:$Y$630,14,FALSE()),"0")</f>
        <v>0</v>
      </c>
      <c r="Y539" s="723"/>
      <c r="Z539" s="723"/>
      <c r="AA539" s="723"/>
      <c r="AB539" s="765" t="n">
        <f aca="false">T539*X539</f>
        <v>0</v>
      </c>
      <c r="AC539" s="765"/>
      <c r="AD539" s="765"/>
      <c r="AE539" s="766"/>
      <c r="AF539" s="736"/>
    </row>
    <row r="540" customFormat="false" ht="15.75" hidden="false" customHeight="true" outlineLevel="0" collapsed="false">
      <c r="A540" s="736"/>
      <c r="B540" s="760" t="s">
        <v>1623</v>
      </c>
      <c r="C540" s="761"/>
      <c r="D540" s="761"/>
      <c r="E540" s="762" t="str">
        <f aca="false">IFERROR(VLOOKUP(B540,TE!$H$1:$Y$749,2,FALSE()),"(Not on TE)")</f>
        <v>(Not on TE)</v>
      </c>
      <c r="F540" s="763"/>
      <c r="G540" s="763"/>
      <c r="H540" s="763"/>
      <c r="I540" s="763"/>
      <c r="J540" s="763"/>
      <c r="K540" s="763"/>
      <c r="L540" s="763"/>
      <c r="M540" s="763"/>
      <c r="N540" s="764" t="str">
        <f aca="false">IFERROR(VLOOKUP(B540,TE!$H$1:$Y$749,18,FALSE()),"")</f>
        <v/>
      </c>
      <c r="O540" s="764"/>
      <c r="P540" s="764"/>
      <c r="Q540" s="764"/>
      <c r="R540" s="764"/>
      <c r="S540" s="764"/>
      <c r="T540" s="764" t="n">
        <f aca="false">IFERROR(SUMIFS(TE!$O:$O,TE!$G:$G,$B$441,TE!$I:$I,B540,TE!$D:$D,$C$5),"")</f>
        <v>0</v>
      </c>
      <c r="U540" s="764"/>
      <c r="V540" s="764"/>
      <c r="W540" s="764"/>
      <c r="X540" s="723" t="str">
        <f aca="false">IFERROR(VLOOKUP(B540,TE!$H$1:$Y$630,14,FALSE()),"0")</f>
        <v>0</v>
      </c>
      <c r="Y540" s="723"/>
      <c r="Z540" s="723"/>
      <c r="AA540" s="723"/>
      <c r="AB540" s="765" t="n">
        <f aca="false">T540*X540</f>
        <v>0</v>
      </c>
      <c r="AC540" s="765"/>
      <c r="AD540" s="765"/>
      <c r="AE540" s="766"/>
      <c r="AF540" s="736"/>
    </row>
    <row r="541" customFormat="false" ht="15.75" hidden="false" customHeight="true" outlineLevel="0" collapsed="false">
      <c r="A541" s="736"/>
      <c r="B541" s="760" t="s">
        <v>1624</v>
      </c>
      <c r="C541" s="761"/>
      <c r="D541" s="761"/>
      <c r="E541" s="762" t="str">
        <f aca="false">IFERROR(VLOOKUP(B541,TE!$H$1:$Y$749,2,FALSE()),"(Not on TE)")</f>
        <v>(Not on TE)</v>
      </c>
      <c r="F541" s="763"/>
      <c r="G541" s="763"/>
      <c r="H541" s="763"/>
      <c r="I541" s="763"/>
      <c r="J541" s="763"/>
      <c r="K541" s="763"/>
      <c r="L541" s="763"/>
      <c r="M541" s="763"/>
      <c r="N541" s="764" t="str">
        <f aca="false">IFERROR(VLOOKUP(B541,TE!$H$1:$Y$749,18,FALSE()),"")</f>
        <v/>
      </c>
      <c r="O541" s="764"/>
      <c r="P541" s="764"/>
      <c r="Q541" s="764"/>
      <c r="R541" s="764"/>
      <c r="S541" s="764"/>
      <c r="T541" s="764" t="n">
        <f aca="false">IFERROR(SUMIFS(TE!$O:$O,TE!$G:$G,$B$441,TE!$I:$I,B541,TE!$D:$D,$C$5),"")</f>
        <v>0</v>
      </c>
      <c r="U541" s="764"/>
      <c r="V541" s="764"/>
      <c r="W541" s="764"/>
      <c r="X541" s="723" t="str">
        <f aca="false">IFERROR(VLOOKUP(B541,TE!$H$1:$Y$630,14,FALSE()),"0")</f>
        <v>0</v>
      </c>
      <c r="Y541" s="723"/>
      <c r="Z541" s="723"/>
      <c r="AA541" s="723"/>
      <c r="AB541" s="765" t="n">
        <f aca="false">T541*X541</f>
        <v>0</v>
      </c>
      <c r="AC541" s="765"/>
      <c r="AD541" s="765"/>
      <c r="AE541" s="766"/>
      <c r="AF541" s="736"/>
    </row>
    <row r="542" customFormat="false" ht="15.75" hidden="false" customHeight="true" outlineLevel="0" collapsed="false">
      <c r="A542" s="736"/>
      <c r="B542" s="760" t="s">
        <v>1625</v>
      </c>
      <c r="C542" s="761"/>
      <c r="D542" s="761"/>
      <c r="E542" s="762" t="str">
        <f aca="false">IFERROR(VLOOKUP(B542,TE!$H$1:$Y$749,2,FALSE()),"(Not on TE)")</f>
        <v>(Not on TE)</v>
      </c>
      <c r="F542" s="763"/>
      <c r="G542" s="763"/>
      <c r="H542" s="763"/>
      <c r="I542" s="763"/>
      <c r="J542" s="763"/>
      <c r="K542" s="763"/>
      <c r="L542" s="763"/>
      <c r="M542" s="763"/>
      <c r="N542" s="764" t="str">
        <f aca="false">IFERROR(VLOOKUP(B542,TE!$H$1:$Y$749,18,FALSE()),"")</f>
        <v/>
      </c>
      <c r="O542" s="764"/>
      <c r="P542" s="764"/>
      <c r="Q542" s="764"/>
      <c r="R542" s="764"/>
      <c r="S542" s="764"/>
      <c r="T542" s="764" t="n">
        <f aca="false">IFERROR(SUMIFS(TE!$O:$O,TE!$G:$G,$B$441,TE!$I:$I,B542,TE!$D:$D,$C$5),"")</f>
        <v>0</v>
      </c>
      <c r="U542" s="764"/>
      <c r="V542" s="764"/>
      <c r="W542" s="764"/>
      <c r="X542" s="723" t="str">
        <f aca="false">IFERROR(VLOOKUP(B542,TE!$H$1:$Y$630,14,FALSE()),"0")</f>
        <v>0</v>
      </c>
      <c r="Y542" s="723"/>
      <c r="Z542" s="723"/>
      <c r="AA542" s="723"/>
      <c r="AB542" s="765" t="n">
        <f aca="false">T542*X542</f>
        <v>0</v>
      </c>
      <c r="AC542" s="765"/>
      <c r="AD542" s="765"/>
      <c r="AE542" s="766"/>
      <c r="AF542" s="736"/>
    </row>
    <row r="543" customFormat="false" ht="15.75" hidden="false" customHeight="true" outlineLevel="0" collapsed="false">
      <c r="A543" s="736"/>
      <c r="B543" s="760" t="s">
        <v>1309</v>
      </c>
      <c r="C543" s="761"/>
      <c r="D543" s="761"/>
      <c r="E543" s="762" t="str">
        <f aca="false">IFERROR(VLOOKUP(B543,TE!$H$1:$Y$749,2,FALSE()),"(Not on TE)")</f>
        <v>(Not on TE)</v>
      </c>
      <c r="F543" s="763"/>
      <c r="G543" s="763"/>
      <c r="H543" s="763"/>
      <c r="I543" s="763"/>
      <c r="J543" s="763"/>
      <c r="K543" s="763"/>
      <c r="L543" s="763"/>
      <c r="M543" s="763"/>
      <c r="N543" s="764" t="str">
        <f aca="false">IFERROR(VLOOKUP(B543,TE!$H$1:$Y$749,18,FALSE()),"")</f>
        <v/>
      </c>
      <c r="O543" s="764"/>
      <c r="P543" s="764"/>
      <c r="Q543" s="764"/>
      <c r="R543" s="764"/>
      <c r="S543" s="764"/>
      <c r="T543" s="764" t="n">
        <f aca="false">IFERROR(SUMIFS(TE!$O:$O,TE!$G:$G,$B$441,TE!$I:$I,B543,TE!$D:$D,$C$5),"")</f>
        <v>0</v>
      </c>
      <c r="U543" s="764"/>
      <c r="V543" s="764"/>
      <c r="W543" s="764"/>
      <c r="X543" s="723" t="str">
        <f aca="false">IFERROR(VLOOKUP(B543,TE!$H$1:$Y$630,14,FALSE()),"0")</f>
        <v>0</v>
      </c>
      <c r="Y543" s="723"/>
      <c r="Z543" s="723"/>
      <c r="AA543" s="723"/>
      <c r="AB543" s="765" t="n">
        <f aca="false">T543*X543</f>
        <v>0</v>
      </c>
      <c r="AC543" s="765"/>
      <c r="AD543" s="765"/>
      <c r="AE543" s="766"/>
      <c r="AF543" s="736"/>
    </row>
    <row r="544" customFormat="false" ht="15.75" hidden="false" customHeight="true" outlineLevel="0" collapsed="false">
      <c r="A544" s="736"/>
      <c r="B544" s="760" t="s">
        <v>1626</v>
      </c>
      <c r="C544" s="761"/>
      <c r="D544" s="761"/>
      <c r="E544" s="762" t="str">
        <f aca="false">IFERROR(VLOOKUP(B544,TE!$H$1:$Y$749,2,FALSE()),"(Not on TE)")</f>
        <v>(Not on TE)</v>
      </c>
      <c r="F544" s="763"/>
      <c r="G544" s="763"/>
      <c r="H544" s="763"/>
      <c r="I544" s="763"/>
      <c r="J544" s="763"/>
      <c r="K544" s="763"/>
      <c r="L544" s="763"/>
      <c r="M544" s="763"/>
      <c r="N544" s="764" t="str">
        <f aca="false">IFERROR(VLOOKUP(B544,TE!$H$1:$Y$749,18,FALSE()),"")</f>
        <v/>
      </c>
      <c r="O544" s="764"/>
      <c r="P544" s="764"/>
      <c r="Q544" s="764"/>
      <c r="R544" s="764"/>
      <c r="S544" s="764"/>
      <c r="T544" s="764" t="n">
        <f aca="false">IFERROR(SUMIFS(TE!$O:$O,TE!$G:$G,$B$441,TE!$I:$I,B544,TE!$D:$D,$C$5),"")</f>
        <v>0</v>
      </c>
      <c r="U544" s="764"/>
      <c r="V544" s="764"/>
      <c r="W544" s="764"/>
      <c r="X544" s="723" t="str">
        <f aca="false">IFERROR(VLOOKUP(B544,TE!$H$1:$Y$630,14,FALSE()),"0")</f>
        <v>0</v>
      </c>
      <c r="Y544" s="723"/>
      <c r="Z544" s="723"/>
      <c r="AA544" s="723"/>
      <c r="AB544" s="765" t="n">
        <f aca="false">T544*X544</f>
        <v>0</v>
      </c>
      <c r="AC544" s="765"/>
      <c r="AD544" s="765"/>
      <c r="AE544" s="766"/>
      <c r="AF544" s="736"/>
    </row>
    <row r="545" customFormat="false" ht="15.75" hidden="false" customHeight="true" outlineLevel="0" collapsed="false">
      <c r="A545" s="736"/>
      <c r="B545" s="760" t="s">
        <v>1627</v>
      </c>
      <c r="C545" s="761"/>
      <c r="D545" s="761"/>
      <c r="E545" s="762" t="str">
        <f aca="false">IFERROR(VLOOKUP(B545,TE!$H$1:$Y$749,2,FALSE()),"(Not on TE)")</f>
        <v>(Not on TE)</v>
      </c>
      <c r="F545" s="763"/>
      <c r="G545" s="763"/>
      <c r="H545" s="763"/>
      <c r="I545" s="763"/>
      <c r="J545" s="763"/>
      <c r="K545" s="763"/>
      <c r="L545" s="763"/>
      <c r="M545" s="763"/>
      <c r="N545" s="764" t="str">
        <f aca="false">IFERROR(VLOOKUP(B545,TE!$H$1:$Y$749,18,FALSE()),"")</f>
        <v/>
      </c>
      <c r="O545" s="764"/>
      <c r="P545" s="764"/>
      <c r="Q545" s="764"/>
      <c r="R545" s="764"/>
      <c r="S545" s="764"/>
      <c r="T545" s="764" t="n">
        <f aca="false">IFERROR(SUMIFS(TE!$O:$O,TE!$G:$G,$B$441,TE!$I:$I,B545,TE!$D:$D,$C$5),"")</f>
        <v>0</v>
      </c>
      <c r="U545" s="764"/>
      <c r="V545" s="764"/>
      <c r="W545" s="764"/>
      <c r="X545" s="723" t="str">
        <f aca="false">IFERROR(VLOOKUP(B545,TE!$H$1:$Y$630,14,FALSE()),"0")</f>
        <v>0</v>
      </c>
      <c r="Y545" s="723"/>
      <c r="Z545" s="723"/>
      <c r="AA545" s="723"/>
      <c r="AB545" s="765" t="n">
        <f aca="false">T545*X545</f>
        <v>0</v>
      </c>
      <c r="AC545" s="765"/>
      <c r="AD545" s="765"/>
      <c r="AE545" s="766"/>
      <c r="AF545" s="736"/>
    </row>
    <row r="546" customFormat="false" ht="15.75" hidden="false" customHeight="true" outlineLevel="0" collapsed="false">
      <c r="A546" s="736"/>
      <c r="B546" s="760" t="s">
        <v>1628</v>
      </c>
      <c r="C546" s="761"/>
      <c r="D546" s="761"/>
      <c r="E546" s="762" t="str">
        <f aca="false">IFERROR(VLOOKUP(B546,TE!$H$1:$Y$749,2,FALSE()),"(Not on TE)")</f>
        <v>(Not on TE)</v>
      </c>
      <c r="F546" s="763"/>
      <c r="G546" s="763"/>
      <c r="H546" s="763"/>
      <c r="I546" s="763"/>
      <c r="J546" s="763"/>
      <c r="K546" s="763"/>
      <c r="L546" s="763"/>
      <c r="M546" s="763"/>
      <c r="N546" s="764" t="str">
        <f aca="false">IFERROR(VLOOKUP(B546,TE!$H$1:$Y$749,18,FALSE()),"")</f>
        <v/>
      </c>
      <c r="O546" s="764"/>
      <c r="P546" s="764"/>
      <c r="Q546" s="764"/>
      <c r="R546" s="764"/>
      <c r="S546" s="764"/>
      <c r="T546" s="764" t="n">
        <f aca="false">IFERROR(SUMIFS(TE!$O:$O,TE!$G:$G,$B$441,TE!$I:$I,B546,TE!$D:$D,$C$5),"")</f>
        <v>0</v>
      </c>
      <c r="U546" s="764"/>
      <c r="V546" s="764"/>
      <c r="W546" s="764"/>
      <c r="X546" s="723" t="str">
        <f aca="false">IFERROR(VLOOKUP(B546,TE!$H$1:$Y$630,14,FALSE()),"0")</f>
        <v>0</v>
      </c>
      <c r="Y546" s="723"/>
      <c r="Z546" s="723"/>
      <c r="AA546" s="723"/>
      <c r="AB546" s="765" t="n">
        <f aca="false">T546*X546</f>
        <v>0</v>
      </c>
      <c r="AC546" s="765"/>
      <c r="AD546" s="765"/>
      <c r="AE546" s="766"/>
      <c r="AF546" s="736"/>
    </row>
    <row r="547" customFormat="false" ht="15.75" hidden="false" customHeight="true" outlineLevel="0" collapsed="false">
      <c r="A547" s="736"/>
      <c r="B547" s="760" t="s">
        <v>1418</v>
      </c>
      <c r="C547" s="761"/>
      <c r="D547" s="761"/>
      <c r="E547" s="762" t="str">
        <f aca="false">IFERROR(VLOOKUP(B547,TE!$H$1:$Y$749,2,FALSE()),"(Not on TE)")</f>
        <v>(Not on TE)</v>
      </c>
      <c r="F547" s="763"/>
      <c r="G547" s="763"/>
      <c r="H547" s="763"/>
      <c r="I547" s="763"/>
      <c r="J547" s="763"/>
      <c r="K547" s="763"/>
      <c r="L547" s="763"/>
      <c r="M547" s="763"/>
      <c r="N547" s="764" t="str">
        <f aca="false">IFERROR(VLOOKUP(B547,TE!$H$1:$Y$749,18,FALSE()),"")</f>
        <v/>
      </c>
      <c r="O547" s="764"/>
      <c r="P547" s="764"/>
      <c r="Q547" s="764"/>
      <c r="R547" s="764"/>
      <c r="S547" s="764"/>
      <c r="T547" s="764" t="n">
        <f aca="false">IFERROR(SUMIFS(TE!$O:$O,TE!$G:$G,$B$441,TE!$I:$I,B547,TE!$D:$D,$C$5),"")</f>
        <v>0</v>
      </c>
      <c r="U547" s="764"/>
      <c r="V547" s="764"/>
      <c r="W547" s="764"/>
      <c r="X547" s="723" t="str">
        <f aca="false">IFERROR(VLOOKUP(B547,TE!$H$1:$Y$630,14,FALSE()),"0")</f>
        <v>0</v>
      </c>
      <c r="Y547" s="723"/>
      <c r="Z547" s="723"/>
      <c r="AA547" s="723"/>
      <c r="AB547" s="765" t="n">
        <f aca="false">T547*X547</f>
        <v>0</v>
      </c>
      <c r="AC547" s="765"/>
      <c r="AD547" s="765"/>
      <c r="AE547" s="766"/>
      <c r="AF547" s="736"/>
    </row>
    <row r="548" customFormat="false" ht="15.75" hidden="false" customHeight="true" outlineLevel="0" collapsed="false">
      <c r="A548" s="736"/>
      <c r="B548" s="760" t="s">
        <v>1195</v>
      </c>
      <c r="C548" s="761"/>
      <c r="D548" s="761"/>
      <c r="E548" s="762" t="str">
        <f aca="false">IFERROR(VLOOKUP(B548,TE!$H$1:$Y$749,2,FALSE()),"(Not on TE)")</f>
        <v>(Not on TE)</v>
      </c>
      <c r="F548" s="763"/>
      <c r="G548" s="763"/>
      <c r="H548" s="763"/>
      <c r="I548" s="763"/>
      <c r="J548" s="763"/>
      <c r="K548" s="763"/>
      <c r="L548" s="763"/>
      <c r="M548" s="763"/>
      <c r="N548" s="764" t="str">
        <f aca="false">IFERROR(VLOOKUP(B548,TE!$H$1:$Y$749,18,FALSE()),"")</f>
        <v/>
      </c>
      <c r="O548" s="764"/>
      <c r="P548" s="764"/>
      <c r="Q548" s="764"/>
      <c r="R548" s="764"/>
      <c r="S548" s="764"/>
      <c r="T548" s="764" t="n">
        <f aca="false">IFERROR(SUMIFS(TE!$O:$O,TE!$G:$G,$B$441,TE!$I:$I,B548,TE!$D:$D,$C$5),"")</f>
        <v>0</v>
      </c>
      <c r="U548" s="764"/>
      <c r="V548" s="764"/>
      <c r="W548" s="764"/>
      <c r="X548" s="723" t="str">
        <f aca="false">IFERROR(VLOOKUP(B548,TE!$H$1:$Y$630,14,FALSE()),"0")</f>
        <v>0</v>
      </c>
      <c r="Y548" s="723"/>
      <c r="Z548" s="723"/>
      <c r="AA548" s="723"/>
      <c r="AB548" s="765" t="n">
        <f aca="false">T548*X548</f>
        <v>0</v>
      </c>
      <c r="AC548" s="765"/>
      <c r="AD548" s="765"/>
      <c r="AE548" s="766"/>
      <c r="AF548" s="736"/>
    </row>
    <row r="549" customFormat="false" ht="15.75" hidden="false" customHeight="true" outlineLevel="0" collapsed="false">
      <c r="A549" s="736"/>
      <c r="B549" s="760" t="s">
        <v>1629</v>
      </c>
      <c r="C549" s="761"/>
      <c r="D549" s="761"/>
      <c r="E549" s="762" t="str">
        <f aca="false">IFERROR(VLOOKUP(B549,TE!$H$1:$Y$749,2,FALSE()),"(Not on TE)")</f>
        <v>(Not on TE)</v>
      </c>
      <c r="F549" s="763"/>
      <c r="G549" s="763"/>
      <c r="H549" s="763"/>
      <c r="I549" s="763"/>
      <c r="J549" s="763"/>
      <c r="K549" s="763"/>
      <c r="L549" s="763"/>
      <c r="M549" s="763"/>
      <c r="N549" s="764" t="str">
        <f aca="false">IFERROR(VLOOKUP(B549,TE!$H$1:$Y$749,18,FALSE()),"")</f>
        <v/>
      </c>
      <c r="O549" s="764"/>
      <c r="P549" s="764"/>
      <c r="Q549" s="764"/>
      <c r="R549" s="764"/>
      <c r="S549" s="764"/>
      <c r="T549" s="764" t="n">
        <f aca="false">IFERROR(SUMIFS(TE!$O:$O,TE!$G:$G,$B$441,TE!$I:$I,B549,TE!$D:$D,$C$5),"")</f>
        <v>0</v>
      </c>
      <c r="U549" s="764"/>
      <c r="V549" s="764"/>
      <c r="W549" s="764"/>
      <c r="X549" s="723" t="str">
        <f aca="false">IFERROR(VLOOKUP(B549,TE!$H$1:$Y$630,14,FALSE()),"0")</f>
        <v>0</v>
      </c>
      <c r="Y549" s="723"/>
      <c r="Z549" s="723"/>
      <c r="AA549" s="723"/>
      <c r="AB549" s="765" t="n">
        <f aca="false">T549*X549</f>
        <v>0</v>
      </c>
      <c r="AC549" s="765"/>
      <c r="AD549" s="765"/>
      <c r="AE549" s="766"/>
      <c r="AF549" s="736"/>
    </row>
    <row r="550" customFormat="false" ht="15.75" hidden="false" customHeight="true" outlineLevel="0" collapsed="false">
      <c r="A550" s="736"/>
      <c r="B550" s="760" t="s">
        <v>1630</v>
      </c>
      <c r="C550" s="761"/>
      <c r="D550" s="761"/>
      <c r="E550" s="762" t="str">
        <f aca="false">IFERROR(VLOOKUP(B550,TE!$H$1:$Y$749,2,FALSE()),"(Not on TE)")</f>
        <v>(Not on TE)</v>
      </c>
      <c r="F550" s="763"/>
      <c r="G550" s="763"/>
      <c r="H550" s="763"/>
      <c r="I550" s="763"/>
      <c r="J550" s="763"/>
      <c r="K550" s="763"/>
      <c r="L550" s="763"/>
      <c r="M550" s="763"/>
      <c r="N550" s="764" t="str">
        <f aca="false">IFERROR(VLOOKUP(B550,TE!$H$1:$Y$749,18,FALSE()),"")</f>
        <v/>
      </c>
      <c r="O550" s="764"/>
      <c r="P550" s="764"/>
      <c r="Q550" s="764"/>
      <c r="R550" s="764"/>
      <c r="S550" s="764"/>
      <c r="T550" s="764" t="n">
        <f aca="false">IFERROR(SUMIFS(TE!$O:$O,TE!$G:$G,$B$441,TE!$I:$I,B550,TE!$D:$D,$C$5),"")</f>
        <v>0</v>
      </c>
      <c r="U550" s="764"/>
      <c r="V550" s="764"/>
      <c r="W550" s="764"/>
      <c r="X550" s="723" t="str">
        <f aca="false">IFERROR(VLOOKUP(B550,TE!$H$1:$Y$630,14,FALSE()),"0")</f>
        <v>0</v>
      </c>
      <c r="Y550" s="723"/>
      <c r="Z550" s="723"/>
      <c r="AA550" s="723"/>
      <c r="AB550" s="765" t="n">
        <f aca="false">T550*X550</f>
        <v>0</v>
      </c>
      <c r="AC550" s="765"/>
      <c r="AD550" s="765"/>
      <c r="AE550" s="736"/>
      <c r="AF550" s="736"/>
    </row>
    <row r="551" customFormat="false" ht="15.75" hidden="false" customHeight="true" outlineLevel="0" collapsed="false">
      <c r="A551" s="736"/>
      <c r="B551" s="783" t="s">
        <v>1403</v>
      </c>
      <c r="C551" s="761"/>
      <c r="D551" s="761"/>
      <c r="E551" s="762" t="str">
        <f aca="false">IFERROR(VLOOKUP(B551,TE!$H$1:$Y$749,2,FALSE()),"(Not on TE)")</f>
        <v>(Not on TE)</v>
      </c>
      <c r="F551" s="763"/>
      <c r="G551" s="763"/>
      <c r="H551" s="763"/>
      <c r="I551" s="763"/>
      <c r="J551" s="763"/>
      <c r="K551" s="763"/>
      <c r="L551" s="763"/>
      <c r="M551" s="763"/>
      <c r="N551" s="764" t="str">
        <f aca="false">IFERROR(VLOOKUP(B551,TE!$H$1:$Y$749,18,FALSE()),"")</f>
        <v/>
      </c>
      <c r="O551" s="764"/>
      <c r="P551" s="764"/>
      <c r="Q551" s="764"/>
      <c r="R551" s="764"/>
      <c r="S551" s="764"/>
      <c r="T551" s="764" t="n">
        <f aca="false">IFERROR(SUMIFS(TE!$O:$O,TE!$G:$G,$B$441,TE!$I:$I,B551,TE!$D:$D,$C$5),"")</f>
        <v>0</v>
      </c>
      <c r="U551" s="764"/>
      <c r="V551" s="764"/>
      <c r="W551" s="764"/>
      <c r="X551" s="723" t="str">
        <f aca="false">IFERROR(VLOOKUP(B551,TE!$H$1:$Y$630,14,FALSE()),"0")</f>
        <v>0</v>
      </c>
      <c r="Y551" s="723"/>
      <c r="Z551" s="723"/>
      <c r="AA551" s="723"/>
      <c r="AB551" s="765" t="n">
        <f aca="false">T551*X551</f>
        <v>0</v>
      </c>
      <c r="AC551" s="765"/>
      <c r="AD551" s="765"/>
      <c r="AE551" s="736"/>
      <c r="AF551" s="736"/>
    </row>
    <row r="552" customFormat="false" ht="15.75" hidden="false" customHeight="true" outlineLevel="0" collapsed="false">
      <c r="A552" s="736"/>
      <c r="B552" s="783" t="s">
        <v>1487</v>
      </c>
      <c r="C552" s="761"/>
      <c r="D552" s="761"/>
      <c r="E552" s="762" t="str">
        <f aca="false">IFERROR(VLOOKUP(B552,TE!$H$1:$Y$749,2,FALSE()),"(Not on TE)")</f>
        <v>(Not on TE)</v>
      </c>
      <c r="F552" s="763"/>
      <c r="G552" s="763"/>
      <c r="H552" s="763"/>
      <c r="I552" s="763"/>
      <c r="J552" s="763"/>
      <c r="K552" s="763"/>
      <c r="L552" s="763"/>
      <c r="M552" s="763"/>
      <c r="N552" s="764" t="str">
        <f aca="false">IFERROR(VLOOKUP(B552,TE!$H$1:$Y$749,18,FALSE()),"")</f>
        <v/>
      </c>
      <c r="O552" s="764"/>
      <c r="P552" s="764"/>
      <c r="Q552" s="764"/>
      <c r="R552" s="764"/>
      <c r="S552" s="764"/>
      <c r="T552" s="764" t="n">
        <f aca="false">IFERROR(SUMIFS(TE!$O:$O,TE!$G:$G,$B$441,TE!$I:$I,B552,TE!$D:$D,$C$5),"")</f>
        <v>0</v>
      </c>
      <c r="U552" s="764"/>
      <c r="V552" s="764"/>
      <c r="W552" s="764"/>
      <c r="X552" s="723" t="str">
        <f aca="false">IFERROR(VLOOKUP(B552,TE!$H$1:$Y$630,14,FALSE()),"0")</f>
        <v>0</v>
      </c>
      <c r="Y552" s="723"/>
      <c r="Z552" s="723"/>
      <c r="AA552" s="723"/>
      <c r="AB552" s="765" t="n">
        <f aca="false">T552*X552</f>
        <v>0</v>
      </c>
      <c r="AC552" s="765"/>
      <c r="AD552" s="765"/>
      <c r="AE552" s="736"/>
      <c r="AF552" s="736"/>
    </row>
    <row r="553" customFormat="false" ht="15.75" hidden="false" customHeight="true" outlineLevel="0" collapsed="false">
      <c r="A553" s="736"/>
      <c r="B553" s="783" t="s">
        <v>1631</v>
      </c>
      <c r="C553" s="761"/>
      <c r="D553" s="761"/>
      <c r="E553" s="762" t="str">
        <f aca="false">IFERROR(VLOOKUP(B553,TE!$H$1:$Y$749,2,FALSE()),"(Not on TE)")</f>
        <v>(Not on TE)</v>
      </c>
      <c r="F553" s="763"/>
      <c r="G553" s="763"/>
      <c r="H553" s="763"/>
      <c r="I553" s="763"/>
      <c r="J553" s="763"/>
      <c r="K553" s="763"/>
      <c r="L553" s="763"/>
      <c r="M553" s="763"/>
      <c r="N553" s="764" t="str">
        <f aca="false">IFERROR(VLOOKUP(B553,TE!$H$1:$Y$749,18,FALSE()),"")</f>
        <v/>
      </c>
      <c r="O553" s="764"/>
      <c r="P553" s="764"/>
      <c r="Q553" s="764"/>
      <c r="R553" s="764"/>
      <c r="S553" s="764"/>
      <c r="T553" s="764" t="n">
        <f aca="false">IFERROR(SUMIFS(TE!$O:$O,TE!$G:$G,$B$441,TE!$I:$I,B553,TE!$D:$D,$C$5),"")</f>
        <v>0</v>
      </c>
      <c r="U553" s="764"/>
      <c r="V553" s="764"/>
      <c r="W553" s="764"/>
      <c r="X553" s="723" t="str">
        <f aca="false">IFERROR(VLOOKUP(B553,TE!$H$1:$Y$630,14,FALSE()),"0")</f>
        <v>0</v>
      </c>
      <c r="Y553" s="723"/>
      <c r="Z553" s="723"/>
      <c r="AA553" s="723"/>
      <c r="AB553" s="765" t="n">
        <f aca="false">T553*X553</f>
        <v>0</v>
      </c>
      <c r="AC553" s="765"/>
      <c r="AD553" s="765"/>
      <c r="AE553" s="736"/>
      <c r="AF553" s="736"/>
    </row>
    <row r="554" customFormat="false" ht="15.75" hidden="false" customHeight="true" outlineLevel="0" collapsed="false">
      <c r="A554" s="736"/>
      <c r="B554" s="760" t="s">
        <v>1632</v>
      </c>
      <c r="C554" s="761"/>
      <c r="D554" s="761"/>
      <c r="E554" s="762" t="str">
        <f aca="false">IFERROR(VLOOKUP(B554,TE!$H$1:$Y$749,2,FALSE()),"(Not on TE)")</f>
        <v>(Not on TE)</v>
      </c>
      <c r="F554" s="763"/>
      <c r="G554" s="763"/>
      <c r="H554" s="763"/>
      <c r="I554" s="763"/>
      <c r="J554" s="763"/>
      <c r="K554" s="763"/>
      <c r="L554" s="763"/>
      <c r="M554" s="763"/>
      <c r="N554" s="764" t="str">
        <f aca="false">IFERROR(VLOOKUP(B554,TE!$H$1:$Y$749,18,FALSE()),"")</f>
        <v/>
      </c>
      <c r="O554" s="764"/>
      <c r="P554" s="764"/>
      <c r="Q554" s="764"/>
      <c r="R554" s="764"/>
      <c r="S554" s="764"/>
      <c r="T554" s="764" t="n">
        <f aca="false">IFERROR(SUMIFS(TE!$O:$O,TE!$G:$G,$B$441,TE!$I:$I,B554,TE!$D:$D,$C$5),"")</f>
        <v>0</v>
      </c>
      <c r="U554" s="764"/>
      <c r="V554" s="764"/>
      <c r="W554" s="764"/>
      <c r="X554" s="723" t="str">
        <f aca="false">IFERROR(VLOOKUP(B554,TE!$H$1:$Y$630,14,FALSE()),"0")</f>
        <v>0</v>
      </c>
      <c r="Y554" s="723"/>
      <c r="Z554" s="723"/>
      <c r="AA554" s="723"/>
      <c r="AB554" s="765" t="n">
        <f aca="false">T554*X554</f>
        <v>0</v>
      </c>
      <c r="AC554" s="765"/>
      <c r="AD554" s="765"/>
      <c r="AE554" s="736"/>
      <c r="AF554" s="736"/>
    </row>
    <row r="555" customFormat="false" ht="15.75" hidden="false" customHeight="true" outlineLevel="0" collapsed="false">
      <c r="A555" s="736"/>
      <c r="B555" s="760" t="s">
        <v>1633</v>
      </c>
      <c r="C555" s="761"/>
      <c r="D555" s="761"/>
      <c r="E555" s="762" t="str">
        <f aca="false">IFERROR(VLOOKUP(B555,TE!$H$1:$Y$749,2,FALSE()),"(Not on TE)")</f>
        <v>(Not on TE)</v>
      </c>
      <c r="F555" s="763"/>
      <c r="G555" s="763"/>
      <c r="H555" s="763"/>
      <c r="I555" s="763"/>
      <c r="J555" s="763"/>
      <c r="K555" s="763"/>
      <c r="L555" s="763"/>
      <c r="M555" s="763"/>
      <c r="N555" s="764" t="str">
        <f aca="false">IFERROR(VLOOKUP(B555,TE!$H$1:$Y$749,18,FALSE()),"")</f>
        <v/>
      </c>
      <c r="O555" s="764"/>
      <c r="P555" s="764"/>
      <c r="Q555" s="764"/>
      <c r="R555" s="764"/>
      <c r="S555" s="764"/>
      <c r="T555" s="764" t="n">
        <f aca="false">IFERROR(SUMIFS(TE!$O:$O,TE!$G:$G,$B$441,TE!$I:$I,B555,TE!$D:$D,$C$5),"")</f>
        <v>0</v>
      </c>
      <c r="U555" s="764"/>
      <c r="V555" s="764"/>
      <c r="W555" s="764"/>
      <c r="X555" s="723" t="str">
        <f aca="false">IFERROR(VLOOKUP(B555,TE!$H$1:$Y$630,14,FALSE()),"0")</f>
        <v>0</v>
      </c>
      <c r="Y555" s="723"/>
      <c r="Z555" s="723"/>
      <c r="AA555" s="723"/>
      <c r="AB555" s="765" t="n">
        <f aca="false">T555*X555</f>
        <v>0</v>
      </c>
      <c r="AC555" s="765"/>
      <c r="AD555" s="765"/>
      <c r="AE555" s="736"/>
      <c r="AF555" s="736"/>
    </row>
    <row r="556" customFormat="false" ht="15.75" hidden="false" customHeight="true" outlineLevel="0" collapsed="false">
      <c r="A556" s="736"/>
      <c r="B556" s="784" t="s">
        <v>1634</v>
      </c>
      <c r="C556" s="730"/>
      <c r="D556" s="730"/>
      <c r="E556" s="762" t="str">
        <f aca="false">IFERROR(VLOOKUP(B556,TE!$H$1:$Y$749,2,FALSE()),"(Not on TE)")</f>
        <v>(Not on TE)</v>
      </c>
      <c r="F556" s="730"/>
      <c r="G556" s="730"/>
      <c r="H556" s="730"/>
      <c r="I556" s="730"/>
      <c r="J556" s="730"/>
      <c r="K556" s="730"/>
      <c r="L556" s="730"/>
      <c r="M556" s="730"/>
      <c r="N556" s="764" t="str">
        <f aca="false">IFERROR(VLOOKUP(B556,TE!$H$1:$Y$749,18,FALSE()),"")</f>
        <v/>
      </c>
      <c r="O556" s="764"/>
      <c r="P556" s="764"/>
      <c r="Q556" s="764"/>
      <c r="R556" s="764"/>
      <c r="S556" s="764"/>
      <c r="T556" s="764" t="n">
        <f aca="false">IFERROR(SUMIFS(TE!$O:$O,TE!$G:$G,$B$441,TE!$I:$I,B556,TE!$D:$D,$C$5),"")</f>
        <v>0</v>
      </c>
      <c r="U556" s="764"/>
      <c r="V556" s="764"/>
      <c r="W556" s="764"/>
      <c r="X556" s="723" t="str">
        <f aca="false">IFERROR(VLOOKUP(B556,TE!$H$1:$Y$630,14,FALSE()),"0")</f>
        <v>0</v>
      </c>
      <c r="Y556" s="723"/>
      <c r="Z556" s="723"/>
      <c r="AA556" s="723"/>
      <c r="AB556" s="765" t="n">
        <f aca="false">T556*X556</f>
        <v>0</v>
      </c>
      <c r="AC556" s="765"/>
      <c r="AD556" s="765"/>
      <c r="AE556" s="736"/>
      <c r="AF556" s="736"/>
    </row>
    <row r="557" customFormat="false" ht="15.75" hidden="false" customHeight="true" outlineLevel="0" collapsed="false">
      <c r="A557" s="736"/>
      <c r="B557" s="784" t="s">
        <v>1635</v>
      </c>
      <c r="C557" s="728"/>
      <c r="D557" s="728"/>
      <c r="E557" s="762" t="str">
        <f aca="false">IFERROR(VLOOKUP(B557,TE!$H$1:$Y$749,2,FALSE()),"(Not on TE)")</f>
        <v>(Not on TE)</v>
      </c>
      <c r="F557" s="728"/>
      <c r="G557" s="729"/>
      <c r="H557" s="729"/>
      <c r="I557" s="729"/>
      <c r="J557" s="729"/>
      <c r="K557" s="729"/>
      <c r="L557" s="729"/>
      <c r="M557" s="729"/>
      <c r="N557" s="764" t="str">
        <f aca="false">IFERROR(VLOOKUP(B557,TE!$H$1:$Y$749,18,FALSE()),"")</f>
        <v/>
      </c>
      <c r="O557" s="764"/>
      <c r="P557" s="764"/>
      <c r="Q557" s="764"/>
      <c r="R557" s="764"/>
      <c r="S557" s="764"/>
      <c r="T557" s="764" t="n">
        <f aca="false">IFERROR(SUMIFS(TE!$O:$O,TE!$G:$G,$B$441,TE!$I:$I,B557,TE!$D:$D,$C$5),"")</f>
        <v>0</v>
      </c>
      <c r="U557" s="764"/>
      <c r="V557" s="764"/>
      <c r="W557" s="764"/>
      <c r="X557" s="723" t="str">
        <f aca="false">IFERROR(VLOOKUP(B557,TE!$H$1:$Y$630,14,FALSE()),"0")</f>
        <v>0</v>
      </c>
      <c r="Y557" s="723"/>
      <c r="Z557" s="723"/>
      <c r="AA557" s="723"/>
      <c r="AB557" s="765" t="n">
        <f aca="false">T557*X557</f>
        <v>0</v>
      </c>
      <c r="AC557" s="765"/>
      <c r="AD557" s="765"/>
      <c r="AE557" s="736"/>
      <c r="AF557" s="736"/>
    </row>
    <row r="558" customFormat="false" ht="15.75" hidden="false" customHeight="true" outlineLevel="0" collapsed="false">
      <c r="A558" s="736"/>
      <c r="B558" s="785" t="s">
        <v>1636</v>
      </c>
      <c r="C558" s="728"/>
      <c r="D558" s="728"/>
      <c r="E558" s="762" t="str">
        <f aca="false">IFERROR(VLOOKUP(B558,TE!$H$1:$Y$749,2,FALSE()),"(Not on TE)")</f>
        <v>(Not on TE)</v>
      </c>
      <c r="F558" s="728"/>
      <c r="G558" s="729"/>
      <c r="H558" s="729"/>
      <c r="I558" s="729"/>
      <c r="J558" s="729"/>
      <c r="K558" s="729"/>
      <c r="L558" s="729"/>
      <c r="M558" s="729"/>
      <c r="N558" s="764" t="str">
        <f aca="false">IFERROR(VLOOKUP(B558,TE!$H$1:$Y$749,18,FALSE()),"")</f>
        <v/>
      </c>
      <c r="O558" s="764"/>
      <c r="P558" s="764"/>
      <c r="Q558" s="764"/>
      <c r="R558" s="764"/>
      <c r="S558" s="764"/>
      <c r="T558" s="764" t="n">
        <f aca="false">IFERROR(SUMIFS(TE!$O:$O,TE!$G:$G,$B$441,TE!$I:$I,B558,TE!$D:$D,$C$5),"")</f>
        <v>0</v>
      </c>
      <c r="U558" s="764"/>
      <c r="V558" s="764"/>
      <c r="W558" s="764"/>
      <c r="X558" s="723" t="str">
        <f aca="false">IFERROR(VLOOKUP(B558,TE!$H$1:$Y$630,14,FALSE()),"0")</f>
        <v>0</v>
      </c>
      <c r="Y558" s="723"/>
      <c r="Z558" s="723"/>
      <c r="AA558" s="723"/>
      <c r="AB558" s="765" t="n">
        <f aca="false">T558*X558</f>
        <v>0</v>
      </c>
      <c r="AC558" s="765"/>
      <c r="AD558" s="765"/>
      <c r="AE558" s="736"/>
      <c r="AF558" s="736"/>
    </row>
    <row r="559" customFormat="false" ht="15.75" hidden="false" customHeight="true" outlineLevel="0" collapsed="false">
      <c r="A559" s="736"/>
      <c r="B559" s="785" t="s">
        <v>1637</v>
      </c>
      <c r="C559" s="728"/>
      <c r="D559" s="728"/>
      <c r="E559" s="762" t="str">
        <f aca="false">IFERROR(VLOOKUP(B559,TE!$H$1:$Y$749,2,FALSE()),"(Not on TE)")</f>
        <v>(Not on TE)</v>
      </c>
      <c r="F559" s="728"/>
      <c r="G559" s="729"/>
      <c r="H559" s="729"/>
      <c r="I559" s="729"/>
      <c r="J559" s="729"/>
      <c r="K559" s="729"/>
      <c r="L559" s="729"/>
      <c r="M559" s="729"/>
      <c r="N559" s="764" t="str">
        <f aca="false">IFERROR(VLOOKUP(B559,TE!$H$1:$Y$749,18,FALSE()),"")</f>
        <v/>
      </c>
      <c r="O559" s="764"/>
      <c r="P559" s="764"/>
      <c r="Q559" s="764"/>
      <c r="R559" s="764"/>
      <c r="S559" s="764"/>
      <c r="T559" s="764" t="n">
        <f aca="false">IFERROR(SUMIFS(TE!$O:$O,TE!$G:$G,$B$441,TE!$I:$I,B559,TE!$D:$D,$C$5),"")</f>
        <v>0</v>
      </c>
      <c r="U559" s="764"/>
      <c r="V559" s="764"/>
      <c r="W559" s="764"/>
      <c r="X559" s="723" t="str">
        <f aca="false">IFERROR(VLOOKUP(B559,TE!$H$1:$Y$630,14,FALSE()),"0")</f>
        <v>0</v>
      </c>
      <c r="Y559" s="723"/>
      <c r="Z559" s="723"/>
      <c r="AA559" s="723"/>
      <c r="AB559" s="765" t="n">
        <f aca="false">T559*X559</f>
        <v>0</v>
      </c>
      <c r="AC559" s="765"/>
      <c r="AD559" s="765"/>
      <c r="AE559" s="736"/>
      <c r="AF559" s="736"/>
    </row>
    <row r="560" customFormat="false" ht="15.75" hidden="false" customHeight="true" outlineLevel="0" collapsed="false">
      <c r="A560" s="736"/>
      <c r="B560" s="784" t="s">
        <v>2268</v>
      </c>
      <c r="C560" s="728"/>
      <c r="D560" s="728"/>
      <c r="E560" s="762" t="str">
        <f aca="false">IFERROR(VLOOKUP(B560,TE!$H$1:$Y$749,2,FALSE()),"(Not on TE)")</f>
        <v>(Not on TE)</v>
      </c>
      <c r="F560" s="728"/>
      <c r="G560" s="729"/>
      <c r="H560" s="729"/>
      <c r="I560" s="729"/>
      <c r="J560" s="729"/>
      <c r="K560" s="729"/>
      <c r="L560" s="729"/>
      <c r="M560" s="729"/>
      <c r="N560" s="764" t="str">
        <f aca="false">IFERROR(VLOOKUP(B560,TE!$H$1:$Y$749,18,FALSE()),"")</f>
        <v/>
      </c>
      <c r="O560" s="764"/>
      <c r="P560" s="764"/>
      <c r="Q560" s="764"/>
      <c r="R560" s="764"/>
      <c r="S560" s="764"/>
      <c r="T560" s="764" t="n">
        <f aca="false">IFERROR(SUMIFS(TE!$O:$O,TE!$G:$G,$B$441,TE!$I:$I,B560,TE!$D:$D,$C$5),"")</f>
        <v>0</v>
      </c>
      <c r="U560" s="764"/>
      <c r="V560" s="764"/>
      <c r="W560" s="764"/>
      <c r="X560" s="723" t="str">
        <f aca="false">IFERROR(VLOOKUP(B560,TE!$H$1:$Y$630,14,FALSE()),"0")</f>
        <v>0</v>
      </c>
      <c r="Y560" s="723"/>
      <c r="Z560" s="723"/>
      <c r="AA560" s="723"/>
      <c r="AB560" s="765" t="n">
        <f aca="false">T560*X560</f>
        <v>0</v>
      </c>
      <c r="AC560" s="765"/>
      <c r="AD560" s="765"/>
      <c r="AE560" s="736"/>
      <c r="AF560" s="736"/>
    </row>
    <row r="561" customFormat="false" ht="15.75" hidden="false" customHeight="true" outlineLevel="0" collapsed="false">
      <c r="A561" s="736"/>
      <c r="B561" s="784" t="s">
        <v>1236</v>
      </c>
      <c r="C561" s="728"/>
      <c r="D561" s="728"/>
      <c r="E561" s="762" t="str">
        <f aca="false">IFERROR(VLOOKUP(B561,TE!$H$1:$Y$749,2,FALSE()),"(Not on TE)")</f>
        <v>(Not on TE)</v>
      </c>
      <c r="F561" s="728"/>
      <c r="G561" s="729"/>
      <c r="H561" s="729"/>
      <c r="I561" s="729"/>
      <c r="J561" s="729"/>
      <c r="K561" s="729"/>
      <c r="L561" s="729"/>
      <c r="M561" s="729"/>
      <c r="N561" s="764" t="str">
        <f aca="false">IFERROR(VLOOKUP(B561,TE!$H$1:$Y$749,18,FALSE()),"")</f>
        <v/>
      </c>
      <c r="O561" s="764"/>
      <c r="P561" s="764"/>
      <c r="Q561" s="764"/>
      <c r="R561" s="764"/>
      <c r="S561" s="764"/>
      <c r="T561" s="764" t="n">
        <f aca="false">IFERROR(SUMIFS(TE!$O:$O,TE!$G:$G,$B$441,TE!$I:$I,B561,TE!$D:$D,$C$5),"")</f>
        <v>0</v>
      </c>
      <c r="U561" s="764"/>
      <c r="V561" s="764"/>
      <c r="W561" s="764"/>
      <c r="X561" s="723" t="str">
        <f aca="false">IFERROR(VLOOKUP(B561,TE!$H$1:$Y$630,14,FALSE()),"0")</f>
        <v>0</v>
      </c>
      <c r="Y561" s="723"/>
      <c r="Z561" s="723"/>
      <c r="AA561" s="723"/>
      <c r="AB561" s="765" t="n">
        <f aca="false">T561*X561</f>
        <v>0</v>
      </c>
      <c r="AC561" s="765"/>
      <c r="AD561" s="765"/>
      <c r="AE561" s="736"/>
      <c r="AF561" s="736"/>
    </row>
    <row r="562" customFormat="false" ht="15.75" hidden="false" customHeight="true" outlineLevel="0" collapsed="false">
      <c r="A562" s="736"/>
      <c r="B562" s="784" t="s">
        <v>1500</v>
      </c>
      <c r="C562" s="728"/>
      <c r="D562" s="728"/>
      <c r="E562" s="762" t="str">
        <f aca="false">IFERROR(VLOOKUP(B562,TE!$H$1:$Y$749,2,FALSE()),"(Not on TE)")</f>
        <v>(Not on TE)</v>
      </c>
      <c r="F562" s="728"/>
      <c r="G562" s="729"/>
      <c r="H562" s="729"/>
      <c r="I562" s="729"/>
      <c r="J562" s="729"/>
      <c r="K562" s="729"/>
      <c r="L562" s="729"/>
      <c r="M562" s="729"/>
      <c r="N562" s="764" t="str">
        <f aca="false">IFERROR(VLOOKUP(B562,TE!$H$1:$Y$749,18,FALSE()),"")</f>
        <v/>
      </c>
      <c r="O562" s="764"/>
      <c r="P562" s="764"/>
      <c r="Q562" s="764"/>
      <c r="R562" s="764"/>
      <c r="S562" s="764"/>
      <c r="T562" s="764" t="n">
        <f aca="false">IFERROR(SUMIFS(TE!$O:$O,TE!$G:$G,$B$441,TE!$I:$I,B562,TE!$D:$D,$C$5),"")</f>
        <v>0</v>
      </c>
      <c r="U562" s="764"/>
      <c r="V562" s="764"/>
      <c r="W562" s="764"/>
      <c r="X562" s="723" t="str">
        <f aca="false">IFERROR(VLOOKUP(B562,TE!$H$1:$Y$630,14,FALSE()),"0")</f>
        <v>0</v>
      </c>
      <c r="Y562" s="723"/>
      <c r="Z562" s="723"/>
      <c r="AA562" s="723"/>
      <c r="AB562" s="765" t="n">
        <f aca="false">T562*X562</f>
        <v>0</v>
      </c>
      <c r="AC562" s="765"/>
      <c r="AD562" s="765"/>
      <c r="AE562" s="736"/>
      <c r="AF562" s="736"/>
    </row>
    <row r="563" customFormat="false" ht="15.75" hidden="false" customHeight="true" outlineLevel="0" collapsed="false">
      <c r="A563" s="736"/>
      <c r="B563" s="784" t="s">
        <v>1640</v>
      </c>
      <c r="C563" s="728"/>
      <c r="D563" s="728"/>
      <c r="E563" s="762" t="str">
        <f aca="false">IFERROR(VLOOKUP(B563,TE!$H$1:$Y$749,2,FALSE()),"(Not on TE)")</f>
        <v>(Not on TE)</v>
      </c>
      <c r="F563" s="728"/>
      <c r="G563" s="729"/>
      <c r="H563" s="729"/>
      <c r="I563" s="729"/>
      <c r="J563" s="729"/>
      <c r="K563" s="729"/>
      <c r="L563" s="729"/>
      <c r="M563" s="729"/>
      <c r="N563" s="764" t="str">
        <f aca="false">IFERROR(VLOOKUP(B563,TE!$H$1:$Y$749,18,FALSE()),"")</f>
        <v/>
      </c>
      <c r="O563" s="764"/>
      <c r="P563" s="764"/>
      <c r="Q563" s="764"/>
      <c r="R563" s="764"/>
      <c r="S563" s="764"/>
      <c r="T563" s="764" t="n">
        <f aca="false">IFERROR(SUMIFS(TE!$O:$O,TE!$G:$G,$B$441,TE!$I:$I,B563,TE!$D:$D,$C$5),"")</f>
        <v>0</v>
      </c>
      <c r="U563" s="764"/>
      <c r="V563" s="764"/>
      <c r="W563" s="764"/>
      <c r="X563" s="723" t="str">
        <f aca="false">IFERROR(VLOOKUP(B563,TE!$H$1:$Y$630,14,FALSE()),"0")</f>
        <v>0</v>
      </c>
      <c r="Y563" s="723"/>
      <c r="Z563" s="723"/>
      <c r="AA563" s="723"/>
      <c r="AB563" s="765" t="n">
        <f aca="false">T563*X563</f>
        <v>0</v>
      </c>
      <c r="AC563" s="765"/>
      <c r="AD563" s="765"/>
      <c r="AE563" s="736"/>
      <c r="AF563" s="736"/>
    </row>
    <row r="564" customFormat="false" ht="15.75" hidden="false" customHeight="true" outlineLevel="0" collapsed="false">
      <c r="A564" s="736"/>
      <c r="B564" s="784"/>
      <c r="C564" s="728"/>
      <c r="D564" s="728"/>
      <c r="E564" s="762"/>
      <c r="F564" s="728"/>
      <c r="G564" s="729"/>
      <c r="H564" s="729"/>
      <c r="I564" s="729"/>
      <c r="J564" s="729"/>
      <c r="K564" s="729"/>
      <c r="L564" s="729"/>
      <c r="M564" s="729"/>
      <c r="N564" s="806"/>
      <c r="O564" s="806"/>
      <c r="P564" s="806"/>
      <c r="Q564" s="806"/>
      <c r="R564" s="806"/>
      <c r="S564" s="806"/>
      <c r="T564" s="773"/>
      <c r="U564" s="773"/>
      <c r="V564" s="773"/>
      <c r="W564" s="773"/>
      <c r="X564" s="737"/>
      <c r="Y564" s="737"/>
      <c r="Z564" s="737"/>
      <c r="AA564" s="723"/>
      <c r="AB564" s="807"/>
      <c r="AC564" s="778"/>
      <c r="AD564" s="808"/>
      <c r="AE564" s="736"/>
      <c r="AF564" s="736"/>
    </row>
    <row r="565" customFormat="false" ht="15.75" hidden="false" customHeight="true" outlineLevel="0" collapsed="false">
      <c r="A565" s="736"/>
      <c r="B565" s="786"/>
      <c r="C565" s="787"/>
      <c r="D565" s="787"/>
      <c r="E565" s="769"/>
      <c r="F565" s="787"/>
      <c r="G565" s="788"/>
      <c r="H565" s="788"/>
      <c r="I565" s="788"/>
      <c r="J565" s="788"/>
      <c r="K565" s="788"/>
      <c r="L565" s="788"/>
      <c r="M565" s="788"/>
      <c r="N565" s="771"/>
      <c r="O565" s="771"/>
      <c r="P565" s="771"/>
      <c r="Q565" s="771"/>
      <c r="R565" s="771"/>
      <c r="S565" s="771"/>
      <c r="T565" s="780"/>
      <c r="U565" s="780"/>
      <c r="V565" s="780"/>
      <c r="W565" s="780"/>
      <c r="X565" s="727"/>
      <c r="Y565" s="727"/>
      <c r="Z565" s="727"/>
      <c r="AA565" s="727"/>
      <c r="AB565" s="772"/>
      <c r="AC565" s="772"/>
      <c r="AD565" s="772"/>
      <c r="AE565" s="736"/>
      <c r="AF565" s="736"/>
    </row>
    <row r="566" customFormat="false" ht="15.75" hidden="false" customHeight="true" outlineLevel="0" collapsed="false">
      <c r="A566" s="736"/>
      <c r="B566" s="761"/>
      <c r="C566" s="728"/>
      <c r="D566" s="728"/>
      <c r="E566" s="728"/>
      <c r="F566" s="728"/>
      <c r="G566" s="729"/>
      <c r="H566" s="729"/>
      <c r="I566" s="729"/>
      <c r="J566" s="729"/>
      <c r="K566" s="729"/>
      <c r="L566" s="729"/>
      <c r="M566" s="729"/>
      <c r="N566" s="789"/>
      <c r="O566" s="789"/>
      <c r="P566" s="789"/>
      <c r="Q566" s="789"/>
      <c r="R566" s="790"/>
      <c r="S566" s="790"/>
      <c r="T566" s="790"/>
      <c r="U566" s="790"/>
      <c r="V566" s="790"/>
      <c r="W566" s="790"/>
      <c r="X566" s="790"/>
      <c r="Y566" s="790"/>
      <c r="Z566" s="736"/>
      <c r="AA566" s="730" t="s">
        <v>25</v>
      </c>
      <c r="AB566" s="803" t="n">
        <f aca="false">SUM(AB444:AD480)+SUM(AB486:AD522)+SUM(AB529:AD565)</f>
        <v>0</v>
      </c>
      <c r="AC566" s="803"/>
      <c r="AD566" s="803"/>
      <c r="AE566" s="736"/>
      <c r="AF566" s="736"/>
    </row>
    <row r="567" customFormat="false" ht="15.75" hidden="false" customHeight="true" outlineLevel="0" collapsed="false">
      <c r="A567" s="736"/>
      <c r="B567" s="768"/>
      <c r="C567" s="728"/>
      <c r="D567" s="728"/>
      <c r="E567" s="728"/>
      <c r="F567" s="728"/>
      <c r="G567" s="788"/>
      <c r="H567" s="788"/>
      <c r="I567" s="788"/>
      <c r="J567" s="788"/>
      <c r="K567" s="788"/>
      <c r="L567" s="788"/>
      <c r="M567" s="788"/>
      <c r="N567" s="804"/>
      <c r="O567" s="804"/>
      <c r="P567" s="804"/>
      <c r="Q567" s="804"/>
      <c r="R567" s="805"/>
      <c r="S567" s="805"/>
      <c r="T567" s="805"/>
      <c r="U567" s="805"/>
      <c r="V567" s="805"/>
      <c r="W567" s="805"/>
      <c r="X567" s="805"/>
      <c r="Y567" s="805"/>
      <c r="Z567" s="736"/>
      <c r="AA567" s="736"/>
      <c r="AB567" s="736"/>
      <c r="AC567" s="736"/>
      <c r="AD567" s="736"/>
      <c r="AE567" s="736"/>
      <c r="AF567" s="736"/>
    </row>
    <row r="568" customFormat="false" ht="15.75" hidden="false" customHeight="true" outlineLevel="0" collapsed="false">
      <c r="A568" s="795"/>
      <c r="B568" s="682"/>
      <c r="C568" s="795"/>
      <c r="D568" s="795"/>
      <c r="E568" s="795"/>
      <c r="F568" s="795"/>
      <c r="G568" s="795"/>
      <c r="H568" s="795"/>
      <c r="I568" s="795"/>
      <c r="J568" s="795"/>
      <c r="K568" s="795"/>
      <c r="L568" s="795"/>
      <c r="M568" s="795"/>
      <c r="N568" s="795"/>
      <c r="O568" s="795"/>
      <c r="P568" s="795"/>
      <c r="Q568" s="795"/>
      <c r="R568" s="795"/>
      <c r="S568" s="795"/>
      <c r="T568" s="795"/>
      <c r="U568" s="795"/>
      <c r="V568" s="795"/>
      <c r="W568" s="795"/>
      <c r="X568" s="795"/>
      <c r="Y568" s="795"/>
      <c r="Z568" s="795"/>
      <c r="AA568" s="795"/>
      <c r="AB568" s="748"/>
      <c r="AC568" s="749"/>
      <c r="AD568" s="750"/>
      <c r="AE568" s="750"/>
      <c r="AF568" s="750"/>
    </row>
  </sheetData>
  <mergeCells count="1950">
    <mergeCell ref="A1:AF2"/>
    <mergeCell ref="A3:E3"/>
    <mergeCell ref="AE3:AF3"/>
    <mergeCell ref="A4:E4"/>
    <mergeCell ref="F4:L4"/>
    <mergeCell ref="Y4:AD4"/>
    <mergeCell ref="AE4:AF4"/>
    <mergeCell ref="A5:B5"/>
    <mergeCell ref="C5:L5"/>
    <mergeCell ref="M5:Q5"/>
    <mergeCell ref="R5:AF5"/>
    <mergeCell ref="A6:AF6"/>
    <mergeCell ref="A7:AF7"/>
    <mergeCell ref="B8:AE13"/>
    <mergeCell ref="A14:AF14"/>
    <mergeCell ref="B15:AF15"/>
    <mergeCell ref="B16:AE16"/>
    <mergeCell ref="B19:AF19"/>
    <mergeCell ref="B23:E23"/>
    <mergeCell ref="F23:I23"/>
    <mergeCell ref="J23:M23"/>
    <mergeCell ref="N23:Q23"/>
    <mergeCell ref="B24:E24"/>
    <mergeCell ref="F24:I24"/>
    <mergeCell ref="J24:M24"/>
    <mergeCell ref="N24:Q24"/>
    <mergeCell ref="B27:L27"/>
    <mergeCell ref="M27:P27"/>
    <mergeCell ref="Q27:T27"/>
    <mergeCell ref="V27:Y27"/>
    <mergeCell ref="Z27:AB27"/>
    <mergeCell ref="B28:D28"/>
    <mergeCell ref="E28:L28"/>
    <mergeCell ref="M28:P28"/>
    <mergeCell ref="Q28:T31"/>
    <mergeCell ref="V28:Y28"/>
    <mergeCell ref="Z28:AB28"/>
    <mergeCell ref="B29:D29"/>
    <mergeCell ref="E29:L29"/>
    <mergeCell ref="M29:P29"/>
    <mergeCell ref="V29:Y29"/>
    <mergeCell ref="Z29:AB29"/>
    <mergeCell ref="B30:D30"/>
    <mergeCell ref="E30:L30"/>
    <mergeCell ref="M30:P30"/>
    <mergeCell ref="V30:Y30"/>
    <mergeCell ref="Z30:AB30"/>
    <mergeCell ref="B31:D31"/>
    <mergeCell ref="E31:L31"/>
    <mergeCell ref="M31:P31"/>
    <mergeCell ref="M32:P32"/>
    <mergeCell ref="Q32:T33"/>
    <mergeCell ref="M33:P33"/>
    <mergeCell ref="B35:AE42"/>
    <mergeCell ref="A44:G44"/>
    <mergeCell ref="H44:K44"/>
    <mergeCell ref="M44:N44"/>
    <mergeCell ref="O44:Q44"/>
    <mergeCell ref="A45:B45"/>
    <mergeCell ref="C45:L45"/>
    <mergeCell ref="M45:Q45"/>
    <mergeCell ref="R45:AF45"/>
    <mergeCell ref="B48:D48"/>
    <mergeCell ref="E48:O48"/>
    <mergeCell ref="B49:D50"/>
    <mergeCell ref="E49:M50"/>
    <mergeCell ref="N49:S50"/>
    <mergeCell ref="T49:W50"/>
    <mergeCell ref="X49:AA50"/>
    <mergeCell ref="AB49:AD50"/>
    <mergeCell ref="N51:S51"/>
    <mergeCell ref="T51:W51"/>
    <mergeCell ref="X51:AA51"/>
    <mergeCell ref="AB51:AD51"/>
    <mergeCell ref="N52:S52"/>
    <mergeCell ref="T52:W52"/>
    <mergeCell ref="X52:AA52"/>
    <mergeCell ref="AB52:AD52"/>
    <mergeCell ref="N53:S53"/>
    <mergeCell ref="T53:W53"/>
    <mergeCell ref="X53:AA53"/>
    <mergeCell ref="AB53:AD53"/>
    <mergeCell ref="N54:S54"/>
    <mergeCell ref="T54:W54"/>
    <mergeCell ref="X54:AA54"/>
    <mergeCell ref="AB54:AD54"/>
    <mergeCell ref="N55:S55"/>
    <mergeCell ref="T55:W55"/>
    <mergeCell ref="X55:AA55"/>
    <mergeCell ref="AB55:AD55"/>
    <mergeCell ref="N56:S56"/>
    <mergeCell ref="T56:W56"/>
    <mergeCell ref="X56:AA56"/>
    <mergeCell ref="AB56:AD56"/>
    <mergeCell ref="N57:S57"/>
    <mergeCell ref="T57:W57"/>
    <mergeCell ref="X57:AA57"/>
    <mergeCell ref="AB57:AD57"/>
    <mergeCell ref="N58:S58"/>
    <mergeCell ref="T58:W58"/>
    <mergeCell ref="X58:AA58"/>
    <mergeCell ref="AB58:AD58"/>
    <mergeCell ref="N59:S59"/>
    <mergeCell ref="T59:W59"/>
    <mergeCell ref="X59:AA59"/>
    <mergeCell ref="AB59:AD59"/>
    <mergeCell ref="N60:S60"/>
    <mergeCell ref="T60:W60"/>
    <mergeCell ref="X60:AA60"/>
    <mergeCell ref="AB60:AD60"/>
    <mergeCell ref="N61:S61"/>
    <mergeCell ref="T61:W61"/>
    <mergeCell ref="X61:AA61"/>
    <mergeCell ref="AB61:AD61"/>
    <mergeCell ref="N62:S62"/>
    <mergeCell ref="T62:W62"/>
    <mergeCell ref="X62:AA62"/>
    <mergeCell ref="AB62:AD62"/>
    <mergeCell ref="N63:S63"/>
    <mergeCell ref="T63:W63"/>
    <mergeCell ref="X63:AA63"/>
    <mergeCell ref="AB63:AD63"/>
    <mergeCell ref="N64:S64"/>
    <mergeCell ref="T64:W64"/>
    <mergeCell ref="X64:AA64"/>
    <mergeCell ref="AB64:AD64"/>
    <mergeCell ref="N65:S65"/>
    <mergeCell ref="T65:W65"/>
    <mergeCell ref="X65:AA65"/>
    <mergeCell ref="AB65:AD65"/>
    <mergeCell ref="N66:S66"/>
    <mergeCell ref="T66:W66"/>
    <mergeCell ref="X66:AA66"/>
    <mergeCell ref="AB66:AD66"/>
    <mergeCell ref="N67:S67"/>
    <mergeCell ref="T67:W67"/>
    <mergeCell ref="X67:AA67"/>
    <mergeCell ref="AB67:AD67"/>
    <mergeCell ref="N68:S68"/>
    <mergeCell ref="T68:W68"/>
    <mergeCell ref="X68:AA68"/>
    <mergeCell ref="AB68:AD68"/>
    <mergeCell ref="N69:S69"/>
    <mergeCell ref="T69:W69"/>
    <mergeCell ref="X69:AA69"/>
    <mergeCell ref="AB69:AD69"/>
    <mergeCell ref="N70:S70"/>
    <mergeCell ref="T70:W70"/>
    <mergeCell ref="X70:AA70"/>
    <mergeCell ref="AB70:AD70"/>
    <mergeCell ref="N71:S71"/>
    <mergeCell ref="T71:W71"/>
    <mergeCell ref="X71:AA71"/>
    <mergeCell ref="AB71:AD71"/>
    <mergeCell ref="N72:S72"/>
    <mergeCell ref="T72:W72"/>
    <mergeCell ref="X72:AA72"/>
    <mergeCell ref="AB72:AD72"/>
    <mergeCell ref="N73:S73"/>
    <mergeCell ref="T73:W73"/>
    <mergeCell ref="X73:AA73"/>
    <mergeCell ref="AB73:AD73"/>
    <mergeCell ref="N74:S74"/>
    <mergeCell ref="T74:W74"/>
    <mergeCell ref="X74:AA74"/>
    <mergeCell ref="AB74:AD74"/>
    <mergeCell ref="N75:S75"/>
    <mergeCell ref="T75:W75"/>
    <mergeCell ref="X75:AA75"/>
    <mergeCell ref="AB75:AD75"/>
    <mergeCell ref="N76:S76"/>
    <mergeCell ref="T76:W76"/>
    <mergeCell ref="X76:AA76"/>
    <mergeCell ref="AB76:AD76"/>
    <mergeCell ref="N77:S77"/>
    <mergeCell ref="T77:W77"/>
    <mergeCell ref="X77:AA77"/>
    <mergeCell ref="AB77:AD77"/>
    <mergeCell ref="N78:S78"/>
    <mergeCell ref="T78:W78"/>
    <mergeCell ref="X78:AA78"/>
    <mergeCell ref="AB78:AD78"/>
    <mergeCell ref="N79:S79"/>
    <mergeCell ref="T79:W79"/>
    <mergeCell ref="X79:AA79"/>
    <mergeCell ref="AB79:AD79"/>
    <mergeCell ref="N80:S80"/>
    <mergeCell ref="T80:W80"/>
    <mergeCell ref="X80:AA80"/>
    <mergeCell ref="AB80:AD80"/>
    <mergeCell ref="N81:S81"/>
    <mergeCell ref="T81:W81"/>
    <mergeCell ref="X81:AA81"/>
    <mergeCell ref="AB81:AD81"/>
    <mergeCell ref="N82:S82"/>
    <mergeCell ref="T82:W82"/>
    <mergeCell ref="X82:AA82"/>
    <mergeCell ref="AB82:AD82"/>
    <mergeCell ref="N83:S83"/>
    <mergeCell ref="T83:W83"/>
    <mergeCell ref="X83:AA83"/>
    <mergeCell ref="AB83:AD83"/>
    <mergeCell ref="N84:S84"/>
    <mergeCell ref="T84:W84"/>
    <mergeCell ref="X84:AA84"/>
    <mergeCell ref="AB84:AD84"/>
    <mergeCell ref="N85:S85"/>
    <mergeCell ref="T85:W85"/>
    <mergeCell ref="X85:AA85"/>
    <mergeCell ref="AB85:AD85"/>
    <mergeCell ref="N86:S86"/>
    <mergeCell ref="T86:W86"/>
    <mergeCell ref="X86:AA86"/>
    <mergeCell ref="AB86:AD86"/>
    <mergeCell ref="N87:S87"/>
    <mergeCell ref="T87:W87"/>
    <mergeCell ref="X87:AA87"/>
    <mergeCell ref="AB87:AD87"/>
    <mergeCell ref="Z88:AD88"/>
    <mergeCell ref="A90:B90"/>
    <mergeCell ref="C90:L90"/>
    <mergeCell ref="M90:Q90"/>
    <mergeCell ref="R90:AF90"/>
    <mergeCell ref="N93:S93"/>
    <mergeCell ref="T93:W93"/>
    <mergeCell ref="X93:AA93"/>
    <mergeCell ref="AB93:AD93"/>
    <mergeCell ref="N94:S94"/>
    <mergeCell ref="T94:W94"/>
    <mergeCell ref="X94:AA94"/>
    <mergeCell ref="AB94:AD94"/>
    <mergeCell ref="N95:S95"/>
    <mergeCell ref="T95:W95"/>
    <mergeCell ref="X95:AA95"/>
    <mergeCell ref="AB95:AD95"/>
    <mergeCell ref="N96:S96"/>
    <mergeCell ref="T96:W96"/>
    <mergeCell ref="X96:AA96"/>
    <mergeCell ref="AB96:AD96"/>
    <mergeCell ref="N97:S97"/>
    <mergeCell ref="T97:W97"/>
    <mergeCell ref="X97:AA97"/>
    <mergeCell ref="AB97:AD97"/>
    <mergeCell ref="N98:S98"/>
    <mergeCell ref="T98:W98"/>
    <mergeCell ref="X98:AA98"/>
    <mergeCell ref="AB98:AD98"/>
    <mergeCell ref="N99:S99"/>
    <mergeCell ref="T99:W99"/>
    <mergeCell ref="X99:AA99"/>
    <mergeCell ref="AB99:AD99"/>
    <mergeCell ref="N100:S100"/>
    <mergeCell ref="T100:W100"/>
    <mergeCell ref="X100:AA100"/>
    <mergeCell ref="AB100:AD100"/>
    <mergeCell ref="N101:S101"/>
    <mergeCell ref="T101:W101"/>
    <mergeCell ref="X101:AA101"/>
    <mergeCell ref="AB101:AD101"/>
    <mergeCell ref="N102:S102"/>
    <mergeCell ref="T102:W102"/>
    <mergeCell ref="X102:AA102"/>
    <mergeCell ref="AB102:AD102"/>
    <mergeCell ref="N103:S103"/>
    <mergeCell ref="T103:W103"/>
    <mergeCell ref="X103:AA103"/>
    <mergeCell ref="AB103:AD103"/>
    <mergeCell ref="N104:S104"/>
    <mergeCell ref="T104:W104"/>
    <mergeCell ref="X104:AA104"/>
    <mergeCell ref="AB104:AD104"/>
    <mergeCell ref="N105:S105"/>
    <mergeCell ref="T105:W105"/>
    <mergeCell ref="X105:AA105"/>
    <mergeCell ref="AB105:AD105"/>
    <mergeCell ref="N106:S106"/>
    <mergeCell ref="T106:W106"/>
    <mergeCell ref="X106:AA106"/>
    <mergeCell ref="AB106:AD106"/>
    <mergeCell ref="N107:S107"/>
    <mergeCell ref="T107:W107"/>
    <mergeCell ref="X107:AA107"/>
    <mergeCell ref="AB107:AD107"/>
    <mergeCell ref="N108:S108"/>
    <mergeCell ref="T108:W108"/>
    <mergeCell ref="X108:AA108"/>
    <mergeCell ref="AB108:AD108"/>
    <mergeCell ref="N109:S109"/>
    <mergeCell ref="T109:W109"/>
    <mergeCell ref="X109:AA109"/>
    <mergeCell ref="AB109:AD109"/>
    <mergeCell ref="N110:S110"/>
    <mergeCell ref="T110:W110"/>
    <mergeCell ref="X110:AA110"/>
    <mergeCell ref="AB110:AD110"/>
    <mergeCell ref="N111:S111"/>
    <mergeCell ref="T111:W111"/>
    <mergeCell ref="X111:AA111"/>
    <mergeCell ref="AB111:AD111"/>
    <mergeCell ref="N112:S112"/>
    <mergeCell ref="T112:W112"/>
    <mergeCell ref="X112:AA112"/>
    <mergeCell ref="AB112:AD112"/>
    <mergeCell ref="N113:S113"/>
    <mergeCell ref="T113:W113"/>
    <mergeCell ref="X113:AA113"/>
    <mergeCell ref="AB113:AD113"/>
    <mergeCell ref="N114:S114"/>
    <mergeCell ref="T114:W114"/>
    <mergeCell ref="X114:AA114"/>
    <mergeCell ref="AB114:AD114"/>
    <mergeCell ref="N115:S115"/>
    <mergeCell ref="T115:W115"/>
    <mergeCell ref="X115:AA115"/>
    <mergeCell ref="AB115:AD115"/>
    <mergeCell ref="N116:S116"/>
    <mergeCell ref="T116:W116"/>
    <mergeCell ref="X116:AA116"/>
    <mergeCell ref="AB116:AD116"/>
    <mergeCell ref="N117:S117"/>
    <mergeCell ref="T117:W117"/>
    <mergeCell ref="X117:AA117"/>
    <mergeCell ref="AB117:AD117"/>
    <mergeCell ref="N118:S118"/>
    <mergeCell ref="T118:W118"/>
    <mergeCell ref="X118:AA118"/>
    <mergeCell ref="AB118:AD118"/>
    <mergeCell ref="N119:S119"/>
    <mergeCell ref="T119:W119"/>
    <mergeCell ref="X119:AA119"/>
    <mergeCell ref="AB119:AD119"/>
    <mergeCell ref="N120:S120"/>
    <mergeCell ref="T120:W120"/>
    <mergeCell ref="X120:AA120"/>
    <mergeCell ref="AB120:AD120"/>
    <mergeCell ref="N121:S121"/>
    <mergeCell ref="T121:W121"/>
    <mergeCell ref="X121:AA121"/>
    <mergeCell ref="AB121:AD121"/>
    <mergeCell ref="N122:S122"/>
    <mergeCell ref="T122:W122"/>
    <mergeCell ref="X122:AA122"/>
    <mergeCell ref="AB122:AD122"/>
    <mergeCell ref="N123:S123"/>
    <mergeCell ref="T123:W123"/>
    <mergeCell ref="X123:AA123"/>
    <mergeCell ref="AB123:AD123"/>
    <mergeCell ref="N124:S124"/>
    <mergeCell ref="T124:W124"/>
    <mergeCell ref="X124:AA124"/>
    <mergeCell ref="AB124:AD124"/>
    <mergeCell ref="N125:S125"/>
    <mergeCell ref="T125:W125"/>
    <mergeCell ref="X125:AA125"/>
    <mergeCell ref="AB125:AD125"/>
    <mergeCell ref="N126:S126"/>
    <mergeCell ref="T126:W126"/>
    <mergeCell ref="X126:AA126"/>
    <mergeCell ref="AB126:AD126"/>
    <mergeCell ref="N127:S127"/>
    <mergeCell ref="T127:W127"/>
    <mergeCell ref="X127:AA127"/>
    <mergeCell ref="AB127:AD127"/>
    <mergeCell ref="N128:S128"/>
    <mergeCell ref="T128:W128"/>
    <mergeCell ref="X128:AA128"/>
    <mergeCell ref="AB128:AD128"/>
    <mergeCell ref="N129:S129"/>
    <mergeCell ref="T129:W129"/>
    <mergeCell ref="X129:AA129"/>
    <mergeCell ref="AB129:AD129"/>
    <mergeCell ref="Z130:AD130"/>
    <mergeCell ref="G131:M131"/>
    <mergeCell ref="N131:Q131"/>
    <mergeCell ref="R131:U131"/>
    <mergeCell ref="V131:Y131"/>
    <mergeCell ref="A133:B133"/>
    <mergeCell ref="C133:L133"/>
    <mergeCell ref="M133:Q133"/>
    <mergeCell ref="R133:AF133"/>
    <mergeCell ref="N136:S136"/>
    <mergeCell ref="T136:W136"/>
    <mergeCell ref="X136:AA136"/>
    <mergeCell ref="AB136:AD136"/>
    <mergeCell ref="N137:S137"/>
    <mergeCell ref="T137:W137"/>
    <mergeCell ref="X137:AA137"/>
    <mergeCell ref="AB137:AD137"/>
    <mergeCell ref="N138:S138"/>
    <mergeCell ref="T138:W138"/>
    <mergeCell ref="X138:AA138"/>
    <mergeCell ref="AB138:AD138"/>
    <mergeCell ref="N139:S139"/>
    <mergeCell ref="T139:W139"/>
    <mergeCell ref="X139:AA139"/>
    <mergeCell ref="AB139:AD139"/>
    <mergeCell ref="N140:S140"/>
    <mergeCell ref="T140:W140"/>
    <mergeCell ref="X140:AA140"/>
    <mergeCell ref="AB140:AD140"/>
    <mergeCell ref="N141:S141"/>
    <mergeCell ref="T141:W141"/>
    <mergeCell ref="X141:AA141"/>
    <mergeCell ref="AB141:AD141"/>
    <mergeCell ref="N142:S142"/>
    <mergeCell ref="T142:W142"/>
    <mergeCell ref="X142:AA142"/>
    <mergeCell ref="AB142:AD142"/>
    <mergeCell ref="N143:S143"/>
    <mergeCell ref="T143:W143"/>
    <mergeCell ref="X143:AA143"/>
    <mergeCell ref="AB143:AD143"/>
    <mergeCell ref="N144:S144"/>
    <mergeCell ref="T144:W144"/>
    <mergeCell ref="X144:AA144"/>
    <mergeCell ref="AB144:AD144"/>
    <mergeCell ref="N145:S145"/>
    <mergeCell ref="T145:W145"/>
    <mergeCell ref="X145:AA145"/>
    <mergeCell ref="AB145:AD145"/>
    <mergeCell ref="N146:S146"/>
    <mergeCell ref="T146:W146"/>
    <mergeCell ref="X146:AA146"/>
    <mergeCell ref="AB146:AD146"/>
    <mergeCell ref="N147:S147"/>
    <mergeCell ref="T147:W147"/>
    <mergeCell ref="X147:AA147"/>
    <mergeCell ref="AB147:AD147"/>
    <mergeCell ref="N148:S148"/>
    <mergeCell ref="T148:W148"/>
    <mergeCell ref="X148:AA148"/>
    <mergeCell ref="AB148:AD148"/>
    <mergeCell ref="N149:S149"/>
    <mergeCell ref="T149:W149"/>
    <mergeCell ref="X149:AA149"/>
    <mergeCell ref="AB149:AD149"/>
    <mergeCell ref="N150:S150"/>
    <mergeCell ref="T150:W150"/>
    <mergeCell ref="X150:AA150"/>
    <mergeCell ref="AB150:AD150"/>
    <mergeCell ref="N151:S151"/>
    <mergeCell ref="T151:W151"/>
    <mergeCell ref="X151:AA151"/>
    <mergeCell ref="AB151:AD151"/>
    <mergeCell ref="N152:S152"/>
    <mergeCell ref="T152:W152"/>
    <mergeCell ref="X152:AA152"/>
    <mergeCell ref="AB152:AD152"/>
    <mergeCell ref="N153:S153"/>
    <mergeCell ref="T153:W153"/>
    <mergeCell ref="X153:AA153"/>
    <mergeCell ref="AB153:AD153"/>
    <mergeCell ref="N154:S154"/>
    <mergeCell ref="T154:W154"/>
    <mergeCell ref="X154:AA154"/>
    <mergeCell ref="AB154:AD154"/>
    <mergeCell ref="N155:S155"/>
    <mergeCell ref="T155:W155"/>
    <mergeCell ref="X155:AA155"/>
    <mergeCell ref="AB155:AD155"/>
    <mergeCell ref="N156:S156"/>
    <mergeCell ref="T156:W156"/>
    <mergeCell ref="X156:AA156"/>
    <mergeCell ref="AB156:AD156"/>
    <mergeCell ref="N157:S157"/>
    <mergeCell ref="T157:W157"/>
    <mergeCell ref="X157:AA157"/>
    <mergeCell ref="AB157:AD157"/>
    <mergeCell ref="N158:S158"/>
    <mergeCell ref="T158:W158"/>
    <mergeCell ref="X158:AA158"/>
    <mergeCell ref="AB158:AD158"/>
    <mergeCell ref="N159:S159"/>
    <mergeCell ref="T159:W159"/>
    <mergeCell ref="X159:AA159"/>
    <mergeCell ref="AB159:AD159"/>
    <mergeCell ref="N160:S160"/>
    <mergeCell ref="T160:W160"/>
    <mergeCell ref="X160:AA160"/>
    <mergeCell ref="AB160:AD160"/>
    <mergeCell ref="N161:S161"/>
    <mergeCell ref="T161:W161"/>
    <mergeCell ref="X161:AA161"/>
    <mergeCell ref="AB161:AD161"/>
    <mergeCell ref="N162:S162"/>
    <mergeCell ref="T162:W162"/>
    <mergeCell ref="X162:AA162"/>
    <mergeCell ref="AB162:AD162"/>
    <mergeCell ref="N163:S163"/>
    <mergeCell ref="T163:W163"/>
    <mergeCell ref="X163:AA163"/>
    <mergeCell ref="AB163:AD163"/>
    <mergeCell ref="N164:S164"/>
    <mergeCell ref="T164:W164"/>
    <mergeCell ref="X164:AA164"/>
    <mergeCell ref="AB164:AD164"/>
    <mergeCell ref="N165:S165"/>
    <mergeCell ref="T165:W165"/>
    <mergeCell ref="X165:AA165"/>
    <mergeCell ref="AB165:AD165"/>
    <mergeCell ref="N166:S166"/>
    <mergeCell ref="T166:W166"/>
    <mergeCell ref="X166:AA166"/>
    <mergeCell ref="AB166:AD166"/>
    <mergeCell ref="N167:S167"/>
    <mergeCell ref="T167:W167"/>
    <mergeCell ref="X167:AA167"/>
    <mergeCell ref="AB167:AD167"/>
    <mergeCell ref="N168:S168"/>
    <mergeCell ref="T168:W168"/>
    <mergeCell ref="X168:AA168"/>
    <mergeCell ref="AB168:AD168"/>
    <mergeCell ref="N169:S169"/>
    <mergeCell ref="T169:W169"/>
    <mergeCell ref="X169:AA169"/>
    <mergeCell ref="AB169:AD169"/>
    <mergeCell ref="N170:S170"/>
    <mergeCell ref="T170:W170"/>
    <mergeCell ref="X170:AA170"/>
    <mergeCell ref="AB170:AD170"/>
    <mergeCell ref="N171:S171"/>
    <mergeCell ref="T171:W171"/>
    <mergeCell ref="X171:AA171"/>
    <mergeCell ref="AB171:AD171"/>
    <mergeCell ref="N172:S172"/>
    <mergeCell ref="T172:W172"/>
    <mergeCell ref="X172:AA172"/>
    <mergeCell ref="AB172:AD172"/>
    <mergeCell ref="AB173:AD173"/>
    <mergeCell ref="G174:M174"/>
    <mergeCell ref="N174:Q174"/>
    <mergeCell ref="R174:U174"/>
    <mergeCell ref="V174:Y174"/>
    <mergeCell ref="A176:B176"/>
    <mergeCell ref="C176:L176"/>
    <mergeCell ref="M176:Q176"/>
    <mergeCell ref="R176:AF176"/>
    <mergeCell ref="B179:D179"/>
    <mergeCell ref="E179:O179"/>
    <mergeCell ref="B180:D181"/>
    <mergeCell ref="E180:M181"/>
    <mergeCell ref="N180:S181"/>
    <mergeCell ref="T180:W181"/>
    <mergeCell ref="X180:AA181"/>
    <mergeCell ref="AB180:AD181"/>
    <mergeCell ref="N182:S182"/>
    <mergeCell ref="T182:W182"/>
    <mergeCell ref="X182:AA182"/>
    <mergeCell ref="AB182:AD182"/>
    <mergeCell ref="N183:S183"/>
    <mergeCell ref="T183:W183"/>
    <mergeCell ref="X183:AA183"/>
    <mergeCell ref="AB183:AD183"/>
    <mergeCell ref="N184:S184"/>
    <mergeCell ref="T184:W184"/>
    <mergeCell ref="X184:AA184"/>
    <mergeCell ref="AB184:AD184"/>
    <mergeCell ref="N185:S185"/>
    <mergeCell ref="T185:W185"/>
    <mergeCell ref="X185:AA185"/>
    <mergeCell ref="AB185:AD185"/>
    <mergeCell ref="N186:S186"/>
    <mergeCell ref="T186:W186"/>
    <mergeCell ref="X186:AA186"/>
    <mergeCell ref="AB186:AD186"/>
    <mergeCell ref="N187:S187"/>
    <mergeCell ref="T187:W187"/>
    <mergeCell ref="X187:AA187"/>
    <mergeCell ref="AB187:AD187"/>
    <mergeCell ref="N188:S188"/>
    <mergeCell ref="T188:W188"/>
    <mergeCell ref="X188:AA188"/>
    <mergeCell ref="AB188:AD188"/>
    <mergeCell ref="N189:S189"/>
    <mergeCell ref="T189:W189"/>
    <mergeCell ref="X189:AA189"/>
    <mergeCell ref="AB189:AD189"/>
    <mergeCell ref="N190:S190"/>
    <mergeCell ref="T190:W190"/>
    <mergeCell ref="X190:AA190"/>
    <mergeCell ref="AB190:AD190"/>
    <mergeCell ref="N191:S191"/>
    <mergeCell ref="T191:W191"/>
    <mergeCell ref="X191:AA191"/>
    <mergeCell ref="AB191:AD191"/>
    <mergeCell ref="N192:S192"/>
    <mergeCell ref="T192:W192"/>
    <mergeCell ref="X192:AA192"/>
    <mergeCell ref="AB192:AD192"/>
    <mergeCell ref="N193:S193"/>
    <mergeCell ref="T193:W193"/>
    <mergeCell ref="X193:AA193"/>
    <mergeCell ref="AB193:AD193"/>
    <mergeCell ref="N194:S194"/>
    <mergeCell ref="T194:W194"/>
    <mergeCell ref="X194:AA194"/>
    <mergeCell ref="AB194:AD194"/>
    <mergeCell ref="N195:S195"/>
    <mergeCell ref="T195:W195"/>
    <mergeCell ref="X195:AA195"/>
    <mergeCell ref="AB195:AD195"/>
    <mergeCell ref="N196:S196"/>
    <mergeCell ref="T196:W196"/>
    <mergeCell ref="X196:AA196"/>
    <mergeCell ref="AB196:AD196"/>
    <mergeCell ref="N197:S197"/>
    <mergeCell ref="T197:W197"/>
    <mergeCell ref="X197:AA197"/>
    <mergeCell ref="AB197:AD197"/>
    <mergeCell ref="N198:S198"/>
    <mergeCell ref="T198:W198"/>
    <mergeCell ref="X198:AA198"/>
    <mergeCell ref="AB198:AD198"/>
    <mergeCell ref="N199:S199"/>
    <mergeCell ref="T199:W199"/>
    <mergeCell ref="X199:AA199"/>
    <mergeCell ref="AB199:AD199"/>
    <mergeCell ref="N200:S200"/>
    <mergeCell ref="T200:W200"/>
    <mergeCell ref="X200:AA200"/>
    <mergeCell ref="AB200:AD200"/>
    <mergeCell ref="N201:S201"/>
    <mergeCell ref="T201:W201"/>
    <mergeCell ref="X201:AA201"/>
    <mergeCell ref="AB201:AD201"/>
    <mergeCell ref="N202:S202"/>
    <mergeCell ref="T202:W202"/>
    <mergeCell ref="X202:AA202"/>
    <mergeCell ref="AB202:AD202"/>
    <mergeCell ref="N203:S203"/>
    <mergeCell ref="T203:W203"/>
    <mergeCell ref="X203:AA203"/>
    <mergeCell ref="AB203:AD203"/>
    <mergeCell ref="N204:S204"/>
    <mergeCell ref="T204:W204"/>
    <mergeCell ref="X204:AA204"/>
    <mergeCell ref="AB204:AD204"/>
    <mergeCell ref="N205:S205"/>
    <mergeCell ref="T205:W205"/>
    <mergeCell ref="X205:AA205"/>
    <mergeCell ref="AB205:AD205"/>
    <mergeCell ref="N206:S206"/>
    <mergeCell ref="T206:W206"/>
    <mergeCell ref="X206:AA206"/>
    <mergeCell ref="AB206:AD206"/>
    <mergeCell ref="N207:S207"/>
    <mergeCell ref="T207:W207"/>
    <mergeCell ref="X207:AA207"/>
    <mergeCell ref="AB207:AD207"/>
    <mergeCell ref="N208:S208"/>
    <mergeCell ref="T208:W208"/>
    <mergeCell ref="X208:AA208"/>
    <mergeCell ref="AB208:AD208"/>
    <mergeCell ref="N209:S209"/>
    <mergeCell ref="T209:W209"/>
    <mergeCell ref="X209:AA209"/>
    <mergeCell ref="AB209:AD209"/>
    <mergeCell ref="N210:S210"/>
    <mergeCell ref="T210:W210"/>
    <mergeCell ref="X210:AA210"/>
    <mergeCell ref="AB210:AD210"/>
    <mergeCell ref="N211:S211"/>
    <mergeCell ref="T211:W211"/>
    <mergeCell ref="X211:AA211"/>
    <mergeCell ref="AB211:AD211"/>
    <mergeCell ref="N212:S212"/>
    <mergeCell ref="T212:W212"/>
    <mergeCell ref="X212:AA212"/>
    <mergeCell ref="AB212:AD212"/>
    <mergeCell ref="N213:S213"/>
    <mergeCell ref="T213:W213"/>
    <mergeCell ref="X213:AA213"/>
    <mergeCell ref="AB213:AD213"/>
    <mergeCell ref="N214:S214"/>
    <mergeCell ref="T214:W214"/>
    <mergeCell ref="X214:AA214"/>
    <mergeCell ref="AB214:AD214"/>
    <mergeCell ref="N215:S215"/>
    <mergeCell ref="T215:W215"/>
    <mergeCell ref="X215:AA215"/>
    <mergeCell ref="AB215:AD215"/>
    <mergeCell ref="N216:S216"/>
    <mergeCell ref="T216:W216"/>
    <mergeCell ref="X216:AA216"/>
    <mergeCell ref="AB216:AD216"/>
    <mergeCell ref="N217:S217"/>
    <mergeCell ref="T217:W217"/>
    <mergeCell ref="X217:AA217"/>
    <mergeCell ref="AB217:AD217"/>
    <mergeCell ref="N218:S218"/>
    <mergeCell ref="T218:W218"/>
    <mergeCell ref="X218:AA218"/>
    <mergeCell ref="AB218:AD218"/>
    <mergeCell ref="Z219:AD219"/>
    <mergeCell ref="A221:B221"/>
    <mergeCell ref="C221:L221"/>
    <mergeCell ref="M221:Q221"/>
    <mergeCell ref="R221:AF221"/>
    <mergeCell ref="N224:S224"/>
    <mergeCell ref="T224:W224"/>
    <mergeCell ref="X224:AA224"/>
    <mergeCell ref="AB224:AD224"/>
    <mergeCell ref="N225:S225"/>
    <mergeCell ref="T225:W225"/>
    <mergeCell ref="X225:AA225"/>
    <mergeCell ref="AB225:AD225"/>
    <mergeCell ref="N226:S226"/>
    <mergeCell ref="T226:W226"/>
    <mergeCell ref="X226:AA226"/>
    <mergeCell ref="AB226:AD226"/>
    <mergeCell ref="N227:S227"/>
    <mergeCell ref="T227:W227"/>
    <mergeCell ref="X227:AA227"/>
    <mergeCell ref="AB227:AD227"/>
    <mergeCell ref="N228:S228"/>
    <mergeCell ref="T228:W228"/>
    <mergeCell ref="X228:AA228"/>
    <mergeCell ref="AB228:AD228"/>
    <mergeCell ref="N229:S229"/>
    <mergeCell ref="T229:W229"/>
    <mergeCell ref="X229:AA229"/>
    <mergeCell ref="AB229:AD229"/>
    <mergeCell ref="N230:S230"/>
    <mergeCell ref="T230:W230"/>
    <mergeCell ref="X230:AA230"/>
    <mergeCell ref="AB230:AD230"/>
    <mergeCell ref="N231:S231"/>
    <mergeCell ref="T231:W231"/>
    <mergeCell ref="X231:AA231"/>
    <mergeCell ref="AB231:AD231"/>
    <mergeCell ref="N232:S232"/>
    <mergeCell ref="T232:W232"/>
    <mergeCell ref="X232:AA232"/>
    <mergeCell ref="AB232:AD232"/>
    <mergeCell ref="N233:S233"/>
    <mergeCell ref="T233:W233"/>
    <mergeCell ref="X233:AA233"/>
    <mergeCell ref="AB233:AD233"/>
    <mergeCell ref="N234:S234"/>
    <mergeCell ref="T234:W234"/>
    <mergeCell ref="X234:AA234"/>
    <mergeCell ref="AB234:AD234"/>
    <mergeCell ref="N235:S235"/>
    <mergeCell ref="T235:W235"/>
    <mergeCell ref="X235:AA235"/>
    <mergeCell ref="AB235:AD235"/>
    <mergeCell ref="N236:S236"/>
    <mergeCell ref="T236:W236"/>
    <mergeCell ref="X236:AA236"/>
    <mergeCell ref="AB236:AD236"/>
    <mergeCell ref="N237:S237"/>
    <mergeCell ref="T237:W237"/>
    <mergeCell ref="X237:AA237"/>
    <mergeCell ref="AB237:AD237"/>
    <mergeCell ref="N238:S238"/>
    <mergeCell ref="T238:W238"/>
    <mergeCell ref="X238:AA238"/>
    <mergeCell ref="AB238:AD238"/>
    <mergeCell ref="N239:S239"/>
    <mergeCell ref="T239:W239"/>
    <mergeCell ref="X239:AA239"/>
    <mergeCell ref="AB239:AD239"/>
    <mergeCell ref="N240:S240"/>
    <mergeCell ref="T240:W240"/>
    <mergeCell ref="X240:AA240"/>
    <mergeCell ref="AB240:AD240"/>
    <mergeCell ref="N241:S241"/>
    <mergeCell ref="T241:W241"/>
    <mergeCell ref="X241:AA241"/>
    <mergeCell ref="AB241:AD241"/>
    <mergeCell ref="N242:S242"/>
    <mergeCell ref="T242:W242"/>
    <mergeCell ref="X242:AA242"/>
    <mergeCell ref="AB242:AD242"/>
    <mergeCell ref="N243:S243"/>
    <mergeCell ref="T243:W243"/>
    <mergeCell ref="X243:AA243"/>
    <mergeCell ref="AB243:AD243"/>
    <mergeCell ref="N244:S244"/>
    <mergeCell ref="T244:W244"/>
    <mergeCell ref="X244:AA244"/>
    <mergeCell ref="AB244:AD244"/>
    <mergeCell ref="N245:S245"/>
    <mergeCell ref="T245:W245"/>
    <mergeCell ref="X245:AA245"/>
    <mergeCell ref="AB245:AD245"/>
    <mergeCell ref="N246:S246"/>
    <mergeCell ref="T246:W246"/>
    <mergeCell ref="X246:AA246"/>
    <mergeCell ref="AB246:AD246"/>
    <mergeCell ref="N247:S247"/>
    <mergeCell ref="T247:W247"/>
    <mergeCell ref="X247:AA247"/>
    <mergeCell ref="AB247:AD247"/>
    <mergeCell ref="N248:S248"/>
    <mergeCell ref="T248:W248"/>
    <mergeCell ref="X248:AA248"/>
    <mergeCell ref="AB248:AD248"/>
    <mergeCell ref="N249:S249"/>
    <mergeCell ref="T249:W249"/>
    <mergeCell ref="X249:AA249"/>
    <mergeCell ref="AB249:AD249"/>
    <mergeCell ref="N250:S250"/>
    <mergeCell ref="T250:W250"/>
    <mergeCell ref="X250:AA250"/>
    <mergeCell ref="AB250:AD250"/>
    <mergeCell ref="N251:S251"/>
    <mergeCell ref="T251:W251"/>
    <mergeCell ref="X251:AA251"/>
    <mergeCell ref="AB251:AD251"/>
    <mergeCell ref="N252:S252"/>
    <mergeCell ref="T252:W252"/>
    <mergeCell ref="X252:AA252"/>
    <mergeCell ref="AB252:AD252"/>
    <mergeCell ref="N253:S253"/>
    <mergeCell ref="T253:W253"/>
    <mergeCell ref="X253:AA253"/>
    <mergeCell ref="AB253:AD253"/>
    <mergeCell ref="N254:S254"/>
    <mergeCell ref="T254:W254"/>
    <mergeCell ref="X254:AA254"/>
    <mergeCell ref="AB254:AD254"/>
    <mergeCell ref="N255:S255"/>
    <mergeCell ref="T255:W255"/>
    <mergeCell ref="X255:AA255"/>
    <mergeCell ref="AB255:AD255"/>
    <mergeCell ref="N256:S256"/>
    <mergeCell ref="T256:W256"/>
    <mergeCell ref="X256:AA256"/>
    <mergeCell ref="AB256:AD256"/>
    <mergeCell ref="N257:S257"/>
    <mergeCell ref="T257:W257"/>
    <mergeCell ref="X257:AA257"/>
    <mergeCell ref="AB257:AD257"/>
    <mergeCell ref="N258:S258"/>
    <mergeCell ref="T258:W258"/>
    <mergeCell ref="X258:AA258"/>
    <mergeCell ref="AB258:AD258"/>
    <mergeCell ref="N259:S259"/>
    <mergeCell ref="T259:W259"/>
    <mergeCell ref="X259:AA259"/>
    <mergeCell ref="AB259:AD259"/>
    <mergeCell ref="N260:S260"/>
    <mergeCell ref="T260:W260"/>
    <mergeCell ref="X260:AA260"/>
    <mergeCell ref="AB260:AD260"/>
    <mergeCell ref="Z261:AD261"/>
    <mergeCell ref="G262:M262"/>
    <mergeCell ref="N262:Q262"/>
    <mergeCell ref="R262:U262"/>
    <mergeCell ref="V262:Y262"/>
    <mergeCell ref="A264:B264"/>
    <mergeCell ref="C264:L264"/>
    <mergeCell ref="M264:Q264"/>
    <mergeCell ref="R264:AF264"/>
    <mergeCell ref="N267:S267"/>
    <mergeCell ref="T267:W267"/>
    <mergeCell ref="X267:AA267"/>
    <mergeCell ref="AB267:AD267"/>
    <mergeCell ref="N268:S268"/>
    <mergeCell ref="T268:W268"/>
    <mergeCell ref="X268:AA268"/>
    <mergeCell ref="AB268:AD268"/>
    <mergeCell ref="N269:S269"/>
    <mergeCell ref="T269:W269"/>
    <mergeCell ref="X269:AA269"/>
    <mergeCell ref="AB269:AD269"/>
    <mergeCell ref="N270:S270"/>
    <mergeCell ref="T270:W270"/>
    <mergeCell ref="X270:AA270"/>
    <mergeCell ref="AB270:AD270"/>
    <mergeCell ref="N271:S271"/>
    <mergeCell ref="T271:W271"/>
    <mergeCell ref="X271:AA271"/>
    <mergeCell ref="AB271:AD271"/>
    <mergeCell ref="N272:S272"/>
    <mergeCell ref="T272:W272"/>
    <mergeCell ref="X272:AA272"/>
    <mergeCell ref="AB272:AD272"/>
    <mergeCell ref="N273:S273"/>
    <mergeCell ref="T273:W273"/>
    <mergeCell ref="X273:AA273"/>
    <mergeCell ref="AB273:AD273"/>
    <mergeCell ref="N274:S274"/>
    <mergeCell ref="T274:W274"/>
    <mergeCell ref="X274:AA274"/>
    <mergeCell ref="AB274:AD274"/>
    <mergeCell ref="N275:S275"/>
    <mergeCell ref="T275:W275"/>
    <mergeCell ref="X275:AA275"/>
    <mergeCell ref="AB275:AD275"/>
    <mergeCell ref="N276:S276"/>
    <mergeCell ref="T276:W276"/>
    <mergeCell ref="X276:AA276"/>
    <mergeCell ref="AB276:AD276"/>
    <mergeCell ref="N277:S277"/>
    <mergeCell ref="T277:W277"/>
    <mergeCell ref="X277:AA277"/>
    <mergeCell ref="AB277:AD277"/>
    <mergeCell ref="N278:S278"/>
    <mergeCell ref="T278:W278"/>
    <mergeCell ref="X278:AA278"/>
    <mergeCell ref="AB278:AD278"/>
    <mergeCell ref="N279:S279"/>
    <mergeCell ref="T279:W279"/>
    <mergeCell ref="X279:AA279"/>
    <mergeCell ref="AB279:AD279"/>
    <mergeCell ref="N280:S280"/>
    <mergeCell ref="T280:W280"/>
    <mergeCell ref="X280:AA280"/>
    <mergeCell ref="AB280:AD280"/>
    <mergeCell ref="N281:S281"/>
    <mergeCell ref="T281:W281"/>
    <mergeCell ref="X281:AA281"/>
    <mergeCell ref="AB281:AD281"/>
    <mergeCell ref="N282:S282"/>
    <mergeCell ref="T282:W282"/>
    <mergeCell ref="X282:AA282"/>
    <mergeCell ref="AB282:AD282"/>
    <mergeCell ref="N283:S283"/>
    <mergeCell ref="T283:W283"/>
    <mergeCell ref="X283:AA283"/>
    <mergeCell ref="AB283:AD283"/>
    <mergeCell ref="N284:S284"/>
    <mergeCell ref="T284:W284"/>
    <mergeCell ref="X284:AA284"/>
    <mergeCell ref="AB284:AD284"/>
    <mergeCell ref="N285:S285"/>
    <mergeCell ref="T285:W285"/>
    <mergeCell ref="X285:AA285"/>
    <mergeCell ref="AB285:AD285"/>
    <mergeCell ref="N286:S286"/>
    <mergeCell ref="T286:W286"/>
    <mergeCell ref="X286:AA286"/>
    <mergeCell ref="AB286:AD286"/>
    <mergeCell ref="N287:S287"/>
    <mergeCell ref="T287:W287"/>
    <mergeCell ref="X287:AA287"/>
    <mergeCell ref="AB287:AD287"/>
    <mergeCell ref="N288:S288"/>
    <mergeCell ref="T288:W288"/>
    <mergeCell ref="X288:AA288"/>
    <mergeCell ref="AB288:AD288"/>
    <mergeCell ref="N289:S289"/>
    <mergeCell ref="T289:W289"/>
    <mergeCell ref="X289:AA289"/>
    <mergeCell ref="AB289:AD289"/>
    <mergeCell ref="N290:S290"/>
    <mergeCell ref="T290:W290"/>
    <mergeCell ref="X290:AA290"/>
    <mergeCell ref="AB290:AD290"/>
    <mergeCell ref="N291:S291"/>
    <mergeCell ref="T291:W291"/>
    <mergeCell ref="X291:AA291"/>
    <mergeCell ref="AB291:AD291"/>
    <mergeCell ref="N292:S292"/>
    <mergeCell ref="T292:W292"/>
    <mergeCell ref="X292:AA292"/>
    <mergeCell ref="AB292:AD292"/>
    <mergeCell ref="N293:S293"/>
    <mergeCell ref="T293:W293"/>
    <mergeCell ref="X293:AA293"/>
    <mergeCell ref="AB293:AD293"/>
    <mergeCell ref="N294:S294"/>
    <mergeCell ref="T294:W294"/>
    <mergeCell ref="X294:AA294"/>
    <mergeCell ref="AB294:AD294"/>
    <mergeCell ref="N295:S295"/>
    <mergeCell ref="T295:W295"/>
    <mergeCell ref="X295:AA295"/>
    <mergeCell ref="AB295:AD295"/>
    <mergeCell ref="N296:S296"/>
    <mergeCell ref="T296:W296"/>
    <mergeCell ref="X296:AA296"/>
    <mergeCell ref="AB296:AD296"/>
    <mergeCell ref="N297:S297"/>
    <mergeCell ref="T297:W297"/>
    <mergeCell ref="X297:AA297"/>
    <mergeCell ref="AB297:AD297"/>
    <mergeCell ref="N298:S298"/>
    <mergeCell ref="T298:W298"/>
    <mergeCell ref="X298:AA298"/>
    <mergeCell ref="AB298:AD298"/>
    <mergeCell ref="N299:S299"/>
    <mergeCell ref="T299:W299"/>
    <mergeCell ref="X299:AA299"/>
    <mergeCell ref="AB299:AD299"/>
    <mergeCell ref="N300:S300"/>
    <mergeCell ref="T300:W300"/>
    <mergeCell ref="X300:AA300"/>
    <mergeCell ref="AB300:AD300"/>
    <mergeCell ref="N301:S301"/>
    <mergeCell ref="T301:W301"/>
    <mergeCell ref="X301:AA301"/>
    <mergeCell ref="AB301:AD301"/>
    <mergeCell ref="N302:S302"/>
    <mergeCell ref="T302:W302"/>
    <mergeCell ref="X302:AA302"/>
    <mergeCell ref="AB302:AD302"/>
    <mergeCell ref="N303:S303"/>
    <mergeCell ref="T303:W303"/>
    <mergeCell ref="X303:AA303"/>
    <mergeCell ref="AB303:AD303"/>
    <mergeCell ref="AB304:AD304"/>
    <mergeCell ref="G305:M305"/>
    <mergeCell ref="N305:Q305"/>
    <mergeCell ref="R305:U305"/>
    <mergeCell ref="V305:Y305"/>
    <mergeCell ref="A307:B307"/>
    <mergeCell ref="C307:L307"/>
    <mergeCell ref="M307:Q307"/>
    <mergeCell ref="R307:AF307"/>
    <mergeCell ref="B310:D310"/>
    <mergeCell ref="E310:O310"/>
    <mergeCell ref="B311:D312"/>
    <mergeCell ref="E311:M312"/>
    <mergeCell ref="N311:S312"/>
    <mergeCell ref="T311:W312"/>
    <mergeCell ref="X311:AA312"/>
    <mergeCell ref="AB311:AD312"/>
    <mergeCell ref="N313:S313"/>
    <mergeCell ref="T313:W313"/>
    <mergeCell ref="X313:AA313"/>
    <mergeCell ref="AB313:AD313"/>
    <mergeCell ref="N314:S314"/>
    <mergeCell ref="T314:W314"/>
    <mergeCell ref="X314:AA314"/>
    <mergeCell ref="AB314:AD314"/>
    <mergeCell ref="N315:S315"/>
    <mergeCell ref="T315:W315"/>
    <mergeCell ref="X315:AA315"/>
    <mergeCell ref="AB315:AD315"/>
    <mergeCell ref="N316:S316"/>
    <mergeCell ref="T316:W316"/>
    <mergeCell ref="X316:AA316"/>
    <mergeCell ref="AB316:AD316"/>
    <mergeCell ref="N317:S317"/>
    <mergeCell ref="T317:W317"/>
    <mergeCell ref="X317:AA317"/>
    <mergeCell ref="AB317:AD317"/>
    <mergeCell ref="N318:S318"/>
    <mergeCell ref="T318:W318"/>
    <mergeCell ref="X318:AA318"/>
    <mergeCell ref="AB318:AD318"/>
    <mergeCell ref="N319:S319"/>
    <mergeCell ref="T319:W319"/>
    <mergeCell ref="X319:AA319"/>
    <mergeCell ref="AB319:AD319"/>
    <mergeCell ref="N320:S320"/>
    <mergeCell ref="T320:W320"/>
    <mergeCell ref="X320:AA320"/>
    <mergeCell ref="AB320:AD320"/>
    <mergeCell ref="N321:S321"/>
    <mergeCell ref="T321:W321"/>
    <mergeCell ref="X321:AA321"/>
    <mergeCell ref="AB321:AD321"/>
    <mergeCell ref="N322:S322"/>
    <mergeCell ref="T322:W322"/>
    <mergeCell ref="X322:AA322"/>
    <mergeCell ref="AB322:AD322"/>
    <mergeCell ref="N323:S323"/>
    <mergeCell ref="T323:W323"/>
    <mergeCell ref="X323:AA323"/>
    <mergeCell ref="AB323:AD323"/>
    <mergeCell ref="N324:S324"/>
    <mergeCell ref="T324:W324"/>
    <mergeCell ref="X324:AA324"/>
    <mergeCell ref="AB324:AD324"/>
    <mergeCell ref="N325:S325"/>
    <mergeCell ref="T325:W325"/>
    <mergeCell ref="X325:AA325"/>
    <mergeCell ref="AB325:AD325"/>
    <mergeCell ref="N326:S326"/>
    <mergeCell ref="T326:W326"/>
    <mergeCell ref="X326:AA326"/>
    <mergeCell ref="AB326:AD326"/>
    <mergeCell ref="N327:S327"/>
    <mergeCell ref="T327:W327"/>
    <mergeCell ref="X327:AA327"/>
    <mergeCell ref="AB327:AD327"/>
    <mergeCell ref="N328:S328"/>
    <mergeCell ref="T328:W328"/>
    <mergeCell ref="X328:AA328"/>
    <mergeCell ref="AB328:AD328"/>
    <mergeCell ref="N329:S329"/>
    <mergeCell ref="T329:W329"/>
    <mergeCell ref="X329:AA329"/>
    <mergeCell ref="AB329:AD329"/>
    <mergeCell ref="N330:S330"/>
    <mergeCell ref="T330:W330"/>
    <mergeCell ref="X330:AA330"/>
    <mergeCell ref="AB330:AD330"/>
    <mergeCell ref="N331:S331"/>
    <mergeCell ref="T331:W331"/>
    <mergeCell ref="X331:AA331"/>
    <mergeCell ref="AB331:AD331"/>
    <mergeCell ref="N332:S332"/>
    <mergeCell ref="T332:W332"/>
    <mergeCell ref="X332:AA332"/>
    <mergeCell ref="AB332:AD332"/>
    <mergeCell ref="N333:S333"/>
    <mergeCell ref="T333:W333"/>
    <mergeCell ref="X333:AA333"/>
    <mergeCell ref="AB333:AD333"/>
    <mergeCell ref="N334:S334"/>
    <mergeCell ref="T334:W334"/>
    <mergeCell ref="X334:AA334"/>
    <mergeCell ref="AB334:AD334"/>
    <mergeCell ref="N335:S335"/>
    <mergeCell ref="T335:W335"/>
    <mergeCell ref="X335:AA335"/>
    <mergeCell ref="AB335:AD335"/>
    <mergeCell ref="N336:S336"/>
    <mergeCell ref="T336:W336"/>
    <mergeCell ref="X336:AA336"/>
    <mergeCell ref="AB336:AD336"/>
    <mergeCell ref="N337:S337"/>
    <mergeCell ref="T337:W337"/>
    <mergeCell ref="X337:AA337"/>
    <mergeCell ref="AB337:AD337"/>
    <mergeCell ref="N338:S338"/>
    <mergeCell ref="T338:W338"/>
    <mergeCell ref="X338:AA338"/>
    <mergeCell ref="AB338:AD338"/>
    <mergeCell ref="N339:S339"/>
    <mergeCell ref="T339:W339"/>
    <mergeCell ref="X339:AA339"/>
    <mergeCell ref="AB339:AD339"/>
    <mergeCell ref="N340:S340"/>
    <mergeCell ref="T340:W340"/>
    <mergeCell ref="X340:AA340"/>
    <mergeCell ref="AB340:AD340"/>
    <mergeCell ref="N341:S341"/>
    <mergeCell ref="T341:W341"/>
    <mergeCell ref="X341:AA341"/>
    <mergeCell ref="AB341:AD341"/>
    <mergeCell ref="N342:S342"/>
    <mergeCell ref="T342:W342"/>
    <mergeCell ref="X342:AA342"/>
    <mergeCell ref="AB342:AD342"/>
    <mergeCell ref="N343:S343"/>
    <mergeCell ref="T343:W343"/>
    <mergeCell ref="X343:AA343"/>
    <mergeCell ref="AB343:AD343"/>
    <mergeCell ref="N344:S344"/>
    <mergeCell ref="T344:W344"/>
    <mergeCell ref="X344:AA344"/>
    <mergeCell ref="AB344:AD344"/>
    <mergeCell ref="N345:S345"/>
    <mergeCell ref="T345:W345"/>
    <mergeCell ref="X345:AA345"/>
    <mergeCell ref="AB345:AD345"/>
    <mergeCell ref="N346:S346"/>
    <mergeCell ref="T346:W346"/>
    <mergeCell ref="X346:AA346"/>
    <mergeCell ref="AB346:AD346"/>
    <mergeCell ref="N347:S347"/>
    <mergeCell ref="T347:W347"/>
    <mergeCell ref="X347:AA347"/>
    <mergeCell ref="AB347:AD347"/>
    <mergeCell ref="N348:S348"/>
    <mergeCell ref="T348:W348"/>
    <mergeCell ref="X348:AA348"/>
    <mergeCell ref="AB348:AD348"/>
    <mergeCell ref="N349:S349"/>
    <mergeCell ref="T349:W349"/>
    <mergeCell ref="X349:AA349"/>
    <mergeCell ref="AB349:AD349"/>
    <mergeCell ref="Z350:AD350"/>
    <mergeCell ref="A352:B352"/>
    <mergeCell ref="C352:L352"/>
    <mergeCell ref="M352:Q352"/>
    <mergeCell ref="R352:AF352"/>
    <mergeCell ref="N355:S355"/>
    <mergeCell ref="T355:W355"/>
    <mergeCell ref="X355:AA355"/>
    <mergeCell ref="AB355:AD355"/>
    <mergeCell ref="N356:S356"/>
    <mergeCell ref="T356:W356"/>
    <mergeCell ref="X356:AA356"/>
    <mergeCell ref="AB356:AD356"/>
    <mergeCell ref="N357:S357"/>
    <mergeCell ref="T357:W357"/>
    <mergeCell ref="X357:AA357"/>
    <mergeCell ref="AB357:AD357"/>
    <mergeCell ref="N358:S358"/>
    <mergeCell ref="T358:W358"/>
    <mergeCell ref="X358:AA358"/>
    <mergeCell ref="AB358:AD358"/>
    <mergeCell ref="N359:S359"/>
    <mergeCell ref="T359:W359"/>
    <mergeCell ref="X359:AA359"/>
    <mergeCell ref="AB359:AD359"/>
    <mergeCell ref="N360:S360"/>
    <mergeCell ref="T360:W360"/>
    <mergeCell ref="X360:AA360"/>
    <mergeCell ref="AB360:AD360"/>
    <mergeCell ref="N361:S361"/>
    <mergeCell ref="T361:W361"/>
    <mergeCell ref="X361:AA361"/>
    <mergeCell ref="AB361:AD361"/>
    <mergeCell ref="N362:S362"/>
    <mergeCell ref="T362:W362"/>
    <mergeCell ref="X362:AA362"/>
    <mergeCell ref="AB362:AD362"/>
    <mergeCell ref="N363:S363"/>
    <mergeCell ref="T363:W363"/>
    <mergeCell ref="X363:AA363"/>
    <mergeCell ref="AB363:AD363"/>
    <mergeCell ref="N364:S364"/>
    <mergeCell ref="T364:W364"/>
    <mergeCell ref="X364:AA364"/>
    <mergeCell ref="AB364:AD364"/>
    <mergeCell ref="N365:S365"/>
    <mergeCell ref="T365:W365"/>
    <mergeCell ref="X365:AA365"/>
    <mergeCell ref="AB365:AD365"/>
    <mergeCell ref="N366:S366"/>
    <mergeCell ref="T366:W366"/>
    <mergeCell ref="X366:AA366"/>
    <mergeCell ref="AB366:AD366"/>
    <mergeCell ref="N367:S367"/>
    <mergeCell ref="T367:W367"/>
    <mergeCell ref="X367:AA367"/>
    <mergeCell ref="AB367:AD367"/>
    <mergeCell ref="N368:S368"/>
    <mergeCell ref="T368:W368"/>
    <mergeCell ref="X368:AA368"/>
    <mergeCell ref="AB368:AD368"/>
    <mergeCell ref="N369:S369"/>
    <mergeCell ref="T369:W369"/>
    <mergeCell ref="X369:AA369"/>
    <mergeCell ref="AB369:AD369"/>
    <mergeCell ref="N370:S370"/>
    <mergeCell ref="T370:W370"/>
    <mergeCell ref="X370:AA370"/>
    <mergeCell ref="AB370:AD370"/>
    <mergeCell ref="N371:S371"/>
    <mergeCell ref="T371:W371"/>
    <mergeCell ref="X371:AA371"/>
    <mergeCell ref="AB371:AD371"/>
    <mergeCell ref="N372:S372"/>
    <mergeCell ref="T372:W372"/>
    <mergeCell ref="X372:AA372"/>
    <mergeCell ref="AB372:AD372"/>
    <mergeCell ref="N373:S373"/>
    <mergeCell ref="T373:W373"/>
    <mergeCell ref="X373:AA373"/>
    <mergeCell ref="AB373:AD373"/>
    <mergeCell ref="N374:S374"/>
    <mergeCell ref="T374:W374"/>
    <mergeCell ref="X374:AA374"/>
    <mergeCell ref="AB374:AD374"/>
    <mergeCell ref="N375:S375"/>
    <mergeCell ref="T375:W375"/>
    <mergeCell ref="X375:AA375"/>
    <mergeCell ref="AB375:AD375"/>
    <mergeCell ref="N376:S376"/>
    <mergeCell ref="T376:W376"/>
    <mergeCell ref="X376:AA376"/>
    <mergeCell ref="AB376:AD376"/>
    <mergeCell ref="N377:S377"/>
    <mergeCell ref="T377:W377"/>
    <mergeCell ref="X377:AA377"/>
    <mergeCell ref="AB377:AD377"/>
    <mergeCell ref="N378:S378"/>
    <mergeCell ref="T378:W378"/>
    <mergeCell ref="X378:AA378"/>
    <mergeCell ref="AB378:AD378"/>
    <mergeCell ref="N379:S379"/>
    <mergeCell ref="T379:W379"/>
    <mergeCell ref="X379:AA379"/>
    <mergeCell ref="AB379:AD379"/>
    <mergeCell ref="N380:S380"/>
    <mergeCell ref="T380:W380"/>
    <mergeCell ref="X380:AA380"/>
    <mergeCell ref="AB380:AD380"/>
    <mergeCell ref="N381:S381"/>
    <mergeCell ref="T381:W381"/>
    <mergeCell ref="X381:AA381"/>
    <mergeCell ref="AB381:AD381"/>
    <mergeCell ref="N382:S382"/>
    <mergeCell ref="T382:W382"/>
    <mergeCell ref="X382:AA382"/>
    <mergeCell ref="AB382:AD382"/>
    <mergeCell ref="N383:S383"/>
    <mergeCell ref="T383:W383"/>
    <mergeCell ref="X383:AA383"/>
    <mergeCell ref="AB383:AD383"/>
    <mergeCell ref="N384:S384"/>
    <mergeCell ref="T384:W384"/>
    <mergeCell ref="X384:AA384"/>
    <mergeCell ref="AB384:AD384"/>
    <mergeCell ref="N385:S385"/>
    <mergeCell ref="T385:W385"/>
    <mergeCell ref="X385:AA385"/>
    <mergeCell ref="AB385:AD385"/>
    <mergeCell ref="N386:S386"/>
    <mergeCell ref="T386:W386"/>
    <mergeCell ref="X386:AA386"/>
    <mergeCell ref="AB386:AD386"/>
    <mergeCell ref="N387:S387"/>
    <mergeCell ref="T387:W387"/>
    <mergeCell ref="X387:AA387"/>
    <mergeCell ref="AB387:AD387"/>
    <mergeCell ref="N388:S388"/>
    <mergeCell ref="T388:W388"/>
    <mergeCell ref="X388:AA388"/>
    <mergeCell ref="AB388:AD388"/>
    <mergeCell ref="N389:S389"/>
    <mergeCell ref="T389:W389"/>
    <mergeCell ref="X389:AA389"/>
    <mergeCell ref="AB389:AD389"/>
    <mergeCell ref="N390:S390"/>
    <mergeCell ref="T390:W390"/>
    <mergeCell ref="X390:AA390"/>
    <mergeCell ref="AB390:AD390"/>
    <mergeCell ref="N391:S391"/>
    <mergeCell ref="T391:W391"/>
    <mergeCell ref="X391:AA391"/>
    <mergeCell ref="AB391:AD391"/>
    <mergeCell ref="Z392:AD392"/>
    <mergeCell ref="G393:M393"/>
    <mergeCell ref="N393:Q393"/>
    <mergeCell ref="R393:U393"/>
    <mergeCell ref="V393:Y393"/>
    <mergeCell ref="A395:B395"/>
    <mergeCell ref="C395:L395"/>
    <mergeCell ref="M395:Q395"/>
    <mergeCell ref="R395:AF395"/>
    <mergeCell ref="N398:S398"/>
    <mergeCell ref="T398:W398"/>
    <mergeCell ref="X398:AA398"/>
    <mergeCell ref="AB398:AD398"/>
    <mergeCell ref="N399:S399"/>
    <mergeCell ref="T399:W399"/>
    <mergeCell ref="X399:AA399"/>
    <mergeCell ref="AB399:AD399"/>
    <mergeCell ref="N400:S400"/>
    <mergeCell ref="T400:W400"/>
    <mergeCell ref="X400:AA400"/>
    <mergeCell ref="AB400:AD400"/>
    <mergeCell ref="N401:S401"/>
    <mergeCell ref="T401:W401"/>
    <mergeCell ref="X401:AA401"/>
    <mergeCell ref="AB401:AD401"/>
    <mergeCell ref="N402:S402"/>
    <mergeCell ref="T402:W402"/>
    <mergeCell ref="X402:AA402"/>
    <mergeCell ref="AB402:AD402"/>
    <mergeCell ref="N403:S403"/>
    <mergeCell ref="T403:W403"/>
    <mergeCell ref="X403:AA403"/>
    <mergeCell ref="AB403:AD403"/>
    <mergeCell ref="N404:S404"/>
    <mergeCell ref="T404:W404"/>
    <mergeCell ref="X404:AA404"/>
    <mergeCell ref="AB404:AD404"/>
    <mergeCell ref="N405:S405"/>
    <mergeCell ref="T405:W405"/>
    <mergeCell ref="X405:AA405"/>
    <mergeCell ref="AB405:AD405"/>
    <mergeCell ref="N406:S406"/>
    <mergeCell ref="T406:W406"/>
    <mergeCell ref="X406:AA406"/>
    <mergeCell ref="AB406:AD406"/>
    <mergeCell ref="N407:S407"/>
    <mergeCell ref="T407:W407"/>
    <mergeCell ref="X407:AA407"/>
    <mergeCell ref="AB407:AD407"/>
    <mergeCell ref="N408:S408"/>
    <mergeCell ref="T408:W408"/>
    <mergeCell ref="X408:AA408"/>
    <mergeCell ref="AB408:AD408"/>
    <mergeCell ref="N409:S409"/>
    <mergeCell ref="T409:W409"/>
    <mergeCell ref="X409:AA409"/>
    <mergeCell ref="AB409:AD409"/>
    <mergeCell ref="N410:S410"/>
    <mergeCell ref="T410:W410"/>
    <mergeCell ref="X410:AA410"/>
    <mergeCell ref="AB410:AD410"/>
    <mergeCell ref="N411:S411"/>
    <mergeCell ref="T411:W411"/>
    <mergeCell ref="X411:AA411"/>
    <mergeCell ref="AB411:AD411"/>
    <mergeCell ref="N412:S412"/>
    <mergeCell ref="T412:W412"/>
    <mergeCell ref="X412:AA412"/>
    <mergeCell ref="AB412:AD412"/>
    <mergeCell ref="N413:S413"/>
    <mergeCell ref="T413:W413"/>
    <mergeCell ref="X413:AA413"/>
    <mergeCell ref="AB413:AD413"/>
    <mergeCell ref="N414:S414"/>
    <mergeCell ref="T414:W414"/>
    <mergeCell ref="X414:AA414"/>
    <mergeCell ref="AB414:AD414"/>
    <mergeCell ref="N415:S415"/>
    <mergeCell ref="T415:W415"/>
    <mergeCell ref="X415:AA415"/>
    <mergeCell ref="AB415:AD415"/>
    <mergeCell ref="N416:S416"/>
    <mergeCell ref="T416:W416"/>
    <mergeCell ref="X416:AA416"/>
    <mergeCell ref="AB416:AD416"/>
    <mergeCell ref="N417:S417"/>
    <mergeCell ref="T417:W417"/>
    <mergeCell ref="X417:AA417"/>
    <mergeCell ref="AB417:AD417"/>
    <mergeCell ref="N418:S418"/>
    <mergeCell ref="T418:W418"/>
    <mergeCell ref="X418:AA418"/>
    <mergeCell ref="AB418:AD418"/>
    <mergeCell ref="N419:S419"/>
    <mergeCell ref="T419:W419"/>
    <mergeCell ref="X419:AA419"/>
    <mergeCell ref="AB419:AD419"/>
    <mergeCell ref="N420:S420"/>
    <mergeCell ref="T420:W420"/>
    <mergeCell ref="X420:AA420"/>
    <mergeCell ref="AB420:AD420"/>
    <mergeCell ref="N421:S421"/>
    <mergeCell ref="T421:W421"/>
    <mergeCell ref="X421:AA421"/>
    <mergeCell ref="AB421:AD421"/>
    <mergeCell ref="N422:S422"/>
    <mergeCell ref="T422:W422"/>
    <mergeCell ref="X422:AA422"/>
    <mergeCell ref="AB422:AD422"/>
    <mergeCell ref="N423:S423"/>
    <mergeCell ref="T423:W423"/>
    <mergeCell ref="X423:AA423"/>
    <mergeCell ref="AB423:AD423"/>
    <mergeCell ref="N424:S424"/>
    <mergeCell ref="T424:W424"/>
    <mergeCell ref="X424:AA424"/>
    <mergeCell ref="AB424:AD424"/>
    <mergeCell ref="N425:S425"/>
    <mergeCell ref="T425:W425"/>
    <mergeCell ref="X425:AA425"/>
    <mergeCell ref="AB425:AD425"/>
    <mergeCell ref="N426:S426"/>
    <mergeCell ref="T426:W426"/>
    <mergeCell ref="X426:AA426"/>
    <mergeCell ref="AB426:AD426"/>
    <mergeCell ref="N427:S427"/>
    <mergeCell ref="T427:W427"/>
    <mergeCell ref="X427:AA427"/>
    <mergeCell ref="AB427:AD427"/>
    <mergeCell ref="N428:S428"/>
    <mergeCell ref="T428:W428"/>
    <mergeCell ref="X428:AA428"/>
    <mergeCell ref="AB428:AD428"/>
    <mergeCell ref="N429:S429"/>
    <mergeCell ref="T429:W429"/>
    <mergeCell ref="X429:AA429"/>
    <mergeCell ref="AB429:AD429"/>
    <mergeCell ref="N430:S430"/>
    <mergeCell ref="T430:W430"/>
    <mergeCell ref="X430:AA430"/>
    <mergeCell ref="AB430:AD430"/>
    <mergeCell ref="N431:S431"/>
    <mergeCell ref="T431:W431"/>
    <mergeCell ref="X431:AA431"/>
    <mergeCell ref="AB431:AD431"/>
    <mergeCell ref="N432:S432"/>
    <mergeCell ref="T432:W432"/>
    <mergeCell ref="X432:AA432"/>
    <mergeCell ref="AB432:AD432"/>
    <mergeCell ref="N434:S434"/>
    <mergeCell ref="T434:W434"/>
    <mergeCell ref="X434:AA434"/>
    <mergeCell ref="AB434:AD434"/>
    <mergeCell ref="AB435:AD435"/>
    <mergeCell ref="G436:M436"/>
    <mergeCell ref="N436:Q436"/>
    <mergeCell ref="R436:U436"/>
    <mergeCell ref="V436:Y436"/>
    <mergeCell ref="A438:B438"/>
    <mergeCell ref="C438:L438"/>
    <mergeCell ref="M438:Q438"/>
    <mergeCell ref="R438:AF438"/>
    <mergeCell ref="B441:D441"/>
    <mergeCell ref="E441:O441"/>
    <mergeCell ref="B442:D443"/>
    <mergeCell ref="E442:M443"/>
    <mergeCell ref="N442:S443"/>
    <mergeCell ref="T442:W443"/>
    <mergeCell ref="X442:AA443"/>
    <mergeCell ref="AB442:AD443"/>
    <mergeCell ref="N444:S444"/>
    <mergeCell ref="T444:W444"/>
    <mergeCell ref="X444:AA444"/>
    <mergeCell ref="AB444:AD444"/>
    <mergeCell ref="N445:S445"/>
    <mergeCell ref="T445:W445"/>
    <mergeCell ref="X445:AA445"/>
    <mergeCell ref="AB445:AD445"/>
    <mergeCell ref="N446:S446"/>
    <mergeCell ref="T446:W446"/>
    <mergeCell ref="X446:AA446"/>
    <mergeCell ref="AB446:AD446"/>
    <mergeCell ref="N447:S447"/>
    <mergeCell ref="T447:W447"/>
    <mergeCell ref="X447:AA447"/>
    <mergeCell ref="AB447:AD447"/>
    <mergeCell ref="N448:S448"/>
    <mergeCell ref="T448:W448"/>
    <mergeCell ref="X448:AA448"/>
    <mergeCell ref="AB448:AD448"/>
    <mergeCell ref="N449:S449"/>
    <mergeCell ref="T449:W449"/>
    <mergeCell ref="X449:AA449"/>
    <mergeCell ref="AB449:AD449"/>
    <mergeCell ref="N450:S450"/>
    <mergeCell ref="T450:W450"/>
    <mergeCell ref="X450:AA450"/>
    <mergeCell ref="AB450:AD450"/>
    <mergeCell ref="N451:S451"/>
    <mergeCell ref="T451:W451"/>
    <mergeCell ref="X451:AA451"/>
    <mergeCell ref="AB451:AD451"/>
    <mergeCell ref="N452:S452"/>
    <mergeCell ref="T452:W452"/>
    <mergeCell ref="X452:AA452"/>
    <mergeCell ref="AB452:AD452"/>
    <mergeCell ref="N453:S453"/>
    <mergeCell ref="T453:W453"/>
    <mergeCell ref="X453:AA453"/>
    <mergeCell ref="AB453:AD453"/>
    <mergeCell ref="N454:S454"/>
    <mergeCell ref="T454:W454"/>
    <mergeCell ref="X454:AA454"/>
    <mergeCell ref="AB454:AD454"/>
    <mergeCell ref="N455:S455"/>
    <mergeCell ref="T455:W455"/>
    <mergeCell ref="X455:AA455"/>
    <mergeCell ref="AB455:AD455"/>
    <mergeCell ref="N456:S456"/>
    <mergeCell ref="T456:W456"/>
    <mergeCell ref="X456:AA456"/>
    <mergeCell ref="AB456:AD456"/>
    <mergeCell ref="N457:S457"/>
    <mergeCell ref="T457:W457"/>
    <mergeCell ref="X457:AA457"/>
    <mergeCell ref="AB457:AD457"/>
    <mergeCell ref="N458:S458"/>
    <mergeCell ref="T458:W458"/>
    <mergeCell ref="X458:AA458"/>
    <mergeCell ref="AB458:AD458"/>
    <mergeCell ref="N459:S459"/>
    <mergeCell ref="T459:W459"/>
    <mergeCell ref="X459:AA459"/>
    <mergeCell ref="AB459:AD459"/>
    <mergeCell ref="N460:S460"/>
    <mergeCell ref="T460:W460"/>
    <mergeCell ref="X460:AA460"/>
    <mergeCell ref="AB460:AD460"/>
    <mergeCell ref="N461:S461"/>
    <mergeCell ref="T461:W461"/>
    <mergeCell ref="X461:AA461"/>
    <mergeCell ref="AB461:AD461"/>
    <mergeCell ref="N462:S462"/>
    <mergeCell ref="T462:W462"/>
    <mergeCell ref="X462:AA462"/>
    <mergeCell ref="AB462:AD462"/>
    <mergeCell ref="N463:S463"/>
    <mergeCell ref="T463:W463"/>
    <mergeCell ref="X463:AA463"/>
    <mergeCell ref="AB463:AD463"/>
    <mergeCell ref="N464:S464"/>
    <mergeCell ref="T464:W464"/>
    <mergeCell ref="X464:AA464"/>
    <mergeCell ref="AB464:AD464"/>
    <mergeCell ref="N465:S465"/>
    <mergeCell ref="T465:W465"/>
    <mergeCell ref="X465:AA465"/>
    <mergeCell ref="AB465:AD465"/>
    <mergeCell ref="N466:S466"/>
    <mergeCell ref="T466:W466"/>
    <mergeCell ref="X466:AA466"/>
    <mergeCell ref="AB466:AD466"/>
    <mergeCell ref="N467:S467"/>
    <mergeCell ref="T467:W467"/>
    <mergeCell ref="X467:AA467"/>
    <mergeCell ref="AB467:AD467"/>
    <mergeCell ref="N468:S468"/>
    <mergeCell ref="T468:W468"/>
    <mergeCell ref="X468:AA468"/>
    <mergeCell ref="AB468:AD468"/>
    <mergeCell ref="N469:S469"/>
    <mergeCell ref="T469:W469"/>
    <mergeCell ref="X469:AA469"/>
    <mergeCell ref="AB469:AD469"/>
    <mergeCell ref="N470:S470"/>
    <mergeCell ref="T470:W470"/>
    <mergeCell ref="X470:AA470"/>
    <mergeCell ref="AB470:AD470"/>
    <mergeCell ref="N471:S471"/>
    <mergeCell ref="T471:W471"/>
    <mergeCell ref="X471:AA471"/>
    <mergeCell ref="AB471:AD471"/>
    <mergeCell ref="N472:S472"/>
    <mergeCell ref="T472:W472"/>
    <mergeCell ref="X472:AA472"/>
    <mergeCell ref="AB472:AD472"/>
    <mergeCell ref="N473:S473"/>
    <mergeCell ref="T473:W473"/>
    <mergeCell ref="X473:AA473"/>
    <mergeCell ref="AB473:AD473"/>
    <mergeCell ref="N474:S474"/>
    <mergeCell ref="T474:W474"/>
    <mergeCell ref="X474:AA474"/>
    <mergeCell ref="AB474:AD474"/>
    <mergeCell ref="N475:S475"/>
    <mergeCell ref="T475:W475"/>
    <mergeCell ref="X475:AA475"/>
    <mergeCell ref="AB475:AD475"/>
    <mergeCell ref="N476:S476"/>
    <mergeCell ref="T476:W476"/>
    <mergeCell ref="X476:AA476"/>
    <mergeCell ref="AB476:AD476"/>
    <mergeCell ref="N477:S477"/>
    <mergeCell ref="T477:W477"/>
    <mergeCell ref="X477:AA477"/>
    <mergeCell ref="AB477:AD477"/>
    <mergeCell ref="N478:S478"/>
    <mergeCell ref="T478:W478"/>
    <mergeCell ref="X478:AA478"/>
    <mergeCell ref="AB478:AD478"/>
    <mergeCell ref="N479:S479"/>
    <mergeCell ref="T479:W479"/>
    <mergeCell ref="X479:AA479"/>
    <mergeCell ref="AB479:AD479"/>
    <mergeCell ref="N480:S480"/>
    <mergeCell ref="T480:W480"/>
    <mergeCell ref="X480:AA480"/>
    <mergeCell ref="AB480:AD480"/>
    <mergeCell ref="Z481:AD481"/>
    <mergeCell ref="A483:B483"/>
    <mergeCell ref="C483:L483"/>
    <mergeCell ref="M483:Q483"/>
    <mergeCell ref="R483:AF483"/>
    <mergeCell ref="N486:S486"/>
    <mergeCell ref="T486:W486"/>
    <mergeCell ref="X486:AA486"/>
    <mergeCell ref="AB486:AD486"/>
    <mergeCell ref="N487:S487"/>
    <mergeCell ref="T487:W487"/>
    <mergeCell ref="X487:AA487"/>
    <mergeCell ref="AB487:AD487"/>
    <mergeCell ref="N488:S488"/>
    <mergeCell ref="T488:W488"/>
    <mergeCell ref="X488:AA488"/>
    <mergeCell ref="AB488:AD488"/>
    <mergeCell ref="N489:S489"/>
    <mergeCell ref="T489:W489"/>
    <mergeCell ref="X489:AA489"/>
    <mergeCell ref="AB489:AD489"/>
    <mergeCell ref="N490:S490"/>
    <mergeCell ref="T490:W490"/>
    <mergeCell ref="X490:AA490"/>
    <mergeCell ref="AB490:AD490"/>
    <mergeCell ref="N491:S491"/>
    <mergeCell ref="T491:W491"/>
    <mergeCell ref="X491:AA491"/>
    <mergeCell ref="AB491:AD491"/>
    <mergeCell ref="N492:S492"/>
    <mergeCell ref="T492:W492"/>
    <mergeCell ref="X492:AA492"/>
    <mergeCell ref="AB492:AD492"/>
    <mergeCell ref="N493:S493"/>
    <mergeCell ref="T493:W493"/>
    <mergeCell ref="X493:AA493"/>
    <mergeCell ref="AB493:AD493"/>
    <mergeCell ref="N494:S494"/>
    <mergeCell ref="T494:W494"/>
    <mergeCell ref="X494:AA494"/>
    <mergeCell ref="AB494:AD494"/>
    <mergeCell ref="N495:S495"/>
    <mergeCell ref="T495:W495"/>
    <mergeCell ref="X495:AA495"/>
    <mergeCell ref="AB495:AD495"/>
    <mergeCell ref="N496:S496"/>
    <mergeCell ref="T496:W496"/>
    <mergeCell ref="X496:AA496"/>
    <mergeCell ref="AB496:AD496"/>
    <mergeCell ref="N497:S497"/>
    <mergeCell ref="T497:W497"/>
    <mergeCell ref="X497:AA497"/>
    <mergeCell ref="AB497:AD497"/>
    <mergeCell ref="N498:S498"/>
    <mergeCell ref="T498:W498"/>
    <mergeCell ref="X498:AA498"/>
    <mergeCell ref="AB498:AD498"/>
    <mergeCell ref="N499:S499"/>
    <mergeCell ref="T499:W499"/>
    <mergeCell ref="X499:AA499"/>
    <mergeCell ref="AB499:AD499"/>
    <mergeCell ref="N500:S500"/>
    <mergeCell ref="T500:W500"/>
    <mergeCell ref="X500:AA500"/>
    <mergeCell ref="AB500:AD500"/>
    <mergeCell ref="N501:S501"/>
    <mergeCell ref="T501:W501"/>
    <mergeCell ref="X501:AA501"/>
    <mergeCell ref="AB501:AD501"/>
    <mergeCell ref="N502:S502"/>
    <mergeCell ref="T502:W502"/>
    <mergeCell ref="X502:AA502"/>
    <mergeCell ref="AB502:AD502"/>
    <mergeCell ref="N503:S503"/>
    <mergeCell ref="T503:W503"/>
    <mergeCell ref="X503:AA503"/>
    <mergeCell ref="AB503:AD503"/>
    <mergeCell ref="N504:S504"/>
    <mergeCell ref="T504:W504"/>
    <mergeCell ref="X504:AA504"/>
    <mergeCell ref="AB504:AD504"/>
    <mergeCell ref="N505:S505"/>
    <mergeCell ref="T505:W505"/>
    <mergeCell ref="X505:AA505"/>
    <mergeCell ref="AB505:AD505"/>
    <mergeCell ref="N506:S506"/>
    <mergeCell ref="T506:W506"/>
    <mergeCell ref="X506:AA506"/>
    <mergeCell ref="AB506:AD506"/>
    <mergeCell ref="N507:S507"/>
    <mergeCell ref="T507:W507"/>
    <mergeCell ref="X507:AA507"/>
    <mergeCell ref="AB507:AD507"/>
    <mergeCell ref="N508:S508"/>
    <mergeCell ref="T508:W508"/>
    <mergeCell ref="X508:AA508"/>
    <mergeCell ref="AB508:AD508"/>
    <mergeCell ref="N509:S509"/>
    <mergeCell ref="T509:W509"/>
    <mergeCell ref="X509:AA509"/>
    <mergeCell ref="AB509:AD509"/>
    <mergeCell ref="N510:S510"/>
    <mergeCell ref="T510:W510"/>
    <mergeCell ref="X510:AA510"/>
    <mergeCell ref="AB510:AD510"/>
    <mergeCell ref="N511:S511"/>
    <mergeCell ref="T511:W511"/>
    <mergeCell ref="X511:AA511"/>
    <mergeCell ref="AB511:AD511"/>
    <mergeCell ref="N512:S512"/>
    <mergeCell ref="T512:W512"/>
    <mergeCell ref="X512:AA512"/>
    <mergeCell ref="AB512:AD512"/>
    <mergeCell ref="N513:S513"/>
    <mergeCell ref="T513:W513"/>
    <mergeCell ref="X513:AA513"/>
    <mergeCell ref="AB513:AD513"/>
    <mergeCell ref="N514:S514"/>
    <mergeCell ref="T514:W514"/>
    <mergeCell ref="X514:AA514"/>
    <mergeCell ref="AB514:AD514"/>
    <mergeCell ref="N515:S515"/>
    <mergeCell ref="T515:W515"/>
    <mergeCell ref="X515:AA515"/>
    <mergeCell ref="AB515:AD515"/>
    <mergeCell ref="N516:S516"/>
    <mergeCell ref="T516:W516"/>
    <mergeCell ref="X516:AA516"/>
    <mergeCell ref="AB516:AD516"/>
    <mergeCell ref="N517:S517"/>
    <mergeCell ref="T517:W517"/>
    <mergeCell ref="X517:AA517"/>
    <mergeCell ref="AB517:AD517"/>
    <mergeCell ref="N518:S518"/>
    <mergeCell ref="T518:W518"/>
    <mergeCell ref="X518:AA518"/>
    <mergeCell ref="AB518:AD518"/>
    <mergeCell ref="N519:S519"/>
    <mergeCell ref="T519:W519"/>
    <mergeCell ref="X519:AA519"/>
    <mergeCell ref="AB519:AD519"/>
    <mergeCell ref="N520:S520"/>
    <mergeCell ref="T520:W520"/>
    <mergeCell ref="X520:AA520"/>
    <mergeCell ref="AB520:AD520"/>
    <mergeCell ref="N521:S521"/>
    <mergeCell ref="T521:W521"/>
    <mergeCell ref="X521:AA521"/>
    <mergeCell ref="AB521:AD521"/>
    <mergeCell ref="N522:S522"/>
    <mergeCell ref="T522:W522"/>
    <mergeCell ref="X522:AA522"/>
    <mergeCell ref="AB522:AD522"/>
    <mergeCell ref="Z523:AD523"/>
    <mergeCell ref="G524:M524"/>
    <mergeCell ref="N524:Q524"/>
    <mergeCell ref="R524:U524"/>
    <mergeCell ref="V524:Y524"/>
    <mergeCell ref="A526:B526"/>
    <mergeCell ref="C526:L526"/>
    <mergeCell ref="M526:Q526"/>
    <mergeCell ref="R526:AF526"/>
    <mergeCell ref="N529:S529"/>
    <mergeCell ref="T529:W529"/>
    <mergeCell ref="X529:AA529"/>
    <mergeCell ref="AB529:AD529"/>
    <mergeCell ref="N530:S530"/>
    <mergeCell ref="T530:W530"/>
    <mergeCell ref="X530:AA530"/>
    <mergeCell ref="AB530:AD530"/>
    <mergeCell ref="N531:S531"/>
    <mergeCell ref="T531:W531"/>
    <mergeCell ref="X531:AA531"/>
    <mergeCell ref="AB531:AD531"/>
    <mergeCell ref="N532:S532"/>
    <mergeCell ref="T532:W532"/>
    <mergeCell ref="X532:AA532"/>
    <mergeCell ref="AB532:AD532"/>
    <mergeCell ref="N533:S533"/>
    <mergeCell ref="T533:W533"/>
    <mergeCell ref="X533:AA533"/>
    <mergeCell ref="AB533:AD533"/>
    <mergeCell ref="N534:S534"/>
    <mergeCell ref="T534:W534"/>
    <mergeCell ref="X534:AA534"/>
    <mergeCell ref="AB534:AD534"/>
    <mergeCell ref="N535:S535"/>
    <mergeCell ref="T535:W535"/>
    <mergeCell ref="X535:AA535"/>
    <mergeCell ref="AB535:AD535"/>
    <mergeCell ref="N536:S536"/>
    <mergeCell ref="T536:W536"/>
    <mergeCell ref="X536:AA536"/>
    <mergeCell ref="AB536:AD536"/>
    <mergeCell ref="N537:S537"/>
    <mergeCell ref="T537:W537"/>
    <mergeCell ref="X537:AA537"/>
    <mergeCell ref="AB537:AD537"/>
    <mergeCell ref="N538:S538"/>
    <mergeCell ref="T538:W538"/>
    <mergeCell ref="X538:AA538"/>
    <mergeCell ref="AB538:AD538"/>
    <mergeCell ref="N539:S539"/>
    <mergeCell ref="T539:W539"/>
    <mergeCell ref="X539:AA539"/>
    <mergeCell ref="AB539:AD539"/>
    <mergeCell ref="N540:S540"/>
    <mergeCell ref="T540:W540"/>
    <mergeCell ref="X540:AA540"/>
    <mergeCell ref="AB540:AD540"/>
    <mergeCell ref="N541:S541"/>
    <mergeCell ref="T541:W541"/>
    <mergeCell ref="X541:AA541"/>
    <mergeCell ref="AB541:AD541"/>
    <mergeCell ref="N542:S542"/>
    <mergeCell ref="T542:W542"/>
    <mergeCell ref="X542:AA542"/>
    <mergeCell ref="AB542:AD542"/>
    <mergeCell ref="N543:S543"/>
    <mergeCell ref="T543:W543"/>
    <mergeCell ref="X543:AA543"/>
    <mergeCell ref="AB543:AD543"/>
    <mergeCell ref="N544:S544"/>
    <mergeCell ref="T544:W544"/>
    <mergeCell ref="X544:AA544"/>
    <mergeCell ref="AB544:AD544"/>
    <mergeCell ref="N545:S545"/>
    <mergeCell ref="T545:W545"/>
    <mergeCell ref="X545:AA545"/>
    <mergeCell ref="AB545:AD545"/>
    <mergeCell ref="N546:S546"/>
    <mergeCell ref="T546:W546"/>
    <mergeCell ref="X546:AA546"/>
    <mergeCell ref="AB546:AD546"/>
    <mergeCell ref="N547:S547"/>
    <mergeCell ref="T547:W547"/>
    <mergeCell ref="X547:AA547"/>
    <mergeCell ref="AB547:AD547"/>
    <mergeCell ref="N548:S548"/>
    <mergeCell ref="T548:W548"/>
    <mergeCell ref="X548:AA548"/>
    <mergeCell ref="AB548:AD548"/>
    <mergeCell ref="N549:S549"/>
    <mergeCell ref="T549:W549"/>
    <mergeCell ref="X549:AA549"/>
    <mergeCell ref="AB549:AD549"/>
    <mergeCell ref="N550:S550"/>
    <mergeCell ref="T550:W550"/>
    <mergeCell ref="X550:AA550"/>
    <mergeCell ref="AB550:AD550"/>
    <mergeCell ref="N551:S551"/>
    <mergeCell ref="T551:W551"/>
    <mergeCell ref="X551:AA551"/>
    <mergeCell ref="AB551:AD551"/>
    <mergeCell ref="N552:S552"/>
    <mergeCell ref="T552:W552"/>
    <mergeCell ref="X552:AA552"/>
    <mergeCell ref="AB552:AD552"/>
    <mergeCell ref="N553:S553"/>
    <mergeCell ref="T553:W553"/>
    <mergeCell ref="X553:AA553"/>
    <mergeCell ref="AB553:AD553"/>
    <mergeCell ref="N554:S554"/>
    <mergeCell ref="T554:W554"/>
    <mergeCell ref="X554:AA554"/>
    <mergeCell ref="AB554:AD554"/>
    <mergeCell ref="N555:S555"/>
    <mergeCell ref="T555:W555"/>
    <mergeCell ref="X555:AA555"/>
    <mergeCell ref="AB555:AD555"/>
    <mergeCell ref="N556:S556"/>
    <mergeCell ref="T556:W556"/>
    <mergeCell ref="X556:AA556"/>
    <mergeCell ref="AB556:AD556"/>
    <mergeCell ref="N557:S557"/>
    <mergeCell ref="T557:W557"/>
    <mergeCell ref="X557:AA557"/>
    <mergeCell ref="AB557:AD557"/>
    <mergeCell ref="N558:S558"/>
    <mergeCell ref="T558:W558"/>
    <mergeCell ref="X558:AA558"/>
    <mergeCell ref="AB558:AD558"/>
    <mergeCell ref="N559:S559"/>
    <mergeCell ref="T559:W559"/>
    <mergeCell ref="X559:AA559"/>
    <mergeCell ref="AB559:AD559"/>
    <mergeCell ref="N560:S560"/>
    <mergeCell ref="T560:W560"/>
    <mergeCell ref="X560:AA560"/>
    <mergeCell ref="AB560:AD560"/>
    <mergeCell ref="N561:S561"/>
    <mergeCell ref="T561:W561"/>
    <mergeCell ref="X561:AA561"/>
    <mergeCell ref="AB561:AD561"/>
    <mergeCell ref="N562:S562"/>
    <mergeCell ref="T562:W562"/>
    <mergeCell ref="X562:AA562"/>
    <mergeCell ref="AB562:AD562"/>
    <mergeCell ref="N563:S563"/>
    <mergeCell ref="T563:W563"/>
    <mergeCell ref="X563:AA563"/>
    <mergeCell ref="AB563:AD563"/>
    <mergeCell ref="N565:S565"/>
    <mergeCell ref="T565:W565"/>
    <mergeCell ref="X565:AA565"/>
    <mergeCell ref="AB565:AD565"/>
    <mergeCell ref="AB566:AD566"/>
    <mergeCell ref="G567:M567"/>
    <mergeCell ref="N567:Q567"/>
    <mergeCell ref="R567:U567"/>
    <mergeCell ref="V567:Y567"/>
  </mergeCells>
  <conditionalFormatting sqref="N566:S567">
    <cfRule type="cellIs" priority="2" operator="equal" aboveAverage="0" equalAverage="0" bottom="0" percent="0" rank="0" text="" dxfId="24">
      <formula>0</formula>
    </cfRule>
  </conditionalFormatting>
  <conditionalFormatting sqref="N523:S524">
    <cfRule type="cellIs" priority="3" operator="equal" aboveAverage="0" equalAverage="0" bottom="0" percent="0" rank="0" text="" dxfId="24">
      <formula>0</formula>
    </cfRule>
  </conditionalFormatting>
  <conditionalFormatting sqref="N435:S436">
    <cfRule type="cellIs" priority="4" operator="equal" aboveAverage="0" equalAverage="0" bottom="0" percent="0" rank="0" text="" dxfId="24">
      <formula>0</formula>
    </cfRule>
  </conditionalFormatting>
  <conditionalFormatting sqref="N392:S393">
    <cfRule type="cellIs" priority="5" operator="equal" aboveAverage="0" equalAverage="0" bottom="0" percent="0" rank="0" text="" dxfId="24">
      <formula>0</formula>
    </cfRule>
  </conditionalFormatting>
  <conditionalFormatting sqref="N304:S305">
    <cfRule type="cellIs" priority="6" operator="equal" aboveAverage="0" equalAverage="0" bottom="0" percent="0" rank="0" text="" dxfId="24">
      <formula>0</formula>
    </cfRule>
  </conditionalFormatting>
  <conditionalFormatting sqref="N261:S262">
    <cfRule type="cellIs" priority="7" operator="equal" aboveAverage="0" equalAverage="0" bottom="0" percent="0" rank="0" text="" dxfId="24">
      <formula>0</formula>
    </cfRule>
  </conditionalFormatting>
  <conditionalFormatting sqref="N173:S174">
    <cfRule type="cellIs" priority="8" operator="equal" aboveAverage="0" equalAverage="0" bottom="0" percent="0" rank="0" text="" dxfId="24">
      <formula>0</formula>
    </cfRule>
  </conditionalFormatting>
  <conditionalFormatting sqref="B24:Q24">
    <cfRule type="cellIs" priority="9" operator="equal" aboveAverage="0" equalAverage="0" bottom="0" percent="0" rank="0" text="" dxfId="24">
      <formula>0</formula>
    </cfRule>
  </conditionalFormatting>
  <conditionalFormatting sqref="M28:P34">
    <cfRule type="cellIs" priority="10" operator="equal" aboveAverage="0" equalAverage="0" bottom="0" percent="0" rank="0" text="" dxfId="24">
      <formula>0</formula>
    </cfRule>
  </conditionalFormatting>
  <conditionalFormatting sqref="N130:S131">
    <cfRule type="cellIs" priority="11" operator="equal" aboveAverage="0" equalAverage="0" bottom="0" percent="0" rank="0" text="" dxfId="24">
      <formula>0</formula>
    </cfRule>
  </conditionalFormatting>
  <printOptions headings="false" gridLines="false" gridLinesSet="true" horizontalCentered="false" verticalCentered="false"/>
  <pageMargins left="0.75" right="0.5" top="0.75" bottom="0.5" header="0" footer="0.3"/>
  <pageSetup paperSize="1" scale="96" fitToWidth="1" fitToHeight="1" pageOrder="downThenOver" orientation="portrait"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rowBreaks count="12" manualBreakCount="12">
    <brk id="44" man="true" max="16383" min="0"/>
    <brk id="89" man="true" max="16383" min="0"/>
    <brk id="132" man="true" max="16383" min="0"/>
    <brk id="175" man="true" max="16383" min="0"/>
    <brk id="220" man="true" max="16383" min="0"/>
    <brk id="263" man="true" max="16383" min="0"/>
    <brk id="306" man="true" max="16383" min="0"/>
    <brk id="351" man="true" max="16383" min="0"/>
    <brk id="394" man="true" max="16383" min="0"/>
    <brk id="437" man="true" max="16383" min="0"/>
    <brk id="482" man="true" max="16383" min="0"/>
    <brk id="525"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F96"/>
  <sheetViews>
    <sheetView showFormulas="false" showGridLines="false" showRowColHeaders="true" showZeros="true" rightToLeft="false" tabSelected="false" showOutlineSymbols="true" defaultGridColor="true" view="pageBreakPreview" topLeftCell="A1" colorId="64" zoomScale="80" zoomScaleNormal="100" zoomScalePageLayoutView="80" workbookViewId="0">
      <selection pane="topLeft" activeCell="B21" activeCellId="0" sqref="B21"/>
    </sheetView>
  </sheetViews>
  <sheetFormatPr defaultColWidth="2.859375" defaultRowHeight="15.75" zeroHeight="false" outlineLevelRow="0" outlineLevelCol="0"/>
  <cols>
    <col collapsed="false" customWidth="false" hidden="false" outlineLevel="0" max="12" min="1" style="810" width="2.86"/>
    <col collapsed="false" customWidth="true" hidden="false" outlineLevel="0" max="15" min="13" style="810" width="4.57"/>
    <col collapsed="false" customWidth="false" hidden="false" outlineLevel="0" max="16384" min="16" style="810" width="2.86"/>
  </cols>
  <sheetData>
    <row r="1" customFormat="false" ht="15.75" hidden="false" customHeight="true" outlineLevel="0" collapsed="false">
      <c r="A1" s="256" t="s">
        <v>1519</v>
      </c>
      <c r="B1" s="256"/>
      <c r="C1" s="256"/>
      <c r="D1" s="256"/>
      <c r="E1" s="256"/>
      <c r="F1" s="256"/>
      <c r="G1" s="256"/>
      <c r="H1" s="256"/>
      <c r="I1" s="256"/>
      <c r="J1" s="256"/>
      <c r="K1" s="256"/>
      <c r="L1" s="256"/>
      <c r="M1" s="256"/>
      <c r="N1" s="256"/>
      <c r="O1" s="256"/>
      <c r="P1" s="256"/>
      <c r="Q1" s="256"/>
      <c r="R1" s="256"/>
      <c r="S1" s="256"/>
      <c r="T1" s="256"/>
      <c r="U1" s="256"/>
      <c r="V1" s="256"/>
      <c r="W1" s="256"/>
      <c r="X1" s="256"/>
      <c r="Y1" s="256"/>
      <c r="Z1" s="256"/>
      <c r="AA1" s="256"/>
      <c r="AB1" s="256"/>
      <c r="AC1" s="256"/>
      <c r="AD1" s="256"/>
      <c r="AE1" s="256"/>
      <c r="AF1" s="256"/>
    </row>
    <row r="2" customFormat="false" ht="15.75" hidden="false" customHeight="true" outlineLevel="0" collapsed="false">
      <c r="A2" s="256"/>
      <c r="B2" s="256"/>
      <c r="C2" s="256"/>
      <c r="D2" s="256"/>
      <c r="E2" s="256"/>
      <c r="F2" s="256"/>
      <c r="G2" s="256"/>
      <c r="H2" s="256"/>
      <c r="I2" s="256"/>
      <c r="J2" s="256"/>
      <c r="K2" s="256"/>
      <c r="L2" s="256"/>
      <c r="M2" s="256"/>
      <c r="N2" s="256"/>
      <c r="O2" s="256"/>
      <c r="P2" s="256"/>
      <c r="Q2" s="256"/>
      <c r="R2" s="256"/>
      <c r="S2" s="256"/>
      <c r="T2" s="256"/>
      <c r="U2" s="256"/>
      <c r="V2" s="256"/>
      <c r="W2" s="256"/>
      <c r="X2" s="256"/>
      <c r="Y2" s="256"/>
      <c r="Z2" s="256"/>
      <c r="AA2" s="256"/>
      <c r="AB2" s="256"/>
      <c r="AC2" s="256"/>
      <c r="AD2" s="256"/>
      <c r="AE2" s="256"/>
      <c r="AF2" s="256"/>
    </row>
    <row r="3" s="258" customFormat="true" ht="15.75" hidden="false" customHeight="true" outlineLevel="0" collapsed="false">
      <c r="A3" s="6" t="s">
        <v>1</v>
      </c>
      <c r="B3" s="6"/>
      <c r="C3" s="6"/>
      <c r="D3" s="6"/>
      <c r="E3" s="6"/>
      <c r="F3" s="257" t="s">
        <v>1520</v>
      </c>
      <c r="G3" s="257"/>
      <c r="H3" s="257"/>
      <c r="I3" s="257"/>
      <c r="J3" s="257"/>
      <c r="K3" s="257"/>
      <c r="L3" s="257"/>
      <c r="M3" s="6" t="s">
        <v>3</v>
      </c>
      <c r="N3" s="6"/>
      <c r="O3" s="6"/>
      <c r="P3" s="6"/>
      <c r="Q3" s="6"/>
      <c r="R3" s="257" t="s">
        <v>2237</v>
      </c>
      <c r="S3" s="257"/>
      <c r="T3" s="257"/>
      <c r="U3" s="257"/>
      <c r="V3" s="257"/>
      <c r="W3" s="257"/>
      <c r="X3" s="257"/>
      <c r="Y3" s="1"/>
      <c r="Z3" s="1"/>
      <c r="AA3" s="1"/>
      <c r="AB3" s="1"/>
      <c r="AC3" s="1"/>
      <c r="AD3" s="1"/>
      <c r="AE3" s="7"/>
      <c r="AF3" s="7"/>
    </row>
    <row r="4" s="258" customFormat="true" ht="15.75" hidden="false" customHeight="true" outlineLevel="0" collapsed="false">
      <c r="A4" s="6" t="s">
        <v>5</v>
      </c>
      <c r="B4" s="6"/>
      <c r="C4" s="6"/>
      <c r="D4" s="6"/>
      <c r="E4" s="6"/>
      <c r="F4" s="257" t="s">
        <v>6</v>
      </c>
      <c r="G4" s="257"/>
      <c r="H4" s="257"/>
      <c r="I4" s="257"/>
      <c r="J4" s="257"/>
      <c r="K4" s="257"/>
      <c r="L4" s="257"/>
      <c r="M4" s="6" t="s">
        <v>7</v>
      </c>
      <c r="N4" s="6"/>
      <c r="O4" s="6"/>
      <c r="P4" s="6"/>
      <c r="Q4" s="6"/>
      <c r="R4" s="257" t="s">
        <v>8</v>
      </c>
      <c r="S4" s="257"/>
      <c r="T4" s="257"/>
      <c r="U4" s="257"/>
      <c r="V4" s="257"/>
      <c r="W4" s="257"/>
      <c r="X4" s="257"/>
      <c r="Y4" s="9"/>
      <c r="Z4" s="9"/>
      <c r="AA4" s="9"/>
      <c r="AB4" s="9"/>
      <c r="AC4" s="9"/>
      <c r="AD4" s="9"/>
      <c r="AE4" s="7"/>
      <c r="AF4" s="7"/>
    </row>
    <row r="5" customFormat="false" ht="15.75" hidden="false" customHeight="true" outlineLevel="0" collapsed="false">
      <c r="A5" s="259" t="s">
        <v>1522</v>
      </c>
      <c r="B5" s="259"/>
      <c r="C5" s="260" t="n">
        <v>21710</v>
      </c>
      <c r="D5" s="260"/>
      <c r="E5" s="260"/>
      <c r="F5" s="260"/>
      <c r="G5" s="260"/>
      <c r="H5" s="260"/>
      <c r="I5" s="260"/>
      <c r="J5" s="260"/>
      <c r="K5" s="260"/>
      <c r="L5" s="260"/>
      <c r="M5" s="259" t="s">
        <v>1523</v>
      </c>
      <c r="N5" s="259"/>
      <c r="O5" s="259"/>
      <c r="P5" s="259"/>
      <c r="Q5" s="259"/>
      <c r="R5" s="260" t="s">
        <v>2269</v>
      </c>
      <c r="S5" s="260"/>
      <c r="T5" s="260"/>
      <c r="U5" s="260"/>
      <c r="V5" s="260"/>
      <c r="W5" s="260"/>
      <c r="X5" s="260"/>
      <c r="Y5" s="260"/>
      <c r="Z5" s="260"/>
      <c r="AA5" s="260"/>
      <c r="AB5" s="260"/>
      <c r="AC5" s="260"/>
      <c r="AD5" s="260"/>
      <c r="AE5" s="260"/>
      <c r="AF5" s="260"/>
    </row>
    <row r="6" customFormat="false" ht="15.75" hidden="false" customHeight="true" outlineLevel="0" collapsed="false">
      <c r="A6" s="261" t="s">
        <v>1524</v>
      </c>
      <c r="B6" s="261"/>
      <c r="C6" s="261"/>
      <c r="D6" s="261"/>
      <c r="E6" s="261"/>
      <c r="F6" s="261"/>
      <c r="G6" s="261"/>
      <c r="H6" s="261"/>
      <c r="I6" s="261"/>
      <c r="J6" s="261"/>
      <c r="K6" s="261"/>
      <c r="L6" s="261"/>
      <c r="M6" s="261"/>
      <c r="N6" s="261"/>
      <c r="O6" s="261"/>
      <c r="P6" s="261"/>
      <c r="Q6" s="261"/>
      <c r="R6" s="261"/>
      <c r="S6" s="261"/>
      <c r="T6" s="261"/>
      <c r="U6" s="261"/>
      <c r="V6" s="261"/>
      <c r="W6" s="261"/>
      <c r="X6" s="261"/>
      <c r="Y6" s="261"/>
      <c r="Z6" s="261"/>
      <c r="AA6" s="261"/>
      <c r="AB6" s="261"/>
      <c r="AC6" s="261"/>
      <c r="AD6" s="261"/>
      <c r="AE6" s="261"/>
      <c r="AF6" s="261"/>
    </row>
    <row r="7" customFormat="false" ht="15.75" hidden="false" customHeight="true" outlineLevel="0" collapsed="false">
      <c r="A7" s="6" t="s">
        <v>1525</v>
      </c>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row>
    <row r="8" customFormat="false" ht="15.75" hidden="false" customHeight="true" outlineLevel="0" collapsed="false">
      <c r="A8" s="262"/>
      <c r="B8" s="409" t="s">
        <v>2270</v>
      </c>
      <c r="C8" s="409"/>
      <c r="D8" s="409"/>
      <c r="E8" s="409"/>
      <c r="F8" s="409"/>
      <c r="G8" s="409"/>
      <c r="H8" s="409"/>
      <c r="I8" s="409"/>
      <c r="J8" s="409"/>
      <c r="K8" s="409"/>
      <c r="L8" s="409"/>
      <c r="M8" s="409"/>
      <c r="N8" s="409"/>
      <c r="O8" s="409"/>
      <c r="P8" s="409"/>
      <c r="Q8" s="409"/>
      <c r="R8" s="409"/>
      <c r="S8" s="409"/>
      <c r="T8" s="409"/>
      <c r="U8" s="409"/>
      <c r="V8" s="409"/>
      <c r="W8" s="409"/>
      <c r="X8" s="409"/>
      <c r="Y8" s="409"/>
      <c r="Z8" s="409"/>
      <c r="AA8" s="409"/>
      <c r="AB8" s="409"/>
      <c r="AC8" s="409"/>
      <c r="AD8" s="409"/>
      <c r="AE8" s="409"/>
      <c r="AF8" s="409"/>
    </row>
    <row r="9" customFormat="false" ht="15.75" hidden="false" customHeight="true" outlineLevel="0" collapsed="false">
      <c r="A9" s="262"/>
      <c r="B9" s="262"/>
      <c r="C9" s="409"/>
      <c r="D9" s="409"/>
      <c r="E9" s="409"/>
      <c r="F9" s="409"/>
      <c r="G9" s="409"/>
      <c r="H9" s="409"/>
      <c r="I9" s="409"/>
      <c r="J9" s="409"/>
      <c r="K9" s="409"/>
      <c r="L9" s="409"/>
      <c r="M9" s="409"/>
      <c r="N9" s="409"/>
      <c r="O9" s="409"/>
      <c r="P9" s="409"/>
      <c r="Q9" s="409"/>
      <c r="R9" s="409"/>
      <c r="S9" s="409"/>
      <c r="T9" s="409"/>
      <c r="U9" s="409"/>
      <c r="V9" s="409"/>
      <c r="W9" s="409"/>
      <c r="X9" s="409"/>
      <c r="Y9" s="409"/>
      <c r="Z9" s="409"/>
      <c r="AA9" s="409"/>
      <c r="AB9" s="409"/>
      <c r="AC9" s="409"/>
      <c r="AD9" s="409"/>
      <c r="AE9" s="409"/>
      <c r="AF9" s="409"/>
    </row>
    <row r="10" customFormat="false" ht="15.75" hidden="false" customHeight="true" outlineLevel="0" collapsed="false">
      <c r="A10" s="262"/>
      <c r="B10" s="262"/>
      <c r="C10" s="409"/>
      <c r="D10" s="409"/>
      <c r="E10" s="409"/>
      <c r="F10" s="409"/>
      <c r="G10" s="409"/>
      <c r="H10" s="409"/>
      <c r="I10" s="409"/>
      <c r="J10" s="409"/>
      <c r="K10" s="409"/>
      <c r="L10" s="409"/>
      <c r="M10" s="409"/>
      <c r="N10" s="409"/>
      <c r="O10" s="409"/>
      <c r="P10" s="409"/>
      <c r="Q10" s="409"/>
      <c r="R10" s="409"/>
      <c r="S10" s="409"/>
      <c r="T10" s="409"/>
      <c r="U10" s="409"/>
      <c r="V10" s="409"/>
      <c r="W10" s="409"/>
      <c r="X10" s="409"/>
      <c r="Y10" s="409"/>
      <c r="Z10" s="409"/>
      <c r="AA10" s="409"/>
      <c r="AB10" s="409"/>
      <c r="AC10" s="409"/>
      <c r="AD10" s="409"/>
      <c r="AE10" s="409"/>
      <c r="AF10" s="409"/>
    </row>
    <row r="11" customFormat="false" ht="15.75" hidden="false" customHeight="true" outlineLevel="0" collapsed="false">
      <c r="A11" s="262"/>
      <c r="B11" s="262"/>
      <c r="C11" s="409"/>
      <c r="D11" s="409"/>
      <c r="E11" s="409"/>
      <c r="F11" s="409"/>
      <c r="G11" s="409"/>
      <c r="H11" s="409"/>
      <c r="I11" s="409"/>
      <c r="J11" s="409"/>
      <c r="K11" s="409"/>
      <c r="L11" s="409"/>
      <c r="M11" s="409"/>
      <c r="N11" s="409"/>
      <c r="O11" s="409"/>
      <c r="P11" s="409"/>
      <c r="Q11" s="409"/>
      <c r="R11" s="409"/>
      <c r="S11" s="409"/>
      <c r="T11" s="409"/>
      <c r="U11" s="409"/>
      <c r="V11" s="409"/>
      <c r="W11" s="409"/>
      <c r="X11" s="409"/>
      <c r="Y11" s="409"/>
      <c r="Z11" s="409"/>
      <c r="AA11" s="409"/>
      <c r="AB11" s="409"/>
      <c r="AC11" s="409"/>
      <c r="AD11" s="409"/>
      <c r="AE11" s="409"/>
      <c r="AF11" s="409"/>
    </row>
    <row r="12" customFormat="false" ht="15.75" hidden="false" customHeight="true" outlineLevel="0" collapsed="false">
      <c r="A12" s="262"/>
      <c r="B12" s="262"/>
      <c r="C12" s="409"/>
      <c r="D12" s="409"/>
      <c r="E12" s="409"/>
      <c r="F12" s="409"/>
      <c r="G12" s="409"/>
      <c r="H12" s="409"/>
      <c r="I12" s="409"/>
      <c r="J12" s="409"/>
      <c r="K12" s="409"/>
      <c r="L12" s="409"/>
      <c r="M12" s="409"/>
      <c r="N12" s="409"/>
      <c r="O12" s="409"/>
      <c r="P12" s="409"/>
      <c r="Q12" s="409"/>
      <c r="R12" s="409"/>
      <c r="S12" s="409"/>
      <c r="T12" s="409"/>
      <c r="U12" s="409"/>
      <c r="V12" s="409"/>
      <c r="W12" s="409"/>
      <c r="X12" s="409"/>
      <c r="Y12" s="409"/>
      <c r="Z12" s="409"/>
      <c r="AA12" s="409"/>
      <c r="AB12" s="409"/>
      <c r="AC12" s="409"/>
      <c r="AD12" s="409"/>
      <c r="AE12" s="409"/>
      <c r="AF12" s="409"/>
    </row>
    <row r="13" customFormat="false" ht="15.75" hidden="false" customHeight="true" outlineLevel="0" collapsed="false">
      <c r="A13" s="262"/>
      <c r="B13" s="262"/>
      <c r="C13" s="409"/>
      <c r="D13" s="409"/>
      <c r="E13" s="409"/>
      <c r="F13" s="409"/>
      <c r="G13" s="409"/>
      <c r="H13" s="409"/>
      <c r="I13" s="409"/>
      <c r="J13" s="409"/>
      <c r="K13" s="409"/>
      <c r="L13" s="409"/>
      <c r="M13" s="409"/>
      <c r="N13" s="409"/>
      <c r="O13" s="409"/>
      <c r="P13" s="409"/>
      <c r="Q13" s="409"/>
      <c r="R13" s="409"/>
      <c r="S13" s="409"/>
      <c r="T13" s="409"/>
      <c r="U13" s="409"/>
      <c r="V13" s="409"/>
      <c r="W13" s="409"/>
      <c r="X13" s="409"/>
      <c r="Y13" s="409"/>
      <c r="Z13" s="409"/>
      <c r="AA13" s="409"/>
      <c r="AB13" s="409"/>
      <c r="AC13" s="409"/>
      <c r="AD13" s="409"/>
      <c r="AE13" s="409"/>
      <c r="AF13" s="409"/>
    </row>
    <row r="14" customFormat="false" ht="15.75" hidden="false" customHeight="true" outlineLevel="0" collapsed="false">
      <c r="A14" s="262"/>
      <c r="B14" s="262"/>
      <c r="C14" s="409"/>
      <c r="D14" s="409"/>
      <c r="E14" s="409"/>
      <c r="F14" s="409"/>
      <c r="G14" s="409"/>
      <c r="H14" s="409"/>
      <c r="I14" s="409"/>
      <c r="J14" s="409"/>
      <c r="K14" s="409"/>
      <c r="L14" s="409"/>
      <c r="M14" s="409"/>
      <c r="N14" s="409"/>
      <c r="O14" s="409"/>
      <c r="P14" s="409"/>
      <c r="Q14" s="409"/>
      <c r="R14" s="409"/>
      <c r="S14" s="409"/>
      <c r="T14" s="409"/>
      <c r="U14" s="409"/>
      <c r="V14" s="409"/>
      <c r="W14" s="409"/>
      <c r="X14" s="409"/>
      <c r="Y14" s="409"/>
      <c r="Z14" s="409"/>
      <c r="AA14" s="409"/>
      <c r="AB14" s="409"/>
      <c r="AC14" s="409"/>
      <c r="AD14" s="409"/>
      <c r="AE14" s="409"/>
      <c r="AF14" s="409"/>
    </row>
    <row r="15" customFormat="false" ht="15.75" hidden="false" customHeight="true" outlineLevel="0" collapsed="false">
      <c r="A15" s="262"/>
      <c r="B15" s="262"/>
      <c r="C15" s="409"/>
      <c r="D15" s="409"/>
      <c r="E15" s="409"/>
      <c r="F15" s="409"/>
      <c r="G15" s="409"/>
      <c r="H15" s="409"/>
      <c r="I15" s="409"/>
      <c r="J15" s="409"/>
      <c r="K15" s="409"/>
      <c r="L15" s="409"/>
      <c r="M15" s="409"/>
      <c r="N15" s="409"/>
      <c r="O15" s="409"/>
      <c r="P15" s="409"/>
      <c r="Q15" s="409"/>
      <c r="R15" s="409"/>
      <c r="S15" s="409"/>
      <c r="T15" s="409"/>
      <c r="U15" s="409"/>
      <c r="V15" s="409"/>
      <c r="W15" s="409"/>
      <c r="X15" s="409"/>
      <c r="Y15" s="409"/>
      <c r="Z15" s="409"/>
      <c r="AA15" s="409"/>
      <c r="AB15" s="409"/>
      <c r="AC15" s="409"/>
      <c r="AD15" s="409"/>
      <c r="AE15" s="409"/>
      <c r="AF15" s="409"/>
    </row>
    <row r="16" customFormat="false" ht="15.75" hidden="false" customHeight="true" outlineLevel="0" collapsed="false">
      <c r="A16" s="620"/>
      <c r="B16" s="409"/>
      <c r="C16" s="409"/>
      <c r="D16" s="409"/>
      <c r="E16" s="409"/>
      <c r="F16" s="409"/>
      <c r="G16" s="409"/>
      <c r="H16" s="409"/>
      <c r="I16" s="409"/>
      <c r="J16" s="409"/>
      <c r="K16" s="409"/>
      <c r="L16" s="409"/>
      <c r="M16" s="409"/>
      <c r="N16" s="409"/>
      <c r="O16" s="409"/>
      <c r="P16" s="409"/>
      <c r="Q16" s="409"/>
      <c r="R16" s="409"/>
      <c r="S16" s="409"/>
      <c r="T16" s="409"/>
      <c r="U16" s="409"/>
      <c r="V16" s="409"/>
      <c r="W16" s="409"/>
      <c r="X16" s="409"/>
      <c r="Y16" s="409"/>
      <c r="Z16" s="409"/>
      <c r="AA16" s="409"/>
      <c r="AB16" s="409"/>
      <c r="AC16" s="409"/>
      <c r="AD16" s="409"/>
      <c r="AE16" s="409"/>
      <c r="AF16" s="409"/>
    </row>
    <row r="17" customFormat="false" ht="15.75" hidden="false" customHeight="true" outlineLevel="0" collapsed="false">
      <c r="A17" s="620"/>
      <c r="B17" s="409"/>
      <c r="C17" s="409"/>
      <c r="D17" s="409"/>
      <c r="E17" s="409"/>
      <c r="F17" s="409"/>
      <c r="G17" s="409"/>
      <c r="H17" s="409"/>
      <c r="I17" s="409"/>
      <c r="J17" s="409"/>
      <c r="K17" s="409"/>
      <c r="L17" s="409"/>
      <c r="M17" s="409"/>
      <c r="N17" s="409"/>
      <c r="O17" s="409"/>
      <c r="P17" s="409"/>
      <c r="Q17" s="409"/>
      <c r="R17" s="409"/>
      <c r="S17" s="409"/>
      <c r="T17" s="409"/>
      <c r="U17" s="409"/>
      <c r="V17" s="409"/>
      <c r="W17" s="409"/>
      <c r="X17" s="409"/>
      <c r="Y17" s="409"/>
      <c r="Z17" s="409"/>
      <c r="AA17" s="409"/>
      <c r="AB17" s="409"/>
      <c r="AC17" s="409"/>
      <c r="AD17" s="409"/>
      <c r="AE17" s="409"/>
      <c r="AF17" s="409"/>
    </row>
    <row r="18" customFormat="false" ht="15.75" hidden="false" customHeight="true" outlineLevel="0" collapsed="false">
      <c r="A18" s="6" t="s">
        <v>1527</v>
      </c>
      <c r="B18" s="6"/>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row>
    <row r="19" customFormat="false" ht="15.75" hidden="false" customHeight="true" outlineLevel="0" collapsed="false">
      <c r="A19" s="620"/>
      <c r="B19" s="262" t="s">
        <v>2271</v>
      </c>
      <c r="C19" s="262"/>
      <c r="D19" s="262"/>
      <c r="E19" s="262"/>
      <c r="F19" s="262"/>
      <c r="G19" s="262"/>
      <c r="H19" s="262"/>
      <c r="I19" s="262"/>
      <c r="J19" s="262"/>
      <c r="K19" s="262"/>
      <c r="L19" s="262"/>
      <c r="M19" s="262"/>
      <c r="N19" s="262"/>
      <c r="O19" s="262"/>
      <c r="P19" s="262"/>
      <c r="Q19" s="262"/>
      <c r="R19" s="262"/>
      <c r="S19" s="262"/>
      <c r="T19" s="262"/>
      <c r="U19" s="262"/>
      <c r="V19" s="262"/>
      <c r="W19" s="262"/>
      <c r="X19" s="262"/>
      <c r="Y19" s="262"/>
      <c r="Z19" s="262"/>
      <c r="AA19" s="262"/>
      <c r="AB19" s="262"/>
      <c r="AC19" s="262"/>
      <c r="AD19" s="262"/>
      <c r="AE19" s="262"/>
      <c r="AF19" s="262"/>
    </row>
    <row r="20" customFormat="false" ht="15.75" hidden="false" customHeight="true" outlineLevel="0" collapsed="false">
      <c r="A20" s="620"/>
      <c r="B20" s="262" t="s">
        <v>1643</v>
      </c>
      <c r="C20" s="262"/>
      <c r="D20" s="262"/>
      <c r="E20" s="262"/>
      <c r="F20" s="262"/>
      <c r="G20" s="262"/>
      <c r="H20" s="262"/>
      <c r="I20" s="262"/>
      <c r="J20" s="262"/>
      <c r="K20" s="262"/>
      <c r="L20" s="262"/>
      <c r="M20" s="262"/>
      <c r="N20" s="262"/>
      <c r="O20" s="262"/>
      <c r="P20" s="262"/>
      <c r="Q20" s="262"/>
      <c r="R20" s="262"/>
      <c r="S20" s="262"/>
      <c r="T20" s="262"/>
      <c r="U20" s="262"/>
      <c r="V20" s="262"/>
      <c r="W20" s="262"/>
      <c r="X20" s="262"/>
      <c r="Y20" s="262"/>
      <c r="Z20" s="262"/>
      <c r="AA20" s="262"/>
      <c r="AB20" s="262"/>
      <c r="AC20" s="262"/>
      <c r="AD20" s="262"/>
      <c r="AE20" s="262"/>
      <c r="AF20" s="262"/>
    </row>
    <row r="21" customFormat="false" ht="15.75" hidden="false" customHeight="true" outlineLevel="0" collapsed="false">
      <c r="A21" s="267" t="s">
        <v>1529</v>
      </c>
      <c r="B21" s="811"/>
      <c r="C21" s="620"/>
      <c r="D21" s="620"/>
      <c r="E21" s="620"/>
      <c r="F21" s="620"/>
      <c r="G21" s="620"/>
      <c r="H21" s="620"/>
      <c r="I21" s="620"/>
      <c r="J21" s="620"/>
      <c r="K21" s="620"/>
      <c r="L21" s="620"/>
      <c r="M21" s="620"/>
      <c r="N21" s="620"/>
      <c r="O21" s="620"/>
      <c r="P21" s="620"/>
      <c r="Q21" s="620"/>
      <c r="R21" s="620"/>
      <c r="S21" s="620"/>
      <c r="T21" s="620"/>
      <c r="U21" s="620"/>
      <c r="V21" s="620"/>
      <c r="W21" s="620"/>
      <c r="X21" s="620"/>
      <c r="Y21" s="620"/>
      <c r="Z21" s="620"/>
      <c r="AA21" s="620"/>
      <c r="AB21" s="620"/>
      <c r="AC21" s="620"/>
      <c r="AD21" s="620"/>
      <c r="AE21" s="620"/>
      <c r="AF21" s="620"/>
    </row>
    <row r="22" customFormat="false" ht="15.75" hidden="false" customHeight="true" outlineLevel="0" collapsed="false">
      <c r="A22" s="1"/>
      <c r="B22" s="409" t="s">
        <v>2272</v>
      </c>
      <c r="C22" s="409"/>
      <c r="D22" s="409"/>
      <c r="E22" s="409"/>
      <c r="F22" s="409"/>
      <c r="G22" s="409"/>
      <c r="H22" s="409"/>
      <c r="I22" s="409"/>
      <c r="J22" s="409"/>
      <c r="K22" s="409"/>
      <c r="L22" s="409"/>
      <c r="M22" s="409"/>
      <c r="N22" s="409"/>
      <c r="O22" s="409"/>
      <c r="P22" s="409"/>
      <c r="Q22" s="409"/>
      <c r="R22" s="409"/>
      <c r="S22" s="409"/>
      <c r="T22" s="409"/>
      <c r="U22" s="409"/>
      <c r="V22" s="409"/>
      <c r="W22" s="409"/>
      <c r="X22" s="409"/>
      <c r="Y22" s="409"/>
      <c r="Z22" s="409"/>
      <c r="AA22" s="409"/>
      <c r="AB22" s="409"/>
      <c r="AC22" s="409"/>
      <c r="AD22" s="409"/>
      <c r="AE22" s="409"/>
      <c r="AF22" s="409"/>
    </row>
    <row r="23" customFormat="false" ht="15.75" hidden="false" customHeight="true" outlineLevel="0" collapsed="false">
      <c r="A23" s="39"/>
      <c r="B23" s="409"/>
      <c r="C23" s="409"/>
      <c r="D23" s="409"/>
      <c r="E23" s="409"/>
      <c r="F23" s="409"/>
      <c r="G23" s="409"/>
      <c r="H23" s="409"/>
      <c r="I23" s="409"/>
      <c r="J23" s="409"/>
      <c r="K23" s="409"/>
      <c r="L23" s="409"/>
      <c r="M23" s="409"/>
      <c r="N23" s="409"/>
      <c r="O23" s="409"/>
      <c r="P23" s="409"/>
      <c r="Q23" s="409"/>
      <c r="R23" s="409"/>
      <c r="S23" s="409"/>
      <c r="T23" s="409"/>
      <c r="U23" s="409"/>
      <c r="V23" s="409"/>
      <c r="W23" s="409"/>
      <c r="X23" s="409"/>
      <c r="Y23" s="409"/>
      <c r="Z23" s="409"/>
      <c r="AA23" s="409"/>
      <c r="AB23" s="409"/>
      <c r="AC23" s="409"/>
      <c r="AD23" s="409"/>
      <c r="AE23" s="409"/>
      <c r="AF23" s="409"/>
    </row>
    <row r="24" customFormat="false" ht="15.75" hidden="false" customHeight="true" outlineLevel="0" collapsed="false">
      <c r="A24" s="267" t="s">
        <v>1532</v>
      </c>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row>
    <row r="25" customFormat="false" ht="15.75" hidden="false" customHeight="true" outlineLevel="0" collapsed="false">
      <c r="A25" s="267"/>
      <c r="B25" s="812" t="s">
        <v>2273</v>
      </c>
      <c r="C25" s="39"/>
      <c r="D25" s="39"/>
      <c r="E25" s="39"/>
      <c r="F25" s="39"/>
      <c r="G25" s="39"/>
      <c r="H25" s="39"/>
      <c r="I25" s="39"/>
      <c r="J25" s="39"/>
      <c r="K25" s="39"/>
      <c r="L25" s="39"/>
      <c r="M25" s="305"/>
      <c r="N25" s="1"/>
      <c r="O25" s="1"/>
      <c r="P25" s="1"/>
      <c r="Q25" s="1"/>
      <c r="R25" s="1"/>
      <c r="S25" s="1"/>
      <c r="T25" s="1"/>
      <c r="U25" s="1"/>
      <c r="V25" s="1"/>
      <c r="W25" s="1"/>
      <c r="X25" s="1"/>
      <c r="Y25" s="1"/>
      <c r="Z25" s="1"/>
      <c r="AA25" s="1"/>
      <c r="AB25" s="267"/>
      <c r="AC25" s="267"/>
      <c r="AD25" s="267"/>
      <c r="AE25" s="267"/>
      <c r="AF25" s="267"/>
    </row>
    <row r="26" customFormat="false" ht="15.75" hidden="false" customHeight="true" outlineLevel="0" collapsed="false">
      <c r="A26" s="1"/>
      <c r="B26" s="813" t="s">
        <v>1533</v>
      </c>
      <c r="C26" s="814"/>
      <c r="D26" s="814"/>
      <c r="E26" s="814"/>
      <c r="F26" s="814"/>
      <c r="G26" s="814"/>
      <c r="H26" s="814"/>
      <c r="I26" s="814"/>
      <c r="J26" s="814"/>
      <c r="K26" s="814"/>
      <c r="L26" s="815"/>
      <c r="M26" s="816" t="s">
        <v>2274</v>
      </c>
      <c r="N26" s="816"/>
      <c r="O26" s="816"/>
      <c r="P26" s="817" t="s">
        <v>2275</v>
      </c>
      <c r="Q26" s="817"/>
      <c r="R26" s="817"/>
      <c r="S26" s="817"/>
      <c r="T26" s="817" t="s">
        <v>2276</v>
      </c>
      <c r="U26" s="817"/>
      <c r="V26" s="817"/>
      <c r="W26" s="817"/>
      <c r="X26" s="818" t="s">
        <v>2242</v>
      </c>
      <c r="Y26" s="818"/>
      <c r="Z26" s="818"/>
      <c r="AA26" s="818"/>
      <c r="AB26" s="819" t="s">
        <v>2228</v>
      </c>
      <c r="AC26" s="819"/>
      <c r="AD26" s="819"/>
      <c r="AE26" s="819"/>
      <c r="AF26" s="1"/>
    </row>
    <row r="27" customFormat="false" ht="15.75" hidden="false" customHeight="true" outlineLevel="0" collapsed="false">
      <c r="A27" s="1"/>
      <c r="B27" s="820" t="s">
        <v>1069</v>
      </c>
      <c r="C27" s="820"/>
      <c r="D27" s="820"/>
      <c r="E27" s="821" t="s">
        <v>1535</v>
      </c>
      <c r="F27" s="821"/>
      <c r="G27" s="821"/>
      <c r="H27" s="821"/>
      <c r="I27" s="821"/>
      <c r="J27" s="821"/>
      <c r="K27" s="821"/>
      <c r="L27" s="821"/>
      <c r="M27" s="822" t="n">
        <f aca="false">S37</f>
        <v>360</v>
      </c>
      <c r="N27" s="822"/>
      <c r="O27" s="822"/>
      <c r="P27" s="823" t="n">
        <f aca="false">AB53</f>
        <v>143.69177592</v>
      </c>
      <c r="Q27" s="823"/>
      <c r="R27" s="823"/>
      <c r="S27" s="823"/>
      <c r="T27" s="824" t="n">
        <f aca="false">AA70</f>
        <v>0</v>
      </c>
      <c r="U27" s="824"/>
      <c r="V27" s="824"/>
      <c r="W27" s="824"/>
      <c r="X27" s="825" t="n">
        <f aca="false">N80</f>
        <v>0</v>
      </c>
      <c r="Y27" s="825"/>
      <c r="Z27" s="825"/>
      <c r="AA27" s="825"/>
      <c r="AB27" s="826" t="n">
        <f aca="false">SUM(M27:AA27)</f>
        <v>503.69177592</v>
      </c>
      <c r="AC27" s="826"/>
      <c r="AD27" s="826"/>
      <c r="AE27" s="826"/>
      <c r="AF27" s="1"/>
    </row>
    <row r="28" customFormat="false" ht="15.75" hidden="false" customHeight="true" outlineLevel="0" collapsed="false">
      <c r="A28" s="1"/>
      <c r="B28" s="827" t="s">
        <v>1478</v>
      </c>
      <c r="C28" s="827"/>
      <c r="D28" s="827"/>
      <c r="E28" s="828" t="s">
        <v>1536</v>
      </c>
      <c r="F28" s="828"/>
      <c r="G28" s="828"/>
      <c r="H28" s="828"/>
      <c r="I28" s="828"/>
      <c r="J28" s="828"/>
      <c r="K28" s="828"/>
      <c r="L28" s="828"/>
      <c r="M28" s="829" t="n">
        <f aca="false">S38</f>
        <v>0</v>
      </c>
      <c r="N28" s="829"/>
      <c r="O28" s="829"/>
      <c r="P28" s="830" t="n">
        <f aca="false">AB54</f>
        <v>44.57695368</v>
      </c>
      <c r="Q28" s="830"/>
      <c r="R28" s="830"/>
      <c r="S28" s="830"/>
      <c r="T28" s="831" t="n">
        <f aca="false">AA71</f>
        <v>0</v>
      </c>
      <c r="U28" s="831"/>
      <c r="V28" s="831"/>
      <c r="W28" s="831"/>
      <c r="X28" s="832" t="n">
        <f aca="false">N81</f>
        <v>0</v>
      </c>
      <c r="Y28" s="832"/>
      <c r="Z28" s="832"/>
      <c r="AA28" s="832"/>
      <c r="AB28" s="833" t="n">
        <f aca="false">SUM(M28:AA28)</f>
        <v>44.57695368</v>
      </c>
      <c r="AC28" s="833"/>
      <c r="AD28" s="833"/>
      <c r="AE28" s="833"/>
      <c r="AF28" s="1"/>
    </row>
    <row r="29" customFormat="false" ht="15.75" hidden="false" customHeight="true" outlineLevel="0" collapsed="false">
      <c r="A29" s="1"/>
      <c r="B29" s="827" t="s">
        <v>1516</v>
      </c>
      <c r="C29" s="827"/>
      <c r="D29" s="827"/>
      <c r="E29" s="828" t="s">
        <v>1537</v>
      </c>
      <c r="F29" s="828"/>
      <c r="G29" s="828"/>
      <c r="H29" s="828"/>
      <c r="I29" s="828"/>
      <c r="J29" s="828"/>
      <c r="K29" s="828"/>
      <c r="L29" s="828"/>
      <c r="M29" s="829" t="n">
        <f aca="false">S39</f>
        <v>0</v>
      </c>
      <c r="N29" s="829"/>
      <c r="O29" s="829"/>
      <c r="P29" s="830" t="n">
        <f aca="false">AB55</f>
        <v>35.0465808</v>
      </c>
      <c r="Q29" s="830"/>
      <c r="R29" s="830"/>
      <c r="S29" s="830"/>
      <c r="T29" s="831" t="n">
        <f aca="false">AA72</f>
        <v>0</v>
      </c>
      <c r="U29" s="831"/>
      <c r="V29" s="831"/>
      <c r="W29" s="831"/>
      <c r="X29" s="832" t="n">
        <f aca="false">N82</f>
        <v>0</v>
      </c>
      <c r="Y29" s="832"/>
      <c r="Z29" s="832"/>
      <c r="AA29" s="832"/>
      <c r="AB29" s="833" t="n">
        <f aca="false">SUM(M29:AA29)</f>
        <v>35.0465808</v>
      </c>
      <c r="AC29" s="833"/>
      <c r="AD29" s="833"/>
      <c r="AE29" s="833"/>
      <c r="AF29" s="1"/>
    </row>
    <row r="30" customFormat="false" ht="15.75" hidden="false" customHeight="true" outlineLevel="0" collapsed="false">
      <c r="A30" s="1"/>
      <c r="B30" s="834"/>
      <c r="C30" s="834"/>
      <c r="D30" s="834"/>
      <c r="E30" s="835"/>
      <c r="F30" s="835"/>
      <c r="G30" s="835"/>
      <c r="H30" s="835"/>
      <c r="I30" s="835"/>
      <c r="J30" s="835"/>
      <c r="K30" s="835"/>
      <c r="L30" s="835"/>
      <c r="M30" s="836" t="n">
        <f aca="false">S40</f>
        <v>0</v>
      </c>
      <c r="N30" s="836"/>
      <c r="O30" s="836"/>
      <c r="P30" s="837" t="n">
        <f aca="false">AB56</f>
        <v>0</v>
      </c>
      <c r="Q30" s="837"/>
      <c r="R30" s="837"/>
      <c r="S30" s="837"/>
      <c r="T30" s="838" t="n">
        <f aca="false">AA73</f>
        <v>0</v>
      </c>
      <c r="U30" s="838"/>
      <c r="V30" s="838"/>
      <c r="W30" s="838"/>
      <c r="X30" s="839" t="n">
        <f aca="false">N83</f>
        <v>0</v>
      </c>
      <c r="Y30" s="839"/>
      <c r="Z30" s="839"/>
      <c r="AA30" s="839"/>
      <c r="AB30" s="840" t="n">
        <f aca="false">SUM(M30:AA30)</f>
        <v>0</v>
      </c>
      <c r="AC30" s="840"/>
      <c r="AD30" s="840"/>
      <c r="AE30" s="840"/>
      <c r="AF30" s="1"/>
    </row>
    <row r="31" customFormat="false" ht="15.75" hidden="false" customHeight="true" outlineLevel="0" collapsed="false">
      <c r="A31" s="1"/>
      <c r="B31" s="841"/>
      <c r="C31" s="841"/>
      <c r="D31" s="841"/>
      <c r="E31" s="841"/>
      <c r="F31" s="841"/>
      <c r="G31" s="841"/>
      <c r="H31" s="841"/>
      <c r="I31" s="841"/>
      <c r="J31" s="841"/>
      <c r="K31" s="841"/>
      <c r="L31" s="841"/>
      <c r="M31" s="842" t="n">
        <f aca="false">S41</f>
        <v>0</v>
      </c>
      <c r="N31" s="842"/>
      <c r="O31" s="842"/>
      <c r="P31" s="843"/>
      <c r="Q31" s="843"/>
      <c r="R31" s="843"/>
      <c r="S31" s="843"/>
      <c r="T31" s="843"/>
      <c r="U31" s="843"/>
      <c r="V31" s="843"/>
      <c r="W31" s="843"/>
      <c r="X31" s="843"/>
      <c r="Y31" s="843"/>
      <c r="Z31" s="843"/>
      <c r="AA31" s="844" t="s">
        <v>25</v>
      </c>
      <c r="AB31" s="845" t="n">
        <f aca="false">SUM(AB27:AE30)</f>
        <v>583.3153104</v>
      </c>
      <c r="AC31" s="845"/>
      <c r="AD31" s="845"/>
      <c r="AE31" s="845"/>
      <c r="AF31" s="1"/>
    </row>
    <row r="32" customFormat="false" ht="15.75" hidden="false" customHeight="true" outlineLevel="0" collapsed="false">
      <c r="A32" s="1"/>
      <c r="B32" s="1"/>
      <c r="C32" s="1"/>
      <c r="D32" s="1"/>
      <c r="E32" s="1"/>
      <c r="F32" s="1"/>
      <c r="G32" s="1"/>
      <c r="H32" s="1"/>
      <c r="I32" s="1"/>
      <c r="J32" s="1"/>
      <c r="K32" s="1"/>
      <c r="L32" s="1"/>
      <c r="M32" s="1"/>
      <c r="N32" s="1"/>
      <c r="O32" s="846"/>
      <c r="P32" s="846"/>
      <c r="Q32" s="846"/>
      <c r="R32" s="1"/>
      <c r="S32" s="844"/>
      <c r="T32" s="846"/>
      <c r="U32" s="846"/>
      <c r="V32" s="1"/>
      <c r="W32" s="1"/>
      <c r="X32" s="1"/>
      <c r="Y32" s="1"/>
      <c r="Z32" s="1"/>
      <c r="AF32" s="1"/>
    </row>
    <row r="33" customFormat="false" ht="15.75" hidden="false" customHeight="true" outlineLevel="0" collapsed="false">
      <c r="A33" s="1"/>
      <c r="B33" s="1"/>
      <c r="C33" s="1"/>
      <c r="D33" s="1"/>
      <c r="E33" s="1"/>
      <c r="F33" s="1"/>
      <c r="G33" s="1"/>
      <c r="H33" s="1"/>
      <c r="I33" s="1"/>
      <c r="J33" s="1"/>
      <c r="K33" s="1"/>
      <c r="L33" s="1"/>
      <c r="M33" s="1"/>
      <c r="N33" s="1"/>
      <c r="O33" s="846"/>
      <c r="P33" s="846"/>
      <c r="Q33" s="846"/>
      <c r="R33" s="1"/>
      <c r="S33" s="844"/>
      <c r="T33" s="846"/>
      <c r="U33" s="846"/>
      <c r="V33" s="1"/>
      <c r="W33" s="1"/>
      <c r="X33" s="1"/>
      <c r="Y33" s="1"/>
      <c r="Z33" s="1"/>
      <c r="AA33" s="844"/>
      <c r="AB33" s="847"/>
      <c r="AC33" s="847"/>
      <c r="AD33" s="847"/>
      <c r="AE33" s="847"/>
      <c r="AF33" s="1"/>
    </row>
    <row r="34" customFormat="false" ht="15.75" hidden="false" customHeight="true" outlineLevel="0" collapsed="false">
      <c r="A34" s="1"/>
      <c r="B34" s="848" t="s">
        <v>2277</v>
      </c>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row>
    <row r="35" customFormat="false" ht="15.75" hidden="false" customHeight="true" outlineLevel="0" collapsed="false">
      <c r="A35" s="1"/>
      <c r="B35" s="849" t="s">
        <v>1533</v>
      </c>
      <c r="C35" s="849"/>
      <c r="D35" s="849"/>
      <c r="E35" s="849"/>
      <c r="F35" s="849"/>
      <c r="G35" s="849"/>
      <c r="H35" s="849"/>
      <c r="I35" s="849"/>
      <c r="J35" s="849"/>
      <c r="K35" s="849"/>
      <c r="L35" s="849"/>
      <c r="M35" s="850" t="s">
        <v>2278</v>
      </c>
      <c r="N35" s="850"/>
      <c r="O35" s="850"/>
      <c r="P35" s="850" t="s">
        <v>2279</v>
      </c>
      <c r="Q35" s="850"/>
      <c r="R35" s="850"/>
      <c r="S35" s="819" t="s">
        <v>2228</v>
      </c>
      <c r="T35" s="819"/>
      <c r="U35" s="819"/>
      <c r="V35" s="819"/>
      <c r="W35" s="1"/>
      <c r="X35" s="1"/>
      <c r="Y35" s="1"/>
      <c r="Z35" s="1"/>
      <c r="AA35" s="1"/>
      <c r="AB35" s="1"/>
      <c r="AC35" s="1"/>
      <c r="AD35" s="1"/>
      <c r="AE35" s="1"/>
      <c r="AF35" s="1"/>
    </row>
    <row r="36" customFormat="false" ht="15.75" hidden="false" customHeight="true" outlineLevel="0" collapsed="false">
      <c r="A36" s="1"/>
      <c r="B36" s="849"/>
      <c r="C36" s="849"/>
      <c r="D36" s="849"/>
      <c r="E36" s="849"/>
      <c r="F36" s="849"/>
      <c r="G36" s="849"/>
      <c r="H36" s="849"/>
      <c r="I36" s="849"/>
      <c r="J36" s="849"/>
      <c r="K36" s="849"/>
      <c r="L36" s="849"/>
      <c r="M36" s="851" t="n">
        <v>120</v>
      </c>
      <c r="N36" s="851"/>
      <c r="O36" s="851"/>
      <c r="P36" s="851" t="n">
        <v>90</v>
      </c>
      <c r="Q36" s="851"/>
      <c r="R36" s="851"/>
      <c r="S36" s="819"/>
      <c r="T36" s="819"/>
      <c r="U36" s="819"/>
      <c r="V36" s="819"/>
      <c r="W36" s="1"/>
      <c r="X36" s="1"/>
      <c r="Y36" s="1"/>
      <c r="Z36" s="1"/>
      <c r="AA36" s="1"/>
      <c r="AB36" s="1"/>
      <c r="AC36" s="1"/>
      <c r="AD36" s="1"/>
      <c r="AE36" s="1"/>
      <c r="AF36" s="1"/>
    </row>
    <row r="37" customFormat="false" ht="15.75" hidden="false" customHeight="true" outlineLevel="0" collapsed="false">
      <c r="A37" s="1"/>
      <c r="B37" s="820" t="str">
        <f aca="false">B27</f>
        <v>M28261</v>
      </c>
      <c r="C37" s="820"/>
      <c r="D37" s="820"/>
      <c r="E37" s="821" t="str">
        <f aca="false">E27</f>
        <v>H&amp;S CO</v>
      </c>
      <c r="F37" s="821"/>
      <c r="G37" s="821"/>
      <c r="H37" s="821"/>
      <c r="I37" s="821"/>
      <c r="J37" s="821"/>
      <c r="K37" s="821"/>
      <c r="L37" s="821"/>
      <c r="M37" s="852" t="n">
        <f aca="false">COUNTIFS(TO!C:C,"21710o",TO!F:F,B37)</f>
        <v>0</v>
      </c>
      <c r="N37" s="852"/>
      <c r="O37" s="852"/>
      <c r="P37" s="852" t="n">
        <f aca="false">COUNTIFS(TO!C:C,"21710c",TO!F:F,B37)</f>
        <v>4</v>
      </c>
      <c r="Q37" s="852"/>
      <c r="R37" s="852"/>
      <c r="S37" s="853" t="n">
        <f aca="false">M37*M$36+P37*P$36</f>
        <v>360</v>
      </c>
      <c r="T37" s="853"/>
      <c r="U37" s="853"/>
      <c r="V37" s="853"/>
      <c r="W37" s="1"/>
      <c r="X37" s="1"/>
      <c r="Y37" s="1"/>
      <c r="Z37" s="1"/>
      <c r="AA37" s="1"/>
      <c r="AB37" s="1"/>
      <c r="AC37" s="1"/>
      <c r="AD37" s="1"/>
      <c r="AE37" s="1"/>
      <c r="AF37" s="1"/>
    </row>
    <row r="38" customFormat="false" ht="15.75" hidden="false" customHeight="true" outlineLevel="0" collapsed="false">
      <c r="A38" s="1"/>
      <c r="B38" s="827" t="str">
        <f aca="false">B28</f>
        <v>M28263</v>
      </c>
      <c r="C38" s="827"/>
      <c r="D38" s="827"/>
      <c r="E38" s="828" t="str">
        <f aca="false">E28</f>
        <v>SURGICAL CO A</v>
      </c>
      <c r="F38" s="828"/>
      <c r="G38" s="828"/>
      <c r="H38" s="828"/>
      <c r="I38" s="828"/>
      <c r="J38" s="828"/>
      <c r="K38" s="828"/>
      <c r="L38" s="828"/>
      <c r="M38" s="854" t="n">
        <f aca="false">COUNTIFS(TO!C:C,"21710o",TO!F:F,B38)</f>
        <v>0</v>
      </c>
      <c r="N38" s="854"/>
      <c r="O38" s="854"/>
      <c r="P38" s="854" t="n">
        <f aca="false">COUNTIFS(TO!C:C,"21710c",TO!F:F,B38)</f>
        <v>0</v>
      </c>
      <c r="Q38" s="854"/>
      <c r="R38" s="854"/>
      <c r="S38" s="855" t="n">
        <f aca="false">M38*M$36+P38*P$36</f>
        <v>0</v>
      </c>
      <c r="T38" s="855"/>
      <c r="U38" s="855"/>
      <c r="V38" s="855"/>
      <c r="W38" s="1"/>
      <c r="X38" s="1"/>
      <c r="Y38" s="1"/>
      <c r="Z38" s="1"/>
      <c r="AA38" s="1"/>
      <c r="AB38" s="1"/>
      <c r="AC38" s="1"/>
      <c r="AD38" s="1"/>
      <c r="AE38" s="1"/>
      <c r="AF38" s="1"/>
    </row>
    <row r="39" customFormat="false" ht="15.75" hidden="false" customHeight="true" outlineLevel="0" collapsed="false">
      <c r="A39" s="1"/>
      <c r="B39" s="827" t="str">
        <f aca="false">B29</f>
        <v>M28262</v>
      </c>
      <c r="C39" s="827"/>
      <c r="D39" s="827"/>
      <c r="E39" s="828" t="str">
        <f aca="false">E29</f>
        <v>SURGICAL CO B</v>
      </c>
      <c r="F39" s="828"/>
      <c r="G39" s="828"/>
      <c r="H39" s="828"/>
      <c r="I39" s="828"/>
      <c r="J39" s="828"/>
      <c r="K39" s="828"/>
      <c r="L39" s="828"/>
      <c r="M39" s="854" t="n">
        <f aca="false">COUNTIFS(TO!C:C,"21710o",TO!F:F,B39)</f>
        <v>0</v>
      </c>
      <c r="N39" s="854"/>
      <c r="O39" s="854"/>
      <c r="P39" s="854" t="n">
        <f aca="false">COUNTIFS(TO!C:C,"21710c",TO!F:F,B39)</f>
        <v>0</v>
      </c>
      <c r="Q39" s="854"/>
      <c r="R39" s="854"/>
      <c r="S39" s="855" t="n">
        <f aca="false">M39*M$36+P39*P$36</f>
        <v>0</v>
      </c>
      <c r="T39" s="855"/>
      <c r="U39" s="855"/>
      <c r="V39" s="855"/>
      <c r="W39" s="1"/>
      <c r="X39" s="1"/>
      <c r="Y39" s="1"/>
      <c r="Z39" s="1"/>
      <c r="AA39" s="1"/>
      <c r="AB39" s="1"/>
      <c r="AC39" s="1"/>
      <c r="AD39" s="1"/>
      <c r="AE39" s="1"/>
      <c r="AF39" s="1"/>
    </row>
    <row r="40" customFormat="false" ht="15.75" hidden="false" customHeight="true" outlineLevel="0" collapsed="false">
      <c r="A40" s="1"/>
      <c r="B40" s="834" t="n">
        <f aca="false">B30</f>
        <v>0</v>
      </c>
      <c r="C40" s="834"/>
      <c r="D40" s="834"/>
      <c r="E40" s="835" t="n">
        <f aca="false">E30</f>
        <v>0</v>
      </c>
      <c r="F40" s="835"/>
      <c r="G40" s="835"/>
      <c r="H40" s="835"/>
      <c r="I40" s="835"/>
      <c r="J40" s="835"/>
      <c r="K40" s="835"/>
      <c r="L40" s="835"/>
      <c r="M40" s="856" t="n">
        <f aca="false">COUNTIFS(TO!C:C,"21710o",TO!F:F,B40)</f>
        <v>0</v>
      </c>
      <c r="N40" s="856"/>
      <c r="O40" s="856"/>
      <c r="P40" s="856" t="n">
        <f aca="false">COUNTIFS(TO!C:C,"21710c",TO!F:F,B40)</f>
        <v>0</v>
      </c>
      <c r="Q40" s="856"/>
      <c r="R40" s="856"/>
      <c r="S40" s="857" t="n">
        <f aca="false">M40*M$36+P40*P$36</f>
        <v>0</v>
      </c>
      <c r="T40" s="857"/>
      <c r="U40" s="857"/>
      <c r="V40" s="857"/>
      <c r="W40" s="1"/>
      <c r="X40" s="1"/>
      <c r="Y40" s="1"/>
      <c r="Z40" s="1"/>
      <c r="AA40" s="1"/>
      <c r="AB40" s="1"/>
      <c r="AC40" s="1"/>
      <c r="AD40" s="1"/>
      <c r="AE40" s="1"/>
      <c r="AF40" s="1"/>
    </row>
    <row r="41" customFormat="false" ht="15.75" hidden="false" customHeight="true" outlineLevel="0" collapsed="false">
      <c r="A41" s="1"/>
      <c r="B41" s="858"/>
      <c r="C41" s="858"/>
      <c r="D41" s="858"/>
      <c r="E41" s="858"/>
      <c r="F41" s="858"/>
      <c r="G41" s="858"/>
      <c r="H41" s="858"/>
      <c r="I41" s="858"/>
      <c r="J41" s="858"/>
      <c r="K41" s="858"/>
      <c r="L41" s="859" t="s">
        <v>1538</v>
      </c>
      <c r="M41" s="860" t="n">
        <f aca="false">SUM(M37:O40)*M36</f>
        <v>0</v>
      </c>
      <c r="N41" s="860"/>
      <c r="O41" s="860"/>
      <c r="P41" s="861"/>
      <c r="Q41" s="861"/>
      <c r="R41" s="861"/>
      <c r="S41" s="843"/>
      <c r="T41" s="843"/>
      <c r="U41" s="843"/>
      <c r="V41" s="843"/>
      <c r="W41" s="1"/>
      <c r="X41" s="1"/>
      <c r="Y41" s="1"/>
      <c r="Z41" s="1"/>
      <c r="AA41" s="1"/>
      <c r="AB41" s="1"/>
      <c r="AC41" s="1"/>
      <c r="AD41" s="1"/>
      <c r="AE41" s="1"/>
      <c r="AF41" s="1"/>
    </row>
    <row r="42" customFormat="false" ht="15.75" hidden="false" customHeight="true" outlineLevel="0" collapsed="false">
      <c r="A42" s="271"/>
      <c r="B42" s="862"/>
      <c r="C42" s="863"/>
      <c r="D42" s="863"/>
      <c r="E42" s="863"/>
      <c r="F42" s="863"/>
      <c r="G42" s="863"/>
      <c r="H42" s="863"/>
      <c r="I42" s="863"/>
      <c r="J42" s="863"/>
      <c r="K42" s="863"/>
      <c r="P42" s="860" t="n">
        <f aca="false">SUM(P37:R41)*P36</f>
        <v>360</v>
      </c>
      <c r="Q42" s="860"/>
      <c r="R42" s="860"/>
      <c r="S42" s="860" t="n">
        <f aca="false">SUM(S37:V41)</f>
        <v>360</v>
      </c>
      <c r="T42" s="860"/>
      <c r="U42" s="860"/>
      <c r="V42" s="860"/>
      <c r="W42" s="1"/>
      <c r="X42" s="1"/>
      <c r="Y42" s="1"/>
      <c r="Z42" s="1"/>
      <c r="AA42" s="1"/>
      <c r="AB42" s="1"/>
      <c r="AC42" s="1"/>
      <c r="AD42" s="1"/>
      <c r="AE42" s="1"/>
      <c r="AF42" s="1"/>
    </row>
    <row r="43" customFormat="false" ht="15" hidden="false" customHeight="true" outlineLevel="0" collapsed="false">
      <c r="A43" s="271"/>
      <c r="B43" s="864" t="s">
        <v>2280</v>
      </c>
      <c r="C43" s="864"/>
      <c r="D43" s="864"/>
      <c r="E43" s="864"/>
      <c r="F43" s="864"/>
      <c r="G43" s="864"/>
      <c r="H43" s="864"/>
      <c r="I43" s="864"/>
      <c r="J43" s="864"/>
      <c r="K43" s="864"/>
      <c r="L43" s="864"/>
      <c r="M43" s="864"/>
      <c r="N43" s="864"/>
      <c r="O43" s="864"/>
      <c r="P43" s="864"/>
      <c r="Q43" s="864"/>
      <c r="R43" s="864"/>
      <c r="S43" s="864"/>
      <c r="T43" s="864"/>
      <c r="U43" s="864"/>
      <c r="V43" s="864"/>
      <c r="W43" s="864"/>
      <c r="X43" s="864"/>
      <c r="Y43" s="864"/>
      <c r="Z43" s="864"/>
      <c r="AA43" s="864"/>
      <c r="AB43" s="864"/>
      <c r="AC43" s="864"/>
      <c r="AD43" s="864"/>
      <c r="AE43" s="864"/>
      <c r="AF43" s="864"/>
    </row>
    <row r="44" customFormat="false" ht="15" hidden="false" customHeight="true" outlineLevel="0" collapsed="false">
      <c r="A44" s="271"/>
      <c r="B44" s="864"/>
      <c r="C44" s="864"/>
      <c r="D44" s="864"/>
      <c r="E44" s="864"/>
      <c r="F44" s="864"/>
      <c r="G44" s="864"/>
      <c r="H44" s="864"/>
      <c r="I44" s="864"/>
      <c r="J44" s="864"/>
      <c r="K44" s="864"/>
      <c r="L44" s="864"/>
      <c r="M44" s="864"/>
      <c r="N44" s="864"/>
      <c r="O44" s="864"/>
      <c r="P44" s="864"/>
      <c r="Q44" s="864"/>
      <c r="R44" s="864"/>
      <c r="S44" s="864"/>
      <c r="T44" s="864"/>
      <c r="U44" s="864"/>
      <c r="V44" s="864"/>
      <c r="W44" s="864"/>
      <c r="X44" s="864"/>
      <c r="Y44" s="864"/>
      <c r="Z44" s="864"/>
      <c r="AA44" s="864"/>
      <c r="AB44" s="864"/>
      <c r="AC44" s="864"/>
      <c r="AD44" s="864"/>
      <c r="AE44" s="864"/>
      <c r="AF44" s="864"/>
    </row>
    <row r="45" customFormat="false" ht="15" hidden="false" customHeight="true" outlineLevel="0" collapsed="false">
      <c r="A45" s="271"/>
      <c r="B45" s="864"/>
      <c r="C45" s="864"/>
      <c r="D45" s="864"/>
      <c r="E45" s="864"/>
      <c r="F45" s="864"/>
      <c r="G45" s="864"/>
      <c r="H45" s="864"/>
      <c r="I45" s="864"/>
      <c r="J45" s="864"/>
      <c r="K45" s="864"/>
      <c r="L45" s="864"/>
      <c r="M45" s="864"/>
      <c r="N45" s="864"/>
      <c r="O45" s="864"/>
      <c r="P45" s="864"/>
      <c r="Q45" s="864"/>
      <c r="R45" s="864"/>
      <c r="S45" s="864"/>
      <c r="T45" s="864"/>
      <c r="U45" s="864"/>
      <c r="V45" s="864"/>
      <c r="W45" s="864"/>
      <c r="X45" s="864"/>
      <c r="Y45" s="864"/>
      <c r="Z45" s="864"/>
      <c r="AA45" s="864"/>
      <c r="AB45" s="864"/>
      <c r="AC45" s="864"/>
      <c r="AD45" s="864"/>
      <c r="AE45" s="864"/>
      <c r="AF45" s="864"/>
    </row>
    <row r="46" customFormat="false" ht="15.75" hidden="false" customHeight="true" outlineLevel="0" collapsed="false">
      <c r="A46" s="271"/>
      <c r="B46" s="865"/>
      <c r="C46" s="865"/>
      <c r="D46" s="865"/>
      <c r="E46" s="865"/>
      <c r="F46" s="865"/>
      <c r="G46" s="865"/>
      <c r="H46" s="865"/>
      <c r="I46" s="865"/>
      <c r="J46" s="865"/>
      <c r="K46" s="865"/>
      <c r="L46" s="865"/>
      <c r="M46" s="865"/>
      <c r="N46" s="865"/>
      <c r="O46" s="865"/>
      <c r="P46" s="865"/>
      <c r="Q46" s="865"/>
      <c r="R46" s="865"/>
      <c r="S46" s="865"/>
      <c r="T46" s="865"/>
      <c r="U46" s="865"/>
      <c r="V46" s="865"/>
      <c r="W46" s="865"/>
      <c r="X46" s="865"/>
      <c r="Y46" s="865"/>
      <c r="Z46" s="865"/>
      <c r="AA46" s="865"/>
      <c r="AB46" s="865"/>
      <c r="AC46" s="865"/>
      <c r="AD46" s="865"/>
      <c r="AE46" s="865"/>
      <c r="AF46" s="865"/>
    </row>
    <row r="47" customFormat="false" ht="15.75" hidden="false" customHeight="true" outlineLevel="0" collapsed="false">
      <c r="A47" s="314" t="s">
        <v>26</v>
      </c>
      <c r="B47" s="314"/>
      <c r="C47" s="314"/>
      <c r="D47" s="314"/>
      <c r="E47" s="314"/>
      <c r="F47" s="314"/>
      <c r="G47" s="314"/>
      <c r="H47" s="866" t="n">
        <f aca="false">AB31</f>
        <v>583.3153104</v>
      </c>
      <c r="I47" s="866"/>
      <c r="J47" s="866"/>
      <c r="K47" s="866"/>
      <c r="L47" s="866"/>
      <c r="M47" s="316" t="s">
        <v>1656</v>
      </c>
      <c r="N47" s="316"/>
      <c r="O47" s="318"/>
      <c r="P47" s="318"/>
      <c r="Q47" s="318"/>
      <c r="R47" s="316"/>
      <c r="S47" s="316"/>
      <c r="T47" s="316"/>
      <c r="U47" s="316"/>
      <c r="V47" s="316"/>
      <c r="W47" s="316"/>
      <c r="X47" s="316"/>
      <c r="Y47" s="319"/>
      <c r="Z47" s="320"/>
      <c r="AA47" s="320"/>
      <c r="AB47" s="320"/>
      <c r="AC47" s="321"/>
      <c r="AD47" s="322"/>
      <c r="AE47" s="322"/>
      <c r="AF47" s="322"/>
    </row>
    <row r="48" customFormat="false" ht="15.75" hidden="false" customHeight="true" outlineLevel="0" collapsed="false">
      <c r="A48" s="259" t="s">
        <v>1522</v>
      </c>
      <c r="B48" s="259"/>
      <c r="C48" s="323" t="n">
        <f aca="false">C5</f>
        <v>21710</v>
      </c>
      <c r="D48" s="323"/>
      <c r="E48" s="323"/>
      <c r="F48" s="323"/>
      <c r="G48" s="323"/>
      <c r="H48" s="323"/>
      <c r="I48" s="323"/>
      <c r="J48" s="323"/>
      <c r="K48" s="323"/>
      <c r="L48" s="323"/>
      <c r="M48" s="259" t="s">
        <v>1523</v>
      </c>
      <c r="N48" s="259"/>
      <c r="O48" s="259"/>
      <c r="P48" s="259"/>
      <c r="Q48" s="259"/>
      <c r="R48" s="324" t="str">
        <f aca="false">R5</f>
        <v>Electronic/Communications Maintenance Shop</v>
      </c>
      <c r="S48" s="324"/>
      <c r="T48" s="324"/>
      <c r="U48" s="324"/>
      <c r="V48" s="324"/>
      <c r="W48" s="324"/>
      <c r="X48" s="324"/>
      <c r="Y48" s="324"/>
      <c r="Z48" s="324"/>
      <c r="AA48" s="324"/>
      <c r="AB48" s="324"/>
      <c r="AC48" s="324"/>
      <c r="AD48" s="324"/>
      <c r="AE48" s="324"/>
      <c r="AF48" s="324"/>
    </row>
    <row r="49" customFormat="false" ht="15.75" hidden="false" customHeight="tru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row>
    <row r="50" customFormat="false" ht="15.75" hidden="false" customHeight="true" outlineLevel="0" collapsed="false">
      <c r="A50" s="1"/>
      <c r="B50" s="848" t="s">
        <v>2281</v>
      </c>
      <c r="C50" s="867"/>
      <c r="D50" s="867"/>
      <c r="E50" s="867"/>
      <c r="F50" s="867"/>
      <c r="G50" s="867"/>
      <c r="H50" s="867"/>
      <c r="I50" s="867"/>
      <c r="J50" s="867"/>
      <c r="K50" s="867"/>
      <c r="L50" s="867"/>
      <c r="M50" s="867"/>
      <c r="N50" s="867"/>
      <c r="O50" s="867"/>
      <c r="P50" s="867"/>
      <c r="Q50" s="867"/>
      <c r="R50" s="867"/>
      <c r="S50" s="867"/>
      <c r="T50" s="867"/>
      <c r="U50" s="867"/>
      <c r="V50" s="867"/>
      <c r="W50" s="867"/>
      <c r="X50" s="867"/>
      <c r="Y50" s="867"/>
      <c r="Z50" s="867"/>
      <c r="AA50" s="867"/>
      <c r="AB50" s="867"/>
      <c r="AC50" s="867"/>
      <c r="AD50" s="1"/>
      <c r="AE50" s="1"/>
      <c r="AF50" s="1"/>
    </row>
    <row r="51" customFormat="false" ht="15.75" hidden="false" customHeight="true" outlineLevel="0" collapsed="false">
      <c r="A51" s="1"/>
      <c r="B51" s="868" t="s">
        <v>1533</v>
      </c>
      <c r="C51" s="868"/>
      <c r="D51" s="868"/>
      <c r="E51" s="868"/>
      <c r="F51" s="868"/>
      <c r="G51" s="868"/>
      <c r="H51" s="868"/>
      <c r="I51" s="868"/>
      <c r="J51" s="868"/>
      <c r="K51" s="868"/>
      <c r="L51" s="869" t="s">
        <v>2282</v>
      </c>
      <c r="M51" s="869"/>
      <c r="N51" s="869"/>
      <c r="O51" s="869"/>
      <c r="P51" s="622" t="s">
        <v>2283</v>
      </c>
      <c r="Q51" s="622"/>
      <c r="R51" s="622"/>
      <c r="S51" s="622"/>
      <c r="T51" s="870" t="s">
        <v>2284</v>
      </c>
      <c r="U51" s="870"/>
      <c r="V51" s="870"/>
      <c r="W51" s="870"/>
      <c r="X51" s="871" t="s">
        <v>2285</v>
      </c>
      <c r="Y51" s="871"/>
      <c r="Z51" s="871"/>
      <c r="AA51" s="871"/>
      <c r="AB51" s="872" t="s">
        <v>1654</v>
      </c>
      <c r="AC51" s="872"/>
      <c r="AD51" s="872"/>
      <c r="AE51" s="872"/>
      <c r="AF51" s="1"/>
    </row>
    <row r="52" customFormat="false" ht="15.75" hidden="false" customHeight="true" outlineLevel="0" collapsed="false">
      <c r="A52" s="1"/>
      <c r="B52" s="868"/>
      <c r="C52" s="868"/>
      <c r="D52" s="868"/>
      <c r="E52" s="868"/>
      <c r="F52" s="868"/>
      <c r="G52" s="868"/>
      <c r="H52" s="868"/>
      <c r="I52" s="868"/>
      <c r="J52" s="868"/>
      <c r="K52" s="868"/>
      <c r="L52" s="869"/>
      <c r="M52" s="869"/>
      <c r="N52" s="869"/>
      <c r="O52" s="869"/>
      <c r="P52" s="622"/>
      <c r="Q52" s="622"/>
      <c r="R52" s="622"/>
      <c r="S52" s="622"/>
      <c r="T52" s="870"/>
      <c r="U52" s="870"/>
      <c r="V52" s="870"/>
      <c r="W52" s="870"/>
      <c r="X52" s="871"/>
      <c r="Y52" s="871"/>
      <c r="Z52" s="871"/>
      <c r="AA52" s="871"/>
      <c r="AB52" s="873" t="n">
        <v>2</v>
      </c>
      <c r="AC52" s="873"/>
      <c r="AD52" s="873"/>
      <c r="AE52" s="873"/>
      <c r="AF52" s="1"/>
    </row>
    <row r="53" customFormat="false" ht="15.75" hidden="false" customHeight="true" outlineLevel="0" collapsed="false">
      <c r="A53" s="1"/>
      <c r="B53" s="820" t="str">
        <f aca="false">B27</f>
        <v>M28261</v>
      </c>
      <c r="C53" s="820"/>
      <c r="D53" s="820"/>
      <c r="E53" s="874" t="str">
        <f aca="false">E27</f>
        <v>H&amp;S CO</v>
      </c>
      <c r="F53" s="874"/>
      <c r="G53" s="874"/>
      <c r="H53" s="874"/>
      <c r="I53" s="874"/>
      <c r="J53" s="874"/>
      <c r="K53" s="874"/>
      <c r="L53" s="875" t="n">
        <f aca="false">SUMIFS(TE!U:U,TE!D:D,$C$5,TE!G:G,B53,TE!U:U,"&lt;&gt;#N/A")</f>
        <v>256.592457</v>
      </c>
      <c r="M53" s="875"/>
      <c r="N53" s="875"/>
      <c r="O53" s="875"/>
      <c r="P53" s="637" t="n">
        <f aca="false">1.96*L53</f>
        <v>502.92121572</v>
      </c>
      <c r="Q53" s="637"/>
      <c r="R53" s="637"/>
      <c r="S53" s="637"/>
      <c r="T53" s="876" t="n">
        <f aca="false">P53/7</f>
        <v>71.84588796</v>
      </c>
      <c r="U53" s="876"/>
      <c r="V53" s="876"/>
      <c r="W53" s="876"/>
      <c r="X53" s="877" t="n">
        <f aca="false">AB64</f>
        <v>0</v>
      </c>
      <c r="Y53" s="877"/>
      <c r="Z53" s="877"/>
      <c r="AA53" s="877"/>
      <c r="AB53" s="878" t="n">
        <f aca="false">T53*$AB$52+X53</f>
        <v>143.69177592</v>
      </c>
      <c r="AC53" s="878"/>
      <c r="AD53" s="878"/>
      <c r="AE53" s="878"/>
      <c r="AF53" s="1"/>
    </row>
    <row r="54" customFormat="false" ht="15.75" hidden="false" customHeight="true" outlineLevel="0" collapsed="false">
      <c r="A54" s="1"/>
      <c r="B54" s="827" t="str">
        <f aca="false">B28</f>
        <v>M28263</v>
      </c>
      <c r="C54" s="827"/>
      <c r="D54" s="827"/>
      <c r="E54" s="879" t="str">
        <f aca="false">E28</f>
        <v>SURGICAL CO A</v>
      </c>
      <c r="F54" s="879"/>
      <c r="G54" s="879"/>
      <c r="H54" s="879"/>
      <c r="I54" s="879"/>
      <c r="J54" s="879"/>
      <c r="K54" s="879"/>
      <c r="L54" s="880" t="n">
        <f aca="false">SUMIFS(TE!U:U,TE!D:D,$C$5,TE!G:G,B54,TE!U:U,"&lt;&gt;#N/A")</f>
        <v>79.601703</v>
      </c>
      <c r="M54" s="880"/>
      <c r="N54" s="880"/>
      <c r="O54" s="880"/>
      <c r="P54" s="627" t="n">
        <f aca="false">1.96*L54</f>
        <v>156.01933788</v>
      </c>
      <c r="Q54" s="627"/>
      <c r="R54" s="627"/>
      <c r="S54" s="627"/>
      <c r="T54" s="881" t="n">
        <f aca="false">P54/7</f>
        <v>22.28847684</v>
      </c>
      <c r="U54" s="881"/>
      <c r="V54" s="881"/>
      <c r="W54" s="881"/>
      <c r="X54" s="882"/>
      <c r="Y54" s="882"/>
      <c r="Z54" s="882"/>
      <c r="AA54" s="882"/>
      <c r="AB54" s="883" t="n">
        <f aca="false">T54*$AB$52+X54</f>
        <v>44.57695368</v>
      </c>
      <c r="AC54" s="883"/>
      <c r="AD54" s="883"/>
      <c r="AE54" s="883"/>
      <c r="AF54" s="1"/>
    </row>
    <row r="55" customFormat="false" ht="15.75" hidden="false" customHeight="true" outlineLevel="0" collapsed="false">
      <c r="A55" s="1"/>
      <c r="B55" s="827" t="str">
        <f aca="false">B29</f>
        <v>M28262</v>
      </c>
      <c r="C55" s="827"/>
      <c r="D55" s="827"/>
      <c r="E55" s="879" t="str">
        <f aca="false">E29</f>
        <v>SURGICAL CO B</v>
      </c>
      <c r="F55" s="879"/>
      <c r="G55" s="879"/>
      <c r="H55" s="879"/>
      <c r="I55" s="879"/>
      <c r="J55" s="879"/>
      <c r="K55" s="879"/>
      <c r="L55" s="880" t="n">
        <f aca="false">SUMIFS(TE!U:U,TE!D:D,$C$5,TE!G:G,B55,TE!U:U,"&lt;&gt;#N/A")</f>
        <v>62.58318</v>
      </c>
      <c r="M55" s="880"/>
      <c r="N55" s="880"/>
      <c r="O55" s="880"/>
      <c r="P55" s="627" t="n">
        <f aca="false">1.96*L55</f>
        <v>122.6630328</v>
      </c>
      <c r="Q55" s="627"/>
      <c r="R55" s="627"/>
      <c r="S55" s="627"/>
      <c r="T55" s="881" t="n">
        <f aca="false">P55/7</f>
        <v>17.5232904</v>
      </c>
      <c r="U55" s="881"/>
      <c r="V55" s="881"/>
      <c r="W55" s="881"/>
      <c r="X55" s="882"/>
      <c r="Y55" s="882"/>
      <c r="Z55" s="882"/>
      <c r="AA55" s="882"/>
      <c r="AB55" s="883" t="n">
        <f aca="false">T55*$AB$52+X55</f>
        <v>35.0465808</v>
      </c>
      <c r="AC55" s="883"/>
      <c r="AD55" s="883"/>
      <c r="AE55" s="883"/>
      <c r="AF55" s="1"/>
    </row>
    <row r="56" customFormat="false" ht="15.75" hidden="false" customHeight="true" outlineLevel="0" collapsed="false">
      <c r="A56" s="1"/>
      <c r="B56" s="834" t="n">
        <f aca="false">B30</f>
        <v>0</v>
      </c>
      <c r="C56" s="834"/>
      <c r="D56" s="834"/>
      <c r="E56" s="884" t="n">
        <f aca="false">E30</f>
        <v>0</v>
      </c>
      <c r="F56" s="884"/>
      <c r="G56" s="884"/>
      <c r="H56" s="884"/>
      <c r="I56" s="884"/>
      <c r="J56" s="884"/>
      <c r="K56" s="884"/>
      <c r="L56" s="885" t="n">
        <f aca="false">SUMIFS(TE!U:U,TE!D:D,$C$5,TE!G:G,B56,TE!U:U,"&lt;&gt;#N/A")</f>
        <v>0</v>
      </c>
      <c r="M56" s="885"/>
      <c r="N56" s="885"/>
      <c r="O56" s="885"/>
      <c r="P56" s="632" t="n">
        <f aca="false">1.96*L56</f>
        <v>0</v>
      </c>
      <c r="Q56" s="632"/>
      <c r="R56" s="632"/>
      <c r="S56" s="632"/>
      <c r="T56" s="886" t="n">
        <f aca="false">P56/7</f>
        <v>0</v>
      </c>
      <c r="U56" s="886"/>
      <c r="V56" s="886"/>
      <c r="W56" s="886"/>
      <c r="X56" s="887"/>
      <c r="Y56" s="887"/>
      <c r="Z56" s="887"/>
      <c r="AA56" s="887"/>
      <c r="AB56" s="888" t="n">
        <f aca="false">T56*$AB$52+X56</f>
        <v>0</v>
      </c>
      <c r="AC56" s="888"/>
      <c r="AD56" s="888"/>
      <c r="AE56" s="888"/>
      <c r="AF56" s="1"/>
    </row>
    <row r="57" customFormat="false" ht="15.75" hidden="false" customHeight="true" outlineLevel="0" collapsed="false">
      <c r="A57" s="1"/>
      <c r="B57" s="858"/>
      <c r="C57" s="858"/>
      <c r="D57" s="858"/>
      <c r="E57" s="858"/>
      <c r="F57" s="858"/>
      <c r="G57" s="858"/>
      <c r="H57" s="858"/>
      <c r="I57" s="858"/>
      <c r="J57" s="858"/>
      <c r="K57" s="858"/>
      <c r="L57" s="846"/>
      <c r="M57" s="846"/>
      <c r="N57" s="846"/>
      <c r="O57" s="846"/>
      <c r="P57" s="889"/>
      <c r="Q57" s="889"/>
      <c r="R57" s="889"/>
      <c r="S57" s="889"/>
      <c r="T57" s="889"/>
      <c r="U57" s="889"/>
      <c r="V57" s="889"/>
      <c r="W57" s="889"/>
      <c r="X57" s="890"/>
      <c r="Y57" s="890"/>
      <c r="Z57" s="890"/>
      <c r="AA57" s="844" t="s">
        <v>25</v>
      </c>
      <c r="AB57" s="891" t="n">
        <f aca="false">SUM(AB53:AE56)</f>
        <v>223.3153104</v>
      </c>
      <c r="AC57" s="891"/>
      <c r="AD57" s="891"/>
      <c r="AE57" s="891"/>
      <c r="AF57" s="1"/>
    </row>
    <row r="58" customFormat="false" ht="15.75" hidden="false" customHeight="true" outlineLevel="0" collapsed="false">
      <c r="A58" s="1"/>
      <c r="B58" s="1"/>
      <c r="C58" s="1"/>
      <c r="D58" s="1"/>
      <c r="E58" s="1"/>
      <c r="F58" s="1"/>
      <c r="G58" s="1"/>
      <c r="H58" s="1"/>
      <c r="I58" s="1"/>
      <c r="J58" s="1"/>
      <c r="K58" s="1"/>
      <c r="L58" s="1"/>
      <c r="M58" s="1"/>
      <c r="N58" s="1"/>
      <c r="O58" s="1"/>
      <c r="P58" s="1"/>
      <c r="Q58" s="1"/>
      <c r="R58" s="1"/>
      <c r="S58" s="1"/>
      <c r="T58" s="1"/>
      <c r="U58" s="1"/>
      <c r="V58" s="1"/>
      <c r="W58" s="1"/>
      <c r="X58" s="1"/>
      <c r="Y58" s="892"/>
      <c r="Z58" s="892"/>
      <c r="AF58" s="1"/>
    </row>
    <row r="59" customFormat="false" ht="15.75" hidden="false" customHeight="true" outlineLevel="0" collapsed="false">
      <c r="A59" s="1"/>
      <c r="B59" s="848" t="s">
        <v>2286</v>
      </c>
      <c r="C59" s="867"/>
      <c r="D59" s="867"/>
      <c r="E59" s="867"/>
      <c r="F59" s="867"/>
      <c r="G59" s="867"/>
      <c r="H59" s="867"/>
      <c r="I59" s="867"/>
      <c r="J59" s="867"/>
      <c r="K59" s="867"/>
      <c r="L59" s="867"/>
      <c r="M59" s="867"/>
      <c r="N59" s="867"/>
      <c r="O59" s="867"/>
      <c r="P59" s="867"/>
      <c r="Q59" s="867"/>
      <c r="R59" s="867"/>
      <c r="S59" s="867"/>
      <c r="T59" s="867"/>
      <c r="U59" s="867"/>
      <c r="V59" s="867"/>
      <c r="W59" s="867"/>
      <c r="X59" s="867"/>
      <c r="Y59" s="867"/>
      <c r="Z59" s="867"/>
      <c r="AA59" s="867"/>
      <c r="AB59" s="867"/>
      <c r="AC59" s="1"/>
      <c r="AD59" s="1"/>
      <c r="AE59" s="1"/>
      <c r="AF59" s="1"/>
    </row>
    <row r="60" customFormat="false" ht="15.75" hidden="false" customHeight="true" outlineLevel="0" collapsed="false">
      <c r="A60" s="1"/>
      <c r="B60" s="893" t="s">
        <v>13</v>
      </c>
      <c r="C60" s="893"/>
      <c r="D60" s="893"/>
      <c r="E60" s="893"/>
      <c r="F60" s="893"/>
      <c r="G60" s="893"/>
      <c r="H60" s="893"/>
      <c r="I60" s="893"/>
      <c r="J60" s="893"/>
      <c r="K60" s="894" t="s">
        <v>1544</v>
      </c>
      <c r="L60" s="894"/>
      <c r="M60" s="894" t="s">
        <v>2287</v>
      </c>
      <c r="N60" s="894"/>
      <c r="O60" s="894" t="s">
        <v>2288</v>
      </c>
      <c r="P60" s="894"/>
      <c r="Q60" s="894" t="s">
        <v>2289</v>
      </c>
      <c r="R60" s="894"/>
      <c r="S60" s="895" t="s">
        <v>2290</v>
      </c>
      <c r="T60" s="895"/>
      <c r="U60" s="622" t="s">
        <v>2291</v>
      </c>
      <c r="V60" s="622"/>
      <c r="W60" s="622"/>
      <c r="X60" s="622" t="s">
        <v>2292</v>
      </c>
      <c r="Y60" s="622"/>
      <c r="Z60" s="622"/>
      <c r="AA60" s="622"/>
      <c r="AB60" s="872" t="s">
        <v>1654</v>
      </c>
      <c r="AC60" s="872"/>
      <c r="AD60" s="872"/>
      <c r="AE60" s="872"/>
      <c r="AF60" s="1"/>
    </row>
    <row r="61" customFormat="false" ht="15.75" hidden="false" customHeight="true" outlineLevel="0" collapsed="false">
      <c r="A61" s="1"/>
      <c r="B61" s="893"/>
      <c r="C61" s="893"/>
      <c r="D61" s="893"/>
      <c r="E61" s="893"/>
      <c r="F61" s="893"/>
      <c r="G61" s="893"/>
      <c r="H61" s="893"/>
      <c r="I61" s="893"/>
      <c r="J61" s="893"/>
      <c r="K61" s="894"/>
      <c r="L61" s="894"/>
      <c r="M61" s="894"/>
      <c r="N61" s="894"/>
      <c r="O61" s="894"/>
      <c r="P61" s="894"/>
      <c r="Q61" s="894"/>
      <c r="R61" s="894"/>
      <c r="S61" s="895"/>
      <c r="T61" s="895"/>
      <c r="U61" s="622"/>
      <c r="V61" s="622"/>
      <c r="W61" s="622"/>
      <c r="X61" s="622"/>
      <c r="Y61" s="622"/>
      <c r="Z61" s="622"/>
      <c r="AA61" s="622"/>
      <c r="AB61" s="873" t="n">
        <v>2</v>
      </c>
      <c r="AC61" s="873"/>
      <c r="AD61" s="873"/>
      <c r="AE61" s="873"/>
      <c r="AF61" s="1"/>
    </row>
    <row r="62" customFormat="false" ht="15.75" hidden="false" customHeight="true" outlineLevel="0" collapsed="false">
      <c r="A62" s="1"/>
      <c r="B62" s="896"/>
      <c r="C62" s="897"/>
      <c r="D62" s="897"/>
      <c r="E62" s="897"/>
      <c r="F62" s="897"/>
      <c r="G62" s="897"/>
      <c r="H62" s="897"/>
      <c r="I62" s="897"/>
      <c r="J62" s="897"/>
      <c r="K62" s="898"/>
      <c r="L62" s="898"/>
      <c r="M62" s="898"/>
      <c r="N62" s="898"/>
      <c r="O62" s="898"/>
      <c r="P62" s="898"/>
      <c r="Q62" s="898"/>
      <c r="R62" s="898"/>
      <c r="S62" s="898"/>
      <c r="T62" s="898"/>
      <c r="U62" s="637" t="n">
        <f aca="false">K62*(M62*O62*Q62/1728)*S62</f>
        <v>0</v>
      </c>
      <c r="V62" s="637"/>
      <c r="W62" s="637"/>
      <c r="X62" s="876" t="n">
        <f aca="false">U62/12</f>
        <v>0</v>
      </c>
      <c r="Y62" s="876"/>
      <c r="Z62" s="876"/>
      <c r="AA62" s="876"/>
      <c r="AB62" s="899" t="n">
        <f aca="false">X62*AB61</f>
        <v>0</v>
      </c>
      <c r="AC62" s="899"/>
      <c r="AD62" s="899"/>
      <c r="AE62" s="899"/>
      <c r="AF62" s="1"/>
    </row>
    <row r="63" customFormat="false" ht="15.75" hidden="false" customHeight="true" outlineLevel="0" collapsed="false">
      <c r="A63" s="1"/>
      <c r="B63" s="900"/>
      <c r="C63" s="901"/>
      <c r="D63" s="901"/>
      <c r="E63" s="901"/>
      <c r="F63" s="901"/>
      <c r="G63" s="901"/>
      <c r="H63" s="901"/>
      <c r="I63" s="901"/>
      <c r="J63" s="901"/>
      <c r="K63" s="902"/>
      <c r="L63" s="902"/>
      <c r="M63" s="902"/>
      <c r="N63" s="902"/>
      <c r="O63" s="902"/>
      <c r="P63" s="902"/>
      <c r="Q63" s="902"/>
      <c r="R63" s="902"/>
      <c r="S63" s="902"/>
      <c r="T63" s="902"/>
      <c r="U63" s="632" t="n">
        <f aca="false">K63*(M63*O63*Q63/1728)*S63</f>
        <v>0</v>
      </c>
      <c r="V63" s="632"/>
      <c r="W63" s="632"/>
      <c r="X63" s="886" t="n">
        <f aca="false">U63/12</f>
        <v>0</v>
      </c>
      <c r="Y63" s="886"/>
      <c r="Z63" s="886"/>
      <c r="AA63" s="886"/>
      <c r="AB63" s="903" t="n">
        <f aca="false">X63*AB61</f>
        <v>0</v>
      </c>
      <c r="AC63" s="903"/>
      <c r="AD63" s="903"/>
      <c r="AE63" s="903"/>
      <c r="AF63" s="1"/>
    </row>
    <row r="64" customFormat="false" ht="15.75" hidden="false" customHeight="true" outlineLevel="0" collapsed="false">
      <c r="A64" s="1"/>
      <c r="B64" s="904"/>
      <c r="C64" s="904"/>
      <c r="D64" s="904"/>
      <c r="E64" s="904"/>
      <c r="F64" s="904"/>
      <c r="G64" s="904"/>
      <c r="H64" s="904"/>
      <c r="I64" s="904"/>
      <c r="J64" s="1"/>
      <c r="K64" s="1"/>
      <c r="L64" s="1"/>
      <c r="M64" s="1"/>
      <c r="N64" s="1"/>
      <c r="O64" s="1"/>
      <c r="P64" s="1"/>
      <c r="Q64" s="1"/>
      <c r="R64" s="1"/>
      <c r="S64" s="1"/>
      <c r="T64" s="1"/>
      <c r="U64" s="1"/>
      <c r="V64" s="1"/>
      <c r="W64" s="1"/>
      <c r="X64" s="1"/>
      <c r="Y64" s="1"/>
      <c r="Z64" s="1"/>
      <c r="AA64" s="844" t="s">
        <v>25</v>
      </c>
      <c r="AB64" s="860" t="n">
        <f aca="false">SUM(AB62:AE63)</f>
        <v>0</v>
      </c>
      <c r="AC64" s="860"/>
      <c r="AD64" s="860"/>
      <c r="AE64" s="860"/>
      <c r="AF64" s="1"/>
    </row>
    <row r="65" customFormat="false" ht="15.75" hidden="false" customHeight="true" outlineLevel="0" collapsed="false">
      <c r="A65" s="1"/>
      <c r="B65" s="865"/>
      <c r="C65" s="865"/>
      <c r="D65" s="865"/>
      <c r="E65" s="865"/>
      <c r="F65" s="865"/>
      <c r="G65" s="865"/>
      <c r="H65" s="865"/>
      <c r="I65" s="865"/>
      <c r="J65" s="865"/>
      <c r="K65" s="865"/>
      <c r="L65" s="865"/>
      <c r="M65" s="865"/>
      <c r="N65" s="865"/>
      <c r="O65" s="865"/>
      <c r="P65" s="865"/>
      <c r="Q65" s="865"/>
      <c r="R65" s="865"/>
      <c r="S65" s="865"/>
      <c r="T65" s="865"/>
      <c r="U65" s="865"/>
      <c r="V65" s="865"/>
      <c r="W65" s="865"/>
      <c r="X65" s="865"/>
      <c r="Y65" s="865"/>
      <c r="Z65" s="1"/>
      <c r="AA65" s="1"/>
      <c r="AB65" s="1"/>
      <c r="AC65" s="1"/>
      <c r="AD65" s="1"/>
      <c r="AE65" s="1"/>
      <c r="AF65" s="1"/>
    </row>
    <row r="66" customFormat="false" ht="15.75" hidden="false" customHeight="true" outlineLevel="0" collapsed="false">
      <c r="A66" s="1"/>
      <c r="B66" s="812" t="s">
        <v>2293</v>
      </c>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row>
    <row r="67" customFormat="false" ht="15.75" hidden="false" customHeight="true" outlineLevel="0" collapsed="false">
      <c r="A67" s="1"/>
      <c r="B67" s="905" t="s">
        <v>1533</v>
      </c>
      <c r="C67" s="905"/>
      <c r="D67" s="905"/>
      <c r="E67" s="905"/>
      <c r="F67" s="905"/>
      <c r="G67" s="905"/>
      <c r="H67" s="905"/>
      <c r="I67" s="905"/>
      <c r="J67" s="905"/>
      <c r="K67" s="905"/>
      <c r="L67" s="906" t="s">
        <v>2294</v>
      </c>
      <c r="M67" s="906"/>
      <c r="N67" s="906"/>
      <c r="O67" s="906"/>
      <c r="P67" s="906"/>
      <c r="Q67" s="906"/>
      <c r="R67" s="906"/>
      <c r="S67" s="906"/>
      <c r="T67" s="906"/>
      <c r="U67" s="906"/>
      <c r="V67" s="906"/>
      <c r="W67" s="906"/>
      <c r="X67" s="907" t="s">
        <v>2295</v>
      </c>
      <c r="Y67" s="907"/>
      <c r="Z67" s="907"/>
      <c r="AA67" s="908" t="n">
        <v>1.33</v>
      </c>
      <c r="AB67" s="908"/>
      <c r="AC67" s="908"/>
      <c r="AD67" s="908"/>
      <c r="AE67" s="1"/>
      <c r="AF67" s="1"/>
    </row>
    <row r="68" customFormat="false" ht="15.75" hidden="false" customHeight="true" outlineLevel="0" collapsed="false">
      <c r="A68" s="1"/>
      <c r="B68" s="905"/>
      <c r="C68" s="905"/>
      <c r="D68" s="905"/>
      <c r="E68" s="905"/>
      <c r="F68" s="905"/>
      <c r="G68" s="905"/>
      <c r="H68" s="905"/>
      <c r="I68" s="905"/>
      <c r="J68" s="905"/>
      <c r="K68" s="905"/>
      <c r="L68" s="909" t="s">
        <v>2296</v>
      </c>
      <c r="M68" s="909"/>
      <c r="N68" s="910" t="s">
        <v>2297</v>
      </c>
      <c r="O68" s="910"/>
      <c r="P68" s="911" t="s">
        <v>2298</v>
      </c>
      <c r="Q68" s="911"/>
      <c r="R68" s="910" t="s">
        <v>2299</v>
      </c>
      <c r="S68" s="910"/>
      <c r="T68" s="910" t="s">
        <v>2300</v>
      </c>
      <c r="U68" s="910"/>
      <c r="V68" s="912" t="s">
        <v>2301</v>
      </c>
      <c r="W68" s="912"/>
      <c r="X68" s="907"/>
      <c r="Y68" s="907"/>
      <c r="Z68" s="907"/>
      <c r="AA68" s="913" t="s">
        <v>2302</v>
      </c>
      <c r="AB68" s="913"/>
      <c r="AC68" s="913"/>
      <c r="AD68" s="913"/>
      <c r="AE68" s="1"/>
      <c r="AF68" s="1"/>
    </row>
    <row r="69" customFormat="false" ht="15.75" hidden="false" customHeight="true" outlineLevel="0" collapsed="false">
      <c r="A69" s="1"/>
      <c r="B69" s="905"/>
      <c r="C69" s="905"/>
      <c r="D69" s="905"/>
      <c r="E69" s="905"/>
      <c r="F69" s="905"/>
      <c r="G69" s="905"/>
      <c r="H69" s="905"/>
      <c r="I69" s="905"/>
      <c r="J69" s="905"/>
      <c r="K69" s="905"/>
      <c r="L69" s="914" t="n">
        <v>600</v>
      </c>
      <c r="M69" s="914"/>
      <c r="N69" s="915" t="n">
        <v>600</v>
      </c>
      <c r="O69" s="915"/>
      <c r="P69" s="915" t="n">
        <v>600</v>
      </c>
      <c r="Q69" s="915"/>
      <c r="R69" s="915" t="n">
        <v>600</v>
      </c>
      <c r="S69" s="915"/>
      <c r="T69" s="915" t="n">
        <v>600</v>
      </c>
      <c r="U69" s="915"/>
      <c r="V69" s="916" t="n">
        <v>950</v>
      </c>
      <c r="W69" s="916"/>
      <c r="X69" s="907"/>
      <c r="Y69" s="907"/>
      <c r="Z69" s="907"/>
      <c r="AA69" s="917"/>
      <c r="AB69" s="917"/>
      <c r="AC69" s="917"/>
      <c r="AD69" s="917"/>
      <c r="AE69" s="1"/>
      <c r="AF69" s="1"/>
    </row>
    <row r="70" customFormat="false" ht="15.75" hidden="false" customHeight="true" outlineLevel="0" collapsed="false">
      <c r="A70" s="1"/>
      <c r="B70" s="820" t="str">
        <f aca="false">B27</f>
        <v>M28261</v>
      </c>
      <c r="C70" s="820"/>
      <c r="D70" s="820"/>
      <c r="E70" s="918" t="str">
        <f aca="false">E27</f>
        <v>H&amp;S CO</v>
      </c>
      <c r="F70" s="918"/>
      <c r="G70" s="918"/>
      <c r="H70" s="918"/>
      <c r="I70" s="918"/>
      <c r="J70" s="918"/>
      <c r="K70" s="918"/>
      <c r="L70" s="919" t="n">
        <f aca="false">ROUNDUP((COUNTIFS(TO!C:C,"21710rs",TO!F:F,B70)/15),0)</f>
        <v>0</v>
      </c>
      <c r="M70" s="919"/>
      <c r="N70" s="920" t="n">
        <f aca="false">ROUNDUP((COUNTIFS(TO!C:C,"21710cs",TO!F:F,B70)/15),0)</f>
        <v>0</v>
      </c>
      <c r="O70" s="920"/>
      <c r="P70" s="920" t="n">
        <f aca="false">ROUNDUP((COUNTIFS(TO!C:C,"21710ds",TO!F:F,D70)/15),0)</f>
        <v>0</v>
      </c>
      <c r="Q70" s="920"/>
      <c r="R70" s="920" t="n">
        <f aca="false">ROUNDUP((COUNTIFS(TO!C:C,"21710ws",TO!F:F,F70)/15),0)</f>
        <v>0</v>
      </c>
      <c r="S70" s="920"/>
      <c r="T70" s="920" t="n">
        <f aca="false">ROUNDUP((COUNTIFS(TO!C:C,"21710es",TO!F:F,B70)/15),0)</f>
        <v>0</v>
      </c>
      <c r="U70" s="920"/>
      <c r="V70" s="921" t="n">
        <f aca="false">ROUNDUP((COUNTIFS(TO!C:C,"21710ms",TO!F:F,B70)/15),0)</f>
        <v>0</v>
      </c>
      <c r="W70" s="921"/>
      <c r="X70" s="922" t="n">
        <f aca="false">L70*$L$69+N70*$N$69+P70*$P$69+R70*$R$69+T70*T69+V70*$V$69</f>
        <v>0</v>
      </c>
      <c r="Y70" s="922"/>
      <c r="Z70" s="922"/>
      <c r="AA70" s="923" t="n">
        <f aca="false">X70*$AA$67</f>
        <v>0</v>
      </c>
      <c r="AB70" s="923"/>
      <c r="AC70" s="923"/>
      <c r="AD70" s="923"/>
      <c r="AE70" s="1"/>
      <c r="AF70" s="1"/>
    </row>
    <row r="71" customFormat="false" ht="15.75" hidden="false" customHeight="true" outlineLevel="0" collapsed="false">
      <c r="A71" s="1"/>
      <c r="B71" s="827" t="str">
        <f aca="false">B28</f>
        <v>M28263</v>
      </c>
      <c r="C71" s="827"/>
      <c r="D71" s="827"/>
      <c r="E71" s="924" t="str">
        <f aca="false">E28</f>
        <v>SURGICAL CO A</v>
      </c>
      <c r="F71" s="924"/>
      <c r="G71" s="924"/>
      <c r="H71" s="924"/>
      <c r="I71" s="924"/>
      <c r="J71" s="924"/>
      <c r="K71" s="924"/>
      <c r="L71" s="925" t="n">
        <f aca="false">ROUNDUP((COUNTIFS(TO!C:C,"21710rs",TO!F:F,B71)/15),0)</f>
        <v>0</v>
      </c>
      <c r="M71" s="925"/>
      <c r="N71" s="926" t="n">
        <f aca="false">ROUNDUP((COUNTIFS(TO!C:C,"21710cs",TO!F:F,B71)/15),0)</f>
        <v>0</v>
      </c>
      <c r="O71" s="926"/>
      <c r="P71" s="926" t="n">
        <f aca="false">ROUNDUP((COUNTIFS(TO!C:C,"21710ds",TO!F:F,D71)/15),0)</f>
        <v>0</v>
      </c>
      <c r="Q71" s="926"/>
      <c r="R71" s="926" t="n">
        <f aca="false">ROUNDUP((COUNTIFS(TO!C:C,"21710ws",TO!F:F,F71)/15),0)</f>
        <v>0</v>
      </c>
      <c r="S71" s="926"/>
      <c r="T71" s="926" t="n">
        <f aca="false">ROUNDUP((COUNTIFS(TO!C:C,"21710es",TO!F:F,B71)/15),0)</f>
        <v>0</v>
      </c>
      <c r="U71" s="926"/>
      <c r="V71" s="927" t="n">
        <f aca="false">ROUNDUP((COUNTIFS(TO!C:C,"21710ms",TO!F:F,B71)/15),0)</f>
        <v>0</v>
      </c>
      <c r="W71" s="927"/>
      <c r="X71" s="928" t="n">
        <f aca="false">L71*$L$69+N71*$N$69+P71*$P$69+R71*$R$69+T71*T70+V71*$V$69</f>
        <v>0</v>
      </c>
      <c r="Y71" s="928"/>
      <c r="Z71" s="928"/>
      <c r="AA71" s="929" t="n">
        <f aca="false">X71*$AA$67</f>
        <v>0</v>
      </c>
      <c r="AB71" s="929"/>
      <c r="AC71" s="929"/>
      <c r="AD71" s="929"/>
      <c r="AE71" s="1"/>
      <c r="AF71" s="1"/>
    </row>
    <row r="72" customFormat="false" ht="15.75" hidden="false" customHeight="true" outlineLevel="0" collapsed="false">
      <c r="A72" s="1"/>
      <c r="B72" s="827" t="str">
        <f aca="false">B29</f>
        <v>M28262</v>
      </c>
      <c r="C72" s="827"/>
      <c r="D72" s="827"/>
      <c r="E72" s="924" t="str">
        <f aca="false">E29</f>
        <v>SURGICAL CO B</v>
      </c>
      <c r="F72" s="924"/>
      <c r="G72" s="924"/>
      <c r="H72" s="924"/>
      <c r="I72" s="924"/>
      <c r="J72" s="924"/>
      <c r="K72" s="924"/>
      <c r="L72" s="925" t="n">
        <f aca="false">ROUNDUP((COUNTIFS(TO!C:C,"21710rs",TO!F:F,B72)/15),0)</f>
        <v>0</v>
      </c>
      <c r="M72" s="925"/>
      <c r="N72" s="926" t="n">
        <f aca="false">ROUNDUP((COUNTIFS(TO!C:C,"21710cs",TO!F:F,B72)/15),0)</f>
        <v>0</v>
      </c>
      <c r="O72" s="926"/>
      <c r="P72" s="926" t="n">
        <f aca="false">ROUNDUP((COUNTIFS(TO!C:C,"21710ds",TO!F:F,D72)/15),0)</f>
        <v>0</v>
      </c>
      <c r="Q72" s="926"/>
      <c r="R72" s="926" t="n">
        <f aca="false">ROUNDUP((COUNTIFS(TO!C:C,"21710ws",TO!F:F,F72)/15),0)</f>
        <v>0</v>
      </c>
      <c r="S72" s="926"/>
      <c r="T72" s="926" t="n">
        <f aca="false">ROUNDUP((COUNTIFS(TO!C:C,"21710es",TO!F:F,B72)/15),0)</f>
        <v>0</v>
      </c>
      <c r="U72" s="926"/>
      <c r="V72" s="927" t="n">
        <f aca="false">ROUNDUP((COUNTIFS(TO!C:C,"21710ms",TO!F:F,B72)/15),0)</f>
        <v>0</v>
      </c>
      <c r="W72" s="927"/>
      <c r="X72" s="928" t="n">
        <f aca="false">L72*$L$69+N72*$N$69+P72*$P$69+R72*$R$69+T72*T71+V72*$V$69</f>
        <v>0</v>
      </c>
      <c r="Y72" s="928"/>
      <c r="Z72" s="928"/>
      <c r="AA72" s="929" t="n">
        <f aca="false">X72*$AA$67</f>
        <v>0</v>
      </c>
      <c r="AB72" s="929"/>
      <c r="AC72" s="929"/>
      <c r="AD72" s="929"/>
      <c r="AE72" s="1"/>
      <c r="AF72" s="1"/>
    </row>
    <row r="73" customFormat="false" ht="15.75" hidden="false" customHeight="true" outlineLevel="0" collapsed="false">
      <c r="A73" s="1"/>
      <c r="B73" s="834" t="n">
        <f aca="false">B30</f>
        <v>0</v>
      </c>
      <c r="C73" s="834"/>
      <c r="D73" s="834"/>
      <c r="E73" s="930" t="n">
        <f aca="false">E30</f>
        <v>0</v>
      </c>
      <c r="F73" s="930"/>
      <c r="G73" s="930"/>
      <c r="H73" s="930"/>
      <c r="I73" s="930"/>
      <c r="J73" s="930"/>
      <c r="K73" s="930"/>
      <c r="L73" s="931" t="n">
        <f aca="false">ROUNDUP((COUNTIFS(TO!C:C,"21710rs",TO!F:F,B73)/15),0)</f>
        <v>0</v>
      </c>
      <c r="M73" s="931"/>
      <c r="N73" s="932" t="n">
        <f aca="false">ROUNDUP((COUNTIFS(TO!C:C,"21710cs",TO!F:F,B73)/15),0)</f>
        <v>0</v>
      </c>
      <c r="O73" s="932"/>
      <c r="P73" s="932" t="n">
        <f aca="false">ROUNDUP((COUNTIFS(TO!C:C,"21710ds",TO!F:F,D73)/15),0)</f>
        <v>0</v>
      </c>
      <c r="Q73" s="932"/>
      <c r="R73" s="932" t="n">
        <f aca="false">ROUNDUP((COUNTIFS(TO!C:C,"21710ws",TO!F:F,F73)/15),0)</f>
        <v>0</v>
      </c>
      <c r="S73" s="932"/>
      <c r="T73" s="932" t="n">
        <f aca="false">ROUNDUP((COUNTIFS(TO!C:C,"21710es",TO!F:F,B73)/15),0)</f>
        <v>0</v>
      </c>
      <c r="U73" s="932"/>
      <c r="V73" s="933" t="n">
        <f aca="false">ROUNDUP((COUNTIFS(TO!C:C,"21710ms",TO!F:F,B73)/15),0)</f>
        <v>0</v>
      </c>
      <c r="W73" s="933"/>
      <c r="X73" s="934" t="n">
        <f aca="false">L73*$L$69+N73*$N$69+P73*$P$69+R73*$R$69+T73*T72+V73*$V$69</f>
        <v>0</v>
      </c>
      <c r="Y73" s="934"/>
      <c r="Z73" s="934"/>
      <c r="AA73" s="935" t="n">
        <f aca="false">X73*$AA$67</f>
        <v>0</v>
      </c>
      <c r="AB73" s="935"/>
      <c r="AC73" s="935"/>
      <c r="AD73" s="935"/>
      <c r="AE73" s="1"/>
      <c r="AF73" s="1"/>
    </row>
    <row r="74" customFormat="false" ht="15.75" hidden="false" customHeight="true" outlineLevel="0" collapsed="false">
      <c r="A74" s="1"/>
      <c r="B74" s="858"/>
      <c r="C74" s="858"/>
      <c r="D74" s="858"/>
      <c r="E74" s="858"/>
      <c r="F74" s="858"/>
      <c r="G74" s="858"/>
      <c r="H74" s="858"/>
      <c r="I74" s="858"/>
      <c r="J74" s="858"/>
      <c r="K74" s="858"/>
      <c r="L74" s="936"/>
      <c r="M74" s="936"/>
      <c r="N74" s="936"/>
      <c r="O74" s="936"/>
      <c r="P74" s="936"/>
      <c r="Q74" s="936"/>
      <c r="R74" s="936"/>
      <c r="S74" s="936"/>
      <c r="T74" s="936"/>
      <c r="U74" s="936"/>
      <c r="V74" s="937"/>
      <c r="W74" s="938" t="s">
        <v>25</v>
      </c>
      <c r="X74" s="938"/>
      <c r="Y74" s="938"/>
      <c r="Z74" s="939"/>
      <c r="AA74" s="940" t="n">
        <f aca="false">SUM(AA70:AC73)</f>
        <v>0</v>
      </c>
      <c r="AB74" s="940"/>
      <c r="AC74" s="940"/>
      <c r="AD74" s="940"/>
      <c r="AE74" s="1"/>
      <c r="AF74" s="1"/>
    </row>
    <row r="75" customFormat="false" ht="15.75" hidden="false" customHeight="true" outlineLevel="0" collapsed="false">
      <c r="A75" s="1"/>
      <c r="B75" s="941"/>
      <c r="C75" s="941"/>
      <c r="D75" s="941"/>
      <c r="E75" s="941"/>
      <c r="F75" s="941"/>
      <c r="G75" s="941"/>
      <c r="H75" s="941"/>
      <c r="I75" s="941"/>
      <c r="J75" s="941"/>
      <c r="K75" s="941"/>
      <c r="L75" s="941"/>
      <c r="M75" s="941"/>
      <c r="N75" s="941"/>
      <c r="O75" s="941"/>
      <c r="P75" s="941"/>
      <c r="Q75" s="941"/>
      <c r="R75" s="941"/>
      <c r="S75" s="941"/>
      <c r="T75" s="941"/>
      <c r="U75" s="941"/>
      <c r="V75" s="941"/>
      <c r="Z75" s="1"/>
      <c r="AE75" s="1"/>
      <c r="AF75" s="1"/>
    </row>
    <row r="76" customFormat="false" ht="15.75" hidden="false" customHeight="true" outlineLevel="0" collapsed="false">
      <c r="A76" s="1"/>
      <c r="B76" s="812" t="s">
        <v>2303</v>
      </c>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row>
    <row r="77" customFormat="false" ht="15.75" hidden="false" customHeight="true" outlineLevel="0" collapsed="false">
      <c r="A77" s="1"/>
      <c r="B77" s="905" t="s">
        <v>1533</v>
      </c>
      <c r="C77" s="905"/>
      <c r="D77" s="905"/>
      <c r="E77" s="905"/>
      <c r="F77" s="905"/>
      <c r="G77" s="905"/>
      <c r="H77" s="905"/>
      <c r="I77" s="905"/>
      <c r="J77" s="905"/>
      <c r="K77" s="905"/>
      <c r="L77" s="942" t="s">
        <v>2304</v>
      </c>
      <c r="M77" s="942"/>
      <c r="N77" s="623" t="s">
        <v>2302</v>
      </c>
      <c r="O77" s="623"/>
      <c r="P77" s="623"/>
      <c r="Q77" s="943"/>
      <c r="R77" s="944" t="s">
        <v>2305</v>
      </c>
      <c r="S77" s="944"/>
      <c r="T77" s="944"/>
      <c r="U77" s="944"/>
      <c r="V77" s="945" t="n">
        <v>34</v>
      </c>
      <c r="W77" s="945"/>
      <c r="X77" s="1" t="s">
        <v>2306</v>
      </c>
      <c r="Y77" s="1"/>
      <c r="Z77" s="1"/>
      <c r="AA77" s="1"/>
      <c r="AB77" s="1"/>
      <c r="AC77" s="1"/>
      <c r="AD77" s="1"/>
      <c r="AE77" s="1"/>
      <c r="AF77" s="1"/>
    </row>
    <row r="78" customFormat="false" ht="15.75" hidden="false" customHeight="true" outlineLevel="0" collapsed="false">
      <c r="A78" s="1"/>
      <c r="B78" s="905"/>
      <c r="C78" s="905"/>
      <c r="D78" s="905"/>
      <c r="E78" s="905"/>
      <c r="F78" s="905"/>
      <c r="G78" s="905"/>
      <c r="H78" s="905"/>
      <c r="I78" s="905"/>
      <c r="J78" s="905"/>
      <c r="K78" s="905"/>
      <c r="L78" s="942"/>
      <c r="M78" s="942"/>
      <c r="N78" s="623"/>
      <c r="O78" s="623"/>
      <c r="P78" s="623"/>
      <c r="Q78" s="946"/>
      <c r="R78" s="944" t="s">
        <v>2307</v>
      </c>
      <c r="S78" s="944"/>
      <c r="T78" s="944"/>
      <c r="U78" s="944"/>
      <c r="V78" s="945" t="n">
        <v>16</v>
      </c>
      <c r="W78" s="945"/>
      <c r="X78" s="1" t="s">
        <v>2306</v>
      </c>
      <c r="Y78" s="1"/>
      <c r="Z78" s="1"/>
      <c r="AA78" s="1"/>
      <c r="AB78" s="1"/>
      <c r="AC78" s="1"/>
      <c r="AD78" s="1"/>
      <c r="AE78" s="1"/>
      <c r="AF78" s="1"/>
    </row>
    <row r="79" customFormat="false" ht="15.75" hidden="false" customHeight="true" outlineLevel="0" collapsed="false">
      <c r="A79" s="1"/>
      <c r="B79" s="905"/>
      <c r="C79" s="905"/>
      <c r="D79" s="905"/>
      <c r="E79" s="905"/>
      <c r="F79" s="905"/>
      <c r="G79" s="905"/>
      <c r="H79" s="905"/>
      <c r="I79" s="905"/>
      <c r="J79" s="905"/>
      <c r="K79" s="905"/>
      <c r="L79" s="947" t="n">
        <f aca="false">V77*V78</f>
        <v>544</v>
      </c>
      <c r="M79" s="947"/>
      <c r="N79" s="623"/>
      <c r="O79" s="623"/>
      <c r="P79" s="623"/>
      <c r="Q79" s="946"/>
      <c r="R79" s="946"/>
      <c r="S79" s="946"/>
      <c r="T79" s="948"/>
      <c r="U79" s="1"/>
      <c r="V79" s="1"/>
      <c r="W79" s="1"/>
      <c r="X79" s="1"/>
      <c r="Y79" s="1"/>
      <c r="Z79" s="1"/>
      <c r="AA79" s="1"/>
      <c r="AB79" s="1"/>
      <c r="AC79" s="1"/>
      <c r="AD79" s="1"/>
      <c r="AE79" s="1"/>
      <c r="AF79" s="1"/>
    </row>
    <row r="80" customFormat="false" ht="15.75" hidden="false" customHeight="true" outlineLevel="0" collapsed="false">
      <c r="A80" s="1"/>
      <c r="B80" s="820" t="str">
        <f aca="false">B27</f>
        <v>M28261</v>
      </c>
      <c r="C80" s="820"/>
      <c r="D80" s="820"/>
      <c r="E80" s="918" t="str">
        <f aca="false">E27</f>
        <v>H&amp;S CO</v>
      </c>
      <c r="F80" s="918"/>
      <c r="G80" s="918"/>
      <c r="H80" s="918"/>
      <c r="I80" s="918"/>
      <c r="J80" s="918"/>
      <c r="K80" s="918"/>
      <c r="L80" s="949" t="n">
        <f aca="false">ROUNDUP(((SUM(L70:U70)*0.5+V70)),0)</f>
        <v>0</v>
      </c>
      <c r="M80" s="949"/>
      <c r="N80" s="950" t="n">
        <f aca="false">L80*$L$79</f>
        <v>0</v>
      </c>
      <c r="O80" s="950"/>
      <c r="P80" s="950"/>
      <c r="Q80" s="951"/>
      <c r="R80" s="951"/>
      <c r="S80" s="951"/>
      <c r="T80" s="948"/>
      <c r="U80" s="1"/>
      <c r="V80" s="1"/>
      <c r="W80" s="1"/>
      <c r="X80" s="1"/>
      <c r="Y80" s="1"/>
      <c r="Z80" s="1"/>
      <c r="AA80" s="1"/>
      <c r="AB80" s="1"/>
      <c r="AC80" s="1"/>
      <c r="AD80" s="1"/>
      <c r="AE80" s="1"/>
      <c r="AF80" s="1"/>
    </row>
    <row r="81" customFormat="false" ht="15.75" hidden="false" customHeight="true" outlineLevel="0" collapsed="false">
      <c r="A81" s="1"/>
      <c r="B81" s="827" t="str">
        <f aca="false">B28</f>
        <v>M28263</v>
      </c>
      <c r="C81" s="827"/>
      <c r="D81" s="827"/>
      <c r="E81" s="924" t="str">
        <f aca="false">E28</f>
        <v>SURGICAL CO A</v>
      </c>
      <c r="F81" s="924"/>
      <c r="G81" s="924"/>
      <c r="H81" s="924"/>
      <c r="I81" s="924"/>
      <c r="J81" s="924"/>
      <c r="K81" s="924"/>
      <c r="L81" s="952" t="n">
        <f aca="false">ROUNDUP(((SUM(L71:U71)*0.5+V71)),0)</f>
        <v>0</v>
      </c>
      <c r="M81" s="952"/>
      <c r="N81" s="953" t="n">
        <f aca="false">L81*$L$79</f>
        <v>0</v>
      </c>
      <c r="O81" s="953"/>
      <c r="P81" s="953"/>
      <c r="Q81" s="951"/>
      <c r="R81" s="951"/>
      <c r="S81" s="951"/>
      <c r="T81" s="948"/>
      <c r="U81" s="1"/>
      <c r="V81" s="1"/>
      <c r="W81" s="1"/>
      <c r="X81" s="1"/>
      <c r="Y81" s="1"/>
      <c r="Z81" s="1"/>
      <c r="AA81" s="1"/>
      <c r="AB81" s="1"/>
      <c r="AC81" s="1"/>
      <c r="AD81" s="1"/>
      <c r="AE81" s="1"/>
      <c r="AF81" s="1"/>
    </row>
    <row r="82" customFormat="false" ht="15.75" hidden="false" customHeight="true" outlineLevel="0" collapsed="false">
      <c r="A82" s="1"/>
      <c r="B82" s="827" t="str">
        <f aca="false">B29</f>
        <v>M28262</v>
      </c>
      <c r="C82" s="827"/>
      <c r="D82" s="827"/>
      <c r="E82" s="924" t="str">
        <f aca="false">E29</f>
        <v>SURGICAL CO B</v>
      </c>
      <c r="F82" s="924"/>
      <c r="G82" s="924"/>
      <c r="H82" s="924"/>
      <c r="I82" s="924"/>
      <c r="J82" s="924"/>
      <c r="K82" s="924"/>
      <c r="L82" s="952" t="n">
        <f aca="false">ROUNDUP(((SUM(L72:U72)*0.5+V72)),0)</f>
        <v>0</v>
      </c>
      <c r="M82" s="952"/>
      <c r="N82" s="953" t="n">
        <f aca="false">L82*$L$79</f>
        <v>0</v>
      </c>
      <c r="O82" s="953"/>
      <c r="P82" s="953"/>
      <c r="Q82" s="951"/>
      <c r="R82" s="951"/>
      <c r="S82" s="951"/>
      <c r="T82" s="948"/>
      <c r="U82" s="1"/>
      <c r="V82" s="1"/>
      <c r="W82" s="1"/>
      <c r="X82" s="1"/>
      <c r="Y82" s="1"/>
      <c r="Z82" s="1"/>
      <c r="AA82" s="1"/>
      <c r="AB82" s="1"/>
      <c r="AC82" s="1"/>
      <c r="AD82" s="1"/>
      <c r="AE82" s="1"/>
      <c r="AF82" s="1"/>
    </row>
    <row r="83" customFormat="false" ht="15.75" hidden="false" customHeight="true" outlineLevel="0" collapsed="false">
      <c r="A83" s="1"/>
      <c r="B83" s="834" t="n">
        <f aca="false">B30</f>
        <v>0</v>
      </c>
      <c r="C83" s="834"/>
      <c r="D83" s="834"/>
      <c r="E83" s="930" t="n">
        <f aca="false">E30</f>
        <v>0</v>
      </c>
      <c r="F83" s="930"/>
      <c r="G83" s="930"/>
      <c r="H83" s="930"/>
      <c r="I83" s="930"/>
      <c r="J83" s="930"/>
      <c r="K83" s="930"/>
      <c r="L83" s="954" t="n">
        <f aca="false">ROUNDUP(((SUM(L73:U73)*0.5+V73)),0)</f>
        <v>0</v>
      </c>
      <c r="M83" s="954"/>
      <c r="N83" s="955" t="n">
        <f aca="false">L83*$L$79</f>
        <v>0</v>
      </c>
      <c r="O83" s="955"/>
      <c r="P83" s="955"/>
      <c r="Q83" s="951"/>
      <c r="R83" s="951"/>
      <c r="S83" s="951"/>
      <c r="T83" s="948"/>
      <c r="U83" s="1"/>
      <c r="V83" s="1"/>
      <c r="W83" s="1"/>
      <c r="X83" s="1"/>
      <c r="Y83" s="1"/>
      <c r="Z83" s="1"/>
      <c r="AA83" s="1"/>
      <c r="AB83" s="1"/>
      <c r="AC83" s="1"/>
      <c r="AD83" s="1"/>
      <c r="AE83" s="1"/>
      <c r="AF83" s="1"/>
    </row>
    <row r="84" customFormat="false" ht="15.75" hidden="false" customHeight="true" outlineLevel="0" collapsed="false">
      <c r="A84" s="1"/>
      <c r="B84" s="858"/>
      <c r="C84" s="858"/>
      <c r="D84" s="858"/>
      <c r="E84" s="858"/>
      <c r="F84" s="858"/>
      <c r="G84" s="858"/>
      <c r="H84" s="858"/>
      <c r="I84" s="858"/>
      <c r="J84" s="938" t="s">
        <v>25</v>
      </c>
      <c r="K84" s="938"/>
      <c r="L84" s="938"/>
      <c r="M84" s="940" t="n">
        <f aca="false">SUM(N80:P83)</f>
        <v>0</v>
      </c>
      <c r="N84" s="940"/>
      <c r="O84" s="940"/>
      <c r="P84" s="940"/>
      <c r="Q84" s="951"/>
      <c r="R84" s="951"/>
      <c r="S84" s="951"/>
      <c r="T84" s="948"/>
      <c r="U84" s="1"/>
      <c r="V84" s="1"/>
      <c r="W84" s="1"/>
      <c r="X84" s="1"/>
      <c r="Y84" s="1"/>
      <c r="Z84" s="1"/>
      <c r="AA84" s="1"/>
      <c r="AB84" s="1"/>
      <c r="AC84" s="1"/>
      <c r="AD84" s="1"/>
      <c r="AE84" s="1"/>
      <c r="AF84" s="1"/>
    </row>
    <row r="85" customFormat="false" ht="15.75" hidden="false" customHeight="true" outlineLevel="0" collapsed="false">
      <c r="A85" s="1"/>
      <c r="B85" s="956" t="s">
        <v>2308</v>
      </c>
      <c r="C85" s="956"/>
      <c r="D85" s="956"/>
      <c r="E85" s="956"/>
      <c r="F85" s="956"/>
      <c r="G85" s="956"/>
      <c r="H85" s="956"/>
      <c r="I85" s="956"/>
      <c r="J85" s="956"/>
      <c r="K85" s="956"/>
      <c r="L85" s="956"/>
      <c r="M85" s="956"/>
      <c r="N85" s="956"/>
      <c r="O85" s="956"/>
      <c r="P85" s="956"/>
      <c r="Q85" s="956"/>
      <c r="R85" s="956"/>
      <c r="S85" s="956"/>
      <c r="T85" s="956"/>
      <c r="U85" s="956"/>
      <c r="V85" s="956"/>
      <c r="W85" s="956"/>
      <c r="X85" s="956"/>
      <c r="Y85" s="956"/>
      <c r="Z85" s="956"/>
      <c r="AA85" s="956"/>
      <c r="AB85" s="956"/>
      <c r="AC85" s="956"/>
      <c r="AD85" s="956"/>
      <c r="AE85" s="956"/>
      <c r="AF85" s="948"/>
    </row>
    <row r="86" customFormat="false" ht="15.75" hidden="false" customHeight="true" outlineLevel="0" collapsed="false">
      <c r="A86" s="1"/>
      <c r="B86" s="956"/>
      <c r="C86" s="956"/>
      <c r="D86" s="956"/>
      <c r="E86" s="956"/>
      <c r="F86" s="956"/>
      <c r="G86" s="956"/>
      <c r="H86" s="956"/>
      <c r="I86" s="956"/>
      <c r="J86" s="956"/>
      <c r="K86" s="956"/>
      <c r="L86" s="956"/>
      <c r="M86" s="956"/>
      <c r="N86" s="956"/>
      <c r="O86" s="956"/>
      <c r="P86" s="956"/>
      <c r="Q86" s="956"/>
      <c r="R86" s="956"/>
      <c r="S86" s="956"/>
      <c r="T86" s="956"/>
      <c r="U86" s="956"/>
      <c r="V86" s="956"/>
      <c r="W86" s="956"/>
      <c r="X86" s="956"/>
      <c r="Y86" s="956"/>
      <c r="Z86" s="956"/>
      <c r="AA86" s="956"/>
      <c r="AB86" s="956"/>
      <c r="AC86" s="956"/>
      <c r="AD86" s="956"/>
      <c r="AE86" s="956"/>
      <c r="AF86" s="1"/>
    </row>
    <row r="87" customFormat="false" ht="15.75" hidden="false" customHeight="true" outlineLevel="0" collapsed="false">
      <c r="A87" s="1"/>
      <c r="B87" s="956"/>
      <c r="C87" s="956"/>
      <c r="D87" s="956"/>
      <c r="E87" s="956"/>
      <c r="F87" s="956"/>
      <c r="G87" s="956"/>
      <c r="H87" s="956"/>
      <c r="I87" s="956"/>
      <c r="J87" s="956"/>
      <c r="K87" s="956"/>
      <c r="L87" s="956"/>
      <c r="M87" s="956"/>
      <c r="N87" s="956"/>
      <c r="O87" s="956"/>
      <c r="P87" s="956"/>
      <c r="Q87" s="956"/>
      <c r="R87" s="956"/>
      <c r="S87" s="956"/>
      <c r="T87" s="956"/>
      <c r="U87" s="956"/>
      <c r="V87" s="956"/>
      <c r="W87" s="956"/>
      <c r="X87" s="956"/>
      <c r="Y87" s="956"/>
      <c r="Z87" s="956"/>
      <c r="AA87" s="956"/>
      <c r="AB87" s="956"/>
      <c r="AC87" s="956"/>
      <c r="AD87" s="956"/>
      <c r="AE87" s="956"/>
      <c r="AF87" s="1"/>
    </row>
    <row r="88" customFormat="false" ht="15.75" hidden="false" customHeight="true" outlineLevel="0" collapsed="false">
      <c r="A88" s="1"/>
      <c r="B88" s="956"/>
      <c r="C88" s="956"/>
      <c r="D88" s="956"/>
      <c r="E88" s="956"/>
      <c r="F88" s="956"/>
      <c r="G88" s="956"/>
      <c r="H88" s="956"/>
      <c r="I88" s="956"/>
      <c r="J88" s="956"/>
      <c r="K88" s="956"/>
      <c r="L88" s="956"/>
      <c r="M88" s="956"/>
      <c r="N88" s="956"/>
      <c r="O88" s="956"/>
      <c r="P88" s="956"/>
      <c r="Q88" s="956"/>
      <c r="R88" s="956"/>
      <c r="S88" s="956"/>
      <c r="T88" s="956"/>
      <c r="U88" s="956"/>
      <c r="V88" s="956"/>
      <c r="W88" s="956"/>
      <c r="X88" s="956"/>
      <c r="Y88" s="956"/>
      <c r="Z88" s="956"/>
      <c r="AA88" s="956"/>
      <c r="AB88" s="956"/>
      <c r="AC88" s="956"/>
      <c r="AD88" s="956"/>
      <c r="AE88" s="956"/>
      <c r="AF88" s="1"/>
    </row>
    <row r="89" customFormat="false" ht="15.75" hidden="false" customHeight="true" outlineLevel="0" collapsed="false">
      <c r="A89" s="1"/>
      <c r="B89" s="956"/>
      <c r="C89" s="956"/>
      <c r="D89" s="956"/>
      <c r="E89" s="956"/>
      <c r="F89" s="956"/>
      <c r="G89" s="956"/>
      <c r="H89" s="956"/>
      <c r="I89" s="956"/>
      <c r="J89" s="956"/>
      <c r="K89" s="956"/>
      <c r="L89" s="956"/>
      <c r="M89" s="956"/>
      <c r="N89" s="956"/>
      <c r="O89" s="956"/>
      <c r="P89" s="956"/>
      <c r="Q89" s="956"/>
      <c r="R89" s="956"/>
      <c r="S89" s="956"/>
      <c r="T89" s="956"/>
      <c r="U89" s="956"/>
      <c r="V89" s="956"/>
      <c r="W89" s="956"/>
      <c r="X89" s="956"/>
      <c r="Y89" s="956"/>
      <c r="Z89" s="956"/>
      <c r="AA89" s="956"/>
      <c r="AB89" s="956"/>
      <c r="AC89" s="956"/>
      <c r="AD89" s="956"/>
      <c r="AE89" s="956"/>
      <c r="AF89" s="1"/>
    </row>
    <row r="90" customFormat="false" ht="15.75" hidden="false" customHeight="true" outlineLevel="0" collapsed="false">
      <c r="A90" s="1"/>
      <c r="B90" s="956"/>
      <c r="C90" s="956"/>
      <c r="D90" s="956"/>
      <c r="E90" s="956"/>
      <c r="F90" s="956"/>
      <c r="G90" s="956"/>
      <c r="H90" s="956"/>
      <c r="I90" s="956"/>
      <c r="J90" s="956"/>
      <c r="K90" s="956"/>
      <c r="L90" s="956"/>
      <c r="M90" s="956"/>
      <c r="N90" s="956"/>
      <c r="O90" s="956"/>
      <c r="P90" s="956"/>
      <c r="Q90" s="956"/>
      <c r="R90" s="956"/>
      <c r="S90" s="956"/>
      <c r="T90" s="956"/>
      <c r="U90" s="956"/>
      <c r="V90" s="956"/>
      <c r="W90" s="956"/>
      <c r="X90" s="956"/>
      <c r="Y90" s="956"/>
      <c r="Z90" s="956"/>
      <c r="AA90" s="956"/>
      <c r="AB90" s="956"/>
      <c r="AC90" s="956"/>
      <c r="AD90" s="956"/>
      <c r="AE90" s="956"/>
      <c r="AF90" s="1"/>
    </row>
    <row r="91" customFormat="false" ht="15.75" hidden="false" customHeight="true" outlineLevel="0" collapsed="false">
      <c r="A91" s="1"/>
      <c r="B91" s="956"/>
      <c r="C91" s="956"/>
      <c r="D91" s="956"/>
      <c r="E91" s="956"/>
      <c r="F91" s="956"/>
      <c r="G91" s="956"/>
      <c r="H91" s="956"/>
      <c r="I91" s="956"/>
      <c r="J91" s="956"/>
      <c r="K91" s="956"/>
      <c r="L91" s="956"/>
      <c r="M91" s="956"/>
      <c r="N91" s="956"/>
      <c r="O91" s="956"/>
      <c r="P91" s="956"/>
      <c r="Q91" s="956"/>
      <c r="R91" s="956"/>
      <c r="S91" s="956"/>
      <c r="T91" s="956"/>
      <c r="U91" s="956"/>
      <c r="V91" s="956"/>
      <c r="W91" s="956"/>
      <c r="X91" s="956"/>
      <c r="Y91" s="956"/>
      <c r="Z91" s="956"/>
      <c r="AA91" s="956"/>
      <c r="AB91" s="956"/>
      <c r="AC91" s="956"/>
      <c r="AD91" s="956"/>
      <c r="AE91" s="956"/>
      <c r="AF91" s="1"/>
    </row>
    <row r="92" customFormat="false" ht="15.75" hidden="false" customHeight="true" outlineLevel="0" collapsed="false">
      <c r="A92" s="1"/>
      <c r="B92" s="956"/>
      <c r="C92" s="956"/>
      <c r="D92" s="956"/>
      <c r="E92" s="956"/>
      <c r="F92" s="956"/>
      <c r="G92" s="956"/>
      <c r="H92" s="956"/>
      <c r="I92" s="956"/>
      <c r="J92" s="956"/>
      <c r="K92" s="956"/>
      <c r="L92" s="956"/>
      <c r="M92" s="956"/>
      <c r="N92" s="956"/>
      <c r="O92" s="956"/>
      <c r="P92" s="956"/>
      <c r="Q92" s="956"/>
      <c r="R92" s="956"/>
      <c r="S92" s="956"/>
      <c r="T92" s="956"/>
      <c r="U92" s="956"/>
      <c r="V92" s="956"/>
      <c r="W92" s="956"/>
      <c r="X92" s="956"/>
      <c r="Y92" s="956"/>
      <c r="Z92" s="956"/>
      <c r="AA92" s="956"/>
      <c r="AB92" s="956"/>
      <c r="AC92" s="956"/>
      <c r="AD92" s="956"/>
      <c r="AE92" s="956"/>
      <c r="AF92" s="1"/>
    </row>
    <row r="93" customFormat="false" ht="15.75" hidden="false" customHeight="true" outlineLevel="0" collapsed="false">
      <c r="A93" s="1"/>
      <c r="B93" s="956"/>
      <c r="C93" s="956"/>
      <c r="D93" s="956"/>
      <c r="E93" s="956"/>
      <c r="F93" s="956"/>
      <c r="G93" s="956"/>
      <c r="H93" s="956"/>
      <c r="I93" s="956"/>
      <c r="J93" s="956"/>
      <c r="K93" s="956"/>
      <c r="L93" s="956"/>
      <c r="M93" s="956"/>
      <c r="N93" s="956"/>
      <c r="O93" s="956"/>
      <c r="P93" s="956"/>
      <c r="Q93" s="956"/>
      <c r="R93" s="956"/>
      <c r="S93" s="956"/>
      <c r="T93" s="956"/>
      <c r="U93" s="956"/>
      <c r="V93" s="956"/>
      <c r="W93" s="956"/>
      <c r="X93" s="956"/>
      <c r="Y93" s="956"/>
      <c r="Z93" s="956"/>
      <c r="AA93" s="956"/>
      <c r="AB93" s="956"/>
      <c r="AC93" s="956"/>
      <c r="AD93" s="956"/>
      <c r="AE93" s="956"/>
      <c r="AF93" s="1"/>
    </row>
    <row r="94" customFormat="false" ht="15.75" hidden="false" customHeight="true" outlineLevel="0" collapsed="false">
      <c r="A94" s="1"/>
      <c r="B94" s="956"/>
      <c r="C94" s="956"/>
      <c r="D94" s="956"/>
      <c r="E94" s="956"/>
      <c r="F94" s="956"/>
      <c r="G94" s="956"/>
      <c r="H94" s="956"/>
      <c r="I94" s="956"/>
      <c r="J94" s="956"/>
      <c r="K94" s="956"/>
      <c r="L94" s="956"/>
      <c r="M94" s="956"/>
      <c r="N94" s="956"/>
      <c r="O94" s="956"/>
      <c r="P94" s="956"/>
      <c r="Q94" s="956"/>
      <c r="R94" s="956"/>
      <c r="S94" s="956"/>
      <c r="T94" s="956"/>
      <c r="U94" s="956"/>
      <c r="V94" s="956"/>
      <c r="W94" s="956"/>
      <c r="X94" s="956"/>
      <c r="Y94" s="956"/>
      <c r="Z94" s="956"/>
      <c r="AA94" s="956"/>
      <c r="AB94" s="956"/>
      <c r="AC94" s="956"/>
      <c r="AD94" s="956"/>
      <c r="AE94" s="956"/>
      <c r="AF94" s="1"/>
    </row>
    <row r="95" customFormat="false" ht="15.75" hidden="false" customHeight="true" outlineLevel="0" collapsed="false">
      <c r="A95" s="957"/>
      <c r="B95" s="958"/>
      <c r="C95" s="958"/>
      <c r="D95" s="958"/>
      <c r="E95" s="958"/>
      <c r="F95" s="958"/>
      <c r="G95" s="958"/>
      <c r="H95" s="958"/>
      <c r="I95" s="958"/>
      <c r="J95" s="958"/>
      <c r="K95" s="958"/>
      <c r="L95" s="958"/>
      <c r="M95" s="958"/>
      <c r="N95" s="958"/>
      <c r="O95" s="958"/>
      <c r="P95" s="958"/>
      <c r="Q95" s="958"/>
      <c r="R95" s="958"/>
      <c r="S95" s="958"/>
      <c r="T95" s="958"/>
      <c r="U95" s="958"/>
      <c r="V95" s="958"/>
      <c r="W95" s="958"/>
      <c r="X95" s="958"/>
      <c r="Y95" s="958"/>
      <c r="Z95" s="958"/>
      <c r="AA95" s="958"/>
      <c r="AB95" s="958"/>
      <c r="AC95" s="958"/>
      <c r="AD95" s="958"/>
      <c r="AE95" s="958"/>
      <c r="AF95" s="957"/>
    </row>
    <row r="96" customFormat="false" ht="15.75" hidden="false" customHeight="true" outlineLevel="0" collapsed="false">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959"/>
      <c r="AC96" s="960"/>
      <c r="AD96" s="642"/>
      <c r="AE96" s="642"/>
      <c r="AF96" s="642"/>
    </row>
  </sheetData>
  <mergeCells count="246">
    <mergeCell ref="A1:AF2"/>
    <mergeCell ref="A3:E3"/>
    <mergeCell ref="F3:L3"/>
    <mergeCell ref="M3:Q3"/>
    <mergeCell ref="R3:X3"/>
    <mergeCell ref="AE3:AF3"/>
    <mergeCell ref="A4:E4"/>
    <mergeCell ref="F4:L4"/>
    <mergeCell ref="M4:Q4"/>
    <mergeCell ref="R4:X4"/>
    <mergeCell ref="Y4:AD4"/>
    <mergeCell ref="AE4:AF4"/>
    <mergeCell ref="A5:B5"/>
    <mergeCell ref="C5:L5"/>
    <mergeCell ref="M5:Q5"/>
    <mergeCell ref="R5:AF5"/>
    <mergeCell ref="A6:AF6"/>
    <mergeCell ref="A7:AF7"/>
    <mergeCell ref="A8:A15"/>
    <mergeCell ref="B8:AF17"/>
    <mergeCell ref="A18:AF18"/>
    <mergeCell ref="B19:AF19"/>
    <mergeCell ref="B20:AF20"/>
    <mergeCell ref="B22:AF22"/>
    <mergeCell ref="B23:AF23"/>
    <mergeCell ref="M26:O26"/>
    <mergeCell ref="P26:S26"/>
    <mergeCell ref="T26:W26"/>
    <mergeCell ref="X26:AA26"/>
    <mergeCell ref="AB26:AE26"/>
    <mergeCell ref="B27:D27"/>
    <mergeCell ref="E27:L27"/>
    <mergeCell ref="M27:O27"/>
    <mergeCell ref="P27:S27"/>
    <mergeCell ref="T27:W27"/>
    <mergeCell ref="X27:AA27"/>
    <mergeCell ref="AB27:AE27"/>
    <mergeCell ref="B28:D28"/>
    <mergeCell ref="E28:L28"/>
    <mergeCell ref="M28:O28"/>
    <mergeCell ref="P28:S28"/>
    <mergeCell ref="T28:W28"/>
    <mergeCell ref="X28:AA28"/>
    <mergeCell ref="AB28:AE28"/>
    <mergeCell ref="B29:D29"/>
    <mergeCell ref="E29:L29"/>
    <mergeCell ref="M29:O29"/>
    <mergeCell ref="P29:S29"/>
    <mergeCell ref="T29:W29"/>
    <mergeCell ref="X29:AA29"/>
    <mergeCell ref="AB29:AE29"/>
    <mergeCell ref="B30:D30"/>
    <mergeCell ref="E30:L30"/>
    <mergeCell ref="M30:O30"/>
    <mergeCell ref="P30:S30"/>
    <mergeCell ref="T30:W30"/>
    <mergeCell ref="X30:AA30"/>
    <mergeCell ref="AB30:AE30"/>
    <mergeCell ref="AB31:AE31"/>
    <mergeCell ref="B35:L36"/>
    <mergeCell ref="M35:O35"/>
    <mergeCell ref="P35:R35"/>
    <mergeCell ref="S35:V36"/>
    <mergeCell ref="M36:O36"/>
    <mergeCell ref="P36:R36"/>
    <mergeCell ref="B37:D37"/>
    <mergeCell ref="E37:L37"/>
    <mergeCell ref="M37:O37"/>
    <mergeCell ref="P37:R37"/>
    <mergeCell ref="S37:V37"/>
    <mergeCell ref="B38:D38"/>
    <mergeCell ref="E38:L38"/>
    <mergeCell ref="M38:O38"/>
    <mergeCell ref="P38:R38"/>
    <mergeCell ref="S38:V38"/>
    <mergeCell ref="B39:D39"/>
    <mergeCell ref="E39:L39"/>
    <mergeCell ref="M39:O39"/>
    <mergeCell ref="P39:R39"/>
    <mergeCell ref="S39:V39"/>
    <mergeCell ref="B40:D40"/>
    <mergeCell ref="E40:L40"/>
    <mergeCell ref="M40:O40"/>
    <mergeCell ref="P40:R40"/>
    <mergeCell ref="S40:V40"/>
    <mergeCell ref="M41:O41"/>
    <mergeCell ref="P42:R42"/>
    <mergeCell ref="S42:V42"/>
    <mergeCell ref="B43:AF45"/>
    <mergeCell ref="A47:G47"/>
    <mergeCell ref="H47:L47"/>
    <mergeCell ref="O47:Q47"/>
    <mergeCell ref="A48:B48"/>
    <mergeCell ref="C48:L48"/>
    <mergeCell ref="M48:Q48"/>
    <mergeCell ref="R48:AF48"/>
    <mergeCell ref="B51:K52"/>
    <mergeCell ref="L51:O52"/>
    <mergeCell ref="P51:S52"/>
    <mergeCell ref="T51:W52"/>
    <mergeCell ref="X51:AA52"/>
    <mergeCell ref="AB51:AE51"/>
    <mergeCell ref="AB52:AE52"/>
    <mergeCell ref="B53:D53"/>
    <mergeCell ref="E53:K53"/>
    <mergeCell ref="L53:O53"/>
    <mergeCell ref="P53:S53"/>
    <mergeCell ref="T53:W53"/>
    <mergeCell ref="X53:AA53"/>
    <mergeCell ref="AB53:AE53"/>
    <mergeCell ref="B54:D54"/>
    <mergeCell ref="E54:K54"/>
    <mergeCell ref="L54:O54"/>
    <mergeCell ref="P54:S54"/>
    <mergeCell ref="T54:W54"/>
    <mergeCell ref="X54:AA54"/>
    <mergeCell ref="AB54:AE54"/>
    <mergeCell ref="B55:D55"/>
    <mergeCell ref="E55:K55"/>
    <mergeCell ref="L55:O55"/>
    <mergeCell ref="P55:S55"/>
    <mergeCell ref="T55:W55"/>
    <mergeCell ref="X55:AA55"/>
    <mergeCell ref="AB55:AE55"/>
    <mergeCell ref="B56:D56"/>
    <mergeCell ref="E56:K56"/>
    <mergeCell ref="L56:O56"/>
    <mergeCell ref="P56:S56"/>
    <mergeCell ref="T56:W56"/>
    <mergeCell ref="X56:AA56"/>
    <mergeCell ref="AB56:AE56"/>
    <mergeCell ref="AB57:AE57"/>
    <mergeCell ref="B60:J61"/>
    <mergeCell ref="K60:L61"/>
    <mergeCell ref="M60:N61"/>
    <mergeCell ref="O60:P61"/>
    <mergeCell ref="Q60:R61"/>
    <mergeCell ref="S60:T61"/>
    <mergeCell ref="U60:W61"/>
    <mergeCell ref="X60:AA61"/>
    <mergeCell ref="AB60:AE60"/>
    <mergeCell ref="AB61:AE61"/>
    <mergeCell ref="K62:L62"/>
    <mergeCell ref="M62:N62"/>
    <mergeCell ref="O62:P62"/>
    <mergeCell ref="Q62:R62"/>
    <mergeCell ref="S62:T62"/>
    <mergeCell ref="U62:W62"/>
    <mergeCell ref="X62:AA62"/>
    <mergeCell ref="AB62:AE62"/>
    <mergeCell ref="K63:L63"/>
    <mergeCell ref="M63:N63"/>
    <mergeCell ref="O63:P63"/>
    <mergeCell ref="Q63:R63"/>
    <mergeCell ref="S63:T63"/>
    <mergeCell ref="U63:W63"/>
    <mergeCell ref="X63:AA63"/>
    <mergeCell ref="AB63:AE63"/>
    <mergeCell ref="AB64:AE64"/>
    <mergeCell ref="B67:K69"/>
    <mergeCell ref="L67:W67"/>
    <mergeCell ref="X67:Z69"/>
    <mergeCell ref="AA67:AD67"/>
    <mergeCell ref="L68:M68"/>
    <mergeCell ref="N68:O68"/>
    <mergeCell ref="P68:Q68"/>
    <mergeCell ref="R68:S68"/>
    <mergeCell ref="T68:U68"/>
    <mergeCell ref="V68:W68"/>
    <mergeCell ref="AA68:AD68"/>
    <mergeCell ref="L69:M69"/>
    <mergeCell ref="N69:O69"/>
    <mergeCell ref="P69:Q69"/>
    <mergeCell ref="R69:S69"/>
    <mergeCell ref="T69:U69"/>
    <mergeCell ref="V69:W69"/>
    <mergeCell ref="AA69:AD69"/>
    <mergeCell ref="B70:D70"/>
    <mergeCell ref="E70:K70"/>
    <mergeCell ref="L70:M70"/>
    <mergeCell ref="N70:O70"/>
    <mergeCell ref="P70:Q70"/>
    <mergeCell ref="R70:S70"/>
    <mergeCell ref="T70:U70"/>
    <mergeCell ref="V70:W70"/>
    <mergeCell ref="X70:Z70"/>
    <mergeCell ref="AA70:AD70"/>
    <mergeCell ref="B71:D71"/>
    <mergeCell ref="E71:K71"/>
    <mergeCell ref="L71:M71"/>
    <mergeCell ref="N71:O71"/>
    <mergeCell ref="P71:Q71"/>
    <mergeCell ref="R71:S71"/>
    <mergeCell ref="T71:U71"/>
    <mergeCell ref="V71:W71"/>
    <mergeCell ref="X71:Z71"/>
    <mergeCell ref="AA71:AD71"/>
    <mergeCell ref="B72:D72"/>
    <mergeCell ref="E72:K72"/>
    <mergeCell ref="L72:M72"/>
    <mergeCell ref="N72:O72"/>
    <mergeCell ref="P72:Q72"/>
    <mergeCell ref="R72:S72"/>
    <mergeCell ref="T72:U72"/>
    <mergeCell ref="V72:W72"/>
    <mergeCell ref="X72:Z72"/>
    <mergeCell ref="AA72:AD72"/>
    <mergeCell ref="B73:D73"/>
    <mergeCell ref="E73:K73"/>
    <mergeCell ref="L73:M73"/>
    <mergeCell ref="N73:O73"/>
    <mergeCell ref="P73:Q73"/>
    <mergeCell ref="R73:S73"/>
    <mergeCell ref="T73:U73"/>
    <mergeCell ref="V73:W73"/>
    <mergeCell ref="X73:Z73"/>
    <mergeCell ref="AA73:AD73"/>
    <mergeCell ref="W74:Y74"/>
    <mergeCell ref="AA74:AD74"/>
    <mergeCell ref="B77:K79"/>
    <mergeCell ref="L77:M78"/>
    <mergeCell ref="N77:P79"/>
    <mergeCell ref="R77:U77"/>
    <mergeCell ref="V77:W77"/>
    <mergeCell ref="R78:U78"/>
    <mergeCell ref="V78:W78"/>
    <mergeCell ref="L79:M79"/>
    <mergeCell ref="B80:D80"/>
    <mergeCell ref="E80:K80"/>
    <mergeCell ref="L80:M80"/>
    <mergeCell ref="N80:P80"/>
    <mergeCell ref="B81:D81"/>
    <mergeCell ref="E81:K81"/>
    <mergeCell ref="L81:M81"/>
    <mergeCell ref="N81:P81"/>
    <mergeCell ref="B82:D82"/>
    <mergeCell ref="E82:K82"/>
    <mergeCell ref="L82:M82"/>
    <mergeCell ref="N82:P82"/>
    <mergeCell ref="B83:D83"/>
    <mergeCell ref="E83:K83"/>
    <mergeCell ref="L83:M83"/>
    <mergeCell ref="N83:P83"/>
    <mergeCell ref="J84:L84"/>
    <mergeCell ref="M84:P84"/>
    <mergeCell ref="B85:AE94"/>
  </mergeCells>
  <conditionalFormatting sqref="L38:L40">
    <cfRule type="cellIs" priority="2" operator="equal" aboveAverage="0" equalAverage="0" bottom="0" percent="0" rank="0" text="" dxfId="24">
      <formula>0</formula>
    </cfRule>
  </conditionalFormatting>
  <conditionalFormatting sqref="L28:AE30">
    <cfRule type="cellIs" priority="3" operator="equal" aboveAverage="0" equalAverage="0" bottom="0" percent="0" rank="0" text="" dxfId="24">
      <formula>0</formula>
    </cfRule>
  </conditionalFormatting>
  <conditionalFormatting sqref="AB51:AB52">
    <cfRule type="cellIs" priority="4" operator="equal" aboveAverage="0" equalAverage="0" bottom="0" percent="0" rank="0" text="" dxfId="24">
      <formula>0</formula>
    </cfRule>
  </conditionalFormatting>
  <conditionalFormatting sqref="AB62:AE64">
    <cfRule type="cellIs" priority="5" operator="equal" aboveAverage="0" equalAverage="0" bottom="0" percent="0" rank="0" text="" dxfId="24">
      <formula>0</formula>
    </cfRule>
  </conditionalFormatting>
  <conditionalFormatting sqref="AB60:AB61">
    <cfRule type="cellIs" priority="6" operator="equal" aboveAverage="0" equalAverage="0" bottom="0" percent="0" rank="0" text="" dxfId="24">
      <formula>0</formula>
    </cfRule>
  </conditionalFormatting>
  <conditionalFormatting sqref="U63 X63:Y63">
    <cfRule type="cellIs" priority="7" operator="equal" aboveAverage="0" equalAverage="0" bottom="0" percent="0" rank="0" text="" dxfId="24">
      <formula>0</formula>
    </cfRule>
  </conditionalFormatting>
  <conditionalFormatting sqref="L59:AB59">
    <cfRule type="cellIs" priority="8" operator="equal" aboveAverage="0" equalAverage="0" bottom="0" percent="0" rank="0" text="" dxfId="24">
      <formula>0</formula>
    </cfRule>
  </conditionalFormatting>
  <conditionalFormatting sqref="U60:AA62">
    <cfRule type="cellIs" priority="9" operator="equal" aboveAverage="0" equalAverage="0" bottom="0" percent="0" rank="0" text="" dxfId="24">
      <formula>0</formula>
    </cfRule>
  </conditionalFormatting>
  <conditionalFormatting sqref="S37:V42">
    <cfRule type="cellIs" priority="10" operator="equal" aboveAverage="0" equalAverage="0" bottom="0" percent="0" rank="0" text="" dxfId="24">
      <formula>0</formula>
    </cfRule>
  </conditionalFormatting>
  <conditionalFormatting sqref="M41 P42">
    <cfRule type="cellIs" priority="11" operator="equal" aboveAverage="0" equalAverage="0" bottom="0" percent="0" rank="0" text="" dxfId="24">
      <formula>0</formula>
    </cfRule>
  </conditionalFormatting>
  <conditionalFormatting sqref="M27:AE27">
    <cfRule type="cellIs" priority="12" operator="equal" aboveAverage="0" equalAverage="0" bottom="0" percent="0" rank="0" text="" dxfId="24">
      <formula>0</formula>
    </cfRule>
  </conditionalFormatting>
  <conditionalFormatting sqref="L67:L69">
    <cfRule type="cellIs" priority="13" operator="equal" aboveAverage="0" equalAverage="0" bottom="0" percent="0" rank="0" text="" dxfId="24">
      <formula>0</formula>
    </cfRule>
  </conditionalFormatting>
  <conditionalFormatting sqref="L51:W57">
    <cfRule type="cellIs" priority="14" operator="equal" aboveAverage="0" equalAverage="0" bottom="0" percent="0" rank="0" text="" dxfId="24">
      <formula>0</formula>
    </cfRule>
  </conditionalFormatting>
  <conditionalFormatting sqref="T32:U33">
    <cfRule type="cellIs" priority="15" operator="equal" aboveAverage="0" equalAverage="0" bottom="0" percent="0" rank="0" text="" dxfId="24">
      <formula>0</formula>
    </cfRule>
  </conditionalFormatting>
  <conditionalFormatting sqref="O32:Q33">
    <cfRule type="cellIs" priority="16" operator="equal" aboveAverage="0" equalAverage="0" bottom="0" percent="0" rank="0" text="" dxfId="24">
      <formula>0</formula>
    </cfRule>
  </conditionalFormatting>
  <conditionalFormatting sqref="L50:AB50 M31:AE31 M37:R41 X53:AA57 Y58:Z58 AB33:AE33">
    <cfRule type="cellIs" priority="17" operator="equal" aboveAverage="0" equalAverage="0" bottom="0" percent="0" rank="0" text="" dxfId="24">
      <formula>0</formula>
    </cfRule>
  </conditionalFormatting>
  <printOptions headings="false" gridLines="false" gridLinesSet="true" horizontalCentered="false" verticalCentered="false"/>
  <pageMargins left="0.75" right="0.5" top="0.75" bottom="0.5" header="0" footer="0.3"/>
  <pageSetup paperSize="1" scale="89" fitToWidth="1" fitToHeight="1" pageOrder="downThenOver" orientation="portrait"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rowBreaks count="1" manualBreakCount="1">
    <brk id="47"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H88"/>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B54" activeCellId="0" sqref="B54"/>
    </sheetView>
  </sheetViews>
  <sheetFormatPr defaultColWidth="2.859375" defaultRowHeight="15.75" zeroHeight="false" outlineLevelRow="0" outlineLevelCol="0"/>
  <cols>
    <col collapsed="false" customWidth="false" hidden="false" outlineLevel="0" max="15" min="1" style="961" width="2.86"/>
    <col collapsed="false" customWidth="true" hidden="false" outlineLevel="0" max="21" min="16" style="961" width="4"/>
    <col collapsed="false" customWidth="false" hidden="false" outlineLevel="0" max="16384" min="22" style="961" width="2.86"/>
  </cols>
  <sheetData>
    <row r="1" customFormat="false" ht="15.75" hidden="false" customHeight="true" outlineLevel="0" collapsed="false">
      <c r="A1" s="256" t="s">
        <v>1519</v>
      </c>
      <c r="B1" s="256"/>
      <c r="C1" s="256"/>
      <c r="D1" s="256"/>
      <c r="E1" s="256"/>
      <c r="F1" s="256"/>
      <c r="G1" s="256"/>
      <c r="H1" s="256"/>
      <c r="I1" s="256"/>
      <c r="J1" s="256"/>
      <c r="K1" s="256"/>
      <c r="L1" s="256"/>
      <c r="M1" s="256"/>
      <c r="N1" s="256"/>
      <c r="O1" s="256"/>
      <c r="P1" s="256"/>
      <c r="Q1" s="256"/>
      <c r="R1" s="256"/>
      <c r="S1" s="256"/>
      <c r="T1" s="256"/>
      <c r="U1" s="256"/>
      <c r="V1" s="256"/>
      <c r="W1" s="256"/>
      <c r="X1" s="256"/>
      <c r="Y1" s="256"/>
      <c r="Z1" s="256"/>
      <c r="AA1" s="256"/>
      <c r="AB1" s="256"/>
      <c r="AC1" s="256"/>
      <c r="AD1" s="256"/>
      <c r="AE1" s="256"/>
      <c r="AF1" s="256"/>
    </row>
    <row r="2" customFormat="false" ht="15.75" hidden="false" customHeight="true" outlineLevel="0" collapsed="false">
      <c r="A2" s="256"/>
      <c r="B2" s="256"/>
      <c r="C2" s="256"/>
      <c r="D2" s="256"/>
      <c r="E2" s="256"/>
      <c r="F2" s="256"/>
      <c r="G2" s="256"/>
      <c r="H2" s="256"/>
      <c r="I2" s="256"/>
      <c r="J2" s="256"/>
      <c r="K2" s="256"/>
      <c r="L2" s="256"/>
      <c r="M2" s="256"/>
      <c r="N2" s="256"/>
      <c r="O2" s="256"/>
      <c r="P2" s="256"/>
      <c r="Q2" s="256"/>
      <c r="R2" s="256"/>
      <c r="S2" s="256"/>
      <c r="T2" s="256"/>
      <c r="U2" s="256"/>
      <c r="V2" s="256"/>
      <c r="W2" s="256"/>
      <c r="X2" s="256"/>
      <c r="Y2" s="256"/>
      <c r="Z2" s="256"/>
      <c r="AA2" s="256"/>
      <c r="AB2" s="256"/>
      <c r="AC2" s="256"/>
      <c r="AD2" s="256"/>
      <c r="AE2" s="256"/>
      <c r="AF2" s="256"/>
    </row>
    <row r="3" s="258" customFormat="true" ht="15.75" hidden="false" customHeight="true" outlineLevel="0" collapsed="false">
      <c r="A3" s="6" t="s">
        <v>1</v>
      </c>
      <c r="B3" s="6"/>
      <c r="C3" s="6"/>
      <c r="D3" s="6"/>
      <c r="E3" s="6"/>
      <c r="F3" s="608"/>
      <c r="G3" s="397" t="str">
        <f aca="false">UNIT_ROLLUP!F3</f>
        <v>H&amp;S BN MCIPAC MCB CP BUTLER JA</v>
      </c>
      <c r="H3" s="397"/>
      <c r="I3" s="397"/>
      <c r="J3" s="397"/>
      <c r="K3" s="397"/>
      <c r="L3" s="397"/>
      <c r="M3" s="6" t="s">
        <v>3</v>
      </c>
      <c r="N3" s="6"/>
      <c r="O3" s="6"/>
      <c r="P3" s="6"/>
      <c r="Q3" s="6"/>
      <c r="R3" s="397" t="str">
        <f aca="false">UNIT_ROLLUP!R3</f>
        <v>3D MEDICAL BATTALION</v>
      </c>
      <c r="S3" s="397"/>
      <c r="T3" s="397"/>
      <c r="U3" s="397"/>
      <c r="V3" s="397"/>
      <c r="W3" s="397"/>
      <c r="X3" s="397"/>
      <c r="Y3" s="1"/>
      <c r="Z3" s="1"/>
      <c r="AA3" s="1"/>
      <c r="AB3" s="1"/>
      <c r="AC3" s="1"/>
      <c r="AD3" s="1"/>
      <c r="AE3" s="7"/>
      <c r="AF3" s="7"/>
    </row>
    <row r="4" s="258" customFormat="true" ht="15.75" hidden="false" customHeight="true" outlineLevel="0" collapsed="false">
      <c r="A4" s="267" t="s">
        <v>5</v>
      </c>
      <c r="B4" s="267"/>
      <c r="C4" s="267"/>
      <c r="D4" s="267"/>
      <c r="E4" s="267"/>
      <c r="F4" s="608"/>
      <c r="G4" s="397" t="str">
        <f aca="false">UNIT_ROLLUP!F4</f>
        <v>M67400</v>
      </c>
      <c r="H4" s="397"/>
      <c r="I4" s="397"/>
      <c r="J4" s="397"/>
      <c r="K4" s="397"/>
      <c r="L4" s="397"/>
      <c r="M4" s="6" t="s">
        <v>7</v>
      </c>
      <c r="N4" s="6"/>
      <c r="O4" s="6"/>
      <c r="P4" s="6"/>
      <c r="Q4" s="6"/>
      <c r="R4" s="7" t="str">
        <f aca="false">UNIT_ROLLUP!R4</f>
        <v>M13020</v>
      </c>
      <c r="S4" s="7"/>
      <c r="T4" s="7"/>
      <c r="U4" s="7"/>
      <c r="V4" s="7"/>
      <c r="W4" s="7"/>
      <c r="X4" s="7"/>
      <c r="Y4" s="9" t="s">
        <v>9</v>
      </c>
      <c r="Z4" s="9"/>
      <c r="AA4" s="9"/>
      <c r="AB4" s="9"/>
      <c r="AC4" s="9"/>
      <c r="AD4" s="9"/>
      <c r="AE4" s="7" t="str">
        <f aca="false">UNIT_ROLLUP!AE4</f>
        <v>FO</v>
      </c>
      <c r="AF4" s="7"/>
    </row>
    <row r="5" customFormat="false" ht="15.75" hidden="false" customHeight="true" outlineLevel="0" collapsed="false">
      <c r="A5" s="259" t="s">
        <v>1522</v>
      </c>
      <c r="B5" s="259"/>
      <c r="C5" s="260" t="n">
        <v>44112</v>
      </c>
      <c r="D5" s="260"/>
      <c r="E5" s="260"/>
      <c r="F5" s="260"/>
      <c r="G5" s="260"/>
      <c r="H5" s="260"/>
      <c r="I5" s="260"/>
      <c r="J5" s="260"/>
      <c r="K5" s="260"/>
      <c r="L5" s="260"/>
      <c r="M5" s="259" t="s">
        <v>1523</v>
      </c>
      <c r="N5" s="259"/>
      <c r="O5" s="259"/>
      <c r="P5" s="259"/>
      <c r="Q5" s="259"/>
      <c r="R5" s="260" t="s">
        <v>18</v>
      </c>
      <c r="S5" s="260"/>
      <c r="T5" s="260"/>
      <c r="U5" s="260"/>
      <c r="V5" s="260"/>
      <c r="W5" s="260"/>
      <c r="X5" s="260"/>
      <c r="Y5" s="260"/>
      <c r="Z5" s="260"/>
      <c r="AA5" s="260"/>
      <c r="AB5" s="260"/>
      <c r="AC5" s="260"/>
      <c r="AD5" s="260"/>
      <c r="AE5" s="260"/>
      <c r="AF5" s="260"/>
    </row>
    <row r="6" customFormat="false" ht="15.75" hidden="false" customHeight="true" outlineLevel="0" collapsed="false">
      <c r="A6" s="261" t="s">
        <v>1524</v>
      </c>
      <c r="B6" s="261"/>
      <c r="C6" s="261"/>
      <c r="D6" s="261"/>
      <c r="E6" s="261"/>
      <c r="F6" s="261"/>
      <c r="G6" s="261"/>
      <c r="H6" s="261"/>
      <c r="I6" s="261"/>
      <c r="J6" s="261"/>
      <c r="K6" s="261"/>
      <c r="L6" s="261"/>
      <c r="M6" s="261"/>
      <c r="N6" s="261"/>
      <c r="O6" s="261"/>
      <c r="P6" s="261"/>
      <c r="Q6" s="261"/>
      <c r="R6" s="261"/>
      <c r="S6" s="261"/>
      <c r="T6" s="261"/>
      <c r="U6" s="261"/>
      <c r="V6" s="261"/>
      <c r="W6" s="261"/>
      <c r="X6" s="261"/>
      <c r="Y6" s="261"/>
      <c r="Z6" s="261"/>
      <c r="AA6" s="261"/>
      <c r="AB6" s="261"/>
      <c r="AC6" s="261"/>
      <c r="AD6" s="261"/>
      <c r="AE6" s="261"/>
      <c r="AF6" s="261"/>
    </row>
    <row r="7" customFormat="false" ht="15.75" hidden="false" customHeight="true" outlineLevel="0" collapsed="false">
      <c r="A7" s="6" t="s">
        <v>1525</v>
      </c>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row>
    <row r="8" customFormat="false" ht="15.75" hidden="false" customHeight="true" outlineLevel="0" collapsed="false">
      <c r="A8" s="409"/>
      <c r="B8" s="409" t="s">
        <v>2309</v>
      </c>
      <c r="C8" s="409"/>
      <c r="D8" s="409"/>
      <c r="E8" s="409"/>
      <c r="F8" s="409"/>
      <c r="G8" s="409"/>
      <c r="H8" s="409"/>
      <c r="I8" s="409"/>
      <c r="J8" s="409"/>
      <c r="K8" s="409"/>
      <c r="L8" s="409"/>
      <c r="M8" s="409"/>
      <c r="N8" s="409"/>
      <c r="O8" s="409"/>
      <c r="P8" s="409"/>
      <c r="Q8" s="409"/>
      <c r="R8" s="409"/>
      <c r="S8" s="409"/>
      <c r="T8" s="409"/>
      <c r="U8" s="409"/>
      <c r="V8" s="409"/>
      <c r="W8" s="409"/>
      <c r="X8" s="409"/>
      <c r="Y8" s="409"/>
      <c r="Z8" s="409"/>
      <c r="AA8" s="409"/>
      <c r="AB8" s="409"/>
      <c r="AC8" s="409"/>
      <c r="AD8" s="409"/>
      <c r="AE8" s="409"/>
      <c r="AF8" s="409"/>
    </row>
    <row r="9" customFormat="false" ht="15.75" hidden="false" customHeight="true" outlineLevel="0" collapsed="false">
      <c r="A9" s="409"/>
      <c r="B9" s="409"/>
      <c r="C9" s="409"/>
      <c r="D9" s="409"/>
      <c r="E9" s="409"/>
      <c r="F9" s="409"/>
      <c r="G9" s="409"/>
      <c r="H9" s="409"/>
      <c r="I9" s="409"/>
      <c r="J9" s="409"/>
      <c r="K9" s="409"/>
      <c r="L9" s="409"/>
      <c r="M9" s="409"/>
      <c r="N9" s="409"/>
      <c r="O9" s="409"/>
      <c r="P9" s="409"/>
      <c r="Q9" s="409"/>
      <c r="R9" s="409"/>
      <c r="S9" s="409"/>
      <c r="T9" s="409"/>
      <c r="U9" s="409"/>
      <c r="V9" s="409"/>
      <c r="W9" s="409"/>
      <c r="X9" s="409"/>
      <c r="Y9" s="409"/>
      <c r="Z9" s="409"/>
      <c r="AA9" s="409"/>
      <c r="AB9" s="409"/>
      <c r="AC9" s="409"/>
      <c r="AD9" s="409"/>
      <c r="AE9" s="409"/>
      <c r="AF9" s="409"/>
    </row>
    <row r="10" customFormat="false" ht="15.75" hidden="false" customHeight="true" outlineLevel="0" collapsed="false">
      <c r="A10" s="409"/>
      <c r="B10" s="409"/>
      <c r="C10" s="409"/>
      <c r="D10" s="409"/>
      <c r="E10" s="409"/>
      <c r="F10" s="409"/>
      <c r="G10" s="409"/>
      <c r="H10" s="409"/>
      <c r="I10" s="409"/>
      <c r="J10" s="409"/>
      <c r="K10" s="409"/>
      <c r="L10" s="409"/>
      <c r="M10" s="409"/>
      <c r="N10" s="409"/>
      <c r="O10" s="409"/>
      <c r="P10" s="409"/>
      <c r="Q10" s="409"/>
      <c r="R10" s="409"/>
      <c r="S10" s="409"/>
      <c r="T10" s="409"/>
      <c r="U10" s="409"/>
      <c r="V10" s="409"/>
      <c r="W10" s="409"/>
      <c r="X10" s="409"/>
      <c r="Y10" s="409"/>
      <c r="Z10" s="409"/>
      <c r="AA10" s="409"/>
      <c r="AB10" s="409"/>
      <c r="AC10" s="409"/>
      <c r="AD10" s="409"/>
      <c r="AE10" s="409"/>
      <c r="AF10" s="409"/>
    </row>
    <row r="11" customFormat="false" ht="15.75" hidden="false" customHeight="true" outlineLevel="0" collapsed="false">
      <c r="A11" s="409"/>
      <c r="B11" s="409"/>
      <c r="C11" s="409"/>
      <c r="D11" s="409"/>
      <c r="E11" s="409"/>
      <c r="F11" s="409"/>
      <c r="G11" s="409"/>
      <c r="H11" s="409"/>
      <c r="I11" s="409"/>
      <c r="J11" s="409"/>
      <c r="K11" s="409"/>
      <c r="L11" s="409"/>
      <c r="M11" s="409"/>
      <c r="N11" s="409"/>
      <c r="O11" s="409"/>
      <c r="P11" s="409"/>
      <c r="Q11" s="409"/>
      <c r="R11" s="409"/>
      <c r="S11" s="409"/>
      <c r="T11" s="409"/>
      <c r="U11" s="409"/>
      <c r="V11" s="409"/>
      <c r="W11" s="409"/>
      <c r="X11" s="409"/>
      <c r="Y11" s="409"/>
      <c r="Z11" s="409"/>
      <c r="AA11" s="409"/>
      <c r="AB11" s="409"/>
      <c r="AC11" s="409"/>
      <c r="AD11" s="409"/>
      <c r="AE11" s="409"/>
      <c r="AF11" s="409"/>
    </row>
    <row r="12" customFormat="false" ht="15.75" hidden="false" customHeight="true" outlineLevel="0" collapsed="false">
      <c r="A12" s="409"/>
      <c r="B12" s="409"/>
      <c r="C12" s="409"/>
      <c r="D12" s="409"/>
      <c r="E12" s="409"/>
      <c r="F12" s="409"/>
      <c r="G12" s="409"/>
      <c r="H12" s="409"/>
      <c r="I12" s="409"/>
      <c r="J12" s="409"/>
      <c r="K12" s="409"/>
      <c r="L12" s="409"/>
      <c r="M12" s="409"/>
      <c r="N12" s="409"/>
      <c r="O12" s="409"/>
      <c r="P12" s="409"/>
      <c r="Q12" s="409"/>
      <c r="R12" s="409"/>
      <c r="S12" s="409"/>
      <c r="T12" s="409"/>
      <c r="U12" s="409"/>
      <c r="V12" s="409"/>
      <c r="W12" s="409"/>
      <c r="X12" s="409"/>
      <c r="Y12" s="409"/>
      <c r="Z12" s="409"/>
      <c r="AA12" s="409"/>
      <c r="AB12" s="409"/>
      <c r="AC12" s="409"/>
      <c r="AD12" s="409"/>
      <c r="AE12" s="409"/>
      <c r="AF12" s="409"/>
    </row>
    <row r="13" customFormat="false" ht="15.75" hidden="false" customHeight="true" outlineLevel="0" collapsed="false">
      <c r="A13" s="409"/>
      <c r="B13" s="409"/>
      <c r="C13" s="409"/>
      <c r="D13" s="409"/>
      <c r="E13" s="409"/>
      <c r="F13" s="409"/>
      <c r="G13" s="409"/>
      <c r="H13" s="409"/>
      <c r="I13" s="409"/>
      <c r="J13" s="409"/>
      <c r="K13" s="409"/>
      <c r="L13" s="409"/>
      <c r="M13" s="409"/>
      <c r="N13" s="409"/>
      <c r="O13" s="409"/>
      <c r="P13" s="409"/>
      <c r="Q13" s="409"/>
      <c r="R13" s="409"/>
      <c r="S13" s="409"/>
      <c r="T13" s="409"/>
      <c r="U13" s="409"/>
      <c r="V13" s="409"/>
      <c r="W13" s="409"/>
      <c r="X13" s="409"/>
      <c r="Y13" s="409"/>
      <c r="Z13" s="409"/>
      <c r="AA13" s="409"/>
      <c r="AB13" s="409"/>
      <c r="AC13" s="409"/>
      <c r="AD13" s="409"/>
      <c r="AE13" s="409"/>
      <c r="AF13" s="409"/>
    </row>
    <row r="14" customFormat="false" ht="15.75" hidden="false" customHeight="true" outlineLevel="0" collapsed="false">
      <c r="A14" s="6" t="s">
        <v>1527</v>
      </c>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row>
    <row r="15" customFormat="false" ht="15.75" hidden="false" customHeight="true" outlineLevel="0" collapsed="false">
      <c r="A15" s="264"/>
      <c r="B15" s="409" t="s">
        <v>2310</v>
      </c>
      <c r="C15" s="409"/>
      <c r="D15" s="409"/>
      <c r="E15" s="409"/>
      <c r="F15" s="409"/>
      <c r="G15" s="409"/>
      <c r="H15" s="409"/>
      <c r="I15" s="409"/>
      <c r="J15" s="409"/>
      <c r="K15" s="409"/>
      <c r="L15" s="409"/>
      <c r="M15" s="409"/>
      <c r="N15" s="409"/>
      <c r="O15" s="409"/>
      <c r="P15" s="409"/>
      <c r="Q15" s="409"/>
      <c r="R15" s="409"/>
      <c r="S15" s="409"/>
      <c r="T15" s="409"/>
      <c r="U15" s="409"/>
      <c r="V15" s="409"/>
      <c r="W15" s="409"/>
      <c r="X15" s="409"/>
      <c r="Y15" s="409"/>
      <c r="Z15" s="409"/>
      <c r="AA15" s="409"/>
      <c r="AB15" s="409"/>
      <c r="AC15" s="409"/>
      <c r="AD15" s="409"/>
      <c r="AE15" s="409"/>
      <c r="AF15" s="409"/>
    </row>
    <row r="16" customFormat="false" ht="15.75" hidden="false" customHeight="true" outlineLevel="0" collapsed="false">
      <c r="A16" s="264"/>
      <c r="B16" s="409" t="s">
        <v>2311</v>
      </c>
      <c r="C16" s="409"/>
      <c r="D16" s="409"/>
      <c r="E16" s="409"/>
      <c r="F16" s="409"/>
      <c r="G16" s="409"/>
      <c r="H16" s="409"/>
      <c r="I16" s="409"/>
      <c r="J16" s="409"/>
      <c r="K16" s="409"/>
      <c r="L16" s="409"/>
      <c r="M16" s="409"/>
      <c r="N16" s="409"/>
      <c r="O16" s="409"/>
      <c r="P16" s="409"/>
      <c r="Q16" s="409"/>
      <c r="R16" s="409"/>
      <c r="S16" s="409"/>
      <c r="T16" s="409"/>
      <c r="U16" s="409"/>
      <c r="V16" s="409"/>
      <c r="W16" s="409"/>
      <c r="X16" s="409"/>
      <c r="Y16" s="409"/>
      <c r="Z16" s="409"/>
      <c r="AA16" s="409"/>
      <c r="AB16" s="409"/>
      <c r="AC16" s="409"/>
      <c r="AD16" s="409"/>
      <c r="AE16" s="409"/>
      <c r="AF16" s="409"/>
    </row>
    <row r="17" customFormat="false" ht="15.75" hidden="false" customHeight="true" outlineLevel="0" collapsed="false">
      <c r="A17" s="267" t="s">
        <v>1529</v>
      </c>
      <c r="B17" s="267"/>
      <c r="C17" s="267"/>
      <c r="D17" s="267"/>
      <c r="E17" s="267"/>
      <c r="F17" s="267"/>
      <c r="G17" s="267"/>
      <c r="H17" s="267"/>
      <c r="I17" s="267"/>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row>
    <row r="18" customFormat="false" ht="15.75" hidden="false" customHeight="true" outlineLevel="0" collapsed="false">
      <c r="A18" s="39"/>
      <c r="B18" s="409" t="s">
        <v>2312</v>
      </c>
      <c r="C18" s="409"/>
      <c r="D18" s="409"/>
      <c r="E18" s="409"/>
      <c r="F18" s="409"/>
      <c r="G18" s="409"/>
      <c r="H18" s="409"/>
      <c r="I18" s="409"/>
      <c r="J18" s="409"/>
      <c r="K18" s="409"/>
      <c r="L18" s="409"/>
      <c r="M18" s="409"/>
      <c r="N18" s="409"/>
      <c r="O18" s="409"/>
      <c r="P18" s="409"/>
      <c r="Q18" s="409"/>
      <c r="R18" s="409"/>
      <c r="S18" s="409"/>
      <c r="T18" s="409"/>
      <c r="U18" s="409"/>
      <c r="V18" s="409"/>
      <c r="W18" s="409"/>
      <c r="X18" s="409"/>
      <c r="Y18" s="409"/>
      <c r="Z18" s="409"/>
      <c r="AA18" s="409"/>
      <c r="AB18" s="409"/>
      <c r="AC18" s="409"/>
      <c r="AD18" s="409"/>
      <c r="AE18" s="409"/>
      <c r="AF18" s="409"/>
    </row>
    <row r="19" s="396" customFormat="true" ht="15.75" hidden="false" customHeight="true" outlineLevel="0" collapsed="false">
      <c r="A19" s="407"/>
      <c r="B19" s="408" t="s">
        <v>2313</v>
      </c>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c r="AA19" s="408"/>
      <c r="AB19" s="408"/>
      <c r="AC19" s="408"/>
      <c r="AD19" s="408"/>
      <c r="AE19" s="408"/>
      <c r="AF19" s="408"/>
    </row>
    <row r="20" customFormat="false" ht="15.75" hidden="false" customHeight="true" outlineLevel="0" collapsed="false">
      <c r="A20" s="39"/>
      <c r="B20" s="409" t="s">
        <v>2314</v>
      </c>
      <c r="C20" s="409"/>
      <c r="D20" s="409"/>
      <c r="E20" s="409"/>
      <c r="F20" s="409"/>
      <c r="G20" s="409"/>
      <c r="H20" s="409"/>
      <c r="I20" s="409"/>
      <c r="J20" s="409"/>
      <c r="K20" s="409"/>
      <c r="L20" s="409"/>
      <c r="M20" s="409"/>
      <c r="N20" s="409"/>
      <c r="O20" s="409"/>
      <c r="P20" s="409"/>
      <c r="Q20" s="409"/>
      <c r="R20" s="409"/>
      <c r="S20" s="409"/>
      <c r="T20" s="409"/>
      <c r="U20" s="409"/>
      <c r="V20" s="409"/>
      <c r="W20" s="409"/>
      <c r="X20" s="409"/>
      <c r="Y20" s="409"/>
      <c r="Z20" s="409"/>
      <c r="AA20" s="409"/>
      <c r="AB20" s="409"/>
      <c r="AC20" s="409"/>
      <c r="AD20" s="409"/>
      <c r="AE20" s="409"/>
      <c r="AF20" s="409"/>
    </row>
    <row r="21" customFormat="false" ht="15.75" hidden="false" customHeight="true" outlineLevel="0" collapsed="false">
      <c r="A21" s="267" t="s">
        <v>1532</v>
      </c>
      <c r="B21" s="267"/>
      <c r="C21" s="267"/>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row>
    <row r="22" customFormat="false" ht="15.75" hidden="false" customHeight="true" outlineLevel="0" collapsed="false">
      <c r="A22" s="271"/>
      <c r="B22" s="812" t="s">
        <v>2315</v>
      </c>
      <c r="C22" s="39"/>
      <c r="D22" s="39"/>
      <c r="E22" s="39"/>
      <c r="F22" s="39"/>
      <c r="G22" s="39"/>
      <c r="H22" s="39"/>
      <c r="I22" s="39"/>
      <c r="J22" s="39"/>
      <c r="K22" s="39"/>
      <c r="L22" s="39"/>
      <c r="M22" s="305"/>
      <c r="N22" s="1"/>
      <c r="O22" s="1"/>
      <c r="P22" s="1"/>
      <c r="Q22" s="1"/>
      <c r="R22" s="1"/>
      <c r="S22" s="1"/>
      <c r="T22" s="1"/>
      <c r="U22" s="1"/>
      <c r="V22" s="1"/>
      <c r="W22" s="1"/>
      <c r="X22" s="271"/>
      <c r="Y22" s="271"/>
      <c r="Z22" s="271"/>
      <c r="AA22" s="271"/>
      <c r="AB22" s="271"/>
      <c r="AC22" s="271"/>
      <c r="AD22" s="271"/>
      <c r="AE22" s="271"/>
      <c r="AF22" s="271"/>
    </row>
    <row r="23" customFormat="false" ht="15.75" hidden="false" customHeight="true" outlineLevel="0" collapsed="false">
      <c r="A23" s="271"/>
      <c r="B23" s="962" t="s">
        <v>1533</v>
      </c>
      <c r="C23" s="962"/>
      <c r="D23" s="962"/>
      <c r="E23" s="962"/>
      <c r="F23" s="962"/>
      <c r="G23" s="962"/>
      <c r="H23" s="962"/>
      <c r="I23" s="962"/>
      <c r="J23" s="962"/>
      <c r="K23" s="962"/>
      <c r="L23" s="962"/>
      <c r="M23" s="963" t="s">
        <v>2274</v>
      </c>
      <c r="N23" s="963"/>
      <c r="O23" s="963"/>
      <c r="P23" s="964" t="s">
        <v>2316</v>
      </c>
      <c r="Q23" s="964"/>
      <c r="R23" s="964"/>
      <c r="S23" s="964"/>
      <c r="T23" s="964"/>
      <c r="U23" s="964"/>
      <c r="V23" s="963" t="s">
        <v>2317</v>
      </c>
      <c r="W23" s="963"/>
      <c r="X23" s="963"/>
      <c r="Y23" s="963" t="s">
        <v>2318</v>
      </c>
      <c r="Z23" s="963"/>
      <c r="AA23" s="963"/>
      <c r="AB23" s="965" t="s">
        <v>2228</v>
      </c>
      <c r="AC23" s="965"/>
      <c r="AD23" s="965"/>
      <c r="AE23" s="965"/>
      <c r="AF23" s="271"/>
    </row>
    <row r="24" customFormat="false" ht="15.75" hidden="false" customHeight="true" outlineLevel="0" collapsed="false">
      <c r="A24" s="271"/>
      <c r="B24" s="962"/>
      <c r="C24" s="962"/>
      <c r="D24" s="962"/>
      <c r="E24" s="962"/>
      <c r="F24" s="962"/>
      <c r="G24" s="962"/>
      <c r="H24" s="962"/>
      <c r="I24" s="962"/>
      <c r="J24" s="962"/>
      <c r="K24" s="962"/>
      <c r="L24" s="962"/>
      <c r="M24" s="963"/>
      <c r="N24" s="963"/>
      <c r="O24" s="963"/>
      <c r="P24" s="966" t="s">
        <v>2319</v>
      </c>
      <c r="Q24" s="966"/>
      <c r="R24" s="966"/>
      <c r="S24" s="967" t="s">
        <v>2320</v>
      </c>
      <c r="T24" s="967"/>
      <c r="U24" s="967"/>
      <c r="V24" s="963"/>
      <c r="W24" s="963"/>
      <c r="X24" s="963"/>
      <c r="Y24" s="963"/>
      <c r="Z24" s="963"/>
      <c r="AA24" s="963"/>
      <c r="AB24" s="965"/>
      <c r="AC24" s="965"/>
      <c r="AD24" s="965"/>
      <c r="AE24" s="965"/>
      <c r="AF24" s="968"/>
    </row>
    <row r="25" customFormat="false" ht="15.75" hidden="false" customHeight="true" outlineLevel="0" collapsed="false">
      <c r="A25" s="271"/>
      <c r="B25" s="969" t="s">
        <v>1069</v>
      </c>
      <c r="C25" s="969"/>
      <c r="D25" s="969"/>
      <c r="E25" s="970" t="s">
        <v>1535</v>
      </c>
      <c r="F25" s="970"/>
      <c r="G25" s="970"/>
      <c r="H25" s="970"/>
      <c r="I25" s="970"/>
      <c r="J25" s="970"/>
      <c r="K25" s="970"/>
      <c r="L25" s="970"/>
      <c r="M25" s="971" t="n">
        <f aca="false">V32</f>
        <v>1740</v>
      </c>
      <c r="N25" s="971"/>
      <c r="O25" s="971"/>
      <c r="P25" s="972" t="n">
        <f aca="false">AB46</f>
        <v>19581.9594052775</v>
      </c>
      <c r="Q25" s="972"/>
      <c r="R25" s="972"/>
      <c r="S25" s="972" t="n">
        <f aca="false">SUM(Z54:AC55)</f>
        <v>0</v>
      </c>
      <c r="T25" s="972"/>
      <c r="U25" s="972"/>
      <c r="V25" s="972" t="n">
        <f aca="false">AA64</f>
        <v>0</v>
      </c>
      <c r="W25" s="972"/>
      <c r="X25" s="972"/>
      <c r="Y25" s="972" t="n">
        <f aca="false">INDEX($P$69:$P$72,MATCH(B25,$B$69:$B$72,0))</f>
        <v>335.16</v>
      </c>
      <c r="Z25" s="972"/>
      <c r="AA25" s="972"/>
      <c r="AB25" s="853" t="n">
        <f aca="false">SUM(M25:AA25)</f>
        <v>21657.1194052775</v>
      </c>
      <c r="AC25" s="853"/>
      <c r="AD25" s="853"/>
      <c r="AE25" s="853"/>
      <c r="AF25" s="968"/>
    </row>
    <row r="26" customFormat="false" ht="15.75" hidden="false" customHeight="true" outlineLevel="0" collapsed="false">
      <c r="A26" s="271"/>
      <c r="B26" s="973" t="s">
        <v>1478</v>
      </c>
      <c r="C26" s="973"/>
      <c r="D26" s="973"/>
      <c r="E26" s="974" t="s">
        <v>1536</v>
      </c>
      <c r="F26" s="974"/>
      <c r="G26" s="974"/>
      <c r="H26" s="974"/>
      <c r="I26" s="974"/>
      <c r="J26" s="974"/>
      <c r="K26" s="974"/>
      <c r="L26" s="974"/>
      <c r="M26" s="975" t="n">
        <f aca="false">V33</f>
        <v>0</v>
      </c>
      <c r="N26" s="975"/>
      <c r="O26" s="975"/>
      <c r="P26" s="976" t="n">
        <f aca="false">AB47</f>
        <v>11984.9753835992</v>
      </c>
      <c r="Q26" s="976"/>
      <c r="R26" s="976"/>
      <c r="S26" s="976"/>
      <c r="T26" s="976"/>
      <c r="U26" s="976"/>
      <c r="V26" s="976" t="n">
        <f aca="false">Z62</f>
        <v>0</v>
      </c>
      <c r="W26" s="976"/>
      <c r="X26" s="976"/>
      <c r="Y26" s="976" t="n">
        <f aca="false">INDEX($P$69:$P$72,MATCH(B26,$B$69:$B$72,0))</f>
        <v>238.07</v>
      </c>
      <c r="Z26" s="976"/>
      <c r="AA26" s="976"/>
      <c r="AB26" s="857" t="n">
        <f aca="false">SUM(M26:AA26)</f>
        <v>12223.0453835992</v>
      </c>
      <c r="AC26" s="857"/>
      <c r="AD26" s="857"/>
      <c r="AE26" s="857"/>
      <c r="AF26" s="968"/>
    </row>
    <row r="27" customFormat="false" ht="15.75" hidden="false" customHeight="true" outlineLevel="0" collapsed="false">
      <c r="A27" s="271"/>
      <c r="B27" s="841"/>
      <c r="C27" s="841"/>
      <c r="D27" s="841"/>
      <c r="E27" s="841"/>
      <c r="F27" s="841"/>
      <c r="G27" s="841"/>
      <c r="H27" s="841"/>
      <c r="I27" s="841"/>
      <c r="J27" s="841"/>
      <c r="K27" s="841"/>
      <c r="L27" s="841"/>
      <c r="M27" s="842"/>
      <c r="N27" s="842"/>
      <c r="O27" s="842"/>
      <c r="P27" s="843"/>
      <c r="Q27" s="843"/>
      <c r="R27" s="843"/>
      <c r="S27" s="843"/>
      <c r="T27" s="843"/>
      <c r="U27" s="843"/>
      <c r="V27" s="843"/>
      <c r="W27" s="843"/>
      <c r="X27" s="843"/>
      <c r="Y27" s="977"/>
      <c r="Z27" s="977"/>
      <c r="AA27" s="844" t="s">
        <v>25</v>
      </c>
      <c r="AB27" s="978" t="n">
        <f aca="false">SUM(AB25:AE26)+AB28</f>
        <v>46182.7430572358</v>
      </c>
      <c r="AC27" s="978"/>
      <c r="AD27" s="978"/>
      <c r="AE27" s="978"/>
      <c r="AF27" s="968"/>
    </row>
    <row r="28" customFormat="false" ht="15.75" hidden="false" customHeight="true" outlineLevel="0" collapsed="false">
      <c r="A28" s="271"/>
      <c r="B28" s="979" t="s">
        <v>1516</v>
      </c>
      <c r="C28" s="979"/>
      <c r="D28" s="979"/>
      <c r="E28" s="980" t="s">
        <v>1537</v>
      </c>
      <c r="F28" s="980"/>
      <c r="G28" s="980"/>
      <c r="H28" s="980"/>
      <c r="I28" s="980"/>
      <c r="J28" s="980"/>
      <c r="K28" s="980"/>
      <c r="L28" s="980"/>
      <c r="M28" s="981" t="n">
        <f aca="false">V35</f>
        <v>0</v>
      </c>
      <c r="N28" s="981"/>
      <c r="O28" s="981"/>
      <c r="P28" s="976" t="n">
        <f aca="false">AB49</f>
        <v>12063.1782683592</v>
      </c>
      <c r="Q28" s="976"/>
      <c r="R28" s="976"/>
      <c r="S28" s="982"/>
      <c r="T28" s="982"/>
      <c r="U28" s="982"/>
      <c r="V28" s="983" t="n">
        <f aca="false">Z62</f>
        <v>0</v>
      </c>
      <c r="W28" s="983"/>
      <c r="X28" s="983"/>
      <c r="Y28" s="983" t="n">
        <f aca="false">INDEX($P$69:$P$72,MATCH(B28,$B$69:$B$72,0))</f>
        <v>239.4</v>
      </c>
      <c r="Z28" s="983"/>
      <c r="AA28" s="983"/>
      <c r="AB28" s="984" t="n">
        <f aca="false">SUM(M28:AA28)</f>
        <v>12302.5782683592</v>
      </c>
      <c r="AC28" s="984"/>
      <c r="AD28" s="984"/>
      <c r="AE28" s="984"/>
      <c r="AF28" s="1"/>
    </row>
    <row r="29" customFormat="false" ht="15.75" hidden="false" customHeight="true" outlineLevel="0" collapsed="false">
      <c r="A29" s="271"/>
      <c r="B29" s="848" t="s">
        <v>2321</v>
      </c>
      <c r="C29" s="867"/>
      <c r="D29" s="867"/>
      <c r="E29" s="867"/>
      <c r="F29" s="867"/>
      <c r="G29" s="867"/>
      <c r="H29" s="867"/>
      <c r="I29" s="867"/>
      <c r="J29" s="867"/>
      <c r="K29" s="867"/>
      <c r="L29" s="867"/>
      <c r="M29" s="867"/>
      <c r="N29" s="867"/>
      <c r="O29" s="867"/>
      <c r="P29" s="867"/>
      <c r="Q29" s="867"/>
      <c r="R29" s="867"/>
      <c r="S29" s="867"/>
      <c r="T29" s="867"/>
      <c r="U29" s="867"/>
      <c r="V29" s="867"/>
      <c r="W29" s="1"/>
      <c r="X29" s="1"/>
      <c r="Y29" s="1"/>
      <c r="Z29" s="1"/>
      <c r="AA29" s="968"/>
      <c r="AB29" s="968"/>
      <c r="AC29" s="867"/>
      <c r="AD29" s="1"/>
      <c r="AE29" s="1"/>
      <c r="AF29" s="1"/>
    </row>
    <row r="30" customFormat="false" ht="15.75" hidden="false" customHeight="true" outlineLevel="0" collapsed="false">
      <c r="A30" s="271"/>
      <c r="B30" s="985" t="s">
        <v>1533</v>
      </c>
      <c r="C30" s="985"/>
      <c r="D30" s="985"/>
      <c r="E30" s="985"/>
      <c r="F30" s="985"/>
      <c r="G30" s="985"/>
      <c r="H30" s="985"/>
      <c r="I30" s="985"/>
      <c r="J30" s="985"/>
      <c r="K30" s="985"/>
      <c r="L30" s="985"/>
      <c r="M30" s="986" t="s">
        <v>2278</v>
      </c>
      <c r="N30" s="986"/>
      <c r="O30" s="986"/>
      <c r="P30" s="986" t="s">
        <v>2279</v>
      </c>
      <c r="Q30" s="986"/>
      <c r="R30" s="986"/>
      <c r="S30" s="987" t="s">
        <v>2322</v>
      </c>
      <c r="T30" s="987"/>
      <c r="U30" s="987"/>
      <c r="V30" s="819" t="s">
        <v>2228</v>
      </c>
      <c r="W30" s="819"/>
      <c r="X30" s="819"/>
      <c r="Y30" s="819"/>
      <c r="Z30" s="1"/>
      <c r="AA30" s="1"/>
      <c r="AB30" s="1"/>
      <c r="AC30" s="1"/>
      <c r="AD30" s="1"/>
      <c r="AE30" s="1"/>
      <c r="AF30" s="1"/>
    </row>
    <row r="31" customFormat="false" ht="15.75" hidden="false" customHeight="true" outlineLevel="0" collapsed="false">
      <c r="A31" s="271"/>
      <c r="B31" s="985"/>
      <c r="C31" s="985"/>
      <c r="D31" s="985"/>
      <c r="E31" s="985"/>
      <c r="F31" s="985"/>
      <c r="G31" s="985"/>
      <c r="H31" s="985"/>
      <c r="I31" s="985"/>
      <c r="J31" s="985"/>
      <c r="K31" s="985"/>
      <c r="L31" s="985"/>
      <c r="M31" s="988" t="n">
        <v>120</v>
      </c>
      <c r="N31" s="988"/>
      <c r="O31" s="988"/>
      <c r="P31" s="988" t="n">
        <v>60</v>
      </c>
      <c r="Q31" s="988"/>
      <c r="R31" s="988"/>
      <c r="S31" s="989" t="n">
        <v>60</v>
      </c>
      <c r="T31" s="989"/>
      <c r="U31" s="989"/>
      <c r="V31" s="819"/>
      <c r="W31" s="819"/>
      <c r="X31" s="819"/>
      <c r="Y31" s="819"/>
      <c r="Z31" s="1"/>
      <c r="AA31" s="1"/>
      <c r="AB31" s="1"/>
      <c r="AC31" s="1"/>
      <c r="AD31" s="1"/>
      <c r="AE31" s="1"/>
      <c r="AF31" s="1"/>
    </row>
    <row r="32" customFormat="false" ht="15.75" hidden="false" customHeight="true" outlineLevel="0" collapsed="false">
      <c r="A32" s="271"/>
      <c r="B32" s="969" t="s">
        <v>1069</v>
      </c>
      <c r="C32" s="969"/>
      <c r="D32" s="969"/>
      <c r="E32" s="970" t="s">
        <v>1535</v>
      </c>
      <c r="F32" s="970"/>
      <c r="G32" s="970"/>
      <c r="H32" s="970"/>
      <c r="I32" s="970"/>
      <c r="J32" s="970"/>
      <c r="K32" s="970"/>
      <c r="L32" s="970"/>
      <c r="M32" s="990" t="n">
        <f aca="false">COUNTIFS(TO!C:C,"44112o",TO!F:F,$B$32)</f>
        <v>7</v>
      </c>
      <c r="N32" s="990"/>
      <c r="O32" s="990"/>
      <c r="P32" s="990" t="n">
        <f aca="false">COUNTIFS(TO!C:C,"44112c",TO!F:F,$B$32)</f>
        <v>0</v>
      </c>
      <c r="Q32" s="990"/>
      <c r="R32" s="990"/>
      <c r="S32" s="990" t="n">
        <f aca="false">COUNTIFS(TO!C:C,"44112w",TO!F:F,$B$32)</f>
        <v>15</v>
      </c>
      <c r="T32" s="990"/>
      <c r="U32" s="990"/>
      <c r="V32" s="853" t="n">
        <f aca="false">M32*$M$31+P32*$P$31+S32*$S$31</f>
        <v>1740</v>
      </c>
      <c r="W32" s="853"/>
      <c r="X32" s="853"/>
      <c r="Y32" s="853"/>
      <c r="Z32" s="1"/>
      <c r="AA32" s="1"/>
      <c r="AB32" s="1"/>
      <c r="AC32" s="1"/>
      <c r="AD32" s="1"/>
      <c r="AE32" s="1"/>
      <c r="AF32" s="1"/>
    </row>
    <row r="33" customFormat="false" ht="15.75" hidden="false" customHeight="true" outlineLevel="0" collapsed="false">
      <c r="A33" s="271"/>
      <c r="B33" s="973" t="s">
        <v>1478</v>
      </c>
      <c r="C33" s="973"/>
      <c r="D33" s="973"/>
      <c r="E33" s="974" t="s">
        <v>1536</v>
      </c>
      <c r="F33" s="974"/>
      <c r="G33" s="974"/>
      <c r="H33" s="974"/>
      <c r="I33" s="974"/>
      <c r="J33" s="974"/>
      <c r="K33" s="974"/>
      <c r="L33" s="974"/>
      <c r="M33" s="991" t="n">
        <f aca="false">COUNTIFS(TO!C:C,"44112o",TO!F:F,$B$33)</f>
        <v>0</v>
      </c>
      <c r="N33" s="991"/>
      <c r="O33" s="991"/>
      <c r="P33" s="991" t="n">
        <f aca="false">COUNTIFS(TO!C:C,"44112c",TO!F:F,$B$33)</f>
        <v>0</v>
      </c>
      <c r="Q33" s="991"/>
      <c r="R33" s="991"/>
      <c r="S33" s="991" t="n">
        <f aca="false">COUNTIFS(TO!C:C,"44112w",TO!F:F,$B$33)</f>
        <v>0</v>
      </c>
      <c r="T33" s="991"/>
      <c r="U33" s="991"/>
      <c r="V33" s="857" t="n">
        <f aca="false">M33*$M$31+P33*$P$31+S33*$S$31</f>
        <v>0</v>
      </c>
      <c r="W33" s="857"/>
      <c r="X33" s="857"/>
      <c r="Y33" s="857"/>
      <c r="Z33" s="1"/>
      <c r="AA33" s="1"/>
      <c r="AB33" s="1"/>
      <c r="AC33" s="1"/>
      <c r="AD33" s="1"/>
      <c r="AE33" s="1"/>
      <c r="AF33" s="1"/>
    </row>
    <row r="34" customFormat="false" ht="15.75" hidden="false" customHeight="true" outlineLevel="0" collapsed="false">
      <c r="A34" s="271"/>
      <c r="B34" s="841"/>
      <c r="C34" s="841"/>
      <c r="D34" s="841"/>
      <c r="E34" s="841"/>
      <c r="F34" s="841"/>
      <c r="G34" s="841"/>
      <c r="H34" s="841"/>
      <c r="I34" s="841"/>
      <c r="J34" s="841"/>
      <c r="K34" s="841"/>
      <c r="L34" s="841"/>
      <c r="M34" s="992"/>
      <c r="N34" s="992"/>
      <c r="O34" s="992"/>
      <c r="P34" s="992"/>
      <c r="Q34" s="992"/>
      <c r="R34" s="992"/>
      <c r="S34" s="978" t="s">
        <v>2323</v>
      </c>
      <c r="T34" s="978"/>
      <c r="U34" s="978"/>
      <c r="V34" s="978" t="e">
        <f aca="false">SUM(V32:Y35)</f>
        <v>#VALUE!</v>
      </c>
      <c r="W34" s="978"/>
      <c r="X34" s="978"/>
      <c r="Y34" s="978"/>
      <c r="Z34" s="1"/>
      <c r="AA34" s="1"/>
      <c r="AB34" s="1"/>
      <c r="AC34" s="1"/>
      <c r="AD34" s="1"/>
      <c r="AE34" s="1"/>
      <c r="AF34" s="1"/>
    </row>
    <row r="35" customFormat="false" ht="15.75" hidden="false" customHeight="true" outlineLevel="0" collapsed="false">
      <c r="A35" s="271"/>
      <c r="B35" s="993" t="s">
        <v>1516</v>
      </c>
      <c r="C35" s="993"/>
      <c r="D35" s="993"/>
      <c r="E35" s="994" t="s">
        <v>1537</v>
      </c>
      <c r="F35" s="994"/>
      <c r="G35" s="994"/>
      <c r="H35" s="994"/>
      <c r="I35" s="994"/>
      <c r="J35" s="994"/>
      <c r="K35" s="994"/>
      <c r="L35" s="994"/>
      <c r="M35" s="991" t="n">
        <f aca="false">COUNTIFS(TO!C:C,"44112o",TO!F:F,$B$35)</f>
        <v>0</v>
      </c>
      <c r="N35" s="991"/>
      <c r="O35" s="991"/>
      <c r="P35" s="991" t="n">
        <f aca="false">COUNTIFS(TO!C:C,"44112c",TO!F:F,$B$35)</f>
        <v>0</v>
      </c>
      <c r="Q35" s="991"/>
      <c r="R35" s="991"/>
      <c r="S35" s="995" t="n">
        <f aca="false">COUNTIFS(TO!C:C,"44112w",TO!F:F,$B$35)</f>
        <v>0</v>
      </c>
      <c r="T35" s="995"/>
      <c r="U35" s="995"/>
      <c r="V35" s="984" t="n">
        <f aca="false">M35*$M$31+P35*$P$31+S35*$S$31</f>
        <v>0</v>
      </c>
      <c r="W35" s="984"/>
      <c r="X35" s="984"/>
      <c r="Y35" s="984"/>
      <c r="Z35" s="996"/>
      <c r="AC35" s="1"/>
      <c r="AD35" s="1"/>
      <c r="AE35" s="1"/>
      <c r="AF35" s="1"/>
    </row>
    <row r="36" customFormat="false" ht="15.75" hidden="false" customHeight="true" outlineLevel="0" collapsed="false">
      <c r="A36" s="271"/>
      <c r="B36" s="997" t="s">
        <v>2324</v>
      </c>
      <c r="C36" s="997"/>
      <c r="D36" s="997"/>
      <c r="E36" s="997"/>
      <c r="F36" s="997"/>
      <c r="G36" s="997"/>
      <c r="H36" s="997"/>
      <c r="I36" s="997"/>
      <c r="J36" s="997"/>
      <c r="K36" s="997"/>
      <c r="L36" s="997"/>
      <c r="M36" s="997"/>
      <c r="N36" s="997"/>
      <c r="O36" s="997"/>
      <c r="P36" s="997"/>
      <c r="Q36" s="997"/>
      <c r="R36" s="997"/>
      <c r="S36" s="997"/>
      <c r="T36" s="997"/>
      <c r="U36" s="997"/>
      <c r="V36" s="997"/>
      <c r="W36" s="997"/>
      <c r="X36" s="997"/>
      <c r="Y36" s="997"/>
      <c r="Z36" s="997"/>
      <c r="AA36" s="997"/>
      <c r="AB36" s="997"/>
      <c r="AC36" s="997"/>
      <c r="AD36" s="997"/>
      <c r="AE36" s="997"/>
      <c r="AF36" s="998"/>
    </row>
    <row r="37" customFormat="false" ht="15.75" hidden="false" customHeight="true" outlineLevel="0" collapsed="false">
      <c r="A37" s="271"/>
      <c r="B37" s="997"/>
      <c r="C37" s="997"/>
      <c r="D37" s="997"/>
      <c r="E37" s="997"/>
      <c r="F37" s="997"/>
      <c r="G37" s="997"/>
      <c r="H37" s="997"/>
      <c r="I37" s="997"/>
      <c r="J37" s="997"/>
      <c r="K37" s="997"/>
      <c r="L37" s="997"/>
      <c r="M37" s="997"/>
      <c r="N37" s="997"/>
      <c r="O37" s="997"/>
      <c r="P37" s="997"/>
      <c r="Q37" s="997"/>
      <c r="R37" s="997"/>
      <c r="S37" s="997"/>
      <c r="T37" s="997"/>
      <c r="U37" s="997"/>
      <c r="V37" s="997"/>
      <c r="W37" s="997"/>
      <c r="X37" s="997"/>
      <c r="Y37" s="997"/>
      <c r="Z37" s="997"/>
      <c r="AA37" s="997"/>
      <c r="AB37" s="997"/>
      <c r="AC37" s="997"/>
      <c r="AD37" s="997"/>
      <c r="AE37" s="997"/>
      <c r="AF37" s="998"/>
    </row>
    <row r="38" customFormat="false" ht="15.75" hidden="false" customHeight="true" outlineLevel="0" collapsed="false">
      <c r="A38" s="271"/>
      <c r="B38" s="997"/>
      <c r="C38" s="997"/>
      <c r="D38" s="997"/>
      <c r="E38" s="997"/>
      <c r="F38" s="997"/>
      <c r="G38" s="997"/>
      <c r="H38" s="997"/>
      <c r="I38" s="997"/>
      <c r="J38" s="997"/>
      <c r="K38" s="997"/>
      <c r="L38" s="997"/>
      <c r="M38" s="997"/>
      <c r="N38" s="997"/>
      <c r="O38" s="997"/>
      <c r="P38" s="997"/>
      <c r="Q38" s="997"/>
      <c r="R38" s="997"/>
      <c r="S38" s="997"/>
      <c r="T38" s="997"/>
      <c r="U38" s="997"/>
      <c r="V38" s="997"/>
      <c r="W38" s="997"/>
      <c r="X38" s="997"/>
      <c r="Y38" s="997"/>
      <c r="Z38" s="997"/>
      <c r="AA38" s="997"/>
      <c r="AB38" s="997"/>
      <c r="AC38" s="997"/>
      <c r="AD38" s="997"/>
      <c r="AE38" s="997"/>
      <c r="AF38" s="998"/>
    </row>
    <row r="39" customFormat="false" ht="15.75" hidden="false" customHeight="true" outlineLevel="0" collapsed="false">
      <c r="A39" s="999"/>
      <c r="B39" s="997"/>
      <c r="C39" s="997"/>
      <c r="D39" s="997"/>
      <c r="E39" s="997"/>
      <c r="F39" s="997"/>
      <c r="G39" s="997"/>
      <c r="H39" s="997"/>
      <c r="I39" s="997"/>
      <c r="J39" s="997"/>
      <c r="K39" s="997"/>
      <c r="L39" s="997"/>
      <c r="M39" s="997"/>
      <c r="N39" s="997"/>
      <c r="O39" s="997"/>
      <c r="P39" s="997"/>
      <c r="Q39" s="997"/>
      <c r="R39" s="997"/>
      <c r="S39" s="997"/>
      <c r="T39" s="997"/>
      <c r="U39" s="997"/>
      <c r="V39" s="997"/>
      <c r="W39" s="997"/>
      <c r="X39" s="997"/>
      <c r="Y39" s="997"/>
      <c r="Z39" s="997"/>
      <c r="AA39" s="997"/>
      <c r="AB39" s="997"/>
      <c r="AC39" s="997"/>
      <c r="AD39" s="997"/>
      <c r="AE39" s="997"/>
      <c r="AF39" s="1000"/>
    </row>
    <row r="40" customFormat="false" ht="15.75" hidden="false" customHeight="true" outlineLevel="0" collapsed="false">
      <c r="A40" s="1001" t="s">
        <v>26</v>
      </c>
      <c r="B40" s="1001"/>
      <c r="C40" s="1001"/>
      <c r="D40" s="1001"/>
      <c r="E40" s="1001"/>
      <c r="F40" s="1001"/>
      <c r="G40" s="1001"/>
      <c r="H40" s="1002" t="n">
        <f aca="false">AB27</f>
        <v>46182.7430572358</v>
      </c>
      <c r="I40" s="1002"/>
      <c r="J40" s="1002"/>
      <c r="K40" s="1002"/>
      <c r="L40" s="1003" t="s">
        <v>1656</v>
      </c>
      <c r="M40" s="1004"/>
      <c r="N40" s="1004"/>
      <c r="O40" s="1005"/>
      <c r="P40" s="1005"/>
      <c r="Q40" s="1005"/>
      <c r="R40" s="1003"/>
      <c r="S40" s="1003"/>
      <c r="T40" s="1003"/>
      <c r="U40" s="1003"/>
      <c r="V40" s="1003"/>
      <c r="W40" s="1003"/>
      <c r="X40" s="1003"/>
      <c r="Y40" s="1006"/>
      <c r="Z40" s="959"/>
      <c r="AA40" s="959"/>
      <c r="AB40" s="453"/>
      <c r="AC40" s="454" t="s">
        <v>1657</v>
      </c>
      <c r="AD40" s="455" t="n">
        <v>1</v>
      </c>
      <c r="AE40" s="455" t="s">
        <v>29</v>
      </c>
      <c r="AF40" s="455" t="n">
        <v>2</v>
      </c>
    </row>
    <row r="41" customFormat="false" ht="15.75" hidden="false" customHeight="true" outlineLevel="0" collapsed="false">
      <c r="A41" s="1007" t="s">
        <v>1522</v>
      </c>
      <c r="B41" s="1007"/>
      <c r="C41" s="1008" t="n">
        <f aca="false">C5</f>
        <v>44112</v>
      </c>
      <c r="D41" s="1008"/>
      <c r="E41" s="1008"/>
      <c r="F41" s="1008"/>
      <c r="G41" s="1008"/>
      <c r="H41" s="1008"/>
      <c r="I41" s="1008"/>
      <c r="J41" s="1008"/>
      <c r="K41" s="1008"/>
      <c r="L41" s="1008"/>
      <c r="M41" s="1007" t="s">
        <v>1523</v>
      </c>
      <c r="N41" s="1007"/>
      <c r="O41" s="1007"/>
      <c r="P41" s="1007"/>
      <c r="Q41" s="1007"/>
      <c r="R41" s="1009" t="str">
        <f aca="false">R5</f>
        <v>Storage of Air or Ground Organic Units - USMC</v>
      </c>
      <c r="S41" s="1009"/>
      <c r="T41" s="1009"/>
      <c r="U41" s="1009"/>
      <c r="V41" s="1009"/>
      <c r="W41" s="1009"/>
      <c r="X41" s="1009"/>
      <c r="Y41" s="1009"/>
      <c r="Z41" s="1009"/>
      <c r="AA41" s="1009"/>
      <c r="AB41" s="1009"/>
      <c r="AC41" s="1009"/>
      <c r="AD41" s="1009"/>
      <c r="AE41" s="1009"/>
      <c r="AF41" s="1009"/>
    </row>
    <row r="42" customFormat="false" ht="15.75" hidden="false" customHeight="true" outlineLevel="0" collapsed="false">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row>
    <row r="43" customFormat="false" ht="15.75" hidden="false" customHeight="true" outlineLevel="0" collapsed="false">
      <c r="A43" s="1"/>
      <c r="B43" s="848" t="s">
        <v>2325</v>
      </c>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1"/>
      <c r="AD43" s="1"/>
      <c r="AE43" s="1"/>
      <c r="AF43" s="1"/>
    </row>
    <row r="44" customFormat="false" ht="15.75" hidden="false" customHeight="true" outlineLevel="0" collapsed="false">
      <c r="A44" s="1"/>
      <c r="B44" s="1010" t="s">
        <v>1533</v>
      </c>
      <c r="C44" s="1010"/>
      <c r="D44" s="1010"/>
      <c r="E44" s="1010"/>
      <c r="F44" s="1010"/>
      <c r="G44" s="1010"/>
      <c r="H44" s="1010"/>
      <c r="I44" s="1010"/>
      <c r="J44" s="1010"/>
      <c r="K44" s="1010"/>
      <c r="L44" s="1011" t="s">
        <v>2326</v>
      </c>
      <c r="M44" s="1011"/>
      <c r="N44" s="1011"/>
      <c r="O44" s="1011"/>
      <c r="P44" s="1012" t="s">
        <v>2283</v>
      </c>
      <c r="Q44" s="1012"/>
      <c r="R44" s="1012"/>
      <c r="S44" s="1012"/>
      <c r="T44" s="1013" t="s">
        <v>2327</v>
      </c>
      <c r="U44" s="1013"/>
      <c r="V44" s="1013"/>
      <c r="W44" s="1013"/>
      <c r="X44" s="1014" t="s">
        <v>2328</v>
      </c>
      <c r="Y44" s="1014"/>
      <c r="Z44" s="1014"/>
      <c r="AA44" s="1014"/>
      <c r="AB44" s="1015" t="s">
        <v>2329</v>
      </c>
      <c r="AC44" s="1015"/>
      <c r="AD44" s="1015"/>
      <c r="AE44" s="1015"/>
      <c r="AF44" s="1"/>
    </row>
    <row r="45" customFormat="false" ht="15.75" hidden="false" customHeight="true" outlineLevel="0" collapsed="false">
      <c r="A45" s="1"/>
      <c r="B45" s="1010"/>
      <c r="C45" s="1010"/>
      <c r="D45" s="1010"/>
      <c r="E45" s="1010"/>
      <c r="F45" s="1010"/>
      <c r="G45" s="1010"/>
      <c r="H45" s="1010"/>
      <c r="I45" s="1010"/>
      <c r="J45" s="1010"/>
      <c r="K45" s="1010"/>
      <c r="L45" s="1011"/>
      <c r="M45" s="1011"/>
      <c r="N45" s="1011"/>
      <c r="O45" s="1011"/>
      <c r="P45" s="1012"/>
      <c r="Q45" s="1012"/>
      <c r="R45" s="1012"/>
      <c r="S45" s="1012"/>
      <c r="T45" s="1013"/>
      <c r="U45" s="1013"/>
      <c r="V45" s="1013"/>
      <c r="W45" s="1013"/>
      <c r="X45" s="1016" t="n">
        <v>2.5</v>
      </c>
      <c r="Y45" s="1016"/>
      <c r="Z45" s="1016"/>
      <c r="AA45" s="1016"/>
      <c r="AB45" s="1017" t="n">
        <v>1.1</v>
      </c>
      <c r="AC45" s="1017"/>
      <c r="AD45" s="1017"/>
      <c r="AE45" s="1017"/>
      <c r="AF45" s="1"/>
    </row>
    <row r="46" customFormat="false" ht="15.75" hidden="false" customHeight="true" outlineLevel="0" collapsed="false">
      <c r="A46" s="1"/>
      <c r="B46" s="820" t="s">
        <v>1069</v>
      </c>
      <c r="C46" s="820"/>
      <c r="D46" s="820"/>
      <c r="E46" s="821" t="s">
        <v>1535</v>
      </c>
      <c r="F46" s="821"/>
      <c r="G46" s="821"/>
      <c r="H46" s="821"/>
      <c r="I46" s="821"/>
      <c r="J46" s="821"/>
      <c r="K46" s="821"/>
      <c r="L46" s="1018" t="n">
        <f aca="false">SUMIFS(TE!U:U,TE!D:D,$C$5,TE!G:G,B46,TE!U:U,"&lt;&gt;#N/A")</f>
        <v>43596.199047</v>
      </c>
      <c r="M46" s="1018"/>
      <c r="N46" s="1018"/>
      <c r="O46" s="1018"/>
      <c r="P46" s="637" t="n">
        <f aca="false">1.96*L46</f>
        <v>85448.55013212</v>
      </c>
      <c r="Q46" s="637"/>
      <c r="R46" s="637"/>
      <c r="S46" s="637"/>
      <c r="T46" s="876" t="n">
        <f aca="false">P46/12</f>
        <v>7120.71251101</v>
      </c>
      <c r="U46" s="876"/>
      <c r="V46" s="876"/>
      <c r="W46" s="876"/>
      <c r="X46" s="1019" t="n">
        <f aca="false">T46*$X$45</f>
        <v>17801.781277525</v>
      </c>
      <c r="Y46" s="1019"/>
      <c r="Z46" s="1019"/>
      <c r="AA46" s="1019"/>
      <c r="AB46" s="1020" t="n">
        <f aca="false">X46*$AB$45</f>
        <v>19581.9594052775</v>
      </c>
      <c r="AC46" s="1020"/>
      <c r="AD46" s="1020"/>
      <c r="AE46" s="1020"/>
      <c r="AF46" s="1"/>
    </row>
    <row r="47" customFormat="false" ht="15.75" hidden="false" customHeight="true" outlineLevel="0" collapsed="false">
      <c r="A47" s="1"/>
      <c r="B47" s="834" t="s">
        <v>1478</v>
      </c>
      <c r="C47" s="834"/>
      <c r="D47" s="834"/>
      <c r="E47" s="835" t="s">
        <v>1536</v>
      </c>
      <c r="F47" s="835"/>
      <c r="G47" s="835"/>
      <c r="H47" s="835"/>
      <c r="I47" s="835"/>
      <c r="J47" s="835"/>
      <c r="K47" s="835"/>
      <c r="L47" s="1021" t="n">
        <f aca="false">SUMIFS(TE!U:U,TE!D:D,$C$5,TE!G:G,B47,TE!U:U,"&lt;&gt;#N/A")</f>
        <v>26682.691021</v>
      </c>
      <c r="M47" s="1021"/>
      <c r="N47" s="1021"/>
      <c r="O47" s="1021"/>
      <c r="P47" s="632" t="n">
        <f aca="false">1.96*L47</f>
        <v>52298.07440116</v>
      </c>
      <c r="Q47" s="632"/>
      <c r="R47" s="632"/>
      <c r="S47" s="632"/>
      <c r="T47" s="886" t="n">
        <f aca="false">P47/12</f>
        <v>4358.17286676333</v>
      </c>
      <c r="U47" s="886"/>
      <c r="V47" s="886"/>
      <c r="W47" s="886"/>
      <c r="X47" s="1022" t="n">
        <f aca="false">T47*$X$45</f>
        <v>10895.4321669083</v>
      </c>
      <c r="Y47" s="1022"/>
      <c r="Z47" s="1022"/>
      <c r="AA47" s="1022"/>
      <c r="AB47" s="1023" t="n">
        <f aca="false">X47*$AB$45</f>
        <v>11984.9753835992</v>
      </c>
      <c r="AC47" s="1023"/>
      <c r="AD47" s="1023"/>
      <c r="AE47" s="1023"/>
      <c r="AF47" s="1"/>
    </row>
    <row r="48" customFormat="false" ht="15.75" hidden="false" customHeight="true" outlineLevel="0" collapsed="false">
      <c r="A48" s="1"/>
      <c r="B48" s="841"/>
      <c r="C48" s="841"/>
      <c r="D48" s="841"/>
      <c r="E48" s="841"/>
      <c r="F48" s="841"/>
      <c r="G48" s="841"/>
      <c r="H48" s="841"/>
      <c r="I48" s="841"/>
      <c r="J48" s="841"/>
      <c r="K48" s="841"/>
      <c r="L48" s="846"/>
      <c r="M48" s="846"/>
      <c r="N48" s="846"/>
      <c r="O48" s="846"/>
      <c r="P48" s="889"/>
      <c r="Q48" s="889"/>
      <c r="R48" s="889"/>
      <c r="S48" s="889"/>
      <c r="T48" s="889"/>
      <c r="U48" s="889"/>
      <c r="V48" s="889"/>
      <c r="W48" s="889"/>
      <c r="X48" s="1024"/>
      <c r="Y48" s="1024"/>
      <c r="Z48" s="1025" t="s">
        <v>25</v>
      </c>
      <c r="AA48" s="1024"/>
      <c r="AB48" s="1026" t="e">
        <f aca="false">SUM(AB46:AE49)</f>
        <v>#VALUE!</v>
      </c>
      <c r="AC48" s="1026"/>
      <c r="AD48" s="1026"/>
      <c r="AE48" s="1026"/>
      <c r="AF48" s="1"/>
    </row>
    <row r="49" customFormat="false" ht="15.75" hidden="false" customHeight="true" outlineLevel="0" collapsed="false">
      <c r="A49" s="1"/>
      <c r="B49" s="1027" t="s">
        <v>1516</v>
      </c>
      <c r="C49" s="1027"/>
      <c r="D49" s="1027"/>
      <c r="E49" s="1028" t="s">
        <v>1537</v>
      </c>
      <c r="F49" s="1028"/>
      <c r="G49" s="1028"/>
      <c r="H49" s="1028"/>
      <c r="I49" s="1028"/>
      <c r="J49" s="1028"/>
      <c r="K49" s="1028"/>
      <c r="L49" s="1029" t="n">
        <f aca="false">SUMIFS(TE!U:U,TE!D:D,$C$5,TE!G:G,B49,TE!U:U,"&lt;&gt;#N/A")</f>
        <v>26856.797629</v>
      </c>
      <c r="M49" s="1029"/>
      <c r="N49" s="1029"/>
      <c r="O49" s="1029"/>
      <c r="P49" s="1030" t="n">
        <f aca="false">1.96*L49</f>
        <v>52639.32335284</v>
      </c>
      <c r="Q49" s="1030"/>
      <c r="R49" s="1030"/>
      <c r="S49" s="1030"/>
      <c r="T49" s="1031" t="n">
        <f aca="false">P49/12</f>
        <v>4386.61027940333</v>
      </c>
      <c r="U49" s="1031"/>
      <c r="V49" s="1031"/>
      <c r="W49" s="1031"/>
      <c r="X49" s="1032" t="n">
        <f aca="false">T49*$X$45</f>
        <v>10966.5256985083</v>
      </c>
      <c r="Y49" s="1032"/>
      <c r="Z49" s="1032"/>
      <c r="AA49" s="1032"/>
      <c r="AB49" s="1033" t="n">
        <f aca="false">X49*$AB$45</f>
        <v>12063.1782683592</v>
      </c>
      <c r="AC49" s="1033"/>
      <c r="AD49" s="1033"/>
      <c r="AE49" s="1033"/>
      <c r="AF49" s="1034"/>
    </row>
    <row r="50" customFormat="false" ht="15.75" hidden="false" customHeight="true" outlineLevel="0" collapsed="false">
      <c r="A50" s="1"/>
      <c r="B50" s="1035"/>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row>
    <row r="51" customFormat="false" ht="15.75" hidden="false" customHeight="true" outlineLevel="0" collapsed="false">
      <c r="A51" s="1"/>
      <c r="B51" s="848" t="s">
        <v>2330</v>
      </c>
      <c r="C51" s="867"/>
      <c r="D51" s="867"/>
      <c r="E51" s="867"/>
      <c r="F51" s="867"/>
      <c r="G51" s="867"/>
      <c r="H51" s="867"/>
      <c r="I51" s="867"/>
      <c r="J51" s="867"/>
      <c r="K51" s="867"/>
      <c r="L51" s="867"/>
      <c r="M51" s="867"/>
      <c r="N51" s="867"/>
      <c r="O51" s="867"/>
      <c r="P51" s="867"/>
      <c r="Q51" s="867"/>
      <c r="R51" s="867"/>
      <c r="S51" s="867"/>
      <c r="T51" s="867"/>
      <c r="U51" s="867"/>
      <c r="V51" s="867"/>
      <c r="W51" s="867"/>
      <c r="X51" s="867"/>
      <c r="Y51" s="867"/>
      <c r="Z51" s="867"/>
      <c r="AA51" s="867"/>
      <c r="AB51" s="867"/>
      <c r="AC51" s="1"/>
      <c r="AD51" s="1"/>
      <c r="AE51" s="1"/>
      <c r="AF51" s="1"/>
    </row>
    <row r="52" customFormat="false" ht="15.75" hidden="false" customHeight="true" outlineLevel="0" collapsed="false">
      <c r="A52" s="1"/>
      <c r="B52" s="1036" t="s">
        <v>13</v>
      </c>
      <c r="C52" s="1036"/>
      <c r="D52" s="1036"/>
      <c r="E52" s="1036"/>
      <c r="F52" s="1036"/>
      <c r="G52" s="1036"/>
      <c r="H52" s="1036"/>
      <c r="I52" s="894" t="s">
        <v>1544</v>
      </c>
      <c r="J52" s="894"/>
      <c r="K52" s="894" t="s">
        <v>2287</v>
      </c>
      <c r="L52" s="894"/>
      <c r="M52" s="894" t="s">
        <v>2288</v>
      </c>
      <c r="N52" s="894"/>
      <c r="O52" s="894" t="s">
        <v>2289</v>
      </c>
      <c r="P52" s="894"/>
      <c r="Q52" s="895" t="s">
        <v>2331</v>
      </c>
      <c r="R52" s="895"/>
      <c r="S52" s="622" t="s">
        <v>2291</v>
      </c>
      <c r="T52" s="622"/>
      <c r="U52" s="622"/>
      <c r="V52" s="1013" t="s">
        <v>2292</v>
      </c>
      <c r="W52" s="1013"/>
      <c r="X52" s="1013"/>
      <c r="Y52" s="1013"/>
      <c r="Z52" s="872" t="s">
        <v>1654</v>
      </c>
      <c r="AA52" s="872"/>
      <c r="AB52" s="872"/>
      <c r="AC52" s="872"/>
      <c r="AD52" s="1"/>
      <c r="AE52" s="1"/>
      <c r="AF52" s="1"/>
    </row>
    <row r="53" customFormat="false" ht="15.75" hidden="false" customHeight="true" outlineLevel="0" collapsed="false">
      <c r="A53" s="1"/>
      <c r="B53" s="1036"/>
      <c r="C53" s="1036"/>
      <c r="D53" s="1036"/>
      <c r="E53" s="1036"/>
      <c r="F53" s="1036"/>
      <c r="G53" s="1036"/>
      <c r="H53" s="1036"/>
      <c r="I53" s="894"/>
      <c r="J53" s="894"/>
      <c r="K53" s="894"/>
      <c r="L53" s="894"/>
      <c r="M53" s="894"/>
      <c r="N53" s="894"/>
      <c r="O53" s="894"/>
      <c r="P53" s="894"/>
      <c r="Q53" s="895"/>
      <c r="R53" s="895"/>
      <c r="S53" s="622"/>
      <c r="T53" s="622"/>
      <c r="U53" s="622"/>
      <c r="V53" s="1013"/>
      <c r="W53" s="1013"/>
      <c r="X53" s="1013"/>
      <c r="Y53" s="1013"/>
      <c r="Z53" s="873" t="n">
        <v>2.5</v>
      </c>
      <c r="AA53" s="873"/>
      <c r="AB53" s="873"/>
      <c r="AC53" s="873"/>
      <c r="AD53" s="1"/>
      <c r="AE53" s="1"/>
      <c r="AF53" s="1"/>
    </row>
    <row r="54" customFormat="false" ht="15.75" hidden="false" customHeight="true" outlineLevel="0" collapsed="false">
      <c r="A54" s="1"/>
      <c r="B54" s="1037"/>
      <c r="C54" s="1037"/>
      <c r="D54" s="1037"/>
      <c r="E54" s="1037"/>
      <c r="F54" s="1037"/>
      <c r="G54" s="1037"/>
      <c r="H54" s="1038"/>
      <c r="I54" s="1039"/>
      <c r="J54" s="1039"/>
      <c r="K54" s="1039"/>
      <c r="L54" s="1039"/>
      <c r="M54" s="1039"/>
      <c r="N54" s="1039"/>
      <c r="O54" s="1039"/>
      <c r="P54" s="1039"/>
      <c r="Q54" s="898"/>
      <c r="R54" s="898"/>
      <c r="S54" s="637"/>
      <c r="T54" s="637"/>
      <c r="U54" s="637"/>
      <c r="V54" s="876"/>
      <c r="W54" s="876"/>
      <c r="X54" s="876"/>
      <c r="Y54" s="876"/>
      <c r="Z54" s="1020"/>
      <c r="AA54" s="1020"/>
      <c r="AB54" s="1020"/>
      <c r="AC54" s="1020"/>
      <c r="AD54" s="1"/>
      <c r="AE54" s="1"/>
      <c r="AF54" s="1"/>
    </row>
    <row r="55" customFormat="false" ht="15.75" hidden="false" customHeight="true" outlineLevel="0" collapsed="false">
      <c r="A55" s="1"/>
      <c r="B55" s="1040"/>
      <c r="C55" s="1041"/>
      <c r="D55" s="1041"/>
      <c r="E55" s="1041"/>
      <c r="F55" s="1041"/>
      <c r="G55" s="1041"/>
      <c r="H55" s="1041"/>
      <c r="I55" s="1042"/>
      <c r="J55" s="1042"/>
      <c r="K55" s="1042"/>
      <c r="L55" s="1042"/>
      <c r="M55" s="1042"/>
      <c r="N55" s="1042"/>
      <c r="O55" s="1042"/>
      <c r="P55" s="1042"/>
      <c r="Q55" s="1043"/>
      <c r="R55" s="1043"/>
      <c r="S55" s="627"/>
      <c r="T55" s="627"/>
      <c r="U55" s="627"/>
      <c r="V55" s="881"/>
      <c r="W55" s="881"/>
      <c r="X55" s="881"/>
      <c r="Y55" s="881"/>
      <c r="Z55" s="1044"/>
      <c r="AA55" s="1044"/>
      <c r="AB55" s="1044"/>
      <c r="AC55" s="1044"/>
      <c r="AD55" s="1"/>
      <c r="AE55" s="1"/>
      <c r="AF55" s="1"/>
    </row>
    <row r="56" s="1050" customFormat="true" ht="15.75" hidden="false" customHeight="true" outlineLevel="0" collapsed="false">
      <c r="A56" s="1"/>
      <c r="B56" s="1045"/>
      <c r="C56" s="1046"/>
      <c r="D56" s="1046"/>
      <c r="E56" s="1046"/>
      <c r="F56" s="1046"/>
      <c r="G56" s="1046"/>
      <c r="H56" s="1046"/>
      <c r="I56" s="1047"/>
      <c r="J56" s="1047"/>
      <c r="K56" s="1047"/>
      <c r="L56" s="1047"/>
      <c r="M56" s="1047"/>
      <c r="N56" s="1047"/>
      <c r="O56" s="1048"/>
      <c r="P56" s="1048"/>
      <c r="Q56" s="1049"/>
      <c r="R56" s="1049"/>
      <c r="S56" s="632"/>
      <c r="T56" s="632"/>
      <c r="U56" s="632"/>
      <c r="V56" s="886"/>
      <c r="W56" s="886"/>
      <c r="X56" s="886"/>
      <c r="Y56" s="886"/>
      <c r="Z56" s="1023"/>
      <c r="AA56" s="1023"/>
      <c r="AB56" s="1023"/>
      <c r="AC56" s="1023"/>
      <c r="AD56" s="1"/>
      <c r="AE56" s="1"/>
      <c r="AF56" s="1"/>
    </row>
    <row r="57" s="1050" customFormat="true" ht="15.75" hidden="false" customHeight="true" outlineLevel="0" collapsed="false">
      <c r="A57" s="1"/>
      <c r="B57" s="1051"/>
      <c r="C57" s="1051"/>
      <c r="D57" s="1051"/>
      <c r="E57" s="1051"/>
      <c r="F57" s="1051"/>
      <c r="G57" s="1051"/>
      <c r="H57" s="1052"/>
      <c r="I57" s="1051"/>
      <c r="J57" s="1051"/>
      <c r="K57" s="1051"/>
      <c r="L57" s="1051"/>
      <c r="M57" s="1051"/>
      <c r="N57" s="1051"/>
      <c r="O57" s="1051"/>
      <c r="P57" s="1051"/>
      <c r="Q57" s="1051"/>
      <c r="R57" s="1051"/>
      <c r="S57" s="889"/>
      <c r="T57" s="889"/>
      <c r="U57" s="889"/>
      <c r="V57" s="889"/>
      <c r="W57" s="889"/>
      <c r="X57" s="889"/>
      <c r="Y57" s="844" t="s">
        <v>25</v>
      </c>
      <c r="Z57" s="978" t="n">
        <f aca="false">SUM(Z54:AC56)</f>
        <v>0</v>
      </c>
      <c r="AA57" s="978"/>
      <c r="AB57" s="978"/>
      <c r="AC57" s="978"/>
      <c r="AD57" s="1"/>
      <c r="AE57" s="1"/>
      <c r="AF57" s="1"/>
    </row>
    <row r="58" customFormat="false" ht="15.75" hidden="false" customHeight="true" outlineLevel="0" collapsed="false">
      <c r="A58" s="1"/>
      <c r="B58" s="1053"/>
      <c r="C58" s="1053"/>
      <c r="D58" s="1053"/>
      <c r="E58" s="1053"/>
      <c r="F58" s="1053"/>
      <c r="G58" s="1053"/>
      <c r="H58" s="1053"/>
      <c r="I58" s="1053"/>
      <c r="J58" s="1"/>
      <c r="K58" s="1"/>
      <c r="L58" s="1"/>
      <c r="M58" s="1"/>
      <c r="N58" s="1"/>
      <c r="O58" s="1"/>
      <c r="P58" s="1"/>
      <c r="Q58" s="1"/>
      <c r="R58" s="1"/>
      <c r="S58" s="1"/>
      <c r="T58" s="1"/>
      <c r="U58" s="1"/>
      <c r="V58" s="1"/>
      <c r="W58" s="1"/>
      <c r="X58" s="1"/>
      <c r="AD58" s="1"/>
      <c r="AE58" s="1"/>
      <c r="AF58" s="1"/>
    </row>
    <row r="59" customFormat="false" ht="15.75" hidden="false" customHeight="true" outlineLevel="0" collapsed="false">
      <c r="A59" s="1"/>
      <c r="B59" s="1053"/>
      <c r="C59" s="1053"/>
      <c r="D59" s="1053"/>
      <c r="E59" s="1053"/>
      <c r="F59" s="1053"/>
      <c r="G59" s="1053"/>
      <c r="H59" s="1053"/>
      <c r="I59" s="1053"/>
      <c r="J59" s="1"/>
      <c r="K59" s="1"/>
      <c r="L59" s="1"/>
      <c r="M59" s="1"/>
      <c r="N59" s="1"/>
      <c r="O59" s="1"/>
      <c r="P59" s="1"/>
      <c r="Q59" s="1"/>
      <c r="R59" s="1"/>
      <c r="S59" s="1"/>
      <c r="T59" s="1"/>
      <c r="U59" s="1"/>
      <c r="V59" s="1"/>
      <c r="W59" s="1"/>
      <c r="X59" s="1"/>
      <c r="Y59" s="844"/>
      <c r="Z59" s="1034"/>
      <c r="AA59" s="1034"/>
      <c r="AB59" s="1034"/>
      <c r="AC59" s="1034"/>
      <c r="AD59" s="1"/>
      <c r="AE59" s="1"/>
      <c r="AF59" s="1"/>
    </row>
    <row r="60" customFormat="false" ht="15.75" hidden="false" customHeight="true" outlineLevel="0" collapsed="false">
      <c r="A60" s="1"/>
      <c r="B60" s="848" t="s">
        <v>2332</v>
      </c>
      <c r="C60" s="1054"/>
      <c r="D60" s="1054"/>
      <c r="E60" s="1054"/>
      <c r="F60" s="1054"/>
      <c r="G60" s="1054"/>
      <c r="H60" s="1054"/>
      <c r="I60" s="1054"/>
      <c r="J60" s="1054"/>
      <c r="K60" s="1054"/>
      <c r="L60" s="1054"/>
      <c r="M60" s="1054"/>
      <c r="N60" s="1054"/>
      <c r="O60" s="1054"/>
      <c r="P60" s="1054"/>
      <c r="Q60" s="1054"/>
      <c r="R60" s="1054"/>
      <c r="S60" s="1054"/>
      <c r="T60" s="1054"/>
      <c r="U60" s="1054"/>
      <c r="V60" s="1054"/>
      <c r="W60" s="1054"/>
      <c r="X60" s="1054"/>
      <c r="Y60" s="1054"/>
      <c r="Z60" s="1054"/>
      <c r="AA60" s="332"/>
      <c r="AB60" s="332"/>
      <c r="AC60" s="332"/>
      <c r="AD60" s="1"/>
      <c r="AE60" s="1"/>
      <c r="AF60" s="1"/>
    </row>
    <row r="61" customFormat="false" ht="15.75" hidden="false" customHeight="true" outlineLevel="0" collapsed="false">
      <c r="A61" s="1"/>
      <c r="B61" s="1055" t="s">
        <v>2333</v>
      </c>
      <c r="C61" s="1055"/>
      <c r="D61" s="1055"/>
      <c r="E61" s="1055"/>
      <c r="F61" s="1055"/>
      <c r="G61" s="1055"/>
      <c r="H61" s="1055"/>
      <c r="I61" s="1055"/>
      <c r="J61" s="1055"/>
      <c r="K61" s="1055"/>
      <c r="L61" s="1056" t="s">
        <v>2334</v>
      </c>
      <c r="M61" s="1056"/>
      <c r="N61" s="1056" t="s">
        <v>2335</v>
      </c>
      <c r="O61" s="1056"/>
      <c r="P61" s="1056" t="s">
        <v>2336</v>
      </c>
      <c r="Q61" s="1056"/>
      <c r="R61" s="1056"/>
      <c r="S61" s="1056"/>
      <c r="T61" s="1056" t="s">
        <v>2260</v>
      </c>
      <c r="U61" s="1056"/>
      <c r="V61" s="1056"/>
      <c r="W61" s="1056" t="s">
        <v>2337</v>
      </c>
      <c r="X61" s="1056"/>
      <c r="Y61" s="1056"/>
      <c r="Z61" s="1057" t="n">
        <v>1.33</v>
      </c>
      <c r="AA61" s="1057"/>
      <c r="AB61" s="1057"/>
      <c r="AC61" s="1057"/>
      <c r="AD61" s="1"/>
      <c r="AE61" s="1"/>
      <c r="AF61" s="1"/>
    </row>
    <row r="62" s="1" customFormat="true" ht="15.75" hidden="false" customHeight="true" outlineLevel="0" collapsed="false">
      <c r="B62" s="1058" t="s">
        <v>2338</v>
      </c>
      <c r="C62" s="1058"/>
      <c r="D62" s="1058"/>
      <c r="E62" s="1058"/>
      <c r="F62" s="1058"/>
      <c r="G62" s="1058"/>
      <c r="H62" s="1058"/>
      <c r="I62" s="1058"/>
      <c r="J62" s="1058"/>
      <c r="K62" s="1058"/>
      <c r="L62" s="1059" t="n">
        <v>80</v>
      </c>
      <c r="M62" s="1059"/>
      <c r="N62" s="1059" t="n">
        <v>20</v>
      </c>
      <c r="O62" s="1059"/>
      <c r="P62" s="1060" t="n">
        <f aca="false">L62*N62</f>
        <v>1600</v>
      </c>
      <c r="Q62" s="1060"/>
      <c r="R62" s="1060"/>
      <c r="S62" s="1060"/>
      <c r="T62" s="1060" t="n">
        <v>1</v>
      </c>
      <c r="U62" s="1060"/>
      <c r="V62" s="1060"/>
      <c r="W62" s="1061" t="n">
        <f aca="false">T62*P62</f>
        <v>1600</v>
      </c>
      <c r="X62" s="1061"/>
      <c r="Y62" s="1061"/>
      <c r="Z62" s="1061"/>
      <c r="AA62" s="1062" t="n">
        <f aca="false">W62*Z61</f>
        <v>2128</v>
      </c>
      <c r="AB62" s="1062"/>
      <c r="AC62" s="1062"/>
      <c r="AG62" s="1063"/>
      <c r="AH62" s="1063"/>
    </row>
    <row r="63" s="1" customFormat="true" ht="15.75" hidden="false" customHeight="true" outlineLevel="0" collapsed="false">
      <c r="B63" s="1064"/>
      <c r="C63" s="1064"/>
      <c r="D63" s="1064"/>
      <c r="E63" s="1064"/>
      <c r="F63" s="1064"/>
      <c r="G63" s="1064"/>
      <c r="H63" s="1064"/>
      <c r="I63" s="1064"/>
      <c r="J63" s="1064"/>
      <c r="K63" s="1064"/>
      <c r="L63" s="1065"/>
      <c r="M63" s="1065"/>
      <c r="N63" s="1065"/>
      <c r="O63" s="1065"/>
      <c r="P63" s="1066"/>
      <c r="Q63" s="1066"/>
      <c r="R63" s="1066"/>
      <c r="S63" s="1066"/>
      <c r="T63" s="1067"/>
      <c r="U63" s="1067"/>
      <c r="V63" s="1067"/>
      <c r="W63" s="1068"/>
      <c r="X63" s="1068"/>
      <c r="Y63" s="1068"/>
      <c r="Z63" s="1068"/>
      <c r="AA63" s="1069"/>
      <c r="AB63" s="1069"/>
      <c r="AC63" s="1069"/>
      <c r="AG63" s="1063"/>
      <c r="AH63" s="1063"/>
    </row>
    <row r="64" s="1" customFormat="true" ht="15.75" hidden="false" customHeight="true" outlineLevel="0" collapsed="false">
      <c r="B64" s="1070"/>
      <c r="C64" s="1070"/>
      <c r="D64" s="1070"/>
      <c r="E64" s="1070"/>
      <c r="F64" s="1070"/>
      <c r="G64" s="1070"/>
      <c r="H64" s="1070"/>
      <c r="I64" s="1070"/>
      <c r="J64" s="1070"/>
      <c r="K64" s="1070"/>
      <c r="L64" s="1071"/>
      <c r="M64" s="1071"/>
      <c r="N64" s="1071"/>
      <c r="O64" s="1071"/>
      <c r="P64" s="1072"/>
      <c r="Q64" s="1072"/>
      <c r="R64" s="1072"/>
      <c r="S64" s="1072"/>
      <c r="T64" s="1072"/>
      <c r="U64" s="1072"/>
      <c r="V64" s="1072"/>
      <c r="W64" s="1073"/>
      <c r="X64" s="1073"/>
      <c r="Y64" s="844" t="s">
        <v>25</v>
      </c>
      <c r="Z64" s="978" t="n">
        <f aca="false">SUM(AA62:AC63)</f>
        <v>2128</v>
      </c>
      <c r="AA64" s="978"/>
      <c r="AB64" s="978"/>
      <c r="AC64" s="978"/>
      <c r="AG64" s="1063"/>
      <c r="AH64" s="1063"/>
    </row>
    <row r="65" customFormat="false" ht="15.75" hidden="false" customHeight="true" outlineLevel="0" collapsed="false">
      <c r="A65" s="1"/>
      <c r="B65" s="1074"/>
      <c r="C65" s="1074"/>
      <c r="D65" s="1074"/>
      <c r="E65" s="1074"/>
      <c r="F65" s="1074"/>
      <c r="G65" s="1074"/>
      <c r="H65" s="1074"/>
      <c r="I65" s="1074"/>
      <c r="J65" s="1074"/>
      <c r="K65" s="1074"/>
      <c r="L65" s="1074"/>
      <c r="M65" s="1074"/>
      <c r="N65" s="1074"/>
      <c r="O65" s="1074"/>
      <c r="P65" s="1074"/>
      <c r="Q65" s="1074"/>
      <c r="R65" s="1074"/>
      <c r="S65" s="1074"/>
      <c r="T65" s="1074"/>
      <c r="U65" s="1074"/>
      <c r="V65" s="1074"/>
      <c r="W65" s="1074"/>
      <c r="X65" s="1"/>
      <c r="AD65" s="1"/>
      <c r="AE65" s="1"/>
      <c r="AF65" s="1"/>
    </row>
    <row r="66" customFormat="false" ht="15.75" hidden="false" customHeight="true" outlineLevel="0" collapsed="false">
      <c r="A66" s="1"/>
      <c r="B66" s="1075"/>
      <c r="C66" s="1076"/>
      <c r="D66" s="1077"/>
      <c r="E66" s="1077"/>
      <c r="F66" s="1077"/>
      <c r="G66" s="1077"/>
      <c r="H66" s="1077"/>
      <c r="I66" s="1077"/>
      <c r="J66" s="1077"/>
      <c r="K66" s="1077"/>
      <c r="L66" s="1077"/>
      <c r="M66" s="1077"/>
      <c r="N66" s="1077"/>
      <c r="O66" s="1077"/>
      <c r="P66" s="1077"/>
      <c r="Q66" s="1077"/>
      <c r="R66" s="1077"/>
      <c r="S66" s="1077"/>
      <c r="T66" s="1077"/>
      <c r="U66" s="1077"/>
      <c r="V66" s="1077"/>
      <c r="W66" s="1077"/>
      <c r="X66" s="1077"/>
      <c r="Y66" s="1077"/>
      <c r="Z66" s="1077"/>
      <c r="AA66" s="1077"/>
      <c r="AB66" s="1077"/>
      <c r="AC66" s="1077"/>
      <c r="AD66" s="1"/>
      <c r="AE66" s="1"/>
      <c r="AF66" s="1"/>
    </row>
    <row r="67" customFormat="false" ht="15.75" hidden="false" customHeight="true" outlineLevel="0" collapsed="false">
      <c r="A67" s="1"/>
      <c r="B67" s="848" t="s">
        <v>2339</v>
      </c>
      <c r="C67" s="867"/>
      <c r="D67" s="867"/>
      <c r="E67" s="867"/>
      <c r="F67" s="867"/>
      <c r="G67" s="867"/>
      <c r="H67" s="867"/>
      <c r="I67" s="867"/>
      <c r="J67" s="867"/>
      <c r="K67" s="867"/>
      <c r="L67" s="867"/>
      <c r="M67" s="867"/>
      <c r="N67" s="867"/>
      <c r="O67" s="867"/>
      <c r="P67" s="867"/>
      <c r="Q67" s="867"/>
      <c r="R67" s="867"/>
      <c r="S67" s="867"/>
      <c r="T67" s="1054"/>
      <c r="U67" s="1"/>
      <c r="V67" s="1"/>
      <c r="W67" s="1"/>
      <c r="X67" s="1"/>
      <c r="Y67" s="1"/>
      <c r="Z67" s="1"/>
      <c r="AA67" s="1"/>
      <c r="AB67" s="1"/>
      <c r="AC67" s="1"/>
      <c r="AD67" s="1"/>
      <c r="AE67" s="1"/>
      <c r="AF67" s="1"/>
    </row>
    <row r="68" customFormat="false" ht="15.75" hidden="false" customHeight="true" outlineLevel="0" collapsed="false">
      <c r="A68" s="1"/>
      <c r="B68" s="1078" t="s">
        <v>1533</v>
      </c>
      <c r="C68" s="1079"/>
      <c r="D68" s="1079"/>
      <c r="E68" s="1079"/>
      <c r="F68" s="1079"/>
      <c r="G68" s="1079"/>
      <c r="H68" s="1079"/>
      <c r="I68" s="1079"/>
      <c r="J68" s="1079"/>
      <c r="K68" s="1079"/>
      <c r="L68" s="1079"/>
      <c r="M68" s="986" t="s">
        <v>2340</v>
      </c>
      <c r="N68" s="986"/>
      <c r="O68" s="986"/>
      <c r="P68" s="1080" t="s">
        <v>2341</v>
      </c>
      <c r="Q68" s="1080"/>
      <c r="R68" s="1080"/>
      <c r="S68" s="1080"/>
      <c r="T68" s="1081"/>
      <c r="U68" s="1054"/>
      <c r="V68" s="1054"/>
      <c r="W68" s="1054"/>
      <c r="X68" s="1054"/>
      <c r="Y68" s="1054"/>
      <c r="Z68" s="1054"/>
      <c r="AA68" s="968"/>
      <c r="AB68" s="968"/>
      <c r="AC68" s="968"/>
      <c r="AD68" s="1"/>
      <c r="AE68" s="1"/>
      <c r="AF68" s="1"/>
    </row>
    <row r="69" customFormat="false" ht="15.75" hidden="false" customHeight="true" outlineLevel="0" collapsed="false">
      <c r="A69" s="1"/>
      <c r="B69" s="820" t="s">
        <v>1069</v>
      </c>
      <c r="C69" s="820"/>
      <c r="D69" s="820"/>
      <c r="E69" s="918" t="s">
        <v>1535</v>
      </c>
      <c r="F69" s="918"/>
      <c r="G69" s="918"/>
      <c r="H69" s="918"/>
      <c r="I69" s="918"/>
      <c r="J69" s="918"/>
      <c r="K69" s="918"/>
      <c r="L69" s="918"/>
      <c r="M69" s="1082" t="n">
        <f aca="false">COUNTIFS(TO!AP:AP,"1",TO!F:F,"M28261")</f>
        <v>252</v>
      </c>
      <c r="N69" s="1082"/>
      <c r="O69" s="1082"/>
      <c r="P69" s="1020" t="n">
        <f aca="false">M69*1.33</f>
        <v>335.16</v>
      </c>
      <c r="Q69" s="1020"/>
      <c r="R69" s="1020"/>
      <c r="S69" s="1020"/>
      <c r="T69" s="1083"/>
      <c r="U69" s="1081"/>
      <c r="V69" s="1081"/>
      <c r="W69" s="1081"/>
      <c r="X69" s="1081"/>
      <c r="Y69" s="1081"/>
      <c r="Z69" s="1081"/>
      <c r="AA69" s="1084"/>
      <c r="AB69" s="1084"/>
      <c r="AC69" s="1084"/>
      <c r="AD69" s="1"/>
      <c r="AE69" s="1076"/>
      <c r="AF69" s="1"/>
    </row>
    <row r="70" customFormat="false" ht="15.75" hidden="false" customHeight="true" outlineLevel="0" collapsed="false">
      <c r="A70" s="1"/>
      <c r="B70" s="834" t="s">
        <v>1478</v>
      </c>
      <c r="C70" s="834"/>
      <c r="D70" s="834"/>
      <c r="E70" s="1085" t="s">
        <v>1536</v>
      </c>
      <c r="F70" s="1085"/>
      <c r="G70" s="1085"/>
      <c r="H70" s="1085"/>
      <c r="I70" s="1085"/>
      <c r="J70" s="1085"/>
      <c r="K70" s="1085"/>
      <c r="L70" s="1085"/>
      <c r="M70" s="1086" t="n">
        <f aca="false">COUNTIFS(TO!AP:AP,"1",TO!F:F,"M28263")</f>
        <v>179</v>
      </c>
      <c r="N70" s="1086"/>
      <c r="O70" s="1086"/>
      <c r="P70" s="1023" t="n">
        <f aca="false">M70*1.33</f>
        <v>238.07</v>
      </c>
      <c r="Q70" s="1023"/>
      <c r="R70" s="1023"/>
      <c r="S70" s="1023"/>
      <c r="T70" s="1081"/>
      <c r="U70" s="1083"/>
      <c r="V70" s="1083"/>
      <c r="W70" s="1087"/>
      <c r="X70" s="1087"/>
      <c r="Y70" s="1087"/>
      <c r="Z70" s="1087"/>
      <c r="AA70" s="1088"/>
      <c r="AB70" s="1088"/>
      <c r="AC70" s="1088"/>
      <c r="AD70" s="1"/>
      <c r="AE70" s="1"/>
      <c r="AF70" s="1"/>
    </row>
    <row r="71" customFormat="false" ht="15.75" hidden="false" customHeight="true" outlineLevel="0" collapsed="false">
      <c r="A71" s="1"/>
      <c r="B71" s="1089" t="s">
        <v>1538</v>
      </c>
      <c r="C71" s="1089"/>
      <c r="D71" s="1089"/>
      <c r="E71" s="1089"/>
      <c r="F71" s="1089"/>
      <c r="G71" s="1089"/>
      <c r="H71" s="1089"/>
      <c r="I71" s="1089"/>
      <c r="J71" s="1089"/>
      <c r="K71" s="1089"/>
      <c r="L71" s="1089"/>
      <c r="M71" s="1090" t="e">
        <f aca="false">SUM(M69:O72)</f>
        <v>#VALUE!</v>
      </c>
      <c r="N71" s="1090"/>
      <c r="O71" s="1090"/>
      <c r="P71" s="978" t="e">
        <f aca="false">SUM(P69:S72)</f>
        <v>#VALUE!</v>
      </c>
      <c r="Q71" s="978"/>
      <c r="R71" s="978"/>
      <c r="S71" s="978"/>
      <c r="T71" s="1081"/>
      <c r="U71" s="1081"/>
      <c r="V71" s="1081"/>
      <c r="W71" s="1087"/>
      <c r="X71" s="1087"/>
      <c r="Y71" s="1087"/>
      <c r="Z71" s="1087"/>
      <c r="AA71" s="1088"/>
      <c r="AB71" s="1088"/>
      <c r="AC71" s="1088"/>
      <c r="AD71" s="1"/>
      <c r="AE71" s="1"/>
      <c r="AF71" s="1"/>
    </row>
    <row r="72" customFormat="false" ht="15.75" hidden="false" customHeight="true" outlineLevel="0" collapsed="false">
      <c r="A72" s="1"/>
      <c r="B72" s="1091" t="s">
        <v>1516</v>
      </c>
      <c r="C72" s="1091"/>
      <c r="D72" s="1091"/>
      <c r="E72" s="1092" t="s">
        <v>1537</v>
      </c>
      <c r="F72" s="1092"/>
      <c r="G72" s="1092"/>
      <c r="H72" s="1092"/>
      <c r="I72" s="1092"/>
      <c r="J72" s="1092"/>
      <c r="K72" s="1092"/>
      <c r="L72" s="1092"/>
      <c r="M72" s="1093" t="n">
        <f aca="false">COUNTIFS(TO!AP:AP,"1",TO!F:F,"M28262")</f>
        <v>180</v>
      </c>
      <c r="N72" s="1093"/>
      <c r="O72" s="1093"/>
      <c r="P72" s="1033" t="n">
        <f aca="false">M72*1.33</f>
        <v>239.4</v>
      </c>
      <c r="Q72" s="1033"/>
      <c r="R72" s="1033"/>
      <c r="S72" s="1033"/>
      <c r="T72" s="1094"/>
      <c r="U72" s="1"/>
      <c r="V72" s="1"/>
      <c r="W72" s="1"/>
      <c r="X72" s="1"/>
      <c r="Y72" s="1"/>
      <c r="Z72" s="1"/>
      <c r="AA72" s="1"/>
      <c r="AB72" s="1"/>
      <c r="AC72" s="1"/>
      <c r="AD72" s="1"/>
      <c r="AE72" s="1"/>
      <c r="AF72" s="1"/>
    </row>
    <row r="73" customFormat="false" ht="15.75" hidden="false" customHeight="true" outlineLevel="0" collapsed="false">
      <c r="A73" s="1"/>
      <c r="B73" s="1095" t="s">
        <v>2342</v>
      </c>
      <c r="C73" s="1095"/>
      <c r="D73" s="1095"/>
      <c r="E73" s="1095"/>
      <c r="F73" s="1095"/>
      <c r="G73" s="1095"/>
      <c r="H73" s="1095"/>
      <c r="I73" s="1095"/>
      <c r="J73" s="1095"/>
      <c r="K73" s="1095"/>
      <c r="L73" s="1095"/>
      <c r="M73" s="1095"/>
      <c r="N73" s="1095"/>
      <c r="O73" s="1095"/>
      <c r="P73" s="1095"/>
      <c r="Q73" s="1095"/>
      <c r="R73" s="1095"/>
      <c r="S73" s="1095"/>
      <c r="T73" s="1095"/>
      <c r="U73" s="1095"/>
      <c r="V73" s="1095"/>
      <c r="W73" s="1095"/>
      <c r="X73" s="1095"/>
      <c r="Y73" s="1095"/>
      <c r="Z73" s="1095"/>
      <c r="AA73" s="1095"/>
      <c r="AB73" s="1095"/>
      <c r="AC73" s="1095"/>
      <c r="AD73" s="1095"/>
      <c r="AE73" s="1095"/>
      <c r="AF73" s="1"/>
    </row>
    <row r="74" customFormat="false" ht="15.75" hidden="false" customHeight="true" outlineLevel="0" collapsed="false">
      <c r="A74" s="1"/>
      <c r="B74" s="1095"/>
      <c r="C74" s="1095"/>
      <c r="D74" s="1095"/>
      <c r="E74" s="1095"/>
      <c r="F74" s="1095"/>
      <c r="G74" s="1095"/>
      <c r="H74" s="1095"/>
      <c r="I74" s="1095"/>
      <c r="J74" s="1095"/>
      <c r="K74" s="1095"/>
      <c r="L74" s="1095"/>
      <c r="M74" s="1095"/>
      <c r="N74" s="1095"/>
      <c r="O74" s="1095"/>
      <c r="P74" s="1095"/>
      <c r="Q74" s="1095"/>
      <c r="R74" s="1095"/>
      <c r="S74" s="1095"/>
      <c r="T74" s="1095"/>
      <c r="U74" s="1095"/>
      <c r="V74" s="1095"/>
      <c r="W74" s="1095"/>
      <c r="X74" s="1095"/>
      <c r="Y74" s="1095"/>
      <c r="Z74" s="1095"/>
      <c r="AA74" s="1095"/>
      <c r="AB74" s="1095"/>
      <c r="AC74" s="1095"/>
      <c r="AD74" s="1095"/>
      <c r="AE74" s="1095"/>
      <c r="AF74" s="1"/>
    </row>
    <row r="75" customFormat="false" ht="15.75" hidden="false" customHeight="true" outlineLevel="0" collapsed="false">
      <c r="A75" s="1"/>
      <c r="B75" s="1095"/>
      <c r="C75" s="1095"/>
      <c r="D75" s="1095"/>
      <c r="E75" s="1095"/>
      <c r="F75" s="1095"/>
      <c r="G75" s="1095"/>
      <c r="H75" s="1095"/>
      <c r="I75" s="1095"/>
      <c r="J75" s="1095"/>
      <c r="K75" s="1095"/>
      <c r="L75" s="1095"/>
      <c r="M75" s="1095"/>
      <c r="N75" s="1095"/>
      <c r="O75" s="1095"/>
      <c r="P75" s="1095"/>
      <c r="Q75" s="1095"/>
      <c r="R75" s="1095"/>
      <c r="S75" s="1095"/>
      <c r="T75" s="1095"/>
      <c r="U75" s="1095"/>
      <c r="V75" s="1095"/>
      <c r="W75" s="1095"/>
      <c r="X75" s="1095"/>
      <c r="Y75" s="1095"/>
      <c r="Z75" s="1095"/>
      <c r="AA75" s="1095"/>
      <c r="AB75" s="1095"/>
      <c r="AC75" s="1095"/>
      <c r="AD75" s="1095"/>
      <c r="AE75" s="1095"/>
      <c r="AF75" s="1"/>
    </row>
    <row r="76" customFormat="false" ht="15.75" hidden="false" customHeight="true" outlineLevel="0" collapsed="false">
      <c r="A76" s="1"/>
      <c r="B76" s="1095"/>
      <c r="C76" s="1095"/>
      <c r="D76" s="1095"/>
      <c r="E76" s="1095"/>
      <c r="F76" s="1095"/>
      <c r="G76" s="1095"/>
      <c r="H76" s="1095"/>
      <c r="I76" s="1095"/>
      <c r="J76" s="1095"/>
      <c r="K76" s="1095"/>
      <c r="L76" s="1095"/>
      <c r="M76" s="1095"/>
      <c r="N76" s="1095"/>
      <c r="O76" s="1095"/>
      <c r="P76" s="1095"/>
      <c r="Q76" s="1095"/>
      <c r="R76" s="1095"/>
      <c r="S76" s="1095"/>
      <c r="T76" s="1095"/>
      <c r="U76" s="1095"/>
      <c r="V76" s="1095"/>
      <c r="W76" s="1095"/>
      <c r="X76" s="1095"/>
      <c r="Y76" s="1095"/>
      <c r="Z76" s="1095"/>
      <c r="AA76" s="1095"/>
      <c r="AB76" s="1095"/>
      <c r="AC76" s="1095"/>
      <c r="AD76" s="1095"/>
      <c r="AE76" s="1095"/>
      <c r="AF76" s="1"/>
    </row>
    <row r="77" customFormat="false" ht="15.75" hidden="false" customHeight="true" outlineLevel="0" collapsed="false">
      <c r="A77" s="1"/>
      <c r="B77" s="1095"/>
      <c r="C77" s="1095"/>
      <c r="D77" s="1095"/>
      <c r="E77" s="1095"/>
      <c r="F77" s="1095"/>
      <c r="G77" s="1095"/>
      <c r="H77" s="1095"/>
      <c r="I77" s="1095"/>
      <c r="J77" s="1095"/>
      <c r="K77" s="1095"/>
      <c r="L77" s="1095"/>
      <c r="M77" s="1095"/>
      <c r="N77" s="1095"/>
      <c r="O77" s="1095"/>
      <c r="P77" s="1095"/>
      <c r="Q77" s="1095"/>
      <c r="R77" s="1095"/>
      <c r="S77" s="1095"/>
      <c r="T77" s="1095"/>
      <c r="U77" s="1095"/>
      <c r="V77" s="1095"/>
      <c r="W77" s="1095"/>
      <c r="X77" s="1095"/>
      <c r="Y77" s="1095"/>
      <c r="Z77" s="1095"/>
      <c r="AA77" s="1095"/>
      <c r="AB77" s="1095"/>
      <c r="AC77" s="1095"/>
      <c r="AD77" s="1095"/>
      <c r="AE77" s="1095"/>
      <c r="AF77" s="1"/>
    </row>
    <row r="78" customFormat="false" ht="15.75" hidden="false" customHeight="true" outlineLevel="0" collapsed="false">
      <c r="A78" s="1"/>
      <c r="B78" s="1095"/>
      <c r="C78" s="1095"/>
      <c r="D78" s="1095"/>
      <c r="E78" s="1095"/>
      <c r="F78" s="1095"/>
      <c r="G78" s="1095"/>
      <c r="H78" s="1095"/>
      <c r="I78" s="1095"/>
      <c r="J78" s="1095"/>
      <c r="K78" s="1095"/>
      <c r="L78" s="1095"/>
      <c r="M78" s="1095"/>
      <c r="N78" s="1095"/>
      <c r="O78" s="1095"/>
      <c r="P78" s="1095"/>
      <c r="Q78" s="1095"/>
      <c r="R78" s="1095"/>
      <c r="S78" s="1095"/>
      <c r="T78" s="1095"/>
      <c r="U78" s="1095"/>
      <c r="V78" s="1095"/>
      <c r="W78" s="1095"/>
      <c r="X78" s="1095"/>
      <c r="Y78" s="1095"/>
      <c r="Z78" s="1095"/>
      <c r="AA78" s="1095"/>
      <c r="AB78" s="1095"/>
      <c r="AC78" s="1095"/>
      <c r="AD78" s="1095"/>
      <c r="AE78" s="1095"/>
      <c r="AF78" s="1"/>
    </row>
    <row r="79" customFormat="false" ht="15.75" hidden="false" customHeight="true" outlineLevel="0" collapsed="false">
      <c r="A79" s="1"/>
      <c r="B79" s="1095"/>
      <c r="C79" s="1095"/>
      <c r="D79" s="1095"/>
      <c r="E79" s="1095"/>
      <c r="F79" s="1095"/>
      <c r="G79" s="1095"/>
      <c r="H79" s="1095"/>
      <c r="I79" s="1095"/>
      <c r="J79" s="1095"/>
      <c r="K79" s="1095"/>
      <c r="L79" s="1095"/>
      <c r="M79" s="1095"/>
      <c r="N79" s="1095"/>
      <c r="O79" s="1095"/>
      <c r="P79" s="1095"/>
      <c r="Q79" s="1095"/>
      <c r="R79" s="1095"/>
      <c r="S79" s="1095"/>
      <c r="T79" s="1095"/>
      <c r="U79" s="1095"/>
      <c r="V79" s="1095"/>
      <c r="W79" s="1095"/>
      <c r="X79" s="1095"/>
      <c r="Y79" s="1095"/>
      <c r="Z79" s="1095"/>
      <c r="AA79" s="1095"/>
      <c r="AB79" s="1095"/>
      <c r="AC79" s="1095"/>
      <c r="AD79" s="1095"/>
      <c r="AE79" s="1095"/>
      <c r="AF79" s="1"/>
    </row>
    <row r="80" customFormat="false" ht="15.75" hidden="false" customHeight="true" outlineLevel="0" collapsed="false">
      <c r="A80" s="1"/>
      <c r="B80" s="1095"/>
      <c r="C80" s="1095"/>
      <c r="D80" s="1095"/>
      <c r="E80" s="1095"/>
      <c r="F80" s="1095"/>
      <c r="G80" s="1095"/>
      <c r="H80" s="1095"/>
      <c r="I80" s="1095"/>
      <c r="J80" s="1095"/>
      <c r="K80" s="1095"/>
      <c r="L80" s="1095"/>
      <c r="M80" s="1095"/>
      <c r="N80" s="1095"/>
      <c r="O80" s="1095"/>
      <c r="P80" s="1095"/>
      <c r="Q80" s="1095"/>
      <c r="R80" s="1095"/>
      <c r="S80" s="1095"/>
      <c r="T80" s="1095"/>
      <c r="U80" s="1095"/>
      <c r="V80" s="1095"/>
      <c r="W80" s="1095"/>
      <c r="X80" s="1095"/>
      <c r="Y80" s="1095"/>
      <c r="Z80" s="1095"/>
      <c r="AA80" s="1095"/>
      <c r="AB80" s="1095"/>
      <c r="AC80" s="1095"/>
      <c r="AD80" s="1095"/>
      <c r="AE80" s="1095"/>
      <c r="AF80" s="1"/>
    </row>
    <row r="81" customFormat="false" ht="15.75" hidden="false" customHeight="true" outlineLevel="0" collapsed="false">
      <c r="A81" s="1"/>
      <c r="B81" s="1096"/>
      <c r="C81" s="1096"/>
      <c r="D81" s="1096"/>
      <c r="E81" s="1096"/>
      <c r="F81" s="1096"/>
      <c r="G81" s="1096"/>
      <c r="H81" s="1096"/>
      <c r="I81" s="1096"/>
      <c r="J81" s="1096"/>
      <c r="K81" s="1096"/>
      <c r="L81" s="1096"/>
      <c r="M81" s="1096"/>
      <c r="N81" s="1096"/>
      <c r="O81" s="1096"/>
      <c r="P81" s="1096"/>
      <c r="Q81" s="1096"/>
      <c r="R81" s="1096"/>
      <c r="S81" s="1096"/>
      <c r="T81" s="1096"/>
      <c r="U81" s="1096"/>
      <c r="V81" s="1096"/>
      <c r="W81" s="1096"/>
      <c r="X81" s="1096"/>
      <c r="Y81" s="1096"/>
      <c r="Z81" s="1096"/>
      <c r="AA81" s="1096"/>
      <c r="AB81" s="1096"/>
      <c r="AC81" s="1096"/>
      <c r="AD81" s="1096"/>
      <c r="AE81" s="1096"/>
      <c r="AF81" s="1"/>
    </row>
    <row r="82" customFormat="false" ht="15.75" hidden="false" customHeight="true" outlineLevel="0" collapsed="false">
      <c r="A82" s="1"/>
      <c r="B82" s="1096"/>
      <c r="C82" s="1096"/>
      <c r="D82" s="1096"/>
      <c r="E82" s="1096"/>
      <c r="F82" s="1096"/>
      <c r="G82" s="1096"/>
      <c r="H82" s="1096"/>
      <c r="I82" s="1096"/>
      <c r="J82" s="1096"/>
      <c r="K82" s="1096"/>
      <c r="L82" s="1096"/>
      <c r="M82" s="1096"/>
      <c r="N82" s="1096"/>
      <c r="O82" s="1096"/>
      <c r="P82" s="1096"/>
      <c r="Q82" s="1096"/>
      <c r="R82" s="1096"/>
      <c r="S82" s="1096"/>
      <c r="T82" s="1096"/>
      <c r="U82" s="1096"/>
      <c r="V82" s="1096"/>
      <c r="W82" s="1096"/>
      <c r="X82" s="1096"/>
      <c r="Y82" s="1096"/>
      <c r="Z82" s="1096"/>
      <c r="AA82" s="1096"/>
      <c r="AB82" s="1096"/>
      <c r="AC82" s="1096"/>
      <c r="AD82" s="1096"/>
      <c r="AE82" s="1096"/>
      <c r="AF82" s="1"/>
    </row>
    <row r="83" customFormat="false" ht="15.75" hidden="false" customHeight="true" outlineLevel="0" collapsed="false">
      <c r="A83" s="1"/>
      <c r="B83" s="1096"/>
      <c r="C83" s="1096"/>
      <c r="D83" s="1096"/>
      <c r="E83" s="1096"/>
      <c r="F83" s="1096"/>
      <c r="G83" s="1096"/>
      <c r="H83" s="1096"/>
      <c r="I83" s="1096"/>
      <c r="J83" s="1096"/>
      <c r="K83" s="1096"/>
      <c r="L83" s="1096"/>
      <c r="M83" s="1096"/>
      <c r="N83" s="1096"/>
      <c r="O83" s="1096"/>
      <c r="P83" s="1096"/>
      <c r="Q83" s="1096"/>
      <c r="R83" s="1096"/>
      <c r="S83" s="1096"/>
      <c r="T83" s="1096"/>
      <c r="U83" s="1096"/>
      <c r="V83" s="1096"/>
      <c r="W83" s="1096"/>
      <c r="X83" s="1096"/>
      <c r="Y83" s="1096"/>
      <c r="Z83" s="1096"/>
      <c r="AA83" s="1096"/>
      <c r="AB83" s="1096"/>
      <c r="AC83" s="1096"/>
      <c r="AD83" s="1096"/>
      <c r="AE83" s="1096"/>
      <c r="AF83" s="1"/>
    </row>
    <row r="84" customFormat="false" ht="15.75" hidden="false" customHeight="true" outlineLevel="0" collapsed="false">
      <c r="A84" s="1"/>
      <c r="B84" s="1096"/>
      <c r="C84" s="1096"/>
      <c r="D84" s="1096"/>
      <c r="E84" s="1096"/>
      <c r="F84" s="1096"/>
      <c r="G84" s="1096"/>
      <c r="H84" s="1096"/>
      <c r="I84" s="1096"/>
      <c r="J84" s="1096"/>
      <c r="K84" s="1096"/>
      <c r="L84" s="1096"/>
      <c r="M84" s="1096"/>
      <c r="N84" s="1096"/>
      <c r="O84" s="1096"/>
      <c r="P84" s="1096"/>
      <c r="Q84" s="1096"/>
      <c r="R84" s="1096"/>
      <c r="S84" s="1096"/>
      <c r="T84" s="1096"/>
      <c r="U84" s="1096"/>
      <c r="V84" s="1096"/>
      <c r="W84" s="1096"/>
      <c r="X84" s="1096"/>
      <c r="Y84" s="1096"/>
      <c r="Z84" s="1096"/>
      <c r="AA84" s="1096"/>
      <c r="AB84" s="1096"/>
      <c r="AC84" s="1096"/>
      <c r="AD84" s="1096"/>
      <c r="AE84" s="1096"/>
      <c r="AF84" s="1"/>
    </row>
    <row r="85" customFormat="false" ht="15.75" hidden="false" customHeight="true" outlineLevel="0" collapsed="false">
      <c r="A85" s="1"/>
      <c r="B85" s="1096"/>
      <c r="C85" s="1096"/>
      <c r="D85" s="1096"/>
      <c r="E85" s="1096"/>
      <c r="F85" s="1096"/>
      <c r="G85" s="1096"/>
      <c r="H85" s="1096"/>
      <c r="I85" s="1096"/>
      <c r="J85" s="1096"/>
      <c r="K85" s="1096"/>
      <c r="L85" s="1096"/>
      <c r="M85" s="1096"/>
      <c r="N85" s="1096"/>
      <c r="O85" s="1096"/>
      <c r="P85" s="1096"/>
      <c r="Q85" s="1096"/>
      <c r="R85" s="1096"/>
      <c r="S85" s="1096"/>
      <c r="T85" s="1096"/>
      <c r="U85" s="1096"/>
      <c r="V85" s="1096"/>
      <c r="W85" s="1096"/>
      <c r="X85" s="1096"/>
      <c r="Y85" s="1096"/>
      <c r="Z85" s="1096"/>
      <c r="AA85" s="1096"/>
      <c r="AB85" s="1096"/>
      <c r="AC85" s="1096"/>
      <c r="AD85" s="1096"/>
      <c r="AE85" s="1096"/>
      <c r="AF85" s="1"/>
    </row>
    <row r="86" customFormat="false" ht="15.75" hidden="false" customHeight="true" outlineLevel="0" collapsed="false">
      <c r="A86" s="1097"/>
      <c r="B86" s="1098"/>
      <c r="C86" s="1099"/>
      <c r="D86" s="1099"/>
      <c r="E86" s="1099"/>
      <c r="F86" s="1099"/>
      <c r="G86" s="1099"/>
      <c r="H86" s="1099"/>
      <c r="I86" s="1099"/>
      <c r="J86" s="1099"/>
      <c r="K86" s="1099"/>
      <c r="L86" s="1099"/>
      <c r="M86" s="1099"/>
      <c r="N86" s="1099"/>
      <c r="O86" s="1099"/>
      <c r="P86" s="1099"/>
      <c r="Q86" s="1099"/>
      <c r="R86" s="1099"/>
      <c r="S86" s="1099"/>
      <c r="T86" s="1099"/>
      <c r="U86" s="1099"/>
      <c r="V86" s="1099"/>
      <c r="W86" s="1099"/>
      <c r="X86" s="1099"/>
      <c r="Y86" s="1099"/>
      <c r="Z86" s="1099"/>
      <c r="AA86" s="1099"/>
      <c r="AB86" s="453"/>
      <c r="AC86" s="454" t="s">
        <v>1657</v>
      </c>
      <c r="AD86" s="455" t="n">
        <v>2</v>
      </c>
      <c r="AE86" s="455" t="s">
        <v>29</v>
      </c>
      <c r="AF86" s="455" t="n">
        <v>2</v>
      </c>
    </row>
    <row r="87" customFormat="false" ht="15.75" hidden="false" customHeight="true" outlineLevel="0" collapsed="false">
      <c r="B87" s="1100"/>
      <c r="C87" s="1100"/>
      <c r="D87" s="1100"/>
      <c r="E87" s="1100"/>
      <c r="F87" s="1100"/>
      <c r="G87" s="1100"/>
      <c r="H87" s="1100"/>
      <c r="I87" s="1100"/>
      <c r="J87" s="1100"/>
      <c r="K87" s="1100"/>
      <c r="L87" s="1100"/>
      <c r="M87" s="1100"/>
      <c r="N87" s="1100"/>
      <c r="O87" s="1100"/>
      <c r="P87" s="1100"/>
      <c r="Q87" s="1100"/>
      <c r="R87" s="1100"/>
      <c r="S87" s="1100"/>
      <c r="T87" s="1100"/>
      <c r="U87" s="1100"/>
      <c r="V87" s="1100"/>
      <c r="W87" s="1100"/>
      <c r="X87" s="1100"/>
      <c r="Y87" s="1100"/>
      <c r="Z87" s="1100"/>
      <c r="AA87" s="1100"/>
      <c r="AB87" s="1100"/>
      <c r="AC87" s="1100"/>
      <c r="AD87" s="1100"/>
      <c r="AE87" s="1100"/>
    </row>
    <row r="88" customFormat="false" ht="15.75" hidden="false" customHeight="true" outlineLevel="0" collapsed="false">
      <c r="B88" s="1100"/>
      <c r="C88" s="1100"/>
      <c r="D88" s="1100"/>
      <c r="E88" s="1100"/>
      <c r="F88" s="1100"/>
      <c r="G88" s="1100"/>
      <c r="H88" s="1100"/>
      <c r="I88" s="1100"/>
      <c r="J88" s="1100"/>
      <c r="K88" s="1100"/>
      <c r="L88" s="1100"/>
      <c r="M88" s="1100"/>
      <c r="N88" s="1100"/>
      <c r="O88" s="1100"/>
      <c r="P88" s="1100"/>
      <c r="Q88" s="1100"/>
      <c r="R88" s="1100"/>
      <c r="S88" s="1100"/>
      <c r="T88" s="1100"/>
      <c r="U88" s="1100"/>
      <c r="V88" s="1100"/>
      <c r="W88" s="1100"/>
      <c r="X88" s="1100"/>
      <c r="Y88" s="1100"/>
      <c r="Z88" s="1100"/>
      <c r="AA88" s="1100"/>
      <c r="AB88" s="1100"/>
      <c r="AC88" s="1100"/>
      <c r="AD88" s="1100"/>
      <c r="AE88" s="1100"/>
    </row>
  </sheetData>
  <mergeCells count="199">
    <mergeCell ref="A1:AF2"/>
    <mergeCell ref="A3:E3"/>
    <mergeCell ref="M3:Q3"/>
    <mergeCell ref="AE3:AF3"/>
    <mergeCell ref="M4:Q4"/>
    <mergeCell ref="R4:X4"/>
    <mergeCell ref="Y4:AD4"/>
    <mergeCell ref="AE4:AF4"/>
    <mergeCell ref="A5:B5"/>
    <mergeCell ref="C5:L5"/>
    <mergeCell ref="M5:Q5"/>
    <mergeCell ref="R5:AF5"/>
    <mergeCell ref="A6:AF6"/>
    <mergeCell ref="A7:AF7"/>
    <mergeCell ref="A8:A13"/>
    <mergeCell ref="B8:AF13"/>
    <mergeCell ref="A14:AF14"/>
    <mergeCell ref="B15:AF15"/>
    <mergeCell ref="B16:AF16"/>
    <mergeCell ref="B18:AF18"/>
    <mergeCell ref="B19:AF19"/>
    <mergeCell ref="B20:AF20"/>
    <mergeCell ref="B23:L24"/>
    <mergeCell ref="M23:O24"/>
    <mergeCell ref="P23:U23"/>
    <mergeCell ref="V23:X24"/>
    <mergeCell ref="Y23:AA24"/>
    <mergeCell ref="AB23:AE24"/>
    <mergeCell ref="P24:R24"/>
    <mergeCell ref="S24:U24"/>
    <mergeCell ref="B25:D25"/>
    <mergeCell ref="E25:L25"/>
    <mergeCell ref="M25:O25"/>
    <mergeCell ref="P25:R25"/>
    <mergeCell ref="S25:U25"/>
    <mergeCell ref="V25:X25"/>
    <mergeCell ref="Y25:AA25"/>
    <mergeCell ref="AB25:AE25"/>
    <mergeCell ref="B26:D26"/>
    <mergeCell ref="E26:L26"/>
    <mergeCell ref="M26:O26"/>
    <mergeCell ref="P26:R26"/>
    <mergeCell ref="S26:U26"/>
    <mergeCell ref="V26:X26"/>
    <mergeCell ref="Y26:AA26"/>
    <mergeCell ref="AB26:AE26"/>
    <mergeCell ref="AB27:AE27"/>
    <mergeCell ref="B28:D28"/>
    <mergeCell ref="E28:L28"/>
    <mergeCell ref="M28:O28"/>
    <mergeCell ref="P28:R28"/>
    <mergeCell ref="S28:U28"/>
    <mergeCell ref="V28:X28"/>
    <mergeCell ref="Y28:AA28"/>
    <mergeCell ref="AB28:AE28"/>
    <mergeCell ref="B30:L31"/>
    <mergeCell ref="M30:O30"/>
    <mergeCell ref="P30:R30"/>
    <mergeCell ref="S30:U30"/>
    <mergeCell ref="V30:Y31"/>
    <mergeCell ref="M31:O31"/>
    <mergeCell ref="P31:R31"/>
    <mergeCell ref="S31:U31"/>
    <mergeCell ref="B32:D32"/>
    <mergeCell ref="E32:L32"/>
    <mergeCell ref="M32:O32"/>
    <mergeCell ref="P32:R32"/>
    <mergeCell ref="S32:U32"/>
    <mergeCell ref="V32:Y32"/>
    <mergeCell ref="B33:D33"/>
    <mergeCell ref="E33:L33"/>
    <mergeCell ref="M33:O33"/>
    <mergeCell ref="P33:R33"/>
    <mergeCell ref="S33:U33"/>
    <mergeCell ref="V33:Y33"/>
    <mergeCell ref="S34:U34"/>
    <mergeCell ref="V34:Y34"/>
    <mergeCell ref="B35:D35"/>
    <mergeCell ref="E35:L35"/>
    <mergeCell ref="M35:O35"/>
    <mergeCell ref="P35:R35"/>
    <mergeCell ref="S35:U35"/>
    <mergeCell ref="V35:Y35"/>
    <mergeCell ref="B36:AE39"/>
    <mergeCell ref="A40:G40"/>
    <mergeCell ref="H40:K40"/>
    <mergeCell ref="M40:N40"/>
    <mergeCell ref="O40:Q40"/>
    <mergeCell ref="A41:B41"/>
    <mergeCell ref="C41:L41"/>
    <mergeCell ref="M41:Q41"/>
    <mergeCell ref="R41:AF41"/>
    <mergeCell ref="B44:K45"/>
    <mergeCell ref="L44:O45"/>
    <mergeCell ref="P44:S45"/>
    <mergeCell ref="T44:W45"/>
    <mergeCell ref="X44:AA44"/>
    <mergeCell ref="AB44:AE44"/>
    <mergeCell ref="X45:AA45"/>
    <mergeCell ref="AB45:AE45"/>
    <mergeCell ref="B46:D46"/>
    <mergeCell ref="E46:K46"/>
    <mergeCell ref="L46:O46"/>
    <mergeCell ref="P46:S46"/>
    <mergeCell ref="T46:W46"/>
    <mergeCell ref="X46:AA46"/>
    <mergeCell ref="AB46:AE46"/>
    <mergeCell ref="B47:D47"/>
    <mergeCell ref="E47:K47"/>
    <mergeCell ref="L47:O47"/>
    <mergeCell ref="P47:S47"/>
    <mergeCell ref="T47:W47"/>
    <mergeCell ref="X47:AA47"/>
    <mergeCell ref="AB47:AE47"/>
    <mergeCell ref="AB48:AE48"/>
    <mergeCell ref="B49:D49"/>
    <mergeCell ref="E49:K49"/>
    <mergeCell ref="L49:O49"/>
    <mergeCell ref="P49:S49"/>
    <mergeCell ref="T49:W49"/>
    <mergeCell ref="X49:AA49"/>
    <mergeCell ref="AB49:AE49"/>
    <mergeCell ref="B52:H53"/>
    <mergeCell ref="I52:J53"/>
    <mergeCell ref="K52:L53"/>
    <mergeCell ref="M52:N53"/>
    <mergeCell ref="O52:P53"/>
    <mergeCell ref="Q52:R53"/>
    <mergeCell ref="S52:U53"/>
    <mergeCell ref="V52:Y53"/>
    <mergeCell ref="Z52:AC52"/>
    <mergeCell ref="Z53:AC53"/>
    <mergeCell ref="B54:G54"/>
    <mergeCell ref="I54:J54"/>
    <mergeCell ref="K54:L54"/>
    <mergeCell ref="M54:N54"/>
    <mergeCell ref="O54:P54"/>
    <mergeCell ref="Q54:R54"/>
    <mergeCell ref="S54:U54"/>
    <mergeCell ref="V54:Y54"/>
    <mergeCell ref="Z54:AC54"/>
    <mergeCell ref="I55:J55"/>
    <mergeCell ref="K55:L55"/>
    <mergeCell ref="M55:N55"/>
    <mergeCell ref="O55:P55"/>
    <mergeCell ref="Q55:R55"/>
    <mergeCell ref="S55:U55"/>
    <mergeCell ref="V55:Y55"/>
    <mergeCell ref="Z55:AC55"/>
    <mergeCell ref="I56:J56"/>
    <mergeCell ref="K56:L56"/>
    <mergeCell ref="M56:N56"/>
    <mergeCell ref="O56:P56"/>
    <mergeCell ref="Q56:R56"/>
    <mergeCell ref="S56:U56"/>
    <mergeCell ref="V56:Y56"/>
    <mergeCell ref="Z56:AC56"/>
    <mergeCell ref="Z57:AC57"/>
    <mergeCell ref="AA60:AC60"/>
    <mergeCell ref="B61:K61"/>
    <mergeCell ref="L61:M61"/>
    <mergeCell ref="N61:O61"/>
    <mergeCell ref="P61:S61"/>
    <mergeCell ref="T61:V61"/>
    <mergeCell ref="W61:Y61"/>
    <mergeCell ref="Z61:AC61"/>
    <mergeCell ref="B62:K62"/>
    <mergeCell ref="L62:M62"/>
    <mergeCell ref="N62:O62"/>
    <mergeCell ref="P62:S62"/>
    <mergeCell ref="T62:V62"/>
    <mergeCell ref="W62:Z62"/>
    <mergeCell ref="AA62:AC62"/>
    <mergeCell ref="B63:K63"/>
    <mergeCell ref="L63:M63"/>
    <mergeCell ref="N63:O63"/>
    <mergeCell ref="P63:S63"/>
    <mergeCell ref="T63:V63"/>
    <mergeCell ref="W63:Z63"/>
    <mergeCell ref="AA63:AC63"/>
    <mergeCell ref="Z64:AC64"/>
    <mergeCell ref="M68:O68"/>
    <mergeCell ref="P68:S68"/>
    <mergeCell ref="B69:D69"/>
    <mergeCell ref="E69:L69"/>
    <mergeCell ref="M69:O69"/>
    <mergeCell ref="P69:S69"/>
    <mergeCell ref="B70:D70"/>
    <mergeCell ref="E70:L70"/>
    <mergeCell ref="M70:O70"/>
    <mergeCell ref="P70:S70"/>
    <mergeCell ref="B71:L71"/>
    <mergeCell ref="M71:O71"/>
    <mergeCell ref="P71:S71"/>
    <mergeCell ref="B72:D72"/>
    <mergeCell ref="E72:L72"/>
    <mergeCell ref="M72:O72"/>
    <mergeCell ref="P72:S72"/>
    <mergeCell ref="B73:AE80"/>
  </mergeCells>
  <conditionalFormatting sqref="Z61:Z63">
    <cfRule type="cellIs" priority="2" operator="equal" aboveAverage="0" equalAverage="0" bottom="0" percent="0" rank="0" text="" dxfId="24">
      <formula>0</formula>
    </cfRule>
  </conditionalFormatting>
  <conditionalFormatting sqref="S57:U57">
    <cfRule type="cellIs" priority="3" operator="equal" aboveAverage="0" equalAverage="0" bottom="0" percent="0" rank="0" text="" dxfId="24">
      <formula>0</formula>
    </cfRule>
  </conditionalFormatting>
  <conditionalFormatting sqref="Z64:AC64">
    <cfRule type="cellIs" priority="4" operator="equal" aboveAverage="0" equalAverage="0" bottom="0" percent="0" rank="0" text="" dxfId="24">
      <formula>0</formula>
    </cfRule>
  </conditionalFormatting>
  <conditionalFormatting sqref="L70">
    <cfRule type="cellIs" priority="5" operator="equal" aboveAverage="0" equalAverage="0" bottom="0" percent="0" rank="0" text="" dxfId="24">
      <formula>0</formula>
    </cfRule>
  </conditionalFormatting>
  <conditionalFormatting sqref="Z54:AC57">
    <cfRule type="cellIs" priority="6" operator="equal" aboveAverage="0" equalAverage="0" bottom="0" percent="0" rank="0" text="" dxfId="24">
      <formula>0</formula>
    </cfRule>
  </conditionalFormatting>
  <conditionalFormatting sqref="Z52:Z53">
    <cfRule type="cellIs" priority="7" operator="equal" aboveAverage="0" equalAverage="0" bottom="0" percent="0" rank="0" text="" dxfId="24">
      <formula>0</formula>
    </cfRule>
  </conditionalFormatting>
  <conditionalFormatting sqref="L51:AB51">
    <cfRule type="cellIs" priority="8" operator="equal" aboveAverage="0" equalAverage="0" bottom="0" percent="0" rank="0" text="" dxfId="24">
      <formula>0</formula>
    </cfRule>
  </conditionalFormatting>
  <conditionalFormatting sqref="M32:Y34">
    <cfRule type="cellIs" priority="9" operator="equal" aboveAverage="0" equalAverage="0" bottom="0" percent="0" rank="0" text="" dxfId="24">
      <formula>0</formula>
    </cfRule>
  </conditionalFormatting>
  <conditionalFormatting sqref="M35 P35 S34">
    <cfRule type="cellIs" priority="10" operator="equal" aboveAverage="0" equalAverage="0" bottom="0" percent="0" rank="0" text="" dxfId="24">
      <formula>0</formula>
    </cfRule>
  </conditionalFormatting>
  <conditionalFormatting sqref="AF49">
    <cfRule type="cellIs" priority="11" operator="equal" aboveAverage="0" equalAverage="0" bottom="0" percent="0" rank="0" text="" dxfId="24">
      <formula>0</formula>
    </cfRule>
  </conditionalFormatting>
  <conditionalFormatting sqref="AB44:AB45">
    <cfRule type="cellIs" priority="12" operator="equal" aboveAverage="0" equalAverage="0" bottom="0" percent="0" rank="0" text="" dxfId="24">
      <formula>0</formula>
    </cfRule>
  </conditionalFormatting>
  <conditionalFormatting sqref="Z70:Z71">
    <cfRule type="cellIs" priority="13" operator="equal" aboveAverage="0" equalAverage="0" bottom="0" percent="0" rank="0" text="" dxfId="24">
      <formula>0</formula>
    </cfRule>
  </conditionalFormatting>
  <conditionalFormatting sqref="AA69">
    <cfRule type="cellIs" priority="14" operator="equal" aboveAverage="0" equalAverage="0" bottom="0" percent="0" rank="0" text="" dxfId="24">
      <formula>0</formula>
    </cfRule>
  </conditionalFormatting>
  <conditionalFormatting sqref="AB27:AE27">
    <cfRule type="cellIs" priority="15" operator="equal" aboveAverage="0" equalAverage="0" bottom="0" percent="0" rank="0" text="" dxfId="24">
      <formula>0</formula>
    </cfRule>
  </conditionalFormatting>
  <conditionalFormatting sqref="L46:AE48">
    <cfRule type="cellIs" priority="16" operator="equal" aboveAverage="0" equalAverage="0" bottom="0" percent="0" rank="0" text="" dxfId="24">
      <formula>0</formula>
    </cfRule>
  </conditionalFormatting>
  <conditionalFormatting sqref="L43:AB43 L44:X45 L71:M71 M25:AE27 M69:S71 O28:P28 S52:Y56 V55:Y57 Z59:AC59">
    <cfRule type="cellIs" priority="17" operator="equal" aboveAverage="0" equalAverage="0" bottom="0" percent="0" rank="0" text="" dxfId="24">
      <formula>0</formula>
    </cfRule>
  </conditionalFormatting>
  <printOptions headings="false" gridLines="false" gridLinesSet="true" horizontalCentered="false" verticalCentered="false"/>
  <pageMargins left="0.75" right="0.5" top="0.75" bottom="0.5" header="0" footer="0.3"/>
  <pageSetup paperSize="1" scale="94" fitToWidth="1" fitToHeight="1" pageOrder="downThenOver" orientation="portrait"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rowBreaks count="1" manualBreakCount="1">
    <brk id="40"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I50"/>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B21" activeCellId="0" sqref="B21"/>
    </sheetView>
  </sheetViews>
  <sheetFormatPr defaultColWidth="2.859375" defaultRowHeight="15.75" zeroHeight="false" outlineLevelRow="0" outlineLevelCol="0"/>
  <cols>
    <col collapsed="false" customWidth="true" hidden="false" outlineLevel="0" max="20" min="20" style="52" width="4.42"/>
  </cols>
  <sheetData>
    <row r="1" customFormat="false" ht="15.75" hidden="false" customHeight="true" outlineLevel="0" collapsed="false">
      <c r="A1" s="256" t="s">
        <v>1519</v>
      </c>
      <c r="B1" s="256"/>
      <c r="C1" s="256"/>
      <c r="D1" s="256"/>
      <c r="E1" s="256"/>
      <c r="F1" s="256"/>
      <c r="G1" s="256"/>
      <c r="H1" s="256"/>
      <c r="I1" s="256"/>
      <c r="J1" s="256"/>
      <c r="K1" s="256"/>
      <c r="L1" s="256"/>
      <c r="M1" s="256"/>
      <c r="N1" s="256"/>
      <c r="O1" s="256"/>
      <c r="P1" s="256"/>
      <c r="Q1" s="256"/>
      <c r="R1" s="256"/>
      <c r="S1" s="256"/>
      <c r="T1" s="256"/>
      <c r="U1" s="256"/>
      <c r="V1" s="256"/>
      <c r="W1" s="256"/>
      <c r="X1" s="256"/>
      <c r="Y1" s="256"/>
      <c r="Z1" s="256"/>
      <c r="AA1" s="256"/>
      <c r="AB1" s="256"/>
      <c r="AC1" s="256"/>
      <c r="AD1" s="256"/>
      <c r="AE1" s="256"/>
      <c r="AF1" s="256"/>
    </row>
    <row r="2" customFormat="false" ht="15.75" hidden="false" customHeight="true" outlineLevel="0" collapsed="false">
      <c r="A2" s="256"/>
      <c r="B2" s="256"/>
      <c r="C2" s="256"/>
      <c r="D2" s="256"/>
      <c r="E2" s="256"/>
      <c r="F2" s="256"/>
      <c r="G2" s="256"/>
      <c r="H2" s="256"/>
      <c r="I2" s="256"/>
      <c r="J2" s="256"/>
      <c r="K2" s="256"/>
      <c r="L2" s="256"/>
      <c r="M2" s="256"/>
      <c r="N2" s="256"/>
      <c r="O2" s="256"/>
      <c r="P2" s="256"/>
      <c r="Q2" s="256"/>
      <c r="R2" s="256"/>
      <c r="S2" s="256"/>
      <c r="T2" s="256"/>
      <c r="U2" s="256"/>
      <c r="V2" s="256"/>
      <c r="W2" s="256"/>
      <c r="X2" s="256"/>
      <c r="Y2" s="256"/>
      <c r="Z2" s="256"/>
      <c r="AA2" s="256"/>
      <c r="AB2" s="256"/>
      <c r="AC2" s="256"/>
      <c r="AD2" s="256"/>
      <c r="AE2" s="256"/>
      <c r="AF2" s="256"/>
    </row>
    <row r="3" customFormat="false" ht="15.75" hidden="false" customHeight="true" outlineLevel="0" collapsed="false">
      <c r="A3" s="6" t="s">
        <v>1</v>
      </c>
      <c r="B3" s="6"/>
      <c r="C3" s="6"/>
      <c r="D3" s="6"/>
      <c r="E3" s="6"/>
      <c r="F3" s="257" t="s">
        <v>1520</v>
      </c>
      <c r="G3" s="257"/>
      <c r="H3" s="257"/>
      <c r="I3" s="257"/>
      <c r="J3" s="257"/>
      <c r="K3" s="257"/>
      <c r="L3" s="257"/>
      <c r="M3" s="6" t="s">
        <v>3</v>
      </c>
      <c r="N3" s="6"/>
      <c r="O3" s="6"/>
      <c r="P3" s="6"/>
      <c r="Q3" s="6"/>
      <c r="R3" s="257" t="s">
        <v>2237</v>
      </c>
      <c r="S3" s="257"/>
      <c r="T3" s="257"/>
      <c r="U3" s="257"/>
      <c r="V3" s="257"/>
      <c r="W3" s="257"/>
      <c r="X3" s="257"/>
      <c r="Y3" s="257"/>
      <c r="Z3" s="257"/>
      <c r="AA3" s="257"/>
      <c r="AB3" s="257"/>
      <c r="AC3" s="1"/>
      <c r="AD3" s="1"/>
      <c r="AE3" s="610"/>
      <c r="AF3" s="610"/>
    </row>
    <row r="4" customFormat="false" ht="15.75" hidden="false" customHeight="true" outlineLevel="0" collapsed="false">
      <c r="A4" s="6" t="s">
        <v>5</v>
      </c>
      <c r="B4" s="6"/>
      <c r="C4" s="6"/>
      <c r="D4" s="6"/>
      <c r="E4" s="6"/>
      <c r="F4" s="257" t="s">
        <v>6</v>
      </c>
      <c r="G4" s="257"/>
      <c r="H4" s="257"/>
      <c r="I4" s="257"/>
      <c r="J4" s="257"/>
      <c r="K4" s="257"/>
      <c r="L4" s="257"/>
      <c r="M4" s="6" t="s">
        <v>7</v>
      </c>
      <c r="N4" s="6"/>
      <c r="O4" s="6"/>
      <c r="P4" s="6"/>
      <c r="Q4" s="6"/>
      <c r="R4" s="257" t="s">
        <v>8</v>
      </c>
      <c r="S4" s="257"/>
      <c r="T4" s="257"/>
      <c r="U4" s="257"/>
      <c r="V4" s="257"/>
      <c r="W4" s="257"/>
      <c r="X4" s="257"/>
      <c r="Y4" s="9"/>
      <c r="Z4" s="9"/>
      <c r="AA4" s="9"/>
      <c r="AB4" s="9"/>
      <c r="AC4" s="9"/>
      <c r="AD4" s="9"/>
      <c r="AE4" s="7"/>
      <c r="AF4" s="7"/>
    </row>
    <row r="5" customFormat="false" ht="15.75" hidden="false" customHeight="true" outlineLevel="0" collapsed="false">
      <c r="A5" s="259" t="s">
        <v>1522</v>
      </c>
      <c r="B5" s="259"/>
      <c r="C5" s="260" t="n">
        <v>45110</v>
      </c>
      <c r="D5" s="260"/>
      <c r="E5" s="260"/>
      <c r="F5" s="260"/>
      <c r="G5" s="260"/>
      <c r="H5" s="260"/>
      <c r="I5" s="260"/>
      <c r="J5" s="260"/>
      <c r="K5" s="260"/>
      <c r="L5" s="260"/>
      <c r="M5" s="259" t="s">
        <v>1523</v>
      </c>
      <c r="N5" s="259"/>
      <c r="O5" s="259"/>
      <c r="P5" s="259"/>
      <c r="Q5" s="259"/>
      <c r="R5" s="260" t="s">
        <v>24</v>
      </c>
      <c r="S5" s="260"/>
      <c r="T5" s="260"/>
      <c r="U5" s="260"/>
      <c r="V5" s="260"/>
      <c r="W5" s="260"/>
      <c r="X5" s="260"/>
      <c r="Y5" s="260"/>
      <c r="Z5" s="260"/>
      <c r="AA5" s="260"/>
      <c r="AB5" s="260"/>
      <c r="AC5" s="260"/>
      <c r="AD5" s="260"/>
      <c r="AE5" s="260"/>
      <c r="AF5" s="260"/>
    </row>
    <row r="6" customFormat="false" ht="15.75" hidden="false" customHeight="true" outlineLevel="0" collapsed="false">
      <c r="A6" s="261" t="s">
        <v>1524</v>
      </c>
      <c r="B6" s="261"/>
      <c r="C6" s="261"/>
      <c r="D6" s="261"/>
      <c r="E6" s="261"/>
      <c r="F6" s="261"/>
      <c r="G6" s="261"/>
      <c r="H6" s="261"/>
      <c r="I6" s="261"/>
      <c r="J6" s="261"/>
      <c r="K6" s="261"/>
      <c r="L6" s="261"/>
      <c r="M6" s="261"/>
      <c r="N6" s="261"/>
      <c r="O6" s="261"/>
      <c r="P6" s="261"/>
      <c r="Q6" s="261"/>
      <c r="R6" s="261"/>
      <c r="S6" s="261"/>
      <c r="T6" s="261"/>
      <c r="U6" s="261"/>
      <c r="V6" s="261"/>
      <c r="W6" s="261"/>
      <c r="X6" s="261"/>
      <c r="Y6" s="261"/>
      <c r="Z6" s="261"/>
      <c r="AA6" s="261"/>
      <c r="AB6" s="261"/>
      <c r="AC6" s="261"/>
      <c r="AD6" s="261"/>
      <c r="AE6" s="261"/>
      <c r="AF6" s="261"/>
    </row>
    <row r="7" customFormat="false" ht="15.75" hidden="false" customHeight="true" outlineLevel="0" collapsed="false">
      <c r="A7" s="1101"/>
      <c r="B7" s="1101"/>
      <c r="C7" s="1101"/>
      <c r="D7" s="1101"/>
      <c r="E7" s="1101"/>
      <c r="F7" s="1101"/>
      <c r="G7" s="1101"/>
      <c r="H7" s="1101"/>
      <c r="I7" s="1101"/>
      <c r="J7" s="1101"/>
      <c r="K7" s="1101"/>
      <c r="L7" s="1101"/>
      <c r="M7" s="1101"/>
      <c r="N7" s="1101"/>
      <c r="O7" s="1101"/>
      <c r="P7" s="1101"/>
      <c r="Q7" s="1101"/>
      <c r="R7" s="1101"/>
      <c r="S7" s="1101"/>
      <c r="T7" s="1101"/>
      <c r="U7" s="1101"/>
      <c r="V7" s="1101"/>
      <c r="W7" s="1101"/>
      <c r="X7" s="1101"/>
      <c r="Y7" s="1101"/>
      <c r="Z7" s="1101"/>
      <c r="AA7" s="1101"/>
      <c r="AB7" s="1101"/>
      <c r="AC7" s="1101"/>
      <c r="AD7" s="1101"/>
      <c r="AE7" s="1101"/>
      <c r="AF7" s="1101"/>
    </row>
    <row r="8" customFormat="false" ht="15.75" hidden="false" customHeight="true" outlineLevel="0" collapsed="false">
      <c r="A8" s="6" t="s">
        <v>1525</v>
      </c>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row>
    <row r="9" customFormat="false" ht="15.75" hidden="false" customHeight="true" outlineLevel="0" collapsed="false">
      <c r="A9" s="271"/>
      <c r="B9" s="262" t="s">
        <v>2343</v>
      </c>
      <c r="C9" s="262"/>
      <c r="D9" s="262"/>
      <c r="E9" s="262"/>
      <c r="F9" s="262"/>
      <c r="G9" s="262"/>
      <c r="H9" s="262"/>
      <c r="I9" s="262"/>
      <c r="J9" s="262"/>
      <c r="K9" s="262"/>
      <c r="L9" s="262"/>
      <c r="M9" s="262"/>
      <c r="N9" s="262"/>
      <c r="O9" s="262"/>
      <c r="P9" s="262"/>
      <c r="Q9" s="262"/>
      <c r="R9" s="262"/>
      <c r="S9" s="262"/>
      <c r="T9" s="262"/>
      <c r="U9" s="262"/>
      <c r="V9" s="262"/>
      <c r="W9" s="262"/>
      <c r="X9" s="262"/>
      <c r="Y9" s="262"/>
      <c r="Z9" s="262"/>
      <c r="AA9" s="262"/>
      <c r="AB9" s="262"/>
      <c r="AC9" s="262"/>
      <c r="AD9" s="262"/>
      <c r="AE9" s="262"/>
      <c r="AF9" s="620"/>
    </row>
    <row r="10" customFormat="false" ht="15.75" hidden="false" customHeight="true" outlineLevel="0" collapsed="false">
      <c r="A10" s="271"/>
      <c r="B10" s="262"/>
      <c r="C10" s="262"/>
      <c r="D10" s="262"/>
      <c r="E10" s="262"/>
      <c r="F10" s="262"/>
      <c r="G10" s="262"/>
      <c r="H10" s="262"/>
      <c r="I10" s="262"/>
      <c r="J10" s="262"/>
      <c r="K10" s="262"/>
      <c r="L10" s="262"/>
      <c r="M10" s="262"/>
      <c r="N10" s="262"/>
      <c r="O10" s="262"/>
      <c r="P10" s="262"/>
      <c r="Q10" s="262"/>
      <c r="R10" s="262"/>
      <c r="S10" s="262"/>
      <c r="T10" s="262"/>
      <c r="U10" s="262"/>
      <c r="V10" s="262"/>
      <c r="W10" s="262"/>
      <c r="X10" s="262"/>
      <c r="Y10" s="262"/>
      <c r="Z10" s="262"/>
      <c r="AA10" s="262"/>
      <c r="AB10" s="262"/>
      <c r="AC10" s="262"/>
      <c r="AD10" s="262"/>
      <c r="AE10" s="262"/>
      <c r="AF10" s="620"/>
    </row>
    <row r="11" customFormat="false" ht="15.75" hidden="false" customHeight="true" outlineLevel="0" collapsed="false">
      <c r="A11" s="271"/>
      <c r="B11" s="262"/>
      <c r="C11" s="262"/>
      <c r="D11" s="262"/>
      <c r="E11" s="262"/>
      <c r="F11" s="262"/>
      <c r="G11" s="262"/>
      <c r="H11" s="262"/>
      <c r="I11" s="262"/>
      <c r="J11" s="262"/>
      <c r="K11" s="262"/>
      <c r="L11" s="262"/>
      <c r="M11" s="262"/>
      <c r="N11" s="262"/>
      <c r="O11" s="262"/>
      <c r="P11" s="262"/>
      <c r="Q11" s="262"/>
      <c r="R11" s="262"/>
      <c r="S11" s="262"/>
      <c r="T11" s="262"/>
      <c r="U11" s="262"/>
      <c r="V11" s="262"/>
      <c r="W11" s="262"/>
      <c r="X11" s="262"/>
      <c r="Y11" s="262"/>
      <c r="Z11" s="262"/>
      <c r="AA11" s="262"/>
      <c r="AB11" s="262"/>
      <c r="AC11" s="262"/>
      <c r="AD11" s="262"/>
      <c r="AE11" s="262"/>
      <c r="AF11" s="620"/>
    </row>
    <row r="12" customFormat="false" ht="15.75" hidden="false" customHeight="true" outlineLevel="0" collapsed="false">
      <c r="A12" s="271"/>
      <c r="B12" s="262"/>
      <c r="C12" s="262"/>
      <c r="D12" s="262"/>
      <c r="E12" s="262"/>
      <c r="F12" s="262"/>
      <c r="G12" s="262"/>
      <c r="H12" s="262"/>
      <c r="I12" s="262"/>
      <c r="J12" s="262"/>
      <c r="K12" s="262"/>
      <c r="L12" s="262"/>
      <c r="M12" s="262"/>
      <c r="N12" s="262"/>
      <c r="O12" s="262"/>
      <c r="P12" s="262"/>
      <c r="Q12" s="262"/>
      <c r="R12" s="262"/>
      <c r="S12" s="262"/>
      <c r="T12" s="262"/>
      <c r="U12" s="262"/>
      <c r="V12" s="262"/>
      <c r="W12" s="262"/>
      <c r="X12" s="262"/>
      <c r="Y12" s="262"/>
      <c r="Z12" s="262"/>
      <c r="AA12" s="262"/>
      <c r="AB12" s="262"/>
      <c r="AC12" s="262"/>
      <c r="AD12" s="262"/>
      <c r="AE12" s="262"/>
      <c r="AF12" s="620"/>
    </row>
    <row r="13" customFormat="false" ht="15.75" hidden="false" customHeight="true" outlineLevel="0" collapsed="false">
      <c r="A13" s="271"/>
      <c r="B13" s="262"/>
      <c r="C13" s="262"/>
      <c r="D13" s="262"/>
      <c r="E13" s="262"/>
      <c r="F13" s="262"/>
      <c r="G13" s="262"/>
      <c r="H13" s="262"/>
      <c r="I13" s="262"/>
      <c r="J13" s="262"/>
      <c r="K13" s="262"/>
      <c r="L13" s="262"/>
      <c r="M13" s="262"/>
      <c r="N13" s="262"/>
      <c r="O13" s="262"/>
      <c r="P13" s="262"/>
      <c r="Q13" s="262"/>
      <c r="R13" s="262"/>
      <c r="S13" s="262"/>
      <c r="T13" s="262"/>
      <c r="U13" s="262"/>
      <c r="V13" s="262"/>
      <c r="W13" s="262"/>
      <c r="X13" s="262"/>
      <c r="Y13" s="262"/>
      <c r="Z13" s="262"/>
      <c r="AA13" s="262"/>
      <c r="AB13" s="262"/>
      <c r="AC13" s="262"/>
      <c r="AD13" s="262"/>
      <c r="AE13" s="262"/>
      <c r="AF13" s="620"/>
    </row>
    <row r="14" customFormat="false" ht="15.75" hidden="false" customHeight="true" outlineLevel="0" collapsed="false">
      <c r="A14" s="271"/>
      <c r="B14" s="262"/>
      <c r="C14" s="262"/>
      <c r="D14" s="262"/>
      <c r="E14" s="262"/>
      <c r="F14" s="262"/>
      <c r="G14" s="262"/>
      <c r="H14" s="262"/>
      <c r="I14" s="262"/>
      <c r="J14" s="262"/>
      <c r="K14" s="262"/>
      <c r="L14" s="262"/>
      <c r="M14" s="262"/>
      <c r="N14" s="262"/>
      <c r="O14" s="262"/>
      <c r="P14" s="262"/>
      <c r="Q14" s="262"/>
      <c r="R14" s="262"/>
      <c r="S14" s="262"/>
      <c r="T14" s="262"/>
      <c r="U14" s="262"/>
      <c r="V14" s="262"/>
      <c r="W14" s="262"/>
      <c r="X14" s="262"/>
      <c r="Y14" s="262"/>
      <c r="Z14" s="262"/>
      <c r="AA14" s="262"/>
      <c r="AB14" s="262"/>
      <c r="AC14" s="262"/>
      <c r="AD14" s="262"/>
      <c r="AE14" s="262"/>
      <c r="AF14" s="620"/>
    </row>
    <row r="15" customFormat="false" ht="15.75" hidden="false" customHeight="true" outlineLevel="0" collapsed="false">
      <c r="A15" s="620"/>
      <c r="B15" s="620"/>
      <c r="C15" s="620"/>
      <c r="D15" s="620"/>
      <c r="E15" s="620"/>
      <c r="F15" s="620"/>
      <c r="G15" s="620"/>
      <c r="H15" s="620"/>
      <c r="I15" s="620"/>
      <c r="J15" s="620"/>
      <c r="K15" s="620"/>
      <c r="L15" s="620"/>
      <c r="M15" s="620"/>
      <c r="N15" s="620"/>
      <c r="O15" s="620"/>
      <c r="P15" s="620"/>
      <c r="Q15" s="620"/>
      <c r="R15" s="620"/>
      <c r="S15" s="620"/>
      <c r="T15" s="620"/>
      <c r="U15" s="620"/>
      <c r="V15" s="620"/>
      <c r="W15" s="620"/>
      <c r="X15" s="620"/>
      <c r="Y15" s="620"/>
      <c r="Z15" s="620"/>
      <c r="AA15" s="620"/>
      <c r="AB15" s="620"/>
      <c r="AC15" s="620"/>
      <c r="AD15" s="620"/>
      <c r="AE15" s="620"/>
      <c r="AF15" s="620"/>
    </row>
    <row r="16" customFormat="false" ht="15.75" hidden="false" customHeight="true" outlineLevel="0" collapsed="false">
      <c r="A16" s="6" t="s">
        <v>1527</v>
      </c>
      <c r="B16" s="6"/>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row>
    <row r="17" customFormat="false" ht="15.75" hidden="false" customHeight="true" outlineLevel="0" collapsed="false">
      <c r="A17" s="620"/>
      <c r="B17" s="404" t="s">
        <v>2271</v>
      </c>
      <c r="C17" s="404"/>
      <c r="D17" s="404"/>
      <c r="E17" s="404"/>
      <c r="F17" s="404"/>
      <c r="G17" s="404"/>
      <c r="H17" s="404"/>
      <c r="I17" s="404"/>
      <c r="J17" s="404"/>
      <c r="K17" s="404"/>
      <c r="L17" s="404"/>
      <c r="M17" s="404"/>
      <c r="N17" s="404"/>
      <c r="O17" s="404"/>
      <c r="P17" s="404"/>
      <c r="Q17" s="404"/>
      <c r="R17" s="404"/>
      <c r="S17" s="404"/>
      <c r="T17" s="404"/>
      <c r="U17" s="404"/>
      <c r="V17" s="404"/>
      <c r="W17" s="404"/>
      <c r="X17" s="404"/>
      <c r="Y17" s="404"/>
      <c r="Z17" s="404"/>
      <c r="AA17" s="404"/>
      <c r="AB17" s="404"/>
      <c r="AC17" s="404"/>
      <c r="AD17" s="404"/>
      <c r="AE17" s="404"/>
      <c r="AF17" s="404"/>
    </row>
    <row r="18" customFormat="false" ht="15.75" hidden="false" customHeight="true" outlineLevel="0" collapsed="false">
      <c r="A18" s="620"/>
      <c r="B18" s="404" t="s">
        <v>1643</v>
      </c>
      <c r="C18" s="404"/>
      <c r="D18" s="404"/>
      <c r="E18" s="404"/>
      <c r="F18" s="404"/>
      <c r="G18" s="404"/>
      <c r="H18" s="404"/>
      <c r="I18" s="404"/>
      <c r="J18" s="404"/>
      <c r="K18" s="404"/>
      <c r="L18" s="404"/>
      <c r="M18" s="404"/>
      <c r="N18" s="404"/>
      <c r="O18" s="404"/>
      <c r="P18" s="404"/>
      <c r="Q18" s="404"/>
      <c r="R18" s="404"/>
      <c r="S18" s="404"/>
      <c r="T18" s="404"/>
      <c r="U18" s="404"/>
      <c r="V18" s="404"/>
      <c r="W18" s="404"/>
      <c r="X18" s="404"/>
      <c r="Y18" s="404"/>
      <c r="Z18" s="404"/>
      <c r="AA18" s="404"/>
      <c r="AB18" s="404"/>
      <c r="AC18" s="404"/>
      <c r="AD18" s="404"/>
      <c r="AE18" s="404"/>
      <c r="AF18" s="1102"/>
    </row>
    <row r="19" customFormat="false" ht="15.75" hidden="false" customHeight="true" outlineLevel="0" collapsed="false">
      <c r="A19" s="267" t="s">
        <v>1529</v>
      </c>
      <c r="B19" s="267"/>
      <c r="C19" s="267"/>
      <c r="D19" s="267"/>
      <c r="E19" s="267"/>
      <c r="F19" s="267"/>
      <c r="G19" s="267"/>
      <c r="H19" s="267"/>
      <c r="I19" s="267"/>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row>
    <row r="20" customFormat="false" ht="15.75" hidden="false" customHeight="true" outlineLevel="0" collapsed="false">
      <c r="A20" s="39"/>
      <c r="B20" s="695" t="s">
        <v>2240</v>
      </c>
      <c r="C20" s="695"/>
      <c r="D20" s="695"/>
      <c r="E20" s="695"/>
      <c r="F20" s="695"/>
      <c r="G20" s="695"/>
      <c r="H20" s="695"/>
      <c r="I20" s="695"/>
      <c r="J20" s="695"/>
      <c r="K20" s="695"/>
      <c r="L20" s="695"/>
      <c r="M20" s="695"/>
      <c r="N20" s="695"/>
      <c r="O20" s="695"/>
      <c r="P20" s="695"/>
      <c r="Q20" s="695"/>
      <c r="R20" s="695"/>
      <c r="S20" s="695"/>
      <c r="T20" s="695"/>
      <c r="U20" s="695"/>
      <c r="V20" s="695"/>
      <c r="W20" s="695"/>
      <c r="X20" s="695"/>
      <c r="Y20" s="695"/>
      <c r="Z20" s="695"/>
      <c r="AA20" s="695"/>
      <c r="AB20" s="695"/>
      <c r="AC20" s="695"/>
      <c r="AD20" s="695"/>
      <c r="AE20" s="695"/>
      <c r="AF20" s="695"/>
    </row>
    <row r="21" customFormat="false" ht="15.75" hidden="false" customHeight="true" outlineLevel="0" collapsed="false">
      <c r="A21" s="39"/>
      <c r="B21" s="265"/>
      <c r="C21" s="265"/>
      <c r="D21" s="265"/>
      <c r="E21" s="265"/>
      <c r="F21" s="265"/>
      <c r="G21" s="265"/>
      <c r="H21" s="265"/>
      <c r="I21" s="265"/>
      <c r="J21" s="265"/>
      <c r="K21" s="265"/>
      <c r="L21" s="265"/>
      <c r="M21" s="265"/>
      <c r="N21" s="265"/>
      <c r="O21" s="265"/>
      <c r="P21" s="265"/>
      <c r="Q21" s="265"/>
      <c r="R21" s="265"/>
      <c r="S21" s="265"/>
      <c r="T21" s="265"/>
      <c r="U21" s="265"/>
      <c r="V21" s="265"/>
      <c r="W21" s="265"/>
      <c r="X21" s="265"/>
      <c r="Y21" s="265"/>
      <c r="Z21" s="265"/>
      <c r="AA21" s="265"/>
      <c r="AB21" s="265"/>
      <c r="AC21" s="265"/>
      <c r="AD21" s="265"/>
      <c r="AE21" s="265"/>
      <c r="AF21" s="265"/>
    </row>
    <row r="22" customFormat="false" ht="15.75" hidden="false" customHeight="true" outlineLevel="0" collapsed="false">
      <c r="A22" s="267" t="s">
        <v>1532</v>
      </c>
      <c r="B22" s="267"/>
      <c r="C22" s="267"/>
      <c r="D22" s="267"/>
      <c r="E22" s="267"/>
      <c r="F22" s="267"/>
      <c r="G22" s="267"/>
      <c r="H22" s="267"/>
      <c r="I22" s="267"/>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row>
    <row r="23" customFormat="false" ht="15.75" hidden="false" customHeight="true" outlineLevel="0" collapsed="false">
      <c r="A23" s="267"/>
      <c r="B23" s="812" t="s">
        <v>2315</v>
      </c>
      <c r="C23" s="39"/>
      <c r="D23" s="39"/>
      <c r="E23" s="39"/>
      <c r="F23" s="39"/>
      <c r="G23" s="39"/>
      <c r="H23" s="39"/>
      <c r="I23" s="39"/>
      <c r="J23" s="39"/>
      <c r="K23" s="39"/>
      <c r="L23" s="39"/>
      <c r="M23" s="305"/>
      <c r="N23" s="1"/>
      <c r="O23" s="1"/>
      <c r="P23" s="1"/>
      <c r="Q23" s="1"/>
      <c r="R23" s="267"/>
      <c r="S23" s="267"/>
      <c r="T23" s="267"/>
      <c r="U23" s="267"/>
      <c r="V23" s="267"/>
      <c r="W23" s="267"/>
      <c r="X23" s="267"/>
      <c r="Y23" s="267"/>
      <c r="Z23" s="267"/>
      <c r="AA23" s="267"/>
      <c r="AB23" s="267"/>
      <c r="AC23" s="267"/>
      <c r="AD23" s="267"/>
      <c r="AE23" s="267"/>
      <c r="AF23" s="267"/>
    </row>
    <row r="24" customFormat="false" ht="15.75" hidden="false" customHeight="true" outlineLevel="0" collapsed="false">
      <c r="A24" s="267"/>
      <c r="B24" s="1103" t="s">
        <v>2344</v>
      </c>
      <c r="C24" s="1103"/>
      <c r="D24" s="1103"/>
      <c r="E24" s="1103"/>
      <c r="F24" s="1103"/>
      <c r="G24" s="1104" t="s">
        <v>2345</v>
      </c>
      <c r="H24" s="1104"/>
      <c r="I24" s="1104"/>
      <c r="J24" s="1104"/>
      <c r="K24" s="1104"/>
      <c r="L24" s="1105"/>
      <c r="M24" s="965" t="s">
        <v>2228</v>
      </c>
      <c r="N24" s="965"/>
      <c r="O24" s="965"/>
      <c r="P24" s="965"/>
      <c r="Q24" s="965"/>
      <c r="R24" s="267"/>
      <c r="S24" s="267"/>
      <c r="T24" s="267"/>
      <c r="U24" s="267"/>
      <c r="V24" s="267"/>
      <c r="W24" s="267"/>
      <c r="X24" s="267"/>
      <c r="Y24" s="267"/>
      <c r="Z24" s="267"/>
      <c r="AA24" s="267"/>
      <c r="AB24" s="267"/>
      <c r="AC24" s="267"/>
      <c r="AD24" s="267"/>
      <c r="AE24" s="267"/>
      <c r="AF24" s="267"/>
    </row>
    <row r="25" customFormat="false" ht="15.75" hidden="false" customHeight="true" outlineLevel="0" collapsed="false">
      <c r="A25" s="267"/>
      <c r="B25" s="1106" t="n">
        <f aca="false">R32*0.11111</f>
        <v>8.8888</v>
      </c>
      <c r="C25" s="1106"/>
      <c r="D25" s="1106"/>
      <c r="E25" s="1106"/>
      <c r="F25" s="1106"/>
      <c r="G25" s="1107" t="n">
        <f aca="false">AA46*0.11111</f>
        <v>0</v>
      </c>
      <c r="H25" s="1107"/>
      <c r="I25" s="1107"/>
      <c r="J25" s="1107"/>
      <c r="K25" s="1107"/>
      <c r="L25" s="1108"/>
      <c r="M25" s="1109" t="n">
        <f aca="false">SUM(B25:K25)</f>
        <v>8.8888</v>
      </c>
      <c r="N25" s="1109"/>
      <c r="O25" s="1109"/>
      <c r="P25" s="1109"/>
      <c r="Q25" s="1109"/>
      <c r="R25" s="267"/>
      <c r="S25" s="267"/>
      <c r="T25" s="267"/>
      <c r="U25" s="267"/>
      <c r="V25" s="267"/>
      <c r="W25" s="267"/>
      <c r="X25" s="267"/>
      <c r="Y25" s="267"/>
      <c r="Z25" s="267"/>
      <c r="AA25" s="267"/>
      <c r="AB25" s="267"/>
      <c r="AC25" s="267"/>
      <c r="AD25" s="267"/>
      <c r="AE25" s="267"/>
      <c r="AF25" s="267"/>
    </row>
    <row r="26" customFormat="false" ht="15.75" hidden="false" customHeight="true" outlineLevel="0" collapsed="false">
      <c r="A26" s="267"/>
      <c r="B26" s="267"/>
      <c r="C26" s="267"/>
      <c r="D26" s="267"/>
      <c r="E26" s="267"/>
      <c r="F26" s="267"/>
      <c r="G26" s="267"/>
      <c r="H26" s="267"/>
      <c r="I26" s="267"/>
      <c r="J26" s="267"/>
      <c r="K26" s="267"/>
      <c r="L26" s="267"/>
      <c r="M26" s="267"/>
      <c r="N26" s="267"/>
      <c r="O26" s="267"/>
      <c r="P26" s="267"/>
      <c r="Q26" s="267"/>
      <c r="R26" s="267"/>
      <c r="S26" s="267"/>
      <c r="T26" s="267"/>
      <c r="U26" s="267"/>
      <c r="V26" s="267"/>
      <c r="W26" s="267"/>
      <c r="X26" s="267"/>
      <c r="Y26" s="267"/>
      <c r="Z26" s="267"/>
      <c r="AA26" s="267"/>
      <c r="AB26" s="267"/>
      <c r="AC26" s="267"/>
      <c r="AD26" s="267"/>
      <c r="AE26" s="267"/>
      <c r="AF26" s="267"/>
    </row>
    <row r="27" customFormat="false" ht="15.75" hidden="false" customHeight="true" outlineLevel="0" collapsed="false">
      <c r="A27" s="267"/>
      <c r="B27" s="812" t="s">
        <v>2346</v>
      </c>
      <c r="C27" s="39"/>
      <c r="D27" s="39"/>
      <c r="E27" s="39"/>
      <c r="F27" s="39"/>
      <c r="G27" s="39"/>
      <c r="H27" s="39"/>
      <c r="I27" s="39"/>
      <c r="J27" s="39"/>
      <c r="K27" s="39"/>
      <c r="L27" s="39"/>
      <c r="M27" s="305"/>
      <c r="N27" s="1"/>
      <c r="O27" s="1"/>
      <c r="P27" s="1"/>
      <c r="Q27" s="1"/>
      <c r="R27" s="267"/>
      <c r="S27" s="267"/>
      <c r="T27" s="267"/>
      <c r="U27" s="267"/>
      <c r="V27" s="267"/>
      <c r="W27" s="267"/>
      <c r="X27" s="267"/>
      <c r="Y27" s="267"/>
      <c r="Z27" s="267"/>
      <c r="AA27" s="267"/>
      <c r="AB27" s="267"/>
      <c r="AC27" s="267"/>
      <c r="AD27" s="267"/>
      <c r="AE27" s="267"/>
      <c r="AF27" s="267"/>
    </row>
    <row r="28" customFormat="false" ht="15.75" hidden="false" customHeight="true" outlineLevel="0" collapsed="false">
      <c r="A28" s="267"/>
      <c r="B28" s="1110" t="s">
        <v>2347</v>
      </c>
      <c r="C28" s="1110"/>
      <c r="D28" s="1110"/>
      <c r="E28" s="1110"/>
      <c r="F28" s="1111" t="s">
        <v>2348</v>
      </c>
      <c r="G28" s="1111"/>
      <c r="H28" s="1111"/>
      <c r="I28" s="1111"/>
      <c r="J28" s="1112" t="s">
        <v>2349</v>
      </c>
      <c r="K28" s="1112"/>
      <c r="L28" s="1112"/>
      <c r="M28" s="1112"/>
      <c r="N28" s="819" t="s">
        <v>2350</v>
      </c>
      <c r="O28" s="819"/>
      <c r="P28" s="819"/>
      <c r="Q28" s="819"/>
      <c r="R28" s="1113" t="n">
        <v>2.5</v>
      </c>
      <c r="S28" s="1113"/>
      <c r="T28" s="1113"/>
      <c r="U28" s="1114"/>
      <c r="V28" s="267"/>
      <c r="W28" s="267"/>
      <c r="X28" s="267"/>
      <c r="Y28" s="267"/>
      <c r="Z28" s="267"/>
      <c r="AA28" s="267"/>
      <c r="AB28" s="267"/>
      <c r="AC28" s="267"/>
      <c r="AD28" s="267"/>
      <c r="AE28" s="267"/>
      <c r="AF28" s="267"/>
    </row>
    <row r="29" customFormat="false" ht="15.75" hidden="false" customHeight="true" outlineLevel="0" collapsed="false">
      <c r="A29" s="267"/>
      <c r="B29" s="1115" t="s">
        <v>2351</v>
      </c>
      <c r="C29" s="1115"/>
      <c r="D29" s="1115"/>
      <c r="E29" s="1115"/>
      <c r="F29" s="1116" t="n">
        <f aca="false">M42</f>
        <v>0</v>
      </c>
      <c r="G29" s="1116"/>
      <c r="H29" s="1116"/>
      <c r="I29" s="1116"/>
      <c r="J29" s="1116" t="n">
        <v>13.34</v>
      </c>
      <c r="K29" s="1116"/>
      <c r="L29" s="1116"/>
      <c r="M29" s="1116"/>
      <c r="N29" s="1117" t="n">
        <f aca="false">F29*J29</f>
        <v>0</v>
      </c>
      <c r="O29" s="1117"/>
      <c r="P29" s="1117"/>
      <c r="Q29" s="1117"/>
      <c r="R29" s="1116" t="n">
        <f aca="false">N29*R28</f>
        <v>0</v>
      </c>
      <c r="S29" s="1116"/>
      <c r="T29" s="1116"/>
      <c r="U29" s="1114"/>
      <c r="V29" s="267"/>
      <c r="W29" s="267"/>
      <c r="X29" s="267"/>
      <c r="Y29" s="267"/>
      <c r="Z29" s="267"/>
      <c r="AA29" s="267"/>
      <c r="AB29" s="267"/>
      <c r="AC29" s="267"/>
      <c r="AD29" s="267"/>
      <c r="AE29" s="267"/>
      <c r="AF29" s="267"/>
    </row>
    <row r="30" customFormat="false" ht="15.75" hidden="false" customHeight="true" outlineLevel="0" collapsed="false">
      <c r="A30" s="267"/>
      <c r="B30" s="1118" t="s">
        <v>2352</v>
      </c>
      <c r="C30" s="1118"/>
      <c r="D30" s="1118"/>
      <c r="E30" s="1118"/>
      <c r="F30" s="1119" t="n">
        <f aca="false">Q42</f>
        <v>0</v>
      </c>
      <c r="G30" s="1119"/>
      <c r="H30" s="1119"/>
      <c r="I30" s="1119"/>
      <c r="J30" s="1119" t="n">
        <v>38</v>
      </c>
      <c r="K30" s="1119"/>
      <c r="L30" s="1119"/>
      <c r="M30" s="1119"/>
      <c r="N30" s="1120" t="n">
        <f aca="false">F30*J30</f>
        <v>0</v>
      </c>
      <c r="O30" s="1120"/>
      <c r="P30" s="1120"/>
      <c r="Q30" s="1120"/>
      <c r="R30" s="1119" t="n">
        <f aca="false">N30*R28</f>
        <v>0</v>
      </c>
      <c r="S30" s="1119"/>
      <c r="T30" s="1119"/>
      <c r="U30" s="1114"/>
      <c r="V30" s="267"/>
      <c r="W30" s="267"/>
      <c r="X30" s="267"/>
      <c r="Y30" s="267"/>
      <c r="Z30" s="267"/>
      <c r="AA30" s="267"/>
      <c r="AB30" s="267"/>
      <c r="AC30" s="267"/>
      <c r="AD30" s="267"/>
      <c r="AE30" s="267"/>
      <c r="AF30" s="267"/>
    </row>
    <row r="31" customFormat="false" ht="15.75" hidden="false" customHeight="true" outlineLevel="0" collapsed="false">
      <c r="A31" s="267"/>
      <c r="B31" s="1121" t="s">
        <v>2353</v>
      </c>
      <c r="C31" s="1121"/>
      <c r="D31" s="1121"/>
      <c r="E31" s="1121"/>
      <c r="F31" s="1122" t="n">
        <f aca="false">U42</f>
        <v>2</v>
      </c>
      <c r="G31" s="1122"/>
      <c r="H31" s="1122"/>
      <c r="I31" s="1122"/>
      <c r="J31" s="1122" t="n">
        <v>16</v>
      </c>
      <c r="K31" s="1122"/>
      <c r="L31" s="1122"/>
      <c r="M31" s="1122"/>
      <c r="N31" s="976" t="n">
        <f aca="false">F31*J31</f>
        <v>32</v>
      </c>
      <c r="O31" s="976"/>
      <c r="P31" s="976"/>
      <c r="Q31" s="976"/>
      <c r="R31" s="1122" t="n">
        <f aca="false">N31*R28</f>
        <v>80</v>
      </c>
      <c r="S31" s="1122"/>
      <c r="T31" s="1122"/>
      <c r="U31" s="1114"/>
      <c r="V31" s="267"/>
      <c r="W31" s="267"/>
      <c r="X31" s="267"/>
      <c r="Y31" s="267"/>
      <c r="Z31" s="267"/>
      <c r="AA31" s="267"/>
      <c r="AB31" s="267"/>
      <c r="AC31" s="267"/>
      <c r="AD31" s="267"/>
      <c r="AE31" s="267"/>
      <c r="AF31" s="267"/>
    </row>
    <row r="32" customFormat="false" ht="15.75" hidden="false" customHeight="true" outlineLevel="0" collapsed="false">
      <c r="A32" s="267"/>
      <c r="B32" s="1123"/>
      <c r="C32" s="1123"/>
      <c r="D32" s="1123"/>
      <c r="E32" s="1123"/>
      <c r="F32" s="1124"/>
      <c r="G32" s="1124"/>
      <c r="H32" s="1124"/>
      <c r="I32" s="1124"/>
      <c r="J32" s="1124"/>
      <c r="K32" s="1124"/>
      <c r="L32" s="1124"/>
      <c r="M32" s="1124"/>
      <c r="N32" s="1123"/>
      <c r="O32" s="1123"/>
      <c r="P32" s="1123"/>
      <c r="Q32" s="1123"/>
      <c r="R32" s="1125" t="n">
        <f aca="false">SUM(R29:T31)</f>
        <v>80</v>
      </c>
      <c r="S32" s="1125"/>
      <c r="T32" s="1125"/>
      <c r="U32" s="1114"/>
      <c r="V32" s="267"/>
      <c r="W32" s="267"/>
      <c r="X32" s="267"/>
      <c r="Y32" s="267"/>
      <c r="Z32" s="267"/>
      <c r="AA32" s="267"/>
      <c r="AB32" s="267"/>
      <c r="AC32" s="267"/>
      <c r="AD32" s="267"/>
      <c r="AE32" s="267"/>
      <c r="AF32" s="267"/>
    </row>
    <row r="33" customFormat="false" ht="15.75" hidden="false" customHeight="true" outlineLevel="0" collapsed="false">
      <c r="A33" s="271"/>
      <c r="B33" s="1126" t="s">
        <v>2354</v>
      </c>
      <c r="C33" s="957"/>
      <c r="D33" s="957"/>
      <c r="E33" s="957"/>
      <c r="F33" s="957"/>
      <c r="G33" s="957"/>
      <c r="H33" s="957"/>
      <c r="I33" s="957"/>
      <c r="J33" s="957"/>
      <c r="K33" s="957"/>
      <c r="L33" s="957"/>
      <c r="M33" s="1127"/>
      <c r="N33" s="1127"/>
      <c r="O33" s="1127"/>
      <c r="P33" s="1127"/>
      <c r="Q33" s="1128"/>
      <c r="R33" s="1128"/>
      <c r="S33" s="1128"/>
      <c r="T33" s="1128"/>
      <c r="U33" s="1"/>
      <c r="V33" s="1"/>
      <c r="W33" s="1"/>
      <c r="X33" s="1"/>
      <c r="Y33" s="1"/>
      <c r="Z33" s="1"/>
      <c r="AA33" s="1"/>
      <c r="AB33" s="1"/>
      <c r="AC33" s="1"/>
      <c r="AD33" s="1"/>
      <c r="AE33" s="1"/>
      <c r="AF33" s="1"/>
    </row>
    <row r="34" customFormat="false" ht="15.75" hidden="false" customHeight="true" outlineLevel="0" collapsed="false">
      <c r="A34" s="271"/>
      <c r="B34" s="1129" t="s">
        <v>1533</v>
      </c>
      <c r="C34" s="1129"/>
      <c r="D34" s="1129"/>
      <c r="E34" s="1129"/>
      <c r="F34" s="1129"/>
      <c r="G34" s="1129"/>
      <c r="H34" s="1129"/>
      <c r="I34" s="1129"/>
      <c r="J34" s="1129"/>
      <c r="K34" s="1129"/>
      <c r="L34" s="1129"/>
      <c r="M34" s="1130" t="s">
        <v>2351</v>
      </c>
      <c r="N34" s="1130"/>
      <c r="O34" s="1130"/>
      <c r="P34" s="1130"/>
      <c r="Q34" s="1130" t="s">
        <v>2352</v>
      </c>
      <c r="R34" s="1130"/>
      <c r="S34" s="1130"/>
      <c r="T34" s="1130"/>
      <c r="U34" s="1130" t="s">
        <v>2353</v>
      </c>
      <c r="V34" s="1130"/>
      <c r="W34" s="1130"/>
      <c r="X34" s="1130"/>
      <c r="Y34" s="1"/>
      <c r="Z34" s="1"/>
      <c r="AA34" s="1"/>
      <c r="AB34" s="1"/>
      <c r="AC34" s="1"/>
      <c r="AD34" s="1"/>
      <c r="AE34" s="1"/>
      <c r="AF34" s="1"/>
    </row>
    <row r="35" customFormat="false" ht="15.75" hidden="false" customHeight="true" outlineLevel="0" collapsed="false">
      <c r="A35" s="271"/>
      <c r="B35" s="1129"/>
      <c r="C35" s="1129"/>
      <c r="D35" s="1129"/>
      <c r="E35" s="1129"/>
      <c r="F35" s="1129"/>
      <c r="G35" s="1129"/>
      <c r="H35" s="1129"/>
      <c r="I35" s="1129"/>
      <c r="J35" s="1129"/>
      <c r="K35" s="1129"/>
      <c r="L35" s="1129"/>
      <c r="M35" s="1131" t="s">
        <v>2355</v>
      </c>
      <c r="N35" s="1131"/>
      <c r="O35" s="1131"/>
      <c r="P35" s="1131"/>
      <c r="Q35" s="1132" t="s">
        <v>2355</v>
      </c>
      <c r="R35" s="1132"/>
      <c r="S35" s="1132"/>
      <c r="T35" s="1132"/>
      <c r="U35" s="1132" t="s">
        <v>1467</v>
      </c>
      <c r="V35" s="1132"/>
      <c r="W35" s="1132"/>
      <c r="X35" s="1132"/>
      <c r="Y35" s="968"/>
      <c r="Z35" s="1133"/>
      <c r="AA35" s="1133"/>
      <c r="AB35" s="1133"/>
      <c r="AC35" s="1134"/>
      <c r="AD35" s="1134"/>
      <c r="AE35" s="1134"/>
      <c r="AF35" s="1"/>
    </row>
    <row r="36" customFormat="false" ht="15.75" hidden="false" customHeight="true" outlineLevel="0" collapsed="false">
      <c r="A36" s="271"/>
      <c r="B36" s="278" t="s">
        <v>1069</v>
      </c>
      <c r="C36" s="278"/>
      <c r="D36" s="278"/>
      <c r="E36" s="279" t="s">
        <v>1535</v>
      </c>
      <c r="F36" s="279"/>
      <c r="G36" s="279"/>
      <c r="H36" s="279"/>
      <c r="I36" s="279"/>
      <c r="J36" s="279"/>
      <c r="K36" s="279"/>
      <c r="L36" s="279"/>
      <c r="M36" s="1135" t="n">
        <f aca="false">SUMIFS(TE!O:O,TE!I:I,'45110'!$M$35,TE!G:G,B36,TE!D:D,$C$5)</f>
        <v>0</v>
      </c>
      <c r="N36" s="1135"/>
      <c r="O36" s="1135"/>
      <c r="P36" s="1135"/>
      <c r="Q36" s="1136" t="n">
        <f aca="false">SUMIFS(TE!O:O,TE!I:I,'45110'!$Q$35,TE!G:G,B36,TE!D:D,$C$5)</f>
        <v>0</v>
      </c>
      <c r="R36" s="1136"/>
      <c r="S36" s="1136"/>
      <c r="T36" s="1136"/>
      <c r="U36" s="1136" t="n">
        <f aca="false">SUMIFS(TE!O:O,TE!I:I,'45110'!$U$35,TE!G:G,B36,TE!D:D,$C$5)</f>
        <v>3</v>
      </c>
      <c r="V36" s="1136"/>
      <c r="W36" s="1136"/>
      <c r="X36" s="1136"/>
      <c r="Y36" s="1137"/>
      <c r="Z36" s="1138"/>
      <c r="AA36" s="1138"/>
      <c r="AB36" s="1138"/>
      <c r="AC36" s="1134"/>
      <c r="AD36" s="1134"/>
      <c r="AE36" s="1134"/>
      <c r="AF36" s="1"/>
    </row>
    <row r="37" customFormat="false" ht="15.75" hidden="false" customHeight="true" outlineLevel="0" collapsed="false">
      <c r="A37" s="271"/>
      <c r="B37" s="281" t="s">
        <v>1478</v>
      </c>
      <c r="C37" s="281"/>
      <c r="D37" s="281"/>
      <c r="E37" s="282" t="s">
        <v>1536</v>
      </c>
      <c r="F37" s="282"/>
      <c r="G37" s="282"/>
      <c r="H37" s="282"/>
      <c r="I37" s="282"/>
      <c r="J37" s="282"/>
      <c r="K37" s="282"/>
      <c r="L37" s="282"/>
      <c r="M37" s="1139" t="n">
        <f aca="false">SUMIFS(TE!O:O,TE!I:I,'45110'!$M$35,TE!G:G,B37,TE!D:D,$C$5)</f>
        <v>0</v>
      </c>
      <c r="N37" s="1139"/>
      <c r="O37" s="1139"/>
      <c r="P37" s="1139"/>
      <c r="Q37" s="1140" t="n">
        <f aca="false">SUMIFS(TE!O:O,TE!I:I,'45110'!$Q$35,TE!G:G,B37,TE!D:D,$C$5)</f>
        <v>0</v>
      </c>
      <c r="R37" s="1140"/>
      <c r="S37" s="1140"/>
      <c r="T37" s="1140"/>
      <c r="U37" s="1140" t="n">
        <f aca="false">SUMIFS(TE!O:O,TE!I:I,'45110'!$U$35,TE!G:G,B37,TE!D:D,$C$5)</f>
        <v>0</v>
      </c>
      <c r="V37" s="1140"/>
      <c r="W37" s="1140"/>
      <c r="X37" s="1140"/>
      <c r="Y37" s="1137"/>
      <c r="Z37" s="1138"/>
      <c r="AA37" s="1138"/>
      <c r="AB37" s="1138"/>
      <c r="AC37" s="1134"/>
      <c r="AD37" s="1134"/>
      <c r="AE37" s="1134"/>
      <c r="AF37" s="1"/>
    </row>
    <row r="38" customFormat="false" ht="15.75" hidden="false" customHeight="true" outlineLevel="0" collapsed="false">
      <c r="A38" s="271"/>
      <c r="B38" s="281" t="s">
        <v>1516</v>
      </c>
      <c r="C38" s="281"/>
      <c r="D38" s="281"/>
      <c r="E38" s="282" t="s">
        <v>1537</v>
      </c>
      <c r="F38" s="282"/>
      <c r="G38" s="282"/>
      <c r="H38" s="282"/>
      <c r="I38" s="282"/>
      <c r="J38" s="282"/>
      <c r="K38" s="282"/>
      <c r="L38" s="282"/>
      <c r="M38" s="1139" t="n">
        <f aca="false">SUMIFS(TE!O:O,TE!I:I,'45110'!$M$35,TE!G:G,B38,TE!D:D,$C$5)</f>
        <v>0</v>
      </c>
      <c r="N38" s="1139"/>
      <c r="O38" s="1139"/>
      <c r="P38" s="1139"/>
      <c r="Q38" s="1140" t="n">
        <f aca="false">SUMIFS(TE!O:O,TE!I:I,'45110'!$Q$35,TE!G:G,B38,TE!D:D,$C$5)</f>
        <v>0</v>
      </c>
      <c r="R38" s="1140"/>
      <c r="S38" s="1140"/>
      <c r="T38" s="1140"/>
      <c r="U38" s="1140" t="n">
        <f aca="false">SUMIFS(TE!O:O,TE!I:I,'45110'!$U$35,TE!G:G,B38,TE!D:D,$C$5)</f>
        <v>0</v>
      </c>
      <c r="V38" s="1140"/>
      <c r="W38" s="1140"/>
      <c r="X38" s="1140"/>
      <c r="Y38" s="1137"/>
      <c r="Z38" s="1138"/>
      <c r="AA38" s="1138"/>
      <c r="AB38" s="1138"/>
      <c r="AC38" s="1134"/>
      <c r="AD38" s="1134"/>
      <c r="AE38" s="1134"/>
      <c r="AF38" s="1"/>
    </row>
    <row r="39" customFormat="false" ht="15.75" hidden="false" customHeight="true" outlineLevel="0" collapsed="false">
      <c r="A39" s="271"/>
      <c r="B39" s="281"/>
      <c r="C39" s="281"/>
      <c r="D39" s="281"/>
      <c r="E39" s="282"/>
      <c r="F39" s="282"/>
      <c r="G39" s="282"/>
      <c r="H39" s="282"/>
      <c r="I39" s="282"/>
      <c r="J39" s="282"/>
      <c r="K39" s="282"/>
      <c r="L39" s="282"/>
      <c r="M39" s="1139"/>
      <c r="N39" s="1139"/>
      <c r="O39" s="1139"/>
      <c r="P39" s="1139"/>
      <c r="Q39" s="1140"/>
      <c r="R39" s="1140"/>
      <c r="S39" s="1140"/>
      <c r="T39" s="1140"/>
      <c r="U39" s="1140"/>
      <c r="V39" s="1140"/>
      <c r="W39" s="1140"/>
      <c r="X39" s="1140"/>
      <c r="Y39" s="1137"/>
      <c r="Z39" s="1138"/>
      <c r="AA39" s="1138"/>
      <c r="AB39" s="1138"/>
      <c r="AC39" s="1134"/>
      <c r="AD39" s="1134"/>
      <c r="AE39" s="1134"/>
      <c r="AF39" s="1"/>
    </row>
    <row r="40" customFormat="false" ht="15.75" hidden="false" customHeight="true" outlineLevel="0" collapsed="false">
      <c r="A40" s="271"/>
      <c r="B40" s="1141"/>
      <c r="C40" s="1141"/>
      <c r="D40" s="1141"/>
      <c r="E40" s="1142"/>
      <c r="F40" s="1142"/>
      <c r="G40" s="1142"/>
      <c r="H40" s="1142"/>
      <c r="I40" s="1142"/>
      <c r="J40" s="1142"/>
      <c r="K40" s="1142"/>
      <c r="L40" s="1142"/>
      <c r="M40" s="1139"/>
      <c r="N40" s="1139"/>
      <c r="O40" s="1139"/>
      <c r="P40" s="1139"/>
      <c r="Q40" s="1140"/>
      <c r="R40" s="1140"/>
      <c r="S40" s="1140"/>
      <c r="T40" s="1140"/>
      <c r="U40" s="1143"/>
      <c r="V40" s="1143"/>
      <c r="W40" s="1143"/>
      <c r="X40" s="1143"/>
      <c r="Y40" s="1137"/>
      <c r="Z40" s="1138"/>
      <c r="AA40" s="1138"/>
      <c r="AB40" s="1138"/>
      <c r="AC40" s="1134"/>
      <c r="AD40" s="1134"/>
      <c r="AE40" s="1134"/>
      <c r="AF40" s="1"/>
    </row>
    <row r="41" customFormat="false" ht="15.75" hidden="false" customHeight="true" outlineLevel="0" collapsed="false">
      <c r="A41" s="271"/>
      <c r="B41" s="1"/>
      <c r="C41" s="1"/>
      <c r="D41" s="1"/>
      <c r="E41" s="1"/>
      <c r="F41" s="1"/>
      <c r="G41" s="1"/>
      <c r="H41" s="1"/>
      <c r="I41" s="1"/>
      <c r="J41" s="1"/>
      <c r="K41" s="1"/>
      <c r="L41" s="844" t="s">
        <v>2356</v>
      </c>
      <c r="M41" s="1144" t="n">
        <f aca="false">SUM(M36:P40)</f>
        <v>0</v>
      </c>
      <c r="N41" s="1144"/>
      <c r="O41" s="1144"/>
      <c r="P41" s="1144"/>
      <c r="Q41" s="1144" t="n">
        <f aca="false">SUM(Q36:T40)</f>
        <v>0</v>
      </c>
      <c r="R41" s="1144"/>
      <c r="S41" s="1144"/>
      <c r="T41" s="1144"/>
      <c r="U41" s="1144" t="n">
        <f aca="false">SUM(U36:X40)</f>
        <v>3</v>
      </c>
      <c r="V41" s="1144"/>
      <c r="W41" s="1144"/>
      <c r="X41" s="1144"/>
      <c r="Y41" s="1"/>
      <c r="Z41" s="1"/>
      <c r="AA41" s="1"/>
      <c r="AB41" s="1134"/>
      <c r="AC41" s="1134"/>
      <c r="AD41" s="1134"/>
      <c r="AE41" s="1134"/>
      <c r="AF41" s="1"/>
    </row>
    <row r="42" customFormat="false" ht="15.75" hidden="false" customHeight="true" outlineLevel="0" collapsed="false">
      <c r="A42" s="271"/>
      <c r="B42" s="1"/>
      <c r="C42" s="1"/>
      <c r="D42" s="1"/>
      <c r="E42" s="1"/>
      <c r="F42" s="1"/>
      <c r="G42" s="1"/>
      <c r="H42" s="1"/>
      <c r="I42" s="1"/>
      <c r="J42" s="1"/>
      <c r="K42" s="1"/>
      <c r="L42" s="844" t="s">
        <v>2357</v>
      </c>
      <c r="M42" s="1145" t="n">
        <f aca="false">ROUNDUP((M41/2),0)</f>
        <v>0</v>
      </c>
      <c r="N42" s="1145"/>
      <c r="O42" s="1145"/>
      <c r="P42" s="1145"/>
      <c r="Q42" s="1145" t="n">
        <f aca="false">ROUNDUP((Q41/2),0)</f>
        <v>0</v>
      </c>
      <c r="R42" s="1145"/>
      <c r="S42" s="1145"/>
      <c r="T42" s="1145"/>
      <c r="U42" s="1145" t="n">
        <f aca="false">ROUNDUP((U41/2),0)</f>
        <v>2</v>
      </c>
      <c r="V42" s="1145"/>
      <c r="W42" s="1145"/>
      <c r="X42" s="1145"/>
      <c r="Y42" s="1"/>
      <c r="Z42" s="1"/>
      <c r="AA42" s="1"/>
      <c r="AB42" s="1134"/>
      <c r="AC42" s="1134"/>
      <c r="AD42" s="1134"/>
      <c r="AE42" s="1134"/>
      <c r="AF42" s="1"/>
    </row>
    <row r="43" customFormat="false" ht="15.75" hidden="false" customHeight="true" outlineLevel="0" collapsed="false">
      <c r="A43" s="271"/>
      <c r="B43" s="1"/>
      <c r="C43" s="1"/>
      <c r="D43" s="1"/>
      <c r="E43" s="1"/>
      <c r="F43" s="1"/>
      <c r="G43" s="1"/>
      <c r="H43" s="1"/>
      <c r="I43" s="1"/>
      <c r="J43" s="1"/>
      <c r="K43" s="1"/>
      <c r="L43" s="844"/>
      <c r="M43" s="1146"/>
      <c r="N43" s="1146"/>
      <c r="O43" s="1146"/>
      <c r="P43" s="1146"/>
      <c r="Q43" s="1146"/>
      <c r="R43" s="1146"/>
      <c r="S43" s="1146"/>
      <c r="T43" s="1146"/>
      <c r="U43" s="1"/>
      <c r="V43" s="1"/>
      <c r="W43" s="1"/>
      <c r="X43" s="1"/>
      <c r="Y43" s="1"/>
      <c r="Z43" s="1"/>
      <c r="AA43" s="1"/>
      <c r="AB43" s="1134"/>
      <c r="AC43" s="1134"/>
      <c r="AD43" s="1134"/>
      <c r="AE43" s="1134"/>
      <c r="AF43" s="1"/>
    </row>
    <row r="44" customFormat="false" ht="15.75" hidden="false" customHeight="true" outlineLevel="0" collapsed="false">
      <c r="A44" s="271"/>
      <c r="B44" s="848" t="s">
        <v>2358</v>
      </c>
      <c r="C44" s="1147"/>
      <c r="D44" s="1147"/>
      <c r="E44" s="1147"/>
      <c r="F44" s="1147"/>
      <c r="G44" s="1147"/>
      <c r="H44" s="1147"/>
      <c r="I44" s="1147"/>
      <c r="J44" s="1147"/>
      <c r="K44" s="1147"/>
      <c r="L44" s="1147"/>
      <c r="M44" s="1147"/>
      <c r="N44" s="1147"/>
      <c r="O44" s="1147"/>
      <c r="P44" s="1147"/>
      <c r="Q44" s="1147"/>
      <c r="R44" s="1147"/>
      <c r="S44" s="1147"/>
      <c r="T44" s="1147"/>
      <c r="U44" s="1147"/>
      <c r="V44" s="1147"/>
      <c r="W44" s="1147"/>
      <c r="X44" s="1147"/>
      <c r="Y44" s="1147"/>
      <c r="Z44" s="1147"/>
      <c r="AA44" s="332"/>
      <c r="AB44" s="332"/>
      <c r="AC44" s="332"/>
      <c r="AD44" s="1148"/>
      <c r="AE44" s="1"/>
      <c r="AF44" s="1"/>
    </row>
    <row r="45" customFormat="false" ht="15.75" hidden="false" customHeight="true" outlineLevel="0" collapsed="false">
      <c r="A45" s="271"/>
      <c r="B45" s="1149" t="s">
        <v>2333</v>
      </c>
      <c r="C45" s="1149"/>
      <c r="D45" s="1149"/>
      <c r="E45" s="1149"/>
      <c r="F45" s="1149"/>
      <c r="G45" s="1149"/>
      <c r="H45" s="1149"/>
      <c r="I45" s="1149"/>
      <c r="J45" s="1149"/>
      <c r="K45" s="1149"/>
      <c r="L45" s="1150" t="s">
        <v>2334</v>
      </c>
      <c r="M45" s="1150"/>
      <c r="N45" s="1150" t="s">
        <v>2335</v>
      </c>
      <c r="O45" s="1150"/>
      <c r="P45" s="1150" t="s">
        <v>2359</v>
      </c>
      <c r="Q45" s="1150"/>
      <c r="R45" s="1150"/>
      <c r="S45" s="1150"/>
      <c r="T45" s="1150" t="s">
        <v>2260</v>
      </c>
      <c r="U45" s="1150"/>
      <c r="V45" s="1150"/>
      <c r="W45" s="1151" t="s">
        <v>2337</v>
      </c>
      <c r="X45" s="1151"/>
      <c r="Y45" s="1151"/>
      <c r="Z45" s="1151"/>
      <c r="AA45" s="1152" t="n">
        <v>2.5</v>
      </c>
      <c r="AB45" s="1152"/>
      <c r="AC45" s="1152"/>
      <c r="AD45" s="1153"/>
      <c r="AE45" s="1"/>
      <c r="AF45" s="1"/>
    </row>
    <row r="46" customFormat="false" ht="15.75" hidden="false" customHeight="true" outlineLevel="0" collapsed="false">
      <c r="A46" s="271"/>
      <c r="B46" s="1154"/>
      <c r="C46" s="1154"/>
      <c r="D46" s="1154"/>
      <c r="E46" s="1154"/>
      <c r="F46" s="1154"/>
      <c r="G46" s="1154"/>
      <c r="H46" s="1154"/>
      <c r="I46" s="1154"/>
      <c r="J46" s="1154"/>
      <c r="K46" s="1154"/>
      <c r="L46" s="1155"/>
      <c r="M46" s="1155"/>
      <c r="N46" s="1155"/>
      <c r="O46" s="1155"/>
      <c r="P46" s="1156"/>
      <c r="Q46" s="1156"/>
      <c r="R46" s="1156"/>
      <c r="S46" s="1156"/>
      <c r="T46" s="1156"/>
      <c r="U46" s="1156"/>
      <c r="V46" s="1156"/>
      <c r="W46" s="1157"/>
      <c r="X46" s="1157"/>
      <c r="Y46" s="1157"/>
      <c r="Z46" s="1157"/>
      <c r="AA46" s="1062" t="n">
        <f aca="false">$AA$55*W46</f>
        <v>0</v>
      </c>
      <c r="AB46" s="1062"/>
      <c r="AC46" s="1062"/>
      <c r="AD46" s="1"/>
      <c r="AE46" s="1"/>
      <c r="AF46" s="1"/>
    </row>
    <row r="47" customFormat="false" ht="15.75" hidden="false" customHeight="true" outlineLevel="0" collapsed="false">
      <c r="A47" s="271"/>
      <c r="B47" s="1158"/>
      <c r="C47" s="1158"/>
      <c r="D47" s="1158"/>
      <c r="E47" s="1158"/>
      <c r="F47" s="1158"/>
      <c r="G47" s="1158"/>
      <c r="H47" s="1158"/>
      <c r="I47" s="1158"/>
      <c r="J47" s="1158"/>
      <c r="K47" s="1158"/>
      <c r="L47" s="1159"/>
      <c r="M47" s="1159"/>
      <c r="N47" s="1159"/>
      <c r="O47" s="1159"/>
      <c r="P47" s="1160"/>
      <c r="Q47" s="1160"/>
      <c r="R47" s="1160"/>
      <c r="S47" s="1160"/>
      <c r="T47" s="1160"/>
      <c r="U47" s="1160"/>
      <c r="V47" s="1160"/>
      <c r="W47" s="1161"/>
      <c r="X47" s="1161"/>
      <c r="Y47" s="1161"/>
      <c r="Z47" s="1161"/>
      <c r="AA47" s="1069"/>
      <c r="AB47" s="1069"/>
      <c r="AC47" s="1069"/>
      <c r="AD47" s="1"/>
      <c r="AE47" s="1162"/>
      <c r="AF47" s="1"/>
    </row>
    <row r="48" customFormat="false" ht="15.75" hidden="false" customHeight="true" outlineLevel="0" collapsed="false">
      <c r="A48" s="271"/>
      <c r="B48" s="1163" t="s">
        <v>2360</v>
      </c>
      <c r="C48" s="1163"/>
      <c r="D48" s="1163"/>
      <c r="E48" s="1163"/>
      <c r="F48" s="1163"/>
      <c r="G48" s="1163"/>
      <c r="H48" s="1163"/>
      <c r="I48" s="1163"/>
      <c r="J48" s="1163"/>
      <c r="K48" s="1163"/>
      <c r="L48" s="1163"/>
      <c r="M48" s="1163"/>
      <c r="N48" s="1163"/>
      <c r="O48" s="1163"/>
      <c r="P48" s="1163"/>
      <c r="Q48" s="1163"/>
      <c r="R48" s="1163"/>
      <c r="S48" s="1163"/>
      <c r="T48" s="1163"/>
      <c r="U48" s="1163"/>
      <c r="V48" s="1163"/>
      <c r="W48" s="1163"/>
      <c r="X48" s="1163"/>
      <c r="Y48" s="1163"/>
      <c r="Z48" s="1163"/>
      <c r="AA48" s="1163"/>
      <c r="AB48" s="1163"/>
      <c r="AC48" s="1163"/>
      <c r="AD48" s="1163"/>
      <c r="AE48" s="1163"/>
      <c r="AF48" s="1163"/>
      <c r="AG48" s="1163"/>
      <c r="AH48" s="1163"/>
      <c r="AI48" s="1164"/>
    </row>
    <row r="49" customFormat="false" ht="15.75" hidden="false" customHeight="true" outlineLevel="0" collapsed="false">
      <c r="A49" s="271"/>
      <c r="B49" s="1163"/>
      <c r="C49" s="1163"/>
      <c r="D49" s="1163"/>
      <c r="E49" s="1163"/>
      <c r="F49" s="1163"/>
      <c r="G49" s="1163"/>
      <c r="H49" s="1163"/>
      <c r="I49" s="1163"/>
      <c r="J49" s="1163"/>
      <c r="K49" s="1163"/>
      <c r="L49" s="1163"/>
      <c r="M49" s="1163"/>
      <c r="N49" s="1163"/>
      <c r="O49" s="1163"/>
      <c r="P49" s="1163"/>
      <c r="Q49" s="1163"/>
      <c r="R49" s="1163"/>
      <c r="S49" s="1163"/>
      <c r="T49" s="1163"/>
      <c r="U49" s="1163"/>
      <c r="V49" s="1163"/>
      <c r="W49" s="1163"/>
      <c r="X49" s="1163"/>
      <c r="Y49" s="1163"/>
      <c r="Z49" s="1163"/>
      <c r="AA49" s="1163"/>
      <c r="AB49" s="1163"/>
      <c r="AC49" s="1163"/>
      <c r="AD49" s="1163"/>
      <c r="AE49" s="1163"/>
      <c r="AF49" s="1163"/>
      <c r="AG49" s="1163"/>
      <c r="AH49" s="1163"/>
      <c r="AI49" s="1165"/>
    </row>
    <row r="50" customFormat="false" ht="15.75" hidden="false" customHeight="true" outlineLevel="0" collapsed="false">
      <c r="A50" s="1166" t="s">
        <v>26</v>
      </c>
      <c r="B50" s="1166"/>
      <c r="C50" s="1166"/>
      <c r="D50" s="1166"/>
      <c r="E50" s="1166"/>
      <c r="F50" s="1166"/>
      <c r="G50" s="1166"/>
      <c r="H50" s="1167" t="n">
        <f aca="false">M25</f>
        <v>8.8888</v>
      </c>
      <c r="I50" s="1167"/>
      <c r="J50" s="1167"/>
      <c r="K50" s="1167"/>
      <c r="L50" s="1168" t="s">
        <v>1541</v>
      </c>
      <c r="M50" s="1168"/>
      <c r="N50" s="1168"/>
      <c r="O50" s="1169"/>
      <c r="P50" s="1169"/>
      <c r="Q50" s="1169"/>
      <c r="R50" s="1168"/>
      <c r="S50" s="1168"/>
      <c r="T50" s="1168"/>
      <c r="U50" s="1168"/>
      <c r="V50" s="1168"/>
      <c r="W50" s="1168"/>
      <c r="X50" s="1168"/>
      <c r="Y50" s="1170"/>
      <c r="Z50" s="1171"/>
      <c r="AA50" s="1171"/>
      <c r="AB50" s="1171"/>
      <c r="AC50" s="1172"/>
      <c r="AD50" s="1173"/>
      <c r="AE50" s="1173"/>
      <c r="AF50" s="1173"/>
    </row>
  </sheetData>
  <mergeCells count="117">
    <mergeCell ref="A1:AF2"/>
    <mergeCell ref="A3:E3"/>
    <mergeCell ref="F3:L3"/>
    <mergeCell ref="M3:Q3"/>
    <mergeCell ref="R3:AB3"/>
    <mergeCell ref="AE3:AF3"/>
    <mergeCell ref="A4:E4"/>
    <mergeCell ref="F4:L4"/>
    <mergeCell ref="M4:Q4"/>
    <mergeCell ref="R4:X4"/>
    <mergeCell ref="Y4:AD4"/>
    <mergeCell ref="AE4:AF4"/>
    <mergeCell ref="A5:B5"/>
    <mergeCell ref="C5:L5"/>
    <mergeCell ref="M5:Q5"/>
    <mergeCell ref="R5:AF5"/>
    <mergeCell ref="A6:AF6"/>
    <mergeCell ref="A8:AF8"/>
    <mergeCell ref="B9:AE14"/>
    <mergeCell ref="A16:AF16"/>
    <mergeCell ref="B17:AF17"/>
    <mergeCell ref="B18:AE18"/>
    <mergeCell ref="B20:AF20"/>
    <mergeCell ref="B21:AF21"/>
    <mergeCell ref="B24:F24"/>
    <mergeCell ref="G24:K24"/>
    <mergeCell ref="M24:Q24"/>
    <mergeCell ref="B25:F25"/>
    <mergeCell ref="G25:K25"/>
    <mergeCell ref="M25:Q25"/>
    <mergeCell ref="B28:E28"/>
    <mergeCell ref="F28:I28"/>
    <mergeCell ref="J28:M28"/>
    <mergeCell ref="N28:Q28"/>
    <mergeCell ref="R28:T28"/>
    <mergeCell ref="B29:E29"/>
    <mergeCell ref="F29:I29"/>
    <mergeCell ref="J29:M29"/>
    <mergeCell ref="N29:Q29"/>
    <mergeCell ref="R29:T29"/>
    <mergeCell ref="B30:E30"/>
    <mergeCell ref="F30:I30"/>
    <mergeCell ref="J30:M30"/>
    <mergeCell ref="N30:Q30"/>
    <mergeCell ref="R30:T30"/>
    <mergeCell ref="B31:E31"/>
    <mergeCell ref="F31:I31"/>
    <mergeCell ref="J31:M31"/>
    <mergeCell ref="N31:Q31"/>
    <mergeCell ref="R31:T31"/>
    <mergeCell ref="R32:T32"/>
    <mergeCell ref="M33:P33"/>
    <mergeCell ref="Q33:T33"/>
    <mergeCell ref="B34:L35"/>
    <mergeCell ref="M34:P34"/>
    <mergeCell ref="Q34:T34"/>
    <mergeCell ref="U34:X34"/>
    <mergeCell ref="M35:P35"/>
    <mergeCell ref="Q35:T35"/>
    <mergeCell ref="U35:X35"/>
    <mergeCell ref="B36:D36"/>
    <mergeCell ref="E36:L36"/>
    <mergeCell ref="M36:P36"/>
    <mergeCell ref="Q36:T36"/>
    <mergeCell ref="U36:X36"/>
    <mergeCell ref="B37:D37"/>
    <mergeCell ref="E37:L37"/>
    <mergeCell ref="M37:P37"/>
    <mergeCell ref="Q37:T37"/>
    <mergeCell ref="U37:X37"/>
    <mergeCell ref="B38:D38"/>
    <mergeCell ref="E38:L38"/>
    <mergeCell ref="M38:P38"/>
    <mergeCell ref="Q38:T38"/>
    <mergeCell ref="U38:X38"/>
    <mergeCell ref="B39:D39"/>
    <mergeCell ref="E39:L39"/>
    <mergeCell ref="M39:P39"/>
    <mergeCell ref="Q39:T39"/>
    <mergeCell ref="U39:X39"/>
    <mergeCell ref="B40:D40"/>
    <mergeCell ref="E40:L40"/>
    <mergeCell ref="M40:P40"/>
    <mergeCell ref="Q40:T40"/>
    <mergeCell ref="U40:X40"/>
    <mergeCell ref="M41:P41"/>
    <mergeCell ref="Q41:T41"/>
    <mergeCell ref="U41:X41"/>
    <mergeCell ref="M42:P42"/>
    <mergeCell ref="Q42:T42"/>
    <mergeCell ref="U42:X42"/>
    <mergeCell ref="AA44:AC44"/>
    <mergeCell ref="B45:K45"/>
    <mergeCell ref="L45:M45"/>
    <mergeCell ref="N45:O45"/>
    <mergeCell ref="P45:S45"/>
    <mergeCell ref="T45:V45"/>
    <mergeCell ref="W45:Z45"/>
    <mergeCell ref="AA45:AC45"/>
    <mergeCell ref="B46:K46"/>
    <mergeCell ref="L46:M46"/>
    <mergeCell ref="N46:O46"/>
    <mergeCell ref="P46:S46"/>
    <mergeCell ref="T46:V46"/>
    <mergeCell ref="W46:Z46"/>
    <mergeCell ref="AA46:AC46"/>
    <mergeCell ref="B47:K47"/>
    <mergeCell ref="L47:M47"/>
    <mergeCell ref="N47:O47"/>
    <mergeCell ref="P47:S47"/>
    <mergeCell ref="T47:V47"/>
    <mergeCell ref="W47:Z47"/>
    <mergeCell ref="AA47:AC47"/>
    <mergeCell ref="B48:AH49"/>
    <mergeCell ref="A50:G50"/>
    <mergeCell ref="H50:K50"/>
    <mergeCell ref="O50:Q50"/>
  </mergeCells>
  <conditionalFormatting sqref="L37:L39">
    <cfRule type="cellIs" priority="2" operator="equal" aboveAverage="0" equalAverage="0" bottom="0" percent="0" rank="0" text="" dxfId="24">
      <formula>0</formula>
    </cfRule>
  </conditionalFormatting>
  <conditionalFormatting sqref="G25">
    <cfRule type="cellIs" priority="3" operator="equal" aboveAverage="0" equalAverage="0" bottom="0" percent="0" rank="0" text="" dxfId="24">
      <formula>0</formula>
    </cfRule>
  </conditionalFormatting>
  <conditionalFormatting sqref="L25:M25">
    <cfRule type="cellIs" priority="4" operator="equal" aboveAverage="0" equalAverage="0" bottom="0" percent="0" rank="0" text="" dxfId="24">
      <formula>0</formula>
    </cfRule>
  </conditionalFormatting>
  <conditionalFormatting sqref="B25">
    <cfRule type="cellIs" priority="5" operator="equal" aboveAverage="0" equalAverage="0" bottom="0" percent="0" rank="0" text="" dxfId="24">
      <formula>0</formula>
    </cfRule>
  </conditionalFormatting>
  <conditionalFormatting sqref="AA45">
    <cfRule type="cellIs" priority="6" operator="equal" aboveAverage="0" equalAverage="0" bottom="0" percent="0" rank="0" text="" dxfId="24">
      <formula>0</formula>
    </cfRule>
  </conditionalFormatting>
  <conditionalFormatting sqref="B29:M29 F30:F32">
    <cfRule type="cellIs" priority="7" operator="equal" aboveAverage="0" equalAverage="0" bottom="0" percent="0" rank="0" text="" dxfId="24">
      <formula>0</formula>
    </cfRule>
  </conditionalFormatting>
  <conditionalFormatting sqref="J30:J32">
    <cfRule type="cellIs" priority="8" operator="equal" aboveAverage="0" equalAverage="0" bottom="0" percent="0" rank="0" text="" dxfId="24">
      <formula>0</formula>
    </cfRule>
  </conditionalFormatting>
  <conditionalFormatting sqref="B30:B32 N29:Q32">
    <cfRule type="cellIs" priority="9" operator="equal" aboveAverage="0" equalAverage="0" bottom="0" percent="0" rank="0" text="" dxfId="24">
      <formula>0</formula>
    </cfRule>
  </conditionalFormatting>
  <conditionalFormatting sqref="M36:P40 Z46:Z47">
    <cfRule type="cellIs" priority="10" operator="equal" aboveAverage="0" equalAverage="0" bottom="0" percent="0" rank="0" text="" dxfId="24">
      <formula>0</formula>
    </cfRule>
  </conditionalFormatting>
  <printOptions headings="false" gridLines="false" gridLinesSet="true" horizontalCentered="false" verticalCentered="false"/>
  <pageMargins left="0.75" right="0.5" top="0.75" bottom="0.5" header="0" footer="0.3"/>
  <pageSetup paperSize="1" scale="86" fitToWidth="1" fitToHeight="1" pageOrder="downThenOver" orientation="portrait"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F141"/>
  <sheetViews>
    <sheetView showFormulas="false" showGridLines="false" showRowColHeaders="true" showZeros="true" rightToLeft="false" tabSelected="true" showOutlineSymbols="true" defaultGridColor="true" view="pageBreakPreview" topLeftCell="A5" colorId="64" zoomScale="100" zoomScaleNormal="100" zoomScalePageLayoutView="100" workbookViewId="0">
      <selection pane="topLeft" activeCell="W32" activeCellId="0" sqref="W32"/>
    </sheetView>
  </sheetViews>
  <sheetFormatPr defaultColWidth="9.14453125" defaultRowHeight="12.8" zeroHeight="true" outlineLevelRow="0" outlineLevelCol="0"/>
  <cols>
    <col collapsed="false" customWidth="true" hidden="false" outlineLevel="0" max="31" min="1" style="396" width="2.86"/>
    <col collapsed="false" customWidth="true" hidden="false" outlineLevel="0" max="32" min="32" style="396" width="4.29"/>
    <col collapsed="false" customWidth="false" hidden="true" outlineLevel="0" max="16384" min="33" style="396" width="9.14"/>
  </cols>
  <sheetData>
    <row r="1" customFormat="false" ht="15.75" hidden="false" customHeight="true" outlineLevel="0" collapsed="false">
      <c r="A1" s="679" t="s">
        <v>1519</v>
      </c>
      <c r="B1" s="679"/>
      <c r="C1" s="679"/>
      <c r="D1" s="679"/>
      <c r="E1" s="679"/>
      <c r="F1" s="679"/>
      <c r="G1" s="679"/>
      <c r="H1" s="679"/>
      <c r="I1" s="679"/>
      <c r="J1" s="679"/>
      <c r="K1" s="679"/>
      <c r="L1" s="679"/>
      <c r="M1" s="679"/>
      <c r="N1" s="679"/>
      <c r="O1" s="679"/>
      <c r="P1" s="679"/>
      <c r="Q1" s="679"/>
      <c r="R1" s="679"/>
      <c r="S1" s="679"/>
      <c r="T1" s="679"/>
      <c r="U1" s="679"/>
      <c r="V1" s="679"/>
      <c r="W1" s="679"/>
      <c r="X1" s="679"/>
      <c r="Y1" s="679"/>
      <c r="Z1" s="679"/>
      <c r="AA1" s="679"/>
      <c r="AB1" s="679"/>
      <c r="AC1" s="679"/>
      <c r="AD1" s="679"/>
      <c r="AE1" s="679"/>
      <c r="AF1" s="679"/>
    </row>
    <row r="2" customFormat="false" ht="15.75" hidden="false" customHeight="true" outlineLevel="0" collapsed="false">
      <c r="A2" s="679"/>
      <c r="B2" s="679"/>
      <c r="C2" s="679"/>
      <c r="D2" s="679"/>
      <c r="E2" s="679"/>
      <c r="F2" s="679"/>
      <c r="G2" s="679"/>
      <c r="H2" s="679"/>
      <c r="I2" s="679"/>
      <c r="J2" s="679"/>
      <c r="K2" s="679"/>
      <c r="L2" s="679"/>
      <c r="M2" s="679"/>
      <c r="N2" s="679"/>
      <c r="O2" s="679"/>
      <c r="P2" s="679"/>
      <c r="Q2" s="679"/>
      <c r="R2" s="679"/>
      <c r="S2" s="679"/>
      <c r="T2" s="679"/>
      <c r="U2" s="679"/>
      <c r="V2" s="679"/>
      <c r="W2" s="679"/>
      <c r="X2" s="679"/>
      <c r="Y2" s="679"/>
      <c r="Z2" s="679"/>
      <c r="AA2" s="679"/>
      <c r="AB2" s="679"/>
      <c r="AC2" s="679"/>
      <c r="AD2" s="679"/>
      <c r="AE2" s="679"/>
      <c r="AF2" s="679"/>
    </row>
    <row r="3" s="258" customFormat="true" ht="15.75" hidden="false" customHeight="true" outlineLevel="0" collapsed="false">
      <c r="A3" s="6" t="s">
        <v>1</v>
      </c>
      <c r="B3" s="6"/>
      <c r="C3" s="6"/>
      <c r="D3" s="6"/>
      <c r="E3" s="6"/>
      <c r="F3" s="608"/>
      <c r="G3" s="397" t="str">
        <f aca="false">UNIT_ROLLUP!F3</f>
        <v>H&amp;S BN MCIPAC MCB CP BUTLER JA</v>
      </c>
      <c r="H3" s="397"/>
      <c r="I3" s="397"/>
      <c r="J3" s="397"/>
      <c r="K3" s="397"/>
      <c r="L3" s="397"/>
      <c r="M3" s="6" t="s">
        <v>3</v>
      </c>
      <c r="N3" s="6"/>
      <c r="O3" s="6"/>
      <c r="P3" s="6"/>
      <c r="Q3" s="6"/>
      <c r="R3" s="397" t="str">
        <f aca="false">UNIT_ROLLUP!R3</f>
        <v>3D MEDICAL BATTALION</v>
      </c>
      <c r="S3" s="397"/>
      <c r="T3" s="397"/>
      <c r="U3" s="397"/>
      <c r="V3" s="397"/>
      <c r="W3" s="397"/>
      <c r="X3" s="397"/>
      <c r="Y3" s="1"/>
      <c r="Z3" s="1"/>
      <c r="AA3" s="1"/>
      <c r="AB3" s="1"/>
      <c r="AC3" s="1"/>
      <c r="AD3" s="1"/>
      <c r="AE3" s="7"/>
      <c r="AF3" s="7"/>
    </row>
    <row r="4" s="258" customFormat="true" ht="15.75" hidden="false" customHeight="true" outlineLevel="0" collapsed="false">
      <c r="A4" s="267" t="s">
        <v>5</v>
      </c>
      <c r="B4" s="267"/>
      <c r="C4" s="267"/>
      <c r="D4" s="267"/>
      <c r="E4" s="267"/>
      <c r="F4" s="608"/>
      <c r="G4" s="397" t="str">
        <f aca="false">UNIT_ROLLUP!F4</f>
        <v>M67400</v>
      </c>
      <c r="H4" s="397"/>
      <c r="I4" s="397"/>
      <c r="J4" s="397"/>
      <c r="K4" s="397"/>
      <c r="L4" s="397"/>
      <c r="M4" s="6" t="s">
        <v>7</v>
      </c>
      <c r="N4" s="6"/>
      <c r="O4" s="6"/>
      <c r="P4" s="6"/>
      <c r="Q4" s="6"/>
      <c r="R4" s="7" t="str">
        <f aca="false">UNIT_ROLLUP!R4</f>
        <v>M13020</v>
      </c>
      <c r="S4" s="7"/>
      <c r="T4" s="7"/>
      <c r="U4" s="7"/>
      <c r="V4" s="7"/>
      <c r="W4" s="7"/>
      <c r="X4" s="7"/>
      <c r="Y4" s="9" t="s">
        <v>9</v>
      </c>
      <c r="Z4" s="9"/>
      <c r="AA4" s="9"/>
      <c r="AB4" s="9"/>
      <c r="AC4" s="9"/>
      <c r="AD4" s="9"/>
      <c r="AE4" s="7" t="str">
        <f aca="false">UNIT_ROLLUP!AE4</f>
        <v>FO</v>
      </c>
      <c r="AF4" s="7"/>
    </row>
    <row r="5" customFormat="false" ht="15.75" hidden="false" customHeight="true" outlineLevel="0" collapsed="false">
      <c r="A5" s="398" t="s">
        <v>1522</v>
      </c>
      <c r="B5" s="398"/>
      <c r="C5" s="399" t="n">
        <v>61072</v>
      </c>
      <c r="D5" s="399"/>
      <c r="E5" s="399"/>
      <c r="F5" s="399"/>
      <c r="G5" s="399"/>
      <c r="H5" s="399"/>
      <c r="I5" s="399"/>
      <c r="J5" s="399"/>
      <c r="K5" s="399"/>
      <c r="L5" s="399"/>
      <c r="M5" s="398" t="s">
        <v>1523</v>
      </c>
      <c r="N5" s="398"/>
      <c r="O5" s="398"/>
      <c r="P5" s="398"/>
      <c r="Q5" s="398"/>
      <c r="R5" s="399" t="s">
        <v>19</v>
      </c>
      <c r="S5" s="399"/>
      <c r="T5" s="399"/>
      <c r="U5" s="399"/>
      <c r="V5" s="399"/>
      <c r="W5" s="399"/>
      <c r="X5" s="399"/>
      <c r="Y5" s="399"/>
      <c r="Z5" s="399"/>
      <c r="AA5" s="399"/>
      <c r="AB5" s="399"/>
      <c r="AC5" s="399"/>
      <c r="AD5" s="399"/>
      <c r="AE5" s="399"/>
      <c r="AF5" s="399"/>
    </row>
    <row r="6" customFormat="false" ht="15.75" hidden="false" customHeight="true" outlineLevel="0" collapsed="false">
      <c r="A6" s="400" t="s">
        <v>1524</v>
      </c>
      <c r="B6" s="400"/>
      <c r="C6" s="400"/>
      <c r="D6" s="400"/>
      <c r="E6" s="400"/>
      <c r="F6" s="400"/>
      <c r="G6" s="400"/>
      <c r="H6" s="400"/>
      <c r="I6" s="400"/>
      <c r="J6" s="400"/>
      <c r="K6" s="400"/>
      <c r="L6" s="400"/>
      <c r="M6" s="400"/>
      <c r="N6" s="400"/>
      <c r="O6" s="400"/>
      <c r="P6" s="400"/>
      <c r="Q6" s="400"/>
      <c r="R6" s="400"/>
      <c r="S6" s="400"/>
      <c r="T6" s="400"/>
      <c r="U6" s="400"/>
      <c r="V6" s="400"/>
      <c r="W6" s="400"/>
      <c r="X6" s="400"/>
      <c r="Y6" s="400"/>
      <c r="Z6" s="400"/>
      <c r="AA6" s="400"/>
      <c r="AB6" s="400"/>
      <c r="AC6" s="400"/>
      <c r="AD6" s="400"/>
      <c r="AE6" s="400"/>
      <c r="AF6" s="400"/>
    </row>
    <row r="7" customFormat="false" ht="15.75" hidden="false" customHeight="true" outlineLevel="0" collapsed="false">
      <c r="A7" s="406" t="s">
        <v>1525</v>
      </c>
      <c r="B7" s="406"/>
      <c r="C7" s="406"/>
      <c r="D7" s="406"/>
      <c r="E7" s="406"/>
      <c r="F7" s="406"/>
      <c r="G7" s="406"/>
      <c r="H7" s="406"/>
      <c r="I7" s="406"/>
      <c r="J7" s="406"/>
      <c r="K7" s="406"/>
      <c r="L7" s="406"/>
      <c r="M7" s="406"/>
      <c r="N7" s="406"/>
      <c r="O7" s="406"/>
      <c r="P7" s="406"/>
      <c r="Q7" s="406"/>
      <c r="R7" s="406"/>
      <c r="S7" s="406"/>
      <c r="T7" s="406"/>
      <c r="U7" s="406"/>
      <c r="V7" s="406"/>
      <c r="W7" s="406"/>
      <c r="X7" s="406"/>
      <c r="Y7" s="406"/>
      <c r="Z7" s="406"/>
      <c r="AA7" s="406"/>
      <c r="AB7" s="406"/>
      <c r="AC7" s="406"/>
      <c r="AD7" s="406"/>
      <c r="AE7" s="406"/>
      <c r="AF7" s="406"/>
    </row>
    <row r="8" s="408" customFormat="true" ht="15.75" hidden="false" customHeight="true" outlineLevel="0" collapsed="false">
      <c r="A8" s="402"/>
      <c r="B8" s="408" t="s">
        <v>2361</v>
      </c>
    </row>
    <row r="9" s="408" customFormat="true" ht="15.75" hidden="false" customHeight="true" outlineLevel="0" collapsed="false">
      <c r="A9" s="402"/>
      <c r="B9" s="402"/>
    </row>
    <row r="10" s="408" customFormat="true" ht="15.75" hidden="false" customHeight="true" outlineLevel="0" collapsed="false">
      <c r="A10" s="402"/>
      <c r="B10" s="402"/>
    </row>
    <row r="11" s="408" customFormat="true" ht="15.75" hidden="false" customHeight="true" outlineLevel="0" collapsed="false">
      <c r="A11" s="402"/>
      <c r="B11" s="402"/>
    </row>
    <row r="12" s="408" customFormat="true" ht="15.75" hidden="false" customHeight="true" outlineLevel="0" collapsed="false">
      <c r="A12" s="402"/>
      <c r="B12" s="402"/>
    </row>
    <row r="13" s="408" customFormat="true" ht="15.75" hidden="false" customHeight="true" outlineLevel="0" collapsed="false">
      <c r="A13" s="402"/>
      <c r="B13" s="402"/>
    </row>
    <row r="14" s="408" customFormat="true" ht="15.75" hidden="false" customHeight="true" outlineLevel="0" collapsed="false">
      <c r="A14" s="402"/>
      <c r="B14" s="402"/>
    </row>
    <row r="15" customFormat="false" ht="15.75" hidden="false" customHeight="true" outlineLevel="0" collapsed="false">
      <c r="A15" s="406" t="s">
        <v>1527</v>
      </c>
      <c r="B15" s="406"/>
      <c r="C15" s="406"/>
      <c r="D15" s="406"/>
      <c r="E15" s="406"/>
      <c r="F15" s="406"/>
      <c r="G15" s="406"/>
      <c r="H15" s="406"/>
      <c r="I15" s="406"/>
      <c r="J15" s="406"/>
      <c r="K15" s="406"/>
      <c r="L15" s="406"/>
      <c r="M15" s="406"/>
      <c r="N15" s="406"/>
      <c r="O15" s="406"/>
      <c r="P15" s="406"/>
      <c r="Q15" s="406"/>
      <c r="R15" s="406"/>
      <c r="S15" s="406"/>
      <c r="T15" s="406"/>
      <c r="U15" s="406"/>
      <c r="V15" s="406"/>
      <c r="W15" s="406"/>
      <c r="X15" s="406"/>
      <c r="Y15" s="406"/>
      <c r="Z15" s="406"/>
      <c r="AA15" s="406"/>
      <c r="AB15" s="406"/>
      <c r="AC15" s="406"/>
      <c r="AD15" s="406"/>
      <c r="AE15" s="406"/>
      <c r="AF15" s="406"/>
    </row>
    <row r="16" customFormat="false" ht="15.75" hidden="false" customHeight="true" outlineLevel="0" collapsed="false">
      <c r="A16" s="403"/>
      <c r="B16" s="402" t="s">
        <v>2362</v>
      </c>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402"/>
      <c r="AB16" s="402"/>
      <c r="AC16" s="402"/>
      <c r="AD16" s="402"/>
      <c r="AE16" s="402"/>
      <c r="AF16" s="402"/>
    </row>
    <row r="17" customFormat="false" ht="15.75" hidden="false" customHeight="true" outlineLevel="0" collapsed="false">
      <c r="A17" s="403"/>
      <c r="B17" s="403"/>
      <c r="C17" s="403"/>
      <c r="D17" s="403"/>
      <c r="E17" s="403"/>
      <c r="F17" s="403"/>
      <c r="G17" s="403"/>
      <c r="H17" s="403"/>
      <c r="I17" s="403"/>
      <c r="J17" s="403"/>
      <c r="K17" s="403"/>
      <c r="L17" s="403"/>
      <c r="M17" s="403"/>
      <c r="N17" s="403"/>
      <c r="O17" s="403"/>
      <c r="P17" s="403"/>
      <c r="Q17" s="403"/>
      <c r="R17" s="403"/>
      <c r="S17" s="403"/>
      <c r="T17" s="403"/>
      <c r="U17" s="403"/>
      <c r="V17" s="403"/>
      <c r="W17" s="403"/>
      <c r="X17" s="403"/>
      <c r="Y17" s="403"/>
      <c r="Z17" s="403"/>
      <c r="AA17" s="403"/>
      <c r="AB17" s="403"/>
      <c r="AC17" s="403"/>
      <c r="AD17" s="403"/>
      <c r="AE17" s="403"/>
      <c r="AF17" s="403"/>
    </row>
    <row r="18" s="406" customFormat="true" ht="15.75" hidden="false" customHeight="true" outlineLevel="0" collapsed="false">
      <c r="A18" s="406" t="s">
        <v>1529</v>
      </c>
    </row>
    <row r="19" customFormat="false" ht="15.75" hidden="false" customHeight="true" outlineLevel="0" collapsed="false">
      <c r="A19" s="407"/>
      <c r="B19" s="408" t="s">
        <v>2363</v>
      </c>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c r="AA19" s="408"/>
      <c r="AB19" s="408"/>
      <c r="AC19" s="408"/>
      <c r="AD19" s="408"/>
      <c r="AE19" s="408"/>
      <c r="AF19" s="408"/>
    </row>
    <row r="20" customFormat="false" ht="15.75" hidden="false" customHeight="true" outlineLevel="0" collapsed="false">
      <c r="A20" s="407"/>
      <c r="B20" s="408" t="s">
        <v>2364</v>
      </c>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c r="AA20" s="408"/>
      <c r="AB20" s="408"/>
      <c r="AC20" s="408"/>
      <c r="AD20" s="408"/>
      <c r="AE20" s="408"/>
      <c r="AF20" s="408"/>
    </row>
    <row r="21" customFormat="false" ht="15.75" hidden="false" customHeight="true" outlineLevel="0" collapsed="false">
      <c r="A21" s="407"/>
      <c r="B21" s="262" t="s">
        <v>1643</v>
      </c>
      <c r="C21" s="262"/>
      <c r="D21" s="262"/>
      <c r="E21" s="262"/>
      <c r="F21" s="262"/>
      <c r="G21" s="262"/>
      <c r="H21" s="262"/>
      <c r="I21" s="262"/>
      <c r="J21" s="262"/>
      <c r="K21" s="262"/>
      <c r="L21" s="262"/>
      <c r="M21" s="262"/>
      <c r="N21" s="262"/>
      <c r="O21" s="262"/>
      <c r="P21" s="262"/>
      <c r="Q21" s="262"/>
      <c r="R21" s="262"/>
      <c r="S21" s="262"/>
      <c r="T21" s="262"/>
      <c r="U21" s="262"/>
      <c r="V21" s="262"/>
      <c r="W21" s="262"/>
      <c r="X21" s="262"/>
      <c r="Y21" s="262"/>
      <c r="Z21" s="262"/>
      <c r="AA21" s="262"/>
      <c r="AB21" s="262"/>
      <c r="AC21" s="262"/>
      <c r="AD21" s="262"/>
      <c r="AE21" s="262"/>
      <c r="AF21" s="262"/>
    </row>
    <row r="22" customFormat="false" ht="15.75" hidden="false" customHeight="true" outlineLevel="0" collapsed="false">
      <c r="A22" s="407"/>
      <c r="B22" s="408" t="s">
        <v>1646</v>
      </c>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c r="AA22" s="408"/>
      <c r="AB22" s="408"/>
      <c r="AC22" s="408"/>
      <c r="AD22" s="408"/>
      <c r="AE22" s="408"/>
      <c r="AF22" s="620"/>
    </row>
    <row r="23" s="406" customFormat="true" ht="15.75" hidden="false" customHeight="true" outlineLevel="0" collapsed="false">
      <c r="A23" s="406" t="s">
        <v>1532</v>
      </c>
    </row>
    <row r="24" customFormat="false" ht="15.75" hidden="false" customHeight="true" outlineLevel="0" collapsed="false">
      <c r="A24" s="421"/>
      <c r="B24" s="1174" t="s">
        <v>2365</v>
      </c>
      <c r="AE24" s="1175"/>
      <c r="AF24" s="1175"/>
    </row>
    <row r="25" customFormat="false" ht="15.75" hidden="false" customHeight="true" outlineLevel="0" collapsed="false">
      <c r="A25" s="421"/>
      <c r="B25" s="1176" t="s">
        <v>1533</v>
      </c>
      <c r="C25" s="1177"/>
      <c r="D25" s="1177"/>
      <c r="E25" s="1177"/>
      <c r="F25" s="1177"/>
      <c r="G25" s="1177"/>
      <c r="H25" s="1177"/>
      <c r="I25" s="1177"/>
      <c r="J25" s="1177"/>
      <c r="K25" s="1177"/>
      <c r="L25" s="1177"/>
      <c r="M25" s="1178" t="s">
        <v>2340</v>
      </c>
      <c r="N25" s="1178"/>
      <c r="O25" s="1178"/>
      <c r="P25" s="1179" t="s">
        <v>2341</v>
      </c>
      <c r="Q25" s="1179"/>
      <c r="R25" s="1179"/>
      <c r="S25" s="1179"/>
      <c r="T25" s="1180"/>
      <c r="U25" s="1181" t="s">
        <v>2366</v>
      </c>
      <c r="V25" s="1181"/>
      <c r="W25" s="1181"/>
      <c r="X25" s="1181"/>
      <c r="Y25" s="1182" t="n">
        <v>162.5</v>
      </c>
      <c r="Z25" s="1182"/>
      <c r="AE25" s="1175"/>
      <c r="AF25" s="1175"/>
    </row>
    <row r="26" customFormat="false" ht="15.75" hidden="false" customHeight="true" outlineLevel="0" collapsed="false">
      <c r="A26" s="421"/>
      <c r="B26" s="1183" t="s">
        <v>1069</v>
      </c>
      <c r="C26" s="1183"/>
      <c r="D26" s="1183"/>
      <c r="E26" s="1184" t="s">
        <v>1535</v>
      </c>
      <c r="F26" s="1184"/>
      <c r="G26" s="1184"/>
      <c r="H26" s="1184"/>
      <c r="I26" s="1184"/>
      <c r="J26" s="1184"/>
      <c r="K26" s="1184"/>
      <c r="L26" s="1184"/>
      <c r="M26" s="1185" t="n">
        <f aca="false">COUNTIFS(TO!D:D,"61072",TO!F:F,$B$26)</f>
        <v>39</v>
      </c>
      <c r="N26" s="1185"/>
      <c r="O26" s="1185"/>
      <c r="P26" s="1186" t="n">
        <f aca="false">M26*$Y$25</f>
        <v>6337.5</v>
      </c>
      <c r="Q26" s="1186"/>
      <c r="R26" s="1186"/>
      <c r="S26" s="1186"/>
      <c r="T26" s="1180"/>
      <c r="U26" s="1180"/>
      <c r="V26" s="1180"/>
      <c r="W26" s="1180"/>
      <c r="X26" s="1180"/>
      <c r="AE26" s="1175"/>
      <c r="AF26" s="1175"/>
    </row>
    <row r="27" customFormat="false" ht="15.75" hidden="false" customHeight="true" outlineLevel="0" collapsed="false">
      <c r="A27" s="421"/>
      <c r="B27" s="427" t="s">
        <v>1478</v>
      </c>
      <c r="C27" s="427"/>
      <c r="D27" s="427"/>
      <c r="E27" s="1187" t="s">
        <v>2367</v>
      </c>
      <c r="F27" s="1187"/>
      <c r="G27" s="1187"/>
      <c r="H27" s="1187"/>
      <c r="I27" s="1187"/>
      <c r="J27" s="1187"/>
      <c r="K27" s="1187"/>
      <c r="L27" s="1187"/>
      <c r="M27" s="1188" t="n">
        <f aca="false">COUNTIFS(TO!D:D,"61073",TO!F:F,$B$27)</f>
        <v>195</v>
      </c>
      <c r="N27" s="1188"/>
      <c r="O27" s="1188"/>
      <c r="P27" s="1189" t="n">
        <f aca="false">M27*$Y$25</f>
        <v>31687.5</v>
      </c>
      <c r="Q27" s="1189"/>
      <c r="R27" s="1189"/>
      <c r="S27" s="1189"/>
      <c r="T27" s="1180"/>
      <c r="U27" s="1180"/>
      <c r="V27" s="1180"/>
      <c r="W27" s="1180"/>
      <c r="X27" s="1180"/>
      <c r="AE27" s="1175"/>
      <c r="AF27" s="1175"/>
    </row>
    <row r="28" customFormat="false" ht="15.75" hidden="false" customHeight="true" outlineLevel="0" collapsed="false">
      <c r="A28" s="421"/>
      <c r="B28" s="427" t="s">
        <v>1516</v>
      </c>
      <c r="C28" s="437"/>
      <c r="D28" s="437"/>
      <c r="E28" s="438" t="s">
        <v>2368</v>
      </c>
      <c r="F28" s="438"/>
      <c r="G28" s="438"/>
      <c r="H28" s="438"/>
      <c r="I28" s="438"/>
      <c r="J28" s="438"/>
      <c r="K28" s="438"/>
      <c r="L28" s="438"/>
      <c r="M28" s="1190" t="n">
        <f aca="false">COUNTIFS(TO!D:D,"61073",TO!F:F,$B$28)</f>
        <v>196</v>
      </c>
      <c r="N28" s="1190"/>
      <c r="O28" s="1190"/>
      <c r="P28" s="1191" t="n">
        <f aca="false">M28*$Y$25</f>
        <v>31850</v>
      </c>
      <c r="Q28" s="1191"/>
      <c r="R28" s="1191"/>
      <c r="S28" s="1189"/>
      <c r="T28" s="1180"/>
      <c r="U28" s="1180"/>
      <c r="V28" s="1180"/>
      <c r="W28" s="1180"/>
      <c r="X28" s="1180"/>
      <c r="AE28" s="1175"/>
      <c r="AF28" s="1175"/>
    </row>
    <row r="29" customFormat="false" ht="15.75" hidden="false" customHeight="true" outlineLevel="0" collapsed="false">
      <c r="A29" s="421"/>
      <c r="B29" s="1192"/>
      <c r="C29" s="1192"/>
      <c r="D29" s="1192"/>
      <c r="E29" s="1193"/>
      <c r="F29" s="1193"/>
      <c r="G29" s="1193"/>
      <c r="H29" s="1193"/>
      <c r="I29" s="1193"/>
      <c r="J29" s="1193"/>
      <c r="K29" s="1193"/>
      <c r="L29" s="1193"/>
      <c r="M29" s="1194"/>
      <c r="N29" s="1194"/>
      <c r="O29" s="1194"/>
      <c r="P29" s="1195"/>
      <c r="Q29" s="1195"/>
      <c r="R29" s="1195"/>
      <c r="S29" s="1195"/>
      <c r="AB29" s="1196"/>
      <c r="AC29" s="1196"/>
      <c r="AD29" s="1196"/>
      <c r="AE29" s="1197"/>
      <c r="AF29" s="1197"/>
    </row>
    <row r="30" customFormat="false" ht="15.75" hidden="false" customHeight="true" outlineLevel="0" collapsed="false">
      <c r="A30" s="421"/>
      <c r="B30" s="1198" t="s">
        <v>1538</v>
      </c>
      <c r="C30" s="1198"/>
      <c r="D30" s="1198"/>
      <c r="E30" s="1198"/>
      <c r="F30" s="1198"/>
      <c r="G30" s="1198"/>
      <c r="H30" s="1198"/>
      <c r="I30" s="1198"/>
      <c r="J30" s="1198"/>
      <c r="K30" s="1198"/>
      <c r="L30" s="1198"/>
      <c r="M30" s="1188" t="n">
        <f aca="false">SUM(M26:O29)</f>
        <v>430</v>
      </c>
      <c r="N30" s="1188"/>
      <c r="O30" s="1188"/>
      <c r="P30" s="1199" t="n">
        <f aca="false">SUM(P26:S29)</f>
        <v>69875</v>
      </c>
      <c r="Q30" s="1199"/>
      <c r="R30" s="1199"/>
      <c r="S30" s="1199"/>
      <c r="AA30" s="1200"/>
      <c r="AB30" s="1200"/>
      <c r="AC30" s="1200"/>
      <c r="AD30" s="1200"/>
      <c r="AE30" s="1197"/>
      <c r="AF30" s="1197"/>
    </row>
    <row r="31" customFormat="false" ht="15.75" hidden="false" customHeight="true" outlineLevel="0" collapsed="false">
      <c r="A31" s="421"/>
      <c r="B31" s="1201"/>
      <c r="AA31" s="1200"/>
      <c r="AB31" s="1200"/>
      <c r="AC31" s="1200"/>
      <c r="AD31" s="1200"/>
      <c r="AE31" s="1197"/>
      <c r="AF31" s="1197"/>
    </row>
    <row r="32" customFormat="false" ht="15.75" hidden="false" customHeight="true" outlineLevel="0" collapsed="false">
      <c r="A32" s="421"/>
      <c r="B32" s="1201"/>
      <c r="AA32" s="1200"/>
      <c r="AB32" s="1200"/>
      <c r="AC32" s="1200"/>
      <c r="AD32" s="1200"/>
      <c r="AE32" s="1197"/>
      <c r="AF32" s="1197"/>
    </row>
    <row r="33" customFormat="false" ht="15.75" hidden="false" customHeight="true" outlineLevel="0" collapsed="false">
      <c r="A33" s="421"/>
      <c r="B33" s="1201"/>
      <c r="AA33" s="1200"/>
      <c r="AB33" s="1200"/>
      <c r="AC33" s="1200"/>
      <c r="AD33" s="1200"/>
      <c r="AE33" s="1197"/>
      <c r="AF33" s="1197"/>
    </row>
    <row r="34" customFormat="false" ht="15.75" hidden="false" customHeight="true" outlineLevel="0" collapsed="false">
      <c r="A34" s="421"/>
      <c r="B34" s="1201"/>
      <c r="AA34" s="1200"/>
      <c r="AB34" s="1200"/>
      <c r="AC34" s="1200"/>
      <c r="AD34" s="1200"/>
      <c r="AE34" s="1197"/>
      <c r="AF34" s="1197"/>
    </row>
    <row r="35" customFormat="false" ht="15.75" hidden="false" customHeight="true" outlineLevel="0" collapsed="false">
      <c r="A35" s="421"/>
      <c r="B35" s="1201"/>
      <c r="AA35" s="1200"/>
      <c r="AB35" s="1200"/>
      <c r="AC35" s="1200"/>
      <c r="AD35" s="1200"/>
      <c r="AE35" s="1197"/>
      <c r="AF35" s="1197"/>
    </row>
    <row r="36" customFormat="false" ht="15.75" hidden="false" customHeight="true" outlineLevel="0" collapsed="false">
      <c r="A36" s="421"/>
      <c r="B36" s="1201"/>
      <c r="AA36" s="1200"/>
      <c r="AB36" s="1200"/>
      <c r="AC36" s="1200"/>
      <c r="AD36" s="1200"/>
      <c r="AE36" s="1197"/>
      <c r="AF36" s="1197"/>
    </row>
    <row r="37" customFormat="false" ht="15.75" hidden="false" customHeight="true" outlineLevel="0" collapsed="false">
      <c r="A37" s="421"/>
      <c r="B37" s="1201"/>
      <c r="AA37" s="1200"/>
      <c r="AB37" s="1200"/>
      <c r="AC37" s="1200"/>
      <c r="AD37" s="1200"/>
      <c r="AE37" s="1197"/>
      <c r="AF37" s="1197"/>
    </row>
    <row r="38" customFormat="false" ht="15.75" hidden="false" customHeight="true" outlineLevel="0" collapsed="false">
      <c r="A38" s="421"/>
      <c r="B38" s="1201"/>
      <c r="AA38" s="1200"/>
      <c r="AB38" s="1200"/>
      <c r="AC38" s="1200"/>
      <c r="AD38" s="1200"/>
      <c r="AE38" s="1197"/>
      <c r="AF38" s="1197"/>
    </row>
    <row r="39" customFormat="false" ht="15.75" hidden="false" customHeight="true" outlineLevel="0" collapsed="false">
      <c r="A39" s="421"/>
      <c r="B39" s="1202"/>
      <c r="C39" s="1202"/>
      <c r="D39" s="1202"/>
      <c r="E39" s="1202"/>
      <c r="F39" s="1202"/>
      <c r="G39" s="1202"/>
      <c r="H39" s="1202"/>
      <c r="I39" s="1202"/>
      <c r="J39" s="1202"/>
      <c r="K39" s="1202"/>
      <c r="L39" s="1202"/>
      <c r="M39" s="1202"/>
      <c r="N39" s="1202"/>
      <c r="O39" s="1202"/>
      <c r="P39" s="1202"/>
      <c r="Q39" s="1202"/>
      <c r="R39" s="1202"/>
      <c r="S39" s="1202"/>
      <c r="T39" s="1202"/>
      <c r="U39" s="1202"/>
      <c r="V39" s="1202"/>
      <c r="W39" s="1202"/>
      <c r="X39" s="1202"/>
      <c r="Y39" s="1202"/>
      <c r="Z39" s="1202"/>
      <c r="AA39" s="1202"/>
      <c r="AB39" s="1202"/>
      <c r="AC39" s="1202"/>
      <c r="AD39" s="1202"/>
      <c r="AE39" s="1197"/>
      <c r="AF39" s="1197"/>
    </row>
    <row r="40" customFormat="false" ht="15.75" hidden="false" customHeight="true" outlineLevel="0" collapsed="false">
      <c r="A40" s="446" t="s">
        <v>26</v>
      </c>
      <c r="B40" s="446"/>
      <c r="C40" s="446"/>
      <c r="D40" s="446"/>
      <c r="E40" s="446"/>
      <c r="F40" s="446"/>
      <c r="G40" s="446"/>
      <c r="H40" s="1203" t="n">
        <f aca="false">P30</f>
        <v>69875</v>
      </c>
      <c r="I40" s="1203"/>
      <c r="J40" s="1203"/>
      <c r="K40" s="1203"/>
      <c r="L40" s="1204" t="s">
        <v>1656</v>
      </c>
      <c r="M40" s="1205"/>
      <c r="N40" s="1205"/>
      <c r="O40" s="1206"/>
      <c r="P40" s="1206"/>
      <c r="Q40" s="1206"/>
      <c r="R40" s="1204"/>
      <c r="S40" s="1204"/>
      <c r="T40" s="1204"/>
      <c r="U40" s="1204"/>
      <c r="V40" s="1204"/>
      <c r="W40" s="1204"/>
      <c r="X40" s="1204"/>
      <c r="Y40" s="1207"/>
      <c r="Z40" s="452"/>
      <c r="AA40" s="452"/>
      <c r="AB40" s="453"/>
      <c r="AC40" s="454" t="s">
        <v>1657</v>
      </c>
      <c r="AD40" s="455" t="n">
        <v>1</v>
      </c>
      <c r="AE40" s="455" t="s">
        <v>29</v>
      </c>
      <c r="AF40" s="455" t="n">
        <v>1</v>
      </c>
    </row>
    <row r="41" customFormat="false" ht="12.75" hidden="true" customHeight="true" outlineLevel="0" collapsed="false"/>
    <row r="42" customFormat="false" ht="12.75" hidden="true" customHeight="true" outlineLevel="0" collapsed="false"/>
    <row r="43" customFormat="false" ht="12.75" hidden="true" customHeight="true" outlineLevel="0" collapsed="false"/>
    <row r="44" customFormat="false" ht="12.75" hidden="true" customHeight="true" outlineLevel="0" collapsed="false"/>
    <row r="45" customFormat="false" ht="12.75" hidden="true" customHeight="true" outlineLevel="0" collapsed="false"/>
    <row r="46" customFormat="false" ht="12.75" hidden="true" customHeight="true" outlineLevel="0" collapsed="false"/>
    <row r="47" customFormat="false" ht="12.75" hidden="true" customHeight="true" outlineLevel="0" collapsed="false"/>
    <row r="48" customFormat="false" ht="12.75" hidden="true" customHeight="true" outlineLevel="0" collapsed="false"/>
    <row r="49" customFormat="false" ht="12.75" hidden="true" customHeight="true" outlineLevel="0" collapsed="false"/>
    <row r="50" customFormat="false" ht="12.75" hidden="true" customHeight="true" outlineLevel="0" collapsed="false"/>
    <row r="51" customFormat="false" ht="12.75" hidden="true" customHeight="true" outlineLevel="0" collapsed="false"/>
    <row r="52" customFormat="false" ht="12.75" hidden="true" customHeight="true" outlineLevel="0" collapsed="false"/>
    <row r="53" customFormat="false" ht="12.75" hidden="true" customHeight="true" outlineLevel="0" collapsed="false"/>
    <row r="54" customFormat="false" ht="12.75" hidden="true" customHeight="true" outlineLevel="0" collapsed="false"/>
    <row r="55" customFormat="false" ht="12.75" hidden="true" customHeight="true" outlineLevel="0" collapsed="false"/>
    <row r="56" customFormat="false" ht="12.75" hidden="true" customHeight="true" outlineLevel="0" collapsed="false"/>
    <row r="57" customFormat="false" ht="12.75" hidden="true" customHeight="true" outlineLevel="0" collapsed="false"/>
    <row r="58" customFormat="false" ht="12.75" hidden="true" customHeight="true" outlineLevel="0" collapsed="false"/>
    <row r="59" customFormat="false" ht="12.75" hidden="true" customHeight="true" outlineLevel="0" collapsed="false"/>
    <row r="60" customFormat="false" ht="12.75" hidden="true" customHeight="true" outlineLevel="0" collapsed="false"/>
    <row r="61" customFormat="false" ht="12.75" hidden="true" customHeight="true" outlineLevel="0" collapsed="false"/>
    <row r="62" customFormat="false" ht="12.75" hidden="true" customHeight="true" outlineLevel="0" collapsed="false"/>
    <row r="63" customFormat="false" ht="12.75" hidden="true" customHeight="true" outlineLevel="0" collapsed="false"/>
    <row r="64" customFormat="false" ht="12.75" hidden="true" customHeight="true" outlineLevel="0" collapsed="false"/>
    <row r="65" customFormat="false" ht="12.75" hidden="true" customHeight="true" outlineLevel="0" collapsed="false"/>
    <row r="66" customFormat="false" ht="12.75" hidden="true" customHeight="true" outlineLevel="0" collapsed="false"/>
    <row r="67" customFormat="false" ht="12.75" hidden="true" customHeight="true" outlineLevel="0" collapsed="false"/>
    <row r="68" customFormat="false" ht="12.75" hidden="true" customHeight="true" outlineLevel="0" collapsed="false"/>
    <row r="69" customFormat="false" ht="12.75" hidden="true" customHeight="true" outlineLevel="0" collapsed="false"/>
    <row r="70" customFormat="false" ht="12.75" hidden="true" customHeight="true" outlineLevel="0" collapsed="false"/>
    <row r="71" customFormat="false" ht="12.75" hidden="true" customHeight="true" outlineLevel="0" collapsed="false"/>
    <row r="72" customFormat="false" ht="12.75" hidden="true" customHeight="true" outlineLevel="0" collapsed="false"/>
    <row r="73" customFormat="false" ht="12.75" hidden="true" customHeight="true" outlineLevel="0" collapsed="false"/>
    <row r="74" customFormat="false" ht="12.75" hidden="true" customHeight="true" outlineLevel="0" collapsed="false"/>
    <row r="75" customFormat="false" ht="12.75" hidden="true" customHeight="true" outlineLevel="0" collapsed="false"/>
    <row r="76" customFormat="false" ht="12.75" hidden="true" customHeight="true" outlineLevel="0" collapsed="false"/>
    <row r="77" customFormat="false" ht="12.75" hidden="true" customHeight="true" outlineLevel="0" collapsed="false"/>
    <row r="78" customFormat="false" ht="12.75" hidden="true" customHeight="true" outlineLevel="0" collapsed="false"/>
    <row r="79" customFormat="false" ht="12.75" hidden="true" customHeight="true" outlineLevel="0" collapsed="false"/>
    <row r="80" customFormat="false" ht="12.75" hidden="true" customHeight="true" outlineLevel="0" collapsed="false"/>
    <row r="81" customFormat="false" ht="12.75" hidden="true" customHeight="true" outlineLevel="0" collapsed="false"/>
    <row r="82" customFormat="false" ht="12.75" hidden="true" customHeight="true" outlineLevel="0" collapsed="false"/>
    <row r="83" customFormat="false" ht="12.75" hidden="true" customHeight="true" outlineLevel="0" collapsed="false"/>
    <row r="84" customFormat="false" ht="12.75" hidden="true" customHeight="true" outlineLevel="0" collapsed="false"/>
    <row r="85" customFormat="false" ht="12.75" hidden="true" customHeight="true" outlineLevel="0" collapsed="false"/>
    <row r="86" customFormat="false" ht="12.75" hidden="true" customHeight="true" outlineLevel="0" collapsed="false"/>
    <row r="87" customFormat="false" ht="12.75" hidden="true" customHeight="true" outlineLevel="0" collapsed="false"/>
    <row r="88" customFormat="false" ht="12.75" hidden="true" customHeight="true" outlineLevel="0" collapsed="false"/>
    <row r="89" customFormat="false" ht="12.75" hidden="true" customHeight="true" outlineLevel="0" collapsed="false"/>
    <row r="90" customFormat="false" ht="12.75" hidden="true" customHeight="true" outlineLevel="0" collapsed="false"/>
    <row r="91" customFormat="false" ht="12.75" hidden="true" customHeight="true" outlineLevel="0" collapsed="false"/>
    <row r="92" customFormat="false" ht="12.75" hidden="true" customHeight="true" outlineLevel="0" collapsed="false"/>
    <row r="93" customFormat="false" ht="12.75" hidden="true" customHeight="true" outlineLevel="0" collapsed="false"/>
    <row r="94" customFormat="false" ht="12.75" hidden="true" customHeight="true" outlineLevel="0" collapsed="false"/>
    <row r="95" customFormat="false" ht="12.75" hidden="true" customHeight="true" outlineLevel="0" collapsed="false"/>
    <row r="96" customFormat="false" ht="12.75" hidden="true" customHeight="true" outlineLevel="0" collapsed="false"/>
    <row r="97" customFormat="false" ht="12.75" hidden="true" customHeight="true" outlineLevel="0" collapsed="false"/>
    <row r="98" customFormat="false" ht="12.75" hidden="true" customHeight="true" outlineLevel="0" collapsed="false"/>
    <row r="99" customFormat="false" ht="12.75" hidden="true" customHeight="true" outlineLevel="0" collapsed="false"/>
    <row r="100" customFormat="false" ht="12.75" hidden="true" customHeight="true" outlineLevel="0" collapsed="false"/>
    <row r="101" customFormat="false" ht="12.75" hidden="true" customHeight="true" outlineLevel="0" collapsed="false"/>
    <row r="102" customFormat="false" ht="12.75" hidden="true" customHeight="true" outlineLevel="0" collapsed="false"/>
    <row r="103" customFormat="false" ht="12.75" hidden="true" customHeight="true" outlineLevel="0" collapsed="false"/>
    <row r="104" customFormat="false" ht="12.75" hidden="true" customHeight="true" outlineLevel="0" collapsed="false"/>
    <row r="105" customFormat="false" ht="12.75" hidden="true" customHeight="true" outlineLevel="0" collapsed="false"/>
    <row r="106" customFormat="false" ht="12.75" hidden="true" customHeight="true" outlineLevel="0" collapsed="false"/>
    <row r="107" customFormat="false" ht="12.75" hidden="true" customHeight="true" outlineLevel="0" collapsed="false"/>
    <row r="108" customFormat="false" ht="12.75" hidden="true" customHeight="true" outlineLevel="0" collapsed="false"/>
    <row r="109" customFormat="false" ht="12.75" hidden="true" customHeight="true" outlineLevel="0" collapsed="false"/>
    <row r="110" customFormat="false" ht="12.75" hidden="true" customHeight="true" outlineLevel="0" collapsed="false"/>
    <row r="111" customFormat="false" ht="12.75" hidden="true" customHeight="true" outlineLevel="0" collapsed="false"/>
    <row r="112" customFormat="false" ht="12.75" hidden="true" customHeight="true" outlineLevel="0" collapsed="false"/>
    <row r="113" customFormat="false" ht="12.75" hidden="true" customHeight="true" outlineLevel="0" collapsed="false"/>
    <row r="114" customFormat="false" ht="12.75" hidden="true" customHeight="true" outlineLevel="0" collapsed="false"/>
    <row r="115" customFormat="false" ht="12.75" hidden="true" customHeight="true" outlineLevel="0" collapsed="false"/>
    <row r="116" customFormat="false" ht="12.75" hidden="true" customHeight="true" outlineLevel="0" collapsed="false"/>
    <row r="117" customFormat="false" ht="12.75" hidden="true" customHeight="true" outlineLevel="0" collapsed="false"/>
    <row r="118" customFormat="false" ht="12.75" hidden="true" customHeight="true" outlineLevel="0" collapsed="false"/>
    <row r="119" customFormat="false" ht="12.75" hidden="true" customHeight="true" outlineLevel="0" collapsed="false"/>
    <row r="120" customFormat="false" ht="12.75" hidden="true" customHeight="true" outlineLevel="0" collapsed="false"/>
    <row r="121" customFormat="false" ht="12.75" hidden="true" customHeight="true" outlineLevel="0" collapsed="false"/>
    <row r="122" customFormat="false" ht="12.75" hidden="true" customHeight="true" outlineLevel="0" collapsed="false"/>
    <row r="123" customFormat="false" ht="12.75" hidden="true" customHeight="true" outlineLevel="0" collapsed="false"/>
    <row r="124" customFormat="false" ht="12.75" hidden="true" customHeight="true" outlineLevel="0" collapsed="false"/>
    <row r="125" customFormat="false" ht="12.75" hidden="true" customHeight="true" outlineLevel="0" collapsed="false"/>
    <row r="126" customFormat="false" ht="12.75" hidden="true" customHeight="true" outlineLevel="0" collapsed="false"/>
    <row r="127" customFormat="false" ht="12.75" hidden="tru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sheetData>
  <mergeCells count="43">
    <mergeCell ref="A1:AF2"/>
    <mergeCell ref="A3:E3"/>
    <mergeCell ref="M3:Q3"/>
    <mergeCell ref="AE3:AF3"/>
    <mergeCell ref="M4:Q4"/>
    <mergeCell ref="R4:X4"/>
    <mergeCell ref="Y4:AD4"/>
    <mergeCell ref="AE4:AF4"/>
    <mergeCell ref="A5:B5"/>
    <mergeCell ref="C5:L5"/>
    <mergeCell ref="M5:Q5"/>
    <mergeCell ref="R5:AF5"/>
    <mergeCell ref="A6:AF6"/>
    <mergeCell ref="A8:A14"/>
    <mergeCell ref="B8:XFD14"/>
    <mergeCell ref="B16:AF16"/>
    <mergeCell ref="B19:AF19"/>
    <mergeCell ref="B20:AF20"/>
    <mergeCell ref="B21:AF21"/>
    <mergeCell ref="B22:AE22"/>
    <mergeCell ref="M25:O25"/>
    <mergeCell ref="P25:S25"/>
    <mergeCell ref="U25:X25"/>
    <mergeCell ref="Y25:Z25"/>
    <mergeCell ref="B26:D26"/>
    <mergeCell ref="E26:L26"/>
    <mergeCell ref="M26:O26"/>
    <mergeCell ref="P26:S26"/>
    <mergeCell ref="B27:D27"/>
    <mergeCell ref="E27:L27"/>
    <mergeCell ref="M27:O27"/>
    <mergeCell ref="P27:S27"/>
    <mergeCell ref="B29:D29"/>
    <mergeCell ref="E29:L29"/>
    <mergeCell ref="M29:O29"/>
    <mergeCell ref="P29:S29"/>
    <mergeCell ref="B30:L30"/>
    <mergeCell ref="M30:O30"/>
    <mergeCell ref="P30:S30"/>
    <mergeCell ref="A40:G40"/>
    <mergeCell ref="H40:K40"/>
    <mergeCell ref="M40:N40"/>
    <mergeCell ref="O40:Q40"/>
  </mergeCells>
  <conditionalFormatting sqref="B29 E29 L30:M30 M26:S26 M27:M28 M29:S29 P27:P28">
    <cfRule type="cellIs" priority="2" operator="equal" aboveAverage="0" equalAverage="0" bottom="0" percent="0" rank="0" text="" dxfId="24">
      <formula>0</formula>
    </cfRule>
  </conditionalFormatting>
  <printOptions headings="false" gridLines="false" gridLinesSet="true" horizontalCentered="false" verticalCentered="false"/>
  <pageMargins left="0.75" right="0.5" top="0.75" bottom="0.5" header="0" footer="0.3"/>
  <pageSetup paperSize="1" scale="100" fitToWidth="1" fitToHeight="1" pageOrder="downThenOver" orientation="portrait"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F136"/>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9" activeCellId="0" sqref="A9"/>
    </sheetView>
  </sheetViews>
  <sheetFormatPr defaultColWidth="9.14453125" defaultRowHeight="12.8" zeroHeight="true" outlineLevelRow="0" outlineLevelCol="0"/>
  <cols>
    <col collapsed="false" customWidth="true" hidden="false" outlineLevel="0" max="32" min="1" style="396" width="2.86"/>
    <col collapsed="false" customWidth="false" hidden="true" outlineLevel="0" max="16384" min="33" style="396" width="9.14"/>
  </cols>
  <sheetData>
    <row r="1" customFormat="false" ht="15.75" hidden="false" customHeight="true" outlineLevel="0" collapsed="false">
      <c r="A1" s="395" t="s">
        <v>1519</v>
      </c>
      <c r="B1" s="395"/>
      <c r="C1" s="395"/>
      <c r="D1" s="395"/>
      <c r="E1" s="395"/>
      <c r="F1" s="395"/>
      <c r="G1" s="395"/>
      <c r="H1" s="395"/>
      <c r="I1" s="395"/>
      <c r="J1" s="395"/>
      <c r="K1" s="395"/>
      <c r="L1" s="395"/>
      <c r="M1" s="395"/>
      <c r="N1" s="395"/>
      <c r="O1" s="395"/>
      <c r="P1" s="395"/>
      <c r="Q1" s="395"/>
      <c r="R1" s="395"/>
      <c r="S1" s="395"/>
      <c r="T1" s="395"/>
      <c r="U1" s="395"/>
      <c r="V1" s="395"/>
      <c r="W1" s="395"/>
      <c r="X1" s="395"/>
      <c r="Y1" s="395"/>
      <c r="Z1" s="395"/>
      <c r="AA1" s="395"/>
      <c r="AB1" s="395"/>
      <c r="AC1" s="395"/>
      <c r="AD1" s="395"/>
      <c r="AE1" s="395"/>
      <c r="AF1" s="395"/>
    </row>
    <row r="2" customFormat="false" ht="15.75" hidden="false" customHeight="true" outlineLevel="0" collapsed="false">
      <c r="A2" s="395"/>
      <c r="B2" s="395"/>
      <c r="C2" s="395"/>
      <c r="D2" s="395"/>
      <c r="E2" s="395"/>
      <c r="F2" s="395"/>
      <c r="G2" s="395"/>
      <c r="H2" s="395"/>
      <c r="I2" s="395"/>
      <c r="J2" s="395"/>
      <c r="K2" s="395"/>
      <c r="L2" s="395"/>
      <c r="M2" s="395"/>
      <c r="N2" s="395"/>
      <c r="O2" s="395"/>
      <c r="P2" s="395"/>
      <c r="Q2" s="395"/>
      <c r="R2" s="395"/>
      <c r="S2" s="395"/>
      <c r="T2" s="395"/>
      <c r="U2" s="395"/>
      <c r="V2" s="395"/>
      <c r="W2" s="395"/>
      <c r="X2" s="395"/>
      <c r="Y2" s="395"/>
      <c r="Z2" s="395"/>
      <c r="AA2" s="395"/>
      <c r="AB2" s="395"/>
      <c r="AC2" s="395"/>
      <c r="AD2" s="395"/>
      <c r="AE2" s="395"/>
      <c r="AF2" s="395"/>
    </row>
    <row r="3" s="258" customFormat="true" ht="15.75" hidden="false" customHeight="true" outlineLevel="0" collapsed="false">
      <c r="A3" s="6" t="s">
        <v>1</v>
      </c>
      <c r="B3" s="6"/>
      <c r="C3" s="6"/>
      <c r="D3" s="6"/>
      <c r="E3" s="6"/>
      <c r="F3" s="608"/>
      <c r="G3" s="397" t="str">
        <f aca="false">UNIT_ROLLUP!F3</f>
        <v>H&amp;S BN MCIPAC MCB CP BUTLER JA</v>
      </c>
      <c r="H3" s="397"/>
      <c r="I3" s="397"/>
      <c r="J3" s="397"/>
      <c r="K3" s="397"/>
      <c r="L3" s="397"/>
      <c r="M3" s="6" t="s">
        <v>3</v>
      </c>
      <c r="N3" s="6"/>
      <c r="O3" s="6"/>
      <c r="P3" s="6"/>
      <c r="Q3" s="6"/>
      <c r="R3" s="397" t="str">
        <f aca="false">UNIT_ROLLUP!R3</f>
        <v>3D MEDICAL BATTALION</v>
      </c>
      <c r="S3" s="397"/>
      <c r="T3" s="397"/>
      <c r="U3" s="397"/>
      <c r="V3" s="397"/>
      <c r="W3" s="397"/>
      <c r="X3" s="397"/>
      <c r="Y3" s="1"/>
      <c r="Z3" s="1"/>
      <c r="AA3" s="1"/>
      <c r="AB3" s="1"/>
      <c r="AC3" s="1"/>
      <c r="AD3" s="1"/>
      <c r="AE3" s="7"/>
      <c r="AF3" s="7"/>
    </row>
    <row r="4" s="258" customFormat="true" ht="15.75" hidden="false" customHeight="true" outlineLevel="0" collapsed="false">
      <c r="A4" s="267" t="s">
        <v>5</v>
      </c>
      <c r="B4" s="267"/>
      <c r="C4" s="267"/>
      <c r="D4" s="267"/>
      <c r="E4" s="267"/>
      <c r="F4" s="608"/>
      <c r="G4" s="397" t="str">
        <f aca="false">UNIT_ROLLUP!F4</f>
        <v>M67400</v>
      </c>
      <c r="H4" s="397"/>
      <c r="I4" s="397"/>
      <c r="J4" s="397"/>
      <c r="K4" s="397"/>
      <c r="L4" s="397"/>
      <c r="M4" s="6" t="s">
        <v>7</v>
      </c>
      <c r="N4" s="6"/>
      <c r="O4" s="6"/>
      <c r="P4" s="6"/>
      <c r="Q4" s="6"/>
      <c r="R4" s="7" t="str">
        <f aca="false">UNIT_ROLLUP!R4</f>
        <v>M13020</v>
      </c>
      <c r="S4" s="7"/>
      <c r="T4" s="7"/>
      <c r="U4" s="7"/>
      <c r="V4" s="7"/>
      <c r="W4" s="7"/>
      <c r="X4" s="7"/>
      <c r="Y4" s="9" t="s">
        <v>9</v>
      </c>
      <c r="Z4" s="9"/>
      <c r="AA4" s="9"/>
      <c r="AB4" s="9"/>
      <c r="AC4" s="9"/>
      <c r="AD4" s="9"/>
      <c r="AE4" s="7" t="str">
        <f aca="false">UNIT_ROLLUP!AE4</f>
        <v>FO</v>
      </c>
      <c r="AF4" s="7"/>
    </row>
    <row r="5" customFormat="false" ht="15.75" hidden="false" customHeight="true" outlineLevel="0" collapsed="false">
      <c r="A5" s="398" t="s">
        <v>1522</v>
      </c>
      <c r="B5" s="398"/>
      <c r="C5" s="399" t="n">
        <v>61073</v>
      </c>
      <c r="D5" s="399"/>
      <c r="E5" s="399"/>
      <c r="F5" s="399"/>
      <c r="G5" s="399"/>
      <c r="H5" s="399"/>
      <c r="I5" s="399"/>
      <c r="J5" s="399"/>
      <c r="K5" s="399"/>
      <c r="L5" s="399"/>
      <c r="M5" s="398" t="s">
        <v>1523</v>
      </c>
      <c r="N5" s="398"/>
      <c r="O5" s="398"/>
      <c r="P5" s="398"/>
      <c r="Q5" s="398"/>
      <c r="R5" s="399" t="s">
        <v>20</v>
      </c>
      <c r="S5" s="399"/>
      <c r="T5" s="399"/>
      <c r="U5" s="399"/>
      <c r="V5" s="399"/>
      <c r="W5" s="399"/>
      <c r="X5" s="399"/>
      <c r="Y5" s="399"/>
      <c r="Z5" s="399"/>
      <c r="AA5" s="399"/>
      <c r="AB5" s="399"/>
      <c r="AC5" s="399"/>
      <c r="AD5" s="399"/>
      <c r="AE5" s="399"/>
      <c r="AF5" s="399"/>
    </row>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c r="A9" s="612" t="s">
        <v>2369</v>
      </c>
      <c r="B9" s="612"/>
      <c r="C9" s="612"/>
      <c r="D9" s="612"/>
      <c r="E9" s="612"/>
      <c r="F9" s="612"/>
      <c r="G9" s="612"/>
      <c r="H9" s="612"/>
      <c r="I9" s="612"/>
      <c r="J9" s="612"/>
      <c r="K9" s="612"/>
      <c r="L9" s="612"/>
      <c r="M9" s="612"/>
      <c r="N9" s="612"/>
      <c r="O9" s="612"/>
      <c r="P9" s="612"/>
      <c r="Q9" s="612"/>
      <c r="R9" s="612"/>
      <c r="S9" s="612"/>
      <c r="T9" s="612"/>
      <c r="U9" s="612"/>
      <c r="V9" s="612"/>
      <c r="W9" s="612"/>
      <c r="X9" s="612"/>
      <c r="Y9" s="612"/>
      <c r="Z9" s="612"/>
      <c r="AA9" s="612"/>
      <c r="AB9" s="612"/>
      <c r="AC9" s="612"/>
      <c r="AD9" s="612"/>
      <c r="AE9" s="612"/>
      <c r="AF9" s="612"/>
    </row>
    <row r="10" customFormat="false" ht="15.75" hidden="false" customHeight="true" outlineLevel="0" collapsed="false">
      <c r="A10" s="612"/>
      <c r="B10" s="612"/>
      <c r="C10" s="612"/>
      <c r="D10" s="612"/>
      <c r="E10" s="612"/>
      <c r="F10" s="612"/>
      <c r="G10" s="612"/>
      <c r="H10" s="612"/>
      <c r="I10" s="612"/>
      <c r="J10" s="612"/>
      <c r="K10" s="612"/>
      <c r="L10" s="612"/>
      <c r="M10" s="612"/>
      <c r="N10" s="612"/>
      <c r="O10" s="612"/>
      <c r="P10" s="612"/>
      <c r="Q10" s="612"/>
      <c r="R10" s="612"/>
      <c r="S10" s="612"/>
      <c r="T10" s="612"/>
      <c r="U10" s="612"/>
      <c r="V10" s="612"/>
      <c r="W10" s="612"/>
      <c r="X10" s="612"/>
      <c r="Y10" s="612"/>
      <c r="Z10" s="612"/>
      <c r="AA10" s="612"/>
      <c r="AB10" s="612"/>
      <c r="AC10" s="612"/>
      <c r="AD10" s="612"/>
      <c r="AE10" s="612"/>
      <c r="AF10" s="612"/>
    </row>
    <row r="11" customFormat="false" ht="15.75" hidden="false" customHeight="true" outlineLevel="0" collapsed="false">
      <c r="A11" s="612"/>
      <c r="B11" s="612"/>
      <c r="C11" s="612"/>
      <c r="D11" s="612"/>
      <c r="E11" s="612"/>
      <c r="F11" s="612"/>
      <c r="G11" s="612"/>
      <c r="H11" s="612"/>
      <c r="I11" s="612"/>
      <c r="J11" s="612"/>
      <c r="K11" s="612"/>
      <c r="L11" s="612"/>
      <c r="M11" s="612"/>
      <c r="N11" s="612"/>
      <c r="O11" s="612"/>
      <c r="P11" s="612"/>
      <c r="Q11" s="612"/>
      <c r="R11" s="612"/>
      <c r="S11" s="612"/>
      <c r="T11" s="612"/>
      <c r="U11" s="612"/>
      <c r="V11" s="612"/>
      <c r="W11" s="612"/>
      <c r="X11" s="612"/>
      <c r="Y11" s="612"/>
      <c r="Z11" s="612"/>
      <c r="AA11" s="612"/>
      <c r="AB11" s="612"/>
      <c r="AC11" s="612"/>
      <c r="AD11" s="612"/>
      <c r="AE11" s="612"/>
      <c r="AF11" s="612"/>
    </row>
    <row r="12" customFormat="false" ht="15.75" hidden="false" customHeight="true" outlineLevel="0" collapsed="false">
      <c r="A12" s="612"/>
      <c r="B12" s="612"/>
      <c r="C12" s="612"/>
      <c r="D12" s="612"/>
      <c r="E12" s="612"/>
      <c r="F12" s="612"/>
      <c r="G12" s="612"/>
      <c r="H12" s="612"/>
      <c r="I12" s="612"/>
      <c r="J12" s="612"/>
      <c r="K12" s="612"/>
      <c r="L12" s="612"/>
      <c r="M12" s="612"/>
      <c r="N12" s="612"/>
      <c r="O12" s="612"/>
      <c r="P12" s="612"/>
      <c r="Q12" s="612"/>
      <c r="R12" s="612"/>
      <c r="S12" s="612"/>
      <c r="T12" s="612"/>
      <c r="U12" s="612"/>
      <c r="V12" s="612"/>
      <c r="W12" s="612"/>
      <c r="X12" s="612"/>
      <c r="Y12" s="612"/>
      <c r="Z12" s="612"/>
      <c r="AA12" s="612"/>
      <c r="AB12" s="612"/>
      <c r="AC12" s="612"/>
      <c r="AD12" s="612"/>
      <c r="AE12" s="612"/>
      <c r="AF12" s="612"/>
    </row>
    <row r="13" customFormat="false" ht="15.75" hidden="false" customHeight="true" outlineLevel="0" collapsed="false">
      <c r="A13" s="612"/>
      <c r="B13" s="612"/>
      <c r="C13" s="612"/>
      <c r="D13" s="612"/>
      <c r="E13" s="612"/>
      <c r="F13" s="612"/>
      <c r="G13" s="612"/>
      <c r="H13" s="612"/>
      <c r="I13" s="612"/>
      <c r="J13" s="612"/>
      <c r="K13" s="612"/>
      <c r="L13" s="612"/>
      <c r="M13" s="612"/>
      <c r="N13" s="612"/>
      <c r="O13" s="612"/>
      <c r="P13" s="612"/>
      <c r="Q13" s="612"/>
      <c r="R13" s="612"/>
      <c r="S13" s="612"/>
      <c r="T13" s="612"/>
      <c r="U13" s="612"/>
      <c r="V13" s="612"/>
      <c r="W13" s="612"/>
      <c r="X13" s="612"/>
      <c r="Y13" s="612"/>
      <c r="Z13" s="612"/>
      <c r="AA13" s="612"/>
      <c r="AB13" s="612"/>
      <c r="AC13" s="612"/>
      <c r="AD13" s="612"/>
      <c r="AE13" s="612"/>
      <c r="AF13" s="612"/>
    </row>
    <row r="14" customFormat="false" ht="15.75" hidden="false" customHeight="true" outlineLevel="0" collapsed="false">
      <c r="A14" s="612"/>
      <c r="B14" s="612"/>
      <c r="C14" s="612"/>
      <c r="D14" s="612"/>
      <c r="E14" s="612"/>
      <c r="F14" s="612"/>
      <c r="G14" s="612"/>
      <c r="H14" s="612"/>
      <c r="I14" s="612"/>
      <c r="J14" s="612"/>
      <c r="K14" s="612"/>
      <c r="L14" s="612"/>
      <c r="M14" s="612"/>
      <c r="N14" s="612"/>
      <c r="O14" s="612"/>
      <c r="P14" s="612"/>
      <c r="Q14" s="612"/>
      <c r="R14" s="612"/>
      <c r="S14" s="612"/>
      <c r="T14" s="612"/>
      <c r="U14" s="612"/>
      <c r="V14" s="612"/>
      <c r="W14" s="612"/>
      <c r="X14" s="612"/>
      <c r="Y14" s="612"/>
      <c r="Z14" s="612"/>
      <c r="AA14" s="612"/>
      <c r="AB14" s="612"/>
      <c r="AC14" s="612"/>
      <c r="AD14" s="612"/>
      <c r="AE14" s="612"/>
      <c r="AF14" s="612"/>
    </row>
    <row r="15" customFormat="false" ht="15.75" hidden="false" customHeight="true" outlineLevel="0" collapsed="false">
      <c r="A15" s="612"/>
      <c r="B15" s="612"/>
      <c r="C15" s="612"/>
      <c r="D15" s="612"/>
      <c r="E15" s="612"/>
      <c r="F15" s="612"/>
      <c r="G15" s="612"/>
      <c r="H15" s="612"/>
      <c r="I15" s="612"/>
      <c r="J15" s="612"/>
      <c r="K15" s="612"/>
      <c r="L15" s="612"/>
      <c r="M15" s="612"/>
      <c r="N15" s="612"/>
      <c r="O15" s="612"/>
      <c r="P15" s="612"/>
      <c r="Q15" s="612"/>
      <c r="R15" s="612"/>
      <c r="S15" s="612"/>
      <c r="T15" s="612"/>
      <c r="U15" s="612"/>
      <c r="V15" s="612"/>
      <c r="W15" s="612"/>
      <c r="X15" s="612"/>
      <c r="Y15" s="612"/>
      <c r="Z15" s="612"/>
      <c r="AA15" s="612"/>
      <c r="AB15" s="612"/>
      <c r="AC15" s="612"/>
      <c r="AD15" s="612"/>
      <c r="AE15" s="612"/>
      <c r="AF15" s="612"/>
    </row>
    <row r="16" customFormat="false" ht="15.75" hidden="false" customHeight="true" outlineLevel="0" collapsed="false">
      <c r="A16" s="612"/>
      <c r="B16" s="612"/>
      <c r="C16" s="612"/>
      <c r="D16" s="612"/>
      <c r="E16" s="612"/>
      <c r="F16" s="612"/>
      <c r="G16" s="612"/>
      <c r="H16" s="612"/>
      <c r="I16" s="612"/>
      <c r="J16" s="612"/>
      <c r="K16" s="612"/>
      <c r="L16" s="612"/>
      <c r="M16" s="612"/>
      <c r="N16" s="612"/>
      <c r="O16" s="612"/>
      <c r="P16" s="612"/>
      <c r="Q16" s="612"/>
      <c r="R16" s="612"/>
      <c r="S16" s="612"/>
      <c r="T16" s="612"/>
      <c r="U16" s="612"/>
      <c r="V16" s="612"/>
      <c r="W16" s="612"/>
      <c r="X16" s="612"/>
      <c r="Y16" s="612"/>
      <c r="Z16" s="612"/>
      <c r="AA16" s="612"/>
      <c r="AB16" s="612"/>
      <c r="AC16" s="612"/>
      <c r="AD16" s="612"/>
      <c r="AE16" s="612"/>
      <c r="AF16" s="612"/>
    </row>
    <row r="17" customFormat="false" ht="15.75" hidden="false" customHeight="true" outlineLevel="0" collapsed="false">
      <c r="A17" s="612"/>
      <c r="B17" s="612"/>
      <c r="C17" s="612"/>
      <c r="D17" s="612"/>
      <c r="E17" s="612"/>
      <c r="F17" s="612"/>
      <c r="G17" s="612"/>
      <c r="H17" s="612"/>
      <c r="I17" s="612"/>
      <c r="J17" s="612"/>
      <c r="K17" s="612"/>
      <c r="L17" s="612"/>
      <c r="M17" s="612"/>
      <c r="N17" s="612"/>
      <c r="O17" s="612"/>
      <c r="P17" s="612"/>
      <c r="Q17" s="612"/>
      <c r="R17" s="612"/>
      <c r="S17" s="612"/>
      <c r="T17" s="612"/>
      <c r="U17" s="612"/>
      <c r="V17" s="612"/>
      <c r="W17" s="612"/>
      <c r="X17" s="612"/>
      <c r="Y17" s="612"/>
      <c r="Z17" s="612"/>
      <c r="AA17" s="612"/>
      <c r="AB17" s="612"/>
      <c r="AC17" s="612"/>
      <c r="AD17" s="612"/>
      <c r="AE17" s="612"/>
      <c r="AF17" s="612"/>
    </row>
    <row r="18" s="406" customFormat="true" ht="15.75" hidden="false" customHeight="true" outlineLevel="0" collapsed="false">
      <c r="A18" s="612"/>
      <c r="B18" s="612"/>
      <c r="C18" s="612"/>
      <c r="D18" s="612"/>
      <c r="E18" s="612"/>
      <c r="F18" s="612"/>
      <c r="G18" s="612"/>
      <c r="H18" s="612"/>
      <c r="I18" s="612"/>
      <c r="J18" s="612"/>
      <c r="K18" s="612"/>
      <c r="L18" s="612"/>
      <c r="M18" s="612"/>
      <c r="N18" s="612"/>
      <c r="O18" s="612"/>
      <c r="P18" s="612"/>
      <c r="Q18" s="612"/>
      <c r="R18" s="612"/>
      <c r="S18" s="612"/>
      <c r="T18" s="612"/>
      <c r="U18" s="612"/>
      <c r="V18" s="612"/>
      <c r="W18" s="612"/>
      <c r="X18" s="612"/>
      <c r="Y18" s="612"/>
      <c r="Z18" s="612"/>
      <c r="AA18" s="612"/>
      <c r="AB18" s="612"/>
      <c r="AC18" s="612"/>
      <c r="AD18" s="612"/>
      <c r="AE18" s="612"/>
      <c r="AF18" s="612"/>
    </row>
    <row r="19" customFormat="false" ht="15.75" hidden="false" customHeight="true" outlineLevel="0" collapsed="false">
      <c r="A19" s="612"/>
      <c r="B19" s="612"/>
      <c r="C19" s="612"/>
      <c r="D19" s="612"/>
      <c r="E19" s="612"/>
      <c r="F19" s="612"/>
      <c r="G19" s="612"/>
      <c r="H19" s="612"/>
      <c r="I19" s="612"/>
      <c r="J19" s="612"/>
      <c r="K19" s="612"/>
      <c r="L19" s="612"/>
      <c r="M19" s="612"/>
      <c r="N19" s="612"/>
      <c r="O19" s="612"/>
      <c r="P19" s="612"/>
      <c r="Q19" s="612"/>
      <c r="R19" s="612"/>
      <c r="S19" s="612"/>
      <c r="T19" s="612"/>
      <c r="U19" s="612"/>
      <c r="V19" s="612"/>
      <c r="W19" s="612"/>
      <c r="X19" s="612"/>
      <c r="Y19" s="612"/>
      <c r="Z19" s="612"/>
      <c r="AA19" s="612"/>
      <c r="AB19" s="612"/>
      <c r="AC19" s="612"/>
      <c r="AD19" s="612"/>
      <c r="AE19" s="612"/>
      <c r="AF19" s="612"/>
    </row>
    <row r="20" customFormat="false" ht="15.75" hidden="false" customHeight="true" outlineLevel="0" collapsed="false">
      <c r="A20" s="612"/>
      <c r="B20" s="612"/>
      <c r="C20" s="612"/>
      <c r="D20" s="612"/>
      <c r="E20" s="612"/>
      <c r="F20" s="612"/>
      <c r="G20" s="612"/>
      <c r="H20" s="612"/>
      <c r="I20" s="612"/>
      <c r="J20" s="612"/>
      <c r="K20" s="612"/>
      <c r="L20" s="612"/>
      <c r="M20" s="612"/>
      <c r="N20" s="612"/>
      <c r="O20" s="612"/>
      <c r="P20" s="612"/>
      <c r="Q20" s="612"/>
      <c r="R20" s="612"/>
      <c r="S20" s="612"/>
      <c r="T20" s="612"/>
      <c r="U20" s="612"/>
      <c r="V20" s="612"/>
      <c r="W20" s="612"/>
      <c r="X20" s="612"/>
      <c r="Y20" s="612"/>
      <c r="Z20" s="612"/>
      <c r="AA20" s="612"/>
      <c r="AB20" s="612"/>
      <c r="AC20" s="612"/>
      <c r="AD20" s="612"/>
      <c r="AE20" s="612"/>
      <c r="AF20" s="612"/>
    </row>
    <row r="21" customFormat="false" ht="15.75" hidden="false" customHeight="true" outlineLevel="0" collapsed="false">
      <c r="A21" s="612"/>
      <c r="B21" s="612"/>
      <c r="C21" s="612"/>
      <c r="D21" s="612"/>
      <c r="E21" s="612"/>
      <c r="F21" s="612"/>
      <c r="G21" s="612"/>
      <c r="H21" s="612"/>
      <c r="I21" s="612"/>
      <c r="J21" s="612"/>
      <c r="K21" s="612"/>
      <c r="L21" s="612"/>
      <c r="M21" s="612"/>
      <c r="N21" s="612"/>
      <c r="O21" s="612"/>
      <c r="P21" s="612"/>
      <c r="Q21" s="612"/>
      <c r="R21" s="612"/>
      <c r="S21" s="612"/>
      <c r="T21" s="612"/>
      <c r="U21" s="612"/>
      <c r="V21" s="612"/>
      <c r="W21" s="612"/>
      <c r="X21" s="612"/>
      <c r="Y21" s="612"/>
      <c r="Z21" s="612"/>
      <c r="AA21" s="612"/>
      <c r="AB21" s="612"/>
      <c r="AC21" s="612"/>
      <c r="AD21" s="612"/>
      <c r="AE21" s="612"/>
      <c r="AF21" s="612"/>
    </row>
    <row r="22" customFormat="false" ht="15.75" hidden="false" customHeight="true" outlineLevel="0" collapsed="false">
      <c r="A22" s="612"/>
      <c r="B22" s="612"/>
      <c r="C22" s="612"/>
      <c r="D22" s="612"/>
      <c r="E22" s="612"/>
      <c r="F22" s="612"/>
      <c r="G22" s="612"/>
      <c r="H22" s="612"/>
      <c r="I22" s="612"/>
      <c r="J22" s="612"/>
      <c r="K22" s="612"/>
      <c r="L22" s="612"/>
      <c r="M22" s="612"/>
      <c r="N22" s="612"/>
      <c r="O22" s="612"/>
      <c r="P22" s="612"/>
      <c r="Q22" s="612"/>
      <c r="R22" s="612"/>
      <c r="S22" s="612"/>
      <c r="T22" s="612"/>
      <c r="U22" s="612"/>
      <c r="V22" s="612"/>
      <c r="W22" s="612"/>
      <c r="X22" s="612"/>
      <c r="Y22" s="612"/>
      <c r="Z22" s="612"/>
      <c r="AA22" s="612"/>
      <c r="AB22" s="612"/>
      <c r="AC22" s="612"/>
      <c r="AD22" s="612"/>
      <c r="AE22" s="612"/>
      <c r="AF22" s="612"/>
    </row>
    <row r="23" s="406" customFormat="true" ht="15.75" hidden="false" customHeight="true" outlineLevel="0" collapsed="false">
      <c r="A23" s="612"/>
      <c r="B23" s="612"/>
      <c r="C23" s="612"/>
      <c r="D23" s="612"/>
      <c r="E23" s="612"/>
      <c r="F23" s="612"/>
      <c r="G23" s="612"/>
      <c r="H23" s="612"/>
      <c r="I23" s="612"/>
      <c r="J23" s="612"/>
      <c r="K23" s="612"/>
      <c r="L23" s="612"/>
      <c r="M23" s="612"/>
      <c r="N23" s="612"/>
      <c r="O23" s="612"/>
      <c r="P23" s="612"/>
      <c r="Q23" s="612"/>
      <c r="R23" s="612"/>
      <c r="S23" s="612"/>
      <c r="T23" s="612"/>
      <c r="U23" s="612"/>
      <c r="V23" s="612"/>
      <c r="W23" s="612"/>
      <c r="X23" s="612"/>
      <c r="Y23" s="612"/>
      <c r="Z23" s="612"/>
      <c r="AA23" s="612"/>
      <c r="AB23" s="612"/>
      <c r="AC23" s="612"/>
      <c r="AD23" s="612"/>
      <c r="AE23" s="612"/>
      <c r="AF23" s="612"/>
    </row>
    <row r="24" customFormat="false" ht="15.75" hidden="false" customHeight="true" outlineLevel="0" collapsed="false">
      <c r="A24" s="612"/>
      <c r="B24" s="612"/>
      <c r="C24" s="612"/>
      <c r="D24" s="612"/>
      <c r="E24" s="612"/>
      <c r="F24" s="612"/>
      <c r="G24" s="612"/>
      <c r="H24" s="612"/>
      <c r="I24" s="612"/>
      <c r="J24" s="612"/>
      <c r="K24" s="612"/>
      <c r="L24" s="612"/>
      <c r="M24" s="612"/>
      <c r="N24" s="612"/>
      <c r="O24" s="612"/>
      <c r="P24" s="612"/>
      <c r="Q24" s="612"/>
      <c r="R24" s="612"/>
      <c r="S24" s="612"/>
      <c r="T24" s="612"/>
      <c r="U24" s="612"/>
      <c r="V24" s="612"/>
      <c r="W24" s="612"/>
      <c r="X24" s="612"/>
      <c r="Y24" s="612"/>
      <c r="Z24" s="612"/>
      <c r="AA24" s="612"/>
      <c r="AB24" s="612"/>
      <c r="AC24" s="612"/>
      <c r="AD24" s="612"/>
      <c r="AE24" s="612"/>
      <c r="AF24" s="612"/>
    </row>
    <row r="25" customFormat="false" ht="15.75" hidden="false" customHeight="true" outlineLevel="0" collapsed="false">
      <c r="A25" s="612"/>
      <c r="B25" s="612"/>
      <c r="C25" s="612"/>
      <c r="D25" s="612"/>
      <c r="E25" s="612"/>
      <c r="F25" s="612"/>
      <c r="G25" s="612"/>
      <c r="H25" s="612"/>
      <c r="I25" s="612"/>
      <c r="J25" s="612"/>
      <c r="K25" s="612"/>
      <c r="L25" s="612"/>
      <c r="M25" s="612"/>
      <c r="N25" s="612"/>
      <c r="O25" s="612"/>
      <c r="P25" s="612"/>
      <c r="Q25" s="612"/>
      <c r="R25" s="612"/>
      <c r="S25" s="612"/>
      <c r="T25" s="612"/>
      <c r="U25" s="612"/>
      <c r="V25" s="612"/>
      <c r="W25" s="612"/>
      <c r="X25" s="612"/>
      <c r="Y25" s="612"/>
      <c r="Z25" s="612"/>
      <c r="AA25" s="612"/>
      <c r="AB25" s="612"/>
      <c r="AC25" s="612"/>
      <c r="AD25" s="612"/>
      <c r="AE25" s="612"/>
      <c r="AF25" s="612"/>
    </row>
    <row r="26" customFormat="false" ht="15.75" hidden="false" customHeight="true" outlineLevel="0" collapsed="false">
      <c r="A26" s="612"/>
      <c r="B26" s="612"/>
      <c r="C26" s="612"/>
      <c r="D26" s="612"/>
      <c r="E26" s="612"/>
      <c r="F26" s="612"/>
      <c r="G26" s="612"/>
      <c r="H26" s="612"/>
      <c r="I26" s="612"/>
      <c r="J26" s="612"/>
      <c r="K26" s="612"/>
      <c r="L26" s="612"/>
      <c r="M26" s="612"/>
      <c r="N26" s="612"/>
      <c r="O26" s="612"/>
      <c r="P26" s="612"/>
      <c r="Q26" s="612"/>
      <c r="R26" s="612"/>
      <c r="S26" s="612"/>
      <c r="T26" s="612"/>
      <c r="U26" s="612"/>
      <c r="V26" s="612"/>
      <c r="W26" s="612"/>
      <c r="X26" s="612"/>
      <c r="Y26" s="612"/>
      <c r="Z26" s="612"/>
      <c r="AA26" s="612"/>
      <c r="AB26" s="612"/>
      <c r="AC26" s="612"/>
      <c r="AD26" s="612"/>
      <c r="AE26" s="612"/>
      <c r="AF26" s="612"/>
    </row>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c r="A40" s="446" t="s">
        <v>26</v>
      </c>
      <c r="B40" s="446"/>
      <c r="C40" s="446"/>
      <c r="D40" s="446"/>
      <c r="E40" s="446"/>
      <c r="F40" s="446"/>
      <c r="G40" s="446"/>
      <c r="H40" s="1203" t="n">
        <v>0</v>
      </c>
      <c r="I40" s="1203"/>
      <c r="J40" s="1203"/>
      <c r="K40" s="1203"/>
      <c r="L40" s="1204" t="s">
        <v>1656</v>
      </c>
      <c r="M40" s="1205"/>
      <c r="N40" s="1205"/>
      <c r="O40" s="1206"/>
      <c r="P40" s="1206"/>
      <c r="Q40" s="1206"/>
      <c r="R40" s="1204"/>
      <c r="S40" s="1204"/>
      <c r="T40" s="1204"/>
      <c r="U40" s="1204"/>
      <c r="V40" s="1204"/>
      <c r="W40" s="1204"/>
      <c r="X40" s="1204"/>
      <c r="Y40" s="1207"/>
      <c r="Z40" s="452"/>
      <c r="AA40" s="452"/>
      <c r="AB40" s="453"/>
      <c r="AC40" s="454" t="s">
        <v>1657</v>
      </c>
      <c r="AD40" s="455" t="n">
        <v>1</v>
      </c>
      <c r="AE40" s="455" t="s">
        <v>29</v>
      </c>
      <c r="AF40" s="455" t="n">
        <v>1</v>
      </c>
    </row>
    <row r="41" customFormat="false" ht="12.75" hidden="true" customHeight="true" outlineLevel="0" collapsed="false"/>
    <row r="42" customFormat="false" ht="12.75" hidden="true" customHeight="true" outlineLevel="0" collapsed="false"/>
    <row r="43" customFormat="false" ht="12.75" hidden="true" customHeight="true" outlineLevel="0" collapsed="false"/>
    <row r="44" customFormat="false" ht="12.75" hidden="true" customHeight="true" outlineLevel="0" collapsed="false"/>
    <row r="45" customFormat="false" ht="12.75" hidden="true" customHeight="true" outlineLevel="0" collapsed="false"/>
    <row r="46" customFormat="false" ht="12.75" hidden="true" customHeight="true" outlineLevel="0" collapsed="false"/>
    <row r="47" customFormat="false" ht="12.75" hidden="true" customHeight="true" outlineLevel="0" collapsed="false"/>
    <row r="48" customFormat="false" ht="12.75" hidden="true" customHeight="true" outlineLevel="0" collapsed="false"/>
    <row r="49" customFormat="false" ht="12.75" hidden="true" customHeight="true" outlineLevel="0" collapsed="false"/>
    <row r="50" customFormat="false" ht="12.75" hidden="true" customHeight="true" outlineLevel="0" collapsed="false"/>
    <row r="51" customFormat="false" ht="12.75" hidden="true" customHeight="true" outlineLevel="0" collapsed="false"/>
    <row r="52" customFormat="false" ht="12.75" hidden="true" customHeight="true" outlineLevel="0" collapsed="false"/>
    <row r="53" customFormat="false" ht="12.75" hidden="true" customHeight="true" outlineLevel="0" collapsed="false"/>
    <row r="54" customFormat="false" ht="12.75" hidden="true" customHeight="true" outlineLevel="0" collapsed="false"/>
    <row r="55" customFormat="false" ht="12.75" hidden="true" customHeight="true" outlineLevel="0" collapsed="false"/>
    <row r="56" customFormat="false" ht="12.75" hidden="true" customHeight="true" outlineLevel="0" collapsed="false"/>
    <row r="57" customFormat="false" ht="12.75" hidden="true" customHeight="true" outlineLevel="0" collapsed="false"/>
    <row r="58" customFormat="false" ht="12.75" hidden="true" customHeight="true" outlineLevel="0" collapsed="false"/>
    <row r="59" customFormat="false" ht="12.75" hidden="true" customHeight="true" outlineLevel="0" collapsed="false"/>
    <row r="60" customFormat="false" ht="12.75" hidden="true" customHeight="true" outlineLevel="0" collapsed="false"/>
    <row r="61" customFormat="false" ht="12.75" hidden="true" customHeight="true" outlineLevel="0" collapsed="false"/>
    <row r="62" customFormat="false" ht="12.75" hidden="true" customHeight="true" outlineLevel="0" collapsed="false"/>
    <row r="63" customFormat="false" ht="12.75" hidden="true" customHeight="true" outlineLevel="0" collapsed="false"/>
    <row r="64" customFormat="false" ht="12.75" hidden="true" customHeight="true" outlineLevel="0" collapsed="false"/>
    <row r="65" customFormat="false" ht="12.75" hidden="true" customHeight="true" outlineLevel="0" collapsed="false"/>
    <row r="66" customFormat="false" ht="12.75" hidden="true" customHeight="true" outlineLevel="0" collapsed="false"/>
    <row r="67" customFormat="false" ht="12.75" hidden="true" customHeight="true" outlineLevel="0" collapsed="false"/>
    <row r="68" customFormat="false" ht="12.75" hidden="true" customHeight="true" outlineLevel="0" collapsed="false"/>
    <row r="69" customFormat="false" ht="12.75" hidden="true" customHeight="true" outlineLevel="0" collapsed="false"/>
    <row r="70" customFormat="false" ht="12.75" hidden="true" customHeight="true" outlineLevel="0" collapsed="false"/>
    <row r="71" customFormat="false" ht="12.75" hidden="true" customHeight="true" outlineLevel="0" collapsed="false"/>
    <row r="72" customFormat="false" ht="12.75" hidden="true" customHeight="true" outlineLevel="0" collapsed="false"/>
    <row r="73" customFormat="false" ht="12.75" hidden="true" customHeight="true" outlineLevel="0" collapsed="false"/>
    <row r="74" customFormat="false" ht="12.75" hidden="true" customHeight="true" outlineLevel="0" collapsed="false"/>
    <row r="75" customFormat="false" ht="12.75" hidden="true" customHeight="true" outlineLevel="0" collapsed="false"/>
    <row r="76" customFormat="false" ht="12.75" hidden="true" customHeight="true" outlineLevel="0" collapsed="false"/>
    <row r="77" customFormat="false" ht="12.75" hidden="true" customHeight="true" outlineLevel="0" collapsed="false"/>
    <row r="78" customFormat="false" ht="12.75" hidden="true" customHeight="true" outlineLevel="0" collapsed="false"/>
    <row r="79" customFormat="false" ht="12.75" hidden="true" customHeight="true" outlineLevel="0" collapsed="false"/>
    <row r="80" customFormat="false" ht="12.75" hidden="true" customHeight="true" outlineLevel="0" collapsed="false"/>
    <row r="81" customFormat="false" ht="12.75" hidden="true" customHeight="true" outlineLevel="0" collapsed="false"/>
    <row r="82" customFormat="false" ht="12.75" hidden="true" customHeight="true" outlineLevel="0" collapsed="false"/>
    <row r="83" customFormat="false" ht="12.75" hidden="true" customHeight="true" outlineLevel="0" collapsed="false"/>
    <row r="84" customFormat="false" ht="12.75" hidden="true" customHeight="true" outlineLevel="0" collapsed="false"/>
    <row r="85" customFormat="false" ht="12.75" hidden="true" customHeight="true" outlineLevel="0" collapsed="false"/>
    <row r="86" customFormat="false" ht="12.75" hidden="true" customHeight="true" outlineLevel="0" collapsed="false"/>
    <row r="87" customFormat="false" ht="12.75" hidden="true" customHeight="true" outlineLevel="0" collapsed="false"/>
    <row r="88" customFormat="false" ht="12.75" hidden="true" customHeight="true" outlineLevel="0" collapsed="false"/>
    <row r="89" customFormat="false" ht="12.75" hidden="true" customHeight="true" outlineLevel="0" collapsed="false"/>
    <row r="90" customFormat="false" ht="12.75" hidden="true" customHeight="true" outlineLevel="0" collapsed="false"/>
    <row r="91" customFormat="false" ht="12.75" hidden="true" customHeight="true" outlineLevel="0" collapsed="false"/>
    <row r="92" customFormat="false" ht="12.75" hidden="true" customHeight="true" outlineLevel="0" collapsed="false"/>
    <row r="93" customFormat="false" ht="12.75" hidden="true" customHeight="true" outlineLevel="0" collapsed="false"/>
    <row r="94" customFormat="false" ht="12.75" hidden="true" customHeight="true" outlineLevel="0" collapsed="false"/>
    <row r="95" customFormat="false" ht="12.75" hidden="true" customHeight="true" outlineLevel="0" collapsed="false"/>
    <row r="96" customFormat="false" ht="12.75" hidden="true" customHeight="true" outlineLevel="0" collapsed="false"/>
    <row r="97" customFormat="false" ht="12.75" hidden="true" customHeight="true" outlineLevel="0" collapsed="false"/>
    <row r="98" customFormat="false" ht="12.75" hidden="true" customHeight="true" outlineLevel="0" collapsed="false"/>
    <row r="99" customFormat="false" ht="12.75" hidden="true" customHeight="true" outlineLevel="0" collapsed="false"/>
    <row r="100" customFormat="false" ht="12.75" hidden="true" customHeight="true" outlineLevel="0" collapsed="false"/>
    <row r="101" customFormat="false" ht="12.75" hidden="true" customHeight="true" outlineLevel="0" collapsed="false"/>
    <row r="102" customFormat="false" ht="12.75" hidden="true" customHeight="true" outlineLevel="0" collapsed="false"/>
    <row r="103" customFormat="false" ht="12.75" hidden="true" customHeight="true" outlineLevel="0" collapsed="false"/>
    <row r="104" customFormat="false" ht="12.75" hidden="true" customHeight="true" outlineLevel="0" collapsed="false"/>
    <row r="105" customFormat="false" ht="12.75" hidden="true" customHeight="true" outlineLevel="0" collapsed="false"/>
    <row r="106" customFormat="false" ht="12.75" hidden="true" customHeight="true" outlineLevel="0" collapsed="false"/>
    <row r="107" customFormat="false" ht="12.75" hidden="true" customHeight="true" outlineLevel="0" collapsed="false"/>
    <row r="108" customFormat="false" ht="12.75" hidden="true" customHeight="true" outlineLevel="0" collapsed="false"/>
    <row r="109" customFormat="false" ht="12.75" hidden="true" customHeight="true" outlineLevel="0" collapsed="false"/>
    <row r="110" customFormat="false" ht="12.75" hidden="true" customHeight="true" outlineLevel="0" collapsed="false"/>
    <row r="111" customFormat="false" ht="12.75" hidden="true" customHeight="true" outlineLevel="0" collapsed="false"/>
    <row r="112" customFormat="false" ht="12.75" hidden="true" customHeight="true" outlineLevel="0" collapsed="false"/>
    <row r="113" customFormat="false" ht="12.75" hidden="true" customHeight="true" outlineLevel="0" collapsed="false"/>
    <row r="114" customFormat="false" ht="12.75" hidden="true" customHeight="true" outlineLevel="0" collapsed="false"/>
    <row r="115" customFormat="false" ht="12.75" hidden="true" customHeight="true" outlineLevel="0" collapsed="false"/>
    <row r="116" customFormat="false" ht="12.75" hidden="true" customHeight="true" outlineLevel="0" collapsed="false"/>
    <row r="117" customFormat="false" ht="12.75" hidden="true" customHeight="true" outlineLevel="0" collapsed="false"/>
    <row r="118" customFormat="false" ht="12.75" hidden="true" customHeight="true" outlineLevel="0" collapsed="false"/>
    <row r="119" customFormat="false" ht="12.75" hidden="true" customHeight="true" outlineLevel="0" collapsed="false"/>
    <row r="120" customFormat="false" ht="12.75" hidden="true" customHeight="true" outlineLevel="0" collapsed="false"/>
    <row r="121" customFormat="false" ht="12.75" hidden="true" customHeight="true" outlineLevel="0" collapsed="false"/>
    <row r="122" customFormat="false" ht="12.75" hidden="true" customHeight="true" outlineLevel="0" collapsed="false"/>
    <row r="123" customFormat="false" ht="12.75" hidden="true" customHeight="true" outlineLevel="0" collapsed="false"/>
    <row r="124" customFormat="false" ht="12.75" hidden="true" customHeight="true" outlineLevel="0" collapsed="false"/>
    <row r="125" customFormat="false" ht="12.75" hidden="true" customHeight="true" outlineLevel="0" collapsed="false"/>
    <row r="126" customFormat="false" ht="12.75" hidden="true" customHeight="true" outlineLevel="0" collapsed="false"/>
    <row r="127" customFormat="false" ht="12.75" hidden="true" customHeight="true" outlineLevel="0" collapsed="false"/>
    <row r="128" customFormat="false" ht="12.75" hidden="tru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sheetData>
  <mergeCells count="17">
    <mergeCell ref="A1:AF2"/>
    <mergeCell ref="A3:E3"/>
    <mergeCell ref="M3:Q3"/>
    <mergeCell ref="AE3:AF3"/>
    <mergeCell ref="M4:Q4"/>
    <mergeCell ref="R4:X4"/>
    <mergeCell ref="Y4:AD4"/>
    <mergeCell ref="AE4:AF4"/>
    <mergeCell ref="A5:B5"/>
    <mergeCell ref="C5:L5"/>
    <mergeCell ref="M5:Q5"/>
    <mergeCell ref="R5:AF5"/>
    <mergeCell ref="A9:AF26"/>
    <mergeCell ref="A40:G40"/>
    <mergeCell ref="H40:K40"/>
    <mergeCell ref="M40:N40"/>
    <mergeCell ref="O40:Q40"/>
  </mergeCells>
  <conditionalFormatting sqref="B29 E29 M27:S29">
    <cfRule type="cellIs" priority="2" operator="equal" aboveAverage="0" equalAverage="0" bottom="0" percent="0" rank="0" text="" dxfId="24">
      <formula>0</formula>
    </cfRule>
  </conditionalFormatting>
  <conditionalFormatting sqref="Y30:Z30">
    <cfRule type="cellIs" priority="3" operator="equal" aboveAverage="0" equalAverage="0" bottom="0" percent="0" rank="0" text="" dxfId="24">
      <formula>0</formula>
    </cfRule>
  </conditionalFormatting>
  <conditionalFormatting sqref="L30:M30">
    <cfRule type="cellIs" priority="4" operator="equal" aboveAverage="0" equalAverage="0" bottom="0" percent="0" rank="0" text="" dxfId="24">
      <formula>0</formula>
    </cfRule>
  </conditionalFormatting>
  <printOptions headings="false" gridLines="false" gridLinesSet="true" horizontalCentered="false" verticalCentered="false"/>
  <pageMargins left="0.75" right="0.5" top="0.75" bottom="0.5" header="0" footer="0.3"/>
  <pageSetup paperSize="1" scale="100" fitToWidth="1" fitToHeight="1" pageOrder="downThenOver" orientation="portrait" blackAndWhite="false" draft="false" cellComments="none" horizontalDpi="300" verticalDpi="300" copies="1"/>
  <headerFooter differentFirst="false" differentOddEven="false">
    <oddHeader>&amp;C&amp;"Calibri,Bold"STANDARD UNIT BFR - MEDICAL BATTALION</oddHeader>
    <oddFooter>&amp;C&amp;"Calibri,Bold"&amp;A&amp;R&amp;"Calibri,Bold"&amp;P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2017-03-06T19:11:02Z</dcterms:created>
  <dc:creator>Brunson, James J CIV NAVFAC MIDLANT, AM</dc:creator>
  <dc:description/>
  <dc:language>en-US</dc:language>
  <cp:lastModifiedBy>Potter CTR Anthony L</cp:lastModifiedBy>
  <cp:lastPrinted>2019-01-09T19:00:31Z</cp:lastPrinted>
  <dcterms:modified xsi:type="dcterms:W3CDTF">2026-05-06T05:39:10Z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0x010100CC71670DEAFF7D4AABBFADBC879A4557</vt:lpwstr>
  </property>
  <property fmtid="{D5CDD505-2E9C-101B-9397-08002B2CF9AE}" pid="3" name="IsMyDocuments">
    <vt:bool>1</vt:bool>
  </property>
  <property fmtid="{D5CDD505-2E9C-101B-9397-08002B2CF9AE}" pid="4" name="MediaServiceImageTags">
    <vt:lpwstr/>
  </property>
</Properties>
</file>